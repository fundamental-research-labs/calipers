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activeTab="3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4" l="1"/>
  <c r="F55" i="4" s="1"/>
  <c r="G55" i="4" s="1"/>
  <c r="H55" i="4" s="1"/>
  <c r="I55" i="4" s="1"/>
  <c r="J55" i="4" s="1"/>
  <c r="D55" i="4"/>
  <c r="C78" i="4"/>
  <c r="E87" i="4"/>
  <c r="F87" i="4"/>
  <c r="G87" i="4"/>
  <c r="H87" i="4"/>
  <c r="I87" i="4"/>
  <c r="J87" i="4"/>
  <c r="D87" i="4"/>
  <c r="D95" i="4"/>
  <c r="D97" i="4" s="1"/>
  <c r="E95" i="4"/>
  <c r="E97" i="4" s="1"/>
  <c r="F95" i="4"/>
  <c r="F97" i="4" s="1"/>
  <c r="G95" i="4"/>
  <c r="G97" i="4" s="1"/>
  <c r="H95" i="4"/>
  <c r="H97" i="4" s="1"/>
  <c r="I95" i="4"/>
  <c r="I97" i="4" s="1"/>
  <c r="J95" i="4"/>
  <c r="J97" i="4" s="1"/>
  <c r="C95" i="4"/>
  <c r="E96" i="4"/>
  <c r="F96" i="4"/>
  <c r="G96" i="4"/>
  <c r="H96" i="4"/>
  <c r="I96" i="4"/>
  <c r="J96" i="4"/>
  <c r="E90" i="4"/>
  <c r="F90" i="4"/>
  <c r="G90" i="4"/>
  <c r="H90" i="4"/>
  <c r="I90" i="4"/>
  <c r="J90" i="4"/>
  <c r="D90" i="4"/>
  <c r="D96" i="4"/>
  <c r="D98" i="3" l="1"/>
  <c r="D61" i="3"/>
  <c r="E61" i="3"/>
  <c r="E98" i="3" s="1"/>
  <c r="F61" i="3"/>
  <c r="F98" i="3" s="1"/>
  <c r="G61" i="3"/>
  <c r="G98" i="3" s="1"/>
  <c r="H61" i="3"/>
  <c r="H98" i="3" s="1"/>
  <c r="I61" i="3"/>
  <c r="I98" i="3" s="1"/>
  <c r="J61" i="3"/>
  <c r="J98" i="3" s="1"/>
  <c r="C57" i="4" l="1"/>
  <c r="E103" i="3"/>
  <c r="F103" i="3"/>
  <c r="G103" i="3"/>
  <c r="H103" i="3"/>
  <c r="I103" i="3"/>
  <c r="J103" i="3"/>
  <c r="D103" i="3"/>
  <c r="C80" i="3"/>
  <c r="C59" i="3"/>
  <c r="D68" i="4" l="1"/>
  <c r="E68" i="4" s="1"/>
  <c r="F68" i="4" s="1"/>
  <c r="G68" i="4" s="1"/>
  <c r="H68" i="4" s="1"/>
  <c r="I68" i="4" s="1"/>
  <c r="J68" i="4" s="1"/>
  <c r="D59" i="4"/>
  <c r="D51" i="4"/>
  <c r="E51" i="4" s="1"/>
  <c r="F51" i="4" s="1"/>
  <c r="G51" i="4" s="1"/>
  <c r="H51" i="4" s="1"/>
  <c r="I51" i="4" s="1"/>
  <c r="J51" i="4" s="1"/>
  <c r="B74" i="2"/>
  <c r="B73" i="2"/>
  <c r="B72" i="2"/>
  <c r="D70" i="3"/>
  <c r="E70" i="3" s="1"/>
  <c r="F70" i="3" s="1"/>
  <c r="G70" i="3" s="1"/>
  <c r="H70" i="3" s="1"/>
  <c r="I70" i="3" s="1"/>
  <c r="J70" i="3" s="1"/>
  <c r="D53" i="3"/>
  <c r="E53" i="3" s="1"/>
  <c r="F53" i="3" s="1"/>
  <c r="G53" i="3" s="1"/>
  <c r="H53" i="3" s="1"/>
  <c r="I53" i="3" s="1"/>
  <c r="J53" i="3" s="1"/>
  <c r="B65" i="1"/>
  <c r="B64" i="1"/>
  <c r="B63" i="1"/>
  <c r="E59" i="4" l="1"/>
  <c r="C106" i="4"/>
  <c r="C108" i="4" s="1"/>
  <c r="C108" i="3"/>
  <c r="D107" i="3" s="1"/>
  <c r="J101" i="4"/>
  <c r="I101" i="4"/>
  <c r="H101" i="4"/>
  <c r="G101" i="4"/>
  <c r="F101" i="4"/>
  <c r="E101" i="4"/>
  <c r="D101" i="4"/>
  <c r="F59" i="4" l="1"/>
  <c r="D105" i="4"/>
  <c r="C60" i="4"/>
  <c r="C62" i="3"/>
  <c r="G59" i="4" l="1"/>
  <c r="C110" i="3"/>
  <c r="H59" i="4" l="1"/>
  <c r="E14" i="4"/>
  <c r="D14" i="4"/>
  <c r="C14" i="4"/>
  <c r="D5" i="4" a="1"/>
  <c r="D5" i="4" s="1"/>
  <c r="C30" i="4" s="1"/>
  <c r="E16" i="3"/>
  <c r="D16" i="3"/>
  <c r="C16" i="3"/>
  <c r="D5" i="3" a="1"/>
  <c r="D5" i="3" s="1"/>
  <c r="C32" i="3" s="1"/>
  <c r="I59" i="4" l="1"/>
  <c r="D97" i="3"/>
  <c r="C97" i="3"/>
  <c r="D89" i="3" s="1"/>
  <c r="D58" i="3" s="1"/>
  <c r="E97" i="3"/>
  <c r="C50" i="4"/>
  <c r="C52" i="4" s="1"/>
  <c r="C62" i="4" s="1"/>
  <c r="D56" i="4"/>
  <c r="D50" i="4"/>
  <c r="E50" i="4"/>
  <c r="D24" i="3"/>
  <c r="D52" i="3"/>
  <c r="C52" i="3"/>
  <c r="C54" i="3" s="1"/>
  <c r="C64" i="3" s="1"/>
  <c r="E52" i="3"/>
  <c r="E92" i="3" s="1"/>
  <c r="C17" i="4"/>
  <c r="D22" i="4"/>
  <c r="E17" i="4"/>
  <c r="C22" i="4"/>
  <c r="D23" i="4"/>
  <c r="D21" i="4"/>
  <c r="C21" i="4"/>
  <c r="D24" i="4"/>
  <c r="D88" i="4" s="1" a="1"/>
  <c r="D88" i="4" s="1"/>
  <c r="D75" i="4" s="1"/>
  <c r="C24" i="4"/>
  <c r="C23" i="4"/>
  <c r="E24" i="4"/>
  <c r="E88" i="4" s="1" a="1"/>
  <c r="E88" i="4" s="1"/>
  <c r="E23" i="4"/>
  <c r="E21" i="4"/>
  <c r="E22" i="4"/>
  <c r="D15" i="4"/>
  <c r="E24" i="3"/>
  <c r="C24" i="3"/>
  <c r="C25" i="3"/>
  <c r="E25" i="3"/>
  <c r="E26" i="3"/>
  <c r="E90" i="3" s="1" a="1"/>
  <c r="E90" i="3" s="1"/>
  <c r="D25" i="3"/>
  <c r="D26" i="3"/>
  <c r="D90" i="3" s="1" a="1"/>
  <c r="D90" i="3" s="1"/>
  <c r="D77" i="3" s="1"/>
  <c r="E77" i="3" s="1"/>
  <c r="C26" i="3"/>
  <c r="D17" i="4"/>
  <c r="F13" i="4"/>
  <c r="G13" i="4" s="1"/>
  <c r="F12" i="4"/>
  <c r="E15" i="4"/>
  <c r="E19" i="3"/>
  <c r="E20" i="3" s="1"/>
  <c r="F15" i="3"/>
  <c r="G15" i="3" s="1"/>
  <c r="H15" i="3" s="1"/>
  <c r="I15" i="3" s="1"/>
  <c r="J15" i="3" s="1"/>
  <c r="F13" i="3"/>
  <c r="G13" i="3" s="1"/>
  <c r="H13" i="3" s="1"/>
  <c r="F12" i="3"/>
  <c r="G12" i="3" s="1"/>
  <c r="H12" i="3" s="1"/>
  <c r="I12" i="3" s="1"/>
  <c r="J12" i="3" s="1"/>
  <c r="F14" i="3"/>
  <c r="G14" i="3" s="1"/>
  <c r="H14" i="3" s="1"/>
  <c r="I14" i="3" s="1"/>
  <c r="J14" i="3" s="1"/>
  <c r="D23" i="3"/>
  <c r="D19" i="3"/>
  <c r="D20" i="3" s="1"/>
  <c r="E23" i="3"/>
  <c r="C23" i="3"/>
  <c r="E17" i="3"/>
  <c r="D17" i="3"/>
  <c r="C19" i="3"/>
  <c r="C20" i="3" s="1"/>
  <c r="J59" i="4" l="1"/>
  <c r="D99" i="3"/>
  <c r="E89" i="3"/>
  <c r="E58" i="3" s="1"/>
  <c r="F58" i="3" s="1"/>
  <c r="D57" i="3"/>
  <c r="D92" i="3"/>
  <c r="E99" i="3"/>
  <c r="F89" i="3"/>
  <c r="E75" i="4"/>
  <c r="C67" i="4"/>
  <c r="C69" i="4" s="1"/>
  <c r="C72" i="4" s="1"/>
  <c r="C80" i="4" s="1"/>
  <c r="C82" i="4" s="1"/>
  <c r="D67" i="4"/>
  <c r="E67" i="4"/>
  <c r="C69" i="3"/>
  <c r="C71" i="3" s="1"/>
  <c r="C74" i="3" s="1"/>
  <c r="C82" i="3" s="1"/>
  <c r="C84" i="3" s="1"/>
  <c r="D69" i="3"/>
  <c r="D57" i="4"/>
  <c r="E56" i="4"/>
  <c r="E27" i="3"/>
  <c r="E29" i="3" s="1"/>
  <c r="E69" i="3"/>
  <c r="D18" i="4"/>
  <c r="E18" i="4"/>
  <c r="C18" i="4"/>
  <c r="D25" i="4"/>
  <c r="H13" i="4"/>
  <c r="G12" i="4"/>
  <c r="C27" i="3"/>
  <c r="C29" i="3" s="1"/>
  <c r="C30" i="3" s="1"/>
  <c r="I13" i="3"/>
  <c r="D27" i="3"/>
  <c r="D29" i="3" s="1"/>
  <c r="C25" i="4"/>
  <c r="F14" i="4"/>
  <c r="F16" i="3"/>
  <c r="F97" i="3" s="1"/>
  <c r="E25" i="4"/>
  <c r="F56" i="4" l="1"/>
  <c r="G58" i="3"/>
  <c r="F99" i="3"/>
  <c r="G89" i="3"/>
  <c r="E57" i="3"/>
  <c r="D59" i="3"/>
  <c r="D62" i="3" s="1"/>
  <c r="D93" i="3"/>
  <c r="D27" i="4"/>
  <c r="D28" i="4" s="1"/>
  <c r="D71" i="3"/>
  <c r="D74" i="3" s="1"/>
  <c r="E27" i="4"/>
  <c r="E28" i="4" s="1"/>
  <c r="C27" i="4"/>
  <c r="C32" i="4" s="1"/>
  <c r="C33" i="4" s="1"/>
  <c r="F50" i="4"/>
  <c r="E69" i="4"/>
  <c r="E72" i="4" s="1"/>
  <c r="E91" i="4"/>
  <c r="E57" i="4"/>
  <c r="D60" i="4"/>
  <c r="D69" i="4"/>
  <c r="D72" i="4" s="1"/>
  <c r="D91" i="4"/>
  <c r="E93" i="3"/>
  <c r="E71" i="3"/>
  <c r="E74" i="3" s="1"/>
  <c r="F52" i="3"/>
  <c r="F92" i="3" s="1"/>
  <c r="F23" i="4"/>
  <c r="F22" i="4"/>
  <c r="F21" i="4"/>
  <c r="F24" i="4"/>
  <c r="F88" i="4" s="1" a="1"/>
  <c r="F88" i="4" s="1"/>
  <c r="F75" i="4" s="1"/>
  <c r="F15" i="4"/>
  <c r="I13" i="4"/>
  <c r="J13" i="4" s="1"/>
  <c r="F24" i="3"/>
  <c r="F26" i="3"/>
  <c r="F90" i="3" s="1" a="1"/>
  <c r="F90" i="3" s="1"/>
  <c r="F77" i="3" s="1"/>
  <c r="F25" i="3"/>
  <c r="H12" i="4"/>
  <c r="C34" i="3"/>
  <c r="F17" i="3"/>
  <c r="F19" i="3"/>
  <c r="F23" i="3"/>
  <c r="F17" i="4"/>
  <c r="J13" i="3"/>
  <c r="D30" i="3"/>
  <c r="E30" i="3"/>
  <c r="C28" i="4"/>
  <c r="G16" i="3"/>
  <c r="G97" i="3" s="1"/>
  <c r="G14" i="4"/>
  <c r="F57" i="3" l="1"/>
  <c r="E59" i="3"/>
  <c r="G99" i="3"/>
  <c r="H89" i="3"/>
  <c r="H58" i="3" s="1"/>
  <c r="F67" i="4"/>
  <c r="F57" i="4"/>
  <c r="E60" i="4"/>
  <c r="G56" i="4"/>
  <c r="G50" i="4"/>
  <c r="G52" i="3"/>
  <c r="G92" i="3" s="1"/>
  <c r="E62" i="3"/>
  <c r="F20" i="3"/>
  <c r="F69" i="3"/>
  <c r="F18" i="4"/>
  <c r="G23" i="4"/>
  <c r="G24" i="4"/>
  <c r="G88" i="4" s="1" a="1"/>
  <c r="G88" i="4" s="1"/>
  <c r="G75" i="4" s="1"/>
  <c r="G22" i="4"/>
  <c r="G21" i="4"/>
  <c r="C35" i="3"/>
  <c r="C37" i="3" s="1"/>
  <c r="G15" i="4"/>
  <c r="I12" i="4"/>
  <c r="J12" i="4" s="1"/>
  <c r="G24" i="3"/>
  <c r="G26" i="3"/>
  <c r="G90" i="3" s="1" a="1"/>
  <c r="G90" i="3" s="1"/>
  <c r="G77" i="3" s="1"/>
  <c r="G25" i="3"/>
  <c r="G17" i="3"/>
  <c r="G19" i="3"/>
  <c r="G23" i="3"/>
  <c r="G17" i="4"/>
  <c r="F27" i="3"/>
  <c r="H14" i="4"/>
  <c r="H16" i="3"/>
  <c r="H97" i="3" s="1"/>
  <c r="F25" i="4"/>
  <c r="C35" i="4"/>
  <c r="G57" i="3" l="1"/>
  <c r="F59" i="3"/>
  <c r="H99" i="3"/>
  <c r="I89" i="3"/>
  <c r="I58" i="3" s="1"/>
  <c r="G67" i="4"/>
  <c r="F69" i="4"/>
  <c r="F72" i="4" s="1"/>
  <c r="F91" i="4"/>
  <c r="H56" i="4"/>
  <c r="F27" i="4"/>
  <c r="F28" i="4" s="1"/>
  <c r="H50" i="4"/>
  <c r="G57" i="4"/>
  <c r="F93" i="3"/>
  <c r="F71" i="3"/>
  <c r="F74" i="3" s="1"/>
  <c r="F62" i="3"/>
  <c r="F29" i="3"/>
  <c r="F30" i="3" s="1"/>
  <c r="G20" i="3"/>
  <c r="G69" i="3"/>
  <c r="H52" i="3"/>
  <c r="H92" i="3" s="1"/>
  <c r="G18" i="4"/>
  <c r="H24" i="4"/>
  <c r="H88" i="4" s="1" a="1"/>
  <c r="H88" i="4" s="1"/>
  <c r="H75" i="4" s="1"/>
  <c r="H22" i="4"/>
  <c r="H21" i="4"/>
  <c r="H23" i="4"/>
  <c r="C43" i="3"/>
  <c r="C38" i="3"/>
  <c r="H15" i="4"/>
  <c r="H24" i="3"/>
  <c r="H26" i="3"/>
  <c r="H90" i="3" s="1" a="1"/>
  <c r="H90" i="3" s="1"/>
  <c r="H77" i="3" s="1"/>
  <c r="H25" i="3"/>
  <c r="H23" i="3"/>
  <c r="H17" i="3"/>
  <c r="H19" i="3"/>
  <c r="H17" i="4"/>
  <c r="G27" i="3"/>
  <c r="C41" i="4"/>
  <c r="C36" i="4"/>
  <c r="G25" i="4"/>
  <c r="J16" i="3"/>
  <c r="J97" i="3" s="1"/>
  <c r="J99" i="3" s="1"/>
  <c r="I16" i="3"/>
  <c r="I97" i="3" s="1"/>
  <c r="I14" i="4"/>
  <c r="J14" i="4"/>
  <c r="J58" i="3" l="1"/>
  <c r="H57" i="3"/>
  <c r="G59" i="3"/>
  <c r="G62" i="3" s="1"/>
  <c r="I99" i="3"/>
  <c r="J89" i="3"/>
  <c r="H67" i="4"/>
  <c r="G29" i="3"/>
  <c r="G27" i="4"/>
  <c r="G28" i="4" s="1"/>
  <c r="I56" i="4"/>
  <c r="J50" i="4"/>
  <c r="I50" i="4"/>
  <c r="G69" i="4"/>
  <c r="G72" i="4" s="1"/>
  <c r="G91" i="4"/>
  <c r="H57" i="4"/>
  <c r="G93" i="3"/>
  <c r="G71" i="3"/>
  <c r="G74" i="3" s="1"/>
  <c r="H20" i="3"/>
  <c r="H69" i="3"/>
  <c r="I52" i="3"/>
  <c r="I92" i="3" s="1"/>
  <c r="J52" i="3"/>
  <c r="J92" i="3" s="1"/>
  <c r="H18" i="4"/>
  <c r="J23" i="4"/>
  <c r="J22" i="4"/>
  <c r="J21" i="4"/>
  <c r="J24" i="4"/>
  <c r="J88" i="4" s="1" a="1"/>
  <c r="J88" i="4" s="1"/>
  <c r="I22" i="4"/>
  <c r="I21" i="4"/>
  <c r="I23" i="4"/>
  <c r="I24" i="4"/>
  <c r="I88" i="4" s="1" a="1"/>
  <c r="I88" i="4" s="1"/>
  <c r="I75" i="4" s="1"/>
  <c r="I15" i="4"/>
  <c r="I24" i="3"/>
  <c r="I26" i="3"/>
  <c r="I90" i="3" s="1" a="1"/>
  <c r="I90" i="3" s="1"/>
  <c r="I77" i="3" s="1"/>
  <c r="I25" i="3"/>
  <c r="J26" i="3"/>
  <c r="J90" i="3" s="1" a="1"/>
  <c r="J90" i="3" s="1"/>
  <c r="J24" i="3"/>
  <c r="J25" i="3"/>
  <c r="J15" i="4"/>
  <c r="J23" i="3"/>
  <c r="J17" i="3"/>
  <c r="J19" i="3"/>
  <c r="I23" i="3"/>
  <c r="I17" i="3"/>
  <c r="I19" i="3"/>
  <c r="I17" i="4"/>
  <c r="J17" i="4"/>
  <c r="H25" i="4"/>
  <c r="G30" i="3"/>
  <c r="H27" i="3"/>
  <c r="H29" i="3" s="1"/>
  <c r="J75" i="4" l="1"/>
  <c r="J77" i="3"/>
  <c r="I57" i="3"/>
  <c r="H59" i="3"/>
  <c r="I67" i="4"/>
  <c r="J67" i="4"/>
  <c r="J25" i="4"/>
  <c r="H27" i="4"/>
  <c r="H28" i="4" s="1"/>
  <c r="J56" i="4"/>
  <c r="H69" i="4"/>
  <c r="H72" i="4" s="1"/>
  <c r="H91" i="4"/>
  <c r="H93" i="3"/>
  <c r="H71" i="3"/>
  <c r="H74" i="3" s="1"/>
  <c r="H62" i="3"/>
  <c r="I20" i="3"/>
  <c r="I69" i="3"/>
  <c r="J20" i="3"/>
  <c r="J69" i="3"/>
  <c r="F60" i="4"/>
  <c r="I18" i="4"/>
  <c r="J18" i="4"/>
  <c r="I27" i="3"/>
  <c r="J27" i="3"/>
  <c r="H30" i="3"/>
  <c r="I25" i="4"/>
  <c r="J57" i="4" l="1"/>
  <c r="I57" i="4"/>
  <c r="J57" i="3"/>
  <c r="J59" i="3" s="1"/>
  <c r="I59" i="3"/>
  <c r="J29" i="3"/>
  <c r="J30" i="3" s="1"/>
  <c r="I27" i="4"/>
  <c r="I28" i="4" s="1"/>
  <c r="J69" i="4"/>
  <c r="J72" i="4" s="1"/>
  <c r="J91" i="4"/>
  <c r="I69" i="4"/>
  <c r="I72" i="4" s="1"/>
  <c r="I91" i="4"/>
  <c r="J93" i="3"/>
  <c r="J71" i="3"/>
  <c r="J74" i="3" s="1"/>
  <c r="I62" i="3"/>
  <c r="I29" i="3"/>
  <c r="I30" i="3" s="1"/>
  <c r="I93" i="3"/>
  <c r="I71" i="3"/>
  <c r="I74" i="3" s="1"/>
  <c r="G60" i="4"/>
  <c r="J27" i="4"/>
  <c r="J28" i="4" s="1"/>
  <c r="J62" i="3" l="1"/>
  <c r="H60" i="4"/>
  <c r="J60" i="4" l="1"/>
  <c r="I60" i="4"/>
  <c r="D32" i="3" l="1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<sst xmlns="http://schemas.openxmlformats.org/spreadsheetml/2006/main" count="338" uniqueCount="118">
  <si>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</si>
  <si>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</si>
  <si>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</si>
  <si>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</si>
  <si>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</si>
  <si>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</si>
  <si>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</si>
  <si>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</si>
  <si>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</si>
  <si>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</si>
  <si>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</si>
  <si>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</si>
  <si>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</si>
  <si>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</si>
  <si>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</si>
  <si>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</si>
  <si>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</si>
  <si>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</si>
  <si>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</si>
  <si>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</si>
  <si>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</si>
  <si>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</si>
  <si>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</si>
  <si>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</si>
  <si>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</si>
  <si>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</si>
  <si>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</si>
  <si>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</si>
  <si>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</si>
  <si>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</si>
  <si>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</si>
  <si>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</si>
  <si>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</si>
  <si>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</si>
  <si>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</si>
  <si>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</si>
  <si>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</si>
  <si>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</si>
  <si>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</si>
  <si>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</si>
  <si>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</si>
  <si>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</si>
  <si>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</si>
  <si>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</si>
  <si>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</si>
  <si>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</si>
  <si>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</si>
  <si>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</si>
  <si>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</si>
  <si>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</si>
  <si>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</si>
  <si>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</si>
  <si>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</si>
  <si>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</si>
  <si>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</si>
  <si>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</si>
  <si>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</si>
  <si>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</si>
  <si>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</si>
  <si>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</si>
  <si>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</si>
  <si>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</si>
  <si>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</si>
  <si>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</si>
  <si>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</si>
  <si>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</si>
  <si>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</si>
  <si>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</si>
  <si>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</si>
  <si>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</si>
  <si>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</si>
  <si>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</si>
  <si>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</si>
  <si>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</si>
  <si>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</si>
  <si>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</si>
  <si>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</si>
  <si>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</si>
  <si>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</si>
  <si>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</si>
  <si>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</si>
  <si>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</si>
  <si>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</si>
  <si>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</si>
  <si>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</si>
  <si>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</si>
  <si>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</si>
  <si>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</si>
  <si>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</si>
  <si>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</si>
  <si>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</si>
  <si>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</si>
  <si>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</si>
  <si>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</si>
  <si>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</si>
  <si>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</si>
  <si>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</si>
  <si>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</si>
  <si>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</si>
  <si>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</si>
  <si>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</si>
  <si>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</si>
  <si>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</si>
  <si>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</si>
  <si>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</si>
  <si>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</si>
  <si>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</si>
  <si>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</si>
  <si>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Product0338 Operating Margin</t>
  </si>
  <si>
    <t xml:space="preserve">  Operating Margin (%)</t>
  </si>
  <si>
    <t xml:space="preserve">  Interest Income Rate (on cash)</t>
  </si>
  <si>
    <t xml:space="preserve">  Interest Expense Rate (on LT debt)</t>
  </si>
  <si>
    <t>Interest (Expense) / Income</t>
  </si>
  <si>
    <t>Net PP&amp;E</t>
  </si>
  <si>
    <t xml:space="preserve">  Treasury Stock</t>
  </si>
  <si>
    <t xml:space="preserve">  Common Stock &amp; APIC</t>
  </si>
  <si>
    <t>INCOME STATEMENT</t>
  </si>
  <si>
    <t>Long-term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</si>
</sst>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_([$$-409]* #,##0.0_);_([$$-409]* \(#,##0.0\);_([$$-409]* &quot;-&quot;?_);_(@_)"/>
  </numFmts>
  <fonts count="2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11"/>
      <name val="Aptos Narrow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1"/>
  </cellStyleXfs>
  <cellXfs count="73">
    <xf numFmtId="0" fontId="0" fillId="0" borderId="1" xfId="0"/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3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indent="2"/>
    </xf>
    <xf numFmtId="0" fontId="3" fillId="0" borderId="0" xfId="0" applyFont="1" applyBorder="1" applyAlignment="1">
      <alignment horizontal="left" vertical="top" indent="1"/>
    </xf>
    <xf numFmtId="10" fontId="10" fillId="0" borderId="0" xfId="0" applyNumberFormat="1" applyFont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top" indent="1"/>
    </xf>
    <xf numFmtId="10" fontId="10" fillId="0" borderId="6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3" fillId="0" borderId="0" xfId="0" applyFont="1" applyBorder="1" applyAlignment="1">
      <alignment horizontal="left" vertical="top" indent="2"/>
    </xf>
    <xf numFmtId="0" fontId="4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 indent="1"/>
    </xf>
    <xf numFmtId="0" fontId="4" fillId="0" borderId="8" xfId="0" applyFont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0" borderId="1" xfId="0" applyFont="1" applyAlignment="1">
      <alignment horizontal="left" vertical="top" indent="1"/>
    </xf>
    <xf numFmtId="0" fontId="6" fillId="0" borderId="1" xfId="0" applyFont="1" applyAlignment="1">
      <alignment horizontal="left" vertical="top" indent="2"/>
    </xf>
    <xf numFmtId="0" fontId="4" fillId="0" borderId="7" xfId="0" applyFont="1" applyBorder="1" applyAlignment="1">
      <alignment horizontal="left" vertical="top" indent="1"/>
    </xf>
    <xf numFmtId="0" fontId="4" fillId="0" borderId="1" xfId="0" applyFont="1" applyAlignment="1">
      <alignment horizontal="left" vertical="top" indent="2"/>
    </xf>
    <xf numFmtId="0" fontId="3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6" fillId="0" borderId="1" xfId="0" applyFont="1" applyAlignment="1">
      <alignment horizontal="left" vertical="top" indent="3"/>
    </xf>
    <xf numFmtId="0" fontId="4" fillId="0" borderId="7" xfId="0" applyFont="1" applyBorder="1" applyAlignment="1">
      <alignment vertical="top"/>
    </xf>
    <xf numFmtId="0" fontId="4" fillId="0" borderId="1" xfId="0" applyFont="1" applyAlignment="1">
      <alignment vertical="top"/>
    </xf>
    <xf numFmtId="0" fontId="6" fillId="0" borderId="1" xfId="0" applyFont="1" applyAlignment="1">
      <alignment horizontal="left" vertical="top" indent="1"/>
    </xf>
    <xf numFmtId="0" fontId="3" fillId="0" borderId="1" xfId="0" applyFont="1" applyAlignment="1">
      <alignment horizontal="left" vertical="top" indent="1"/>
    </xf>
    <xf numFmtId="0" fontId="11" fillId="0" borderId="1" xfId="0" applyFont="1" applyAlignment="1">
      <alignment vertical="top"/>
    </xf>
    <xf numFmtId="0" fontId="6" fillId="0" borderId="1" xfId="0" applyFont="1" applyAlignment="1">
      <alignment vertical="top"/>
    </xf>
    <xf numFmtId="0" fontId="4" fillId="0" borderId="1" xfId="0" applyFont="1" applyAlignment="1">
      <alignment horizontal="center" vertical="top"/>
    </xf>
    <xf numFmtId="0" fontId="3" fillId="0" borderId="1" xfId="0" applyFont="1" applyAlignment="1">
      <alignment horizontal="center" vertical="top"/>
    </xf>
    <xf numFmtId="0" fontId="2" fillId="0" borderId="1" xfId="0" applyFont="1"/>
    <xf numFmtId="49" fontId="3" fillId="0" borderId="0" xfId="0" applyNumberFormat="1" applyFont="1" applyBorder="1" applyAlignment="1">
      <alignment horizontal="center" vertical="top"/>
    </xf>
    <xf numFmtId="0" fontId="15" fillId="0" borderId="0" xfId="0" applyFont="1" applyBorder="1" applyAlignment="1">
      <alignment horizontal="left" vertical="top" indent="2"/>
    </xf>
    <xf numFmtId="10" fontId="16" fillId="0" borderId="0" xfId="0" applyNumberFormat="1" applyFont="1" applyBorder="1" applyAlignment="1">
      <alignment vertical="top"/>
    </xf>
    <xf numFmtId="0" fontId="15" fillId="0" borderId="1" xfId="0" applyFont="1" applyAlignment="1">
      <alignment horizontal="left" vertical="top" indent="2"/>
    </xf>
    <xf numFmtId="10" fontId="16" fillId="0" borderId="1" xfId="0" applyNumberFormat="1" applyFont="1" applyAlignment="1">
      <alignment vertical="top"/>
    </xf>
    <xf numFmtId="3" fontId="16" fillId="0" borderId="0" xfId="0" applyNumberFormat="1" applyFont="1" applyBorder="1" applyAlignment="1">
      <alignment vertical="top"/>
    </xf>
    <xf numFmtId="0" fontId="15" fillId="0" borderId="6" xfId="0" applyFont="1" applyBorder="1" applyAlignment="1">
      <alignment vertical="top"/>
    </xf>
    <xf numFmtId="10" fontId="16" fillId="0" borderId="6" xfId="0" applyNumberFormat="1" applyFont="1" applyBorder="1" applyAlignment="1">
      <alignment vertical="top"/>
    </xf>
    <xf numFmtId="10" fontId="10" fillId="0" borderId="1" xfId="0" applyNumberFormat="1" applyFont="1" applyAlignment="1">
      <alignment vertical="top"/>
    </xf>
    <xf numFmtId="0" fontId="1" fillId="0" borderId="1" xfId="0" applyFont="1"/>
    <xf numFmtId="49" fontId="4" fillId="0" borderId="0" xfId="0" applyNumberFormat="1" applyFont="1" applyBorder="1" applyAlignment="1">
      <alignment horizontal="center" vertical="top"/>
    </xf>
    <xf numFmtId="164" fontId="16" fillId="0" borderId="0" xfId="0" applyNumberFormat="1" applyFont="1" applyBorder="1" applyAlignment="1">
      <alignment vertical="top"/>
    </xf>
    <xf numFmtId="164" fontId="17" fillId="0" borderId="0" xfId="0" applyNumberFormat="1" applyFont="1" applyBorder="1" applyAlignment="1">
      <alignment vertical="top"/>
    </xf>
    <xf numFmtId="164" fontId="18" fillId="0" borderId="7" xfId="0" applyNumberFormat="1" applyFont="1" applyBorder="1" applyAlignment="1">
      <alignment vertical="top"/>
    </xf>
    <xf numFmtId="10" fontId="18" fillId="0" borderId="0" xfId="0" applyNumberFormat="1" applyFont="1" applyBorder="1" applyAlignment="1">
      <alignment vertical="top"/>
    </xf>
    <xf numFmtId="164" fontId="18" fillId="0" borderId="0" xfId="0" applyNumberFormat="1" applyFont="1" applyBorder="1" applyAlignment="1">
      <alignment vertical="top"/>
    </xf>
    <xf numFmtId="10" fontId="19" fillId="0" borderId="0" xfId="0" applyNumberFormat="1" applyFont="1" applyBorder="1" applyAlignment="1">
      <alignment vertical="top"/>
    </xf>
    <xf numFmtId="166" fontId="1" fillId="0" borderId="1" xfId="0" applyNumberFormat="1" applyFont="1"/>
    <xf numFmtId="167" fontId="1" fillId="0" borderId="1" xfId="0" applyNumberFormat="1" applyFont="1"/>
    <xf numFmtId="164" fontId="1" fillId="0" borderId="1" xfId="0" applyNumberFormat="1" applyFont="1"/>
    <xf numFmtId="164" fontId="18" fillId="0" borderId="8" xfId="0" applyNumberFormat="1" applyFont="1" applyBorder="1" applyAlignment="1">
      <alignment vertical="top"/>
    </xf>
    <xf numFmtId="41" fontId="16" fillId="0" borderId="0" xfId="0" applyNumberFormat="1" applyFont="1" applyBorder="1" applyAlignment="1">
      <alignment vertical="top"/>
    </xf>
    <xf numFmtId="165" fontId="18" fillId="0" borderId="0" xfId="0" applyNumberFormat="1" applyFont="1" applyBorder="1" applyAlignment="1">
      <alignment vertical="top"/>
    </xf>
    <xf numFmtId="0" fontId="4" fillId="5" borderId="9" xfId="0" applyFont="1" applyFill="1" applyBorder="1" applyAlignment="1">
      <alignment vertical="top"/>
    </xf>
    <xf numFmtId="164" fontId="19" fillId="0" borderId="1" xfId="0" applyNumberFormat="1" applyFont="1" applyAlignment="1">
      <alignment vertical="top"/>
    </xf>
    <xf numFmtId="164" fontId="15" fillId="0" borderId="1" xfId="0" applyNumberFormat="1" applyFont="1" applyAlignment="1">
      <alignment vertical="top"/>
    </xf>
    <xf numFmtId="164" fontId="17" fillId="0" borderId="1" xfId="0" applyNumberFormat="1" applyFont="1" applyAlignment="1">
      <alignment vertical="top"/>
    </xf>
    <xf numFmtId="164" fontId="15" fillId="0" borderId="7" xfId="0" applyNumberFormat="1" applyFont="1" applyBorder="1" applyAlignment="1">
      <alignment vertical="top"/>
    </xf>
    <xf numFmtId="164" fontId="15" fillId="0" borderId="8" xfId="0" applyNumberFormat="1" applyFont="1" applyBorder="1" applyAlignment="1">
      <alignment vertical="top"/>
    </xf>
    <xf numFmtId="164" fontId="20" fillId="0" borderId="1" xfId="0" applyNumberFormat="1" applyFont="1" applyAlignment="1">
      <alignment vertical="top"/>
    </xf>
    <xf numFmtId="0" fontId="4" fillId="0" borderId="11" xfId="0" applyFont="1" applyBorder="1" applyAlignment="1">
      <alignment horizontal="left" vertical="top" indent="2"/>
    </xf>
    <xf numFmtId="164" fontId="15" fillId="0" borderId="1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5"/>
  <sheetViews>
    <sheetView showGridLines="0" topLeftCell="A100" workbookViewId="0">
      <selection sqref="A1:N119"/>
    </sheetView>
  </sheetViews>
  <sheetFormatPr defaultColWidth="7.75" defaultRowHeight="15" customHeight="1" x14ac:dyDescent="0.25"/>
  <cols>
    <col min="2" max="2" width="34.875" bestFit="1" customWidth="1"/>
    <col min="3" max="3" width="10" customWidth="1"/>
    <col min="4" max="11" width="8.75" customWidth="1"/>
  </cols>
  <sheetData>
    <row r="2" spans="2:13" ht="15" customHeight="1" x14ac:dyDescent="0.25">
      <c r="B2" s="36" t="s">
        <v>0</v>
      </c>
    </row>
    <row r="3" spans="2:13" ht="15" customHeight="1" x14ac:dyDescent="0.25">
      <c r="B3" s="29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37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38">
        <v>2021</v>
      </c>
      <c r="E9" s="38">
        <v>2022</v>
      </c>
      <c r="F9" s="38">
        <v>2023</v>
      </c>
      <c r="G9" s="38">
        <v>2024</v>
      </c>
      <c r="H9" s="38">
        <v>2025</v>
      </c>
      <c r="I9" s="38">
        <v>2026</v>
      </c>
      <c r="J9" s="38">
        <v>2027</v>
      </c>
      <c r="K9" s="38">
        <v>2028</v>
      </c>
    </row>
    <row r="11" spans="2:13" ht="15" customHeight="1" x14ac:dyDescent="0.25">
      <c r="B11" s="6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3" spans="2:13" ht="15" customHeight="1" x14ac:dyDescent="0.25">
      <c r="B13" s="8" t="s">
        <v>8</v>
      </c>
    </row>
    <row r="14" spans="2:13" ht="15" customHeight="1" x14ac:dyDescent="0.25">
      <c r="C14" s="9" t="s">
        <v>9</v>
      </c>
      <c r="D14" s="9">
        <v>2021</v>
      </c>
      <c r="E14" s="9">
        <v>2022</v>
      </c>
      <c r="F14" s="9">
        <v>2023</v>
      </c>
      <c r="G14" s="9">
        <v>2024</v>
      </c>
      <c r="H14" s="9">
        <v>2025</v>
      </c>
      <c r="I14" s="9">
        <v>2026</v>
      </c>
      <c r="J14" s="9">
        <v>2027</v>
      </c>
      <c r="K14" s="9">
        <v>2028</v>
      </c>
    </row>
    <row r="15" spans="2:13" ht="15.75" customHeight="1" x14ac:dyDescent="0.25">
      <c r="B15" s="10" t="s">
        <v>10</v>
      </c>
      <c r="C15" s="11" t="s">
        <v>4</v>
      </c>
      <c r="G15" s="12">
        <v>8.5000000000000006E-2</v>
      </c>
      <c r="H15" s="12">
        <v>7.4999999999999997E-2</v>
      </c>
      <c r="I15" s="12">
        <v>6.5000000000000002E-2</v>
      </c>
      <c r="J15" s="12">
        <v>5.5E-2</v>
      </c>
      <c r="K15" s="12">
        <v>0.05</v>
      </c>
    </row>
    <row r="16" spans="2:13" ht="15.75" customHeight="1" x14ac:dyDescent="0.25">
      <c r="C16" s="11" t="s">
        <v>11</v>
      </c>
      <c r="G16" s="12">
        <v>0.105</v>
      </c>
      <c r="H16" s="12">
        <v>9.5000000000000001E-2</v>
      </c>
      <c r="I16" s="12">
        <v>8.5000000000000006E-2</v>
      </c>
      <c r="J16" s="12">
        <v>7.4999999999999997E-2</v>
      </c>
      <c r="K16" s="12">
        <v>7.0000000000000007E-2</v>
      </c>
    </row>
    <row r="17" spans="2:13" ht="15.75" customHeight="1" x14ac:dyDescent="0.25">
      <c r="C17" s="11" t="s">
        <v>12</v>
      </c>
      <c r="G17" s="12">
        <v>0.06</v>
      </c>
      <c r="H17" s="12">
        <v>0.05</v>
      </c>
      <c r="I17" s="12">
        <v>0.04</v>
      </c>
      <c r="J17" s="12">
        <v>3.5000000000000003E-2</v>
      </c>
      <c r="K17" s="12">
        <v>0.03</v>
      </c>
    </row>
    <row r="19" spans="2:13" ht="15.75" customHeight="1" x14ac:dyDescent="0.25">
      <c r="B19" s="10" t="s">
        <v>13</v>
      </c>
      <c r="C19" s="11" t="s">
        <v>4</v>
      </c>
      <c r="G19" s="12">
        <v>0.15</v>
      </c>
      <c r="H19" s="12">
        <v>0.13</v>
      </c>
      <c r="I19" s="12">
        <v>0.11</v>
      </c>
      <c r="J19" s="12">
        <v>0.1</v>
      </c>
      <c r="K19" s="12">
        <v>0.09</v>
      </c>
    </row>
    <row r="20" spans="2:13" ht="15.75" customHeight="1" x14ac:dyDescent="0.25">
      <c r="C20" s="11" t="s">
        <v>11</v>
      </c>
      <c r="G20" s="12">
        <v>0.18</v>
      </c>
      <c r="H20" s="12">
        <v>0.16</v>
      </c>
      <c r="I20" s="12">
        <v>0.14000000000000001</v>
      </c>
      <c r="J20" s="12">
        <v>0.12</v>
      </c>
      <c r="K20" s="12">
        <v>0.11</v>
      </c>
    </row>
    <row r="21" spans="2:13" ht="15.75" customHeight="1" x14ac:dyDescent="0.25">
      <c r="C21" s="11" t="s">
        <v>12</v>
      </c>
      <c r="G21" s="12">
        <v>0.12</v>
      </c>
      <c r="H21" s="12">
        <v>0.1</v>
      </c>
      <c r="I21" s="12">
        <v>0.08</v>
      </c>
      <c r="J21" s="12">
        <v>7.0000000000000007E-2</v>
      </c>
      <c r="K21" s="12">
        <v>0.06</v>
      </c>
    </row>
    <row r="23" spans="2:13" ht="15.75" customHeight="1" x14ac:dyDescent="0.25">
      <c r="B23" s="10" t="s">
        <v>14</v>
      </c>
      <c r="C23" s="11" t="s">
        <v>4</v>
      </c>
      <c r="G23" s="12">
        <v>0.28000000000000003</v>
      </c>
      <c r="H23" s="12">
        <v>0.25</v>
      </c>
      <c r="I23" s="12">
        <v>0.22</v>
      </c>
      <c r="J23" s="12">
        <v>0.2</v>
      </c>
      <c r="K23" s="12">
        <v>0.18</v>
      </c>
    </row>
    <row r="24" spans="2:13" ht="15.75" customHeight="1" x14ac:dyDescent="0.25">
      <c r="C24" s="11" t="s">
        <v>11</v>
      </c>
      <c r="G24" s="12">
        <v>0.32</v>
      </c>
      <c r="H24" s="12">
        <v>0.3</v>
      </c>
      <c r="I24" s="12">
        <v>0.27</v>
      </c>
      <c r="J24" s="12">
        <v>0.24</v>
      </c>
      <c r="K24" s="12">
        <v>0.22</v>
      </c>
    </row>
    <row r="25" spans="2:13" ht="15.75" customHeight="1" x14ac:dyDescent="0.25">
      <c r="C25" s="11" t="s">
        <v>12</v>
      </c>
      <c r="G25" s="12">
        <v>0.24</v>
      </c>
      <c r="H25" s="12">
        <v>0.2</v>
      </c>
      <c r="I25" s="12">
        <v>0.17</v>
      </c>
      <c r="J25" s="12">
        <v>0.15</v>
      </c>
      <c r="K25" s="12">
        <v>0.14000000000000001</v>
      </c>
    </row>
    <row r="27" spans="2:13" ht="15.75" customHeight="1" x14ac:dyDescent="0.25">
      <c r="B27" s="10" t="s">
        <v>15</v>
      </c>
      <c r="C27" s="11" t="s">
        <v>4</v>
      </c>
      <c r="G27" s="12">
        <v>0.05</v>
      </c>
      <c r="H27" s="12">
        <v>4.4999999999999998E-2</v>
      </c>
      <c r="I27" s="12">
        <v>0.04</v>
      </c>
      <c r="J27" s="12">
        <v>3.5000000000000003E-2</v>
      </c>
      <c r="K27" s="12">
        <v>0.03</v>
      </c>
    </row>
    <row r="28" spans="2:13" ht="15.75" customHeight="1" x14ac:dyDescent="0.25">
      <c r="C28" s="11" t="s">
        <v>11</v>
      </c>
      <c r="G28" s="12">
        <v>7.0000000000000007E-2</v>
      </c>
      <c r="H28" s="12">
        <v>0.06</v>
      </c>
      <c r="I28" s="12">
        <v>5.5E-2</v>
      </c>
      <c r="J28" s="12">
        <v>0.05</v>
      </c>
      <c r="K28" s="12">
        <v>4.4999999999999998E-2</v>
      </c>
    </row>
    <row r="29" spans="2:13" ht="15.75" customHeight="1" x14ac:dyDescent="0.25">
      <c r="C29" s="11" t="s">
        <v>12</v>
      </c>
      <c r="G29" s="12">
        <v>0.03</v>
      </c>
      <c r="H29" s="12">
        <v>2.5000000000000001E-2</v>
      </c>
      <c r="I29" s="12">
        <v>0.02</v>
      </c>
      <c r="J29" s="12">
        <v>1.4999999999999999E-2</v>
      </c>
      <c r="K29" s="12">
        <v>0.01</v>
      </c>
    </row>
    <row r="31" spans="2:13" ht="15" customHeight="1" x14ac:dyDescent="0.25">
      <c r="B31" s="6" t="s">
        <v>16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3" spans="2:11" ht="15" customHeight="1" x14ac:dyDescent="0.25">
      <c r="B33" s="8" t="s">
        <v>17</v>
      </c>
    </row>
    <row r="35" spans="2:11" ht="15.75" customHeight="1" x14ac:dyDescent="0.25">
      <c r="B35" s="10" t="s">
        <v>18</v>
      </c>
      <c r="C35" s="11" t="s">
        <v>4</v>
      </c>
      <c r="D35" s="12">
        <v>0.151</v>
      </c>
      <c r="E35" s="12">
        <v>0.14800000000000002</v>
      </c>
      <c r="F35" s="12">
        <v>0.14499999999999999</v>
      </c>
      <c r="G35" s="12">
        <v>0.14300000000000002</v>
      </c>
      <c r="H35" s="12">
        <v>0.14000000000000001</v>
      </c>
      <c r="I35" s="12">
        <v>0.13800000000000001</v>
      </c>
      <c r="J35" s="12">
        <v>0.13500000000000001</v>
      </c>
      <c r="K35" s="12">
        <v>0.13300000000000001</v>
      </c>
    </row>
    <row r="36" spans="2:11" ht="15.75" customHeight="1" x14ac:dyDescent="0.25">
      <c r="C36" s="11" t="s">
        <v>11</v>
      </c>
      <c r="D36" s="12">
        <v>0.151</v>
      </c>
      <c r="E36" s="12">
        <v>0.14800000000000002</v>
      </c>
      <c r="F36" s="12">
        <v>0.14499999999999999</v>
      </c>
      <c r="G36" s="12">
        <v>0.13800000000000001</v>
      </c>
      <c r="H36" s="12">
        <v>0.13500000000000001</v>
      </c>
      <c r="I36" s="12">
        <v>0.13200000000000001</v>
      </c>
      <c r="J36" s="12">
        <v>0.13</v>
      </c>
      <c r="K36" s="12">
        <v>0.128</v>
      </c>
    </row>
    <row r="37" spans="2:11" ht="15.75" customHeight="1" x14ac:dyDescent="0.25">
      <c r="C37" s="11" t="s">
        <v>12</v>
      </c>
      <c r="D37" s="12">
        <v>0.151</v>
      </c>
      <c r="E37" s="12">
        <v>0.14800000000000002</v>
      </c>
      <c r="F37" s="12">
        <v>0.14499999999999999</v>
      </c>
      <c r="G37" s="12">
        <v>0.14800000000000002</v>
      </c>
      <c r="H37" s="12">
        <v>0.14499999999999999</v>
      </c>
      <c r="I37" s="12">
        <v>0.14300000000000002</v>
      </c>
      <c r="J37" s="12">
        <v>0.14000000000000001</v>
      </c>
      <c r="K37" s="12">
        <v>0.13800000000000001</v>
      </c>
    </row>
    <row r="39" spans="2:11" ht="15.75" customHeight="1" x14ac:dyDescent="0.25">
      <c r="B39" s="10" t="s">
        <v>19</v>
      </c>
      <c r="C39" s="11" t="s">
        <v>4</v>
      </c>
      <c r="D39" s="12">
        <v>0.115</v>
      </c>
      <c r="E39" s="12">
        <v>0.11199999999999999</v>
      </c>
      <c r="F39" s="12">
        <v>0.10800000000000001</v>
      </c>
      <c r="G39" s="12">
        <v>0.105</v>
      </c>
      <c r="H39" s="12">
        <v>0.10300000000000001</v>
      </c>
      <c r="I39" s="12">
        <v>0.1</v>
      </c>
      <c r="J39" s="12">
        <v>9.8000000000000004E-2</v>
      </c>
      <c r="K39" s="12">
        <v>9.5000000000000001E-2</v>
      </c>
    </row>
    <row r="40" spans="2:11" ht="15.75" customHeight="1" x14ac:dyDescent="0.25">
      <c r="C40" s="11" t="s">
        <v>11</v>
      </c>
      <c r="D40" s="12">
        <v>0.115</v>
      </c>
      <c r="E40" s="12">
        <v>0.11199999999999999</v>
      </c>
      <c r="F40" s="12">
        <v>0.10800000000000001</v>
      </c>
      <c r="G40" s="12">
        <v>0.10199999999999999</v>
      </c>
      <c r="H40" s="12">
        <v>0.1</v>
      </c>
      <c r="I40" s="12">
        <v>9.6999999999999989E-2</v>
      </c>
      <c r="J40" s="12">
        <v>9.5000000000000001E-2</v>
      </c>
      <c r="K40" s="12">
        <v>9.1999999999999998E-2</v>
      </c>
    </row>
    <row r="41" spans="2:11" ht="15.75" customHeight="1" x14ac:dyDescent="0.25">
      <c r="C41" s="11" t="s">
        <v>12</v>
      </c>
      <c r="D41" s="12">
        <v>0.115</v>
      </c>
      <c r="E41" s="12">
        <v>0.11199999999999999</v>
      </c>
      <c r="F41" s="12">
        <v>0.10800000000000001</v>
      </c>
      <c r="G41" s="12">
        <v>0.10800000000000001</v>
      </c>
      <c r="H41" s="12">
        <v>0.106</v>
      </c>
      <c r="I41" s="12">
        <v>0.10300000000000001</v>
      </c>
      <c r="J41" s="12">
        <v>0.10099999999999999</v>
      </c>
      <c r="K41" s="12">
        <v>9.8000000000000004E-2</v>
      </c>
    </row>
    <row r="43" spans="2:11" ht="15.75" customHeight="1" x14ac:dyDescent="0.25">
      <c r="B43" s="10" t="s">
        <v>20</v>
      </c>
      <c r="C43" s="11" t="s">
        <v>4</v>
      </c>
      <c r="D43" s="12">
        <v>6.8000000000000005E-2</v>
      </c>
      <c r="E43" s="12">
        <v>6.5000000000000002E-2</v>
      </c>
      <c r="F43" s="12">
        <v>6.3E-2</v>
      </c>
      <c r="G43" s="12">
        <v>6.2E-2</v>
      </c>
      <c r="H43" s="12">
        <v>0.06</v>
      </c>
      <c r="I43" s="12">
        <v>5.7999999999999996E-2</v>
      </c>
      <c r="J43" s="12">
        <v>5.7000000000000002E-2</v>
      </c>
      <c r="K43" s="12">
        <v>5.5E-2</v>
      </c>
    </row>
    <row r="44" spans="2:11" ht="15.75" customHeight="1" x14ac:dyDescent="0.25">
      <c r="C44" s="11" t="s">
        <v>11</v>
      </c>
      <c r="D44" s="12">
        <v>6.8000000000000005E-2</v>
      </c>
      <c r="E44" s="12">
        <v>6.5000000000000002E-2</v>
      </c>
      <c r="F44" s="12">
        <v>6.3E-2</v>
      </c>
      <c r="G44" s="12">
        <v>0.06</v>
      </c>
      <c r="H44" s="12">
        <v>5.7999999999999996E-2</v>
      </c>
      <c r="I44" s="12">
        <v>5.5999999999999994E-2</v>
      </c>
      <c r="J44" s="12">
        <v>5.5E-2</v>
      </c>
      <c r="K44" s="12">
        <v>5.2999999999999999E-2</v>
      </c>
    </row>
    <row r="45" spans="2:11" ht="15.75" customHeight="1" x14ac:dyDescent="0.25">
      <c r="C45" s="11" t="s">
        <v>12</v>
      </c>
      <c r="D45" s="12">
        <v>6.8000000000000005E-2</v>
      </c>
      <c r="E45" s="12">
        <v>6.5000000000000002E-2</v>
      </c>
      <c r="F45" s="12">
        <v>6.3E-2</v>
      </c>
      <c r="G45" s="12">
        <v>6.4000000000000001E-2</v>
      </c>
      <c r="H45" s="12">
        <v>6.2E-2</v>
      </c>
      <c r="I45" s="12">
        <v>0.06</v>
      </c>
      <c r="J45" s="12">
        <v>5.9000000000000004E-2</v>
      </c>
      <c r="K45" s="12">
        <v>5.7000000000000002E-2</v>
      </c>
    </row>
    <row r="47" spans="2:11" ht="15.75" customHeight="1" x14ac:dyDescent="0.25">
      <c r="B47" s="10" t="s">
        <v>21</v>
      </c>
      <c r="C47" s="11" t="s">
        <v>4</v>
      </c>
      <c r="D47" s="12">
        <v>9.1999999999999998E-2</v>
      </c>
      <c r="E47" s="12">
        <v>9.5000000000000001E-2</v>
      </c>
      <c r="F47" s="12">
        <v>9.8000000000000004E-2</v>
      </c>
      <c r="G47" s="12">
        <v>9.5000000000000001E-2</v>
      </c>
      <c r="H47" s="12">
        <v>9.3000000000000013E-2</v>
      </c>
      <c r="I47" s="12">
        <v>0.09</v>
      </c>
      <c r="J47" s="12">
        <v>8.8000000000000009E-2</v>
      </c>
      <c r="K47" s="12">
        <v>8.5000000000000006E-2</v>
      </c>
    </row>
    <row r="48" spans="2:11" ht="15.75" customHeight="1" x14ac:dyDescent="0.25">
      <c r="C48" s="11" t="s">
        <v>11</v>
      </c>
      <c r="D48" s="12">
        <v>9.1999999999999998E-2</v>
      </c>
      <c r="E48" s="12">
        <v>9.5000000000000001E-2</v>
      </c>
      <c r="F48" s="12">
        <v>9.8000000000000004E-2</v>
      </c>
      <c r="G48" s="12">
        <v>9.1999999999999998E-2</v>
      </c>
      <c r="H48" s="12">
        <v>0.09</v>
      </c>
      <c r="I48" s="12">
        <v>8.6999999999999994E-2</v>
      </c>
      <c r="J48" s="12">
        <v>8.5000000000000006E-2</v>
      </c>
      <c r="K48" s="12">
        <v>8.199999999999999E-2</v>
      </c>
    </row>
    <row r="49" spans="2:13" ht="15.75" customHeight="1" x14ac:dyDescent="0.25">
      <c r="C49" s="11" t="s">
        <v>12</v>
      </c>
      <c r="D49" s="12">
        <v>9.1999999999999998E-2</v>
      </c>
      <c r="E49" s="12">
        <v>9.5000000000000001E-2</v>
      </c>
      <c r="F49" s="12">
        <v>9.8000000000000004E-2</v>
      </c>
      <c r="G49" s="12">
        <v>9.8000000000000004E-2</v>
      </c>
      <c r="H49" s="12">
        <v>9.6000000000000002E-2</v>
      </c>
      <c r="I49" s="12">
        <v>9.3000000000000013E-2</v>
      </c>
      <c r="J49" s="12">
        <v>9.0999999999999998E-2</v>
      </c>
      <c r="K49" s="12">
        <v>8.8000000000000009E-2</v>
      </c>
    </row>
    <row r="51" spans="2:13" ht="15" customHeight="1" x14ac:dyDescent="0.25">
      <c r="B51" s="6" t="s">
        <v>22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3" spans="2:13" ht="15" customHeight="1" x14ac:dyDescent="0.25">
      <c r="B53" s="8" t="s">
        <v>23</v>
      </c>
    </row>
    <row r="55" spans="2:13" ht="15.75" customHeight="1" x14ac:dyDescent="0.25">
      <c r="B55" s="10" t="s">
        <v>24</v>
      </c>
      <c r="C55" s="11" t="s">
        <v>4</v>
      </c>
      <c r="D55" s="13">
        <v>48</v>
      </c>
      <c r="E55" s="13">
        <v>47</v>
      </c>
      <c r="F55" s="13">
        <v>46</v>
      </c>
      <c r="G55" s="13">
        <v>46</v>
      </c>
      <c r="H55" s="13">
        <v>45</v>
      </c>
      <c r="I55" s="13">
        <v>45</v>
      </c>
      <c r="J55" s="13">
        <v>44</v>
      </c>
      <c r="K55" s="13">
        <v>44</v>
      </c>
    </row>
    <row r="56" spans="2:13" ht="15.75" customHeight="1" x14ac:dyDescent="0.25">
      <c r="C56" s="11" t="s">
        <v>11</v>
      </c>
      <c r="D56" s="13">
        <v>48</v>
      </c>
      <c r="E56" s="13">
        <v>47</v>
      </c>
      <c r="F56" s="13">
        <v>46</v>
      </c>
      <c r="G56" s="13">
        <v>45</v>
      </c>
      <c r="H56" s="13">
        <v>44</v>
      </c>
      <c r="I56" s="13">
        <v>43</v>
      </c>
      <c r="J56" s="13">
        <v>42</v>
      </c>
      <c r="K56" s="13">
        <v>42</v>
      </c>
    </row>
    <row r="57" spans="2:13" ht="15.75" customHeight="1" x14ac:dyDescent="0.25">
      <c r="C57" s="11" t="s">
        <v>12</v>
      </c>
      <c r="D57" s="13">
        <v>48</v>
      </c>
      <c r="E57" s="13">
        <v>47</v>
      </c>
      <c r="F57" s="13">
        <v>46</v>
      </c>
      <c r="G57" s="13">
        <v>47</v>
      </c>
      <c r="H57" s="13">
        <v>47</v>
      </c>
      <c r="I57" s="13">
        <v>46</v>
      </c>
      <c r="J57" s="13">
        <v>46</v>
      </c>
      <c r="K57" s="13">
        <v>45</v>
      </c>
    </row>
    <row r="59" spans="2:13" ht="15.75" customHeight="1" x14ac:dyDescent="0.25">
      <c r="B59" s="10" t="s">
        <v>25</v>
      </c>
      <c r="C59" s="11" t="s">
        <v>4</v>
      </c>
      <c r="D59" s="13">
        <v>32</v>
      </c>
      <c r="E59" s="13">
        <v>33</v>
      </c>
      <c r="F59" s="13">
        <v>34</v>
      </c>
      <c r="G59" s="13">
        <v>34</v>
      </c>
      <c r="H59" s="13">
        <v>35</v>
      </c>
      <c r="I59" s="13">
        <v>35</v>
      </c>
      <c r="J59" s="13">
        <v>36</v>
      </c>
      <c r="K59" s="13">
        <v>36</v>
      </c>
    </row>
    <row r="60" spans="2:13" ht="15.75" customHeight="1" x14ac:dyDescent="0.25">
      <c r="C60" s="11" t="s">
        <v>11</v>
      </c>
      <c r="D60" s="13">
        <v>32</v>
      </c>
      <c r="E60" s="13">
        <v>33</v>
      </c>
      <c r="F60" s="13">
        <v>34</v>
      </c>
      <c r="G60" s="13">
        <v>35</v>
      </c>
      <c r="H60" s="13">
        <v>36</v>
      </c>
      <c r="I60" s="13">
        <v>37</v>
      </c>
      <c r="J60" s="13">
        <v>38</v>
      </c>
      <c r="K60" s="13">
        <v>38</v>
      </c>
    </row>
    <row r="61" spans="2:13" ht="15.75" customHeight="1" x14ac:dyDescent="0.25">
      <c r="C61" s="11" t="s">
        <v>12</v>
      </c>
      <c r="D61" s="13">
        <v>32</v>
      </c>
      <c r="E61" s="13">
        <v>33</v>
      </c>
      <c r="F61" s="13">
        <v>34</v>
      </c>
      <c r="G61" s="13">
        <v>33</v>
      </c>
      <c r="H61" s="13">
        <v>33</v>
      </c>
      <c r="I61" s="13">
        <v>34</v>
      </c>
      <c r="J61" s="13">
        <v>34</v>
      </c>
      <c r="K61" s="13">
        <v>34</v>
      </c>
    </row>
    <row r="63" spans="2:13" ht="15" customHeight="1" x14ac:dyDescent="0.25">
      <c r="B63" s="10" t="str">
        <f>'Company1153 3-Statement'!$B$53</f>
        <v xml:space="preserve">  Other Current Assets</v>
      </c>
      <c r="C63" s="11" t="s">
        <v>107</v>
      </c>
      <c r="E63" s="12">
        <v>5.8823529411764719E-2</v>
      </c>
      <c r="F63" s="12">
        <v>5.555555555555558E-2</v>
      </c>
      <c r="G63" s="12">
        <v>5.0000000000000044E-2</v>
      </c>
      <c r="H63" s="12">
        <v>5.0000000000000044E-2</v>
      </c>
      <c r="I63" s="12">
        <v>5.0000000000000044E-2</v>
      </c>
      <c r="J63" s="12">
        <v>5.0000000000000044E-2</v>
      </c>
      <c r="K63" s="12">
        <v>5.0000000000000044E-2</v>
      </c>
    </row>
    <row r="64" spans="2:13" ht="15" customHeight="1" x14ac:dyDescent="0.25">
      <c r="B64" s="10" t="str">
        <f>'Company1153 3-Statement'!$B$61</f>
        <v xml:space="preserve">  Other Long-term Assets</v>
      </c>
      <c r="C64" s="11" t="s">
        <v>107</v>
      </c>
      <c r="E64" s="12">
        <v>8.5714285714285632E-2</v>
      </c>
      <c r="F64" s="12">
        <v>0.10526315789473695</v>
      </c>
      <c r="G64" s="12">
        <v>0.08</v>
      </c>
      <c r="H64" s="12">
        <v>0.08</v>
      </c>
      <c r="I64" s="12">
        <v>0.08</v>
      </c>
      <c r="J64" s="12">
        <v>0.08</v>
      </c>
      <c r="K64" s="12">
        <v>0.08</v>
      </c>
    </row>
    <row r="65" spans="2:13" ht="15" customHeight="1" x14ac:dyDescent="0.25">
      <c r="B65" s="10" t="str">
        <f>'Company1153 3-Statement'!$B$70</f>
        <v xml:space="preserve">  Accrued Expenses</v>
      </c>
      <c r="C65" s="11" t="s">
        <v>107</v>
      </c>
      <c r="E65" s="12">
        <v>8.3333333333333259E-2</v>
      </c>
      <c r="F65" s="12">
        <v>7.6923076923076872E-2</v>
      </c>
      <c r="G65" s="12">
        <v>0.06</v>
      </c>
      <c r="H65" s="12">
        <v>0.06</v>
      </c>
      <c r="I65" s="12">
        <v>0.06</v>
      </c>
      <c r="J65" s="12">
        <v>0.06</v>
      </c>
      <c r="K65" s="12">
        <v>0.06</v>
      </c>
    </row>
    <row r="67" spans="2:13" ht="15" customHeight="1" x14ac:dyDescent="0.25">
      <c r="B67" s="8" t="s">
        <v>26</v>
      </c>
    </row>
    <row r="69" spans="2:13" ht="15.75" customHeight="1" x14ac:dyDescent="0.25">
      <c r="B69" s="10" t="s">
        <v>27</v>
      </c>
      <c r="C69" s="11" t="s">
        <v>4</v>
      </c>
      <c r="D69" s="12">
        <v>0.125</v>
      </c>
      <c r="E69" s="12">
        <v>0.13200000000000001</v>
      </c>
      <c r="F69" s="12">
        <v>0.14000000000000001</v>
      </c>
      <c r="G69" s="12">
        <v>0.13500000000000001</v>
      </c>
      <c r="H69" s="12">
        <v>0.13</v>
      </c>
      <c r="I69" s="12">
        <v>0.125</v>
      </c>
      <c r="J69" s="12">
        <v>0.12</v>
      </c>
      <c r="K69" s="12">
        <v>0.115</v>
      </c>
    </row>
    <row r="70" spans="2:13" ht="15.75" customHeight="1" x14ac:dyDescent="0.25">
      <c r="C70" s="11" t="s">
        <v>11</v>
      </c>
      <c r="D70" s="12">
        <v>0.125</v>
      </c>
      <c r="E70" s="12">
        <v>0.13200000000000001</v>
      </c>
      <c r="F70" s="12">
        <v>0.14000000000000001</v>
      </c>
      <c r="G70" s="12">
        <v>0.13</v>
      </c>
      <c r="H70" s="12">
        <v>0.125</v>
      </c>
      <c r="I70" s="12">
        <v>0.12</v>
      </c>
      <c r="J70" s="12">
        <v>0.115</v>
      </c>
      <c r="K70" s="12">
        <v>0.11</v>
      </c>
    </row>
    <row r="71" spans="2:13" ht="15.75" customHeight="1" x14ac:dyDescent="0.25">
      <c r="C71" s="11" t="s">
        <v>12</v>
      </c>
      <c r="D71" s="12">
        <v>0.125</v>
      </c>
      <c r="E71" s="12">
        <v>0.13200000000000001</v>
      </c>
      <c r="F71" s="12">
        <v>0.14000000000000001</v>
      </c>
      <c r="G71" s="12">
        <v>0.14000000000000001</v>
      </c>
      <c r="H71" s="12">
        <v>0.13500000000000001</v>
      </c>
      <c r="I71" s="12">
        <v>0.13</v>
      </c>
      <c r="J71" s="12">
        <v>0.125</v>
      </c>
      <c r="K71" s="12">
        <v>0.12</v>
      </c>
    </row>
    <row r="73" spans="2:13" ht="15.75" customHeight="1" x14ac:dyDescent="0.25">
      <c r="B73" s="10" t="s">
        <v>28</v>
      </c>
      <c r="C73" s="11" t="s">
        <v>4</v>
      </c>
      <c r="D73" s="12">
        <v>0.7</v>
      </c>
      <c r="E73" s="12">
        <v>0.7</v>
      </c>
      <c r="F73" s="12">
        <v>0.7</v>
      </c>
      <c r="G73" s="12">
        <v>0.7</v>
      </c>
      <c r="H73" s="12">
        <v>0.7</v>
      </c>
      <c r="I73" s="12">
        <v>0.7</v>
      </c>
      <c r="J73" s="12">
        <v>0.7</v>
      </c>
      <c r="K73" s="12">
        <v>0.7</v>
      </c>
    </row>
    <row r="74" spans="2:13" ht="15.75" customHeight="1" x14ac:dyDescent="0.25">
      <c r="C74" s="11" t="s">
        <v>11</v>
      </c>
      <c r="D74" s="12">
        <v>0.7</v>
      </c>
      <c r="E74" s="12">
        <v>0.7</v>
      </c>
      <c r="F74" s="12">
        <v>0.7</v>
      </c>
      <c r="G74" s="12">
        <v>0.68</v>
      </c>
      <c r="H74" s="12">
        <v>0.68</v>
      </c>
      <c r="I74" s="12">
        <v>0.68</v>
      </c>
      <c r="J74" s="12">
        <v>0.68</v>
      </c>
      <c r="K74" s="12">
        <v>0.68</v>
      </c>
    </row>
    <row r="75" spans="2:13" ht="15.75" customHeight="1" x14ac:dyDescent="0.25">
      <c r="C75" s="11" t="s">
        <v>12</v>
      </c>
      <c r="D75" s="12">
        <v>0.7</v>
      </c>
      <c r="E75" s="12">
        <v>0.7</v>
      </c>
      <c r="F75" s="12">
        <v>0.7</v>
      </c>
      <c r="G75" s="12">
        <v>0.72</v>
      </c>
      <c r="H75" s="12">
        <v>0.72</v>
      </c>
      <c r="I75" s="12">
        <v>0.72</v>
      </c>
      <c r="J75" s="12">
        <v>0.72</v>
      </c>
      <c r="K75" s="12">
        <v>0.72</v>
      </c>
    </row>
    <row r="77" spans="2:13" ht="15" customHeight="1" x14ac:dyDescent="0.25">
      <c r="B77" s="6" t="s">
        <v>29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9" spans="2:13" ht="15" customHeight="1" x14ac:dyDescent="0.25">
      <c r="B79" s="8" t="s">
        <v>30</v>
      </c>
    </row>
    <row r="81" spans="2:11" ht="15.75" customHeight="1" x14ac:dyDescent="0.25">
      <c r="B81" s="10" t="s">
        <v>31</v>
      </c>
      <c r="C81" s="11" t="s">
        <v>4</v>
      </c>
      <c r="D81" s="12">
        <v>0.16200000000000001</v>
      </c>
      <c r="E81" s="12">
        <v>0.16</v>
      </c>
      <c r="F81" s="12">
        <v>0.158</v>
      </c>
      <c r="G81" s="12">
        <v>0.16500000000000001</v>
      </c>
      <c r="H81" s="12">
        <v>0.17</v>
      </c>
      <c r="I81" s="12">
        <v>0.17499999999999999</v>
      </c>
      <c r="J81" s="12">
        <v>0.18</v>
      </c>
      <c r="K81" s="12">
        <v>0.185</v>
      </c>
    </row>
    <row r="82" spans="2:11" ht="15.75" customHeight="1" x14ac:dyDescent="0.25">
      <c r="C82" s="11" t="s">
        <v>11</v>
      </c>
      <c r="D82" s="12">
        <v>0.16200000000000001</v>
      </c>
      <c r="E82" s="12">
        <v>0.16</v>
      </c>
      <c r="F82" s="12">
        <v>0.158</v>
      </c>
      <c r="G82" s="12">
        <v>0.16</v>
      </c>
      <c r="H82" s="12">
        <v>0.16500000000000001</v>
      </c>
      <c r="I82" s="12">
        <v>0.17</v>
      </c>
      <c r="J82" s="12">
        <v>0.17499999999999999</v>
      </c>
      <c r="K82" s="12">
        <v>0.18</v>
      </c>
    </row>
    <row r="83" spans="2:11" ht="15.75" customHeight="1" x14ac:dyDescent="0.25">
      <c r="C83" s="11" t="s">
        <v>12</v>
      </c>
      <c r="D83" s="12">
        <v>0.16200000000000001</v>
      </c>
      <c r="E83" s="12">
        <v>0.16</v>
      </c>
      <c r="F83" s="12">
        <v>0.158</v>
      </c>
      <c r="G83" s="12">
        <v>0.17</v>
      </c>
      <c r="H83" s="12">
        <v>0.17499999999999999</v>
      </c>
      <c r="I83" s="12">
        <v>0.18</v>
      </c>
      <c r="J83" s="12">
        <v>0.185</v>
      </c>
      <c r="K83" s="12">
        <v>0.19</v>
      </c>
    </row>
    <row r="86" spans="2:11" ht="15" customHeight="1" x14ac:dyDescent="0.25">
      <c r="B86" s="8" t="s">
        <v>32</v>
      </c>
    </row>
    <row r="88" spans="2:11" ht="15.75" customHeight="1" x14ac:dyDescent="0.25">
      <c r="B88" s="10" t="s">
        <v>110</v>
      </c>
      <c r="C88" s="11" t="s">
        <v>4</v>
      </c>
      <c r="D88" s="12">
        <v>5.0000000000000001E-3</v>
      </c>
      <c r="E88" s="12">
        <v>1.4999999999999999E-2</v>
      </c>
      <c r="F88" s="12">
        <v>2.5000000000000001E-2</v>
      </c>
      <c r="G88" s="12">
        <v>3.5000000000000003E-2</v>
      </c>
      <c r="H88" s="12">
        <v>0.03</v>
      </c>
      <c r="I88" s="12">
        <v>2.5000000000000001E-2</v>
      </c>
      <c r="J88" s="12">
        <v>2.5000000000000001E-2</v>
      </c>
      <c r="K88" s="12">
        <v>0.02</v>
      </c>
    </row>
    <row r="89" spans="2:11" ht="15.75" customHeight="1" x14ac:dyDescent="0.25">
      <c r="C89" s="11" t="s">
        <v>11</v>
      </c>
      <c r="D89" s="12">
        <v>0.01</v>
      </c>
      <c r="E89" s="12">
        <v>0.02</v>
      </c>
      <c r="F89" s="12">
        <v>3.0000000000000002E-2</v>
      </c>
      <c r="G89" s="12">
        <v>0.04</v>
      </c>
      <c r="H89" s="12">
        <v>4.4999999999999998E-2</v>
      </c>
      <c r="I89" s="12">
        <v>0.04</v>
      </c>
      <c r="J89" s="12">
        <v>3.4999999999999996E-2</v>
      </c>
      <c r="K89" s="12">
        <v>3.4999999999999996E-2</v>
      </c>
    </row>
    <row r="90" spans="2:11" ht="15.75" customHeight="1" x14ac:dyDescent="0.25">
      <c r="C90" s="11" t="s">
        <v>12</v>
      </c>
      <c r="D90" s="12">
        <v>2.5000000000000001E-3</v>
      </c>
      <c r="E90" s="12">
        <v>1.2499999999999999E-2</v>
      </c>
      <c r="F90" s="12">
        <v>2.2500000000000003E-2</v>
      </c>
      <c r="G90" s="12">
        <v>3.2500000000000001E-2</v>
      </c>
      <c r="H90" s="12">
        <v>3.7499999999999999E-2</v>
      </c>
      <c r="I90" s="12">
        <v>3.2500000000000001E-2</v>
      </c>
      <c r="J90" s="12">
        <v>2.75E-2</v>
      </c>
      <c r="K90" s="12">
        <v>2.75E-2</v>
      </c>
    </row>
    <row r="91" spans="2:11" ht="15.75" customHeight="1" x14ac:dyDescent="0.25">
      <c r="C91" s="35"/>
      <c r="D91" s="49"/>
      <c r="E91" s="49"/>
      <c r="F91" s="49"/>
      <c r="G91" s="49"/>
      <c r="H91" s="49"/>
      <c r="I91" s="49"/>
      <c r="J91" s="49"/>
      <c r="K91" s="49"/>
    </row>
    <row r="92" spans="2:11" ht="15.75" customHeight="1" x14ac:dyDescent="0.25">
      <c r="B92" s="10" t="s">
        <v>111</v>
      </c>
      <c r="C92" s="11" t="s">
        <v>4</v>
      </c>
      <c r="D92" s="12">
        <v>0.03</v>
      </c>
      <c r="E92" s="12">
        <v>3.5000000000000003E-2</v>
      </c>
      <c r="F92" s="12">
        <v>0.04</v>
      </c>
      <c r="G92" s="12">
        <v>4.4999999999999998E-2</v>
      </c>
      <c r="H92" s="12">
        <v>0.04</v>
      </c>
      <c r="I92" s="12">
        <v>3.5000000000000003E-2</v>
      </c>
      <c r="J92" s="12">
        <v>0.03</v>
      </c>
      <c r="K92" s="12">
        <v>0.03</v>
      </c>
    </row>
    <row r="93" spans="2:11" ht="15.75" customHeight="1" x14ac:dyDescent="0.25">
      <c r="C93" s="11" t="s">
        <v>11</v>
      </c>
      <c r="D93" s="12">
        <v>2.4999999999999998E-2</v>
      </c>
      <c r="E93" s="12">
        <v>3.0000000000000002E-2</v>
      </c>
      <c r="F93" s="12">
        <v>3.5000000000000003E-2</v>
      </c>
      <c r="G93" s="12">
        <v>0.04</v>
      </c>
      <c r="H93" s="12">
        <v>3.5000000000000003E-2</v>
      </c>
      <c r="I93" s="12">
        <v>3.0000000000000002E-2</v>
      </c>
      <c r="J93" s="12">
        <v>2.4999999999999998E-2</v>
      </c>
      <c r="K93" s="12">
        <v>2.4999999999999998E-2</v>
      </c>
    </row>
    <row r="94" spans="2:11" ht="15.75" customHeight="1" x14ac:dyDescent="0.25">
      <c r="C94" s="11" t="s">
        <v>12</v>
      </c>
      <c r="D94" s="12">
        <v>0.04</v>
      </c>
      <c r="E94" s="12">
        <v>4.5000000000000005E-2</v>
      </c>
      <c r="F94" s="12">
        <v>0.05</v>
      </c>
      <c r="G94" s="12">
        <v>5.5E-2</v>
      </c>
      <c r="H94" s="12">
        <v>0.05</v>
      </c>
      <c r="I94" s="12">
        <v>4.5000000000000005E-2</v>
      </c>
      <c r="J94" s="12">
        <v>0.04</v>
      </c>
      <c r="K94" s="12">
        <v>0.04</v>
      </c>
    </row>
    <row r="96" spans="2:11" ht="15" customHeight="1" x14ac:dyDescent="0.25">
      <c r="B96" s="8" t="s">
        <v>33</v>
      </c>
    </row>
    <row r="98" spans="2:11" ht="15.75" customHeight="1" x14ac:dyDescent="0.25">
      <c r="B98" s="10" t="s">
        <v>34</v>
      </c>
      <c r="C98" s="11" t="s">
        <v>4</v>
      </c>
      <c r="D98" s="12">
        <v>0.75</v>
      </c>
      <c r="E98" s="12">
        <v>0.75</v>
      </c>
      <c r="F98" s="12">
        <v>0.75</v>
      </c>
      <c r="G98" s="12">
        <v>0.7</v>
      </c>
      <c r="H98" s="12">
        <v>0.7</v>
      </c>
      <c r="I98" s="12">
        <v>0.65</v>
      </c>
      <c r="J98" s="12">
        <v>0.65</v>
      </c>
      <c r="K98" s="12">
        <v>0.6</v>
      </c>
    </row>
    <row r="99" spans="2:11" ht="15.75" customHeight="1" x14ac:dyDescent="0.25">
      <c r="C99" s="11" t="s">
        <v>11</v>
      </c>
      <c r="D99" s="12">
        <v>0.75</v>
      </c>
      <c r="E99" s="12">
        <v>0.75</v>
      </c>
      <c r="F99" s="12">
        <v>0.75</v>
      </c>
      <c r="G99" s="12">
        <v>0.75</v>
      </c>
      <c r="H99" s="12">
        <v>0.75</v>
      </c>
      <c r="I99" s="12">
        <v>0.7</v>
      </c>
      <c r="J99" s="12">
        <v>0.7</v>
      </c>
      <c r="K99" s="12">
        <v>0.65</v>
      </c>
    </row>
    <row r="100" spans="2:11" ht="15.75" customHeight="1" x14ac:dyDescent="0.25">
      <c r="B100" s="14"/>
      <c r="C100" s="15" t="s">
        <v>12</v>
      </c>
      <c r="D100" s="16">
        <v>0.75</v>
      </c>
      <c r="E100" s="16">
        <v>0.75</v>
      </c>
      <c r="F100" s="16">
        <v>0.75</v>
      </c>
      <c r="G100" s="16">
        <v>0.65</v>
      </c>
      <c r="H100" s="16">
        <v>0.65</v>
      </c>
      <c r="I100" s="16">
        <v>0.6</v>
      </c>
      <c r="J100" s="16">
        <v>0.6</v>
      </c>
      <c r="K100" s="16">
        <v>0.55000000000000004</v>
      </c>
    </row>
    <row r="113" customFormat="1" ht="15" customHeight="1" x14ac:dyDescent="0.25"/>
    <row r="114" customFormat="1" ht="15" customHeight="1" x14ac:dyDescent="0.25"/>
    <row r="115" customFormat="1" ht="15" customHeight="1" x14ac:dyDescent="0.25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M208"/>
  <sheetViews>
    <sheetView showGridLines="0" zoomScale="85" zoomScaleNormal="85" workbookViewId="0"/>
  </sheetViews>
  <sheetFormatPr defaultColWidth="7.75" defaultRowHeight="15" customHeight="1" x14ac:dyDescent="0.25"/>
  <cols>
    <col min="2" max="2" width="34.875" bestFit="1" customWidth="1"/>
    <col min="3" max="3" width="10" customWidth="1"/>
    <col min="4" max="11" width="8.75" customWidth="1"/>
  </cols>
  <sheetData>
    <row r="2" spans="2:13" ht="18" customHeight="1" x14ac:dyDescent="0.25">
      <c r="B2" s="17" t="s">
        <v>35</v>
      </c>
    </row>
    <row r="3" spans="2:13" ht="15" customHeight="1" x14ac:dyDescent="0.25">
      <c r="B3" s="29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37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38">
        <v>2021</v>
      </c>
      <c r="E9" s="38">
        <v>2022</v>
      </c>
      <c r="F9" s="38">
        <v>2023</v>
      </c>
      <c r="G9" s="38">
        <v>2024</v>
      </c>
      <c r="H9" s="38">
        <v>2025</v>
      </c>
      <c r="I9" s="38">
        <v>2026</v>
      </c>
      <c r="J9" s="38">
        <v>2027</v>
      </c>
      <c r="K9" s="38">
        <v>2028</v>
      </c>
    </row>
    <row r="11" spans="2:13" ht="15" customHeight="1" x14ac:dyDescent="0.25">
      <c r="B11" s="7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3" spans="2:13" ht="13.5" customHeight="1" x14ac:dyDescent="0.25">
      <c r="B13" s="8" t="s">
        <v>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2:13" ht="12.75" customHeight="1" x14ac:dyDescent="0.25">
      <c r="B14" s="40"/>
      <c r="C14" s="39" t="s">
        <v>9</v>
      </c>
      <c r="D14" s="41">
        <v>2021</v>
      </c>
      <c r="E14" s="41">
        <v>2022</v>
      </c>
      <c r="F14" s="41">
        <v>2023</v>
      </c>
      <c r="G14" s="41">
        <v>2024</v>
      </c>
      <c r="H14" s="41">
        <v>2025</v>
      </c>
      <c r="I14" s="41">
        <v>2026</v>
      </c>
      <c r="J14" s="41">
        <v>2027</v>
      </c>
      <c r="K14" s="41">
        <v>2028</v>
      </c>
      <c r="L14" s="40"/>
    </row>
    <row r="15" spans="2:13" ht="15.75" customHeight="1" x14ac:dyDescent="0.25">
      <c r="B15" s="42" t="s">
        <v>36</v>
      </c>
      <c r="C15" s="35" t="s">
        <v>4</v>
      </c>
      <c r="D15" s="40"/>
      <c r="E15" s="40"/>
      <c r="F15" s="40"/>
      <c r="G15" s="43">
        <v>0.12</v>
      </c>
      <c r="H15" s="43">
        <v>0.1</v>
      </c>
      <c r="I15" s="43">
        <v>8.5000000000000006E-2</v>
      </c>
      <c r="J15" s="43">
        <v>7.4999999999999997E-2</v>
      </c>
      <c r="K15" s="43">
        <v>7.0000000000000007E-2</v>
      </c>
      <c r="L15" s="40"/>
    </row>
    <row r="16" spans="2:13" ht="15.75" customHeight="1" x14ac:dyDescent="0.25">
      <c r="B16" s="40"/>
      <c r="C16" s="35" t="s">
        <v>11</v>
      </c>
      <c r="D16" s="40"/>
      <c r="E16" s="40"/>
      <c r="F16" s="40"/>
      <c r="G16" s="43">
        <v>0.14000000000000001</v>
      </c>
      <c r="H16" s="43">
        <v>0.12</v>
      </c>
      <c r="I16" s="43">
        <v>0.105</v>
      </c>
      <c r="J16" s="43">
        <v>9.5000000000000001E-2</v>
      </c>
      <c r="K16" s="43">
        <v>0.09</v>
      </c>
      <c r="L16" s="40"/>
    </row>
    <row r="17" spans="2:12" ht="15.75" customHeight="1" x14ac:dyDescent="0.25">
      <c r="B17" s="40"/>
      <c r="C17" s="35" t="s">
        <v>12</v>
      </c>
      <c r="D17" s="40"/>
      <c r="E17" s="40"/>
      <c r="F17" s="40"/>
      <c r="G17" s="43">
        <v>0.1</v>
      </c>
      <c r="H17" s="43">
        <v>0.08</v>
      </c>
      <c r="I17" s="43">
        <v>6.5000000000000002E-2</v>
      </c>
      <c r="J17" s="43">
        <v>5.5E-2</v>
      </c>
      <c r="K17" s="43">
        <v>0.05</v>
      </c>
      <c r="L17" s="40"/>
    </row>
    <row r="18" spans="2:12" ht="15" customHeight="1" x14ac:dyDescent="0.2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2:12" ht="15.75" customHeight="1" x14ac:dyDescent="0.25">
      <c r="B19" s="42" t="s">
        <v>37</v>
      </c>
      <c r="C19" s="35" t="s">
        <v>4</v>
      </c>
      <c r="D19" s="40"/>
      <c r="E19" s="40"/>
      <c r="F19" s="40"/>
      <c r="G19" s="43">
        <v>0.25</v>
      </c>
      <c r="H19" s="43">
        <v>0.35</v>
      </c>
      <c r="I19" s="43">
        <v>0.45</v>
      </c>
      <c r="J19" s="43">
        <v>0.4</v>
      </c>
      <c r="K19" s="43">
        <v>0.35</v>
      </c>
      <c r="L19" s="40"/>
    </row>
    <row r="20" spans="2:12" ht="15.75" customHeight="1" x14ac:dyDescent="0.25">
      <c r="B20" s="40"/>
      <c r="C20" s="35" t="s">
        <v>11</v>
      </c>
      <c r="D20" s="40"/>
      <c r="E20" s="40"/>
      <c r="F20" s="40"/>
      <c r="G20" s="43">
        <v>0.3</v>
      </c>
      <c r="H20" s="43">
        <v>0.45</v>
      </c>
      <c r="I20" s="43">
        <v>0.55000000000000004</v>
      </c>
      <c r="J20" s="43">
        <v>0.5</v>
      </c>
      <c r="K20" s="43">
        <v>0.45</v>
      </c>
      <c r="L20" s="40"/>
    </row>
    <row r="21" spans="2:12" ht="15.75" customHeight="1" x14ac:dyDescent="0.25">
      <c r="B21" s="40"/>
      <c r="C21" s="35" t="s">
        <v>12</v>
      </c>
      <c r="D21" s="40"/>
      <c r="E21" s="40"/>
      <c r="F21" s="40"/>
      <c r="G21" s="43">
        <v>0.2</v>
      </c>
      <c r="H21" s="43">
        <v>0.25</v>
      </c>
      <c r="I21" s="43">
        <v>0.35</v>
      </c>
      <c r="J21" s="43">
        <v>0.3</v>
      </c>
      <c r="K21" s="43">
        <v>0.25</v>
      </c>
      <c r="L21" s="40"/>
    </row>
    <row r="22" spans="2:12" ht="15" customHeight="1" x14ac:dyDescent="0.2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2" ht="15" customHeight="1" x14ac:dyDescent="0.25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2:12" ht="13.5" customHeight="1" x14ac:dyDescent="0.25">
      <c r="B24" s="8" t="s">
        <v>38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2:12" ht="15" customHeight="1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2:12" ht="15.75" customHeight="1" x14ac:dyDescent="0.25">
      <c r="B26" s="42" t="s">
        <v>39</v>
      </c>
      <c r="C26" s="35" t="s">
        <v>4</v>
      </c>
      <c r="D26" s="40"/>
      <c r="E26" s="40"/>
      <c r="F26" s="40"/>
      <c r="G26" s="43">
        <v>0.03</v>
      </c>
      <c r="H26" s="43">
        <v>2.5000000000000001E-2</v>
      </c>
      <c r="I26" s="43">
        <v>0.02</v>
      </c>
      <c r="J26" s="43">
        <v>1.4999999999999999E-2</v>
      </c>
      <c r="K26" s="43">
        <v>0.01</v>
      </c>
      <c r="L26" s="40"/>
    </row>
    <row r="27" spans="2:12" ht="15.75" customHeight="1" x14ac:dyDescent="0.25">
      <c r="B27" s="40"/>
      <c r="C27" s="35" t="s">
        <v>11</v>
      </c>
      <c r="D27" s="40"/>
      <c r="E27" s="40"/>
      <c r="F27" s="40"/>
      <c r="G27" s="43">
        <v>0.04</v>
      </c>
      <c r="H27" s="43">
        <v>3.5000000000000003E-2</v>
      </c>
      <c r="I27" s="43">
        <v>0.03</v>
      </c>
      <c r="J27" s="43">
        <v>2.5000000000000001E-2</v>
      </c>
      <c r="K27" s="43">
        <v>0.02</v>
      </c>
      <c r="L27" s="40"/>
    </row>
    <row r="28" spans="2:12" ht="15.75" customHeight="1" x14ac:dyDescent="0.25">
      <c r="B28" s="40"/>
      <c r="C28" s="35" t="s">
        <v>12</v>
      </c>
      <c r="D28" s="40"/>
      <c r="E28" s="40"/>
      <c r="F28" s="40"/>
      <c r="G28" s="43">
        <v>0.02</v>
      </c>
      <c r="H28" s="43">
        <v>1.4999999999999999E-2</v>
      </c>
      <c r="I28" s="43">
        <v>0.01</v>
      </c>
      <c r="J28" s="43">
        <v>5.0000000000000001E-3</v>
      </c>
      <c r="K28" s="43">
        <v>0</v>
      </c>
      <c r="L28" s="40"/>
    </row>
    <row r="29" spans="2:12" ht="15" customHeight="1" x14ac:dyDescent="0.2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2:12" ht="15.75" customHeight="1" x14ac:dyDescent="0.25">
      <c r="B30" s="42" t="s">
        <v>40</v>
      </c>
      <c r="C30" s="35" t="s">
        <v>4</v>
      </c>
      <c r="D30" s="40"/>
      <c r="E30" s="40"/>
      <c r="F30" s="40"/>
      <c r="G30" s="43">
        <v>8.5000000000000006E-2</v>
      </c>
      <c r="H30" s="43">
        <v>7.0000000000000007E-2</v>
      </c>
      <c r="I30" s="43">
        <v>0.06</v>
      </c>
      <c r="J30" s="43">
        <v>5.5E-2</v>
      </c>
      <c r="K30" s="43">
        <v>0.05</v>
      </c>
      <c r="L30" s="40"/>
    </row>
    <row r="31" spans="2:12" ht="15.75" customHeight="1" x14ac:dyDescent="0.25">
      <c r="B31" s="40"/>
      <c r="C31" s="35" t="s">
        <v>11</v>
      </c>
      <c r="D31" s="40"/>
      <c r="E31" s="40"/>
      <c r="F31" s="40"/>
      <c r="G31" s="43">
        <v>0.1</v>
      </c>
      <c r="H31" s="43">
        <v>8.5000000000000006E-2</v>
      </c>
      <c r="I31" s="43">
        <v>7.4999999999999997E-2</v>
      </c>
      <c r="J31" s="43">
        <v>7.0000000000000007E-2</v>
      </c>
      <c r="K31" s="43">
        <v>6.5000000000000002E-2</v>
      </c>
      <c r="L31" s="40"/>
    </row>
    <row r="32" spans="2:12" ht="15.75" customHeight="1" x14ac:dyDescent="0.25">
      <c r="B32" s="40"/>
      <c r="C32" s="35" t="s">
        <v>12</v>
      </c>
      <c r="D32" s="40"/>
      <c r="E32" s="40"/>
      <c r="F32" s="40"/>
      <c r="G32" s="43">
        <v>7.0000000000000007E-2</v>
      </c>
      <c r="H32" s="43">
        <v>5.5E-2</v>
      </c>
      <c r="I32" s="43">
        <v>4.4999999999999998E-2</v>
      </c>
      <c r="J32" s="43">
        <v>0.04</v>
      </c>
      <c r="K32" s="43">
        <v>3.5000000000000003E-2</v>
      </c>
      <c r="L32" s="40"/>
    </row>
    <row r="33" spans="2:13" ht="15" customHeight="1" x14ac:dyDescent="0.2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2:13" ht="15" customHeight="1" x14ac:dyDescent="0.2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2:13" ht="13.5" customHeight="1" x14ac:dyDescent="0.25">
      <c r="B36" s="8" t="s">
        <v>17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2:13" ht="15" customHeight="1" x14ac:dyDescent="0.2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2:13" ht="15.75" customHeight="1" x14ac:dyDescent="0.25">
      <c r="B38" s="42" t="s">
        <v>18</v>
      </c>
      <c r="C38" s="11" t="s">
        <v>4</v>
      </c>
      <c r="D38" s="43">
        <v>0.255</v>
      </c>
      <c r="E38" s="43">
        <v>0.27</v>
      </c>
      <c r="F38" s="43">
        <v>0.28999999999999998</v>
      </c>
      <c r="G38" s="43">
        <v>0.28499999999999998</v>
      </c>
      <c r="H38" s="43">
        <v>0.28000000000000003</v>
      </c>
      <c r="I38" s="43">
        <v>0.27500000000000002</v>
      </c>
      <c r="J38" s="43">
        <v>0.27</v>
      </c>
      <c r="K38" s="43">
        <v>0.26500000000000001</v>
      </c>
      <c r="L38" s="40"/>
    </row>
    <row r="39" spans="2:13" ht="15.75" customHeight="1" x14ac:dyDescent="0.25">
      <c r="B39" s="40"/>
      <c r="C39" s="11" t="s">
        <v>11</v>
      </c>
      <c r="D39" s="43">
        <v>0.255</v>
      </c>
      <c r="E39" s="43">
        <v>0.27</v>
      </c>
      <c r="F39" s="43">
        <v>0.28999999999999998</v>
      </c>
      <c r="G39" s="43">
        <v>0.28000000000000003</v>
      </c>
      <c r="H39" s="43">
        <v>0.27500000000000002</v>
      </c>
      <c r="I39" s="43">
        <v>0.27</v>
      </c>
      <c r="J39" s="43">
        <v>0.26500000000000001</v>
      </c>
      <c r="K39" s="43">
        <v>0.26</v>
      </c>
      <c r="L39" s="40"/>
    </row>
    <row r="40" spans="2:13" ht="15.75" customHeight="1" x14ac:dyDescent="0.25">
      <c r="B40" s="40"/>
      <c r="C40" s="11" t="s">
        <v>12</v>
      </c>
      <c r="D40" s="43">
        <v>0.255</v>
      </c>
      <c r="E40" s="43">
        <v>0.27</v>
      </c>
      <c r="F40" s="43">
        <v>0.28999999999999998</v>
      </c>
      <c r="G40" s="43">
        <v>0.28999999999999998</v>
      </c>
      <c r="H40" s="43">
        <v>0.28499999999999998</v>
      </c>
      <c r="I40" s="43">
        <v>0.28000000000000003</v>
      </c>
      <c r="J40" s="43">
        <v>0.27500000000000002</v>
      </c>
      <c r="K40" s="43">
        <v>0.27</v>
      </c>
      <c r="L40" s="40"/>
    </row>
    <row r="41" spans="2:13" ht="15" customHeight="1" x14ac:dyDescent="0.2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2:13" ht="15.75" customHeight="1" x14ac:dyDescent="0.25">
      <c r="B42" s="42" t="s">
        <v>19</v>
      </c>
      <c r="C42" s="11" t="s">
        <v>4</v>
      </c>
      <c r="D42" s="43">
        <v>0.11800000000000001</v>
      </c>
      <c r="E42" s="43">
        <v>0.125</v>
      </c>
      <c r="F42" s="43">
        <v>0.13</v>
      </c>
      <c r="G42" s="43">
        <v>0.125</v>
      </c>
      <c r="H42" s="43">
        <v>0.12</v>
      </c>
      <c r="I42" s="43">
        <v>0.115</v>
      </c>
      <c r="J42" s="43">
        <v>0.11</v>
      </c>
      <c r="K42" s="43">
        <v>0.105</v>
      </c>
      <c r="L42" s="40"/>
    </row>
    <row r="43" spans="2:13" ht="15.75" customHeight="1" x14ac:dyDescent="0.25">
      <c r="B43" s="40"/>
      <c r="C43" s="11" t="s">
        <v>11</v>
      </c>
      <c r="D43" s="43">
        <v>0.11800000000000001</v>
      </c>
      <c r="E43" s="43">
        <v>0.125</v>
      </c>
      <c r="F43" s="43">
        <v>0.13</v>
      </c>
      <c r="G43" s="43">
        <v>0.12</v>
      </c>
      <c r="H43" s="43">
        <v>0.115</v>
      </c>
      <c r="I43" s="43">
        <v>0.11</v>
      </c>
      <c r="J43" s="43">
        <v>0.105</v>
      </c>
      <c r="K43" s="43">
        <v>0.1</v>
      </c>
      <c r="L43" s="40"/>
    </row>
    <row r="44" spans="2:13" ht="15.75" customHeight="1" x14ac:dyDescent="0.25">
      <c r="B44" s="40"/>
      <c r="C44" s="11" t="s">
        <v>12</v>
      </c>
      <c r="D44" s="43">
        <v>0.11800000000000001</v>
      </c>
      <c r="E44" s="43">
        <v>0.125</v>
      </c>
      <c r="F44" s="43">
        <v>0.13</v>
      </c>
      <c r="G44" s="43">
        <v>0.13</v>
      </c>
      <c r="H44" s="43">
        <v>0.125</v>
      </c>
      <c r="I44" s="43">
        <v>0.12</v>
      </c>
      <c r="J44" s="43">
        <v>0.115</v>
      </c>
      <c r="K44" s="43">
        <v>0.11</v>
      </c>
      <c r="L44" s="40"/>
    </row>
    <row r="45" spans="2:13" ht="15" customHeight="1" x14ac:dyDescent="0.2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2:13" ht="15.75" customHeight="1" x14ac:dyDescent="0.25">
      <c r="B46" s="42" t="s">
        <v>20</v>
      </c>
      <c r="C46" s="11" t="s">
        <v>4</v>
      </c>
      <c r="D46" s="43">
        <v>0.10199999999999999</v>
      </c>
      <c r="E46" s="43">
        <v>0.10800000000000001</v>
      </c>
      <c r="F46" s="43">
        <v>0.115</v>
      </c>
      <c r="G46" s="43">
        <v>0.11</v>
      </c>
      <c r="H46" s="43">
        <v>0.105</v>
      </c>
      <c r="I46" s="43">
        <v>0.1</v>
      </c>
      <c r="J46" s="43">
        <v>9.5000000000000001E-2</v>
      </c>
      <c r="K46" s="43">
        <v>0.09</v>
      </c>
      <c r="L46" s="40"/>
    </row>
    <row r="47" spans="2:13" ht="15.75" customHeight="1" x14ac:dyDescent="0.25">
      <c r="B47" s="40"/>
      <c r="C47" s="11" t="s">
        <v>11</v>
      </c>
      <c r="D47" s="43">
        <v>0.10199999999999999</v>
      </c>
      <c r="E47" s="43">
        <v>0.10800000000000001</v>
      </c>
      <c r="F47" s="43">
        <v>0.115</v>
      </c>
      <c r="G47" s="43">
        <v>0.105</v>
      </c>
      <c r="H47" s="43">
        <v>0.1</v>
      </c>
      <c r="I47" s="43">
        <v>9.5000000000000001E-2</v>
      </c>
      <c r="J47" s="43">
        <v>0.09</v>
      </c>
      <c r="K47" s="43">
        <v>8.5000000000000006E-2</v>
      </c>
      <c r="L47" s="40"/>
    </row>
    <row r="48" spans="2:13" ht="15.75" customHeight="1" x14ac:dyDescent="0.25">
      <c r="B48" s="40"/>
      <c r="C48" s="11" t="s">
        <v>12</v>
      </c>
      <c r="D48" s="43">
        <v>0.10199999999999999</v>
      </c>
      <c r="E48" s="43">
        <v>0.10800000000000001</v>
      </c>
      <c r="F48" s="43">
        <v>0.115</v>
      </c>
      <c r="G48" s="43">
        <v>0.115</v>
      </c>
      <c r="H48" s="43">
        <v>0.11</v>
      </c>
      <c r="I48" s="43">
        <v>0.105</v>
      </c>
      <c r="J48" s="43">
        <v>0.1</v>
      </c>
      <c r="K48" s="43">
        <v>9.5000000000000001E-2</v>
      </c>
      <c r="L48" s="40"/>
    </row>
    <row r="49" spans="2:13" ht="15" customHeight="1" x14ac:dyDescent="0.2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2:13" ht="15.75" customHeight="1" x14ac:dyDescent="0.25">
      <c r="B50" s="42" t="s">
        <v>21</v>
      </c>
      <c r="C50" s="11" t="s">
        <v>4</v>
      </c>
      <c r="D50" s="43">
        <v>8.5000000000000006E-2</v>
      </c>
      <c r="E50" s="43">
        <v>0.10199999999999999</v>
      </c>
      <c r="F50" s="43">
        <v>0.11800000000000001</v>
      </c>
      <c r="G50" s="43">
        <v>0.11</v>
      </c>
      <c r="H50" s="43">
        <v>0.105</v>
      </c>
      <c r="I50" s="43">
        <v>0.1</v>
      </c>
      <c r="J50" s="43">
        <v>9.5000000000000001E-2</v>
      </c>
      <c r="K50" s="43">
        <v>0.09</v>
      </c>
      <c r="L50" s="40"/>
    </row>
    <row r="51" spans="2:13" ht="15.75" customHeight="1" x14ac:dyDescent="0.25">
      <c r="B51" s="40"/>
      <c r="C51" s="11" t="s">
        <v>11</v>
      </c>
      <c r="D51" s="43">
        <v>8.5000000000000006E-2</v>
      </c>
      <c r="E51" s="43">
        <v>0.10199999999999999</v>
      </c>
      <c r="F51" s="43">
        <v>0.11800000000000001</v>
      </c>
      <c r="G51" s="43">
        <v>0.105</v>
      </c>
      <c r="H51" s="43">
        <v>0.1</v>
      </c>
      <c r="I51" s="43">
        <v>9.5000000000000001E-2</v>
      </c>
      <c r="J51" s="43">
        <v>0.09</v>
      </c>
      <c r="K51" s="43">
        <v>8.5000000000000006E-2</v>
      </c>
      <c r="L51" s="40"/>
    </row>
    <row r="52" spans="2:13" ht="15.75" customHeight="1" x14ac:dyDescent="0.25">
      <c r="B52" s="40"/>
      <c r="C52" s="11" t="s">
        <v>12</v>
      </c>
      <c r="D52" s="43">
        <v>8.5000000000000006E-2</v>
      </c>
      <c r="E52" s="43">
        <v>0.10199999999999999</v>
      </c>
      <c r="F52" s="43">
        <v>0.11800000000000001</v>
      </c>
      <c r="G52" s="43">
        <v>0.115</v>
      </c>
      <c r="H52" s="43">
        <v>0.11</v>
      </c>
      <c r="I52" s="43">
        <v>0.105</v>
      </c>
      <c r="J52" s="43">
        <v>0.1</v>
      </c>
      <c r="K52" s="43">
        <v>9.5000000000000001E-2</v>
      </c>
      <c r="L52" s="40"/>
    </row>
    <row r="53" spans="2:13" ht="15" customHeight="1" x14ac:dyDescent="0.2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2:13" ht="13.5" customHeight="1" x14ac:dyDescent="0.25">
      <c r="B54" s="25" t="s">
        <v>108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2:13" ht="15" customHeight="1" x14ac:dyDescent="0.25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2:13" ht="15.75" customHeight="1" x14ac:dyDescent="0.25">
      <c r="B56" s="44" t="s">
        <v>109</v>
      </c>
      <c r="C56" s="35" t="s">
        <v>4</v>
      </c>
      <c r="D56" s="45">
        <v>-3.5</v>
      </c>
      <c r="E56" s="45">
        <v>-3</v>
      </c>
      <c r="F56" s="45">
        <v>-2.5</v>
      </c>
      <c r="G56" s="45">
        <v>-2</v>
      </c>
      <c r="H56" s="45">
        <v>-1.5</v>
      </c>
      <c r="I56" s="45">
        <v>-1</v>
      </c>
      <c r="J56" s="45">
        <v>-0.75</v>
      </c>
      <c r="K56" s="45">
        <v>-0.5</v>
      </c>
      <c r="L56" s="40"/>
    </row>
    <row r="57" spans="2:13" ht="15.75" customHeight="1" x14ac:dyDescent="0.25">
      <c r="B57" s="40"/>
      <c r="C57" s="35" t="s">
        <v>11</v>
      </c>
      <c r="D57" s="45">
        <v>-3.5</v>
      </c>
      <c r="E57" s="45">
        <v>-3</v>
      </c>
      <c r="F57" s="45">
        <v>-2.5</v>
      </c>
      <c r="G57" s="45">
        <v>-1.75</v>
      </c>
      <c r="H57" s="45">
        <v>-1.25</v>
      </c>
      <c r="I57" s="45">
        <v>-0.75</v>
      </c>
      <c r="J57" s="45">
        <v>-0.5</v>
      </c>
      <c r="K57" s="45">
        <v>-0.25</v>
      </c>
      <c r="L57" s="40"/>
    </row>
    <row r="58" spans="2:13" ht="15.75" customHeight="1" x14ac:dyDescent="0.25">
      <c r="B58" s="40"/>
      <c r="C58" s="35" t="s">
        <v>12</v>
      </c>
      <c r="D58" s="45">
        <v>-3.5</v>
      </c>
      <c r="E58" s="45">
        <v>-3</v>
      </c>
      <c r="F58" s="45">
        <v>-2.5</v>
      </c>
      <c r="G58" s="45">
        <v>-2.25</v>
      </c>
      <c r="H58" s="45">
        <v>-1.75</v>
      </c>
      <c r="I58" s="45">
        <v>-1.25</v>
      </c>
      <c r="J58" s="45">
        <v>-1</v>
      </c>
      <c r="K58" s="45">
        <v>-0.75</v>
      </c>
      <c r="L58" s="40"/>
    </row>
    <row r="59" spans="2:13" ht="15" customHeight="1" x14ac:dyDescent="0.25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2:13" ht="15" customHeight="1" x14ac:dyDescent="0.2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2:13" ht="13.5" customHeight="1" x14ac:dyDescent="0.25">
      <c r="B62" s="8" t="s">
        <v>23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2:13" ht="15" customHeight="1" x14ac:dyDescent="0.2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2:13" ht="15.75" customHeight="1" x14ac:dyDescent="0.25">
      <c r="B64" s="42" t="s">
        <v>24</v>
      </c>
      <c r="C64" s="11" t="s">
        <v>4</v>
      </c>
      <c r="D64" s="46">
        <v>55</v>
      </c>
      <c r="E64" s="46">
        <v>53</v>
      </c>
      <c r="F64" s="46">
        <v>51</v>
      </c>
      <c r="G64" s="46">
        <v>50</v>
      </c>
      <c r="H64" s="46">
        <v>49</v>
      </c>
      <c r="I64" s="46">
        <v>48</v>
      </c>
      <c r="J64" s="46">
        <v>47</v>
      </c>
      <c r="K64" s="46">
        <v>46</v>
      </c>
      <c r="L64" s="40"/>
    </row>
    <row r="65" spans="2:12" ht="15.75" customHeight="1" x14ac:dyDescent="0.25">
      <c r="B65" s="40"/>
      <c r="C65" s="11" t="s">
        <v>11</v>
      </c>
      <c r="D65" s="46">
        <v>55</v>
      </c>
      <c r="E65" s="46">
        <v>53</v>
      </c>
      <c r="F65" s="46">
        <v>51</v>
      </c>
      <c r="G65" s="46">
        <v>49</v>
      </c>
      <c r="H65" s="46">
        <v>47</v>
      </c>
      <c r="I65" s="46">
        <v>46</v>
      </c>
      <c r="J65" s="46">
        <v>45</v>
      </c>
      <c r="K65" s="46">
        <v>44</v>
      </c>
      <c r="L65" s="40"/>
    </row>
    <row r="66" spans="2:12" ht="15.75" customHeight="1" x14ac:dyDescent="0.25">
      <c r="B66" s="40"/>
      <c r="C66" s="11" t="s">
        <v>12</v>
      </c>
      <c r="D66" s="46">
        <v>55</v>
      </c>
      <c r="E66" s="46">
        <v>53</v>
      </c>
      <c r="F66" s="46">
        <v>51</v>
      </c>
      <c r="G66" s="46">
        <v>52</v>
      </c>
      <c r="H66" s="46">
        <v>51</v>
      </c>
      <c r="I66" s="46">
        <v>50</v>
      </c>
      <c r="J66" s="46">
        <v>49</v>
      </c>
      <c r="K66" s="46">
        <v>48</v>
      </c>
      <c r="L66" s="40"/>
    </row>
    <row r="67" spans="2:12" ht="15" customHeight="1" x14ac:dyDescent="0.25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2:12" ht="15.75" customHeight="1" x14ac:dyDescent="0.25">
      <c r="B68" s="42" t="s">
        <v>25</v>
      </c>
      <c r="C68" s="11" t="s">
        <v>4</v>
      </c>
      <c r="D68" s="46">
        <v>28</v>
      </c>
      <c r="E68" s="46">
        <v>30</v>
      </c>
      <c r="F68" s="46">
        <v>32</v>
      </c>
      <c r="G68" s="46">
        <v>33</v>
      </c>
      <c r="H68" s="46">
        <v>34</v>
      </c>
      <c r="I68" s="46">
        <v>35</v>
      </c>
      <c r="J68" s="46">
        <v>36</v>
      </c>
      <c r="K68" s="46">
        <v>37</v>
      </c>
      <c r="L68" s="40"/>
    </row>
    <row r="69" spans="2:12" ht="15.75" customHeight="1" x14ac:dyDescent="0.25">
      <c r="B69" s="40"/>
      <c r="C69" s="11" t="s">
        <v>11</v>
      </c>
      <c r="D69" s="46">
        <v>28</v>
      </c>
      <c r="E69" s="46">
        <v>30</v>
      </c>
      <c r="F69" s="46">
        <v>32</v>
      </c>
      <c r="G69" s="46">
        <v>34</v>
      </c>
      <c r="H69" s="46">
        <v>36</v>
      </c>
      <c r="I69" s="46">
        <v>37</v>
      </c>
      <c r="J69" s="46">
        <v>38</v>
      </c>
      <c r="K69" s="46">
        <v>39</v>
      </c>
      <c r="L69" s="40"/>
    </row>
    <row r="70" spans="2:12" ht="15.75" customHeight="1" x14ac:dyDescent="0.25">
      <c r="B70" s="40"/>
      <c r="C70" s="11" t="s">
        <v>12</v>
      </c>
      <c r="D70" s="46">
        <v>28</v>
      </c>
      <c r="E70" s="46">
        <v>30</v>
      </c>
      <c r="F70" s="46">
        <v>32</v>
      </c>
      <c r="G70" s="46">
        <v>32</v>
      </c>
      <c r="H70" s="46">
        <v>32</v>
      </c>
      <c r="I70" s="46">
        <v>33</v>
      </c>
      <c r="J70" s="46">
        <v>34</v>
      </c>
      <c r="K70" s="46">
        <v>35</v>
      </c>
      <c r="L70" s="40"/>
    </row>
    <row r="71" spans="2:12" ht="15" customHeight="1" x14ac:dyDescent="0.2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2:12" ht="15" customHeight="1" x14ac:dyDescent="0.25">
      <c r="B72" s="10" t="str">
        <f>'Company1808 3-Statement'!$B$51</f>
        <v xml:space="preserve">  Other Current Assets</v>
      </c>
      <c r="C72" s="11" t="s">
        <v>107</v>
      </c>
      <c r="D72" s="40"/>
      <c r="E72" s="43">
        <v>4.0000000000000036E-2</v>
      </c>
      <c r="F72" s="43">
        <v>3.8461538461538547E-2</v>
      </c>
      <c r="G72" s="43">
        <v>4.0000000000000036E-2</v>
      </c>
      <c r="H72" s="43">
        <v>4.0000000000000036E-2</v>
      </c>
      <c r="I72" s="43">
        <v>4.0000000000000036E-2</v>
      </c>
      <c r="J72" s="43">
        <v>4.0000000000000036E-2</v>
      </c>
      <c r="K72" s="43">
        <v>4.0000000000000036E-2</v>
      </c>
      <c r="L72" s="40"/>
    </row>
    <row r="73" spans="2:12" ht="15" customHeight="1" x14ac:dyDescent="0.25">
      <c r="B73" s="10" t="str">
        <f>'Company1808 3-Statement'!$B$59</f>
        <v xml:space="preserve">  Other Long-term Assets</v>
      </c>
      <c r="C73" s="11" t="s">
        <v>107</v>
      </c>
      <c r="D73" s="40"/>
      <c r="E73" s="43">
        <v>0.12000000000000011</v>
      </c>
      <c r="F73" s="43">
        <v>0.14285714285714279</v>
      </c>
      <c r="G73" s="43">
        <v>0.10000000000000009</v>
      </c>
      <c r="H73" s="43">
        <v>0.10000000000000009</v>
      </c>
      <c r="I73" s="43">
        <v>0.10000000000000009</v>
      </c>
      <c r="J73" s="43">
        <v>0.10000000000000009</v>
      </c>
      <c r="K73" s="43">
        <v>0.10000000000000009</v>
      </c>
      <c r="L73" s="40"/>
    </row>
    <row r="74" spans="2:12" ht="15" customHeight="1" x14ac:dyDescent="0.25">
      <c r="B74" s="10" t="str">
        <f>'Company1808 3-Statement'!$B$68</f>
        <v xml:space="preserve">  Accrued Expenses</v>
      </c>
      <c r="C74" s="11" t="s">
        <v>107</v>
      </c>
      <c r="D74" s="40"/>
      <c r="E74" s="43">
        <v>6.25E-2</v>
      </c>
      <c r="F74" s="43">
        <v>5.8823529411764719E-2</v>
      </c>
      <c r="G74" s="43">
        <v>5.0000000000000044E-2</v>
      </c>
      <c r="H74" s="43">
        <v>5.0000000000000044E-2</v>
      </c>
      <c r="I74" s="43">
        <v>5.0000000000000044E-2</v>
      </c>
      <c r="J74" s="43">
        <v>5.0000000000000044E-2</v>
      </c>
      <c r="K74" s="43">
        <v>5.0000000000000044E-2</v>
      </c>
      <c r="L74" s="40"/>
    </row>
    <row r="75" spans="2:12" ht="15" customHeight="1" x14ac:dyDescent="0.2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2:12" ht="13.5" customHeight="1" x14ac:dyDescent="0.25">
      <c r="B76" s="8" t="s">
        <v>26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2:12" ht="15" customHeight="1" x14ac:dyDescent="0.25"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2:12" ht="15.75" customHeight="1" x14ac:dyDescent="0.25">
      <c r="B78" s="42" t="s">
        <v>27</v>
      </c>
      <c r="C78" s="11" t="s">
        <v>4</v>
      </c>
      <c r="D78" s="43">
        <v>0.185</v>
      </c>
      <c r="E78" s="43">
        <v>0.22</v>
      </c>
      <c r="F78" s="43">
        <v>0.245</v>
      </c>
      <c r="G78" s="43">
        <v>0.23</v>
      </c>
      <c r="H78" s="43">
        <v>0.215</v>
      </c>
      <c r="I78" s="43">
        <v>0.2</v>
      </c>
      <c r="J78" s="43">
        <v>0.19</v>
      </c>
      <c r="K78" s="43">
        <v>0.18</v>
      </c>
      <c r="L78" s="40"/>
    </row>
    <row r="79" spans="2:12" ht="15.75" customHeight="1" x14ac:dyDescent="0.25">
      <c r="B79" s="40"/>
      <c r="C79" s="11" t="s">
        <v>11</v>
      </c>
      <c r="D79" s="43">
        <v>0.185</v>
      </c>
      <c r="E79" s="43">
        <v>0.22</v>
      </c>
      <c r="F79" s="43">
        <v>0.245</v>
      </c>
      <c r="G79" s="43">
        <v>0.22</v>
      </c>
      <c r="H79" s="43">
        <v>0.20499999999999999</v>
      </c>
      <c r="I79" s="43">
        <v>0.19</v>
      </c>
      <c r="J79" s="43">
        <v>0.18</v>
      </c>
      <c r="K79" s="43">
        <v>0.17</v>
      </c>
      <c r="L79" s="40"/>
    </row>
    <row r="80" spans="2:12" ht="15.75" customHeight="1" x14ac:dyDescent="0.25">
      <c r="B80" s="40"/>
      <c r="C80" s="11" t="s">
        <v>12</v>
      </c>
      <c r="D80" s="43">
        <v>0.185</v>
      </c>
      <c r="E80" s="43">
        <v>0.22</v>
      </c>
      <c r="F80" s="43">
        <v>0.245</v>
      </c>
      <c r="G80" s="43">
        <v>0.24</v>
      </c>
      <c r="H80" s="43">
        <v>0.22500000000000001</v>
      </c>
      <c r="I80" s="43">
        <v>0.21</v>
      </c>
      <c r="J80" s="43">
        <v>0.2</v>
      </c>
      <c r="K80" s="43">
        <v>0.19</v>
      </c>
      <c r="L80" s="40"/>
    </row>
    <row r="81" spans="2:13" ht="15" customHeight="1" x14ac:dyDescent="0.25"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2:13" ht="15.75" customHeight="1" x14ac:dyDescent="0.25">
      <c r="B82" s="42" t="s">
        <v>28</v>
      </c>
      <c r="C82" s="11" t="s">
        <v>4</v>
      </c>
      <c r="D82" s="43">
        <v>0.65</v>
      </c>
      <c r="E82" s="43">
        <v>0.65</v>
      </c>
      <c r="F82" s="43">
        <v>0.65</v>
      </c>
      <c r="G82" s="43">
        <v>0.65</v>
      </c>
      <c r="H82" s="43">
        <v>0.65</v>
      </c>
      <c r="I82" s="43">
        <v>0.65</v>
      </c>
      <c r="J82" s="43">
        <v>0.65</v>
      </c>
      <c r="K82" s="43">
        <v>0.65</v>
      </c>
      <c r="L82" s="40"/>
    </row>
    <row r="83" spans="2:13" ht="15.75" customHeight="1" x14ac:dyDescent="0.25">
      <c r="B83" s="40"/>
      <c r="C83" s="11" t="s">
        <v>11</v>
      </c>
      <c r="D83" s="43">
        <v>0.65</v>
      </c>
      <c r="E83" s="43">
        <v>0.65</v>
      </c>
      <c r="F83" s="43">
        <v>0.65</v>
      </c>
      <c r="G83" s="43">
        <v>0.63</v>
      </c>
      <c r="H83" s="43">
        <v>0.63</v>
      </c>
      <c r="I83" s="43">
        <v>0.63</v>
      </c>
      <c r="J83" s="43">
        <v>0.63</v>
      </c>
      <c r="K83" s="43">
        <v>0.63</v>
      </c>
      <c r="L83" s="40"/>
    </row>
    <row r="84" spans="2:13" ht="15.75" customHeight="1" x14ac:dyDescent="0.25">
      <c r="B84" s="40"/>
      <c r="C84" s="11" t="s">
        <v>12</v>
      </c>
      <c r="D84" s="43">
        <v>0.65</v>
      </c>
      <c r="E84" s="43">
        <v>0.65</v>
      </c>
      <c r="F84" s="43">
        <v>0.65</v>
      </c>
      <c r="G84" s="43">
        <v>0.67</v>
      </c>
      <c r="H84" s="43">
        <v>0.67</v>
      </c>
      <c r="I84" s="43">
        <v>0.67</v>
      </c>
      <c r="J84" s="43">
        <v>0.67</v>
      </c>
      <c r="K84" s="43">
        <v>0.67</v>
      </c>
      <c r="L84" s="40"/>
    </row>
    <row r="85" spans="2:13" ht="15" customHeight="1" x14ac:dyDescent="0.25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2:13" ht="15" customHeight="1" x14ac:dyDescent="0.25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2:13" ht="15" customHeight="1" x14ac:dyDescent="0.25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  <row r="89" spans="2:13" ht="15" customHeight="1" x14ac:dyDescent="0.25"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2:13" ht="13.5" customHeight="1" x14ac:dyDescent="0.25">
      <c r="B90" s="8" t="s">
        <v>30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2:13" ht="15" customHeight="1" x14ac:dyDescent="0.25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2:13" ht="15.75" customHeight="1" x14ac:dyDescent="0.25">
      <c r="B92" s="42" t="s">
        <v>31</v>
      </c>
      <c r="C92" s="11" t="s">
        <v>4</v>
      </c>
      <c r="D92" s="43">
        <v>0.17499999999999999</v>
      </c>
      <c r="E92" s="43">
        <v>0.19</v>
      </c>
      <c r="F92" s="43">
        <v>0.185</v>
      </c>
      <c r="G92" s="43">
        <v>0.19</v>
      </c>
      <c r="H92" s="43">
        <v>0.19500000000000001</v>
      </c>
      <c r="I92" s="43">
        <v>0.2</v>
      </c>
      <c r="J92" s="43">
        <v>0.20499999999999999</v>
      </c>
      <c r="K92" s="43">
        <v>0.21</v>
      </c>
      <c r="L92" s="40"/>
    </row>
    <row r="93" spans="2:13" ht="15.75" customHeight="1" x14ac:dyDescent="0.25">
      <c r="B93" s="40"/>
      <c r="C93" s="11" t="s">
        <v>11</v>
      </c>
      <c r="D93" s="43">
        <v>0.17499999999999999</v>
      </c>
      <c r="E93" s="43">
        <v>0.19</v>
      </c>
      <c r="F93" s="43">
        <v>0.185</v>
      </c>
      <c r="G93" s="43">
        <v>0.185</v>
      </c>
      <c r="H93" s="43">
        <v>0.19</v>
      </c>
      <c r="I93" s="43">
        <v>0.19500000000000001</v>
      </c>
      <c r="J93" s="43">
        <v>0.2</v>
      </c>
      <c r="K93" s="43">
        <v>0.20499999999999999</v>
      </c>
      <c r="L93" s="40"/>
    </row>
    <row r="94" spans="2:13" ht="15.75" customHeight="1" x14ac:dyDescent="0.25">
      <c r="B94" s="40"/>
      <c r="C94" s="11" t="s">
        <v>12</v>
      </c>
      <c r="D94" s="43">
        <v>0.17499999999999999</v>
      </c>
      <c r="E94" s="43">
        <v>0.19</v>
      </c>
      <c r="F94" s="43">
        <v>0.185</v>
      </c>
      <c r="G94" s="43">
        <v>0.19500000000000001</v>
      </c>
      <c r="H94" s="43">
        <v>0.2</v>
      </c>
      <c r="I94" s="43">
        <v>0.20499999999999999</v>
      </c>
      <c r="J94" s="43">
        <v>0.21</v>
      </c>
      <c r="K94" s="43">
        <v>0.215</v>
      </c>
      <c r="L94" s="40"/>
    </row>
    <row r="95" spans="2:13" ht="15" customHeight="1" x14ac:dyDescent="0.25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2:13" ht="15" customHeight="1" x14ac:dyDescent="0.25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2:12" ht="13.5" customHeight="1" x14ac:dyDescent="0.25">
      <c r="B97" s="8" t="s">
        <v>32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2:12" ht="15" customHeight="1" x14ac:dyDescent="0.25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2:12" ht="15.75" customHeight="1" x14ac:dyDescent="0.25">
      <c r="B99" s="10" t="s">
        <v>110</v>
      </c>
      <c r="C99" s="11" t="s">
        <v>4</v>
      </c>
      <c r="D99" s="12">
        <v>5.0000000000000001E-3</v>
      </c>
      <c r="E99" s="12">
        <v>1.4999999999999999E-2</v>
      </c>
      <c r="F99" s="12">
        <v>2.5000000000000001E-2</v>
      </c>
      <c r="G99" s="12">
        <v>3.5000000000000003E-2</v>
      </c>
      <c r="H99" s="12">
        <v>0.03</v>
      </c>
      <c r="I99" s="12">
        <v>2.5000000000000001E-2</v>
      </c>
      <c r="J99" s="12">
        <v>2.5000000000000001E-2</v>
      </c>
      <c r="K99" s="12">
        <v>0.02</v>
      </c>
      <c r="L99" s="40"/>
    </row>
    <row r="100" spans="2:12" ht="15.75" customHeight="1" x14ac:dyDescent="0.25">
      <c r="C100" s="11" t="s">
        <v>11</v>
      </c>
      <c r="D100" s="12">
        <v>0.01</v>
      </c>
      <c r="E100" s="12">
        <v>0.02</v>
      </c>
      <c r="F100" s="12">
        <v>3.0000000000000002E-2</v>
      </c>
      <c r="G100" s="12">
        <v>0.04</v>
      </c>
      <c r="H100" s="12">
        <v>4.4999999999999998E-2</v>
      </c>
      <c r="I100" s="12">
        <v>0.04</v>
      </c>
      <c r="J100" s="12">
        <v>3.4999999999999996E-2</v>
      </c>
      <c r="K100" s="12">
        <v>3.4999999999999996E-2</v>
      </c>
      <c r="L100" s="40"/>
    </row>
    <row r="101" spans="2:12" ht="15.75" customHeight="1" x14ac:dyDescent="0.25">
      <c r="C101" s="11" t="s">
        <v>12</v>
      </c>
      <c r="D101" s="12">
        <v>2.5000000000000001E-3</v>
      </c>
      <c r="E101" s="12">
        <v>1.2499999999999999E-2</v>
      </c>
      <c r="F101" s="12">
        <v>2.2500000000000003E-2</v>
      </c>
      <c r="G101" s="12">
        <v>3.2500000000000001E-2</v>
      </c>
      <c r="H101" s="12">
        <v>3.7499999999999999E-2</v>
      </c>
      <c r="I101" s="12">
        <v>3.2500000000000001E-2</v>
      </c>
      <c r="J101" s="12">
        <v>2.75E-2</v>
      </c>
      <c r="K101" s="12">
        <v>2.75E-2</v>
      </c>
      <c r="L101" s="40"/>
    </row>
    <row r="102" spans="2:12" ht="15.75" customHeight="1" x14ac:dyDescent="0.25">
      <c r="C102" s="35"/>
      <c r="D102" s="49"/>
      <c r="E102" s="49"/>
      <c r="F102" s="49"/>
      <c r="G102" s="49"/>
      <c r="H102" s="49"/>
      <c r="I102" s="49"/>
      <c r="J102" s="49"/>
      <c r="K102" s="49"/>
      <c r="L102" s="40"/>
    </row>
    <row r="103" spans="2:12" ht="15.75" customHeight="1" x14ac:dyDescent="0.25">
      <c r="B103" s="10" t="s">
        <v>111</v>
      </c>
      <c r="C103" s="11" t="s">
        <v>4</v>
      </c>
      <c r="D103" s="12">
        <v>0.03</v>
      </c>
      <c r="E103" s="12">
        <v>3.5000000000000003E-2</v>
      </c>
      <c r="F103" s="12">
        <v>0.04</v>
      </c>
      <c r="G103" s="12">
        <v>4.4999999999999998E-2</v>
      </c>
      <c r="H103" s="12">
        <v>0.04</v>
      </c>
      <c r="I103" s="12">
        <v>3.5000000000000003E-2</v>
      </c>
      <c r="J103" s="12">
        <v>0.03</v>
      </c>
      <c r="K103" s="12">
        <v>0.03</v>
      </c>
      <c r="L103" s="40"/>
    </row>
    <row r="104" spans="2:12" ht="15.75" customHeight="1" x14ac:dyDescent="0.25">
      <c r="C104" s="11" t="s">
        <v>11</v>
      </c>
      <c r="D104" s="12">
        <v>2.4999999999999998E-2</v>
      </c>
      <c r="E104" s="12">
        <v>3.0000000000000002E-2</v>
      </c>
      <c r="F104" s="12">
        <v>3.5000000000000003E-2</v>
      </c>
      <c r="G104" s="12">
        <v>0.04</v>
      </c>
      <c r="H104" s="12">
        <v>3.5000000000000003E-2</v>
      </c>
      <c r="I104" s="12">
        <v>3.0000000000000002E-2</v>
      </c>
      <c r="J104" s="12">
        <v>2.4999999999999998E-2</v>
      </c>
      <c r="K104" s="12">
        <v>2.4999999999999998E-2</v>
      </c>
      <c r="L104" s="40"/>
    </row>
    <row r="105" spans="2:12" ht="15.75" customHeight="1" x14ac:dyDescent="0.25">
      <c r="C105" s="11" t="s">
        <v>12</v>
      </c>
      <c r="D105" s="12">
        <v>0.04</v>
      </c>
      <c r="E105" s="12">
        <v>4.5000000000000005E-2</v>
      </c>
      <c r="F105" s="12">
        <v>0.05</v>
      </c>
      <c r="G105" s="12">
        <v>5.5E-2</v>
      </c>
      <c r="H105" s="12">
        <v>0.05</v>
      </c>
      <c r="I105" s="12">
        <v>4.5000000000000005E-2</v>
      </c>
      <c r="J105" s="12">
        <v>0.04</v>
      </c>
      <c r="K105" s="12">
        <v>0.04</v>
      </c>
      <c r="L105" s="40"/>
    </row>
    <row r="106" spans="2:12" ht="15" customHeight="1" x14ac:dyDescent="0.25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2:12" ht="13.5" customHeight="1" x14ac:dyDescent="0.25">
      <c r="B107" s="8" t="s">
        <v>41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2:12" ht="15" customHeight="1" x14ac:dyDescent="0.25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2:12" ht="15.75" customHeight="1" x14ac:dyDescent="0.25">
      <c r="B109" s="42" t="s">
        <v>34</v>
      </c>
      <c r="C109" s="11" t="s">
        <v>4</v>
      </c>
      <c r="D109" s="43">
        <v>0.6</v>
      </c>
      <c r="E109" s="43">
        <v>0.65</v>
      </c>
      <c r="F109" s="43">
        <v>0.7</v>
      </c>
      <c r="G109" s="43">
        <v>0.65</v>
      </c>
      <c r="H109" s="43">
        <v>0.65</v>
      </c>
      <c r="I109" s="43">
        <v>0.6</v>
      </c>
      <c r="J109" s="43">
        <v>0.6</v>
      </c>
      <c r="K109" s="43">
        <v>0.55000000000000004</v>
      </c>
      <c r="L109" s="40"/>
    </row>
    <row r="110" spans="2:12" ht="15.75" customHeight="1" x14ac:dyDescent="0.25">
      <c r="B110" s="40"/>
      <c r="C110" s="11" t="s">
        <v>11</v>
      </c>
      <c r="D110" s="43">
        <v>0.6</v>
      </c>
      <c r="E110" s="43">
        <v>0.65</v>
      </c>
      <c r="F110" s="43">
        <v>0.7</v>
      </c>
      <c r="G110" s="43">
        <v>0.7</v>
      </c>
      <c r="H110" s="43">
        <v>0.7</v>
      </c>
      <c r="I110" s="43">
        <v>0.65</v>
      </c>
      <c r="J110" s="43">
        <v>0.65</v>
      </c>
      <c r="K110" s="43">
        <v>0.6</v>
      </c>
      <c r="L110" s="40"/>
    </row>
    <row r="111" spans="2:12" ht="15.75" customHeight="1" x14ac:dyDescent="0.25">
      <c r="B111" s="40"/>
      <c r="C111" s="11" t="s">
        <v>12</v>
      </c>
      <c r="D111" s="43">
        <v>0.6</v>
      </c>
      <c r="E111" s="43">
        <v>0.65</v>
      </c>
      <c r="F111" s="43">
        <v>0.7</v>
      </c>
      <c r="G111" s="43">
        <v>0.6</v>
      </c>
      <c r="H111" s="43">
        <v>0.6</v>
      </c>
      <c r="I111" s="43">
        <v>0.55000000000000004</v>
      </c>
      <c r="J111" s="43">
        <v>0.55000000000000004</v>
      </c>
      <c r="K111" s="43">
        <v>0.5</v>
      </c>
      <c r="L111" s="40"/>
    </row>
    <row r="112" spans="2:12" ht="15" customHeight="1" x14ac:dyDescent="0.25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2:12" ht="15.75" customHeight="1" x14ac:dyDescent="0.25">
      <c r="B113" s="42" t="s">
        <v>42</v>
      </c>
      <c r="C113" s="11" t="s">
        <v>4</v>
      </c>
      <c r="D113" s="43">
        <v>0</v>
      </c>
      <c r="E113" s="43">
        <v>0</v>
      </c>
      <c r="F113" s="43">
        <v>0.02</v>
      </c>
      <c r="G113" s="43">
        <v>0.03</v>
      </c>
      <c r="H113" s="43">
        <v>0.04</v>
      </c>
      <c r="I113" s="43">
        <v>0.05</v>
      </c>
      <c r="J113" s="43">
        <v>0.06</v>
      </c>
      <c r="K113" s="43">
        <v>7.0000000000000007E-2</v>
      </c>
      <c r="L113" s="40"/>
    </row>
    <row r="114" spans="2:12" ht="15.75" customHeight="1" x14ac:dyDescent="0.25">
      <c r="B114" s="40"/>
      <c r="C114" s="11" t="s">
        <v>11</v>
      </c>
      <c r="D114" s="43">
        <v>0</v>
      </c>
      <c r="E114" s="43">
        <v>0</v>
      </c>
      <c r="F114" s="43">
        <v>0.02</v>
      </c>
      <c r="G114" s="43">
        <v>0.04</v>
      </c>
      <c r="H114" s="43">
        <v>0.05</v>
      </c>
      <c r="I114" s="43">
        <v>0.06</v>
      </c>
      <c r="J114" s="43">
        <v>7.0000000000000007E-2</v>
      </c>
      <c r="K114" s="43">
        <v>0.08</v>
      </c>
      <c r="L114" s="40"/>
    </row>
    <row r="115" spans="2:12" ht="15.75" customHeight="1" x14ac:dyDescent="0.25">
      <c r="B115" s="47"/>
      <c r="C115" s="15" t="s">
        <v>12</v>
      </c>
      <c r="D115" s="48">
        <v>0</v>
      </c>
      <c r="E115" s="48">
        <v>0</v>
      </c>
      <c r="F115" s="48">
        <v>0.02</v>
      </c>
      <c r="G115" s="48">
        <v>0.02</v>
      </c>
      <c r="H115" s="48">
        <v>0.03</v>
      </c>
      <c r="I115" s="48">
        <v>0.04</v>
      </c>
      <c r="J115" s="48">
        <v>0.05</v>
      </c>
      <c r="K115" s="48">
        <v>0.06</v>
      </c>
      <c r="L115" s="40"/>
    </row>
    <row r="116" spans="2:12" ht="15" customHeight="1" x14ac:dyDescent="0.25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2:12" ht="15" customHeight="1" x14ac:dyDescent="0.25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2:12" ht="15" customHeight="1" x14ac:dyDescent="0.25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2:12" ht="15" customHeight="1" x14ac:dyDescent="0.25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2:12" ht="15" customHeight="1" x14ac:dyDescent="0.25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2:12" ht="15" customHeight="1" x14ac:dyDescent="0.25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2:12" ht="15" customHeight="1" x14ac:dyDescent="0.25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2:12" ht="15" customHeight="1" x14ac:dyDescent="0.25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2:12" ht="15" customHeight="1" x14ac:dyDescent="0.25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2:12" ht="15" customHeight="1" x14ac:dyDescent="0.25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2:12" ht="15" customHeight="1" x14ac:dyDescent="0.25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2:12" ht="15" customHeight="1" x14ac:dyDescent="0.25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2:12" ht="15" customHeight="1" x14ac:dyDescent="0.25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2:12" ht="15" customHeight="1" x14ac:dyDescent="0.25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2:12" ht="15" customHeight="1" x14ac:dyDescent="0.25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2:12" ht="15" customHeight="1" x14ac:dyDescent="0.25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2:12" ht="15" customHeight="1" x14ac:dyDescent="0.25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2:12" ht="15" customHeight="1" x14ac:dyDescent="0.25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2:12" ht="15" customHeight="1" x14ac:dyDescent="0.25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2:12" ht="15" customHeight="1" x14ac:dyDescent="0.2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2:12" ht="15" customHeight="1" x14ac:dyDescent="0.25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2:12" ht="15" customHeight="1" x14ac:dyDescent="0.25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2:12" ht="15" customHeight="1" x14ac:dyDescent="0.25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2:12" ht="15" customHeight="1" x14ac:dyDescent="0.25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2:12" ht="15" customHeight="1" x14ac:dyDescent="0.25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2:12" ht="15" customHeight="1" x14ac:dyDescent="0.25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2:12" ht="15" customHeight="1" x14ac:dyDescent="0.25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2:12" ht="15" customHeight="1" x14ac:dyDescent="0.25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2:12" ht="15" customHeight="1" x14ac:dyDescent="0.25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2:12" ht="15" customHeight="1" x14ac:dyDescent="0.25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2:12" ht="15" customHeight="1" x14ac:dyDescent="0.25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</row>
    <row r="147" spans="2:12" ht="15" customHeight="1" x14ac:dyDescent="0.25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2:12" ht="15" customHeight="1" x14ac:dyDescent="0.25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2:12" ht="15" customHeight="1" x14ac:dyDescent="0.2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2:12" ht="15" customHeight="1" x14ac:dyDescent="0.25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2:12" ht="15" customHeight="1" x14ac:dyDescent="0.25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2:12" ht="15" customHeight="1" x14ac:dyDescent="0.25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2:12" ht="15" customHeight="1" x14ac:dyDescent="0.25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2:12" ht="15" customHeight="1" x14ac:dyDescent="0.25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2:12" ht="15" customHeight="1" x14ac:dyDescent="0.25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2:12" ht="15" customHeight="1" x14ac:dyDescent="0.25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2:12" ht="15" customHeight="1" x14ac:dyDescent="0.25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2:12" ht="15" customHeight="1" x14ac:dyDescent="0.25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2:12" ht="15" customHeight="1" x14ac:dyDescent="0.25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2:12" ht="15" customHeight="1" x14ac:dyDescent="0.25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2:12" ht="15" customHeight="1" x14ac:dyDescent="0.25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2:12" ht="15" customHeight="1" x14ac:dyDescent="0.25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spans="2:12" ht="15" customHeight="1" x14ac:dyDescent="0.25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spans="2:12" ht="15" customHeight="1" x14ac:dyDescent="0.25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2:12" ht="15" customHeight="1" x14ac:dyDescent="0.25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2:12" ht="15" customHeight="1" x14ac:dyDescent="0.25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spans="2:12" ht="15" customHeight="1" x14ac:dyDescent="0.25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spans="2:12" ht="15" customHeight="1" x14ac:dyDescent="0.25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spans="2:12" ht="15" customHeight="1" x14ac:dyDescent="0.25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spans="2:12" ht="15" customHeight="1" x14ac:dyDescent="0.25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spans="2:12" ht="15" customHeight="1" x14ac:dyDescent="0.25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spans="2:12" ht="15" customHeight="1" x14ac:dyDescent="0.25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spans="2:12" ht="15" customHeight="1" x14ac:dyDescent="0.25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spans="2:12" ht="15" customHeigh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spans="2:12" ht="15" customHeigh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spans="2:12" ht="15" customHeigh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spans="2:12" ht="15" customHeigh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spans="2:12" ht="15" customHeigh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spans="2:12" ht="15" customHeigh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spans="2:12" ht="15" customHeigh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spans="2:12" ht="15" customHeigh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2:12" ht="15" customHeigh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spans="2:12" ht="15" customHeigh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spans="2:12" ht="15" customHeigh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2:12" ht="15" customHeigh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2:12" ht="15" customHeigh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spans="2:12" ht="15" customHeigh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spans="2:12" ht="15" customHeigh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spans="2:12" ht="15" customHeigh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spans="2:12" ht="15" customHeigh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spans="2:12" ht="15" customHeigh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2:12" ht="15" customHeigh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spans="2:12" ht="15" customHeigh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spans="2:12" ht="15" customHeigh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spans="2:12" ht="15" customHeigh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spans="2:12" ht="15" customHeigh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spans="2:12" ht="15" customHeigh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2:12" ht="15" customHeigh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spans="2:12" ht="15" customHeigh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2:12" ht="15" customHeigh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2:12" ht="15" customHeigh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2:12" ht="15" customHeigh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spans="2:12" ht="15" customHeigh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spans="2:12" ht="15" customHeigh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spans="2:12" ht="15" customHeigh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spans="2:12" ht="15" customHeigh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spans="2:12" ht="15" customHeigh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spans="2:12" ht="15" customHeigh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B2:M110"/>
  <sheetViews>
    <sheetView showGridLines="0" zoomScaleNormal="100" workbookViewId="0"/>
  </sheetViews>
  <sheetFormatPr defaultColWidth="7.75" defaultRowHeight="15" customHeight="1" x14ac:dyDescent="0.25"/>
  <cols>
    <col min="1" max="1" width="7.75" style="50"/>
    <col min="2" max="2" width="44.875" style="50" bestFit="1" customWidth="1"/>
    <col min="3" max="10" width="10" style="50" customWidth="1"/>
    <col min="11" max="11" width="7.75" style="50"/>
    <col min="12" max="13" width="8.375" style="50" bestFit="1" customWidth="1"/>
    <col min="14" max="16384" width="7.75" style="50"/>
  </cols>
  <sheetData>
    <row r="2" spans="2:10" ht="18" customHeight="1" x14ac:dyDescent="0.25">
      <c r="B2" s="17" t="s">
        <v>43</v>
      </c>
    </row>
    <row r="3" spans="2:10" ht="13.5" customHeight="1" x14ac:dyDescent="0.25">
      <c r="B3" s="18" t="s">
        <v>44</v>
      </c>
    </row>
    <row r="4" spans="2:10" ht="15" customHeight="1" x14ac:dyDescent="0.25">
      <c r="B4"/>
    </row>
    <row r="5" spans="2:10" ht="15.75" customHeight="1" x14ac:dyDescent="0.25">
      <c r="B5" t="s">
        <v>3</v>
      </c>
      <c r="D5" s="3" t="str" cm="1">
        <f t="array" ref="D5">'Company1153 Assumptions'!D6</f>
        <v>Base</v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C8" s="51">
        <v>2021</v>
      </c>
      <c r="D8" s="51">
        <v>2022</v>
      </c>
      <c r="E8" s="51">
        <v>2023</v>
      </c>
      <c r="F8" s="51">
        <v>2024</v>
      </c>
      <c r="G8" s="51">
        <v>2025</v>
      </c>
      <c r="H8" s="51">
        <v>2026</v>
      </c>
      <c r="I8" s="51">
        <v>2027</v>
      </c>
      <c r="J8" s="51">
        <v>2028</v>
      </c>
    </row>
    <row r="10" spans="2:10" ht="15" customHeight="1" x14ac:dyDescent="0.25">
      <c r="B10" s="6" t="s">
        <v>116</v>
      </c>
      <c r="C10" s="6"/>
      <c r="D10" s="6"/>
      <c r="E10" s="6"/>
      <c r="F10" s="6"/>
      <c r="G10" s="6"/>
      <c r="H10" s="6"/>
      <c r="I10" s="6"/>
      <c r="J10" s="6"/>
    </row>
    <row r="12" spans="2:10" ht="15.75" customHeight="1" x14ac:dyDescent="0.25">
      <c r="B12" s="10" t="s">
        <v>10</v>
      </c>
      <c r="C12" s="52">
        <v>148951</v>
      </c>
      <c r="D12" s="52">
        <v>162450</v>
      </c>
      <c r="E12" s="52">
        <v>175033</v>
      </c>
      <c r="F12" s="53">
        <f>E12*(1+INDEX('Company1153 Assumptions'!G$15:G$17,MATCH($D$5,'Company1153 Assumptions'!$C$15:$C$17,0)))</f>
        <v>189910.80499999999</v>
      </c>
      <c r="G12" s="53">
        <f>F12*(1+INDEX('Company1153 Assumptions'!H$15:H$17,MATCH($D$5,'Company1153 Assumptions'!$C$15:$C$17,0)))</f>
        <v>204154.11537499999</v>
      </c>
      <c r="H12" s="53">
        <f>G12*(1+INDEX('Company1153 Assumptions'!I$15:I$17,MATCH($D$5,'Company1153 Assumptions'!$C$15:$C$17,0)))</f>
        <v>217424.13287437498</v>
      </c>
      <c r="I12" s="53">
        <f>H12*(1+INDEX('Company1153 Assumptions'!J$15:J$17,MATCH($D$5,'Company1153 Assumptions'!$C$15:$C$17,0)))</f>
        <v>229382.46018246558</v>
      </c>
      <c r="J12" s="53">
        <f>I12*(1+INDEX('Company1153 Assumptions'!K$15:K$17,MATCH($D$5,'Company1153 Assumptions'!$C$15:$C$17,0)))</f>
        <v>240851.58319158887</v>
      </c>
    </row>
    <row r="13" spans="2:10" ht="15.75" customHeight="1" x14ac:dyDescent="0.25">
      <c r="B13" s="10" t="s">
        <v>13</v>
      </c>
      <c r="C13" s="52">
        <v>28845</v>
      </c>
      <c r="D13" s="52">
        <v>29243</v>
      </c>
      <c r="E13" s="52">
        <v>31865</v>
      </c>
      <c r="F13" s="53">
        <f>E13*(1+INDEX('Company1153 Assumptions'!G$19:G$21,MATCH($D$5,'Company1153 Assumptions'!$C$19:$C$21,0)))</f>
        <v>36644.75</v>
      </c>
      <c r="G13" s="53">
        <f>F13*(1+INDEX('Company1153 Assumptions'!H$19:H$21,MATCH($D$5,'Company1153 Assumptions'!$C$19:$C$21,0)))</f>
        <v>41408.567499999997</v>
      </c>
      <c r="H13" s="53">
        <f>G13*(1+INDEX('Company1153 Assumptions'!I$19:I$21,MATCH($D$5,'Company1153 Assumptions'!$C$19:$C$21,0)))</f>
        <v>45963.509924999998</v>
      </c>
      <c r="I13" s="53">
        <f>H13*(1+INDEX('Company1153 Assumptions'!J$19:J$21,MATCH($D$5,'Company1153 Assumptions'!$C$19:$C$21,0)))</f>
        <v>50559.860917500002</v>
      </c>
      <c r="J13" s="53">
        <f>I13*(1+INDEX('Company1153 Assumptions'!K$19:K$21,MATCH($D$5,'Company1153 Assumptions'!$C$19:$C$21,0)))</f>
        <v>55110.248400075005</v>
      </c>
    </row>
    <row r="14" spans="2:10" ht="15.75" customHeight="1" x14ac:dyDescent="0.25">
      <c r="B14" s="10" t="s">
        <v>14</v>
      </c>
      <c r="C14" s="52">
        <v>13059</v>
      </c>
      <c r="D14" s="52">
        <v>19206</v>
      </c>
      <c r="E14" s="52">
        <v>26280</v>
      </c>
      <c r="F14" s="53">
        <f>E14*(1+INDEX('Company1153 Assumptions'!G$23:G$25,MATCH($D$5,'Company1153 Assumptions'!$C$23:$C$25,0)))</f>
        <v>33638.400000000001</v>
      </c>
      <c r="G14" s="53">
        <f>F14*(1+INDEX('Company1153 Assumptions'!H$23:H$25,MATCH($D$5,'Company1153 Assumptions'!$C$23:$C$25,0)))</f>
        <v>42048</v>
      </c>
      <c r="H14" s="53">
        <f>G14*(1+INDEX('Company1153 Assumptions'!I$23:I$25,MATCH($D$5,'Company1153 Assumptions'!$C$23:$C$25,0)))</f>
        <v>51298.559999999998</v>
      </c>
      <c r="I14" s="53">
        <f>H14*(1+INDEX('Company1153 Assumptions'!J$23:J$25,MATCH($D$5,'Company1153 Assumptions'!$C$23:$C$25,0)))</f>
        <v>61558.271999999997</v>
      </c>
      <c r="J14" s="53">
        <f>I14*(1+INDEX('Company1153 Assumptions'!K$23:K$25,MATCH($D$5,'Company1153 Assumptions'!$C$23:$C$25,0)))</f>
        <v>72638.76096</v>
      </c>
    </row>
    <row r="15" spans="2:10" ht="15.75" customHeight="1" x14ac:dyDescent="0.25">
      <c r="B15" s="10" t="s">
        <v>15</v>
      </c>
      <c r="C15" s="52">
        <v>28032</v>
      </c>
      <c r="D15" s="52">
        <v>29071</v>
      </c>
      <c r="E15" s="52">
        <v>30300</v>
      </c>
      <c r="F15" s="53">
        <f>E15*(1+INDEX('Company1153 Assumptions'!G$27:G$29,MATCH($D$5,'Company1153 Assumptions'!$C$27:$C$29,0)))</f>
        <v>31815</v>
      </c>
      <c r="G15" s="53">
        <f>F15*(1+INDEX('Company1153 Assumptions'!H$27:H$29,MATCH($D$5,'Company1153 Assumptions'!$C$27:$C$29,0)))</f>
        <v>33246.674999999996</v>
      </c>
      <c r="H15" s="53">
        <f>G15*(1+INDEX('Company1153 Assumptions'!I$27:I$29,MATCH($D$5,'Company1153 Assumptions'!$C$27:$C$29,0)))</f>
        <v>34576.541999999994</v>
      </c>
      <c r="I15" s="53">
        <f>H15*(1+INDEX('Company1153 Assumptions'!J$27:J$29,MATCH($D$5,'Company1153 Assumptions'!$C$27:$C$29,0)))</f>
        <v>35786.720969999988</v>
      </c>
      <c r="J15" s="53">
        <f>I15*(1+INDEX('Company1153 Assumptions'!K$27:K$29,MATCH($D$5,'Company1153 Assumptions'!$C$27:$C$29,0)))</f>
        <v>36860.322599099985</v>
      </c>
    </row>
    <row r="16" spans="2:10" ht="15.75" customHeight="1" x14ac:dyDescent="0.25">
      <c r="B16" s="32" t="s">
        <v>45</v>
      </c>
      <c r="C16" s="54">
        <f t="shared" ref="C16:J27" si="0">SUM(C12:C15)</f>
        <v>218887</v>
      </c>
      <c r="D16" s="54">
        <f t="shared" si="0"/>
        <v>239970</v>
      </c>
      <c r="E16" s="54">
        <f t="shared" si="0"/>
        <v>263478</v>
      </c>
      <c r="F16" s="54">
        <f t="shared" si="0"/>
        <v>292008.95499999996</v>
      </c>
      <c r="G16" s="54">
        <f t="shared" si="0"/>
        <v>320857.35787499999</v>
      </c>
      <c r="H16" s="54">
        <f t="shared" si="0"/>
        <v>349262.74479937501</v>
      </c>
      <c r="I16" s="54">
        <f t="shared" si="0"/>
        <v>377287.31406996556</v>
      </c>
      <c r="J16" s="54">
        <f t="shared" si="0"/>
        <v>405460.91515076387</v>
      </c>
    </row>
    <row r="17" spans="2:13" ht="15.75" customHeight="1" x14ac:dyDescent="0.25">
      <c r="B17" s="20" t="s">
        <v>46</v>
      </c>
      <c r="D17" s="55">
        <f t="shared" ref="D17:J17" si="1">D16/C16-1</f>
        <v>9.6319105291771567E-2</v>
      </c>
      <c r="E17" s="55">
        <f t="shared" si="1"/>
        <v>9.796224528066011E-2</v>
      </c>
      <c r="F17" s="55">
        <f t="shared" si="1"/>
        <v>0.10828591001905274</v>
      </c>
      <c r="G17" s="55">
        <f t="shared" si="1"/>
        <v>9.8792870496043683E-2</v>
      </c>
      <c r="H17" s="55">
        <f t="shared" si="1"/>
        <v>8.852964168408195E-2</v>
      </c>
      <c r="I17" s="55">
        <f t="shared" si="1"/>
        <v>8.0239217288086584E-2</v>
      </c>
      <c r="J17" s="55">
        <f t="shared" si="1"/>
        <v>7.4674127727426542E-2</v>
      </c>
    </row>
    <row r="19" spans="2:13" ht="15.75" customHeight="1" x14ac:dyDescent="0.25">
      <c r="B19" s="10" t="s">
        <v>47</v>
      </c>
      <c r="C19" s="56">
        <f t="shared" ref="C19:J19" si="2">C16*(1-C21)</f>
        <v>99593.585000000021</v>
      </c>
      <c r="D19" s="56">
        <f t="shared" si="2"/>
        <v>108466.43999999999</v>
      </c>
      <c r="E19" s="56">
        <f t="shared" si="2"/>
        <v>118565.10000000002</v>
      </c>
      <c r="F19" s="56">
        <f t="shared" si="2"/>
        <v>130820.01184000001</v>
      </c>
      <c r="G19" s="56">
        <f t="shared" si="2"/>
        <v>143102.38161225003</v>
      </c>
      <c r="H19" s="56">
        <f t="shared" si="2"/>
        <v>155072.65869092252</v>
      </c>
      <c r="I19" s="56">
        <f t="shared" si="2"/>
        <v>166760.99281892477</v>
      </c>
      <c r="J19" s="56">
        <f t="shared" si="2"/>
        <v>178402.80266633609</v>
      </c>
    </row>
    <row r="20" spans="2:13" ht="15.75" customHeight="1" x14ac:dyDescent="0.25">
      <c r="B20" s="21" t="s">
        <v>48</v>
      </c>
      <c r="C20" s="56">
        <f t="shared" ref="C20:J20" si="3">C16-C19</f>
        <v>119293.41499999998</v>
      </c>
      <c r="D20" s="56">
        <f t="shared" si="3"/>
        <v>131503.56</v>
      </c>
      <c r="E20" s="56">
        <f t="shared" si="3"/>
        <v>144912.89999999997</v>
      </c>
      <c r="F20" s="56">
        <f t="shared" si="3"/>
        <v>161188.94315999997</v>
      </c>
      <c r="G20" s="56">
        <f t="shared" si="3"/>
        <v>177754.97626274996</v>
      </c>
      <c r="H20" s="56">
        <f t="shared" si="3"/>
        <v>194190.08610845249</v>
      </c>
      <c r="I20" s="56">
        <f t="shared" si="3"/>
        <v>210526.32125104079</v>
      </c>
      <c r="J20" s="56">
        <f t="shared" si="3"/>
        <v>227058.11248442778</v>
      </c>
    </row>
    <row r="21" spans="2:13" ht="15.75" customHeight="1" x14ac:dyDescent="0.25">
      <c r="B21" s="20" t="s">
        <v>49</v>
      </c>
      <c r="C21" s="57">
        <v>0.54499999999999993</v>
      </c>
      <c r="D21" s="57">
        <v>0.54800000000000004</v>
      </c>
      <c r="E21" s="57">
        <v>0.54999999999999993</v>
      </c>
      <c r="F21" s="57">
        <v>0.55199999999999994</v>
      </c>
      <c r="G21" s="57">
        <v>0.55399999999999994</v>
      </c>
      <c r="H21" s="57">
        <v>0.55599999999999994</v>
      </c>
      <c r="I21" s="57">
        <v>0.55800000000000005</v>
      </c>
      <c r="J21" s="57">
        <v>0.56000000000000005</v>
      </c>
    </row>
    <row r="23" spans="2:13" ht="15.75" customHeight="1" x14ac:dyDescent="0.25">
      <c r="B23" s="10" t="s">
        <v>18</v>
      </c>
      <c r="C23" s="53">
        <f>C16*INDEX('Company1153 Assumptions'!D$35:D$37,MATCH($D$5,'Company1153 Assumptions'!$C$35:$C$37,0))</f>
        <v>33051.936999999998</v>
      </c>
      <c r="D23" s="53">
        <f>D16*INDEX('Company1153 Assumptions'!E$35:E$37,MATCH($D$5,'Company1153 Assumptions'!$C$35:$C$37,0))</f>
        <v>35515.560000000005</v>
      </c>
      <c r="E23" s="53">
        <f>E16*INDEX('Company1153 Assumptions'!F$35:F$37,MATCH($D$5,'Company1153 Assumptions'!$C$35:$C$37,0))</f>
        <v>38204.31</v>
      </c>
      <c r="F23" s="53">
        <f>F16*INDEX('Company1153 Assumptions'!G$35:G$37,MATCH($D$5,'Company1153 Assumptions'!$C$35:$C$37,0))</f>
        <v>41757.280565000001</v>
      </c>
      <c r="G23" s="53">
        <f>G16*INDEX('Company1153 Assumptions'!H$35:H$37,MATCH($D$5,'Company1153 Assumptions'!$C$35:$C$37,0))</f>
        <v>44920.030102500001</v>
      </c>
      <c r="H23" s="53">
        <f>H16*INDEX('Company1153 Assumptions'!I$35:I$37,MATCH($D$5,'Company1153 Assumptions'!$C$35:$C$37,0))</f>
        <v>48198.258782313758</v>
      </c>
      <c r="I23" s="53">
        <f>I16*INDEX('Company1153 Assumptions'!J$35:J$37,MATCH($D$5,'Company1153 Assumptions'!$C$35:$C$37,0))</f>
        <v>50933.787399445355</v>
      </c>
      <c r="J23" s="53">
        <f>J16*INDEX('Company1153 Assumptions'!K$35:K$37,MATCH($D$5,'Company1153 Assumptions'!$C$35:$C$37,0))</f>
        <v>53926.301715051595</v>
      </c>
    </row>
    <row r="24" spans="2:13" ht="15.75" customHeight="1" x14ac:dyDescent="0.25">
      <c r="B24" s="10" t="s">
        <v>19</v>
      </c>
      <c r="C24" s="53">
        <f>C16*INDEX('Company1153 Assumptions'!D$39:D$41,MATCH($D$5,'Company1153 Assumptions'!$C$39:$C$41,0))</f>
        <v>25172.005000000001</v>
      </c>
      <c r="D24" s="53">
        <f>D16*INDEX('Company1153 Assumptions'!E$39:E$41,MATCH($D$5,'Company1153 Assumptions'!$C$39:$C$41,0))</f>
        <v>26876.639999999996</v>
      </c>
      <c r="E24" s="53">
        <f>E16*INDEX('Company1153 Assumptions'!F$39:F$41,MATCH($D$5,'Company1153 Assumptions'!$C$39:$C$41,0))</f>
        <v>28455.624000000003</v>
      </c>
      <c r="F24" s="53">
        <f>F16*INDEX('Company1153 Assumptions'!G$39:G$41,MATCH($D$5,'Company1153 Assumptions'!$C$39:$C$41,0))</f>
        <v>30660.940274999994</v>
      </c>
      <c r="G24" s="53">
        <f>G16*INDEX('Company1153 Assumptions'!H$39:H$41,MATCH($D$5,'Company1153 Assumptions'!$C$39:$C$41,0))</f>
        <v>33048.307861125002</v>
      </c>
      <c r="H24" s="53">
        <f>H16*INDEX('Company1153 Assumptions'!I$39:I$41,MATCH($D$5,'Company1153 Assumptions'!$C$39:$C$41,0))</f>
        <v>34926.2744799375</v>
      </c>
      <c r="I24" s="53">
        <f>I16*INDEX('Company1153 Assumptions'!J$39:J$41,MATCH($D$5,'Company1153 Assumptions'!$C$39:$C$41,0))</f>
        <v>36974.156778856624</v>
      </c>
      <c r="J24" s="53">
        <f>J16*INDEX('Company1153 Assumptions'!K$39:K$41,MATCH($D$5,'Company1153 Assumptions'!$C$39:$C$41,0))</f>
        <v>38518.78693932257</v>
      </c>
    </row>
    <row r="25" spans="2:13" ht="15.75" customHeight="1" x14ac:dyDescent="0.25">
      <c r="B25" s="10" t="s">
        <v>20</v>
      </c>
      <c r="C25" s="53">
        <f>C16*INDEX('Company1153 Assumptions'!D$43:D$45,MATCH($D$5,'Company1153 Assumptions'!$C$43:$C$45,0))</f>
        <v>14884.316000000001</v>
      </c>
      <c r="D25" s="53">
        <f>D16*INDEX('Company1153 Assumptions'!E$43:E$45,MATCH($D$5,'Company1153 Assumptions'!$C$43:$C$45,0))</f>
        <v>15598.050000000001</v>
      </c>
      <c r="E25" s="53">
        <f>E16*INDEX('Company1153 Assumptions'!F$43:F$45,MATCH($D$5,'Company1153 Assumptions'!$C$43:$C$45,0))</f>
        <v>16599.114000000001</v>
      </c>
      <c r="F25" s="53">
        <f>F16*INDEX('Company1153 Assumptions'!G$43:G$45,MATCH($D$5,'Company1153 Assumptions'!$C$43:$C$45,0))</f>
        <v>18104.555209999999</v>
      </c>
      <c r="G25" s="53">
        <f>G16*INDEX('Company1153 Assumptions'!H$43:H$45,MATCH($D$5,'Company1153 Assumptions'!$C$43:$C$45,0))</f>
        <v>19251.441472499999</v>
      </c>
      <c r="H25" s="53">
        <f>H16*INDEX('Company1153 Assumptions'!I$43:I$45,MATCH($D$5,'Company1153 Assumptions'!$C$43:$C$45,0))</f>
        <v>20257.23919836375</v>
      </c>
      <c r="I25" s="53">
        <f>I16*INDEX('Company1153 Assumptions'!J$43:J$45,MATCH($D$5,'Company1153 Assumptions'!$C$43:$C$45,0))</f>
        <v>21505.376901988038</v>
      </c>
      <c r="J25" s="53">
        <f>J16*INDEX('Company1153 Assumptions'!K$43:K$45,MATCH($D$5,'Company1153 Assumptions'!$C$43:$C$45,0))</f>
        <v>22300.350333292012</v>
      </c>
    </row>
    <row r="26" spans="2:13" ht="15.75" customHeight="1" x14ac:dyDescent="0.25">
      <c r="B26" s="10" t="s">
        <v>21</v>
      </c>
      <c r="C26" s="53">
        <f>C16*INDEX('Company1153 Assumptions'!D$47:D$49,MATCH($D$5,'Company1153 Assumptions'!$C$47:$C$49,0))</f>
        <v>20137.603999999999</v>
      </c>
      <c r="D26" s="53">
        <f>D16*INDEX('Company1153 Assumptions'!E$47:E$49,MATCH($D$5,'Company1153 Assumptions'!$C$47:$C$49,0))</f>
        <v>22797.15</v>
      </c>
      <c r="E26" s="53">
        <f>E16*INDEX('Company1153 Assumptions'!F$47:F$49,MATCH($D$5,'Company1153 Assumptions'!$C$47:$C$49,0))</f>
        <v>25820.844000000001</v>
      </c>
      <c r="F26" s="53">
        <f>F16*INDEX('Company1153 Assumptions'!G$47:G$49,MATCH($D$5,'Company1153 Assumptions'!$C$47:$C$49,0))</f>
        <v>27740.850724999997</v>
      </c>
      <c r="G26" s="53">
        <f>G16*INDEX('Company1153 Assumptions'!H$47:H$49,MATCH($D$5,'Company1153 Assumptions'!$C$47:$C$49,0))</f>
        <v>29839.734282375004</v>
      </c>
      <c r="H26" s="53">
        <f>H16*INDEX('Company1153 Assumptions'!I$47:I$49,MATCH($D$5,'Company1153 Assumptions'!$C$47:$C$49,0))</f>
        <v>31433.64703194375</v>
      </c>
      <c r="I26" s="53">
        <f>I16*INDEX('Company1153 Assumptions'!J$47:J$49,MATCH($D$5,'Company1153 Assumptions'!$C$47:$C$49,0))</f>
        <v>33201.283638156972</v>
      </c>
      <c r="J26" s="53">
        <f>J16*INDEX('Company1153 Assumptions'!K$47:K$49,MATCH($D$5,'Company1153 Assumptions'!$C$47:$C$49,0))</f>
        <v>34464.17778781493</v>
      </c>
    </row>
    <row r="27" spans="2:13" ht="15.75" customHeight="1" x14ac:dyDescent="0.25">
      <c r="B27" s="32" t="s">
        <v>50</v>
      </c>
      <c r="C27" s="54">
        <f t="shared" si="0"/>
        <v>93245.861999999994</v>
      </c>
      <c r="D27" s="54">
        <f t="shared" si="0"/>
        <v>100787.4</v>
      </c>
      <c r="E27" s="54">
        <f t="shared" si="0"/>
        <v>109079.89200000001</v>
      </c>
      <c r="F27" s="54">
        <f t="shared" si="0"/>
        <v>118263.62677499998</v>
      </c>
      <c r="G27" s="54">
        <f t="shared" si="0"/>
        <v>127059.51371850001</v>
      </c>
      <c r="H27" s="54">
        <f t="shared" si="0"/>
        <v>134815.41949255875</v>
      </c>
      <c r="I27" s="54">
        <f t="shared" si="0"/>
        <v>142614.60471844699</v>
      </c>
      <c r="J27" s="54">
        <f t="shared" si="0"/>
        <v>149209.61677548109</v>
      </c>
    </row>
    <row r="29" spans="2:13" ht="15.75" customHeight="1" x14ac:dyDescent="0.25">
      <c r="B29" s="21" t="s">
        <v>51</v>
      </c>
      <c r="C29" s="56">
        <f t="shared" ref="C29:J29" si="4">C20-C27</f>
        <v>26047.552999999985</v>
      </c>
      <c r="D29" s="56">
        <f t="shared" si="4"/>
        <v>30716.160000000003</v>
      </c>
      <c r="E29" s="56">
        <f t="shared" si="4"/>
        <v>35833.007999999958</v>
      </c>
      <c r="F29" s="56">
        <f t="shared" si="4"/>
        <v>42925.316384999984</v>
      </c>
      <c r="G29" s="56">
        <f t="shared" si="4"/>
        <v>50695.462544249953</v>
      </c>
      <c r="H29" s="56">
        <f t="shared" si="4"/>
        <v>59374.666615893744</v>
      </c>
      <c r="I29" s="56">
        <f t="shared" si="4"/>
        <v>67911.716532593797</v>
      </c>
      <c r="J29" s="56">
        <f t="shared" si="4"/>
        <v>77848.495708946692</v>
      </c>
    </row>
    <row r="30" spans="2:13" ht="15.75" customHeight="1" x14ac:dyDescent="0.25">
      <c r="B30" s="20" t="s">
        <v>52</v>
      </c>
      <c r="C30" s="55">
        <f t="shared" ref="C30:J30" si="5">C29/C16</f>
        <v>0.11899999999999994</v>
      </c>
      <c r="D30" s="55">
        <f t="shared" si="5"/>
        <v>0.128</v>
      </c>
      <c r="E30" s="55">
        <f t="shared" si="5"/>
        <v>0.13599999999999984</v>
      </c>
      <c r="F30" s="55">
        <f t="shared" si="5"/>
        <v>0.14699999999999996</v>
      </c>
      <c r="G30" s="55">
        <f t="shared" si="5"/>
        <v>0.15799999999999986</v>
      </c>
      <c r="H30" s="55">
        <f t="shared" si="5"/>
        <v>0.16999999999999998</v>
      </c>
      <c r="I30" s="55">
        <f t="shared" si="5"/>
        <v>0.18</v>
      </c>
      <c r="J30" s="55">
        <f t="shared" si="5"/>
        <v>0.19200000000000006</v>
      </c>
    </row>
    <row r="32" spans="2:13" ht="15.75" customHeight="1" x14ac:dyDescent="0.25">
      <c r="B32" s="22" t="s">
        <v>112</v>
      </c>
      <c r="C32" s="53">
        <f>(C$51*INDEX('Company1153 Assumptions'!$D$88:$D$90,MATCH($D$5,'Company1153 Assumptions'!$C$88:$C$90,0)))-(C73*INDEX('Company1153 Assumptions'!$D$92:$D$94,MATCH($D$5,'Company1153 Assumptions'!$C$92:$C$94,0)))</f>
        <v>0</v>
      </c>
      <c r="D32" s="53">
        <f ca="1">(D$51*INDEX('Company1153 Assumptions'!$D$88:$D$90,MATCH($D$5,'Company1153 Assumptions'!$C$88:$C$90,0)))-(D73*INDEX('Company1153 Assumptions'!$D$92:$D$94,MATCH($D$5,'Company1153 Assumptions'!$C$92:$C$94,0)))</f>
        <v>66.541036453001709</v>
      </c>
      <c r="E32" s="53">
        <f ca="1">(E$51*INDEX('Company1153 Assumptions'!$D$88:$D$90,MATCH($D$5,'Company1153 Assumptions'!$C$88:$C$90,0)))-(E73*INDEX('Company1153 Assumptions'!$D$92:$D$94,MATCH($D$5,'Company1153 Assumptions'!$C$92:$C$94,0)))</f>
        <v>138.45635454232183</v>
      </c>
      <c r="F32" s="53">
        <f ca="1">(F$51*INDEX('Company1153 Assumptions'!$D$88:$D$90,MATCH($D$5,'Company1153 Assumptions'!$C$88:$C$90,0)))-(F73*INDEX('Company1153 Assumptions'!$D$92:$D$94,MATCH($D$5,'Company1153 Assumptions'!$C$92:$C$94,0)))</f>
        <v>219.04663693932821</v>
      </c>
      <c r="G32" s="53">
        <f ca="1">(G$51*INDEX('Company1153 Assumptions'!$D$88:$D$90,MATCH($D$5,'Company1153 Assumptions'!$C$88:$C$90,0)))-(G73*INDEX('Company1153 Assumptions'!$D$92:$D$94,MATCH($D$5,'Company1153 Assumptions'!$C$92:$C$94,0)))</f>
        <v>313.28608591385648</v>
      </c>
      <c r="H32" s="53">
        <f ca="1">(H$51*INDEX('Company1153 Assumptions'!$D$88:$D$90,MATCH($D$5,'Company1153 Assumptions'!$C$88:$C$90,0)))-(H73*INDEX('Company1153 Assumptions'!$D$92:$D$94,MATCH($D$5,'Company1153 Assumptions'!$C$92:$C$94,0)))</f>
        <v>432.62805003343237</v>
      </c>
      <c r="I32" s="53">
        <f ca="1">(I$51*INDEX('Company1153 Assumptions'!$D$88:$D$90,MATCH($D$5,'Company1153 Assumptions'!$C$88:$C$90,0)))-(I73*INDEX('Company1153 Assumptions'!$D$92:$D$94,MATCH($D$5,'Company1153 Assumptions'!$C$92:$C$94,0)))</f>
        <v>569.19251427977406</v>
      </c>
      <c r="J32" s="53">
        <f ca="1">(J$51*INDEX('Company1153 Assumptions'!$D$88:$D$90,MATCH($D$5,'Company1153 Assumptions'!$C$88:$C$90,0)))-(J73*INDEX('Company1153 Assumptions'!$D$92:$D$94,MATCH($D$5,'Company1153 Assumptions'!$C$92:$C$94,0)))</f>
        <v>737.22333692399388</v>
      </c>
      <c r="L32" s="58"/>
      <c r="M32" s="58"/>
    </row>
    <row r="33" spans="2:13" ht="15" customHeight="1" x14ac:dyDescent="0.25">
      <c r="L33" s="59"/>
      <c r="M33" s="60"/>
    </row>
    <row r="34" spans="2:13" ht="15.75" customHeight="1" x14ac:dyDescent="0.25">
      <c r="B34" s="21" t="s">
        <v>53</v>
      </c>
      <c r="C34" s="56">
        <f t="shared" ref="C34:J34" si="6">C29+C32</f>
        <v>26047.552999999985</v>
      </c>
      <c r="D34" s="56">
        <f t="shared" ca="1" si="6"/>
        <v>30782.701036453007</v>
      </c>
      <c r="E34" s="56">
        <f t="shared" ca="1" si="6"/>
        <v>35971.46435454228</v>
      </c>
      <c r="F34" s="56">
        <f t="shared" ca="1" si="6"/>
        <v>43144.363021939309</v>
      </c>
      <c r="G34" s="56">
        <f t="shared" ca="1" si="6"/>
        <v>51008.748630163813</v>
      </c>
      <c r="H34" s="56">
        <f t="shared" ca="1" si="6"/>
        <v>59807.294665927177</v>
      </c>
      <c r="I34" s="56">
        <f t="shared" ca="1" si="6"/>
        <v>68480.909046873567</v>
      </c>
      <c r="J34" s="56">
        <f t="shared" ca="1" si="6"/>
        <v>78585.71904587069</v>
      </c>
    </row>
    <row r="35" spans="2:13" ht="15.75" customHeight="1" x14ac:dyDescent="0.25">
      <c r="B35" s="22" t="s">
        <v>54</v>
      </c>
      <c r="C35" s="53">
        <f>C34*INDEX('Company1153 Assumptions'!D$81:D$83,MATCH($D$5,'Company1153 Assumptions'!$C$81:$C$83,0))</f>
        <v>4219.7035859999978</v>
      </c>
      <c r="D35" s="53">
        <f ca="1">D34*INDEX('Company1153 Assumptions'!E$81:E$83,MATCH($D$5,'Company1153 Assumptions'!$C$81:$C$83,0))</f>
        <v>4925.2321658324809</v>
      </c>
      <c r="E35" s="53">
        <f ca="1">E34*INDEX('Company1153 Assumptions'!F$81:F$83,MATCH($D$5,'Company1153 Assumptions'!$C$81:$C$83,0))</f>
        <v>5683.4913680176805</v>
      </c>
      <c r="F35" s="53">
        <f ca="1">F34*INDEX('Company1153 Assumptions'!G$81:G$83,MATCH($D$5,'Company1153 Assumptions'!$C$81:$C$83,0))</f>
        <v>7118.8198986199859</v>
      </c>
      <c r="G35" s="53">
        <f ca="1">G34*INDEX('Company1153 Assumptions'!H$81:H$83,MATCH($D$5,'Company1153 Assumptions'!$C$81:$C$83,0))</f>
        <v>8671.4872671278481</v>
      </c>
      <c r="H35" s="53">
        <f ca="1">H34*INDEX('Company1153 Assumptions'!I$81:I$83,MATCH($D$5,'Company1153 Assumptions'!$C$81:$C$83,0))</f>
        <v>10466.276566537255</v>
      </c>
      <c r="I35" s="53">
        <f ca="1">I34*INDEX('Company1153 Assumptions'!J$81:J$83,MATCH($D$5,'Company1153 Assumptions'!$C$81:$C$83,0))</f>
        <v>12326.563628437241</v>
      </c>
      <c r="J35" s="53">
        <f ca="1">J34*INDEX('Company1153 Assumptions'!K$81:K$83,MATCH($D$5,'Company1153 Assumptions'!$C$81:$C$83,0))</f>
        <v>14538.358023486078</v>
      </c>
    </row>
    <row r="37" spans="2:13" ht="15.75" customHeight="1" x14ac:dyDescent="0.25">
      <c r="B37" s="21" t="s">
        <v>55</v>
      </c>
      <c r="C37" s="61">
        <f t="shared" ref="C37:J37" si="7">C34-C35</f>
        <v>21827.849413999989</v>
      </c>
      <c r="D37" s="61">
        <f t="shared" ca="1" si="7"/>
        <v>25857.468870620527</v>
      </c>
      <c r="E37" s="61">
        <f t="shared" ca="1" si="7"/>
        <v>30287.972986524601</v>
      </c>
      <c r="F37" s="61">
        <f t="shared" ca="1" si="7"/>
        <v>36025.543123319323</v>
      </c>
      <c r="G37" s="61">
        <f t="shared" ca="1" si="7"/>
        <v>42337.261363035963</v>
      </c>
      <c r="H37" s="61">
        <f t="shared" ca="1" si="7"/>
        <v>49341.018099389919</v>
      </c>
      <c r="I37" s="61">
        <f t="shared" ca="1" si="7"/>
        <v>56154.345418436322</v>
      </c>
      <c r="J37" s="61">
        <f t="shared" ca="1" si="7"/>
        <v>64047.361022384612</v>
      </c>
    </row>
    <row r="38" spans="2:13" ht="15.75" customHeight="1" x14ac:dyDescent="0.25">
      <c r="B38" s="20" t="s">
        <v>56</v>
      </c>
      <c r="C38" s="55">
        <f t="shared" ref="C38:J38" si="8">C37/C16</f>
        <v>9.972199999999995E-2</v>
      </c>
      <c r="D38" s="55">
        <f t="shared" ca="1" si="8"/>
        <v>0.1077529227429284</v>
      </c>
      <c r="E38" s="55">
        <f t="shared" ca="1" si="8"/>
        <v>0.11495446673545648</v>
      </c>
      <c r="F38" s="55">
        <f t="shared" ca="1" si="8"/>
        <v>0.12337136415326484</v>
      </c>
      <c r="G38" s="55">
        <f t="shared" ca="1" si="8"/>
        <v>0.13195041448770442</v>
      </c>
      <c r="H38" s="55">
        <f t="shared" ca="1" si="8"/>
        <v>0.14127191873193518</v>
      </c>
      <c r="I38" s="55">
        <f t="shared" ca="1" si="8"/>
        <v>0.14883708867036768</v>
      </c>
      <c r="J38" s="55">
        <f t="shared" ca="1" si="8"/>
        <v>0.15796186174583479</v>
      </c>
    </row>
    <row r="40" spans="2:13" ht="15" customHeight="1" x14ac:dyDescent="0.25">
      <c r="B40" s="6" t="s">
        <v>57</v>
      </c>
      <c r="C40" s="6"/>
      <c r="D40" s="6"/>
      <c r="E40" s="6"/>
      <c r="F40" s="6"/>
      <c r="G40" s="6"/>
      <c r="H40" s="6"/>
      <c r="I40" s="6"/>
      <c r="J40" s="6"/>
    </row>
    <row r="42" spans="2:13" ht="15.75" customHeight="1" x14ac:dyDescent="0.25">
      <c r="B42" s="22" t="s">
        <v>58</v>
      </c>
      <c r="C42" s="62">
        <v>13000</v>
      </c>
      <c r="D42" s="62">
        <v>12800</v>
      </c>
      <c r="E42" s="62">
        <v>12600</v>
      </c>
      <c r="F42" s="62">
        <v>12400</v>
      </c>
      <c r="G42" s="62">
        <v>12200</v>
      </c>
      <c r="H42" s="62">
        <v>12000</v>
      </c>
      <c r="I42" s="62">
        <v>11800</v>
      </c>
      <c r="J42" s="62">
        <v>11600</v>
      </c>
    </row>
    <row r="43" spans="2:13" ht="15.75" customHeight="1" x14ac:dyDescent="0.25">
      <c r="B43" s="21" t="s">
        <v>59</v>
      </c>
      <c r="C43" s="63">
        <f t="shared" ref="C43:J43" si="9">C37/C42</f>
        <v>1.6790653395384607</v>
      </c>
      <c r="D43" s="63">
        <f t="shared" ca="1" si="9"/>
        <v>2.0201147555172287</v>
      </c>
      <c r="E43" s="63">
        <f t="shared" ca="1" si="9"/>
        <v>2.4038073798829047</v>
      </c>
      <c r="F43" s="63">
        <f t="shared" ca="1" si="9"/>
        <v>2.9052857357515585</v>
      </c>
      <c r="G43" s="63">
        <f t="shared" ca="1" si="9"/>
        <v>3.4702673248390132</v>
      </c>
      <c r="H43" s="63">
        <f t="shared" ca="1" si="9"/>
        <v>4.1117515082824934</v>
      </c>
      <c r="I43" s="63">
        <f t="shared" ca="1" si="9"/>
        <v>4.7588428320708749</v>
      </c>
      <c r="J43" s="63">
        <f t="shared" ca="1" si="9"/>
        <v>5.5213242260676392</v>
      </c>
    </row>
    <row r="45" spans="2:13" ht="15" customHeight="1" thickBot="1" x14ac:dyDescent="0.3"/>
    <row r="46" spans="2:13" ht="15.75" customHeight="1" thickBot="1" x14ac:dyDescent="0.3">
      <c r="B46" s="64" t="s">
        <v>62</v>
      </c>
      <c r="C46" s="64"/>
      <c r="D46" s="64"/>
      <c r="E46" s="64"/>
      <c r="F46" s="64"/>
      <c r="G46" s="64"/>
      <c r="H46" s="64"/>
      <c r="I46" s="64"/>
      <c r="J46" s="64"/>
    </row>
    <row r="48" spans="2:13" ht="15" customHeight="1" x14ac:dyDescent="0.25">
      <c r="B48" s="24" t="s">
        <v>63</v>
      </c>
      <c r="C48" s="24"/>
      <c r="D48" s="24"/>
      <c r="E48" s="24"/>
      <c r="F48" s="24"/>
      <c r="G48" s="24"/>
      <c r="H48" s="24"/>
      <c r="I48" s="24"/>
      <c r="J48" s="24"/>
    </row>
    <row r="50" spans="2:10" ht="15" customHeight="1" x14ac:dyDescent="0.25">
      <c r="B50" s="25" t="s">
        <v>64</v>
      </c>
    </row>
    <row r="51" spans="2:10" ht="15.75" customHeight="1" x14ac:dyDescent="0.25">
      <c r="B51" s="26" t="s">
        <v>65</v>
      </c>
      <c r="C51" s="65">
        <v>90000</v>
      </c>
      <c r="D51" s="66">
        <f t="shared" ref="D51:J51" ca="1" si="10">D$108</f>
        <v>97308.207290600345</v>
      </c>
      <c r="E51" s="66">
        <f t="shared" ca="1" si="10"/>
        <v>105691.27090846437</v>
      </c>
      <c r="F51" s="66">
        <f t="shared" ca="1" si="10"/>
        <v>118809.32738786565</v>
      </c>
      <c r="G51" s="66">
        <f t="shared" ca="1" si="10"/>
        <v>134657.2171827713</v>
      </c>
      <c r="H51" s="66">
        <f t="shared" ca="1" si="10"/>
        <v>155525.61000668647</v>
      </c>
      <c r="I51" s="66">
        <f t="shared" ca="1" si="10"/>
        <v>179838.50285595481</v>
      </c>
      <c r="J51" s="66">
        <f t="shared" ca="1" si="10"/>
        <v>210444.66738479878</v>
      </c>
    </row>
    <row r="52" spans="2:10" ht="15.75" customHeight="1" x14ac:dyDescent="0.25">
      <c r="B52" s="26" t="s">
        <v>66</v>
      </c>
      <c r="C52" s="67">
        <f>C$16*INDEX('Company1153 Assumptions'!D$55:D$57,MATCH($D$5,'Company1153 Assumptions'!$C$55:$C$57,0))/365</f>
        <v>28785.139726027399</v>
      </c>
      <c r="D52" s="67">
        <f>D$16*INDEX('Company1153 Assumptions'!E$55:E$57,MATCH($D$5,'Company1153 Assumptions'!$C$55:$C$57,0))/365</f>
        <v>30900.246575342466</v>
      </c>
      <c r="E52" s="67">
        <f>E$16*INDEX('Company1153 Assumptions'!F$55:F$57,MATCH($D$5,'Company1153 Assumptions'!$C$55:$C$57,0))/365</f>
        <v>33205.446575342467</v>
      </c>
      <c r="F52" s="67">
        <f>F$16*INDEX('Company1153 Assumptions'!G$55:G$57,MATCH($D$5,'Company1153 Assumptions'!$C$55:$C$57,0))/365</f>
        <v>36801.12857534246</v>
      </c>
      <c r="G52" s="67">
        <f>G$16*INDEX('Company1153 Assumptions'!H$55:H$57,MATCH($D$5,'Company1153 Assumptions'!$C$55:$C$57,0))/365</f>
        <v>39557.756450342466</v>
      </c>
      <c r="H52" s="67">
        <f>H$16*INDEX('Company1153 Assumptions'!I$55:I$57,MATCH($D$5,'Company1153 Assumptions'!$C$55:$C$57,0))/365</f>
        <v>43059.790454717462</v>
      </c>
      <c r="I52" s="67">
        <f>I$16*INDEX('Company1153 Assumptions'!J$55:J$57,MATCH($D$5,'Company1153 Assumptions'!$C$55:$C$57,0))/365</f>
        <v>45481.210463228723</v>
      </c>
      <c r="J52" s="67">
        <f>J$16*INDEX('Company1153 Assumptions'!K$55:K$57,MATCH($D$5,'Company1153 Assumptions'!$C$55:$C$57,0))/365</f>
        <v>48877.48018255784</v>
      </c>
    </row>
    <row r="53" spans="2:10" ht="15.75" customHeight="1" x14ac:dyDescent="0.25">
      <c r="B53" s="26" t="s">
        <v>67</v>
      </c>
      <c r="C53" s="65">
        <v>8500</v>
      </c>
      <c r="D53" s="67">
        <f>C53*(1+'Company1153 Assumptions'!E$63)</f>
        <v>9000</v>
      </c>
      <c r="E53" s="67">
        <f>D53*(1+'Company1153 Assumptions'!F$63)</f>
        <v>9500</v>
      </c>
      <c r="F53" s="67">
        <f>E53*(1+'Company1153 Assumptions'!G$63)</f>
        <v>9975</v>
      </c>
      <c r="G53" s="67">
        <f>F53*(1+'Company1153 Assumptions'!H$63)</f>
        <v>10473.75</v>
      </c>
      <c r="H53" s="67">
        <f>G53*(1+'Company1153 Assumptions'!I$63)</f>
        <v>10997.4375</v>
      </c>
      <c r="I53" s="67">
        <f>H53*(1+'Company1153 Assumptions'!J$63)</f>
        <v>11547.309375000001</v>
      </c>
      <c r="J53" s="67">
        <f>I53*(1+'Company1153 Assumptions'!K$63)</f>
        <v>12124.674843750001</v>
      </c>
    </row>
    <row r="54" spans="2:10" ht="15.75" customHeight="1" x14ac:dyDescent="0.25">
      <c r="B54" s="27" t="s">
        <v>68</v>
      </c>
      <c r="C54" s="68">
        <f t="shared" ref="C54:J54" si="11">SUM(C51:C53)</f>
        <v>127285.1397260274</v>
      </c>
      <c r="D54" s="68">
        <f t="shared" ca="1" si="11"/>
        <v>137208.45386594281</v>
      </c>
      <c r="E54" s="68">
        <f t="shared" ca="1" si="11"/>
        <v>148396.71748380683</v>
      </c>
      <c r="F54" s="68">
        <f t="shared" ca="1" si="11"/>
        <v>165585.45596320811</v>
      </c>
      <c r="G54" s="68">
        <f t="shared" ca="1" si="11"/>
        <v>184688.72363311378</v>
      </c>
      <c r="H54" s="68">
        <f t="shared" ca="1" si="11"/>
        <v>209582.83796140394</v>
      </c>
      <c r="I54" s="68">
        <f t="shared" ca="1" si="11"/>
        <v>236867.02269418354</v>
      </c>
      <c r="J54" s="68">
        <f t="shared" ca="1" si="11"/>
        <v>271446.82241110661</v>
      </c>
    </row>
    <row r="56" spans="2:10" ht="15" customHeight="1" x14ac:dyDescent="0.25">
      <c r="B56" s="25" t="s">
        <v>69</v>
      </c>
    </row>
    <row r="57" spans="2:10" ht="15.75" customHeight="1" x14ac:dyDescent="0.25">
      <c r="B57" s="26" t="s">
        <v>70</v>
      </c>
      <c r="C57" s="65">
        <v>80000</v>
      </c>
      <c r="D57" s="66">
        <f>C57+D97</f>
        <v>111676.04000000001</v>
      </c>
      <c r="E57" s="66">
        <f t="shared" ref="E57:J57" si="12">D57+E97</f>
        <v>148562.96000000002</v>
      </c>
      <c r="F57" s="66">
        <f t="shared" si="12"/>
        <v>187984.16892500001</v>
      </c>
      <c r="G57" s="66">
        <f t="shared" si="12"/>
        <v>229695.62544875001</v>
      </c>
      <c r="H57" s="66">
        <f t="shared" si="12"/>
        <v>273353.46854867187</v>
      </c>
      <c r="I57" s="66">
        <f t="shared" si="12"/>
        <v>318627.94623706775</v>
      </c>
      <c r="J57" s="66">
        <f t="shared" si="12"/>
        <v>365255.95147940563</v>
      </c>
    </row>
    <row r="58" spans="2:10" ht="15.75" customHeight="1" x14ac:dyDescent="0.25">
      <c r="B58" s="26" t="s">
        <v>71</v>
      </c>
      <c r="C58" s="65">
        <v>25000</v>
      </c>
      <c r="D58" s="66">
        <f>C58+D89</f>
        <v>44152.612500000003</v>
      </c>
      <c r="E58" s="66">
        <f t="shared" ref="E58:J58" si="13">D58+E89</f>
        <v>66325.840500000006</v>
      </c>
      <c r="F58" s="66">
        <f t="shared" si="13"/>
        <v>92146.684500000003</v>
      </c>
      <c r="G58" s="66">
        <f t="shared" si="13"/>
        <v>119741.5307475</v>
      </c>
      <c r="H58" s="66">
        <f t="shared" si="13"/>
        <v>148939.55031412499</v>
      </c>
      <c r="I58" s="66">
        <f t="shared" si="13"/>
        <v>179500.04048407031</v>
      </c>
      <c r="J58" s="66">
        <f t="shared" si="13"/>
        <v>211192.17486594743</v>
      </c>
    </row>
    <row r="59" spans="2:10" ht="15.75" customHeight="1" x14ac:dyDescent="0.25">
      <c r="B59" s="71" t="s">
        <v>113</v>
      </c>
      <c r="C59" s="72">
        <f>C57-C58</f>
        <v>55000</v>
      </c>
      <c r="D59" s="72">
        <f>D57-D58</f>
        <v>67523.427500000005</v>
      </c>
      <c r="E59" s="72">
        <f t="shared" ref="E59:J59" si="14">E57-E58</f>
        <v>82237.119500000015</v>
      </c>
      <c r="F59" s="72">
        <f t="shared" si="14"/>
        <v>95837.484425000002</v>
      </c>
      <c r="G59" s="72">
        <f t="shared" si="14"/>
        <v>109954.09470125001</v>
      </c>
      <c r="H59" s="72">
        <f t="shared" si="14"/>
        <v>124413.91823454687</v>
      </c>
      <c r="I59" s="72">
        <f t="shared" si="14"/>
        <v>139127.90575299744</v>
      </c>
      <c r="J59" s="72">
        <f t="shared" si="14"/>
        <v>154063.77661345821</v>
      </c>
    </row>
    <row r="60" spans="2:10" ht="15.75" customHeight="1" x14ac:dyDescent="0.25">
      <c r="B60" s="28"/>
      <c r="C60" s="66"/>
      <c r="D60" s="66"/>
      <c r="E60" s="66"/>
      <c r="F60" s="66"/>
      <c r="G60" s="66"/>
      <c r="H60" s="66"/>
      <c r="I60" s="66"/>
      <c r="J60" s="66"/>
    </row>
    <row r="61" spans="2:10" ht="15.75" customHeight="1" x14ac:dyDescent="0.25">
      <c r="B61" s="26" t="s">
        <v>72</v>
      </c>
      <c r="C61" s="65">
        <v>35000</v>
      </c>
      <c r="D61" s="67">
        <f>C61*(1+'Company1153 Assumptions'!E$64)</f>
        <v>38000</v>
      </c>
      <c r="E61" s="67">
        <f>D61*(1+'Company1153 Assumptions'!F$64)</f>
        <v>42000.000000000007</v>
      </c>
      <c r="F61" s="67">
        <f>E61*(1+'Company1153 Assumptions'!G$64)</f>
        <v>45360.000000000007</v>
      </c>
      <c r="G61" s="67">
        <f>F61*(1+'Company1153 Assumptions'!H$64)</f>
        <v>48988.80000000001</v>
      </c>
      <c r="H61" s="67">
        <f>G61*(1+'Company1153 Assumptions'!I$64)</f>
        <v>52907.904000000017</v>
      </c>
      <c r="I61" s="67">
        <f>H61*(1+'Company1153 Assumptions'!J$64)</f>
        <v>57140.536320000021</v>
      </c>
      <c r="J61" s="67">
        <f>I61*(1+'Company1153 Assumptions'!K$64)</f>
        <v>61711.779225600025</v>
      </c>
    </row>
    <row r="62" spans="2:10" ht="15.75" customHeight="1" x14ac:dyDescent="0.25">
      <c r="B62" s="27" t="s">
        <v>73</v>
      </c>
      <c r="C62" s="68">
        <f t="shared" ref="C62:J62" si="15">C59+C61</f>
        <v>90000</v>
      </c>
      <c r="D62" s="68">
        <f t="shared" si="15"/>
        <v>105523.42750000001</v>
      </c>
      <c r="E62" s="68">
        <f t="shared" si="15"/>
        <v>124237.11950000003</v>
      </c>
      <c r="F62" s="68">
        <f t="shared" si="15"/>
        <v>141197.484425</v>
      </c>
      <c r="G62" s="68">
        <f t="shared" si="15"/>
        <v>158942.89470125001</v>
      </c>
      <c r="H62" s="68">
        <f t="shared" si="15"/>
        <v>177321.82223454688</v>
      </c>
      <c r="I62" s="68">
        <f t="shared" si="15"/>
        <v>196268.44207299745</v>
      </c>
      <c r="J62" s="68">
        <f t="shared" si="15"/>
        <v>215775.55583905824</v>
      </c>
    </row>
    <row r="63" spans="2:10" ht="15" customHeight="1" thickBot="1" x14ac:dyDescent="0.3"/>
    <row r="64" spans="2:10" ht="15.75" customHeight="1" thickBot="1" x14ac:dyDescent="0.3">
      <c r="B64" s="23" t="s">
        <v>74</v>
      </c>
      <c r="C64" s="69">
        <f t="shared" ref="C64:J64" si="16">C54+C62</f>
        <v>217285.13972602738</v>
      </c>
      <c r="D64" s="69">
        <f t="shared" ca="1" si="16"/>
        <v>242731.88136594283</v>
      </c>
      <c r="E64" s="69">
        <f t="shared" ca="1" si="16"/>
        <v>272633.83698380686</v>
      </c>
      <c r="F64" s="69">
        <f t="shared" ca="1" si="16"/>
        <v>306782.94038820814</v>
      </c>
      <c r="G64" s="69">
        <f t="shared" ca="1" si="16"/>
        <v>343631.6183343638</v>
      </c>
      <c r="H64" s="69">
        <f t="shared" ca="1" si="16"/>
        <v>386904.66019595083</v>
      </c>
      <c r="I64" s="69">
        <f t="shared" ca="1" si="16"/>
        <v>433135.46476718097</v>
      </c>
      <c r="J64" s="69">
        <f t="shared" ca="1" si="16"/>
        <v>487222.37825016485</v>
      </c>
    </row>
    <row r="65" spans="2:10" ht="15" customHeight="1" thickTop="1" x14ac:dyDescent="0.25"/>
    <row r="66" spans="2:10" ht="15" customHeight="1" x14ac:dyDescent="0.25">
      <c r="B66" s="24" t="s">
        <v>75</v>
      </c>
      <c r="C66" s="24"/>
      <c r="D66" s="24"/>
      <c r="E66" s="24"/>
      <c r="F66" s="24"/>
      <c r="G66" s="24"/>
      <c r="H66" s="24"/>
      <c r="I66" s="24"/>
      <c r="J66" s="24"/>
    </row>
    <row r="68" spans="2:10" ht="15" customHeight="1" x14ac:dyDescent="0.25">
      <c r="B68" s="25" t="s">
        <v>76</v>
      </c>
    </row>
    <row r="69" spans="2:10" ht="15.75" customHeight="1" x14ac:dyDescent="0.25">
      <c r="B69" s="26" t="s">
        <v>77</v>
      </c>
      <c r="C69" s="67">
        <f>(C19+C23+C24+C25)*INDEX('Company1153 Assumptions'!D$59:D$61,MATCH($D$5,'Company1153 Assumptions'!$C$59:$C$61,0))/365</f>
        <v>15140.983495890412</v>
      </c>
      <c r="D69" s="67">
        <f>(D19+D23+D24+D25)*INDEX('Company1153 Assumptions'!E$59:E$61,MATCH($D$5,'Company1153 Assumptions'!$C$59:$C$61,0))/365</f>
        <v>16857.728136986301</v>
      </c>
      <c r="E69" s="67">
        <f>(E19+E23+E24+E25)*INDEX('Company1153 Assumptions'!F$59:F$61,MATCH($D$5,'Company1153 Assumptions'!$C$59:$C$61,0))/365</f>
        <v>18800.057621917811</v>
      </c>
      <c r="F69" s="67">
        <f>(F19+F23+F24+F25)*INDEX('Company1153 Assumptions'!G$59:G$61,MATCH($D$5,'Company1153 Assumptions'!$C$59:$C$61,0))/365</f>
        <v>20618.232296602739</v>
      </c>
      <c r="G69" s="67">
        <f>(G19+G23+G24+G25)*INDEX('Company1153 Assumptions'!H$59:H$61,MATCH($D$5,'Company1153 Assumptions'!$C$59:$C$61,0))/365</f>
        <v>23044.590785460619</v>
      </c>
      <c r="H69" s="67">
        <f>(H19+H23+H24+H25)*INDEX('Company1153 Assumptions'!I$59:I$61,MATCH($D$5,'Company1153 Assumptions'!$C$59:$C$61,0))/365</f>
        <v>24783.301617270718</v>
      </c>
      <c r="I69" s="67">
        <f>(I19+I23+I24+I25)*INDEX('Company1153 Assumptions'!J$59:J$61,MATCH($D$5,'Company1153 Assumptions'!$C$59:$C$61,0))/365</f>
        <v>27239.110411977348</v>
      </c>
      <c r="J69" s="67">
        <f>(J19+J23+J24+J25)*INDEX('Company1153 Assumptions'!K$59:K$61,MATCH($D$5,'Company1153 Assumptions'!$C$59:$C$61,0))/365</f>
        <v>28913.251231627626</v>
      </c>
    </row>
    <row r="70" spans="2:10" ht="15.75" customHeight="1" x14ac:dyDescent="0.25">
      <c r="B70" s="26" t="s">
        <v>78</v>
      </c>
      <c r="C70" s="65">
        <v>12000</v>
      </c>
      <c r="D70" s="67">
        <f>C70*(1+'Company1153 Assumptions'!E$65)</f>
        <v>13000</v>
      </c>
      <c r="E70" s="67">
        <f>D70*(1+'Company1153 Assumptions'!F$65)</f>
        <v>14000</v>
      </c>
      <c r="F70" s="67">
        <f>E70*(1+'Company1153 Assumptions'!G$65)</f>
        <v>14840</v>
      </c>
      <c r="G70" s="67">
        <f>F70*(1+'Company1153 Assumptions'!H$65)</f>
        <v>15730.400000000001</v>
      </c>
      <c r="H70" s="67">
        <f>G70*(1+'Company1153 Assumptions'!I$65)</f>
        <v>16674.224000000002</v>
      </c>
      <c r="I70" s="67">
        <f>H70*(1+'Company1153 Assumptions'!J$65)</f>
        <v>17674.677440000003</v>
      </c>
      <c r="J70" s="67">
        <f>I70*(1+'Company1153 Assumptions'!K$65)</f>
        <v>18735.158086400003</v>
      </c>
    </row>
    <row r="71" spans="2:10" ht="15.75" customHeight="1" x14ac:dyDescent="0.25">
      <c r="B71" s="27" t="s">
        <v>79</v>
      </c>
      <c r="C71" s="68">
        <f t="shared" ref="C71:J71" si="17">SUM(C69:C70)</f>
        <v>27140.98349589041</v>
      </c>
      <c r="D71" s="68">
        <f t="shared" si="17"/>
        <v>29857.728136986301</v>
      </c>
      <c r="E71" s="68">
        <f t="shared" si="17"/>
        <v>32800.057621917811</v>
      </c>
      <c r="F71" s="68">
        <f t="shared" si="17"/>
        <v>35458.232296602742</v>
      </c>
      <c r="G71" s="68">
        <f t="shared" si="17"/>
        <v>38774.990785460621</v>
      </c>
      <c r="H71" s="68">
        <f t="shared" si="17"/>
        <v>41457.525617270716</v>
      </c>
      <c r="I71" s="68">
        <f t="shared" si="17"/>
        <v>44913.787851977351</v>
      </c>
      <c r="J71" s="68">
        <f t="shared" si="17"/>
        <v>47648.409318027625</v>
      </c>
    </row>
    <row r="73" spans="2:10" ht="15.75" customHeight="1" x14ac:dyDescent="0.25">
      <c r="B73" s="25" t="s">
        <v>80</v>
      </c>
      <c r="C73" s="65">
        <v>15000</v>
      </c>
      <c r="D73" s="65">
        <v>14000</v>
      </c>
      <c r="E73" s="65">
        <v>13000</v>
      </c>
      <c r="F73" s="65">
        <v>12500</v>
      </c>
      <c r="G73" s="65">
        <v>12000</v>
      </c>
      <c r="H73" s="65">
        <v>11500</v>
      </c>
      <c r="I73" s="65">
        <v>11000</v>
      </c>
      <c r="J73" s="65">
        <v>10500</v>
      </c>
    </row>
    <row r="74" spans="2:10" ht="15.75" customHeight="1" x14ac:dyDescent="0.25">
      <c r="B74" s="27" t="s">
        <v>81</v>
      </c>
      <c r="C74" s="68">
        <f t="shared" ref="C74:J74" si="18">C71+C73</f>
        <v>42140.98349589041</v>
      </c>
      <c r="D74" s="68">
        <f t="shared" si="18"/>
        <v>43857.728136986305</v>
      </c>
      <c r="E74" s="68">
        <f t="shared" si="18"/>
        <v>45800.057621917811</v>
      </c>
      <c r="F74" s="68">
        <f t="shared" si="18"/>
        <v>47958.232296602742</v>
      </c>
      <c r="G74" s="68">
        <f t="shared" si="18"/>
        <v>50774.990785460621</v>
      </c>
      <c r="H74" s="68">
        <f t="shared" si="18"/>
        <v>52957.525617270716</v>
      </c>
      <c r="I74" s="68">
        <f t="shared" si="18"/>
        <v>55913.787851977351</v>
      </c>
      <c r="J74" s="68">
        <f t="shared" si="18"/>
        <v>58148.409318027625</v>
      </c>
    </row>
    <row r="76" spans="2:10" ht="15" customHeight="1" x14ac:dyDescent="0.25">
      <c r="B76" s="25" t="s">
        <v>82</v>
      </c>
    </row>
    <row r="77" spans="2:10" ht="15.75" customHeight="1" x14ac:dyDescent="0.25">
      <c r="B77" s="26" t="s">
        <v>115</v>
      </c>
      <c r="C77" s="65">
        <v>50000</v>
      </c>
      <c r="D77" s="66">
        <f>C77+D90</f>
        <v>72797.149999999994</v>
      </c>
      <c r="E77" s="66">
        <f t="shared" ref="E77:J77" si="19">D77+E90</f>
        <v>98617.993999999992</v>
      </c>
      <c r="F77" s="66">
        <f t="shared" si="19"/>
        <v>126358.84472499999</v>
      </c>
      <c r="G77" s="66">
        <f t="shared" si="19"/>
        <v>156198.579007375</v>
      </c>
      <c r="H77" s="66">
        <f t="shared" si="19"/>
        <v>187632.22603931875</v>
      </c>
      <c r="I77" s="66">
        <f t="shared" si="19"/>
        <v>220833.50967747573</v>
      </c>
      <c r="J77" s="66">
        <f t="shared" si="19"/>
        <v>255297.68746529066</v>
      </c>
    </row>
    <row r="78" spans="2:10" ht="15.75" customHeight="1" x14ac:dyDescent="0.25">
      <c r="B78" s="26" t="s">
        <v>114</v>
      </c>
      <c r="C78" s="65">
        <v>24855.843769863</v>
      </c>
      <c r="D78" s="66">
        <f ca="1">C78+D102</f>
        <v>49780.465641664006</v>
      </c>
      <c r="E78" s="66">
        <f t="shared" ref="E78:J78" ca="1" si="20">D78+E102</f>
        <v>77929.656495256088</v>
      </c>
      <c r="F78" s="66">
        <f t="shared" ca="1" si="20"/>
        <v>109705.12161385907</v>
      </c>
      <c r="G78" s="66">
        <f t="shared" ca="1" si="20"/>
        <v>147850.19780197224</v>
      </c>
      <c r="H78" s="66">
        <f t="shared" ca="1" si="20"/>
        <v>187534.35590352898</v>
      </c>
      <c r="I78" s="66">
        <f t="shared" ca="1" si="20"/>
        <v>233615.44262359873</v>
      </c>
      <c r="J78" s="66">
        <f t="shared" ca="1" si="20"/>
        <v>280274.68941686471</v>
      </c>
    </row>
    <row r="79" spans="2:10" ht="15.75" customHeight="1" x14ac:dyDescent="0.25">
      <c r="B79" s="26" t="s">
        <v>83</v>
      </c>
      <c r="C79" s="65">
        <v>150000</v>
      </c>
      <c r="D79" s="66">
        <f ca="1">C79+D88</f>
        <v>175857.46887062053</v>
      </c>
      <c r="E79" s="66">
        <f t="shared" ref="E79:J79" ca="1" si="21">D79+E88</f>
        <v>206145.44185714514</v>
      </c>
      <c r="F79" s="66">
        <f t="shared" ca="1" si="21"/>
        <v>242170.98498046445</v>
      </c>
      <c r="G79" s="66">
        <f t="shared" ca="1" si="21"/>
        <v>284508.24634350039</v>
      </c>
      <c r="H79" s="66">
        <f t="shared" ca="1" si="21"/>
        <v>333849.2644428903</v>
      </c>
      <c r="I79" s="66">
        <f t="shared" ca="1" si="21"/>
        <v>390003.60986132664</v>
      </c>
      <c r="J79" s="66">
        <f t="shared" ca="1" si="21"/>
        <v>454050.97088371124</v>
      </c>
    </row>
    <row r="80" spans="2:10" ht="15.75" customHeight="1" x14ac:dyDescent="0.25">
      <c r="B80" s="27" t="s">
        <v>84</v>
      </c>
      <c r="C80" s="68">
        <f>C77-C78+C79</f>
        <v>175144.15623013698</v>
      </c>
      <c r="D80" s="68">
        <f t="shared" ref="D80:J80" ca="1" si="22">D77-D78+D79</f>
        <v>198874.15322895651</v>
      </c>
      <c r="E80" s="68">
        <f t="shared" ca="1" si="22"/>
        <v>226833.77936188906</v>
      </c>
      <c r="F80" s="68">
        <f t="shared" ca="1" si="22"/>
        <v>258824.70809160537</v>
      </c>
      <c r="G80" s="68">
        <f t="shared" ca="1" si="22"/>
        <v>292856.62754890311</v>
      </c>
      <c r="H80" s="68">
        <f t="shared" ca="1" si="22"/>
        <v>333947.13457868004</v>
      </c>
      <c r="I80" s="68">
        <f t="shared" ca="1" si="22"/>
        <v>377221.67691520363</v>
      </c>
      <c r="J80" s="68">
        <f t="shared" ca="1" si="22"/>
        <v>429073.96893213718</v>
      </c>
    </row>
    <row r="81" spans="2:10" ht="15" customHeight="1" thickBot="1" x14ac:dyDescent="0.3"/>
    <row r="82" spans="2:10" ht="15.75" customHeight="1" thickBot="1" x14ac:dyDescent="0.3">
      <c r="B82" s="23" t="s">
        <v>85</v>
      </c>
      <c r="C82" s="69">
        <f t="shared" ref="C82:J82" si="23">C74+C80</f>
        <v>217285.13972602738</v>
      </c>
      <c r="D82" s="69">
        <f t="shared" ca="1" si="23"/>
        <v>242731.88136594283</v>
      </c>
      <c r="E82" s="69">
        <f t="shared" ca="1" si="23"/>
        <v>272633.83698380686</v>
      </c>
      <c r="F82" s="69">
        <f t="shared" ca="1" si="23"/>
        <v>306782.94038820814</v>
      </c>
      <c r="G82" s="69">
        <f t="shared" ca="1" si="23"/>
        <v>343631.61833436374</v>
      </c>
      <c r="H82" s="69">
        <f t="shared" ca="1" si="23"/>
        <v>386904.66019595077</v>
      </c>
      <c r="I82" s="69">
        <f t="shared" ca="1" si="23"/>
        <v>433135.46476718097</v>
      </c>
      <c r="J82" s="69">
        <f t="shared" ca="1" si="23"/>
        <v>487222.37825016479</v>
      </c>
    </row>
    <row r="83" spans="2:10" ht="15" customHeight="1" thickTop="1" x14ac:dyDescent="0.25"/>
    <row r="84" spans="2:10" ht="15.75" customHeight="1" x14ac:dyDescent="0.25">
      <c r="B84" s="29" t="s">
        <v>86</v>
      </c>
      <c r="C84" s="66">
        <f t="shared" ref="C84:J84" si="24">C64-C82</f>
        <v>0</v>
      </c>
      <c r="D84" s="66">
        <f t="shared" ca="1" si="24"/>
        <v>0</v>
      </c>
      <c r="E84" s="66">
        <f t="shared" ca="1" si="24"/>
        <v>0</v>
      </c>
      <c r="F84" s="66">
        <f t="shared" ca="1" si="24"/>
        <v>0</v>
      </c>
      <c r="G84" s="66">
        <f t="shared" ca="1" si="24"/>
        <v>0</v>
      </c>
      <c r="H84" s="66">
        <f t="shared" ca="1" si="24"/>
        <v>0</v>
      </c>
      <c r="I84" s="66">
        <f t="shared" ca="1" si="24"/>
        <v>0</v>
      </c>
      <c r="J84" s="66">
        <f t="shared" ca="1" si="24"/>
        <v>0</v>
      </c>
    </row>
    <row r="85" spans="2:10" ht="15" customHeight="1" thickBot="1" x14ac:dyDescent="0.3"/>
    <row r="86" spans="2:10" ht="15.75" customHeight="1" thickBot="1" x14ac:dyDescent="0.3">
      <c r="B86" s="64" t="s">
        <v>87</v>
      </c>
      <c r="C86" s="64"/>
      <c r="D86" s="64"/>
      <c r="E86" s="64"/>
      <c r="F86" s="64"/>
      <c r="G86" s="64"/>
      <c r="H86" s="64"/>
      <c r="I86" s="64"/>
      <c r="J86" s="64"/>
    </row>
    <row r="87" spans="2:10" ht="13.5" customHeight="1" x14ac:dyDescent="0.25">
      <c r="B87" s="25" t="s">
        <v>88</v>
      </c>
    </row>
    <row r="88" spans="2:10" ht="15.75" customHeight="1" x14ac:dyDescent="0.25">
      <c r="B88" s="26" t="s">
        <v>89</v>
      </c>
      <c r="C88" s="66"/>
      <c r="D88" s="66" cm="1">
        <f t="array" aca="1" ref="D88" ca="1">D37</f>
        <v>25857.468870620527</v>
      </c>
      <c r="E88" s="66" cm="1">
        <f t="array" aca="1" ref="E88" ca="1">E37</f>
        <v>30287.972986524601</v>
      </c>
      <c r="F88" s="66" cm="1">
        <f t="array" aca="1" ref="F88" ca="1">F37</f>
        <v>36025.543123319323</v>
      </c>
      <c r="G88" s="66" cm="1">
        <f t="array" aca="1" ref="G88" ca="1">G37</f>
        <v>42337.261363035963</v>
      </c>
      <c r="H88" s="66" cm="1">
        <f t="array" aca="1" ref="H88" ca="1">H37</f>
        <v>49341.018099389919</v>
      </c>
      <c r="I88" s="66" cm="1">
        <f t="array" aca="1" ref="I88" ca="1">I37</f>
        <v>56154.345418436322</v>
      </c>
      <c r="J88" s="66" cm="1">
        <f t="array" aca="1" ref="J88" ca="1">J37</f>
        <v>64047.361022384612</v>
      </c>
    </row>
    <row r="89" spans="2:10" ht="15.75" customHeight="1" x14ac:dyDescent="0.25">
      <c r="B89" s="26" t="s">
        <v>90</v>
      </c>
      <c r="C89" s="65"/>
      <c r="D89" s="67">
        <f>C$97*INDEX('Company1153 Assumptions'!E$73:E$75,MATCH($D$5,'Company1153 Assumptions'!$C$73:$C$75,0))</f>
        <v>19152.612499999999</v>
      </c>
      <c r="E89" s="67">
        <f>D$97*INDEX('Company1153 Assumptions'!F$73:F$75,MATCH($D$5,'Company1153 Assumptions'!$C$73:$C$75,0))</f>
        <v>22173.227999999999</v>
      </c>
      <c r="F89" s="67">
        <f>E$97*INDEX('Company1153 Assumptions'!G$73:G$75,MATCH($D$5,'Company1153 Assumptions'!$C$73:$C$75,0))</f>
        <v>25820.844000000001</v>
      </c>
      <c r="G89" s="67">
        <f>F$97*INDEX('Company1153 Assumptions'!H$73:H$75,MATCH($D$5,'Company1153 Assumptions'!$C$73:$C$75,0))</f>
        <v>27594.846247499998</v>
      </c>
      <c r="H89" s="67">
        <f>G$97*INDEX('Company1153 Assumptions'!I$73:I$75,MATCH($D$5,'Company1153 Assumptions'!$C$73:$C$75,0))</f>
        <v>29198.019566624997</v>
      </c>
      <c r="I89" s="67">
        <f>H$97*INDEX('Company1153 Assumptions'!J$73:J$75,MATCH($D$5,'Company1153 Assumptions'!$C$73:$C$75,0))</f>
        <v>30560.490169945311</v>
      </c>
      <c r="J89" s="67">
        <f>I$97*INDEX('Company1153 Assumptions'!K$73:K$75,MATCH($D$5,'Company1153 Assumptions'!$C$73:$C$75,0))</f>
        <v>31692.134381877106</v>
      </c>
    </row>
    <row r="90" spans="2:10" ht="15.75" customHeight="1" x14ac:dyDescent="0.25">
      <c r="B90" s="26" t="s">
        <v>91</v>
      </c>
      <c r="C90" s="66"/>
      <c r="D90" s="66" cm="1">
        <f t="array" ref="D90">D26</f>
        <v>22797.15</v>
      </c>
      <c r="E90" s="66" cm="1">
        <f t="array" ref="E90">E26</f>
        <v>25820.844000000001</v>
      </c>
      <c r="F90" s="66" cm="1">
        <f t="array" ref="F90">F26</f>
        <v>27740.850724999997</v>
      </c>
      <c r="G90" s="66" cm="1">
        <f t="array" ref="G90">G26</f>
        <v>29839.734282375004</v>
      </c>
      <c r="H90" s="66" cm="1">
        <f t="array" ref="H90">H26</f>
        <v>31433.64703194375</v>
      </c>
      <c r="I90" s="66" cm="1">
        <f t="array" ref="I90">I26</f>
        <v>33201.283638156972</v>
      </c>
      <c r="J90" s="66" cm="1">
        <f t="array" ref="J90">J26</f>
        <v>34464.17778781493</v>
      </c>
    </row>
    <row r="91" spans="2:10" ht="15" customHeight="1" x14ac:dyDescent="0.25">
      <c r="B91" s="30" t="s">
        <v>92</v>
      </c>
    </row>
    <row r="92" spans="2:10" ht="15.75" customHeight="1" x14ac:dyDescent="0.25">
      <c r="B92" s="31" t="s">
        <v>105</v>
      </c>
      <c r="D92" s="66">
        <f>-(SUM(D52:D53)-SUM(C52:C53))</f>
        <v>-2615.1068493150669</v>
      </c>
      <c r="E92" s="66">
        <f t="shared" ref="E92:J92" si="25">-(SUM(E52:E53)-SUM(D52:D53))</f>
        <v>-2805.2000000000044</v>
      </c>
      <c r="F92" s="66">
        <f t="shared" si="25"/>
        <v>-4070.6819999999934</v>
      </c>
      <c r="G92" s="66">
        <f t="shared" si="25"/>
        <v>-3255.3778750000056</v>
      </c>
      <c r="H92" s="66">
        <f t="shared" si="25"/>
        <v>-4025.7215043749966</v>
      </c>
      <c r="I92" s="66">
        <f t="shared" si="25"/>
        <v>-2971.2918835112578</v>
      </c>
      <c r="J92" s="66">
        <f t="shared" si="25"/>
        <v>-3973.635188079119</v>
      </c>
    </row>
    <row r="93" spans="2:10" ht="15.75" customHeight="1" x14ac:dyDescent="0.25">
      <c r="B93" s="31" t="s">
        <v>106</v>
      </c>
      <c r="D93" s="66">
        <f t="shared" ref="D93:J93" si="26">SUM(D69:D70)-SUM(C69:C70)</f>
        <v>2716.744641095891</v>
      </c>
      <c r="E93" s="66">
        <f t="shared" si="26"/>
        <v>2942.3294849315098</v>
      </c>
      <c r="F93" s="66">
        <f t="shared" si="26"/>
        <v>2658.1746746849312</v>
      </c>
      <c r="G93" s="66">
        <f t="shared" si="26"/>
        <v>3316.7584888578785</v>
      </c>
      <c r="H93" s="66">
        <f t="shared" si="26"/>
        <v>2682.5348318100951</v>
      </c>
      <c r="I93" s="66">
        <f t="shared" si="26"/>
        <v>3456.2622347066354</v>
      </c>
      <c r="J93" s="66">
        <f t="shared" si="26"/>
        <v>2734.6214660502737</v>
      </c>
    </row>
    <row r="94" spans="2:10" ht="15.75" customHeight="1" x14ac:dyDescent="0.25">
      <c r="B94" s="32" t="s">
        <v>93</v>
      </c>
      <c r="C94" s="68"/>
      <c r="D94" s="68">
        <f t="shared" ref="D94:J94" ca="1" si="27">SUM(D88:D93)</f>
        <v>67908.869162401345</v>
      </c>
      <c r="E94" s="68">
        <f t="shared" ca="1" si="27"/>
        <v>78419.174471456121</v>
      </c>
      <c r="F94" s="68">
        <f t="shared" ca="1" si="27"/>
        <v>88174.730523004255</v>
      </c>
      <c r="G94" s="68">
        <f t="shared" ca="1" si="27"/>
        <v>99833.222506768827</v>
      </c>
      <c r="H94" s="68">
        <f t="shared" ca="1" si="27"/>
        <v>108629.49802539378</v>
      </c>
      <c r="I94" s="68">
        <f t="shared" ca="1" si="27"/>
        <v>120401.08957773398</v>
      </c>
      <c r="J94" s="68">
        <f t="shared" ca="1" si="27"/>
        <v>128964.6594700478</v>
      </c>
    </row>
    <row r="96" spans="2:10" ht="15" customHeight="1" x14ac:dyDescent="0.25">
      <c r="B96" s="25" t="s">
        <v>94</v>
      </c>
    </row>
    <row r="97" spans="2:10" ht="15.75" customHeight="1" x14ac:dyDescent="0.25">
      <c r="B97" s="26" t="s">
        <v>95</v>
      </c>
      <c r="C97" s="67">
        <f>C$16*INDEX('Company1153 Assumptions'!D$69:D$71,MATCH($D$5,'Company1153 Assumptions'!$C$69:$C$71,0))</f>
        <v>27360.875</v>
      </c>
      <c r="D97" s="67">
        <f>D$16*INDEX('Company1153 Assumptions'!E$69:E$71,MATCH($D$5,'Company1153 Assumptions'!$C$69:$C$71,0))</f>
        <v>31676.04</v>
      </c>
      <c r="E97" s="67">
        <f>E$16*INDEX('Company1153 Assumptions'!F$69:F$71,MATCH($D$5,'Company1153 Assumptions'!$C$69:$C$71,0))</f>
        <v>36886.920000000006</v>
      </c>
      <c r="F97" s="67">
        <f>F$16*INDEX('Company1153 Assumptions'!G$69:G$71,MATCH($D$5,'Company1153 Assumptions'!$C$69:$C$71,0))</f>
        <v>39421.208924999999</v>
      </c>
      <c r="G97" s="67">
        <f>G$16*INDEX('Company1153 Assumptions'!H$69:H$71,MATCH($D$5,'Company1153 Assumptions'!$C$69:$C$71,0))</f>
        <v>41711.456523749999</v>
      </c>
      <c r="H97" s="67">
        <f>H$16*INDEX('Company1153 Assumptions'!I$69:I$71,MATCH($D$5,'Company1153 Assumptions'!$C$69:$C$71,0))</f>
        <v>43657.843099921876</v>
      </c>
      <c r="I97" s="67">
        <f>I$16*INDEX('Company1153 Assumptions'!J$69:J$71,MATCH($D$5,'Company1153 Assumptions'!$C$69:$C$71,0))</f>
        <v>45274.477688395869</v>
      </c>
      <c r="J97" s="67">
        <f>J$16*INDEX('Company1153 Assumptions'!K$69:K$71,MATCH($D$5,'Company1153 Assumptions'!$C$69:$C$71,0))</f>
        <v>46628.005242337851</v>
      </c>
    </row>
    <row r="98" spans="2:10" ht="15.75" customHeight="1" x14ac:dyDescent="0.25">
      <c r="B98" s="26" t="s">
        <v>117</v>
      </c>
      <c r="C98" s="67"/>
      <c r="D98" s="66">
        <f>D61-C61</f>
        <v>3000</v>
      </c>
      <c r="E98" s="66">
        <f t="shared" ref="E98:J98" si="28">E61-D61</f>
        <v>4000.0000000000073</v>
      </c>
      <c r="F98" s="66">
        <f t="shared" si="28"/>
        <v>3360</v>
      </c>
      <c r="G98" s="66">
        <f t="shared" si="28"/>
        <v>3628.8000000000029</v>
      </c>
      <c r="H98" s="66">
        <f t="shared" si="28"/>
        <v>3919.1040000000066</v>
      </c>
      <c r="I98" s="66">
        <f t="shared" si="28"/>
        <v>4232.6323200000043</v>
      </c>
      <c r="J98" s="66">
        <f t="shared" si="28"/>
        <v>4571.2429056000037</v>
      </c>
    </row>
    <row r="99" spans="2:10" ht="15.75" customHeight="1" x14ac:dyDescent="0.25">
      <c r="B99" s="32" t="s">
        <v>96</v>
      </c>
      <c r="C99" s="68"/>
      <c r="D99" s="68">
        <f>-D97-D98</f>
        <v>-34676.04</v>
      </c>
      <c r="E99" s="68">
        <f t="shared" ref="E99:J99" si="29">-E97-E98</f>
        <v>-40886.920000000013</v>
      </c>
      <c r="F99" s="68">
        <f t="shared" si="29"/>
        <v>-42781.208924999999</v>
      </c>
      <c r="G99" s="68">
        <f t="shared" si="29"/>
        <v>-45340.256523750002</v>
      </c>
      <c r="H99" s="68">
        <f t="shared" si="29"/>
        <v>-47576.947099921883</v>
      </c>
      <c r="I99" s="68">
        <f t="shared" si="29"/>
        <v>-49507.110008395874</v>
      </c>
      <c r="J99" s="68">
        <f t="shared" si="29"/>
        <v>-51199.248147937855</v>
      </c>
    </row>
    <row r="101" spans="2:10" ht="13.5" customHeight="1" x14ac:dyDescent="0.25">
      <c r="B101" s="25" t="s">
        <v>97</v>
      </c>
    </row>
    <row r="102" spans="2:10" ht="15.75" customHeight="1" x14ac:dyDescent="0.25">
      <c r="B102" s="26" t="s">
        <v>98</v>
      </c>
      <c r="C102" s="70"/>
      <c r="D102" s="67">
        <f ca="1">MAX(D94+D99,0)*INDEX('Company1153 Assumptions'!E$98:E$100,MATCH($D$5,'Company1153 Assumptions'!$C$98:$C$100,0))</f>
        <v>24924.621871801006</v>
      </c>
      <c r="E102" s="67">
        <f ca="1">MAX(E94+E99,0)*INDEX('Company1153 Assumptions'!F$98:F$100,MATCH($D$5,'Company1153 Assumptions'!$C$98:$C$100,0))</f>
        <v>28149.190853592081</v>
      </c>
      <c r="F102" s="67">
        <f ca="1">MAX(F94+F99,0)*INDEX('Company1153 Assumptions'!G$98:G$100,MATCH($D$5,'Company1153 Assumptions'!$C$98:$C$100,0))</f>
        <v>31775.465118602977</v>
      </c>
      <c r="G102" s="67">
        <f ca="1">MAX(G94+G99,0)*INDEX('Company1153 Assumptions'!H$98:H$100,MATCH($D$5,'Company1153 Assumptions'!$C$98:$C$100,0))</f>
        <v>38145.076188113177</v>
      </c>
      <c r="H102" s="67">
        <f ca="1">MAX(H94+H99,0)*INDEX('Company1153 Assumptions'!I$98:I$100,MATCH($D$5,'Company1153 Assumptions'!$C$98:$C$100,0))</f>
        <v>39684.158101556735</v>
      </c>
      <c r="I102" s="67">
        <f ca="1">MAX(I94+I99,0)*INDEX('Company1153 Assumptions'!J$98:J$100,MATCH($D$5,'Company1153 Assumptions'!$C$98:$C$100,0))</f>
        <v>46081.086720069768</v>
      </c>
      <c r="J102" s="67">
        <f ca="1">MAX(J94+J99,0)*INDEX('Company1153 Assumptions'!K$98:K$100,MATCH($D$5,'Company1153 Assumptions'!$C$98:$C$100,0))</f>
        <v>46659.246793265971</v>
      </c>
    </row>
    <row r="103" spans="2:10" ht="15.75" customHeight="1" x14ac:dyDescent="0.25">
      <c r="B103" s="26" t="s">
        <v>99</v>
      </c>
      <c r="C103" s="65"/>
      <c r="D103" s="66">
        <f>-D$73+C$73</f>
        <v>1000</v>
      </c>
      <c r="E103" s="66">
        <f t="shared" ref="E103:J103" si="30">-E$73+D$73</f>
        <v>1000</v>
      </c>
      <c r="F103" s="66">
        <f t="shared" si="30"/>
        <v>500</v>
      </c>
      <c r="G103" s="66">
        <f t="shared" si="30"/>
        <v>500</v>
      </c>
      <c r="H103" s="66">
        <f t="shared" si="30"/>
        <v>500</v>
      </c>
      <c r="I103" s="66">
        <f t="shared" si="30"/>
        <v>500</v>
      </c>
      <c r="J103" s="66">
        <f t="shared" si="30"/>
        <v>500</v>
      </c>
    </row>
    <row r="104" spans="2:10" ht="15.75" customHeight="1" x14ac:dyDescent="0.25">
      <c r="B104" s="32" t="s">
        <v>100</v>
      </c>
      <c r="C104" s="68"/>
      <c r="D104" s="68">
        <f ca="1">-D102-D103</f>
        <v>-25924.621871801006</v>
      </c>
      <c r="E104" s="68">
        <f t="shared" ref="E104:J104" ca="1" si="31">-E102-E103</f>
        <v>-29149.190853592081</v>
      </c>
      <c r="F104" s="68">
        <f t="shared" ca="1" si="31"/>
        <v>-32275.465118602977</v>
      </c>
      <c r="G104" s="68">
        <f t="shared" ca="1" si="31"/>
        <v>-38645.076188113177</v>
      </c>
      <c r="H104" s="68">
        <f t="shared" ca="1" si="31"/>
        <v>-40184.158101556735</v>
      </c>
      <c r="I104" s="68">
        <f t="shared" ca="1" si="31"/>
        <v>-46581.086720069768</v>
      </c>
      <c r="J104" s="68">
        <f t="shared" ca="1" si="31"/>
        <v>-47159.246793265971</v>
      </c>
    </row>
    <row r="106" spans="2:10" ht="15.75" customHeight="1" x14ac:dyDescent="0.25">
      <c r="B106" s="33" t="s">
        <v>101</v>
      </c>
      <c r="C106" s="66"/>
      <c r="D106" s="66">
        <f t="shared" ref="D106:J106" ca="1" si="32">D94+D99+D104</f>
        <v>7308.2072906003377</v>
      </c>
      <c r="E106" s="66">
        <f t="shared" ca="1" si="32"/>
        <v>8383.063617864027</v>
      </c>
      <c r="F106" s="66">
        <f t="shared" ca="1" si="32"/>
        <v>13118.056479401279</v>
      </c>
      <c r="G106" s="66">
        <f t="shared" ca="1" si="32"/>
        <v>15847.889794905648</v>
      </c>
      <c r="H106" s="66">
        <f t="shared" ca="1" si="32"/>
        <v>20868.392823915165</v>
      </c>
      <c r="I106" s="66">
        <f t="shared" ca="1" si="32"/>
        <v>24312.892849268334</v>
      </c>
      <c r="J106" s="66">
        <f t="shared" ca="1" si="32"/>
        <v>30606.164528843983</v>
      </c>
    </row>
    <row r="107" spans="2:10" ht="15.75" customHeight="1" thickBot="1" x14ac:dyDescent="0.3">
      <c r="B107" s="34" t="s">
        <v>102</v>
      </c>
      <c r="C107" s="66"/>
      <c r="D107" s="66">
        <f t="shared" ref="D107:J107" si="33">C$108</f>
        <v>90000</v>
      </c>
      <c r="E107" s="66">
        <f t="shared" ca="1" si="33"/>
        <v>97308.207290600345</v>
      </c>
      <c r="F107" s="66">
        <f t="shared" ca="1" si="33"/>
        <v>105691.27090846437</v>
      </c>
      <c r="G107" s="66">
        <f t="shared" ca="1" si="33"/>
        <v>118809.32738786565</v>
      </c>
      <c r="H107" s="66">
        <f t="shared" ca="1" si="33"/>
        <v>134657.2171827713</v>
      </c>
      <c r="I107" s="66">
        <f t="shared" ca="1" si="33"/>
        <v>155525.61000668647</v>
      </c>
      <c r="J107" s="66">
        <f t="shared" ca="1" si="33"/>
        <v>179838.50285595481</v>
      </c>
    </row>
    <row r="108" spans="2:10" ht="15.75" customHeight="1" thickBot="1" x14ac:dyDescent="0.3">
      <c r="B108" s="23" t="s">
        <v>103</v>
      </c>
      <c r="C108" s="69">
        <f>C51</f>
        <v>90000</v>
      </c>
      <c r="D108" s="69">
        <f t="shared" ref="D108:J108" ca="1" si="34">D106+D107</f>
        <v>97308.207290600345</v>
      </c>
      <c r="E108" s="69">
        <f t="shared" ca="1" si="34"/>
        <v>105691.27090846437</v>
      </c>
      <c r="F108" s="69">
        <f t="shared" ca="1" si="34"/>
        <v>118809.32738786565</v>
      </c>
      <c r="G108" s="69">
        <f t="shared" ca="1" si="34"/>
        <v>134657.2171827713</v>
      </c>
      <c r="H108" s="69">
        <f t="shared" ca="1" si="34"/>
        <v>155525.61000668647</v>
      </c>
      <c r="I108" s="69">
        <f t="shared" ca="1" si="34"/>
        <v>179838.50285595481</v>
      </c>
      <c r="J108" s="69">
        <f t="shared" ca="1" si="34"/>
        <v>210444.66738479878</v>
      </c>
    </row>
    <row r="109" spans="2:10" ht="15" customHeight="1" thickTop="1" x14ac:dyDescent="0.25"/>
    <row r="110" spans="2:10" ht="15.75" customHeight="1" x14ac:dyDescent="0.25">
      <c r="B110" s="29" t="s">
        <v>104</v>
      </c>
      <c r="C110" s="66">
        <f t="shared" ref="C110:J110" si="35">C108-C51</f>
        <v>0</v>
      </c>
      <c r="D110" s="66">
        <f t="shared" ca="1" si="35"/>
        <v>0</v>
      </c>
      <c r="E110" s="66">
        <f t="shared" ca="1" si="35"/>
        <v>0</v>
      </c>
      <c r="F110" s="66">
        <f t="shared" ca="1" si="35"/>
        <v>0</v>
      </c>
      <c r="G110" s="66">
        <f t="shared" ca="1" si="35"/>
        <v>0</v>
      </c>
      <c r="H110" s="66">
        <f t="shared" ca="1" si="35"/>
        <v>0</v>
      </c>
      <c r="I110" s="66">
        <f t="shared" ca="1" si="35"/>
        <v>0</v>
      </c>
      <c r="J110" s="66">
        <f t="shared" ca="1" si="35"/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2"/>
  <sheetViews>
    <sheetView showGridLines="0" tabSelected="1" zoomScaleNormal="100" workbookViewId="0"/>
  </sheetViews>
  <sheetFormatPr defaultColWidth="7.75" defaultRowHeight="15" customHeight="1" x14ac:dyDescent="0.25"/>
  <cols>
    <col min="2" max="2" width="41.75" bestFit="1" customWidth="1"/>
    <col min="3" max="10" width="10" customWidth="1"/>
  </cols>
  <sheetData>
    <row r="2" spans="2:10" ht="18" customHeight="1" x14ac:dyDescent="0.25">
      <c r="B2" s="17" t="s">
        <v>60</v>
      </c>
    </row>
    <row r="3" spans="2:10" ht="13.5" customHeight="1" x14ac:dyDescent="0.25">
      <c r="B3" s="18" t="s">
        <v>44</v>
      </c>
    </row>
    <row r="5" spans="2:10" ht="15.75" customHeight="1" x14ac:dyDescent="0.25">
      <c r="B5" t="s">
        <v>3</v>
      </c>
      <c r="D5" s="19" t="str" cm="1">
        <f t="array" ref="D5">'Company1808 Assumptions'!D6</f>
        <v>Base</v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50"/>
      <c r="C8" s="51">
        <v>2021</v>
      </c>
      <c r="D8" s="51">
        <v>2022</v>
      </c>
      <c r="E8" s="51">
        <v>2023</v>
      </c>
      <c r="F8" s="51">
        <v>2024</v>
      </c>
      <c r="G8" s="51">
        <v>2025</v>
      </c>
      <c r="H8" s="51">
        <v>2026</v>
      </c>
      <c r="I8" s="51">
        <v>2027</v>
      </c>
      <c r="J8" s="51">
        <v>2028</v>
      </c>
    </row>
    <row r="9" spans="2:10" ht="15" customHeight="1" x14ac:dyDescent="0.25">
      <c r="B9" s="50"/>
      <c r="C9" s="50"/>
      <c r="D9" s="50"/>
      <c r="E9" s="50"/>
      <c r="F9" s="50"/>
      <c r="G9" s="50"/>
      <c r="H9" s="50"/>
      <c r="I9" s="50"/>
      <c r="J9" s="50"/>
    </row>
    <row r="10" spans="2:10" ht="15" customHeight="1" x14ac:dyDescent="0.25">
      <c r="B10" s="6" t="s">
        <v>116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50"/>
      <c r="C11" s="50"/>
      <c r="D11" s="50"/>
      <c r="E11" s="50"/>
      <c r="F11" s="50"/>
      <c r="G11" s="50"/>
      <c r="H11" s="50"/>
      <c r="I11" s="50"/>
      <c r="J11" s="50"/>
    </row>
    <row r="12" spans="2:10" ht="15.75" customHeight="1" x14ac:dyDescent="0.25">
      <c r="B12" s="10" t="s">
        <v>61</v>
      </c>
      <c r="C12" s="52">
        <v>115655</v>
      </c>
      <c r="D12" s="52">
        <v>114450</v>
      </c>
      <c r="E12" s="52">
        <v>133008</v>
      </c>
      <c r="F12" s="53">
        <f>E12*(1+INDEX('Company1808 Assumptions'!G$15:G$17,MATCH($D$5,'Company1808 Assumptions'!$C$15:$C$17,0)))</f>
        <v>148968.96000000002</v>
      </c>
      <c r="G12" s="53">
        <f>F12*(1+INDEX('Company1808 Assumptions'!H$15:H$17,MATCH($D$5,'Company1808 Assumptions'!$C$15:$C$17,0)))</f>
        <v>163865.85600000003</v>
      </c>
      <c r="H12" s="53">
        <f>G12*(1+INDEX('Company1808 Assumptions'!I$15:I$17,MATCH($D$5,'Company1808 Assumptions'!$C$15:$C$17,0)))</f>
        <v>177794.45376000003</v>
      </c>
      <c r="I12" s="53">
        <f>H12*(1+INDEX('Company1808 Assumptions'!J$15:J$17,MATCH($D$5,'Company1808 Assumptions'!$C$15:$C$17,0)))</f>
        <v>191129.03779200002</v>
      </c>
      <c r="J12" s="53">
        <f>I12*(1+INDEX('Company1808 Assumptions'!K$15:K$17,MATCH($D$5,'Company1808 Assumptions'!$C$15:$C$17,0)))</f>
        <v>204508.07043744004</v>
      </c>
    </row>
    <row r="13" spans="2:10" ht="15.75" customHeight="1" x14ac:dyDescent="0.25">
      <c r="B13" s="10" t="s">
        <v>37</v>
      </c>
      <c r="C13" s="52">
        <v>2274</v>
      </c>
      <c r="D13" s="52">
        <v>2159</v>
      </c>
      <c r="E13" s="52">
        <v>1896</v>
      </c>
      <c r="F13" s="53">
        <f>E13*(1+INDEX('Company1808 Assumptions'!G$19:G$21,MATCH($D$5,'Company1808 Assumptions'!$C$19:$C$21,0)))</f>
        <v>2370</v>
      </c>
      <c r="G13" s="53">
        <f>F13*(1+INDEX('Company1808 Assumptions'!H$19:H$21,MATCH($D$5,'Company1808 Assumptions'!$C$19:$C$21,0)))</f>
        <v>3199.5</v>
      </c>
      <c r="H13" s="53">
        <f>G13*(1+INDEX('Company1808 Assumptions'!I$19:I$21,MATCH($D$5,'Company1808 Assumptions'!$C$19:$C$21,0)))</f>
        <v>4639.2749999999996</v>
      </c>
      <c r="I13" s="53">
        <f>H13*(1+INDEX('Company1808 Assumptions'!J$19:J$21,MATCH($D$5,'Company1808 Assumptions'!$C$19:$C$21,0)))</f>
        <v>6494.9849999999988</v>
      </c>
      <c r="J13" s="53">
        <f>I13*(1+INDEX('Company1808 Assumptions'!K$19:K$21,MATCH($D$5,'Company1808 Assumptions'!$C$19:$C$21,0)))</f>
        <v>8768.2297499999986</v>
      </c>
    </row>
    <row r="14" spans="2:10" ht="15.75" customHeight="1" x14ac:dyDescent="0.25">
      <c r="B14" s="32" t="s">
        <v>45</v>
      </c>
      <c r="C14" s="54">
        <f t="shared" ref="C14:J14" si="0">SUM(C12:C13)</f>
        <v>117929</v>
      </c>
      <c r="D14" s="54">
        <f t="shared" si="0"/>
        <v>116609</v>
      </c>
      <c r="E14" s="54">
        <f t="shared" si="0"/>
        <v>134904</v>
      </c>
      <c r="F14" s="54">
        <f t="shared" si="0"/>
        <v>151338.96000000002</v>
      </c>
      <c r="G14" s="54">
        <f t="shared" si="0"/>
        <v>167065.35600000003</v>
      </c>
      <c r="H14" s="54">
        <f t="shared" si="0"/>
        <v>182433.72876000003</v>
      </c>
      <c r="I14" s="54">
        <f t="shared" si="0"/>
        <v>197624.022792</v>
      </c>
      <c r="J14" s="54">
        <f t="shared" si="0"/>
        <v>213276.30018744004</v>
      </c>
    </row>
    <row r="15" spans="2:10" ht="15.75" customHeight="1" x14ac:dyDescent="0.25">
      <c r="B15" s="20" t="s">
        <v>46</v>
      </c>
      <c r="C15" s="50"/>
      <c r="D15" s="55">
        <f t="shared" ref="D15:J15" si="1">D14/C14-1</f>
        <v>-1.1193175554782941E-2</v>
      </c>
      <c r="E15" s="55">
        <f t="shared" si="1"/>
        <v>0.15689183510706717</v>
      </c>
      <c r="F15" s="55">
        <f t="shared" si="1"/>
        <v>0.12182707703255669</v>
      </c>
      <c r="G15" s="55">
        <f t="shared" si="1"/>
        <v>0.10391505267381262</v>
      </c>
      <c r="H15" s="55">
        <f t="shared" si="1"/>
        <v>9.1990183530330505E-2</v>
      </c>
      <c r="I15" s="55">
        <f t="shared" si="1"/>
        <v>8.3264723772562332E-2</v>
      </c>
      <c r="J15" s="55">
        <f t="shared" si="1"/>
        <v>7.9202301290638655E-2</v>
      </c>
    </row>
    <row r="16" spans="2:10" ht="15" customHeight="1" x14ac:dyDescent="0.25">
      <c r="B16" s="50"/>
      <c r="C16" s="50"/>
      <c r="D16" s="50"/>
      <c r="E16" s="50"/>
      <c r="F16" s="50"/>
      <c r="G16" s="50"/>
      <c r="H16" s="50"/>
      <c r="I16" s="50"/>
      <c r="J16" s="50"/>
    </row>
    <row r="17" spans="2:10" ht="15.75" customHeight="1" x14ac:dyDescent="0.25">
      <c r="B17" s="10" t="s">
        <v>47</v>
      </c>
      <c r="C17" s="56">
        <f t="shared" ref="C17:J17" si="2">C14*(1-C19)</f>
        <v>23349.942000000006</v>
      </c>
      <c r="D17" s="56">
        <f t="shared" si="2"/>
        <v>23555.017999999996</v>
      </c>
      <c r="E17" s="56">
        <f t="shared" si="2"/>
        <v>27655.320000000011</v>
      </c>
      <c r="F17" s="56">
        <f t="shared" si="2"/>
        <v>30721.808880000015</v>
      </c>
      <c r="G17" s="56">
        <f t="shared" si="2"/>
        <v>33580.136556000019</v>
      </c>
      <c r="H17" s="56">
        <f t="shared" si="2"/>
        <v>36304.312023240018</v>
      </c>
      <c r="I17" s="56">
        <f t="shared" si="2"/>
        <v>38931.932490023988</v>
      </c>
      <c r="J17" s="56">
        <f t="shared" si="2"/>
        <v>41588.878536550823</v>
      </c>
    </row>
    <row r="18" spans="2:10" ht="15.75" customHeight="1" x14ac:dyDescent="0.25">
      <c r="B18" s="21" t="s">
        <v>48</v>
      </c>
      <c r="C18" s="56">
        <f t="shared" ref="C18:J18" si="3">C14-C17</f>
        <v>94579.05799999999</v>
      </c>
      <c r="D18" s="56">
        <f t="shared" si="3"/>
        <v>93053.982000000004</v>
      </c>
      <c r="E18" s="56">
        <f t="shared" si="3"/>
        <v>107248.68</v>
      </c>
      <c r="F18" s="56">
        <f t="shared" si="3"/>
        <v>120617.15112000001</v>
      </c>
      <c r="G18" s="56">
        <f t="shared" si="3"/>
        <v>133485.21944400002</v>
      </c>
      <c r="H18" s="56">
        <f t="shared" si="3"/>
        <v>146129.41673676</v>
      </c>
      <c r="I18" s="56">
        <f t="shared" si="3"/>
        <v>158692.09030197602</v>
      </c>
      <c r="J18" s="56">
        <f t="shared" si="3"/>
        <v>171687.42165088921</v>
      </c>
    </row>
    <row r="19" spans="2:10" ht="15.75" customHeight="1" x14ac:dyDescent="0.25">
      <c r="B19" s="20" t="s">
        <v>49</v>
      </c>
      <c r="C19" s="57">
        <v>0.80199999999999994</v>
      </c>
      <c r="D19" s="57">
        <v>0.79800000000000004</v>
      </c>
      <c r="E19" s="57">
        <v>0.79499999999999993</v>
      </c>
      <c r="F19" s="57">
        <v>0.79699999999999993</v>
      </c>
      <c r="G19" s="57">
        <v>0.79899999999999993</v>
      </c>
      <c r="H19" s="57">
        <v>0.80099999999999993</v>
      </c>
      <c r="I19" s="57">
        <v>0.80300000000000005</v>
      </c>
      <c r="J19" s="57">
        <v>0.80499999999999994</v>
      </c>
    </row>
    <row r="20" spans="2:10" ht="15" customHeight="1" x14ac:dyDescent="0.25">
      <c r="B20" s="50"/>
      <c r="C20" s="50"/>
      <c r="D20" s="50"/>
      <c r="E20" s="50"/>
      <c r="F20" s="50"/>
      <c r="G20" s="50"/>
      <c r="H20" s="50"/>
      <c r="I20" s="50"/>
      <c r="J20" s="50"/>
    </row>
    <row r="21" spans="2:10" ht="15.75" customHeight="1" x14ac:dyDescent="0.25">
      <c r="B21" s="10" t="s">
        <v>18</v>
      </c>
      <c r="C21" s="53">
        <f>C14*INDEX('Company1808 Assumptions'!D$38:D$40,MATCH($D$5,'Company1808 Assumptions'!$C$38:$C$40,0))</f>
        <v>30071.895</v>
      </c>
      <c r="D21" s="53">
        <f>D14*INDEX('Company1808 Assumptions'!E$38:E$40,MATCH($D$5,'Company1808 Assumptions'!$C$38:$C$40,0))</f>
        <v>31484.43</v>
      </c>
      <c r="E21" s="53">
        <f>E14*INDEX('Company1808 Assumptions'!F$38:F$40,MATCH($D$5,'Company1808 Assumptions'!$C$38:$C$40,0))</f>
        <v>39122.159999999996</v>
      </c>
      <c r="F21" s="53">
        <f>F14*INDEX('Company1808 Assumptions'!G$38:G$40,MATCH($D$5,'Company1808 Assumptions'!$C$38:$C$40,0))</f>
        <v>43131.603600000002</v>
      </c>
      <c r="G21" s="53">
        <f>G14*INDEX('Company1808 Assumptions'!H$38:H$40,MATCH($D$5,'Company1808 Assumptions'!$C$38:$C$40,0))</f>
        <v>46778.299680000011</v>
      </c>
      <c r="H21" s="53">
        <f>H14*INDEX('Company1808 Assumptions'!I$38:I$40,MATCH($D$5,'Company1808 Assumptions'!$C$38:$C$40,0))</f>
        <v>50169.275409000009</v>
      </c>
      <c r="I21" s="53">
        <f>I14*INDEX('Company1808 Assumptions'!J$38:J$40,MATCH($D$5,'Company1808 Assumptions'!$C$38:$C$40,0))</f>
        <v>53358.486153840007</v>
      </c>
      <c r="J21" s="53">
        <f>J14*INDEX('Company1808 Assumptions'!K$38:K$40,MATCH($D$5,'Company1808 Assumptions'!$C$38:$C$40,0))</f>
        <v>56518.219549671616</v>
      </c>
    </row>
    <row r="22" spans="2:10" ht="15.75" customHeight="1" x14ac:dyDescent="0.25">
      <c r="B22" s="10" t="s">
        <v>19</v>
      </c>
      <c r="C22" s="53">
        <f>C14*INDEX('Company1808 Assumptions'!D$42:D$44,MATCH($D$5,'Company1808 Assumptions'!$C$42:$C$44,0))</f>
        <v>13915.622000000001</v>
      </c>
      <c r="D22" s="53">
        <f>D14*INDEX('Company1808 Assumptions'!E$42:E$44,MATCH($D$5,'Company1808 Assumptions'!$C$42:$C$44,0))</f>
        <v>14576.125</v>
      </c>
      <c r="E22" s="53">
        <f>E14*INDEX('Company1808 Assumptions'!F$42:F$44,MATCH($D$5,'Company1808 Assumptions'!$C$42:$C$44,0))</f>
        <v>17537.52</v>
      </c>
      <c r="F22" s="53">
        <f>F14*INDEX('Company1808 Assumptions'!G$42:G$44,MATCH($D$5,'Company1808 Assumptions'!$C$42:$C$44,0))</f>
        <v>18917.370000000003</v>
      </c>
      <c r="G22" s="53">
        <f>G14*INDEX('Company1808 Assumptions'!H$42:H$44,MATCH($D$5,'Company1808 Assumptions'!$C$42:$C$44,0))</f>
        <v>20047.842720000004</v>
      </c>
      <c r="H22" s="53">
        <f>H14*INDEX('Company1808 Assumptions'!I$42:I$44,MATCH($D$5,'Company1808 Assumptions'!$C$42:$C$44,0))</f>
        <v>20979.878807400004</v>
      </c>
      <c r="I22" s="53">
        <f>I14*INDEX('Company1808 Assumptions'!J$42:J$44,MATCH($D$5,'Company1808 Assumptions'!$C$42:$C$44,0))</f>
        <v>21738.642507119999</v>
      </c>
      <c r="J22" s="53">
        <f>J14*INDEX('Company1808 Assumptions'!K$42:K$44,MATCH($D$5,'Company1808 Assumptions'!$C$42:$C$44,0))</f>
        <v>22394.011519681204</v>
      </c>
    </row>
    <row r="23" spans="2:10" ht="15.75" customHeight="1" x14ac:dyDescent="0.25">
      <c r="B23" s="10" t="s">
        <v>20</v>
      </c>
      <c r="C23" s="53">
        <f>C14*INDEX('Company1808 Assumptions'!D$46:D$48,MATCH($D$5,'Company1808 Assumptions'!$C$46:$C$48,0))</f>
        <v>12028.758</v>
      </c>
      <c r="D23" s="53">
        <f>D14*INDEX('Company1808 Assumptions'!E$46:E$48,MATCH($D$5,'Company1808 Assumptions'!$C$46:$C$48,0))</f>
        <v>12593.772000000001</v>
      </c>
      <c r="E23" s="53">
        <f>E14*INDEX('Company1808 Assumptions'!F$46:F$48,MATCH($D$5,'Company1808 Assumptions'!$C$46:$C$48,0))</f>
        <v>15513.960000000001</v>
      </c>
      <c r="F23" s="53">
        <f>F14*INDEX('Company1808 Assumptions'!G$46:G$48,MATCH($D$5,'Company1808 Assumptions'!$C$46:$C$48,0))</f>
        <v>16647.285600000003</v>
      </c>
      <c r="G23" s="53">
        <f>G14*INDEX('Company1808 Assumptions'!H$46:H$48,MATCH($D$5,'Company1808 Assumptions'!$C$46:$C$48,0))</f>
        <v>17541.862380000002</v>
      </c>
      <c r="H23" s="53">
        <f>H14*INDEX('Company1808 Assumptions'!I$46:I$48,MATCH($D$5,'Company1808 Assumptions'!$C$46:$C$48,0))</f>
        <v>18243.372876000005</v>
      </c>
      <c r="I23" s="53">
        <f>I14*INDEX('Company1808 Assumptions'!J$46:J$48,MATCH($D$5,'Company1808 Assumptions'!$C$46:$C$48,0))</f>
        <v>18774.282165240002</v>
      </c>
      <c r="J23" s="53">
        <f>J14*INDEX('Company1808 Assumptions'!K$46:K$48,MATCH($D$5,'Company1808 Assumptions'!$C$46:$C$48,0))</f>
        <v>19194.867016869601</v>
      </c>
    </row>
    <row r="24" spans="2:10" ht="15.75" customHeight="1" x14ac:dyDescent="0.25">
      <c r="B24" s="10" t="s">
        <v>21</v>
      </c>
      <c r="C24" s="53">
        <f>C14*INDEX('Company1808 Assumptions'!D$50:D$52,MATCH($D$5,'Company1808 Assumptions'!$C$50:$C$52,0))</f>
        <v>10023.965</v>
      </c>
      <c r="D24" s="53">
        <f>D14*INDEX('Company1808 Assumptions'!E$50:E$52,MATCH($D$5,'Company1808 Assumptions'!$C$50:$C$52,0))</f>
        <v>11894.117999999999</v>
      </c>
      <c r="E24" s="53">
        <f>E14*INDEX('Company1808 Assumptions'!F$50:F$52,MATCH($D$5,'Company1808 Assumptions'!$C$50:$C$52,0))</f>
        <v>15918.672</v>
      </c>
      <c r="F24" s="53">
        <f>F14*INDEX('Company1808 Assumptions'!G$50:G$52,MATCH($D$5,'Company1808 Assumptions'!$C$50:$C$52,0))</f>
        <v>16647.285600000003</v>
      </c>
      <c r="G24" s="53">
        <f>G14*INDEX('Company1808 Assumptions'!H$50:H$52,MATCH($D$5,'Company1808 Assumptions'!$C$50:$C$52,0))</f>
        <v>17541.862380000002</v>
      </c>
      <c r="H24" s="53">
        <f>H14*INDEX('Company1808 Assumptions'!I$50:I$52,MATCH($D$5,'Company1808 Assumptions'!$C$50:$C$52,0))</f>
        <v>18243.372876000005</v>
      </c>
      <c r="I24" s="53">
        <f>I14*INDEX('Company1808 Assumptions'!J$50:J$52,MATCH($D$5,'Company1808 Assumptions'!$C$50:$C$52,0))</f>
        <v>18774.282165240002</v>
      </c>
      <c r="J24" s="53">
        <f>J14*INDEX('Company1808 Assumptions'!K$50:K$52,MATCH($D$5,'Company1808 Assumptions'!$C$50:$C$52,0))</f>
        <v>19194.867016869601</v>
      </c>
    </row>
    <row r="25" spans="2:10" ht="15.75" customHeight="1" x14ac:dyDescent="0.25">
      <c r="B25" s="32" t="s">
        <v>50</v>
      </c>
      <c r="C25" s="54">
        <f t="shared" ref="C25:J25" si="4">SUM(C21:C24)</f>
        <v>66040.240000000005</v>
      </c>
      <c r="D25" s="54">
        <f t="shared" si="4"/>
        <v>70548.445000000007</v>
      </c>
      <c r="E25" s="54">
        <f t="shared" si="4"/>
        <v>88092.312000000005</v>
      </c>
      <c r="F25" s="54">
        <f t="shared" si="4"/>
        <v>95343.544800000003</v>
      </c>
      <c r="G25" s="54">
        <f t="shared" si="4"/>
        <v>101909.86716000002</v>
      </c>
      <c r="H25" s="54">
        <f t="shared" si="4"/>
        <v>107635.89996840003</v>
      </c>
      <c r="I25" s="54">
        <f t="shared" si="4"/>
        <v>112645.69299144001</v>
      </c>
      <c r="J25" s="54">
        <f t="shared" si="4"/>
        <v>117301.96510309202</v>
      </c>
    </row>
    <row r="26" spans="2:10" ht="15" customHeight="1" x14ac:dyDescent="0.25">
      <c r="B26" s="50"/>
      <c r="C26" s="50"/>
      <c r="D26" s="50"/>
      <c r="E26" s="50"/>
      <c r="F26" s="50"/>
      <c r="G26" s="50"/>
      <c r="H26" s="50"/>
      <c r="I26" s="50"/>
      <c r="J26" s="50"/>
    </row>
    <row r="27" spans="2:10" ht="15.75" customHeight="1" x14ac:dyDescent="0.25">
      <c r="B27" s="21" t="s">
        <v>51</v>
      </c>
      <c r="C27" s="56">
        <f t="shared" ref="C27:J27" si="5">C18-C25</f>
        <v>28538.817999999985</v>
      </c>
      <c r="D27" s="56">
        <f t="shared" si="5"/>
        <v>22505.536999999997</v>
      </c>
      <c r="E27" s="56">
        <f t="shared" si="5"/>
        <v>19156.367999999988</v>
      </c>
      <c r="F27" s="56">
        <f t="shared" si="5"/>
        <v>25273.606320000006</v>
      </c>
      <c r="G27" s="56">
        <f t="shared" si="5"/>
        <v>31575.352283999993</v>
      </c>
      <c r="H27" s="56">
        <f t="shared" si="5"/>
        <v>38493.516768359972</v>
      </c>
      <c r="I27" s="56">
        <f t="shared" si="5"/>
        <v>46046.397310536006</v>
      </c>
      <c r="J27" s="56">
        <f t="shared" si="5"/>
        <v>54385.456547797192</v>
      </c>
    </row>
    <row r="28" spans="2:10" ht="15.75" customHeight="1" x14ac:dyDescent="0.25">
      <c r="B28" s="20" t="s">
        <v>52</v>
      </c>
      <c r="C28" s="55">
        <f t="shared" ref="C28:J28" si="6">C27/C14</f>
        <v>0.24199999999999988</v>
      </c>
      <c r="D28" s="55">
        <f t="shared" si="6"/>
        <v>0.19299999999999998</v>
      </c>
      <c r="E28" s="55">
        <f t="shared" si="6"/>
        <v>0.1419999999999999</v>
      </c>
      <c r="F28" s="55">
        <f t="shared" si="6"/>
        <v>0.16700000000000001</v>
      </c>
      <c r="G28" s="55">
        <f t="shared" si="6"/>
        <v>0.18899999999999992</v>
      </c>
      <c r="H28" s="55">
        <f t="shared" si="6"/>
        <v>0.21099999999999983</v>
      </c>
      <c r="I28" s="55">
        <f t="shared" si="6"/>
        <v>0.23300000000000001</v>
      </c>
      <c r="J28" s="55">
        <f t="shared" si="6"/>
        <v>0.25499999999999989</v>
      </c>
    </row>
    <row r="29" spans="2:10" ht="15" customHeight="1" x14ac:dyDescent="0.25">
      <c r="B29" s="50"/>
      <c r="C29" s="50"/>
      <c r="D29" s="50"/>
      <c r="E29" s="50"/>
      <c r="F29" s="50"/>
      <c r="G29" s="50"/>
      <c r="H29" s="50"/>
      <c r="I29" s="50"/>
      <c r="J29" s="50"/>
    </row>
    <row r="30" spans="2:10" ht="15.75" customHeight="1" x14ac:dyDescent="0.25">
      <c r="B30" s="22" t="s">
        <v>112</v>
      </c>
      <c r="C30" s="53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53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53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53">
        <f ca="1">(F$49*INDEX('Company1808 Assumptions'!$D$99:$D$101,MATCH($D$5,'Company1808 Assumptions'!$C$99:$C$101,0)))-(F71*INDEX('Company1808 Assumptions'!$D$103:$D$105,MATCH($D$5,'Company1808 Assumptions'!$C$103:$C$105,0)))</f>
        <v>-1.805205396405654</v>
      </c>
      <c r="G30" s="53">
        <f ca="1">(G$49*INDEX('Company1808 Assumptions'!$D$99:$D$101,MATCH($D$5,'Company1808 Assumptions'!$C$99:$C$101,0)))-(G71*INDEX('Company1808 Assumptions'!$D$103:$D$105,MATCH($D$5,'Company1808 Assumptions'!$C$103:$C$105,0)))</f>
        <v>55.909161355346896</v>
      </c>
      <c r="H30" s="53">
        <f ca="1">(H$49*INDEX('Company1808 Assumptions'!$D$99:$D$101,MATCH($D$5,'Company1808 Assumptions'!$C$99:$C$101,0)))-(H71*INDEX('Company1808 Assumptions'!$D$103:$D$105,MATCH($D$5,'Company1808 Assumptions'!$C$103:$C$105,0)))</f>
        <v>124.21935172063701</v>
      </c>
      <c r="I30" s="53">
        <f ca="1">(I$49*INDEX('Company1808 Assumptions'!$D$99:$D$101,MATCH($D$5,'Company1808 Assumptions'!$C$99:$C$101,0)))-(I71*INDEX('Company1808 Assumptions'!$D$103:$D$105,MATCH($D$5,'Company1808 Assumptions'!$C$103:$C$105,0)))</f>
        <v>202.02490184417564</v>
      </c>
      <c r="J30" s="53">
        <f ca="1">(J$49*INDEX('Company1808 Assumptions'!$D$99:$D$101,MATCH($D$5,'Company1808 Assumptions'!$C$99:$C$101,0)))-(J71*INDEX('Company1808 Assumptions'!$D$103:$D$105,MATCH($D$5,'Company1808 Assumptions'!$C$103:$C$105,0)))</f>
        <v>290.90639033244776</v>
      </c>
    </row>
    <row r="31" spans="2:10" ht="15" customHeight="1" x14ac:dyDescent="0.25">
      <c r="B31" s="50"/>
      <c r="C31" s="50"/>
      <c r="D31" s="50"/>
      <c r="E31" s="50"/>
      <c r="F31" s="50"/>
      <c r="G31" s="50"/>
      <c r="H31" s="50"/>
      <c r="I31" s="50"/>
      <c r="J31" s="50"/>
    </row>
    <row r="32" spans="2:10" ht="15.75" customHeight="1" x14ac:dyDescent="0.25">
      <c r="B32" s="21" t="s">
        <v>53</v>
      </c>
      <c r="C32" s="56">
        <f t="shared" ref="C32:J32" si="7">C27+C30</f>
        <v>28413.817999999985</v>
      </c>
      <c r="D32" s="56">
        <f t="shared" ca="1" si="7"/>
        <v>22423.470434448191</v>
      </c>
      <c r="E32" s="56">
        <f t="shared" ca="1" si="7"/>
        <v>19106.912914495904</v>
      </c>
      <c r="F32" s="56">
        <f t="shared" ca="1" si="7"/>
        <v>25271.801114603601</v>
      </c>
      <c r="G32" s="56">
        <f t="shared" ca="1" si="7"/>
        <v>31631.26144535534</v>
      </c>
      <c r="H32" s="56">
        <f t="shared" ca="1" si="7"/>
        <v>38617.736120080612</v>
      </c>
      <c r="I32" s="56">
        <f t="shared" ca="1" si="7"/>
        <v>46248.422212380181</v>
      </c>
      <c r="J32" s="56">
        <f t="shared" ca="1" si="7"/>
        <v>54676.362938129641</v>
      </c>
    </row>
    <row r="33" spans="2:10" ht="15.75" customHeight="1" x14ac:dyDescent="0.25">
      <c r="B33" s="22" t="s">
        <v>54</v>
      </c>
      <c r="C33" s="53">
        <f>C32*INDEX('Company1808 Assumptions'!D$92:D$94,MATCH($D$5,'Company1808 Assumptions'!$C$92:$C$94,0))</f>
        <v>4972.4181499999968</v>
      </c>
      <c r="D33" s="53">
        <f ca="1">D32*INDEX('Company1808 Assumptions'!E$92:E$94,MATCH($D$5,'Company1808 Assumptions'!$C$92:$C$94,0))</f>
        <v>4260.4593825451566</v>
      </c>
      <c r="E33" s="53">
        <f ca="1">E32*INDEX('Company1808 Assumptions'!F$92:F$94,MATCH($D$5,'Company1808 Assumptions'!$C$92:$C$94,0))</f>
        <v>3534.7788891817422</v>
      </c>
      <c r="F33" s="53">
        <f ca="1">F32*INDEX('Company1808 Assumptions'!G$92:G$94,MATCH($D$5,'Company1808 Assumptions'!$C$92:$C$94,0))</f>
        <v>4801.6422117746843</v>
      </c>
      <c r="G33" s="53">
        <f ca="1">G32*INDEX('Company1808 Assumptions'!H$92:H$94,MATCH($D$5,'Company1808 Assumptions'!$C$92:$C$94,0))</f>
        <v>6168.0959818442916</v>
      </c>
      <c r="H33" s="53">
        <f ca="1">H32*INDEX('Company1808 Assumptions'!I$92:I$94,MATCH($D$5,'Company1808 Assumptions'!$C$92:$C$94,0))</f>
        <v>7723.5472240161225</v>
      </c>
      <c r="I33" s="53">
        <f ca="1">I32*INDEX('Company1808 Assumptions'!J$92:J$94,MATCH($D$5,'Company1808 Assumptions'!$C$92:$C$94,0))</f>
        <v>9480.9265535379363</v>
      </c>
      <c r="J33" s="53">
        <f ca="1">J32*INDEX('Company1808 Assumptions'!K$92:K$94,MATCH($D$5,'Company1808 Assumptions'!$C$92:$C$94,0))</f>
        <v>11482.036217007224</v>
      </c>
    </row>
    <row r="34" spans="2:10" ht="15" customHeight="1" x14ac:dyDescent="0.25">
      <c r="B34" s="50"/>
      <c r="C34" s="50"/>
      <c r="D34" s="50"/>
      <c r="E34" s="50"/>
      <c r="F34" s="50"/>
      <c r="G34" s="50"/>
      <c r="H34" s="50"/>
      <c r="I34" s="50"/>
      <c r="J34" s="50"/>
    </row>
    <row r="35" spans="2:10" ht="15.75" customHeight="1" x14ac:dyDescent="0.25">
      <c r="B35" s="23" t="s">
        <v>55</v>
      </c>
      <c r="C35" s="61">
        <f t="shared" ref="C35:J35" si="8">C32-C33</f>
        <v>23441.399849999987</v>
      </c>
      <c r="D35" s="61">
        <f t="shared" ca="1" si="8"/>
        <v>18163.011051903035</v>
      </c>
      <c r="E35" s="61">
        <f t="shared" ca="1" si="8"/>
        <v>15572.134025314162</v>
      </c>
      <c r="F35" s="61">
        <f t="shared" ca="1" si="8"/>
        <v>20470.158902828916</v>
      </c>
      <c r="G35" s="61">
        <f t="shared" ca="1" si="8"/>
        <v>25463.165463511046</v>
      </c>
      <c r="H35" s="61">
        <f t="shared" ca="1" si="8"/>
        <v>30894.18889606449</v>
      </c>
      <c r="I35" s="61">
        <f t="shared" ca="1" si="8"/>
        <v>36767.495658842243</v>
      </c>
      <c r="J35" s="61">
        <f t="shared" ca="1" si="8"/>
        <v>43194.326721122416</v>
      </c>
    </row>
    <row r="36" spans="2:10" ht="15.75" customHeight="1" x14ac:dyDescent="0.25">
      <c r="B36" s="20" t="s">
        <v>56</v>
      </c>
      <c r="C36" s="55">
        <f t="shared" ref="C36:J36" si="9">C35/C14</f>
        <v>0.19877553315978247</v>
      </c>
      <c r="D36" s="55">
        <f t="shared" ca="1" si="9"/>
        <v>0.15575994178753813</v>
      </c>
      <c r="E36" s="55">
        <f t="shared" ca="1" si="9"/>
        <v>0.11543122535517229</v>
      </c>
      <c r="F36" s="55">
        <f t="shared" ca="1" si="9"/>
        <v>0.13526033813651761</v>
      </c>
      <c r="G36" s="55">
        <f t="shared" ca="1" si="9"/>
        <v>0.15241439681552554</v>
      </c>
      <c r="H36" s="55">
        <f t="shared" ca="1" si="9"/>
        <v>0.16934472099020254</v>
      </c>
      <c r="I36" s="55">
        <f t="shared" ca="1" si="9"/>
        <v>0.18604770381351948</v>
      </c>
      <c r="J36" s="55">
        <f t="shared" ca="1" si="9"/>
        <v>0.20252755080222531</v>
      </c>
    </row>
    <row r="37" spans="2:10" ht="15" customHeight="1" x14ac:dyDescent="0.25">
      <c r="B37" s="50"/>
      <c r="C37" s="50"/>
      <c r="D37" s="50"/>
      <c r="E37" s="50"/>
      <c r="F37" s="50"/>
      <c r="G37" s="50"/>
      <c r="H37" s="50"/>
      <c r="I37" s="50"/>
      <c r="J37" s="50"/>
    </row>
    <row r="38" spans="2:10" ht="15" customHeight="1" x14ac:dyDescent="0.25">
      <c r="B38" s="6" t="s">
        <v>57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50"/>
      <c r="C39" s="50"/>
      <c r="D39" s="50"/>
      <c r="E39" s="50"/>
      <c r="F39" s="50"/>
      <c r="G39" s="50"/>
      <c r="H39" s="50"/>
      <c r="I39" s="50"/>
      <c r="J39" s="50"/>
    </row>
    <row r="40" spans="2:10" ht="15.75" customHeight="1" x14ac:dyDescent="0.25">
      <c r="B40" s="22" t="s">
        <v>58</v>
      </c>
      <c r="C40" s="62">
        <v>2800</v>
      </c>
      <c r="D40" s="62">
        <v>2750</v>
      </c>
      <c r="E40" s="62">
        <v>2700</v>
      </c>
      <c r="F40" s="62">
        <v>2650</v>
      </c>
      <c r="G40" s="62">
        <v>2600</v>
      </c>
      <c r="H40" s="62">
        <v>2550</v>
      </c>
      <c r="I40" s="62">
        <v>2500</v>
      </c>
      <c r="J40" s="62">
        <v>2450</v>
      </c>
    </row>
    <row r="41" spans="2:10" ht="15.75" customHeight="1" x14ac:dyDescent="0.25">
      <c r="B41" s="21" t="s">
        <v>59</v>
      </c>
      <c r="C41" s="63">
        <f t="shared" ref="C41:J41" si="10">C35/C40</f>
        <v>8.371928517857139</v>
      </c>
      <c r="D41" s="63">
        <f t="shared" ca="1" si="10"/>
        <v>6.6047312916011034</v>
      </c>
      <c r="E41" s="63">
        <f t="shared" ca="1" si="10"/>
        <v>5.7674570464126527</v>
      </c>
      <c r="F41" s="63">
        <f t="shared" ca="1" si="10"/>
        <v>7.7245882652184594</v>
      </c>
      <c r="G41" s="63">
        <f t="shared" ca="1" si="10"/>
        <v>9.7935251782734785</v>
      </c>
      <c r="H41" s="63">
        <f t="shared" ca="1" si="10"/>
        <v>12.115368194535094</v>
      </c>
      <c r="I41" s="63">
        <f t="shared" ca="1" si="10"/>
        <v>14.706998263536898</v>
      </c>
      <c r="J41" s="63">
        <f t="shared" ca="1" si="10"/>
        <v>17.630337437192821</v>
      </c>
    </row>
    <row r="42" spans="2:10" ht="15" customHeight="1" x14ac:dyDescent="0.25">
      <c r="B42" s="50"/>
      <c r="C42" s="50"/>
      <c r="D42" s="50"/>
      <c r="E42" s="50"/>
      <c r="F42" s="50"/>
      <c r="G42" s="50"/>
      <c r="H42" s="50"/>
      <c r="I42" s="50"/>
      <c r="J42" s="50"/>
    </row>
    <row r="43" spans="2:10" ht="15" customHeight="1" thickBot="1" x14ac:dyDescent="0.3">
      <c r="B43" s="50"/>
      <c r="C43" s="50"/>
      <c r="D43" s="50"/>
      <c r="E43" s="50"/>
      <c r="F43" s="50"/>
      <c r="G43" s="50"/>
      <c r="H43" s="50"/>
      <c r="I43" s="50"/>
      <c r="J43" s="50"/>
    </row>
    <row r="44" spans="2:10" ht="15" customHeight="1" thickBot="1" x14ac:dyDescent="0.3">
      <c r="B44" s="64" t="s">
        <v>62</v>
      </c>
      <c r="C44" s="64"/>
      <c r="D44" s="64"/>
      <c r="E44" s="64"/>
      <c r="F44" s="64"/>
      <c r="G44" s="64"/>
      <c r="H44" s="64"/>
      <c r="I44" s="64"/>
      <c r="J44" s="64"/>
    </row>
    <row r="45" spans="2:10" ht="15" customHeight="1" x14ac:dyDescent="0.25">
      <c r="B45" s="50"/>
      <c r="C45" s="50"/>
      <c r="D45" s="50"/>
      <c r="E45" s="50"/>
      <c r="F45" s="50"/>
      <c r="G45" s="50"/>
      <c r="H45" s="50"/>
      <c r="I45" s="50"/>
      <c r="J45" s="50"/>
    </row>
    <row r="46" spans="2:10" ht="15" customHeight="1" x14ac:dyDescent="0.25">
      <c r="B46" s="24" t="s">
        <v>63</v>
      </c>
      <c r="C46" s="24"/>
      <c r="D46" s="24"/>
      <c r="E46" s="24"/>
      <c r="F46" s="24"/>
      <c r="G46" s="24"/>
      <c r="H46" s="24"/>
      <c r="I46" s="24"/>
      <c r="J46" s="24"/>
    </row>
    <row r="47" spans="2:10" ht="15" customHeight="1" x14ac:dyDescent="0.25">
      <c r="B47" s="50"/>
      <c r="C47" s="50"/>
      <c r="D47" s="50"/>
      <c r="E47" s="50"/>
      <c r="F47" s="50"/>
      <c r="G47" s="50"/>
      <c r="H47" s="50"/>
      <c r="I47" s="50"/>
      <c r="J47" s="50"/>
    </row>
    <row r="48" spans="2:10" ht="15" customHeight="1" x14ac:dyDescent="0.25">
      <c r="B48" s="25" t="s">
        <v>64</v>
      </c>
      <c r="C48" s="50"/>
      <c r="D48" s="50"/>
      <c r="E48" s="50"/>
      <c r="F48" s="50"/>
      <c r="G48" s="50"/>
      <c r="H48" s="50"/>
      <c r="I48" s="50"/>
      <c r="J48" s="50"/>
    </row>
    <row r="49" spans="2:10" ht="15" customHeight="1" x14ac:dyDescent="0.25">
      <c r="B49" s="26" t="s">
        <v>65</v>
      </c>
      <c r="C49" s="65">
        <v>35000</v>
      </c>
      <c r="D49" s="66">
        <f t="shared" ref="D49:J49" ca="1" si="11">D$106</f>
        <v>40586.686889638659</v>
      </c>
      <c r="E49" s="66">
        <f t="shared" ca="1" si="11"/>
        <v>44108.982899183553</v>
      </c>
      <c r="F49" s="66">
        <f t="shared" ca="1" si="11"/>
        <v>50638.958920718869</v>
      </c>
      <c r="G49" s="66">
        <f t="shared" ca="1" si="11"/>
        <v>59181.832271069376</v>
      </c>
      <c r="H49" s="66">
        <f t="shared" ca="1" si="11"/>
        <v>69843.870344127397</v>
      </c>
      <c r="I49" s="66">
        <f t="shared" ca="1" si="11"/>
        <v>82404.980368835124</v>
      </c>
      <c r="J49" s="66">
        <f t="shared" ca="1" si="11"/>
        <v>97181.278066489554</v>
      </c>
    </row>
    <row r="50" spans="2:10" ht="15" customHeight="1" x14ac:dyDescent="0.25">
      <c r="B50" s="26" t="s">
        <v>66</v>
      </c>
      <c r="C50" s="53">
        <f>C$14*INDEX('Company1808 Assumptions'!D$64:D$66,MATCH($D$5,'Company1808 Assumptions'!$C$64:$C$66,0))/365</f>
        <v>17770.123287671231</v>
      </c>
      <c r="D50" s="53">
        <f>D$14*INDEX('Company1808 Assumptions'!E$64:E$66,MATCH($D$5,'Company1808 Assumptions'!$C$64:$C$66,0))/365</f>
        <v>16932.265753424657</v>
      </c>
      <c r="E50" s="53">
        <f>E$14*INDEX('Company1808 Assumptions'!F$64:F$66,MATCH($D$5,'Company1808 Assumptions'!$C$64:$C$66,0))/365</f>
        <v>18849.599999999999</v>
      </c>
      <c r="F50" s="53">
        <f>F$14*INDEX('Company1808 Assumptions'!G$64:G$66,MATCH($D$5,'Company1808 Assumptions'!$C$64:$C$66,0))/365</f>
        <v>20731.364383561646</v>
      </c>
      <c r="G50" s="53">
        <f>G$14*INDEX('Company1808 Assumptions'!H$64:H$66,MATCH($D$5,'Company1808 Assumptions'!$C$64:$C$66,0))/365</f>
        <v>22427.951901369866</v>
      </c>
      <c r="H50" s="53">
        <f>H$14*INDEX('Company1808 Assumptions'!I$64:I$66,MATCH($D$5,'Company1808 Assumptions'!$C$64:$C$66,0))/365</f>
        <v>23991.2848780274</v>
      </c>
      <c r="I50" s="53">
        <f>I$14*INDEX('Company1808 Assumptions'!J$64:J$66,MATCH($D$5,'Company1808 Assumptions'!$C$64:$C$66,0))/365</f>
        <v>25447.476907463013</v>
      </c>
      <c r="J50" s="53">
        <f>J$14*INDEX('Company1808 Assumptions'!K$64:K$66,MATCH($D$5,'Company1808 Assumptions'!$C$64:$C$66,0))/365</f>
        <v>26878.657009923947</v>
      </c>
    </row>
    <row r="51" spans="2:10" ht="15" customHeight="1" x14ac:dyDescent="0.25">
      <c r="B51" s="26" t="s">
        <v>67</v>
      </c>
      <c r="C51" s="65">
        <v>5000</v>
      </c>
      <c r="D51" s="53">
        <f>C51*(1+'Company1808 Assumptions'!E$72)</f>
        <v>5200</v>
      </c>
      <c r="E51" s="53">
        <f>D51*(1+'Company1808 Assumptions'!F$72)</f>
        <v>5400</v>
      </c>
      <c r="F51" s="53">
        <f>E51*(1+'Company1808 Assumptions'!G$72)</f>
        <v>5616</v>
      </c>
      <c r="G51" s="53">
        <f>F51*(1+'Company1808 Assumptions'!H$72)</f>
        <v>5840.64</v>
      </c>
      <c r="H51" s="53">
        <f>G51*(1+'Company1808 Assumptions'!I$72)</f>
        <v>6074.2656000000006</v>
      </c>
      <c r="I51" s="53">
        <f>H51*(1+'Company1808 Assumptions'!J$72)</f>
        <v>6317.2362240000011</v>
      </c>
      <c r="J51" s="53">
        <f>I51*(1+'Company1808 Assumptions'!K$72)</f>
        <v>6569.9256729600011</v>
      </c>
    </row>
    <row r="52" spans="2:10" ht="15" customHeight="1" x14ac:dyDescent="0.25">
      <c r="B52" s="27" t="s">
        <v>68</v>
      </c>
      <c r="C52" s="68">
        <f t="shared" ref="C52:J52" si="12">SUM(C49:C51)</f>
        <v>57770.123287671231</v>
      </c>
      <c r="D52" s="68">
        <f t="shared" ca="1" si="12"/>
        <v>62718.952643063312</v>
      </c>
      <c r="E52" s="68">
        <f t="shared" ca="1" si="12"/>
        <v>68358.582899183559</v>
      </c>
      <c r="F52" s="68">
        <f t="shared" ca="1" si="12"/>
        <v>76986.323304280522</v>
      </c>
      <c r="G52" s="68">
        <f t="shared" ca="1" si="12"/>
        <v>87450.424172439249</v>
      </c>
      <c r="H52" s="68">
        <f t="shared" ca="1" si="12"/>
        <v>99909.420822154803</v>
      </c>
      <c r="I52" s="68">
        <f t="shared" ca="1" si="12"/>
        <v>114169.69350029815</v>
      </c>
      <c r="J52" s="68">
        <f t="shared" ca="1" si="12"/>
        <v>130629.8607493735</v>
      </c>
    </row>
    <row r="53" spans="2:10" ht="15" customHeight="1" x14ac:dyDescent="0.25">
      <c r="B53" s="50"/>
      <c r="C53" s="50"/>
      <c r="D53" s="50"/>
      <c r="E53" s="50"/>
      <c r="F53" s="50"/>
      <c r="G53" s="50"/>
      <c r="H53" s="50"/>
      <c r="I53" s="50"/>
      <c r="J53" s="50"/>
    </row>
    <row r="54" spans="2:10" ht="15" customHeight="1" x14ac:dyDescent="0.25">
      <c r="B54" s="25" t="s">
        <v>69</v>
      </c>
      <c r="C54" s="50"/>
      <c r="D54" s="50"/>
      <c r="E54" s="50"/>
      <c r="F54" s="50"/>
      <c r="G54" s="50"/>
      <c r="H54" s="50"/>
      <c r="I54" s="50"/>
      <c r="J54" s="50"/>
    </row>
    <row r="55" spans="2:10" ht="15" customHeight="1" x14ac:dyDescent="0.25">
      <c r="B55" s="26" t="s">
        <v>70</v>
      </c>
      <c r="C55" s="65">
        <v>60000</v>
      </c>
      <c r="D55" s="66">
        <f>C55+D95</f>
        <v>85653.98</v>
      </c>
      <c r="E55" s="66">
        <f t="shared" ref="E55:J55" si="13">D55+E95</f>
        <v>118705.45999999999</v>
      </c>
      <c r="F55" s="66">
        <f t="shared" si="13"/>
        <v>153513.42079999999</v>
      </c>
      <c r="G55" s="66">
        <f t="shared" si="13"/>
        <v>189432.47234000001</v>
      </c>
      <c r="H55" s="66">
        <f t="shared" si="13"/>
        <v>225919.21809200002</v>
      </c>
      <c r="I55" s="66">
        <f t="shared" si="13"/>
        <v>263467.78242248006</v>
      </c>
      <c r="J55" s="66">
        <f t="shared" si="13"/>
        <v>301857.51645621925</v>
      </c>
    </row>
    <row r="56" spans="2:10" ht="15" customHeight="1" x14ac:dyDescent="0.25">
      <c r="B56" s="26" t="s">
        <v>71</v>
      </c>
      <c r="C56" s="65">
        <v>15000</v>
      </c>
      <c r="D56" s="66">
        <f>C56+D87</f>
        <v>29180.962249999997</v>
      </c>
      <c r="E56" s="66">
        <f t="shared" ref="E56:J56" si="14">D56+E87</f>
        <v>45856.049249999996</v>
      </c>
      <c r="F56" s="66">
        <f t="shared" si="14"/>
        <v>67339.511249999996</v>
      </c>
      <c r="G56" s="66">
        <f t="shared" si="14"/>
        <v>89964.685770000011</v>
      </c>
      <c r="H56" s="66">
        <f t="shared" si="14"/>
        <v>113312.06927100001</v>
      </c>
      <c r="I56" s="66">
        <f t="shared" si="14"/>
        <v>137028.45400980001</v>
      </c>
      <c r="J56" s="66">
        <f t="shared" si="14"/>
        <v>161435.020824612</v>
      </c>
    </row>
    <row r="57" spans="2:10" ht="15" customHeight="1" x14ac:dyDescent="0.25">
      <c r="B57" s="71" t="s">
        <v>113</v>
      </c>
      <c r="C57" s="72">
        <f>C55-C56</f>
        <v>45000</v>
      </c>
      <c r="D57" s="72">
        <f>D55-D56</f>
        <v>56473.017749999999</v>
      </c>
      <c r="E57" s="72">
        <f t="shared" ref="E57:J57" si="15">E55-E56</f>
        <v>72849.410749999995</v>
      </c>
      <c r="F57" s="72">
        <f t="shared" si="15"/>
        <v>86173.909549999997</v>
      </c>
      <c r="G57" s="72">
        <f t="shared" si="15"/>
        <v>99467.786569999997</v>
      </c>
      <c r="H57" s="72">
        <f t="shared" si="15"/>
        <v>112607.14882100001</v>
      </c>
      <c r="I57" s="72">
        <f t="shared" si="15"/>
        <v>126439.32841268004</v>
      </c>
      <c r="J57" s="72">
        <f t="shared" si="15"/>
        <v>140422.49563160725</v>
      </c>
    </row>
    <row r="58" spans="2:10" ht="15" customHeight="1" x14ac:dyDescent="0.25">
      <c r="B58" s="28"/>
      <c r="C58" s="66"/>
      <c r="D58" s="66"/>
      <c r="E58" s="66"/>
      <c r="F58" s="66"/>
      <c r="G58" s="66"/>
      <c r="H58" s="66"/>
      <c r="I58" s="66"/>
      <c r="J58" s="66"/>
    </row>
    <row r="59" spans="2:10" ht="15" customHeight="1" x14ac:dyDescent="0.25">
      <c r="B59" s="26" t="s">
        <v>72</v>
      </c>
      <c r="C59" s="65">
        <v>25000</v>
      </c>
      <c r="D59" s="53">
        <f>C59*(1+'Company1808 Assumptions'!E$73)</f>
        <v>28000.000000000004</v>
      </c>
      <c r="E59" s="53">
        <f>D59*(1+'Company1808 Assumptions'!F$73)</f>
        <v>32000.000000000004</v>
      </c>
      <c r="F59" s="53">
        <f>E59*(1+'Company1808 Assumptions'!G$73)</f>
        <v>35200.000000000007</v>
      </c>
      <c r="G59" s="53">
        <f>F59*(1+'Company1808 Assumptions'!H$73)</f>
        <v>38720.000000000015</v>
      </c>
      <c r="H59" s="53">
        <f>G59*(1+'Company1808 Assumptions'!I$73)</f>
        <v>42592.000000000022</v>
      </c>
      <c r="I59" s="53">
        <f>H59*(1+'Company1808 Assumptions'!J$73)</f>
        <v>46851.200000000026</v>
      </c>
      <c r="J59" s="53">
        <f>I59*(1+'Company1808 Assumptions'!K$73)</f>
        <v>51536.320000000036</v>
      </c>
    </row>
    <row r="60" spans="2:10" ht="15" customHeight="1" x14ac:dyDescent="0.25">
      <c r="B60" s="27" t="s">
        <v>73</v>
      </c>
      <c r="C60" s="68">
        <f t="shared" ref="C60:J60" si="16">C57+C59</f>
        <v>70000</v>
      </c>
      <c r="D60" s="68">
        <f t="shared" si="16"/>
        <v>84473.017749999999</v>
      </c>
      <c r="E60" s="68">
        <f t="shared" si="16"/>
        <v>104849.41075</v>
      </c>
      <c r="F60" s="68">
        <f t="shared" si="16"/>
        <v>121373.90955000001</v>
      </c>
      <c r="G60" s="68">
        <f t="shared" si="16"/>
        <v>138187.78657</v>
      </c>
      <c r="H60" s="68">
        <f t="shared" si="16"/>
        <v>155199.14882100004</v>
      </c>
      <c r="I60" s="68">
        <f t="shared" si="16"/>
        <v>173290.52841268008</v>
      </c>
      <c r="J60" s="68">
        <f t="shared" si="16"/>
        <v>191958.81563160729</v>
      </c>
    </row>
    <row r="61" spans="2:10" ht="15" customHeight="1" thickBot="1" x14ac:dyDescent="0.3">
      <c r="B61" s="50"/>
      <c r="C61" s="50"/>
      <c r="D61" s="50"/>
      <c r="E61" s="50"/>
      <c r="F61" s="50"/>
      <c r="G61" s="50"/>
      <c r="H61" s="50"/>
      <c r="I61" s="50"/>
      <c r="J61" s="50"/>
    </row>
    <row r="62" spans="2:10" ht="15" customHeight="1" thickBot="1" x14ac:dyDescent="0.3">
      <c r="B62" s="23" t="s">
        <v>74</v>
      </c>
      <c r="C62" s="69">
        <f t="shared" ref="C62:J62" si="17">C52+C60</f>
        <v>127770.12328767123</v>
      </c>
      <c r="D62" s="69">
        <f t="shared" ca="1" si="17"/>
        <v>147191.97039306333</v>
      </c>
      <c r="E62" s="69">
        <f t="shared" ca="1" si="17"/>
        <v>173207.99364918354</v>
      </c>
      <c r="F62" s="69">
        <f t="shared" ca="1" si="17"/>
        <v>198360.23285428053</v>
      </c>
      <c r="G62" s="69">
        <f t="shared" ca="1" si="17"/>
        <v>225638.21074243926</v>
      </c>
      <c r="H62" s="69">
        <f t="shared" ca="1" si="17"/>
        <v>255108.56964315486</v>
      </c>
      <c r="I62" s="69">
        <f t="shared" ca="1" si="17"/>
        <v>287460.22191297822</v>
      </c>
      <c r="J62" s="69">
        <f t="shared" ca="1" si="17"/>
        <v>322588.67638098076</v>
      </c>
    </row>
    <row r="63" spans="2:10" ht="15" customHeight="1" thickTop="1" x14ac:dyDescent="0.25">
      <c r="B63" s="50"/>
      <c r="C63" s="50"/>
      <c r="D63" s="50"/>
      <c r="E63" s="50"/>
      <c r="F63" s="50"/>
      <c r="G63" s="50"/>
      <c r="H63" s="50"/>
      <c r="I63" s="50"/>
      <c r="J63" s="50"/>
    </row>
    <row r="64" spans="2:10" ht="15" customHeight="1" x14ac:dyDescent="0.25">
      <c r="B64" s="24" t="s">
        <v>75</v>
      </c>
      <c r="C64" s="24"/>
      <c r="D64" s="24"/>
      <c r="E64" s="24"/>
      <c r="F64" s="24"/>
      <c r="G64" s="24"/>
      <c r="H64" s="24"/>
      <c r="I64" s="24"/>
      <c r="J64" s="24"/>
    </row>
    <row r="65" spans="2:10" ht="15" customHeight="1" x14ac:dyDescent="0.25">
      <c r="B65" s="50"/>
      <c r="C65" s="50"/>
      <c r="D65" s="50"/>
      <c r="E65" s="50"/>
      <c r="F65" s="50"/>
      <c r="G65" s="50"/>
      <c r="H65" s="50"/>
      <c r="I65" s="50"/>
      <c r="J65" s="50"/>
    </row>
    <row r="66" spans="2:10" ht="15" customHeight="1" x14ac:dyDescent="0.25">
      <c r="B66" s="25" t="s">
        <v>76</v>
      </c>
      <c r="C66" s="50"/>
      <c r="D66" s="50"/>
      <c r="E66" s="50"/>
      <c r="F66" s="50"/>
      <c r="G66" s="50"/>
      <c r="H66" s="50"/>
      <c r="I66" s="50"/>
      <c r="J66" s="50"/>
    </row>
    <row r="67" spans="2:10" ht="15" customHeight="1" x14ac:dyDescent="0.25">
      <c r="B67" s="26" t="s">
        <v>77</v>
      </c>
      <c r="C67" s="53">
        <f>(C17+C21+C22+C23)*INDEX('Company1808 Assumptions'!D$68:D$70,MATCH($D$5,'Company1808 Assumptions'!$C$68:$C$70,0))/365</f>
        <v>6088.36733150685</v>
      </c>
      <c r="D67" s="53">
        <f>(D17+D21+D22+D23)*INDEX('Company1808 Assumptions'!E$68:E$70,MATCH($D$5,'Company1808 Assumptions'!$C$68:$C$70,0))/365</f>
        <v>6756.9324657534253</v>
      </c>
      <c r="E67" s="53">
        <f>(E17+E21+E22+E23)*INDEX('Company1808 Assumptions'!F$68:F$70,MATCH($D$5,'Company1808 Assumptions'!$C$68:$C$70,0))/365</f>
        <v>8752.1280000000024</v>
      </c>
      <c r="F67" s="53">
        <f>(F17+F21+F22+F23)*INDEX('Company1808 Assumptions'!G$68:G$70,MATCH($D$5,'Company1808 Assumptions'!$C$68:$C$70,0))/365</f>
        <v>9892.5924565479472</v>
      </c>
      <c r="G67" s="53">
        <f>(G17+G21+G22+G23)*INDEX('Company1808 Assumptions'!H$68:H$70,MATCH($D$5,'Company1808 Assumptions'!$C$68:$C$70,0))/365</f>
        <v>10986.95015184658</v>
      </c>
      <c r="H67" s="53">
        <f>(H17+H21+H22+H23)*INDEX('Company1808 Assumptions'!I$68:I$70,MATCH($D$5,'Company1808 Assumptions'!$C$68:$C$70,0))/365</f>
        <v>12053.121559033976</v>
      </c>
      <c r="I67" s="53">
        <f>(I17+I21+I22+I23)*INDEX('Company1808 Assumptions'!J$68:J$70,MATCH($D$5,'Company1808 Assumptions'!$C$68:$C$70,0))/365</f>
        <v>13098.411943517982</v>
      </c>
      <c r="J67" s="53">
        <f>(J17+J21+J22+J23)*INDEX('Company1808 Assumptions'!K$68:K$70,MATCH($D$5,'Company1808 Assumptions'!$C$68:$C$70,0))/365</f>
        <v>14160.962013815371</v>
      </c>
    </row>
    <row r="68" spans="2:10" ht="15" customHeight="1" x14ac:dyDescent="0.25">
      <c r="B68" s="26" t="s">
        <v>78</v>
      </c>
      <c r="C68" s="65">
        <v>8000</v>
      </c>
      <c r="D68" s="53">
        <f>C68*(1+'Company1808 Assumptions'!E$74)</f>
        <v>8500</v>
      </c>
      <c r="E68" s="53">
        <f>D68*(1+'Company1808 Assumptions'!F$74)</f>
        <v>9000</v>
      </c>
      <c r="F68" s="53">
        <f>E68*(1+'Company1808 Assumptions'!G$74)</f>
        <v>9450</v>
      </c>
      <c r="G68" s="53">
        <f>F68*(1+'Company1808 Assumptions'!H$74)</f>
        <v>9922.5</v>
      </c>
      <c r="H68" s="53">
        <f>G68*(1+'Company1808 Assumptions'!I$74)</f>
        <v>10418.625</v>
      </c>
      <c r="I68" s="53">
        <f>H68*(1+'Company1808 Assumptions'!J$74)</f>
        <v>10939.55625</v>
      </c>
      <c r="J68" s="53">
        <f>I68*(1+'Company1808 Assumptions'!K$74)</f>
        <v>11486.534062500001</v>
      </c>
    </row>
    <row r="69" spans="2:10" ht="15" customHeight="1" x14ac:dyDescent="0.25">
      <c r="B69" s="27" t="s">
        <v>79</v>
      </c>
      <c r="C69" s="68">
        <f t="shared" ref="C69:J69" si="18">SUM(C67:C68)</f>
        <v>14088.36733150685</v>
      </c>
      <c r="D69" s="68">
        <f t="shared" si="18"/>
        <v>15256.932465753425</v>
      </c>
      <c r="E69" s="68">
        <f t="shared" si="18"/>
        <v>17752.128000000004</v>
      </c>
      <c r="F69" s="68">
        <f t="shared" si="18"/>
        <v>19342.592456547947</v>
      </c>
      <c r="G69" s="68">
        <f t="shared" si="18"/>
        <v>20909.45015184658</v>
      </c>
      <c r="H69" s="68">
        <f t="shared" si="18"/>
        <v>22471.746559033978</v>
      </c>
      <c r="I69" s="68">
        <f t="shared" si="18"/>
        <v>24037.968193517983</v>
      </c>
      <c r="J69" s="68">
        <f t="shared" si="18"/>
        <v>25647.496076315372</v>
      </c>
    </row>
    <row r="70" spans="2:10" ht="15" customHeight="1" x14ac:dyDescent="0.25">
      <c r="B70" s="50"/>
      <c r="C70" s="50"/>
      <c r="D70" s="50"/>
      <c r="E70" s="50"/>
      <c r="F70" s="50"/>
      <c r="G70" s="50"/>
      <c r="H70" s="50"/>
      <c r="I70" s="50"/>
      <c r="J70" s="50"/>
    </row>
    <row r="71" spans="2:10" ht="15" customHeight="1" x14ac:dyDescent="0.25">
      <c r="B71" s="25" t="s">
        <v>80</v>
      </c>
      <c r="C71" s="65">
        <v>10000</v>
      </c>
      <c r="D71" s="65">
        <v>9500</v>
      </c>
      <c r="E71" s="65">
        <v>9000</v>
      </c>
      <c r="F71" s="65">
        <v>8500</v>
      </c>
      <c r="G71" s="65">
        <v>8000</v>
      </c>
      <c r="H71" s="65">
        <v>7500</v>
      </c>
      <c r="I71" s="65">
        <v>7000</v>
      </c>
      <c r="J71" s="65">
        <v>6500</v>
      </c>
    </row>
    <row r="72" spans="2:10" ht="15" customHeight="1" x14ac:dyDescent="0.25">
      <c r="B72" s="32" t="s">
        <v>81</v>
      </c>
      <c r="C72" s="68">
        <f t="shared" ref="C72:J72" si="19">C69+C71</f>
        <v>24088.367331506852</v>
      </c>
      <c r="D72" s="68">
        <f t="shared" si="19"/>
        <v>24756.932465753423</v>
      </c>
      <c r="E72" s="68">
        <f t="shared" si="19"/>
        <v>26752.128000000004</v>
      </c>
      <c r="F72" s="68">
        <f t="shared" si="19"/>
        <v>27842.592456547947</v>
      </c>
      <c r="G72" s="68">
        <f t="shared" si="19"/>
        <v>28909.45015184658</v>
      </c>
      <c r="H72" s="68">
        <f t="shared" si="19"/>
        <v>29971.746559033978</v>
      </c>
      <c r="I72" s="68">
        <f t="shared" si="19"/>
        <v>31037.968193517983</v>
      </c>
      <c r="J72" s="68">
        <f t="shared" si="19"/>
        <v>32147.496076315372</v>
      </c>
    </row>
    <row r="73" spans="2:10" ht="15" customHeight="1" x14ac:dyDescent="0.25">
      <c r="B73" s="50"/>
      <c r="C73" s="50"/>
      <c r="D73" s="50"/>
      <c r="E73" s="50"/>
      <c r="F73" s="50"/>
      <c r="G73" s="50"/>
      <c r="H73" s="50"/>
      <c r="I73" s="50"/>
      <c r="J73" s="50"/>
    </row>
    <row r="74" spans="2:10" ht="15" customHeight="1" x14ac:dyDescent="0.25">
      <c r="B74" s="25" t="s">
        <v>82</v>
      </c>
      <c r="C74" s="50"/>
      <c r="D74" s="50"/>
      <c r="E74" s="50"/>
      <c r="F74" s="50"/>
      <c r="G74" s="50"/>
      <c r="H74" s="50"/>
      <c r="I74" s="50"/>
      <c r="J74" s="50"/>
    </row>
    <row r="75" spans="2:10" ht="15" customHeight="1" x14ac:dyDescent="0.25">
      <c r="B75" s="26" t="s">
        <v>115</v>
      </c>
      <c r="C75" s="65">
        <v>40000</v>
      </c>
      <c r="D75" s="66">
        <f>C75+D88</f>
        <v>51894.118000000002</v>
      </c>
      <c r="E75" s="66">
        <f t="shared" ref="E75:J75" si="20">D75+E88</f>
        <v>67812.790000000008</v>
      </c>
      <c r="F75" s="66">
        <f t="shared" si="20"/>
        <v>84460.075600000011</v>
      </c>
      <c r="G75" s="66">
        <f t="shared" si="20"/>
        <v>102001.93798000002</v>
      </c>
      <c r="H75" s="66">
        <f t="shared" si="20"/>
        <v>120245.31085600003</v>
      </c>
      <c r="I75" s="66">
        <f t="shared" si="20"/>
        <v>139019.59302124003</v>
      </c>
      <c r="J75" s="66">
        <f t="shared" si="20"/>
        <v>158214.46003810962</v>
      </c>
    </row>
    <row r="76" spans="2:10" ht="15" customHeight="1" x14ac:dyDescent="0.25">
      <c r="B76" s="26" t="s">
        <v>114</v>
      </c>
      <c r="C76" s="65">
        <v>36318.244043835599</v>
      </c>
      <c r="D76" s="66">
        <f ca="1">C76-D100</f>
        <v>47622.091124593113</v>
      </c>
      <c r="E76" s="66">
        <f t="shared" ref="E76:J76" ca="1" si="21">D76-E100</f>
        <v>55092.069428033625</v>
      </c>
      <c r="F76" s="66">
        <f t="shared" ca="1" si="21"/>
        <v>68147.739182313497</v>
      </c>
      <c r="G76" s="66">
        <f t="shared" ca="1" si="21"/>
        <v>84941.646832964441</v>
      </c>
      <c r="H76" s="66">
        <f t="shared" ca="1" si="21"/>
        <v>105671.14611150077</v>
      </c>
      <c r="I76" s="66">
        <f t="shared" ca="1" si="21"/>
        <v>129927.49330024369</v>
      </c>
      <c r="J76" s="66">
        <f t="shared" ca="1" si="21"/>
        <v>158297.7604530305</v>
      </c>
    </row>
    <row r="77" spans="2:10" ht="15" customHeight="1" x14ac:dyDescent="0.25">
      <c r="B77" s="26" t="s">
        <v>83</v>
      </c>
      <c r="C77" s="65">
        <v>100000</v>
      </c>
      <c r="D77" s="66">
        <f ca="1">C77+D86</f>
        <v>118163.01105190304</v>
      </c>
      <c r="E77" s="66">
        <f t="shared" ref="E77:J77" ca="1" si="22">D77+E86</f>
        <v>133735.1450772172</v>
      </c>
      <c r="F77" s="66">
        <f t="shared" ca="1" si="22"/>
        <v>154205.30398004613</v>
      </c>
      <c r="G77" s="66">
        <f t="shared" ca="1" si="22"/>
        <v>179668.46944355717</v>
      </c>
      <c r="H77" s="66">
        <f t="shared" ca="1" si="22"/>
        <v>210562.65833962167</v>
      </c>
      <c r="I77" s="66">
        <f t="shared" ca="1" si="22"/>
        <v>247330.15399846391</v>
      </c>
      <c r="J77" s="66">
        <f t="shared" ca="1" si="22"/>
        <v>290524.48071958631</v>
      </c>
    </row>
    <row r="78" spans="2:10" ht="15" customHeight="1" x14ac:dyDescent="0.25">
      <c r="B78" s="32" t="s">
        <v>84</v>
      </c>
      <c r="C78" s="68">
        <f>C75-C76+C77</f>
        <v>103681.7559561644</v>
      </c>
      <c r="D78" s="68">
        <f t="shared" ref="D78:J78" ca="1" si="23">D75-D76+D77</f>
        <v>122435.03792730992</v>
      </c>
      <c r="E78" s="68">
        <f t="shared" ca="1" si="23"/>
        <v>146455.86564918357</v>
      </c>
      <c r="F78" s="68">
        <f t="shared" ca="1" si="23"/>
        <v>170517.64039773264</v>
      </c>
      <c r="G78" s="68">
        <f t="shared" ca="1" si="23"/>
        <v>196728.76059059275</v>
      </c>
      <c r="H78" s="68">
        <f t="shared" ca="1" si="23"/>
        <v>225136.82308412093</v>
      </c>
      <c r="I78" s="68">
        <f t="shared" ca="1" si="23"/>
        <v>256422.25371946025</v>
      </c>
      <c r="J78" s="68">
        <f t="shared" ca="1" si="23"/>
        <v>290441.18030466547</v>
      </c>
    </row>
    <row r="79" spans="2:10" ht="15" customHeight="1" thickBot="1" x14ac:dyDescent="0.3">
      <c r="B79" s="50"/>
      <c r="C79" s="50"/>
      <c r="D79" s="50"/>
      <c r="E79" s="50"/>
      <c r="F79" s="50"/>
      <c r="G79" s="50"/>
      <c r="H79" s="50"/>
      <c r="I79" s="50"/>
      <c r="J79" s="50"/>
    </row>
    <row r="80" spans="2:10" ht="15" customHeight="1" thickBot="1" x14ac:dyDescent="0.3">
      <c r="B80" s="23" t="s">
        <v>85</v>
      </c>
      <c r="C80" s="69">
        <f t="shared" ref="C80:J80" si="24">C72+C78</f>
        <v>127770.12328767125</v>
      </c>
      <c r="D80" s="69">
        <f t="shared" ca="1" si="24"/>
        <v>147191.97039306336</v>
      </c>
      <c r="E80" s="69">
        <f t="shared" ca="1" si="24"/>
        <v>173207.99364918357</v>
      </c>
      <c r="F80" s="69">
        <f t="shared" ca="1" si="24"/>
        <v>198360.23285428059</v>
      </c>
      <c r="G80" s="69">
        <f t="shared" ca="1" si="24"/>
        <v>225638.21074243932</v>
      </c>
      <c r="H80" s="69">
        <f t="shared" ca="1" si="24"/>
        <v>255108.56964315491</v>
      </c>
      <c r="I80" s="69">
        <f t="shared" ca="1" si="24"/>
        <v>287460.22191297822</v>
      </c>
      <c r="J80" s="69">
        <f t="shared" ca="1" si="24"/>
        <v>322588.67638098082</v>
      </c>
    </row>
    <row r="81" spans="2:10" ht="15" customHeight="1" thickTop="1" x14ac:dyDescent="0.25">
      <c r="B81" s="50"/>
      <c r="C81" s="50"/>
      <c r="D81" s="50"/>
      <c r="E81" s="50"/>
      <c r="F81" s="50"/>
      <c r="G81" s="50"/>
      <c r="H81" s="50"/>
      <c r="I81" s="50"/>
      <c r="J81" s="50"/>
    </row>
    <row r="82" spans="2:10" ht="15" customHeight="1" x14ac:dyDescent="0.25">
      <c r="B82" s="29" t="s">
        <v>86</v>
      </c>
      <c r="C82" s="66">
        <f t="shared" ref="C82:J82" si="25">C62-C80</f>
        <v>0</v>
      </c>
      <c r="D82" s="66">
        <f t="shared" ca="1" si="25"/>
        <v>0</v>
      </c>
      <c r="E82" s="66">
        <f t="shared" ca="1" si="25"/>
        <v>0</v>
      </c>
      <c r="F82" s="66">
        <f t="shared" ca="1" si="25"/>
        <v>0</v>
      </c>
      <c r="G82" s="66">
        <f t="shared" ca="1" si="25"/>
        <v>0</v>
      </c>
      <c r="H82" s="66">
        <f t="shared" ca="1" si="25"/>
        <v>0</v>
      </c>
      <c r="I82" s="66">
        <f t="shared" ca="1" si="25"/>
        <v>0</v>
      </c>
      <c r="J82" s="66">
        <f t="shared" ca="1" si="25"/>
        <v>0</v>
      </c>
    </row>
    <row r="83" spans="2:10" ht="15" customHeight="1" thickBot="1" x14ac:dyDescent="0.3">
      <c r="B83" s="50"/>
      <c r="C83" s="50"/>
      <c r="D83" s="50"/>
      <c r="E83" s="50"/>
      <c r="F83" s="50"/>
      <c r="G83" s="50"/>
      <c r="H83" s="50"/>
      <c r="I83" s="50"/>
      <c r="J83" s="50"/>
    </row>
    <row r="84" spans="2:10" ht="15" customHeight="1" thickBot="1" x14ac:dyDescent="0.3">
      <c r="B84" s="64" t="s">
        <v>87</v>
      </c>
      <c r="C84" s="64"/>
      <c r="D84" s="64"/>
      <c r="E84" s="64"/>
      <c r="F84" s="64"/>
      <c r="G84" s="64"/>
      <c r="H84" s="64"/>
      <c r="I84" s="64"/>
      <c r="J84" s="64"/>
    </row>
    <row r="85" spans="2:10" ht="15" customHeight="1" x14ac:dyDescent="0.25">
      <c r="B85" s="25" t="s">
        <v>88</v>
      </c>
      <c r="C85" s="50"/>
      <c r="D85" s="50"/>
      <c r="E85" s="50"/>
      <c r="F85" s="50"/>
      <c r="G85" s="50"/>
      <c r="H85" s="50"/>
      <c r="I85" s="50"/>
      <c r="J85" s="50"/>
    </row>
    <row r="86" spans="2:10" ht="15" customHeight="1" x14ac:dyDescent="0.25">
      <c r="B86" s="26" t="s">
        <v>89</v>
      </c>
      <c r="C86" s="66"/>
      <c r="D86" s="66" cm="1">
        <f t="array" aca="1" ref="D86" ca="1">D35</f>
        <v>18163.011051903035</v>
      </c>
      <c r="E86" s="66" cm="1">
        <f t="array" aca="1" ref="E86" ca="1">E35</f>
        <v>15572.134025314162</v>
      </c>
      <c r="F86" s="66" cm="1">
        <f t="array" aca="1" ref="F86" ca="1">F35</f>
        <v>20470.158902828916</v>
      </c>
      <c r="G86" s="66" cm="1">
        <f t="array" aca="1" ref="G86" ca="1">G35</f>
        <v>25463.165463511046</v>
      </c>
      <c r="H86" s="66" cm="1">
        <f t="array" aca="1" ref="H86" ca="1">H35</f>
        <v>30894.18889606449</v>
      </c>
      <c r="I86" s="66" cm="1">
        <f t="array" aca="1" ref="I86" ca="1">I35</f>
        <v>36767.495658842243</v>
      </c>
      <c r="J86" s="66" cm="1">
        <f t="array" aca="1" ref="J86" ca="1">J35</f>
        <v>43194.326721122416</v>
      </c>
    </row>
    <row r="87" spans="2:10" ht="15.75" customHeight="1" x14ac:dyDescent="0.25">
      <c r="B87" s="26" t="s">
        <v>90</v>
      </c>
      <c r="C87" s="65"/>
      <c r="D87" s="53">
        <f>C$95*INDEX('Company1808 Assumptions'!E$82:E$84,MATCH($D$5,'Company1808 Assumptions'!$C$82:$C$84,0))</f>
        <v>14180.962249999999</v>
      </c>
      <c r="E87" s="53">
        <f>D$95*INDEX('Company1808 Assumptions'!F$82:F$84,MATCH($D$5,'Company1808 Assumptions'!$C$82:$C$84,0))</f>
        <v>16675.087</v>
      </c>
      <c r="F87" s="53">
        <f>E$95*INDEX('Company1808 Assumptions'!G$82:G$84,MATCH($D$5,'Company1808 Assumptions'!$C$82:$C$84,0))</f>
        <v>21483.462</v>
      </c>
      <c r="G87" s="53">
        <f>F$95*INDEX('Company1808 Assumptions'!H$82:H$84,MATCH($D$5,'Company1808 Assumptions'!$C$82:$C$84,0))</f>
        <v>22625.174520000008</v>
      </c>
      <c r="H87" s="53">
        <f>G$95*INDEX('Company1808 Assumptions'!I$82:I$84,MATCH($D$5,'Company1808 Assumptions'!$C$82:$C$84,0))</f>
        <v>23347.383501000008</v>
      </c>
      <c r="I87" s="53">
        <f>H$95*INDEX('Company1808 Assumptions'!J$82:J$84,MATCH($D$5,'Company1808 Assumptions'!$C$82:$C$84,0))</f>
        <v>23716.384738800007</v>
      </c>
      <c r="J87" s="53">
        <f>I$95*INDEX('Company1808 Assumptions'!K$82:K$84,MATCH($D$5,'Company1808 Assumptions'!$C$82:$C$84,0))</f>
        <v>24406.566814812002</v>
      </c>
    </row>
    <row r="88" spans="2:10" ht="15" customHeight="1" x14ac:dyDescent="0.25">
      <c r="B88" s="26" t="s">
        <v>91</v>
      </c>
      <c r="C88" s="66"/>
      <c r="D88" s="66" cm="1">
        <f t="array" ref="D88">D24</f>
        <v>11894.117999999999</v>
      </c>
      <c r="E88" s="66" cm="1">
        <f t="array" ref="E88">E24</f>
        <v>15918.672</v>
      </c>
      <c r="F88" s="66" cm="1">
        <f t="array" ref="F88">F24</f>
        <v>16647.285600000003</v>
      </c>
      <c r="G88" s="66" cm="1">
        <f t="array" ref="G88">G24</f>
        <v>17541.862380000002</v>
      </c>
      <c r="H88" s="66" cm="1">
        <f t="array" ref="H88">H24</f>
        <v>18243.372876000005</v>
      </c>
      <c r="I88" s="66" cm="1">
        <f t="array" ref="I88">I24</f>
        <v>18774.282165240002</v>
      </c>
      <c r="J88" s="66" cm="1">
        <f t="array" ref="J88">J24</f>
        <v>19194.867016869601</v>
      </c>
    </row>
    <row r="89" spans="2:10" ht="15" customHeight="1" x14ac:dyDescent="0.25">
      <c r="B89" s="30" t="s">
        <v>92</v>
      </c>
      <c r="C89" s="50"/>
      <c r="D89" s="50"/>
      <c r="E89" s="50"/>
      <c r="F89" s="50"/>
      <c r="G89" s="50"/>
      <c r="H89" s="50"/>
      <c r="I89" s="50"/>
      <c r="J89" s="50"/>
    </row>
    <row r="90" spans="2:10" ht="15" customHeight="1" x14ac:dyDescent="0.25">
      <c r="B90" s="31" t="s">
        <v>105</v>
      </c>
      <c r="C90" s="50"/>
      <c r="D90" s="66">
        <f>-(SUM(D50:D51)-SUM(C50:C51))</f>
        <v>637.85753424657378</v>
      </c>
      <c r="E90" s="66">
        <f t="shared" ref="E90:J90" si="26">-(SUM(E50:E51)-SUM(D50:D51))</f>
        <v>-2117.3342465753412</v>
      </c>
      <c r="F90" s="66">
        <f t="shared" si="26"/>
        <v>-2097.7643835616473</v>
      </c>
      <c r="G90" s="66">
        <f t="shared" si="26"/>
        <v>-1921.22751780822</v>
      </c>
      <c r="H90" s="66">
        <f t="shared" si="26"/>
        <v>-1796.9585766575328</v>
      </c>
      <c r="I90" s="66">
        <f t="shared" si="26"/>
        <v>-1699.1626534356146</v>
      </c>
      <c r="J90" s="66">
        <f t="shared" si="26"/>
        <v>-1683.8695514209357</v>
      </c>
    </row>
    <row r="91" spans="2:10" ht="15" customHeight="1" x14ac:dyDescent="0.25">
      <c r="B91" s="31" t="s">
        <v>106</v>
      </c>
      <c r="C91" s="50"/>
      <c r="D91" s="66">
        <f t="shared" ref="D91:J91" si="27">SUM(D67:D68)-SUM(C67:C68)</f>
        <v>1168.5651342465753</v>
      </c>
      <c r="E91" s="66">
        <f t="shared" si="27"/>
        <v>2495.195534246579</v>
      </c>
      <c r="F91" s="66">
        <f t="shared" si="27"/>
        <v>1590.464456547943</v>
      </c>
      <c r="G91" s="66">
        <f t="shared" si="27"/>
        <v>1566.8576952986332</v>
      </c>
      <c r="H91" s="66">
        <f t="shared" si="27"/>
        <v>1562.2964071873976</v>
      </c>
      <c r="I91" s="66">
        <f t="shared" si="27"/>
        <v>1566.2216344840053</v>
      </c>
      <c r="J91" s="66">
        <f t="shared" si="27"/>
        <v>1609.5278827973889</v>
      </c>
    </row>
    <row r="92" spans="2:10" ht="15.75" customHeight="1" x14ac:dyDescent="0.25">
      <c r="B92" s="32" t="s">
        <v>93</v>
      </c>
      <c r="C92" s="68"/>
      <c r="D92" s="68">
        <f ca="1">SUM(D86:D91)</f>
        <v>46044.513970396176</v>
      </c>
      <c r="E92" s="68">
        <f t="shared" ref="E92:J92" ca="1" si="28">SUM(E86:E91)</f>
        <v>48543.754312985402</v>
      </c>
      <c r="F92" s="68">
        <f t="shared" ca="1" si="28"/>
        <v>58093.606575815211</v>
      </c>
      <c r="G92" s="68">
        <f t="shared" ca="1" si="28"/>
        <v>65275.832541001466</v>
      </c>
      <c r="H92" s="68">
        <f t="shared" ca="1" si="28"/>
        <v>72250.283103594367</v>
      </c>
      <c r="I92" s="68">
        <f t="shared" ca="1" si="28"/>
        <v>79125.221543930646</v>
      </c>
      <c r="J92" s="68">
        <f t="shared" ca="1" si="28"/>
        <v>86721.418884180457</v>
      </c>
    </row>
    <row r="93" spans="2:10" ht="15" customHeight="1" x14ac:dyDescent="0.25">
      <c r="B93" s="50"/>
      <c r="C93" s="50"/>
      <c r="D93" s="50"/>
      <c r="E93" s="50"/>
      <c r="F93" s="50"/>
      <c r="G93" s="50"/>
      <c r="H93" s="50"/>
      <c r="I93" s="50"/>
      <c r="J93" s="50"/>
    </row>
    <row r="94" spans="2:10" ht="15" customHeight="1" x14ac:dyDescent="0.25">
      <c r="B94" s="25" t="s">
        <v>94</v>
      </c>
      <c r="C94" s="50"/>
      <c r="D94" s="50"/>
      <c r="E94" s="50"/>
      <c r="F94" s="50"/>
      <c r="G94" s="50"/>
      <c r="H94" s="50"/>
      <c r="I94" s="50"/>
      <c r="J94" s="50"/>
    </row>
    <row r="95" spans="2:10" ht="15.75" customHeight="1" x14ac:dyDescent="0.25">
      <c r="B95" s="26" t="s">
        <v>95</v>
      </c>
      <c r="C95" s="53">
        <f>C$14*INDEX('Company1808 Assumptions'!D$78:D$80,MATCH($D$5,'Company1808 Assumptions'!$C$78:$C$80,0))</f>
        <v>21816.864999999998</v>
      </c>
      <c r="D95" s="53">
        <f>D$14*INDEX('Company1808 Assumptions'!E$78:E$80,MATCH($D$5,'Company1808 Assumptions'!$C$78:$C$80,0))</f>
        <v>25653.98</v>
      </c>
      <c r="E95" s="53">
        <f>E$14*INDEX('Company1808 Assumptions'!F$78:F$80,MATCH($D$5,'Company1808 Assumptions'!$C$78:$C$80,0))</f>
        <v>33051.479999999996</v>
      </c>
      <c r="F95" s="53">
        <f>F$14*INDEX('Company1808 Assumptions'!G$78:G$80,MATCH($D$5,'Company1808 Assumptions'!$C$78:$C$80,0))</f>
        <v>34807.960800000008</v>
      </c>
      <c r="G95" s="53">
        <f>G$14*INDEX('Company1808 Assumptions'!H$78:H$80,MATCH($D$5,'Company1808 Assumptions'!$C$78:$C$80,0))</f>
        <v>35919.051540000008</v>
      </c>
      <c r="H95" s="53">
        <f>H$14*INDEX('Company1808 Assumptions'!I$78:I$80,MATCH($D$5,'Company1808 Assumptions'!$C$78:$C$80,0))</f>
        <v>36486.74575200001</v>
      </c>
      <c r="I95" s="53">
        <f>I$14*INDEX('Company1808 Assumptions'!J$78:J$80,MATCH($D$5,'Company1808 Assumptions'!$C$78:$C$80,0))</f>
        <v>37548.564330480003</v>
      </c>
      <c r="J95" s="53">
        <f>J$14*INDEX('Company1808 Assumptions'!K$78:K$80,MATCH($D$5,'Company1808 Assumptions'!$C$78:$C$80,0))</f>
        <v>38389.734033739202</v>
      </c>
    </row>
    <row r="96" spans="2:10" ht="15.75" customHeight="1" x14ac:dyDescent="0.25">
      <c r="B96" s="26" t="s">
        <v>117</v>
      </c>
      <c r="C96" s="67"/>
      <c r="D96" s="66">
        <f>D59-C59</f>
        <v>3000.0000000000036</v>
      </c>
      <c r="E96" s="66">
        <f t="shared" ref="E96:J96" si="29">E59-D59</f>
        <v>4000</v>
      </c>
      <c r="F96" s="66">
        <f t="shared" si="29"/>
        <v>3200.0000000000036</v>
      </c>
      <c r="G96" s="66">
        <f t="shared" si="29"/>
        <v>3520.0000000000073</v>
      </c>
      <c r="H96" s="66">
        <f t="shared" si="29"/>
        <v>3872.0000000000073</v>
      </c>
      <c r="I96" s="66">
        <f t="shared" si="29"/>
        <v>4259.2000000000044</v>
      </c>
      <c r="J96" s="66">
        <f t="shared" si="29"/>
        <v>4685.1200000000099</v>
      </c>
    </row>
    <row r="97" spans="2:10" ht="15.75" customHeight="1" x14ac:dyDescent="0.25">
      <c r="B97" s="32" t="s">
        <v>96</v>
      </c>
      <c r="C97" s="68"/>
      <c r="D97" s="68">
        <f>-SUM(D95:D96)</f>
        <v>-28653.980000000003</v>
      </c>
      <c r="E97" s="68">
        <f t="shared" ref="E97:J97" si="30">-SUM(E95:E96)</f>
        <v>-37051.479999999996</v>
      </c>
      <c r="F97" s="68">
        <f t="shared" si="30"/>
        <v>-38007.960800000015</v>
      </c>
      <c r="G97" s="68">
        <f t="shared" si="30"/>
        <v>-39439.051540000015</v>
      </c>
      <c r="H97" s="68">
        <f t="shared" si="30"/>
        <v>-40358.745752000017</v>
      </c>
      <c r="I97" s="68">
        <f t="shared" si="30"/>
        <v>-41807.764330480008</v>
      </c>
      <c r="J97" s="68">
        <f t="shared" si="30"/>
        <v>-43074.854033739211</v>
      </c>
    </row>
    <row r="98" spans="2:10" ht="15" customHeight="1" x14ac:dyDescent="0.25">
      <c r="B98" s="50"/>
      <c r="C98" s="50"/>
      <c r="D98" s="50"/>
      <c r="E98" s="50"/>
      <c r="F98" s="50"/>
      <c r="G98" s="50"/>
      <c r="H98" s="50"/>
      <c r="I98" s="50"/>
      <c r="J98" s="50"/>
    </row>
    <row r="99" spans="2:10" ht="13.5" customHeight="1" x14ac:dyDescent="0.25">
      <c r="B99" s="25" t="s">
        <v>97</v>
      </c>
      <c r="C99" s="50"/>
      <c r="D99" s="50"/>
      <c r="E99" s="50"/>
      <c r="F99" s="50"/>
      <c r="G99" s="50"/>
      <c r="H99" s="50"/>
      <c r="I99" s="50"/>
      <c r="J99" s="50"/>
    </row>
    <row r="100" spans="2:10" ht="15.75" customHeight="1" x14ac:dyDescent="0.25">
      <c r="B100" s="26" t="s">
        <v>98</v>
      </c>
      <c r="C100" s="70"/>
      <c r="D100" s="53">
        <f ca="1">-MAX(D92+D97,0)*INDEX('Company1808 Assumptions'!$G$109:$G$111,MATCH($D$5,'Company1808 Assumptions'!$C$109:$C$111,0))</f>
        <v>-11303.847080757512</v>
      </c>
      <c r="E100" s="53">
        <f ca="1">-MAX(E92+E97,0)*INDEX('Company1808 Assumptions'!$G$109:$G$111,MATCH($D$5,'Company1808 Assumptions'!$C$109:$C$111,0))</f>
        <v>-7469.9783034405145</v>
      </c>
      <c r="F100" s="53">
        <f ca="1">-MAX(F92+F97,0)*INDEX('Company1808 Assumptions'!$G$109:$G$111,MATCH($D$5,'Company1808 Assumptions'!$C$109:$C$111,0))</f>
        <v>-13055.669754279877</v>
      </c>
      <c r="G100" s="53">
        <f ca="1">-MAX(G92+G97,0)*INDEX('Company1808 Assumptions'!$G$109:$G$111,MATCH($D$5,'Company1808 Assumptions'!$C$109:$C$111,0))</f>
        <v>-16793.907650650945</v>
      </c>
      <c r="H100" s="53">
        <f ca="1">-MAX(H92+H97,0)*INDEX('Company1808 Assumptions'!$G$109:$G$111,MATCH($D$5,'Company1808 Assumptions'!$C$109:$C$111,0))</f>
        <v>-20729.499278536328</v>
      </c>
      <c r="I100" s="53">
        <f ca="1">-MAX(I92+I97,0)*INDEX('Company1808 Assumptions'!$G$109:$G$111,MATCH($D$5,'Company1808 Assumptions'!$C$109:$C$111,0))</f>
        <v>-24256.347188742915</v>
      </c>
      <c r="J100" s="53">
        <f ca="1">-MAX(J92+J97,0)*INDEX('Company1808 Assumptions'!$G$109:$G$111,MATCH($D$5,'Company1808 Assumptions'!$C$109:$C$111,0))</f>
        <v>-28370.267152786811</v>
      </c>
    </row>
    <row r="101" spans="2:10" ht="15.75" customHeight="1" x14ac:dyDescent="0.25">
      <c r="B101" s="26" t="s">
        <v>99</v>
      </c>
      <c r="C101" s="65"/>
      <c r="D101" s="66">
        <f t="shared" ref="D101:J101" si="31">D$71-C$71</f>
        <v>-500</v>
      </c>
      <c r="E101" s="66">
        <f t="shared" si="31"/>
        <v>-500</v>
      </c>
      <c r="F101" s="66">
        <f t="shared" si="31"/>
        <v>-500</v>
      </c>
      <c r="G101" s="66">
        <f t="shared" si="31"/>
        <v>-500</v>
      </c>
      <c r="H101" s="66">
        <f t="shared" si="31"/>
        <v>-500</v>
      </c>
      <c r="I101" s="66">
        <f t="shared" si="31"/>
        <v>-500</v>
      </c>
      <c r="J101" s="66">
        <f t="shared" si="31"/>
        <v>-500</v>
      </c>
    </row>
    <row r="102" spans="2:10" ht="15" customHeight="1" x14ac:dyDescent="0.25">
      <c r="B102" s="32" t="s">
        <v>100</v>
      </c>
      <c r="C102" s="68"/>
      <c r="D102" s="68">
        <f t="shared" ref="D102:J102" ca="1" si="32">SUM(D99:D101)</f>
        <v>-11803.847080757512</v>
      </c>
      <c r="E102" s="68">
        <f t="shared" ca="1" si="32"/>
        <v>-7969.9783034405145</v>
      </c>
      <c r="F102" s="68">
        <f t="shared" ca="1" si="32"/>
        <v>-13555.669754279877</v>
      </c>
      <c r="G102" s="68">
        <f t="shared" ca="1" si="32"/>
        <v>-17293.907650650945</v>
      </c>
      <c r="H102" s="68">
        <f t="shared" ca="1" si="32"/>
        <v>-21229.499278536328</v>
      </c>
      <c r="I102" s="68">
        <f t="shared" ca="1" si="32"/>
        <v>-24756.347188742915</v>
      </c>
      <c r="J102" s="68">
        <f t="shared" ca="1" si="32"/>
        <v>-28870.267152786811</v>
      </c>
    </row>
    <row r="103" spans="2:10" ht="15" customHeight="1" x14ac:dyDescent="0.25">
      <c r="B103" s="50"/>
      <c r="C103" s="50"/>
      <c r="D103" s="50"/>
      <c r="E103" s="50"/>
      <c r="F103" s="50"/>
      <c r="G103" s="50"/>
      <c r="H103" s="50"/>
      <c r="I103" s="50"/>
      <c r="J103" s="50"/>
    </row>
    <row r="104" spans="2:10" ht="15" customHeight="1" x14ac:dyDescent="0.25">
      <c r="B104" s="33" t="s">
        <v>101</v>
      </c>
      <c r="C104" s="66"/>
      <c r="D104" s="66">
        <f t="shared" ref="D104:J104" ca="1" si="33">D92+D97+D102</f>
        <v>5586.6868896386604</v>
      </c>
      <c r="E104" s="66">
        <f t="shared" ca="1" si="33"/>
        <v>3522.2960095448916</v>
      </c>
      <c r="F104" s="66">
        <f t="shared" ca="1" si="33"/>
        <v>6529.9760215353181</v>
      </c>
      <c r="G104" s="66">
        <f t="shared" ca="1" si="33"/>
        <v>8542.8733503505064</v>
      </c>
      <c r="H104" s="66">
        <f t="shared" ca="1" si="33"/>
        <v>10662.038073058022</v>
      </c>
      <c r="I104" s="66">
        <f t="shared" ca="1" si="33"/>
        <v>12561.110024707723</v>
      </c>
      <c r="J104" s="66">
        <f t="shared" ca="1" si="33"/>
        <v>14776.297697654434</v>
      </c>
    </row>
    <row r="105" spans="2:10" ht="15" customHeight="1" thickBot="1" x14ac:dyDescent="0.3">
      <c r="B105" s="34" t="s">
        <v>102</v>
      </c>
      <c r="C105" s="66"/>
      <c r="D105" s="66">
        <f>C$106</f>
        <v>35000</v>
      </c>
      <c r="E105" s="66">
        <f t="shared" ref="E105:J105" ca="1" si="34">D$106</f>
        <v>40586.686889638659</v>
      </c>
      <c r="F105" s="66">
        <f t="shared" ca="1" si="34"/>
        <v>44108.982899183553</v>
      </c>
      <c r="G105" s="66">
        <f t="shared" ca="1" si="34"/>
        <v>50638.958920718869</v>
      </c>
      <c r="H105" s="66">
        <f t="shared" ca="1" si="34"/>
        <v>59181.832271069376</v>
      </c>
      <c r="I105" s="66">
        <f t="shared" ca="1" si="34"/>
        <v>69843.870344127397</v>
      </c>
      <c r="J105" s="66">
        <f t="shared" ca="1" si="34"/>
        <v>82404.980368835124</v>
      </c>
    </row>
    <row r="106" spans="2:10" ht="15" customHeight="1" thickBot="1" x14ac:dyDescent="0.3">
      <c r="B106" s="23" t="s">
        <v>103</v>
      </c>
      <c r="C106" s="69">
        <f>C$49</f>
        <v>35000</v>
      </c>
      <c r="D106" s="69">
        <f t="shared" ref="D106:J106" ca="1" si="35">D104+D105</f>
        <v>40586.686889638659</v>
      </c>
      <c r="E106" s="69">
        <f t="shared" ca="1" si="35"/>
        <v>44108.982899183553</v>
      </c>
      <c r="F106" s="69">
        <f t="shared" ca="1" si="35"/>
        <v>50638.958920718869</v>
      </c>
      <c r="G106" s="69">
        <f t="shared" ca="1" si="35"/>
        <v>59181.832271069376</v>
      </c>
      <c r="H106" s="69">
        <f t="shared" ca="1" si="35"/>
        <v>69843.870344127397</v>
      </c>
      <c r="I106" s="69">
        <f t="shared" ca="1" si="35"/>
        <v>82404.980368835124</v>
      </c>
      <c r="J106" s="69">
        <f t="shared" ca="1" si="35"/>
        <v>97181.278066489554</v>
      </c>
    </row>
    <row r="107" spans="2:10" ht="15" customHeight="1" thickTop="1" x14ac:dyDescent="0.25">
      <c r="B107" s="50"/>
      <c r="C107" s="50"/>
      <c r="D107" s="50"/>
      <c r="E107" s="50"/>
      <c r="F107" s="50"/>
      <c r="G107" s="50"/>
      <c r="H107" s="50"/>
      <c r="I107" s="50"/>
      <c r="J107" s="50"/>
    </row>
    <row r="108" spans="2:10" ht="15.75" customHeight="1" x14ac:dyDescent="0.25">
      <c r="B108" s="29" t="s">
        <v>104</v>
      </c>
      <c r="C108" s="66">
        <f t="shared" ref="C108:J108" si="36">C106-C49</f>
        <v>0</v>
      </c>
      <c r="D108" s="66">
        <f t="shared" ca="1" si="36"/>
        <v>0</v>
      </c>
      <c r="E108" s="66">
        <f t="shared" ca="1" si="36"/>
        <v>0</v>
      </c>
      <c r="F108" s="66">
        <f t="shared" ca="1" si="36"/>
        <v>0</v>
      </c>
      <c r="G108" s="66">
        <f t="shared" ca="1" si="36"/>
        <v>0</v>
      </c>
      <c r="H108" s="66">
        <f t="shared" ca="1" si="36"/>
        <v>0</v>
      </c>
      <c r="I108" s="66">
        <f t="shared" ca="1" si="36"/>
        <v>0</v>
      </c>
      <c r="J108" s="66">
        <f t="shared" ca="1" si="36"/>
        <v>0</v>
      </c>
    </row>
    <row r="109" spans="2:10" ht="15" customHeight="1" x14ac:dyDescent="0.25">
      <c r="B109" s="50"/>
      <c r="C109" s="50"/>
      <c r="D109" s="50"/>
      <c r="E109" s="50"/>
      <c r="F109" s="50"/>
      <c r="G109" s="50"/>
      <c r="H109" s="50"/>
      <c r="I109" s="50"/>
      <c r="J109" s="50"/>
    </row>
    <row r="110" spans="2:10" ht="15" customHeight="1" x14ac:dyDescent="0.25">
      <c r="B110" s="50"/>
      <c r="C110" s="50"/>
      <c r="D110" s="50"/>
      <c r="E110" s="50"/>
      <c r="F110" s="50"/>
      <c r="G110" s="50"/>
      <c r="H110" s="50"/>
      <c r="I110" s="50"/>
      <c r="J110" s="50"/>
    </row>
    <row r="111" spans="2:10" ht="15" customHeight="1" x14ac:dyDescent="0.25">
      <c r="B111" s="50"/>
      <c r="C111" s="50"/>
      <c r="D111" s="50"/>
      <c r="E111" s="50"/>
      <c r="F111" s="50"/>
      <c r="G111" s="50"/>
      <c r="H111" s="50"/>
      <c r="I111" s="50"/>
      <c r="J111" s="50"/>
    </row>
    <row r="112" spans="2:10" ht="15" customHeight="1" x14ac:dyDescent="0.25">
      <c r="B112" s="50"/>
      <c r="C112" s="50"/>
      <c r="D112" s="50"/>
      <c r="E112" s="50"/>
      <c r="F112" s="50"/>
      <c r="G112" s="50"/>
      <c r="H112" s="50"/>
      <c r="I112" s="50"/>
      <c r="J112" s="5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Company1153 Assumptions</vt:lpstr>
      <vt:lpstr>Company1808 Assumptions</vt:lpstr>
      <vt:lpstr>Company1153 3-Statement</vt:lpstr>
      <vt:lpstr>Company1808 3-Statement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