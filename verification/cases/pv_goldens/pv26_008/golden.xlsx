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omments1.xml" ContentType="application/vnd.openxmlformats-officedocument.spreadsheetml.comments+xml"/>
  <Override PartName="/xl/customProperty5.bin" ContentType="application/vnd.openxmlformats-officedocument.spreadsheetml.customProperty"/>
  <Override PartName="/xl/customProperty6.bin" ContentType="application/vnd.openxmlformats-officedocument.spreadsheetml.customProperty"/>
  <Override PartName="/xl/comments2.xml" ContentType="application/vnd.openxmlformats-officedocument.spreadsheetml.comments+xml"/>
  <Override PartName="/xl/customProperty7.bin" ContentType="application/vnd.openxmlformats-officedocument.spreadsheetml.customProperty"/>
  <Override PartName="/xl/comments3.xml" ContentType="application/vnd.openxmlformats-officedocument.spreadsheetml.comments+xml"/>
  <Override PartName="/xl/customProperty8.bin" ContentType="application/vnd.openxmlformats-officedocument.spreadsheetml.customProperty"/>
  <Override PartName="/xl/customProperty9.bin" ContentType="application/vnd.openxmlformats-officedocument.spreadsheetml.customProperty"/>
  <Override PartName="/xl/drawings/drawing2.xml" ContentType="application/vnd.openxmlformats-officedocument.drawing+xml"/>
  <Override PartName="/xl/comments4.xml" ContentType="application/vnd.openxmlformats-officedocument.spreadsheetml.comments+xml"/>
  <Override PartName="/xl/customProperty10.bin" ContentType="application/vnd.openxmlformats-officedocument.spreadsheetml.customProperty"/>
  <Override PartName="/xl/customProperty11.bin" ContentType="application/vnd.openxmlformats-officedocument.spreadsheetml.customProperty"/>
  <Override PartName="/xl/comments5.xml" ContentType="application/vnd.openxmlformats-officedocument.spreadsheetml.comments+xml"/>
  <Override PartName="/xl/customProperty12.bin" ContentType="application/vnd.openxmlformats-officedocument.spreadsheetml.customProperty"/>
  <Override PartName="/xl/customProperty13.bin" ContentType="application/vnd.openxmlformats-officedocument.spreadsheetml.customProperty"/>
  <Override PartName="/xl/comments6.xml" ContentType="application/vnd.openxmlformats-officedocument.spreadsheetml.comments+xml"/>
  <Override PartName="/xl/customProperty14.bin" ContentType="application/vnd.openxmlformats-officedocument.spreadsheetml.customProperty"/>
  <Override PartName="/xl/customProperty15.bin" ContentType="application/vnd.openxmlformats-officedocument.spreadsheetml.customProperty"/>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Objects="placeholders" showInkAnnotation="0" codeName="ThisWorkbook"/>
  <bookViews>
    <workbookView xWindow="-108" yWindow="-108" windowWidth="23256" windowHeight="13896" tabRatio="763" activeTab="4" xr2:uid="{00000000-000D-0000-FFFF-FFFF00000000}"/>
  </bookViews>
  <sheets>
    <sheet name="Cover" sheetId="35" r:id="rId1"/>
    <sheet name="data" sheetId="1" r:id="rId2"/>
    <sheet name="Aerospace" sheetId="39" r:id="rId3"/>
    <sheet name="Revenue build" sheetId="44" r:id="rId4"/>
    <sheet name="SEG" sheetId="16" r:id="rId5"/>
    <sheet name="IS" sheetId="11" r:id="rId6"/>
    <sheet name="BS" sheetId="12" r:id="rId7"/>
    <sheet name="CFLO" sheetId="13" r:id="rId8"/>
  </sheets>
  <definedNames>
    <definedName name="_____guv3" hidden="1">{"K GuV o. Kommentar",#N/A,FALSE,"Company1502"}</definedName>
    <definedName name="____guv3" hidden="1">{"K GuV o. Kommentar",#N/A,FALSE,"Company1502"}</definedName>
    <definedName name="____KEY2" hidden="1">#REF!</definedName>
    <definedName name="____sky2" hidden="1">{"Summary analysis",#N/A,FALSE,"Total";"OCPH analysis",#N/A,FALSE,"Total";"detail analysis",#N/A,FALSE,"Total"}</definedName>
    <definedName name="___cnh1" hidden="1">{"ANNUAL",#N/A,FALSE,"DDCLINK";"DDC94",#N/A,FALSE,"DDCLINK"}</definedName>
    <definedName name="___cnh2" hidden="1">{"ANNUAL",#N/A,FALSE,"DDCLINK";"DDC94",#N/A,FALSE,"DDCLINK"}</definedName>
    <definedName name="___guv3" hidden="1">{"K GuV o. Kommentar",#N/A,FALSE,"Company1502"}</definedName>
    <definedName name="___KEY2" hidden="1">#REF!</definedName>
    <definedName name="___sky2" hidden="1">{"Summary analysis",#N/A,FALSE,"Total";"OCPH analysis",#N/A,FALSE,"Total";"detail analysis",#N/A,FALSE,"Total"}</definedName>
    <definedName name="__123Graph_A" hidden="1">#REF!</definedName>
    <definedName name="__123Graph_AASSY" hidden="1">#REF!</definedName>
    <definedName name="__123Graph_AChart1"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urrent" hidden="1">#REF!</definedName>
    <definedName name="__123Graph_B" hidden="1">#REF!</definedName>
    <definedName name="__123Graph_BChart1"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urrent" hidden="1">#REF!</definedName>
    <definedName name="__123Graph_C" hidden="1">#REF!</definedName>
    <definedName name="__123Graph_CChart1"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urrent" hidden="1">#REF!</definedName>
    <definedName name="__123Graph_D" hidden="1">#REF!</definedName>
    <definedName name="__123Graph_DChart1"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urrent" hidden="1">#REF!</definedName>
    <definedName name="__123Graph_E" hidden="1">#REF!</definedName>
    <definedName name="__123Graph_EChart1"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urrent" hidden="1">#REF!</definedName>
    <definedName name="__123Graph_F" hidden="1">#REF!</definedName>
    <definedName name="__123Graph_X" hidden="1">#REF!</definedName>
    <definedName name="__123Graph_XChart1" hidden="1">#REF!</definedName>
    <definedName name="__123Graph_XChart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urrent" hidden="1">#REF!</definedName>
    <definedName name="__APW_RESTORE_DATA10__" hidden="1">#REF!,#REF!,#REF!,#REF!,#REF!,#REF!,#REF!,#REF!,#REF!,#REF!,#REF!,#REF!,#REF!,#REF!</definedName>
    <definedName name="__APW_RESTORE_DATA100__" hidden="1">#REF!,#REF!,#REF!,#REF!,#REF!,#REF!,#REF!,#REF!,#REF!,#REF!,#REF!,#REF!,#REF!,#REF!,#REF!</definedName>
    <definedName name="__APW_RESTORE_DATA1000__" hidden="1">#REF!,#REF!,#REF!,#REF!,#REF!,#REF!,#REF!,#REF!,#REF!,#REF!,#REF!,#REF!,#REF!,#REF!</definedName>
    <definedName name="__APW_RESTORE_DATA1001__" hidden="1">#REF!,#REF!,#REF!,#REF!,#REF!,#REF!,#REF!,#REF!,#REF!,#REF!,#REF!,#REF!,#REF!,#REF!</definedName>
    <definedName name="__APW_RESTORE_DATA1002__" hidden="1">#REF!,#REF!,#REF!,#REF!,#REF!,#REF!,#REF!,#REF!,#REF!,#REF!,#REF!,#REF!,#REF!,#REF!</definedName>
    <definedName name="__APW_RESTORE_DATA1003__" hidden="1">#REF!,#REF!,#REF!,#REF!,#REF!,#REF!,#REF!,#REF!,#REF!,#REF!,#REF!,#REF!,#REF!,#REF!</definedName>
    <definedName name="__APW_RESTORE_DATA1004__" hidden="1">#REF!,#REF!,#REF!,#REF!,#REF!,#REF!,#REF!,#REF!,#REF!,#REF!,#REF!,#REF!,#REF!,#REF!</definedName>
    <definedName name="__APW_RESTORE_DATA1005__" hidden="1">#REF!,#REF!,#REF!,#REF!,#REF!,#REF!,#REF!,#REF!,#REF!,#REF!,#REF!,#REF!,#REF!,#REF!</definedName>
    <definedName name="__APW_RESTORE_DATA1006__" hidden="1">#REF!,#REF!,#REF!,#REF!,#REF!,#REF!,#REF!,#REF!,#REF!,#REF!,#REF!,#REF!,#REF!,#REF!</definedName>
    <definedName name="__APW_RESTORE_DATA1007__" hidden="1">#REF!,#REF!,#REF!,#REF!,#REF!,#REF!,#REF!,#REF!,#REF!,#REF!,#REF!,#REF!,#REF!,#REF!</definedName>
    <definedName name="__APW_RESTORE_DATA1008__" hidden="1">#REF!,#REF!,#REF!,#REF!,#REF!,#REF!,#REF!,#REF!,#REF!,#REF!,#REF!,#REF!,#REF!,#REF!</definedName>
    <definedName name="__APW_RESTORE_DATA1009__" hidden="1">#REF!,#REF!,#REF!,#REF!,#REF!,#REF!,#REF!,#REF!,#REF!,#REF!,#REF!,#REF!,#REF!,#REF!</definedName>
    <definedName name="__APW_RESTORE_DATA101__" hidden="1">#REF!,#REF!,#REF!,#REF!,#REF!,#REF!,#REF!,#REF!,#REF!,#REF!,#REF!,#REF!,#REF!,#REF!</definedName>
    <definedName name="__APW_RESTORE_DATA1010__" hidden="1">#REF!,#REF!,#REF!,#REF!,#REF!,#REF!,#REF!,#REF!,#REF!,#REF!,#REF!,#REF!,#REF!,#REF!</definedName>
    <definedName name="__APW_RESTORE_DATA1011__" hidden="1">#REF!</definedName>
    <definedName name="__APW_RESTORE_DATA1012__" hidden="1">#REF!,#REF!,#REF!,#REF!,#REF!,#REF!,#REF!,#REF!,#REF!,#REF!,#REF!,#REF!,#REF!,#REF!</definedName>
    <definedName name="__APW_RESTORE_DATA1013__" hidden="1">#REF!,#REF!,#REF!,#REF!,#REF!,#REF!,#REF!,#REF!,#REF!,#REF!,#REF!,#REF!,#REF!,#REF!</definedName>
    <definedName name="__APW_RESTORE_DATA1014__" hidden="1">#REF!,#REF!,#REF!,#REF!,#REF!,#REF!,#REF!,#REF!,#REF!,#REF!,#REF!,#REF!,#REF!,#REF!</definedName>
    <definedName name="__APW_RESTORE_DATA1015__" hidden="1">#REF!,#REF!,#REF!,#REF!,#REF!,#REF!,#REF!,#REF!,#REF!,#REF!,#REF!,#REF!,#REF!,#REF!</definedName>
    <definedName name="__APW_RESTORE_DATA1016__" hidden="1">#REF!,#REF!,#REF!,#REF!,#REF!,#REF!,#REF!,#REF!,#REF!,#REF!,#REF!,#REF!,#REF!,#REF!</definedName>
    <definedName name="__APW_RESTORE_DATA1017__" hidden="1">#REF!,#REF!,#REF!,#REF!,#REF!,#REF!,#REF!,#REF!,#REF!,#REF!,#REF!,#REF!,#REF!,#REF!</definedName>
    <definedName name="__APW_RESTORE_DATA1018__" hidden="1">#REF!,#REF!,#REF!,#REF!,#REF!,#REF!,#REF!,#REF!,#REF!,#REF!,#REF!,#REF!,#REF!,#REF!</definedName>
    <definedName name="__APW_RESTORE_DATA1019__" hidden="1">#REF!,#REF!,#REF!,#REF!,#REF!,#REF!,#REF!,#REF!,#REF!,#REF!,#REF!,#REF!,#REF!,#REF!</definedName>
    <definedName name="__APW_RESTORE_DATA102__" hidden="1">#REF!,#REF!,#REF!,#REF!,#REF!,#REF!,#REF!,#REF!,#REF!,#REF!,#REF!,#REF!,#REF!,#REF!</definedName>
    <definedName name="__APW_RESTORE_DATA1020__" hidden="1">#REF!,#REF!,#REF!,#REF!,#REF!,#REF!,#REF!,#REF!,#REF!,#REF!,#REF!,#REF!,#REF!,#REF!</definedName>
    <definedName name="__APW_RESTORE_DATA1021__" hidden="1">#REF!,#REF!,#REF!,#REF!,#REF!,#REF!,#REF!,#REF!,#REF!,#REF!,#REF!,#REF!,#REF!,#REF!</definedName>
    <definedName name="__APW_RESTORE_DATA1022__" hidden="1">#REF!,#REF!,#REF!,#REF!,#REF!,#REF!,#REF!,#REF!,#REF!,#REF!,#REF!,#REF!,#REF!,#REF!</definedName>
    <definedName name="__APW_RESTORE_DATA1023__" hidden="1">#REF!,#REF!,#REF!,#REF!,#REF!,#REF!,#REF!,#REF!,#REF!,#REF!,#REF!,#REF!,#REF!,#REF!</definedName>
    <definedName name="__APW_RESTORE_DATA1024__" hidden="1">#REF!,#REF!,#REF!,#REF!,#REF!,#REF!,#REF!,#REF!,#REF!,#REF!,#REF!,#REF!,#REF!,#REF!</definedName>
    <definedName name="__APW_RESTORE_DATA1025__" hidden="1">#REF!,#REF!,#REF!,#REF!,#REF!,#REF!,#REF!,#REF!,#REF!,#REF!,#REF!,#REF!,#REF!,#REF!</definedName>
    <definedName name="__APW_RESTORE_DATA1026__" hidden="1">#REF!,#REF!,#REF!,#REF!,#REF!,#REF!,#REF!,#REF!,#REF!,#REF!,#REF!,#REF!,#REF!,#REF!</definedName>
    <definedName name="__APW_RESTORE_DATA1027__" hidden="1">#REF!,#REF!,#REF!,#REF!,#REF!,#REF!,#REF!,#REF!,#REF!,#REF!,#REF!,#REF!,#REF!,#REF!</definedName>
    <definedName name="__APW_RESTORE_DATA1028__" hidden="1">#REF!,#REF!,#REF!,#REF!,#REF!,#REF!,#REF!,#REF!,#REF!,#REF!,#REF!,#REF!,#REF!,#REF!</definedName>
    <definedName name="__APW_RESTORE_DATA1029__" hidden="1">#REF!,#REF!,#REF!,#REF!,#REF!,#REF!,#REF!,#REF!,#REF!,#REF!,#REF!,#REF!,#REF!,#REF!</definedName>
    <definedName name="__APW_RESTORE_DATA103__" hidden="1">#REF!,#REF!,#REF!,#REF!,#REF!,#REF!,#REF!,#REF!,#REF!,#REF!,#REF!,#REF!,#REF!,#REF!</definedName>
    <definedName name="__APW_RESTORE_DATA1030__" hidden="1">#REF!,#REF!,#REF!,#REF!,#REF!,#REF!,#REF!,#REF!,#REF!,#REF!,#REF!,#REF!,#REF!,#REF!</definedName>
    <definedName name="__APW_RESTORE_DATA1031__" hidden="1">#REF!,#REF!,#REF!,#REF!,#REF!,#REF!,#REF!,#REF!,#REF!,#REF!,#REF!,#REF!,#REF!,#REF!</definedName>
    <definedName name="__APW_RESTORE_DATA1032__" hidden="1">#REF!,#REF!,#REF!,#REF!,#REF!,#REF!,#REF!,#REF!,#REF!,#REF!,#REF!,#REF!,#REF!,#REF!</definedName>
    <definedName name="__APW_RESTORE_DATA1033__" hidden="1">#REF!,#REF!,#REF!,#REF!,#REF!,#REF!,#REF!,#REF!,#REF!,#REF!,#REF!,#REF!,#REF!,#REF!</definedName>
    <definedName name="__APW_RESTORE_DATA1034__" hidden="1">#REF!,#REF!,#REF!,#REF!,#REF!,#REF!,#REF!,#REF!,#REF!,#REF!,#REF!,#REF!,#REF!,#REF!</definedName>
    <definedName name="__APW_RESTORE_DATA1035__" hidden="1">#REF!,#REF!,#REF!,#REF!,#REF!,#REF!,#REF!,#REF!,#REF!,#REF!,#REF!,#REF!,#REF!,#REF!</definedName>
    <definedName name="__APW_RESTORE_DATA1036__" hidden="1">#REF!,#REF!,#REF!,#REF!,#REF!,#REF!,#REF!,#REF!,#REF!,#REF!,#REF!,#REF!,#REF!,#REF!</definedName>
    <definedName name="__APW_RESTORE_DATA1037__" hidden="1">#REF!,#REF!,#REF!,#REF!,#REF!,#REF!,#REF!,#REF!,#REF!,#REF!,#REF!,#REF!,#REF!,#REF!</definedName>
    <definedName name="__APW_RESTORE_DATA1038__" hidden="1">#REF!,#REF!,#REF!,#REF!,#REF!,#REF!,#REF!,#REF!,#REF!,#REF!,#REF!,#REF!,#REF!,#REF!</definedName>
    <definedName name="__APW_RESTORE_DATA1039__" hidden="1">#REF!,#REF!,#REF!,#REF!,#REF!,#REF!,#REF!,#REF!,#REF!,#REF!,#REF!,#REF!,#REF!,#REF!</definedName>
    <definedName name="__APW_RESTORE_DATA104__" hidden="1">#REF!,#REF!,#REF!,#REF!,#REF!,#REF!,#REF!,#REF!,#REF!,#REF!,#REF!,#REF!,#REF!,#REF!</definedName>
    <definedName name="__APW_RESTORE_DATA1040__" hidden="1">#REF!,#REF!,#REF!,#REF!,#REF!,#REF!,#REF!,#REF!,#REF!,#REF!,#REF!,#REF!,#REF!,#REF!</definedName>
    <definedName name="__APW_RESTORE_DATA1041__" hidden="1">#REF!,#REF!,#REF!,#REF!,#REF!,#REF!,#REF!,#REF!,#REF!,#REF!,#REF!,#REF!,#REF!,#REF!</definedName>
    <definedName name="__APW_RESTORE_DATA1042__" hidden="1">#REF!,#REF!,#REF!,#REF!,#REF!,#REF!,#REF!,#REF!,#REF!,#REF!,#REF!,#REF!,#REF!,#REF!</definedName>
    <definedName name="__APW_RESTORE_DATA1043__" hidden="1">#REF!,#REF!,#REF!,#REF!,#REF!,#REF!,#REF!,#REF!,#REF!,#REF!,#REF!,#REF!,#REF!,#REF!</definedName>
    <definedName name="__APW_RESTORE_DATA1044__" hidden="1">#REF!,#REF!,#REF!,#REF!,#REF!,#REF!,#REF!,#REF!,#REF!,#REF!,#REF!,#REF!,#REF!,#REF!</definedName>
    <definedName name="__APW_RESTORE_DATA1045__" hidden="1">#REF!,#REF!,#REF!,#REF!,#REF!,#REF!,#REF!,#REF!,#REF!,#REF!,#REF!,#REF!,#REF!,#REF!</definedName>
    <definedName name="__APW_RESTORE_DATA1046__" hidden="1">#REF!,#REF!,#REF!,#REF!,#REF!,#REF!,#REF!,#REF!,#REF!,#REF!,#REF!,#REF!,#REF!,#REF!</definedName>
    <definedName name="__APW_RESTORE_DATA1047__" hidden="1">#REF!,#REF!,#REF!,#REF!,#REF!,#REF!,#REF!,#REF!,#REF!,#REF!,#REF!,#REF!,#REF!,#REF!</definedName>
    <definedName name="__APW_RESTORE_DATA1048__" hidden="1">#REF!,#REF!,#REF!,#REF!,#REF!,#REF!,#REF!,#REF!,#REF!,#REF!,#REF!,#REF!,#REF!,#REF!</definedName>
    <definedName name="__APW_RESTORE_DATA1049__" hidden="1">#REF!,#REF!,#REF!,#REF!,#REF!,#REF!,#REF!,#REF!,#REF!,#REF!,#REF!,#REF!,#REF!,#REF!</definedName>
    <definedName name="__APW_RESTORE_DATA105__" hidden="1">#REF!,#REF!,#REF!,#REF!,#REF!,#REF!,#REF!,#REF!,#REF!,#REF!,#REF!,#REF!,#REF!,#REF!</definedName>
    <definedName name="__APW_RESTORE_DATA1050__" hidden="1">#REF!,#REF!,#REF!,#REF!,#REF!,#REF!,#REF!,#REF!,#REF!,#REF!,#REF!,#REF!,#REF!,#REF!</definedName>
    <definedName name="__APW_RESTORE_DATA1051__" hidden="1">#REF!,#REF!,#REF!,#REF!,#REF!,#REF!,#REF!,#REF!,#REF!,#REF!,#REF!,#REF!,#REF!,#REF!</definedName>
    <definedName name="__APW_RESTORE_DATA1052__" hidden="1">#REF!,#REF!,#REF!,#REF!,#REF!,#REF!,#REF!,#REF!,#REF!,#REF!,#REF!,#REF!,#REF!,#REF!</definedName>
    <definedName name="__APW_RESTORE_DATA1053__" hidden="1">#REF!,#REF!,#REF!,#REF!,#REF!,#REF!,#REF!,#REF!,#REF!,#REF!,#REF!,#REF!,#REF!,#REF!</definedName>
    <definedName name="__APW_RESTORE_DATA1054__" hidden="1">#REF!,#REF!,#REF!,#REF!,#REF!,#REF!,#REF!,#REF!,#REF!,#REF!,#REF!,#REF!,#REF!,#REF!</definedName>
    <definedName name="__APW_RESTORE_DATA1055__" hidden="1">#REF!,#REF!,#REF!,#REF!,#REF!,#REF!,#REF!,#REF!,#REF!,#REF!,#REF!,#REF!,#REF!,#REF!</definedName>
    <definedName name="__APW_RESTORE_DATA1056__" hidden="1">#REF!,#REF!,#REF!,#REF!,#REF!,#REF!,#REF!,#REF!,#REF!,#REF!,#REF!,#REF!,#REF!,#REF!</definedName>
    <definedName name="__APW_RESTORE_DATA1057__" hidden="1">#REF!,#REF!,#REF!,#REF!,#REF!,#REF!,#REF!,#REF!,#REF!,#REF!,#REF!,#REF!,#REF!,#REF!</definedName>
    <definedName name="__APW_RESTORE_DATA1058__" hidden="1">#REF!,#REF!,#REF!,#REF!,#REF!,#REF!,#REF!,#REF!,#REF!,#REF!,#REF!,#REF!,#REF!,#REF!</definedName>
    <definedName name="__APW_RESTORE_DATA1059__" hidden="1">#REF!,#REF!,#REF!,#REF!,#REF!,#REF!,#REF!,#REF!,#REF!,#REF!,#REF!,#REF!,#REF!,#REF!</definedName>
    <definedName name="__APW_RESTORE_DATA106__" hidden="1">#REF!,#REF!,#REF!,#REF!,#REF!,#REF!,#REF!,#REF!,#REF!,#REF!,#REF!,#REF!,#REF!,#REF!</definedName>
    <definedName name="__APW_RESTORE_DATA1060__" hidden="1">#REF!,#REF!,#REF!</definedName>
    <definedName name="__APW_RESTORE_DATA1061__" hidden="1">#REF!,#REF!,#REF!,#REF!,#REF!,#REF!,#REF!,#REF!,#REF!,#REF!,#REF!,#REF!,#REF!,#REF!</definedName>
    <definedName name="__APW_RESTORE_DATA1062__" hidden="1">#REF!,#REF!,#REF!,#REF!,#REF!,#REF!,#REF!,#REF!,#REF!,#REF!,#REF!,#REF!,#REF!,#REF!</definedName>
    <definedName name="__APW_RESTORE_DATA1063__" hidden="1">#REF!,#REF!,#REF!,#REF!,#REF!,#REF!,#REF!,#REF!,#REF!,#REF!,#REF!,#REF!,#REF!,#REF!</definedName>
    <definedName name="__APW_RESTORE_DATA1064__" hidden="1">#REF!,#REF!,#REF!,#REF!,#REF!,#REF!,#REF!,#REF!,#REF!,#REF!,#REF!,#REF!,#REF!,#REF!</definedName>
    <definedName name="__APW_RESTORE_DATA1065__" hidden="1">#REF!,#REF!,#REF!,#REF!,#REF!,#REF!,#REF!,#REF!,#REF!,#REF!,#REF!,#REF!,#REF!,#REF!</definedName>
    <definedName name="__APW_RESTORE_DATA1066__" hidden="1">#REF!,#REF!,#REF!,#REF!,#REF!,#REF!,#REF!,#REF!,#REF!,#REF!,#REF!,#REF!,#REF!,#REF!</definedName>
    <definedName name="__APW_RESTORE_DATA1067__" hidden="1">#REF!,#REF!,#REF!,#REF!,#REF!,#REF!,#REF!,#REF!,#REF!,#REF!,#REF!,#REF!,#REF!,#REF!</definedName>
    <definedName name="__APW_RESTORE_DATA1068__" hidden="1">#REF!,#REF!,#REF!,#REF!,#REF!,#REF!,#REF!,#REF!,#REF!,#REF!,#REF!,#REF!,#REF!,#REF!</definedName>
    <definedName name="__APW_RESTORE_DATA1069__" hidden="1">#REF!,#REF!,#REF!,#REF!,#REF!,#REF!,#REF!,#REF!,#REF!,#REF!,#REF!,#REF!,#REF!,#REF!</definedName>
    <definedName name="__APW_RESTORE_DATA107__" hidden="1">#REF!,#REF!,#REF!,#REF!,#REF!,#REF!,#REF!,#REF!,#REF!,#REF!,#REF!,#REF!,#REF!,#REF!</definedName>
    <definedName name="__APW_RESTORE_DATA1070__" hidden="1">#REF!,#REF!,#REF!,#REF!,#REF!,#REF!,#REF!,#REF!,#REF!,#REF!,#REF!,#REF!,#REF!,#REF!</definedName>
    <definedName name="__APW_RESTORE_DATA1071__" hidden="1">#REF!,#REF!,#REF!,#REF!,#REF!,#REF!,#REF!,#REF!,#REF!,#REF!,#REF!,#REF!,#REF!,#REF!</definedName>
    <definedName name="__APW_RESTORE_DATA1072__" hidden="1">#REF!,#REF!,#REF!,#REF!,#REF!,#REF!,#REF!,#REF!,#REF!,#REF!,#REF!,#REF!,#REF!,#REF!</definedName>
    <definedName name="__APW_RESTORE_DATA1073__" hidden="1">#REF!,#REF!,#REF!,#REF!,#REF!,#REF!,#REF!,#REF!,#REF!,#REF!,#REF!,#REF!,#REF!,#REF!</definedName>
    <definedName name="__APW_RESTORE_DATA1074__" hidden="1">#REF!,#REF!,#REF!,#REF!,#REF!,#REF!,#REF!,#REF!,#REF!,#REF!,#REF!,#REF!,#REF!,#REF!</definedName>
    <definedName name="__APW_RESTORE_DATA1075__" hidden="1">#REF!,#REF!,#REF!,#REF!,#REF!,#REF!,#REF!,#REF!,#REF!,#REF!,#REF!,#REF!,#REF!,#REF!</definedName>
    <definedName name="__APW_RESTORE_DATA1076__" hidden="1">#REF!,#REF!,#REF!,#REF!,#REF!,#REF!,#REF!,#REF!,#REF!,#REF!,#REF!,#REF!,#REF!,#REF!</definedName>
    <definedName name="__APW_RESTORE_DATA1077__" hidden="1">#REF!,#REF!,#REF!,#REF!,#REF!,#REF!,#REF!,#REF!,#REF!,#REF!,#REF!,#REF!,#REF!,#REF!</definedName>
    <definedName name="__APW_RESTORE_DATA1078__" hidden="1">#REF!,#REF!,#REF!,#REF!,#REF!,#REF!,#REF!,#REF!,#REF!,#REF!,#REF!,#REF!,#REF!,#REF!</definedName>
    <definedName name="__APW_RESTORE_DATA1079__" hidden="1">#REF!,#REF!,#REF!,#REF!,#REF!,#REF!,#REF!,#REF!,#REF!,#REF!,#REF!,#REF!,#REF!,#REF!</definedName>
    <definedName name="__APW_RESTORE_DATA108__" hidden="1">#REF!,#REF!,#REF!,#REF!,#REF!,#REF!,#REF!,#REF!,#REF!,#REF!,#REF!,#REF!,#REF!,#REF!</definedName>
    <definedName name="__APW_RESTORE_DATA1080__" hidden="1">#REF!,#REF!,#REF!,#REF!,#REF!,#REF!,#REF!,#REF!,#REF!,#REF!,#REF!,#REF!,#REF!,#REF!</definedName>
    <definedName name="__APW_RESTORE_DATA1081__" hidden="1">#REF!,#REF!,#REF!,#REF!,#REF!,#REF!,#REF!,#REF!,#REF!,#REF!,#REF!,#REF!,#REF!,#REF!</definedName>
    <definedName name="__APW_RESTORE_DATA1082__" hidden="1">#REF!,#REF!,#REF!,#REF!,#REF!,#REF!,#REF!,#REF!,#REF!,#REF!,#REF!,#REF!,#REF!,#REF!</definedName>
    <definedName name="__APW_RESTORE_DATA1083__" hidden="1">#REF!,#REF!,#REF!,#REF!,#REF!,#REF!,#REF!,#REF!,#REF!,#REF!,#REF!,#REF!,#REF!,#REF!</definedName>
    <definedName name="__APW_RESTORE_DATA1084__" hidden="1">#REF!,#REF!,#REF!,#REF!,#REF!,#REF!,#REF!,#REF!,#REF!,#REF!,#REF!,#REF!,#REF!,#REF!</definedName>
    <definedName name="__APW_RESTORE_DATA1085__" hidden="1">#REF!,#REF!,#REF!,#REF!,#REF!,#REF!,#REF!,#REF!,#REF!,#REF!,#REF!,#REF!,#REF!,#REF!</definedName>
    <definedName name="__APW_RESTORE_DATA1086__" hidden="1">#REF!,#REF!,#REF!,#REF!,#REF!,#REF!,#REF!,#REF!,#REF!,#REF!,#REF!,#REF!,#REF!,#REF!</definedName>
    <definedName name="__APW_RESTORE_DATA1087__" hidden="1">#REF!,#REF!,#REF!,#REF!,#REF!,#REF!,#REF!,#REF!,#REF!,#REF!,#REF!,#REF!,#REF!,#REF!</definedName>
    <definedName name="__APW_RESTORE_DATA1088__" hidden="1">#REF!,#REF!,#REF!,#REF!,#REF!,#REF!,#REF!,#REF!,#REF!,#REF!,#REF!,#REF!,#REF!,#REF!</definedName>
    <definedName name="__APW_RESTORE_DATA1089__" hidden="1">#REF!,#REF!,#REF!,#REF!,#REF!,#REF!,#REF!,#REF!,#REF!,#REF!,#REF!,#REF!,#REF!,#REF!</definedName>
    <definedName name="__APW_RESTORE_DATA109__" hidden="1">#REF!,#REF!,#REF!,#REF!,#REF!</definedName>
    <definedName name="__APW_RESTORE_DATA1090__" hidden="1">#REF!,#REF!,#REF!,#REF!,#REF!,#REF!,#REF!,#REF!,#REF!,#REF!,#REF!,#REF!,#REF!,#REF!</definedName>
    <definedName name="__APW_RESTORE_DATA1091__" hidden="1">#REF!,#REF!,#REF!,#REF!,#REF!,#REF!,#REF!,#REF!,#REF!,#REF!,#REF!,#REF!,#REF!,#REF!</definedName>
    <definedName name="__APW_RESTORE_DATA1092__" hidden="1">#REF!,#REF!,#REF!,#REF!,#REF!,#REF!,#REF!,#REF!,#REF!,#REF!,#REF!,#REF!,#REF!,#REF!</definedName>
    <definedName name="__APW_RESTORE_DATA1093__" hidden="1">#REF!,#REF!,#REF!</definedName>
    <definedName name="__APW_RESTORE_DATA1094__" hidden="1">#REF!,#REF!,#REF!,#REF!,#REF!,#REF!,#REF!,#REF!,#REF!,#REF!,#REF!,#REF!,#REF!,#REF!</definedName>
    <definedName name="__APW_RESTORE_DATA1095__" hidden="1">#REF!,#REF!,#REF!,#REF!,#REF!,#REF!,#REF!,#REF!,#REF!,#REF!,#REF!,#REF!,#REF!,#REF!</definedName>
    <definedName name="__APW_RESTORE_DATA1096__" hidden="1">#REF!,#REF!,#REF!,#REF!,#REF!,#REF!,#REF!,#REF!,#REF!,#REF!,#REF!,#REF!,#REF!,#REF!</definedName>
    <definedName name="__APW_RESTORE_DATA1097__" hidden="1">#REF!,#REF!,#REF!,#REF!,#REF!,#REF!,#REF!,#REF!,#REF!,#REF!,#REF!,#REF!,#REF!,#REF!</definedName>
    <definedName name="__APW_RESTORE_DATA1098__" hidden="1">#REF!,#REF!,#REF!,#REF!,#REF!,#REF!,#REF!,#REF!,#REF!,#REF!,#REF!,#REF!,#REF!,#REF!</definedName>
    <definedName name="__APW_RESTORE_DATA1099__" hidden="1">#REF!,#REF!,#REF!,#REF!,#REF!,#REF!,#REF!,#REF!,#REF!,#REF!,#REF!,#REF!,#REF!,#REF!</definedName>
    <definedName name="__APW_RESTORE_DATA11__" hidden="1">#REF!,#REF!,#REF!,#REF!,#REF!,#REF!,#REF!,#REF!,#REF!,#REF!,#REF!,#REF!,#REF!,#REF!</definedName>
    <definedName name="__APW_RESTORE_DATA110__" hidden="1">#REF!,#REF!,#REF!,#REF!,#REF!,#REF!,#REF!,#REF!,#REF!,#REF!,#REF!,#REF!,#REF!,#REF!,#REF!</definedName>
    <definedName name="__APW_RESTORE_DATA1100__" hidden="1">#REF!,#REF!,#REF!,#REF!,#REF!,#REF!,#REF!,#REF!,#REF!,#REF!,#REF!,#REF!,#REF!,#REF!</definedName>
    <definedName name="__APW_RESTORE_DATA1101__" hidden="1">#REF!,#REF!,#REF!,#REF!,#REF!,#REF!,#REF!,#REF!,#REF!,#REF!,#REF!,#REF!,#REF!,#REF!</definedName>
    <definedName name="__APW_RESTORE_DATA1102__" hidden="1">#REF!,#REF!,#REF!,#REF!,#REF!,#REF!,#REF!,#REF!,#REF!,#REF!,#REF!,#REF!,#REF!,#REF!</definedName>
    <definedName name="__APW_RESTORE_DATA1103__" hidden="1">#REF!,#REF!,#REF!,#REF!,#REF!,#REF!,#REF!,#REF!,#REF!,#REF!,#REF!,#REF!,#REF!,#REF!</definedName>
    <definedName name="__APW_RESTORE_DATA1104__" hidden="1">#REF!,#REF!,#REF!,#REF!,#REF!,#REF!,#REF!,#REF!,#REF!,#REF!,#REF!,#REF!,#REF!,#REF!</definedName>
    <definedName name="__APW_RESTORE_DATA1105__" hidden="1">#REF!,#REF!,#REF!,#REF!,#REF!,#REF!,#REF!,#REF!,#REF!,#REF!,#REF!,#REF!,#REF!,#REF!</definedName>
    <definedName name="__APW_RESTORE_DATA1106__" hidden="1">#REF!,#REF!,#REF!,#REF!,#REF!,#REF!,#REF!,#REF!,#REF!,#REF!,#REF!,#REF!,#REF!,#REF!</definedName>
    <definedName name="__APW_RESTORE_DATA1107__" hidden="1">#REF!,#REF!,#REF!,#REF!,#REF!,#REF!,#REF!,#REF!,#REF!,#REF!,#REF!,#REF!,#REF!,#REF!</definedName>
    <definedName name="__APW_RESTORE_DATA1108__" hidden="1">#REF!,#REF!,#REF!,#REF!,#REF!,#REF!,#REF!,#REF!,#REF!,#REF!,#REF!,#REF!,#REF!,#REF!</definedName>
    <definedName name="__APW_RESTORE_DATA1109__" hidden="1">#REF!,#REF!,#REF!,#REF!,#REF!,#REF!,#REF!,#REF!,#REF!,#REF!,#REF!,#REF!,#REF!,#REF!</definedName>
    <definedName name="__APW_RESTORE_DATA111__" hidden="1">#REF!,#REF!,#REF!,#REF!,#REF!,#REF!,#REF!,#REF!,#REF!,#REF!,#REF!,#REF!,#REF!,#REF!,#REF!</definedName>
    <definedName name="__APW_RESTORE_DATA1110__" hidden="1">#REF!,#REF!,#REF!,#REF!,#REF!,#REF!,#REF!,#REF!,#REF!,#REF!,#REF!,#REF!,#REF!,#REF!</definedName>
    <definedName name="__APW_RESTORE_DATA1111__" hidden="1">#REF!,#REF!,#REF!,#REF!,#REF!,#REF!,#REF!,#REF!,#REF!,#REF!,#REF!,#REF!,#REF!,#REF!</definedName>
    <definedName name="__APW_RESTORE_DATA1112__" hidden="1">#REF!,#REF!,#REF!,#REF!,#REF!,#REF!,#REF!,#REF!,#REF!,#REF!,#REF!,#REF!,#REF!,#REF!</definedName>
    <definedName name="__APW_RESTORE_DATA1113__" hidden="1">#REF!,#REF!,#REF!,#REF!,#REF!,#REF!,#REF!,#REF!,#REF!,#REF!,#REF!,#REF!,#REF!,#REF!</definedName>
    <definedName name="__APW_RESTORE_DATA1114__" hidden="1">#REF!,#REF!,#REF!,#REF!,#REF!,#REF!,#REF!,#REF!,#REF!,#REF!,#REF!,#REF!,#REF!,#REF!</definedName>
    <definedName name="__APW_RESTORE_DATA1115__" hidden="1">#REF!,#REF!,#REF!,#REF!,#REF!,#REF!,#REF!,#REF!,#REF!,#REF!,#REF!,#REF!,#REF!,#REF!</definedName>
    <definedName name="__APW_RESTORE_DATA1116__" hidden="1">#REF!,#REF!,#REF!,#REF!,#REF!,#REF!,#REF!,#REF!,#REF!,#REF!,#REF!,#REF!,#REF!,#REF!</definedName>
    <definedName name="__APW_RESTORE_DATA1117__" hidden="1">#REF!,#REF!,#REF!,#REF!,#REF!,#REF!,#REF!,#REF!,#REF!,#REF!,#REF!,#REF!,#REF!,#REF!</definedName>
    <definedName name="__APW_RESTORE_DATA1118__" hidden="1">#REF!,#REF!,#REF!,#REF!,#REF!,#REF!,#REF!,#REF!,#REF!,#REF!,#REF!,#REF!,#REF!,#REF!</definedName>
    <definedName name="__APW_RESTORE_DATA1119__" hidden="1">#REF!,#REF!,#REF!,#REF!,#REF!,#REF!,#REF!,#REF!,#REF!,#REF!,#REF!,#REF!,#REF!,#REF!</definedName>
    <definedName name="__APW_RESTORE_DATA112__" hidden="1">#REF!,#REF!,#REF!,#REF!,#REF!,#REF!,#REF!,#REF!,#REF!,#REF!,#REF!,#REF!,#REF!,#REF!,#REF!</definedName>
    <definedName name="__APW_RESTORE_DATA1120__" hidden="1">#REF!,#REF!,#REF!,#REF!,#REF!,#REF!,#REF!,#REF!,#REF!,#REF!,#REF!,#REF!,#REF!,#REF!</definedName>
    <definedName name="__APW_RESTORE_DATA1121__" hidden="1">#REF!,#REF!,#REF!,#REF!,#REF!,#REF!,#REF!,#REF!,#REF!,#REF!,#REF!,#REF!,#REF!,#REF!</definedName>
    <definedName name="__APW_RESTORE_DATA1122__" hidden="1">#REF!,#REF!,#REF!,#REF!,#REF!,#REF!,#REF!,#REF!,#REF!,#REF!,#REF!,#REF!,#REF!,#REF!</definedName>
    <definedName name="__APW_RESTORE_DATA1123__" hidden="1">#REF!,#REF!,#REF!,#REF!,#REF!,#REF!,#REF!,#REF!,#REF!,#REF!,#REF!,#REF!,#REF!,#REF!</definedName>
    <definedName name="__APW_RESTORE_DATA1124__" hidden="1">#REF!,#REF!,#REF!,#REF!,#REF!,#REF!,#REF!,#REF!,#REF!,#REF!,#REF!,#REF!,#REF!,#REF!</definedName>
    <definedName name="__APW_RESTORE_DATA1125__" hidden="1">#REF!,#REF!,#REF!,#REF!,#REF!,#REF!,#REF!,#REF!,#REF!,#REF!,#REF!,#REF!,#REF!,#REF!</definedName>
    <definedName name="__APW_RESTORE_DATA1126__" hidden="1">#REF!,#REF!,#REF!</definedName>
    <definedName name="__APW_RESTORE_DATA1127__" hidden="1">#REF!,#REF!,#REF!,#REF!,#REF!,#REF!,#REF!,#REF!,#REF!,#REF!,#REF!,#REF!,#REF!,#REF!</definedName>
    <definedName name="__APW_RESTORE_DATA1128__" hidden="1">#REF!,#REF!,#REF!,#REF!,#REF!,#REF!,#REF!,#REF!,#REF!,#REF!,#REF!,#REF!,#REF!,#REF!</definedName>
    <definedName name="__APW_RESTORE_DATA1129__" hidden="1">#REF!,#REF!,#REF!,#REF!,#REF!,#REF!,#REF!,#REF!,#REF!,#REF!,#REF!,#REF!,#REF!,#REF!</definedName>
    <definedName name="__APW_RESTORE_DATA113__" hidden="1">#REF!,#REF!,#REF!,#REF!,#REF!,#REF!,#REF!,#REF!,#REF!,#REF!,#REF!,#REF!,#REF!,#REF!</definedName>
    <definedName name="__APW_RESTORE_DATA1130__" hidden="1">#REF!,#REF!,#REF!,#REF!,#REF!,#REF!,#REF!,#REF!,#REF!,#REF!,#REF!,#REF!,#REF!,#REF!</definedName>
    <definedName name="__APW_RESTORE_DATA1131__" hidden="1">#REF!,#REF!,#REF!,#REF!,#REF!,#REF!,#REF!,#REF!,#REF!,#REF!,#REF!,#REF!,#REF!,#REF!</definedName>
    <definedName name="__APW_RESTORE_DATA1132__" hidden="1">#REF!,#REF!,#REF!,#REF!,#REF!,#REF!,#REF!,#REF!,#REF!,#REF!,#REF!,#REF!,#REF!,#REF!</definedName>
    <definedName name="__APW_RESTORE_DATA1133__" hidden="1">#REF!,#REF!,#REF!,#REF!,#REF!,#REF!,#REF!,#REF!,#REF!,#REF!,#REF!,#REF!,#REF!,#REF!</definedName>
    <definedName name="__APW_RESTORE_DATA1134__" hidden="1">#REF!,#REF!,#REF!,#REF!,#REF!,#REF!,#REF!,#REF!,#REF!,#REF!,#REF!,#REF!,#REF!,#REF!</definedName>
    <definedName name="__APW_RESTORE_DATA1135__" hidden="1">#REF!,#REF!,#REF!,#REF!,#REF!,#REF!,#REF!,#REF!,#REF!,#REF!,#REF!,#REF!,#REF!,#REF!</definedName>
    <definedName name="__APW_RESTORE_DATA1136__" hidden="1">#REF!,#REF!,#REF!,#REF!,#REF!,#REF!,#REF!,#REF!,#REF!,#REF!,#REF!,#REF!,#REF!,#REF!</definedName>
    <definedName name="__APW_RESTORE_DATA1137__" hidden="1">#REF!,#REF!,#REF!,#REF!,#REF!,#REF!,#REF!,#REF!,#REF!,#REF!,#REF!,#REF!,#REF!,#REF!</definedName>
    <definedName name="__APW_RESTORE_DATA1138__" hidden="1">#REF!,#REF!,#REF!,#REF!,#REF!,#REF!,#REF!,#REF!,#REF!,#REF!,#REF!,#REF!,#REF!,#REF!</definedName>
    <definedName name="__APW_RESTORE_DATA1139__" hidden="1">#REF!,#REF!,#REF!,#REF!,#REF!,#REF!,#REF!,#REF!,#REF!,#REF!,#REF!,#REF!,#REF!,#REF!</definedName>
    <definedName name="__APW_RESTORE_DATA114__" hidden="1">#REF!,#REF!,#REF!,#REF!,#REF!,#REF!,#REF!,#REF!,#REF!,#REF!,#REF!,#REF!,#REF!,#REF!</definedName>
    <definedName name="__APW_RESTORE_DATA1140__" hidden="1">#REF!,#REF!,#REF!,#REF!,#REF!,#REF!,#REF!,#REF!,#REF!,#REF!,#REF!,#REF!,#REF!,#REF!</definedName>
    <definedName name="__APW_RESTORE_DATA1141__" hidden="1">#REF!,#REF!,#REF!,#REF!,#REF!,#REF!,#REF!,#REF!,#REF!,#REF!,#REF!,#REF!,#REF!,#REF!</definedName>
    <definedName name="__APW_RESTORE_DATA1142__" hidden="1">#REF!,#REF!,#REF!,#REF!,#REF!,#REF!,#REF!,#REF!,#REF!,#REF!,#REF!,#REF!,#REF!,#REF!</definedName>
    <definedName name="__APW_RESTORE_DATA1143__" hidden="1">#REF!,#REF!,#REF!,#REF!,#REF!,#REF!,#REF!,#REF!,#REF!,#REF!,#REF!,#REF!,#REF!,#REF!</definedName>
    <definedName name="__APW_RESTORE_DATA1144__" hidden="1">#REF!,#REF!,#REF!,#REF!,#REF!,#REF!,#REF!,#REF!,#REF!,#REF!,#REF!,#REF!,#REF!,#REF!</definedName>
    <definedName name="__APW_RESTORE_DATA1145__" hidden="1">#REF!,#REF!,#REF!,#REF!,#REF!,#REF!,#REF!,#REF!,#REF!,#REF!,#REF!,#REF!,#REF!,#REF!</definedName>
    <definedName name="__APW_RESTORE_DATA1146__" hidden="1">#REF!,#REF!,#REF!,#REF!,#REF!,#REF!,#REF!,#REF!,#REF!,#REF!,#REF!,#REF!,#REF!,#REF!</definedName>
    <definedName name="__APW_RESTORE_DATA1147__" hidden="1">#REF!,#REF!,#REF!,#REF!,#REF!,#REF!,#REF!,#REF!,#REF!,#REF!,#REF!,#REF!,#REF!,#REF!</definedName>
    <definedName name="__APW_RESTORE_DATA1148__" hidden="1">#REF!,#REF!,#REF!,#REF!,#REF!,#REF!,#REF!,#REF!,#REF!,#REF!,#REF!,#REF!,#REF!,#REF!</definedName>
    <definedName name="__APW_RESTORE_DATA1149__" hidden="1">#REF!,#REF!,#REF!,#REF!,#REF!,#REF!,#REF!,#REF!,#REF!,#REF!,#REF!,#REF!,#REF!,#REF!</definedName>
    <definedName name="__APW_RESTORE_DATA115__" hidden="1">#REF!,#REF!,#REF!,#REF!,#REF!,#REF!,#REF!,#REF!,#REF!,#REF!,#REF!,#REF!,#REF!,#REF!</definedName>
    <definedName name="__APW_RESTORE_DATA1150__" hidden="1">#REF!,#REF!,#REF!,#REF!,#REF!,#REF!,#REF!,#REF!,#REF!,#REF!,#REF!,#REF!,#REF!,#REF!</definedName>
    <definedName name="__APW_RESTORE_DATA1151__" hidden="1">#REF!,#REF!,#REF!,#REF!,#REF!,#REF!,#REF!,#REF!,#REF!,#REF!,#REF!,#REF!,#REF!,#REF!</definedName>
    <definedName name="__APW_RESTORE_DATA1152__" hidden="1">#REF!,#REF!,#REF!,#REF!,#REF!,#REF!,#REF!,#REF!,#REF!,#REF!,#REF!,#REF!,#REF!,#REF!</definedName>
    <definedName name="__APW_RESTORE_DATA1153__" hidden="1">#REF!,#REF!,#REF!,#REF!,#REF!,#REF!,#REF!,#REF!,#REF!,#REF!,#REF!,#REF!,#REF!,#REF!</definedName>
    <definedName name="__APW_RESTORE_DATA1154__" hidden="1">#REF!,#REF!,#REF!,#REF!,#REF!,#REF!,#REF!,#REF!,#REF!,#REF!,#REF!,#REF!,#REF!,#REF!</definedName>
    <definedName name="__APW_RESTORE_DATA1155__" hidden="1">#REF!,#REF!,#REF!,#REF!,#REF!,#REF!,#REF!,#REF!,#REF!,#REF!,#REF!,#REF!,#REF!,#REF!</definedName>
    <definedName name="__APW_RESTORE_DATA1156__" hidden="1">#REF!,#REF!,#REF!,#REF!,#REF!,#REF!,#REF!,#REF!,#REF!,#REF!,#REF!,#REF!,#REF!,#REF!</definedName>
    <definedName name="__APW_RESTORE_DATA1157__" hidden="1">#REF!,#REF!,#REF!,#REF!,#REF!,#REF!,#REF!,#REF!,#REF!,#REF!,#REF!,#REF!,#REF!,#REF!</definedName>
    <definedName name="__APW_RESTORE_DATA1158__" hidden="1">#REF!,#REF!,#REF!,#REF!,#REF!,#REF!,#REF!,#REF!,#REF!,#REF!,#REF!,#REF!,#REF!,#REF!</definedName>
    <definedName name="__APW_RESTORE_DATA1159__" hidden="1">#REF!,#REF!,#REF!</definedName>
    <definedName name="__APW_RESTORE_DATA116__" hidden="1">#REF!,#REF!,#REF!,#REF!,#REF!,#REF!,#REF!,#REF!,#REF!,#REF!,#REF!,#REF!,#REF!,#REF!</definedName>
    <definedName name="__APW_RESTORE_DATA1160__" hidden="1">#REF!,#REF!,#REF!,#REF!,#REF!,#REF!,#REF!,#REF!,#REF!,#REF!,#REF!,#REF!,#REF!,#REF!,#REF!</definedName>
    <definedName name="__APW_RESTORE_DATA1161__" hidden="1">#REF!,#REF!,#REF!,#REF!,#REF!,#REF!,#REF!,#REF!,#REF!,#REF!,#REF!,#REF!,#REF!,#REF!,#REF!</definedName>
    <definedName name="__APW_RESTORE_DATA1162__" hidden="1">#REF!,#REF!,#REF!,#REF!,#REF!,#REF!,#REF!,#REF!,#REF!,#REF!,#REF!,#REF!,#REF!,#REF!,#REF!</definedName>
    <definedName name="__APW_RESTORE_DATA1163__" hidden="1">#REF!,#REF!,#REF!,#REF!,#REF!,#REF!,#REF!,#REF!,#REF!,#REF!,#REF!,#REF!,#REF!,#REF!</definedName>
    <definedName name="__APW_RESTORE_DATA1164__" hidden="1">#REF!,#REF!,#REF!,#REF!,#REF!,#REF!,#REF!,#REF!,#REF!,#REF!,#REF!</definedName>
    <definedName name="__APW_RESTORE_DATA1165__" hidden="1">#REF!,#REF!,#REF!,#REF!,#REF!,#REF!,#REF!,#REF!,#REF!,#REF!,#REF!,#REF!,#REF!,#REF!,#REF!</definedName>
    <definedName name="__APW_RESTORE_DATA1166__" hidden="1">#REF!,#REF!,#REF!,#REF!,#REF!,#REF!,#REF!,#REF!,#REF!,#REF!,#REF!,#REF!,#REF!,#REF!,#REF!</definedName>
    <definedName name="__APW_RESTORE_DATA1167__" hidden="1">#REF!,#REF!,#REF!,#REF!,#REF!,#REF!,#REF!,#REF!,#REF!,#REF!,#REF!,#REF!,#REF!,#REF!,#REF!</definedName>
    <definedName name="__APW_RESTORE_DATA1168__" hidden="1">#REF!,#REF!,#REF!,#REF!,#REF!,#REF!,#REF!,#REF!,#REF!,#REF!,#REF!,#REF!,#REF!,#REF!</definedName>
    <definedName name="__APW_RESTORE_DATA1169__" hidden="1">#REF!,#REF!,#REF!,#REF!,#REF!,#REF!,#REF!,#REF!,#REF!,#REF!,#REF!</definedName>
    <definedName name="__APW_RESTORE_DATA117__" hidden="1">#REF!,#REF!,#REF!,#REF!,#REF!,#REF!,#REF!,#REF!,#REF!,#REF!,#REF!,#REF!,#REF!,#REF!</definedName>
    <definedName name="__APW_RESTORE_DATA1170__" hidden="1">#REF!,#REF!,#REF!,#REF!,#REF!,#REF!,#REF!,#REF!,#REF!,#REF!,#REF!,#REF!,#REF!,#REF!,#REF!</definedName>
    <definedName name="__APW_RESTORE_DATA1171__" hidden="1">#REF!,#REF!,#REF!,#REF!,#REF!,#REF!,#REF!,#REF!,#REF!,#REF!,#REF!,#REF!,#REF!,#REF!,#REF!</definedName>
    <definedName name="__APW_RESTORE_DATA1172__" hidden="1">#REF!,#REF!,#REF!,#REF!,#REF!,#REF!,#REF!,#REF!,#REF!,#REF!,#REF!,#REF!,#REF!,#REF!,#REF!</definedName>
    <definedName name="__APW_RESTORE_DATA1173__" hidden="1">#REF!,#REF!,#REF!,#REF!,#REF!,#REF!,#REF!,#REF!,#REF!,#REF!,#REF!,#REF!,#REF!,#REF!</definedName>
    <definedName name="__APW_RESTORE_DATA1174__" hidden="1">#REF!,#REF!,#REF!,#REF!,#REF!,#REF!,#REF!,#REF!,#REF!,#REF!,#REF!</definedName>
    <definedName name="__APW_RESTORE_DATA1175__" hidden="1">#REF!,#REF!,#REF!,#REF!,#REF!,#REF!,#REF!,#REF!,#REF!,#REF!,#REF!,#REF!,#REF!,#REF!,#REF!</definedName>
    <definedName name="__APW_RESTORE_DATA1176__" hidden="1">#REF!,#REF!,#REF!,#REF!,#REF!,#REF!,#REF!,#REF!,#REF!,#REF!,#REF!,#REF!,#REF!,#REF!,#REF!</definedName>
    <definedName name="__APW_RESTORE_DATA1177__" hidden="1">#REF!,#REF!,#REF!,#REF!,#REF!,#REF!,#REF!,#REF!,#REF!,#REF!,#REF!,#REF!,#REF!,#REF!,#REF!</definedName>
    <definedName name="__APW_RESTORE_DATA1178__" hidden="1">#REF!,#REF!,#REF!,#REF!,#REF!,#REF!,#REF!,#REF!,#REF!,#REF!,#REF!,#REF!,#REF!,#REF!</definedName>
    <definedName name="__APW_RESTORE_DATA1179__" hidden="1">#REF!,#REF!,#REF!,#REF!,#REF!,#REF!,#REF!,#REF!,#REF!,#REF!,#REF!,#REF!,#REF!,#REF!</definedName>
    <definedName name="__APW_RESTORE_DATA118__" hidden="1">#REF!,#REF!,#REF!,#REF!,#REF!,#REF!,#REF!,#REF!,#REF!,#REF!,#REF!,#REF!,#REF!,#REF!</definedName>
    <definedName name="__APW_RESTORE_DATA1180__" hidden="1">#REF!,#REF!,#REF!,#REF!,#REF!,#REF!,#REF!,#REF!,#REF!,#REF!,#REF!,#REF!,#REF!,#REF!</definedName>
    <definedName name="__APW_RESTORE_DATA1181__" hidden="1">#REF!,#REF!,#REF!,#REF!,#REF!,#REF!,#REF!,#REF!,#REF!,#REF!,#REF!,#REF!,#REF!,#REF!</definedName>
    <definedName name="__APW_RESTORE_DATA1182__" hidden="1">#REF!,#REF!,#REF!,#REF!,#REF!,#REF!,#REF!,#REF!,#REF!,#REF!,#REF!,#REF!,#REF!,#REF!</definedName>
    <definedName name="__APW_RESTORE_DATA1183__" hidden="1">#REF!,#REF!,#REF!,#REF!,#REF!,#REF!,#REF!,#REF!,#REF!,#REF!,#REF!,#REF!,#REF!,#REF!</definedName>
    <definedName name="__APW_RESTORE_DATA1184__" hidden="1">#REF!,#REF!,#REF!,#REF!,#REF!,#REF!,#REF!,#REF!,#REF!,#REF!,#REF!,#REF!,#REF!,#REF!</definedName>
    <definedName name="__APW_RESTORE_DATA1185__" hidden="1">#REF!,#REF!,#REF!,#REF!,#REF!,#REF!,#REF!</definedName>
    <definedName name="__APW_RESTORE_DATA1186__" hidden="1">#REF!,#REF!,#REF!,#REF!,#REF!,#REF!,#REF!,#REF!,#REF!,#REF!,#REF!,#REF!,#REF!,#REF!,#REF!</definedName>
    <definedName name="__APW_RESTORE_DATA1187__" hidden="1">#REF!,#REF!,#REF!,#REF!,#REF!,#REF!,#REF!,#REF!,#REF!,#REF!,#REF!,#REF!,#REF!,#REF!,#REF!</definedName>
    <definedName name="__APW_RESTORE_DATA1188__" hidden="1">#REF!,#REF!,#REF!,#REF!,#REF!,#REF!,#REF!,#REF!,#REF!,#REF!,#REF!,#REF!,#REF!,#REF!,#REF!</definedName>
    <definedName name="__APW_RESTORE_DATA1189__" hidden="1">#REF!,#REF!,#REF!,#REF!,#REF!,#REF!,#REF!,#REF!,#REF!,#REF!,#REF!,#REF!,#REF!,#REF!</definedName>
    <definedName name="__APW_RESTORE_DATA119__" hidden="1">#REF!,#REF!,#REF!,#REF!,#REF!,#REF!,#REF!,#REF!,#REF!,#REF!,#REF!,#REF!,#REF!,#REF!</definedName>
    <definedName name="__APW_RESTORE_DATA1190__" hidden="1">#REF!,#REF!,#REF!,#REF!,#REF!,#REF!,#REF!,#REF!,#REF!,#REF!,#REF!,#REF!,#REF!,#REF!</definedName>
    <definedName name="__APW_RESTORE_DATA1191__" hidden="1">#REF!,#REF!,#REF!,#REF!,#REF!,#REF!,#REF!,#REF!,#REF!,#REF!,#REF!,#REF!,#REF!,#REF!</definedName>
    <definedName name="__APW_RESTORE_DATA1192__" hidden="1">#REF!,#REF!,#REF!,#REF!,#REF!,#REF!,#REF!,#REF!,#REF!,#REF!,#REF!,#REF!,#REF!,#REF!</definedName>
    <definedName name="__APW_RESTORE_DATA1193__" hidden="1">#REF!,#REF!,#REF!,#REF!,#REF!,#REF!,#REF!,#REF!,#REF!,#REF!,#REF!,#REF!,#REF!,#REF!</definedName>
    <definedName name="__APW_RESTORE_DATA1194__" hidden="1">#REF!,#REF!,#REF!,#REF!,#REF!,#REF!,#REF!,#REF!,#REF!,#REF!,#REF!,#REF!,#REF!,#REF!</definedName>
    <definedName name="__APW_RESTORE_DATA1195__" hidden="1">#REF!,#REF!,#REF!,#REF!,#REF!,#REF!,#REF!,#REF!,#REF!,#REF!,#REF!,#REF!,#REF!,#REF!</definedName>
    <definedName name="__APW_RESTORE_DATA1196__" hidden="1">#REF!,#REF!,#REF!,#REF!,#REF!,#REF!,#REF!</definedName>
    <definedName name="__APW_RESTORE_DATA1197__" hidden="1">#REF!,#REF!,#REF!,#REF!,#REF!,#REF!,#REF!,#REF!,#REF!,#REF!,#REF!,#REF!,#REF!,#REF!,#REF!</definedName>
    <definedName name="__APW_RESTORE_DATA1198__" hidden="1">#REF!,#REF!,#REF!,#REF!,#REF!,#REF!,#REF!,#REF!,#REF!,#REF!,#REF!,#REF!,#REF!,#REF!,#REF!</definedName>
    <definedName name="__APW_RESTORE_DATA1199__" hidden="1">#REF!,#REF!,#REF!,#REF!,#REF!,#REF!,#REF!,#REF!,#REF!,#REF!,#REF!,#REF!,#REF!,#REF!,#REF!</definedName>
    <definedName name="__APW_RESTORE_DATA12__" hidden="1">#REF!,#REF!,#REF!,#REF!,#REF!,#REF!,#REF!,#REF!,#REF!,#REF!,#REF!,#REF!,#REF!,#REF!</definedName>
    <definedName name="__APW_RESTORE_DATA120__" hidden="1">#REF!,#REF!,#REF!,#REF!,#REF!,#REF!,#REF!,#REF!,#REF!,#REF!,#REF!,#REF!,#REF!,#REF!</definedName>
    <definedName name="__APW_RESTORE_DATA1200__" hidden="1">#REF!,#REF!,#REF!,#REF!,#REF!,#REF!,#REF!,#REF!,#REF!,#REF!,#REF!,#REF!,#REF!,#REF!</definedName>
    <definedName name="__APW_RESTORE_DATA1201__" hidden="1">#REF!,#REF!,#REF!,#REF!,#REF!,#REF!,#REF!,#REF!,#REF!,#REF!,#REF!,#REF!,#REF!,#REF!</definedName>
    <definedName name="__APW_RESTORE_DATA1202__" hidden="1">#REF!,#REF!,#REF!,#REF!,#REF!,#REF!,#REF!,#REF!,#REF!,#REF!,#REF!,#REF!,#REF!,#REF!</definedName>
    <definedName name="__APW_RESTORE_DATA1203__" hidden="1">#REF!,#REF!,#REF!,#REF!,#REF!,#REF!,#REF!,#REF!,#REF!,#REF!,#REF!,#REF!,#REF!,#REF!</definedName>
    <definedName name="__APW_RESTORE_DATA1204__" hidden="1">#REF!,#REF!,#REF!,#REF!,#REF!,#REF!,#REF!,#REF!,#REF!,#REF!,#REF!,#REF!,#REF!,#REF!</definedName>
    <definedName name="__APW_RESTORE_DATA1205__" hidden="1">#REF!,#REF!,#REF!,#REF!,#REF!,#REF!,#REF!,#REF!,#REF!,#REF!,#REF!,#REF!,#REF!,#REF!</definedName>
    <definedName name="__APW_RESTORE_DATA1206__" hidden="1">#REF!,#REF!,#REF!,#REF!,#REF!,#REF!,#REF!,#REF!,#REF!,#REF!,#REF!,#REF!,#REF!,#REF!</definedName>
    <definedName name="__APW_RESTORE_DATA1207__" hidden="1">#REF!,#REF!,#REF!,#REF!,#REF!,#REF!,#REF!</definedName>
    <definedName name="__APW_RESTORE_DATA1208__" hidden="1">#REF!,#REF!,#REF!,#REF!,#REF!,#REF!,#REF!,#REF!,#REF!,#REF!,#REF!,#REF!,#REF!,#REF!,#REF!</definedName>
    <definedName name="__APW_RESTORE_DATA1209__" hidden="1">#REF!,#REF!,#REF!,#REF!,#REF!,#REF!,#REF!,#REF!,#REF!,#REF!,#REF!,#REF!,#REF!,#REF!,#REF!</definedName>
    <definedName name="__APW_RESTORE_DATA121__" hidden="1">#REF!,#REF!,#REF!,#REF!,#REF!</definedName>
    <definedName name="__APW_RESTORE_DATA1210__" hidden="1">#REF!,#REF!,#REF!,#REF!,#REF!,#REF!,#REF!,#REF!,#REF!,#REF!,#REF!,#REF!,#REF!,#REF!,#REF!</definedName>
    <definedName name="__APW_RESTORE_DATA1211__" hidden="1">#REF!,#REF!,#REF!,#REF!,#REF!,#REF!,#REF!,#REF!,#REF!,#REF!,#REF!,#REF!,#REF!,#REF!</definedName>
    <definedName name="__APW_RESTORE_DATA1212__" hidden="1">#REF!,#REF!,#REF!,#REF!,#REF!,#REF!,#REF!,#REF!,#REF!,#REF!,#REF!,#REF!,#REF!,#REF!</definedName>
    <definedName name="__APW_RESTORE_DATA1213__" hidden="1">#REF!,#REF!,#REF!,#REF!,#REF!,#REF!,#REF!,#REF!,#REF!,#REF!,#REF!,#REF!,#REF!,#REF!</definedName>
    <definedName name="__APW_RESTORE_DATA1214__" hidden="1">#REF!,#REF!,#REF!,#REF!,#REF!,#REF!,#REF!,#REF!,#REF!,#REF!,#REF!,#REF!,#REF!,#REF!</definedName>
    <definedName name="__APW_RESTORE_DATA1215__" hidden="1">#REF!,#REF!,#REF!,#REF!,#REF!,#REF!,#REF!,#REF!,#REF!,#REF!,#REF!,#REF!,#REF!,#REF!</definedName>
    <definedName name="__APW_RESTORE_DATA1216__" hidden="1">#REF!,#REF!,#REF!,#REF!,#REF!,#REF!,#REF!,#REF!,#REF!,#REF!,#REF!,#REF!,#REF!,#REF!</definedName>
    <definedName name="__APW_RESTORE_DATA1217__" hidden="1">#REF!,#REF!,#REF!,#REF!,#REF!,#REF!,#REF!,#REF!,#REF!,#REF!,#REF!,#REF!,#REF!,#REF!</definedName>
    <definedName name="__APW_RESTORE_DATA1218__" hidden="1">#REF!,#REF!,#REF!,#REF!,#REF!,#REF!,#REF!</definedName>
    <definedName name="__APW_RESTORE_DATA1219__" hidden="1">#REF!,#REF!,#REF!,#REF!,#REF!,#REF!,#REF!,#REF!,#REF!,#REF!,#REF!,#REF!,#REF!,#REF!</definedName>
    <definedName name="__APW_RESTORE_DATA122__" hidden="1">#REF!,#REF!,#REF!,#REF!,#REF!,#REF!,#REF!,#REF!,#REF!,#REF!,#REF!,#REF!,#REF!,#REF!</definedName>
    <definedName name="__APW_RESTORE_DATA1220__" hidden="1">#REF!,#REF!,#REF!,#REF!,#REF!,#REF!,#REF!,#REF!,#REF!,#REF!,#REF!,#REF!,#REF!,#REF!</definedName>
    <definedName name="__APW_RESTORE_DATA1221__" hidden="1">#REF!,#REF!,#REF!,#REF!,#REF!,#REF!,#REF!,#REF!,#REF!,#REF!,#REF!,#REF!,#REF!,#REF!</definedName>
    <definedName name="__APW_RESTORE_DATA1222__" hidden="1">#REF!,#REF!,#REF!,#REF!,#REF!,#REF!,#REF!,#REF!,#REF!,#REF!,#REF!,#REF!,#REF!,#REF!</definedName>
    <definedName name="__APW_RESTORE_DATA1223__" hidden="1">#REF!,#REF!,#REF!,#REF!,#REF!,#REF!,#REF!,#REF!,#REF!,#REF!,#REF!,#REF!,#REF!,#REF!</definedName>
    <definedName name="__APW_RESTORE_DATA1224__" hidden="1">#REF!,#REF!,#REF!,#REF!,#REF!,#REF!,#REF!,#REF!,#REF!,#REF!,#REF!,#REF!,#REF!,#REF!</definedName>
    <definedName name="__APW_RESTORE_DATA1225__" hidden="1">#REF!,#REF!,#REF!,#REF!,#REF!,#REF!,#REF!,#REF!,#REF!,#REF!,#REF!,#REF!,#REF!,#REF!</definedName>
    <definedName name="__APW_RESTORE_DATA1226__" hidden="1">#REF!,#REF!,#REF!,#REF!,#REF!,#REF!,#REF!,#REF!,#REF!,#REF!,#REF!,#REF!,#REF!,#REF!</definedName>
    <definedName name="__APW_RESTORE_DATA1227__" hidden="1">#REF!,#REF!,#REF!,#REF!,#REF!,#REF!,#REF!,#REF!,#REF!,#REF!,#REF!,#REF!,#REF!,#REF!</definedName>
    <definedName name="__APW_RESTORE_DATA1228__" hidden="1">#REF!,#REF!,#REF!,#REF!,#REF!,#REF!,#REF!,#REF!,#REF!,#REF!,#REF!,#REF!,#REF!,#REF!</definedName>
    <definedName name="__APW_RESTORE_DATA1229__" hidden="1">#REF!,#REF!,#REF!,#REF!,#REF!,#REF!,#REF!,#REF!,#REF!,#REF!,#REF!,#REF!,#REF!,#REF!</definedName>
    <definedName name="__APW_RESTORE_DATA123__" hidden="1">#REF!,#REF!,#REF!,#REF!,#REF!,#REF!,#REF!,#REF!,#REF!,#REF!,#REF!,#REF!,#REF!,#REF!</definedName>
    <definedName name="__APW_RESTORE_DATA1230__" hidden="1">#REF!,#REF!,#REF!,#REF!,#REF!,#REF!,#REF!,#REF!,#REF!,#REF!,#REF!,#REF!,#REF!,#REF!</definedName>
    <definedName name="__APW_RESTORE_DATA1231__" hidden="1">#REF!,#REF!,#REF!,#REF!,#REF!,#REF!,#REF!,#REF!,#REF!,#REF!,#REF!,#REF!,#REF!,#REF!</definedName>
    <definedName name="__APW_RESTORE_DATA1232__" hidden="1">#REF!,#REF!,#REF!,#REF!,#REF!,#REF!,#REF!,#REF!,#REF!,#REF!,#REF!,#REF!,#REF!,#REF!</definedName>
    <definedName name="__APW_RESTORE_DATA1233__" hidden="1">#REF!,#REF!,#REF!,#REF!,#REF!,#REF!,#REF!,#REF!,#REF!,#REF!,#REF!,#REF!,#REF!,#REF!</definedName>
    <definedName name="__APW_RESTORE_DATA1234__" hidden="1">#REF!,#REF!,#REF!,#REF!,#REF!,#REF!,#REF!,#REF!,#REF!,#REF!,#REF!,#REF!,#REF!,#REF!</definedName>
    <definedName name="__APW_RESTORE_DATA1235__" hidden="1">#REF!,#REF!,#REF!,#REF!,#REF!,#REF!,#REF!,#REF!,#REF!,#REF!,#REF!,#REF!,#REF!,#REF!</definedName>
    <definedName name="__APW_RESTORE_DATA1236__" hidden="1">#REF!,#REF!,#REF!,#REF!,#REF!,#REF!,#REF!,#REF!,#REF!,#REF!,#REF!,#REF!,#REF!,#REF!</definedName>
    <definedName name="__APW_RESTORE_DATA1237__" hidden="1">#REF!,#REF!,#REF!,#REF!,#REF!,#REF!,#REF!,#REF!,#REF!,#REF!,#REF!,#REF!,#REF!,#REF!</definedName>
    <definedName name="__APW_RESTORE_DATA1238__" hidden="1">#REF!,#REF!,#REF!,#REF!,#REF!,#REF!,#REF!,#REF!,#REF!,#REF!,#REF!,#REF!,#REF!,#REF!</definedName>
    <definedName name="__APW_RESTORE_DATA1239__" hidden="1">#REF!,#REF!,#REF!,#REF!,#REF!,#REF!,#REF!,#REF!,#REF!,#REF!,#REF!,#REF!,#REF!,#REF!</definedName>
    <definedName name="__APW_RESTORE_DATA124__" hidden="1">#REF!,#REF!,#REF!,#REF!,#REF!,#REF!,#REF!,#REF!,#REF!,#REF!,#REF!,#REF!,#REF!,#REF!</definedName>
    <definedName name="__APW_RESTORE_DATA1240__" hidden="1">#REF!,#REF!,#REF!,#REF!,#REF!,#REF!,#REF!,#REF!,#REF!,#REF!,#REF!,#REF!,#REF!,#REF!</definedName>
    <definedName name="__APW_RESTORE_DATA1241__" hidden="1">#REF!,#REF!,#REF!,#REF!,#REF!,#REF!,#REF!,#REF!,#REF!,#REF!,#REF!,#REF!,#REF!,#REF!</definedName>
    <definedName name="__APW_RESTORE_DATA1242__" hidden="1">#REF!,#REF!,#REF!,#REF!,#REF!,#REF!,#REF!,#REF!,#REF!,#REF!,#REF!,#REF!,#REF!,#REF!</definedName>
    <definedName name="__APW_RESTORE_DATA1243__" hidden="1">#REF!,#REF!,#REF!,#REF!,#REF!,#REF!,#REF!,#REF!,#REF!,#REF!,#REF!,#REF!,#REF!,#REF!</definedName>
    <definedName name="__APW_RESTORE_DATA1244__" hidden="1">#REF!,#REF!,#REF!,#REF!,#REF!,#REF!,#REF!,#REF!,#REF!,#REF!,#REF!,#REF!,#REF!,#REF!</definedName>
    <definedName name="__APW_RESTORE_DATA1245__" hidden="1">#REF!,#REF!,#REF!,#REF!,#REF!,#REF!,#REF!,#REF!,#REF!,#REF!,#REF!,#REF!,#REF!,#REF!</definedName>
    <definedName name="__APW_RESTORE_DATA1246__" hidden="1">#REF!,#REF!,#REF!,#REF!,#REF!,#REF!,#REF!,#REF!,#REF!,#REF!,#REF!,#REF!,#REF!,#REF!</definedName>
    <definedName name="__APW_RESTORE_DATA1247__" hidden="1">#REF!,#REF!,#REF!,#REF!,#REF!,#REF!,#REF!,#REF!,#REF!,#REF!,#REF!,#REF!,#REF!,#REF!</definedName>
    <definedName name="__APW_RESTORE_DATA1248__" hidden="1">#REF!,#REF!,#REF!,#REF!,#REF!,#REF!,#REF!,#REF!,#REF!,#REF!,#REF!,#REF!,#REF!,#REF!</definedName>
    <definedName name="__APW_RESTORE_DATA1249__" hidden="1">#REF!,#REF!,#REF!,#REF!,#REF!,#REF!,#REF!,#REF!,#REF!,#REF!,#REF!,#REF!,#REF!,#REF!</definedName>
    <definedName name="__APW_RESTORE_DATA125__" hidden="1">#REF!,#REF!,#REF!,#REF!,#REF!,#REF!,#REF!,#REF!,#REF!,#REF!,#REF!,#REF!,#REF!,#REF!</definedName>
    <definedName name="__APW_RESTORE_DATA1250__" hidden="1">#REF!,#REF!,#REF!,#REF!,#REF!,#REF!,#REF!,#REF!,#REF!,#REF!,#REF!,#REF!,#REF!,#REF!</definedName>
    <definedName name="__APW_RESTORE_DATA1251__" hidden="1">#REF!,#REF!,#REF!</definedName>
    <definedName name="__APW_RESTORE_DATA1252__" hidden="1">#REF!,#REF!,#REF!,#REF!,#REF!,#REF!,#REF!,#REF!,#REF!,#REF!,#REF!,#REF!,#REF!,#REF!</definedName>
    <definedName name="__APW_RESTORE_DATA1253__" hidden="1">#REF!,#REF!,#REF!,#REF!,#REF!,#REF!,#REF!,#REF!,#REF!,#REF!,#REF!,#REF!,#REF!,#REF!</definedName>
    <definedName name="__APW_RESTORE_DATA1254__" hidden="1">#REF!,#REF!,#REF!,#REF!,#REF!,#REF!,#REF!,#REF!,#REF!,#REF!,#REF!,#REF!,#REF!,#REF!</definedName>
    <definedName name="__APW_RESTORE_DATA1255__" hidden="1">#REF!,#REF!,#REF!,#REF!,#REF!,#REF!,#REF!,#REF!,#REF!,#REF!,#REF!,#REF!,#REF!,#REF!</definedName>
    <definedName name="__APW_RESTORE_DATA1256__" hidden="1">#REF!,#REF!,#REF!,#REF!,#REF!,#REF!,#REF!,#REF!,#REF!,#REF!,#REF!,#REF!,#REF!,#REF!</definedName>
    <definedName name="__APW_RESTORE_DATA1257__" hidden="1">#REF!,#REF!,#REF!,#REF!,#REF!,#REF!,#REF!,#REF!,#REF!,#REF!,#REF!,#REF!,#REF!,#REF!</definedName>
    <definedName name="__APW_RESTORE_DATA1258__" hidden="1">#REF!,#REF!,#REF!,#REF!,#REF!,#REF!,#REF!,#REF!,#REF!,#REF!,#REF!,#REF!,#REF!,#REF!</definedName>
    <definedName name="__APW_RESTORE_DATA1259__" hidden="1">#REF!,#REF!,#REF!,#REF!,#REF!,#REF!,#REF!,#REF!,#REF!,#REF!,#REF!,#REF!,#REF!,#REF!</definedName>
    <definedName name="__APW_RESTORE_DATA126__" hidden="1">#REF!,#REF!,#REF!,#REF!,#REF!,#REF!,#REF!,#REF!,#REF!,#REF!,#REF!,#REF!,#REF!,#REF!</definedName>
    <definedName name="__APW_RESTORE_DATA1260__" hidden="1">#REF!,#REF!,#REF!,#REF!,#REF!,#REF!,#REF!,#REF!,#REF!,#REF!,#REF!,#REF!,#REF!,#REF!</definedName>
    <definedName name="__APW_RESTORE_DATA1261__" hidden="1">#REF!,#REF!,#REF!,#REF!,#REF!,#REF!,#REF!,#REF!,#REF!,#REF!,#REF!,#REF!,#REF!,#REF!</definedName>
    <definedName name="__APW_RESTORE_DATA1262__" hidden="1">#REF!,#REF!,#REF!,#REF!,#REF!,#REF!,#REF!,#REF!,#REF!,#REF!,#REF!,#REF!,#REF!,#REF!</definedName>
    <definedName name="__APW_RESTORE_DATA1263__" hidden="1">#REF!,#REF!,#REF!,#REF!,#REF!,#REF!,#REF!,#REF!,#REF!,#REF!,#REF!,#REF!,#REF!,#REF!</definedName>
    <definedName name="__APW_RESTORE_DATA1264__" hidden="1">#REF!,#REF!,#REF!,#REF!,#REF!,#REF!,#REF!,#REF!,#REF!,#REF!,#REF!,#REF!,#REF!,#REF!</definedName>
    <definedName name="__APW_RESTORE_DATA1265__" hidden="1">#REF!,#REF!,#REF!,#REF!,#REF!,#REF!,#REF!,#REF!,#REF!,#REF!,#REF!,#REF!,#REF!,#REF!</definedName>
    <definedName name="__APW_RESTORE_DATA1266__" hidden="1">#REF!,#REF!,#REF!,#REF!,#REF!,#REF!,#REF!,#REF!,#REF!,#REF!,#REF!,#REF!,#REF!,#REF!</definedName>
    <definedName name="__APW_RESTORE_DATA1267__" hidden="1">#REF!,#REF!,#REF!,#REF!,#REF!,#REF!,#REF!,#REF!,#REF!,#REF!,#REF!,#REF!,#REF!,#REF!</definedName>
    <definedName name="__APW_RESTORE_DATA1268__" hidden="1">#REF!,#REF!,#REF!,#REF!,#REF!,#REF!,#REF!,#REF!,#REF!,#REF!,#REF!,#REF!,#REF!,#REF!</definedName>
    <definedName name="__APW_RESTORE_DATA1269__" hidden="1">#REF!,#REF!,#REF!,#REF!,#REF!,#REF!,#REF!,#REF!,#REF!,#REF!,#REF!,#REF!,#REF!,#REF!</definedName>
    <definedName name="__APW_RESTORE_DATA127__" hidden="1">#REF!,#REF!,#REF!,#REF!,#REF!,#REF!,#REF!,#REF!,#REF!,#REF!,#REF!,#REF!,#REF!,#REF!</definedName>
    <definedName name="__APW_RESTORE_DATA1270__" hidden="1">#REF!,#REF!,#REF!,#REF!,#REF!,#REF!,#REF!,#REF!,#REF!,#REF!,#REF!,#REF!,#REF!,#REF!</definedName>
    <definedName name="__APW_RESTORE_DATA1271__" hidden="1">#REF!,#REF!,#REF!,#REF!,#REF!,#REF!,#REF!,#REF!,#REF!,#REF!,#REF!,#REF!,#REF!,#REF!</definedName>
    <definedName name="__APW_RESTORE_DATA1272__" hidden="1">#REF!,#REF!,#REF!,#REF!,#REF!,#REF!,#REF!,#REF!,#REF!,#REF!,#REF!,#REF!,#REF!,#REF!</definedName>
    <definedName name="__APW_RESTORE_DATA1273__" hidden="1">#REF!,#REF!,#REF!,#REF!,#REF!,#REF!,#REF!,#REF!,#REF!,#REF!,#REF!,#REF!,#REF!,#REF!</definedName>
    <definedName name="__APW_RESTORE_DATA1274__" hidden="1">#REF!,#REF!,#REF!,#REF!,#REF!,#REF!,#REF!,#REF!,#REF!,#REF!,#REF!,#REF!,#REF!,#REF!</definedName>
    <definedName name="__APW_RESTORE_DATA1275__" hidden="1">#REF!,#REF!,#REF!,#REF!,#REF!,#REF!,#REF!,#REF!,#REF!,#REF!,#REF!,#REF!,#REF!,#REF!</definedName>
    <definedName name="__APW_RESTORE_DATA1276__" hidden="1">#REF!,#REF!,#REF!,#REF!,#REF!,#REF!,#REF!,#REF!,#REF!,#REF!,#REF!,#REF!,#REF!,#REF!</definedName>
    <definedName name="__APW_RESTORE_DATA1277__" hidden="1">#REF!,#REF!,#REF!,#REF!,#REF!,#REF!,#REF!,#REF!,#REF!,#REF!,#REF!,#REF!,#REF!,#REF!</definedName>
    <definedName name="__APW_RESTORE_DATA1278__" hidden="1">#REF!,#REF!,#REF!,#REF!,#REF!,#REF!,#REF!,#REF!,#REF!,#REF!,#REF!,#REF!,#REF!,#REF!</definedName>
    <definedName name="__APW_RESTORE_DATA1279__" hidden="1">#REF!,#REF!,#REF!,#REF!,#REF!,#REF!,#REF!,#REF!,#REF!,#REF!,#REF!,#REF!,#REF!,#REF!</definedName>
    <definedName name="__APW_RESTORE_DATA128__" hidden="1">#REF!,#REF!,#REF!,#REF!,#REF!,#REF!,#REF!,#REF!,#REF!,#REF!,#REF!,#REF!,#REF!,#REF!</definedName>
    <definedName name="__APW_RESTORE_DATA1280__" hidden="1">#REF!,#REF!,#REF!,#REF!,#REF!,#REF!,#REF!,#REF!,#REF!,#REF!,#REF!,#REF!,#REF!,#REF!</definedName>
    <definedName name="__APW_RESTORE_DATA1281__" hidden="1">#REF!,#REF!,#REF!,#REF!,#REF!,#REF!,#REF!,#REF!,#REF!,#REF!,#REF!,#REF!,#REF!,#REF!</definedName>
    <definedName name="__APW_RESTORE_DATA1282__" hidden="1">#REF!,#REF!,#REF!,#REF!,#REF!,#REF!,#REF!,#REF!,#REF!,#REF!,#REF!,#REF!,#REF!,#REF!</definedName>
    <definedName name="__APW_RESTORE_DATA1283__" hidden="1">#REF!,#REF!,#REF!,#REF!,#REF!,#REF!,#REF!,#REF!,#REF!,#REF!,#REF!,#REF!,#REF!,#REF!</definedName>
    <definedName name="__APW_RESTORE_DATA1284__" hidden="1">#REF!,#REF!,#REF!</definedName>
    <definedName name="__APW_RESTORE_DATA1285__" hidden="1">#REF!,#REF!,#REF!,#REF!,#REF!,#REF!,#REF!,#REF!,#REF!,#REF!,#REF!,#REF!,#REF!,#REF!</definedName>
    <definedName name="__APW_RESTORE_DATA1286__" hidden="1">#REF!,#REF!,#REF!,#REF!,#REF!,#REF!,#REF!,#REF!,#REF!,#REF!,#REF!,#REF!,#REF!,#REF!</definedName>
    <definedName name="__APW_RESTORE_DATA1287__" hidden="1">#REF!,#REF!,#REF!,#REF!,#REF!,#REF!,#REF!,#REF!,#REF!,#REF!,#REF!,#REF!,#REF!,#REF!</definedName>
    <definedName name="__APW_RESTORE_DATA1288__" hidden="1">#REF!,#REF!,#REF!,#REF!,#REF!,#REF!,#REF!,#REF!,#REF!,#REF!,#REF!,#REF!,#REF!,#REF!</definedName>
    <definedName name="__APW_RESTORE_DATA1289__" hidden="1">#REF!,#REF!,#REF!,#REF!,#REF!,#REF!,#REF!,#REF!,#REF!,#REF!,#REF!,#REF!,#REF!,#REF!</definedName>
    <definedName name="__APW_RESTORE_DATA129__" hidden="1">#REF!,#REF!,#REF!,#REF!,#REF!,#REF!,#REF!,#REF!,#REF!,#REF!,#REF!,#REF!,#REF!,#REF!</definedName>
    <definedName name="__APW_RESTORE_DATA1290__" hidden="1">#REF!,#REF!,#REF!,#REF!,#REF!,#REF!,#REF!,#REF!,#REF!,#REF!,#REF!,#REF!,#REF!,#REF!</definedName>
    <definedName name="__APW_RESTORE_DATA1291__" hidden="1">#REF!,#REF!,#REF!,#REF!,#REF!,#REF!,#REF!,#REF!,#REF!,#REF!,#REF!,#REF!,#REF!,#REF!</definedName>
    <definedName name="__APW_RESTORE_DATA1292__" hidden="1">#REF!,#REF!,#REF!,#REF!,#REF!,#REF!,#REF!,#REF!,#REF!,#REF!,#REF!,#REF!,#REF!,#REF!</definedName>
    <definedName name="__APW_RESTORE_DATA1293__" hidden="1">#REF!,#REF!,#REF!,#REF!,#REF!,#REF!,#REF!,#REF!,#REF!,#REF!,#REF!,#REF!,#REF!,#REF!</definedName>
    <definedName name="__APW_RESTORE_DATA1294__" hidden="1">#REF!,#REF!,#REF!,#REF!,#REF!,#REF!,#REF!,#REF!,#REF!,#REF!,#REF!,#REF!,#REF!,#REF!</definedName>
    <definedName name="__APW_RESTORE_DATA1295__" hidden="1">#REF!,#REF!,#REF!,#REF!,#REF!,#REF!,#REF!,#REF!,#REF!,#REF!,#REF!,#REF!,#REF!,#REF!</definedName>
    <definedName name="__APW_RESTORE_DATA1296__" hidden="1">#REF!,#REF!,#REF!,#REF!,#REF!,#REF!,#REF!,#REF!,#REF!,#REF!,#REF!,#REF!,#REF!,#REF!</definedName>
    <definedName name="__APW_RESTORE_DATA1297__" hidden="1">#REF!,#REF!,#REF!,#REF!,#REF!,#REF!,#REF!,#REF!,#REF!,#REF!,#REF!,#REF!,#REF!,#REF!</definedName>
    <definedName name="__APW_RESTORE_DATA1298__" hidden="1">#REF!,#REF!,#REF!,#REF!,#REF!,#REF!,#REF!,#REF!,#REF!,#REF!,#REF!,#REF!,#REF!,#REF!</definedName>
    <definedName name="__APW_RESTORE_DATA1299__" hidden="1">#REF!,#REF!,#REF!,#REF!,#REF!,#REF!,#REF!,#REF!,#REF!,#REF!,#REF!,#REF!,#REF!,#REF!</definedName>
    <definedName name="__APW_RESTORE_DATA13__" hidden="1">#REF!,#REF!,#REF!,#REF!,#REF!</definedName>
    <definedName name="__APW_RESTORE_DATA130__" hidden="1">#REF!,#REF!,#REF!,#REF!,#REF!,#REF!,#REF!,#REF!,#REF!,#REF!,#REF!,#REF!,#REF!,#REF!</definedName>
    <definedName name="__APW_RESTORE_DATA1300__" hidden="1">#REF!,#REF!,#REF!,#REF!,#REF!,#REF!,#REF!,#REF!,#REF!,#REF!,#REF!,#REF!,#REF!,#REF!</definedName>
    <definedName name="__APW_RESTORE_DATA1301__" hidden="1">#REF!,#REF!,#REF!,#REF!,#REF!,#REF!,#REF!,#REF!,#REF!,#REF!,#REF!,#REF!,#REF!,#REF!</definedName>
    <definedName name="__APW_RESTORE_DATA1302__" hidden="1">#REF!,#REF!,#REF!,#REF!,#REF!,#REF!,#REF!,#REF!,#REF!,#REF!,#REF!,#REF!,#REF!,#REF!</definedName>
    <definedName name="__APW_RESTORE_DATA1303__" hidden="1">#REF!,#REF!,#REF!,#REF!,#REF!,#REF!,#REF!,#REF!,#REF!,#REF!,#REF!,#REF!,#REF!,#REF!</definedName>
    <definedName name="__APW_RESTORE_DATA1304__" hidden="1">#REF!,#REF!,#REF!,#REF!,#REF!,#REF!,#REF!,#REF!,#REF!,#REF!,#REF!,#REF!,#REF!,#REF!</definedName>
    <definedName name="__APW_RESTORE_DATA1305__" hidden="1">#REF!,#REF!,#REF!,#REF!,#REF!,#REF!,#REF!,#REF!,#REF!,#REF!,#REF!,#REF!,#REF!,#REF!</definedName>
    <definedName name="__APW_RESTORE_DATA1306__" hidden="1">#REF!,#REF!,#REF!,#REF!,#REF!,#REF!,#REF!,#REF!,#REF!,#REF!,#REF!,#REF!,#REF!,#REF!</definedName>
    <definedName name="__APW_RESTORE_DATA1307__" hidden="1">#REF!,#REF!,#REF!,#REF!,#REF!,#REF!,#REF!,#REF!,#REF!,#REF!,#REF!,#REF!,#REF!,#REF!</definedName>
    <definedName name="__APW_RESTORE_DATA1308__" hidden="1">#REF!,#REF!,#REF!,#REF!,#REF!,#REF!,#REF!,#REF!,#REF!,#REF!,#REF!,#REF!,#REF!,#REF!</definedName>
    <definedName name="__APW_RESTORE_DATA1309__" hidden="1">#REF!,#REF!,#REF!,#REF!,#REF!,#REF!,#REF!,#REF!,#REF!,#REF!,#REF!,#REF!,#REF!,#REF!</definedName>
    <definedName name="__APW_RESTORE_DATA131__" hidden="1">#REF!,#REF!,#REF!,#REF!,#REF!,#REF!,#REF!,#REF!,#REF!,#REF!,#REF!,#REF!,#REF!,#REF!</definedName>
    <definedName name="__APW_RESTORE_DATA1310__" hidden="1">#REF!,#REF!,#REF!,#REF!,#REF!,#REF!,#REF!,#REF!,#REF!,#REF!,#REF!,#REF!,#REF!,#REF!</definedName>
    <definedName name="__APW_RESTORE_DATA1311__" hidden="1">#REF!,#REF!,#REF!,#REF!,#REF!,#REF!,#REF!,#REF!,#REF!,#REF!,#REF!,#REF!,#REF!,#REF!</definedName>
    <definedName name="__APW_RESTORE_DATA1312__" hidden="1">#REF!,#REF!,#REF!,#REF!,#REF!,#REF!,#REF!,#REF!,#REF!,#REF!,#REF!,#REF!,#REF!,#REF!</definedName>
    <definedName name="__APW_RESTORE_DATA1313__" hidden="1">#REF!,#REF!,#REF!,#REF!,#REF!,#REF!,#REF!,#REF!,#REF!,#REF!,#REF!,#REF!,#REF!,#REF!</definedName>
    <definedName name="__APW_RESTORE_DATA1314__" hidden="1">#REF!,#REF!,#REF!,#REF!,#REF!,#REF!,#REF!,#REF!,#REF!,#REF!,#REF!,#REF!,#REF!,#REF!</definedName>
    <definedName name="__APW_RESTORE_DATA1315__" hidden="1">#REF!,#REF!,#REF!,#REF!,#REF!,#REF!,#REF!,#REF!,#REF!,#REF!,#REF!,#REF!,#REF!,#REF!</definedName>
    <definedName name="__APW_RESTORE_DATA1316__" hidden="1">#REF!,#REF!,#REF!,#REF!,#REF!,#REF!,#REF!,#REF!,#REF!,#REF!,#REF!,#REF!,#REF!,#REF!</definedName>
    <definedName name="__APW_RESTORE_DATA1317__" hidden="1">#REF!,#REF!,#REF!</definedName>
    <definedName name="__APW_RESTORE_DATA1318__" hidden="1">#REF!,#REF!,#REF!,#REF!,#REF!,#REF!,#REF!,#REF!,#REF!,#REF!,#REF!,#REF!,#REF!,#REF!</definedName>
    <definedName name="__APW_RESTORE_DATA1319__" hidden="1">#REF!,#REF!,#REF!,#REF!,#REF!,#REF!,#REF!,#REF!,#REF!,#REF!,#REF!,#REF!,#REF!,#REF!</definedName>
    <definedName name="__APW_RESTORE_DATA132__" hidden="1">#REF!,#REF!,#REF!,#REF!,#REF!,#REF!,#REF!,#REF!,#REF!,#REF!,#REF!,#REF!,#REF!,#REF!</definedName>
    <definedName name="__APW_RESTORE_DATA1320__" hidden="1">#REF!,#REF!,#REF!,#REF!,#REF!,#REF!,#REF!,#REF!,#REF!,#REF!,#REF!,#REF!,#REF!,#REF!</definedName>
    <definedName name="__APW_RESTORE_DATA1321__" hidden="1">#REF!,#REF!,#REF!,#REF!,#REF!,#REF!,#REF!,#REF!,#REF!,#REF!,#REF!,#REF!,#REF!,#REF!</definedName>
    <definedName name="__APW_RESTORE_DATA1322__" hidden="1">#REF!,#REF!,#REF!,#REF!,#REF!,#REF!,#REF!,#REF!,#REF!,#REF!,#REF!,#REF!,#REF!,#REF!</definedName>
    <definedName name="__APW_RESTORE_DATA1323__" hidden="1">#REF!,#REF!,#REF!,#REF!,#REF!,#REF!,#REF!,#REF!,#REF!,#REF!,#REF!,#REF!,#REF!,#REF!</definedName>
    <definedName name="__APW_RESTORE_DATA1324__" hidden="1">#REF!,#REF!,#REF!,#REF!,#REF!,#REF!,#REF!,#REF!,#REF!,#REF!,#REF!,#REF!,#REF!,#REF!</definedName>
    <definedName name="__APW_RESTORE_DATA1325__" hidden="1">#REF!,#REF!,#REF!,#REF!,#REF!,#REF!,#REF!,#REF!,#REF!,#REF!,#REF!,#REF!,#REF!,#REF!</definedName>
    <definedName name="__APW_RESTORE_DATA1326__" hidden="1">#REF!,#REF!,#REF!,#REF!,#REF!,#REF!,#REF!,#REF!,#REF!,#REF!,#REF!,#REF!,#REF!,#REF!</definedName>
    <definedName name="__APW_RESTORE_DATA1327__" hidden="1">#REF!,#REF!,#REF!,#REF!,#REF!,#REF!,#REF!,#REF!,#REF!,#REF!,#REF!,#REF!,#REF!,#REF!</definedName>
    <definedName name="__APW_RESTORE_DATA1328__" hidden="1">#REF!,#REF!,#REF!,#REF!,#REF!,#REF!,#REF!,#REF!,#REF!,#REF!,#REF!,#REF!,#REF!,#REF!</definedName>
    <definedName name="__APW_RESTORE_DATA1329__" hidden="1">#REF!,#REF!,#REF!,#REF!,#REF!,#REF!,#REF!,#REF!,#REF!,#REF!,#REF!,#REF!,#REF!,#REF!</definedName>
    <definedName name="__APW_RESTORE_DATA133__" hidden="1">#REF!,#REF!,#REF!,#REF!,#REF!,#REF!,#REF!,#REF!,#REF!,#REF!,#REF!,#REF!,#REF!,#REF!</definedName>
    <definedName name="__APW_RESTORE_DATA1330__" hidden="1">#REF!,#REF!,#REF!,#REF!,#REF!,#REF!,#REF!,#REF!,#REF!,#REF!,#REF!,#REF!,#REF!,#REF!</definedName>
    <definedName name="__APW_RESTORE_DATA1331__" hidden="1">#REF!,#REF!,#REF!,#REF!,#REF!,#REF!,#REF!,#REF!,#REF!,#REF!,#REF!,#REF!,#REF!,#REF!</definedName>
    <definedName name="__APW_RESTORE_DATA1332__" hidden="1">#REF!,#REF!,#REF!,#REF!,#REF!,#REF!,#REF!,#REF!,#REF!,#REF!,#REF!,#REF!,#REF!,#REF!</definedName>
    <definedName name="__APW_RESTORE_DATA1333__" hidden="1">#REF!,#REF!,#REF!,#REF!,#REF!,#REF!,#REF!,#REF!,#REF!,#REF!,#REF!,#REF!,#REF!,#REF!</definedName>
    <definedName name="__APW_RESTORE_DATA1334__" hidden="1">#REF!,#REF!,#REF!,#REF!,#REF!,#REF!,#REF!,#REF!,#REF!,#REF!,#REF!,#REF!,#REF!,#REF!</definedName>
    <definedName name="__APW_RESTORE_DATA1335__" hidden="1">#REF!,#REF!,#REF!,#REF!,#REF!,#REF!,#REF!,#REF!,#REF!,#REF!,#REF!,#REF!,#REF!,#REF!</definedName>
    <definedName name="__APW_RESTORE_DATA1336__" hidden="1">#REF!,#REF!,#REF!,#REF!,#REF!,#REF!,#REF!,#REF!,#REF!,#REF!,#REF!,#REF!,#REF!,#REF!</definedName>
    <definedName name="__APW_RESTORE_DATA1337__" hidden="1">#REF!,#REF!,#REF!,#REF!,#REF!,#REF!,#REF!,#REF!,#REF!,#REF!,#REF!,#REF!,#REF!,#REF!</definedName>
    <definedName name="__APW_RESTORE_DATA1338__" hidden="1">#REF!,#REF!,#REF!,#REF!,#REF!,#REF!,#REF!,#REF!,#REF!,#REF!,#REF!,#REF!,#REF!,#REF!</definedName>
    <definedName name="__APW_RESTORE_DATA1339__" hidden="1">#REF!,#REF!,#REF!,#REF!,#REF!,#REF!,#REF!,#REF!,#REF!,#REF!,#REF!,#REF!,#REF!,#REF!</definedName>
    <definedName name="__APW_RESTORE_DATA134__" hidden="1">#REF!,#REF!,#REF!,#REF!,#REF!,#REF!,#REF!,#REF!,#REF!,#REF!,#REF!,#REF!,#REF!,#REF!</definedName>
    <definedName name="__APW_RESTORE_DATA1340__" hidden="1">#REF!,#REF!,#REF!,#REF!,#REF!,#REF!,#REF!,#REF!,#REF!,#REF!,#REF!,#REF!,#REF!,#REF!</definedName>
    <definedName name="__APW_RESTORE_DATA1341__" hidden="1">#REF!,#REF!,#REF!,#REF!,#REF!,#REF!,#REF!,#REF!,#REF!,#REF!,#REF!,#REF!,#REF!,#REF!</definedName>
    <definedName name="__APW_RESTORE_DATA1342__" hidden="1">#REF!,#REF!,#REF!,#REF!,#REF!,#REF!,#REF!,#REF!,#REF!,#REF!,#REF!,#REF!,#REF!,#REF!</definedName>
    <definedName name="__APW_RESTORE_DATA1343__" hidden="1">#REF!,#REF!,#REF!,#REF!,#REF!,#REF!,#REF!,#REF!,#REF!,#REF!,#REF!,#REF!,#REF!,#REF!</definedName>
    <definedName name="__APW_RESTORE_DATA1344__" hidden="1">#REF!,#REF!,#REF!,#REF!,#REF!,#REF!,#REF!,#REF!,#REF!,#REF!,#REF!,#REF!,#REF!,#REF!</definedName>
    <definedName name="__APW_RESTORE_DATA1345__" hidden="1">#REF!,#REF!,#REF!,#REF!,#REF!,#REF!,#REF!,#REF!,#REF!,#REF!,#REF!,#REF!,#REF!,#REF!</definedName>
    <definedName name="__APW_RESTORE_DATA1346__" hidden="1">#REF!,#REF!,#REF!,#REF!,#REF!,#REF!,#REF!,#REF!,#REF!,#REF!,#REF!,#REF!,#REF!,#REF!</definedName>
    <definedName name="__APW_RESTORE_DATA1347__" hidden="1">#REF!,#REF!,#REF!,#REF!,#REF!,#REF!,#REF!,#REF!,#REF!,#REF!,#REF!,#REF!,#REF!,#REF!</definedName>
    <definedName name="__APW_RESTORE_DATA1348__" hidden="1">#REF!,#REF!,#REF!,#REF!,#REF!,#REF!,#REF!,#REF!,#REF!,#REF!,#REF!,#REF!,#REF!,#REF!</definedName>
    <definedName name="__APW_RESTORE_DATA1349__" hidden="1">#REF!,#REF!,#REF!,#REF!,#REF!,#REF!,#REF!,#REF!,#REF!,#REF!,#REF!,#REF!,#REF!,#REF!</definedName>
    <definedName name="__APW_RESTORE_DATA135__" hidden="1">#REF!,#REF!,#REF!,#REF!,#REF!,#REF!,#REF!,#REF!,#REF!,#REF!,#REF!,#REF!,#REF!,#REF!</definedName>
    <definedName name="__APW_RESTORE_DATA1350__" hidden="1">#REF!,#REF!,#REF!</definedName>
    <definedName name="__APW_RESTORE_DATA1351__" hidden="1">#REF!,#REF!,#REF!,#REF!,#REF!,#REF!,#REF!,#REF!,#REF!,#REF!,#REF!,#REF!,#REF!,#REF!</definedName>
    <definedName name="__APW_RESTORE_DATA1352__" hidden="1">#REF!,#REF!,#REF!,#REF!,#REF!,#REF!,#REF!,#REF!,#REF!,#REF!,#REF!,#REF!,#REF!,#REF!</definedName>
    <definedName name="__APW_RESTORE_DATA1353__" hidden="1">#REF!,#REF!,#REF!,#REF!,#REF!,#REF!,#REF!,#REF!,#REF!,#REF!,#REF!,#REF!,#REF!,#REF!</definedName>
    <definedName name="__APW_RESTORE_DATA1354__" hidden="1">#REF!,#REF!,#REF!,#REF!,#REF!,#REF!,#REF!,#REF!,#REF!,#REF!,#REF!,#REF!,#REF!,#REF!</definedName>
    <definedName name="__APW_RESTORE_DATA1355__" hidden="1">#REF!,#REF!,#REF!,#REF!,#REF!,#REF!,#REF!,#REF!,#REF!,#REF!,#REF!,#REF!,#REF!,#REF!</definedName>
    <definedName name="__APW_RESTORE_DATA1356__" hidden="1">#REF!,#REF!,#REF!,#REF!,#REF!,#REF!,#REF!,#REF!,#REF!,#REF!,#REF!,#REF!,#REF!,#REF!</definedName>
    <definedName name="__APW_RESTORE_DATA1357__" hidden="1">#REF!,#REF!,#REF!,#REF!,#REF!,#REF!,#REF!,#REF!,#REF!,#REF!,#REF!,#REF!,#REF!,#REF!</definedName>
    <definedName name="__APW_RESTORE_DATA1358__" hidden="1">#REF!,#REF!,#REF!,#REF!,#REF!,#REF!,#REF!,#REF!,#REF!,#REF!,#REF!,#REF!,#REF!,#REF!</definedName>
    <definedName name="__APW_RESTORE_DATA1359__" hidden="1">#REF!,#REF!,#REF!,#REF!,#REF!,#REF!,#REF!,#REF!,#REF!,#REF!,#REF!,#REF!,#REF!,#REF!</definedName>
    <definedName name="__APW_RESTORE_DATA136__" hidden="1">#REF!,#REF!,#REF!,#REF!,#REF!,#REF!,#REF!,#REF!,#REF!,#REF!,#REF!,#REF!,#REF!,#REF!</definedName>
    <definedName name="__APW_RESTORE_DATA1360__" hidden="1">#REF!,#REF!,#REF!,#REF!,#REF!,#REF!,#REF!,#REF!,#REF!,#REF!,#REF!,#REF!,#REF!,#REF!</definedName>
    <definedName name="__APW_RESTORE_DATA1361__" hidden="1">#REF!,#REF!,#REF!,#REF!,#REF!,#REF!,#REF!,#REF!,#REF!,#REF!,#REF!,#REF!,#REF!,#REF!</definedName>
    <definedName name="__APW_RESTORE_DATA1362__" hidden="1">#REF!,#REF!,#REF!,#REF!,#REF!,#REF!,#REF!,#REF!,#REF!,#REF!,#REF!,#REF!,#REF!,#REF!</definedName>
    <definedName name="__APW_RESTORE_DATA1363__" hidden="1">#REF!,#REF!,#REF!,#REF!,#REF!,#REF!,#REF!,#REF!,#REF!,#REF!,#REF!,#REF!,#REF!,#REF!</definedName>
    <definedName name="__APW_RESTORE_DATA1364__" hidden="1">#REF!,#REF!,#REF!,#REF!,#REF!,#REF!,#REF!,#REF!,#REF!,#REF!,#REF!,#REF!,#REF!,#REF!</definedName>
    <definedName name="__APW_RESTORE_DATA1365__" hidden="1">#REF!,#REF!,#REF!,#REF!,#REF!,#REF!,#REF!,#REF!,#REF!,#REF!,#REF!,#REF!,#REF!,#REF!</definedName>
    <definedName name="__APW_RESTORE_DATA1366__" hidden="1">#REF!</definedName>
    <definedName name="__APW_RESTORE_DATA1367__" hidden="1">#REF!,#REF!,#REF!,#REF!,#REF!,#REF!,#REF!,#REF!,#REF!,#REF!,#REF!,#REF!,#REF!,#REF!</definedName>
    <definedName name="__APW_RESTORE_DATA1368__" hidden="1">#REF!,#REF!,#REF!,#REF!,#REF!,#REF!,#REF!,#REF!,#REF!,#REF!,#REF!,#REF!,#REF!,#REF!</definedName>
    <definedName name="__APW_RESTORE_DATA1369__" hidden="1">#REF!,#REF!,#REF!,#REF!,#REF!,#REF!,#REF!,#REF!,#REF!,#REF!,#REF!,#REF!,#REF!,#REF!</definedName>
    <definedName name="__APW_RESTORE_DATA137__" hidden="1">#REF!,#REF!,#REF!,#REF!,#REF!,#REF!,#REF!,#REF!,#REF!,#REF!,#REF!,#REF!,#REF!,#REF!</definedName>
    <definedName name="__APW_RESTORE_DATA1370__" hidden="1">#REF!,#REF!,#REF!,#REF!,#REF!,#REF!,#REF!,#REF!,#REF!,#REF!,#REF!,#REF!,#REF!,#REF!</definedName>
    <definedName name="__APW_RESTORE_DATA1371__" hidden="1">#REF!,#REF!,#REF!,#REF!,#REF!,#REF!,#REF!,#REF!,#REF!,#REF!,#REF!,#REF!,#REF!,#REF!</definedName>
    <definedName name="__APW_RESTORE_DATA1372__" hidden="1">#REF!,#REF!,#REF!,#REF!,#REF!,#REF!,#REF!,#REF!,#REF!,#REF!,#REF!,#REF!,#REF!,#REF!</definedName>
    <definedName name="__APW_RESTORE_DATA1373__" hidden="1">#REF!,#REF!,#REF!,#REF!,#REF!,#REF!,#REF!,#REF!,#REF!,#REF!,#REF!,#REF!,#REF!,#REF!</definedName>
    <definedName name="__APW_RESTORE_DATA1374__" hidden="1">#REF!,#REF!,#REF!,#REF!,#REF!,#REF!,#REF!,#REF!,#REF!,#REF!,#REF!,#REF!,#REF!,#REF!</definedName>
    <definedName name="__APW_RESTORE_DATA1375__" hidden="1">#REF!,#REF!,#REF!,#REF!,#REF!,#REF!,#REF!,#REF!,#REF!,#REF!,#REF!,#REF!,#REF!,#REF!</definedName>
    <definedName name="__APW_RESTORE_DATA1376__" hidden="1">#REF!,#REF!,#REF!,#REF!,#REF!,#REF!,#REF!,#REF!,#REF!,#REF!,#REF!,#REF!,#REF!,#REF!</definedName>
    <definedName name="__APW_RESTORE_DATA1377__" hidden="1">#REF!,#REF!,#REF!,#REF!,#REF!,#REF!,#REF!,#REF!,#REF!,#REF!,#REF!,#REF!,#REF!,#REF!</definedName>
    <definedName name="__APW_RESTORE_DATA1378__" hidden="1">#REF!,#REF!,#REF!,#REF!,#REF!,#REF!,#REF!,#REF!,#REF!,#REF!,#REF!,#REF!,#REF!,#REF!</definedName>
    <definedName name="__APW_RESTORE_DATA1379__" hidden="1">#REF!,#REF!,#REF!,#REF!,#REF!,#REF!,#REF!,#REF!,#REF!,#REF!,#REF!,#REF!,#REF!,#REF!</definedName>
    <definedName name="__APW_RESTORE_DATA138__" hidden="1">#REF!,#REF!,#REF!,#REF!,#REF!,#REF!,#REF!,#REF!,#REF!,#REF!,#REF!,#REF!,#REF!,#REF!</definedName>
    <definedName name="__APW_RESTORE_DATA1380__" hidden="1">#REF!,#REF!,#REF!,#REF!,#REF!,#REF!,#REF!,#REF!,#REF!,#REF!,#REF!,#REF!,#REF!,#REF!</definedName>
    <definedName name="__APW_RESTORE_DATA1381__" hidden="1">#REF!,#REF!,#REF!,#REF!,#REF!,#REF!,#REF!,#REF!,#REF!,#REF!,#REF!,#REF!,#REF!,#REF!</definedName>
    <definedName name="__APW_RESTORE_DATA1382__" hidden="1">#REF!</definedName>
    <definedName name="__APW_RESTORE_DATA1383__" hidden="1">#REF!,#REF!,#REF!,#REF!,#REF!,#REF!,#REF!,#REF!,#REF!,#REF!,#REF!,#REF!,#REF!,#REF!</definedName>
    <definedName name="__APW_RESTORE_DATA1384__" hidden="1">#REF!,#REF!,#REF!,#REF!,#REF!,#REF!,#REF!,#REF!,#REF!,#REF!,#REF!,#REF!,#REF!,#REF!</definedName>
    <definedName name="__APW_RESTORE_DATA1385__" hidden="1">#REF!,#REF!,#REF!,#REF!,#REF!,#REF!,#REF!,#REF!,#REF!,#REF!,#REF!,#REF!,#REF!,#REF!</definedName>
    <definedName name="__APW_RESTORE_DATA1386__" hidden="1">#REF!,#REF!,#REF!,#REF!,#REF!,#REF!,#REF!,#REF!,#REF!,#REF!,#REF!,#REF!,#REF!,#REF!</definedName>
    <definedName name="__APW_RESTORE_DATA1387__" hidden="1">#REF!,#REF!,#REF!,#REF!,#REF!,#REF!,#REF!,#REF!,#REF!,#REF!,#REF!,#REF!,#REF!,#REF!</definedName>
    <definedName name="__APW_RESTORE_DATA1388__" hidden="1">#REF!,#REF!,#REF!,#REF!,#REF!,#REF!,#REF!,#REF!,#REF!,#REF!,#REF!,#REF!,#REF!,#REF!</definedName>
    <definedName name="__APW_RESTORE_DATA1389__" hidden="1">#REF!,#REF!,#REF!,#REF!,#REF!,#REF!,#REF!,#REF!,#REF!,#REF!,#REF!,#REF!,#REF!,#REF!</definedName>
    <definedName name="__APW_RESTORE_DATA139__" hidden="1">#REF!,#REF!,#REF!,#REF!,#REF!,#REF!,#REF!,#REF!,#REF!,#REF!,#REF!,#REF!,#REF!,#REF!</definedName>
    <definedName name="__APW_RESTORE_DATA1390__" hidden="1">#REF!,#REF!,#REF!,#REF!,#REF!,#REF!,#REF!,#REF!,#REF!,#REF!,#REF!,#REF!,#REF!,#REF!</definedName>
    <definedName name="__APW_RESTORE_DATA1391__" hidden="1">#REF!,#REF!,#REF!,#REF!,#REF!,#REF!,#REF!,#REF!,#REF!,#REF!,#REF!,#REF!,#REF!,#REF!</definedName>
    <definedName name="__APW_RESTORE_DATA1392__" hidden="1">#REF!,#REF!,#REF!,#REF!,#REF!,#REF!,#REF!,#REF!,#REF!,#REF!,#REF!,#REF!,#REF!,#REF!</definedName>
    <definedName name="__APW_RESTORE_DATA1393__" hidden="1">#REF!,#REF!,#REF!,#REF!,#REF!,#REF!,#REF!,#REF!,#REF!,#REF!,#REF!,#REF!,#REF!,#REF!</definedName>
    <definedName name="__APW_RESTORE_DATA1394__" hidden="1">#REF!,#REF!,#REF!,#REF!,#REF!,#REF!,#REF!,#REF!,#REF!,#REF!,#REF!,#REF!,#REF!,#REF!</definedName>
    <definedName name="__APW_RESTORE_DATA1395__" hidden="1">#REF!,#REF!,#REF!,#REF!,#REF!,#REF!,#REF!,#REF!,#REF!,#REF!,#REF!,#REF!,#REF!,#REF!</definedName>
    <definedName name="__APW_RESTORE_DATA1396__" hidden="1">#REF!,#REF!,#REF!,#REF!,#REF!,#REF!,#REF!,#REF!,#REF!,#REF!,#REF!,#REF!,#REF!,#REF!</definedName>
    <definedName name="__APW_RESTORE_DATA1397__" hidden="1">#REF!,#REF!,#REF!,#REF!,#REF!,#REF!,#REF!,#REF!,#REF!,#REF!,#REF!,#REF!,#REF!,#REF!</definedName>
    <definedName name="__APW_RESTORE_DATA1398__" hidden="1">#REF!,#REF!,#REF!,#REF!,#REF!,#REF!,#REF!,#REF!,#REF!,#REF!,#REF!,#REF!,#REF!</definedName>
    <definedName name="__APW_RESTORE_DATA1399__" hidden="1">#REF!,#REF!,#REF!,#REF!,#REF!,#REF!,#REF!,#REF!,#REF!,#REF!,#REF!,#REF!,#REF!,#REF!</definedName>
    <definedName name="__APW_RESTORE_DATA14__" hidden="1">#REF!,#REF!,#REF!,#REF!,#REF!,#REF!,#REF!,#REF!,#REF!,#REF!,#REF!,#REF!,#REF!,#REF!,#REF!</definedName>
    <definedName name="__APW_RESTORE_DATA140__" hidden="1">#REF!,#REF!,#REF!,#REF!,#REF!,#REF!,#REF!,#REF!,#REF!,#REF!,#REF!,#REF!,#REF!,#REF!</definedName>
    <definedName name="__APW_RESTORE_DATA1400__" hidden="1">#REF!,#REF!,#REF!,#REF!,#REF!,#REF!,#REF!,#REF!,#REF!,#REF!,#REF!,#REF!,#REF!,#REF!</definedName>
    <definedName name="__APW_RESTORE_DATA1401__" hidden="1">#REF!,#REF!,#REF!,#REF!,#REF!,#REF!,#REF!,#REF!,#REF!,#REF!,#REF!,#REF!,#REF!,#REF!</definedName>
    <definedName name="__APW_RESTORE_DATA1402__" hidden="1">#REF!,#REF!,#REF!,#REF!,#REF!,#REF!,#REF!,#REF!,#REF!,#REF!,#REF!,#REF!,#REF!,#REF!</definedName>
    <definedName name="__APW_RESTORE_DATA1403__" hidden="1">#REF!,#REF!,#REF!,#REF!,#REF!,#REF!,#REF!,#REF!,#REF!,#REF!,#REF!,#REF!,#REF!,#REF!</definedName>
    <definedName name="__APW_RESTORE_DATA1404__" hidden="1">#REF!,#REF!,#REF!,#REF!,#REF!,#REF!,#REF!,#REF!,#REF!,#REF!,#REF!,#REF!,#REF!,#REF!</definedName>
    <definedName name="__APW_RESTORE_DATA1405__" hidden="1">#REF!,#REF!,#REF!,#REF!,#REF!,#REF!,#REF!,#REF!,#REF!,#REF!,#REF!,#REF!,#REF!,#REF!</definedName>
    <definedName name="__APW_RESTORE_DATA1406__" hidden="1">#REF!,#REF!,#REF!,#REF!,#REF!,#REF!,#REF!,#REF!,#REF!,#REF!,#REF!,#REF!,#REF!,#REF!</definedName>
    <definedName name="__APW_RESTORE_DATA1407__" hidden="1">#REF!,#REF!,#REF!,#REF!,#REF!,#REF!,#REF!,#REF!,#REF!,#REF!,#REF!,#REF!,#REF!,#REF!</definedName>
    <definedName name="__APW_RESTORE_DATA1408__" hidden="1">#REF!,#REF!,#REF!,#REF!,#REF!,#REF!,#REF!,#REF!,#REF!,#REF!,#REF!,#REF!,#REF!,#REF!</definedName>
    <definedName name="__APW_RESTORE_DATA1409__" hidden="1">#REF!,#REF!,#REF!,#REF!,#REF!,#REF!,#REF!,#REF!,#REF!,#REF!,#REF!,#REF!,#REF!,#REF!</definedName>
    <definedName name="__APW_RESTORE_DATA141__" hidden="1">#REF!,#REF!,#REF!,#REF!,#REF!,#REF!,#REF!,#REF!,#REF!,#REF!,#REF!,#REF!,#REF!,#REF!</definedName>
    <definedName name="__APW_RESTORE_DATA1410__" hidden="1">#REF!,#REF!,#REF!,#REF!,#REF!,#REF!,#REF!,#REF!,#REF!,#REF!,#REF!,#REF!,#REF!,#REF!</definedName>
    <definedName name="__APW_RESTORE_DATA1411__" hidden="1">#REF!,#REF!,#REF!,#REF!,#REF!,#REF!,#REF!,#REF!,#REF!,#REF!,#REF!,#REF!,#REF!,#REF!</definedName>
    <definedName name="__APW_RESTORE_DATA1412__" hidden="1">#REF!,#REF!,#REF!,#REF!,#REF!,#REF!,#REF!,#REF!,#REF!,#REF!,#REF!,#REF!,#REF!,#REF!</definedName>
    <definedName name="__APW_RESTORE_DATA1413__" hidden="1">#REF!,#REF!,#REF!,#REF!,#REF!,#REF!,#REF!,#REF!,#REF!,#REF!,#REF!,#REF!,#REF!,#REF!</definedName>
    <definedName name="__APW_RESTORE_DATA1414__" hidden="1">#REF!,#REF!,#REF!,#REF!,#REF!,#REF!,#REF!,#REF!,#REF!,#REF!,#REF!,#REF!,#REF!,#REF!</definedName>
    <definedName name="__APW_RESTORE_DATA1415__" hidden="1">#REF!,#REF!,#REF!,#REF!,#REF!,#REF!,#REF!,#REF!,#REF!,#REF!,#REF!,#REF!,#REF!,#REF!</definedName>
    <definedName name="__APW_RESTORE_DATA1416__" hidden="1">#REF!,#REF!,#REF!,#REF!,#REF!,#REF!,#REF!,#REF!,#REF!,#REF!,#REF!,#REF!,#REF!,#REF!</definedName>
    <definedName name="__APW_RESTORE_DATA1417__" hidden="1">#REF!,#REF!,#REF!,#REF!,#REF!,#REF!,#REF!,#REF!,#REF!,#REF!,#REF!,#REF!,#REF!,#REF!</definedName>
    <definedName name="__APW_RESTORE_DATA1418__" hidden="1">#REF!,#REF!,#REF!,#REF!,#REF!,#REF!,#REF!,#REF!,#REF!,#REF!,#REF!,#REF!,#REF!,#REF!</definedName>
    <definedName name="__APW_RESTORE_DATA1419__" hidden="1">#REF!,#REF!,#REF!,#REF!,#REF!,#REF!,#REF!,#REF!,#REF!,#REF!,#REF!,#REF!,#REF!,#REF!</definedName>
    <definedName name="__APW_RESTORE_DATA142__" hidden="1">#REF!,#REF!,#REF!,#REF!,#REF!,#REF!,#REF!,#REF!,#REF!,#REF!,#REF!,#REF!,#REF!,#REF!</definedName>
    <definedName name="__APW_RESTORE_DATA1420__" hidden="1">#REF!,#REF!,#REF!,#REF!,#REF!,#REF!,#REF!,#REF!,#REF!,#REF!,#REF!,#REF!,#REF!,#REF!</definedName>
    <definedName name="__APW_RESTORE_DATA1421__" hidden="1">#REF!,#REF!,#REF!,#REF!,#REF!,#REF!,#REF!,#REF!,#REF!,#REF!,#REF!,#REF!,#REF!,#REF!</definedName>
    <definedName name="__APW_RESTORE_DATA1422__" hidden="1">#REF!,#REF!,#REF!,#REF!,#REF!,#REF!,#REF!,#REF!,#REF!,#REF!,#REF!,#REF!,#REF!,#REF!</definedName>
    <definedName name="__APW_RESTORE_DATA1423__" hidden="1">#REF!,#REF!,#REF!,#REF!,#REF!,#REF!,#REF!,#REF!,#REF!,#REF!,#REF!,#REF!,#REF!,#REF!</definedName>
    <definedName name="__APW_RESTORE_DATA1424__" hidden="1">#REF!,#REF!,#REF!,#REF!,#REF!,#REF!,#REF!,#REF!,#REF!,#REF!,#REF!,#REF!,#REF!,#REF!</definedName>
    <definedName name="__APW_RESTORE_DATA1425__" hidden="1">#REF!,#REF!,#REF!,#REF!,#REF!,#REF!,#REF!,#REF!,#REF!,#REF!,#REF!,#REF!,#REF!,#REF!</definedName>
    <definedName name="__APW_RESTORE_DATA1426__" hidden="1">#REF!,#REF!,#REF!,#REF!,#REF!,#REF!,#REF!,#REF!,#REF!,#REF!,#REF!,#REF!,#REF!,#REF!</definedName>
    <definedName name="__APW_RESTORE_DATA1427__" hidden="1">#REF!,#REF!,#REF!,#REF!,#REF!,#REF!,#REF!,#REF!,#REF!,#REF!,#REF!</definedName>
    <definedName name="__APW_RESTORE_DATA1428__" hidden="1">#REF!,#REF!,#REF!,#REF!,#REF!,#REF!,#REF!,#REF!,#REF!,#REF!,#REF!,#REF!,#REF!,#REF!</definedName>
    <definedName name="__APW_RESTORE_DATA1429__" hidden="1">#REF!,#REF!,#REF!,#REF!,#REF!,#REF!,#REF!,#REF!,#REF!,#REF!,#REF!,#REF!,#REF!,#REF!</definedName>
    <definedName name="__APW_RESTORE_DATA143__" hidden="1">#REF!,#REF!,#REF!,#REF!,#REF!,#REF!,#REF!,#REF!,#REF!,#REF!,#REF!,#REF!,#REF!,#REF!</definedName>
    <definedName name="__APW_RESTORE_DATA1430__" hidden="1">#REF!,#REF!,#REF!,#REF!,#REF!,#REF!,#REF!,#REF!,#REF!,#REF!,#REF!,#REF!,#REF!,#REF!</definedName>
    <definedName name="__APW_RESTORE_DATA1431__" hidden="1">#REF!,#REF!,#REF!,#REF!,#REF!,#REF!,#REF!,#REF!,#REF!,#REF!,#REF!,#REF!,#REF!,#REF!</definedName>
    <definedName name="__APW_RESTORE_DATA1432__" hidden="1">#REF!,#REF!,#REF!,#REF!,#REF!,#REF!,#REF!,#REF!,#REF!,#REF!,#REF!,#REF!,#REF!,#REF!</definedName>
    <definedName name="__APW_RESTORE_DATA1433__" hidden="1">#REF!,#REF!,#REF!,#REF!,#REF!,#REF!,#REF!,#REF!,#REF!,#REF!,#REF!,#REF!,#REF!,#REF!</definedName>
    <definedName name="__APW_RESTORE_DATA1434__" hidden="1">#REF!,#REF!,#REF!,#REF!,#REF!,#REF!,#REF!,#REF!,#REF!,#REF!,#REF!,#REF!,#REF!,#REF!</definedName>
    <definedName name="__APW_RESTORE_DATA1435__" hidden="1">#REF!,#REF!,#REF!,#REF!,#REF!,#REF!,#REF!,#REF!,#REF!,#REF!,#REF!,#REF!,#REF!,#REF!</definedName>
    <definedName name="__APW_RESTORE_DATA1436__" hidden="1">#REF!,#REF!,#REF!,#REF!,#REF!,#REF!,#REF!,#REF!,#REF!,#REF!,#REF!,#REF!,#REF!,#REF!</definedName>
    <definedName name="__APW_RESTORE_DATA1437__" hidden="1">#REF!,#REF!,#REF!,#REF!,#REF!,#REF!,#REF!,#REF!,#REF!,#REF!,#REF!,#REF!,#REF!,#REF!</definedName>
    <definedName name="__APW_RESTORE_DATA1438__" hidden="1">#REF!,#REF!,#REF!,#REF!,#REF!,#REF!,#REF!,#REF!,#REF!,#REF!,#REF!,#REF!,#REF!,#REF!</definedName>
    <definedName name="__APW_RESTORE_DATA1439__" hidden="1">#REF!,#REF!,#REF!,#REF!,#REF!,#REF!,#REF!,#REF!,#REF!,#REF!,#REF!,#REF!,#REF!,#REF!</definedName>
    <definedName name="__APW_RESTORE_DATA144__" hidden="1">#REF!,#REF!,#REF!,#REF!,#REF!,#REF!,#REF!,#REF!,#REF!,#REF!,#REF!,#REF!,#REF!,#REF!</definedName>
    <definedName name="__APW_RESTORE_DATA1440__" hidden="1">#REF!,#REF!,#REF!,#REF!,#REF!,#REF!,#REF!,#REF!,#REF!,#REF!,#REF!,#REF!,#REF!,#REF!</definedName>
    <definedName name="__APW_RESTORE_DATA1441__" hidden="1">#REF!,#REF!,#REF!,#REF!,#REF!,#REF!,#REF!,#REF!,#REF!,#REF!,#REF!,#REF!,#REF!,#REF!</definedName>
    <definedName name="__APW_RESTORE_DATA1442__" hidden="1">#REF!,#REF!,#REF!,#REF!,#REF!,#REF!,#REF!,#REF!,#REF!,#REF!,#REF!,#REF!,#REF!,#REF!</definedName>
    <definedName name="__APW_RESTORE_DATA1443__" hidden="1">#REF!,#REF!,#REF!,#REF!,#REF!,#REF!,#REF!,#REF!,#REF!,#REF!,#REF!,#REF!,#REF!,#REF!</definedName>
    <definedName name="__APW_RESTORE_DATA1444__" hidden="1">#REF!,#REF!,#REF!,#REF!,#REF!,#REF!,#REF!,#REF!,#REF!,#REF!,#REF!,#REF!,#REF!,#REF!</definedName>
    <definedName name="__APW_RESTORE_DATA1445__" hidden="1">#REF!,#REF!,#REF!,#REF!,#REF!,#REF!,#REF!,#REF!,#REF!,#REF!,#REF!,#REF!,#REF!,#REF!</definedName>
    <definedName name="__APW_RESTORE_DATA1446__" hidden="1">#REF!,#REF!,#REF!,#REF!,#REF!,#REF!,#REF!,#REF!,#REF!,#REF!,#REF!,#REF!,#REF!,#REF!</definedName>
    <definedName name="__APW_RESTORE_DATA1447__" hidden="1">#REF!,#REF!,#REF!,#REF!,#REF!,#REF!,#REF!,#REF!,#REF!,#REF!,#REF!,#REF!,#REF!,#REF!</definedName>
    <definedName name="__APW_RESTORE_DATA1448__" hidden="1">#REF!,#REF!,#REF!,#REF!,#REF!,#REF!,#REF!,#REF!,#REF!,#REF!,#REF!,#REF!,#REF!,#REF!</definedName>
    <definedName name="__APW_RESTORE_DATA1449__" hidden="1">#REF!,#REF!,#REF!,#REF!,#REF!,#REF!,#REF!,#REF!,#REF!,#REF!,#REF!,#REF!,#REF!,#REF!</definedName>
    <definedName name="__APW_RESTORE_DATA145__" hidden="1">#REF!,#REF!,#REF!,#REF!,#REF!,#REF!,#REF!,#REF!,#REF!,#REF!,#REF!,#REF!,#REF!,#REF!</definedName>
    <definedName name="__APW_RESTORE_DATA1450__" hidden="1">#REF!,#REF!,#REF!,#REF!,#REF!,#REF!,#REF!,#REF!,#REF!,#REF!,#REF!,#REF!,#REF!,#REF!</definedName>
    <definedName name="__APW_RESTORE_DATA1451__" hidden="1">#REF!,#REF!,#REF!,#REF!,#REF!,#REF!,#REF!,#REF!,#REF!,#REF!,#REF!,#REF!,#REF!,#REF!</definedName>
    <definedName name="__APW_RESTORE_DATA1452__" hidden="1">#REF!,#REF!,#REF!,#REF!,#REF!,#REF!,#REF!,#REF!,#REF!,#REF!,#REF!,#REF!,#REF!,#REF!</definedName>
    <definedName name="__APW_RESTORE_DATA1453__" hidden="1">#REF!,#REF!,#REF!,#REF!,#REF!,#REF!,#REF!,#REF!,#REF!,#REF!,#REF!,#REF!,#REF!,#REF!</definedName>
    <definedName name="__APW_RESTORE_DATA1454__" hidden="1">#REF!,#REF!,#REF!,#REF!,#REF!,#REF!,#REF!,#REF!,#REF!,#REF!,#REF!,#REF!,#REF!,#REF!</definedName>
    <definedName name="__APW_RESTORE_DATA1455__" hidden="1">#REF!,#REF!,#REF!,#REF!,#REF!,#REF!,#REF!,#REF!,#REF!,#REF!,#REF!,#REF!,#REF!,#REF!</definedName>
    <definedName name="__APW_RESTORE_DATA1456__" hidden="1">#REF!,#REF!,#REF!,#REF!,#REF!,#REF!,#REF!,#REF!,#REF!,#REF!,#REF!</definedName>
    <definedName name="__APW_RESTORE_DATA1457__" hidden="1">#REF!,#REF!,#REF!,#REF!,#REF!,#REF!,#REF!,#REF!,#REF!,#REF!,#REF!,#REF!,#REF!,#REF!</definedName>
    <definedName name="__APW_RESTORE_DATA1458__" hidden="1">#REF!,#REF!,#REF!,#REF!,#REF!,#REF!,#REF!,#REF!,#REF!,#REF!,#REF!,#REF!,#REF!,#REF!</definedName>
    <definedName name="__APW_RESTORE_DATA1459__" hidden="1">#REF!,#REF!,#REF!,#REF!,#REF!,#REF!,#REF!,#REF!,#REF!,#REF!,#REF!,#REF!,#REF!,#REF!</definedName>
    <definedName name="__APW_RESTORE_DATA146__" hidden="1">#REF!,#REF!,#REF!,#REF!,#REF!,#REF!,#REF!,#REF!,#REF!,#REF!,#REF!,#REF!,#REF!,#REF!</definedName>
    <definedName name="__APW_RESTORE_DATA1460__" hidden="1">#REF!,#REF!,#REF!,#REF!,#REF!,#REF!,#REF!,#REF!,#REF!,#REF!,#REF!,#REF!,#REF!,#REF!</definedName>
    <definedName name="__APW_RESTORE_DATA1461__" hidden="1">#REF!,#REF!,#REF!,#REF!,#REF!,#REF!,#REF!,#REF!,#REF!,#REF!,#REF!,#REF!,#REF!,#REF!</definedName>
    <definedName name="__APW_RESTORE_DATA1462__" hidden="1">#REF!,#REF!,#REF!,#REF!,#REF!,#REF!,#REF!,#REF!,#REF!,#REF!,#REF!,#REF!,#REF!,#REF!</definedName>
    <definedName name="__APW_RESTORE_DATA1463__" hidden="1">#REF!,#REF!,#REF!,#REF!,#REF!,#REF!,#REF!,#REF!,#REF!,#REF!,#REF!,#REF!,#REF!,#REF!</definedName>
    <definedName name="__APW_RESTORE_DATA1464__" hidden="1">#REF!,#REF!,#REF!,#REF!,#REF!,#REF!,#REF!,#REF!,#REF!,#REF!,#REF!,#REF!,#REF!,#REF!</definedName>
    <definedName name="__APW_RESTORE_DATA1465__" hidden="1">#REF!,#REF!,#REF!,#REF!,#REF!,#REF!,#REF!,#REF!,#REF!,#REF!,#REF!,#REF!,#REF!,#REF!</definedName>
    <definedName name="__APW_RESTORE_DATA1466__" hidden="1">#REF!,#REF!,#REF!,#REF!,#REF!,#REF!,#REF!,#REF!,#REF!,#REF!,#REF!,#REF!,#REF!,#REF!</definedName>
    <definedName name="__APW_RESTORE_DATA1467__" hidden="1">#REF!,#REF!,#REF!,#REF!,#REF!,#REF!,#REF!,#REF!,#REF!,#REF!,#REF!,#REF!,#REF!,#REF!</definedName>
    <definedName name="__APW_RESTORE_DATA1468__" hidden="1">#REF!,#REF!,#REF!,#REF!,#REF!,#REF!,#REF!,#REF!,#REF!,#REF!,#REF!,#REF!,#REF!,#REF!</definedName>
    <definedName name="__APW_RESTORE_DATA1469__" hidden="1">#REF!,#REF!,#REF!,#REF!,#REF!,#REF!,#REF!,#REF!,#REF!,#REF!,#REF!,#REF!,#REF!,#REF!</definedName>
    <definedName name="__APW_RESTORE_DATA147__" hidden="1">#REF!,#REF!,#REF!,#REF!,#REF!,#REF!,#REF!,#REF!,#REF!,#REF!,#REF!,#REF!,#REF!,#REF!</definedName>
    <definedName name="__APW_RESTORE_DATA1470__" hidden="1">#REF!,#REF!,#REF!,#REF!,#REF!,#REF!,#REF!,#REF!,#REF!,#REF!,#REF!,#REF!,#REF!,#REF!</definedName>
    <definedName name="__APW_RESTORE_DATA1471__" hidden="1">#REF!,#REF!,#REF!,#REF!,#REF!,#REF!,#REF!,#REF!,#REF!,#REF!,#REF!,#REF!,#REF!,#REF!</definedName>
    <definedName name="__APW_RESTORE_DATA1472__" hidden="1">#REF!,#REF!,#REF!,#REF!,#REF!,#REF!,#REF!,#REF!,#REF!,#REF!,#REF!,#REF!,#REF!,#REF!</definedName>
    <definedName name="__APW_RESTORE_DATA1473__" hidden="1">#REF!,#REF!,#REF!,#REF!,#REF!,#REF!,#REF!,#REF!,#REF!,#REF!,#REF!,#REF!,#REF!,#REF!</definedName>
    <definedName name="__APW_RESTORE_DATA1474__" hidden="1">#REF!,#REF!,#REF!,#REF!,#REF!,#REF!,#REF!,#REF!,#REF!,#REF!,#REF!,#REF!,#REF!,#REF!</definedName>
    <definedName name="__APW_RESTORE_DATA1475__" hidden="1">#REF!,#REF!,#REF!,#REF!,#REF!,#REF!,#REF!,#REF!,#REF!,#REF!,#REF!,#REF!,#REF!,#REF!</definedName>
    <definedName name="__APW_RESTORE_DATA1476__" hidden="1">#REF!,#REF!,#REF!,#REF!,#REF!,#REF!,#REF!,#REF!,#REF!,#REF!,#REF!,#REF!,#REF!,#REF!</definedName>
    <definedName name="__APW_RESTORE_DATA1477__" hidden="1">#REF!,#REF!,#REF!,#REF!,#REF!,#REF!,#REF!,#REF!,#REF!,#REF!,#REF!,#REF!,#REF!,#REF!</definedName>
    <definedName name="__APW_RESTORE_DATA1478__" hidden="1">#REF!,#REF!,#REF!,#REF!,#REF!,#REF!,#REF!,#REF!,#REF!,#REF!,#REF!,#REF!,#REF!,#REF!</definedName>
    <definedName name="__APW_RESTORE_DATA1479__" hidden="1">#REF!,#REF!,#REF!,#REF!,#REF!,#REF!,#REF!,#REF!,#REF!,#REF!,#REF!,#REF!,#REF!,#REF!</definedName>
    <definedName name="__APW_RESTORE_DATA148__" hidden="1">#REF!,#REF!,#REF!,#REF!,#REF!,#REF!,#REF!,#REF!,#REF!,#REF!,#REF!,#REF!,#REF!,#REF!</definedName>
    <definedName name="__APW_RESTORE_DATA1480__" hidden="1">#REF!,#REF!,#REF!,#REF!,#REF!,#REF!,#REF!,#REF!,#REF!,#REF!,#REF!,#REF!,#REF!,#REF!</definedName>
    <definedName name="__APW_RESTORE_DATA1481__" hidden="1">#REF!,#REF!,#REF!,#REF!,#REF!,#REF!,#REF!,#REF!,#REF!,#REF!,#REF!,#REF!,#REF!,#REF!</definedName>
    <definedName name="__APW_RESTORE_DATA1482__" hidden="1">#REF!,#REF!,#REF!,#REF!,#REF!,#REF!,#REF!,#REF!,#REF!,#REF!,#REF!,#REF!,#REF!,#REF!</definedName>
    <definedName name="__APW_RESTORE_DATA1483__" hidden="1">#REF!,#REF!,#REF!,#REF!,#REF!,#REF!,#REF!,#REF!,#REF!,#REF!,#REF!,#REF!,#REF!,#REF!</definedName>
    <definedName name="__APW_RESTORE_DATA1484__" hidden="1">#REF!,#REF!,#REF!,#REF!,#REF!,#REF!,#REF!,#REF!,#REF!,#REF!,#REF!,#REF!,#REF!,#REF!</definedName>
    <definedName name="__APW_RESTORE_DATA1485__" hidden="1">#REF!,#REF!,#REF!,#REF!,#REF!,#REF!,#REF!,#REF!,#REF!,#REF!,#REF!</definedName>
    <definedName name="__APW_RESTORE_DATA1486__" hidden="1">#REF!,#REF!,#REF!,#REF!,#REF!,#REF!,#REF!,#REF!,#REF!,#REF!,#REF!,#REF!,#REF!,#REF!</definedName>
    <definedName name="__APW_RESTORE_DATA1487__" hidden="1">#REF!,#REF!,#REF!,#REF!,#REF!,#REF!,#REF!,#REF!,#REF!,#REF!,#REF!,#REF!,#REF!,#REF!</definedName>
    <definedName name="__APW_RESTORE_DATA1488__" hidden="1">#REF!,#REF!,#REF!,#REF!,#REF!,#REF!,#REF!,#REF!,#REF!,#REF!,#REF!,#REF!,#REF!,#REF!</definedName>
    <definedName name="__APW_RESTORE_DATA1489__" hidden="1">#REF!,#REF!,#REF!,#REF!,#REF!,#REF!,#REF!,#REF!,#REF!,#REF!,#REF!,#REF!,#REF!,#REF!</definedName>
    <definedName name="__APW_RESTORE_DATA149__" hidden="1">#REF!,#REF!,#REF!,#REF!,#REF!,#REF!,#REF!,#REF!,#REF!,#REF!,#REF!,#REF!,#REF!,#REF!</definedName>
    <definedName name="__APW_RESTORE_DATA1490__" hidden="1">#REF!,#REF!,#REF!,#REF!,#REF!,#REF!,#REF!,#REF!,#REF!,#REF!,#REF!,#REF!,#REF!,#REF!</definedName>
    <definedName name="__APW_RESTORE_DATA1491__" hidden="1">#REF!,#REF!,#REF!,#REF!,#REF!,#REF!,#REF!,#REF!,#REF!,#REF!,#REF!,#REF!,#REF!,#REF!</definedName>
    <definedName name="__APW_RESTORE_DATA1492__" hidden="1">#REF!,#REF!,#REF!,#REF!,#REF!,#REF!,#REF!,#REF!,#REF!,#REF!,#REF!,#REF!,#REF!,#REF!</definedName>
    <definedName name="__APW_RESTORE_DATA1493__" hidden="1">#REF!,#REF!,#REF!,#REF!,#REF!,#REF!,#REF!,#REF!,#REF!,#REF!,#REF!,#REF!,#REF!,#REF!</definedName>
    <definedName name="__APW_RESTORE_DATA1494__" hidden="1">#REF!,#REF!,#REF!,#REF!,#REF!,#REF!,#REF!,#REF!,#REF!,#REF!,#REF!,#REF!,#REF!,#REF!</definedName>
    <definedName name="__APW_RESTORE_DATA1495__" hidden="1">#REF!,#REF!,#REF!,#REF!,#REF!,#REF!,#REF!,#REF!,#REF!,#REF!,#REF!,#REF!,#REF!,#REF!</definedName>
    <definedName name="__APW_RESTORE_DATA1496__" hidden="1">#REF!,#REF!,#REF!,#REF!,#REF!,#REF!,#REF!,#REF!,#REF!,#REF!,#REF!,#REF!,#REF!,#REF!</definedName>
    <definedName name="__APW_RESTORE_DATA1497__" hidden="1">#REF!,#REF!,#REF!,#REF!,#REF!,#REF!,#REF!,#REF!,#REF!,#REF!,#REF!,#REF!,#REF!,#REF!</definedName>
    <definedName name="__APW_RESTORE_DATA1498__" hidden="1">#REF!,#REF!,#REF!,#REF!,#REF!,#REF!,#REF!,#REF!,#REF!,#REF!,#REF!,#REF!,#REF!,#REF!</definedName>
    <definedName name="__APW_RESTORE_DATA1499__" hidden="1">#REF!,#REF!,#REF!,#REF!,#REF!,#REF!,#REF!,#REF!,#REF!,#REF!,#REF!,#REF!,#REF!,#REF!</definedName>
    <definedName name="__APW_RESTORE_DATA15__" hidden="1">#REF!,#REF!,#REF!,#REF!,#REF!,#REF!,#REF!,#REF!,#REF!,#REF!,#REF!,#REF!,#REF!,#REF!,#REF!</definedName>
    <definedName name="__APW_RESTORE_DATA150__" hidden="1">#REF!,#REF!,#REF!,#REF!,#REF!,#REF!,#REF!,#REF!,#REF!,#REF!,#REF!,#REF!,#REF!,#REF!</definedName>
    <definedName name="__APW_RESTORE_DATA1500__" hidden="1">#REF!,#REF!,#REF!,#REF!,#REF!,#REF!,#REF!,#REF!,#REF!,#REF!,#REF!,#REF!,#REF!,#REF!</definedName>
    <definedName name="__APW_RESTORE_DATA1501__" hidden="1">#REF!,#REF!,#REF!,#REF!,#REF!,#REF!,#REF!,#REF!,#REF!,#REF!,#REF!,#REF!,#REF!,#REF!</definedName>
    <definedName name="__APW_RESTORE_DATA1502__" hidden="1">#REF!,#REF!,#REF!,#REF!,#REF!,#REF!,#REF!,#REF!,#REF!,#REF!,#REF!,#REF!,#REF!,#REF!</definedName>
    <definedName name="__APW_RESTORE_DATA1503__" hidden="1">#REF!,#REF!,#REF!,#REF!,#REF!,#REF!,#REF!,#REF!,#REF!,#REF!,#REF!,#REF!,#REF!,#REF!</definedName>
    <definedName name="__APW_RESTORE_DATA1504__" hidden="1">#REF!,#REF!,#REF!,#REF!,#REF!,#REF!,#REF!,#REF!,#REF!,#REF!,#REF!,#REF!,#REF!,#REF!</definedName>
    <definedName name="__APW_RESTORE_DATA1505__" hidden="1">#REF!,#REF!,#REF!,#REF!,#REF!,#REF!,#REF!,#REF!,#REF!,#REF!,#REF!,#REF!,#REF!,#REF!</definedName>
    <definedName name="__APW_RESTORE_DATA1506__" hidden="1">#REF!,#REF!,#REF!,#REF!,#REF!,#REF!,#REF!,#REF!,#REF!,#REF!,#REF!,#REF!,#REF!,#REF!</definedName>
    <definedName name="__APW_RESTORE_DATA1507__" hidden="1">#REF!,#REF!,#REF!,#REF!,#REF!,#REF!,#REF!,#REF!,#REF!,#REF!,#REF!,#REF!,#REF!,#REF!</definedName>
    <definedName name="__APW_RESTORE_DATA1508__" hidden="1">#REF!,#REF!,#REF!,#REF!,#REF!,#REF!,#REF!,#REF!,#REF!,#REF!,#REF!,#REF!,#REF!,#REF!</definedName>
    <definedName name="__APW_RESTORE_DATA1509__" hidden="1">#REF!,#REF!,#REF!,#REF!,#REF!,#REF!,#REF!,#REF!,#REF!,#REF!,#REF!,#REF!,#REF!,#REF!</definedName>
    <definedName name="__APW_RESTORE_DATA151__" hidden="1">#REF!,#REF!,#REF!,#REF!,#REF!,#REF!,#REF!,#REF!,#REF!,#REF!,#REF!,#REF!,#REF!,#REF!</definedName>
    <definedName name="__APW_RESTORE_DATA1510__" hidden="1">#REF!,#REF!,#REF!,#REF!,#REF!,#REF!,#REF!,#REF!,#REF!,#REF!,#REF!,#REF!,#REF!,#REF!</definedName>
    <definedName name="__APW_RESTORE_DATA1511__" hidden="1">#REF!,#REF!,#REF!,#REF!,#REF!,#REF!,#REF!,#REF!,#REF!,#REF!,#REF!,#REF!,#REF!,#REF!</definedName>
    <definedName name="__APW_RESTORE_DATA1512__" hidden="1">#REF!,#REF!,#REF!,#REF!,#REF!,#REF!,#REF!,#REF!,#REF!,#REF!,#REF!,#REF!,#REF!,#REF!</definedName>
    <definedName name="__APW_RESTORE_DATA1513__" hidden="1">#REF!,#REF!,#REF!,#REF!,#REF!,#REF!,#REF!,#REF!,#REF!,#REF!,#REF!,#REF!,#REF!,#REF!</definedName>
    <definedName name="__APW_RESTORE_DATA1514__" hidden="1">#REF!,#REF!,#REF!,#REF!,#REF!,#REF!,#REF!,#REF!,#REF!,#REF!,#REF!</definedName>
    <definedName name="__APW_RESTORE_DATA1515__" hidden="1">#REF!,#REF!,#REF!,#REF!,#REF!,#REF!,#REF!,#REF!,#REF!,#REF!,#REF!,#REF!,#REF!,#REF!</definedName>
    <definedName name="__APW_RESTORE_DATA1516__" hidden="1">#REF!,#REF!,#REF!,#REF!,#REF!,#REF!,#REF!,#REF!,#REF!,#REF!,#REF!,#REF!,#REF!,#REF!</definedName>
    <definedName name="__APW_RESTORE_DATA1517__" hidden="1">#REF!,#REF!,#REF!,#REF!,#REF!,#REF!,#REF!,#REF!,#REF!,#REF!,#REF!,#REF!,#REF!,#REF!</definedName>
    <definedName name="__APW_RESTORE_DATA1518__" hidden="1">#REF!,#REF!,#REF!,#REF!,#REF!,#REF!,#REF!,#REF!,#REF!,#REF!,#REF!,#REF!,#REF!,#REF!</definedName>
    <definedName name="__APW_RESTORE_DATA1519__" hidden="1">#REF!,#REF!,#REF!,#REF!,#REF!,#REF!,#REF!,#REF!,#REF!,#REF!,#REF!,#REF!,#REF!,#REF!</definedName>
    <definedName name="__APW_RESTORE_DATA152__" hidden="1">#REF!,#REF!,#REF!,#REF!,#REF!,#REF!,#REF!,#REF!,#REF!,#REF!,#REF!,#REF!,#REF!,#REF!</definedName>
    <definedName name="__APW_RESTORE_DATA1520__" hidden="1">#REF!,#REF!,#REF!,#REF!,#REF!,#REF!,#REF!,#REF!,#REF!,#REF!,#REF!,#REF!,#REF!,#REF!</definedName>
    <definedName name="__APW_RESTORE_DATA1521__" hidden="1">#REF!,#REF!,#REF!,#REF!,#REF!,#REF!,#REF!,#REF!,#REF!,#REF!,#REF!,#REF!,#REF!,#REF!</definedName>
    <definedName name="__APW_RESTORE_DATA1522__" hidden="1">#REF!,#REF!,#REF!,#REF!,#REF!,#REF!,#REF!,#REF!,#REF!,#REF!,#REF!,#REF!,#REF!,#REF!</definedName>
    <definedName name="__APW_RESTORE_DATA1523__" hidden="1">#REF!,#REF!,#REF!,#REF!,#REF!,#REF!,#REF!,#REF!,#REF!,#REF!,#REF!,#REF!,#REF!,#REF!</definedName>
    <definedName name="__APW_RESTORE_DATA1524__" hidden="1">#REF!,#REF!,#REF!,#REF!,#REF!,#REF!,#REF!,#REF!,#REF!,#REF!,#REF!,#REF!,#REF!,#REF!</definedName>
    <definedName name="__APW_RESTORE_DATA1525__" hidden="1">#REF!,#REF!,#REF!,#REF!,#REF!,#REF!,#REF!,#REF!,#REF!,#REF!,#REF!,#REF!,#REF!,#REF!</definedName>
    <definedName name="__APW_RESTORE_DATA1526__" hidden="1">#REF!,#REF!,#REF!,#REF!,#REF!,#REF!,#REF!,#REF!,#REF!,#REF!,#REF!,#REF!,#REF!,#REF!</definedName>
    <definedName name="__APW_RESTORE_DATA1527__" hidden="1">#REF!,#REF!,#REF!,#REF!,#REF!,#REF!,#REF!,#REF!,#REF!,#REF!,#REF!,#REF!,#REF!,#REF!</definedName>
    <definedName name="__APW_RESTORE_DATA1528__" hidden="1">#REF!,#REF!,#REF!,#REF!,#REF!,#REF!,#REF!,#REF!,#REF!,#REF!,#REF!,#REF!,#REF!,#REF!</definedName>
    <definedName name="__APW_RESTORE_DATA1529__" hidden="1">#REF!,#REF!,#REF!,#REF!,#REF!,#REF!,#REF!,#REF!,#REF!,#REF!,#REF!,#REF!,#REF!,#REF!</definedName>
    <definedName name="__APW_RESTORE_DATA153__" hidden="1">#REF!,#REF!,#REF!,#REF!,#REF!,#REF!,#REF!,#REF!,#REF!,#REF!,#REF!,#REF!,#REF!,#REF!</definedName>
    <definedName name="__APW_RESTORE_DATA1530__" hidden="1">#REF!,#REF!,#REF!,#REF!,#REF!,#REF!,#REF!,#REF!,#REF!,#REF!,#REF!,#REF!,#REF!,#REF!</definedName>
    <definedName name="__APW_RESTORE_DATA1531__" hidden="1">#REF!,#REF!,#REF!,#REF!,#REF!,#REF!,#REF!,#REF!,#REF!,#REF!,#REF!,#REF!,#REF!,#REF!</definedName>
    <definedName name="__APW_RESTORE_DATA1532__" hidden="1">#REF!,#REF!,#REF!,#REF!,#REF!,#REF!,#REF!,#REF!,#REF!,#REF!,#REF!,#REF!,#REF!,#REF!</definedName>
    <definedName name="__APW_RESTORE_DATA1533__" hidden="1">#REF!,#REF!,#REF!,#REF!,#REF!,#REF!,#REF!,#REF!,#REF!,#REF!,#REF!,#REF!,#REF!,#REF!</definedName>
    <definedName name="__APW_RESTORE_DATA1534__" hidden="1">#REF!,#REF!,#REF!,#REF!,#REF!,#REF!,#REF!,#REF!,#REF!,#REF!,#REF!,#REF!,#REF!,#REF!</definedName>
    <definedName name="__APW_RESTORE_DATA1535__" hidden="1">#REF!,#REF!,#REF!,#REF!,#REF!,#REF!,#REF!,#REF!,#REF!,#REF!,#REF!,#REF!,#REF!,#REF!</definedName>
    <definedName name="__APW_RESTORE_DATA1536__" hidden="1">#REF!,#REF!,#REF!,#REF!,#REF!,#REF!,#REF!,#REF!,#REF!,#REF!,#REF!,#REF!,#REF!,#REF!</definedName>
    <definedName name="__APW_RESTORE_DATA1537__" hidden="1">#REF!,#REF!,#REF!,#REF!,#REF!,#REF!,#REF!,#REF!,#REF!,#REF!,#REF!,#REF!,#REF!,#REF!</definedName>
    <definedName name="__APW_RESTORE_DATA1538__" hidden="1">#REF!,#REF!,#REF!,#REF!,#REF!,#REF!,#REF!,#REF!,#REF!,#REF!,#REF!,#REF!,#REF!,#REF!</definedName>
    <definedName name="__APW_RESTORE_DATA1539__" hidden="1">#REF!,#REF!,#REF!,#REF!,#REF!,#REF!,#REF!,#REF!,#REF!,#REF!,#REF!,#REF!,#REF!,#REF!</definedName>
    <definedName name="__APW_RESTORE_DATA154__" hidden="1">#REF!,#REF!,#REF!,#REF!,#REF!,#REF!,#REF!,#REF!,#REF!,#REF!,#REF!,#REF!,#REF!,#REF!</definedName>
    <definedName name="__APW_RESTORE_DATA1540__" hidden="1">#REF!,#REF!,#REF!,#REF!,#REF!,#REF!,#REF!,#REF!,#REF!,#REF!,#REF!,#REF!,#REF!,#REF!</definedName>
    <definedName name="__APW_RESTORE_DATA1541__" hidden="1">#REF!,#REF!,#REF!,#REF!,#REF!,#REF!,#REF!,#REF!,#REF!,#REF!,#REF!,#REF!,#REF!,#REF!</definedName>
    <definedName name="__APW_RESTORE_DATA1542__" hidden="1">#REF!,#REF!,#REF!,#REF!,#REF!,#REF!,#REF!,#REF!,#REF!,#REF!,#REF!,#REF!,#REF!,#REF!</definedName>
    <definedName name="__APW_RESTORE_DATA1543__" hidden="1">#REF!,#REF!,#REF!,#REF!,#REF!,#REF!,#REF!,#REF!,#REF!,#REF!,#REF!</definedName>
    <definedName name="__APW_RESTORE_DATA1544__" hidden="1">#REF!,#REF!,#REF!,#REF!,#REF!,#REF!,#REF!,#REF!,#REF!,#REF!,#REF!,#REF!,#REF!,#REF!</definedName>
    <definedName name="__APW_RESTORE_DATA1545__" hidden="1">#REF!,#REF!,#REF!,#REF!,#REF!,#REF!,#REF!,#REF!,#REF!,#REF!,#REF!,#REF!,#REF!,#REF!</definedName>
    <definedName name="__APW_RESTORE_DATA1546__" hidden="1">#REF!,#REF!,#REF!,#REF!,#REF!,#REF!,#REF!,#REF!,#REF!,#REF!,#REF!,#REF!,#REF!,#REF!</definedName>
    <definedName name="__APW_RESTORE_DATA1547__" hidden="1">#REF!,#REF!,#REF!,#REF!,#REF!,#REF!,#REF!,#REF!,#REF!,#REF!,#REF!,#REF!,#REF!,#REF!</definedName>
    <definedName name="__APW_RESTORE_DATA1548__" hidden="1">#REF!,#REF!,#REF!,#REF!,#REF!,#REF!,#REF!,#REF!,#REF!,#REF!,#REF!,#REF!,#REF!,#REF!</definedName>
    <definedName name="__APW_RESTORE_DATA1549__" hidden="1">#REF!,#REF!,#REF!,#REF!,#REF!,#REF!,#REF!,#REF!,#REF!,#REF!,#REF!,#REF!,#REF!,#REF!</definedName>
    <definedName name="__APW_RESTORE_DATA155__" hidden="1">#REF!,#REF!,#REF!,#REF!,#REF!,#REF!,#REF!,#REF!,#REF!,#REF!,#REF!,#REF!,#REF!,#REF!</definedName>
    <definedName name="__APW_RESTORE_DATA1550__" hidden="1">#REF!,#REF!,#REF!,#REF!,#REF!,#REF!,#REF!,#REF!,#REF!,#REF!,#REF!,#REF!,#REF!,#REF!</definedName>
    <definedName name="__APW_RESTORE_DATA1551__" hidden="1">#REF!,#REF!,#REF!,#REF!,#REF!,#REF!,#REF!,#REF!,#REF!,#REF!,#REF!,#REF!,#REF!,#REF!</definedName>
    <definedName name="__APW_RESTORE_DATA1552__" hidden="1">#REF!,#REF!,#REF!,#REF!,#REF!,#REF!,#REF!,#REF!,#REF!,#REF!,#REF!,#REF!,#REF!,#REF!</definedName>
    <definedName name="__APW_RESTORE_DATA1553__" hidden="1">#REF!,#REF!,#REF!,#REF!,#REF!,#REF!,#REF!,#REF!,#REF!,#REF!,#REF!,#REF!,#REF!,#REF!</definedName>
    <definedName name="__APW_RESTORE_DATA1554__" hidden="1">#REF!,#REF!,#REF!,#REF!,#REF!,#REF!,#REF!,#REF!,#REF!,#REF!,#REF!,#REF!,#REF!,#REF!</definedName>
    <definedName name="__APW_RESTORE_DATA1555__" hidden="1">#REF!,#REF!,#REF!,#REF!,#REF!,#REF!,#REF!,#REF!,#REF!,#REF!,#REF!,#REF!,#REF!,#REF!</definedName>
    <definedName name="__APW_RESTORE_DATA1556__" hidden="1">#REF!,#REF!,#REF!,#REF!,#REF!,#REF!,#REF!,#REF!,#REF!,#REF!,#REF!,#REF!,#REF!,#REF!</definedName>
    <definedName name="__APW_RESTORE_DATA1557__" hidden="1">#REF!,#REF!,#REF!,#REF!,#REF!,#REF!,#REF!,#REF!,#REF!,#REF!,#REF!,#REF!,#REF!,#REF!</definedName>
    <definedName name="__APW_RESTORE_DATA1558__" hidden="1">#REF!,#REF!,#REF!,#REF!,#REF!,#REF!,#REF!,#REF!,#REF!,#REF!,#REF!,#REF!,#REF!,#REF!</definedName>
    <definedName name="__APW_RESTORE_DATA1559__" hidden="1">#REF!,#REF!,#REF!,#REF!,#REF!,#REF!,#REF!,#REF!,#REF!,#REF!,#REF!,#REF!,#REF!,#REF!</definedName>
    <definedName name="__APW_RESTORE_DATA156__" hidden="1">#REF!,#REF!,#REF!,#REF!,#REF!,#REF!,#REF!,#REF!,#REF!,#REF!,#REF!</definedName>
    <definedName name="__APW_RESTORE_DATA1560__" hidden="1">#REF!,#REF!,#REF!,#REF!,#REF!,#REF!,#REF!,#REF!,#REF!,#REF!,#REF!,#REF!,#REF!,#REF!</definedName>
    <definedName name="__APW_RESTORE_DATA1561__" hidden="1">#REF!,#REF!,#REF!,#REF!,#REF!,#REF!,#REF!,#REF!,#REF!,#REF!,#REF!,#REF!,#REF!,#REF!</definedName>
    <definedName name="__APW_RESTORE_DATA1562__" hidden="1">#REF!,#REF!,#REF!,#REF!,#REF!,#REF!,#REF!,#REF!,#REF!,#REF!,#REF!,#REF!,#REF!,#REF!</definedName>
    <definedName name="__APW_RESTORE_DATA1563__" hidden="1">#REF!,#REF!,#REF!,#REF!,#REF!,#REF!,#REF!,#REF!,#REF!,#REF!,#REF!,#REF!,#REF!,#REF!</definedName>
    <definedName name="__APW_RESTORE_DATA1564__" hidden="1">#REF!,#REF!,#REF!,#REF!,#REF!,#REF!,#REF!,#REF!,#REF!,#REF!,#REF!,#REF!,#REF!,#REF!</definedName>
    <definedName name="__APW_RESTORE_DATA1565__" hidden="1">#REF!,#REF!,#REF!,#REF!,#REF!,#REF!,#REF!,#REF!,#REF!,#REF!,#REF!,#REF!,#REF!,#REF!</definedName>
    <definedName name="__APW_RESTORE_DATA1566__" hidden="1">#REF!,#REF!,#REF!,#REF!,#REF!,#REF!,#REF!,#REF!,#REF!,#REF!,#REF!,#REF!,#REF!,#REF!</definedName>
    <definedName name="__APW_RESTORE_DATA1567__" hidden="1">#REF!,#REF!,#REF!,#REF!,#REF!,#REF!,#REF!,#REF!,#REF!,#REF!,#REF!,#REF!,#REF!,#REF!</definedName>
    <definedName name="__APW_RESTORE_DATA1568__" hidden="1">#REF!,#REF!,#REF!,#REF!,#REF!,#REF!,#REF!,#REF!,#REF!,#REF!,#REF!,#REF!,#REF!,#REF!</definedName>
    <definedName name="__APW_RESTORE_DATA1569__" hidden="1">#REF!,#REF!,#REF!,#REF!,#REF!,#REF!,#REF!,#REF!,#REF!,#REF!,#REF!,#REF!,#REF!,#REF!</definedName>
    <definedName name="__APW_RESTORE_DATA157__" hidden="1">#REF!,#REF!,#REF!,#REF!,#REF!,#REF!,#REF!,#REF!,#REF!,#REF!,#REF!,#REF!,#REF!,#REF!</definedName>
    <definedName name="__APW_RESTORE_DATA1570__" hidden="1">#REF!,#REF!,#REF!,#REF!,#REF!,#REF!,#REF!,#REF!,#REF!,#REF!,#REF!,#REF!,#REF!,#REF!</definedName>
    <definedName name="__APW_RESTORE_DATA1571__" hidden="1">#REF!,#REF!,#REF!,#REF!,#REF!,#REF!,#REF!,#REF!,#REF!,#REF!,#REF!,#REF!,#REF!,#REF!</definedName>
    <definedName name="__APW_RESTORE_DATA1572__" hidden="1">#REF!,#REF!,#REF!,#REF!,#REF!,#REF!,#REF!,#REF!,#REF!,#REF!,#REF!</definedName>
    <definedName name="__APW_RESTORE_DATA1573__" hidden="1">#REF!,#REF!,#REF!,#REF!,#REF!,#REF!,#REF!,#REF!,#REF!,#REF!,#REF!,#REF!,#REF!,#REF!</definedName>
    <definedName name="__APW_RESTORE_DATA1574__" hidden="1">#REF!,#REF!,#REF!,#REF!,#REF!,#REF!,#REF!,#REF!,#REF!,#REF!,#REF!,#REF!,#REF!,#REF!</definedName>
    <definedName name="__APW_RESTORE_DATA1575__" hidden="1">#REF!,#REF!,#REF!,#REF!,#REF!,#REF!,#REF!,#REF!,#REF!,#REF!,#REF!,#REF!,#REF!,#REF!</definedName>
    <definedName name="__APW_RESTORE_DATA1576__" hidden="1">#REF!,#REF!,#REF!,#REF!,#REF!,#REF!,#REF!,#REF!,#REF!,#REF!,#REF!,#REF!,#REF!,#REF!</definedName>
    <definedName name="__APW_RESTORE_DATA1577__" hidden="1">#REF!,#REF!,#REF!,#REF!,#REF!,#REF!,#REF!,#REF!,#REF!,#REF!,#REF!,#REF!,#REF!,#REF!</definedName>
    <definedName name="__APW_RESTORE_DATA1578__" hidden="1">#REF!,#REF!,#REF!,#REF!,#REF!,#REF!,#REF!,#REF!,#REF!,#REF!,#REF!,#REF!,#REF!,#REF!</definedName>
    <definedName name="__APW_RESTORE_DATA1579__" hidden="1">#REF!,#REF!,#REF!,#REF!,#REF!,#REF!,#REF!,#REF!,#REF!,#REF!,#REF!,#REF!,#REF!,#REF!</definedName>
    <definedName name="__APW_RESTORE_DATA158__" hidden="1">#REF!,#REF!,#REF!,#REF!,#REF!,#REF!,#REF!,#REF!,#REF!,#REF!,#REF!,#REF!,#REF!,#REF!</definedName>
    <definedName name="__APW_RESTORE_DATA1580__" hidden="1">#REF!,#REF!,#REF!,#REF!,#REF!,#REF!,#REF!,#REF!,#REF!,#REF!,#REF!,#REF!,#REF!,#REF!</definedName>
    <definedName name="__APW_RESTORE_DATA1581__" hidden="1">#REF!,#REF!,#REF!,#REF!,#REF!,#REF!,#REF!,#REF!,#REF!,#REF!,#REF!,#REF!,#REF!,#REF!</definedName>
    <definedName name="__APW_RESTORE_DATA1582__" hidden="1">#REF!,#REF!,#REF!,#REF!,#REF!,#REF!,#REF!,#REF!,#REF!,#REF!,#REF!,#REF!,#REF!,#REF!</definedName>
    <definedName name="__APW_RESTORE_DATA1583__" hidden="1">#REF!,#REF!,#REF!,#REF!,#REF!,#REF!,#REF!,#REF!,#REF!,#REF!,#REF!,#REF!,#REF!,#REF!</definedName>
    <definedName name="__APW_RESTORE_DATA1584__" hidden="1">#REF!,#REF!,#REF!,#REF!,#REF!,#REF!,#REF!,#REF!,#REF!,#REF!,#REF!,#REF!,#REF!,#REF!</definedName>
    <definedName name="__APW_RESTORE_DATA1585__" hidden="1">#REF!,#REF!,#REF!,#REF!,#REF!,#REF!,#REF!,#REF!,#REF!,#REF!,#REF!,#REF!,#REF!,#REF!</definedName>
    <definedName name="__APW_RESTORE_DATA1586__" hidden="1">#REF!,#REF!,#REF!,#REF!,#REF!,#REF!,#REF!,#REF!,#REF!,#REF!,#REF!,#REF!,#REF!,#REF!</definedName>
    <definedName name="__APW_RESTORE_DATA1587__" hidden="1">#REF!,#REF!,#REF!,#REF!,#REF!,#REF!,#REF!,#REF!,#REF!,#REF!,#REF!,#REF!,#REF!,#REF!</definedName>
    <definedName name="__APW_RESTORE_DATA1588__" hidden="1">#REF!,#REF!,#REF!,#REF!,#REF!,#REF!,#REF!,#REF!,#REF!,#REF!,#REF!,#REF!,#REF!,#REF!</definedName>
    <definedName name="__APW_RESTORE_DATA1589__" hidden="1">#REF!,#REF!,#REF!,#REF!,#REF!,#REF!,#REF!,#REF!,#REF!,#REF!,#REF!,#REF!,#REF!,#REF!</definedName>
    <definedName name="__APW_RESTORE_DATA159__" hidden="1">#REF!,#REF!,#REF!,#REF!,#REF!,#REF!,#REF!,#REF!,#REF!,#REF!,#REF!,#REF!,#REF!,#REF!</definedName>
    <definedName name="__APW_RESTORE_DATA1590__" hidden="1">#REF!,#REF!,#REF!,#REF!,#REF!,#REF!,#REF!,#REF!,#REF!,#REF!,#REF!,#REF!,#REF!,#REF!</definedName>
    <definedName name="__APW_RESTORE_DATA1591__" hidden="1">#REF!,#REF!,#REF!,#REF!,#REF!,#REF!,#REF!,#REF!,#REF!,#REF!,#REF!,#REF!,#REF!,#REF!</definedName>
    <definedName name="__APW_RESTORE_DATA1592__" hidden="1">#REF!,#REF!,#REF!,#REF!,#REF!,#REF!,#REF!,#REF!,#REF!,#REF!,#REF!,#REF!,#REF!,#REF!</definedName>
    <definedName name="__APW_RESTORE_DATA1593__" hidden="1">#REF!,#REF!,#REF!,#REF!,#REF!,#REF!,#REF!,#REF!,#REF!,#REF!,#REF!,#REF!,#REF!,#REF!</definedName>
    <definedName name="__APW_RESTORE_DATA1594__" hidden="1">#REF!,#REF!,#REF!,#REF!,#REF!,#REF!,#REF!,#REF!,#REF!,#REF!,#REF!,#REF!,#REF!,#REF!</definedName>
    <definedName name="__APW_RESTORE_DATA1595__" hidden="1">#REF!,#REF!,#REF!,#REF!,#REF!,#REF!,#REF!,#REF!,#REF!,#REF!,#REF!,#REF!,#REF!,#REF!</definedName>
    <definedName name="__APW_RESTORE_DATA1596__" hidden="1">#REF!,#REF!,#REF!,#REF!,#REF!,#REF!,#REF!,#REF!,#REF!,#REF!,#REF!,#REF!,#REF!,#REF!</definedName>
    <definedName name="__APW_RESTORE_DATA1597__" hidden="1">#REF!,#REF!,#REF!,#REF!,#REF!,#REF!,#REF!,#REF!,#REF!,#REF!,#REF!,#REF!,#REF!,#REF!</definedName>
    <definedName name="__APW_RESTORE_DATA1598__" hidden="1">#REF!,#REF!,#REF!,#REF!,#REF!,#REF!,#REF!,#REF!,#REF!,#REF!,#REF!,#REF!,#REF!,#REF!</definedName>
    <definedName name="__APW_RESTORE_DATA1599__" hidden="1">#REF!,#REF!,#REF!,#REF!,#REF!,#REF!,#REF!,#REF!,#REF!,#REF!,#REF!,#REF!,#REF!,#REF!</definedName>
    <definedName name="__APW_RESTORE_DATA16__" hidden="1">#REF!,#REF!,#REF!,#REF!,#REF!,#REF!,#REF!,#REF!,#REF!,#REF!,#REF!,#REF!,#REF!,#REF!,#REF!</definedName>
    <definedName name="__APW_RESTORE_DATA160__" hidden="1">#REF!,#REF!,#REF!,#REF!,#REF!,#REF!,#REF!,#REF!,#REF!,#REF!,#REF!,#REF!,#REF!,#REF!</definedName>
    <definedName name="__APW_RESTORE_DATA1600__" hidden="1">#REF!,#REF!,#REF!,#REF!,#REF!,#REF!,#REF!,#REF!,#REF!,#REF!,#REF!,#REF!,#REF!</definedName>
    <definedName name="__APW_RESTORE_DATA1601__" hidden="1">#REF!,#REF!,#REF!,#REF!,#REF!,#REF!,#REF!,#REF!,#REF!,#REF!,#REF!,#REF!,#REF!,#REF!</definedName>
    <definedName name="__APW_RESTORE_DATA1602__" hidden="1">#REF!,#REF!,#REF!,#REF!,#REF!,#REF!,#REF!,#REF!,#REF!,#REF!,#REF!,#REF!,#REF!,#REF!</definedName>
    <definedName name="__APW_RESTORE_DATA1603__" hidden="1">#REF!,#REF!,#REF!,#REF!,#REF!,#REF!,#REF!,#REF!,#REF!,#REF!,#REF!,#REF!,#REF!,#REF!</definedName>
    <definedName name="__APW_RESTORE_DATA1604__" hidden="1">#REF!,#REF!,#REF!,#REF!,#REF!,#REF!,#REF!,#REF!,#REF!,#REF!,#REF!,#REF!,#REF!,#REF!</definedName>
    <definedName name="__APW_RESTORE_DATA1605__" hidden="1">#REF!,#REF!,#REF!,#REF!,#REF!,#REF!,#REF!,#REF!,#REF!,#REF!,#REF!,#REF!,#REF!,#REF!</definedName>
    <definedName name="__APW_RESTORE_DATA1606__" hidden="1">#REF!,#REF!,#REF!,#REF!,#REF!,#REF!,#REF!,#REF!,#REF!,#REF!,#REF!,#REF!,#REF!,#REF!</definedName>
    <definedName name="__APW_RESTORE_DATA1607__" hidden="1">#REF!,#REF!,#REF!,#REF!,#REF!,#REF!,#REF!,#REF!,#REF!,#REF!,#REF!,#REF!,#REF!,#REF!</definedName>
    <definedName name="__APW_RESTORE_DATA1608__" hidden="1">#REF!,#REF!,#REF!,#REF!,#REF!,#REF!,#REF!,#REF!,#REF!,#REF!,#REF!,#REF!,#REF!,#REF!</definedName>
    <definedName name="__APW_RESTORE_DATA1609__" hidden="1">#REF!,#REF!,#REF!,#REF!,#REF!,#REF!,#REF!,#REF!,#REF!,#REF!,#REF!,#REF!,#REF!,#REF!</definedName>
    <definedName name="__APW_RESTORE_DATA161__" hidden="1">#REF!,#REF!,#REF!,#REF!,#REF!,#REF!,#REF!,#REF!,#REF!,#REF!,#REF!,#REF!,#REF!,#REF!</definedName>
    <definedName name="__APW_RESTORE_DATA1610__" hidden="1">#REF!,#REF!,#REF!,#REF!,#REF!,#REF!,#REF!,#REF!,#REF!,#REF!,#REF!,#REF!,#REF!,#REF!</definedName>
    <definedName name="__APW_RESTORE_DATA1611__" hidden="1">#REF!,#REF!,#REF!,#REF!,#REF!,#REF!,#REF!,#REF!,#REF!,#REF!,#REF!,#REF!,#REF!,#REF!</definedName>
    <definedName name="__APW_RESTORE_DATA1612__" hidden="1">#REF!,#REF!,#REF!,#REF!,#REF!,#REF!,#REF!,#REF!,#REF!,#REF!,#REF!,#REF!,#REF!,#REF!</definedName>
    <definedName name="__APW_RESTORE_DATA1613__" hidden="1">#REF!,#REF!,#REF!,#REF!,#REF!,#REF!,#REF!,#REF!,#REF!,#REF!,#REF!,#REF!,#REF!,#REF!</definedName>
    <definedName name="__APW_RESTORE_DATA1614__" hidden="1">#REF!,#REF!,#REF!,#REF!,#REF!,#REF!,#REF!,#REF!,#REF!,#REF!,#REF!,#REF!,#REF!,#REF!</definedName>
    <definedName name="__APW_RESTORE_DATA1615__" hidden="1">#REF!,#REF!,#REF!,#REF!,#REF!,#REF!,#REF!,#REF!,#REF!,#REF!,#REF!,#REF!,#REF!,#REF!</definedName>
    <definedName name="__APW_RESTORE_DATA1616__" hidden="1">#REF!,#REF!,#REF!,#REF!,#REF!,#REF!,#REF!,#REF!,#REF!,#REF!,#REF!,#REF!,#REF!,#REF!</definedName>
    <definedName name="__APW_RESTORE_DATA1617__" hidden="1">#REF!,#REF!,#REF!,#REF!,#REF!,#REF!,#REF!,#REF!,#REF!,#REF!,#REF!,#REF!,#REF!,#REF!</definedName>
    <definedName name="__APW_RESTORE_DATA1618__" hidden="1">#REF!,#REF!,#REF!,#REF!,#REF!,#REF!,#REF!,#REF!,#REF!,#REF!,#REF!,#REF!,#REF!,#REF!</definedName>
    <definedName name="__APW_RESTORE_DATA1619__" hidden="1">#REF!,#REF!,#REF!,#REF!,#REF!,#REF!,#REF!,#REF!,#REF!,#REF!,#REF!,#REF!,#REF!,#REF!</definedName>
    <definedName name="__APW_RESTORE_DATA162__" hidden="1">#REF!,#REF!,#REF!,#REF!,#REF!,#REF!,#REF!,#REF!,#REF!,#REF!,#REF!,#REF!,#REF!,#REF!</definedName>
    <definedName name="__APW_RESTORE_DATA1620__" hidden="1">#REF!,#REF!,#REF!,#REF!,#REF!,#REF!,#REF!,#REF!,#REF!,#REF!,#REF!,#REF!,#REF!,#REF!</definedName>
    <definedName name="__APW_RESTORE_DATA1621__" hidden="1">#REF!,#REF!,#REF!,#REF!,#REF!,#REF!,#REF!,#REF!,#REF!,#REF!,#REF!,#REF!,#REF!,#REF!</definedName>
    <definedName name="__APW_RESTORE_DATA1622__" hidden="1">#REF!,#REF!,#REF!,#REF!,#REF!,#REF!,#REF!,#REF!,#REF!,#REF!,#REF!,#REF!,#REF!,#REF!</definedName>
    <definedName name="__APW_RESTORE_DATA1623__" hidden="1">#REF!,#REF!,#REF!,#REF!,#REF!,#REF!,#REF!,#REF!,#REF!,#REF!,#REF!,#REF!,#REF!,#REF!</definedName>
    <definedName name="__APW_RESTORE_DATA1624__" hidden="1">#REF!,#REF!,#REF!,#REF!,#REF!,#REF!,#REF!,#REF!,#REF!,#REF!,#REF!,#REF!,#REF!,#REF!</definedName>
    <definedName name="__APW_RESTORE_DATA1625__" hidden="1">#REF!,#REF!,#REF!,#REF!,#REF!,#REF!,#REF!,#REF!,#REF!,#REF!,#REF!,#REF!,#REF!,#REF!</definedName>
    <definedName name="__APW_RESTORE_DATA1626__" hidden="1">#REF!,#REF!,#REF!,#REF!,#REF!,#REF!,#REF!,#REF!,#REF!,#REF!,#REF!,#REF!,#REF!,#REF!</definedName>
    <definedName name="__APW_RESTORE_DATA1627__" hidden="1">#REF!,#REF!,#REF!,#REF!,#REF!,#REF!,#REF!,#REF!,#REF!,#REF!,#REF!,#REF!,#REF!,#REF!</definedName>
    <definedName name="__APW_RESTORE_DATA1628__" hidden="1">#REF!,#REF!,#REF!,#REF!,#REF!,#REF!,#REF!,#REF!,#REF!,#REF!,#REF!,#REF!,#REF!</definedName>
    <definedName name="__APW_RESTORE_DATA1629__" hidden="1">#REF!,#REF!,#REF!,#REF!,#REF!,#REF!,#REF!,#REF!,#REF!,#REF!,#REF!,#REF!,#REF!,#REF!</definedName>
    <definedName name="__APW_RESTORE_DATA163__" hidden="1">#REF!,#REF!,#REF!,#REF!,#REF!,#REF!,#REF!,#REF!,#REF!,#REF!,#REF!,#REF!,#REF!,#REF!</definedName>
    <definedName name="__APW_RESTORE_DATA1630__" hidden="1">#REF!,#REF!,#REF!,#REF!,#REF!,#REF!,#REF!,#REF!,#REF!,#REF!,#REF!,#REF!,#REF!,#REF!</definedName>
    <definedName name="__APW_RESTORE_DATA1631__" hidden="1">#REF!,#REF!,#REF!,#REF!,#REF!,#REF!,#REF!,#REF!,#REF!,#REF!,#REF!,#REF!,#REF!,#REF!</definedName>
    <definedName name="__APW_RESTORE_DATA1632__" hidden="1">#REF!,#REF!,#REF!,#REF!,#REF!,#REF!,#REF!,#REF!,#REF!,#REF!,#REF!,#REF!,#REF!,#REF!</definedName>
    <definedName name="__APW_RESTORE_DATA1633__" hidden="1">#REF!,#REF!,#REF!,#REF!,#REF!,#REF!,#REF!,#REF!,#REF!,#REF!,#REF!,#REF!,#REF!,#REF!</definedName>
    <definedName name="__APW_RESTORE_DATA1634__" hidden="1">#REF!,#REF!,#REF!,#REF!,#REF!,#REF!,#REF!,#REF!,#REF!,#REF!,#REF!,#REF!,#REF!,#REF!</definedName>
    <definedName name="__APW_RESTORE_DATA1635__" hidden="1">#REF!,#REF!,#REF!,#REF!,#REF!,#REF!,#REF!,#REF!,#REF!,#REF!,#REF!,#REF!,#REF!,#REF!</definedName>
    <definedName name="__APW_RESTORE_DATA1636__" hidden="1">#REF!,#REF!,#REF!,#REF!,#REF!,#REF!,#REF!,#REF!,#REF!,#REF!,#REF!,#REF!,#REF!,#REF!</definedName>
    <definedName name="__APW_RESTORE_DATA1637__" hidden="1">#REF!,#REF!,#REF!,#REF!,#REF!,#REF!,#REF!,#REF!,#REF!,#REF!,#REF!,#REF!,#REF!,#REF!</definedName>
    <definedName name="__APW_RESTORE_DATA1638__" hidden="1">#REF!,#REF!,#REF!,#REF!,#REF!,#REF!,#REF!,#REF!,#REF!,#REF!,#REF!,#REF!,#REF!,#REF!</definedName>
    <definedName name="__APW_RESTORE_DATA1639__" hidden="1">#REF!,#REF!,#REF!,#REF!,#REF!,#REF!,#REF!,#REF!,#REF!,#REF!,#REF!,#REF!,#REF!,#REF!</definedName>
    <definedName name="__APW_RESTORE_DATA164__" hidden="1">#REF!,#REF!,#REF!,#REF!,#REF!,#REF!,#REF!,#REF!,#REF!,#REF!,#REF!,#REF!,#REF!,#REF!</definedName>
    <definedName name="__APW_RESTORE_DATA1640__" hidden="1">#REF!,#REF!,#REF!,#REF!,#REF!,#REF!,#REF!,#REF!,#REF!,#REF!,#REF!,#REF!,#REF!,#REF!</definedName>
    <definedName name="__APW_RESTORE_DATA1641__" hidden="1">#REF!,#REF!,#REF!,#REF!,#REF!,#REF!,#REF!,#REF!,#REF!,#REF!,#REF!,#REF!,#REF!,#REF!</definedName>
    <definedName name="__APW_RESTORE_DATA1642__" hidden="1">#REF!,#REF!,#REF!,#REF!,#REF!,#REF!,#REF!,#REF!,#REF!,#REF!,#REF!,#REF!,#REF!,#REF!</definedName>
    <definedName name="__APW_RESTORE_DATA1643__" hidden="1">#REF!,#REF!,#REF!,#REF!,#REF!,#REF!,#REF!,#REF!,#REF!,#REF!,#REF!,#REF!,#REF!,#REF!</definedName>
    <definedName name="__APW_RESTORE_DATA1644__" hidden="1">#REF!,#REF!,#REF!,#REF!,#REF!,#REF!,#REF!,#REF!,#REF!,#REF!,#REF!,#REF!,#REF!,#REF!</definedName>
    <definedName name="__APW_RESTORE_DATA1645__" hidden="1">#REF!,#REF!,#REF!,#REF!,#REF!,#REF!,#REF!,#REF!,#REF!,#REF!,#REF!,#REF!,#REF!,#REF!</definedName>
    <definedName name="__APW_RESTORE_DATA1646__" hidden="1">#REF!,#REF!,#REF!,#REF!,#REF!,#REF!,#REF!,#REF!,#REF!,#REF!,#REF!,#REF!,#REF!,#REF!</definedName>
    <definedName name="__APW_RESTORE_DATA1647__" hidden="1">#REF!,#REF!,#REF!,#REF!,#REF!,#REF!,#REF!,#REF!,#REF!,#REF!,#REF!,#REF!,#REF!,#REF!</definedName>
    <definedName name="__APW_RESTORE_DATA1648__" hidden="1">#REF!,#REF!,#REF!,#REF!,#REF!,#REF!,#REF!,#REF!,#REF!,#REF!,#REF!,#REF!,#REF!,#REF!</definedName>
    <definedName name="__APW_RESTORE_DATA1649__" hidden="1">#REF!,#REF!,#REF!,#REF!,#REF!,#REF!,#REF!,#REF!,#REF!,#REF!,#REF!,#REF!,#REF!,#REF!</definedName>
    <definedName name="__APW_RESTORE_DATA165__" hidden="1">#REF!,#REF!,#REF!,#REF!,#REF!,#REF!,#REF!,#REF!,#REF!,#REF!,#REF!,#REF!,#REF!,#REF!</definedName>
    <definedName name="__APW_RESTORE_DATA1650__" hidden="1">#REF!,#REF!,#REF!,#REF!,#REF!,#REF!,#REF!,#REF!,#REF!,#REF!,#REF!,#REF!,#REF!,#REF!</definedName>
    <definedName name="__APW_RESTORE_DATA1651__" hidden="1">#REF!,#REF!,#REF!,#REF!,#REF!,#REF!,#REF!,#REF!,#REF!,#REF!,#REF!,#REF!,#REF!,#REF!</definedName>
    <definedName name="__APW_RESTORE_DATA1652__" hidden="1">#REF!,#REF!,#REF!,#REF!,#REF!,#REF!,#REF!,#REF!,#REF!,#REF!,#REF!,#REF!,#REF!,#REF!</definedName>
    <definedName name="__APW_RESTORE_DATA1653__" hidden="1">#REF!,#REF!,#REF!,#REF!,#REF!,#REF!,#REF!,#REF!,#REF!,#REF!,#REF!,#REF!,#REF!,#REF!</definedName>
    <definedName name="__APW_RESTORE_DATA1654__" hidden="1">#REF!,#REF!,#REF!,#REF!,#REF!,#REF!,#REF!,#REF!,#REF!,#REF!,#REF!,#REF!,#REF!,#REF!</definedName>
    <definedName name="__APW_RESTORE_DATA1655__" hidden="1">#REF!,#REF!,#REF!,#REF!,#REF!,#REF!,#REF!,#REF!,#REF!,#REF!,#REF!,#REF!,#REF!,#REF!</definedName>
    <definedName name="__APW_RESTORE_DATA1656__" hidden="1">#REF!,#REF!,#REF!,#REF!,#REF!,#REF!,#REF!,#REF!,#REF!,#REF!,#REF!,#REF!,#REF!</definedName>
    <definedName name="__APW_RESTORE_DATA1657__" hidden="1">#REF!,#REF!,#REF!,#REF!,#REF!,#REF!,#REF!,#REF!,#REF!,#REF!,#REF!,#REF!,#REF!,#REF!</definedName>
    <definedName name="__APW_RESTORE_DATA1658__" hidden="1">#REF!,#REF!,#REF!,#REF!,#REF!,#REF!,#REF!,#REF!,#REF!,#REF!,#REF!,#REF!,#REF!,#REF!</definedName>
    <definedName name="__APW_RESTORE_DATA1659__" hidden="1">#REF!,#REF!,#REF!,#REF!,#REF!,#REF!,#REF!,#REF!,#REF!,#REF!,#REF!,#REF!,#REF!,#REF!</definedName>
    <definedName name="__APW_RESTORE_DATA166__" hidden="1">#REF!,#REF!,#REF!,#REF!,#REF!,#REF!,#REF!,#REF!,#REF!,#REF!,#REF!,#REF!,#REF!,#REF!</definedName>
    <definedName name="__APW_RESTORE_DATA1660__" hidden="1">#REF!,#REF!,#REF!,#REF!,#REF!,#REF!,#REF!,#REF!,#REF!,#REF!,#REF!,#REF!,#REF!,#REF!</definedName>
    <definedName name="__APW_RESTORE_DATA1661__" hidden="1">#REF!,#REF!,#REF!,#REF!,#REF!,#REF!,#REF!,#REF!,#REF!,#REF!,#REF!,#REF!,#REF!,#REF!</definedName>
    <definedName name="__APW_RESTORE_DATA1662__" hidden="1">#REF!,#REF!,#REF!,#REF!,#REF!,#REF!,#REF!,#REF!,#REF!,#REF!,#REF!,#REF!,#REF!,#REF!</definedName>
    <definedName name="__APW_RESTORE_DATA1663__" hidden="1">#REF!,#REF!,#REF!,#REF!,#REF!,#REF!,#REF!,#REF!,#REF!,#REF!,#REF!,#REF!,#REF!,#REF!</definedName>
    <definedName name="__APW_RESTORE_DATA1664__" hidden="1">#REF!,#REF!,#REF!,#REF!,#REF!,#REF!,#REF!,#REF!,#REF!,#REF!,#REF!,#REF!,#REF!,#REF!</definedName>
    <definedName name="__APW_RESTORE_DATA1665__" hidden="1">#REF!,#REF!,#REF!,#REF!,#REF!,#REF!,#REF!,#REF!,#REF!,#REF!,#REF!,#REF!,#REF!,#REF!</definedName>
    <definedName name="__APW_RESTORE_DATA1666__" hidden="1">#REF!,#REF!,#REF!,#REF!,#REF!,#REF!,#REF!,#REF!,#REF!,#REF!,#REF!,#REF!,#REF!,#REF!</definedName>
    <definedName name="__APW_RESTORE_DATA1667__" hidden="1">#REF!,#REF!,#REF!,#REF!,#REF!,#REF!,#REF!,#REF!,#REF!,#REF!,#REF!,#REF!,#REF!,#REF!</definedName>
    <definedName name="__APW_RESTORE_DATA1668__" hidden="1">#REF!,#REF!,#REF!,#REF!,#REF!,#REF!,#REF!,#REF!,#REF!,#REF!,#REF!,#REF!,#REF!,#REF!</definedName>
    <definedName name="__APW_RESTORE_DATA1669__" hidden="1">#REF!,#REF!,#REF!,#REF!,#REF!,#REF!,#REF!,#REF!,#REF!,#REF!,#REF!,#REF!,#REF!,#REF!</definedName>
    <definedName name="__APW_RESTORE_DATA167__" hidden="1">#REF!,#REF!,#REF!,#REF!,#REF!,#REF!,#REF!,#REF!,#REF!,#REF!,#REF!,#REF!,#REF!,#REF!</definedName>
    <definedName name="__APW_RESTORE_DATA1670__" hidden="1">#REF!,#REF!,#REF!,#REF!,#REF!,#REF!,#REF!,#REF!,#REF!,#REF!,#REF!,#REF!,#REF!,#REF!</definedName>
    <definedName name="__APW_RESTORE_DATA1671__" hidden="1">#REF!,#REF!,#REF!,#REF!,#REF!,#REF!,#REF!,#REF!,#REF!,#REF!,#REF!,#REF!,#REF!,#REF!</definedName>
    <definedName name="__APW_RESTORE_DATA1672__" hidden="1">#REF!,#REF!,#REF!,#REF!,#REF!,#REF!,#REF!,#REF!,#REF!,#REF!,#REF!,#REF!,#REF!,#REF!</definedName>
    <definedName name="__APW_RESTORE_DATA1673__" hidden="1">#REF!,#REF!,#REF!,#REF!,#REF!,#REF!,#REF!,#REF!,#REF!,#REF!,#REF!,#REF!,#REF!,#REF!</definedName>
    <definedName name="__APW_RESTORE_DATA1674__" hidden="1">#REF!,#REF!,#REF!,#REF!,#REF!,#REF!,#REF!,#REF!,#REF!,#REF!,#REF!,#REF!,#REF!,#REF!</definedName>
    <definedName name="__APW_RESTORE_DATA1675__" hidden="1">#REF!,#REF!,#REF!,#REF!,#REF!,#REF!,#REF!,#REF!,#REF!,#REF!,#REF!,#REF!,#REF!,#REF!</definedName>
    <definedName name="__APW_RESTORE_DATA1676__" hidden="1">#REF!,#REF!,#REF!,#REF!,#REF!,#REF!,#REF!,#REF!,#REF!,#REF!,#REF!,#REF!,#REF!,#REF!</definedName>
    <definedName name="__APW_RESTORE_DATA1677__" hidden="1">#REF!,#REF!,#REF!,#REF!,#REF!,#REF!,#REF!,#REF!,#REF!,#REF!,#REF!,#REF!,#REF!,#REF!</definedName>
    <definedName name="__APW_RESTORE_DATA1678__" hidden="1">#REF!,#REF!,#REF!,#REF!,#REF!,#REF!,#REF!,#REF!,#REF!,#REF!,#REF!,#REF!,#REF!,#REF!</definedName>
    <definedName name="__APW_RESTORE_DATA1679__" hidden="1">#REF!,#REF!,#REF!,#REF!,#REF!,#REF!,#REF!,#REF!,#REF!,#REF!,#REF!,#REF!,#REF!,#REF!</definedName>
    <definedName name="__APW_RESTORE_DATA168__" hidden="1">#REF!,#REF!,#REF!,#REF!,#REF!,#REF!,#REF!,#REF!,#REF!,#REF!,#REF!,#REF!,#REF!,#REF!</definedName>
    <definedName name="__APW_RESTORE_DATA1680__" hidden="1">#REF!,#REF!,#REF!,#REF!,#REF!,#REF!,#REF!,#REF!,#REF!,#REF!,#REF!,#REF!,#REF!,#REF!</definedName>
    <definedName name="__APW_RESTORE_DATA1681__" hidden="1">#REF!,#REF!,#REF!,#REF!,#REF!,#REF!,#REF!,#REF!,#REF!,#REF!,#REF!,#REF!,#REF!,#REF!</definedName>
    <definedName name="__APW_RESTORE_DATA1682__" hidden="1">#REF!,#REF!,#REF!,#REF!,#REF!,#REF!,#REF!,#REF!,#REF!,#REF!,#REF!,#REF!,#REF!,#REF!</definedName>
    <definedName name="__APW_RESTORE_DATA1683__" hidden="1">#REF!,#REF!,#REF!,#REF!,#REF!,#REF!,#REF!,#REF!,#REF!,#REF!,#REF!,#REF!,#REF!,#REF!</definedName>
    <definedName name="__APW_RESTORE_DATA1684__" hidden="1">#REF!,#REF!,#REF!,#REF!,#REF!,#REF!,#REF!,#REF!,#REF!,#REF!,#REF!,#REF!,#REF!</definedName>
    <definedName name="__APW_RESTORE_DATA1685__" hidden="1">#REF!,#REF!,#REF!,#REF!,#REF!,#REF!,#REF!,#REF!,#REF!,#REF!,#REF!,#REF!,#REF!,#REF!</definedName>
    <definedName name="__APW_RESTORE_DATA1686__" hidden="1">#REF!,#REF!,#REF!,#REF!,#REF!,#REF!,#REF!,#REF!,#REF!,#REF!,#REF!,#REF!,#REF!,#REF!</definedName>
    <definedName name="__APW_RESTORE_DATA1687__" hidden="1">#REF!,#REF!,#REF!,#REF!,#REF!,#REF!,#REF!,#REF!,#REF!,#REF!,#REF!,#REF!,#REF!,#REF!</definedName>
    <definedName name="__APW_RESTORE_DATA1688__" hidden="1">#REF!,#REF!,#REF!,#REF!,#REF!,#REF!,#REF!,#REF!,#REF!,#REF!,#REF!,#REF!,#REF!,#REF!</definedName>
    <definedName name="__APW_RESTORE_DATA1689__" hidden="1">#REF!,#REF!,#REF!,#REF!,#REF!,#REF!,#REF!,#REF!,#REF!,#REF!,#REF!,#REF!,#REF!,#REF!</definedName>
    <definedName name="__APW_RESTORE_DATA169__" hidden="1">#REF!,#REF!,#REF!,#REF!,#REF!,#REF!,#REF!,#REF!,#REF!,#REF!,#REF!,#REF!,#REF!,#REF!</definedName>
    <definedName name="__APW_RESTORE_DATA1690__" hidden="1">#REF!,#REF!,#REF!,#REF!,#REF!,#REF!,#REF!,#REF!,#REF!,#REF!,#REF!,#REF!,#REF!,#REF!</definedName>
    <definedName name="__APW_RESTORE_DATA1691__" hidden="1">#REF!,#REF!,#REF!,#REF!,#REF!,#REF!,#REF!,#REF!,#REF!,#REF!,#REF!,#REF!,#REF!,#REF!</definedName>
    <definedName name="__APW_RESTORE_DATA1692__" hidden="1">#REF!,#REF!,#REF!,#REF!,#REF!,#REF!,#REF!,#REF!,#REF!,#REF!,#REF!,#REF!,#REF!,#REF!</definedName>
    <definedName name="__APW_RESTORE_DATA1693__" hidden="1">#REF!,#REF!,#REF!,#REF!,#REF!,#REF!,#REF!,#REF!,#REF!,#REF!,#REF!,#REF!,#REF!,#REF!</definedName>
    <definedName name="__APW_RESTORE_DATA1694__" hidden="1">#REF!,#REF!,#REF!,#REF!,#REF!,#REF!,#REF!,#REF!,#REF!,#REF!,#REF!,#REF!,#REF!,#REF!</definedName>
    <definedName name="__APW_RESTORE_DATA1695__" hidden="1">#REF!,#REF!,#REF!,#REF!,#REF!,#REF!,#REF!,#REF!,#REF!,#REF!,#REF!,#REF!,#REF!,#REF!</definedName>
    <definedName name="__APW_RESTORE_DATA1696__" hidden="1">#REF!,#REF!,#REF!,#REF!,#REF!,#REF!,#REF!,#REF!,#REF!,#REF!,#REF!,#REF!,#REF!,#REF!</definedName>
    <definedName name="__APW_RESTORE_DATA1697__" hidden="1">#REF!,#REF!,#REF!,#REF!,#REF!,#REF!,#REF!,#REF!,#REF!,#REF!,#REF!,#REF!,#REF!,#REF!</definedName>
    <definedName name="__APW_RESTORE_DATA1698__" hidden="1">#REF!,#REF!,#REF!,#REF!,#REF!,#REF!,#REF!,#REF!,#REF!,#REF!,#REF!,#REF!,#REF!,#REF!</definedName>
    <definedName name="__APW_RESTORE_DATA1699__" hidden="1">#REF!,#REF!,#REF!,#REF!,#REF!,#REF!,#REF!,#REF!,#REF!,#REF!,#REF!,#REF!,#REF!,#REF!</definedName>
    <definedName name="__APW_RESTORE_DATA17__" hidden="1">#REF!,#REF!,#REF!,#REF!,#REF!,#REF!,#REF!,#REF!,#REF!,#REF!,#REF!,#REF!,#REF!,#REF!</definedName>
    <definedName name="__APW_RESTORE_DATA170__" hidden="1">#REF!,#REF!,#REF!,#REF!,#REF!,#REF!,#REF!,#REF!,#REF!,#REF!,#REF!,#REF!,#REF!,#REF!</definedName>
    <definedName name="__APW_RESTORE_DATA1700__" hidden="1">#REF!,#REF!,#REF!,#REF!,#REF!,#REF!,#REF!,#REF!,#REF!,#REF!,#REF!,#REF!,#REF!,#REF!</definedName>
    <definedName name="__APW_RESTORE_DATA1701__" hidden="1">#REF!,#REF!,#REF!,#REF!,#REF!,#REF!,#REF!,#REF!,#REF!,#REF!,#REF!,#REF!,#REF!,#REF!</definedName>
    <definedName name="__APW_RESTORE_DATA1702__" hidden="1">#REF!,#REF!,#REF!,#REF!,#REF!,#REF!,#REF!,#REF!,#REF!,#REF!,#REF!,#REF!,#REF!,#REF!</definedName>
    <definedName name="__APW_RESTORE_DATA1703__" hidden="1">#REF!,#REF!,#REF!,#REF!,#REF!,#REF!,#REF!,#REF!,#REF!,#REF!,#REF!,#REF!,#REF!,#REF!</definedName>
    <definedName name="__APW_RESTORE_DATA1704__" hidden="1">#REF!,#REF!,#REF!,#REF!,#REF!,#REF!,#REF!,#REF!,#REF!,#REF!,#REF!,#REF!,#REF!,#REF!</definedName>
    <definedName name="__APW_RESTORE_DATA1705__" hidden="1">#REF!,#REF!,#REF!,#REF!,#REF!,#REF!,#REF!,#REF!,#REF!,#REF!,#REF!,#REF!,#REF!,#REF!</definedName>
    <definedName name="__APW_RESTORE_DATA1706__" hidden="1">#REF!,#REF!,#REF!,#REF!,#REF!,#REF!,#REF!,#REF!,#REF!,#REF!,#REF!,#REF!,#REF!,#REF!</definedName>
    <definedName name="__APW_RESTORE_DATA1707__" hidden="1">#REF!,#REF!,#REF!,#REF!,#REF!,#REF!,#REF!,#REF!,#REF!,#REF!,#REF!,#REF!,#REF!,#REF!</definedName>
    <definedName name="__APW_RESTORE_DATA1708__" hidden="1">#REF!,#REF!,#REF!,#REF!,#REF!,#REF!,#REF!,#REF!,#REF!,#REF!,#REF!,#REF!,#REF!,#REF!</definedName>
    <definedName name="__APW_RESTORE_DATA1709__" hidden="1">#REF!,#REF!,#REF!,#REF!,#REF!,#REF!,#REF!,#REF!,#REF!,#REF!,#REF!,#REF!,#REF!,#REF!</definedName>
    <definedName name="__APW_RESTORE_DATA171__" hidden="1">#REF!,#REF!,#REF!,#REF!,#REF!,#REF!,#REF!,#REF!,#REF!,#REF!,#REF!,#REF!,#REF!,#REF!</definedName>
    <definedName name="__APW_RESTORE_DATA1710__" hidden="1">#REF!,#REF!,#REF!,#REF!,#REF!,#REF!,#REF!,#REF!,#REF!,#REF!,#REF!,#REF!,#REF!,#REF!</definedName>
    <definedName name="__APW_RESTORE_DATA1711__" hidden="1">#REF!,#REF!,#REF!,#REF!,#REF!,#REF!,#REF!,#REF!,#REF!,#REF!,#REF!,#REF!,#REF!,#REF!</definedName>
    <definedName name="__APW_RESTORE_DATA1712__" hidden="1">#REF!,#REF!,#REF!,#REF!,#REF!,#REF!,#REF!,#REF!,#REF!,#REF!,#REF!,#REF!,#REF!,#REF!</definedName>
    <definedName name="__APW_RESTORE_DATA1713__" hidden="1">#REF!,#REF!,#REF!,#REF!,#REF!,#REF!,#REF!,#REF!,#REF!,#REF!,#REF!,#REF!,#REF!,#REF!</definedName>
    <definedName name="__APW_RESTORE_DATA1714__" hidden="1">#REF!,#REF!,#REF!,#REF!,#REF!,#REF!,#REF!,#REF!,#REF!,#REF!,#REF!,#REF!,#REF!,#REF!</definedName>
    <definedName name="__APW_RESTORE_DATA1715__" hidden="1">#REF!,#REF!,#REF!,#REF!,#REF!,#REF!,#REF!,#REF!,#REF!,#REF!,#REF!,#REF!,#REF!,#REF!</definedName>
    <definedName name="__APW_RESTORE_DATA1716__" hidden="1">#REF!,#REF!,#REF!,#REF!,#REF!,#REF!,#REF!,#REF!,#REF!,#REF!,#REF!,#REF!,#REF!,#REF!</definedName>
    <definedName name="__APW_RESTORE_DATA1717__" hidden="1">#REF!,#REF!,#REF!,#REF!,#REF!,#REF!,#REF!,#REF!,#REF!,#REF!,#REF!,#REF!,#REF!,#REF!</definedName>
    <definedName name="__APW_RESTORE_DATA1718__" hidden="1">#REF!,#REF!,#REF!,#REF!,#REF!,#REF!,#REF!,#REF!,#REF!,#REF!,#REF!,#REF!,#REF!,#REF!</definedName>
    <definedName name="__APW_RESTORE_DATA1719__" hidden="1">#REF!,#REF!,#REF!,#REF!,#REF!,#REF!,#REF!,#REF!,#REF!,#REF!,#REF!,#REF!,#REF!,#REF!</definedName>
    <definedName name="__APW_RESTORE_DATA172__" hidden="1">#REF!,#REF!,#REF!,#REF!,#REF!,#REF!,#REF!,#REF!,#REF!,#REF!,#REF!,#REF!,#REF!,#REF!</definedName>
    <definedName name="__APW_RESTORE_DATA1720__" hidden="1">#REF!,#REF!,#REF!,#REF!,#REF!,#REF!,#REF!,#REF!,#REF!</definedName>
    <definedName name="__APW_RESTORE_DATA1721__" hidden="1">#REF!,#REF!,#REF!,#REF!,#REF!,#REF!,#REF!,#REF!,#REF!,#REF!,#REF!,#REF!,#REF!,#REF!</definedName>
    <definedName name="__APW_RESTORE_DATA1722__" hidden="1">#REF!,#REF!,#REF!,#REF!,#REF!,#REF!,#REF!,#REF!,#REF!,#REF!,#REF!,#REF!,#REF!,#REF!</definedName>
    <definedName name="__APW_RESTORE_DATA1723__" hidden="1">#REF!,#REF!,#REF!,#REF!,#REF!,#REF!,#REF!,#REF!,#REF!,#REF!,#REF!,#REF!,#REF!,#REF!</definedName>
    <definedName name="__APW_RESTORE_DATA1724__" hidden="1">#REF!,#REF!,#REF!,#REF!,#REF!,#REF!,#REF!,#REF!,#REF!,#REF!,#REF!,#REF!,#REF!,#REF!</definedName>
    <definedName name="__APW_RESTORE_DATA1725__" hidden="1">#REF!,#REF!,#REF!,#REF!,#REF!,#REF!,#REF!,#REF!,#REF!,#REF!,#REF!,#REF!,#REF!,#REF!</definedName>
    <definedName name="__APW_RESTORE_DATA1726__" hidden="1">#REF!,#REF!,#REF!,#REF!,#REF!,#REF!,#REF!,#REF!,#REF!,#REF!,#REF!,#REF!,#REF!,#REF!</definedName>
    <definedName name="__APW_RESTORE_DATA1727__" hidden="1">#REF!,#REF!,#REF!,#REF!,#REF!,#REF!,#REF!,#REF!,#REF!,#REF!,#REF!,#REF!,#REF!,#REF!</definedName>
    <definedName name="__APW_RESTORE_DATA1728__" hidden="1">#REF!,#REF!,#REF!,#REF!,#REF!,#REF!,#REF!,#REF!,#REF!,#REF!,#REF!,#REF!,#REF!,#REF!</definedName>
    <definedName name="__APW_RESTORE_DATA1729__" hidden="1">#REF!,#REF!,#REF!,#REF!,#REF!,#REF!,#REF!,#REF!,#REF!,#REF!,#REF!,#REF!,#REF!,#REF!</definedName>
    <definedName name="__APW_RESTORE_DATA173__" hidden="1">#REF!,#REF!,#REF!,#REF!,#REF!,#REF!,#REF!,#REF!,#REF!,#REF!,#REF!,#REF!,#REF!,#REF!</definedName>
    <definedName name="__APW_RESTORE_DATA1730__" hidden="1">#REF!,#REF!,#REF!,#REF!,#REF!,#REF!,#REF!,#REF!,#REF!,#REF!,#REF!,#REF!,#REF!,#REF!</definedName>
    <definedName name="__APW_RESTORE_DATA1731__" hidden="1">#REF!,#REF!,#REF!,#REF!,#REF!,#REF!,#REF!,#REF!,#REF!,#REF!,#REF!,#REF!,#REF!,#REF!</definedName>
    <definedName name="__APW_RESTORE_DATA1732__" hidden="1">#REF!,#REF!,#REF!,#REF!,#REF!,#REF!,#REF!,#REF!,#REF!,#REF!,#REF!,#REF!,#REF!,#REF!</definedName>
    <definedName name="__APW_RESTORE_DATA1733__" hidden="1">#REF!,#REF!,#REF!,#REF!,#REF!,#REF!,#REF!,#REF!,#REF!,#REF!,#REF!,#REF!,#REF!,#REF!</definedName>
    <definedName name="__APW_RESTORE_DATA1734__" hidden="1">#REF!,#REF!,#REF!,#REF!,#REF!,#REF!,#REF!,#REF!,#REF!,#REF!,#REF!,#REF!,#REF!,#REF!</definedName>
    <definedName name="__APW_RESTORE_DATA1735__" hidden="1">#REF!,#REF!,#REF!,#REF!,#REF!,#REF!,#REF!,#REF!,#REF!,#REF!,#REF!,#REF!,#REF!,#REF!</definedName>
    <definedName name="__APW_RESTORE_DATA1736__" hidden="1">#REF!,#REF!,#REF!,#REF!,#REF!,#REF!,#REF!,#REF!,#REF!,#REF!,#REF!,#REF!,#REF!,#REF!</definedName>
    <definedName name="__APW_RESTORE_DATA1737__" hidden="1">#REF!,#REF!,#REF!,#REF!,#REF!,#REF!,#REF!,#REF!,#REF!,#REF!,#REF!,#REF!,#REF!,#REF!</definedName>
    <definedName name="__APW_RESTORE_DATA1738__" hidden="1">#REF!,#REF!,#REF!,#REF!,#REF!,#REF!,#REF!,#REF!,#REF!,#REF!,#REF!,#REF!,#REF!,#REF!</definedName>
    <definedName name="__APW_RESTORE_DATA1739__" hidden="1">#REF!,#REF!,#REF!,#REF!,#REF!,#REF!,#REF!,#REF!,#REF!,#REF!,#REF!,#REF!,#REF!,#REF!</definedName>
    <definedName name="__APW_RESTORE_DATA174__" hidden="1">#REF!,#REF!,#REF!,#REF!,#REF!,#REF!,#REF!,#REF!,#REF!,#REF!,#REF!,#REF!,#REF!,#REF!</definedName>
    <definedName name="__APW_RESTORE_DATA1740__" hidden="1">#REF!,#REF!,#REF!,#REF!,#REF!,#REF!,#REF!,#REF!,#REF!,#REF!,#REF!,#REF!,#REF!,#REF!</definedName>
    <definedName name="__APW_RESTORE_DATA1741__" hidden="1">#REF!,#REF!,#REF!,#REF!,#REF!,#REF!,#REF!,#REF!,#REF!,#REF!,#REF!,#REF!,#REF!,#REF!</definedName>
    <definedName name="__APW_RESTORE_DATA1742__" hidden="1">#REF!,#REF!,#REF!,#REF!,#REF!,#REF!,#REF!,#REF!,#REF!,#REF!,#REF!,#REF!,#REF!,#REF!</definedName>
    <definedName name="__APW_RESTORE_DATA1743__" hidden="1">#REF!,#REF!,#REF!,#REF!,#REF!,#REF!,#REF!,#REF!,#REF!,#REF!,#REF!,#REF!,#REF!,#REF!</definedName>
    <definedName name="__APW_RESTORE_DATA1744__" hidden="1">#REF!,#REF!,#REF!,#REF!,#REF!,#REF!,#REF!,#REF!,#REF!,#REF!,#REF!,#REF!,#REF!,#REF!</definedName>
    <definedName name="__APW_RESTORE_DATA1745__" hidden="1">#REF!,#REF!,#REF!,#REF!,#REF!,#REF!,#REF!,#REF!,#REF!,#REF!,#REF!,#REF!,#REF!,#REF!</definedName>
    <definedName name="__APW_RESTORE_DATA1746__" hidden="1">#REF!,#REF!,#REF!,#REF!,#REF!,#REF!,#REF!,#REF!,#REF!,#REF!,#REF!,#REF!,#REF!,#REF!</definedName>
    <definedName name="__APW_RESTORE_DATA1747__" hidden="1">#REF!,#REF!,#REF!,#REF!,#REF!,#REF!,#REF!,#REF!,#REF!,#REF!,#REF!,#REF!,#REF!,#REF!</definedName>
    <definedName name="__APW_RESTORE_DATA1748__" hidden="1">#REF!,#REF!,#REF!,#REF!,#REF!,#REF!,#REF!,#REF!,#REF!,#REF!,#REF!,#REF!,#REF!,#REF!</definedName>
    <definedName name="__APW_RESTORE_DATA1749__" hidden="1">#REF!,#REF!,#REF!,#REF!,#REF!,#REF!,#REF!,#REF!,#REF!,#REF!,#REF!,#REF!,#REF!,#REF!</definedName>
    <definedName name="__APW_RESTORE_DATA175__" hidden="1">#REF!,#REF!,#REF!,#REF!,#REF!,#REF!,#REF!,#REF!,#REF!,#REF!,#REF!,#REF!,#REF!,#REF!</definedName>
    <definedName name="__APW_RESTORE_DATA1750__" hidden="1">#REF!,#REF!,#REF!,#REF!,#REF!,#REF!,#REF!,#REF!,#REF!,#REF!,#REF!,#REF!,#REF!,#REF!</definedName>
    <definedName name="__APW_RESTORE_DATA1751__" hidden="1">#REF!,#REF!,#REF!,#REF!,#REF!,#REF!,#REF!,#REF!,#REF!,#REF!,#REF!,#REF!,#REF!,#REF!</definedName>
    <definedName name="__APW_RESTORE_DATA1752__" hidden="1">#REF!,#REF!,#REF!,#REF!,#REF!,#REF!,#REF!,#REF!,#REF!,#REF!,#REF!,#REF!,#REF!,#REF!</definedName>
    <definedName name="__APW_RESTORE_DATA1753__" hidden="1">#REF!,#REF!,#REF!,#REF!,#REF!,#REF!,#REF!,#REF!,#REF!,#REF!,#REF!,#REF!,#REF!,#REF!</definedName>
    <definedName name="__APW_RESTORE_DATA1754__" hidden="1">#REF!,#REF!,#REF!,#REF!,#REF!,#REF!,#REF!,#REF!,#REF!,#REF!,#REF!,#REF!,#REF!,#REF!</definedName>
    <definedName name="__APW_RESTORE_DATA1755__" hidden="1">#REF!,#REF!,#REF!,#REF!,#REF!,#REF!,#REF!,#REF!,#REF!,#REF!,#REF!,#REF!,#REF!,#REF!</definedName>
    <definedName name="__APW_RESTORE_DATA1756__" hidden="1">#REF!,#REF!,#REF!,#REF!,#REF!,#REF!,#REF!,#REF!,#REF!</definedName>
    <definedName name="__APW_RESTORE_DATA1757__" hidden="1">#REF!,#REF!,#REF!,#REF!,#REF!,#REF!,#REF!,#REF!,#REF!,#REF!,#REF!,#REF!,#REF!,#REF!</definedName>
    <definedName name="__APW_RESTORE_DATA1758__" hidden="1">#REF!,#REF!,#REF!,#REF!,#REF!,#REF!,#REF!,#REF!,#REF!,#REF!,#REF!,#REF!,#REF!,#REF!</definedName>
    <definedName name="__APW_RESTORE_DATA1759__" hidden="1">#REF!,#REF!,#REF!,#REF!,#REF!,#REF!,#REF!,#REF!,#REF!,#REF!,#REF!,#REF!,#REF!,#REF!</definedName>
    <definedName name="__APW_RESTORE_DATA176__" hidden="1">#REF!,#REF!,#REF!,#REF!,#REF!,#REF!,#REF!,#REF!,#REF!,#REF!,#REF!,#REF!,#REF!,#REF!</definedName>
    <definedName name="__APW_RESTORE_DATA1760__" hidden="1">#REF!,#REF!,#REF!,#REF!,#REF!,#REF!,#REF!,#REF!,#REF!,#REF!,#REF!,#REF!,#REF!,#REF!</definedName>
    <definedName name="__APW_RESTORE_DATA1761__" hidden="1">#REF!,#REF!,#REF!,#REF!,#REF!,#REF!,#REF!,#REF!,#REF!,#REF!,#REF!,#REF!,#REF!,#REF!</definedName>
    <definedName name="__APW_RESTORE_DATA1762__" hidden="1">#REF!,#REF!,#REF!,#REF!,#REF!,#REF!,#REF!,#REF!,#REF!,#REF!,#REF!,#REF!,#REF!,#REF!</definedName>
    <definedName name="__APW_RESTORE_DATA1763__" hidden="1">#REF!,#REF!,#REF!,#REF!,#REF!,#REF!,#REF!,#REF!,#REF!,#REF!,#REF!,#REF!,#REF!,#REF!</definedName>
    <definedName name="__APW_RESTORE_DATA1764__" hidden="1">#REF!,#REF!,#REF!,#REF!,#REF!,#REF!,#REF!,#REF!,#REF!,#REF!,#REF!,#REF!,#REF!,#REF!</definedName>
    <definedName name="__APW_RESTORE_DATA1765__" hidden="1">#REF!,#REF!,#REF!,#REF!,#REF!,#REF!,#REF!,#REF!,#REF!,#REF!,#REF!,#REF!,#REF!,#REF!</definedName>
    <definedName name="__APW_RESTORE_DATA1766__" hidden="1">#REF!,#REF!,#REF!,#REF!,#REF!,#REF!,#REF!,#REF!,#REF!,#REF!,#REF!,#REF!,#REF!,#REF!</definedName>
    <definedName name="__APW_RESTORE_DATA1767__" hidden="1">#REF!,#REF!,#REF!,#REF!,#REF!,#REF!,#REF!,#REF!,#REF!,#REF!,#REF!,#REF!,#REF!,#REF!</definedName>
    <definedName name="__APW_RESTORE_DATA1768__" hidden="1">#REF!,#REF!,#REF!,#REF!,#REF!,#REF!,#REF!,#REF!,#REF!,#REF!,#REF!,#REF!,#REF!,#REF!</definedName>
    <definedName name="__APW_RESTORE_DATA1769__" hidden="1">#REF!,#REF!,#REF!,#REF!,#REF!,#REF!,#REF!,#REF!,#REF!,#REF!,#REF!,#REF!,#REF!,#REF!</definedName>
    <definedName name="__APW_RESTORE_DATA177__" hidden="1">#REF!,#REF!,#REF!,#REF!,#REF!,#REF!,#REF!,#REF!,#REF!,#REF!,#REF!,#REF!,#REF!,#REF!</definedName>
    <definedName name="__APW_RESTORE_DATA1770__" hidden="1">#REF!,#REF!,#REF!,#REF!,#REF!,#REF!,#REF!,#REF!,#REF!,#REF!,#REF!,#REF!,#REF!,#REF!</definedName>
    <definedName name="__APW_RESTORE_DATA1771__" hidden="1">#REF!,#REF!,#REF!,#REF!,#REF!,#REF!,#REF!,#REF!,#REF!,#REF!,#REF!,#REF!,#REF!,#REF!</definedName>
    <definedName name="__APW_RESTORE_DATA1772__" hidden="1">#REF!,#REF!,#REF!,#REF!,#REF!,#REF!,#REF!,#REF!,#REF!,#REF!,#REF!,#REF!,#REF!,#REF!</definedName>
    <definedName name="__APW_RESTORE_DATA1773__" hidden="1">#REF!,#REF!,#REF!,#REF!,#REF!,#REF!,#REF!,#REF!,#REF!,#REF!,#REF!,#REF!,#REF!,#REF!</definedName>
    <definedName name="__APW_RESTORE_DATA1774__" hidden="1">#REF!,#REF!,#REF!,#REF!,#REF!,#REF!,#REF!,#REF!,#REF!,#REF!,#REF!,#REF!,#REF!,#REF!</definedName>
    <definedName name="__APW_RESTORE_DATA1775__" hidden="1">#REF!,#REF!,#REF!,#REF!,#REF!,#REF!,#REF!,#REF!,#REF!,#REF!,#REF!,#REF!,#REF!,#REF!</definedName>
    <definedName name="__APW_RESTORE_DATA1776__" hidden="1">#REF!,#REF!,#REF!,#REF!,#REF!,#REF!,#REF!,#REF!,#REF!,#REF!,#REF!,#REF!,#REF!,#REF!</definedName>
    <definedName name="__APW_RESTORE_DATA1777__" hidden="1">#REF!,#REF!,#REF!,#REF!,#REF!,#REF!,#REF!,#REF!,#REF!,#REF!,#REF!,#REF!,#REF!,#REF!</definedName>
    <definedName name="__APW_RESTORE_DATA1778__" hidden="1">#REF!,#REF!,#REF!,#REF!,#REF!,#REF!,#REF!,#REF!,#REF!,#REF!,#REF!,#REF!,#REF!,#REF!</definedName>
    <definedName name="__APW_RESTORE_DATA1779__" hidden="1">#REF!,#REF!,#REF!,#REF!,#REF!,#REF!,#REF!,#REF!,#REF!,#REF!,#REF!,#REF!,#REF!,#REF!</definedName>
    <definedName name="__APW_RESTORE_DATA178__" hidden="1">#REF!,#REF!,#REF!,#REF!,#REF!,#REF!,#REF!,#REF!,#REF!,#REF!,#REF!,#REF!,#REF!,#REF!</definedName>
    <definedName name="__APW_RESTORE_DATA1780__" hidden="1">#REF!,#REF!,#REF!,#REF!,#REF!,#REF!,#REF!,#REF!,#REF!,#REF!,#REF!,#REF!,#REF!,#REF!</definedName>
    <definedName name="__APW_RESTORE_DATA1781__" hidden="1">#REF!,#REF!,#REF!,#REF!,#REF!,#REF!,#REF!,#REF!,#REF!,#REF!,#REF!,#REF!,#REF!,#REF!</definedName>
    <definedName name="__APW_RESTORE_DATA1782__" hidden="1">#REF!,#REF!,#REF!,#REF!,#REF!,#REF!,#REF!,#REF!,#REF!,#REF!,#REF!,#REF!,#REF!,#REF!</definedName>
    <definedName name="__APW_RESTORE_DATA1783__" hidden="1">#REF!,#REF!,#REF!,#REF!,#REF!,#REF!,#REF!,#REF!,#REF!,#REF!,#REF!,#REF!,#REF!,#REF!</definedName>
    <definedName name="__APW_RESTORE_DATA1784__" hidden="1">#REF!,#REF!,#REF!,#REF!,#REF!,#REF!,#REF!,#REF!,#REF!,#REF!,#REF!,#REF!,#REF!,#REF!</definedName>
    <definedName name="__APW_RESTORE_DATA1785__" hidden="1">#REF!,#REF!,#REF!,#REF!,#REF!,#REF!,#REF!,#REF!,#REF!,#REF!,#REF!,#REF!,#REF!,#REF!</definedName>
    <definedName name="__APW_RESTORE_DATA1786__" hidden="1">#REF!,#REF!,#REF!,#REF!,#REF!,#REF!,#REF!,#REF!,#REF!,#REF!,#REF!,#REF!,#REF!,#REF!</definedName>
    <definedName name="__APW_RESTORE_DATA1787__" hidden="1">#REF!,#REF!,#REF!,#REF!,#REF!,#REF!,#REF!,#REF!,#REF!,#REF!,#REF!,#REF!,#REF!,#REF!</definedName>
    <definedName name="__APW_RESTORE_DATA1788__" hidden="1">#REF!,#REF!,#REF!,#REF!,#REF!,#REF!,#REF!,#REF!,#REF!,#REF!,#REF!,#REF!,#REF!,#REF!</definedName>
    <definedName name="__APW_RESTORE_DATA1789__" hidden="1">#REF!,#REF!,#REF!,#REF!,#REF!,#REF!,#REF!,#REF!,#REF!,#REF!,#REF!,#REF!,#REF!,#REF!</definedName>
    <definedName name="__APW_RESTORE_DATA179__" hidden="1">#REF!,#REF!,#REF!,#REF!,#REF!,#REF!,#REF!,#REF!,#REF!,#REF!,#REF!,#REF!,#REF!,#REF!</definedName>
    <definedName name="__APW_RESTORE_DATA1790__" hidden="1">#REF!,#REF!,#REF!,#REF!,#REF!,#REF!,#REF!,#REF!,#REF!,#REF!,#REF!,#REF!,#REF!,#REF!</definedName>
    <definedName name="__APW_RESTORE_DATA1791__" hidden="1">#REF!,#REF!,#REF!,#REF!,#REF!,#REF!,#REF!,#REF!,#REF!,#REF!,#REF!,#REF!,#REF!,#REF!</definedName>
    <definedName name="__APW_RESTORE_DATA1792__" hidden="1">#REF!,#REF!,#REF!,#REF!,#REF!,#REF!,#REF!,#REF!,#REF!</definedName>
    <definedName name="__APW_RESTORE_DATA1793__" hidden="1">#REF!,#REF!,#REF!,#REF!,#REF!,#REF!,#REF!,#REF!,#REF!,#REF!,#REF!,#REF!,#REF!,#REF!</definedName>
    <definedName name="__APW_RESTORE_DATA1794__" hidden="1">#REF!,#REF!,#REF!,#REF!,#REF!,#REF!,#REF!,#REF!,#REF!,#REF!,#REF!,#REF!,#REF!,#REF!</definedName>
    <definedName name="__APW_RESTORE_DATA1795__" hidden="1">#REF!,#REF!,#REF!,#REF!,#REF!,#REF!,#REF!,#REF!,#REF!,#REF!,#REF!,#REF!,#REF!,#REF!</definedName>
    <definedName name="__APW_RESTORE_DATA1796__" hidden="1">#REF!,#REF!,#REF!,#REF!,#REF!,#REF!,#REF!,#REF!,#REF!,#REF!,#REF!,#REF!,#REF!,#REF!</definedName>
    <definedName name="__APW_RESTORE_DATA1797__" hidden="1">#REF!,#REF!,#REF!,#REF!,#REF!,#REF!,#REF!,#REF!,#REF!,#REF!,#REF!,#REF!,#REF!,#REF!</definedName>
    <definedName name="__APW_RESTORE_DATA1798__" hidden="1">#REF!,#REF!,#REF!,#REF!,#REF!,#REF!,#REF!,#REF!,#REF!,#REF!,#REF!,#REF!,#REF!,#REF!</definedName>
    <definedName name="__APW_RESTORE_DATA1799__" hidden="1">#REF!,#REF!,#REF!,#REF!,#REF!,#REF!,#REF!,#REF!,#REF!,#REF!,#REF!,#REF!,#REF!,#REF!</definedName>
    <definedName name="__APW_RESTORE_DATA18__" hidden="1">#REF!,#REF!,#REF!,#REF!,#REF!,#REF!,#REF!,#REF!,#REF!,#REF!,#REF!,#REF!,#REF!,#REF!</definedName>
    <definedName name="__APW_RESTORE_DATA180__" hidden="1">#REF!,#REF!,#REF!,#REF!,#REF!,#REF!,#REF!,#REF!,#REF!,#REF!,#REF!,#REF!,#REF!,#REF!</definedName>
    <definedName name="__APW_RESTORE_DATA1800__" hidden="1">#REF!,#REF!,#REF!,#REF!,#REF!,#REF!,#REF!,#REF!,#REF!,#REF!,#REF!,#REF!,#REF!,#REF!</definedName>
    <definedName name="__APW_RESTORE_DATA1801__" hidden="1">#REF!,#REF!,#REF!,#REF!,#REF!,#REF!,#REF!,#REF!,#REF!,#REF!,#REF!,#REF!,#REF!,#REF!</definedName>
    <definedName name="__APW_RESTORE_DATA1802__" hidden="1">#REF!,#REF!,#REF!,#REF!,#REF!,#REF!,#REF!,#REF!,#REF!,#REF!,#REF!,#REF!,#REF!,#REF!</definedName>
    <definedName name="__APW_RESTORE_DATA1803__" hidden="1">#REF!,#REF!,#REF!,#REF!,#REF!,#REF!,#REF!,#REF!,#REF!,#REF!,#REF!,#REF!,#REF!,#REF!</definedName>
    <definedName name="__APW_RESTORE_DATA1804__" hidden="1">#REF!,#REF!,#REF!,#REF!,#REF!,#REF!,#REF!,#REF!,#REF!,#REF!,#REF!,#REF!,#REF!,#REF!</definedName>
    <definedName name="__APW_RESTORE_DATA1805__" hidden="1">#REF!,#REF!,#REF!,#REF!,#REF!,#REF!,#REF!,#REF!,#REF!,#REF!,#REF!,#REF!,#REF!,#REF!</definedName>
    <definedName name="__APW_RESTORE_DATA1806__" hidden="1">#REF!,#REF!,#REF!,#REF!,#REF!,#REF!,#REF!,#REF!,#REF!,#REF!,#REF!,#REF!,#REF!,#REF!</definedName>
    <definedName name="__APW_RESTORE_DATA1807__" hidden="1">#REF!,#REF!,#REF!,#REF!,#REF!,#REF!,#REF!,#REF!,#REF!,#REF!,#REF!,#REF!,#REF!,#REF!</definedName>
    <definedName name="__APW_RESTORE_DATA1808__" hidden="1">#REF!,#REF!,#REF!,#REF!,#REF!,#REF!,#REF!,#REF!,#REF!,#REF!,#REF!,#REF!,#REF!,#REF!</definedName>
    <definedName name="__APW_RESTORE_DATA1809__" hidden="1">#REF!,#REF!,#REF!,#REF!,#REF!,#REF!,#REF!,#REF!,#REF!,#REF!,#REF!,#REF!,#REF!,#REF!</definedName>
    <definedName name="__APW_RESTORE_DATA181__" hidden="1">#REF!,#REF!,#REF!,#REF!,#REF!,#REF!,#REF!,#REF!,#REF!,#REF!,#REF!,#REF!,#REF!,#REF!</definedName>
    <definedName name="__APW_RESTORE_DATA1810__" hidden="1">#REF!,#REF!,#REF!,#REF!,#REF!,#REF!,#REF!,#REF!,#REF!,#REF!,#REF!,#REF!,#REF!,#REF!</definedName>
    <definedName name="__APW_RESTORE_DATA1811__" hidden="1">#REF!,#REF!,#REF!,#REF!,#REF!,#REF!,#REF!,#REF!,#REF!,#REF!,#REF!,#REF!,#REF!,#REF!</definedName>
    <definedName name="__APW_RESTORE_DATA1812__" hidden="1">#REF!,#REF!,#REF!,#REF!,#REF!,#REF!,#REF!,#REF!,#REF!,#REF!,#REF!,#REF!,#REF!,#REF!</definedName>
    <definedName name="__APW_RESTORE_DATA1813__" hidden="1">#REF!,#REF!,#REF!,#REF!,#REF!,#REF!,#REF!,#REF!,#REF!,#REF!,#REF!,#REF!,#REF!,#REF!</definedName>
    <definedName name="__APW_RESTORE_DATA1814__" hidden="1">#REF!,#REF!,#REF!,#REF!,#REF!,#REF!,#REF!,#REF!,#REF!,#REF!,#REF!,#REF!,#REF!,#REF!</definedName>
    <definedName name="__APW_RESTORE_DATA1815__" hidden="1">#REF!,#REF!,#REF!,#REF!,#REF!,#REF!,#REF!,#REF!,#REF!,#REF!,#REF!,#REF!,#REF!,#REF!</definedName>
    <definedName name="__APW_RESTORE_DATA1816__" hidden="1">#REF!,#REF!,#REF!,#REF!,#REF!,#REF!,#REF!,#REF!,#REF!,#REF!,#REF!,#REF!,#REF!,#REF!</definedName>
    <definedName name="__APW_RESTORE_DATA1817__" hidden="1">#REF!,#REF!,#REF!,#REF!,#REF!,#REF!,#REF!,#REF!,#REF!,#REF!,#REF!,#REF!,#REF!,#REF!</definedName>
    <definedName name="__APW_RESTORE_DATA1818__" hidden="1">#REF!,#REF!,#REF!,#REF!,#REF!,#REF!,#REF!,#REF!,#REF!,#REF!,#REF!,#REF!,#REF!,#REF!</definedName>
    <definedName name="__APW_RESTORE_DATA1819__" hidden="1">#REF!,#REF!,#REF!,#REF!,#REF!,#REF!,#REF!,#REF!,#REF!,#REF!,#REF!,#REF!,#REF!,#REF!</definedName>
    <definedName name="__APW_RESTORE_DATA182__" hidden="1">#REF!,#REF!,#REF!,#REF!,#REF!,#REF!,#REF!,#REF!,#REF!,#REF!,#REF!,#REF!,#REF!,#REF!</definedName>
    <definedName name="__APW_RESTORE_DATA1820__" hidden="1">#REF!,#REF!,#REF!,#REF!,#REF!,#REF!,#REF!,#REF!,#REF!,#REF!,#REF!,#REF!,#REF!,#REF!</definedName>
    <definedName name="__APW_RESTORE_DATA1821__" hidden="1">#REF!,#REF!,#REF!,#REF!,#REF!,#REF!,#REF!,#REF!,#REF!,#REF!,#REF!,#REF!,#REF!,#REF!</definedName>
    <definedName name="__APW_RESTORE_DATA1822__" hidden="1">#REF!,#REF!,#REF!,#REF!,#REF!,#REF!,#REF!,#REF!,#REF!,#REF!,#REF!,#REF!,#REF!,#REF!</definedName>
    <definedName name="__APW_RESTORE_DATA1823__" hidden="1">#REF!,#REF!,#REF!,#REF!,#REF!,#REF!,#REF!,#REF!,#REF!,#REF!,#REF!,#REF!,#REF!,#REF!</definedName>
    <definedName name="__APW_RESTORE_DATA1824__" hidden="1">#REF!,#REF!,#REF!,#REF!,#REF!,#REF!,#REF!,#REF!,#REF!,#REF!,#REF!,#REF!,#REF!,#REF!</definedName>
    <definedName name="__APW_RESTORE_DATA1825__" hidden="1">#REF!,#REF!,#REF!,#REF!,#REF!,#REF!,#REF!,#REF!,#REF!,#REF!,#REF!,#REF!,#REF!,#REF!</definedName>
    <definedName name="__APW_RESTORE_DATA1826__" hidden="1">#REF!,#REF!,#REF!,#REF!,#REF!,#REF!,#REF!,#REF!,#REF!,#REF!,#REF!,#REF!,#REF!,#REF!</definedName>
    <definedName name="__APW_RESTORE_DATA1827__" hidden="1">#REF!,#REF!,#REF!,#REF!,#REF!,#REF!,#REF!,#REF!,#REF!,#REF!,#REF!,#REF!,#REF!,#REF!</definedName>
    <definedName name="__APW_RESTORE_DATA1828__" hidden="1">#REF!,#REF!,#REF!,#REF!,#REF!,#REF!,#REF!,#REF!,#REF!</definedName>
    <definedName name="__APW_RESTORE_DATA1829__" hidden="1">#REF!,#REF!,#REF!,#REF!,#REF!,#REF!,#REF!,#REF!,#REF!,#REF!,#REF!,#REF!,#REF!,#REF!</definedName>
    <definedName name="__APW_RESTORE_DATA183__" hidden="1">#REF!,#REF!,#REF!,#REF!,#REF!,#REF!,#REF!,#REF!,#REF!,#REF!,#REF!,#REF!,#REF!,#REF!</definedName>
    <definedName name="__APW_RESTORE_DATA1830__" hidden="1">#REF!,#REF!,#REF!,#REF!,#REF!,#REF!,#REF!,#REF!,#REF!,#REF!,#REF!,#REF!,#REF!,#REF!</definedName>
    <definedName name="__APW_RESTORE_DATA1831__" hidden="1">#REF!,#REF!,#REF!,#REF!,#REF!,#REF!,#REF!,#REF!,#REF!,#REF!,#REF!,#REF!,#REF!,#REF!</definedName>
    <definedName name="__APW_RESTORE_DATA1832__" hidden="1">#REF!,#REF!,#REF!,#REF!,#REF!,#REF!,#REF!,#REF!,#REF!,#REF!,#REF!,#REF!,#REF!,#REF!</definedName>
    <definedName name="__APW_RESTORE_DATA1833__" hidden="1">#REF!,#REF!,#REF!,#REF!,#REF!,#REF!,#REF!,#REF!,#REF!,#REF!,#REF!,#REF!,#REF!,#REF!</definedName>
    <definedName name="__APW_RESTORE_DATA1834__" hidden="1">#REF!,#REF!,#REF!,#REF!,#REF!,#REF!,#REF!,#REF!,#REF!,#REF!,#REF!,#REF!,#REF!,#REF!</definedName>
    <definedName name="__APW_RESTORE_DATA1835__" hidden="1">#REF!,#REF!,#REF!,#REF!,#REF!,#REF!,#REF!,#REF!,#REF!,#REF!,#REF!,#REF!,#REF!,#REF!</definedName>
    <definedName name="__APW_RESTORE_DATA1836__" hidden="1">#REF!,#REF!,#REF!,#REF!,#REF!,#REF!,#REF!,#REF!,#REF!,#REF!,#REF!,#REF!,#REF!,#REF!</definedName>
    <definedName name="__APW_RESTORE_DATA1837__" hidden="1">#REF!,#REF!,#REF!,#REF!,#REF!,#REF!,#REF!,#REF!,#REF!,#REF!,#REF!,#REF!,#REF!,#REF!</definedName>
    <definedName name="__APW_RESTORE_DATA1838__" hidden="1">#REF!,#REF!,#REF!,#REF!,#REF!,#REF!,#REF!,#REF!,#REF!,#REF!,#REF!,#REF!,#REF!,#REF!</definedName>
    <definedName name="__APW_RESTORE_DATA1839__" hidden="1">#REF!,#REF!,#REF!,#REF!,#REF!,#REF!,#REF!,#REF!,#REF!,#REF!,#REF!,#REF!,#REF!,#REF!</definedName>
    <definedName name="__APW_RESTORE_DATA184__" hidden="1">#REF!,#REF!,#REF!,#REF!,#REF!,#REF!,#REF!,#REF!,#REF!,#REF!,#REF!,#REF!,#REF!,#REF!</definedName>
    <definedName name="__APW_RESTORE_DATA1840__" hidden="1">#REF!,#REF!,#REF!,#REF!,#REF!,#REF!,#REF!,#REF!,#REF!,#REF!,#REF!,#REF!,#REF!,#REF!</definedName>
    <definedName name="__APW_RESTORE_DATA1841__" hidden="1">#REF!,#REF!,#REF!,#REF!,#REF!,#REF!,#REF!,#REF!,#REF!,#REF!,#REF!,#REF!,#REF!,#REF!</definedName>
    <definedName name="__APW_RESTORE_DATA1842__" hidden="1">#REF!,#REF!,#REF!,#REF!,#REF!,#REF!,#REF!,#REF!,#REF!,#REF!,#REF!,#REF!,#REF!,#REF!</definedName>
    <definedName name="__APW_RESTORE_DATA1843__" hidden="1">#REF!,#REF!,#REF!,#REF!,#REF!,#REF!,#REF!,#REF!,#REF!,#REF!,#REF!,#REF!,#REF!,#REF!</definedName>
    <definedName name="__APW_RESTORE_DATA1844__" hidden="1">#REF!,#REF!,#REF!,#REF!,#REF!,#REF!,#REF!,#REF!,#REF!,#REF!,#REF!,#REF!,#REF!,#REF!</definedName>
    <definedName name="__APW_RESTORE_DATA1845__" hidden="1">#REF!,#REF!,#REF!,#REF!,#REF!,#REF!,#REF!,#REF!,#REF!,#REF!,#REF!,#REF!,#REF!,#REF!</definedName>
    <definedName name="__APW_RESTORE_DATA1846__" hidden="1">#REF!,#REF!,#REF!,#REF!,#REF!,#REF!,#REF!,#REF!,#REF!,#REF!,#REF!,#REF!,#REF!,#REF!</definedName>
    <definedName name="__APW_RESTORE_DATA1847__" hidden="1">#REF!,#REF!,#REF!,#REF!,#REF!,#REF!,#REF!,#REF!,#REF!,#REF!,#REF!,#REF!,#REF!,#REF!</definedName>
    <definedName name="__APW_RESTORE_DATA1848__" hidden="1">#REF!,#REF!,#REF!,#REF!,#REF!,#REF!,#REF!,#REF!,#REF!,#REF!,#REF!,#REF!,#REF!,#REF!</definedName>
    <definedName name="__APW_RESTORE_DATA1849__" hidden="1">#REF!,#REF!,#REF!,#REF!,#REF!,#REF!,#REF!,#REF!,#REF!,#REF!,#REF!,#REF!,#REF!,#REF!</definedName>
    <definedName name="__APW_RESTORE_DATA185__" hidden="1">#REF!,#REF!,#REF!,#REF!,#REF!,#REF!,#REF!,#REF!,#REF!,#REF!,#REF!,#REF!,#REF!,#REF!</definedName>
    <definedName name="__APW_RESTORE_DATA1850__" hidden="1">#REF!,#REF!,#REF!,#REF!,#REF!,#REF!,#REF!,#REF!,#REF!,#REF!,#REF!,#REF!,#REF!,#REF!</definedName>
    <definedName name="__APW_RESTORE_DATA1851__" hidden="1">#REF!,#REF!,#REF!,#REF!,#REF!,#REF!,#REF!,#REF!,#REF!,#REF!,#REF!,#REF!,#REF!,#REF!</definedName>
    <definedName name="__APW_RESTORE_DATA1852__" hidden="1">#REF!,#REF!,#REF!,#REF!,#REF!,#REF!,#REF!,#REF!,#REF!,#REF!,#REF!,#REF!,#REF!,#REF!</definedName>
    <definedName name="__APW_RESTORE_DATA1853__" hidden="1">#REF!,#REF!,#REF!,#REF!,#REF!,#REF!,#REF!,#REF!,#REF!,#REF!,#REF!,#REF!,#REF!,#REF!</definedName>
    <definedName name="__APW_RESTORE_DATA1854__" hidden="1">#REF!,#REF!,#REF!,#REF!,#REF!,#REF!,#REF!,#REF!,#REF!,#REF!,#REF!,#REF!,#REF!,#REF!</definedName>
    <definedName name="__APW_RESTORE_DATA1855__" hidden="1">#REF!,#REF!,#REF!,#REF!,#REF!,#REF!,#REF!,#REF!,#REF!,#REF!,#REF!,#REF!,#REF!,#REF!</definedName>
    <definedName name="__APW_RESTORE_DATA1856__" hidden="1">#REF!,#REF!,#REF!,#REF!,#REF!,#REF!,#REF!,#REF!,#REF!,#REF!,#REF!,#REF!,#REF!,#REF!</definedName>
    <definedName name="__APW_RESTORE_DATA1857__" hidden="1">#REF!,#REF!,#REF!,#REF!,#REF!,#REF!,#REF!,#REF!,#REF!,#REF!,#REF!,#REF!,#REF!,#REF!</definedName>
    <definedName name="__APW_RESTORE_DATA1858__" hidden="1">#REF!,#REF!,#REF!,#REF!,#REF!,#REF!,#REF!,#REF!,#REF!,#REF!,#REF!,#REF!,#REF!,#REF!</definedName>
    <definedName name="__APW_RESTORE_DATA1859__" hidden="1">#REF!,#REF!,#REF!,#REF!,#REF!,#REF!,#REF!,#REF!,#REF!,#REF!,#REF!,#REF!,#REF!,#REF!</definedName>
    <definedName name="__APW_RESTORE_DATA186__" hidden="1">#REF!,#REF!,#REF!,#REF!,#REF!,#REF!,#REF!,#REF!,#REF!,#REF!,#REF!,#REF!,#REF!,#REF!</definedName>
    <definedName name="__APW_RESTORE_DATA1860__" hidden="1">#REF!,#REF!,#REF!,#REF!,#REF!,#REF!,#REF!,#REF!,#REF!,#REF!,#REF!,#REF!,#REF!,#REF!</definedName>
    <definedName name="__APW_RESTORE_DATA1861__" hidden="1">#REF!,#REF!,#REF!,#REF!,#REF!,#REF!,#REF!,#REF!,#REF!,#REF!,#REF!,#REF!,#REF!,#REF!</definedName>
    <definedName name="__APW_RESTORE_DATA1862__" hidden="1">#REF!,#REF!,#REF!,#REF!,#REF!,#REF!,#REF!,#REF!,#REF!,#REF!,#REF!,#REF!,#REF!,#REF!</definedName>
    <definedName name="__APW_RESTORE_DATA1863__" hidden="1">#REF!,#REF!,#REF!,#REF!,#REF!,#REF!,#REF!,#REF!,#REF!,#REF!,#REF!,#REF!,#REF!,#REF!</definedName>
    <definedName name="__APW_RESTORE_DATA1864__" hidden="1">#REF!,#REF!,#REF!,#REF!,#REF!,#REF!,#REF!,#REF!,#REF!</definedName>
    <definedName name="__APW_RESTORE_DATA1865__" hidden="1">#REF!,#REF!,#REF!,#REF!,#REF!,#REF!,#REF!,#REF!,#REF!,#REF!,#REF!,#REF!,#REF!,#REF!</definedName>
    <definedName name="__APW_RESTORE_DATA1866__" hidden="1">#REF!,#REF!,#REF!,#REF!,#REF!,#REF!,#REF!,#REF!,#REF!,#REF!,#REF!,#REF!,#REF!,#REF!</definedName>
    <definedName name="__APW_RESTORE_DATA1867__" hidden="1">#REF!,#REF!,#REF!,#REF!,#REF!,#REF!,#REF!,#REF!,#REF!,#REF!,#REF!,#REF!,#REF!,#REF!</definedName>
    <definedName name="__APW_RESTORE_DATA1868__" hidden="1">#REF!,#REF!,#REF!,#REF!,#REF!,#REF!,#REF!,#REF!,#REF!,#REF!,#REF!,#REF!,#REF!,#REF!</definedName>
    <definedName name="__APW_RESTORE_DATA1869__" hidden="1">#REF!,#REF!,#REF!,#REF!,#REF!,#REF!,#REF!,#REF!,#REF!,#REF!,#REF!,#REF!,#REF!,#REF!</definedName>
    <definedName name="__APW_RESTORE_DATA187__" hidden="1">#REF!,#REF!,#REF!,#REF!,#REF!,#REF!,#REF!,#REF!,#REF!,#REF!,#REF!,#REF!,#REF!,#REF!</definedName>
    <definedName name="__APW_RESTORE_DATA1870__" hidden="1">#REF!,#REF!,#REF!,#REF!,#REF!,#REF!,#REF!,#REF!,#REF!,#REF!,#REF!,#REF!,#REF!,#REF!</definedName>
    <definedName name="__APW_RESTORE_DATA1871__" hidden="1">#REF!,#REF!,#REF!,#REF!,#REF!,#REF!,#REF!,#REF!,#REF!,#REF!,#REF!,#REF!,#REF!,#REF!</definedName>
    <definedName name="__APW_RESTORE_DATA1872__" hidden="1">#REF!,#REF!,#REF!,#REF!,#REF!,#REF!,#REF!,#REF!,#REF!,#REF!,#REF!,#REF!,#REF!,#REF!</definedName>
    <definedName name="__APW_RESTORE_DATA1873__" hidden="1">#REF!,#REF!,#REF!,#REF!,#REF!,#REF!,#REF!,#REF!,#REF!,#REF!,#REF!,#REF!,#REF!,#REF!</definedName>
    <definedName name="__APW_RESTORE_DATA1874__" hidden="1">#REF!,#REF!,#REF!,#REF!,#REF!,#REF!,#REF!,#REF!,#REF!,#REF!,#REF!,#REF!,#REF!,#REF!</definedName>
    <definedName name="__APW_RESTORE_DATA1875__" hidden="1">#REF!,#REF!,#REF!,#REF!,#REF!,#REF!,#REF!,#REF!,#REF!,#REF!,#REF!,#REF!,#REF!,#REF!</definedName>
    <definedName name="__APW_RESTORE_DATA1876__" hidden="1">#REF!,#REF!,#REF!,#REF!,#REF!,#REF!,#REF!,#REF!,#REF!,#REF!,#REF!,#REF!,#REF!,#REF!</definedName>
    <definedName name="__APW_RESTORE_DATA1877__" hidden="1">#REF!,#REF!,#REF!,#REF!,#REF!,#REF!,#REF!,#REF!,#REF!,#REF!,#REF!,#REF!,#REF!,#REF!</definedName>
    <definedName name="__APW_RESTORE_DATA1878__" hidden="1">#REF!,#REF!,#REF!,#REF!,#REF!,#REF!,#REF!,#REF!,#REF!,#REF!,#REF!,#REF!,#REF!,#REF!</definedName>
    <definedName name="__APW_RESTORE_DATA1879__" hidden="1">#REF!,#REF!,#REF!,#REF!,#REF!,#REF!,#REF!,#REF!,#REF!,#REF!,#REF!,#REF!,#REF!,#REF!</definedName>
    <definedName name="__APW_RESTORE_DATA188__" hidden="1">#REF!,#REF!,#REF!,#REF!,#REF!,#REF!,#REF!,#REF!,#REF!,#REF!,#REF!,#REF!,#REF!,#REF!</definedName>
    <definedName name="__APW_RESTORE_DATA1880__" hidden="1">#REF!,#REF!,#REF!,#REF!,#REF!,#REF!,#REF!,#REF!,#REF!,#REF!,#REF!,#REF!,#REF!,#REF!</definedName>
    <definedName name="__APW_RESTORE_DATA1881__" hidden="1">#REF!,#REF!,#REF!,#REF!,#REF!,#REF!,#REF!,#REF!,#REF!,#REF!,#REF!,#REF!,#REF!,#REF!</definedName>
    <definedName name="__APW_RESTORE_DATA1882__" hidden="1">#REF!,#REF!,#REF!,#REF!,#REF!,#REF!,#REF!,#REF!,#REF!,#REF!,#REF!,#REF!,#REF!,#REF!</definedName>
    <definedName name="__APW_RESTORE_DATA1883__" hidden="1">#REF!,#REF!,#REF!,#REF!,#REF!,#REF!,#REF!,#REF!,#REF!,#REF!,#REF!,#REF!,#REF!,#REF!</definedName>
    <definedName name="__APW_RESTORE_DATA1884__" hidden="1">#REF!,#REF!,#REF!,#REF!,#REF!,#REF!,#REF!,#REF!,#REF!,#REF!,#REF!,#REF!,#REF!,#REF!</definedName>
    <definedName name="__APW_RESTORE_DATA1885__" hidden="1">#REF!,#REF!,#REF!,#REF!,#REF!,#REF!,#REF!,#REF!,#REF!,#REF!,#REF!,#REF!,#REF!,#REF!</definedName>
    <definedName name="__APW_RESTORE_DATA1886__" hidden="1">#REF!,#REF!,#REF!,#REF!,#REF!,#REF!,#REF!,#REF!,#REF!,#REF!,#REF!,#REF!,#REF!,#REF!</definedName>
    <definedName name="__APW_RESTORE_DATA1887__" hidden="1">#REF!,#REF!,#REF!,#REF!,#REF!,#REF!,#REF!,#REF!,#REF!,#REF!,#REF!,#REF!,#REF!,#REF!</definedName>
    <definedName name="__APW_RESTORE_DATA1888__" hidden="1">#REF!,#REF!,#REF!,#REF!,#REF!,#REF!,#REF!,#REF!,#REF!,#REF!,#REF!,#REF!,#REF!,#REF!</definedName>
    <definedName name="__APW_RESTORE_DATA1889__" hidden="1">#REF!,#REF!,#REF!,#REF!,#REF!,#REF!,#REF!,#REF!,#REF!,#REF!,#REF!,#REF!,#REF!,#REF!</definedName>
    <definedName name="__APW_RESTORE_DATA189__" hidden="1">#REF!,#REF!,#REF!,#REF!,#REF!,#REF!,#REF!,#REF!,#REF!,#REF!,#REF!,#REF!,#REF!,#REF!</definedName>
    <definedName name="__APW_RESTORE_DATA1890__" hidden="1">#REF!,#REF!,#REF!,#REF!,#REF!,#REF!,#REF!,#REF!,#REF!,#REF!,#REF!,#REF!,#REF!,#REF!</definedName>
    <definedName name="__APW_RESTORE_DATA1891__" hidden="1">#REF!,#REF!,#REF!,#REF!,#REF!,#REF!,#REF!,#REF!,#REF!,#REF!,#REF!,#REF!,#REF!,#REF!</definedName>
    <definedName name="__APW_RESTORE_DATA1892__" hidden="1">#REF!,#REF!,#REF!,#REF!,#REF!,#REF!,#REF!,#REF!,#REF!,#REF!,#REF!,#REF!,#REF!,#REF!</definedName>
    <definedName name="__APW_RESTORE_DATA1893__" hidden="1">#REF!,#REF!,#REF!,#REF!,#REF!,#REF!,#REF!,#REF!,#REF!,#REF!,#REF!,#REF!,#REF!,#REF!</definedName>
    <definedName name="__APW_RESTORE_DATA1894__" hidden="1">#REF!,#REF!,#REF!,#REF!,#REF!,#REF!,#REF!,#REF!,#REF!,#REF!,#REF!,#REF!,#REF!,#REF!</definedName>
    <definedName name="__APW_RESTORE_DATA1895__" hidden="1">#REF!,#REF!,#REF!,#REF!,#REF!,#REF!,#REF!,#REF!,#REF!,#REF!,#REF!,#REF!,#REF!,#REF!</definedName>
    <definedName name="__APW_RESTORE_DATA1896__" hidden="1">#REF!,#REF!,#REF!,#REF!,#REF!,#REF!,#REF!,#REF!,#REF!,#REF!,#REF!,#REF!,#REF!,#REF!</definedName>
    <definedName name="__APW_RESTORE_DATA1897__" hidden="1">#REF!,#REF!,#REF!,#REF!,#REF!,#REF!,#REF!,#REF!,#REF!,#REF!,#REF!,#REF!,#REF!,#REF!</definedName>
    <definedName name="__APW_RESTORE_DATA1898__" hidden="1">#REF!,#REF!,#REF!,#REF!,#REF!,#REF!,#REF!,#REF!,#REF!,#REF!,#REF!,#REF!,#REF!,#REF!</definedName>
    <definedName name="__APW_RESTORE_DATA1899__" hidden="1">#REF!,#REF!,#REF!,#REF!,#REF!,#REF!,#REF!,#REF!,#REF!,#REF!,#REF!,#REF!,#REF!,#REF!</definedName>
    <definedName name="__APW_RESTORE_DATA19__" hidden="1">#REF!,#REF!,#REF!,#REF!,#REF!,#REF!,#REF!,#REF!,#REF!,#REF!,#REF!,#REF!,#REF!,#REF!</definedName>
    <definedName name="__APW_RESTORE_DATA190__" hidden="1">#REF!,#REF!,#REF!,#REF!,#REF!,#REF!,#REF!,#REF!,#REF!,#REF!,#REF!,#REF!,#REF!,#REF!</definedName>
    <definedName name="__APW_RESTORE_DATA1900__" hidden="1">#REF!,#REF!,#REF!,#REF!,#REF!,#REF!,#REF!,#REF!,#REF!</definedName>
    <definedName name="__APW_RESTORE_DATA1901__" hidden="1">#REF!,#REF!,#REF!,#REF!,#REF!,#REF!,#REF!,#REF!,#REF!,#REF!,#REF!,#REF!,#REF!,#REF!</definedName>
    <definedName name="__APW_RESTORE_DATA1902__" hidden="1">#REF!,#REF!,#REF!,#REF!,#REF!,#REF!,#REF!,#REF!,#REF!,#REF!,#REF!,#REF!,#REF!,#REF!</definedName>
    <definedName name="__APW_RESTORE_DATA1903__" hidden="1">#REF!,#REF!,#REF!,#REF!,#REF!,#REF!,#REF!,#REF!,#REF!,#REF!,#REF!,#REF!,#REF!,#REF!</definedName>
    <definedName name="__APW_RESTORE_DATA1904__" hidden="1">#REF!,#REF!,#REF!,#REF!,#REF!,#REF!,#REF!,#REF!,#REF!,#REF!,#REF!,#REF!,#REF!,#REF!</definedName>
    <definedName name="__APW_RESTORE_DATA1905__" hidden="1">#REF!,#REF!,#REF!,#REF!,#REF!,#REF!,#REF!,#REF!,#REF!,#REF!,#REF!,#REF!,#REF!,#REF!</definedName>
    <definedName name="__APW_RESTORE_DATA1906__" hidden="1">#REF!,#REF!,#REF!,#REF!,#REF!,#REF!,#REF!,#REF!,#REF!,#REF!,#REF!,#REF!,#REF!,#REF!</definedName>
    <definedName name="__APW_RESTORE_DATA1907__" hidden="1">#REF!,#REF!,#REF!,#REF!,#REF!,#REF!,#REF!,#REF!,#REF!,#REF!,#REF!,#REF!,#REF!,#REF!</definedName>
    <definedName name="__APW_RESTORE_DATA1908__" hidden="1">#REF!,#REF!,#REF!,#REF!,#REF!,#REF!,#REF!,#REF!,#REF!,#REF!,#REF!,#REF!,#REF!,#REF!</definedName>
    <definedName name="__APW_RESTORE_DATA1909__" hidden="1">#REF!,#REF!,#REF!,#REF!,#REF!,#REF!,#REF!,#REF!,#REF!,#REF!,#REF!,#REF!,#REF!,#REF!</definedName>
    <definedName name="__APW_RESTORE_DATA191__" hidden="1">#REF!,#REF!,#REF!,#REF!,#REF!,#REF!,#REF!,#REF!,#REF!,#REF!,#REF!</definedName>
    <definedName name="__APW_RESTORE_DATA1910__" hidden="1">#REF!,#REF!,#REF!,#REF!,#REF!,#REF!,#REF!,#REF!,#REF!,#REF!,#REF!,#REF!,#REF!,#REF!</definedName>
    <definedName name="__APW_RESTORE_DATA1911__" hidden="1">#REF!,#REF!,#REF!,#REF!,#REF!,#REF!,#REF!,#REF!,#REF!,#REF!,#REF!,#REF!,#REF!,#REF!</definedName>
    <definedName name="__APW_RESTORE_DATA1912__" hidden="1">#REF!,#REF!,#REF!,#REF!,#REF!,#REF!,#REF!,#REF!,#REF!,#REF!,#REF!,#REF!,#REF!,#REF!</definedName>
    <definedName name="__APW_RESTORE_DATA1913__" hidden="1">#REF!,#REF!,#REF!,#REF!,#REF!,#REF!,#REF!,#REF!,#REF!,#REF!,#REF!,#REF!,#REF!,#REF!</definedName>
    <definedName name="__APW_RESTORE_DATA1914__" hidden="1">#REF!,#REF!,#REF!,#REF!,#REF!,#REF!,#REF!,#REF!,#REF!,#REF!,#REF!,#REF!,#REF!,#REF!</definedName>
    <definedName name="__APW_RESTORE_DATA1915__" hidden="1">#REF!,#REF!,#REF!,#REF!,#REF!,#REF!,#REF!,#REF!,#REF!,#REF!,#REF!,#REF!,#REF!,#REF!</definedName>
    <definedName name="__APW_RESTORE_DATA1916__" hidden="1">#REF!,#REF!,#REF!,#REF!,#REF!,#REF!,#REF!,#REF!,#REF!,#REF!,#REF!,#REF!,#REF!</definedName>
    <definedName name="__APW_RESTORE_DATA1917__" hidden="1">#REF!,#REF!,#REF!,#REF!,#REF!,#REF!,#REF!,#REF!,#REF!,#REF!,#REF!,#REF!,#REF!,#REF!</definedName>
    <definedName name="__APW_RESTORE_DATA1918__" hidden="1">#REF!,#REF!,#REF!,#REF!,#REF!,#REF!,#REF!,#REF!,#REF!,#REF!,#REF!,#REF!,#REF!,#REF!</definedName>
    <definedName name="__APW_RESTORE_DATA1919__" hidden="1">#REF!,#REF!,#REF!,#REF!,#REF!,#REF!,#REF!,#REF!,#REF!,#REF!,#REF!,#REF!,#REF!,#REF!</definedName>
    <definedName name="__APW_RESTORE_DATA192__" hidden="1">#REF!,#REF!,#REF!,#REF!,#REF!,#REF!,#REF!,#REF!,#REF!,#REF!,#REF!,#REF!,#REF!,#REF!</definedName>
    <definedName name="__APW_RESTORE_DATA1920__" hidden="1">#REF!,#REF!,#REF!,#REF!,#REF!,#REF!,#REF!,#REF!,#REF!,#REF!,#REF!,#REF!,#REF!,#REF!</definedName>
    <definedName name="__APW_RESTORE_DATA1921__" hidden="1">#REF!,#REF!,#REF!,#REF!,#REF!,#REF!,#REF!,#REF!,#REF!,#REF!,#REF!,#REF!,#REF!,#REF!</definedName>
    <definedName name="__APW_RESTORE_DATA1922__" hidden="1">#REF!,#REF!,#REF!,#REF!,#REF!,#REF!,#REF!,#REF!,#REF!,#REF!,#REF!,#REF!,#REF!,#REF!</definedName>
    <definedName name="__APW_RESTORE_DATA1923__" hidden="1">#REF!,#REF!,#REF!,#REF!,#REF!,#REF!,#REF!,#REF!,#REF!,#REF!,#REF!,#REF!,#REF!,#REF!</definedName>
    <definedName name="__APW_RESTORE_DATA1924__" hidden="1">#REF!,#REF!,#REF!,#REF!,#REF!,#REF!,#REF!,#REF!,#REF!,#REF!,#REF!,#REF!,#REF!,#REF!</definedName>
    <definedName name="__APW_RESTORE_DATA1925__" hidden="1">#REF!,#REF!,#REF!,#REF!,#REF!,#REF!,#REF!,#REF!,#REF!,#REF!,#REF!,#REF!,#REF!,#REF!</definedName>
    <definedName name="__APW_RESTORE_DATA1926__" hidden="1">#REF!,#REF!,#REF!,#REF!,#REF!,#REF!,#REF!,#REF!,#REF!,#REF!,#REF!,#REF!,#REF!,#REF!</definedName>
    <definedName name="__APW_RESTORE_DATA1927__" hidden="1">#REF!,#REF!,#REF!,#REF!,#REF!,#REF!,#REF!,#REF!,#REF!,#REF!,#REF!,#REF!,#REF!,#REF!</definedName>
    <definedName name="__APW_RESTORE_DATA1928__" hidden="1">#REF!,#REF!,#REF!,#REF!,#REF!,#REF!,#REF!,#REF!,#REF!,#REF!,#REF!,#REF!,#REF!,#REF!</definedName>
    <definedName name="__APW_RESTORE_DATA1929__" hidden="1">#REF!,#REF!,#REF!,#REF!,#REF!,#REF!,#REF!,#REF!,#REF!,#REF!,#REF!,#REF!,#REF!,#REF!</definedName>
    <definedName name="__APW_RESTORE_DATA193__" hidden="1">#REF!,#REF!,#REF!,#REF!,#REF!,#REF!,#REF!,#REF!,#REF!,#REF!,#REF!,#REF!,#REF!,#REF!</definedName>
    <definedName name="__APW_RESTORE_DATA1930__" hidden="1">#REF!,#REF!,#REF!,#REF!,#REF!,#REF!,#REF!,#REF!,#REF!,#REF!,#REF!,#REF!,#REF!,#REF!</definedName>
    <definedName name="__APW_RESTORE_DATA1931__" hidden="1">#REF!,#REF!,#REF!,#REF!,#REF!,#REF!,#REF!,#REF!,#REF!,#REF!,#REF!,#REF!,#REF!,#REF!</definedName>
    <definedName name="__APW_RESTORE_DATA1932__" hidden="1">#REF!,#REF!,#REF!,#REF!,#REF!,#REF!,#REF!,#REF!,#REF!,#REF!,#REF!,#REF!,#REF!</definedName>
    <definedName name="__APW_RESTORE_DATA1933__" hidden="1">#REF!,#REF!,#REF!,#REF!,#REF!,#REF!,#REF!,#REF!,#REF!,#REF!,#REF!,#REF!,#REF!,#REF!</definedName>
    <definedName name="__APW_RESTORE_DATA1934__" hidden="1">#REF!,#REF!,#REF!,#REF!,#REF!,#REF!,#REF!,#REF!,#REF!,#REF!,#REF!,#REF!,#REF!,#REF!</definedName>
    <definedName name="__APW_RESTORE_DATA1935__" hidden="1">#REF!,#REF!,#REF!,#REF!,#REF!,#REF!,#REF!,#REF!,#REF!,#REF!,#REF!,#REF!,#REF!,#REF!</definedName>
    <definedName name="__APW_RESTORE_DATA1936__" hidden="1">#REF!,#REF!,#REF!,#REF!,#REF!,#REF!,#REF!,#REF!,#REF!,#REF!,#REF!,#REF!,#REF!,#REF!</definedName>
    <definedName name="__APW_RESTORE_DATA1937__" hidden="1">#REF!,#REF!,#REF!,#REF!,#REF!,#REF!,#REF!,#REF!,#REF!,#REF!,#REF!,#REF!,#REF!,#REF!</definedName>
    <definedName name="__APW_RESTORE_DATA1938__" hidden="1">#REF!,#REF!,#REF!,#REF!,#REF!,#REF!,#REF!,#REF!,#REF!,#REF!,#REF!,#REF!,#REF!,#REF!</definedName>
    <definedName name="__APW_RESTORE_DATA1939__" hidden="1">#REF!,#REF!,#REF!,#REF!,#REF!,#REF!,#REF!,#REF!,#REF!,#REF!,#REF!,#REF!,#REF!,#REF!</definedName>
    <definedName name="__APW_RESTORE_DATA194__" hidden="1">#REF!,#REF!,#REF!,#REF!,#REF!,#REF!,#REF!,#REF!,#REF!,#REF!,#REF!,#REF!,#REF!,#REF!</definedName>
    <definedName name="__APW_RESTORE_DATA1940__" hidden="1">#REF!,#REF!,#REF!,#REF!,#REF!,#REF!,#REF!,#REF!,#REF!,#REF!,#REF!,#REF!,#REF!,#REF!</definedName>
    <definedName name="__APW_RESTORE_DATA1941__" hidden="1">#REF!,#REF!,#REF!,#REF!,#REF!,#REF!,#REF!,#REF!,#REF!,#REF!,#REF!,#REF!,#REF!,#REF!</definedName>
    <definedName name="__APW_RESTORE_DATA1942__" hidden="1">#REF!,#REF!,#REF!,#REF!,#REF!,#REF!,#REF!,#REF!,#REF!,#REF!,#REF!,#REF!,#REF!,#REF!</definedName>
    <definedName name="__APW_RESTORE_DATA1943__" hidden="1">#REF!,#REF!,#REF!,#REF!,#REF!,#REF!,#REF!,#REF!,#REF!,#REF!,#REF!,#REF!,#REF!,#REF!</definedName>
    <definedName name="__APW_RESTORE_DATA1944__" hidden="1">#REF!,#REF!,#REF!,#REF!,#REF!,#REF!,#REF!,#REF!,#REF!,#REF!,#REF!,#REF!,#REF!,#REF!</definedName>
    <definedName name="__APW_RESTORE_DATA1945__" hidden="1">#REF!,#REF!,#REF!,#REF!,#REF!,#REF!,#REF!,#REF!,#REF!,#REF!,#REF!,#REF!,#REF!,#REF!</definedName>
    <definedName name="__APW_RESTORE_DATA1946__" hidden="1">#REF!,#REF!,#REF!,#REF!,#REF!,#REF!,#REF!,#REF!,#REF!,#REF!,#REF!,#REF!,#REF!,#REF!</definedName>
    <definedName name="__APW_RESTORE_DATA1947__" hidden="1">#REF!,#REF!,#REF!,#REF!,#REF!,#REF!,#REF!,#REF!,#REF!,#REF!,#REF!,#REF!,#REF!,#REF!</definedName>
    <definedName name="__APW_RESTORE_DATA1948__" hidden="1">#REF!,#REF!,#REF!,#REF!,#REF!,#REF!,#REF!,#REF!,#REF!,#REF!,#REF!,#REF!,#REF!,#REF!</definedName>
    <definedName name="__APW_RESTORE_DATA1949__" hidden="1">#REF!,#REF!,#REF!,#REF!,#REF!,#REF!,#REF!,#REF!,#REF!,#REF!,#REF!,#REF!,#REF!,#REF!</definedName>
    <definedName name="__APW_RESTORE_DATA195__" hidden="1">#REF!,#REF!,#REF!,#REF!,#REF!,#REF!,#REF!,#REF!,#REF!,#REF!,#REF!,#REF!,#REF!,#REF!</definedName>
    <definedName name="__APW_RESTORE_DATA1950__" hidden="1">#REF!,#REF!,#REF!,#REF!,#REF!,#REF!,#REF!,#REF!,#REF!,#REF!,#REF!,#REF!,#REF!,#REF!</definedName>
    <definedName name="__APW_RESTORE_DATA1951__" hidden="1">#REF!,#REF!,#REF!,#REF!,#REF!,#REF!,#REF!,#REF!,#REF!,#REF!,#REF!,#REF!,#REF!,#REF!</definedName>
    <definedName name="__APW_RESTORE_DATA1952__" hidden="1">#REF!,#REF!,#REF!,#REF!,#REF!,#REF!,#REF!,#REF!,#REF!,#REF!,#REF!,#REF!,#REF!,#REF!</definedName>
    <definedName name="__APW_RESTORE_DATA1953__" hidden="1">#REF!,#REF!,#REF!,#REF!,#REF!,#REF!,#REF!,#REF!,#REF!,#REF!,#REF!,#REF!,#REF!,#REF!</definedName>
    <definedName name="__APW_RESTORE_DATA1954__" hidden="1">#REF!,#REF!,#REF!,#REF!,#REF!,#REF!,#REF!,#REF!,#REF!,#REF!,#REF!,#REF!,#REF!,#REF!</definedName>
    <definedName name="__APW_RESTORE_DATA1955__" hidden="1">#REF!,#REF!,#REF!,#REF!,#REF!,#REF!,#REF!,#REF!,#REF!,#REF!,#REF!,#REF!,#REF!,#REF!</definedName>
    <definedName name="__APW_RESTORE_DATA1956__" hidden="1">#REF!,#REF!,#REF!,#REF!,#REF!,#REF!,#REF!,#REF!,#REF!,#REF!,#REF!,#REF!,#REF!,#REF!</definedName>
    <definedName name="__APW_RESTORE_DATA1957__" hidden="1">#REF!,#REF!,#REF!,#REF!,#REF!,#REF!,#REF!,#REF!,#REF!,#REF!,#REF!,#REF!,#REF!,#REF!</definedName>
    <definedName name="__APW_RESTORE_DATA1958__" hidden="1">#REF!,#REF!,#REF!,#REF!,#REF!,#REF!,#REF!,#REF!,#REF!,#REF!,#REF!,#REF!,#REF!,#REF!</definedName>
    <definedName name="__APW_RESTORE_DATA1959__" hidden="1">#REF!,#REF!,#REF!,#REF!,#REF!,#REF!,#REF!,#REF!,#REF!,#REF!,#REF!,#REF!,#REF!,#REF!</definedName>
    <definedName name="__APW_RESTORE_DATA196__" hidden="1">#REF!,#REF!,#REF!,#REF!,#REF!,#REF!,#REF!,#REF!,#REF!,#REF!,#REF!,#REF!,#REF!,#REF!</definedName>
    <definedName name="__APW_RESTORE_DATA1960__" hidden="1">#REF!,#REF!,#REF!,#REF!,#REF!,#REF!,#REF!,#REF!,#REF!,#REF!,#REF!,#REF!,#REF!,#REF!</definedName>
    <definedName name="__APW_RESTORE_DATA1961__" hidden="1">#REF!,#REF!,#REF!,#REF!,#REF!,#REF!,#REF!,#REF!,#REF!,#REF!,#REF!,#REF!,#REF!,#REF!</definedName>
    <definedName name="__APW_RESTORE_DATA1962__" hidden="1">#REF!,#REF!,#REF!,#REF!,#REF!,#REF!,#REF!,#REF!,#REF!,#REF!,#REF!,#REF!,#REF!,#REF!</definedName>
    <definedName name="__APW_RESTORE_DATA1963__" hidden="1">#REF!,#REF!,#REF!,#REF!,#REF!,#REF!,#REF!,#REF!,#REF!,#REF!,#REF!,#REF!,#REF!,#REF!</definedName>
    <definedName name="__APW_RESTORE_DATA1964__" hidden="1">#REF!,#REF!,#REF!,#REF!,#REF!,#REF!,#REF!,#REF!,#REF!,#REF!,#REF!,#REF!,#REF!,#REF!</definedName>
    <definedName name="__APW_RESTORE_DATA1965__" hidden="1">#REF!,#REF!,#REF!,#REF!,#REF!,#REF!,#REF!,#REF!,#REF!,#REF!,#REF!,#REF!,#REF!,#REF!</definedName>
    <definedName name="__APW_RESTORE_DATA1966__" hidden="1">#REF!,#REF!,#REF!,#REF!,#REF!,#REF!,#REF!,#REF!,#REF!,#REF!,#REF!,#REF!,#REF!,#REF!</definedName>
    <definedName name="__APW_RESTORE_DATA1967__" hidden="1">#REF!,#REF!,#REF!,#REF!,#REF!,#REF!,#REF!,#REF!,#REF!,#REF!,#REF!,#REF!,#REF!,#REF!</definedName>
    <definedName name="__APW_RESTORE_DATA1968__" hidden="1">#REF!,#REF!,#REF!,#REF!,#REF!,#REF!,#REF!,#REF!,#REF!</definedName>
    <definedName name="__APW_RESTORE_DATA1969__" hidden="1">#REF!,#REF!,#REF!,#REF!,#REF!,#REF!,#REF!,#REF!,#REF!,#REF!,#REF!,#REF!,#REF!,#REF!</definedName>
    <definedName name="__APW_RESTORE_DATA197__" hidden="1">#REF!,#REF!,#REF!,#REF!,#REF!,#REF!,#REF!,#REF!,#REF!,#REF!,#REF!,#REF!,#REF!,#REF!</definedName>
    <definedName name="__APW_RESTORE_DATA1970__" hidden="1">#REF!,#REF!,#REF!,#REF!,#REF!,#REF!,#REF!,#REF!,#REF!,#REF!,#REF!,#REF!,#REF!,#REF!</definedName>
    <definedName name="__APW_RESTORE_DATA1971__" hidden="1">#REF!,#REF!,#REF!,#REF!,#REF!,#REF!,#REF!,#REF!,#REF!,#REF!,#REF!,#REF!,#REF!,#REF!</definedName>
    <definedName name="__APW_RESTORE_DATA1972__" hidden="1">#REF!,#REF!,#REF!,#REF!,#REF!,#REF!,#REF!,#REF!,#REF!,#REF!,#REF!,#REF!,#REF!,#REF!</definedName>
    <definedName name="__APW_RESTORE_DATA1973__" hidden="1">#REF!,#REF!,#REF!,#REF!,#REF!,#REF!,#REF!,#REF!,#REF!,#REF!,#REF!,#REF!,#REF!,#REF!</definedName>
    <definedName name="__APW_RESTORE_DATA1974__" hidden="1">#REF!,#REF!,#REF!,#REF!,#REF!,#REF!,#REF!,#REF!,#REF!,#REF!,#REF!,#REF!,#REF!,#REF!</definedName>
    <definedName name="__APW_RESTORE_DATA1975__" hidden="1">#REF!,#REF!,#REF!,#REF!,#REF!,#REF!,#REF!,#REF!,#REF!,#REF!,#REF!,#REF!,#REF!,#REF!</definedName>
    <definedName name="__APW_RESTORE_DATA1976__" hidden="1">#REF!,#REF!,#REF!,#REF!,#REF!,#REF!,#REF!,#REF!,#REF!,#REF!,#REF!,#REF!,#REF!,#REF!</definedName>
    <definedName name="__APW_RESTORE_DATA1977__" hidden="1">#REF!,#REF!,#REF!,#REF!,#REF!,#REF!,#REF!,#REF!,#REF!,#REF!,#REF!,#REF!,#REF!,#REF!</definedName>
    <definedName name="__APW_RESTORE_DATA1978__" hidden="1">#REF!,#REF!,#REF!,#REF!,#REF!,#REF!,#REF!,#REF!,#REF!,#REF!,#REF!,#REF!,#REF!,#REF!</definedName>
    <definedName name="__APW_RESTORE_DATA1979__" hidden="1">#REF!,#REF!,#REF!,#REF!,#REF!,#REF!,#REF!,#REF!,#REF!,#REF!,#REF!,#REF!,#REF!,#REF!</definedName>
    <definedName name="__APW_RESTORE_DATA198__" hidden="1">#REF!,#REF!,#REF!,#REF!,#REF!,#REF!,#REF!,#REF!,#REF!,#REF!,#REF!,#REF!,#REF!,#REF!</definedName>
    <definedName name="__APW_RESTORE_DATA1980__" hidden="1">#REF!,#REF!,#REF!,#REF!,#REF!,#REF!,#REF!,#REF!,#REF!,#REF!,#REF!,#REF!,#REF!,#REF!</definedName>
    <definedName name="__APW_RESTORE_DATA1981__" hidden="1">#REF!,#REF!,#REF!,#REF!,#REF!,#REF!,#REF!,#REF!,#REF!,#REF!,#REF!,#REF!,#REF!,#REF!</definedName>
    <definedName name="__APW_RESTORE_DATA1982__" hidden="1">#REF!,#REF!,#REF!,#REF!,#REF!,#REF!,#REF!,#REF!,#REF!,#REF!,#REF!,#REF!,#REF!,#REF!</definedName>
    <definedName name="__APW_RESTORE_DATA1983__" hidden="1">#REF!,#REF!,#REF!,#REF!,#REF!,#REF!,#REF!,#REF!,#REF!,#REF!,#REF!,#REF!,#REF!,#REF!</definedName>
    <definedName name="__APW_RESTORE_DATA1984__" hidden="1">#REF!,#REF!,#REF!,#REF!,#REF!,#REF!,#REF!,#REF!,#REF!,#REF!,#REF!,#REF!,#REF!,#REF!</definedName>
    <definedName name="__APW_RESTORE_DATA1985__" hidden="1">#REF!,#REF!,#REF!,#REF!,#REF!,#REF!,#REF!,#REF!,#REF!,#REF!,#REF!,#REF!,#REF!,#REF!</definedName>
    <definedName name="__APW_RESTORE_DATA1986__" hidden="1">#REF!,#REF!,#REF!,#REF!,#REF!,#REF!,#REF!,#REF!,#REF!,#REF!,#REF!,#REF!,#REF!,#REF!</definedName>
    <definedName name="__APW_RESTORE_DATA1987__" hidden="1">#REF!,#REF!,#REF!,#REF!,#REF!,#REF!,#REF!,#REF!,#REF!,#REF!,#REF!,#REF!,#REF!,#REF!</definedName>
    <definedName name="__APW_RESTORE_DATA1988__" hidden="1">#REF!,#REF!,#REF!,#REF!,#REF!,#REF!,#REF!,#REF!,#REF!,#REF!,#REF!,#REF!,#REF!,#REF!</definedName>
    <definedName name="__APW_RESTORE_DATA1989__" hidden="1">#REF!,#REF!,#REF!,#REF!,#REF!,#REF!,#REF!,#REF!,#REF!,#REF!,#REF!,#REF!,#REF!,#REF!</definedName>
    <definedName name="__APW_RESTORE_DATA199__" hidden="1">#REF!,#REF!,#REF!,#REF!,#REF!,#REF!,#REF!,#REF!,#REF!,#REF!,#REF!,#REF!,#REF!,#REF!</definedName>
    <definedName name="__APW_RESTORE_DATA1990__" hidden="1">#REF!,#REF!,#REF!,#REF!,#REF!,#REF!,#REF!,#REF!,#REF!,#REF!,#REF!,#REF!,#REF!,#REF!</definedName>
    <definedName name="__APW_RESTORE_DATA1991__" hidden="1">#REF!,#REF!,#REF!,#REF!,#REF!,#REF!,#REF!,#REF!,#REF!,#REF!,#REF!,#REF!,#REF!,#REF!</definedName>
    <definedName name="__APW_RESTORE_DATA1992__" hidden="1">#REF!,#REF!,#REF!,#REF!,#REF!,#REF!,#REF!,#REF!,#REF!,#REF!,#REF!,#REF!,#REF!,#REF!</definedName>
    <definedName name="__APW_RESTORE_DATA1993__" hidden="1">#REF!,#REF!,#REF!,#REF!,#REF!,#REF!,#REF!,#REF!,#REF!,#REF!,#REF!,#REF!,#REF!,#REF!</definedName>
    <definedName name="__APW_RESTORE_DATA1994__" hidden="1">#REF!,#REF!,#REF!,#REF!,#REF!,#REF!,#REF!,#REF!,#REF!,#REF!,#REF!,#REF!,#REF!,#REF!</definedName>
    <definedName name="__APW_RESTORE_DATA1995__" hidden="1">#REF!,#REF!,#REF!,#REF!,#REF!,#REF!,#REF!,#REF!,#REF!,#REF!,#REF!,#REF!,#REF!,#REF!</definedName>
    <definedName name="__APW_RESTORE_DATA1996__" hidden="1">#REF!,#REF!,#REF!,#REF!,#REF!,#REF!,#REF!,#REF!,#REF!,#REF!,#REF!,#REF!,#REF!,#REF!</definedName>
    <definedName name="__APW_RESTORE_DATA1997__" hidden="1">#REF!,#REF!,#REF!,#REF!,#REF!,#REF!,#REF!,#REF!,#REF!,#REF!,#REF!,#REF!,#REF!,#REF!</definedName>
    <definedName name="__APW_RESTORE_DATA1998__" hidden="1">#REF!,#REF!,#REF!,#REF!,#REF!,#REF!,#REF!,#REF!,#REF!,#REF!,#REF!,#REF!,#REF!,#REF!</definedName>
    <definedName name="__APW_RESTORE_DATA1999__" hidden="1">#REF!,#REF!,#REF!,#REF!,#REF!,#REF!,#REF!,#REF!,#REF!,#REF!,#REF!,#REF!,#REF!,#REF!</definedName>
    <definedName name="__APW_RESTORE_DATA2__" hidden="1">#REF!,#REF!,#REF!,#REF!,#REF!,#REF!,#REF!,#REF!,#REF!,#REF!,#REF!,#REF!,#REF!,#REF!,#REF!</definedName>
    <definedName name="__APW_RESTORE_DATA20__" hidden="1">#REF!,#REF!,#REF!,#REF!,#REF!,#REF!,#REF!,#REF!,#REF!,#REF!,#REF!,#REF!,#REF!,#REF!</definedName>
    <definedName name="__APW_RESTORE_DATA200__" hidden="1">#REF!,#REF!,#REF!,#REF!,#REF!,#REF!,#REF!,#REF!,#REF!,#REF!,#REF!,#REF!,#REF!,#REF!</definedName>
    <definedName name="__APW_RESTORE_DATA2000__" hidden="1">#REF!,#REF!,#REF!,#REF!,#REF!,#REF!,#REF!,#REF!,#REF!,#REF!,#REF!,#REF!,#REF!,#REF!</definedName>
    <definedName name="__APW_RESTORE_DATA2001__" hidden="1">#REF!,#REF!,#REF!,#REF!,#REF!,#REF!,#REF!,#REF!,#REF!,#REF!,#REF!,#REF!,#REF!,#REF!</definedName>
    <definedName name="__APW_RESTORE_DATA2002__" hidden="1">#REF!,#REF!,#REF!,#REF!,#REF!,#REF!,#REF!,#REF!,#REF!,#REF!,#REF!,#REF!,#REF!,#REF!</definedName>
    <definedName name="__APW_RESTORE_DATA2003__" hidden="1">#REF!,#REF!,#REF!,#REF!,#REF!,#REF!,#REF!,#REF!,#REF!,#REF!,#REF!,#REF!,#REF!,#REF!</definedName>
    <definedName name="__APW_RESTORE_DATA2004__" hidden="1">#REF!,#REF!,#REF!,#REF!,#REF!,#REF!,#REF!,#REF!,#REF!,#REF!,#REF!,#REF!,#REF!,#REF!</definedName>
    <definedName name="__APW_RESTORE_DATA2005__" hidden="1">#REF!,#REF!,#REF!,#REF!,#REF!,#REF!,#REF!,#REF!,#REF!,#REF!,#REF!,#REF!,#REF!,#REF!</definedName>
    <definedName name="__APW_RESTORE_DATA2006__" hidden="1">#REF!,#REF!,#REF!,#REF!,#REF!,#REF!,#REF!,#REF!,#REF!,#REF!,#REF!,#REF!,#REF!,#REF!</definedName>
    <definedName name="__APW_RESTORE_DATA2007__" hidden="1">#REF!,#REF!,#REF!,#REF!,#REF!,#REF!,#REF!,#REF!,#REF!,#REF!,#REF!,#REF!,#REF!,#REF!</definedName>
    <definedName name="__APW_RESTORE_DATA2008__" hidden="1">#REF!,#REF!,#REF!,#REF!,#REF!,#REF!,#REF!,#REF!,#REF!,#REF!,#REF!,#REF!,#REF!,#REF!</definedName>
    <definedName name="__APW_RESTORE_DATA2009__" hidden="1">#REF!,#REF!,#REF!,#REF!,#REF!,#REF!,#REF!,#REF!,#REF!,#REF!,#REF!,#REF!,#REF!,#REF!</definedName>
    <definedName name="__APW_RESTORE_DATA201__" hidden="1">#REF!,#REF!,#REF!,#REF!,#REF!,#REF!,#REF!,#REF!,#REF!,#REF!,#REF!,#REF!,#REF!,#REF!</definedName>
    <definedName name="__APW_RESTORE_DATA2010__" hidden="1">#REF!,#REF!,#REF!,#REF!,#REF!,#REF!,#REF!,#REF!,#REF!,#REF!,#REF!,#REF!,#REF!,#REF!</definedName>
    <definedName name="__APW_RESTORE_DATA2011__" hidden="1">#REF!,#REF!,#REF!,#REF!,#REF!,#REF!,#REF!,#REF!,#REF!,#REF!,#REF!,#REF!,#REF!,#REF!</definedName>
    <definedName name="__APW_RESTORE_DATA2012__" hidden="1">#REF!,#REF!,#REF!,#REF!,#REF!,#REF!,#REF!,#REF!,#REF!,#REF!,#REF!,#REF!,#REF!,#REF!</definedName>
    <definedName name="__APW_RESTORE_DATA2013__" hidden="1">#REF!,#REF!,#REF!,#REF!,#REF!,#REF!,#REF!,#REF!,#REF!,#REF!,#REF!,#REF!,#REF!,#REF!</definedName>
    <definedName name="__APW_RESTORE_DATA2014__" hidden="1">#REF!,#REF!,#REF!,#REF!,#REF!,#REF!,#REF!,#REF!,#REF!,#REF!,#REF!,#REF!,#REF!,#REF!</definedName>
    <definedName name="__APW_RESTORE_DATA2015__" hidden="1">#REF!,#REF!,#REF!,#REF!,#REF!,#REF!,#REF!,#REF!,#REF!,#REF!,#REF!,#REF!,#REF!,#REF!</definedName>
    <definedName name="__APW_RESTORE_DATA2016__" hidden="1">#REF!,#REF!,#REF!,#REF!,#REF!,#REF!,#REF!,#REF!,#REF!,#REF!,#REF!,#REF!,#REF!,#REF!</definedName>
    <definedName name="__APW_RESTORE_DATA2017__" hidden="1">#REF!,#REF!,#REF!,#REF!,#REF!,#REF!,#REF!,#REF!,#REF!,#REF!,#REF!,#REF!,#REF!,#REF!</definedName>
    <definedName name="__APW_RESTORE_DATA2018__" hidden="1">#REF!,#REF!,#REF!,#REF!,#REF!,#REF!,#REF!,#REF!,#REF!,#REF!,#REF!,#REF!,#REF!,#REF!</definedName>
    <definedName name="__APW_RESTORE_DATA2019__" hidden="1">#REF!,#REF!,#REF!,#REF!,#REF!,#REF!,#REF!,#REF!,#REF!,#REF!,#REF!,#REF!,#REF!,#REF!</definedName>
    <definedName name="__APW_RESTORE_DATA202__" hidden="1">#REF!,#REF!,#REF!,#REF!,#REF!,#REF!,#REF!,#REF!,#REF!,#REF!,#REF!,#REF!,#REF!,#REF!</definedName>
    <definedName name="__APW_RESTORE_DATA2020__" hidden="1">#REF!,#REF!,#REF!,#REF!,#REF!,#REF!,#REF!,#REF!,#REF!,#REF!,#REF!,#REF!,#REF!,#REF!</definedName>
    <definedName name="__APW_RESTORE_DATA2021__" hidden="1">#REF!,#REF!,#REF!,#REF!,#REF!,#REF!,#REF!,#REF!,#REF!,#REF!,#REF!,#REF!,#REF!,#REF!</definedName>
    <definedName name="__APW_RESTORE_DATA2022__" hidden="1">#REF!,#REF!,#REF!,#REF!,#REF!,#REF!,#REF!,#REF!,#REF!,#REF!,#REF!,#REF!,#REF!,#REF!</definedName>
    <definedName name="__APW_RESTORE_DATA2023__" hidden="1">#REF!,#REF!,#REF!,#REF!,#REF!,#REF!,#REF!,#REF!,#REF!,#REF!,#REF!,#REF!,#REF!,#REF!</definedName>
    <definedName name="__APW_RESTORE_DATA2024__" hidden="1">#REF!,#REF!,#REF!,#REF!,#REF!,#REF!,#REF!,#REF!,#REF!,#REF!,#REF!,#REF!,#REF!,#REF!</definedName>
    <definedName name="__APW_RESTORE_DATA2025__" hidden="1">#REF!,#REF!,#REF!,#REF!,#REF!,#REF!,#REF!,#REF!,#REF!,#REF!,#REF!,#REF!,#REF!,#REF!</definedName>
    <definedName name="__APW_RESTORE_DATA2026__" hidden="1">#REF!,#REF!,#REF!,#REF!,#REF!,#REF!,#REF!,#REF!,#REF!,#REF!,#REF!,#REF!,#REF!,#REF!</definedName>
    <definedName name="__APW_RESTORE_DATA2027__" hidden="1">#REF!,#REF!,#REF!,#REF!,#REF!,#REF!,#REF!,#REF!,#REF!,#REF!,#REF!,#REF!,#REF!,#REF!</definedName>
    <definedName name="__APW_RESTORE_DATA2028__" hidden="1">#REF!,#REF!,#REF!,#REF!,#REF!,#REF!,#REF!,#REF!,#REF!,#REF!,#REF!,#REF!,#REF!,#REF!</definedName>
    <definedName name="__APW_RESTORE_DATA2029__" hidden="1">#REF!,#REF!,#REF!,#REF!,#REF!,#REF!,#REF!,#REF!,#REF!,#REF!,#REF!,#REF!,#REF!,#REF!</definedName>
    <definedName name="__APW_RESTORE_DATA203__" hidden="1">#REF!,#REF!,#REF!,#REF!,#REF!,#REF!,#REF!,#REF!,#REF!,#REF!,#REF!,#REF!,#REF!,#REF!</definedName>
    <definedName name="__APW_RESTORE_DATA2030__" hidden="1">#REF!,#REF!,#REF!,#REF!,#REF!,#REF!,#REF!,#REF!,#REF!,#REF!,#REF!,#REF!,#REF!,#REF!</definedName>
    <definedName name="__APW_RESTORE_DATA2031__" hidden="1">#REF!,#REF!,#REF!,#REF!,#REF!,#REF!,#REF!,#REF!,#REF!,#REF!,#REF!,#REF!,#REF!,#REF!</definedName>
    <definedName name="__APW_RESTORE_DATA2032__" hidden="1">#REF!,#REF!,#REF!,#REF!,#REF!,#REF!,#REF!,#REF!,#REF!,#REF!,#REF!,#REF!,#REF!,#REF!</definedName>
    <definedName name="__APW_RESTORE_DATA2033__" hidden="1">#REF!,#REF!,#REF!,#REF!,#REF!,#REF!,#REF!,#REF!,#REF!,#REF!,#REF!,#REF!,#REF!,#REF!</definedName>
    <definedName name="__APW_RESTORE_DATA2034__" hidden="1">#REF!,#REF!,#REF!,#REF!,#REF!,#REF!,#REF!,#REF!,#REF!,#REF!,#REF!,#REF!,#REF!,#REF!</definedName>
    <definedName name="__APW_RESTORE_DATA2035__" hidden="1">#REF!,#REF!,#REF!,#REF!,#REF!,#REF!,#REF!,#REF!,#REF!,#REF!,#REF!,#REF!,#REF!,#REF!</definedName>
    <definedName name="__APW_RESTORE_DATA2036__" hidden="1">#REF!,#REF!,#REF!,#REF!,#REF!,#REF!,#REF!,#REF!,#REF!,#REF!,#REF!,#REF!,#REF!,#REF!</definedName>
    <definedName name="__APW_RESTORE_DATA2037__" hidden="1">#REF!,#REF!,#REF!,#REF!,#REF!,#REF!,#REF!,#REF!,#REF!,#REF!,#REF!,#REF!,#REF!,#REF!</definedName>
    <definedName name="__APW_RESTORE_DATA2038__" hidden="1">#REF!,#REF!,#REF!,#REF!,#REF!,#REF!,#REF!,#REF!,#REF!,#REF!,#REF!,#REF!,#REF!,#REF!</definedName>
    <definedName name="__APW_RESTORE_DATA2039__" hidden="1">#REF!,#REF!,#REF!,#REF!,#REF!,#REF!,#REF!,#REF!,#REF!,#REF!,#REF!,#REF!,#REF!,#REF!</definedName>
    <definedName name="__APW_RESTORE_DATA204__" hidden="1">#REF!,#REF!,#REF!,#REF!,#REF!,#REF!,#REF!,#REF!,#REF!,#REF!,#REF!,#REF!,#REF!,#REF!</definedName>
    <definedName name="__APW_RESTORE_DATA2040__" hidden="1">#REF!,#REF!,#REF!,#REF!,#REF!,#REF!,#REF!,#REF!,#REF!,#REF!,#REF!,#REF!,#REF!,#REF!</definedName>
    <definedName name="__APW_RESTORE_DATA2041__" hidden="1">#REF!,#REF!,#REF!,#REF!,#REF!,#REF!,#REF!,#REF!,#REF!,#REF!,#REF!,#REF!,#REF!,#REF!</definedName>
    <definedName name="__APW_RESTORE_DATA2042__" hidden="1">#REF!,#REF!,#REF!,#REF!,#REF!,#REF!,#REF!,#REF!,#REF!,#REF!,#REF!,#REF!,#REF!,#REF!</definedName>
    <definedName name="__APW_RESTORE_DATA2043__" hidden="1">#REF!,#REF!,#REF!,#REF!,#REF!,#REF!,#REF!,#REF!,#REF!,#REF!,#REF!,#REF!,#REF!,#REF!</definedName>
    <definedName name="__APW_RESTORE_DATA2044__" hidden="1">#REF!,#REF!,#REF!,#REF!,#REF!,#REF!,#REF!,#REF!,#REF!,#REF!,#REF!,#REF!,#REF!,#REF!</definedName>
    <definedName name="__APW_RESTORE_DATA2045__" hidden="1">#REF!,#REF!,#REF!,#REF!,#REF!,#REF!,#REF!,#REF!,#REF!,#REF!,#REF!,#REF!,#REF!,#REF!</definedName>
    <definedName name="__APW_RESTORE_DATA2046__" hidden="1">#REF!,#REF!,#REF!,#REF!,#REF!,#REF!,#REF!,#REF!,#REF!,#REF!,#REF!,#REF!,#REF!,#REF!</definedName>
    <definedName name="__APW_RESTORE_DATA2047__" hidden="1">#REF!,#REF!,#REF!,#REF!,#REF!,#REF!,#REF!,#REF!,#REF!,#REF!,#REF!,#REF!,#REF!,#REF!</definedName>
    <definedName name="__APW_RESTORE_DATA2048__" hidden="1">#REF!,#REF!,#REF!,#REF!,#REF!,#REF!,#REF!,#REF!,#REF!,#REF!,#REF!,#REF!,#REF!,#REF!</definedName>
    <definedName name="__APW_RESTORE_DATA2049__" hidden="1">#REF!,#REF!,#REF!,#REF!,#REF!,#REF!,#REF!,#REF!,#REF!,#REF!,#REF!,#REF!,#REF!,#REF!</definedName>
    <definedName name="__APW_RESTORE_DATA205__" hidden="1">#REF!,#REF!,#REF!,#REF!,#REF!,#REF!,#REF!,#REF!,#REF!,#REF!,#REF!,#REF!,#REF!,#REF!</definedName>
    <definedName name="__APW_RESTORE_DATA2050__" hidden="1">#REF!,#REF!,#REF!,#REF!,#REF!,#REF!,#REF!,#REF!,#REF!,#REF!,#REF!,#REF!,#REF!,#REF!</definedName>
    <definedName name="__APW_RESTORE_DATA2051__" hidden="1">#REF!,#REF!,#REF!,#REF!,#REF!,#REF!,#REF!,#REF!,#REF!,#REF!,#REF!,#REF!,#REF!,#REF!</definedName>
    <definedName name="__APW_RESTORE_DATA2052__" hidden="1">#REF!,#REF!,#REF!,#REF!,#REF!,#REF!,#REF!,#REF!,#REF!,#REF!,#REF!,#REF!,#REF!,#REF!</definedName>
    <definedName name="__APW_RESTORE_DATA2053__" hidden="1">#REF!,#REF!,#REF!,#REF!,#REF!,#REF!,#REF!,#REF!,#REF!,#REF!,#REF!,#REF!,#REF!,#REF!</definedName>
    <definedName name="__APW_RESTORE_DATA2054__" hidden="1">#REF!,#REF!,#REF!,#REF!,#REF!,#REF!,#REF!,#REF!,#REF!,#REF!,#REF!,#REF!,#REF!,#REF!</definedName>
    <definedName name="__APW_RESTORE_DATA2055__" hidden="1">#REF!,#REF!,#REF!,#REF!,#REF!,#REF!,#REF!,#REF!,#REF!,#REF!,#REF!,#REF!,#REF!,#REF!</definedName>
    <definedName name="__APW_RESTORE_DATA2056__" hidden="1">#REF!,#REF!,#REF!,#REF!,#REF!,#REF!,#REF!,#REF!,#REF!,#REF!,#REF!,#REF!,#REF!,#REF!</definedName>
    <definedName name="__APW_RESTORE_DATA2057__" hidden="1">#REF!,#REF!,#REF!,#REF!,#REF!,#REF!,#REF!,#REF!,#REF!,#REF!,#REF!,#REF!,#REF!,#REF!</definedName>
    <definedName name="__APW_RESTORE_DATA2058__" hidden="1">#REF!,#REF!,#REF!,#REF!,#REF!,#REF!,#REF!,#REF!,#REF!,#REF!,#REF!,#REF!,#REF!,#REF!</definedName>
    <definedName name="__APW_RESTORE_DATA2059__" hidden="1">#REF!,#REF!,#REF!,#REF!,#REF!,#REF!,#REF!,#REF!,#REF!,#REF!,#REF!,#REF!,#REF!,#REF!</definedName>
    <definedName name="__APW_RESTORE_DATA206__" hidden="1">#REF!,#REF!,#REF!,#REF!,#REF!,#REF!,#REF!,#REF!,#REF!,#REF!,#REF!,#REF!,#REF!,#REF!</definedName>
    <definedName name="__APW_RESTORE_DATA2060__" hidden="1">#REF!,#REF!,#REF!,#REF!,#REF!,#REF!,#REF!,#REF!,#REF!,#REF!,#REF!,#REF!,#REF!,#REF!</definedName>
    <definedName name="__APW_RESTORE_DATA2061__" hidden="1">#REF!,#REF!,#REF!,#REF!,#REF!,#REF!,#REF!,#REF!,#REF!,#REF!,#REF!,#REF!,#REF!,#REF!</definedName>
    <definedName name="__APW_RESTORE_DATA2062__" hidden="1">#REF!,#REF!,#REF!,#REF!,#REF!,#REF!,#REF!,#REF!,#REF!,#REF!,#REF!,#REF!,#REF!,#REF!</definedName>
    <definedName name="__APW_RESTORE_DATA2063__" hidden="1">#REF!,#REF!,#REF!,#REF!,#REF!,#REF!,#REF!,#REF!,#REF!,#REF!,#REF!,#REF!,#REF!,#REF!</definedName>
    <definedName name="__APW_RESTORE_DATA2064__" hidden="1">#REF!,#REF!,#REF!,#REF!,#REF!,#REF!,#REF!,#REF!,#REF!,#REF!,#REF!,#REF!,#REF!,#REF!</definedName>
    <definedName name="__APW_RESTORE_DATA2065__" hidden="1">#REF!,#REF!,#REF!,#REF!,#REF!,#REF!,#REF!,#REF!,#REF!,#REF!,#REF!,#REF!,#REF!,#REF!</definedName>
    <definedName name="__APW_RESTORE_DATA2066__" hidden="1">#REF!,#REF!,#REF!,#REF!,#REF!,#REF!,#REF!,#REF!,#REF!,#REF!,#REF!,#REF!,#REF!,#REF!</definedName>
    <definedName name="__APW_RESTORE_DATA2067__" hidden="1">#REF!,#REF!,#REF!,#REF!,#REF!,#REF!,#REF!,#REF!,#REF!,#REF!,#REF!,#REF!,#REF!,#REF!</definedName>
    <definedName name="__APW_RESTORE_DATA2068__" hidden="1">#REF!,#REF!,#REF!,#REF!,#REF!,#REF!,#REF!,#REF!,#REF!,#REF!,#REF!,#REF!,#REF!,#REF!</definedName>
    <definedName name="__APW_RESTORE_DATA2069__" hidden="1">#REF!,#REF!,#REF!,#REF!,#REF!,#REF!,#REF!,#REF!,#REF!,#REF!,#REF!,#REF!,#REF!,#REF!</definedName>
    <definedName name="__APW_RESTORE_DATA207__" hidden="1">#REF!,#REF!,#REF!,#REF!,#REF!,#REF!,#REF!,#REF!,#REF!,#REF!,#REF!,#REF!,#REF!,#REF!</definedName>
    <definedName name="__APW_RESTORE_DATA2070__" hidden="1">#REF!,#REF!,#REF!,#REF!,#REF!,#REF!,#REF!,#REF!,#REF!,#REF!,#REF!,#REF!,#REF!,#REF!</definedName>
    <definedName name="__APW_RESTORE_DATA2071__" hidden="1">#REF!,#REF!,#REF!,#REF!,#REF!,#REF!,#REF!,#REF!,#REF!,#REF!,#REF!,#REF!,#REF!,#REF!</definedName>
    <definedName name="__APW_RESTORE_DATA2072__" hidden="1">#REF!,#REF!,#REF!,#REF!,#REF!,#REF!,#REF!,#REF!,#REF!,#REF!,#REF!,#REF!,#REF!,#REF!</definedName>
    <definedName name="__APW_RESTORE_DATA2073__" hidden="1">#REF!,#REF!,#REF!,#REF!,#REF!,#REF!,#REF!,#REF!,#REF!,#REF!,#REF!,#REF!,#REF!,#REF!</definedName>
    <definedName name="__APW_RESTORE_DATA2074__" hidden="1">#REF!,#REF!,#REF!,#REF!,#REF!,#REF!,#REF!,#REF!,#REF!,#REF!,#REF!,#REF!,#REF!,#REF!</definedName>
    <definedName name="__APW_RESTORE_DATA2075__" hidden="1">#REF!,#REF!,#REF!,#REF!,#REF!,#REF!,#REF!,#REF!,#REF!,#REF!,#REF!,#REF!,#REF!,#REF!</definedName>
    <definedName name="__APW_RESTORE_DATA2076__" hidden="1">#REF!,#REF!,#REF!,#REF!,#REF!,#REF!,#REF!,#REF!,#REF!,#REF!,#REF!,#REF!,#REF!,#REF!</definedName>
    <definedName name="__APW_RESTORE_DATA2077__" hidden="1">#REF!,#REF!,#REF!,#REF!,#REF!,#REF!,#REF!,#REF!,#REF!,#REF!,#REF!,#REF!,#REF!,#REF!</definedName>
    <definedName name="__APW_RESTORE_DATA2078__" hidden="1">#REF!,#REF!,#REF!,#REF!,#REF!,#REF!,#REF!,#REF!,#REF!,#REF!,#REF!,#REF!,#REF!,#REF!</definedName>
    <definedName name="__APW_RESTORE_DATA2079__" hidden="1">#REF!,#REF!,#REF!,#REF!,#REF!,#REF!,#REF!,#REF!,#REF!,#REF!,#REF!,#REF!,#REF!,#REF!</definedName>
    <definedName name="__APW_RESTORE_DATA208__" hidden="1">#REF!,#REF!,#REF!,#REF!,#REF!,#REF!,#REF!,#REF!,#REF!,#REF!,#REF!,#REF!,#REF!,#REF!</definedName>
    <definedName name="__APW_RESTORE_DATA2080__" hidden="1">#REF!,#REF!,#REF!,#REF!,#REF!,#REF!,#REF!,#REF!,#REF!,#REF!,#REF!,#REF!,#REF!,#REF!</definedName>
    <definedName name="__APW_RESTORE_DATA2081__" hidden="1">#REF!,#REF!,#REF!,#REF!,#REF!,#REF!,#REF!,#REF!,#REF!,#REF!,#REF!,#REF!,#REF!,#REF!</definedName>
    <definedName name="__APW_RESTORE_DATA2082__" hidden="1">#REF!,#REF!,#REF!,#REF!,#REF!,#REF!,#REF!,#REF!,#REF!,#REF!,#REF!,#REF!,#REF!,#REF!</definedName>
    <definedName name="__APW_RESTORE_DATA2083__" hidden="1">#REF!,#REF!,#REF!,#REF!,#REF!,#REF!,#REF!,#REF!,#REF!,#REF!,#REF!,#REF!,#REF!,#REF!</definedName>
    <definedName name="__APW_RESTORE_DATA2084__" hidden="1">#REF!,#REF!,#REF!,#REF!,#REF!,#REF!,#REF!,#REF!,#REF!,#REF!,#REF!,#REF!,#REF!,#REF!</definedName>
    <definedName name="__APW_RESTORE_DATA2085__" hidden="1">#REF!,#REF!,#REF!,#REF!,#REF!,#REF!,#REF!,#REF!,#REF!,#REF!,#REF!,#REF!,#REF!,#REF!</definedName>
    <definedName name="__APW_RESTORE_DATA2086__" hidden="1">#REF!,#REF!,#REF!,#REF!,#REF!,#REF!,#REF!,#REF!,#REF!,#REF!,#REF!,#REF!,#REF!,#REF!</definedName>
    <definedName name="__APW_RESTORE_DATA2087__" hidden="1">#REF!,#REF!,#REF!,#REF!,#REF!,#REF!,#REF!,#REF!,#REF!,#REF!,#REF!,#REF!,#REF!,#REF!</definedName>
    <definedName name="__APW_RESTORE_DATA2088__" hidden="1">#REF!,#REF!,#REF!,#REF!,#REF!,#REF!,#REF!,#REF!,#REF!,#REF!,#REF!,#REF!,#REF!,#REF!</definedName>
    <definedName name="__APW_RESTORE_DATA2089__" hidden="1">#REF!,#REF!,#REF!,#REF!,#REF!,#REF!,#REF!,#REF!,#REF!,#REF!,#REF!,#REF!,#REF!,#REF!</definedName>
    <definedName name="__APW_RESTORE_DATA209__" hidden="1">#REF!,#REF!,#REF!,#REF!,#REF!,#REF!,#REF!,#REF!,#REF!,#REF!,#REF!,#REF!,#REF!,#REF!</definedName>
    <definedName name="__APW_RESTORE_DATA2090__" hidden="1">#REF!,#REF!,#REF!,#REF!,#REF!,#REF!,#REF!,#REF!,#REF!,#REF!,#REF!,#REF!,#REF!,#REF!</definedName>
    <definedName name="__APW_RESTORE_DATA2091__" hidden="1">#REF!,#REF!,#REF!,#REF!,#REF!,#REF!,#REF!,#REF!,#REF!,#REF!,#REF!,#REF!,#REF!,#REF!</definedName>
    <definedName name="__APW_RESTORE_DATA2092__" hidden="1">#REF!,#REF!,#REF!,#REF!,#REF!,#REF!,#REF!,#REF!,#REF!,#REF!,#REF!,#REF!,#REF!,#REF!</definedName>
    <definedName name="__APW_RESTORE_DATA2093__" hidden="1">#REF!,#REF!,#REF!,#REF!,#REF!,#REF!,#REF!,#REF!,#REF!,#REF!,#REF!,#REF!,#REF!,#REF!</definedName>
    <definedName name="__APW_RESTORE_DATA2094__" hidden="1">#REF!,#REF!,#REF!,#REF!,#REF!,#REF!,#REF!,#REF!,#REF!,#REF!,#REF!,#REF!,#REF!,#REF!</definedName>
    <definedName name="__APW_RESTORE_DATA2095__" hidden="1">#REF!,#REF!,#REF!,#REF!,#REF!,#REF!,#REF!,#REF!,#REF!,#REF!,#REF!,#REF!,#REF!,#REF!</definedName>
    <definedName name="__APW_RESTORE_DATA2096__" hidden="1">#REF!,#REF!,#REF!,#REF!,#REF!,#REF!,#REF!,#REF!,#REF!,#REF!,#REF!,#REF!,#REF!,#REF!</definedName>
    <definedName name="__APW_RESTORE_DATA2097__" hidden="1">#REF!,#REF!,#REF!,#REF!,#REF!,#REF!,#REF!,#REF!,#REF!,#REF!,#REF!,#REF!,#REF!,#REF!</definedName>
    <definedName name="__APW_RESTORE_DATA2098__" hidden="1">#REF!,#REF!,#REF!,#REF!,#REF!,#REF!,#REF!,#REF!,#REF!,#REF!,#REF!,#REF!,#REF!,#REF!</definedName>
    <definedName name="__APW_RESTORE_DATA2099__" hidden="1">#REF!,#REF!,#REF!,#REF!,#REF!,#REF!,#REF!,#REF!,#REF!,#REF!,#REF!,#REF!,#REF!,#REF!</definedName>
    <definedName name="__APW_RESTORE_DATA21__" hidden="1">#REF!,#REF!,#REF!,#REF!,#REF!,#REF!,#REF!,#REF!,#REF!,#REF!,#REF!,#REF!,#REF!,#REF!</definedName>
    <definedName name="__APW_RESTORE_DATA210__" hidden="1">#REF!,#REF!,#REF!,#REF!,#REF!,#REF!,#REF!,#REF!,#REF!,#REF!,#REF!,#REF!,#REF!,#REF!</definedName>
    <definedName name="__APW_RESTORE_DATA2100__" hidden="1">#REF!,#REF!,#REF!,#REF!,#REF!,#REF!,#REF!,#REF!,#REF!,#REF!,#REF!,#REF!,#REF!,#REF!</definedName>
    <definedName name="__APW_RESTORE_DATA2101__" hidden="1">#REF!,#REF!,#REF!,#REF!,#REF!,#REF!,#REF!,#REF!,#REF!,#REF!,#REF!,#REF!,#REF!,#REF!</definedName>
    <definedName name="__APW_RESTORE_DATA2102__" hidden="1">#REF!,#REF!,#REF!,#REF!,#REF!,#REF!,#REF!,#REF!,#REF!,#REF!,#REF!,#REF!,#REF!,#REF!</definedName>
    <definedName name="__APW_RESTORE_DATA2103__" hidden="1">#REF!,#REF!,#REF!,#REF!,#REF!,#REF!,#REF!,#REF!,#REF!,#REF!,#REF!,#REF!,#REF!,#REF!</definedName>
    <definedName name="__APW_RESTORE_DATA2104__" hidden="1">#REF!,#REF!,#REF!,#REF!,#REF!,#REF!,#REF!,#REF!,#REF!,#REF!,#REF!,#REF!,#REF!,#REF!</definedName>
    <definedName name="__APW_RESTORE_DATA2105__" hidden="1">#REF!,#REF!,#REF!,#REF!,#REF!,#REF!,#REF!,#REF!,#REF!,#REF!,#REF!,#REF!,#REF!,#REF!</definedName>
    <definedName name="__APW_RESTORE_DATA2106__" hidden="1">#REF!,#REF!,#REF!,#REF!,#REF!,#REF!,#REF!,#REF!,#REF!,#REF!,#REF!,#REF!,#REF!,#REF!</definedName>
    <definedName name="__APW_RESTORE_DATA2107__" hidden="1">#REF!,#REF!,#REF!,#REF!,#REF!,#REF!,#REF!,#REF!,#REF!,#REF!,#REF!,#REF!,#REF!,#REF!</definedName>
    <definedName name="__APW_RESTORE_DATA2108__" hidden="1">#REF!,#REF!,#REF!,#REF!,#REF!,#REF!,#REF!,#REF!,#REF!,#REF!,#REF!,#REF!,#REF!,#REF!</definedName>
    <definedName name="__APW_RESTORE_DATA211__" hidden="1">#REF!,#REF!,#REF!,#REF!,#REF!,#REF!,#REF!,#REF!,#REF!,#REF!,#REF!,#REF!,#REF!,#REF!</definedName>
    <definedName name="__APW_RESTORE_DATA2119__" hidden="1">#REF!,#REF!,#REF!,#REF!,#REF!,#REF!,#REF!,#REF!,#REF!,#REF!,#REF!,#REF!,#REF!,#REF!</definedName>
    <definedName name="__APW_RESTORE_DATA212__" hidden="1">#REF!,#REF!,#REF!,#REF!,#REF!,#REF!,#REF!,#REF!,#REF!,#REF!,#REF!,#REF!,#REF!,#REF!</definedName>
    <definedName name="__APW_RESTORE_DATA2120__" hidden="1">#REF!,#REF!,#REF!,#REF!,#REF!,#REF!,#REF!,#REF!,#REF!,#REF!,#REF!,#REF!,#REF!,#REF!</definedName>
    <definedName name="__APW_RESTORE_DATA2121__" hidden="1">#REF!,#REF!,#REF!,#REF!,#REF!,#REF!,#REF!,#REF!,#REF!,#REF!,#REF!,#REF!,#REF!,#REF!</definedName>
    <definedName name="__APW_RESTORE_DATA2122__" hidden="1">#REF!,#REF!,#REF!,#REF!,#REF!,#REF!,#REF!,#REF!,#REF!,#REF!,#REF!,#REF!,#REF!,#REF!</definedName>
    <definedName name="__APW_RESTORE_DATA2123__" hidden="1">#REF!,#REF!,#REF!,#REF!,#REF!,#REF!,#REF!,#REF!,#REF!,#REF!,#REF!,#REF!,#REF!,#REF!</definedName>
    <definedName name="__APW_RESTORE_DATA2124__" hidden="1">#REF!,#REF!,#REF!,#REF!,#REF!,#REF!,#REF!,#REF!,#REF!,#REF!,#REF!,#REF!,#REF!,#REF!</definedName>
    <definedName name="__APW_RESTORE_DATA2125__" hidden="1">#REF!,#REF!,#REF!,#REF!,#REF!,#REF!,#REF!,#REF!,#REF!,#REF!,#REF!,#REF!,#REF!,#REF!</definedName>
    <definedName name="__APW_RESTORE_DATA2126__" hidden="1">#REF!,#REF!,#REF!,#REF!,#REF!,#REF!,#REF!,#REF!,#REF!,#REF!,#REF!,#REF!,#REF!,#REF!</definedName>
    <definedName name="__APW_RESTORE_DATA2127__" hidden="1">#REF!,#REF!,#REF!,#REF!,#REF!,#REF!,#REF!,#REF!,#REF!,#REF!,#REF!,#REF!,#REF!,#REF!</definedName>
    <definedName name="__APW_RESTORE_DATA2128__" hidden="1">#REF!,#REF!,#REF!,#REF!,#REF!</definedName>
    <definedName name="__APW_RESTORE_DATA2129__" hidden="1">#REF!,#REF!,#REF!,#REF!,#REF!,#REF!,#REF!,#REF!,#REF!,#REF!,#REF!,#REF!,#REF!,#REF!</definedName>
    <definedName name="__APW_RESTORE_DATA213__" hidden="1">#REF!,#REF!,#REF!,#REF!,#REF!,#REF!,#REF!,#REF!,#REF!,#REF!,#REF!,#REF!,#REF!,#REF!</definedName>
    <definedName name="__APW_RESTORE_DATA2130__" hidden="1">#REF!,#REF!,#REF!,#REF!,#REF!,#REF!,#REF!,#REF!,#REF!,#REF!,#REF!,#REF!,#REF!,#REF!</definedName>
    <definedName name="__APW_RESTORE_DATA2131__" hidden="1">#REF!,#REF!,#REF!,#REF!,#REF!,#REF!,#REF!,#REF!,#REF!,#REF!,#REF!,#REF!,#REF!,#REF!</definedName>
    <definedName name="__APW_RESTORE_DATA2132__" hidden="1">#REF!,#REF!,#REF!,#REF!,#REF!,#REF!,#REF!,#REF!,#REF!,#REF!,#REF!,#REF!,#REF!,#REF!</definedName>
    <definedName name="__APW_RESTORE_DATA2133__" hidden="1">#REF!,#REF!,#REF!,#REF!,#REF!,#REF!,#REF!,#REF!,#REF!,#REF!,#REF!,#REF!,#REF!,#REF!</definedName>
    <definedName name="__APW_RESTORE_DATA2134__" hidden="1">#REF!,#REF!,#REF!,#REF!,#REF!,#REF!,#REF!,#REF!,#REF!,#REF!,#REF!,#REF!,#REF!,#REF!</definedName>
    <definedName name="__APW_RESTORE_DATA2135__" hidden="1">#REF!,#REF!,#REF!,#REF!,#REF!,#REF!,#REF!,#REF!,#REF!,#REF!,#REF!,#REF!,#REF!,#REF!</definedName>
    <definedName name="__APW_RESTORE_DATA2136__" hidden="1">#REF!,#REF!,#REF!,#REF!,#REF!,#REF!,#REF!,#REF!,#REF!,#REF!,#REF!,#REF!,#REF!,#REF!</definedName>
    <definedName name="__APW_RESTORE_DATA2137__" hidden="1">#REF!,#REF!,#REF!,#REF!,#REF!,#REF!,#REF!,#REF!,#REF!,#REF!,#REF!,#REF!,#REF!,#REF!</definedName>
    <definedName name="__APW_RESTORE_DATA2138__" hidden="1">#REF!,#REF!,#REF!,#REF!,#REF!</definedName>
    <definedName name="__APW_RESTORE_DATA2139__" hidden="1">#REF!,#REF!,#REF!,#REF!,#REF!,#REF!,#REF!,#REF!,#REF!,#REF!,#REF!,#REF!,#REF!,#REF!</definedName>
    <definedName name="__APW_RESTORE_DATA214__" hidden="1">#REF!,#REF!,#REF!,#REF!,#REF!,#REF!,#REF!,#REF!,#REF!,#REF!,#REF!,#REF!,#REF!,#REF!</definedName>
    <definedName name="__APW_RESTORE_DATA2140__" hidden="1">#REF!,#REF!,#REF!,#REF!,#REF!,#REF!,#REF!,#REF!,#REF!,#REF!,#REF!,#REF!,#REF!,#REF!</definedName>
    <definedName name="__APW_RESTORE_DATA2141__" hidden="1">#REF!,#REF!,#REF!,#REF!,#REF!,#REF!,#REF!,#REF!,#REF!,#REF!,#REF!,#REF!,#REF!,#REF!</definedName>
    <definedName name="__APW_RESTORE_DATA2142__" hidden="1">#REF!,#REF!,#REF!,#REF!,#REF!,#REF!,#REF!,#REF!,#REF!,#REF!,#REF!,#REF!,#REF!,#REF!</definedName>
    <definedName name="__APW_RESTORE_DATA2143__" hidden="1">#REF!,#REF!,#REF!,#REF!,#REF!,#REF!,#REF!,#REF!,#REF!,#REF!,#REF!,#REF!,#REF!,#REF!</definedName>
    <definedName name="__APW_RESTORE_DATA2144__" hidden="1">#REF!,#REF!,#REF!,#REF!,#REF!,#REF!,#REF!,#REF!,#REF!,#REF!,#REF!,#REF!,#REF!,#REF!</definedName>
    <definedName name="__APW_RESTORE_DATA2145__" hidden="1">#REF!,#REF!,#REF!,#REF!,#REF!,#REF!,#REF!,#REF!,#REF!,#REF!,#REF!,#REF!,#REF!,#REF!</definedName>
    <definedName name="__APW_RESTORE_DATA2146__" hidden="1">#REF!,#REF!,#REF!,#REF!,#REF!,#REF!,#REF!,#REF!,#REF!,#REF!,#REF!,#REF!,#REF!,#REF!</definedName>
    <definedName name="__APW_RESTORE_DATA2147__" hidden="1">#REF!,#REF!,#REF!,#REF!,#REF!,#REF!,#REF!,#REF!,#REF!,#REF!,#REF!,#REF!,#REF!,#REF!</definedName>
    <definedName name="__APW_RESTORE_DATA2148__" hidden="1">#REF!,#REF!,#REF!,#REF!,#REF!,#REF!,#REF!,#REF!,#REF!,#REF!,#REF!,#REF!,#REF!,#REF!</definedName>
    <definedName name="__APW_RESTORE_DATA2149__" hidden="1">#REF!,#REF!,#REF!,#REF!,#REF!,#REF!,#REF!,#REF!,#REF!,#REF!,#REF!,#REF!,#REF!,#REF!</definedName>
    <definedName name="__APW_RESTORE_DATA215__" hidden="1">#REF!,#REF!,#REF!,#REF!,#REF!,#REF!,#REF!,#REF!,#REF!,#REF!,#REF!,#REF!,#REF!,#REF!</definedName>
    <definedName name="__APW_RESTORE_DATA2150__" hidden="1">#REF!,#REF!,#REF!,#REF!,#REF!,#REF!,#REF!,#REF!,#REF!,#REF!,#REF!,#REF!,#REF!,#REF!</definedName>
    <definedName name="__APW_RESTORE_DATA2151__" hidden="1">#REF!,#REF!,#REF!,#REF!,#REF!,#REF!,#REF!,#REF!,#REF!,#REF!,#REF!,#REF!,#REF!,#REF!</definedName>
    <definedName name="__APW_RESTORE_DATA2152__" hidden="1">#REF!,#REF!,#REF!,#REF!,#REF!,#REF!,#REF!,#REF!,#REF!,#REF!,#REF!,#REF!,#REF!,#REF!</definedName>
    <definedName name="__APW_RESTORE_DATA2153__" hidden="1">#REF!,#REF!,#REF!,#REF!,#REF!,#REF!,#REF!,#REF!,#REF!,#REF!,#REF!,#REF!,#REF!,#REF!</definedName>
    <definedName name="__APW_RESTORE_DATA2154__" hidden="1">#REF!,#REF!,#REF!,#REF!,#REF!,#REF!,#REF!,#REF!,#REF!,#REF!,#REF!,#REF!,#REF!,#REF!</definedName>
    <definedName name="__APW_RESTORE_DATA2155__" hidden="1">#REF!,#REF!,#REF!,#REF!,#REF!,#REF!,#REF!,#REF!,#REF!,#REF!,#REF!,#REF!,#REF!,#REF!</definedName>
    <definedName name="__APW_RESTORE_DATA2156__" hidden="1">#REF!,#REF!,#REF!,#REF!,#REF!,#REF!,#REF!,#REF!,#REF!,#REF!,#REF!,#REF!,#REF!,#REF!</definedName>
    <definedName name="__APW_RESTORE_DATA2157__" hidden="1">#REF!,#REF!,#REF!,#REF!,#REF!,#REF!,#REF!,#REF!,#REF!,#REF!,#REF!,#REF!,#REF!,#REF!</definedName>
    <definedName name="__APW_RESTORE_DATA2158__" hidden="1">#REF!,#REF!,#REF!,#REF!,#REF!,#REF!,#REF!,#REF!,#REF!,#REF!,#REF!,#REF!,#REF!,#REF!</definedName>
    <definedName name="__APW_RESTORE_DATA2159__" hidden="1">#REF!,#REF!,#REF!,#REF!,#REF!,#REF!,#REF!,#REF!,#REF!,#REF!,#REF!,#REF!,#REF!,#REF!</definedName>
    <definedName name="__APW_RESTORE_DATA216__" hidden="1">#REF!,#REF!,#REF!,#REF!,#REF!,#REF!,#REF!,#REF!,#REF!,#REF!,#REF!,#REF!,#REF!,#REF!</definedName>
    <definedName name="__APW_RESTORE_DATA2160__" hidden="1">#REF!,#REF!,#REF!,#REF!,#REF!,#REF!,#REF!,#REF!,#REF!,#REF!,#REF!,#REF!,#REF!,#REF!</definedName>
    <definedName name="__APW_RESTORE_DATA2161__" hidden="1">#REF!,#REF!,#REF!,#REF!,#REF!,#REF!,#REF!,#REF!,#REF!,#REF!,#REF!,#REF!,#REF!,#REF!</definedName>
    <definedName name="__APW_RESTORE_DATA2162__" hidden="1">#REF!,#REF!,#REF!,#REF!,#REF!,#REF!,#REF!,#REF!,#REF!,#REF!,#REF!,#REF!,#REF!,#REF!</definedName>
    <definedName name="__APW_RESTORE_DATA2163__" hidden="1">#REF!,#REF!,#REF!,#REF!,#REF!,#REF!,#REF!,#REF!,#REF!,#REF!,#REF!,#REF!,#REF!,#REF!</definedName>
    <definedName name="__APW_RESTORE_DATA2164__" hidden="1">#REF!,#REF!,#REF!,#REF!,#REF!,#REF!,#REF!,#REF!,#REF!,#REF!,#REF!,#REF!,#REF!,#REF!</definedName>
    <definedName name="__APW_RESTORE_DATA2165__" hidden="1">#REF!,#REF!,#REF!,#REF!,#REF!,#REF!,#REF!,#REF!,#REF!,#REF!,#REF!,#REF!,#REF!,#REF!</definedName>
    <definedName name="__APW_RESTORE_DATA2166__" hidden="1">#REF!,#REF!,#REF!,#REF!,#REF!,#REF!,#REF!,#REF!,#REF!,#REF!,#REF!,#REF!,#REF!,#REF!</definedName>
    <definedName name="__APW_RESTORE_DATA2167__" hidden="1">#REF!,#REF!,#REF!,#REF!,#REF!,#REF!,#REF!,#REF!,#REF!,#REF!,#REF!,#REF!,#REF!,#REF!</definedName>
    <definedName name="__APW_RESTORE_DATA2168__" hidden="1">#REF!,#REF!,#REF!,#REF!,#REF!,#REF!,#REF!,#REF!,#REF!,#REF!,#REF!,#REF!,#REF!,#REF!</definedName>
    <definedName name="__APW_RESTORE_DATA2169__" hidden="1">#REF!,#REF!,#REF!,#REF!,#REF!,#REF!,#REF!,#REF!,#REF!,#REF!,#REF!,#REF!,#REF!,#REF!</definedName>
    <definedName name="__APW_RESTORE_DATA217__" hidden="1">#REF!,#REF!,#REF!,#REF!,#REF!,#REF!,#REF!,#REF!,#REF!,#REF!,#REF!,#REF!,#REF!,#REF!</definedName>
    <definedName name="__APW_RESTORE_DATA2170__" hidden="1">#REF!,#REF!,#REF!,#REF!,#REF!,#REF!,#REF!,#REF!,#REF!,#REF!,#REF!,#REF!,#REF!,#REF!</definedName>
    <definedName name="__APW_RESTORE_DATA2171__" hidden="1">#REF!,#REF!,#REF!,#REF!,#REF!,#REF!,#REF!</definedName>
    <definedName name="__APW_RESTORE_DATA218__" hidden="1">#REF!,#REF!,#REF!,#REF!,#REF!,#REF!,#REF!,#REF!,#REF!,#REF!,#REF!,#REF!,#REF!,#REF!</definedName>
    <definedName name="__APW_RESTORE_DATA219__" hidden="1">#REF!,#REF!,#REF!,#REF!,#REF!,#REF!,#REF!,#REF!,#REF!,#REF!,#REF!,#REF!,#REF!,#REF!</definedName>
    <definedName name="__APW_RESTORE_DATA22__" hidden="1">#REF!,#REF!,#REF!,#REF!,#REF!,#REF!,#REF!,#REF!,#REF!,#REF!,#REF!,#REF!,#REF!,#REF!</definedName>
    <definedName name="__APW_RESTORE_DATA220__" hidden="1">#REF!,#REF!,#REF!,#REF!,#REF!,#REF!,#REF!,#REF!,#REF!,#REF!,#REF!,#REF!,#REF!,#REF!</definedName>
    <definedName name="__APW_RESTORE_DATA221__" hidden="1">#REF!,#REF!,#REF!,#REF!,#REF!,#REF!,#REF!,#REF!,#REF!,#REF!,#REF!,#REF!,#REF!,#REF!</definedName>
    <definedName name="__APW_RESTORE_DATA222__" hidden="1">#REF!,#REF!,#REF!,#REF!,#REF!,#REF!,#REF!,#REF!,#REF!,#REF!,#REF!,#REF!,#REF!,#REF!</definedName>
    <definedName name="__APW_RESTORE_DATA223__" hidden="1">#REF!,#REF!,#REF!,#REF!,#REF!,#REF!,#REF!,#REF!,#REF!,#REF!,#REF!,#REF!,#REF!,#REF!</definedName>
    <definedName name="__APW_RESTORE_DATA224__" hidden="1">#REF!,#REF!,#REF!,#REF!,#REF!,#REF!,#REF!,#REF!,#REF!,#REF!,#REF!,#REF!,#REF!,#REF!</definedName>
    <definedName name="__APW_RESTORE_DATA225__" hidden="1">#REF!,#REF!,#REF!,#REF!,#REF!,#REF!,#REF!,#REF!,#REF!,#REF!,#REF!,#REF!,#REF!,#REF!</definedName>
    <definedName name="__APW_RESTORE_DATA226__" hidden="1">#REF!,#REF!,#REF!,#REF!,#REF!,#REF!,#REF!,#REF!,#REF!,#REF!,#REF!</definedName>
    <definedName name="__APW_RESTORE_DATA227__" hidden="1">#REF!,#REF!,#REF!,#REF!,#REF!,#REF!,#REF!,#REF!,#REF!,#REF!,#REF!,#REF!,#REF!,#REF!</definedName>
    <definedName name="__APW_RESTORE_DATA228__" hidden="1">#REF!,#REF!,#REF!,#REF!,#REF!,#REF!,#REF!,#REF!,#REF!,#REF!,#REF!,#REF!,#REF!,#REF!</definedName>
    <definedName name="__APW_RESTORE_DATA229__" hidden="1">#REF!,#REF!,#REF!,#REF!,#REF!,#REF!,#REF!,#REF!,#REF!,#REF!,#REF!,#REF!,#REF!,#REF!</definedName>
    <definedName name="__APW_RESTORE_DATA23__" hidden="1">#REF!,#REF!,#REF!,#REF!,#REF!,#REF!,#REF!,#REF!,#REF!,#REF!,#REF!,#REF!,#REF!,#REF!</definedName>
    <definedName name="__APW_RESTORE_DATA230__" hidden="1">#REF!,#REF!,#REF!,#REF!,#REF!,#REF!,#REF!,#REF!,#REF!,#REF!,#REF!,#REF!,#REF!,#REF!</definedName>
    <definedName name="__APW_RESTORE_DATA231__" hidden="1">#REF!,#REF!,#REF!,#REF!,#REF!,#REF!,#REF!,#REF!,#REF!,#REF!,#REF!,#REF!,#REF!,#REF!</definedName>
    <definedName name="__APW_RESTORE_DATA232__" hidden="1">#REF!,#REF!,#REF!,#REF!,#REF!,#REF!,#REF!,#REF!,#REF!,#REF!,#REF!,#REF!,#REF!,#REF!</definedName>
    <definedName name="__APW_RESTORE_DATA233__" hidden="1">#REF!,#REF!,#REF!,#REF!,#REF!,#REF!,#REF!,#REF!,#REF!,#REF!,#REF!,#REF!,#REF!,#REF!</definedName>
    <definedName name="__APW_RESTORE_DATA234__" hidden="1">#REF!,#REF!,#REF!,#REF!,#REF!,#REF!,#REF!,#REF!,#REF!,#REF!,#REF!,#REF!,#REF!,#REF!</definedName>
    <definedName name="__APW_RESTORE_DATA235__" hidden="1">#REF!,#REF!,#REF!,#REF!,#REF!,#REF!,#REF!,#REF!,#REF!,#REF!,#REF!,#REF!,#REF!,#REF!</definedName>
    <definedName name="__APW_RESTORE_DATA236__" hidden="1">#REF!,#REF!,#REF!,#REF!,#REF!,#REF!,#REF!,#REF!,#REF!,#REF!,#REF!,#REF!,#REF!,#REF!</definedName>
    <definedName name="__APW_RESTORE_DATA237__" hidden="1">#REF!,#REF!,#REF!,#REF!,#REF!,#REF!,#REF!,#REF!,#REF!,#REF!,#REF!,#REF!,#REF!,#REF!</definedName>
    <definedName name="__APW_RESTORE_DATA238__" hidden="1">#REF!,#REF!,#REF!,#REF!,#REF!,#REF!,#REF!,#REF!,#REF!,#REF!,#REF!,#REF!,#REF!,#REF!</definedName>
    <definedName name="__APW_RESTORE_DATA239__" hidden="1">#REF!,#REF!,#REF!,#REF!,#REF!,#REF!,#REF!,#REF!,#REF!,#REF!,#REF!,#REF!,#REF!,#REF!</definedName>
    <definedName name="__APW_RESTORE_DATA24__" hidden="1">#REF!,#REF!,#REF!,#REF!,#REF!,#REF!,#REF!,#REF!,#REF!,#REF!,#REF!,#REF!,#REF!,#REF!</definedName>
    <definedName name="__APW_RESTORE_DATA240__" hidden="1">#REF!,#REF!,#REF!,#REF!,#REF!,#REF!,#REF!,#REF!,#REF!,#REF!,#REF!,#REF!,#REF!,#REF!</definedName>
    <definedName name="__APW_RESTORE_DATA241__" hidden="1">#REF!,#REF!,#REF!,#REF!,#REF!,#REF!,#REF!,#REF!,#REF!,#REF!,#REF!,#REF!,#REF!,#REF!</definedName>
    <definedName name="__APW_RESTORE_DATA242__" hidden="1">#REF!,#REF!,#REF!,#REF!,#REF!,#REF!,#REF!,#REF!,#REF!,#REF!,#REF!,#REF!,#REF!,#REF!</definedName>
    <definedName name="__APW_RESTORE_DATA243__" hidden="1">#REF!,#REF!,#REF!,#REF!,#REF!,#REF!,#REF!,#REF!,#REF!,#REF!,#REF!,#REF!,#REF!,#REF!</definedName>
    <definedName name="__APW_RESTORE_DATA244__" hidden="1">#REF!,#REF!,#REF!,#REF!,#REF!,#REF!,#REF!,#REF!,#REF!,#REF!,#REF!,#REF!,#REF!,#REF!</definedName>
    <definedName name="__APW_RESTORE_DATA245__" hidden="1">#REF!,#REF!,#REF!,#REF!,#REF!,#REF!,#REF!,#REF!,#REF!,#REF!,#REF!,#REF!,#REF!,#REF!</definedName>
    <definedName name="__APW_RESTORE_DATA246__" hidden="1">#REF!,#REF!,#REF!,#REF!,#REF!,#REF!,#REF!,#REF!,#REF!,#REF!,#REF!,#REF!,#REF!,#REF!</definedName>
    <definedName name="__APW_RESTORE_DATA247__" hidden="1">#REF!,#REF!,#REF!,#REF!,#REF!,#REF!,#REF!,#REF!,#REF!,#REF!,#REF!,#REF!,#REF!,#REF!</definedName>
    <definedName name="__APW_RESTORE_DATA248__" hidden="1">#REF!,#REF!,#REF!,#REF!,#REF!,#REF!,#REF!,#REF!,#REF!,#REF!,#REF!,#REF!,#REF!,#REF!</definedName>
    <definedName name="__APW_RESTORE_DATA249__" hidden="1">#REF!,#REF!,#REF!,#REF!,#REF!,#REF!,#REF!,#REF!,#REF!,#REF!,#REF!,#REF!,#REF!,#REF!</definedName>
    <definedName name="__APW_RESTORE_DATA25__" hidden="1">#REF!,#REF!,#REF!,#REF!,#REF!</definedName>
    <definedName name="__APW_RESTORE_DATA250__" hidden="1">#REF!,#REF!,#REF!,#REF!,#REF!,#REF!,#REF!,#REF!,#REF!,#REF!,#REF!,#REF!,#REF!,#REF!</definedName>
    <definedName name="__APW_RESTORE_DATA251__" hidden="1">#REF!,#REF!,#REF!,#REF!,#REF!,#REF!,#REF!,#REF!,#REF!,#REF!,#REF!,#REF!,#REF!,#REF!</definedName>
    <definedName name="__APW_RESTORE_DATA252__" hidden="1">#REF!,#REF!,#REF!,#REF!,#REF!,#REF!,#REF!,#REF!,#REF!,#REF!,#REF!,#REF!,#REF!,#REF!</definedName>
    <definedName name="__APW_RESTORE_DATA253__" hidden="1">#REF!,#REF!,#REF!,#REF!,#REF!,#REF!,#REF!,#REF!,#REF!,#REF!,#REF!,#REF!,#REF!,#REF!</definedName>
    <definedName name="__APW_RESTORE_DATA254__" hidden="1">#REF!,#REF!,#REF!,#REF!,#REF!,#REF!,#REF!,#REF!,#REF!,#REF!,#REF!,#REF!,#REF!,#REF!</definedName>
    <definedName name="__APW_RESTORE_DATA255__" hidden="1">#REF!,#REF!,#REF!,#REF!,#REF!,#REF!,#REF!,#REF!,#REF!,#REF!,#REF!,#REF!,#REF!,#REF!</definedName>
    <definedName name="__APW_RESTORE_DATA256__" hidden="1">#REF!,#REF!,#REF!,#REF!,#REF!,#REF!,#REF!,#REF!,#REF!,#REF!,#REF!,#REF!,#REF!,#REF!</definedName>
    <definedName name="__APW_RESTORE_DATA257__" hidden="1">#REF!,#REF!,#REF!,#REF!,#REF!,#REF!,#REF!,#REF!,#REF!,#REF!,#REF!,#REF!,#REF!,#REF!</definedName>
    <definedName name="__APW_RESTORE_DATA258__" hidden="1">#REF!,#REF!,#REF!,#REF!,#REF!,#REF!,#REF!,#REF!,#REF!,#REF!,#REF!,#REF!,#REF!,#REF!</definedName>
    <definedName name="__APW_RESTORE_DATA259__" hidden="1">#REF!,#REF!,#REF!,#REF!,#REF!,#REF!,#REF!,#REF!,#REF!,#REF!,#REF!,#REF!,#REF!,#REF!</definedName>
    <definedName name="__APW_RESTORE_DATA26__" hidden="1">#REF!,#REF!,#REF!,#REF!,#REF!,#REF!,#REF!,#REF!,#REF!,#REF!,#REF!,#REF!,#REF!,#REF!,#REF!</definedName>
    <definedName name="__APW_RESTORE_DATA260__" hidden="1">#REF!,#REF!,#REF!,#REF!,#REF!,#REF!,#REF!,#REF!,#REF!,#REF!,#REF!,#REF!,#REF!,#REF!</definedName>
    <definedName name="__APW_RESTORE_DATA261__" hidden="1">#REF!,#REF!,#REF!,#REF!,#REF!,#REF!,#REF!,#REF!,#REF!,#REF!,#REF!</definedName>
    <definedName name="__APW_RESTORE_DATA262__" hidden="1">#REF!,#REF!,#REF!,#REF!,#REF!,#REF!,#REF!,#REF!,#REF!,#REF!,#REF!,#REF!,#REF!,#REF!</definedName>
    <definedName name="__APW_RESTORE_DATA263__" hidden="1">#REF!,#REF!,#REF!,#REF!,#REF!,#REF!,#REF!,#REF!,#REF!,#REF!,#REF!,#REF!,#REF!,#REF!</definedName>
    <definedName name="__APW_RESTORE_DATA264__" hidden="1">#REF!,#REF!,#REF!,#REF!,#REF!,#REF!,#REF!,#REF!,#REF!,#REF!,#REF!,#REF!,#REF!,#REF!</definedName>
    <definedName name="__APW_RESTORE_DATA265__" hidden="1">#REF!,#REF!,#REF!,#REF!,#REF!,#REF!,#REF!,#REF!,#REF!,#REF!,#REF!,#REF!,#REF!,#REF!</definedName>
    <definedName name="__APW_RESTORE_DATA266__" hidden="1">#REF!,#REF!,#REF!,#REF!,#REF!,#REF!,#REF!,#REF!,#REF!,#REF!,#REF!,#REF!,#REF!,#REF!</definedName>
    <definedName name="__APW_RESTORE_DATA267__" hidden="1">#REF!,#REF!,#REF!,#REF!,#REF!,#REF!,#REF!,#REF!,#REF!,#REF!,#REF!,#REF!,#REF!,#REF!</definedName>
    <definedName name="__APW_RESTORE_DATA268__" hidden="1">#REF!,#REF!,#REF!,#REF!,#REF!,#REF!,#REF!,#REF!,#REF!,#REF!,#REF!,#REF!,#REF!,#REF!</definedName>
    <definedName name="__APW_RESTORE_DATA269__" hidden="1">#REF!,#REF!,#REF!,#REF!,#REF!,#REF!,#REF!,#REF!,#REF!,#REF!,#REF!,#REF!,#REF!,#REF!</definedName>
    <definedName name="__APW_RESTORE_DATA27__" hidden="1">#REF!,#REF!,#REF!,#REF!,#REF!,#REF!,#REF!,#REF!,#REF!,#REF!,#REF!,#REF!,#REF!,#REF!,#REF!</definedName>
    <definedName name="__APW_RESTORE_DATA270__" hidden="1">#REF!,#REF!,#REF!,#REF!,#REF!,#REF!,#REF!,#REF!,#REF!,#REF!,#REF!,#REF!,#REF!,#REF!</definedName>
    <definedName name="__APW_RESTORE_DATA271__" hidden="1">#REF!,#REF!,#REF!,#REF!,#REF!,#REF!,#REF!,#REF!,#REF!,#REF!,#REF!,#REF!,#REF!,#REF!</definedName>
    <definedName name="__APW_RESTORE_DATA272__" hidden="1">#REF!,#REF!,#REF!,#REF!,#REF!,#REF!,#REF!,#REF!,#REF!,#REF!,#REF!,#REF!,#REF!,#REF!</definedName>
    <definedName name="__APW_RESTORE_DATA273__" hidden="1">#REF!,#REF!,#REF!,#REF!,#REF!,#REF!,#REF!,#REF!,#REF!,#REF!,#REF!,#REF!,#REF!,#REF!</definedName>
    <definedName name="__APW_RESTORE_DATA274__" hidden="1">#REF!,#REF!,#REF!,#REF!,#REF!,#REF!,#REF!,#REF!,#REF!,#REF!,#REF!,#REF!,#REF!,#REF!</definedName>
    <definedName name="__APW_RESTORE_DATA275__" hidden="1">#REF!,#REF!,#REF!,#REF!,#REF!,#REF!,#REF!,#REF!,#REF!,#REF!,#REF!,#REF!,#REF!,#REF!</definedName>
    <definedName name="__APW_RESTORE_DATA276__" hidden="1">#REF!,#REF!,#REF!,#REF!,#REF!,#REF!,#REF!,#REF!,#REF!,#REF!,#REF!,#REF!,#REF!,#REF!</definedName>
    <definedName name="__APW_RESTORE_DATA277__" hidden="1">#REF!,#REF!,#REF!,#REF!,#REF!,#REF!,#REF!,#REF!,#REF!,#REF!,#REF!,#REF!,#REF!,#REF!</definedName>
    <definedName name="__APW_RESTORE_DATA278__" hidden="1">#REF!,#REF!,#REF!,#REF!,#REF!,#REF!,#REF!,#REF!,#REF!,#REF!,#REF!,#REF!,#REF!,#REF!</definedName>
    <definedName name="__APW_RESTORE_DATA279__" hidden="1">#REF!,#REF!,#REF!,#REF!,#REF!,#REF!,#REF!,#REF!,#REF!,#REF!,#REF!,#REF!,#REF!,#REF!</definedName>
    <definedName name="__APW_RESTORE_DATA28__" hidden="1">#REF!,#REF!,#REF!,#REF!,#REF!,#REF!,#REF!,#REF!,#REF!,#REF!,#REF!,#REF!,#REF!,#REF!,#REF!</definedName>
    <definedName name="__APW_RESTORE_DATA280__" hidden="1">#REF!,#REF!,#REF!,#REF!,#REF!,#REF!,#REF!,#REF!,#REF!,#REF!,#REF!,#REF!,#REF!,#REF!</definedName>
    <definedName name="__APW_RESTORE_DATA281__" hidden="1">#REF!,#REF!,#REF!,#REF!,#REF!,#REF!,#REF!,#REF!,#REF!,#REF!,#REF!,#REF!,#REF!,#REF!</definedName>
    <definedName name="__APW_RESTORE_DATA282__" hidden="1">#REF!,#REF!,#REF!,#REF!,#REF!,#REF!,#REF!,#REF!,#REF!,#REF!,#REF!,#REF!,#REF!,#REF!</definedName>
    <definedName name="__APW_RESTORE_DATA283__" hidden="1">#REF!,#REF!,#REF!,#REF!,#REF!,#REF!,#REF!,#REF!,#REF!,#REF!,#REF!,#REF!,#REF!,#REF!</definedName>
    <definedName name="__APW_RESTORE_DATA284__" hidden="1">#REF!,#REF!,#REF!,#REF!,#REF!,#REF!,#REF!,#REF!,#REF!,#REF!,#REF!,#REF!,#REF!,#REF!</definedName>
    <definedName name="__APW_RESTORE_DATA285__" hidden="1">#REF!,#REF!,#REF!,#REF!,#REF!,#REF!,#REF!,#REF!,#REF!,#REF!,#REF!,#REF!,#REF!,#REF!</definedName>
    <definedName name="__APW_RESTORE_DATA286__" hidden="1">#REF!,#REF!,#REF!,#REF!,#REF!,#REF!,#REF!,#REF!,#REF!,#REF!,#REF!,#REF!,#REF!,#REF!</definedName>
    <definedName name="__APW_RESTORE_DATA287__" hidden="1">#REF!,#REF!,#REF!,#REF!,#REF!,#REF!,#REF!,#REF!,#REF!,#REF!,#REF!,#REF!,#REF!,#REF!</definedName>
    <definedName name="__APW_RESTORE_DATA288__" hidden="1">#REF!,#REF!,#REF!,#REF!,#REF!,#REF!,#REF!,#REF!,#REF!,#REF!,#REF!,#REF!,#REF!,#REF!</definedName>
    <definedName name="__APW_RESTORE_DATA289__" hidden="1">#REF!,#REF!,#REF!,#REF!,#REF!,#REF!,#REF!,#REF!,#REF!,#REF!,#REF!,#REF!,#REF!,#REF!</definedName>
    <definedName name="__APW_RESTORE_DATA29__" hidden="1">#REF!,#REF!,#REF!,#REF!,#REF!,#REF!,#REF!,#REF!,#REF!,#REF!,#REF!,#REF!,#REF!,#REF!</definedName>
    <definedName name="__APW_RESTORE_DATA290__" hidden="1">#REF!,#REF!,#REF!,#REF!,#REF!,#REF!,#REF!,#REF!,#REF!,#REF!,#REF!,#REF!,#REF!,#REF!</definedName>
    <definedName name="__APW_RESTORE_DATA291__" hidden="1">#REF!,#REF!,#REF!,#REF!,#REF!,#REF!,#REF!,#REF!,#REF!,#REF!,#REF!,#REF!,#REF!,#REF!</definedName>
    <definedName name="__APW_RESTORE_DATA292__" hidden="1">#REF!,#REF!,#REF!,#REF!,#REF!,#REF!,#REF!,#REF!,#REF!,#REF!,#REF!,#REF!,#REF!,#REF!</definedName>
    <definedName name="__APW_RESTORE_DATA293__" hidden="1">#REF!,#REF!,#REF!,#REF!,#REF!,#REF!,#REF!,#REF!,#REF!,#REF!,#REF!,#REF!,#REF!,#REF!</definedName>
    <definedName name="__APW_RESTORE_DATA294__" hidden="1">#REF!,#REF!,#REF!,#REF!,#REF!,#REF!,#REF!,#REF!,#REF!,#REF!,#REF!,#REF!,#REF!,#REF!</definedName>
    <definedName name="__APW_RESTORE_DATA295__" hidden="1">#REF!,#REF!,#REF!,#REF!,#REF!,#REF!,#REF!,#REF!,#REF!,#REF!,#REF!,#REF!,#REF!,#REF!</definedName>
    <definedName name="__APW_RESTORE_DATA296__" hidden="1">#REF!,#REF!,#REF!,#REF!,#REF!,#REF!,#REF!,#REF!,#REF!,#REF!,#REF!</definedName>
    <definedName name="__APW_RESTORE_DATA297__" hidden="1">#REF!,#REF!,#REF!,#REF!,#REF!,#REF!,#REF!,#REF!,#REF!,#REF!,#REF!,#REF!,#REF!,#REF!</definedName>
    <definedName name="__APW_RESTORE_DATA298__" hidden="1">#REF!,#REF!,#REF!,#REF!,#REF!,#REF!,#REF!,#REF!,#REF!,#REF!,#REF!,#REF!,#REF!,#REF!</definedName>
    <definedName name="__APW_RESTORE_DATA299__" hidden="1">#REF!,#REF!,#REF!,#REF!,#REF!,#REF!,#REF!,#REF!,#REF!,#REF!,#REF!,#REF!,#REF!,#REF!</definedName>
    <definedName name="__APW_RESTORE_DATA3__" hidden="1">#REF!,#REF!,#REF!,#REF!,#REF!,#REF!,#REF!,#REF!,#REF!,#REF!,#REF!,#REF!,#REF!,#REF!,#REF!</definedName>
    <definedName name="__APW_RESTORE_DATA30__" hidden="1">#REF!,#REF!,#REF!,#REF!,#REF!,#REF!,#REF!,#REF!,#REF!,#REF!,#REF!,#REF!,#REF!,#REF!</definedName>
    <definedName name="__APW_RESTORE_DATA300__" hidden="1">#REF!,#REF!,#REF!,#REF!,#REF!,#REF!,#REF!,#REF!,#REF!,#REF!,#REF!,#REF!,#REF!,#REF!</definedName>
    <definedName name="__APW_RESTORE_DATA301__" hidden="1">#REF!,#REF!,#REF!,#REF!,#REF!,#REF!,#REF!,#REF!,#REF!,#REF!,#REF!,#REF!,#REF!,#REF!</definedName>
    <definedName name="__APW_RESTORE_DATA302__" hidden="1">#REF!,#REF!,#REF!,#REF!,#REF!,#REF!,#REF!,#REF!,#REF!,#REF!,#REF!,#REF!,#REF!,#REF!</definedName>
    <definedName name="__APW_RESTORE_DATA303__" hidden="1">#REF!,#REF!,#REF!,#REF!,#REF!,#REF!,#REF!,#REF!,#REF!,#REF!,#REF!,#REF!,#REF!,#REF!</definedName>
    <definedName name="__APW_RESTORE_DATA304__" hidden="1">#REF!,#REF!,#REF!,#REF!,#REF!,#REF!,#REF!,#REF!,#REF!,#REF!,#REF!,#REF!,#REF!,#REF!</definedName>
    <definedName name="__APW_RESTORE_DATA305__" hidden="1">#REF!,#REF!,#REF!,#REF!,#REF!,#REF!,#REF!,#REF!,#REF!,#REF!,#REF!,#REF!,#REF!,#REF!</definedName>
    <definedName name="__APW_RESTORE_DATA306__" hidden="1">#REF!,#REF!,#REF!,#REF!,#REF!,#REF!,#REF!,#REF!,#REF!,#REF!,#REF!,#REF!,#REF!,#REF!</definedName>
    <definedName name="__APW_RESTORE_DATA307__" hidden="1">#REF!,#REF!,#REF!,#REF!,#REF!,#REF!,#REF!,#REF!,#REF!,#REF!,#REF!,#REF!,#REF!,#REF!</definedName>
    <definedName name="__APW_RESTORE_DATA308__" hidden="1">#REF!,#REF!,#REF!,#REF!,#REF!,#REF!,#REF!,#REF!,#REF!,#REF!,#REF!,#REF!,#REF!,#REF!</definedName>
    <definedName name="__APW_RESTORE_DATA309__" hidden="1">#REF!,#REF!,#REF!,#REF!,#REF!,#REF!,#REF!,#REF!,#REF!,#REF!,#REF!,#REF!,#REF!,#REF!</definedName>
    <definedName name="__APW_RESTORE_DATA31__" hidden="1">#REF!,#REF!,#REF!,#REF!,#REF!,#REF!,#REF!,#REF!,#REF!,#REF!,#REF!,#REF!,#REF!,#REF!</definedName>
    <definedName name="__APW_RESTORE_DATA310__" hidden="1">#REF!,#REF!,#REF!,#REF!,#REF!,#REF!,#REF!,#REF!,#REF!,#REF!,#REF!,#REF!,#REF!,#REF!</definedName>
    <definedName name="__APW_RESTORE_DATA311__" hidden="1">#REF!,#REF!,#REF!,#REF!,#REF!,#REF!,#REF!,#REF!,#REF!,#REF!,#REF!,#REF!,#REF!,#REF!</definedName>
    <definedName name="__APW_RESTORE_DATA312__" hidden="1">#REF!,#REF!,#REF!,#REF!,#REF!,#REF!,#REF!,#REF!,#REF!,#REF!,#REF!,#REF!,#REF!,#REF!</definedName>
    <definedName name="__APW_RESTORE_DATA313__" hidden="1">#REF!,#REF!,#REF!,#REF!,#REF!,#REF!,#REF!,#REF!,#REF!,#REF!,#REF!,#REF!,#REF!,#REF!</definedName>
    <definedName name="__APW_RESTORE_DATA314__" hidden="1">#REF!,#REF!,#REF!,#REF!,#REF!,#REF!,#REF!,#REF!,#REF!,#REF!,#REF!,#REF!,#REF!,#REF!</definedName>
    <definedName name="__APW_RESTORE_DATA315__" hidden="1">#REF!,#REF!,#REF!,#REF!,#REF!,#REF!,#REF!,#REF!,#REF!,#REF!,#REF!,#REF!,#REF!,#REF!</definedName>
    <definedName name="__APW_RESTORE_DATA316__" hidden="1">#REF!,#REF!,#REF!,#REF!,#REF!,#REF!,#REF!,#REF!,#REF!,#REF!,#REF!,#REF!,#REF!,#REF!</definedName>
    <definedName name="__APW_RESTORE_DATA317__" hidden="1">#REF!,#REF!,#REF!,#REF!,#REF!,#REF!,#REF!,#REF!,#REF!,#REF!,#REF!,#REF!,#REF!,#REF!</definedName>
    <definedName name="__APW_RESTORE_DATA318__" hidden="1">#REF!,#REF!,#REF!,#REF!,#REF!,#REF!,#REF!,#REF!,#REF!,#REF!,#REF!,#REF!,#REF!,#REF!</definedName>
    <definedName name="__APW_RESTORE_DATA319__" hidden="1">#REF!,#REF!,#REF!,#REF!,#REF!,#REF!,#REF!,#REF!,#REF!,#REF!,#REF!,#REF!,#REF!,#REF!</definedName>
    <definedName name="__APW_RESTORE_DATA32__" hidden="1">#REF!,#REF!,#REF!,#REF!,#REF!,#REF!,#REF!,#REF!,#REF!,#REF!,#REF!,#REF!,#REF!,#REF!</definedName>
    <definedName name="__APW_RESTORE_DATA320__" hidden="1">#REF!,#REF!,#REF!,#REF!,#REF!,#REF!,#REF!,#REF!,#REF!,#REF!,#REF!,#REF!,#REF!,#REF!</definedName>
    <definedName name="__APW_RESTORE_DATA321__" hidden="1">#REF!,#REF!,#REF!,#REF!,#REF!,#REF!,#REF!,#REF!,#REF!,#REF!,#REF!,#REF!,#REF!,#REF!</definedName>
    <definedName name="__APW_RESTORE_DATA322__" hidden="1">#REF!,#REF!,#REF!,#REF!,#REF!,#REF!,#REF!,#REF!,#REF!,#REF!,#REF!,#REF!,#REF!,#REF!</definedName>
    <definedName name="__APW_RESTORE_DATA323__" hidden="1">#REF!,#REF!,#REF!,#REF!,#REF!,#REF!,#REF!,#REF!,#REF!,#REF!,#REF!,#REF!,#REF!,#REF!</definedName>
    <definedName name="__APW_RESTORE_DATA324__" hidden="1">#REF!,#REF!,#REF!,#REF!,#REF!,#REF!,#REF!,#REF!,#REF!,#REF!,#REF!,#REF!,#REF!,#REF!</definedName>
    <definedName name="__APW_RESTORE_DATA325__" hidden="1">#REF!,#REF!,#REF!,#REF!,#REF!,#REF!,#REF!,#REF!,#REF!,#REF!,#REF!,#REF!,#REF!,#REF!</definedName>
    <definedName name="__APW_RESTORE_DATA326__" hidden="1">#REF!,#REF!,#REF!,#REF!,#REF!,#REF!,#REF!,#REF!,#REF!,#REF!,#REF!,#REF!,#REF!,#REF!</definedName>
    <definedName name="__APW_RESTORE_DATA327__" hidden="1">#REF!,#REF!,#REF!,#REF!,#REF!,#REF!,#REF!,#REF!,#REF!,#REF!,#REF!,#REF!,#REF!,#REF!</definedName>
    <definedName name="__APW_RESTORE_DATA328__" hidden="1">#REF!,#REF!,#REF!,#REF!,#REF!,#REF!,#REF!,#REF!,#REF!,#REF!,#REF!,#REF!,#REF!,#REF!</definedName>
    <definedName name="__APW_RESTORE_DATA329__" hidden="1">#REF!,#REF!,#REF!,#REF!,#REF!,#REF!,#REF!,#REF!,#REF!,#REF!,#REF!,#REF!,#REF!,#REF!</definedName>
    <definedName name="__APW_RESTORE_DATA33__" hidden="1">#REF!,#REF!,#REF!,#REF!,#REF!,#REF!,#REF!,#REF!,#REF!,#REF!,#REF!,#REF!,#REF!,#REF!</definedName>
    <definedName name="__APW_RESTORE_DATA330__" hidden="1">#REF!,#REF!,#REF!,#REF!,#REF!,#REF!,#REF!,#REF!,#REF!,#REF!,#REF!,#REF!,#REF!,#REF!</definedName>
    <definedName name="__APW_RESTORE_DATA331__" hidden="1">#REF!,#REF!,#REF!,#REF!,#REF!,#REF!,#REF!,#REF!,#REF!,#REF!,#REF!</definedName>
    <definedName name="__APW_RESTORE_DATA332__" hidden="1">#REF!,#REF!,#REF!,#REF!,#REF!,#REF!,#REF!,#REF!,#REF!,#REF!,#REF!,#REF!,#REF!,#REF!</definedName>
    <definedName name="__APW_RESTORE_DATA333__" hidden="1">#REF!,#REF!,#REF!,#REF!,#REF!,#REF!,#REF!,#REF!,#REF!,#REF!,#REF!,#REF!,#REF!,#REF!</definedName>
    <definedName name="__APW_RESTORE_DATA334__" hidden="1">#REF!,#REF!,#REF!,#REF!,#REF!,#REF!,#REF!,#REF!,#REF!,#REF!,#REF!,#REF!,#REF!,#REF!</definedName>
    <definedName name="__APW_RESTORE_DATA335__" hidden="1">#REF!,#REF!,#REF!,#REF!,#REF!,#REF!,#REF!,#REF!,#REF!,#REF!,#REF!,#REF!,#REF!,#REF!</definedName>
    <definedName name="__APW_RESTORE_DATA336__" hidden="1">#REF!,#REF!,#REF!,#REF!,#REF!,#REF!,#REF!,#REF!,#REF!,#REF!,#REF!,#REF!,#REF!,#REF!</definedName>
    <definedName name="__APW_RESTORE_DATA337__" hidden="1">#REF!,#REF!,#REF!,#REF!,#REF!,#REF!,#REF!,#REF!,#REF!,#REF!,#REF!,#REF!,#REF!,#REF!</definedName>
    <definedName name="__APW_RESTORE_DATA338__" hidden="1">#REF!,#REF!,#REF!,#REF!,#REF!,#REF!,#REF!,#REF!,#REF!,#REF!,#REF!,#REF!,#REF!,#REF!</definedName>
    <definedName name="__APW_RESTORE_DATA339__" hidden="1">#REF!,#REF!,#REF!,#REF!,#REF!,#REF!,#REF!,#REF!,#REF!,#REF!,#REF!,#REF!,#REF!,#REF!</definedName>
    <definedName name="__APW_RESTORE_DATA34__" hidden="1">#REF!,#REF!,#REF!,#REF!,#REF!,#REF!,#REF!,#REF!,#REF!,#REF!,#REF!,#REF!,#REF!,#REF!</definedName>
    <definedName name="__APW_RESTORE_DATA340__" hidden="1">#REF!,#REF!,#REF!,#REF!,#REF!,#REF!,#REF!,#REF!,#REF!,#REF!,#REF!,#REF!,#REF!,#REF!</definedName>
    <definedName name="__APW_RESTORE_DATA341__" hidden="1">#REF!,#REF!,#REF!,#REF!,#REF!,#REF!,#REF!,#REF!,#REF!,#REF!,#REF!,#REF!,#REF!,#REF!</definedName>
    <definedName name="__APW_RESTORE_DATA342__" hidden="1">#REF!,#REF!,#REF!,#REF!,#REF!,#REF!,#REF!,#REF!,#REF!,#REF!,#REF!,#REF!,#REF!,#REF!</definedName>
    <definedName name="__APW_RESTORE_DATA343__" hidden="1">#REF!,#REF!,#REF!,#REF!,#REF!,#REF!,#REF!,#REF!,#REF!,#REF!,#REF!,#REF!,#REF!,#REF!</definedName>
    <definedName name="__APW_RESTORE_DATA344__" hidden="1">#REF!,#REF!,#REF!,#REF!,#REF!,#REF!,#REF!,#REF!,#REF!,#REF!,#REF!,#REF!,#REF!,#REF!</definedName>
    <definedName name="__APW_RESTORE_DATA345__" hidden="1">#REF!,#REF!,#REF!,#REF!,#REF!,#REF!,#REF!,#REF!,#REF!,#REF!,#REF!,#REF!,#REF!,#REF!</definedName>
    <definedName name="__APW_RESTORE_DATA346__" hidden="1">#REF!,#REF!,#REF!,#REF!,#REF!,#REF!,#REF!,#REF!,#REF!,#REF!,#REF!,#REF!,#REF!,#REF!</definedName>
    <definedName name="__APW_RESTORE_DATA347__" hidden="1">#REF!,#REF!,#REF!,#REF!,#REF!,#REF!,#REF!,#REF!,#REF!,#REF!,#REF!,#REF!,#REF!,#REF!</definedName>
    <definedName name="__APW_RESTORE_DATA348__" hidden="1">#REF!,#REF!,#REF!,#REF!,#REF!,#REF!,#REF!,#REF!,#REF!,#REF!,#REF!,#REF!,#REF!,#REF!</definedName>
    <definedName name="__APW_RESTORE_DATA349__" hidden="1">#REF!,#REF!,#REF!,#REF!,#REF!,#REF!,#REF!,#REF!,#REF!,#REF!,#REF!,#REF!,#REF!,#REF!</definedName>
    <definedName name="__APW_RESTORE_DATA35__" hidden="1">#REF!,#REF!,#REF!,#REF!,#REF!,#REF!,#REF!,#REF!,#REF!,#REF!,#REF!,#REF!,#REF!,#REF!</definedName>
    <definedName name="__APW_RESTORE_DATA350__" hidden="1">#REF!,#REF!,#REF!,#REF!,#REF!,#REF!,#REF!,#REF!,#REF!,#REF!,#REF!,#REF!,#REF!,#REF!</definedName>
    <definedName name="__APW_RESTORE_DATA351__" hidden="1">#REF!,#REF!,#REF!,#REF!,#REF!,#REF!,#REF!,#REF!,#REF!,#REF!,#REF!,#REF!,#REF!,#REF!</definedName>
    <definedName name="__APW_RESTORE_DATA352__" hidden="1">#REF!,#REF!,#REF!,#REF!,#REF!,#REF!,#REF!,#REF!,#REF!,#REF!,#REF!,#REF!,#REF!,#REF!</definedName>
    <definedName name="__APW_RESTORE_DATA353__" hidden="1">#REF!,#REF!,#REF!,#REF!,#REF!,#REF!,#REF!,#REF!,#REF!,#REF!,#REF!,#REF!,#REF!,#REF!</definedName>
    <definedName name="__APW_RESTORE_DATA354__" hidden="1">#REF!,#REF!,#REF!,#REF!,#REF!,#REF!,#REF!,#REF!,#REF!,#REF!,#REF!,#REF!,#REF!,#REF!</definedName>
    <definedName name="__APW_RESTORE_DATA355__" hidden="1">#REF!,#REF!,#REF!,#REF!,#REF!,#REF!,#REF!,#REF!,#REF!,#REF!,#REF!,#REF!,#REF!,#REF!</definedName>
    <definedName name="__APW_RESTORE_DATA356__" hidden="1">#REF!,#REF!,#REF!,#REF!,#REF!,#REF!,#REF!,#REF!,#REF!,#REF!,#REF!,#REF!,#REF!,#REF!</definedName>
    <definedName name="__APW_RESTORE_DATA357__" hidden="1">#REF!,#REF!,#REF!,#REF!,#REF!,#REF!,#REF!,#REF!,#REF!,#REF!,#REF!,#REF!,#REF!,#REF!</definedName>
    <definedName name="__APW_RESTORE_DATA358__" hidden="1">#REF!,#REF!,#REF!,#REF!,#REF!,#REF!,#REF!,#REF!,#REF!,#REF!,#REF!,#REF!,#REF!,#REF!</definedName>
    <definedName name="__APW_RESTORE_DATA359__" hidden="1">#REF!,#REF!,#REF!,#REF!,#REF!,#REF!,#REF!,#REF!,#REF!,#REF!,#REF!,#REF!,#REF!,#REF!</definedName>
    <definedName name="__APW_RESTORE_DATA36__" hidden="1">#REF!,#REF!,#REF!,#REF!,#REF!,#REF!,#REF!,#REF!,#REF!,#REF!,#REF!,#REF!,#REF!,#REF!</definedName>
    <definedName name="__APW_RESTORE_DATA360__" hidden="1">#REF!,#REF!,#REF!,#REF!,#REF!,#REF!,#REF!,#REF!,#REF!,#REF!,#REF!,#REF!,#REF!,#REF!</definedName>
    <definedName name="__APW_RESTORE_DATA361__" hidden="1">#REF!,#REF!,#REF!,#REF!,#REF!,#REF!,#REF!,#REF!,#REF!,#REF!,#REF!,#REF!,#REF!,#REF!</definedName>
    <definedName name="__APW_RESTORE_DATA362__" hidden="1">#REF!,#REF!,#REF!,#REF!,#REF!,#REF!,#REF!,#REF!,#REF!,#REF!,#REF!,#REF!,#REF!,#REF!</definedName>
    <definedName name="__APW_RESTORE_DATA363__" hidden="1">#REF!,#REF!,#REF!,#REF!,#REF!,#REF!,#REF!,#REF!,#REF!,#REF!,#REF!,#REF!,#REF!,#REF!</definedName>
    <definedName name="__APW_RESTORE_DATA364__" hidden="1">#REF!,#REF!,#REF!,#REF!,#REF!,#REF!,#REF!,#REF!,#REF!,#REF!,#REF!,#REF!,#REF!,#REF!</definedName>
    <definedName name="__APW_RESTORE_DATA365__" hidden="1">#REF!,#REF!,#REF!,#REF!,#REF!,#REF!,#REF!,#REF!,#REF!,#REF!,#REF!,#REF!,#REF!,#REF!</definedName>
    <definedName name="__APW_RESTORE_DATA366__" hidden="1">#REF!,#REF!,#REF!,#REF!,#REF!,#REF!,#REF!,#REF!,#REF!,#REF!,#REF!</definedName>
    <definedName name="__APW_RESTORE_DATA367__" hidden="1">#REF!,#REF!,#REF!,#REF!,#REF!,#REF!,#REF!,#REF!,#REF!,#REF!,#REF!,#REF!,#REF!,#REF!</definedName>
    <definedName name="__APW_RESTORE_DATA368__" hidden="1">#REF!,#REF!,#REF!,#REF!,#REF!,#REF!,#REF!,#REF!,#REF!,#REF!,#REF!,#REF!,#REF!,#REF!</definedName>
    <definedName name="__APW_RESTORE_DATA369__" hidden="1">#REF!,#REF!,#REF!,#REF!,#REF!,#REF!,#REF!,#REF!,#REF!,#REF!,#REF!,#REF!,#REF!,#REF!</definedName>
    <definedName name="__APW_RESTORE_DATA37__" hidden="1">#REF!,#REF!,#REF!,#REF!,#REF!</definedName>
    <definedName name="__APW_RESTORE_DATA370__" hidden="1">#REF!,#REF!,#REF!,#REF!,#REF!,#REF!,#REF!,#REF!,#REF!,#REF!,#REF!,#REF!,#REF!,#REF!</definedName>
    <definedName name="__APW_RESTORE_DATA371__" hidden="1">#REF!,#REF!,#REF!,#REF!,#REF!,#REF!,#REF!,#REF!,#REF!,#REF!,#REF!,#REF!,#REF!,#REF!</definedName>
    <definedName name="__APW_RESTORE_DATA372__" hidden="1">#REF!,#REF!,#REF!,#REF!,#REF!,#REF!,#REF!,#REF!,#REF!,#REF!,#REF!,#REF!,#REF!,#REF!</definedName>
    <definedName name="__APW_RESTORE_DATA373__" hidden="1">#REF!,#REF!,#REF!,#REF!,#REF!,#REF!,#REF!,#REF!,#REF!,#REF!,#REF!,#REF!,#REF!,#REF!</definedName>
    <definedName name="__APW_RESTORE_DATA374__" hidden="1">#REF!,#REF!,#REF!,#REF!,#REF!,#REF!,#REF!,#REF!,#REF!,#REF!,#REF!,#REF!,#REF!,#REF!</definedName>
    <definedName name="__APW_RESTORE_DATA375__" hidden="1">#REF!,#REF!,#REF!,#REF!,#REF!,#REF!,#REF!,#REF!,#REF!,#REF!,#REF!,#REF!,#REF!,#REF!</definedName>
    <definedName name="__APW_RESTORE_DATA376__" hidden="1">#REF!,#REF!,#REF!,#REF!,#REF!,#REF!,#REF!,#REF!,#REF!,#REF!,#REF!,#REF!,#REF!,#REF!</definedName>
    <definedName name="__APW_RESTORE_DATA377__" hidden="1">#REF!,#REF!,#REF!,#REF!,#REF!,#REF!,#REF!,#REF!,#REF!,#REF!,#REF!,#REF!,#REF!,#REF!</definedName>
    <definedName name="__APW_RESTORE_DATA378__" hidden="1">#REF!,#REF!,#REF!,#REF!,#REF!,#REF!,#REF!,#REF!,#REF!,#REF!,#REF!,#REF!,#REF!,#REF!</definedName>
    <definedName name="__APW_RESTORE_DATA379__" hidden="1">#REF!,#REF!,#REF!,#REF!,#REF!,#REF!,#REF!,#REF!,#REF!,#REF!,#REF!,#REF!,#REF!,#REF!</definedName>
    <definedName name="__APW_RESTORE_DATA380__" hidden="1">#REF!,#REF!,#REF!,#REF!,#REF!,#REF!,#REF!,#REF!,#REF!,#REF!,#REF!,#REF!,#REF!,#REF!</definedName>
    <definedName name="__APW_RESTORE_DATA381__" hidden="1">#REF!,#REF!,#REF!,#REF!,#REF!,#REF!,#REF!,#REF!,#REF!,#REF!,#REF!,#REF!,#REF!,#REF!</definedName>
    <definedName name="__APW_RESTORE_DATA382__" hidden="1">#REF!,#REF!,#REF!,#REF!,#REF!,#REF!,#REF!,#REF!,#REF!,#REF!,#REF!,#REF!,#REF!,#REF!</definedName>
    <definedName name="__APW_RESTORE_DATA383__" hidden="1">#REF!,#REF!,#REF!,#REF!,#REF!,#REF!,#REF!,#REF!,#REF!,#REF!,#REF!,#REF!,#REF!,#REF!</definedName>
    <definedName name="__APW_RESTORE_DATA384__" hidden="1">#REF!,#REF!,#REF!,#REF!,#REF!,#REF!,#REF!,#REF!,#REF!,#REF!,#REF!,#REF!,#REF!,#REF!</definedName>
    <definedName name="__APW_RESTORE_DATA385__" hidden="1">#REF!,#REF!,#REF!,#REF!,#REF!,#REF!,#REF!,#REF!,#REF!,#REF!,#REF!,#REF!,#REF!,#REF!</definedName>
    <definedName name="__APW_RESTORE_DATA386__" hidden="1">#REF!,#REF!,#REF!,#REF!,#REF!,#REF!,#REF!,#REF!,#REF!,#REF!,#REF!,#REF!,#REF!,#REF!</definedName>
    <definedName name="__APW_RESTORE_DATA387__" hidden="1">#REF!,#REF!,#REF!,#REF!,#REF!,#REF!,#REF!,#REF!,#REF!,#REF!,#REF!,#REF!,#REF!,#REF!</definedName>
    <definedName name="__APW_RESTORE_DATA388__" hidden="1">#REF!,#REF!,#REF!,#REF!,#REF!,#REF!,#REF!,#REF!,#REF!,#REF!,#REF!,#REF!,#REF!,#REF!</definedName>
    <definedName name="__APW_RESTORE_DATA389__" hidden="1">#REF!,#REF!,#REF!,#REF!,#REF!,#REF!,#REF!,#REF!,#REF!,#REF!,#REF!,#REF!,#REF!,#REF!</definedName>
    <definedName name="__APW_RESTORE_DATA390__" hidden="1">#REF!,#REF!,#REF!,#REF!,#REF!,#REF!,#REF!,#REF!,#REF!,#REF!,#REF!,#REF!,#REF!,#REF!</definedName>
    <definedName name="__APW_RESTORE_DATA391__" hidden="1">#REF!,#REF!,#REF!,#REF!,#REF!,#REF!,#REF!,#REF!,#REF!,#REF!,#REF!,#REF!,#REF!,#REF!</definedName>
    <definedName name="__APW_RESTORE_DATA392__" hidden="1">#REF!,#REF!,#REF!,#REF!,#REF!,#REF!,#REF!,#REF!,#REF!,#REF!,#REF!,#REF!,#REF!,#REF!</definedName>
    <definedName name="__APW_RESTORE_DATA393__" hidden="1">#REF!,#REF!,#REF!,#REF!,#REF!,#REF!,#REF!,#REF!,#REF!,#REF!,#REF!,#REF!,#REF!,#REF!</definedName>
    <definedName name="__APW_RESTORE_DATA394__" hidden="1">#REF!,#REF!,#REF!,#REF!,#REF!,#REF!,#REF!,#REF!,#REF!,#REF!,#REF!,#REF!,#REF!,#REF!</definedName>
    <definedName name="__APW_RESTORE_DATA395__" hidden="1">#REF!,#REF!,#REF!,#REF!,#REF!,#REF!,#REF!,#REF!,#REF!,#REF!,#REF!,#REF!,#REF!,#REF!</definedName>
    <definedName name="__APW_RESTORE_DATA396__" hidden="1">#REF!,#REF!,#REF!,#REF!,#REF!,#REF!,#REF!,#REF!,#REF!,#REF!,#REF!,#REF!,#REF!,#REF!</definedName>
    <definedName name="__APW_RESTORE_DATA397__" hidden="1">#REF!,#REF!,#REF!,#REF!,#REF!,#REF!,#REF!,#REF!,#REF!,#REF!,#REF!,#REF!,#REF!,#REF!</definedName>
    <definedName name="__APW_RESTORE_DATA398__" hidden="1">#REF!,#REF!,#REF!,#REF!,#REF!,#REF!,#REF!,#REF!,#REF!,#REF!,#REF!,#REF!,#REF!,#REF!</definedName>
    <definedName name="__APW_RESTORE_DATA399__" hidden="1">#REF!,#REF!,#REF!,#REF!,#REF!,#REF!,#REF!,#REF!,#REF!,#REF!,#REF!,#REF!,#REF!,#REF!</definedName>
    <definedName name="__APW_RESTORE_DATA4__" hidden="1">#REF!,#REF!,#REF!,#REF!,#REF!,#REF!,#REF!,#REF!,#REF!,#REF!,#REF!,#REF!,#REF!,#REF!,#REF!</definedName>
    <definedName name="__APW_RESTORE_DATA400__" hidden="1">#REF!,#REF!,#REF!,#REF!,#REF!,#REF!,#REF!,#REF!,#REF!,#REF!,#REF!,#REF!,#REF!,#REF!</definedName>
    <definedName name="__APW_RESTORE_DATA401__" hidden="1">#REF!,#REF!,#REF!,#REF!,#REF!,#REF!,#REF!,#REF!,#REF!,#REF!,#REF!</definedName>
    <definedName name="__APW_RESTORE_DATA402__" hidden="1">#REF!,#REF!,#REF!,#REF!,#REF!,#REF!,#REF!,#REF!,#REF!,#REF!,#REF!,#REF!,#REF!,#REF!</definedName>
    <definedName name="__APW_RESTORE_DATA403__" hidden="1">#REF!,#REF!,#REF!,#REF!,#REF!,#REF!,#REF!,#REF!,#REF!,#REF!,#REF!,#REF!,#REF!,#REF!</definedName>
    <definedName name="__APW_RESTORE_DATA404__" hidden="1">#REF!,#REF!,#REF!,#REF!,#REF!,#REF!,#REF!,#REF!,#REF!,#REF!,#REF!,#REF!,#REF!,#REF!</definedName>
    <definedName name="__APW_RESTORE_DATA405__" hidden="1">#REF!,#REF!,#REF!,#REF!,#REF!,#REF!,#REF!,#REF!,#REF!,#REF!,#REF!,#REF!,#REF!,#REF!</definedName>
    <definedName name="__APW_RESTORE_DATA406__" hidden="1">#REF!,#REF!,#REF!,#REF!,#REF!,#REF!,#REF!,#REF!,#REF!,#REF!,#REF!,#REF!,#REF!,#REF!</definedName>
    <definedName name="__APW_RESTORE_DATA407__" hidden="1">#REF!,#REF!,#REF!,#REF!,#REF!,#REF!,#REF!,#REF!,#REF!,#REF!,#REF!,#REF!,#REF!,#REF!</definedName>
    <definedName name="__APW_RESTORE_DATA408__" hidden="1">#REF!,#REF!,#REF!,#REF!,#REF!,#REF!,#REF!,#REF!,#REF!,#REF!,#REF!,#REF!,#REF!,#REF!</definedName>
    <definedName name="__APW_RESTORE_DATA409__" hidden="1">#REF!,#REF!,#REF!,#REF!,#REF!,#REF!,#REF!,#REF!,#REF!,#REF!,#REF!,#REF!,#REF!,#REF!</definedName>
    <definedName name="__APW_RESTORE_DATA410__" hidden="1">#REF!,#REF!,#REF!,#REF!,#REF!,#REF!,#REF!,#REF!,#REF!,#REF!,#REF!,#REF!,#REF!,#REF!</definedName>
    <definedName name="__APW_RESTORE_DATA411__" hidden="1">#REF!,#REF!,#REF!,#REF!,#REF!,#REF!,#REF!,#REF!,#REF!,#REF!,#REF!,#REF!,#REF!,#REF!</definedName>
    <definedName name="__APW_RESTORE_DATA412__" hidden="1">#REF!,#REF!,#REF!,#REF!,#REF!,#REF!,#REF!,#REF!,#REF!,#REF!,#REF!,#REF!,#REF!,#REF!</definedName>
    <definedName name="__APW_RESTORE_DATA413__" hidden="1">#REF!,#REF!,#REF!,#REF!,#REF!,#REF!,#REF!,#REF!,#REF!,#REF!,#REF!,#REF!,#REF!,#REF!</definedName>
    <definedName name="__APW_RESTORE_DATA414__" hidden="1">#REF!,#REF!,#REF!,#REF!,#REF!,#REF!,#REF!,#REF!,#REF!,#REF!,#REF!,#REF!,#REF!,#REF!</definedName>
    <definedName name="__APW_RESTORE_DATA415__" hidden="1">#REF!,#REF!,#REF!,#REF!,#REF!,#REF!,#REF!,#REF!,#REF!,#REF!,#REF!,#REF!,#REF!,#REF!</definedName>
    <definedName name="__APW_RESTORE_DATA416__" hidden="1">#REF!,#REF!,#REF!,#REF!,#REF!,#REF!,#REF!,#REF!,#REF!,#REF!,#REF!,#REF!,#REF!,#REF!</definedName>
    <definedName name="__APW_RESTORE_DATA417__" hidden="1">#REF!,#REF!,#REF!,#REF!,#REF!,#REF!,#REF!,#REF!,#REF!,#REF!,#REF!,#REF!,#REF!,#REF!</definedName>
    <definedName name="__APW_RESTORE_DATA418__" hidden="1">#REF!,#REF!,#REF!,#REF!,#REF!,#REF!,#REF!,#REF!,#REF!,#REF!,#REF!,#REF!,#REF!,#REF!</definedName>
    <definedName name="__APW_RESTORE_DATA419__" hidden="1">#REF!,#REF!,#REF!,#REF!,#REF!,#REF!,#REF!,#REF!,#REF!,#REF!,#REF!,#REF!,#REF!,#REF!</definedName>
    <definedName name="__APW_RESTORE_DATA420__" hidden="1">#REF!,#REF!,#REF!,#REF!,#REF!,#REF!,#REF!,#REF!,#REF!,#REF!,#REF!,#REF!,#REF!,#REF!</definedName>
    <definedName name="__APW_RESTORE_DATA421__" hidden="1">#REF!,#REF!,#REF!,#REF!,#REF!,#REF!,#REF!,#REF!,#REF!,#REF!,#REF!,#REF!,#REF!,#REF!</definedName>
    <definedName name="__APW_RESTORE_DATA422__" hidden="1">#REF!,#REF!,#REF!,#REF!,#REF!,#REF!,#REF!,#REF!,#REF!,#REF!,#REF!,#REF!,#REF!,#REF!</definedName>
    <definedName name="__APW_RESTORE_DATA423__" hidden="1">#REF!,#REF!,#REF!,#REF!,#REF!,#REF!,#REF!,#REF!,#REF!,#REF!,#REF!,#REF!,#REF!,#REF!</definedName>
    <definedName name="__APW_RESTORE_DATA424__" hidden="1">#REF!,#REF!,#REF!,#REF!,#REF!,#REF!,#REF!,#REF!,#REF!,#REF!,#REF!,#REF!,#REF!,#REF!</definedName>
    <definedName name="__APW_RESTORE_DATA425__" hidden="1">#REF!,#REF!,#REF!,#REF!,#REF!,#REF!,#REF!,#REF!,#REF!,#REF!,#REF!,#REF!,#REF!,#REF!</definedName>
    <definedName name="__APW_RESTORE_DATA426__" hidden="1">#REF!,#REF!,#REF!,#REF!,#REF!,#REF!,#REF!,#REF!,#REF!,#REF!,#REF!,#REF!,#REF!,#REF!</definedName>
    <definedName name="__APW_RESTORE_DATA427__" hidden="1">#REF!,#REF!,#REF!,#REF!,#REF!,#REF!,#REF!,#REF!,#REF!,#REF!,#REF!,#REF!,#REF!,#REF!</definedName>
    <definedName name="__APW_RESTORE_DATA428__" hidden="1">#REF!,#REF!,#REF!,#REF!,#REF!,#REF!,#REF!,#REF!,#REF!,#REF!,#REF!,#REF!,#REF!,#REF!</definedName>
    <definedName name="__APW_RESTORE_DATA429__" hidden="1">#REF!,#REF!,#REF!,#REF!,#REF!,#REF!,#REF!,#REF!,#REF!,#REF!,#REF!,#REF!,#REF!,#REF!</definedName>
    <definedName name="__APW_RESTORE_DATA430__" hidden="1">#REF!,#REF!,#REF!,#REF!,#REF!,#REF!,#REF!,#REF!,#REF!,#REF!,#REF!,#REF!,#REF!,#REF!</definedName>
    <definedName name="__APW_RESTORE_DATA431__" hidden="1">#REF!,#REF!,#REF!,#REF!,#REF!,#REF!,#REF!,#REF!,#REF!,#REF!,#REF!,#REF!,#REF!,#REF!</definedName>
    <definedName name="__APW_RESTORE_DATA432__" hidden="1">#REF!,#REF!,#REF!,#REF!,#REF!,#REF!,#REF!,#REF!,#REF!,#REF!,#REF!,#REF!,#REF!,#REF!</definedName>
    <definedName name="__APW_RESTORE_DATA433__" hidden="1">#REF!,#REF!,#REF!,#REF!,#REF!,#REF!,#REF!,#REF!,#REF!,#REF!,#REF!,#REF!,#REF!,#REF!</definedName>
    <definedName name="__APW_RESTORE_DATA434__" hidden="1">#REF!,#REF!,#REF!,#REF!,#REF!,#REF!,#REF!,#REF!,#REF!,#REF!,#REF!,#REF!,#REF!,#REF!</definedName>
    <definedName name="__APW_RESTORE_DATA435__" hidden="1">#REF!,#REF!,#REF!,#REF!,#REF!,#REF!,#REF!,#REF!,#REF!,#REF!,#REF!,#REF!,#REF!,#REF!</definedName>
    <definedName name="__APW_RESTORE_DATA436__" hidden="1">#REF!,#REF!,#REF!,#REF!,#REF!,#REF!,#REF!,#REF!,#REF!,#REF!,#REF!</definedName>
    <definedName name="__APW_RESTORE_DATA437__" hidden="1">#REF!,#REF!,#REF!,#REF!,#REF!,#REF!,#REF!,#REF!,#REF!,#REF!,#REF!,#REF!,#REF!,#REF!</definedName>
    <definedName name="__APW_RESTORE_DATA438__" hidden="1">#REF!,#REF!,#REF!,#REF!,#REF!,#REF!,#REF!,#REF!,#REF!,#REF!,#REF!,#REF!,#REF!,#REF!</definedName>
    <definedName name="__APW_RESTORE_DATA439__" hidden="1">#REF!,#REF!,#REF!,#REF!,#REF!,#REF!,#REF!,#REF!,#REF!,#REF!,#REF!,#REF!,#REF!,#REF!</definedName>
    <definedName name="__APW_RESTORE_DATA440__" hidden="1">#REF!,#REF!,#REF!,#REF!,#REF!,#REF!,#REF!,#REF!,#REF!,#REF!,#REF!,#REF!,#REF!,#REF!</definedName>
    <definedName name="__APW_RESTORE_DATA441__" hidden="1">#REF!,#REF!,#REF!,#REF!,#REF!,#REF!,#REF!,#REF!,#REF!,#REF!,#REF!,#REF!,#REF!,#REF!</definedName>
    <definedName name="__APW_RESTORE_DATA442__" hidden="1">#REF!,#REF!,#REF!,#REF!,#REF!,#REF!,#REF!,#REF!,#REF!,#REF!,#REF!,#REF!,#REF!,#REF!</definedName>
    <definedName name="__APW_RESTORE_DATA443__" hidden="1">#REF!,#REF!,#REF!,#REF!,#REF!,#REF!,#REF!,#REF!,#REF!,#REF!,#REF!,#REF!,#REF!,#REF!</definedName>
    <definedName name="__APW_RESTORE_DATA444__" hidden="1">#REF!,#REF!,#REF!,#REF!,#REF!,#REF!,#REF!,#REF!,#REF!,#REF!,#REF!,#REF!,#REF!,#REF!</definedName>
    <definedName name="__APW_RESTORE_DATA445__" hidden="1">#REF!,#REF!,#REF!,#REF!,#REF!,#REF!,#REF!,#REF!,#REF!,#REF!,#REF!,#REF!,#REF!,#REF!</definedName>
    <definedName name="__APW_RESTORE_DATA446__" hidden="1">#REF!,#REF!,#REF!,#REF!,#REF!,#REF!,#REF!,#REF!,#REF!,#REF!,#REF!,#REF!,#REF!,#REF!</definedName>
    <definedName name="__APW_RESTORE_DATA447__" hidden="1">#REF!,#REF!,#REF!,#REF!,#REF!,#REF!,#REF!,#REF!,#REF!,#REF!,#REF!,#REF!,#REF!,#REF!</definedName>
    <definedName name="__APW_RESTORE_DATA448__" hidden="1">#REF!,#REF!,#REF!,#REF!,#REF!,#REF!,#REF!,#REF!,#REF!,#REF!,#REF!,#REF!,#REF!,#REF!</definedName>
    <definedName name="__APW_RESTORE_DATA449__" hidden="1">#REF!,#REF!,#REF!,#REF!,#REF!,#REF!,#REF!,#REF!,#REF!,#REF!,#REF!,#REF!,#REF!,#REF!</definedName>
    <definedName name="__APW_RESTORE_DATA450__" hidden="1">#REF!,#REF!,#REF!,#REF!,#REF!,#REF!,#REF!,#REF!,#REF!,#REF!,#REF!,#REF!,#REF!,#REF!</definedName>
    <definedName name="__APW_RESTORE_DATA451__" hidden="1">#REF!,#REF!,#REF!,#REF!,#REF!,#REF!,#REF!,#REF!,#REF!,#REF!,#REF!,#REF!,#REF!,#REF!</definedName>
    <definedName name="__APW_RESTORE_DATA452__" hidden="1">#REF!,#REF!,#REF!,#REF!,#REF!,#REF!,#REF!,#REF!,#REF!,#REF!,#REF!,#REF!,#REF!,#REF!</definedName>
    <definedName name="__APW_RESTORE_DATA453__" hidden="1">#REF!,#REF!,#REF!,#REF!,#REF!,#REF!,#REF!,#REF!,#REF!,#REF!,#REF!,#REF!,#REF!,#REF!</definedName>
    <definedName name="__APW_RESTORE_DATA454__" hidden="1">#REF!,#REF!,#REF!,#REF!,#REF!,#REF!,#REF!,#REF!,#REF!,#REF!,#REF!,#REF!,#REF!,#REF!</definedName>
    <definedName name="__APW_RESTORE_DATA455__" hidden="1">#REF!,#REF!,#REF!,#REF!,#REF!,#REF!,#REF!,#REF!,#REF!,#REF!,#REF!,#REF!,#REF!,#REF!</definedName>
    <definedName name="__APW_RESTORE_DATA456__" hidden="1">#REF!,#REF!,#REF!,#REF!,#REF!,#REF!,#REF!,#REF!,#REF!,#REF!,#REF!,#REF!,#REF!,#REF!</definedName>
    <definedName name="__APW_RESTORE_DATA457__" hidden="1">#REF!,#REF!,#REF!,#REF!,#REF!,#REF!,#REF!,#REF!,#REF!,#REF!,#REF!,#REF!,#REF!,#REF!</definedName>
    <definedName name="__APW_RESTORE_DATA458__" hidden="1">#REF!,#REF!,#REF!,#REF!,#REF!,#REF!,#REF!,#REF!,#REF!,#REF!,#REF!,#REF!,#REF!,#REF!</definedName>
    <definedName name="__APW_RESTORE_DATA459__" hidden="1">#REF!,#REF!,#REF!,#REF!,#REF!,#REF!,#REF!,#REF!,#REF!,#REF!,#REF!,#REF!,#REF!,#REF!</definedName>
    <definedName name="__APW_RESTORE_DATA460__" hidden="1">#REF!,#REF!,#REF!,#REF!,#REF!,#REF!,#REF!,#REF!,#REF!,#REF!,#REF!,#REF!,#REF!,#REF!</definedName>
    <definedName name="__APW_RESTORE_DATA461__" hidden="1">#REF!,#REF!,#REF!,#REF!,#REF!,#REF!,#REF!,#REF!,#REF!,#REF!,#REF!,#REF!,#REF!,#REF!</definedName>
    <definedName name="__APW_RESTORE_DATA462__" hidden="1">#REF!,#REF!,#REF!,#REF!,#REF!,#REF!,#REF!,#REF!,#REF!,#REF!,#REF!,#REF!,#REF!,#REF!</definedName>
    <definedName name="__APW_RESTORE_DATA463__" hidden="1">#REF!,#REF!,#REF!,#REF!,#REF!,#REF!,#REF!,#REF!,#REF!,#REF!,#REF!,#REF!,#REF!,#REF!</definedName>
    <definedName name="__APW_RESTORE_DATA464__" hidden="1">#REF!,#REF!,#REF!,#REF!,#REF!,#REF!,#REF!,#REF!,#REF!,#REF!,#REF!,#REF!,#REF!,#REF!</definedName>
    <definedName name="__APW_RESTORE_DATA465__" hidden="1">#REF!,#REF!,#REF!,#REF!,#REF!,#REF!,#REF!,#REF!,#REF!,#REF!,#REF!,#REF!,#REF!,#REF!</definedName>
    <definedName name="__APW_RESTORE_DATA466__" hidden="1">#REF!,#REF!,#REF!,#REF!,#REF!,#REF!,#REF!,#REF!,#REF!,#REF!,#REF!,#REF!,#REF!,#REF!</definedName>
    <definedName name="__APW_RESTORE_DATA467__" hidden="1">#REF!,#REF!,#REF!,#REF!,#REF!,#REF!,#REF!,#REF!,#REF!,#REF!,#REF!,#REF!,#REF!,#REF!</definedName>
    <definedName name="__APW_RESTORE_DATA468__" hidden="1">#REF!,#REF!,#REF!,#REF!,#REF!,#REF!,#REF!,#REF!,#REF!,#REF!,#REF!,#REF!,#REF!,#REF!</definedName>
    <definedName name="__APW_RESTORE_DATA469__" hidden="1">#REF!,#REF!,#REF!,#REF!,#REF!,#REF!,#REF!,#REF!,#REF!,#REF!,#REF!,#REF!,#REF!,#REF!</definedName>
    <definedName name="__APW_RESTORE_DATA470__" hidden="1">#REF!,#REF!,#REF!,#REF!,#REF!,#REF!,#REF!,#REF!,#REF!,#REF!,#REF!,#REF!,#REF!,#REF!</definedName>
    <definedName name="__APW_RESTORE_DATA471__" hidden="1">#REF!,#REF!,#REF!,#REF!,#REF!,#REF!,#REF!,#REF!,#REF!,#REF!,#REF!</definedName>
    <definedName name="__APW_RESTORE_DATA472__" hidden="1">#REF!,#REF!,#REF!,#REF!,#REF!,#REF!,#REF!,#REF!,#REF!,#REF!,#REF!,#REF!,#REF!,#REF!</definedName>
    <definedName name="__APW_RESTORE_DATA473__" hidden="1">#REF!,#REF!,#REF!,#REF!,#REF!,#REF!,#REF!,#REF!,#REF!,#REF!,#REF!,#REF!,#REF!,#REF!</definedName>
    <definedName name="__APW_RESTORE_DATA474__" hidden="1">#REF!,#REF!,#REF!,#REF!,#REF!,#REF!,#REF!,#REF!,#REF!,#REF!,#REF!,#REF!,#REF!,#REF!</definedName>
    <definedName name="__APW_RESTORE_DATA475__" hidden="1">#REF!,#REF!,#REF!,#REF!,#REF!,#REF!,#REF!,#REF!,#REF!,#REF!,#REF!,#REF!,#REF!,#REF!</definedName>
    <definedName name="__APW_RESTORE_DATA476__" hidden="1">#REF!,#REF!,#REF!,#REF!,#REF!,#REF!,#REF!,#REF!,#REF!,#REF!,#REF!,#REF!,#REF!,#REF!</definedName>
    <definedName name="__APW_RESTORE_DATA477__" hidden="1">#REF!,#REF!,#REF!,#REF!,#REF!,#REF!,#REF!,#REF!,#REF!,#REF!,#REF!,#REF!,#REF!,#REF!</definedName>
    <definedName name="__APW_RESTORE_DATA478__" hidden="1">#REF!,#REF!,#REF!,#REF!,#REF!,#REF!,#REF!,#REF!,#REF!,#REF!,#REF!,#REF!,#REF!,#REF!</definedName>
    <definedName name="__APW_RESTORE_DATA479__" hidden="1">#REF!,#REF!,#REF!,#REF!,#REF!,#REF!,#REF!,#REF!,#REF!,#REF!,#REF!,#REF!,#REF!,#REF!</definedName>
    <definedName name="__APW_RESTORE_DATA480__" hidden="1">#REF!,#REF!,#REF!,#REF!,#REF!,#REF!,#REF!,#REF!,#REF!,#REF!,#REF!,#REF!,#REF!,#REF!</definedName>
    <definedName name="__APW_RESTORE_DATA481__" hidden="1">#REF!,#REF!,#REF!,#REF!,#REF!,#REF!,#REF!,#REF!,#REF!,#REF!,#REF!,#REF!,#REF!,#REF!</definedName>
    <definedName name="__APW_RESTORE_DATA482__" hidden="1">#REF!,#REF!,#REF!,#REF!,#REF!,#REF!,#REF!,#REF!,#REF!,#REF!,#REF!,#REF!,#REF!,#REF!</definedName>
    <definedName name="__APW_RESTORE_DATA483__" hidden="1">#REF!,#REF!,#REF!,#REF!,#REF!,#REF!,#REF!,#REF!,#REF!,#REF!,#REF!,#REF!,#REF!,#REF!</definedName>
    <definedName name="__APW_RESTORE_DATA484__" hidden="1">#REF!,#REF!,#REF!,#REF!,#REF!,#REF!,#REF!,#REF!,#REF!,#REF!,#REF!,#REF!,#REF!,#REF!</definedName>
    <definedName name="__APW_RESTORE_DATA485__" hidden="1">#REF!,#REF!,#REF!,#REF!,#REF!,#REF!,#REF!,#REF!,#REF!,#REF!,#REF!,#REF!,#REF!,#REF!</definedName>
    <definedName name="__APW_RESTORE_DATA486__" hidden="1">#REF!,#REF!,#REF!,#REF!,#REF!,#REF!,#REF!,#REF!,#REF!,#REF!,#REF!,#REF!,#REF!,#REF!</definedName>
    <definedName name="__APW_RESTORE_DATA487__" hidden="1">#REF!,#REF!,#REF!,#REF!,#REF!,#REF!,#REF!,#REF!,#REF!,#REF!,#REF!,#REF!,#REF!,#REF!</definedName>
    <definedName name="__APW_RESTORE_DATA488__" hidden="1">#REF!,#REF!,#REF!,#REF!,#REF!,#REF!,#REF!,#REF!,#REF!,#REF!,#REF!,#REF!,#REF!,#REF!</definedName>
    <definedName name="__APW_RESTORE_DATA489__" hidden="1">#REF!,#REF!,#REF!,#REF!,#REF!,#REF!,#REF!,#REF!,#REF!,#REF!,#REF!,#REF!,#REF!,#REF!</definedName>
    <definedName name="__APW_RESTORE_DATA490__" hidden="1">#REF!,#REF!,#REF!,#REF!,#REF!,#REF!,#REF!,#REF!,#REF!,#REF!,#REF!,#REF!,#REF!,#REF!</definedName>
    <definedName name="__APW_RESTORE_DATA491__" hidden="1">#REF!,#REF!,#REF!,#REF!,#REF!,#REF!,#REF!,#REF!,#REF!,#REF!,#REF!,#REF!,#REF!,#REF!</definedName>
    <definedName name="__APW_RESTORE_DATA492__" hidden="1">#REF!,#REF!,#REF!,#REF!,#REF!,#REF!,#REF!,#REF!,#REF!,#REF!,#REF!,#REF!,#REF!,#REF!</definedName>
    <definedName name="__APW_RESTORE_DATA493__" hidden="1">#REF!,#REF!,#REF!,#REF!,#REF!,#REF!,#REF!,#REF!,#REF!,#REF!,#REF!,#REF!,#REF!,#REF!</definedName>
    <definedName name="__APW_RESTORE_DATA494__" hidden="1">#REF!,#REF!,#REF!,#REF!,#REF!,#REF!,#REF!,#REF!,#REF!,#REF!,#REF!,#REF!,#REF!,#REF!</definedName>
    <definedName name="__APW_RESTORE_DATA495__" hidden="1">#REF!,#REF!,#REF!,#REF!,#REF!,#REF!,#REF!,#REF!,#REF!,#REF!,#REF!,#REF!,#REF!,#REF!</definedName>
    <definedName name="__APW_RESTORE_DATA496__" hidden="1">#REF!,#REF!,#REF!,#REF!,#REF!,#REF!,#REF!,#REF!,#REF!,#REF!,#REF!,#REF!,#REF!,#REF!</definedName>
    <definedName name="__APW_RESTORE_DATA497__" hidden="1">#REF!,#REF!,#REF!,#REF!,#REF!,#REF!,#REF!,#REF!,#REF!,#REF!,#REF!,#REF!,#REF!,#REF!</definedName>
    <definedName name="__APW_RESTORE_DATA498__" hidden="1">#REF!,#REF!,#REF!,#REF!,#REF!,#REF!,#REF!,#REF!,#REF!,#REF!,#REF!,#REF!,#REF!,#REF!</definedName>
    <definedName name="__APW_RESTORE_DATA499__" hidden="1">#REF!,#REF!,#REF!,#REF!,#REF!,#REF!,#REF!,#REF!,#REF!,#REF!,#REF!,#REF!,#REF!,#REF!</definedName>
    <definedName name="__APW_RESTORE_DATA5__" hidden="1">#REF!,#REF!,#REF!,#REF!,#REF!,#REF!,#REF!,#REF!,#REF!,#REF!,#REF!,#REF!,#REF!,#REF!</definedName>
    <definedName name="__APW_RESTORE_DATA500__" hidden="1">#REF!,#REF!,#REF!,#REF!,#REF!,#REF!,#REF!,#REF!,#REF!,#REF!,#REF!,#REF!,#REF!,#REF!</definedName>
    <definedName name="__APW_RESTORE_DATA501__" hidden="1">#REF!,#REF!,#REF!,#REF!,#REF!,#REF!,#REF!,#REF!,#REF!,#REF!,#REF!,#REF!,#REF!,#REF!</definedName>
    <definedName name="__APW_RESTORE_DATA502__" hidden="1">#REF!,#REF!,#REF!,#REF!,#REF!,#REF!,#REF!,#REF!,#REF!,#REF!,#REF!,#REF!,#REF!,#REF!</definedName>
    <definedName name="__APW_RESTORE_DATA503__" hidden="1">#REF!,#REF!,#REF!,#REF!,#REF!,#REF!,#REF!,#REF!,#REF!,#REF!,#REF!,#REF!,#REF!,#REF!</definedName>
    <definedName name="__APW_RESTORE_DATA504__" hidden="1">#REF!,#REF!,#REF!,#REF!,#REF!,#REF!,#REF!,#REF!,#REF!,#REF!,#REF!,#REF!,#REF!,#REF!</definedName>
    <definedName name="__APW_RESTORE_DATA505__" hidden="1">#REF!,#REF!,#REF!,#REF!,#REF!,#REF!,#REF!,#REF!,#REF!,#REF!,#REF!,#REF!,#REF!,#REF!</definedName>
    <definedName name="__APW_RESTORE_DATA506__" hidden="1">#REF!,#REF!,#REF!,#REF!,#REF!,#REF!,#REF!,#REF!,#REF!,#REF!,#REF!</definedName>
    <definedName name="__APW_RESTORE_DATA507__" hidden="1">#REF!,#REF!,#REF!,#REF!,#REF!,#REF!,#REF!,#REF!,#REF!,#REF!,#REF!,#REF!,#REF!,#REF!</definedName>
    <definedName name="__APW_RESTORE_DATA508__" hidden="1">#REF!,#REF!,#REF!,#REF!,#REF!,#REF!,#REF!,#REF!,#REF!,#REF!,#REF!,#REF!,#REF!,#REF!</definedName>
    <definedName name="__APW_RESTORE_DATA509__" hidden="1">#REF!,#REF!,#REF!,#REF!,#REF!,#REF!,#REF!,#REF!,#REF!,#REF!,#REF!,#REF!,#REF!,#REF!</definedName>
    <definedName name="__APW_RESTORE_DATA510__" hidden="1">#REF!,#REF!,#REF!,#REF!,#REF!,#REF!,#REF!,#REF!,#REF!,#REF!,#REF!,#REF!,#REF!,#REF!</definedName>
    <definedName name="__APW_RESTORE_DATA511__" hidden="1">#REF!,#REF!,#REF!,#REF!,#REF!,#REF!,#REF!,#REF!,#REF!,#REF!,#REF!,#REF!,#REF!,#REF!</definedName>
    <definedName name="__APW_RESTORE_DATA512__" hidden="1">#REF!,#REF!,#REF!,#REF!,#REF!,#REF!,#REF!,#REF!,#REF!,#REF!,#REF!,#REF!,#REF!,#REF!</definedName>
    <definedName name="__APW_RESTORE_DATA513__" hidden="1">#REF!,#REF!,#REF!,#REF!,#REF!,#REF!,#REF!,#REF!,#REF!,#REF!,#REF!,#REF!,#REF!,#REF!</definedName>
    <definedName name="__APW_RESTORE_DATA514__" hidden="1">#REF!,#REF!,#REF!,#REF!,#REF!,#REF!,#REF!,#REF!,#REF!,#REF!,#REF!,#REF!,#REF!,#REF!</definedName>
    <definedName name="__APW_RESTORE_DATA515__" hidden="1">#REF!,#REF!,#REF!,#REF!,#REF!,#REF!,#REF!,#REF!,#REF!,#REF!,#REF!,#REF!,#REF!,#REF!</definedName>
    <definedName name="__APW_RESTORE_DATA516__" hidden="1">#REF!,#REF!,#REF!,#REF!,#REF!,#REF!,#REF!,#REF!,#REF!,#REF!,#REF!,#REF!,#REF!,#REF!</definedName>
    <definedName name="__APW_RESTORE_DATA517__" hidden="1">#REF!,#REF!,#REF!,#REF!,#REF!,#REF!,#REF!,#REF!,#REF!,#REF!,#REF!,#REF!,#REF!,#REF!</definedName>
    <definedName name="__APW_RESTORE_DATA518__" hidden="1">#REF!,#REF!,#REF!,#REF!,#REF!,#REF!,#REF!,#REF!,#REF!,#REF!,#REF!,#REF!,#REF!,#REF!</definedName>
    <definedName name="__APW_RESTORE_DATA519__" hidden="1">#REF!,#REF!,#REF!,#REF!,#REF!,#REF!,#REF!,#REF!,#REF!,#REF!,#REF!,#REF!,#REF!,#REF!</definedName>
    <definedName name="__APW_RESTORE_DATA520__" hidden="1">#REF!,#REF!,#REF!,#REF!,#REF!,#REF!,#REF!,#REF!,#REF!,#REF!,#REF!,#REF!,#REF!,#REF!</definedName>
    <definedName name="__APW_RESTORE_DATA521__" hidden="1">#REF!,#REF!,#REF!,#REF!,#REF!,#REF!,#REF!,#REF!,#REF!,#REF!,#REF!,#REF!,#REF!,#REF!</definedName>
    <definedName name="__APW_RESTORE_DATA522__" hidden="1">#REF!,#REF!,#REF!,#REF!,#REF!,#REF!,#REF!,#REF!,#REF!,#REF!,#REF!,#REF!,#REF!,#REF!</definedName>
    <definedName name="__APW_RESTORE_DATA523__" hidden="1">#REF!,#REF!,#REF!,#REF!,#REF!,#REF!,#REF!,#REF!,#REF!,#REF!,#REF!,#REF!,#REF!,#REF!</definedName>
    <definedName name="__APW_RESTORE_DATA524__" hidden="1">#REF!,#REF!,#REF!,#REF!,#REF!,#REF!,#REF!,#REF!,#REF!,#REF!,#REF!,#REF!,#REF!,#REF!</definedName>
    <definedName name="__APW_RESTORE_DATA525__" hidden="1">#REF!,#REF!,#REF!,#REF!,#REF!,#REF!,#REF!,#REF!,#REF!,#REF!,#REF!,#REF!,#REF!,#REF!</definedName>
    <definedName name="__APW_RESTORE_DATA526__" hidden="1">#REF!,#REF!,#REF!,#REF!,#REF!,#REF!,#REF!,#REF!,#REF!,#REF!,#REF!,#REF!,#REF!,#REF!</definedName>
    <definedName name="__APW_RESTORE_DATA527__" hidden="1">#REF!,#REF!,#REF!,#REF!,#REF!,#REF!,#REF!,#REF!,#REF!,#REF!,#REF!,#REF!,#REF!,#REF!</definedName>
    <definedName name="__APW_RESTORE_DATA528__" hidden="1">#REF!,#REF!,#REF!,#REF!,#REF!,#REF!,#REF!,#REF!,#REF!,#REF!,#REF!,#REF!,#REF!,#REF!</definedName>
    <definedName name="__APW_RESTORE_DATA529__" hidden="1">#REF!,#REF!,#REF!,#REF!,#REF!,#REF!,#REF!,#REF!,#REF!,#REF!,#REF!,#REF!,#REF!,#REF!</definedName>
    <definedName name="__APW_RESTORE_DATA530__" hidden="1">#REF!,#REF!,#REF!,#REF!,#REF!,#REF!,#REF!,#REF!,#REF!,#REF!,#REF!,#REF!,#REF!,#REF!</definedName>
    <definedName name="__APW_RESTORE_DATA531__" hidden="1">#REF!,#REF!,#REF!,#REF!,#REF!,#REF!,#REF!,#REF!,#REF!,#REF!,#REF!,#REF!,#REF!,#REF!</definedName>
    <definedName name="__APW_RESTORE_DATA532__" hidden="1">#REF!,#REF!,#REF!,#REF!,#REF!,#REF!,#REF!,#REF!,#REF!,#REF!,#REF!,#REF!,#REF!,#REF!</definedName>
    <definedName name="__APW_RESTORE_DATA533__" hidden="1">#REF!,#REF!,#REF!,#REF!,#REF!,#REF!,#REF!,#REF!,#REF!,#REF!,#REF!,#REF!,#REF!,#REF!</definedName>
    <definedName name="__APW_RESTORE_DATA534__" hidden="1">#REF!,#REF!,#REF!,#REF!,#REF!,#REF!,#REF!,#REF!,#REF!,#REF!,#REF!,#REF!,#REF!,#REF!</definedName>
    <definedName name="__APW_RESTORE_DATA535__" hidden="1">#REF!,#REF!,#REF!,#REF!,#REF!,#REF!,#REF!,#REF!,#REF!,#REF!,#REF!,#REF!,#REF!,#REF!</definedName>
    <definedName name="__APW_RESTORE_DATA536__" hidden="1">#REF!,#REF!,#REF!,#REF!,#REF!,#REF!,#REF!,#REF!,#REF!,#REF!,#REF!,#REF!,#REF!,#REF!</definedName>
    <definedName name="__APW_RESTORE_DATA537__" hidden="1">#REF!,#REF!,#REF!,#REF!,#REF!,#REF!,#REF!,#REF!,#REF!,#REF!,#REF!,#REF!,#REF!,#REF!</definedName>
    <definedName name="__APW_RESTORE_DATA538__" hidden="1">#REF!,#REF!,#REF!,#REF!,#REF!,#REF!,#REF!,#REF!,#REF!,#REF!,#REF!,#REF!,#REF!,#REF!</definedName>
    <definedName name="__APW_RESTORE_DATA539__" hidden="1">#REF!,#REF!,#REF!,#REF!,#REF!,#REF!,#REF!,#REF!,#REF!,#REF!,#REF!,#REF!,#REF!,#REF!</definedName>
    <definedName name="__APW_RESTORE_DATA540__" hidden="1">#REF!,#REF!,#REF!,#REF!,#REF!,#REF!,#REF!,#REF!,#REF!,#REF!,#REF!,#REF!,#REF!,#REF!</definedName>
    <definedName name="__APW_RESTORE_DATA541__" hidden="1">#REF!,#REF!,#REF!,#REF!,#REF!,#REF!,#REF!,#REF!,#REF!,#REF!,#REF!</definedName>
    <definedName name="__APW_RESTORE_DATA542__" hidden="1">#REF!,#REF!,#REF!,#REF!,#REF!,#REF!,#REF!,#REF!,#REF!,#REF!,#REF!,#REF!,#REF!,#REF!</definedName>
    <definedName name="__APW_RESTORE_DATA543__" hidden="1">#REF!,#REF!,#REF!,#REF!,#REF!,#REF!,#REF!,#REF!,#REF!,#REF!,#REF!,#REF!,#REF!,#REF!</definedName>
    <definedName name="__APW_RESTORE_DATA544__" hidden="1">#REF!,#REF!,#REF!,#REF!,#REF!,#REF!,#REF!,#REF!,#REF!,#REF!,#REF!,#REF!,#REF!,#REF!</definedName>
    <definedName name="__APW_RESTORE_DATA545__" hidden="1">#REF!,#REF!,#REF!,#REF!,#REF!,#REF!,#REF!,#REF!,#REF!,#REF!,#REF!,#REF!,#REF!,#REF!</definedName>
    <definedName name="__APW_RESTORE_DATA546__" hidden="1">#REF!,#REF!,#REF!,#REF!,#REF!,#REF!,#REF!,#REF!,#REF!,#REF!,#REF!,#REF!,#REF!,#REF!</definedName>
    <definedName name="__APW_RESTORE_DATA547__" hidden="1">#REF!,#REF!,#REF!,#REF!,#REF!,#REF!,#REF!,#REF!,#REF!,#REF!,#REF!,#REF!,#REF!,#REF!</definedName>
    <definedName name="__APW_RESTORE_DATA548__" hidden="1">#REF!,#REF!,#REF!,#REF!,#REF!,#REF!,#REF!,#REF!,#REF!,#REF!,#REF!,#REF!,#REF!,#REF!</definedName>
    <definedName name="__APW_RESTORE_DATA549__" hidden="1">#REF!,#REF!,#REF!,#REF!,#REF!,#REF!,#REF!,#REF!,#REF!,#REF!,#REF!,#REF!,#REF!,#REF!</definedName>
    <definedName name="__APW_RESTORE_DATA550__" hidden="1">#REF!,#REF!,#REF!,#REF!,#REF!,#REF!,#REF!,#REF!,#REF!,#REF!,#REF!,#REF!,#REF!,#REF!</definedName>
    <definedName name="__APW_RESTORE_DATA551__" hidden="1">#REF!,#REF!,#REF!,#REF!,#REF!,#REF!,#REF!,#REF!,#REF!,#REF!,#REF!,#REF!,#REF!,#REF!</definedName>
    <definedName name="__APW_RESTORE_DATA552__" hidden="1">#REF!,#REF!,#REF!,#REF!,#REF!,#REF!,#REF!,#REF!,#REF!,#REF!,#REF!,#REF!,#REF!,#REF!</definedName>
    <definedName name="__APW_RESTORE_DATA553__" hidden="1">#REF!,#REF!,#REF!,#REF!,#REF!,#REF!,#REF!,#REF!,#REF!,#REF!,#REF!,#REF!,#REF!,#REF!</definedName>
    <definedName name="__APW_RESTORE_DATA554__" hidden="1">#REF!,#REF!,#REF!,#REF!,#REF!,#REF!,#REF!,#REF!,#REF!,#REF!,#REF!,#REF!,#REF!,#REF!</definedName>
    <definedName name="__APW_RESTORE_DATA555__" hidden="1">#REF!,#REF!,#REF!,#REF!,#REF!,#REF!,#REF!,#REF!,#REF!,#REF!,#REF!,#REF!,#REF!,#REF!</definedName>
    <definedName name="__APW_RESTORE_DATA556__" hidden="1">#REF!,#REF!,#REF!,#REF!,#REF!,#REF!,#REF!,#REF!,#REF!,#REF!,#REF!,#REF!,#REF!,#REF!</definedName>
    <definedName name="__APW_RESTORE_DATA557__" hidden="1">#REF!,#REF!,#REF!,#REF!,#REF!,#REF!,#REF!,#REF!,#REF!,#REF!,#REF!,#REF!,#REF!,#REF!</definedName>
    <definedName name="__APW_RESTORE_DATA558__" hidden="1">#REF!,#REF!,#REF!,#REF!,#REF!,#REF!,#REF!,#REF!,#REF!,#REF!,#REF!,#REF!,#REF!,#REF!</definedName>
    <definedName name="__APW_RESTORE_DATA559__" hidden="1">#REF!,#REF!,#REF!,#REF!,#REF!,#REF!,#REF!,#REF!,#REF!,#REF!,#REF!,#REF!,#REF!,#REF!</definedName>
    <definedName name="__APW_RESTORE_DATA560__" hidden="1">#REF!,#REF!,#REF!,#REF!,#REF!,#REF!,#REF!,#REF!,#REF!,#REF!,#REF!,#REF!,#REF!,#REF!</definedName>
    <definedName name="__APW_RESTORE_DATA561__" hidden="1">#REF!,#REF!,#REF!,#REF!,#REF!,#REF!,#REF!,#REF!,#REF!,#REF!,#REF!,#REF!,#REF!,#REF!</definedName>
    <definedName name="__APW_RESTORE_DATA562__" hidden="1">#REF!,#REF!,#REF!,#REF!,#REF!,#REF!,#REF!,#REF!,#REF!,#REF!,#REF!,#REF!,#REF!,#REF!</definedName>
    <definedName name="__APW_RESTORE_DATA563__" hidden="1">#REF!,#REF!,#REF!,#REF!,#REF!,#REF!,#REF!,#REF!,#REF!,#REF!,#REF!,#REF!,#REF!,#REF!</definedName>
    <definedName name="__APW_RESTORE_DATA564__" hidden="1">#REF!,#REF!,#REF!,#REF!,#REF!,#REF!,#REF!,#REF!,#REF!,#REF!,#REF!,#REF!,#REF!,#REF!</definedName>
    <definedName name="__APW_RESTORE_DATA565__" hidden="1">#REF!,#REF!,#REF!,#REF!,#REF!,#REF!,#REF!,#REF!,#REF!,#REF!,#REF!,#REF!,#REF!,#REF!</definedName>
    <definedName name="__APW_RESTORE_DATA566__" hidden="1">#REF!,#REF!,#REF!,#REF!,#REF!,#REF!,#REF!,#REF!,#REF!,#REF!,#REF!,#REF!,#REF!,#REF!</definedName>
    <definedName name="__APW_RESTORE_DATA567__" hidden="1">#REF!,#REF!,#REF!,#REF!,#REF!,#REF!,#REF!,#REF!,#REF!,#REF!,#REF!,#REF!,#REF!,#REF!</definedName>
    <definedName name="__APW_RESTORE_DATA568__" hidden="1">#REF!,#REF!,#REF!,#REF!,#REF!,#REF!,#REF!,#REF!,#REF!,#REF!,#REF!,#REF!,#REF!,#REF!</definedName>
    <definedName name="__APW_RESTORE_DATA569__" hidden="1">#REF!,#REF!,#REF!,#REF!,#REF!,#REF!,#REF!,#REF!,#REF!,#REF!,#REF!,#REF!,#REF!,#REF!</definedName>
    <definedName name="__APW_RESTORE_DATA570__" hidden="1">#REF!,#REF!,#REF!,#REF!,#REF!,#REF!,#REF!,#REF!,#REF!,#REF!,#REF!,#REF!,#REF!,#REF!</definedName>
    <definedName name="__APW_RESTORE_DATA571__" hidden="1">#REF!,#REF!,#REF!,#REF!,#REF!,#REF!,#REF!,#REF!,#REF!,#REF!,#REF!,#REF!,#REF!,#REF!</definedName>
    <definedName name="__APW_RESTORE_DATA572__" hidden="1">#REF!,#REF!,#REF!,#REF!,#REF!,#REF!,#REF!,#REF!,#REF!,#REF!,#REF!,#REF!,#REF!,#REF!</definedName>
    <definedName name="__APW_RESTORE_DATA573__" hidden="1">#REF!,#REF!,#REF!,#REF!,#REF!,#REF!,#REF!,#REF!,#REF!,#REF!,#REF!,#REF!,#REF!,#REF!</definedName>
    <definedName name="__APW_RESTORE_DATA574__" hidden="1">#REF!,#REF!,#REF!,#REF!,#REF!,#REF!,#REF!,#REF!,#REF!,#REF!,#REF!,#REF!,#REF!,#REF!</definedName>
    <definedName name="__APW_RESTORE_DATA575__" hidden="1">#REF!,#REF!,#REF!,#REF!,#REF!,#REF!,#REF!,#REF!,#REF!,#REF!,#REF!,#REF!,#REF!,#REF!</definedName>
    <definedName name="__APW_RESTORE_DATA576__" hidden="1">#REF!,#REF!,#REF!,#REF!,#REF!,#REF!,#REF!,#REF!,#REF!,#REF!,#REF!</definedName>
    <definedName name="__APW_RESTORE_DATA577__" hidden="1">#REF!,#REF!,#REF!,#REF!,#REF!,#REF!,#REF!,#REF!,#REF!,#REF!,#REF!,#REF!,#REF!,#REF!</definedName>
    <definedName name="__APW_RESTORE_DATA578__" hidden="1">#REF!,#REF!,#REF!,#REF!,#REF!,#REF!,#REF!,#REF!,#REF!,#REF!,#REF!,#REF!,#REF!,#REF!</definedName>
    <definedName name="__APW_RESTORE_DATA579__" hidden="1">#REF!,#REF!,#REF!,#REF!,#REF!,#REF!,#REF!,#REF!,#REF!,#REF!,#REF!,#REF!,#REF!,#REF!</definedName>
    <definedName name="__APW_RESTORE_DATA580__" hidden="1">#REF!,#REF!,#REF!,#REF!,#REF!,#REF!,#REF!,#REF!,#REF!,#REF!,#REF!,#REF!,#REF!,#REF!</definedName>
    <definedName name="__APW_RESTORE_DATA581__" hidden="1">#REF!,#REF!,#REF!,#REF!,#REF!,#REF!,#REF!,#REF!,#REF!,#REF!,#REF!,#REF!,#REF!,#REF!</definedName>
    <definedName name="__APW_RESTORE_DATA582__" hidden="1">#REF!,#REF!,#REF!,#REF!,#REF!,#REF!,#REF!,#REF!,#REF!,#REF!,#REF!,#REF!,#REF!,#REF!</definedName>
    <definedName name="__APW_RESTORE_DATA583__" hidden="1">#REF!,#REF!,#REF!,#REF!,#REF!,#REF!,#REF!,#REF!,#REF!,#REF!,#REF!,#REF!,#REF!,#REF!</definedName>
    <definedName name="__APW_RESTORE_DATA584__" hidden="1">#REF!,#REF!,#REF!,#REF!,#REF!,#REF!,#REF!,#REF!,#REF!,#REF!,#REF!,#REF!,#REF!,#REF!</definedName>
    <definedName name="__APW_RESTORE_DATA585__" hidden="1">#REF!,#REF!,#REF!,#REF!,#REF!,#REF!,#REF!,#REF!,#REF!,#REF!,#REF!,#REF!,#REF!,#REF!</definedName>
    <definedName name="__APW_RESTORE_DATA586__" hidden="1">#REF!,#REF!,#REF!,#REF!,#REF!,#REF!,#REF!,#REF!,#REF!,#REF!,#REF!,#REF!,#REF!,#REF!</definedName>
    <definedName name="__APW_RESTORE_DATA587__" hidden="1">#REF!,#REF!,#REF!,#REF!,#REF!,#REF!,#REF!,#REF!,#REF!,#REF!,#REF!,#REF!,#REF!,#REF!</definedName>
    <definedName name="__APW_RESTORE_DATA588__" hidden="1">#REF!,#REF!,#REF!,#REF!,#REF!,#REF!,#REF!,#REF!,#REF!,#REF!,#REF!,#REF!,#REF!,#REF!</definedName>
    <definedName name="__APW_RESTORE_DATA589__" hidden="1">#REF!,#REF!,#REF!,#REF!,#REF!,#REF!,#REF!,#REF!,#REF!,#REF!,#REF!,#REF!,#REF!,#REF!</definedName>
    <definedName name="__APW_RESTORE_DATA590__" hidden="1">#REF!,#REF!,#REF!,#REF!,#REF!,#REF!,#REF!,#REF!,#REF!,#REF!,#REF!,#REF!,#REF!,#REF!</definedName>
    <definedName name="__APW_RESTORE_DATA591__" hidden="1">#REF!,#REF!,#REF!,#REF!,#REF!,#REF!,#REF!,#REF!,#REF!,#REF!,#REF!,#REF!,#REF!,#REF!</definedName>
    <definedName name="__APW_RESTORE_DATA592__" hidden="1">#REF!,#REF!,#REF!,#REF!,#REF!,#REF!,#REF!,#REF!,#REF!,#REF!,#REF!,#REF!,#REF!,#REF!</definedName>
    <definedName name="__APW_RESTORE_DATA593__" hidden="1">#REF!,#REF!,#REF!,#REF!,#REF!,#REF!,#REF!,#REF!,#REF!,#REF!,#REF!,#REF!,#REF!,#REF!</definedName>
    <definedName name="__APW_RESTORE_DATA594__" hidden="1">#REF!,#REF!,#REF!,#REF!,#REF!,#REF!,#REF!,#REF!,#REF!,#REF!,#REF!,#REF!,#REF!,#REF!</definedName>
    <definedName name="__APW_RESTORE_DATA595__" hidden="1">#REF!,#REF!,#REF!,#REF!,#REF!,#REF!,#REF!,#REF!,#REF!,#REF!,#REF!,#REF!,#REF!,#REF!</definedName>
    <definedName name="__APW_RESTORE_DATA596__" hidden="1">#REF!,#REF!,#REF!,#REF!,#REF!,#REF!,#REF!,#REF!,#REF!,#REF!,#REF!,#REF!,#REF!,#REF!</definedName>
    <definedName name="__APW_RESTORE_DATA597__" hidden="1">#REF!,#REF!,#REF!,#REF!,#REF!,#REF!,#REF!,#REF!,#REF!,#REF!,#REF!,#REF!,#REF!,#REF!</definedName>
    <definedName name="__APW_RESTORE_DATA598__" hidden="1">#REF!,#REF!,#REF!,#REF!,#REF!,#REF!,#REF!,#REF!,#REF!,#REF!,#REF!,#REF!,#REF!,#REF!</definedName>
    <definedName name="__APW_RESTORE_DATA599__" hidden="1">#REF!,#REF!,#REF!,#REF!,#REF!,#REF!,#REF!,#REF!,#REF!,#REF!,#REF!,#REF!,#REF!,#REF!</definedName>
    <definedName name="__APW_RESTORE_DATA6__" hidden="1">#REF!,#REF!,#REF!,#REF!,#REF!,#REF!,#REF!,#REF!,#REF!,#REF!,#REF!,#REF!,#REF!,#REF!</definedName>
    <definedName name="__APW_RESTORE_DATA600__" hidden="1">#REF!,#REF!,#REF!,#REF!,#REF!,#REF!,#REF!,#REF!,#REF!,#REF!,#REF!,#REF!,#REF!,#REF!</definedName>
    <definedName name="__APW_RESTORE_DATA601__" hidden="1">#REF!,#REF!,#REF!,#REF!,#REF!,#REF!,#REF!,#REF!,#REF!,#REF!,#REF!,#REF!,#REF!,#REF!</definedName>
    <definedName name="__APW_RESTORE_DATA602__" hidden="1">#REF!,#REF!,#REF!,#REF!,#REF!,#REF!,#REF!,#REF!,#REF!,#REF!,#REF!,#REF!,#REF!,#REF!</definedName>
    <definedName name="__APW_RESTORE_DATA603__" hidden="1">#REF!,#REF!,#REF!,#REF!,#REF!,#REF!,#REF!,#REF!,#REF!,#REF!,#REF!,#REF!,#REF!,#REF!</definedName>
    <definedName name="__APW_RESTORE_DATA604__" hidden="1">#REF!,#REF!,#REF!,#REF!,#REF!,#REF!,#REF!,#REF!,#REF!,#REF!,#REF!,#REF!,#REF!,#REF!</definedName>
    <definedName name="__APW_RESTORE_DATA605__" hidden="1">#REF!,#REF!,#REF!,#REF!,#REF!,#REF!,#REF!,#REF!,#REF!,#REF!,#REF!,#REF!,#REF!,#REF!</definedName>
    <definedName name="__APW_RESTORE_DATA606__" hidden="1">#REF!,#REF!,#REF!,#REF!,#REF!,#REF!,#REF!,#REF!,#REF!,#REF!,#REF!,#REF!,#REF!,#REF!</definedName>
    <definedName name="__APW_RESTORE_DATA607__" hidden="1">#REF!,#REF!,#REF!,#REF!,#REF!,#REF!,#REF!,#REF!,#REF!,#REF!,#REF!,#REF!,#REF!,#REF!</definedName>
    <definedName name="__APW_RESTORE_DATA608__" hidden="1">#REF!,#REF!,#REF!,#REF!,#REF!,#REF!,#REF!,#REF!,#REF!,#REF!,#REF!,#REF!,#REF!,#REF!</definedName>
    <definedName name="__APW_RESTORE_DATA609__" hidden="1">#REF!,#REF!,#REF!,#REF!,#REF!,#REF!,#REF!,#REF!,#REF!,#REF!,#REF!,#REF!,#REF!,#REF!</definedName>
    <definedName name="__APW_RESTORE_DATA610__" hidden="1">#REF!,#REF!,#REF!,#REF!,#REF!,#REF!,#REF!,#REF!,#REF!,#REF!,#REF!,#REF!,#REF!,#REF!</definedName>
    <definedName name="__APW_RESTORE_DATA611__" hidden="1">#REF!,#REF!,#REF!,#REF!,#REF!,#REF!,#REF!,#REF!,#REF!,#REF!,#REF!</definedName>
    <definedName name="__APW_RESTORE_DATA612__" hidden="1">#REF!,#REF!,#REF!,#REF!,#REF!,#REF!,#REF!,#REF!,#REF!,#REF!,#REF!,#REF!,#REF!,#REF!</definedName>
    <definedName name="__APW_RESTORE_DATA613__" hidden="1">#REF!,#REF!,#REF!,#REF!,#REF!,#REF!,#REF!,#REF!,#REF!,#REF!,#REF!,#REF!,#REF!,#REF!</definedName>
    <definedName name="__APW_RESTORE_DATA614__" hidden="1">#REF!,#REF!,#REF!,#REF!,#REF!,#REF!,#REF!,#REF!,#REF!,#REF!,#REF!,#REF!,#REF!,#REF!</definedName>
    <definedName name="__APW_RESTORE_DATA615__" hidden="1">#REF!,#REF!,#REF!,#REF!,#REF!,#REF!,#REF!,#REF!,#REF!,#REF!,#REF!,#REF!,#REF!,#REF!</definedName>
    <definedName name="__APW_RESTORE_DATA616__" hidden="1">#REF!,#REF!,#REF!,#REF!,#REF!,#REF!,#REF!,#REF!,#REF!,#REF!,#REF!,#REF!,#REF!,#REF!</definedName>
    <definedName name="__APW_RESTORE_DATA617__" hidden="1">#REF!,#REF!,#REF!,#REF!,#REF!,#REF!,#REF!,#REF!,#REF!,#REF!,#REF!,#REF!,#REF!,#REF!</definedName>
    <definedName name="__APW_RESTORE_DATA618__" hidden="1">#REF!,#REF!,#REF!,#REF!,#REF!,#REF!,#REF!,#REF!,#REF!,#REF!,#REF!,#REF!,#REF!,#REF!</definedName>
    <definedName name="__APW_RESTORE_DATA619__" hidden="1">#REF!,#REF!,#REF!,#REF!,#REF!,#REF!,#REF!,#REF!,#REF!,#REF!,#REF!,#REF!,#REF!,#REF!</definedName>
    <definedName name="__APW_RESTORE_DATA620__" hidden="1">#REF!,#REF!,#REF!,#REF!,#REF!,#REF!,#REF!,#REF!,#REF!,#REF!,#REF!,#REF!,#REF!,#REF!</definedName>
    <definedName name="__APW_RESTORE_DATA621__" hidden="1">#REF!,#REF!,#REF!,#REF!,#REF!,#REF!,#REF!,#REF!,#REF!,#REF!,#REF!,#REF!,#REF!,#REF!</definedName>
    <definedName name="__APW_RESTORE_DATA622__" hidden="1">#REF!,#REF!,#REF!,#REF!,#REF!,#REF!,#REF!,#REF!,#REF!,#REF!,#REF!,#REF!,#REF!,#REF!</definedName>
    <definedName name="__APW_RESTORE_DATA623__" hidden="1">#REF!,#REF!,#REF!,#REF!,#REF!,#REF!,#REF!,#REF!,#REF!,#REF!,#REF!,#REF!,#REF!,#REF!</definedName>
    <definedName name="__APW_RESTORE_DATA624__" hidden="1">#REF!,#REF!,#REF!,#REF!,#REF!,#REF!,#REF!,#REF!,#REF!,#REF!,#REF!,#REF!,#REF!,#REF!</definedName>
    <definedName name="__APW_RESTORE_DATA625__" hidden="1">#REF!,#REF!,#REF!,#REF!,#REF!,#REF!,#REF!,#REF!,#REF!,#REF!,#REF!,#REF!,#REF!,#REF!</definedName>
    <definedName name="__APW_RESTORE_DATA626__" hidden="1">#REF!,#REF!,#REF!,#REF!,#REF!,#REF!,#REF!,#REF!,#REF!,#REF!,#REF!,#REF!,#REF!,#REF!</definedName>
    <definedName name="__APW_RESTORE_DATA627__" hidden="1">#REF!,#REF!,#REF!,#REF!,#REF!,#REF!,#REF!,#REF!,#REF!,#REF!,#REF!,#REF!,#REF!,#REF!</definedName>
    <definedName name="__APW_RESTORE_DATA628__" hidden="1">#REF!,#REF!,#REF!,#REF!,#REF!,#REF!,#REF!,#REF!,#REF!,#REF!,#REF!,#REF!,#REF!,#REF!</definedName>
    <definedName name="__APW_RESTORE_DATA629__" hidden="1">#REF!,#REF!,#REF!,#REF!,#REF!,#REF!,#REF!,#REF!,#REF!,#REF!,#REF!,#REF!,#REF!,#REF!</definedName>
    <definedName name="__APW_RESTORE_DATA630__" hidden="1">#REF!,#REF!,#REF!,#REF!,#REF!,#REF!,#REF!,#REF!,#REF!,#REF!,#REF!,#REF!,#REF!,#REF!</definedName>
    <definedName name="__APW_RESTORE_DATA631__" hidden="1">#REF!,#REF!,#REF!,#REF!,#REF!,#REF!,#REF!,#REF!,#REF!,#REF!,#REF!,#REF!,#REF!,#REF!</definedName>
    <definedName name="__APW_RESTORE_DATA632__" hidden="1">#REF!,#REF!,#REF!,#REF!,#REF!,#REF!,#REF!,#REF!,#REF!,#REF!,#REF!,#REF!,#REF!,#REF!</definedName>
    <definedName name="__APW_RESTORE_DATA633__" hidden="1">#REF!,#REF!,#REF!,#REF!,#REF!,#REF!,#REF!,#REF!,#REF!,#REF!,#REF!,#REF!,#REF!,#REF!</definedName>
    <definedName name="__APW_RESTORE_DATA634__" hidden="1">#REF!,#REF!,#REF!,#REF!,#REF!,#REF!,#REF!,#REF!,#REF!,#REF!,#REF!,#REF!,#REF!,#REF!</definedName>
    <definedName name="__APW_RESTORE_DATA635__" hidden="1">#REF!,#REF!,#REF!,#REF!,#REF!,#REF!,#REF!,#REF!,#REF!,#REF!,#REF!,#REF!,#REF!,#REF!</definedName>
    <definedName name="__APW_RESTORE_DATA636__" hidden="1">#REF!,#REF!,#REF!,#REF!,#REF!,#REF!,#REF!,#REF!,#REF!,#REF!,#REF!,#REF!,#REF!,#REF!</definedName>
    <definedName name="__APW_RESTORE_DATA637__" hidden="1">#REF!,#REF!,#REF!,#REF!,#REF!,#REF!,#REF!,#REF!,#REF!,#REF!,#REF!,#REF!,#REF!,#REF!</definedName>
    <definedName name="__APW_RESTORE_DATA638__" hidden="1">#REF!,#REF!,#REF!,#REF!,#REF!,#REF!,#REF!,#REF!,#REF!,#REF!,#REF!,#REF!,#REF!,#REF!</definedName>
    <definedName name="__APW_RESTORE_DATA639__" hidden="1">#REF!,#REF!,#REF!,#REF!,#REF!,#REF!,#REF!,#REF!,#REF!,#REF!,#REF!,#REF!,#REF!,#REF!</definedName>
    <definedName name="__APW_RESTORE_DATA640__" hidden="1">#REF!,#REF!,#REF!,#REF!,#REF!,#REF!,#REF!,#REF!,#REF!,#REF!,#REF!,#REF!,#REF!,#REF!</definedName>
    <definedName name="__APW_RESTORE_DATA641__" hidden="1">#REF!,#REF!,#REF!,#REF!,#REF!,#REF!,#REF!,#REF!,#REF!,#REF!,#REF!,#REF!,#REF!,#REF!</definedName>
    <definedName name="__APW_RESTORE_DATA642__" hidden="1">#REF!,#REF!,#REF!,#REF!,#REF!,#REF!,#REF!,#REF!,#REF!,#REF!,#REF!,#REF!,#REF!,#REF!</definedName>
    <definedName name="__APW_RESTORE_DATA643__" hidden="1">#REF!,#REF!,#REF!,#REF!,#REF!,#REF!,#REF!,#REF!,#REF!,#REF!,#REF!,#REF!,#REF!,#REF!</definedName>
    <definedName name="__APW_RESTORE_DATA644__" hidden="1">#REF!,#REF!,#REF!,#REF!,#REF!,#REF!,#REF!,#REF!,#REF!,#REF!,#REF!,#REF!,#REF!,#REF!</definedName>
    <definedName name="__APW_RESTORE_DATA645__" hidden="1">#REF!,#REF!,#REF!,#REF!,#REF!,#REF!,#REF!,#REF!,#REF!,#REF!,#REF!,#REF!,#REF!,#REF!</definedName>
    <definedName name="__APW_RESTORE_DATA646__" hidden="1">#REF!,#REF!,#REF!,#REF!,#REF!,#REF!,#REF!,#REF!,#REF!,#REF!,#REF!</definedName>
    <definedName name="__APW_RESTORE_DATA647__" hidden="1">#REF!,#REF!,#REF!,#REF!,#REF!,#REF!,#REF!,#REF!,#REF!,#REF!,#REF!,#REF!,#REF!,#REF!</definedName>
    <definedName name="__APW_RESTORE_DATA648__" hidden="1">#REF!,#REF!,#REF!,#REF!,#REF!,#REF!,#REF!,#REF!,#REF!,#REF!,#REF!,#REF!,#REF!,#REF!</definedName>
    <definedName name="__APW_RESTORE_DATA649__" hidden="1">#REF!,#REF!,#REF!,#REF!,#REF!,#REF!,#REF!,#REF!,#REF!,#REF!,#REF!,#REF!,#REF!,#REF!</definedName>
    <definedName name="__APW_RESTORE_DATA650__" hidden="1">#REF!,#REF!,#REF!,#REF!,#REF!,#REF!,#REF!,#REF!,#REF!,#REF!,#REF!,#REF!,#REF!,#REF!</definedName>
    <definedName name="__APW_RESTORE_DATA651__" hidden="1">#REF!,#REF!,#REF!,#REF!,#REF!,#REF!,#REF!,#REF!,#REF!,#REF!,#REF!,#REF!,#REF!,#REF!</definedName>
    <definedName name="__APW_RESTORE_DATA652__" hidden="1">#REF!,#REF!,#REF!,#REF!,#REF!,#REF!,#REF!,#REF!,#REF!,#REF!,#REF!,#REF!,#REF!,#REF!</definedName>
    <definedName name="__APW_RESTORE_DATA653__" hidden="1">#REF!,#REF!,#REF!,#REF!,#REF!,#REF!,#REF!,#REF!,#REF!,#REF!,#REF!,#REF!,#REF!,#REF!</definedName>
    <definedName name="__APW_RESTORE_DATA654__" hidden="1">#REF!,#REF!,#REF!,#REF!,#REF!,#REF!,#REF!,#REF!,#REF!,#REF!,#REF!,#REF!,#REF!,#REF!</definedName>
    <definedName name="__APW_RESTORE_DATA655__" hidden="1">#REF!,#REF!,#REF!,#REF!,#REF!,#REF!,#REF!,#REF!,#REF!,#REF!,#REF!,#REF!,#REF!,#REF!</definedName>
    <definedName name="__APW_RESTORE_DATA656__" hidden="1">#REF!,#REF!,#REF!,#REF!,#REF!,#REF!,#REF!,#REF!,#REF!,#REF!,#REF!,#REF!,#REF!,#REF!</definedName>
    <definedName name="__APW_RESTORE_DATA657__" hidden="1">#REF!,#REF!,#REF!,#REF!,#REF!,#REF!,#REF!,#REF!,#REF!,#REF!,#REF!,#REF!,#REF!,#REF!</definedName>
    <definedName name="__APW_RESTORE_DATA658__" hidden="1">#REF!,#REF!,#REF!,#REF!,#REF!,#REF!,#REF!,#REF!,#REF!,#REF!,#REF!,#REF!,#REF!,#REF!</definedName>
    <definedName name="__APW_RESTORE_DATA659__" hidden="1">#REF!,#REF!,#REF!,#REF!,#REF!,#REF!,#REF!,#REF!,#REF!,#REF!,#REF!,#REF!,#REF!,#REF!</definedName>
    <definedName name="__APW_RESTORE_DATA660__" hidden="1">#REF!,#REF!,#REF!,#REF!,#REF!,#REF!,#REF!,#REF!,#REF!,#REF!,#REF!,#REF!,#REF!,#REF!</definedName>
    <definedName name="__APW_RESTORE_DATA661__" hidden="1">#REF!,#REF!,#REF!,#REF!,#REF!,#REF!,#REF!,#REF!,#REF!,#REF!,#REF!,#REF!,#REF!,#REF!</definedName>
    <definedName name="__APW_RESTORE_DATA662__" hidden="1">#REF!,#REF!,#REF!,#REF!,#REF!,#REF!,#REF!,#REF!,#REF!,#REF!,#REF!,#REF!,#REF!,#REF!</definedName>
    <definedName name="__APW_RESTORE_DATA663__" hidden="1">#REF!,#REF!,#REF!,#REF!,#REF!,#REF!,#REF!,#REF!,#REF!,#REF!,#REF!,#REF!,#REF!,#REF!</definedName>
    <definedName name="__APW_RESTORE_DATA664__" hidden="1">#REF!,#REF!,#REF!,#REF!,#REF!,#REF!,#REF!,#REF!,#REF!,#REF!,#REF!,#REF!,#REF!,#REF!</definedName>
    <definedName name="__APW_RESTORE_DATA665__" hidden="1">#REF!,#REF!,#REF!,#REF!,#REF!,#REF!,#REF!,#REF!,#REF!,#REF!,#REF!,#REF!,#REF!,#REF!</definedName>
    <definedName name="__APW_RESTORE_DATA666__" hidden="1">#REF!,#REF!,#REF!,#REF!,#REF!,#REF!,#REF!,#REF!,#REF!,#REF!,#REF!,#REF!,#REF!,#REF!</definedName>
    <definedName name="__APW_RESTORE_DATA667__" hidden="1">#REF!,#REF!,#REF!,#REF!,#REF!,#REF!,#REF!,#REF!,#REF!,#REF!,#REF!,#REF!,#REF!,#REF!</definedName>
    <definedName name="__APW_RESTORE_DATA668__" hidden="1">#REF!,#REF!,#REF!,#REF!,#REF!,#REF!,#REF!,#REF!,#REF!,#REF!,#REF!,#REF!,#REF!,#REF!</definedName>
    <definedName name="__APW_RESTORE_DATA669__" hidden="1">#REF!,#REF!,#REF!,#REF!,#REF!,#REF!,#REF!,#REF!,#REF!,#REF!,#REF!,#REF!,#REF!,#REF!</definedName>
    <definedName name="__APW_RESTORE_DATA670__" hidden="1">#REF!,#REF!,#REF!,#REF!,#REF!,#REF!,#REF!,#REF!,#REF!,#REF!,#REF!,#REF!,#REF!,#REF!</definedName>
    <definedName name="__APW_RESTORE_DATA671__" hidden="1">#REF!,#REF!,#REF!,#REF!,#REF!,#REF!,#REF!,#REF!,#REF!,#REF!,#REF!,#REF!,#REF!,#REF!</definedName>
    <definedName name="__APW_RESTORE_DATA672__" hidden="1">#REF!,#REF!,#REF!,#REF!,#REF!,#REF!,#REF!,#REF!,#REF!,#REF!,#REF!,#REF!,#REF!,#REF!</definedName>
    <definedName name="__APW_RESTORE_DATA673__" hidden="1">#REF!,#REF!,#REF!,#REF!,#REF!,#REF!,#REF!,#REF!,#REF!,#REF!,#REF!,#REF!,#REF!,#REF!</definedName>
    <definedName name="__APW_RESTORE_DATA674__" hidden="1">#REF!,#REF!,#REF!,#REF!,#REF!,#REF!,#REF!,#REF!,#REF!,#REF!,#REF!,#REF!,#REF!,#REF!</definedName>
    <definedName name="__APW_RESTORE_DATA675__" hidden="1">#REF!,#REF!,#REF!,#REF!,#REF!,#REF!,#REF!,#REF!,#REF!,#REF!,#REF!,#REF!,#REF!,#REF!</definedName>
    <definedName name="__APW_RESTORE_DATA676__" hidden="1">#REF!,#REF!,#REF!,#REF!,#REF!,#REF!,#REF!,#REF!,#REF!,#REF!,#REF!,#REF!,#REF!,#REF!</definedName>
    <definedName name="__APW_RESTORE_DATA677__" hidden="1">#REF!,#REF!,#REF!,#REF!,#REF!,#REF!,#REF!,#REF!,#REF!,#REF!,#REF!,#REF!,#REF!,#REF!</definedName>
    <definedName name="__APW_RESTORE_DATA678__" hidden="1">#REF!,#REF!,#REF!,#REF!,#REF!,#REF!,#REF!,#REF!,#REF!,#REF!,#REF!,#REF!,#REF!,#REF!</definedName>
    <definedName name="__APW_RESTORE_DATA679__" hidden="1">#REF!,#REF!,#REF!,#REF!,#REF!,#REF!,#REF!,#REF!,#REF!,#REF!,#REF!,#REF!,#REF!,#REF!</definedName>
    <definedName name="__APW_RESTORE_DATA680__" hidden="1">#REF!,#REF!,#REF!,#REF!,#REF!,#REF!,#REF!,#REF!,#REF!,#REF!,#REF!,#REF!,#REF!,#REF!</definedName>
    <definedName name="__APW_RESTORE_DATA681__" hidden="1">#REF!,#REF!,#REF!,#REF!,#REF!,#REF!,#REF!,#REF!,#REF!,#REF!,#REF!</definedName>
    <definedName name="__APW_RESTORE_DATA682__" hidden="1">#REF!,#REF!,#REF!,#REF!,#REF!,#REF!,#REF!,#REF!,#REF!,#REF!,#REF!,#REF!,#REF!,#REF!</definedName>
    <definedName name="__APW_RESTORE_DATA683__" hidden="1">#REF!,#REF!,#REF!,#REF!,#REF!,#REF!,#REF!,#REF!,#REF!,#REF!,#REF!,#REF!,#REF!,#REF!</definedName>
    <definedName name="__APW_RESTORE_DATA684__" hidden="1">#REF!,#REF!,#REF!,#REF!,#REF!,#REF!,#REF!,#REF!,#REF!,#REF!,#REF!,#REF!,#REF!,#REF!</definedName>
    <definedName name="__APW_RESTORE_DATA685__" hidden="1">#REF!,#REF!,#REF!,#REF!,#REF!,#REF!,#REF!,#REF!,#REF!,#REF!,#REF!,#REF!,#REF!,#REF!</definedName>
    <definedName name="__APW_RESTORE_DATA686__" hidden="1">#REF!,#REF!,#REF!,#REF!,#REF!,#REF!,#REF!,#REF!,#REF!,#REF!,#REF!,#REF!,#REF!,#REF!</definedName>
    <definedName name="__APW_RESTORE_DATA687__" hidden="1">#REF!,#REF!,#REF!,#REF!,#REF!,#REF!,#REF!,#REF!,#REF!,#REF!,#REF!,#REF!,#REF!,#REF!</definedName>
    <definedName name="__APW_RESTORE_DATA688__" hidden="1">#REF!,#REF!,#REF!,#REF!,#REF!,#REF!,#REF!,#REF!,#REF!,#REF!,#REF!,#REF!,#REF!,#REF!</definedName>
    <definedName name="__APW_RESTORE_DATA689__" hidden="1">#REF!,#REF!,#REF!,#REF!,#REF!,#REF!,#REF!,#REF!,#REF!,#REF!,#REF!,#REF!,#REF!,#REF!</definedName>
    <definedName name="__APW_RESTORE_DATA690__" hidden="1">#REF!,#REF!,#REF!,#REF!,#REF!,#REF!,#REF!,#REF!,#REF!,#REF!,#REF!,#REF!,#REF!,#REF!</definedName>
    <definedName name="__APW_RESTORE_DATA691__" hidden="1">#REF!,#REF!,#REF!,#REF!,#REF!,#REF!,#REF!,#REF!,#REF!,#REF!,#REF!,#REF!,#REF!,#REF!</definedName>
    <definedName name="__APW_RESTORE_DATA692__" hidden="1">#REF!,#REF!,#REF!,#REF!,#REF!,#REF!,#REF!,#REF!,#REF!,#REF!,#REF!,#REF!,#REF!,#REF!</definedName>
    <definedName name="__APW_RESTORE_DATA693__" hidden="1">#REF!,#REF!,#REF!,#REF!,#REF!,#REF!,#REF!,#REF!,#REF!,#REF!,#REF!,#REF!,#REF!,#REF!</definedName>
    <definedName name="__APW_RESTORE_DATA694__" hidden="1">#REF!,#REF!,#REF!,#REF!,#REF!,#REF!,#REF!,#REF!,#REF!,#REF!,#REF!,#REF!,#REF!,#REF!</definedName>
    <definedName name="__APW_RESTORE_DATA695__" hidden="1">#REF!,#REF!,#REF!,#REF!,#REF!,#REF!,#REF!,#REF!,#REF!,#REF!,#REF!,#REF!,#REF!,#REF!</definedName>
    <definedName name="__APW_RESTORE_DATA696__" hidden="1">#REF!,#REF!,#REF!,#REF!,#REF!,#REF!,#REF!,#REF!,#REF!,#REF!,#REF!,#REF!,#REF!,#REF!</definedName>
    <definedName name="__APW_RESTORE_DATA697__" hidden="1">#REF!,#REF!,#REF!,#REF!,#REF!,#REF!,#REF!,#REF!,#REF!,#REF!,#REF!,#REF!,#REF!,#REF!</definedName>
    <definedName name="__APW_RESTORE_DATA698__" hidden="1">#REF!,#REF!,#REF!,#REF!,#REF!,#REF!,#REF!,#REF!,#REF!,#REF!,#REF!,#REF!,#REF!,#REF!</definedName>
    <definedName name="__APW_RESTORE_DATA699__" hidden="1">#REF!,#REF!,#REF!,#REF!,#REF!,#REF!,#REF!,#REF!,#REF!,#REF!,#REF!,#REF!,#REF!,#REF!</definedName>
    <definedName name="__APW_RESTORE_DATA7__" hidden="1">#REF!,#REF!,#REF!,#REF!,#REF!,#REF!,#REF!,#REF!,#REF!,#REF!,#REF!,#REF!,#REF!,#REF!</definedName>
    <definedName name="__APW_RESTORE_DATA700__" hidden="1">#REF!,#REF!,#REF!,#REF!,#REF!,#REF!,#REF!,#REF!,#REF!,#REF!,#REF!,#REF!,#REF!,#REF!</definedName>
    <definedName name="__APW_RESTORE_DATA701__" hidden="1">#REF!,#REF!,#REF!,#REF!,#REF!,#REF!,#REF!,#REF!,#REF!,#REF!,#REF!,#REF!,#REF!,#REF!</definedName>
    <definedName name="__APW_RESTORE_DATA702__" hidden="1">#REF!,#REF!,#REF!,#REF!,#REF!,#REF!,#REF!,#REF!,#REF!,#REF!,#REF!,#REF!,#REF!,#REF!</definedName>
    <definedName name="__APW_RESTORE_DATA703__" hidden="1">#REF!,#REF!,#REF!,#REF!,#REF!,#REF!,#REF!,#REF!,#REF!,#REF!,#REF!,#REF!,#REF!,#REF!</definedName>
    <definedName name="__APW_RESTORE_DATA704__" hidden="1">#REF!,#REF!,#REF!,#REF!,#REF!,#REF!,#REF!,#REF!,#REF!,#REF!,#REF!,#REF!,#REF!,#REF!</definedName>
    <definedName name="__APW_RESTORE_DATA705__" hidden="1">#REF!,#REF!,#REF!,#REF!,#REF!,#REF!,#REF!,#REF!,#REF!,#REF!,#REF!,#REF!,#REF!,#REF!</definedName>
    <definedName name="__APW_RESTORE_DATA706__" hidden="1">#REF!,#REF!,#REF!,#REF!,#REF!,#REF!,#REF!,#REF!,#REF!,#REF!,#REF!,#REF!,#REF!,#REF!</definedName>
    <definedName name="__APW_RESTORE_DATA707__" hidden="1">#REF!,#REF!,#REF!,#REF!,#REF!,#REF!,#REF!,#REF!,#REF!,#REF!,#REF!,#REF!,#REF!,#REF!</definedName>
    <definedName name="__APW_RESTORE_DATA708__" hidden="1">#REF!,#REF!,#REF!,#REF!,#REF!,#REF!,#REF!,#REF!,#REF!,#REF!,#REF!,#REF!,#REF!,#REF!</definedName>
    <definedName name="__APW_RESTORE_DATA709__" hidden="1">#REF!,#REF!,#REF!,#REF!,#REF!,#REF!,#REF!,#REF!,#REF!,#REF!,#REF!,#REF!,#REF!,#REF!</definedName>
    <definedName name="__APW_RESTORE_DATA710__" hidden="1">#REF!,#REF!,#REF!,#REF!,#REF!,#REF!,#REF!,#REF!,#REF!,#REF!,#REF!,#REF!,#REF!,#REF!</definedName>
    <definedName name="__APW_RESTORE_DATA711__" hidden="1">#REF!,#REF!,#REF!,#REF!,#REF!,#REF!,#REF!,#REF!,#REF!,#REF!,#REF!,#REF!,#REF!,#REF!</definedName>
    <definedName name="__APW_RESTORE_DATA712__" hidden="1">#REF!,#REF!,#REF!,#REF!,#REF!,#REF!,#REF!,#REF!,#REF!,#REF!,#REF!,#REF!,#REF!,#REF!</definedName>
    <definedName name="__APW_RESTORE_DATA713__" hidden="1">#REF!,#REF!,#REF!,#REF!,#REF!,#REF!,#REF!,#REF!,#REF!,#REF!,#REF!,#REF!,#REF!,#REF!</definedName>
    <definedName name="__APW_RESTORE_DATA714__" hidden="1">#REF!,#REF!,#REF!,#REF!,#REF!,#REF!,#REF!,#REF!,#REF!,#REF!,#REF!,#REF!,#REF!,#REF!</definedName>
    <definedName name="__APW_RESTORE_DATA715__" hidden="1">#REF!,#REF!,#REF!,#REF!,#REF!,#REF!,#REF!,#REF!,#REF!,#REF!,#REF!,#REF!,#REF!,#REF!</definedName>
    <definedName name="__APW_RESTORE_DATA716__" hidden="1">#REF!,#REF!,#REF!,#REF!,#REF!,#REF!,#REF!,#REF!,#REF!,#REF!,#REF!</definedName>
    <definedName name="__APW_RESTORE_DATA717__" hidden="1">#REF!,#REF!,#REF!,#REF!,#REF!,#REF!,#REF!,#REF!,#REF!,#REF!,#REF!,#REF!,#REF!,#REF!</definedName>
    <definedName name="__APW_RESTORE_DATA718__" hidden="1">#REF!,#REF!,#REF!,#REF!,#REF!,#REF!,#REF!,#REF!,#REF!,#REF!,#REF!,#REF!,#REF!,#REF!</definedName>
    <definedName name="__APW_RESTORE_DATA719__" hidden="1">#REF!,#REF!,#REF!,#REF!,#REF!,#REF!,#REF!,#REF!,#REF!,#REF!,#REF!,#REF!,#REF!,#REF!</definedName>
    <definedName name="__APW_RESTORE_DATA720__" hidden="1">#REF!,#REF!,#REF!,#REF!,#REF!,#REF!,#REF!,#REF!,#REF!,#REF!,#REF!,#REF!,#REF!,#REF!</definedName>
    <definedName name="__APW_RESTORE_DATA721__" hidden="1">#REF!,#REF!,#REF!,#REF!,#REF!,#REF!,#REF!,#REF!,#REF!,#REF!,#REF!,#REF!,#REF!,#REF!</definedName>
    <definedName name="__APW_RESTORE_DATA722__" hidden="1">#REF!,#REF!,#REF!,#REF!,#REF!,#REF!,#REF!,#REF!,#REF!,#REF!,#REF!,#REF!,#REF!,#REF!</definedName>
    <definedName name="__APW_RESTORE_DATA723__" hidden="1">#REF!,#REF!,#REF!,#REF!,#REF!,#REF!,#REF!,#REF!,#REF!,#REF!,#REF!,#REF!,#REF!,#REF!</definedName>
    <definedName name="__APW_RESTORE_DATA724__" hidden="1">#REF!,#REF!,#REF!,#REF!,#REF!,#REF!,#REF!,#REF!,#REF!,#REF!,#REF!,#REF!,#REF!,#REF!</definedName>
    <definedName name="__APW_RESTORE_DATA725__" hidden="1">#REF!,#REF!,#REF!,#REF!,#REF!,#REF!,#REF!,#REF!,#REF!,#REF!,#REF!,#REF!,#REF!,#REF!</definedName>
    <definedName name="__APW_RESTORE_DATA726__" hidden="1">#REF!,#REF!,#REF!,#REF!,#REF!,#REF!,#REF!,#REF!,#REF!,#REF!,#REF!,#REF!,#REF!,#REF!</definedName>
    <definedName name="__APW_RESTORE_DATA727__" hidden="1">#REF!,#REF!,#REF!,#REF!,#REF!,#REF!,#REF!,#REF!,#REF!,#REF!,#REF!,#REF!,#REF!,#REF!</definedName>
    <definedName name="__APW_RESTORE_DATA728__" hidden="1">#REF!,#REF!,#REF!,#REF!,#REF!,#REF!,#REF!,#REF!,#REF!,#REF!,#REF!,#REF!,#REF!,#REF!</definedName>
    <definedName name="__APW_RESTORE_DATA729__" hidden="1">#REF!,#REF!,#REF!,#REF!,#REF!,#REF!,#REF!,#REF!,#REF!,#REF!,#REF!,#REF!,#REF!,#REF!</definedName>
    <definedName name="__APW_RESTORE_DATA730__" hidden="1">#REF!,#REF!,#REF!,#REF!,#REF!,#REF!,#REF!,#REF!,#REF!,#REF!,#REF!,#REF!,#REF!,#REF!</definedName>
    <definedName name="__APW_RESTORE_DATA731__" hidden="1">#REF!,#REF!,#REF!,#REF!,#REF!,#REF!,#REF!,#REF!,#REF!,#REF!,#REF!,#REF!,#REF!,#REF!</definedName>
    <definedName name="__APW_RESTORE_DATA732__" hidden="1">#REF!,#REF!,#REF!,#REF!,#REF!,#REF!,#REF!,#REF!,#REF!,#REF!,#REF!,#REF!,#REF!,#REF!</definedName>
    <definedName name="__APW_RESTORE_DATA733__" hidden="1">#REF!,#REF!,#REF!,#REF!,#REF!,#REF!,#REF!,#REF!,#REF!,#REF!,#REF!,#REF!,#REF!,#REF!</definedName>
    <definedName name="__APW_RESTORE_DATA734__" hidden="1">#REF!,#REF!,#REF!,#REF!,#REF!,#REF!,#REF!,#REF!,#REF!,#REF!,#REF!,#REF!,#REF!,#REF!</definedName>
    <definedName name="__APW_RESTORE_DATA735__" hidden="1">#REF!,#REF!,#REF!,#REF!,#REF!,#REF!,#REF!,#REF!,#REF!,#REF!,#REF!,#REF!,#REF!,#REF!</definedName>
    <definedName name="__APW_RESTORE_DATA736__" hidden="1">#REF!,#REF!,#REF!,#REF!,#REF!,#REF!,#REF!,#REF!,#REF!,#REF!,#REF!,#REF!,#REF!,#REF!</definedName>
    <definedName name="__APW_RESTORE_DATA737__" hidden="1">#REF!,#REF!,#REF!,#REF!,#REF!,#REF!,#REF!,#REF!,#REF!,#REF!,#REF!,#REF!,#REF!,#REF!</definedName>
    <definedName name="__APW_RESTORE_DATA738__" hidden="1">#REF!,#REF!,#REF!,#REF!,#REF!,#REF!,#REF!,#REF!,#REF!,#REF!,#REF!,#REF!,#REF!,#REF!</definedName>
    <definedName name="__APW_RESTORE_DATA739__" hidden="1">#REF!,#REF!,#REF!,#REF!,#REF!,#REF!,#REF!,#REF!,#REF!,#REF!,#REF!,#REF!,#REF!,#REF!</definedName>
    <definedName name="__APW_RESTORE_DATA740__" hidden="1">#REF!,#REF!,#REF!,#REF!,#REF!,#REF!,#REF!,#REF!,#REF!,#REF!,#REF!,#REF!,#REF!,#REF!</definedName>
    <definedName name="__APW_RESTORE_DATA741__" hidden="1">#REF!,#REF!,#REF!,#REF!,#REF!,#REF!,#REF!,#REF!,#REF!,#REF!,#REF!,#REF!,#REF!,#REF!</definedName>
    <definedName name="__APW_RESTORE_DATA742__" hidden="1">#REF!,#REF!,#REF!,#REF!,#REF!,#REF!,#REF!,#REF!,#REF!,#REF!,#REF!,#REF!,#REF!,#REF!</definedName>
    <definedName name="__APW_RESTORE_DATA743__" hidden="1">#REF!,#REF!,#REF!,#REF!,#REF!,#REF!,#REF!,#REF!,#REF!,#REF!,#REF!,#REF!,#REF!,#REF!</definedName>
    <definedName name="__APW_RESTORE_DATA744__" hidden="1">#REF!,#REF!,#REF!,#REF!,#REF!,#REF!,#REF!,#REF!,#REF!,#REF!,#REF!,#REF!,#REF!,#REF!</definedName>
    <definedName name="__APW_RESTORE_DATA745__" hidden="1">#REF!,#REF!,#REF!,#REF!,#REF!,#REF!,#REF!,#REF!,#REF!,#REF!,#REF!,#REF!,#REF!,#REF!</definedName>
    <definedName name="__APW_RESTORE_DATA746__" hidden="1">#REF!,#REF!,#REF!,#REF!,#REF!,#REF!,#REF!,#REF!,#REF!,#REF!,#REF!,#REF!,#REF!,#REF!</definedName>
    <definedName name="__APW_RESTORE_DATA747__" hidden="1">#REF!,#REF!,#REF!,#REF!,#REF!,#REF!,#REF!,#REF!,#REF!,#REF!,#REF!,#REF!,#REF!,#REF!</definedName>
    <definedName name="__APW_RESTORE_DATA748__" hidden="1">#REF!,#REF!,#REF!,#REF!,#REF!,#REF!,#REF!,#REF!,#REF!,#REF!,#REF!,#REF!,#REF!,#REF!</definedName>
    <definedName name="__APW_RESTORE_DATA749__" hidden="1">#REF!,#REF!,#REF!,#REF!,#REF!,#REF!,#REF!,#REF!,#REF!,#REF!,#REF!,#REF!,#REF!,#REF!</definedName>
    <definedName name="__APW_RESTORE_DATA750__" hidden="1">#REF!,#REF!,#REF!,#REF!,#REF!,#REF!,#REF!,#REF!,#REF!,#REF!,#REF!,#REF!,#REF!,#REF!</definedName>
    <definedName name="__APW_RESTORE_DATA751__" hidden="1">#REF!,#REF!,#REF!,#REF!,#REF!,#REF!,#REF!,#REF!,#REF!,#REF!,#REF!</definedName>
    <definedName name="__APW_RESTORE_DATA764__" hidden="1">#REF!,#REF!,#REF!,#REF!,#REF!,#REF!,#REF!,#REF!,#REF!,#REF!,#REF!,#REF!,#REF!,#REF!,#REF!</definedName>
    <definedName name="__APW_RESTORE_DATA765__" hidden="1">#REF!,#REF!,#REF!,#REF!,#REF!,#REF!,#REF!,#REF!,#REF!,#REF!,#REF!,#REF!,#REF!,#REF!,#REF!</definedName>
    <definedName name="__APW_RESTORE_DATA766__" hidden="1">#REF!,#REF!,#REF!,#REF!,#REF!,#REF!,#REF!,#REF!,#REF!,#REF!,#REF!,#REF!,#REF!,#REF!,#REF!</definedName>
    <definedName name="__APW_RESTORE_DATA767__" hidden="1">#REF!,#REF!,#REF!,#REF!,#REF!,#REF!,#REF!,#REF!,#REF!,#REF!,#REF!,#REF!,#REF!,#REF!</definedName>
    <definedName name="__APW_RESTORE_DATA768__" hidden="1">#REF!,#REF!,#REF!,#REF!,#REF!,#REF!,#REF!,#REF!,#REF!,#REF!,#REF!,#REF!,#REF!,#REF!</definedName>
    <definedName name="__APW_RESTORE_DATA769__" hidden="1">#REF!,#REF!,#REF!,#REF!,#REF!,#REF!,#REF!,#REF!,#REF!,#REF!,#REF!,#REF!,#REF!,#REF!</definedName>
    <definedName name="__APW_RESTORE_DATA770__" hidden="1">#REF!,#REF!,#REF!,#REF!,#REF!,#REF!,#REF!,#REF!,#REF!,#REF!,#REF!,#REF!,#REF!,#REF!</definedName>
    <definedName name="__APW_RESTORE_DATA771__" hidden="1">#REF!,#REF!,#REF!,#REF!,#REF!,#REF!,#REF!,#REF!,#REF!,#REF!,#REF!,#REF!,#REF!,#REF!</definedName>
    <definedName name="__APW_RESTORE_DATA772__" hidden="1">#REF!,#REF!,#REF!,#REF!,#REF!,#REF!,#REF!,#REF!,#REF!,#REF!,#REF!,#REF!,#REF!,#REF!</definedName>
    <definedName name="__APW_RESTORE_DATA773__" hidden="1">#REF!,#REF!,#REF!,#REF!,#REF!,#REF!,#REF!,#REF!,#REF!,#REF!,#REF!,#REF!,#REF!,#REF!</definedName>
    <definedName name="__APW_RESTORE_DATA774__" hidden="1">#REF!,#REF!,#REF!,#REF!,#REF!,#REF!,#REF!,#REF!,#REF!,#REF!,#REF!,#REF!,#REF!,#REF!</definedName>
    <definedName name="__APW_RESTORE_DATA775__" hidden="1">#REF!,#REF!,#REF!,#REF!,#REF!</definedName>
    <definedName name="__APW_RESTORE_DATA776__" hidden="1">#REF!,#REF!,#REF!,#REF!,#REF!,#REF!,#REF!,#REF!,#REF!,#REF!,#REF!,#REF!,#REF!,#REF!,#REF!</definedName>
    <definedName name="__APW_RESTORE_DATA777__" hidden="1">#REF!,#REF!,#REF!,#REF!,#REF!,#REF!,#REF!,#REF!,#REF!,#REF!,#REF!,#REF!,#REF!,#REF!,#REF!</definedName>
    <definedName name="__APW_RESTORE_DATA778__" hidden="1">#REF!,#REF!,#REF!,#REF!,#REF!,#REF!,#REF!,#REF!,#REF!,#REF!,#REF!,#REF!,#REF!,#REF!,#REF!</definedName>
    <definedName name="__APW_RESTORE_DATA779__" hidden="1">#REF!,#REF!,#REF!,#REF!,#REF!,#REF!,#REF!,#REF!,#REF!,#REF!,#REF!,#REF!,#REF!,#REF!</definedName>
    <definedName name="__APW_RESTORE_DATA780__" hidden="1">#REF!,#REF!,#REF!,#REF!,#REF!,#REF!,#REF!,#REF!,#REF!,#REF!,#REF!,#REF!,#REF!,#REF!</definedName>
    <definedName name="__APW_RESTORE_DATA781__" hidden="1">#REF!,#REF!,#REF!,#REF!,#REF!,#REF!,#REF!,#REF!,#REF!,#REF!,#REF!,#REF!,#REF!,#REF!</definedName>
    <definedName name="__APW_RESTORE_DATA782__" hidden="1">#REF!,#REF!,#REF!,#REF!,#REF!,#REF!,#REF!,#REF!,#REF!,#REF!,#REF!,#REF!,#REF!,#REF!</definedName>
    <definedName name="__APW_RESTORE_DATA783__" hidden="1">#REF!,#REF!,#REF!,#REF!,#REF!,#REF!,#REF!,#REF!,#REF!,#REF!,#REF!,#REF!,#REF!,#REF!</definedName>
    <definedName name="__APW_RESTORE_DATA784__" hidden="1">#REF!,#REF!,#REF!,#REF!,#REF!,#REF!,#REF!,#REF!,#REF!,#REF!,#REF!,#REF!,#REF!,#REF!</definedName>
    <definedName name="__APW_RESTORE_DATA785__" hidden="1">#REF!,#REF!,#REF!,#REF!,#REF!,#REF!,#REF!,#REF!,#REF!,#REF!,#REF!,#REF!,#REF!,#REF!</definedName>
    <definedName name="__APW_RESTORE_DATA786__" hidden="1">#REF!,#REF!,#REF!,#REF!,#REF!,#REF!,#REF!,#REF!,#REF!,#REF!,#REF!,#REF!,#REF!,#REF!</definedName>
    <definedName name="__APW_RESTORE_DATA787__" hidden="1">#REF!,#REF!,#REF!,#REF!,#REF!</definedName>
    <definedName name="__APW_RESTORE_DATA788__" hidden="1">#REF!,#REF!,#REF!,#REF!,#REF!,#REF!,#REF!,#REF!,#REF!,#REF!,#REF!,#REF!,#REF!,#REF!,#REF!</definedName>
    <definedName name="__APW_RESTORE_DATA789__" hidden="1">#REF!,#REF!,#REF!,#REF!,#REF!,#REF!,#REF!,#REF!,#REF!,#REF!,#REF!,#REF!,#REF!,#REF!,#REF!</definedName>
    <definedName name="__APW_RESTORE_DATA790__" hidden="1">#REF!,#REF!,#REF!,#REF!,#REF!,#REF!,#REF!,#REF!,#REF!,#REF!,#REF!,#REF!,#REF!,#REF!,#REF!</definedName>
    <definedName name="__APW_RESTORE_DATA791__" hidden="1">#REF!,#REF!,#REF!,#REF!,#REF!,#REF!,#REF!,#REF!,#REF!,#REF!,#REF!,#REF!,#REF!,#REF!</definedName>
    <definedName name="__APW_RESTORE_DATA792__" hidden="1">#REF!,#REF!,#REF!,#REF!,#REF!,#REF!,#REF!,#REF!,#REF!,#REF!,#REF!,#REF!,#REF!,#REF!</definedName>
    <definedName name="__APW_RESTORE_DATA793__" hidden="1">#REF!,#REF!,#REF!,#REF!,#REF!,#REF!,#REF!,#REF!,#REF!,#REF!,#REF!,#REF!,#REF!,#REF!</definedName>
    <definedName name="__APW_RESTORE_DATA794__" hidden="1">#REF!,#REF!,#REF!,#REF!,#REF!,#REF!,#REF!,#REF!,#REF!,#REF!,#REF!,#REF!,#REF!,#REF!</definedName>
    <definedName name="__APW_RESTORE_DATA795__" hidden="1">#REF!,#REF!,#REF!,#REF!,#REF!,#REF!,#REF!,#REF!,#REF!,#REF!,#REF!,#REF!,#REF!,#REF!</definedName>
    <definedName name="__APW_RESTORE_DATA796__" hidden="1">#REF!,#REF!,#REF!,#REF!,#REF!,#REF!,#REF!,#REF!,#REF!,#REF!,#REF!,#REF!,#REF!,#REF!</definedName>
    <definedName name="__APW_RESTORE_DATA797__" hidden="1">#REF!,#REF!,#REF!,#REF!,#REF!,#REF!,#REF!,#REF!,#REF!,#REF!,#REF!,#REF!,#REF!,#REF!</definedName>
    <definedName name="__APW_RESTORE_DATA798__" hidden="1">#REF!,#REF!,#REF!,#REF!,#REF!,#REF!,#REF!,#REF!,#REF!,#REF!,#REF!,#REF!,#REF!,#REF!</definedName>
    <definedName name="__APW_RESTORE_DATA799__" hidden="1">#REF!,#REF!,#REF!,#REF!,#REF!</definedName>
    <definedName name="__APW_RESTORE_DATA8__" hidden="1">#REF!,#REF!,#REF!,#REF!,#REF!,#REF!,#REF!,#REF!,#REF!,#REF!,#REF!,#REF!,#REF!,#REF!</definedName>
    <definedName name="__APW_RESTORE_DATA800__" hidden="1">#REF!,#REF!,#REF!,#REF!,#REF!,#REF!,#REF!,#REF!,#REF!,#REF!,#REF!,#REF!,#REF!,#REF!,#REF!</definedName>
    <definedName name="__APW_RESTORE_DATA801__" hidden="1">#REF!,#REF!,#REF!,#REF!,#REF!,#REF!,#REF!,#REF!,#REF!,#REF!,#REF!,#REF!,#REF!,#REF!,#REF!</definedName>
    <definedName name="__APW_RESTORE_DATA802__" hidden="1">#REF!,#REF!,#REF!,#REF!,#REF!,#REF!,#REF!,#REF!,#REF!,#REF!,#REF!,#REF!,#REF!,#REF!,#REF!</definedName>
    <definedName name="__APW_RESTORE_DATA803__" hidden="1">#REF!,#REF!,#REF!,#REF!,#REF!,#REF!,#REF!,#REF!,#REF!,#REF!,#REF!,#REF!,#REF!,#REF!</definedName>
    <definedName name="__APW_RESTORE_DATA804__" hidden="1">#REF!,#REF!,#REF!,#REF!,#REF!,#REF!,#REF!,#REF!,#REF!,#REF!,#REF!,#REF!,#REF!,#REF!</definedName>
    <definedName name="__APW_RESTORE_DATA805__" hidden="1">#REF!,#REF!,#REF!,#REF!,#REF!,#REF!,#REF!,#REF!,#REF!,#REF!,#REF!,#REF!,#REF!,#REF!</definedName>
    <definedName name="__APW_RESTORE_DATA806__" hidden="1">#REF!,#REF!,#REF!,#REF!,#REF!,#REF!,#REF!,#REF!,#REF!,#REF!,#REF!,#REF!,#REF!,#REF!</definedName>
    <definedName name="__APW_RESTORE_DATA807__" hidden="1">#REF!,#REF!,#REF!,#REF!,#REF!,#REF!,#REF!,#REF!,#REF!,#REF!,#REF!,#REF!,#REF!,#REF!</definedName>
    <definedName name="__APW_RESTORE_DATA808__" hidden="1">#REF!,#REF!,#REF!,#REF!,#REF!,#REF!,#REF!,#REF!,#REF!,#REF!,#REF!,#REF!,#REF!,#REF!</definedName>
    <definedName name="__APW_RESTORE_DATA809__" hidden="1">#REF!,#REF!,#REF!,#REF!,#REF!,#REF!,#REF!,#REF!,#REF!,#REF!,#REF!,#REF!,#REF!,#REF!</definedName>
    <definedName name="__APW_RESTORE_DATA810__" hidden="1">#REF!,#REF!,#REF!,#REF!,#REF!,#REF!,#REF!,#REF!,#REF!,#REF!,#REF!,#REF!,#REF!,#REF!</definedName>
    <definedName name="__APW_RESTORE_DATA811__" hidden="1">#REF!,#REF!,#REF!,#REF!,#REF!</definedName>
    <definedName name="__APW_RESTORE_DATA812__" hidden="1">#REF!,#REF!,#REF!,#REF!,#REF!,#REF!,#REF!,#REF!,#REF!,#REF!,#REF!,#REF!,#REF!,#REF!,#REF!</definedName>
    <definedName name="__APW_RESTORE_DATA813__" hidden="1">#REF!,#REF!,#REF!,#REF!,#REF!,#REF!,#REF!,#REF!,#REF!,#REF!,#REF!,#REF!,#REF!,#REF!,#REF!</definedName>
    <definedName name="__APW_RESTORE_DATA814__" hidden="1">#REF!,#REF!,#REF!,#REF!,#REF!,#REF!,#REF!,#REF!,#REF!,#REF!,#REF!,#REF!,#REF!,#REF!,#REF!</definedName>
    <definedName name="__APW_RESTORE_DATA815__" hidden="1">#REF!,#REF!,#REF!,#REF!,#REF!,#REF!,#REF!,#REF!,#REF!,#REF!,#REF!,#REF!,#REF!,#REF!</definedName>
    <definedName name="__APW_RESTORE_DATA816__" hidden="1">#REF!,#REF!,#REF!,#REF!,#REF!,#REF!,#REF!,#REF!,#REF!,#REF!,#REF!,#REF!,#REF!,#REF!</definedName>
    <definedName name="__APW_RESTORE_DATA817__" hidden="1">#REF!,#REF!,#REF!,#REF!,#REF!,#REF!,#REF!,#REF!,#REF!,#REF!,#REF!,#REF!,#REF!,#REF!</definedName>
    <definedName name="__APW_RESTORE_DATA818__" hidden="1">#REF!,#REF!,#REF!,#REF!,#REF!,#REF!,#REF!,#REF!,#REF!,#REF!,#REF!,#REF!,#REF!,#REF!</definedName>
    <definedName name="__APW_RESTORE_DATA819__" hidden="1">#REF!,#REF!,#REF!,#REF!,#REF!,#REF!,#REF!,#REF!,#REF!,#REF!,#REF!,#REF!,#REF!,#REF!</definedName>
    <definedName name="__APW_RESTORE_DATA820__" hidden="1">#REF!,#REF!,#REF!,#REF!,#REF!,#REF!,#REF!,#REF!,#REF!,#REF!,#REF!,#REF!,#REF!,#REF!</definedName>
    <definedName name="__APW_RESTORE_DATA821__" hidden="1">#REF!,#REF!,#REF!,#REF!,#REF!,#REF!,#REF!,#REF!,#REF!,#REF!,#REF!,#REF!,#REF!,#REF!</definedName>
    <definedName name="__APW_RESTORE_DATA822__" hidden="1">#REF!,#REF!,#REF!,#REF!,#REF!,#REF!,#REF!,#REF!,#REF!,#REF!,#REF!,#REF!,#REF!,#REF!</definedName>
    <definedName name="__APW_RESTORE_DATA823__" hidden="1">#REF!,#REF!,#REF!,#REF!,#REF!</definedName>
    <definedName name="__APW_RESTORE_DATA824__" hidden="1">#REF!,#REF!,#REF!,#REF!,#REF!,#REF!,#REF!,#REF!,#REF!,#REF!,#REF!,#REF!,#REF!,#REF!,#REF!</definedName>
    <definedName name="__APW_RESTORE_DATA825__" hidden="1">#REF!,#REF!,#REF!,#REF!,#REF!,#REF!,#REF!,#REF!,#REF!,#REF!,#REF!,#REF!,#REF!,#REF!,#REF!</definedName>
    <definedName name="__APW_RESTORE_DATA826__" hidden="1">#REF!,#REF!,#REF!,#REF!,#REF!,#REF!,#REF!,#REF!,#REF!,#REF!,#REF!,#REF!,#REF!,#REF!,#REF!</definedName>
    <definedName name="__APW_RESTORE_DATA827__" hidden="1">#REF!,#REF!,#REF!,#REF!,#REF!,#REF!,#REF!,#REF!,#REF!,#REF!,#REF!,#REF!,#REF!,#REF!</definedName>
    <definedName name="__APW_RESTORE_DATA828__" hidden="1">#REF!,#REF!,#REF!,#REF!,#REF!,#REF!,#REF!,#REF!,#REF!,#REF!,#REF!,#REF!,#REF!,#REF!</definedName>
    <definedName name="__APW_RESTORE_DATA829__" hidden="1">#REF!,#REF!,#REF!,#REF!,#REF!,#REF!,#REF!,#REF!,#REF!,#REF!,#REF!,#REF!,#REF!,#REF!</definedName>
    <definedName name="__APW_RESTORE_DATA830__" hidden="1">#REF!,#REF!,#REF!,#REF!,#REF!,#REF!,#REF!,#REF!,#REF!,#REF!,#REF!,#REF!,#REF!,#REF!</definedName>
    <definedName name="__APW_RESTORE_DATA831__" hidden="1">#REF!,#REF!,#REF!,#REF!,#REF!,#REF!,#REF!,#REF!,#REF!,#REF!,#REF!,#REF!,#REF!,#REF!</definedName>
    <definedName name="__APW_RESTORE_DATA832__" hidden="1">#REF!,#REF!,#REF!,#REF!,#REF!,#REF!,#REF!,#REF!,#REF!,#REF!,#REF!,#REF!,#REF!,#REF!</definedName>
    <definedName name="__APW_RESTORE_DATA833__" hidden="1">#REF!,#REF!,#REF!,#REF!,#REF!,#REF!,#REF!,#REF!,#REF!,#REF!,#REF!,#REF!,#REF!,#REF!</definedName>
    <definedName name="__APW_RESTORE_DATA834__" hidden="1">#REF!,#REF!,#REF!,#REF!,#REF!,#REF!,#REF!,#REF!,#REF!,#REF!,#REF!,#REF!,#REF!,#REF!</definedName>
    <definedName name="__APW_RESTORE_DATA835__" hidden="1">#REF!,#REF!,#REF!,#REF!,#REF!</definedName>
    <definedName name="__APW_RESTORE_DATA836__" hidden="1">#REF!,#REF!,#REF!,#REF!,#REF!,#REF!,#REF!,#REF!,#REF!,#REF!,#REF!,#REF!,#REF!,#REF!,#REF!</definedName>
    <definedName name="__APW_RESTORE_DATA837__" hidden="1">#REF!,#REF!,#REF!,#REF!,#REF!,#REF!,#REF!,#REF!,#REF!,#REF!,#REF!,#REF!,#REF!,#REF!,#REF!</definedName>
    <definedName name="__APW_RESTORE_DATA838__" hidden="1">#REF!,#REF!,#REF!,#REF!,#REF!,#REF!,#REF!,#REF!,#REF!,#REF!,#REF!,#REF!,#REF!,#REF!,#REF!</definedName>
    <definedName name="__APW_RESTORE_DATA839__" hidden="1">#REF!,#REF!,#REF!,#REF!,#REF!,#REF!,#REF!,#REF!,#REF!,#REF!,#REF!,#REF!,#REF!,#REF!</definedName>
    <definedName name="__APW_RESTORE_DATA840__" hidden="1">#REF!,#REF!,#REF!,#REF!,#REF!,#REF!,#REF!,#REF!,#REF!,#REF!,#REF!,#REF!,#REF!,#REF!</definedName>
    <definedName name="__APW_RESTORE_DATA841__" hidden="1">#REF!,#REF!,#REF!,#REF!,#REF!,#REF!,#REF!,#REF!,#REF!,#REF!,#REF!,#REF!,#REF!,#REF!</definedName>
    <definedName name="__APW_RESTORE_DATA842__" hidden="1">#REF!,#REF!,#REF!,#REF!,#REF!,#REF!,#REF!,#REF!,#REF!,#REF!,#REF!,#REF!,#REF!,#REF!</definedName>
    <definedName name="__APW_RESTORE_DATA843__" hidden="1">#REF!,#REF!,#REF!,#REF!,#REF!,#REF!,#REF!,#REF!,#REF!,#REF!,#REF!,#REF!,#REF!,#REF!</definedName>
    <definedName name="__APW_RESTORE_DATA844__" hidden="1">#REF!,#REF!,#REF!,#REF!,#REF!,#REF!,#REF!,#REF!,#REF!,#REF!,#REF!,#REF!,#REF!,#REF!</definedName>
    <definedName name="__APW_RESTORE_DATA845__" hidden="1">#REF!,#REF!,#REF!,#REF!,#REF!,#REF!,#REF!,#REF!,#REF!,#REF!,#REF!,#REF!,#REF!,#REF!</definedName>
    <definedName name="__APW_RESTORE_DATA846__" hidden="1">#REF!,#REF!,#REF!,#REF!,#REF!,#REF!,#REF!,#REF!,#REF!,#REF!,#REF!,#REF!,#REF!,#REF!</definedName>
    <definedName name="__APW_RESTORE_DATA847__" hidden="1">#REF!,#REF!,#REF!,#REF!,#REF!</definedName>
    <definedName name="__APW_RESTORE_DATA848__" hidden="1">#REF!,#REF!,#REF!,#REF!,#REF!,#REF!,#REF!,#REF!,#REF!,#REF!,#REF!,#REF!,#REF!,#REF!,#REF!</definedName>
    <definedName name="__APW_RESTORE_DATA849__" hidden="1">#REF!,#REF!,#REF!,#REF!,#REF!,#REF!,#REF!,#REF!,#REF!,#REF!,#REF!,#REF!,#REF!,#REF!,#REF!</definedName>
    <definedName name="__APW_RESTORE_DATA850__" hidden="1">#REF!,#REF!,#REF!,#REF!,#REF!,#REF!,#REF!,#REF!,#REF!,#REF!,#REF!,#REF!,#REF!,#REF!,#REF!</definedName>
    <definedName name="__APW_RESTORE_DATA851__" hidden="1">#REF!,#REF!,#REF!,#REF!,#REF!,#REF!,#REF!,#REF!,#REF!,#REF!,#REF!,#REF!,#REF!,#REF!</definedName>
    <definedName name="__APW_RESTORE_DATA852__" hidden="1">#REF!,#REF!,#REF!,#REF!,#REF!,#REF!,#REF!,#REF!,#REF!,#REF!,#REF!,#REF!,#REF!,#REF!</definedName>
    <definedName name="__APW_RESTORE_DATA853__" hidden="1">#REF!,#REF!,#REF!,#REF!,#REF!,#REF!,#REF!,#REF!,#REF!,#REF!,#REF!,#REF!,#REF!,#REF!</definedName>
    <definedName name="__APW_RESTORE_DATA854__" hidden="1">#REF!,#REF!,#REF!,#REF!,#REF!,#REF!,#REF!,#REF!,#REF!,#REF!,#REF!,#REF!,#REF!,#REF!</definedName>
    <definedName name="__APW_RESTORE_DATA855__" hidden="1">#REF!,#REF!,#REF!,#REF!,#REF!,#REF!,#REF!,#REF!,#REF!,#REF!,#REF!,#REF!,#REF!,#REF!</definedName>
    <definedName name="__APW_RESTORE_DATA856__" hidden="1">#REF!,#REF!,#REF!,#REF!,#REF!,#REF!,#REF!,#REF!,#REF!,#REF!,#REF!,#REF!,#REF!,#REF!</definedName>
    <definedName name="__APW_RESTORE_DATA857__" hidden="1">#REF!,#REF!,#REF!,#REF!,#REF!,#REF!,#REF!,#REF!,#REF!,#REF!,#REF!,#REF!,#REF!,#REF!</definedName>
    <definedName name="__APW_RESTORE_DATA858__" hidden="1">#REF!,#REF!,#REF!,#REF!,#REF!,#REF!,#REF!,#REF!,#REF!,#REF!,#REF!,#REF!,#REF!,#REF!</definedName>
    <definedName name="__APW_RESTORE_DATA859__" hidden="1">#REF!,#REF!,#REF!,#REF!,#REF!</definedName>
    <definedName name="__APW_RESTORE_DATA86__" hidden="1">#REF!,#REF!,#REF!,#REF!,#REF!,#REF!,#REF!,#REF!,#REF!,#REF!,#REF!,#REF!,#REF!,#REF!,#REF!</definedName>
    <definedName name="__APW_RESTORE_DATA860__" hidden="1">#REF!,#REF!,#REF!,#REF!,#REF!,#REF!,#REF!,#REF!,#REF!,#REF!,#REF!,#REF!,#REF!,#REF!,#REF!</definedName>
    <definedName name="__APW_RESTORE_DATA861__" hidden="1">#REF!,#REF!,#REF!,#REF!,#REF!,#REF!,#REF!,#REF!,#REF!,#REF!,#REF!,#REF!,#REF!,#REF!,#REF!</definedName>
    <definedName name="__APW_RESTORE_DATA862__" hidden="1">#REF!,#REF!,#REF!,#REF!,#REF!,#REF!,#REF!,#REF!,#REF!,#REF!,#REF!,#REF!,#REF!,#REF!,#REF!</definedName>
    <definedName name="__APW_RESTORE_DATA863__" hidden="1">#REF!,#REF!,#REF!,#REF!,#REF!,#REF!,#REF!,#REF!,#REF!,#REF!,#REF!,#REF!,#REF!,#REF!</definedName>
    <definedName name="__APW_RESTORE_DATA864__" hidden="1">#REF!,#REF!,#REF!,#REF!,#REF!,#REF!,#REF!,#REF!,#REF!,#REF!,#REF!,#REF!,#REF!,#REF!</definedName>
    <definedName name="__APW_RESTORE_DATA865__" hidden="1">#REF!,#REF!,#REF!,#REF!,#REF!,#REF!,#REF!,#REF!,#REF!,#REF!,#REF!,#REF!,#REF!,#REF!</definedName>
    <definedName name="__APW_RESTORE_DATA866__" hidden="1">#REF!,#REF!,#REF!,#REF!,#REF!,#REF!,#REF!,#REF!,#REF!,#REF!,#REF!,#REF!,#REF!,#REF!</definedName>
    <definedName name="__APW_RESTORE_DATA867__" hidden="1">#REF!,#REF!,#REF!,#REF!,#REF!,#REF!,#REF!,#REF!,#REF!,#REF!,#REF!,#REF!,#REF!,#REF!</definedName>
    <definedName name="__APW_RESTORE_DATA868__" hidden="1">#REF!,#REF!,#REF!,#REF!,#REF!,#REF!,#REF!,#REF!,#REF!,#REF!,#REF!,#REF!,#REF!,#REF!</definedName>
    <definedName name="__APW_RESTORE_DATA869__" hidden="1">#REF!,#REF!,#REF!,#REF!,#REF!,#REF!,#REF!,#REF!,#REF!,#REF!,#REF!,#REF!,#REF!,#REF!</definedName>
    <definedName name="__APW_RESTORE_DATA87__" hidden="1">#REF!,#REF!,#REF!,#REF!,#REF!,#REF!,#REF!,#REF!,#REF!,#REF!,#REF!,#REF!,#REF!,#REF!,#REF!</definedName>
    <definedName name="__APW_RESTORE_DATA870__" hidden="1">#REF!,#REF!,#REF!,#REF!,#REF!,#REF!,#REF!,#REF!,#REF!,#REF!,#REF!,#REF!,#REF!,#REF!</definedName>
    <definedName name="__APW_RESTORE_DATA871__" hidden="1">#REF!,#REF!,#REF!,#REF!,#REF!</definedName>
    <definedName name="__APW_RESTORE_DATA872__" hidden="1">#REF!,#REF!,#REF!,#REF!,#REF!,#REF!,#REF!,#REF!,#REF!,#REF!,#REF!,#REF!,#REF!,#REF!,#REF!</definedName>
    <definedName name="__APW_RESTORE_DATA873__" hidden="1">#REF!,#REF!,#REF!,#REF!,#REF!,#REF!,#REF!,#REF!,#REF!,#REF!,#REF!,#REF!,#REF!,#REF!,#REF!</definedName>
    <definedName name="__APW_RESTORE_DATA874__" hidden="1">#REF!,#REF!,#REF!,#REF!,#REF!,#REF!,#REF!,#REF!,#REF!,#REF!,#REF!,#REF!,#REF!,#REF!,#REF!</definedName>
    <definedName name="__APW_RESTORE_DATA875__" hidden="1">#REF!,#REF!,#REF!,#REF!,#REF!,#REF!,#REF!,#REF!,#REF!,#REF!,#REF!,#REF!,#REF!,#REF!</definedName>
    <definedName name="__APW_RESTORE_DATA876__" hidden="1">#REF!,#REF!,#REF!,#REF!,#REF!,#REF!,#REF!,#REF!,#REF!,#REF!,#REF!,#REF!,#REF!,#REF!</definedName>
    <definedName name="__APW_RESTORE_DATA877__" hidden="1">#REF!,#REF!,#REF!,#REF!,#REF!,#REF!,#REF!,#REF!,#REF!,#REF!,#REF!,#REF!,#REF!,#REF!</definedName>
    <definedName name="__APW_RESTORE_DATA878__" hidden="1">#REF!,#REF!,#REF!,#REF!,#REF!,#REF!,#REF!,#REF!,#REF!,#REF!,#REF!,#REF!,#REF!,#REF!</definedName>
    <definedName name="__APW_RESTORE_DATA879__" hidden="1">#REF!,#REF!,#REF!,#REF!,#REF!,#REF!,#REF!,#REF!,#REF!,#REF!,#REF!,#REF!,#REF!,#REF!</definedName>
    <definedName name="__APW_RESTORE_DATA88__" hidden="1">#REF!,#REF!,#REF!,#REF!,#REF!,#REF!,#REF!,#REF!,#REF!,#REF!,#REF!,#REF!,#REF!,#REF!,#REF!</definedName>
    <definedName name="__APW_RESTORE_DATA880__" hidden="1">#REF!,#REF!,#REF!,#REF!,#REF!,#REF!,#REF!,#REF!,#REF!,#REF!,#REF!,#REF!,#REF!,#REF!</definedName>
    <definedName name="__APW_RESTORE_DATA881__" hidden="1">#REF!,#REF!,#REF!,#REF!,#REF!,#REF!,#REF!,#REF!,#REF!,#REF!,#REF!,#REF!,#REF!,#REF!</definedName>
    <definedName name="__APW_RESTORE_DATA882__" hidden="1">#REF!,#REF!,#REF!,#REF!,#REF!,#REF!,#REF!,#REF!,#REF!,#REF!,#REF!,#REF!,#REF!,#REF!</definedName>
    <definedName name="__APW_RESTORE_DATA883__" hidden="1">#REF!,#REF!,#REF!,#REF!,#REF!</definedName>
    <definedName name="__APW_RESTORE_DATA884__" hidden="1">#REF!,#REF!,#REF!,#REF!,#REF!,#REF!,#REF!,#REF!,#REF!,#REF!,#REF!,#REF!,#REF!,#REF!,#REF!</definedName>
    <definedName name="__APW_RESTORE_DATA885__" hidden="1">#REF!,#REF!,#REF!,#REF!,#REF!,#REF!,#REF!,#REF!,#REF!,#REF!,#REF!,#REF!,#REF!,#REF!,#REF!</definedName>
    <definedName name="__APW_RESTORE_DATA886__" hidden="1">#REF!,#REF!,#REF!,#REF!,#REF!,#REF!,#REF!,#REF!,#REF!,#REF!,#REF!,#REF!,#REF!,#REF!,#REF!</definedName>
    <definedName name="__APW_RESTORE_DATA887__" hidden="1">#REF!,#REF!,#REF!,#REF!,#REF!,#REF!,#REF!,#REF!,#REF!,#REF!,#REF!,#REF!,#REF!,#REF!</definedName>
    <definedName name="__APW_RESTORE_DATA888__" hidden="1">#REF!,#REF!,#REF!,#REF!,#REF!,#REF!,#REF!,#REF!,#REF!,#REF!,#REF!,#REF!,#REF!,#REF!</definedName>
    <definedName name="__APW_RESTORE_DATA889__" hidden="1">#REF!,#REF!,#REF!,#REF!,#REF!,#REF!,#REF!,#REF!,#REF!,#REF!,#REF!,#REF!,#REF!,#REF!</definedName>
    <definedName name="__APW_RESTORE_DATA89__" hidden="1">#REF!,#REF!,#REF!,#REF!,#REF!,#REF!,#REF!,#REF!,#REF!,#REF!,#REF!,#REF!,#REF!,#REF!</definedName>
    <definedName name="__APW_RESTORE_DATA890__" hidden="1">#REF!,#REF!,#REF!,#REF!,#REF!,#REF!,#REF!,#REF!,#REF!,#REF!,#REF!,#REF!,#REF!,#REF!</definedName>
    <definedName name="__APW_RESTORE_DATA891__" hidden="1">#REF!,#REF!,#REF!,#REF!,#REF!,#REF!,#REF!,#REF!,#REF!,#REF!,#REF!,#REF!,#REF!,#REF!</definedName>
    <definedName name="__APW_RESTORE_DATA892__" hidden="1">#REF!,#REF!,#REF!,#REF!,#REF!,#REF!,#REF!,#REF!,#REF!,#REF!,#REF!,#REF!,#REF!,#REF!</definedName>
    <definedName name="__APW_RESTORE_DATA893__" hidden="1">#REF!,#REF!,#REF!,#REF!,#REF!,#REF!,#REF!,#REF!,#REF!,#REF!,#REF!,#REF!,#REF!,#REF!</definedName>
    <definedName name="__APW_RESTORE_DATA894__" hidden="1">#REF!,#REF!,#REF!,#REF!,#REF!,#REF!,#REF!,#REF!,#REF!,#REF!,#REF!,#REF!,#REF!,#REF!</definedName>
    <definedName name="__APW_RESTORE_DATA895__" hidden="1">#REF!,#REF!,#REF!,#REF!,#REF!</definedName>
    <definedName name="__APW_RESTORE_DATA896__" hidden="1">#REF!,#REF!,#REF!,#REF!,#REF!,#REF!,#REF!,#REF!,#REF!,#REF!,#REF!,#REF!,#REF!,#REF!,#REF!</definedName>
    <definedName name="__APW_RESTORE_DATA897__" hidden="1">#REF!,#REF!,#REF!,#REF!,#REF!,#REF!,#REF!,#REF!,#REF!,#REF!,#REF!,#REF!,#REF!,#REF!,#REF!</definedName>
    <definedName name="__APW_RESTORE_DATA898__" hidden="1">#REF!,#REF!,#REF!,#REF!,#REF!,#REF!,#REF!,#REF!,#REF!,#REF!,#REF!,#REF!,#REF!,#REF!,#REF!</definedName>
    <definedName name="__APW_RESTORE_DATA899__" hidden="1">#REF!,#REF!,#REF!,#REF!,#REF!,#REF!,#REF!,#REF!,#REF!,#REF!,#REF!,#REF!,#REF!,#REF!</definedName>
    <definedName name="__APW_RESTORE_DATA9__" hidden="1">#REF!,#REF!,#REF!,#REF!,#REF!,#REF!,#REF!,#REF!,#REF!,#REF!,#REF!,#REF!,#REF!,#REF!</definedName>
    <definedName name="__APW_RESTORE_DATA90__" hidden="1">#REF!,#REF!,#REF!,#REF!,#REF!,#REF!,#REF!,#REF!,#REF!,#REF!,#REF!,#REF!,#REF!,#REF!</definedName>
    <definedName name="__APW_RESTORE_DATA900__" hidden="1">#REF!,#REF!,#REF!,#REF!,#REF!,#REF!,#REF!,#REF!,#REF!,#REF!,#REF!,#REF!,#REF!,#REF!</definedName>
    <definedName name="__APW_RESTORE_DATA901__" hidden="1">#REF!,#REF!,#REF!,#REF!,#REF!,#REF!,#REF!,#REF!,#REF!,#REF!,#REF!,#REF!,#REF!,#REF!</definedName>
    <definedName name="__APW_RESTORE_DATA902__" hidden="1">#REF!,#REF!,#REF!,#REF!,#REF!,#REF!,#REF!,#REF!,#REF!,#REF!,#REF!,#REF!,#REF!,#REF!</definedName>
    <definedName name="__APW_RESTORE_DATA903__" hidden="1">#REF!,#REF!,#REF!,#REF!,#REF!,#REF!,#REF!,#REF!,#REF!,#REF!,#REF!,#REF!,#REF!,#REF!</definedName>
    <definedName name="__APW_RESTORE_DATA904__" hidden="1">#REF!,#REF!,#REF!,#REF!,#REF!,#REF!,#REF!,#REF!,#REF!,#REF!,#REF!,#REF!,#REF!,#REF!</definedName>
    <definedName name="__APW_RESTORE_DATA905__" hidden="1">#REF!,#REF!,#REF!,#REF!,#REF!,#REF!,#REF!,#REF!,#REF!,#REF!,#REF!,#REF!,#REF!,#REF!</definedName>
    <definedName name="__APW_RESTORE_DATA906__" hidden="1">#REF!,#REF!,#REF!,#REF!,#REF!,#REF!,#REF!,#REF!,#REF!,#REF!,#REF!,#REF!,#REF!,#REF!</definedName>
    <definedName name="__APW_RESTORE_DATA907__" hidden="1">#REF!,#REF!,#REF!,#REF!,#REF!</definedName>
    <definedName name="__APW_RESTORE_DATA908__" hidden="1">#REF!,#REF!,#REF!,#REF!,#REF!,#REF!,#REF!,#REF!,#REF!,#REF!,#REF!,#REF!,#REF!,#REF!,#REF!</definedName>
    <definedName name="__APW_RESTORE_DATA909__" hidden="1">#REF!,#REF!,#REF!,#REF!,#REF!,#REF!,#REF!,#REF!,#REF!,#REF!,#REF!,#REF!,#REF!,#REF!,#REF!</definedName>
    <definedName name="__APW_RESTORE_DATA91__" hidden="1">#REF!,#REF!,#REF!,#REF!,#REF!,#REF!,#REF!,#REF!,#REF!,#REF!,#REF!,#REF!,#REF!,#REF!</definedName>
    <definedName name="__APW_RESTORE_DATA910__" hidden="1">#REF!,#REF!,#REF!,#REF!,#REF!,#REF!,#REF!,#REF!,#REF!,#REF!,#REF!,#REF!,#REF!,#REF!,#REF!</definedName>
    <definedName name="__APW_RESTORE_DATA911__" hidden="1">#REF!,#REF!,#REF!,#REF!,#REF!,#REF!,#REF!,#REF!,#REF!,#REF!,#REF!,#REF!,#REF!,#REF!</definedName>
    <definedName name="__APW_RESTORE_DATA912__" hidden="1">#REF!,#REF!,#REF!,#REF!,#REF!,#REF!,#REF!,#REF!,#REF!,#REF!,#REF!,#REF!,#REF!,#REF!</definedName>
    <definedName name="__APW_RESTORE_DATA913__" hidden="1">#REF!,#REF!,#REF!,#REF!,#REF!,#REF!,#REF!,#REF!,#REF!,#REF!,#REF!,#REF!,#REF!,#REF!</definedName>
    <definedName name="__APW_RESTORE_DATA914__" hidden="1">#REF!,#REF!,#REF!,#REF!,#REF!,#REF!,#REF!,#REF!,#REF!,#REF!,#REF!,#REF!,#REF!,#REF!</definedName>
    <definedName name="__APW_RESTORE_DATA915__" hidden="1">#REF!,#REF!,#REF!,#REF!,#REF!,#REF!,#REF!,#REF!,#REF!,#REF!,#REF!,#REF!,#REF!,#REF!</definedName>
    <definedName name="__APW_RESTORE_DATA916__" hidden="1">#REF!,#REF!,#REF!,#REF!,#REF!,#REF!,#REF!,#REF!,#REF!,#REF!,#REF!,#REF!,#REF!,#REF!</definedName>
    <definedName name="__APW_RESTORE_DATA917__" hidden="1">#REF!,#REF!,#REF!,#REF!,#REF!,#REF!,#REF!,#REF!,#REF!,#REF!,#REF!,#REF!,#REF!,#REF!</definedName>
    <definedName name="__APW_RESTORE_DATA918__" hidden="1">#REF!,#REF!,#REF!,#REF!,#REF!,#REF!,#REF!,#REF!,#REF!,#REF!,#REF!,#REF!,#REF!,#REF!</definedName>
    <definedName name="__APW_RESTORE_DATA919__" hidden="1">#REF!,#REF!,#REF!,#REF!,#REF!</definedName>
    <definedName name="__APW_RESTORE_DATA92__" hidden="1">#REF!,#REF!,#REF!,#REF!,#REF!,#REF!,#REF!,#REF!,#REF!,#REF!,#REF!,#REF!,#REF!,#REF!</definedName>
    <definedName name="__APW_RESTORE_DATA920__" hidden="1">#REF!,#REF!,#REF!,#REF!,#REF!,#REF!,#REF!,#REF!,#REF!,#REF!,#REF!,#REF!,#REF!,#REF!,#REF!</definedName>
    <definedName name="__APW_RESTORE_DATA921__" hidden="1">#REF!,#REF!,#REF!,#REF!,#REF!,#REF!,#REF!,#REF!,#REF!,#REF!,#REF!,#REF!,#REF!,#REF!,#REF!</definedName>
    <definedName name="__APW_RESTORE_DATA922__" hidden="1">#REF!,#REF!,#REF!,#REF!,#REF!,#REF!,#REF!,#REF!,#REF!,#REF!,#REF!,#REF!,#REF!,#REF!,#REF!</definedName>
    <definedName name="__APW_RESTORE_DATA923__" hidden="1">#REF!,#REF!,#REF!,#REF!,#REF!,#REF!,#REF!,#REF!,#REF!,#REF!,#REF!,#REF!,#REF!,#REF!</definedName>
    <definedName name="__APW_RESTORE_DATA924__" hidden="1">#REF!,#REF!,#REF!,#REF!,#REF!,#REF!,#REF!,#REF!,#REF!,#REF!,#REF!,#REF!,#REF!,#REF!</definedName>
    <definedName name="__APW_RESTORE_DATA925__" hidden="1">#REF!,#REF!,#REF!,#REF!,#REF!,#REF!,#REF!,#REF!,#REF!,#REF!,#REF!,#REF!,#REF!,#REF!</definedName>
    <definedName name="__APW_RESTORE_DATA926__" hidden="1">#REF!,#REF!,#REF!,#REF!,#REF!,#REF!,#REF!,#REF!,#REF!,#REF!,#REF!,#REF!,#REF!,#REF!</definedName>
    <definedName name="__APW_RESTORE_DATA927__" hidden="1">#REF!,#REF!,#REF!,#REF!,#REF!,#REF!,#REF!,#REF!,#REF!,#REF!,#REF!,#REF!,#REF!,#REF!</definedName>
    <definedName name="__APW_RESTORE_DATA928__" hidden="1">#REF!,#REF!,#REF!,#REF!,#REF!,#REF!,#REF!,#REF!,#REF!,#REF!,#REF!,#REF!,#REF!,#REF!</definedName>
    <definedName name="__APW_RESTORE_DATA929__" hidden="1">#REF!,#REF!,#REF!,#REF!,#REF!,#REF!,#REF!,#REF!,#REF!,#REF!,#REF!,#REF!,#REF!,#REF!</definedName>
    <definedName name="__APW_RESTORE_DATA93__" hidden="1">#REF!,#REF!,#REF!,#REF!,#REF!,#REF!,#REF!,#REF!,#REF!,#REF!,#REF!,#REF!,#REF!,#REF!</definedName>
    <definedName name="__APW_RESTORE_DATA930__" hidden="1">#REF!,#REF!,#REF!,#REF!,#REF!,#REF!,#REF!,#REF!,#REF!,#REF!,#REF!,#REF!,#REF!,#REF!</definedName>
    <definedName name="__APW_RESTORE_DATA931__" hidden="1">#REF!,#REF!,#REF!,#REF!,#REF!</definedName>
    <definedName name="__APW_RESTORE_DATA932__" hidden="1">#REF!,#REF!,#REF!,#REF!,#REF!,#REF!,#REF!,#REF!,#REF!,#REF!,#REF!,#REF!,#REF!,#REF!</definedName>
    <definedName name="__APW_RESTORE_DATA933__" hidden="1">#REF!,#REF!,#REF!,#REF!,#REF!,#REF!,#REF!,#REF!,#REF!,#REF!,#REF!,#REF!,#REF!,#REF!</definedName>
    <definedName name="__APW_RESTORE_DATA934__" hidden="1">#REF!,#REF!,#REF!,#REF!,#REF!,#REF!,#REF!,#REF!,#REF!,#REF!,#REF!,#REF!,#REF!,#REF!</definedName>
    <definedName name="__APW_RESTORE_DATA935__" hidden="1">#REF!,#REF!,#REF!,#REF!,#REF!,#REF!,#REF!,#REF!,#REF!,#REF!,#REF!,#REF!,#REF!,#REF!</definedName>
    <definedName name="__APW_RESTORE_DATA936__" hidden="1">#REF!,#REF!,#REF!,#REF!,#REF!,#REF!,#REF!,#REF!,#REF!,#REF!,#REF!,#REF!,#REF!,#REF!</definedName>
    <definedName name="__APW_RESTORE_DATA937__" hidden="1">#REF!,#REF!,#REF!,#REF!,#REF!,#REF!,#REF!,#REF!,#REF!,#REF!,#REF!,#REF!,#REF!,#REF!</definedName>
    <definedName name="__APW_RESTORE_DATA938__" hidden="1">#REF!,#REF!,#REF!,#REF!,#REF!,#REF!,#REF!,#REF!,#REF!,#REF!,#REF!,#REF!,#REF!,#REF!</definedName>
    <definedName name="__APW_RESTORE_DATA939__" hidden="1">#REF!,#REF!,#REF!,#REF!,#REF!,#REF!,#REF!,#REF!,#REF!,#REF!,#REF!,#REF!,#REF!,#REF!</definedName>
    <definedName name="__APW_RESTORE_DATA94__" hidden="1">#REF!,#REF!,#REF!,#REF!,#REF!,#REF!,#REF!,#REF!,#REF!,#REF!,#REF!,#REF!,#REF!,#REF!</definedName>
    <definedName name="__APW_RESTORE_DATA940__" hidden="1">#REF!,#REF!,#REF!,#REF!,#REF!,#REF!,#REF!,#REF!,#REF!,#REF!,#REF!,#REF!,#REF!,#REF!</definedName>
    <definedName name="__APW_RESTORE_DATA941__" hidden="1">#REF!,#REF!,#REF!,#REF!,#REF!,#REF!,#REF!,#REF!,#REF!,#REF!,#REF!,#REF!,#REF!,#REF!</definedName>
    <definedName name="__APW_RESTORE_DATA942__" hidden="1">#REF!,#REF!,#REF!,#REF!,#REF!,#REF!,#REF!,#REF!,#REF!,#REF!,#REF!,#REF!,#REF!,#REF!</definedName>
    <definedName name="__APW_RESTORE_DATA943__" hidden="1">#REF!,#REF!,#REF!,#REF!,#REF!,#REF!,#REF!,#REF!,#REF!,#REF!,#REF!,#REF!,#REF!,#REF!</definedName>
    <definedName name="__APW_RESTORE_DATA944__" hidden="1">#REF!,#REF!,#REF!,#REF!,#REF!,#REF!,#REF!,#REF!,#REF!,#REF!,#REF!,#REF!,#REF!,#REF!</definedName>
    <definedName name="__APW_RESTORE_DATA945__" hidden="1">#REF!,#REF!,#REF!,#REF!,#REF!,#REF!,#REF!,#REF!,#REF!,#REF!,#REF!,#REF!,#REF!,#REF!</definedName>
    <definedName name="__APW_RESTORE_DATA946__" hidden="1">#REF!,#REF!,#REF!,#REF!,#REF!,#REF!,#REF!,#REF!,#REF!,#REF!,#REF!,#REF!,#REF!,#REF!</definedName>
    <definedName name="__APW_RESTORE_DATA947__" hidden="1">#REF!</definedName>
    <definedName name="__APW_RESTORE_DATA948__" hidden="1">#REF!,#REF!,#REF!,#REF!,#REF!,#REF!,#REF!,#REF!,#REF!,#REF!,#REF!,#REF!,#REF!,#REF!</definedName>
    <definedName name="__APW_RESTORE_DATA949__" hidden="1">#REF!,#REF!,#REF!,#REF!,#REF!,#REF!,#REF!,#REF!,#REF!,#REF!,#REF!,#REF!,#REF!,#REF!</definedName>
    <definedName name="__APW_RESTORE_DATA95__" hidden="1">#REF!,#REF!,#REF!,#REF!,#REF!,#REF!,#REF!,#REF!,#REF!,#REF!,#REF!,#REF!,#REF!,#REF!</definedName>
    <definedName name="__APW_RESTORE_DATA950__" hidden="1">#REF!,#REF!,#REF!,#REF!,#REF!,#REF!,#REF!,#REF!,#REF!,#REF!,#REF!,#REF!,#REF!,#REF!</definedName>
    <definedName name="__APW_RESTORE_DATA951__" hidden="1">#REF!,#REF!,#REF!,#REF!,#REF!,#REF!,#REF!,#REF!,#REF!,#REF!,#REF!,#REF!,#REF!,#REF!</definedName>
    <definedName name="__APW_RESTORE_DATA952__" hidden="1">#REF!,#REF!,#REF!,#REF!,#REF!,#REF!,#REF!,#REF!,#REF!,#REF!,#REF!,#REF!,#REF!,#REF!</definedName>
    <definedName name="__APW_RESTORE_DATA953__" hidden="1">#REF!,#REF!,#REF!,#REF!,#REF!,#REF!,#REF!,#REF!,#REF!,#REF!,#REF!,#REF!,#REF!,#REF!</definedName>
    <definedName name="__APW_RESTORE_DATA954__" hidden="1">#REF!,#REF!,#REF!,#REF!,#REF!,#REF!,#REF!,#REF!,#REF!,#REF!,#REF!,#REF!,#REF!,#REF!</definedName>
    <definedName name="__APW_RESTORE_DATA955__" hidden="1">#REF!,#REF!,#REF!,#REF!,#REF!,#REF!,#REF!,#REF!,#REF!,#REF!,#REF!,#REF!,#REF!,#REF!</definedName>
    <definedName name="__APW_RESTORE_DATA956__" hidden="1">#REF!,#REF!,#REF!,#REF!,#REF!,#REF!,#REF!,#REF!,#REF!,#REF!,#REF!,#REF!,#REF!,#REF!</definedName>
    <definedName name="__APW_RESTORE_DATA957__" hidden="1">#REF!,#REF!,#REF!,#REF!,#REF!,#REF!,#REF!,#REF!,#REF!,#REF!,#REF!,#REF!,#REF!,#REF!</definedName>
    <definedName name="__APW_RESTORE_DATA958__" hidden="1">#REF!,#REF!,#REF!,#REF!,#REF!,#REF!,#REF!,#REF!,#REF!,#REF!,#REF!,#REF!,#REF!,#REF!</definedName>
    <definedName name="__APW_RESTORE_DATA959__" hidden="1">#REF!,#REF!,#REF!,#REF!,#REF!,#REF!,#REF!,#REF!,#REF!,#REF!,#REF!,#REF!,#REF!,#REF!</definedName>
    <definedName name="__APW_RESTORE_DATA96__" hidden="1">#REF!,#REF!,#REF!,#REF!,#REF!,#REF!,#REF!,#REF!,#REF!,#REF!,#REF!,#REF!,#REF!,#REF!</definedName>
    <definedName name="__APW_RESTORE_DATA960__" hidden="1">#REF!,#REF!,#REF!,#REF!,#REF!,#REF!,#REF!,#REF!,#REF!,#REF!,#REF!,#REF!,#REF!,#REF!</definedName>
    <definedName name="__APW_RESTORE_DATA961__" hidden="1">#REF!,#REF!,#REF!,#REF!,#REF!,#REF!,#REF!,#REF!,#REF!,#REF!,#REF!,#REF!,#REF!,#REF!</definedName>
    <definedName name="__APW_RESTORE_DATA962__" hidden="1">#REF!,#REF!,#REF!,#REF!,#REF!,#REF!,#REF!,#REF!,#REF!,#REF!,#REF!,#REF!,#REF!,#REF!</definedName>
    <definedName name="__APW_RESTORE_DATA963__" hidden="1">#REF!</definedName>
    <definedName name="__APW_RESTORE_DATA964__" hidden="1">#REF!,#REF!,#REF!,#REF!,#REF!,#REF!,#REF!,#REF!,#REF!,#REF!,#REF!,#REF!,#REF!,#REF!</definedName>
    <definedName name="__APW_RESTORE_DATA965__" hidden="1">#REF!,#REF!,#REF!,#REF!,#REF!,#REF!,#REF!,#REF!,#REF!,#REF!,#REF!,#REF!,#REF!,#REF!</definedName>
    <definedName name="__APW_RESTORE_DATA966__" hidden="1">#REF!,#REF!,#REF!,#REF!,#REF!,#REF!,#REF!,#REF!,#REF!,#REF!,#REF!,#REF!,#REF!,#REF!</definedName>
    <definedName name="__APW_RESTORE_DATA967__" hidden="1">#REF!,#REF!,#REF!,#REF!,#REF!,#REF!,#REF!,#REF!,#REF!,#REF!,#REF!,#REF!,#REF!,#REF!</definedName>
    <definedName name="__APW_RESTORE_DATA968__" hidden="1">#REF!,#REF!,#REF!,#REF!,#REF!,#REF!,#REF!,#REF!,#REF!,#REF!,#REF!,#REF!,#REF!,#REF!</definedName>
    <definedName name="__APW_RESTORE_DATA969__" hidden="1">#REF!,#REF!,#REF!,#REF!,#REF!,#REF!,#REF!,#REF!,#REF!,#REF!,#REF!,#REF!,#REF!,#REF!</definedName>
    <definedName name="__APW_RESTORE_DATA97__" hidden="1">#REF!,#REF!,#REF!,#REF!,#REF!</definedName>
    <definedName name="__APW_RESTORE_DATA970__" hidden="1">#REF!,#REF!,#REF!,#REF!,#REF!,#REF!,#REF!,#REF!,#REF!,#REF!,#REF!,#REF!,#REF!,#REF!</definedName>
    <definedName name="__APW_RESTORE_DATA971__" hidden="1">#REF!,#REF!,#REF!,#REF!,#REF!,#REF!,#REF!,#REF!,#REF!,#REF!,#REF!,#REF!,#REF!,#REF!</definedName>
    <definedName name="__APW_RESTORE_DATA972__" hidden="1">#REF!,#REF!,#REF!,#REF!,#REF!,#REF!,#REF!,#REF!,#REF!,#REF!,#REF!,#REF!,#REF!,#REF!</definedName>
    <definedName name="__APW_RESTORE_DATA973__" hidden="1">#REF!,#REF!,#REF!,#REF!,#REF!,#REF!,#REF!,#REF!,#REF!,#REF!,#REF!,#REF!,#REF!,#REF!</definedName>
    <definedName name="__APW_RESTORE_DATA974__" hidden="1">#REF!,#REF!,#REF!,#REF!,#REF!,#REF!,#REF!,#REF!,#REF!,#REF!,#REF!,#REF!,#REF!,#REF!</definedName>
    <definedName name="__APW_RESTORE_DATA975__" hidden="1">#REF!,#REF!,#REF!,#REF!,#REF!,#REF!,#REF!,#REF!,#REF!,#REF!,#REF!,#REF!,#REF!,#REF!</definedName>
    <definedName name="__APW_RESTORE_DATA976__" hidden="1">#REF!,#REF!,#REF!,#REF!,#REF!,#REF!,#REF!,#REF!,#REF!,#REF!,#REF!,#REF!,#REF!,#REF!</definedName>
    <definedName name="__APW_RESTORE_DATA977__" hidden="1">#REF!,#REF!,#REF!,#REF!,#REF!,#REF!,#REF!,#REF!,#REF!,#REF!,#REF!,#REF!,#REF!,#REF!</definedName>
    <definedName name="__APW_RESTORE_DATA978__" hidden="1">#REF!,#REF!,#REF!,#REF!,#REF!,#REF!,#REF!,#REF!,#REF!,#REF!,#REF!,#REF!,#REF!,#REF!</definedName>
    <definedName name="__APW_RESTORE_DATA979__" hidden="1">#REF!</definedName>
    <definedName name="__APW_RESTORE_DATA98__" hidden="1">#REF!,#REF!,#REF!,#REF!,#REF!,#REF!,#REF!,#REF!,#REF!,#REF!,#REF!,#REF!,#REF!,#REF!,#REF!</definedName>
    <definedName name="__APW_RESTORE_DATA980__" hidden="1">#REF!,#REF!,#REF!,#REF!,#REF!,#REF!,#REF!,#REF!,#REF!,#REF!,#REF!,#REF!,#REF!,#REF!</definedName>
    <definedName name="__APW_RESTORE_DATA981__" hidden="1">#REF!,#REF!,#REF!,#REF!,#REF!,#REF!,#REF!,#REF!,#REF!,#REF!,#REF!,#REF!,#REF!,#REF!</definedName>
    <definedName name="__APW_RESTORE_DATA982__" hidden="1">#REF!,#REF!,#REF!,#REF!,#REF!,#REF!,#REF!,#REF!,#REF!,#REF!,#REF!,#REF!,#REF!,#REF!</definedName>
    <definedName name="__APW_RESTORE_DATA983__" hidden="1">#REF!,#REF!,#REF!,#REF!,#REF!,#REF!,#REF!,#REF!,#REF!,#REF!,#REF!,#REF!,#REF!,#REF!</definedName>
    <definedName name="__APW_RESTORE_DATA984__" hidden="1">#REF!,#REF!,#REF!,#REF!,#REF!,#REF!,#REF!,#REF!,#REF!,#REF!,#REF!,#REF!,#REF!,#REF!</definedName>
    <definedName name="__APW_RESTORE_DATA985__" hidden="1">#REF!,#REF!,#REF!,#REF!,#REF!,#REF!,#REF!,#REF!,#REF!,#REF!,#REF!,#REF!,#REF!,#REF!</definedName>
    <definedName name="__APW_RESTORE_DATA986__" hidden="1">#REF!,#REF!,#REF!,#REF!,#REF!,#REF!,#REF!,#REF!,#REF!,#REF!,#REF!,#REF!,#REF!,#REF!</definedName>
    <definedName name="__APW_RESTORE_DATA987__" hidden="1">#REF!,#REF!,#REF!,#REF!,#REF!,#REF!,#REF!,#REF!,#REF!,#REF!,#REF!,#REF!,#REF!,#REF!</definedName>
    <definedName name="__APW_RESTORE_DATA988__" hidden="1">#REF!,#REF!,#REF!,#REF!,#REF!,#REF!,#REF!,#REF!,#REF!,#REF!,#REF!,#REF!,#REF!,#REF!</definedName>
    <definedName name="__APW_RESTORE_DATA989__" hidden="1">#REF!,#REF!,#REF!,#REF!,#REF!,#REF!,#REF!,#REF!,#REF!,#REF!,#REF!,#REF!,#REF!,#REF!</definedName>
    <definedName name="__APW_RESTORE_DATA99__" hidden="1">#REF!,#REF!,#REF!,#REF!,#REF!,#REF!,#REF!,#REF!,#REF!,#REF!,#REF!,#REF!,#REF!,#REF!,#REF!</definedName>
    <definedName name="__APW_RESTORE_DATA990__" hidden="1">#REF!,#REF!,#REF!,#REF!,#REF!,#REF!,#REF!,#REF!,#REF!,#REF!,#REF!,#REF!,#REF!,#REF!</definedName>
    <definedName name="__APW_RESTORE_DATA991__" hidden="1">#REF!,#REF!,#REF!,#REF!,#REF!,#REF!,#REF!,#REF!,#REF!,#REF!,#REF!,#REF!,#REF!,#REF!</definedName>
    <definedName name="__APW_RESTORE_DATA992__" hidden="1">#REF!,#REF!,#REF!,#REF!,#REF!,#REF!,#REF!,#REF!,#REF!,#REF!,#REF!,#REF!,#REF!,#REF!</definedName>
    <definedName name="__APW_RESTORE_DATA993__" hidden="1">#REF!,#REF!,#REF!,#REF!,#REF!,#REF!,#REF!,#REF!,#REF!,#REF!,#REF!,#REF!,#REF!,#REF!</definedName>
    <definedName name="__APW_RESTORE_DATA994__" hidden="1">#REF!,#REF!,#REF!,#REF!,#REF!,#REF!,#REF!,#REF!,#REF!,#REF!,#REF!,#REF!,#REF!,#REF!</definedName>
    <definedName name="__APW_RESTORE_DATA995__" hidden="1">#REF!</definedName>
    <definedName name="__APW_RESTORE_DATA996__" hidden="1">#REF!,#REF!,#REF!,#REF!,#REF!,#REF!,#REF!,#REF!,#REF!,#REF!,#REF!,#REF!,#REF!,#REF!</definedName>
    <definedName name="__APW_RESTORE_DATA997__" hidden="1">#REF!,#REF!,#REF!,#REF!,#REF!,#REF!,#REF!,#REF!,#REF!,#REF!,#REF!,#REF!,#REF!,#REF!</definedName>
    <definedName name="__APW_RESTORE_DATA998__" hidden="1">#REF!,#REF!,#REF!,#REF!,#REF!,#REF!,#REF!,#REF!,#REF!,#REF!,#REF!,#REF!,#REF!,#REF!</definedName>
    <definedName name="__APW_RESTORE_DATA999__" hidden="1">#REF!,#REF!,#REF!,#REF!,#REF!,#REF!,#REF!,#REF!,#REF!,#REF!,#REF!,#REF!,#REF!,#REF!</definedName>
    <definedName name="__AS1" hidden="1">{"comp1",#N/A,FALSE,"COMPS";"footnotes",#N/A,FALSE,"COMPS"}</definedName>
    <definedName name="__ay53" hidden="1">{#N/A,#N/A,FALSE,"Summary";#N/A,#N/A,FALSE,"Total";#N/A,#N/A,FALSE,"Total ex Swe";#N/A,#N/A,FALSE,"Volume";#N/A,#N/A,FALSE,"Expenses";#N/A,#N/A,FALSE,"CM Var";#N/A,#N/A,FALSE,"YTD Var"}</definedName>
    <definedName name="__cnh1" hidden="1">{"ANNUAL",#N/A,FALSE,"DDCLINK";"DDC94",#N/A,FALSE,"DDCLINK"}</definedName>
    <definedName name="__cnh2" hidden="1">{"ANNUAL",#N/A,FALSE,"DDCLINK";"DDC94",#N/A,FALSE,"DDCLINK"}</definedName>
    <definedName name="__FDS_HYPERLINK_TOGGLE_STATE__" hidden="1">"ON"</definedName>
    <definedName name="__FDS_UNIQUE_RANGE_ID_GENERATOR_COUNTER" hidden="1">23</definedName>
    <definedName name="__FDS_USED_FOR_REUSING_RANGE_IDS_RECYCLE" hidden="1">{260}</definedName>
    <definedName name="__guv3" hidden="1">{"K GuV o. Kommentar",#N/A,FALSE,"Company1502"}</definedName>
    <definedName name="__IPU2" hidden="1">{"summary",#N/A,FALSE,"Summary";"daily",#N/A,FALSE,"Daily";"detail",#N/A,FALSE,"Detail";"flash",#N/A,FALSE,"Flash";"revenue",#N/A,FALSE,"PDF";"fxexp",#N/A,FALSE,"PDF";"headcount",#N/A,FALSE,"PDF"}</definedName>
    <definedName name="__KEY2" hidden="1">#REF!</definedName>
    <definedName name="__sky2" hidden="1">{"Summary analysis",#N/A,FALSE,"Total";"OCPH analysis",#N/A,FALSE,"Total";"detail analysis",#N/A,FALSE,"Total"}</definedName>
    <definedName name="_1__FDSAUDITLINK__" hidden="1">{"fdsup://Directions/FactSet Auditing Viewer?action=AUDIT_VALUE&amp;DB=129&amp;ID1=B1KKBX&amp;VALUEID=02001&amp;SDATE=2009&amp;PERIODTYPE=ANN_STD&amp;window=popup_no_bar&amp;width=385&amp;height=120&amp;START_MAXIMIZED=FALSE&amp;creator=factset&amp;display_string=Audit"}</definedName>
    <definedName name="_10__FDSAUDITLINK__" hidden="1">{"fdsup://Directions/FactSet Auditing Viewer?action=AUDIT_VALUE&amp;DB=129&amp;ID1=96332010&amp;VALUEID=05194&amp;SDATE=2010&amp;PERIODTYPE=ANN_STD&amp;SCFT=3&amp;window=popup_no_bar&amp;width=385&amp;height=120&amp;START_MAXIMIZED=FALSE&amp;creator=factset&amp;display_string=Audit"}</definedName>
    <definedName name="_100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1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02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04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06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0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09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__FDSAUDITLINK__" hidden="1">{"fdsup://Directions/FactSet Auditing Viewer?action=AUDIT_VALUE&amp;DB=129&amp;ID1=88731730&amp;VALUEID=05194&amp;SDATE=2010&amp;PERIODTYPE=ANN_STD&amp;SCFT=3&amp;window=popup_no_bar&amp;width=385&amp;height=120&amp;START_MAXIMIZED=FALSE&amp;creator=factset&amp;display_string=Audit"}</definedName>
    <definedName name="_110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1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2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4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6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1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19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2__FDSAUDITLINK__" hidden="1">{"fdsup://Directions/FactSet Auditing Viewer?action=AUDIT_VALUE&amp;DB=129&amp;ID1=25468710&amp;VALUEID=05194&amp;SDATE=2011&amp;PERIODTYPE=ANN_STD&amp;SCFT=3&amp;window=popup_no_bar&amp;width=385&amp;height=120&amp;START_MAXIMIZED=FALSE&amp;creator=factset&amp;display_string=Audit"}</definedName>
    <definedName name="_120__FDSAUDITLINK__" hidden="1">{"fdsup://Product0192/FAT Viewer?action=UPDATE&amp;creator=factset&amp;DOC_NAME=fat:reuters_qtrly_shs_src_window.fat&amp;display_string=Audit&amp;DYN_ARGS=TRUE&amp;VAR:ID1=710755&amp;VAR:RCODE=FDSSHSOUTDEPS&amp;VAR:SDATE=20110999&amp;VAR:FREQ=Quarterly&amp;VAR:RELITEM=RP&amp;VAR:CURRENCY=&amp;VAR:CURRS","OURCE=EXSHARE&amp;VAR:NATFREQ=QUARTERLY&amp;VAR:RFIELD=FINALIZED&amp;VAR:DB_TYPE=&amp;VAR:UNITS=M&amp;window=popup&amp;width=450&amp;height=300&amp;START_MAXIMIZED=FALSE"}</definedName>
    <definedName name="_121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23Graph_G" hidden="1">#REF!</definedName>
    <definedName name="_124Graph_Bchart7" hidden="1">#REF!</definedName>
    <definedName name="_127__FDSAUDITLINK__" hidden="1">{"fdsup://Product0192/FAT Viewer?action=UPDATE&amp;creator=factset&amp;DOC_NAME=fat:reuters_qtrly_shs_src_window.fat&amp;display_string=Audit&amp;DYN_ARGS=TRUE&amp;VAR:ID1=435969&amp;VAR:RCODE=FDSSHSOUTDEPS&amp;VAR:SDATE=20110699&amp;VAR:FREQ=Quarterly&amp;VAR:RELITEM=RP&amp;VAR:CURRENCY=&amp;VAR:CURRS","OURCE=EXSHARE&amp;VAR:NATFREQ=QUARTERLY&amp;VAR:RFIELD=FINALIZED&amp;VAR:DB_TYPE=&amp;VAR:UNITS=M&amp;window=popup&amp;width=450&amp;height=300&amp;START_MAXIMIZED=FALSE"}</definedName>
    <definedName name="_128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29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3__FDSAUDITLINK__" hidden="1">{"fdsup://Directions/FactSet Auditing Viewer?action=AUDIT_VALUE&amp;DB=129&amp;ID1=598662&amp;VALUEID=05194&amp;SDATE=2010&amp;PERIODTYPE=ANN_STD&amp;SCFT=3&amp;window=popup_no_bar&amp;width=385&amp;height=120&amp;START_MAXIMIZED=FALSE&amp;creator=factset&amp;display_string=Audit"}</definedName>
    <definedName name="_132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33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34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35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36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37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4__FDSAUDITLINK__" hidden="1">{"fdsup://Directions/FactSet Auditing Viewer?action=AUDIT_VALUE&amp;DB=129&amp;ID1=B63H84&amp;VALUEID=05194&amp;SDATE=2010&amp;PERIODTYPE=ANN_STD&amp;SCFT=3&amp;window=popup_no_bar&amp;width=385&amp;height=120&amp;START_MAXIMIZED=FALSE&amp;creator=factset&amp;display_string=Audit"}</definedName>
    <definedName name="_142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4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4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5__FDSAUDITLINK__" hidden="1">{"fdsup://Directions/FactSet Auditing Viewer?action=AUDIT_VALUE&amp;DB=129&amp;ID1=91301710&amp;VALUEID=05194&amp;SDATE=2010&amp;PERIODTYPE=ANN_STD&amp;SCFT=3&amp;window=popup_no_bar&amp;width=385&amp;height=120&amp;START_MAXIMIZED=FALSE&amp;creator=factset&amp;display_string=Audit"}</definedName>
    <definedName name="_151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52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53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54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55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5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57__FDSAUDITLINK__" hidden="1">{"fdsup://Product0192/FAT Viewer?action=UPDATE&amp;creator=factset&amp;DOC_NAME=fat:reuters_semi_shs_src_window.fat&amp;display_string=Audit&amp;DYN_ARGS=TRUE&amp;VAR:ID1=595140&amp;VAR:RCODE=FDSSHSOUTDEPS&amp;VAR:SDATE=40862&amp;VAR:FREQ=Company1000&amp;VAR:RELITEM=RP&amp;VAR:CURRENCY=&amp;VAR:CURRSOURCE=EXSH","ARE&amp;VAR:NATFREQ=Company1000&amp;VAR:RFIELD=FINALIZED&amp;VAR:DB_TYPE=&amp;VAR:UNITS=M&amp;window=popup&amp;width=450&amp;height=300&amp;START_MAXIMIZED=FALSE"}</definedName>
    <definedName name="_158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6__FDSAUDITLINK__" hidden="1">{"fdsup://Directions/FactSet Auditing Viewer?action=AUDIT_VALUE&amp;DB=129&amp;ID1=13342B10&amp;VALUEID=05194&amp;SDATE=2010&amp;PERIODTYPE=ANN_STD&amp;SCFT=3&amp;window=popup_no_bar&amp;width=385&amp;height=120&amp;START_MAXIMIZED=FALSE&amp;creator=factset&amp;display_string=Audit"}</definedName>
    <definedName name="_160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62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63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64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65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66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67__FDSAUDITLINK__" hidden="1">{"fdsup://Product0192/FAT Viewer?action=UPDATE&amp;creator=factset&amp;DOC_NAME=fat:reuters_semi_shs_src_window.fat&amp;display_string=Audit&amp;DYN_ARGS=TRUE&amp;VAR:ID1=B164FY&amp;VAR:RCODE=FDSSHSOUTDEPS&amp;VAR:SDATE=40862&amp;VAR:FREQ=Company1000&amp;VAR:RELITEM=RP&amp;VAR:CURRENCY=&amp;VAR:CURRSOURCE=EXSH","ARE&amp;VAR:NATFREQ=Company1000&amp;VAR:RFIELD=FINALIZED&amp;VAR:DB_TYPE=&amp;VAR:UNITS=M&amp;window=popup&amp;width=450&amp;height=300&amp;START_MAXIMIZED=FALSE"}</definedName>
    <definedName name="_16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69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7__FDSAUDITLINK__" hidden="1">{"fdsup://Directions/FactSet Auditing Viewer?action=AUDIT_VALUE&amp;DB=129&amp;ID1=710889&amp;VALUEID=05194&amp;SDATE=2010&amp;PERIODTYPE=ANN_STD&amp;SCFT=3&amp;window=popup_no_bar&amp;width=385&amp;height=120&amp;START_MAXIMIZED=FALSE&amp;creator=factset&amp;display_string=Audit"}</definedName>
    <definedName name="_170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171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72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73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74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75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7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177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178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18__FDSAUDITLINK__" hidden="1">{"fdsup://Directions/FactSet Auditing Viewer?action=AUDIT_VALUE&amp;DB=129&amp;ID1=86366710&amp;VALUEID=05194&amp;SDATE=2010&amp;PERIODTYPE=ANN_STD&amp;SCFT=3&amp;window=popup_no_bar&amp;width=385&amp;height=120&amp;START_MAXIMIZED=FALSE&amp;creator=factset&amp;display_string=Audit"}</definedName>
    <definedName name="_19__FDSAUDITLINK__" hidden="1">{"fdsup://Directions/FactSet Auditing Viewer?action=AUDIT_VALUE&amp;DB=129&amp;ID1=14912310&amp;VALUEID=05194&amp;SDATE=2010&amp;PERIODTYPE=ANN_STD&amp;SCFT=3&amp;window=popup_no_bar&amp;width=385&amp;height=120&amp;START_MAXIMIZED=FALSE&amp;creator=factset&amp;display_string=Audit"}</definedName>
    <definedName name="_2__FDSAUDITLINK__" hidden="1">{"fdsup://Directions/FactSet Auditing Viewer?action=AUDIT_VALUE&amp;DB=129&amp;ID1=91136310&amp;VALUEID=07011&amp;SDATE=2009&amp;PERIODTYPE=ANN_STD&amp;window=popup_no_bar&amp;width=385&amp;height=120&amp;START_MAXIMIZED=FALSE&amp;creator=factset&amp;display_string=Audit"}</definedName>
    <definedName name="_20__FDSAUDITLINK__" hidden="1">{"fdsup://Directions/FactSet Auditing Viewer?action=AUDIT_VALUE&amp;DB=129&amp;ID1=92553P20&amp;VALUEID=05194&amp;SDATE=2011&amp;PERIODTYPE=ANN_STD&amp;SCFT=3&amp;window=popup_no_bar&amp;width=385&amp;height=120&amp;START_MAXIMIZED=FALSE&amp;creator=factset&amp;display_string=Audit"}</definedName>
    <definedName name="_21__FDSAUDITLINK__" hidden="1">{"fdsup://Directions/FactSet Auditing Viewer?action=AUDIT_VALUE&amp;DB=129&amp;ID1=52610710&amp;VALUEID=07011&amp;SDATE=2009&amp;PERIODTYPE=ANN_STD&amp;window=popup_no_bar&amp;width=385&amp;height=120&amp;START_MAXIMIZED=FALSE&amp;creator=factset&amp;display_string=Audit"}</definedName>
    <definedName name="_22__FDSAUDITLINK__" hidden="1">{"fdsup://Directions/FactSet Auditing Viewer?action=AUDIT_VALUE&amp;DB=129&amp;ID1=B1QGR4&amp;VALUEID=07011&amp;SDATE=2009&amp;PERIODTYPE=ANN_STD&amp;SCFT=3&amp;window=popup_no_bar&amp;width=385&amp;height=120&amp;START_MAXIMIZED=FALSE&amp;creator=factset&amp;display_string=Audit"}</definedName>
    <definedName name="_23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24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2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26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27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2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29__FDSAUDITLINK__" hidden="1">{"fdsup://Product0192/FAT Viewer?action=UPDATE&amp;creator=factset&amp;DOC_NAME=fat:reuters_qtrly_shs_src_window.fat&amp;display_string=Audit&amp;DYN_ARGS=TRUE&amp;VAR:ID1=408517&amp;VAR:RCODE=FDSSHSOUTDEPS&amp;VAR:SDATE=20110999&amp;VAR:FREQ=Quarterly&amp;VAR:RELITEM=RP&amp;VAR:CURRENCY=&amp;VAR:CURRS","OURCE=EXSHARE&amp;VAR:NATFREQ=QUARTERLY&amp;VAR:RFIELD=FINALIZED&amp;VAR:DB_TYPE=&amp;VAR:UNITS=M&amp;window=popup&amp;width=450&amp;height=300&amp;START_MAXIMIZED=FALSE"}</definedName>
    <definedName name="_3__FDSAUDITLINK__" hidden="1">{"fdsup://Directions/FactSet Auditing Viewer?action=AUDIT_VALUE&amp;DB=129&amp;ID1=598662&amp;VALUEID=02001&amp;SDATE=2009&amp;PERIODTYPE=ANN_STD&amp;window=popup_no_bar&amp;width=385&amp;height=120&amp;START_MAXIMIZED=FALSE&amp;creator=factset&amp;display_string=Audit"}</definedName>
    <definedName name="_31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32__FDSAUDITLINK__" hidden="1">{"fdsup://Product0192/FAT Viewer?action=UPDATE&amp;creator=factset&amp;DOC_NAME=fat:reuters_semi_shs_src_window.fat&amp;display_string=Audit&amp;DYN_ARGS=TRUE&amp;VAR:ID1=595140&amp;VAR:RCODE=FDSSHSOUTDEPS&amp;VAR:SDATE=40862&amp;VAR:FREQ=Company1000&amp;VAR:RELITEM=RP&amp;VAR:CURRENCY=&amp;VAR:CURRSOURCE=EXSH","ARE&amp;VAR:NATFREQ=Company1000&amp;VAR:RFIELD=FINALIZED&amp;VAR:DB_TYPE=&amp;VAR:UNITS=M&amp;window=popup&amp;width=450&amp;height=300&amp;START_MAXIMIZED=FALSE"}</definedName>
    <definedName name="_33__FDSAUDITLINK__" hidden="1">{"fdsup://Product0192/FAT Viewer?action=UPDATE&amp;creator=factset&amp;DOC_NAME=fat:reuters_qtrly_shs_src_window.fat&amp;display_string=Audit&amp;DYN_ARGS=TRUE&amp;VAR:ID1=435969&amp;VAR:RCODE=FDSSHSOUTDEPS&amp;VAR:SDATE=20110699&amp;VAR:FREQ=Quarterly&amp;VAR:RELITEM=RP&amp;VAR:CURRENCY=&amp;VAR:CURRS","OURCE=EXSHARE&amp;VAR:NATFREQ=QUARTERLY&amp;VAR:RFIELD=FINALIZED&amp;VAR:DB_TYPE=&amp;VAR:UNITS=M&amp;window=popup&amp;width=450&amp;height=300&amp;START_MAXIMIZED=FALSE"}</definedName>
    <definedName name="_34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35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36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37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38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39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4__FDSAUDITLINK__" hidden="1">{"fdsup://Directions/FactSet Auditing Viewer?action=AUDIT_VALUE&amp;DB=129&amp;ID1=572797&amp;VALUEID=02001&amp;SDATE=2010&amp;PERIODTYPE=ANN_STD&amp;window=popup_no_bar&amp;width=385&amp;height=120&amp;START_MAXIMIZED=FALSE&amp;creator=factset&amp;display_string=Audit"}</definedName>
    <definedName name="_40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41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42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4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44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45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46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4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48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49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5__FDSAUDITLINK__" hidden="1">{"fdsup://Directions/FactSet Auditing Viewer?action=AUDIT_VALUE&amp;DB=129&amp;ID1=710889&amp;VALUEID=02001&amp;SDATE=2009&amp;PERIODTYPE=ANN_STD&amp;window=popup_no_bar&amp;width=385&amp;height=120&amp;START_MAXIMIZED=FALSE&amp;creator=factset&amp;display_string=Audit"}</definedName>
    <definedName name="_50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52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54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55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5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57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5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6__FDSAUDITLINK__" hidden="1">{"fdsup://Directions/FactSet Auditing Viewer?action=AUDIT_VALUE&amp;DB=129&amp;ID1=596465&amp;VALUEID=02001&amp;SDATE=2009&amp;PERIODTYPE=ANN_STD&amp;window=popup_no_bar&amp;width=385&amp;height=120&amp;START_MAXIMIZED=FALSE&amp;creator=factset&amp;display_string=Audit"}</definedName>
    <definedName name="_61__FDSAUDITLINK__" hidden="1">{"fdsup://Product0192/FAT Viewer?action=UPDATE&amp;creator=factset&amp;DOC_NAME=fat:reuters_qtrly_shs_src_window.fat&amp;display_string=Audit&amp;DYN_ARGS=TRUE&amp;VAR:ID1=415528&amp;VAR:RCODE=FDSSHSOUTDEPS&amp;VAR:SDATE=20110999&amp;VAR:FREQ=Quarterly&amp;VAR:RELITEM=RP&amp;VAR:CURRENCY=&amp;VAR:CURRS","OURCE=EXSHARE&amp;VAR:NATFREQ=QUARTERLY&amp;VAR:RFIELD=FINALIZED&amp;VAR:DB_TYPE=&amp;VAR:UNITS=M&amp;window=popup&amp;width=450&amp;height=300&amp;START_MAXIMIZED=FALSE"}</definedName>
    <definedName name="_62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63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67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68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69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7__FDSAUDITLINK__" hidden="1">{"fdsup://Directions/FactSet Auditing Viewer?action=AUDIT_VALUE&amp;DB=129&amp;ID1=B0DJ8Q&amp;VALUEID=02001&amp;SDATE=2009&amp;PERIODTYPE=ANN_STD&amp;window=popup_no_bar&amp;width=385&amp;height=120&amp;START_MAXIMIZED=FALSE&amp;creator=factset&amp;display_string=Audit"}</definedName>
    <definedName name="_72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76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7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78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79__FDSAUDITLINK__" hidden="1">{"fdsup://Product0192/FAT Viewer?action=UPDATE&amp;creator=factset&amp;DOC_NAME=fat:reuters_semi_source_window.fat&amp;display_string=Audit&amp;DYN_ARGS=TRUE&amp;VAR:ID1=415528&amp;VAR:RCODE=FDSPFDSTKTOTAL&amp;VAR:SDATE=20011299&amp;VAR:FREQ=Company1000&amp;VAR:RELITEM=RP&amp;VAR:CURRENCY=&amp;VAR:CURRSOURCE=E","XSHARE&amp;VAR:NATFREQ=Company1000&amp;VAR:RFIELD=FINALIZED&amp;VAR:DB_TYPE=&amp;VAR:UNITS=M&amp;window=popup&amp;width=450&amp;height=300&amp;START_MAXIMIZED=FALSE"}</definedName>
    <definedName name="_8__FDSAUDITLINK__" hidden="1">{"fdsup://Directions/FactSet Auditing Viewer?action=AUDIT_VALUE&amp;DB=129&amp;ID1=572797&amp;VALUEID=02001&amp;SDATE=2010&amp;PERIODTYPE=ANN_STD&amp;window=popup_no_bar&amp;width=385&amp;height=120&amp;START_MAXIMIZED=FALSE&amp;creator=factset&amp;display_string=Audit"}</definedName>
    <definedName name="_80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81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8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84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85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86__FDSAUDITLINK__" hidden="1">{"fdsup://Product0192/FAT Viewer?action=UPDATE&amp;creator=factset&amp;DOC_NAME=fat:reuters_semi_source_window.fat&amp;display_string=Audit&amp;DYN_ARGS=TRUE&amp;VAR:ID1=B164FY&amp;VAR:RCODE=FDSPFDSTKTOTAL&amp;VAR:SDATE=0&amp;VAR:FREQ=Company1000&amp;VAR:RELITEM=RP&amp;VAR:CURRENCY=&amp;VAR:CURRSOURCE=EXSHARE&amp;","VAR:NATFREQ=Company1000&amp;VAR:RFIELD=FINALIZED&amp;VAR:DB_TYPE=&amp;VAR:UNITS=M&amp;window=popup&amp;width=450&amp;height=300&amp;START_MAXIMIZED=FALSE"}</definedName>
    <definedName name="_87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88__FDSAUDITLINK__" hidden="1">{"fdsup://Product0192/FAT Viewer?action=UPDATE&amp;creator=factset&amp;DOC_NAME=fat:reuters_semi_source_window.fat&amp;display_string=Audit&amp;DYN_ARGS=TRUE&amp;VAR:ID1=595140&amp;VAR:RCODE=FDSPFDSTKTOTAL&amp;VAR:SDATE=0&amp;VAR:FREQ=Company1000&amp;VAR:RELITEM=RP&amp;VAR:CURRENCY=&amp;VAR:CURRSOURCE=EXSHARE&amp;","VAR:NATFREQ=Company1000&amp;VAR:RFIELD=FINALIZED&amp;VAR:DB_TYPE=&amp;VAR:UNITS=M&amp;window=popup&amp;width=450&amp;height=300&amp;START_MAXIMIZED=FALSE"}</definedName>
    <definedName name="_89__FDSAUDITLINK__" hidden="1">{"fdsup://Product0192/FAT Viewer?action=UPDATE&amp;creator=factset&amp;DOC_NAME=fat:reuters_qtrly_shs_src_window.fat&amp;display_string=Audit&amp;DYN_ARGS=TRUE&amp;VAR:ID1=415528&amp;VAR:RCODE=FDSSHSOUTDEPS&amp;VAR:SDATE=20110999&amp;VAR:FREQ=Quarterly&amp;VAR:RELITEM=RP&amp;VAR:CURRENCY=&amp;VAR:CURRS","OURCE=EXSHARE&amp;VAR:NATFREQ=QUARTERLY&amp;VAR:RFIELD=FINALIZED&amp;VAR:DB_TYPE=&amp;VAR:UNITS=M&amp;window=popup&amp;width=450&amp;height=300&amp;START_MAXIMIZED=FALSE"}</definedName>
    <definedName name="_9__FDSAUDITLINK__" hidden="1">{"fdsup://Directions/FactSet Auditing Viewer?action=AUDIT_VALUE&amp;DB=129&amp;ID1=710889&amp;VALUEID=02001&amp;SDATE=2009&amp;PERIODTYPE=ANN_STD&amp;window=popup_no_bar&amp;width=385&amp;height=120&amp;START_MAXIMIZED=FALSE&amp;creator=factset&amp;display_string=Audit"}</definedName>
    <definedName name="_90__FDSAUDITLINK__" hidden="1">{"fdsup://Product0192/FAT Viewer?action=UPDATE&amp;creator=factset&amp;DOC_NAME=fat:reuters_qtrly_shs_src_window.fat&amp;display_string=Audit&amp;DYN_ARGS=TRUE&amp;VAR:ID1=B1RMFT&amp;VAR:RCODE=FDSSHSOUTDEPS&amp;VAR:SDATE=20110999&amp;VAR:FREQ=Quarterly&amp;VAR:RELITEM=RP&amp;VAR:CURRENCY=&amp;VAR:CURRS","OURCE=EXSHARE&amp;VAR:NATFREQ=QUARTERLY&amp;VAR:RFIELD=FINALIZED&amp;VAR:DB_TYPE=&amp;VAR:UNITS=M&amp;window=popup&amp;width=450&amp;height=300&amp;START_MAXIMIZED=FALSE"}</definedName>
    <definedName name="_91__FDSAUDITLINK__" hidden="1">{"fdsup://Product0192/FAT Viewer?action=UPDATE&amp;creator=factset&amp;DOC_NAME=fat:reuters_semi_shs_src_window.fat&amp;display_string=Audit&amp;DYN_ARGS=TRUE&amp;VAR:ID1=595140&amp;VAR:RCODE=FDSSHSOUTDEPS&amp;VAR:SDATE=40862&amp;VAR:FREQ=Company1000&amp;VAR:RELITEM=RP&amp;VAR:CURRENCY=&amp;VAR:CURRSOURCE=EXSH","ARE&amp;VAR:NATFREQ=Company1000&amp;VAR:RFIELD=FINALIZED&amp;VAR:DB_TYPE=&amp;VAR:UNITS=M&amp;window=popup&amp;width=450&amp;height=300&amp;START_MAXIMIZED=FALSE"}</definedName>
    <definedName name="_92__FDSAUDITLINK__" hidden="1">{"fdsup://Product0192/FAT Viewer?action=UPDATE&amp;creator=factset&amp;DOC_NAME=fat:reuters_qtrly_shs_src_window.fat&amp;display_string=Audit&amp;DYN_ARGS=TRUE&amp;VAR:ID1=710755&amp;VAR:RCODE=FDSSHSOUTDEPS&amp;VAR:SDATE=20110999&amp;VAR:FREQ=Quarterly&amp;VAR:RELITEM=RP&amp;VAR:CURRENCY=&amp;VAR:CURRS","OURCE=EXSHARE&amp;VAR:NATFREQ=QUARTERLY&amp;VAR:RFIELD=FINALIZED&amp;VAR:DB_TYPE=&amp;VAR:UNITS=M&amp;window=popup&amp;width=450&amp;height=300&amp;START_MAXIMIZED=FALSE"}</definedName>
    <definedName name="_93__FDSAUDITLINK__" hidden="1">{"fdsup://Product0192/FAT Viewer?action=UPDATE&amp;creator=factset&amp;DOC_NAME=fat:reuters_semi_source_window.fat&amp;display_string=Audit&amp;DYN_ARGS=TRUE&amp;VAR:ID1=408517&amp;VAR:RCODE=FDSPFDSTKTOTAL&amp;VAR:SDATE=20041299&amp;VAR:FREQ=Company1000&amp;VAR:RELITEM=RP&amp;VAR:CURRENCY=&amp;VAR:CURRSOURCE=E","XSHARE&amp;VAR:NATFREQ=Company1000&amp;VAR:RFIELD=FINALIZED&amp;VAR:DB_TYPE=&amp;VAR:UNITS=M&amp;window=popup&amp;width=450&amp;height=300&amp;START_MAXIMIZED=FALSE"}</definedName>
    <definedName name="_94__FDSAUDITLINK__" hidden="1">{"fdsup://Product0192/FAT Viewer?action=UPDATE&amp;creator=factset&amp;DOC_NAME=fat:reuters_qtrly_shs_src_window.fat&amp;display_string=Audit&amp;DYN_ARGS=TRUE&amp;VAR:ID1=435969&amp;VAR:RCODE=FDSSHSOUTDEPS&amp;VAR:SDATE=20110699&amp;VAR:FREQ=Quarterly&amp;VAR:RELITEM=RP&amp;VAR:CURRENCY=&amp;VAR:CURRS","OURCE=EXSHARE&amp;VAR:NATFREQ=QUARTERLY&amp;VAR:RFIELD=FINALIZED&amp;VAR:DB_TYPE=&amp;VAR:UNITS=M&amp;window=popup&amp;width=450&amp;height=300&amp;START_MAXIMIZED=FALSE"}</definedName>
    <definedName name="_95__FDSAUDITLINK__" hidden="1">{"fdsup://Product0192/FAT Viewer?action=UPDATE&amp;creator=factset&amp;DOC_NAME=fat:reuters_qtrly_shs_src_window.fat&amp;display_string=Audit&amp;DYN_ARGS=TRUE&amp;VAR:ID1=408517&amp;VAR:RCODE=FDSSHSOUTDEPS&amp;VAR:SDATE=20110999&amp;VAR:FREQ=Quarterly&amp;VAR:RELITEM=RP&amp;VAR:CURRENCY=&amp;VAR:CURRS","OURCE=EXSHARE&amp;VAR:NATFREQ=QUARTERLY&amp;VAR:RFIELD=FINALIZED&amp;VAR:DB_TYPE=&amp;VAR:UNITS=M&amp;window=popup&amp;width=450&amp;height=300&amp;START_MAXIMIZED=FALSE"}</definedName>
    <definedName name="_96__FDSAUDITLINK__" hidden="1">{"fdsup://Product0192/FAT Viewer?action=UPDATE&amp;creator=factset&amp;DOC_NAME=fat:reuters_qtrly_shs_src_window.fat&amp;display_string=Audit&amp;DYN_ARGS=TRUE&amp;VAR:ID1=710755&amp;VAR:RCODE=FDSSHSOUTDEPS&amp;VAR:SDATE=20110999&amp;VAR:FREQ=Quarterly&amp;VAR:RELITEM=RP&amp;VAR:CURRENCY=&amp;VAR:CURRS","OURCE=EXSHARE&amp;VAR:NATFREQ=QUARTERLY&amp;VAR:RFIELD=FINALIZED&amp;VAR:DB_TYPE=&amp;VAR:UNITS=M&amp;window=popup&amp;width=450&amp;height=300&amp;START_MAXIMIZED=FALSE"}</definedName>
    <definedName name="_97__FDSAUDITLINK__" hidden="1">{"fdsup://Product0192/FAT Viewer?action=UPDATE&amp;creator=factset&amp;DOC_NAME=fat:reuters_qtrly_shs_src_window.fat&amp;display_string=Audit&amp;DYN_ARGS=TRUE&amp;VAR:ID1=B1RMFT&amp;VAR:RCODE=FDSSHSOUTDEPS&amp;VAR:SDATE=20110999&amp;VAR:FREQ=Quarterly&amp;VAR:RELITEM=RP&amp;VAR:CURRENCY=&amp;VAR:CURRS","OURCE=EXSHARE&amp;VAR:NATFREQ=QUARTERLY&amp;VAR:RFIELD=FINALIZED&amp;VAR:DB_TYPE=&amp;VAR:UNITS=M&amp;window=popup&amp;width=450&amp;height=300&amp;START_MAXIMIZED=FALSE"}</definedName>
    <definedName name="_99__FDSAUDITLINK__" hidden="1">{"fdsup://Product0192/FAT Viewer?action=UPDATE&amp;creator=factset&amp;DOC_NAME=fat:reuters_semi_shs_src_window.fat&amp;display_string=Audit&amp;DYN_ARGS=TRUE&amp;VAR:ID1=B164FY&amp;VAR:RCODE=FDSSHSOUTDEPS&amp;VAR:SDATE=40862&amp;VAR:FREQ=Company1000&amp;VAR:RELITEM=RP&amp;VAR:CURRENCY=&amp;VAR:CURRSOURCE=EXSH","ARE&amp;VAR:NATFREQ=Company1000&amp;VAR:RFIELD=FINALIZED&amp;VAR:DB_TYPE=&amp;VAR:UNITS=M&amp;window=popup&amp;width=450&amp;height=300&amp;START_MAXIMIZED=FALSE"}</definedName>
    <definedName name="_ay53" hidden="1">{#N/A,#N/A,FALSE,"Summary";#N/A,#N/A,FALSE,"Total";#N/A,#N/A,FALSE,"Total ex Swe";#N/A,#N/A,FALSE,"Volume";#N/A,#N/A,FALSE,"Expenses";#N/A,#N/A,FALSE,"CM Var";#N/A,#N/A,FALSE,"YTD Var"}</definedName>
    <definedName name="_bdm._6DE9FD41CF0248559D918CB423239EC7" hidden="1">#REF!</definedName>
    <definedName name="_bdm.01083F61A6804165B750B66D836EF312.edm" hidden="1">#REF!</definedName>
    <definedName name="_bdm.0256EA243483496788E3C20C05D119D2.edm" hidden="1">#REF!</definedName>
    <definedName name="_bdm.056806555BE646089A2C207095D09338.edm" hidden="1">#REF!</definedName>
    <definedName name="_bdm.05827CC5E59F4A1590FE13C005D8BB93.edm" hidden="1">#REF!</definedName>
    <definedName name="_bdm.0CADBC4263594D8C93F0BB9D6710066F.edm" hidden="1">#REF!</definedName>
    <definedName name="_bdm.10B5F1C049634A51BD5E3B99B303256E.edm" hidden="1">#REF!</definedName>
    <definedName name="_bdm.1CEE895BAA7B41D59F88EC619FDEF041.edm" hidden="1">#REF!</definedName>
    <definedName name="_bdm.2B66E4C91AA44516A1C621D80DCF1CD8.edm" hidden="1">#REF!</definedName>
    <definedName name="_bdm.3541fc4e847a4f86a08de45cabf41379.edm" hidden="1">#REF!</definedName>
    <definedName name="_bdm.385051E5C9864E94A627754A63E97FE9.edm" hidden="1">#REF!</definedName>
    <definedName name="_bdm.4F6361B27C1C4421BA6954A2D2357650.edm" hidden="1">#REF!</definedName>
    <definedName name="_bdm.69DB7EFDDF90448684088477F26672A2.edm" hidden="1">#REF!</definedName>
    <definedName name="_bdm.6DA1776F93174874B4ED288565DD5EF0.edm" hidden="1">#REF!</definedName>
    <definedName name="_bdm.6DE9FD41CF0248559D918CB423239EC7.edm" hidden="1">#REF!</definedName>
    <definedName name="_bdm.744156CE2F6F484F91F1EC802C578DD9.edm" hidden="1">#REF!</definedName>
    <definedName name="_bdm.767C9B2368C24886977F9CBBC0F09491.edm" hidden="1">#REF!</definedName>
    <definedName name="_bdm.77DFE29B87A14092A41DCEDCE96D72BB.edm" hidden="1">#REF!</definedName>
    <definedName name="_bdm.824B1CF556124E049B893A8E075A8708.edm" hidden="1">#REF!</definedName>
    <definedName name="_bdm.B5492AAD4F1F48ED93267293ABCA8271.edm" hidden="1">#REF!</definedName>
    <definedName name="_bdm.BA7DF401FF66448AB626C492D77D0998.edm" hidden="1">#REF!</definedName>
    <definedName name="_bdm.C1F93054B56C40E595DF4F892E8612E8.edm" hidden="1">#REF!</definedName>
    <definedName name="_bdm.CEE22CAA0C284AF18310CCC7FF807115.edm" hidden="1">#REF!</definedName>
    <definedName name="_bdm.CFC01A41D41A429191F89175FCA9ED7E.edm" hidden="1">#REF!</definedName>
    <definedName name="_bdm.E1A02E1A00DD474184FB5DD5C3D47C87.edm" hidden="1">#REF!</definedName>
    <definedName name="_bdm.E910B444AE3748CD84A2BD4E9787705A.edm" hidden="1">#REF!</definedName>
    <definedName name="_bdm.F86D831A345D4AC2AF5A204D9087A18A.edm" hidden="1">#REF!</definedName>
    <definedName name="_boh2" hidden="1">{"inventory",#N/A,FALSE,"Inven. Turns 97 Rep";"sales",#N/A,FALSE,"Inven. Turns 97 Rep";"turns",#N/A,FALSE,"Inven. Turns 97 Rep";"days",#N/A,FALSE,"Inven. Turns 97 Rep"}</definedName>
    <definedName name="_cf1" hidden="1">{"raatios",#N/A,FALSE,"A";"ratios",#N/A,FALSE,"B";"ratios",#N/A,FALSE,"C";"ratios",#N/A,FALSE,"D";"ratios",#N/A,FALSE,"F"}</definedName>
    <definedName name="_cnh1" hidden="1">{"ANNUAL",#N/A,FALSE,"DDCLINK";"DDC94",#N/A,FALSE,"DDCLINK"}</definedName>
    <definedName name="_cnh2" hidden="1">{"ANNUAL",#N/A,FALSE,"DDCLINK";"DDC94",#N/A,FALSE,"DDCLINK"}</definedName>
    <definedName name="_Fill" hidden="1">#REF!</definedName>
    <definedName name="_xlnm._FilterDatabase" hidden="1">#REF!</definedName>
    <definedName name="_guv3" hidden="1">{"K GuV o. Kommentar",#N/A,FALSE,"Company1502"}</definedName>
    <definedName name="_IPU2" hidden="1">{"summary",#N/A,FALSE,"Summary";"daily",#N/A,FALSE,"Daily";"detail",#N/A,FALSE,"Detail";"flash",#N/A,FALSE,"Flash";"revenue",#N/A,FALSE,"PDF";"fxexp",#N/A,FALSE,"PDF";"headcount",#N/A,FALSE,"PDF"}</definedName>
    <definedName name="_ish2" hidden="1">{"'POTORD'!$A$2:$G$40"}</definedName>
    <definedName name="_Key1" hidden="1">#REF!</definedName>
    <definedName name="_Key2" hidden="1">#REF!</definedName>
    <definedName name="_Order1" hidden="1">0</definedName>
    <definedName name="_Order2" hidden="1">255</definedName>
    <definedName name="_Parse_In" hidden="1">#REF!</definedName>
    <definedName name="_Q3" hidden="1">{"receivables",#N/A,FALSE,"SII 99";"sales",#N/A,FALSE,"SII 99";"turns",#N/A,FALSE,"SII 99";"pastdue",#N/A,FALSE,"SII 99"}</definedName>
    <definedName name="_Regression_Out" hidden="1">#REF!</definedName>
    <definedName name="_Regression_X" hidden="1">#REF!</definedName>
    <definedName name="_Regression_Y" hidden="1">#REF!</definedName>
    <definedName name="_sky2" hidden="1">{"Summary analysis",#N/A,FALSE,"Total";"OCPH analysis",#N/A,FALSE,"Total";"detail analysis",#N/A,FALSE,"Total"}</definedName>
    <definedName name="_Sort" hidden="1">#REF!</definedName>
    <definedName name="_Table2_Out" hidden="1">#REF!</definedName>
    <definedName name="a." hidden="1">{#N/A,#N/A,TRUE,"KEY DATA";#N/A,#N/A,TRUE,"KEY DATA Base Case";#N/A,#N/A,TRUE,"JULY";#N/A,#N/A,TRUE,"AUG";#N/A,#N/A,TRUE,"SEPT";#N/A,#N/A,TRUE,"3Q"}</definedName>
    <definedName name="A.." hidden="1">{#N/A,#N/A,TRUE,"KEY DATA";#N/A,#N/A,TRUE,"KEY DATA Base Case";#N/A,#N/A,TRUE,"JULY";#N/A,#N/A,TRUE,"AUG";#N/A,#N/A,TRUE,"SEPT";#N/A,#N/A,TRUE,"3Q"}</definedName>
    <definedName name="a_1" hidden="1">{#N/A,#N/A,TRUE,"KEY DATA";#N/A,#N/A,TRUE,"KEY DATA Base Case";#N/A,#N/A,TRUE,"JULY";#N/A,#N/A,TRUE,"AUG";#N/A,#N/A,TRUE,"SEPT";#N/A,#N/A,TRUE,"3Q"}</definedName>
    <definedName name="A_ALL_Ticker0009">#REF!</definedName>
    <definedName name="A_ALL_KEYWORDS_TYPE_ScalarContributed_EQTY_200001266">#REF!,#REF!,#REF!,#REF!,#REF!</definedName>
    <definedName name="A_ALL_KEYWORDS_TYPE_ScalarContributed_ISSR_208000403">#REF!,#REF!</definedName>
    <definedName name="A_ALL_KEYWORDS_TYPE_ScalarReference_EQTY_200001266">#REF!</definedName>
    <definedName name="A_ALL_KEYWORDS_TYPE_ScalarReference_ISSR_208000403">#REF!</definedName>
    <definedName name="A_ALL_KEYWORDS_TYPE_Vector_EQTY_200001266">#REF!,#REF!,#REF!,#REF!,#REF!,#REF!,#REF!</definedName>
    <definedName name="A_ALL_KEYWORDS_TYPE_Vector_ISSR_208000403">#REF!,#REF!,#REF!,#REF!,#REF!,#REF!,#REF!,#REF!,#REF!</definedName>
    <definedName name="A_ALL_LMT">#REF!</definedName>
    <definedName name="A_ALL_LMT_">#REF!</definedName>
    <definedName name="A_ALL_SECTION_KEYWORDS_EQTY_200001266_1314">#REF!</definedName>
    <definedName name="A_ALL_SECTION_KEYWORDS_EQTY_200001266_1319">#REF!</definedName>
    <definedName name="A_ALL_SECTION_KEYWORDS_EQTY_200001266_131E">#REF!</definedName>
    <definedName name="A_ALL_SECTION_KEYWORDS_EQTY_200001266_131O">#REF!</definedName>
    <definedName name="A_ALL_SECTION_KEYWORDS_EQTY_200001266_13A">#REF!</definedName>
    <definedName name="A_ALL_SECTION_KEYWORDS_EQTY_200001266_13K">#REF!</definedName>
    <definedName name="A_ALL_SECTION_KEYWORDS_EQTY_200001266_13U">#REF!</definedName>
    <definedName name="A_ALL_SECTION_KEYWORDS_EQTY_200001266_13V">#REF!</definedName>
    <definedName name="A_ALL_SECTION_KEYWORDS_EQTY_200001266_13W">#REF!</definedName>
    <definedName name="A_ALL_SECTION_KEYWORDS_EQTY_200001266_Reference_Data">#REF!</definedName>
    <definedName name="A_ALL_SECTION_KEYWORDS_ISSR_208000403_1314">#REF!</definedName>
    <definedName name="A_ALL_SECTION_KEYWORDS_ISSR_208000403_13168">#REF!</definedName>
    <definedName name="A_ALL_SECTION_KEYWORDS_ISSR_208000403_1316S">#REF!</definedName>
    <definedName name="A_ALL_SECTION_KEYWORDS_ISSR_208000403_1316T">#REF!</definedName>
    <definedName name="A_ALL_SECTION_KEYWORDS_ISSR_208000403_1316U">#REF!</definedName>
    <definedName name="A_ALL_SECTION_KEYWORDS_ISSR_208000403_1319">#REF!</definedName>
    <definedName name="A_ALL_SECTION_KEYWORDS_ISSR_208000403_131E">#REF!</definedName>
    <definedName name="A_ALL_SECTION_KEYWORDS_ISSR_208000403_131J">#REF!</definedName>
    <definedName name="A_ALL_SECTION_KEYWORDS_ISSR_208000403_131O">#REF!</definedName>
    <definedName name="A_ALL_SECTION_KEYWORDS_ISSR_208000403_136E">#REF!,#REF!</definedName>
    <definedName name="A_ALL_SECTION_KEYWORDS_ISSR_208000403_13A">#REF!</definedName>
    <definedName name="A_ALL_SECTION_KEYWORDS_ISSR_208000403_13U">#REF!</definedName>
    <definedName name="A_ALL_SECTION_KEYWORDS_ISSR_208000403_13V">#REF!</definedName>
    <definedName name="A_ALL_SECTION_KEYWORDS_ISSR_208000403_Reference_Data">#REF!</definedName>
    <definedName name="A_ALL_SECTIONS_EQTY_200001266">#REF!,#REF!,#REF!,#REF!,#REF!,#REF!,#REF!,#REF!,#REF!,#REF!</definedName>
    <definedName name="A_CURRENCY_EQTY_200001266_PRI">#REF!</definedName>
    <definedName name="A_CURRENCY_EQTY_200001266_PUB">#REF!</definedName>
    <definedName name="A_CURRENCY_EQTY_200001266_REP">#REF!</definedName>
    <definedName name="A_CURRENCY_ISSR_208000403_REP">#REF!</definedName>
    <definedName name="A_KEYWORD_EQTY_200001266_AMER_LIST">#REF!</definedName>
    <definedName name="A_KEYWORD_EQTY_200001266_BETA_ANALYST">#REF!</definedName>
    <definedName name="A_KEYWORD_EQTY_200001266_BVPS">#REF!</definedName>
    <definedName name="A_KEYWORD_EQTY_200001266_BVPS_PUB">#REF!</definedName>
    <definedName name="A_KEYWORD_EQTY_200001266_CEEE_EPS">#REF!</definedName>
    <definedName name="A_KEYWORD_EQTY_200001266_CF_NI_PRE_PREF">#REF!</definedName>
    <definedName name="A_KEYWORD_EQTY_200001266_COMMON_DIV_PAID">#REF!</definedName>
    <definedName name="A_KEYWORD_EQTY_200001266_CURRENCY_ISO">#REF!</definedName>
    <definedName name="A_KEYWORD_EQTY_200001266_DILUTE_SHARES">#REF!</definedName>
    <definedName name="A_KEYWORD_EQTY_200001266_DPS">#REF!</definedName>
    <definedName name="A_KEYWORD_EQTY_200001266_DPS_PUB">#REF!</definedName>
    <definedName name="A_KEYWORD_EQTY_200001266_EBIT_PUB">#REF!</definedName>
    <definedName name="A_KEYWORD_EQTY_200001266_EBITDA_PUB">#REF!</definedName>
    <definedName name="A_KEYWORD_EQTY_200001266_EPS">#REF!</definedName>
    <definedName name="A_KEYWORD_EQTY_200001266_EPS_EX_ESO_B">#REF!</definedName>
    <definedName name="A_KEYWORD_EQTY_200001266_EPS_EX_ESO_D">#REF!</definedName>
    <definedName name="A_KEYWORD_EQTY_200001266_EPS_FUL_DIL">#REF!</definedName>
    <definedName name="A_KEYWORD_EQTY_200001266_EPS_POST_BASIC">#REF!</definedName>
    <definedName name="A_KEYWORD_EQTY_200001266_EPS_PUB">#REF!</definedName>
    <definedName name="A_KEYWORD_EQTY_200001266_EPS_PUB_EX_ESO">#REF!</definedName>
    <definedName name="A_KEYWORD_EQTY_200001266_EQ_PUB">#REF!</definedName>
    <definedName name="A_KEYWORD_EQTY_200001266_ESO_POST_TAX">#REF!</definedName>
    <definedName name="A_KEYWORD_EQTY_200001266_ESO_YEAR">#REF!</definedName>
    <definedName name="A_KEYWORD_EQTY_200001266_EV_ADJ_PUB">#REF!</definedName>
    <definedName name="A_KEYWORD_EQTY_200001266_FREE_FLOAT">#REF!</definedName>
    <definedName name="A_KEYWORD_EQTY_200001266_FULLY_DIL_EPS">#REF!</definedName>
    <definedName name="A_KEYWORD_EQTY_200001266_FV_GRANT">#REF!</definedName>
    <definedName name="A_KEYWORD_EQTY_200001266_INC_MINORITY">#REF!</definedName>
    <definedName name="A_KEYWORD_EQTY_200001266_Interim_Type">#REF!</definedName>
    <definedName name="A_KEYWORD_EQTY_200001266_LEGAL_RATING">#REF!</definedName>
    <definedName name="A_KEYWORD_EQTY_200001266_MARGIN_TAX_RATE">#REF!</definedName>
    <definedName name="A_KEYWORD_EQTY_200001266_MKT_EQ_RISK_PREM">#REF!</definedName>
    <definedName name="A_KEYWORD_EQTY_200001266_NET_DEBT_PUB">#REF!</definedName>
    <definedName name="A_KEYWORD_EQTY_200001266_NET_EARNING">#REF!</definedName>
    <definedName name="A_KEYWORD_EQTY_200001266_NET_INC">#REF!</definedName>
    <definedName name="A_KEYWORD_EQTY_200001266_NI_PRE_PREF">#REF!</definedName>
    <definedName name="A_KEYWORD_EQTY_200001266_NI_PUB">#REF!</definedName>
    <definedName name="A_KEYWORD_EQTY_200001266_NON_OP_ADD">#REF!</definedName>
    <definedName name="A_KEYWORD_EQTY_200001266_NUM_SH">#REF!</definedName>
    <definedName name="A_KEYWORD_EQTY_200001266_PREF_DIV">#REF!</definedName>
    <definedName name="A_KEYWORD_EQTY_200001266_PRICE_CURRENCY_ISO">#REF!</definedName>
    <definedName name="A_KEYWORD_EQTY_200001266_PROV_INC_TAX">#REF!</definedName>
    <definedName name="A_KEYWORD_EQTY_200001266_PTP_PUB">#REF!</definedName>
    <definedName name="A_KEYWORD_EQTY_200001266_PUB_CURRENCY_ISO">#REF!</definedName>
    <definedName name="A_KEYWORD_EQTY_200001266_REPUR_ACTUAL">#REF!</definedName>
    <definedName name="A_KEYWORD_EQTY_200001266_REPUR_REMAINING">#REF!</definedName>
    <definedName name="A_KEYWORD_EQTY_200001266_REPUR_SUSPENDED">#REF!</definedName>
    <definedName name="A_KEYWORD_EQTY_200001266_REPUR_TOT_AUTH">#REF!</definedName>
    <definedName name="A_KEYWORD_EQTY_200001266_REVS_PUB">#REF!</definedName>
    <definedName name="A_KEYWORD_EQTY_200001266_RISK_FR_RATE">#REF!</definedName>
    <definedName name="A_KEYWORD_EQTY_200001266_Security_Name">#REF!</definedName>
    <definedName name="A_KEYWORD_EQTY_200001266_SH">#REF!</definedName>
    <definedName name="A_KEYWORD_EQTY_200001266_TARGET_PRICE">#REF!</definedName>
    <definedName name="A_KEYWORD_EQTY_200001266_TAX_EXC">#REF!</definedName>
    <definedName name="A_KEYWORD_EQTY_200001266_Ticker">#REF!</definedName>
    <definedName name="A_KEYWORD_EQTY_200001266_TP_PERIOD">#REF!</definedName>
    <definedName name="A_KEYWORD_ISSR_208000403_ACC_AMORT">#REF!</definedName>
    <definedName name="A_KEYWORD_ISSR_208000403_ACC_DDA">#REF!</definedName>
    <definedName name="A_KEYWORD_ISSR_208000403_ACC_END_DATE">#REF!</definedName>
    <definedName name="A_KEYWORD_ISSR_208000403_ACC_PAY_GQ">#REF!</definedName>
    <definedName name="A_KEYWORD_ISSR_208000403_ACQ">#REF!</definedName>
    <definedName name="A_KEYWORD_ISSR_208000403_ADJ_UNF_PENS_GOOD">#REF!</definedName>
    <definedName name="A_KEYWORD_ISSR_208000403_ASSOC_JV_ADDBK">#REF!</definedName>
    <definedName name="A_KEYWORD_ISSR_208000403_ASSOCIATE">#REF!</definedName>
    <definedName name="A_KEYWORD_ISSR_208000403_ASSOCIATE_OP">#REF!</definedName>
    <definedName name="A_KEYWORD_ISSR_208000403_BAL_MINO_INT">#REF!</definedName>
    <definedName name="A_KEYWORD_ISSR_208000403_CAP_LEASES">#REF!</definedName>
    <definedName name="A_KEYWORD_ISSR_208000403_CAPEX">#REF!</definedName>
    <definedName name="A_KEYWORD_ISSR_208000403_CAPEX_EXPANSION">#REF!</definedName>
    <definedName name="A_KEYWORD_ISSR_208000403_CAPEX_MAINTENANCE">#REF!</definedName>
    <definedName name="A_KEYWORD_ISSR_208000403_CASH_EQ">#REF!</definedName>
    <definedName name="A_KEYWORD_ISSR_208000403_CASH_INT_EXP">#REF!</definedName>
    <definedName name="A_KEYWORD_ISSR_208000403_CASH_PCT_OS_US">#REF!</definedName>
    <definedName name="A_KEYWORD_ISSR_208000403_CASH_TAX_EXP">#REF!</definedName>
    <definedName name="A_KEYWORD_ISSR_208000403_CF_FIN">#REF!</definedName>
    <definedName name="A_KEYWORD_ISSR_208000403_CF_INC_MINORITY">#REF!</definedName>
    <definedName name="A_KEYWORD_ISSR_208000403_CF_INV">#REF!</definedName>
    <definedName name="A_KEYWORD_ISSR_208000403_CF_OPS">#REF!</definedName>
    <definedName name="A_KEYWORD_ISSR_208000403_CHG_LT_DEBT">#REF!</definedName>
    <definedName name="A_KEYWORD_ISSR_208000403_CO_BOR_MARGIN">#REF!</definedName>
    <definedName name="A_KEYWORD_ISSR_208000403_COST_GD_SD">#REF!</definedName>
    <definedName name="A_KEYWORD_ISSR_208000403_CUR_ASS">#REF!</definedName>
    <definedName name="A_KEYWORD_ISSR_208000403_CURRENCY_ISO">#REF!</definedName>
    <definedName name="A_KEYWORD_ISSR_208000403_DEBTORS">#REF!</definedName>
    <definedName name="A_KEYWORD_ISSR_208000403_DEF_INC_TAX">#REF!</definedName>
    <definedName name="A_KEYWORD_ISSR_208000403_DEPR_AMORT">#REF!</definedName>
    <definedName name="A_KEYWORD_ISSR_208000403_DEPREC">#REF!</definedName>
    <definedName name="A_KEYWORD_ISSR_208000403_DIV_PAID">#REF!</definedName>
    <definedName name="A_KEYWORD_ISSR_208000403_DIVDS_ASSOC_JV">#REF!</definedName>
    <definedName name="A_KEYWORD_ISSR_208000403_DIVDS_PD_MINORITIES">#REF!</definedName>
    <definedName name="A_KEYWORD_ISSR_208000403_DIVEST">#REF!</definedName>
    <definedName name="A_KEYWORD_ISSR_208000403_EBIT">#REF!</definedName>
    <definedName name="A_KEYWORD_ISSR_208000403_EBIT_FIN_SEGMENT">#REF!</definedName>
    <definedName name="A_KEYWORD_ISSR_208000403_EBITDA_CALC">#REF!</definedName>
    <definedName name="A_KEYWORD_ISSR_208000403_EMPLOYEES">#REF!</definedName>
    <definedName name="A_KEYWORD_ISSR_208000403_EQ">#REF!</definedName>
    <definedName name="A_KEYWORD_ISSR_208000403_ESO_PRE_TAX">#REF!</definedName>
    <definedName name="A_KEYWORD_ISSR_208000403_EXP_ALUMINIUM">#REF!</definedName>
    <definedName name="A_KEYWORD_ISSR_208000403_EXP_COPPER">#REF!</definedName>
    <definedName name="A_KEYWORD_ISSR_208000403_EXP_GLASS">#REF!</definedName>
    <definedName name="A_KEYWORD_ISSR_208000403_EXP_GOLD">#REF!</definedName>
    <definedName name="A_KEYWORD_ISSR_208000403_EXP_NAT_GAS">#REF!</definedName>
    <definedName name="A_KEYWORD_ISSR_208000403_EXP_NICKEL">#REF!</definedName>
    <definedName name="A_KEYWORD_ISSR_208000403_EXP_OIL_DERIV_NGLS_PLASTICS">#REF!</definedName>
    <definedName name="A_KEYWORD_ISSR_208000403_EXP_OIL_PETRO_FUEL">#REF!</definedName>
    <definedName name="A_KEYWORD_ISSR_208000403_EXP_OTH_COMMODITY">#REF!</definedName>
    <definedName name="A_KEYWORD_ISSR_208000403_EXP_OTH_COST">#REF!</definedName>
    <definedName name="A_KEYWORD_ISSR_208000403_EXP_PALLADIUM">#REF!</definedName>
    <definedName name="A_KEYWORD_ISSR_208000403_EXP_PLATINUM">#REF!</definedName>
    <definedName name="A_KEYWORD_ISSR_208000403_EXP_RUBBER">#REF!</definedName>
    <definedName name="A_KEYWORD_ISSR_208000403_EXP_SILVER">#REF!</definedName>
    <definedName name="A_KEYWORD_ISSR_208000403_EXP_STEEL">#REF!</definedName>
    <definedName name="A_KEYWORD_ISSR_208000403_EXP_WATER">#REF!</definedName>
    <definedName name="A_KEYWORD_ISSR_208000403_EXP_Company3050">#REF!</definedName>
    <definedName name="A_KEYWORD_ISSR_208000403_FIX_ASS_INV">#REF!</definedName>
    <definedName name="A_KEYWORD_ISSR_208000403_GCI_INFL">#REF!</definedName>
    <definedName name="A_KEYWORD_ISSR_208000403_GOODWILL_AMORT">#REF!</definedName>
    <definedName name="A_KEYWORD_ISSR_208000403_GR_FIX_ASS">#REF!</definedName>
    <definedName name="A_KEYWORD_ISSR_208000403_GR_INTANG">#REF!</definedName>
    <definedName name="A_KEYWORD_ISSR_208000403_INT_EXP_IND">#REF!</definedName>
    <definedName name="A_KEYWORD_ISSR_208000403_INT_INC_IND">#REF!</definedName>
    <definedName name="A_KEYWORD_ISSR_208000403_INV_SECUR">#REF!</definedName>
    <definedName name="A_KEYWORD_ISSR_208000403_Issuer_Name">#REF!</definedName>
    <definedName name="A_KEYWORD_ISSR_208000403_LEASE_DEEM_DEPR">#REF!</definedName>
    <definedName name="A_KEYWORD_ISSR_208000403_LEASE_DEEM_INT">#REF!</definedName>
    <definedName name="A_KEYWORD_ISSR_208000403_LEASE_PAY">#REF!</definedName>
    <definedName name="A_KEYWORD_ISSR_208000403_LT_DEBT">#REF!</definedName>
    <definedName name="A_KEYWORD_ISSR_208000403_MA_PROB">#REF!</definedName>
    <definedName name="A_KEYWORD_ISSR_208000403_MINORITIES">#REF!</definedName>
    <definedName name="A_KEYWORD_ISSR_208000403_MV_ASSOCIATES">#REF!</definedName>
    <definedName name="A_KEYWORD_ISSR_208000403_NET_DEBT">#REF!</definedName>
    <definedName name="A_KEYWORD_ISSR_208000403_NET_DEBT_ADJ">#REF!</definedName>
    <definedName name="A_KEYWORD_ISSR_208000403_NET_FIX_ASS">#REF!</definedName>
    <definedName name="A_KEYWORD_ISSR_208000403_NET_INT_CH">#REF!</definedName>
    <definedName name="A_KEYWORD_ISSR_208000403_NET_INT_EXP">#REF!</definedName>
    <definedName name="A_KEYWORD_ISSR_208000403_NET_INTANG">#REF!</definedName>
    <definedName name="A_KEYWORD_ISSR_208000403_NONPPE_CAPEX">#REF!</definedName>
    <definedName name="A_KEYWORD_ISSR_208000403_OP_COST">#REF!</definedName>
    <definedName name="A_KEYWORD_ISSR_208000403_ORD_SH_FUND">#REF!</definedName>
    <definedName name="A_KEYWORD_ISSR_208000403_OTH_COST_INC">#REF!</definedName>
    <definedName name="A_KEYWORD_ISSR_208000403_OTH_CUR_ASS">#REF!</definedName>
    <definedName name="A_KEYWORD_ISSR_208000403_OTH_CUR_LIABS">#REF!</definedName>
    <definedName name="A_KEYWORD_ISSR_208000403_OTH_DACF_ADJ">#REF!</definedName>
    <definedName name="A_KEYWORD_ISSR_208000403_OTH_FIN_CF">#REF!</definedName>
    <definedName name="A_KEYWORD_ISSR_208000403_OTH_GCI_ADJ">#REF!</definedName>
    <definedName name="A_KEYWORD_ISSR_208000403_OTH_INV_CF">#REF!</definedName>
    <definedName name="A_KEYWORD_ISSR_208000403_OTH_LT_ASS">#REF!</definedName>
    <definedName name="A_KEYWORD_ISSR_208000403_OTH_LT_CRED_GQ">#REF!</definedName>
    <definedName name="A_KEYWORD_ISSR_208000403_OTH_NONCASH_ADJ">#REF!</definedName>
    <definedName name="A_KEYWORD_ISSR_208000403_OTH_OP_CF">#REF!</definedName>
    <definedName name="A_KEYWORD_ISSR_208000403_OTH_OP_INC_EXP">#REF!</definedName>
    <definedName name="A_KEYWORD_ISSR_208000403_PERIOD_MILESTONE">#REF!</definedName>
    <definedName name="A_KEYWORD_ISSR_208000403_PL_SALE_ASSETS">#REF!</definedName>
    <definedName name="A_KEYWORD_ISSR_208000403_PREF_SH">#REF!</definedName>
    <definedName name="A_KEYWORD_ISSR_208000403_PROFIT_ON_DISP">#REF!</definedName>
    <definedName name="A_KEYWORD_ISSR_208000403_PT_PROF">#REF!</definedName>
    <definedName name="A_KEYWORD_ISSR_208000403_RD_EXP">#REF!</definedName>
    <definedName name="A_KEYWORD_ISSR_208000403_REV_FIN_SEGMENT">#REF!</definedName>
    <definedName name="A_KEYWORD_ISSR_208000403_SALES">#REF!</definedName>
    <definedName name="A_KEYWORD_ISSR_208000403_SALES_ARGENTINA">#REF!</definedName>
    <definedName name="A_KEYWORD_ISSR_208000403_SALES_BRAZIL">#REF!</definedName>
    <definedName name="A_KEYWORD_ISSR_208000403_SALES_CANADA">#REF!</definedName>
    <definedName name="A_KEYWORD_ISSR_208000403_SALES_CEE">#REF!</definedName>
    <definedName name="A_KEYWORD_ISSR_208000403_SALES_CHILE">#REF!</definedName>
    <definedName name="A_KEYWORD_ISSR_208000403_SALES_CHINA">#REF!</definedName>
    <definedName name="A_KEYWORD_ISSR_208000403_SALES_COLOMBIA">#REF!</definedName>
    <definedName name="A_KEYWORD_ISSR_208000403_SALES_CONS">#REF!</definedName>
    <definedName name="A_KEYWORD_ISSR_208000403_SALES_EU_EX_UK">#REF!</definedName>
    <definedName name="A_KEYWORD_ISSR_208000403_SALES_FINAN">#REF!</definedName>
    <definedName name="A_KEYWORD_ISSR_208000403_SALES_FX_ARS">#REF!</definedName>
    <definedName name="A_KEYWORD_ISSR_208000403_SALES_FX_BRL">#REF!</definedName>
    <definedName name="A_KEYWORD_ISSR_208000403_SALES_FX_CAD">#REF!</definedName>
    <definedName name="A_KEYWORD_ISSR_208000403_SALES_FX_CLP">#REF!</definedName>
    <definedName name="A_KEYWORD_ISSR_208000403_SALES_FX_CNY">#REF!</definedName>
    <definedName name="A_KEYWORD_ISSR_208000403_SALES_FX_COP">#REF!</definedName>
    <definedName name="A_KEYWORD_ISSR_208000403_SALES_FX_EUR">#REF!</definedName>
    <definedName name="A_KEYWORD_ISSR_208000403_SALES_FX_GPB">#REF!</definedName>
    <definedName name="A_KEYWORD_ISSR_208000403_SALES_FX_INR">#REF!</definedName>
    <definedName name="A_KEYWORD_ISSR_208000403_SALES_FX_MXN">#REF!</definedName>
    <definedName name="A_KEYWORD_ISSR_208000403_SALES_FX_OTH">#REF!</definedName>
    <definedName name="A_KEYWORD_ISSR_208000403_SALES_FX_RUB">#REF!</definedName>
    <definedName name="A_KEYWORD_ISSR_208000403_SALES_FX_USD">#REF!</definedName>
    <definedName name="A_KEYWORD_ISSR_208000403_SALES_FX_VEF">#REF!</definedName>
    <definedName name="A_KEYWORD_ISSR_208000403_SALES_FX_YEN">#REF!</definedName>
    <definedName name="A_KEYWORD_ISSR_208000403_SALES_GOV">#REF!</definedName>
    <definedName name="A_KEYWORD_ISSR_208000403_SALES_IND">#REF!</definedName>
    <definedName name="A_KEYWORD_ISSR_208000403_SALES_INDIA">#REF!</definedName>
    <definedName name="A_KEYWORD_ISSR_208000403_SALES_JAPAN">#REF!</definedName>
    <definedName name="A_KEYWORD_ISSR_208000403_SALES_ME">#REF!</definedName>
    <definedName name="A_KEYWORD_ISSR_208000403_SALES_MEXICO">#REF!</definedName>
    <definedName name="A_KEYWORD_ISSR_208000403_SALES_OTH_AEJ">#REF!</definedName>
    <definedName name="A_KEYWORD_ISSR_208000403_SALES_OTH_AM">#REF!</definedName>
    <definedName name="A_KEYWORD_ISSR_208000403_SALES_OTH_COMMODITY">#REF!</definedName>
    <definedName name="A_KEYWORD_ISSR_208000403_SALES_OTH_EMEA">#REF!</definedName>
    <definedName name="A_KEYWORD_ISSR_208000403_SALES_OTH_SALES_SOURCES">#REF!</definedName>
    <definedName name="A_KEYWORD_ISSR_208000403_SALES_OTHER">#REF!</definedName>
    <definedName name="A_KEYWORD_ISSR_208000403_SALES_RUSSIA">#REF!</definedName>
    <definedName name="A_KEYWORD_ISSR_208000403_SALES_SMB">#REF!</definedName>
    <definedName name="A_KEYWORD_ISSR_208000403_SALES_TOT_AFRICA">#REF!</definedName>
    <definedName name="A_KEYWORD_ISSR_208000403_SALES_TOT_AM">#REF!</definedName>
    <definedName name="A_KEYWORD_ISSR_208000403_SALES_TOT_ASIA">#REF!</definedName>
    <definedName name="A_KEYWORD_ISSR_208000403_SALES_TOT_EMEA">#REF!</definedName>
    <definedName name="A_KEYWORD_ISSR_208000403_SALES_UK">#REF!</definedName>
    <definedName name="A_KEYWORD_ISSR_208000403_SALES_US">#REF!</definedName>
    <definedName name="A_KEYWORD_ISSR_208000403_SALES_VENEZUELA">#REF!</definedName>
    <definedName name="A_KEYWORD_ISSR_208000403_SEL_GL_AD">#REF!</definedName>
    <definedName name="A_KEYWORD_ISSR_208000403_SH_REPUR">#REF!</definedName>
    <definedName name="A_KEYWORD_ISSR_208000403_SHORT_T_DEBT">#REF!</definedName>
    <definedName name="A_KEYWORD_ISSR_208000403_SHORT_TERM_LIABS">#REF!</definedName>
    <definedName name="A_KEYWORD_ISSR_208000403_STOCKS">#REF!</definedName>
    <definedName name="A_KEYWORD_ISSR_208000403_TOT_ASSET">#REF!</definedName>
    <definedName name="A_KEYWORD_ISSR_208000403_TOT_CF">#REF!</definedName>
    <definedName name="A_KEYWORD_ISSR_208000403_TOT_LIAB">#REF!</definedName>
    <definedName name="A_KEYWORD_ISSR_208000403_TOT_LIAB_EQ">#REF!</definedName>
    <definedName name="A_KEYWORD_ISSR_208000403_TOT_LT_LIAB">#REF!</definedName>
    <definedName name="A_KEYWORD_ISSR_208000403_TOT_OPS_EXP">#REF!</definedName>
    <definedName name="A_KEYWORD_ISSR_208000403_TOT_OPS_EXP_DDA">#REF!</definedName>
    <definedName name="A_KEYWORD_ISSR_208000403_UNF_PENS">#REF!</definedName>
    <definedName name="A_KEYWORD_ISSR_208000403_UNF_PENS_LIAB_OTH">#REF!</definedName>
    <definedName name="A_KEYWORD_ISSR_208000403_UNF_PENS_OFF">#REF!</definedName>
    <definedName name="A_KEYWORD_ISSR_208000403_WORK_CAP">#REF!</definedName>
    <definedName name="A_LIVEDATA_EQTY_200001266">#REF!</definedName>
    <definedName name="A_LIVEDATA_ISSR_208000403">#REF!</definedName>
    <definedName name="A_SECTION_EQTY_200001266_1314">#REF!</definedName>
    <definedName name="A_SECTION_EQTY_200001266_1319">#REF!</definedName>
    <definedName name="A_SECTION_EQTY_200001266_131E">#REF!</definedName>
    <definedName name="A_SECTION_EQTY_200001266_131O">#REF!</definedName>
    <definedName name="A_SECTION_EQTY_200001266_13A">#REF!</definedName>
    <definedName name="A_SECTION_EQTY_200001266_13K">#REF!</definedName>
    <definedName name="A_SECTION_EQTY_200001266_13U">#REF!</definedName>
    <definedName name="A_SECTION_EQTY_200001266_13V">#REF!</definedName>
    <definedName name="A_SECTION_EQTY_200001266_13W">#REF!</definedName>
    <definedName name="A_SECTION_EQTY_200001266_Reference_Data">#REF!</definedName>
    <definedName name="A_SECTION_ISSR_208000403_1314">#REF!</definedName>
    <definedName name="A_SECTION_ISSR_208000403_13168">#REF!</definedName>
    <definedName name="A_SECTION_ISSR_208000403_1316S">#REF!</definedName>
    <definedName name="A_SECTION_ISSR_208000403_1316T">#REF!</definedName>
    <definedName name="A_SECTION_ISSR_208000403_1316U">#REF!</definedName>
    <definedName name="A_SECTION_ISSR_208000403_1319">#REF!</definedName>
    <definedName name="A_SECTION_ISSR_208000403_131E">#REF!</definedName>
    <definedName name="A_SECTION_ISSR_208000403_131J">#REF!</definedName>
    <definedName name="A_SECTION_ISSR_208000403_131O">#REF!</definedName>
    <definedName name="A_SECTION_ISSR_208000403_13A">#REF!</definedName>
    <definedName name="A_SECTION_ISSR_208000403_13U">#REF!</definedName>
    <definedName name="A_SECTION_ISSR_208000403_13V">#REF!</definedName>
    <definedName name="A_SECTION_ISSR_208000403_Reference_Data">#REF!</definedName>
    <definedName name="AA_1" hidden="1">{"raatios",#N/A,FALSE,"A";"ratios",#N/A,FALSE,"B";"ratios",#N/A,FALSE,"C";"ratios",#N/A,FALSE,"D";"ratios",#N/A,FALSE,"F"}</definedName>
    <definedName name="aaa." hidden="1">{#N/A,#N/A,TRUE,"KEY DATA";#N/A,#N/A,TRUE,"KEY DATA Base Case";#N/A,#N/A,TRUE,"JULY";#N/A,#N/A,TRUE,"AUG";#N/A,#N/A,TRUE,"SEPT";#N/A,#N/A,TRUE,"3Q"}</definedName>
    <definedName name="aaa_1" hidden="1">{#N/A,#N/A,TRUE,"KEY DATA";#N/A,#N/A,TRUE,"KEY DATA Base Case";#N/A,#N/A,TRUE,"JULY";#N/A,#N/A,TRUE,"AUG";#N/A,#N/A,TRUE,"SEPT";#N/A,#N/A,TRUE,"3Q"}</definedName>
    <definedName name="AAA_Person0283" hidden="1">"AAA_SET"</definedName>
    <definedName name="AAA_duser" hidden="1">"OFF"</definedName>
    <definedName name="aaaa" hidden="1">{"ANNUAL",#N/A,FALSE,"DDCLINK";"DDC94",#N/A,FALSE,"DDCLINK"}</definedName>
    <definedName name="aaaa_1" hidden="1">{"raatios",#N/A,FALSE,"A";"ratios",#N/A,FALSE,"B";"ratios",#N/A,FALSE,"C";"ratios",#N/A,FALSE,"D";"ratios",#N/A,FALSE,"F"}</definedName>
    <definedName name="aaaaaa" hidden="1">{#N/A,#N/A,FALSE,"Ventilation";#N/A,#N/A,FALSE,"Courbe1";#N/A,#N/A,FALSE,"Courbe2"}</definedName>
    <definedName name="aaaaaaa" hidden="1">{"raatios",#N/A,FALSE,"A";"ratios",#N/A,FALSE,"B";"ratios",#N/A,FALSE,"C";"ratios",#N/A,FALSE,"D";"ratios",#N/A,FALSE,"F"}</definedName>
    <definedName name="aaaaaaaaaa" hidden="1">{"summary",#N/A,FALSE,"Summary";"daily",#N/A,FALSE,"Daily";"detail",#N/A,FALSE,"Detail";"flash",#N/A,FALSE,"Flash";"revenue",#N/A,FALSE,"PDF";"fxexp",#N/A,FALSE,"PDF";"headcount",#N/A,FALSE,"PDF"}</definedName>
    <definedName name="aaaaaaaaaaaaaaaaaaaaaaaaaaaaaaaa" hidden="1">{"summary",#N/A,FALSE,"Summary";"daily",#N/A,FALSE,"Daily";"detail",#N/A,FALSE,"Detail";"flash",#N/A,FALSE,"Flash";"revenue",#N/A,FALSE,"PDF";"fxexp",#N/A,FALSE,"PDF";"headcount",#N/A,FALSE,"PDF"}</definedName>
    <definedName name="aaaaaaaaaaaaaaaaaaaaaaaaaaaaaaaaaaaa" hidden="1">{"summary",#N/A,FALSE,"Summary";"daily",#N/A,FALSE,"Daily";"detail",#N/A,FALSE,"Detail";"flash",#N/A,FALSE,"Flash";"revenue",#N/A,FALSE,"PDF";"fxexp",#N/A,FALSE,"PDF";"headcount",#N/A,FALSE,"PDF"}</definedName>
    <definedName name="AAB_Addin5" hidden="1">"AAB_Description for addin 5,Description for addin 5,Description for addin 5,Description for addin 5,Description for addin 5,Description for addin 5"</definedName>
    <definedName name="AAB_GSPPG" hidden="1">"AAB_Company1150 Company2104 Chart Utilities 1.0g"</definedName>
    <definedName name="ab_1" hidden="1">{"raatios",#N/A,FALSE,"A";"ratios",#N/A,FALSE,"B";"ratios",#N/A,FALSE,"C";"ratios",#N/A,FALSE,"D";"ratios",#N/A,FALSE,"F"}</definedName>
    <definedName name="AccessDatabase" hidden="1">"C:\redacted\Journal Entries.mdb"</definedName>
    <definedName name="acq" localSheetId="2" hidden="1">{"quarterlyfull",#N/A,FALSE,"Earnings model ";"Annualfull",#N/A,FALSE,"Earnings model "}</definedName>
    <definedName name="acq">CFLO!$27:$27</definedName>
    <definedName name="Acquisitions" hidden="1">{"quarterlyfull",#N/A,FALSE,"Earnings model ";"Annualfull",#N/A,FALSE,"Earnings model "}</definedName>
    <definedName name="acsafq" hidden="1">{"quarterlyfull",#N/A,FALSE,"Earnings model ";"Annualfull",#N/A,FALSE,"Earnings model "}</definedName>
    <definedName name="ADDS" hidden="1">{#N/A,#N/A,FALSE,"Company2656";#N/A,#N/A,FALSE,"FED";#N/A,#N/A,FALSE,"39";#N/A,#N/A,FALSE,"ST";#N/A,#N/A,FALSE,"Company2489";#N/A,#N/A,FALSE,"GL";#N/A,#N/A,FALSE,"AMT";#N/A,#N/A,FALSE,"AMTGL";#N/A,#N/A,FALSE,"CAL";#N/A,#N/A,FALSE,"704(c)";#N/A,#N/A,FALSE,"CAP";#N/A,#N/A,FALSE,"Company0026";#N/A,#N/A,FALSE,"REC"}</definedName>
    <definedName name="adjeps">IS!$48:$48</definedName>
    <definedName name="aeyh" hidden="1">{#N/A,#N/A,FALSE,"UK";#N/A,#N/A,FALSE,"FR";#N/A,#N/A,FALSE,"SWE";#N/A,#N/A,FALSE,"BE";#N/A,#N/A,FALSE,"IT";#N/A,#N/A,FALSE,"SP";#N/A,#N/A,FALSE,"Ticker0009";#N/A,#N/A,FALSE,"PO";#N/A,#N/A,FALSE,"SWI";#N/A,#N/A,FALSE,"NON"}</definedName>
    <definedName name="afasd" hidden="1">{"Assumptions1",#N/A,FALSE,"Assumptions";"MergerPlans1","20yearamort",FALSE,"MergerPlans";"MergerPlans1","40yearamort",FALSE,"MergerPlans";"MergerPlans2",#N/A,FALSE,"MergerPlans";"inputs",#N/A,FALSE,"MergerPlans"}</definedName>
    <definedName name="AJHFkjDGHF" hidden="1">{"Annual_Income",#N/A,FALSE,"Report Page";"Balance_Cash_Flow",#N/A,FALSE,"Report Page";"Quarterly_Income",#N/A,FALSE,"Report Page"}</definedName>
    <definedName name="anscount" hidden="1">1</definedName>
    <definedName name="ap">BS!$26:$26</definedName>
    <definedName name="ar">BS!$9:$9</definedName>
    <definedName name="AS2DocOpenMode" hidden="1">"AS2DocumentEdit"</definedName>
    <definedName name="asasa" hidden="1">{"ANNUAL",#N/A,FALSE,"DDCLINK";"DDC94",#N/A,FALSE,"DDCLINK"}</definedName>
    <definedName name="asda" hidden="1">{"ANNUAL",#N/A,FALSE,"DDCLINK";"DDC94",#N/A,FALSE,"DDCLINK"}</definedName>
    <definedName name="asda2" hidden="1">{"ANNUAL",#N/A,FALSE,"DDCLINK";"DDC94",#N/A,FALSE,"DDCLINK"}</definedName>
    <definedName name="asdfas" hidden="1">{#N/A,#N/A,TRUE,"MTHLY-CV";#N/A,#N/A,TRUE,"CV";#N/A,#N/A,TRUE,"INT_FEES_DRR_DEPR";#N/A,#N/A,TRUE,"OTHER_LEASE"}</definedName>
    <definedName name="Asia" hidden="1">{"summary",#N/A,FALSE,"Summary";"daily",#N/A,FALSE,"Daily";"detail",#N/A,FALSE,"Detail";"flash",#N/A,FALSE,"Flash";"revenue",#N/A,FALSE,"PDF";"fxexp",#N/A,FALSE,"PDF";"headcount",#N/A,FALSE,"PDF"}</definedName>
    <definedName name="awtgf" hidden="1">{#N/A,#N/A,FALSE,"UK";#N/A,#N/A,FALSE,"FR";#N/A,#N/A,FALSE,"SWE";#N/A,#N/A,FALSE,"BE";#N/A,#N/A,FALSE,"IT";#N/A,#N/A,FALSE,"SP";#N/A,#N/A,FALSE,"Ticker0009";#N/A,#N/A,FALSE,"PO";#N/A,#N/A,FALSE,"SWI";#N/A,#N/A,FALSE,"NON"}</definedName>
    <definedName name="az" hidden="1">{#N/A,#N/A,FALSE,"Ventilation";#N/A,#N/A,FALSE,"Courbe1";#N/A,#N/A,FALSE,"Courbe2"}</definedName>
    <definedName name="b" hidden="1">{"IS",#N/A,FALSE,"IS";"RPTIS",#N/A,FALSE,"RPTIS";"STATS",#N/A,FALSE,"STATS";"CELL",#N/A,FALSE,"CELL";"BS",#N/A,FALSE,"BS"}</definedName>
    <definedName name="B_1" hidden="1">{#N/A,#N/A,TRUE,"KEY DATA";#N/A,#N/A,TRUE,"KEY DATA Base Case";#N/A,#N/A,TRUE,"JULY";#N/A,#N/A,TRUE,"AUG";#N/A,#N/A,TRUE,"SEPT";#N/A,#N/A,TRUE,"3Q"}</definedName>
    <definedName name="ba" hidden="1">{"IS",#N/A,FALSE,"IS";"RPTIS",#N/A,FALSE,"RPTIS";"STATS",#N/A,FALSE,"STATS";"CELL",#N/A,FALSE,"CELL";"BS",#N/A,FALSE,"BS"}</definedName>
    <definedName name="backup" hidden="1">{#N/A,#N/A,TRUE,"KEY DATA";#N/A,#N/A,TRUE,"KEY DATA Base Case";#N/A,#N/A,TRUE,"JULY";#N/A,#N/A,TRUE,"AUG";#N/A,#N/A,TRUE,"SEPT";#N/A,#N/A,TRUE,"3Q"}</definedName>
    <definedName name="backup." hidden="1">{#N/A,#N/A,TRUE,"KEY DATA";#N/A,#N/A,TRUE,"KEY DATA Base Case";#N/A,#N/A,TRUE,"JULY";#N/A,#N/A,TRUE,"AUG";#N/A,#N/A,TRUE,"SEPT";#N/A,#N/A,TRUE,"3Q"}</definedName>
    <definedName name="backup_1" hidden="1">{#N/A,#N/A,TRUE,"KEY DATA";#N/A,#N/A,TRUE,"KEY DATA Base Case";#N/A,#N/A,TRUE,"JULY";#N/A,#N/A,TRUE,"AUG";#N/A,#N/A,TRUE,"SEPT";#N/A,#N/A,TRUE,"3Q"}</definedName>
    <definedName name="Bari" hidden="1">{"inventory",#N/A,FALSE,"Inven. Turns 97 Rep";"sales",#N/A,FALSE,"Inven. Turns 97 Rep";"turns",#N/A,FALSE,"Inven. Turns 97 Rep";"days",#N/A,FALSE,"Inven. Turns 97 Rep"}</definedName>
    <definedName name="Bari." hidden="1">{"Inventory",#N/A,TRUE,"Inven. Turns 1996";"sales",#N/A,TRUE,"Inven. Turns 1996";"Turns",#N/A,TRUE,"Inven. Turns 1996";"days",#N/A,TRUE,"Inven. Turns 1996"}</definedName>
    <definedName name="bb_RDMxMjBGNEVCN0YxNEQyNk" hidden="1">#REF!</definedName>
    <definedName name="bbb" hidden="1">{"receivables",#N/A,FALSE,"Receiv. Turns 3Q 98 Est";"sales",#N/A,FALSE,"Receiv. Turns 3Q 98 Est";"turns",#N/A,FALSE,"Receiv. Turns 3Q 98 Est";"pastdue",#N/A,FALSE,"Receiv. Turns 3Q 98 Est"}</definedName>
    <definedName name="bbbbbbbbbbbbbb" hidden="1">#REF!</definedName>
    <definedName name="bdk" hidden="1">{"Inputs",#N/A,FALSE,"Data Reduction";"Outputs",#N/A,FALSE,"Data Reduction";"Cycle Deck Comparison",#N/A,FALSE,"Data Reduction"}</definedName>
    <definedName name="belnew" hidden="1">{"IS",#N/A,FALSE,"IS";"RPTIS",#N/A,FALSE,"RPTIS";"STATS",#N/A,FALSE,"STATS";"CELL",#N/A,FALSE,"CELL";"BS",#N/A,FALSE,"BS"}</definedName>
    <definedName name="bhyttt" hidden="1">{"Summary analysis",#N/A,FALSE,"Total";"OCPH analysis",#N/A,FALSE,"Total";"detail analysis",#N/A,FALSE,"Total"}</definedName>
    <definedName name="bilan4" hidden="1">{"K Bilanz o. Kommentar",#N/A,FALSE,"Company1502"}</definedName>
    <definedName name="BLPB10" hidden="1">#REF!</definedName>
    <definedName name="BLPB11"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E_MESSAGES_HIDDEN" hidden="1">#REF!</definedName>
    <definedName name="boh" hidden="1">{"inventory",#N/A,TRUE,"Inven. Turns 97 OP";"sales",#N/A,TRUE,"Inven. Turns 97 OP";"turns",#N/A,TRUE,"Inven. Turns 97 OP";"days",#N/A,TRUE,"Inven. Turns 97 OP"}</definedName>
    <definedName name="book">BS!$44:$44</definedName>
    <definedName name="bsahgjcghaj" hidden="1">{"inventory",#N/A,FALSE,"Inven. Turns 97 Rep";"sales",#N/A,FALSE,"Inven. Turns 97 Rep";"turns",#N/A,FALSE,"Inven. Turns 97 Rep";"days",#N/A,FALSE,"Inven. Turns 97 Rep"}</definedName>
    <definedName name="by.00">BS!$F:$F</definedName>
    <definedName name="by.01">BS!$G:$G</definedName>
    <definedName name="by.02">BS!$H:$H</definedName>
    <definedName name="by.03">BS!$I:$I</definedName>
    <definedName name="by.04">BS!$N:$N</definedName>
    <definedName name="by.05">BS!$S:$S</definedName>
    <definedName name="by.06">BS!$X:$X</definedName>
    <definedName name="by.07">BS!$AC:$AC</definedName>
    <definedName name="by.08">BS!$AH:$AH</definedName>
    <definedName name="by.09">BS!$AM:$AM</definedName>
    <definedName name="by.10">BS!$AR:$AR</definedName>
    <definedName name="by.11">BS!$AW:$AW</definedName>
    <definedName name="by.12">BS!$BB:$BB</definedName>
    <definedName name="by.13">BS!$BG:$BG</definedName>
    <definedName name="by.14">BS!$BL:$BL</definedName>
    <definedName name="BY.15">BS!$BQ:$BQ</definedName>
    <definedName name="by.16">BS!$BV:$BV</definedName>
    <definedName name="by.17">BS!$CA:$CA</definedName>
    <definedName name="by.18">BS!$CF:$CF</definedName>
    <definedName name="by.19">BS!$CK:$CK</definedName>
    <definedName name="by.1q04">BS!$J:$J</definedName>
    <definedName name="by.1q05">BS!$O:$O</definedName>
    <definedName name="by.1q06">BS!$T:$T</definedName>
    <definedName name="by.1q07">BS!$Y:$Y</definedName>
    <definedName name="by.1q08">BS!$AD:$AD</definedName>
    <definedName name="by.1q09">BS!$AI:$AI</definedName>
    <definedName name="by.1q10">BS!$AN:$AN</definedName>
    <definedName name="by.1q11">BS!$AS:$AS</definedName>
    <definedName name="by.1q12">BS!$AX:$AX</definedName>
    <definedName name="by.20">BS!$CP:$CP</definedName>
    <definedName name="by.21">BS!$CU:$CU</definedName>
    <definedName name="by.22">BS!$CZ:$CZ</definedName>
    <definedName name="by.23">BS!$DE:$DE</definedName>
    <definedName name="by.24">BS!$DJ:$DJ</definedName>
    <definedName name="by.25">BS!$DO:$DO</definedName>
    <definedName name="by.26">BS!$DT:$DT</definedName>
    <definedName name="by.27">BS!$DU:$DU</definedName>
    <definedName name="by.28">BS!$DV:$DV</definedName>
    <definedName name="by.2q04">BS!$K:$K</definedName>
    <definedName name="by.2q05">BS!$P:$P</definedName>
    <definedName name="by.2q06">BS!$U:$U</definedName>
    <definedName name="by.2q07">BS!$Z:$Z</definedName>
    <definedName name="by.2q08">BS!$AE:$AE</definedName>
    <definedName name="by.2q09">BS!$AJ:$AJ</definedName>
    <definedName name="by.2q10">BS!$AO:$AO</definedName>
    <definedName name="by.2q11">BS!$AT:$AT</definedName>
    <definedName name="by.2q12">BS!$AY:$AY</definedName>
    <definedName name="by.3q04">BS!$L:$L</definedName>
    <definedName name="by.3q05">BS!$Q:$Q</definedName>
    <definedName name="by.3q06">BS!$V:$V</definedName>
    <definedName name="by.3q07">BS!$AA:$AA</definedName>
    <definedName name="by.3q08">BS!$AF:$AF</definedName>
    <definedName name="by.3q09">BS!$AK:$AK</definedName>
    <definedName name="by.3q10">BS!$AP:$AP</definedName>
    <definedName name="by.3q11">BS!$AU:$AU</definedName>
    <definedName name="by.3q12">BS!$AZ:$AZ</definedName>
    <definedName name="by.4q04">BS!$M:$M</definedName>
    <definedName name="by.4q05">BS!$R:$R</definedName>
    <definedName name="by.4q06">BS!$W:$W</definedName>
    <definedName name="by.4q07">BS!$AB:$AB</definedName>
    <definedName name="by.4q08">BS!$AG:$AG</definedName>
    <definedName name="by.4q09">BS!$AL:$AL</definedName>
    <definedName name="by.4q10">BS!$AQ:$AQ</definedName>
    <definedName name="by.4q11">BS!$AV:$AV</definedName>
    <definedName name="by.4q12">BS!$BA:$BA</definedName>
    <definedName name="ca">BS!$14:$14</definedName>
    <definedName name="cagnew" hidden="1">{"IS",#N/A,FALSE,"IS";"RPTIS",#N/A,FALSE,"RPTIS";"STATS",#N/A,FALSE,"STATS";"CELL",#N/A,FALSE,"CELL";"BS",#N/A,FALSE,"BS"}</definedName>
    <definedName name="Canada2" hidden="1">{#N/A,#N/A,FALSE,"Company2656";#N/A,#N/A,FALSE,"FED";#N/A,#N/A,FALSE,"39";#N/A,#N/A,FALSE,"ST";#N/A,#N/A,FALSE,"Company2489";#N/A,#N/A,FALSE,"GL";#N/A,#N/A,FALSE,"AMT";#N/A,#N/A,FALSE,"AMTGL";#N/A,#N/A,FALSE,"CAL";#N/A,#N/A,FALSE,"704(c)";#N/A,#N/A,FALSE,"CAP";#N/A,#N/A,FALSE,"Company0026";#N/A,#N/A,FALSE,"REC"}</definedName>
    <definedName name="capex">CFLO!$26:$26</definedName>
    <definedName name="casc" hidden="1">{"Qtr",#N/A,FALSE,"Earnings Model";"Annual",#N/A,FALSE,"Earnings Model"}</definedName>
    <definedName name="cash">BS!$56:$56</definedName>
    <definedName name="cashequiv">BS!$8:$8</definedName>
    <definedName name="cc" hidden="1">{"quarterlyfull",#N/A,FALSE,"Earnings model ";"Annualfull",#N/A,FALSE,"Earnings model "}</definedName>
    <definedName name="ccccccccccc" hidden="1">{"summary",#N/A,FALSE,"Summary";"daily",#N/A,FALSE,"Daily";"detail",#N/A,FALSE,"Detail";"flash",#N/A,FALSE,"Flash";"revenue",#N/A,FALSE,"PDF";"fxexp",#N/A,FALSE,"PDF";"headcount",#N/A,FALSE,"PDF"}</definedName>
    <definedName name="cccccccccccc" hidden="1">#REF!</definedName>
    <definedName name="cd_1" hidden="1">{#N/A,#N/A,TRUE,"KEY DATA";#N/A,#N/A,TRUE,"KEY DATA Base Case";#N/A,#N/A,TRUE,"JULY";#N/A,#N/A,TRUE,"AUG";#N/A,#N/A,TRUE,"SEPT";#N/A,#N/A,TRUE,"3Q"}</definedName>
    <definedName name="cff">CFLO!$45:$45</definedName>
    <definedName name="cfi">CFLO!$36:$36</definedName>
    <definedName name="cfo">CFLO!$25:$25</definedName>
    <definedName name="cl">BS!$30:$30</definedName>
    <definedName name="cnh" hidden="1">{"ANNUAL",#N/A,FALSE,"DDCLINK";"DDC94",#N/A,FALSE,"DDCLINK"}</definedName>
    <definedName name="cogs">IS!$10:$10</definedName>
    <definedName name="conflicr" hidden="1">{#N/A,#N/A,TRUE,"GEM Total";#N/A,#N/A,TRUE,"Final Assembly";#N/A,#N/A,TRUE,"Cleaning";#N/A,#N/A,TRUE,"Schooping,Clearing";#N/A,#N/A,TRUE,"Winding"}</definedName>
    <definedName name="COPY_1" hidden="1">{"WRO-IS",#N/A,FALSE,"WHO";"DOM-IS",#N/A,FALSE,"WHO";"VENZ-IS",#N/A,FALSE,"WHO";"CAN-IS",#N/A,FALSE,"WHO";"ELIM-IS",#N/A,FALSE,"WHO"}</definedName>
    <definedName name="cox" hidden="1">{#N/A,#N/A,FALSE,"Time Company2988";#N/A,#N/A,FALSE,"Entertainment Group";#N/A,#N/A,FALSE,"EBITDA";#N/A,#N/A,FALSE,"Notes"}</definedName>
    <definedName name="cristina" hidden="1">{"Inputs",#N/A,FALSE,"Data Reduction";"Outputs",#N/A,FALSE,"Data Reduction";"Cycle Deck Comparison",#N/A,FALSE,"Data Reduction"}</definedName>
    <definedName name="csfsfsf" hidden="1">{#N/A,#N/A,FALSE,"Ventilation";#N/A,#N/A,FALSE,"Courbe1";#N/A,#N/A,FALSE,"Courbe2"}</definedName>
    <definedName name="cy.00">CFLO!$F:$F</definedName>
    <definedName name="cy.01">CFLO!$G:$G</definedName>
    <definedName name="cy.02">CFLO!$H:$H</definedName>
    <definedName name="cy.03">CFLO!$I:$I</definedName>
    <definedName name="cy.04">CFLO!$N:$N</definedName>
    <definedName name="cy.05">CFLO!$S:$S</definedName>
    <definedName name="cy.06">CFLO!$X:$X</definedName>
    <definedName name="cy.07">CFLO!$AC:$AC</definedName>
    <definedName name="cy.08">CFLO!$AH:$AH</definedName>
    <definedName name="cy.09">CFLO!$AM:$AM</definedName>
    <definedName name="cy.10">CFLO!$AR:$AR</definedName>
    <definedName name="cy.11">CFLO!$AW:$AW</definedName>
    <definedName name="cy.12">CFLO!$BB:$BB</definedName>
    <definedName name="cy.13">CFLO!$BG:$BG</definedName>
    <definedName name="cy.14">CFLO!$BL:$BL</definedName>
    <definedName name="CY.15">CFLO!$BQ:$BQ</definedName>
    <definedName name="cy.16">CFLO!$BV:$BV</definedName>
    <definedName name="cy.17">CFLO!$CA:$CA</definedName>
    <definedName name="cy.18">CFLO!$CF:$CF</definedName>
    <definedName name="cy.19">CFLO!$CK:$CK</definedName>
    <definedName name="cy.1q04">CFLO!$J:$J</definedName>
    <definedName name="cy.1q05">CFLO!$O:$O</definedName>
    <definedName name="cy.1q06">CFLO!$T:$T</definedName>
    <definedName name="cy.1q07">CFLO!$Y:$Y</definedName>
    <definedName name="cy.1q08">CFLO!$AD:$AD</definedName>
    <definedName name="cy.1q09">CFLO!$AI:$AI</definedName>
    <definedName name="cy.1q10">CFLO!$AN:$AN</definedName>
    <definedName name="cy.1q11">CFLO!$AS:$AS</definedName>
    <definedName name="cy.1q12">CFLO!$AX:$AX</definedName>
    <definedName name="cy.20">CFLO!$CP:$CP</definedName>
    <definedName name="cy.21">CFLO!$CU:$CU</definedName>
    <definedName name="cy.22">CFLO!$CZ:$CZ</definedName>
    <definedName name="cy.23">CFLO!$DE:$DE</definedName>
    <definedName name="cy.24">CFLO!$DJ:$DJ</definedName>
    <definedName name="cy.25">CFLO!$DO:$DO</definedName>
    <definedName name="cy.26">CFLO!$DT:$DT</definedName>
    <definedName name="cy.27">CFLO!$DU:$DU</definedName>
    <definedName name="cy.28">CFLO!$DV:$DV</definedName>
    <definedName name="cy.2q04">CFLO!$K:$K</definedName>
    <definedName name="cy.2q05">CFLO!$P:$P</definedName>
    <definedName name="cy.2q06">CFLO!$U:$U</definedName>
    <definedName name="cy.2q07">CFLO!$Z:$Z</definedName>
    <definedName name="cy.2q08">CFLO!$AE:$AE</definedName>
    <definedName name="cy.2q09">CFLO!$AJ:$AJ</definedName>
    <definedName name="cy.2q10">CFLO!$AO:$AO</definedName>
    <definedName name="cy.2q11">CFLO!$AT:$AT</definedName>
    <definedName name="cy.2q12">CFLO!$AY:$AY</definedName>
    <definedName name="cy.3q04">CFLO!$L:$L</definedName>
    <definedName name="cy.3q05">CFLO!$Q:$Q</definedName>
    <definedName name="cy.3q06">CFLO!$V:$V</definedName>
    <definedName name="cy.3q07">CFLO!$AA:$AA</definedName>
    <definedName name="cy.3q08">CFLO!$AF:$AF</definedName>
    <definedName name="cy.3q09">CFLO!$AK:$AK</definedName>
    <definedName name="cy.3q10">CFLO!$AP:$AP</definedName>
    <definedName name="cy.3q11">CFLO!$AU:$AU</definedName>
    <definedName name="cy.3q12">CFLO!$AZ:$AZ</definedName>
    <definedName name="cy.4q04">CFLO!$M:$M</definedName>
    <definedName name="cy.4q05">CFLO!$R:$R</definedName>
    <definedName name="cy.4q06">CFLO!$W:$W</definedName>
    <definedName name="cy.4q07">CFLO!$AB:$AB</definedName>
    <definedName name="cy.4q08">CFLO!$AG:$AG</definedName>
    <definedName name="cy.4q09">CFLO!$AL:$AL</definedName>
    <definedName name="cy.4q10">CFLO!$AQ:$AQ</definedName>
    <definedName name="cy.4q11">CFLO!$AV:$AV</definedName>
    <definedName name="cy.4q12">CFLO!$BA:$BA</definedName>
    <definedName name="czbz" hidden="1">{#N/A,#N/A,FALSE,"Summary";#N/A,#N/A,FALSE,"Total";#N/A,#N/A,FALSE,"Total ex Swe";#N/A,#N/A,FALSE,"Volume";#N/A,#N/A,FALSE,"Expenses";#N/A,#N/A,FALSE,"CM Var";#N/A,#N/A,FALSE,"YTD Var"}</definedName>
    <definedName name="da">IS!$63:$63</definedName>
    <definedName name="date">IS!$4:$4</definedName>
    <definedName name="DCS" hidden="1">{"WRO-BS",#N/A,FALSE,"WHO";"DOM-BS",#N/A,FALSE,"WHO";"CAN-BS",#N/A,FALSE,"WHO";"ELIM-BS",#N/A,FALSE,"WHO";"VENZ-BS",#N/A,FALSE,"WHO"}</definedName>
    <definedName name="dd" hidden="1">{#N/A,#N/A,FALSE,"Ventilation";#N/A,#N/A,FALSE,"Courbe1";#N/A,#N/A,FALSE,"Courbe2"}</definedName>
    <definedName name="dddddddddd" hidden="1">{"summary",#N/A,FALSE,"Summary";"daily",#N/A,FALSE,"Daily";"detail",#N/A,FALSE,"Detail";"flash",#N/A,FALSE,"Flash";"revenue",#N/A,FALSE,"PDF";"fxexp",#N/A,FALSE,"PDF";"headcount",#N/A,FALSE,"PDF"}</definedName>
    <definedName name="dddddddddddddd" hidden="1">#REF!</definedName>
    <definedName name="ddff" hidden="1">{"Detail analysis",#N/A,FALSE,"Model";"Summary analysis",#N/A,FALSE,"Model";"OCPH analysis",#N/A,FALSE,"Model"}</definedName>
    <definedName name="debt">BS!$59:$59</definedName>
    <definedName name="debttocap">BS!$61:$61</definedName>
    <definedName name="DF" hidden="1">{"receivables",#N/A,FALSE,"Receiv. Turns 3Q 98 Est";"sales",#N/A,FALSE,"Receiv. Turns 3Q 98 Est";"turns",#N/A,FALSE,"Receiv. Turns 3Q 98 Est";"pastdue",#N/A,FALSE,"Receiv. Turns 3Q 98 Est"}</definedName>
    <definedName name="dfa" hidden="1">{"Annual_Income",#N/A,FALSE,"Report Page";"Balance_Cash_Flow",#N/A,FALSE,"Report Page";"Quarterly_Income",#N/A,FALSE,"Report Page"}</definedName>
    <definedName name="DFc" hidden="1">{#N/A,#N/A,FALSE,"Summary";#N/A,#N/A,FALSE,"Total";#N/A,#N/A,FALSE,"Total ex Swe";#N/A,#N/A,FALSE,"Volume";#N/A,#N/A,FALSE,"Expenses";#N/A,#N/A,FALSE,"CM Var";#N/A,#N/A,FALSE,"YTD Var"}</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fs" hidden="1">{"Detail analysis",#N/A,FALSE,"Model";"Summary analysis",#N/A,FALSE,"Model";"OCPH analysis",#N/A,FALSE,"Model"}</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saf" hidden="1">{"quarterlyfull",#N/A,FALSE,"Earnings model ";"Annualfull",#N/A,FALSE,"Earnings model "}</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ilute" hidden="1">{"Qtr",#N/A,FALSE,"Earnings Model";"Annual",#N/A,FALSE,"Earnings Model"}</definedName>
    <definedName name="dilution" hidden="1">{"quarterlyfull",#N/A,FALSE,"Earnings model ";"Annualfull",#N/A,FALSE,"Earnings model "}</definedName>
    <definedName name="div">IS!$54:$54</definedName>
    <definedName name="divcf">CFLO!$40:$40</definedName>
    <definedName name="divest" hidden="1">{"quarterlyfull",#N/A,FALSE,"Earnings model ";"Annualfull",#N/A,FALSE,"Earnings model "}</definedName>
    <definedName name="divestitures" hidden="1">{"Quarterly earnings",#N/A,FALSE,"Earnings model";"Quarterly compare",#N/A,FALSE,"Earnings model";"Annual earnings",#N/A,FALSE,"Earnings model"}</definedName>
    <definedName name="djkdj" hidden="1">{"Inputs",#N/A,FALSE,"Data Reduction";"Outputs",#N/A,FALSE,"Data Reduction";"Cycle Deck Comparison",#N/A,FALSE,"Data Reduction"}</definedName>
    <definedName name="dsa" hidden="1">{"receivables",#N/A,FALSE,"SII 99";"sales",#N/A,FALSE,"SII 99";"turns",#N/A,FALSE,"SII 99";"pastdue",#N/A,FALSE,"SII 99"}</definedName>
    <definedName name="dssa" hidden="1">{"inventory",#N/A,TRUE,"Inven. Turns 97 OP";"sales",#N/A,TRUE,"Inven. Turns 97 OP";"turns",#N/A,TRUE,"Inven. Turns 97 OP";"days",#N/A,TRUE,"Inven. Turns 97 OP"}</definedName>
    <definedName name="dtuys" hidden="1">{#N/A,#N/A,FALSE,"Summary";#N/A,#N/A,FALSE,"Total";#N/A,#N/A,FALSE,"Total ex Swe";#N/A,#N/A,FALSE,"Volume";#N/A,#N/A,FALSE,"Expenses";#N/A,#N/A,FALSE,"CM Var";#N/A,#N/A,FALSE,"YTD Var"}</definedName>
    <definedName name="dzfd" hidden="1">{#N/A,#N/A,FALSE,"UK";#N/A,#N/A,FALSE,"FR";#N/A,#N/A,FALSE,"SWE";#N/A,#N/A,FALSE,"BE";#N/A,#N/A,FALSE,"IT";#N/A,#N/A,FALSE,"SP";#N/A,#N/A,FALSE,"Ticker0009";#N/A,#N/A,FALSE,"PO";#N/A,#N/A,FALSE,"SWI";#N/A,#N/A,FALSE,"NON"}</definedName>
    <definedName name="e" hidden="1">{"Summary analysis",#N/A,FALSE,"Total";"OCPH analysis",#N/A,FALSE,"Total";"detail analysis",#N/A,FALSE,"Total"}</definedName>
    <definedName name="E_ALL_Ticker0009">#REF!</definedName>
    <definedName name="E_ALL_KEYWORDS_TYPE_ScalarContributed_EQTY_200001266">#REF!,#REF!,#REF!,#REF!,#REF!</definedName>
    <definedName name="E_ALL_KEYWORDS_TYPE_ScalarContributed_ISSR_208000403">#REF!,#REF!</definedName>
    <definedName name="E_ALL_KEYWORDS_TYPE_ScalarReference_EQTY_200001266">#REF!</definedName>
    <definedName name="E_ALL_KEYWORDS_TYPE_ScalarReference_ISSR_208000403">#REF!</definedName>
    <definedName name="E_ALL_KEYWORDS_TYPE_Vector_EQTY_200001266">#REF!,#REF!,#REF!,#REF!,#REF!,#REF!,#REF!</definedName>
    <definedName name="E_ALL_KEYWORDS_TYPE_Vector_ISSR_208000403">#REF!,#REF!,#REF!,#REF!,#REF!,#REF!,#REF!,#REF!,#REF!</definedName>
    <definedName name="E_ALL_LMT">#REF!</definedName>
    <definedName name="E_ALL_SECTION_KEYWORDS_EQTY_200001266_1314">#REF!</definedName>
    <definedName name="E_ALL_SECTION_KEYWORDS_EQTY_200001266_1319">#REF!</definedName>
    <definedName name="E_ALL_SECTION_KEYWORDS_EQTY_200001266_131E">#REF!</definedName>
    <definedName name="E_ALL_SECTION_KEYWORDS_EQTY_200001266_131O">#REF!</definedName>
    <definedName name="E_ALL_SECTION_KEYWORDS_EQTY_200001266_13A">#REF!</definedName>
    <definedName name="E_ALL_SECTION_KEYWORDS_EQTY_200001266_13K">#REF!</definedName>
    <definedName name="E_ALL_SECTION_KEYWORDS_EQTY_200001266_13U">#REF!</definedName>
    <definedName name="E_ALL_SECTION_KEYWORDS_EQTY_200001266_13V">#REF!</definedName>
    <definedName name="E_ALL_SECTION_KEYWORDS_EQTY_200001266_13W">#REF!</definedName>
    <definedName name="E_ALL_SECTION_KEYWORDS_EQTY_200001266_Reference_Data">#REF!</definedName>
    <definedName name="E_ALL_SECTION_KEYWORDS_ISSR_208000403_1314">#REF!</definedName>
    <definedName name="E_ALL_SECTION_KEYWORDS_ISSR_208000403_13168">#REF!</definedName>
    <definedName name="E_ALL_SECTION_KEYWORDS_ISSR_208000403_1316S">#REF!</definedName>
    <definedName name="E_ALL_SECTION_KEYWORDS_ISSR_208000403_1316T">#REF!</definedName>
    <definedName name="E_ALL_SECTION_KEYWORDS_ISSR_208000403_1316U">#REF!</definedName>
    <definedName name="E_ALL_SECTION_KEYWORDS_ISSR_208000403_1319">#REF!</definedName>
    <definedName name="E_ALL_SECTION_KEYWORDS_ISSR_208000403_131E">#REF!</definedName>
    <definedName name="E_ALL_SECTION_KEYWORDS_ISSR_208000403_131J">#REF!</definedName>
    <definedName name="E_ALL_SECTION_KEYWORDS_ISSR_208000403_131O">#REF!</definedName>
    <definedName name="E_ALL_SECTION_KEYWORDS_ISSR_208000403_13A">#REF!</definedName>
    <definedName name="E_ALL_SECTION_KEYWORDS_ISSR_208000403_13U">#REF!</definedName>
    <definedName name="E_ALL_SECTION_KEYWORDS_ISSR_208000403_13V">#REF!</definedName>
    <definedName name="E_ALL_SECTION_KEYWORDS_ISSR_208000403_Reference_Data">#REF!</definedName>
    <definedName name="E_ALL_SECTIONS_EQTY_200001266">#REF!,#REF!,#REF!,#REF!,#REF!,#REF!,#REF!,#REF!,#REF!,#REF!</definedName>
    <definedName name="E_CURRENCY_EQTY_200001266_PRI">#REF!</definedName>
    <definedName name="E_CURRENCY_EQTY_200001266_PUB">#REF!</definedName>
    <definedName name="E_CURRENCY_EQTY_200001266_REP">#REF!</definedName>
    <definedName name="E_CURRENCY_ISSR_208000403_REP">#REF!</definedName>
    <definedName name="E_KEYWORD_EQTY_200001266_AMER_LIST">#REF!</definedName>
    <definedName name="E_KEYWORD_EQTY_200001266_BETA_ANALYST">#REF!</definedName>
    <definedName name="E_KEYWORD_EQTY_200001266_BVPS">#REF!</definedName>
    <definedName name="E_KEYWORD_EQTY_200001266_BVPS_PUB">#REF!</definedName>
    <definedName name="E_KEYWORD_EQTY_200001266_CEEE_EPS">#REF!</definedName>
    <definedName name="E_KEYWORD_EQTY_200001266_CF_NI_PRE_PREF">#REF!</definedName>
    <definedName name="E_KEYWORD_EQTY_200001266_COMMON_DIV_PAID">#REF!</definedName>
    <definedName name="E_KEYWORD_EQTY_200001266_CURRENCY_ISO">#REF!</definedName>
    <definedName name="E_KEYWORD_EQTY_200001266_DILUTE_SHARES">#REF!</definedName>
    <definedName name="E_KEYWORD_EQTY_200001266_DPS">#REF!</definedName>
    <definedName name="E_KEYWORD_EQTY_200001266_DPS_PUB">#REF!</definedName>
    <definedName name="E_KEYWORD_EQTY_200001266_EBIT_PUB">#REF!</definedName>
    <definedName name="E_KEYWORD_EQTY_200001266_EBITDA_PUB">#REF!</definedName>
    <definedName name="E_KEYWORD_EQTY_200001266_EPS">#REF!</definedName>
    <definedName name="E_KEYWORD_EQTY_200001266_EPS_EX_ESO_B">#REF!</definedName>
    <definedName name="E_KEYWORD_EQTY_200001266_EPS_EX_ESO_D">#REF!</definedName>
    <definedName name="E_KEYWORD_EQTY_200001266_EPS_FUL_DIL">#REF!</definedName>
    <definedName name="E_KEYWORD_EQTY_200001266_EPS_POST_BASIC">#REF!</definedName>
    <definedName name="E_KEYWORD_EQTY_200001266_EPS_PUB">#REF!</definedName>
    <definedName name="E_KEYWORD_EQTY_200001266_EPS_PUB_EX_ESO">#REF!</definedName>
    <definedName name="E_KEYWORD_EQTY_200001266_EQ_PUB">#REF!</definedName>
    <definedName name="E_KEYWORD_EQTY_200001266_ESO_POST_TAX">#REF!</definedName>
    <definedName name="E_KEYWORD_EQTY_200001266_ESO_YEAR">#REF!</definedName>
    <definedName name="E_KEYWORD_EQTY_200001266_EV_ADJ_PUB">#REF!</definedName>
    <definedName name="E_KEYWORD_EQTY_200001266_FREE_FLOAT">#REF!</definedName>
    <definedName name="E_KEYWORD_EQTY_200001266_FULLY_DIL_EPS">#REF!</definedName>
    <definedName name="E_KEYWORD_EQTY_200001266_FV_GRANT">#REF!</definedName>
    <definedName name="E_KEYWORD_EQTY_200001266_INC_MINORITY">#REF!</definedName>
    <definedName name="E_KEYWORD_EQTY_200001266_Interim_Type">#REF!</definedName>
    <definedName name="E_KEYWORD_EQTY_200001266_LEGAL_RATING">#REF!</definedName>
    <definedName name="E_KEYWORD_EQTY_200001266_MARGIN_TAX_RATE">#REF!</definedName>
    <definedName name="E_KEYWORD_EQTY_200001266_MKT_EQ_RISK_PREM">#REF!</definedName>
    <definedName name="E_KEYWORD_EQTY_200001266_NET_DEBT_PUB">#REF!</definedName>
    <definedName name="E_KEYWORD_EQTY_200001266_NET_EARNING">#REF!</definedName>
    <definedName name="E_KEYWORD_EQTY_200001266_NET_INC">#REF!</definedName>
    <definedName name="E_KEYWORD_EQTY_200001266_NI_PRE_PREF">#REF!</definedName>
    <definedName name="E_KEYWORD_EQTY_200001266_NI_PUB">#REF!</definedName>
    <definedName name="E_KEYWORD_EQTY_200001266_NON_OP_ADD">#REF!</definedName>
    <definedName name="E_KEYWORD_EQTY_200001266_NUM_SH">#REF!</definedName>
    <definedName name="E_KEYWORD_EQTY_200001266_PREF_DIV">#REF!</definedName>
    <definedName name="E_KEYWORD_EQTY_200001266_PRICE_CURRENCY_ISO">#REF!</definedName>
    <definedName name="E_KEYWORD_EQTY_200001266_PROV_INC_TAX">#REF!</definedName>
    <definedName name="E_KEYWORD_EQTY_200001266_PTP_PUB">#REF!</definedName>
    <definedName name="E_KEYWORD_EQTY_200001266_PUB_CURRENCY_ISO">#REF!</definedName>
    <definedName name="E_KEYWORD_EQTY_200001266_REPUR_ACTUAL">#REF!</definedName>
    <definedName name="E_KEYWORD_EQTY_200001266_REPUR_REMAINING">#REF!</definedName>
    <definedName name="E_KEYWORD_EQTY_200001266_REPUR_SUSPENDED">#REF!</definedName>
    <definedName name="E_KEYWORD_EQTY_200001266_REPUR_TOT_AUTH">#REF!</definedName>
    <definedName name="E_KEYWORD_EQTY_200001266_REVS_PUB">#REF!</definedName>
    <definedName name="E_KEYWORD_EQTY_200001266_RISK_FR_RATE">#REF!</definedName>
    <definedName name="E_KEYWORD_EQTY_200001266_Security_Name">#REF!</definedName>
    <definedName name="E_KEYWORD_EQTY_200001266_SH">#REF!</definedName>
    <definedName name="E_KEYWORD_EQTY_200001266_TARGET_PRICE">#REF!</definedName>
    <definedName name="E_KEYWORD_EQTY_200001266_TAX_EXC">#REF!</definedName>
    <definedName name="E_KEYWORD_EQTY_200001266_Ticker">#REF!</definedName>
    <definedName name="E_KEYWORD_EQTY_200001266_TP_PERIOD">#REF!</definedName>
    <definedName name="E_KEYWORD_ISSR_208000403_ACC_AMORT">#REF!</definedName>
    <definedName name="E_KEYWORD_ISSR_208000403_ACC_DDA">#REF!</definedName>
    <definedName name="E_KEYWORD_ISSR_208000403_ACC_END_DATE">#REF!</definedName>
    <definedName name="E_KEYWORD_ISSR_208000403_ACC_PAY_GQ">#REF!</definedName>
    <definedName name="E_KEYWORD_ISSR_208000403_ACQ">#REF!</definedName>
    <definedName name="E_KEYWORD_ISSR_208000403_ADJ_UNF_PENS_GOOD">#REF!</definedName>
    <definedName name="E_KEYWORD_ISSR_208000403_ASSOC_JV_ADDBK">#REF!</definedName>
    <definedName name="E_KEYWORD_ISSR_208000403_ASSOCIATE">#REF!</definedName>
    <definedName name="E_KEYWORD_ISSR_208000403_ASSOCIATE_OP">#REF!</definedName>
    <definedName name="E_KEYWORD_ISSR_208000403_BAL_MINO_INT">#REF!</definedName>
    <definedName name="E_KEYWORD_ISSR_208000403_CAP_LEASES">#REF!</definedName>
    <definedName name="E_KEYWORD_ISSR_208000403_CAPEX">#REF!</definedName>
    <definedName name="E_KEYWORD_ISSR_208000403_CAPEX_EXPANSION">#REF!</definedName>
    <definedName name="E_KEYWORD_ISSR_208000403_CAPEX_MAINTENANCE">#REF!</definedName>
    <definedName name="E_KEYWORD_ISSR_208000403_CASH_EQ">#REF!</definedName>
    <definedName name="E_KEYWORD_ISSR_208000403_CASH_INT_EXP">#REF!</definedName>
    <definedName name="E_KEYWORD_ISSR_208000403_CASH_PCT_OS_US">#REF!</definedName>
    <definedName name="E_KEYWORD_ISSR_208000403_CASH_TAX_EXP">#REF!</definedName>
    <definedName name="E_KEYWORD_ISSR_208000403_CF_FIN">#REF!</definedName>
    <definedName name="E_KEYWORD_ISSR_208000403_CF_INC_MINORITY">#REF!</definedName>
    <definedName name="E_KEYWORD_ISSR_208000403_CF_INV">#REF!</definedName>
    <definedName name="E_KEYWORD_ISSR_208000403_CF_OPS">#REF!</definedName>
    <definedName name="E_KEYWORD_ISSR_208000403_CHG_LT_DEBT">#REF!</definedName>
    <definedName name="E_KEYWORD_ISSR_208000403_CO_BOR_MARGIN">#REF!</definedName>
    <definedName name="E_KEYWORD_ISSR_208000403_COST_GD_SD">#REF!</definedName>
    <definedName name="E_KEYWORD_ISSR_208000403_CUR_ASS">#REF!</definedName>
    <definedName name="E_KEYWORD_ISSR_208000403_CURRENCY_ISO">#REF!</definedName>
    <definedName name="E_KEYWORD_ISSR_208000403_DEBTORS">#REF!</definedName>
    <definedName name="E_KEYWORD_ISSR_208000403_DEF_INC_TAX">#REF!</definedName>
    <definedName name="E_KEYWORD_ISSR_208000403_DEPR_AMORT">#REF!</definedName>
    <definedName name="E_KEYWORD_ISSR_208000403_DEPREC">#REF!</definedName>
    <definedName name="E_KEYWORD_ISSR_208000403_DIV_PAID">#REF!</definedName>
    <definedName name="E_KEYWORD_ISSR_208000403_DIVDS_ASSOC_JV">#REF!</definedName>
    <definedName name="E_KEYWORD_ISSR_208000403_DIVDS_PD_MINORITIES">#REF!</definedName>
    <definedName name="E_KEYWORD_ISSR_208000403_DIVEST">#REF!</definedName>
    <definedName name="E_KEYWORD_ISSR_208000403_EBIT">#REF!</definedName>
    <definedName name="E_KEYWORD_ISSR_208000403_EBIT_FIN_SEGMENT">#REF!</definedName>
    <definedName name="E_KEYWORD_ISSR_208000403_EBITDA_CALC">#REF!</definedName>
    <definedName name="E_KEYWORD_ISSR_208000403_EMPLOYEES">#REF!</definedName>
    <definedName name="E_KEYWORD_ISSR_208000403_EQ">#REF!</definedName>
    <definedName name="E_KEYWORD_ISSR_208000403_ESO_PRE_TAX">#REF!</definedName>
    <definedName name="E_KEYWORD_ISSR_208000403_EXP_ALUMINIUM">#REF!</definedName>
    <definedName name="E_KEYWORD_ISSR_208000403_EXP_COPPER">#REF!</definedName>
    <definedName name="E_KEYWORD_ISSR_208000403_EXP_GLASS">#REF!</definedName>
    <definedName name="E_KEYWORD_ISSR_208000403_EXP_GOLD">#REF!</definedName>
    <definedName name="E_KEYWORD_ISSR_208000403_EXP_NAT_GAS">#REF!</definedName>
    <definedName name="E_KEYWORD_ISSR_208000403_EXP_NICKEL">#REF!</definedName>
    <definedName name="E_KEYWORD_ISSR_208000403_EXP_OIL_DERIV_NGLS_PLASTICS">#REF!</definedName>
    <definedName name="E_KEYWORD_ISSR_208000403_EXP_OIL_PETRO_FUEL">#REF!</definedName>
    <definedName name="E_KEYWORD_ISSR_208000403_EXP_OTH_COMMODITY">#REF!</definedName>
    <definedName name="E_KEYWORD_ISSR_208000403_EXP_OTH_COST">#REF!</definedName>
    <definedName name="E_KEYWORD_ISSR_208000403_EXP_PALLADIUM">#REF!</definedName>
    <definedName name="E_KEYWORD_ISSR_208000403_EXP_PLATINUM">#REF!</definedName>
    <definedName name="E_KEYWORD_ISSR_208000403_EXP_RUBBER">#REF!</definedName>
    <definedName name="E_KEYWORD_ISSR_208000403_EXP_SILVER">#REF!</definedName>
    <definedName name="E_KEYWORD_ISSR_208000403_EXP_STEEL">#REF!</definedName>
    <definedName name="E_KEYWORD_ISSR_208000403_EXP_WATER">#REF!</definedName>
    <definedName name="E_KEYWORD_ISSR_208000403_EXP_Company3050">#REF!</definedName>
    <definedName name="E_KEYWORD_ISSR_208000403_FIX_ASS_INV">#REF!</definedName>
    <definedName name="E_KEYWORD_ISSR_208000403_GCI_INFL">#REF!</definedName>
    <definedName name="E_KEYWORD_ISSR_208000403_GOODWILL_AMORT">#REF!</definedName>
    <definedName name="E_KEYWORD_ISSR_208000403_GR_FIX_ASS">#REF!</definedName>
    <definedName name="E_KEYWORD_ISSR_208000403_GR_INTANG">#REF!</definedName>
    <definedName name="E_KEYWORD_ISSR_208000403_INT_EXP_IND">#REF!</definedName>
    <definedName name="E_KEYWORD_ISSR_208000403_INT_INC_IND">#REF!</definedName>
    <definedName name="E_KEYWORD_ISSR_208000403_INV_SECUR">#REF!</definedName>
    <definedName name="E_KEYWORD_ISSR_208000403_Issuer_Name">#REF!</definedName>
    <definedName name="E_KEYWORD_ISSR_208000403_LEASE_DEEM_DEPR">#REF!</definedName>
    <definedName name="E_KEYWORD_ISSR_208000403_LEASE_DEEM_INT">#REF!</definedName>
    <definedName name="E_KEYWORD_ISSR_208000403_LEASE_PAY">#REF!</definedName>
    <definedName name="E_KEYWORD_ISSR_208000403_LT_DEBT">#REF!</definedName>
    <definedName name="E_KEYWORD_ISSR_208000403_MA_PROB">#REF!</definedName>
    <definedName name="E_KEYWORD_ISSR_208000403_MINORITIES">#REF!</definedName>
    <definedName name="E_KEYWORD_ISSR_208000403_MV_ASSOCIATES">#REF!</definedName>
    <definedName name="E_KEYWORD_ISSR_208000403_NET_DEBT">#REF!</definedName>
    <definedName name="E_KEYWORD_ISSR_208000403_NET_DEBT_ADJ">#REF!</definedName>
    <definedName name="E_KEYWORD_ISSR_208000403_NET_FIX_ASS">#REF!</definedName>
    <definedName name="E_KEYWORD_ISSR_208000403_NET_INT_CH">#REF!</definedName>
    <definedName name="E_KEYWORD_ISSR_208000403_NET_INT_EXP">#REF!</definedName>
    <definedName name="E_KEYWORD_ISSR_208000403_NET_INTANG">#REF!</definedName>
    <definedName name="E_KEYWORD_ISSR_208000403_NONPPE_CAPEX">#REF!</definedName>
    <definedName name="E_KEYWORD_ISSR_208000403_OP_COST">#REF!</definedName>
    <definedName name="E_KEYWORD_ISSR_208000403_ORD_SH_FUND">#REF!</definedName>
    <definedName name="E_KEYWORD_ISSR_208000403_OTH_COST_INC">#REF!</definedName>
    <definedName name="E_KEYWORD_ISSR_208000403_OTH_CUR_ASS">#REF!</definedName>
    <definedName name="E_KEYWORD_ISSR_208000403_OTH_CUR_LIABS">#REF!</definedName>
    <definedName name="E_KEYWORD_ISSR_208000403_OTH_DACF_ADJ">#REF!</definedName>
    <definedName name="E_KEYWORD_ISSR_208000403_OTH_FIN_CF">#REF!</definedName>
    <definedName name="E_KEYWORD_ISSR_208000403_OTH_GCI_ADJ">#REF!</definedName>
    <definedName name="E_KEYWORD_ISSR_208000403_OTH_INV_CF">#REF!</definedName>
    <definedName name="E_KEYWORD_ISSR_208000403_OTH_LT_ASS">#REF!</definedName>
    <definedName name="E_KEYWORD_ISSR_208000403_OTH_LT_CRED_GQ">#REF!</definedName>
    <definedName name="E_KEYWORD_ISSR_208000403_OTH_NONCASH_ADJ">#REF!</definedName>
    <definedName name="E_KEYWORD_ISSR_208000403_OTH_OP_CF">#REF!</definedName>
    <definedName name="E_KEYWORD_ISSR_208000403_OTH_OP_INC_EXP">#REF!</definedName>
    <definedName name="E_KEYWORD_ISSR_208000403_PERIOD_MILESTONE">#REF!</definedName>
    <definedName name="E_KEYWORD_ISSR_208000403_PL_SALE_ASSETS">#REF!</definedName>
    <definedName name="E_KEYWORD_ISSR_208000403_PREF_SH">#REF!</definedName>
    <definedName name="E_KEYWORD_ISSR_208000403_PROFIT_ON_DISP">#REF!</definedName>
    <definedName name="E_KEYWORD_ISSR_208000403_PT_PROF">#REF!</definedName>
    <definedName name="E_KEYWORD_ISSR_208000403_RD_EXP">#REF!</definedName>
    <definedName name="E_KEYWORD_ISSR_208000403_REV_FIN_SEGMENT">#REF!</definedName>
    <definedName name="E_KEYWORD_ISSR_208000403_SALES">#REF!</definedName>
    <definedName name="E_KEYWORD_ISSR_208000403_SALES_ARGENTINA">#REF!</definedName>
    <definedName name="E_KEYWORD_ISSR_208000403_SALES_BRAZIL">#REF!</definedName>
    <definedName name="E_KEYWORD_ISSR_208000403_SALES_CANADA">#REF!</definedName>
    <definedName name="E_KEYWORD_ISSR_208000403_SALES_CEE">#REF!</definedName>
    <definedName name="E_KEYWORD_ISSR_208000403_SALES_CHILE">#REF!</definedName>
    <definedName name="E_KEYWORD_ISSR_208000403_SALES_CHINA">#REF!</definedName>
    <definedName name="E_KEYWORD_ISSR_208000403_SALES_COLOMBIA">#REF!</definedName>
    <definedName name="E_KEYWORD_ISSR_208000403_SALES_CONS">#REF!</definedName>
    <definedName name="E_KEYWORD_ISSR_208000403_SALES_EU_EX_UK">#REF!</definedName>
    <definedName name="E_KEYWORD_ISSR_208000403_SALES_FINAN">#REF!</definedName>
    <definedName name="E_KEYWORD_ISSR_208000403_SALES_FX_ARS">#REF!</definedName>
    <definedName name="E_KEYWORD_ISSR_208000403_SALES_FX_BRL">#REF!</definedName>
    <definedName name="E_KEYWORD_ISSR_208000403_SALES_FX_CAD">#REF!</definedName>
    <definedName name="E_KEYWORD_ISSR_208000403_SALES_FX_CLP">#REF!</definedName>
    <definedName name="E_KEYWORD_ISSR_208000403_SALES_FX_CNY">#REF!</definedName>
    <definedName name="E_KEYWORD_ISSR_208000403_SALES_FX_COP">#REF!</definedName>
    <definedName name="E_KEYWORD_ISSR_208000403_SALES_FX_EUR">#REF!</definedName>
    <definedName name="E_KEYWORD_ISSR_208000403_SALES_FX_GPB">#REF!</definedName>
    <definedName name="E_KEYWORD_ISSR_208000403_SALES_FX_INR">#REF!</definedName>
    <definedName name="E_KEYWORD_ISSR_208000403_SALES_FX_MXN">#REF!</definedName>
    <definedName name="E_KEYWORD_ISSR_208000403_SALES_FX_OTH">#REF!</definedName>
    <definedName name="E_KEYWORD_ISSR_208000403_SALES_FX_RUB">#REF!</definedName>
    <definedName name="E_KEYWORD_ISSR_208000403_SALES_FX_USD">#REF!</definedName>
    <definedName name="E_KEYWORD_ISSR_208000403_SALES_FX_VEF">#REF!</definedName>
    <definedName name="E_KEYWORD_ISSR_208000403_SALES_FX_YEN">#REF!</definedName>
    <definedName name="E_KEYWORD_ISSR_208000403_SALES_GOV">#REF!</definedName>
    <definedName name="E_KEYWORD_ISSR_208000403_SALES_IND">#REF!</definedName>
    <definedName name="E_KEYWORD_ISSR_208000403_SALES_INDIA">#REF!</definedName>
    <definedName name="E_KEYWORD_ISSR_208000403_SALES_JAPAN">#REF!</definedName>
    <definedName name="E_KEYWORD_ISSR_208000403_SALES_ME">#REF!</definedName>
    <definedName name="E_KEYWORD_ISSR_208000403_SALES_MEXICO">#REF!</definedName>
    <definedName name="E_KEYWORD_ISSR_208000403_SALES_OTH_AEJ">#REF!</definedName>
    <definedName name="E_KEYWORD_ISSR_208000403_SALES_OTH_AM">#REF!</definedName>
    <definedName name="E_KEYWORD_ISSR_208000403_SALES_OTH_COMMODITY">#REF!</definedName>
    <definedName name="E_KEYWORD_ISSR_208000403_SALES_OTH_EMEA">#REF!</definedName>
    <definedName name="E_KEYWORD_ISSR_208000403_SALES_OTH_SALES_SOURCES">#REF!</definedName>
    <definedName name="E_KEYWORD_ISSR_208000403_SALES_OTHER">#REF!</definedName>
    <definedName name="E_KEYWORD_ISSR_208000403_SALES_RUSSIA">#REF!</definedName>
    <definedName name="E_KEYWORD_ISSR_208000403_SALES_SMB">#REF!</definedName>
    <definedName name="E_KEYWORD_ISSR_208000403_SALES_TOT_AFRICA">#REF!</definedName>
    <definedName name="E_KEYWORD_ISSR_208000403_SALES_TOT_AM">#REF!</definedName>
    <definedName name="E_KEYWORD_ISSR_208000403_SALES_TOT_ASIA">#REF!</definedName>
    <definedName name="E_KEYWORD_ISSR_208000403_SALES_TOT_EMEA">#REF!</definedName>
    <definedName name="E_KEYWORD_ISSR_208000403_SALES_UK">#REF!</definedName>
    <definedName name="E_KEYWORD_ISSR_208000403_SALES_US">#REF!</definedName>
    <definedName name="E_KEYWORD_ISSR_208000403_SALES_VENEZUELA">#REF!</definedName>
    <definedName name="E_KEYWORD_ISSR_208000403_SEL_GL_AD">#REF!</definedName>
    <definedName name="E_KEYWORD_ISSR_208000403_SH_REPUR">#REF!</definedName>
    <definedName name="E_KEYWORD_ISSR_208000403_SHORT_T_DEBT">#REF!</definedName>
    <definedName name="E_KEYWORD_ISSR_208000403_SHORT_TERM_LIABS">#REF!</definedName>
    <definedName name="E_KEYWORD_ISSR_208000403_STOCKS">#REF!</definedName>
    <definedName name="E_KEYWORD_ISSR_208000403_TOT_ASSET">#REF!</definedName>
    <definedName name="E_KEYWORD_ISSR_208000403_TOT_CF">#REF!</definedName>
    <definedName name="E_KEYWORD_ISSR_208000403_TOT_LIAB">#REF!</definedName>
    <definedName name="E_KEYWORD_ISSR_208000403_TOT_LIAB_EQ">#REF!</definedName>
    <definedName name="E_KEYWORD_ISSR_208000403_TOT_LT_LIAB">#REF!</definedName>
    <definedName name="E_KEYWORD_ISSR_208000403_TOT_OPS_EXP">#REF!</definedName>
    <definedName name="E_KEYWORD_ISSR_208000403_TOT_OPS_EXP_DDA">#REF!</definedName>
    <definedName name="E_KEYWORD_ISSR_208000403_UNF_PENS">#REF!</definedName>
    <definedName name="E_KEYWORD_ISSR_208000403_UNF_PENS_LIAB_OTH">#REF!</definedName>
    <definedName name="E_KEYWORD_ISSR_208000403_UNF_PENS_OFF">#REF!</definedName>
    <definedName name="E_KEYWORD_ISSR_208000403_WORK_CAP">#REF!</definedName>
    <definedName name="E_LIVEDATA_EQTY_200001266">#REF!</definedName>
    <definedName name="E_LIVEDATA_ISSR_208000403">#REF!</definedName>
    <definedName name="E_SECTION_EQTY_200001266_1314">#REF!</definedName>
    <definedName name="E_SECTION_EQTY_200001266_1319">#REF!</definedName>
    <definedName name="E_SECTION_EQTY_200001266_131E">#REF!</definedName>
    <definedName name="E_SECTION_EQTY_200001266_131O">#REF!</definedName>
    <definedName name="E_SECTION_EQTY_200001266_13A">#REF!</definedName>
    <definedName name="E_SECTION_EQTY_200001266_13K">#REF!</definedName>
    <definedName name="E_SECTION_EQTY_200001266_13U">#REF!</definedName>
    <definedName name="E_SECTION_EQTY_200001266_13V">#REF!</definedName>
    <definedName name="E_SECTION_EQTY_200001266_13W">#REF!</definedName>
    <definedName name="E_SECTION_EQTY_200001266_Reference_Data">#REF!</definedName>
    <definedName name="E_SECTION_ISSR_208000403_1314">#REF!</definedName>
    <definedName name="E_SECTION_ISSR_208000403_13168">#REF!</definedName>
    <definedName name="E_SECTION_ISSR_208000403_1316S">#REF!</definedName>
    <definedName name="E_SECTION_ISSR_208000403_1316T">#REF!</definedName>
    <definedName name="E_SECTION_ISSR_208000403_1316U">#REF!</definedName>
    <definedName name="E_SECTION_ISSR_208000403_1319">#REF!</definedName>
    <definedName name="E_SECTION_ISSR_208000403_131E">#REF!</definedName>
    <definedName name="E_SECTION_ISSR_208000403_131J">#REF!</definedName>
    <definedName name="E_SECTION_ISSR_208000403_131O">#REF!</definedName>
    <definedName name="E_SECTION_ISSR_208000403_13A">#REF!</definedName>
    <definedName name="E_SECTION_ISSR_208000403_13U">#REF!</definedName>
    <definedName name="E_SECTION_ISSR_208000403_13V">#REF!</definedName>
    <definedName name="E_SECTION_ISSR_208000403_Reference_Data">#REF!</definedName>
    <definedName name="eag" hidden="1">{#N/A,#N/A,FALSE,"Summary";#N/A,#N/A,FALSE,"Total";#N/A,#N/A,FALSE,"Total ex Swe";#N/A,#N/A,FALSE,"Volume";#N/A,#N/A,FALSE,"Expenses";#N/A,#N/A,FALSE,"CM Var";#N/A,#N/A,FALSE,"YTD Var"}</definedName>
    <definedName name="eayhae" hidden="1">{#N/A,#N/A,FALSE,"Summary";#N/A,#N/A,FALSE,"Total";#N/A,#N/A,FALSE,"Total ex Swe";#N/A,#N/A,FALSE,"Volume";#N/A,#N/A,FALSE,"Expenses";#N/A,#N/A,FALSE,"CM Var";#N/A,#N/A,FALSE,"YTD Var"}</definedName>
    <definedName name="ebitda">IS!$64:$64</definedName>
    <definedName name="Company0836" hidden="1">{#N/A,#N/A,TRUE,"GEM Total";#N/A,#N/A,TRUE,"Final Assembly";#N/A,#N/A,TRUE,"Cleaning";#N/A,#N/A,TRUE,"Schooping,Clearing";#N/A,#N/A,TRUE,"Winding"}</definedName>
    <definedName name="EDGest" hidden="1">{#N/A,#N/A,TRUE,"GEM Total";#N/A,#N/A,TRUE,"Final Assembly";#N/A,#N/A,TRUE,"Cleaning";#N/A,#N/A,TRUE,"Schooping,Clearing";#N/A,#N/A,TRUE,"Winding"}</definedName>
    <definedName name="ee" hidden="1">{"summary",#N/A,FALSE,"Summary";"daily",#N/A,FALSE,"Daily";"detail",#N/A,FALSE,"Detail";"flash",#N/A,FALSE,"Flash";"revenue",#N/A,FALSE,"PDF";"fxexp",#N/A,FALSE,"PDF";"headcount",#N/A,FALSE,"PDF"}</definedName>
    <definedName name="eee" hidden="1">{"summary",#N/A,FALSE,"Summary";"daily",#N/A,FALSE,"Daily";"detail",#N/A,FALSE,"Detail";"flash",#N/A,FALSE,"Flash";"revenue",#N/A,FALSE,"PDF";"fxexp",#N/A,FALSE,"PDF";"headcount",#N/A,FALSE,"PDF"}</definedName>
    <definedName name="eeee" hidden="1">{"summary",#N/A,FALSE,"Summary";"daily",#N/A,FALSE,"Daily";"detail",#N/A,FALSE,"Detail";"flash",#N/A,FALSE,"Flash";"revenue",#N/A,FALSE,"PDF";"fxexp",#N/A,FALSE,"PDF";"headcount",#N/A,FALSE,"PDF"}</definedName>
    <definedName name="eeeee" hidden="1">{"summary",#N/A,FALSE,"Summary";"daily",#N/A,FALSE,"Daily";"detail",#N/A,FALSE,"Detail";"flash",#N/A,FALSE,"Flash";"revenue",#N/A,FALSE,"PDF";"fxexp",#N/A,FALSE,"PDF";"headcount",#N/A,FALSE,"PDF"}</definedName>
    <definedName name="eeeeee" hidden="1">{"summary",#N/A,FALSE,"Summary";"daily",#N/A,FALSE,"Daily";"detail",#N/A,FALSE,"Detail";"flash",#N/A,FALSE,"Flash";"revenue",#N/A,FALSE,"PDF";"fxexp",#N/A,FALSE,"PDF";"headcount",#N/A,FALSE,"PDF"}</definedName>
    <definedName name="eeeeeeeee" hidden="1">{"summary",#N/A,FALSE,"Summary";"daily",#N/A,FALSE,"Daily";"detail",#N/A,FALSE,"Detail";"flash",#N/A,FALSE,"Flash";"revenue",#N/A,FALSE,"PDF";"fxexp",#N/A,FALSE,"PDF";"headcount",#N/A,FALSE,"PDF"}</definedName>
    <definedName name="eeeeeeeeee" hidden="1">{"summary",#N/A,FALSE,"Summary";"daily",#N/A,FALSE,"Daily";"detail",#N/A,FALSE,"Detail";"flash",#N/A,FALSE,"Flash";"revenue",#N/A,FALSE,"PDF";"fxexp",#N/A,FALSE,"PDF";"headcount",#N/A,FALSE,"PDF"}</definedName>
    <definedName name="eeeeeeeeeeeee" hidden="1">{"summary",#N/A,FALSE,"Summary";"daily",#N/A,FALSE,"Daily";"detail",#N/A,FALSE,"Detail";"flash",#N/A,FALSE,"Flash";"revenue",#N/A,FALSE,"PDF";"fxexp",#N/A,FALSE,"PDF";"headcount",#N/A,FALSE,"PDF"}</definedName>
    <definedName name="eeeeeeeeeeeeee" hidden="1">{"summary",#N/A,FALSE,"Summary";"daily",#N/A,FALSE,"Daily";"detail",#N/A,FALSE,"Detail";"flash",#N/A,FALSE,"Flash";"revenue",#N/A,FALSE,"PDF";"fxexp",#N/A,FALSE,"PDF";"headcount",#N/A,FALSE,"PDF"}</definedName>
    <definedName name="eeeeeeeeeeeeeee" hidden="1">{"summary",#N/A,FALSE,"Summary";"daily",#N/A,FALSE,"Daily";"detail",#N/A,FALSE,"Detail";"flash",#N/A,FALSE,"Flash";"revenue",#N/A,FALSE,"PDF";"fxexp",#N/A,FALSE,"PDF";"headcount",#N/A,FALSE,"PDF"}</definedName>
    <definedName name="eeeeeeeeeeeeeeeeee" hidden="1">{"summary",#N/A,FALSE,"Summary";"daily",#N/A,FALSE,"Daily";"detail",#N/A,FALSE,"Detail";"flash",#N/A,FALSE,"Flash";"revenue",#N/A,FALSE,"PDF";"fxexp",#N/A,FALSE,"PDF";"headcount",#N/A,FALSE,"PDF"}</definedName>
    <definedName name="eeeeeeeeeeeeeeeeeeee" hidden="1">{"summary",#N/A,FALSE,"Summary";"daily",#N/A,FALSE,"Daily";"detail",#N/A,FALSE,"Detail";"flash",#N/A,FALSE,"Flash";"revenue",#N/A,FALSE,"PDF";"fxexp",#N/A,FALSE,"PDF";"headcount",#N/A,FALSE,"PDF"}</definedName>
    <definedName name="eeeeeeeeeeeeeeeeeeeee" hidden="1">{"summary",#N/A,FALSE,"Summary";"daily",#N/A,FALSE,"Daily";"detail",#N/A,FALSE,"Detail";"flash",#N/A,FALSE,"Flash";"revenue",#N/A,FALSE,"PDF";"fxexp",#N/A,FALSE,"PDF";"headcount",#N/A,FALSE,"PDF"}</definedName>
    <definedName name="eeeeeeeeeeeeeeeeeeeeeeeeeeeeeeeeee" hidden="1">{"summary",#N/A,FALSE,"Summary";"daily",#N/A,FALSE,"Daily";"detail",#N/A,FALSE,"Detail";"flash",#N/A,FALSE,"Flash";"revenue",#N/A,FALSE,"PDF";"fxexp",#N/A,FALSE,"PDF";"headcount",#N/A,FALSE,"PDF"}</definedName>
    <definedName name="Enrollments" hidden="1">{"summary",#N/A,FALSE,"Summary";"daily",#N/A,FALSE,"Daily";"detail",#N/A,FALSE,"Detail";"flash",#N/A,FALSE,"Flash";"revenue",#N/A,FALSE,"PDF";"fxexp",#N/A,FALSE,"PDF";"headcount",#N/A,FALSE,"PDF"}</definedName>
    <definedName name="Entity" hidden="1">#REF!</definedName>
    <definedName name="ep" hidden="1">{"summary",#N/A,FALSE,"Summary";"daily",#N/A,FALSE,"Daily";"detail",#N/A,FALSE,"Detail";"flash",#N/A,FALSE,"Flash";"revenue",#N/A,FALSE,"PDF";"fxexp",#N/A,FALSE,"PDF";"headcount",#N/A,FALSE,"PDF"}</definedName>
    <definedName name="eppp" hidden="1">{"summary",#N/A,FALSE,"Summary";"daily",#N/A,FALSE,"Daily";"detail",#N/A,FALSE,"Detail";"flash",#N/A,FALSE,"Flash";"revenue",#N/A,FALSE,"PDF";"fxexp",#N/A,FALSE,"PDF";"headcount",#N/A,FALSE,"PDF"}</definedName>
    <definedName name="eps">IS!$35:$35</definedName>
    <definedName name="epsbas">IS!$30:$30</definedName>
    <definedName name="epsbasop">IS!$28:$28</definedName>
    <definedName name="epsop">IS!$32:$32</definedName>
    <definedName name="EV__EVCOM_OPTIONS__" hidden="1">8</definedName>
    <definedName name="EV__EXPOPTIONS__" hidden="1">0</definedName>
    <definedName name="EV__LASTREFTIME__" hidden="1">40462.5782986111</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__WSINFO__" hidden="1">"admin"</definedName>
    <definedName name="ewqt" hidden="1">{"'Pork'!$A$1:$N$50"}</definedName>
    <definedName name="ewza" hidden="1">{#N/A,#N/A,FALSE,"Summary";#N/A,#N/A,FALSE,"Total";#N/A,#N/A,FALSE,"Total ex Swe";#N/A,#N/A,FALSE,"Volume";#N/A,#N/A,FALSE,"Expenses";#N/A,#N/A,FALSE,"CM Var";#N/A,#N/A,FALSE,"YTD Var"}</definedName>
    <definedName name="F" hidden="1">{"IS",#N/A,FALSE,"IS";"RPTIS",#N/A,FALSE,"RPTIS";"STATS",#N/A,FALSE,"STATS";"CELL",#N/A,FALSE,"CELL";"BS",#N/A,FALSE,"BS"}</definedName>
    <definedName name="ｆ" hidden="1">"iQShowAnnual"</definedName>
    <definedName name="fa" hidden="1">{#N/A,#N/A,TRUE,"KEY DATA";#N/A,#N/A,TRUE,"KEY DATA Base Case";#N/A,#N/A,TRUE,"JULY";#N/A,#N/A,TRUE,"AUG";#N/A,#N/A,TRUE,"SEPT";#N/A,#N/A,TRUE,"3Q"}</definedName>
    <definedName name="fcf">CFLO!$54:$54</definedName>
    <definedName name="fcfni">CFLO!$55:$55</definedName>
    <definedName name="fcfsh">CFLO!$57:$57</definedName>
    <definedName name="fcjnyrs" hidden="1">{#N/A,#N/A,FALSE,"Summary";#N/A,#N/A,FALSE,"Total";#N/A,#N/A,FALSE,"Total ex Swe";#N/A,#N/A,FALSE,"Volume";#N/A,#N/A,FALSE,"Expenses";#N/A,#N/A,FALSE,"CM Var";#N/A,#N/A,FALSE,"YTD Var"}</definedName>
    <definedName name="FD" hidden="1">{"Assumptions1",#N/A,FALSE,"Assumptions";"MergerPlans1","20yearamort",FALSE,"MergerPlans";"MergerPlans1","40yearamort",FALSE,"MergerPlans";"MergerPlans2",#N/A,FALSE,"MergerPlans";"inputs",#N/A,FALSE,"MergerPlans"}</definedName>
    <definedName name="fdas" hidden="1">{"IS",#N/A,FALSE,"IS";"RPTIS",#N/A,FALSE,"RPTIS";"STATS",#N/A,FALSE,"STATS";"CELL",#N/A,FALSE,"CELL";"BS",#N/A,FALSE,"BS"}</definedName>
    <definedName name="fdfd" hidden="1">{"summary",#N/A,FALSE,"Summary";"daily",#N/A,FALSE,"Daily";"detail",#N/A,FALSE,"Detail";"flash",#N/A,FALSE,"Flash";"revenue",#N/A,FALSE,"PDF";"fxexp",#N/A,FALSE,"PDF";"headcount",#N/A,FALSE,"PDF"}</definedName>
    <definedName name="fff" hidden="1">{"IS",#N/A,FALSE,"IS";"RPTIS",#N/A,FALSE,"RPTIS";"STATS",#N/A,FALSE,"STATS";"CELL",#N/A,FALSE,"CELL";"BS",#N/A,FALSE,"BS"}</definedName>
    <definedName name="ffffffffffffff" hidden="1">{"summary",#N/A,FALSE,"Summary";"daily",#N/A,FALSE,"Daily";"detail",#N/A,FALSE,"Detail";"flash",#N/A,FALSE,"Flash";"revenue",#N/A,FALSE,"PDF";"fxexp",#N/A,FALSE,"PDF";"headcount",#N/A,FALSE,"PDF"}</definedName>
    <definedName name="fg" hidden="1">{#N/A,#N/A,FALSE,"UK";#N/A,#N/A,FALSE,"FR";#N/A,#N/A,FALSE,"SWE";#N/A,#N/A,FALSE,"BE";#N/A,#N/A,FALSE,"IT";#N/A,#N/A,FALSE,"SP";#N/A,#N/A,FALSE,"Ticker0009";#N/A,#N/A,FALSE,"PO";#N/A,#N/A,FALSE,"SWI";#N/A,#N/A,FALSE,"NON"}</definedName>
    <definedName name="fgfg" hidden="1">{"page 1",#N/A,FALSE,"Company2048";"page 2",#N/A,FALSE,"Company2048";"page 3",#N/A,FALSE,"Company2048";"page 4",#N/A,FALSE,"Company2048";"page 5",#N/A,FALSE,"Company2048";"page 6",#N/A,FALSE,"Company2048";"page 7",#N/A,FALSE,"Company2048";"page 8",#N/A,FALSE,"Company2048";"page 9",#N/A,FALSE,"Company2048";"page 10",#N/A,FALSE,"Company2048";"page 11",#N/A,FALSE,"Company2048";"page 12",#N/A,FALSE,"Company2048"}</definedName>
    <definedName name="fghgf" hidden="1">#REF!</definedName>
    <definedName name="fgS" hidden="1">{#N/A,#N/A,FALSE,"Summary";#N/A,#N/A,FALSE,"Total";#N/A,#N/A,FALSE,"Total ex Swe";#N/A,#N/A,FALSE,"Volume";#N/A,#N/A,FALSE,"Expenses";#N/A,#N/A,FALSE,"CM Var";#N/A,#N/A,FALSE,"YTD Var"}</definedName>
    <definedName name="fgsd" hidden="1">{#N/A,#N/A,TRUE,"MTHLY-CV";#N/A,#N/A,TRUE,"CV";#N/A,#N/A,TRUE,"INT_FEES_DRR_DEPR";#N/A,#N/A,TRUE,"OTHER_LEASE"}</definedName>
    <definedName name="fin_1" hidden="1">{"CAN-IS",#N/A,FALSE,"CAN";"CAN-BS",#N/A,FALSE,"CAN";"CAN-FA",#N/A,FALSE,"CAN";"CAN-CF",#N/A,FALSE,"CAN"}</definedName>
    <definedName name="fkjm" hidden="1">{#N/A,#N/A,FALSE,"UK";#N/A,#N/A,FALSE,"FR";#N/A,#N/A,FALSE,"SWE";#N/A,#N/A,FALSE,"BE";#N/A,#N/A,FALSE,"IT";#N/A,#N/A,FALSE,"SP";#N/A,#N/A,FALSE,"Ticker0009";#N/A,#N/A,FALSE,"PO";#N/A,#N/A,FALSE,"SWI";#N/A,#N/A,FALSE,"NON"}</definedName>
    <definedName name="fnf" hidden="1">{#N/A,#N/A,FALSE,"UK";#N/A,#N/A,FALSE,"FR";#N/A,#N/A,FALSE,"SWE";#N/A,#N/A,FALSE,"BE";#N/A,#N/A,FALSE,"IT";#N/A,#N/A,FALSE,"SP";#N/A,#N/A,FALSE,"Ticker0009";#N/A,#N/A,FALSE,"PO";#N/A,#N/A,FALSE,"SWI";#N/A,#N/A,FALSE,"NON"}</definedName>
    <definedName name="FR45ED" hidden="1">{"DOM",#N/A,FALSE,"DOM05-96";"HQ",#N/A,FALSE,"DOM05-96"}</definedName>
    <definedName name="frth" hidden="1">{#N/A,#N/A,FALSE,"UK";#N/A,#N/A,FALSE,"FR";#N/A,#N/A,FALSE,"SWE";#N/A,#N/A,FALSE,"BE";#N/A,#N/A,FALSE,"IT";#N/A,#N/A,FALSE,"SP";#N/A,#N/A,FALSE,"Ticker0009";#N/A,#N/A,FALSE,"PO";#N/A,#N/A,FALSE,"SWI";#N/A,#N/A,FALSE,"NON"}</definedName>
    <definedName name="fwe" hidden="1">{"inventory",#N/A,FALSE,"Inven. Turns 97 Act";"sales",#N/A,FALSE,"Inven. Turns 97 Act";"turns",#N/A,FALSE,"Inven. Turns 97 Act";"days",#N/A,FALSE,"Inven. Turns 97 Act"}</definedName>
    <definedName name="fy.00">IS!$F:$F</definedName>
    <definedName name="fy.01">IS!$G:$G</definedName>
    <definedName name="fy.02">IS!$H:$H</definedName>
    <definedName name="fy.03">IS!$I:$I</definedName>
    <definedName name="fy.04">IS!$N:$N</definedName>
    <definedName name="fy.05">IS!$S:$S</definedName>
    <definedName name="fy.06">IS!$X:$X</definedName>
    <definedName name="fy.07">IS!$AC:$AC</definedName>
    <definedName name="fy.08">IS!$AH:$AH</definedName>
    <definedName name="fy.09">IS!$AM:$AM</definedName>
    <definedName name="fy.10">IS!$AR:$AR</definedName>
    <definedName name="fy.11">IS!$AW:$AW</definedName>
    <definedName name="fy.12">IS!$BB:$BB</definedName>
    <definedName name="fy.13">IS!$BG:$BG</definedName>
    <definedName name="fy.14">IS!$BL:$BL</definedName>
    <definedName name="FY.15">IS!$BQ:$BQ</definedName>
    <definedName name="fy.16">IS!$BV:$BV</definedName>
    <definedName name="fy.17">IS!$CA:$CA</definedName>
    <definedName name="fy.18">IS!$CF:$CF</definedName>
    <definedName name="fy.19">IS!$CK:$CK</definedName>
    <definedName name="fy.20">IS!$CP:$CP</definedName>
    <definedName name="fy.21">IS!$CU:$CU</definedName>
    <definedName name="fy.22">IS!$CZ:$CZ</definedName>
    <definedName name="fy.23">IS!$DE:$DE</definedName>
    <definedName name="fy.24">IS!$DJ:$DJ</definedName>
    <definedName name="fy.25">IS!$DO:$DO</definedName>
    <definedName name="fy.26">IS!$DT:$DT</definedName>
    <definedName name="fy.27">IS!$DU:$DU</definedName>
    <definedName name="fy.28">IS!$DV:$DV</definedName>
    <definedName name="fzdhgdz" hidden="1">{#N/A,#N/A,FALSE,"Summary";#N/A,#N/A,FALSE,"Total";#N/A,#N/A,FALSE,"Total ex Swe";#N/A,#N/A,FALSE,"Volume";#N/A,#N/A,FALSE,"Expenses";#N/A,#N/A,FALSE,"CM Var";#N/A,#N/A,FALSE,"YTD Var"}</definedName>
    <definedName name="g" hidden="1">{"IS",#N/A,FALSE,"IS";"RPTIS",#N/A,FALSE,"RPTIS";"STATS",#N/A,FALSE,"STATS";"BS",#N/A,FALSE,"BS"}</definedName>
    <definedName name="gg_1" hidden="1">{#N/A,#N/A,TRUE,"KEY DATA";#N/A,#N/A,TRUE,"KEY DATA Base Case";#N/A,#N/A,TRUE,"JULY";#N/A,#N/A,TRUE,"AUG";#N/A,#N/A,TRUE,"SEPT";#N/A,#N/A,TRUE,"3Q"}</definedName>
    <definedName name="ggggg" hidden="1">{#N/A,#N/A,TRUE,"MTHLY-CV";#N/A,#N/A,TRUE,"CV";#N/A,#N/A,TRUE,"INT_FEES_DRR_DEPR";#N/A,#N/A,TRUE,"OTHER_LEASE"}</definedName>
    <definedName name="ggggggg" hidden="1">{"summary",#N/A,FALSE,"Summary";"daily",#N/A,FALSE,"Daily";"detail",#N/A,FALSE,"Detail";"flash",#N/A,FALSE,"Flash";"revenue",#N/A,FALSE,"PDF";"fxexp",#N/A,FALSE,"PDF";"headcount",#N/A,FALSE,"PDF"}</definedName>
    <definedName name="gnx" hidden="1">{#N/A,#N/A,FALSE,"UK";#N/A,#N/A,FALSE,"FR";#N/A,#N/A,FALSE,"SWE";#N/A,#N/A,FALSE,"BE";#N/A,#N/A,FALSE,"IT";#N/A,#N/A,FALSE,"SP";#N/A,#N/A,FALSE,"Ticker0009";#N/A,#N/A,FALSE,"PO";#N/A,#N/A,FALSE,"SWI";#N/A,#N/A,FALSE,"NON"}</definedName>
    <definedName name="goodwill">BS!$17:$17</definedName>
    <definedName name="gr5twwea" hidden="1">{#N/A,#N/A,FALSE,"UK";#N/A,#N/A,FALSE,"FR";#N/A,#N/A,FALSE,"SWE";#N/A,#N/A,FALSE,"BE";#N/A,#N/A,FALSE,"IT";#N/A,#N/A,FALSE,"SP";#N/A,#N/A,FALSE,"Ticker0009";#N/A,#N/A,FALSE,"PO";#N/A,#N/A,FALSE,"SWI";#N/A,#N/A,FALSE,"NON"}</definedName>
    <definedName name="grossprofit">IS!$11:$11</definedName>
    <definedName name="gs" hidden="1">{#N/A,#N/A,TRUE,"MTHLY-CV";#N/A,#N/A,TRUE,"CV";#N/A,#N/A,TRUE,"INT_FEES_DRR_DEPR";#N/A,#N/A,TRUE,"OTHER_LEASE"}</definedName>
    <definedName name="hbvf" hidden="1">{#N/A,#N/A,FALSE,"Summary";#N/A,#N/A,FALSE,"Total";#N/A,#N/A,FALSE,"Total ex Swe";#N/A,#N/A,FALSE,"Volume";#N/A,#N/A,FALSE,"Expenses";#N/A,#N/A,FALSE,"CM Var";#N/A,#N/A,FALSE,"YTD Var"}</definedName>
    <definedName name="hgcmjn" hidden="1">{#N/A,#N/A,FALSE,"Summary";#N/A,#N/A,FALSE,"Total";#N/A,#N/A,FALSE,"Total ex Swe";#N/A,#N/A,FALSE,"Volume";#N/A,#N/A,FALSE,"Expenses";#N/A,#N/A,FALSE,"CM Var";#N/A,#N/A,FALSE,"YTD Var"}</definedName>
    <definedName name="hhhh" hidden="1">{"fidvsb1",#N/A,FALSE,"RET";"fidvsb2",#N/A,FALSE,"RET"}</definedName>
    <definedName name="hhhhhhhhhhh" hidden="1">{"summary",#N/A,FALSE,"Summary";"daily",#N/A,FALSE,"Daily";"detail",#N/A,FALSE,"Detail";"flash",#N/A,FALSE,"Flash";"revenue",#N/A,FALSE,"PDF";"fxexp",#N/A,FALSE,"PDF";"headcount",#N/A,FALSE,"PDF"}</definedName>
    <definedName name="hi" hidden="1">{"FN_JE98",#N/A,FALSE,"98 W Options"}</definedName>
    <definedName name="hiwe" hidden="1">{#N/A,#N/A,FALSE,"99 W Options";"prov99w opt",#N/A,FALSE,"99 W Options"}</definedName>
    <definedName name="hjghj" hidden="1">{"raatios",#N/A,FALSE,"A";"ratios",#N/A,FALSE,"B";"ratios",#N/A,FALSE,"C";"ratios",#N/A,FALSE,"D";"ratios",#N/A,FALSE,"F"}</definedName>
    <definedName name="hjhohjk" hidden="1">{"FN_JE98",#N/A,FALSE,"98 W Options"}</definedName>
    <definedName name="HONDA" hidden="1">{"'POTORD'!$A$2:$G$40"}</definedName>
    <definedName name="honda1" hidden="1">{"'POTORD'!$A$2:$G$40"}</definedName>
    <definedName name="htgh" hidden="1">{#N/A,#N/A,FALSE,"UK";#N/A,#N/A,FALSE,"FR";#N/A,#N/A,FALSE,"SWE";#N/A,#N/A,FALSE,"BE";#N/A,#N/A,FALSE,"IT";#N/A,#N/A,FALSE,"SP";#N/A,#N/A,FALSE,"Ticker0009";#N/A,#N/A,FALSE,"PO";#N/A,#N/A,FALSE,"SWI";#N/A,#N/A,FALSE,"NON"}</definedName>
    <definedName name="HTML_CodePage" hidden="1">1252</definedName>
    <definedName name="HTML_Control" hidden="1">{"'Graphs'!$A$1:$A$13"}</definedName>
    <definedName name="HTML_Control2" hidden="1">{"'Mensuelles'!$A$143:$H$214"}</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"C:\redacted\Waterborne_Foreign_Trade_Containerized_Cargo_gifs.html"</definedName>
    <definedName name="HTML_Title" hidden="1">""</definedName>
    <definedName name="HTML1_1" hidden="1">"[poolprices.xls]Sheet1!$A$1:$F$23"</definedName>
    <definedName name="HTML1_10" hidden="1">"person@example.com"</definedName>
    <definedName name="HTML1_11" hidden="1">1</definedName>
    <definedName name="HTML1_12" hidden="1">"C:\redacted\poolpri.htm"</definedName>
    <definedName name="HTML1_2" hidden="1">1</definedName>
    <definedName name="HTML1_3" hidden="1">"Consigned Metals Prices"</definedName>
    <definedName name="HTML1_4" hidden="1">"Consigned Metals Prices"</definedName>
    <definedName name="HTML1_5" hidden="1">""</definedName>
    <definedName name="HTML1_6" hidden="1">-4146</definedName>
    <definedName name="HTML1_7" hidden="1">-4146</definedName>
    <definedName name="HTML1_8" hidden="1">"3/11/97"</definedName>
    <definedName name="HTML1_9" hidden="1">"Person0963 M. Person1038"</definedName>
    <definedName name="HTML2_1" hidden="1">"[poolprices.xls]Sheet1!$A$3:$F$16"</definedName>
    <definedName name="HTML2_10" hidden="1">"person@example.com"</definedName>
    <definedName name="HTML2_11" hidden="1">1</definedName>
    <definedName name="HTML2_12" hidden="1">"C:\redacted\poolpri2.htm"</definedName>
    <definedName name="HTML2_2" hidden="1">1</definedName>
    <definedName name="HTML2_3" hidden="1">"Consigned Metals Prices"</definedName>
    <definedName name="HTML2_4" hidden="1">"Consigned Metals Prices"</definedName>
    <definedName name="HTML2_5" hidden="1">"(Cents/Lb.)"</definedName>
    <definedName name="HTML2_6" hidden="1">1</definedName>
    <definedName name="HTML2_7" hidden="1">1</definedName>
    <definedName name="HTML2_8" hidden="1">"3/11/97"</definedName>
    <definedName name="HTML2_9" hidden="1">"Person0963 M. Person1038"</definedName>
    <definedName name="HTML3_1" hidden="1">"[poolprices.xls]Sheet1!$A$3:$F$17"</definedName>
    <definedName name="HTML3_10" hidden="1">"person@example.com"</definedName>
    <definedName name="HTML3_11" hidden="1">1</definedName>
    <definedName name="HTML3_12" hidden="1">"C:\redacted\MyHTML.htm"</definedName>
    <definedName name="HTML3_2" hidden="1">1</definedName>
    <definedName name="HTML3_3" hidden="1">"Consigned Metals Prices"</definedName>
    <definedName name="HTML3_4" hidden="1">"Consigned Metals Prices"</definedName>
    <definedName name="HTML3_5" hidden="1">"(Cents/lb)"</definedName>
    <definedName name="HTML3_6" hidden="1">-4146</definedName>
    <definedName name="HTML3_7" hidden="1">-4146</definedName>
    <definedName name="HTML3_8" hidden="1">"3/11/97"</definedName>
    <definedName name="HTML3_9" hidden="1">"Person0963 M. Person1038"</definedName>
    <definedName name="HTML4_1" hidden="1">"'[1Q99 10Q.xls]FINANCIALS'!$A$193:$M$236"</definedName>
    <definedName name="HTML4_10" hidden="1">""</definedName>
    <definedName name="HTML4_11" hidden="1">-4146</definedName>
    <definedName name="HTML4_12" hidden="1">"C:\redacted\3.htm"</definedName>
    <definedName name="HTML4_2" hidden="1">1</definedName>
    <definedName name="HTML4_3" hidden="1">"1Q99 10Q"</definedName>
    <definedName name="HTML4_4" hidden="1">"FINANCIALS"</definedName>
    <definedName name="HTML4_5" hidden="1">""</definedName>
    <definedName name="HTML4_6" hidden="1">-4146</definedName>
    <definedName name="HTML4_7" hidden="1">-4146</definedName>
    <definedName name="HTML4_8" hidden="1">"05/24/1999"</definedName>
    <definedName name="HTML4_9" hidden="1">"Company1138"</definedName>
    <definedName name="HTML5_1" hidden="1">"'[1Q99 10Q.xls]Exhibit 12'!$A$1:$H$55"</definedName>
    <definedName name="HTML5_10" hidden="1">""</definedName>
    <definedName name="HTML5_11" hidden="1">-4146</definedName>
    <definedName name="HTML5_12" hidden="1">"C:\redacted\12.htm"</definedName>
    <definedName name="HTML5_2" hidden="1">1</definedName>
    <definedName name="HTML5_3" hidden="1">"1Q99 10Q"</definedName>
    <definedName name="HTML5_4" hidden="1">"Exhibit 12"</definedName>
    <definedName name="HTML5_5" hidden="1">""</definedName>
    <definedName name="HTML5_6" hidden="1">-4146</definedName>
    <definedName name="HTML5_7" hidden="1">-4146</definedName>
    <definedName name="HTML5_8" hidden="1">"05/24/1999"</definedName>
    <definedName name="HTML5_9" hidden="1">"Company1138"</definedName>
    <definedName name="HTMLCount" hidden="1">3</definedName>
    <definedName name="i" hidden="1">{#N/A,#N/A,FALSE,"UK";#N/A,#N/A,FALSE,"FR";#N/A,#N/A,FALSE,"SWE";#N/A,#N/A,FALSE,"BE";#N/A,#N/A,FALSE,"IT";#N/A,#N/A,FALSE,"SP";#N/A,#N/A,FALSE,"Ticker0009";#N/A,#N/A,FALSE,"PO";#N/A,#N/A,FALSE,"SWI";#N/A,#N/A,FALSE,"NON"}</definedName>
    <definedName name="iei" hidden="1">{"Inputs",#N/A,FALSE,"Data Reduction";"Outputs",#N/A,FALSE,"Data Reduction";"Cycle Deck Comparison",#N/A,FALSE,"Data Reduction"}</definedName>
    <definedName name="iiuyt" hidden="1">{"CAN-IS",#N/A,FALSE,"CAN";"CAN-BS",#N/A,FALSE,"CAN";"CAN-FA",#N/A,FALSE,"CAN";"CAN-CF",#N/A,FALSE,"CAN"}</definedName>
    <definedName name="ildsai" hidden="1">{#N/A,#N/A,FALSE,"Summary";#N/A,#N/A,FALSE,"Total";#N/A,#N/A,FALSE,"Total ex Swe";#N/A,#N/A,FALSE,"Volume";#N/A,#N/A,FALSE,"Expenses";#N/A,#N/A,FALSE,"CM Var";#N/A,#N/A,FALSE,"YTD Var"}</definedName>
    <definedName name="intexp">IS!$15:$15</definedName>
    <definedName name="inv">BS!$10:$10</definedName>
    <definedName name="Inventory" hidden="1">{"Summary analysis",#N/A,FALSE,"Total";"OCPH analysis",#N/A,FALSE,"Total";"detail analysis",#N/A,FALSE,"Total"}</definedName>
    <definedName name="Inventory1" hidden="1">{"Summary analysis",#N/A,FALSE,"Total";"OCPH analysis",#N/A,FALSE,"Total";"detail analysis",#N/A,FALSE,"Total"}</definedName>
    <definedName name="Inventory2" hidden="1">{"Summary analysis",#N/A,FALSE,"Total";"OCPH analysis",#N/A,FALSE,"Total";"detail analysis",#N/A,FALSE,"Total"}</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Company2232" hidden="1">"c5315"</definedName>
    <definedName name="IQ_AVG_BROKER_REC_Company2232"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COMPANY0235"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COMPANY0235"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COMPANY0235"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Company2232" hidden="1">"c6800"</definedName>
    <definedName name="IQ_CAL_Y" hidden="1">"c102"</definedName>
    <definedName name="IQ_CAL_Y_EST_Company2232"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Company2232"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EST_Company2232" hidden="1">"c3640"</definedName>
    <definedName name="IQ_EBITDA_GROWTH_1" hidden="1">"IQ_EBITDA_GROWTH_1"</definedName>
    <definedName name="IQ_EBITDA_GROWTH_2" hidden="1">"IQ_EBITDA_GROWTH_2"</definedName>
    <definedName name="IQ_EBITDA_HIGH_EST" hidden="1">"c370"</definedName>
    <definedName name="IQ_EBITDA_HIGH_EST_Company2232" hidden="1">"c3642"</definedName>
    <definedName name="IQ_EBITDA_INT" hidden="1">"c373"</definedName>
    <definedName name="IQ_EBITDA_LOW_EST" hidden="1">"c371"</definedName>
    <definedName name="IQ_EBITDA_LOW_EST_Company2232" hidden="1">"c3643"</definedName>
    <definedName name="IQ_EBITDA_MARGIN" hidden="1">"c372"</definedName>
    <definedName name="IQ_EBITDA_MEDIAN_EST" hidden="1">"c1663"</definedName>
    <definedName name="IQ_EBITDA_MEDIAN_EST_Company2232" hidden="1">"c3641"</definedName>
    <definedName name="IQ_EBITDA_NO_EST" hidden="1">"c267"</definedName>
    <definedName name="IQ_EBITDA_NUM_EST" hidden="1">"c374"</definedName>
    <definedName name="IQ_EBITDA_NUM_EST_Company2232" hidden="1">"c3644"</definedName>
    <definedName name="IQ_EBITDA_OVER_TOTAL_IE" hidden="1">"c1371"</definedName>
    <definedName name="IQ_EBITDA_STDDEV_EST" hidden="1">"c375"</definedName>
    <definedName name="IQ_EBITDA_STDDEV_EST_Company2232" hidden="1">"c3645"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1" hidden="1">"IQ_EPS_EST_1"</definedName>
    <definedName name="IQ_EPS_EST_Company2232" hidden="1">"c5453"</definedName>
    <definedName name="IQ_EPS_GW_EST_Company2232" hidden="1">"c5389"</definedName>
    <definedName name="IQ_EPS_GW_HIGH_EST_Company2232" hidden="1">"c5391"</definedName>
    <definedName name="IQ_EPS_GW_LOW_EST_Company2232" hidden="1">"c5392"</definedName>
    <definedName name="IQ_EPS_GW_MEDIAN_EST_Company2232" hidden="1">"c5390"</definedName>
    <definedName name="IQ_EPS_GW_NUM_EST_Company2232" hidden="1">"c5393"</definedName>
    <definedName name="IQ_EPS_GW_STDDEV_EST_Company2232" hidden="1">"c5394"</definedName>
    <definedName name="IQ_EPS_HIGH_EST" hidden="1">"c400"</definedName>
    <definedName name="IQ_EPS_HIGH_EST_Company2232" hidden="1">"c5454"</definedName>
    <definedName name="IQ_EPS_LOW_EST" hidden="1">"c401"</definedName>
    <definedName name="IQ_EPS_LOW_EST_Company2232" hidden="1">"c5455"</definedName>
    <definedName name="IQ_EPS_MEDIAN_EST" hidden="1">"c1661"</definedName>
    <definedName name="IQ_EPS_MEDIAN_EST_Company2232" hidden="1">"c5456"</definedName>
    <definedName name="IQ_EPS_NO_EST" hidden="1">"c271"</definedName>
    <definedName name="IQ_EPS_NORM" hidden="1">"c1902"</definedName>
    <definedName name="IQ_EPS_NORM_EST_Company2232" hidden="1">"c5326"</definedName>
    <definedName name="IQ_EPS_NORM_HIGH_EST_Company2232" hidden="1">"c5328"</definedName>
    <definedName name="IQ_EPS_NORM_LOW_EST_Company2232" hidden="1">"c5329"</definedName>
    <definedName name="IQ_EPS_NORM_MEDIAN_EST_Company2232" hidden="1">"c5327"</definedName>
    <definedName name="IQ_EPS_NORM_NUM_EST_Company2232" hidden="1">"c5330"</definedName>
    <definedName name="IQ_EPS_NORM_STDDEV_EST_Company2232" hidden="1">"c5331"</definedName>
    <definedName name="IQ_EPS_NUM_EST" hidden="1">"c402"</definedName>
    <definedName name="IQ_EPS_NUM_EST_Company2232" hidden="1">"c5451"</definedName>
    <definedName name="IQ_EPS_REPORTED_EST_Company2232" hidden="1">"c5396"</definedName>
    <definedName name="IQ_EPS_REPORTED_HIGH_EST_Company2232" hidden="1">"c5398"</definedName>
    <definedName name="IQ_EPS_REPORTED_LOW_EST_Company2232" hidden="1">"c5399"</definedName>
    <definedName name="IQ_EPS_REPORTED_MEDIAN_EST_Company2232" hidden="1">"c5397"</definedName>
    <definedName name="IQ_EPS_REPORTED_NUM_EST_Company2232" hidden="1">"c5400"</definedName>
    <definedName name="IQ_EPS_REPORTED_STDDEV_EST_Company2232" hidden="1">"c5401"</definedName>
    <definedName name="IQ_EPS_STDDEV_EST" hidden="1">"c403"</definedName>
    <definedName name="IQ_EPS_STDDEV_EST_Company2232"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_Company2232" hidden="1">"c5395"</definedName>
    <definedName name="IQ_EST_ACT_EPS_NORM_Company2232" hidden="1">"c5332"</definedName>
    <definedName name="IQ_EST_ACT_EPS_REPORTED_Company2232" hidden="1">"c5402"</definedName>
    <definedName name="IQ_EST_CURRENCY" hidden="1">"c2140"</definedName>
    <definedName name="IQ_EST_CURRENCY_Company2232" hidden="1">"c5437"</definedName>
    <definedName name="IQ_EST_DATE" hidden="1">"c1634"</definedName>
    <definedName name="IQ_EST_DATE_Company2232" hidden="1">"c5438"</definedName>
    <definedName name="IQ_EST_EPS_GROWTH_1YR" hidden="1">"c1636"</definedName>
    <definedName name="IQ_EST_EPS_GROWTH_1YR_Company2232" hidden="1">"c3646"</definedName>
    <definedName name="IQ_EST_EPS_GROWTH_5YR" hidden="1">"c1655"</definedName>
    <definedName name="IQ_EST_EPS_GROWTH_5YR_Company2232" hidden="1">"c3633"</definedName>
    <definedName name="IQ_EST_EPS_GROWTH_Q_1YR" hidden="1">"c1641"</definedName>
    <definedName name="IQ_EST_EPS_GROWTH_Q_1YR_Company2232" hidden="1">"c5410"</definedName>
    <definedName name="IQ_EST_EPS_GW_DIFF_Company2232" hidden="1">"c5429"</definedName>
    <definedName name="IQ_EST_EPS_GW_SURPRISE_PERCENT_Company2232" hidden="1">"c5430"</definedName>
    <definedName name="IQ_EST_EPS_NORM_DIFF_Company2232" hidden="1">"c5411"</definedName>
    <definedName name="IQ_EST_EPS_NORM_SURPRISE_PERCENT_Company2232" hidden="1">"c5412"</definedName>
    <definedName name="IQ_EST_EPS_REPORT_DIFF_Company2232" hidden="1">"c5431"</definedName>
    <definedName name="IQ_EST_EPS_REPORT_SURPRISE_PERCENT_Company2232" hidden="1">"c5432"</definedName>
    <definedName name="IQ_EST_EPS_SURPRISE" hidden="1">"c1635"</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"c3668"</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DATE" hidden="1">"c12212"</definedName>
    <definedName name="IQ_FFO_EST_DET_EST_DATE_CIQ" hidden="1">"c12267"</definedName>
    <definedName name="IQ_FFO_EST_DET_EST_INCL" hidden="1">"c12349"</definedName>
    <definedName name="IQ_FFO_EST_DET_EST_INCL_CIQ" hidden="1">"c12395"</definedName>
    <definedName name="IQ_FFO_EST_DET_EST_ORIGIN" hidden="1">"c12722"</definedName>
    <definedName name="IQ_FFO_EST_DET_EST_ORIGIN_CIQ" hidden="1">"c12720"</definedName>
    <definedName name="IQ_FFO_HIGH_EST_CIQ" hidden="1">"c3670"</definedName>
    <definedName name="IQ_FFO_LOW_EST_CIQ" hidden="1">"c3671"</definedName>
    <definedName name="IQ_FFO_MEDIAN_EST_CIQ" hidden="1">"c3669"</definedName>
    <definedName name="IQ_FFO_NO_EST" hidden="1">"c276"</definedName>
    <definedName name="IQ_FFO_NUM_EST_CIQ" hidden="1">"c3672"</definedName>
    <definedName name="IQ_FFO_STDDEV_EST_CIQ" hidden="1">"c3673"</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Company2232" hidden="1">"c6798"</definedName>
    <definedName name="IQ_FISCAL_Y" hidden="1">"c441"</definedName>
    <definedName name="IQ_FISCAL_Y_EST_Company2232"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_TARGET_PRICE_Company2232"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Person0564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ompany2232"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RKTCAP" hidden="1">"c258"</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ompany2232"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ompany2232" hidden="1">"c4048"</definedName>
    <definedName name="IQ_MM_ACCOUNT" hidden="1">"c743"</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41836.4978819444</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ompany2232" hidden="1">"c4049"</definedName>
    <definedName name="IQ_PE_NORMALIZED" hidden="1">"c2207"</definedName>
    <definedName name="IQ_PE_RATIO" hidden="1">"c1610"</definedName>
    <definedName name="IQ_PEG_FWD_Company2232" hidden="1">"c4052"</definedName>
    <definedName name="IQ_PENSION" hidden="1">"c1031"</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WEEK" hidden="1">"c1823"</definedName>
    <definedName name="IQ_PERCENT_CHANGE_EST_FFO_WEEK_CIQ" hidden="1">"c3795"</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TARGET_Company2232" hidden="1">"c3631"</definedName>
    <definedName name="IQ_PRICEDATE" hidden="1">"c1069"</definedName>
    <definedName name="IQ_PRICEDATETIME" hidden="1">"IQ_PRICEDATETIME"</definedName>
    <definedName name="IQ_PRICING_DATE" hidden="1">"c1613"</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Company2232"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Company2232" hidden="1">"c3634"</definedName>
    <definedName name="IQ_REVENUE_GROWTH_1" hidden="1">"IQ_REVENUE_GROWTH_1"</definedName>
    <definedName name="IQ_REVENUE_GROWTH_2" hidden="1">"IQ_REVENUE_GROWTH_2"</definedName>
    <definedName name="IQ_REVENUE_HIGH_EST" hidden="1">"c1127"</definedName>
    <definedName name="IQ_REVENUE_HIGH_EST_Company2232" hidden="1">"c3636"</definedName>
    <definedName name="IQ_REVENUE_LOW_EST" hidden="1">"c1128"</definedName>
    <definedName name="IQ_REVENUE_LOW_EST_Company2232" hidden="1">"c3637"</definedName>
    <definedName name="IQ_REVENUE_MEDIAN_EST" hidden="1">"c1662"</definedName>
    <definedName name="IQ_REVENUE_MEDIAN_EST_Company2232" hidden="1">"c3635"</definedName>
    <definedName name="IQ_REVENUE_NO_EST" hidden="1">"c263"</definedName>
    <definedName name="IQ_REVENUE_NUM_EST" hidden="1">"c1129"</definedName>
    <definedName name="IQ_REVENUE_NUM_EST_Company2232" hidden="1">"c3638"</definedName>
    <definedName name="IQ_REVISION_DATE_" hidden="1">39239.5718865741</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ompany2232" hidden="1">"c5319"</definedName>
    <definedName name="IQ_TARGET_PRICE_STDDEV" hidden="1">"c1654"</definedName>
    <definedName name="IQ_TARGET_PRICE_STDDEV_Company2232"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ompany2232"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ompany2232"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v" hidden="1">{#N/A,#N/A,FALSE,"Summary";#N/A,#N/A,FALSE,"Total";#N/A,#N/A,FALSE,"Total ex Swe";#N/A,#N/A,FALSE,"Volume";#N/A,#N/A,FALSE,"Expenses";#N/A,#N/A,FALSE,"CM Var";#N/A,#N/A,FALSE,"YTD Var"}</definedName>
    <definedName name="iyo" hidden="1">{#N/A,#N/A,FALSE,"UK";#N/A,#N/A,FALSE,"FR";#N/A,#N/A,FALSE,"SWE";#N/A,#N/A,FALSE,"BE";#N/A,#N/A,FALSE,"IT";#N/A,#N/A,FALSE,"SP";#N/A,#N/A,FALSE,"Ticker0009";#N/A,#N/A,FALSE,"PO";#N/A,#N/A,FALSE,"SWI";#N/A,#N/A,FALSE,"NON"}</definedName>
    <definedName name="j" hidden="1">{"page 1",#N/A,FALSE,"Company2048";"page 2",#N/A,FALSE,"Company2048";"page 3",#N/A,FALSE,"Company2048";"page 4",#N/A,FALSE,"Company2048";"page 5",#N/A,FALSE,"Company2048";"page 6",#N/A,FALSE,"Company2048";"page 7",#N/A,FALSE,"Company2048";"page 8",#N/A,FALSE,"Company2048";"page 9",#N/A,FALSE,"Company2048";"page 10",#N/A,FALSE,"Company2048";"page 11",#N/A,FALSE,"Company2048";"page 12",#N/A,FALSE,"Company2048"}</definedName>
    <definedName name="jh" hidden="1">{#N/A,#N/A,FALSE,"Summary";#N/A,#N/A,FALSE,"Total";#N/A,#N/A,FALSE,"Total ex Swe";#N/A,#N/A,FALSE,"Volume";#N/A,#N/A,FALSE,"Expenses";#N/A,#N/A,FALSE,"CM Var";#N/A,#N/A,FALSE,"YTD Var"}</definedName>
    <definedName name="jkndsvlindoij" hidden="1">{#N/A,#N/A,FALSE,"UK";#N/A,#N/A,FALSE,"FR";#N/A,#N/A,FALSE,"SWE";#N/A,#N/A,FALSE,"BE";#N/A,#N/A,FALSE,"IT";#N/A,#N/A,FALSE,"SP";#N/A,#N/A,FALSE,"Ticker0009";#N/A,#N/A,FALSE,"PO";#N/A,#N/A,FALSE,"SWI";#N/A,#N/A,FALSE,"NON"}</definedName>
    <definedName name="jn" hidden="1">{#N/A,#N/A,FALSE,"Summary";#N/A,#N/A,FALSE,"Total";#N/A,#N/A,FALSE,"Total ex Swe";#N/A,#N/A,FALSE,"Volume";#N/A,#N/A,FALSE,"Expenses";#N/A,#N/A,FALSE,"CM Var";#N/A,#N/A,FALSE,"YTD Var"}</definedName>
    <definedName name="jojojo" hidden="1">{"ANNUAL",#N/A,FALSE,"DDCLINK";"DDC94",#N/A,FALSE,"DDCLINK"}</definedName>
    <definedName name="js" hidden="1">{"summary",#N/A,FALSE,"Summary";"daily",#N/A,FALSE,"Daily";"detail",#N/A,FALSE,"Detail";"flash",#N/A,FALSE,"Flash";"revenue",#N/A,FALSE,"PDF";"fxexp",#N/A,FALSE,"PDF";"headcount",#N/A,FALSE,"PDF"}</definedName>
    <definedName name="jv" hidden="1">{#N/A,#N/A,FALSE,"UK";#N/A,#N/A,FALSE,"FR";#N/A,#N/A,FALSE,"SWE";#N/A,#N/A,FALSE,"BE";#N/A,#N/A,FALSE,"IT";#N/A,#N/A,FALSE,"SP";#N/A,#N/A,FALSE,"Ticker0009";#N/A,#N/A,FALSE,"PO";#N/A,#N/A,FALSE,"SWI";#N/A,#N/A,FALSE,"NON"}</definedName>
    <definedName name="jyrxs" hidden="1">{#N/A,#N/A,FALSE,"Summary";#N/A,#N/A,FALSE,"Total";#N/A,#N/A,FALSE,"Total ex Swe";#N/A,#N/A,FALSE,"Volume";#N/A,#N/A,FALSE,"Expenses";#N/A,#N/A,FALSE,"CM Var";#N/A,#N/A,FALSE,"YTD Var"}</definedName>
    <definedName name="karen" hidden="1">{"Summary analysis",#N/A,FALSE,"Total";"OCPH analysis",#N/A,FALSE,"Total";"detail analysis",#N/A,FALSE,"Total"}</definedName>
    <definedName name="ki67er" hidden="1">{#N/A,#N/A,FALSE,"UK";#N/A,#N/A,FALSE,"FR";#N/A,#N/A,FALSE,"SWE";#N/A,#N/A,FALSE,"BE";#N/A,#N/A,FALSE,"IT";#N/A,#N/A,FALSE,"SP";#N/A,#N/A,FALSE,"Ticker0009";#N/A,#N/A,FALSE,"PO";#N/A,#N/A,FALSE,"SWI";#N/A,#N/A,FALSE,"NON"}</definedName>
    <definedName name="kjb" hidden="1">{#N/A,#N/A,FALSE,"Summary";#N/A,#N/A,FALSE,"Total";#N/A,#N/A,FALSE,"Total ex Swe";#N/A,#N/A,FALSE,"Volume";#N/A,#N/A,FALSE,"Expenses";#N/A,#N/A,FALSE,"CM Var";#N/A,#N/A,FALSE,"YTD Var"}</definedName>
    <definedName name="kjkjfdjfjffhj" hidden="1">{"WRO-IS",#N/A,FALSE,"WHO";"WRO-BS",#N/A,FALSE,"WHO";"WRO-FA",#N/A,FALSE,"WHO";"WRO-CF",#N/A,FALSE,"WHO"}</definedName>
    <definedName name="kkk" hidden="1">{"inventory",#N/A,FALSE,"Inven. Turns 97 Rep";"sales",#N/A,FALSE,"Inven. Turns 97 Rep";"turns",#N/A,FALSE,"Inven. Turns 97 Rep";"days",#N/A,FALSE,"Inven. Turns 97 Rep"}</definedName>
    <definedName name="klkl" hidden="1">{"inventory",#N/A,TRUE,"Inven. Turns 97 OP";"sales",#N/A,TRUE,"Inven. Turns 97 OP";"turns",#N/A,TRUE,"Inven. Turns 97 OP";"days",#N/A,TRUE,"Inven. Turns 97 OP"}</definedName>
    <definedName name="l" hidden="1">{"IS",#N/A,FALSE,"IS";"RPTIS",#N/A,FALSE,"RPTIS";"STATS",#N/A,FALSE,"STATS";"CELL",#N/A,FALSE,"CELL";"BS",#N/A,FALSE,"BS"}</definedName>
    <definedName name="l.hgj" hidden="1">{#N/A,#N/A,FALSE,"UK";#N/A,#N/A,FALSE,"FR";#N/A,#N/A,FALSE,"SWE";#N/A,#N/A,FALSE,"BE";#N/A,#N/A,FALSE,"IT";#N/A,#N/A,FALSE,"SP";#N/A,#N/A,FALSE,"Ticker0009";#N/A,#N/A,FALSE,"PO";#N/A,#N/A,FALSE,"SWI";#N/A,#N/A,FALSE,"NON"}</definedName>
    <definedName name="L_ALL_Ticker0009">#REF!</definedName>
    <definedName name="L_ALL_KEYWORDS_TYPE_ScalarContributed_EQTY_200001266">#REF!,#REF!,#REF!,#REF!,#REF!</definedName>
    <definedName name="L_ALL_KEYWORDS_TYPE_ScalarContributed_ISSR_208000403">#REF!,#REF!</definedName>
    <definedName name="L_ALL_KEYWORDS_TYPE_ScalarReference_EQTY_200001266">#REF!</definedName>
    <definedName name="L_ALL_KEYWORDS_TYPE_ScalarReference_ISSR_208000403">#REF!</definedName>
    <definedName name="L_ALL_KEYWORDS_TYPE_Vector_EQTY_200001266">#REF!,#REF!,#REF!,#REF!,#REF!,#REF!,#REF!</definedName>
    <definedName name="L_ALL_KEYWORDS_TYPE_Vector_ISSR_208000403">#REF!,#REF!,#REF!,#REF!,#REF!,#REF!,#REF!,#REF!,#REF!</definedName>
    <definedName name="L_ALL_LMT">#REF!</definedName>
    <definedName name="L_ALL_LMT_">#REF!</definedName>
    <definedName name="L_ALL_SECTION_KEYWORDS_EQTY_200001266_1314">#REF!</definedName>
    <definedName name="L_ALL_SECTION_KEYWORDS_EQTY_200001266_1319">#REF!</definedName>
    <definedName name="L_ALL_SECTION_KEYWORDS_EQTY_200001266_131E">#REF!</definedName>
    <definedName name="L_ALL_SECTION_KEYWORDS_EQTY_200001266_131O">#REF!</definedName>
    <definedName name="L_ALL_SECTION_KEYWORDS_EQTY_200001266_13A">#REF!</definedName>
    <definedName name="L_ALL_SECTION_KEYWORDS_EQTY_200001266_13K">#REF!</definedName>
    <definedName name="L_ALL_SECTION_KEYWORDS_EQTY_200001266_13U">#REF!</definedName>
    <definedName name="L_ALL_SECTION_KEYWORDS_EQTY_200001266_13V">#REF!</definedName>
    <definedName name="L_ALL_SECTION_KEYWORDS_EQTY_200001266_13W">#REF!</definedName>
    <definedName name="L_ALL_SECTION_KEYWORDS_EQTY_200001266_Reference_Data">#REF!</definedName>
    <definedName name="L_ALL_SECTION_KEYWORDS_ISSR_208000403_1314">#REF!</definedName>
    <definedName name="L_ALL_SECTION_KEYWORDS_ISSR_208000403_13168">#REF!</definedName>
    <definedName name="L_ALL_SECTION_KEYWORDS_ISSR_208000403_1316S">#REF!</definedName>
    <definedName name="L_ALL_SECTION_KEYWORDS_ISSR_208000403_1316T">#REF!</definedName>
    <definedName name="L_ALL_SECTION_KEYWORDS_ISSR_208000403_1316U">#REF!</definedName>
    <definedName name="L_ALL_SECTION_KEYWORDS_ISSR_208000403_1319">#REF!</definedName>
    <definedName name="L_ALL_SECTION_KEYWORDS_ISSR_208000403_131E">#REF!</definedName>
    <definedName name="L_ALL_SECTION_KEYWORDS_ISSR_208000403_131J">#REF!</definedName>
    <definedName name="L_ALL_SECTION_KEYWORDS_ISSR_208000403_131O">#REF!</definedName>
    <definedName name="L_ALL_SECTION_KEYWORDS_ISSR_208000403_136E">#REF!,#REF!</definedName>
    <definedName name="L_ALL_SECTION_KEYWORDS_ISSR_208000403_13A">#REF!</definedName>
    <definedName name="L_ALL_SECTION_KEYWORDS_ISSR_208000403_13U">#REF!</definedName>
    <definedName name="L_ALL_SECTION_KEYWORDS_ISSR_208000403_13V">#REF!</definedName>
    <definedName name="L_ALL_SECTION_KEYWORDS_ISSR_208000403_Reference_Data">#REF!</definedName>
    <definedName name="L_ALL_SECTIONS_EQTY_200001266">#REF!,#REF!,#REF!,#REF!,#REF!,#REF!,#REF!,#REF!,#REF!,#REF!</definedName>
    <definedName name="L_CURRENCY_EQTY_200001266_PRI">#REF!</definedName>
    <definedName name="L_CURRENCY_EQTY_200001266_PUB">#REF!</definedName>
    <definedName name="L_CURRENCY_EQTY_200001266_REP">#REF!</definedName>
    <definedName name="L_CURRENCY_ISSR_208000403_REP">#REF!</definedName>
    <definedName name="L_KEYWORD_EQTY_200001266_AMER_LIST">#REF!</definedName>
    <definedName name="L_KEYWORD_EQTY_200001266_BETA_ANALYST">#REF!</definedName>
    <definedName name="L_KEYWORD_EQTY_200001266_BVPS">#REF!</definedName>
    <definedName name="L_KEYWORD_EQTY_200001266_BVPS_PUB">#REF!</definedName>
    <definedName name="L_KEYWORD_EQTY_200001266_CEEE_EPS">#REF!</definedName>
    <definedName name="L_KEYWORD_EQTY_200001266_CF_NI_PRE_PREF">#REF!</definedName>
    <definedName name="L_KEYWORD_EQTY_200001266_COMMON_DIV_PAID">#REF!</definedName>
    <definedName name="L_KEYWORD_EQTY_200001266_CURRENCY_ISO">#REF!</definedName>
    <definedName name="L_KEYWORD_EQTY_200001266_DILUTE_SHARES">#REF!</definedName>
    <definedName name="L_KEYWORD_EQTY_200001266_DPS">#REF!</definedName>
    <definedName name="L_KEYWORD_EQTY_200001266_DPS_PUB">#REF!</definedName>
    <definedName name="L_KEYWORD_EQTY_200001266_EBIT_PUB">#REF!</definedName>
    <definedName name="L_KEYWORD_EQTY_200001266_EBITDA_PUB">#REF!</definedName>
    <definedName name="L_KEYWORD_EQTY_200001266_EPS">#REF!</definedName>
    <definedName name="L_KEYWORD_EQTY_200001266_EPS_EX_ESO_B">#REF!</definedName>
    <definedName name="L_KEYWORD_EQTY_200001266_EPS_EX_ESO_D">#REF!</definedName>
    <definedName name="L_KEYWORD_EQTY_200001266_EPS_FUL_DIL">#REF!</definedName>
    <definedName name="L_KEYWORD_EQTY_200001266_EPS_POST_BASIC">#REF!</definedName>
    <definedName name="L_KEYWORD_EQTY_200001266_EPS_PUB">#REF!</definedName>
    <definedName name="L_KEYWORD_EQTY_200001266_EPS_PUB_EX_ESO">#REF!</definedName>
    <definedName name="L_KEYWORD_EQTY_200001266_EQ_PUB">#REF!</definedName>
    <definedName name="L_KEYWORD_EQTY_200001266_ESO_POST_TAX">#REF!</definedName>
    <definedName name="L_KEYWORD_EQTY_200001266_ESO_YEAR">#REF!</definedName>
    <definedName name="L_KEYWORD_EQTY_200001266_EV_ADJ_PUB">#REF!</definedName>
    <definedName name="L_KEYWORD_EQTY_200001266_FREE_FLOAT">#REF!</definedName>
    <definedName name="L_KEYWORD_EQTY_200001266_FULLY_DIL_EPS">#REF!</definedName>
    <definedName name="L_KEYWORD_EQTY_200001266_FV_GRANT">#REF!</definedName>
    <definedName name="L_KEYWORD_EQTY_200001266_INC_MINORITY">#REF!</definedName>
    <definedName name="L_KEYWORD_EQTY_200001266_Interim_Type">#REF!</definedName>
    <definedName name="L_KEYWORD_EQTY_200001266_LEGAL_RATING">#REF!</definedName>
    <definedName name="L_KEYWORD_EQTY_200001266_MARGIN_TAX_RATE">#REF!</definedName>
    <definedName name="L_KEYWORD_EQTY_200001266_MKT_EQ_RISK_PREM">#REF!</definedName>
    <definedName name="L_KEYWORD_EQTY_200001266_NET_DEBT_PUB">#REF!</definedName>
    <definedName name="L_KEYWORD_EQTY_200001266_NET_EARNING">#REF!</definedName>
    <definedName name="L_KEYWORD_EQTY_200001266_NET_INC">#REF!</definedName>
    <definedName name="L_KEYWORD_EQTY_200001266_NI_PRE_PREF">#REF!</definedName>
    <definedName name="L_KEYWORD_EQTY_200001266_NI_PUB">#REF!</definedName>
    <definedName name="L_KEYWORD_EQTY_200001266_NON_OP_ADD">#REF!</definedName>
    <definedName name="L_KEYWORD_EQTY_200001266_NUM_SH">#REF!</definedName>
    <definedName name="L_KEYWORD_EQTY_200001266_PREF_DIV">#REF!</definedName>
    <definedName name="L_KEYWORD_EQTY_200001266_PRICE_CURRENCY_ISO">#REF!</definedName>
    <definedName name="L_KEYWORD_EQTY_200001266_PROV_INC_TAX">#REF!</definedName>
    <definedName name="L_KEYWORD_EQTY_200001266_PTP_PUB">#REF!</definedName>
    <definedName name="L_KEYWORD_EQTY_200001266_PUB_CURRENCY_ISO">#REF!</definedName>
    <definedName name="L_KEYWORD_EQTY_200001266_REPUR_ACTUAL">#REF!</definedName>
    <definedName name="L_KEYWORD_EQTY_200001266_REPUR_REMAINING">#REF!</definedName>
    <definedName name="L_KEYWORD_EQTY_200001266_REPUR_SUSPENDED">#REF!</definedName>
    <definedName name="L_KEYWORD_EQTY_200001266_REPUR_TOT_AUTH">#REF!</definedName>
    <definedName name="L_KEYWORD_EQTY_200001266_REVS_PUB">#REF!</definedName>
    <definedName name="L_KEYWORD_EQTY_200001266_RISK_FR_RATE">#REF!</definedName>
    <definedName name="L_KEYWORD_EQTY_200001266_Security_Name">#REF!</definedName>
    <definedName name="L_KEYWORD_EQTY_200001266_SH">#REF!</definedName>
    <definedName name="L_KEYWORD_EQTY_200001266_TARGET_PRICE">#REF!</definedName>
    <definedName name="L_KEYWORD_EQTY_200001266_TAX_EXC">#REF!</definedName>
    <definedName name="L_KEYWORD_EQTY_200001266_Ticker">#REF!</definedName>
    <definedName name="L_KEYWORD_EQTY_200001266_TP_PERIOD">#REF!</definedName>
    <definedName name="L_KEYWORD_ISSR_208000403_ACC_AMORT">#REF!</definedName>
    <definedName name="L_KEYWORD_ISSR_208000403_ACC_DDA">#REF!</definedName>
    <definedName name="L_KEYWORD_ISSR_208000403_ACC_END_DATE">#REF!</definedName>
    <definedName name="L_KEYWORD_ISSR_208000403_ACC_PAY_GQ">#REF!</definedName>
    <definedName name="L_KEYWORD_ISSR_208000403_ACQ">#REF!</definedName>
    <definedName name="L_KEYWORD_ISSR_208000403_ADJ_UNF_PENS_GOOD">#REF!</definedName>
    <definedName name="L_KEYWORD_ISSR_208000403_ASSOC_JV_ADDBK">#REF!</definedName>
    <definedName name="L_KEYWORD_ISSR_208000403_ASSOCIATE">#REF!</definedName>
    <definedName name="L_KEYWORD_ISSR_208000403_ASSOCIATE_OP">#REF!</definedName>
    <definedName name="L_KEYWORD_ISSR_208000403_BAL_MINO_INT">#REF!</definedName>
    <definedName name="L_KEYWORD_ISSR_208000403_CAP_LEASES">#REF!</definedName>
    <definedName name="L_KEYWORD_ISSR_208000403_CAPEX">#REF!</definedName>
    <definedName name="L_KEYWORD_ISSR_208000403_CAPEX_EXPANSION">#REF!</definedName>
    <definedName name="L_KEYWORD_ISSR_208000403_CAPEX_MAINTENANCE">#REF!</definedName>
    <definedName name="L_KEYWORD_ISSR_208000403_CASH_EQ">#REF!</definedName>
    <definedName name="L_KEYWORD_ISSR_208000403_CASH_INT_EXP">#REF!</definedName>
    <definedName name="L_KEYWORD_ISSR_208000403_CASH_PCT_OS_US">#REF!</definedName>
    <definedName name="L_KEYWORD_ISSR_208000403_CASH_TAX_EXP">#REF!</definedName>
    <definedName name="L_KEYWORD_ISSR_208000403_CF_FIN">#REF!</definedName>
    <definedName name="L_KEYWORD_ISSR_208000403_CF_INC_MINORITY">#REF!</definedName>
    <definedName name="L_KEYWORD_ISSR_208000403_CF_INV">#REF!</definedName>
    <definedName name="L_KEYWORD_ISSR_208000403_CF_OPS">#REF!</definedName>
    <definedName name="L_KEYWORD_ISSR_208000403_CHG_LT_DEBT">#REF!</definedName>
    <definedName name="L_KEYWORD_ISSR_208000403_CO_BOR_MARGIN">#REF!</definedName>
    <definedName name="L_KEYWORD_ISSR_208000403_COST_GD_SD">#REF!</definedName>
    <definedName name="L_KEYWORD_ISSR_208000403_CUR_ASS">#REF!</definedName>
    <definedName name="L_KEYWORD_ISSR_208000403_CURRENCY_ISO">#REF!</definedName>
    <definedName name="L_KEYWORD_ISSR_208000403_DEBTORS">#REF!</definedName>
    <definedName name="L_KEYWORD_ISSR_208000403_DEF_INC_TAX">#REF!</definedName>
    <definedName name="L_KEYWORD_ISSR_208000403_DEPR_AMORT">#REF!</definedName>
    <definedName name="L_KEYWORD_ISSR_208000403_DEPREC">#REF!</definedName>
    <definedName name="L_KEYWORD_ISSR_208000403_DIV_PAID">#REF!</definedName>
    <definedName name="L_KEYWORD_ISSR_208000403_DIVDS_ASSOC_JV">#REF!</definedName>
    <definedName name="L_KEYWORD_ISSR_208000403_DIVDS_PD_MINORITIES">#REF!</definedName>
    <definedName name="L_KEYWORD_ISSR_208000403_DIVEST">#REF!</definedName>
    <definedName name="L_KEYWORD_ISSR_208000403_EBIT">#REF!</definedName>
    <definedName name="L_KEYWORD_ISSR_208000403_EBIT_FIN_SEGMENT">#REF!</definedName>
    <definedName name="L_KEYWORD_ISSR_208000403_EBITDA_CALC">#REF!</definedName>
    <definedName name="L_KEYWORD_ISSR_208000403_EMPLOYEES">#REF!</definedName>
    <definedName name="L_KEYWORD_ISSR_208000403_EQ">#REF!</definedName>
    <definedName name="L_KEYWORD_ISSR_208000403_ESO_PRE_TAX">#REF!</definedName>
    <definedName name="L_KEYWORD_ISSR_208000403_EXP_ALUMINIUM">#REF!</definedName>
    <definedName name="L_KEYWORD_ISSR_208000403_EXP_COPPER">#REF!</definedName>
    <definedName name="L_KEYWORD_ISSR_208000403_EXP_GLASS">#REF!</definedName>
    <definedName name="L_KEYWORD_ISSR_208000403_EXP_GOLD">#REF!</definedName>
    <definedName name="L_KEYWORD_ISSR_208000403_EXP_NAT_GAS">#REF!</definedName>
    <definedName name="L_KEYWORD_ISSR_208000403_EXP_NICKEL">#REF!</definedName>
    <definedName name="L_KEYWORD_ISSR_208000403_EXP_OIL_DERIV_NGLS_PLASTICS">#REF!</definedName>
    <definedName name="L_KEYWORD_ISSR_208000403_EXP_OIL_PETRO_FUEL">#REF!</definedName>
    <definedName name="L_KEYWORD_ISSR_208000403_EXP_OTH_COMMODITY">#REF!</definedName>
    <definedName name="L_KEYWORD_ISSR_208000403_EXP_OTH_COST">#REF!</definedName>
    <definedName name="L_KEYWORD_ISSR_208000403_EXP_PALLADIUM">#REF!</definedName>
    <definedName name="L_KEYWORD_ISSR_208000403_EXP_PLATINUM">#REF!</definedName>
    <definedName name="L_KEYWORD_ISSR_208000403_EXP_RUBBER">#REF!</definedName>
    <definedName name="L_KEYWORD_ISSR_208000403_EXP_SILVER">#REF!</definedName>
    <definedName name="L_KEYWORD_ISSR_208000403_EXP_STEEL">#REF!</definedName>
    <definedName name="L_KEYWORD_ISSR_208000403_EXP_WATER">#REF!</definedName>
    <definedName name="L_KEYWORD_ISSR_208000403_EXP_Company3050">#REF!</definedName>
    <definedName name="L_KEYWORD_ISSR_208000403_FIX_ASS_INV">#REF!</definedName>
    <definedName name="L_KEYWORD_ISSR_208000403_GCI_INFL">#REF!</definedName>
    <definedName name="L_KEYWORD_ISSR_208000403_GOODWILL_AMORT">#REF!</definedName>
    <definedName name="L_KEYWORD_ISSR_208000403_GR_FIX_ASS">#REF!</definedName>
    <definedName name="L_KEYWORD_ISSR_208000403_GR_INTANG">#REF!</definedName>
    <definedName name="L_KEYWORD_ISSR_208000403_INT_EXP_IND">#REF!</definedName>
    <definedName name="L_KEYWORD_ISSR_208000403_INT_INC_IND">#REF!</definedName>
    <definedName name="L_KEYWORD_ISSR_208000403_INV_SECUR">#REF!</definedName>
    <definedName name="L_KEYWORD_ISSR_208000403_Issuer_Name">#REF!</definedName>
    <definedName name="L_KEYWORD_ISSR_208000403_LEASE_DEEM_DEPR">#REF!</definedName>
    <definedName name="L_KEYWORD_ISSR_208000403_LEASE_DEEM_INT">#REF!</definedName>
    <definedName name="L_KEYWORD_ISSR_208000403_LEASE_PAY">#REF!</definedName>
    <definedName name="L_KEYWORD_ISSR_208000403_LT_DEBT">#REF!</definedName>
    <definedName name="L_KEYWORD_ISSR_208000403_MA_PROB">#REF!</definedName>
    <definedName name="L_KEYWORD_ISSR_208000403_MINORITIES">#REF!</definedName>
    <definedName name="L_KEYWORD_ISSR_208000403_MV_ASSOCIATES">#REF!</definedName>
    <definedName name="L_KEYWORD_ISSR_208000403_NET_DEBT">#REF!</definedName>
    <definedName name="L_KEYWORD_ISSR_208000403_NET_DEBT_ADJ">#REF!</definedName>
    <definedName name="L_KEYWORD_ISSR_208000403_NET_FIX_ASS">#REF!</definedName>
    <definedName name="L_KEYWORD_ISSR_208000403_NET_INT_CH">#REF!</definedName>
    <definedName name="L_KEYWORD_ISSR_208000403_NET_INT_EXP">#REF!</definedName>
    <definedName name="L_KEYWORD_ISSR_208000403_NET_INTANG">#REF!</definedName>
    <definedName name="L_KEYWORD_ISSR_208000403_NONPPE_CAPEX">#REF!</definedName>
    <definedName name="L_KEYWORD_ISSR_208000403_OP_COST">#REF!</definedName>
    <definedName name="L_KEYWORD_ISSR_208000403_ORD_SH_FUND">#REF!</definedName>
    <definedName name="L_KEYWORD_ISSR_208000403_OTH_COST_INC">#REF!</definedName>
    <definedName name="L_KEYWORD_ISSR_208000403_OTH_CUR_ASS">#REF!</definedName>
    <definedName name="L_KEYWORD_ISSR_208000403_OTH_CUR_LIABS">#REF!</definedName>
    <definedName name="L_KEYWORD_ISSR_208000403_OTH_DACF_ADJ">#REF!</definedName>
    <definedName name="L_KEYWORD_ISSR_208000403_OTH_FIN_CF">#REF!</definedName>
    <definedName name="L_KEYWORD_ISSR_208000403_OTH_GCI_ADJ">#REF!</definedName>
    <definedName name="L_KEYWORD_ISSR_208000403_OTH_INV_CF">#REF!</definedName>
    <definedName name="L_KEYWORD_ISSR_208000403_OTH_LT_ASS">#REF!</definedName>
    <definedName name="L_KEYWORD_ISSR_208000403_OTH_LT_CRED_GQ">#REF!</definedName>
    <definedName name="L_KEYWORD_ISSR_208000403_OTH_NONCASH_ADJ">#REF!</definedName>
    <definedName name="L_KEYWORD_ISSR_208000403_OTH_OP_CF">#REF!</definedName>
    <definedName name="L_KEYWORD_ISSR_208000403_OTH_OP_INC_EXP">#REF!</definedName>
    <definedName name="L_KEYWORD_ISSR_208000403_PERIOD_MILESTONE">#REF!</definedName>
    <definedName name="L_KEYWORD_ISSR_208000403_PL_SALE_ASSETS">#REF!</definedName>
    <definedName name="L_KEYWORD_ISSR_208000403_PREF_SH">#REF!</definedName>
    <definedName name="L_KEYWORD_ISSR_208000403_PROFIT_ON_DISP">#REF!</definedName>
    <definedName name="L_KEYWORD_ISSR_208000403_PT_PROF">#REF!</definedName>
    <definedName name="L_KEYWORD_ISSR_208000403_RD_EXP">#REF!</definedName>
    <definedName name="L_KEYWORD_ISSR_208000403_REV_FIN_SEGMENT">#REF!</definedName>
    <definedName name="L_KEYWORD_ISSR_208000403_SALES">#REF!</definedName>
    <definedName name="L_KEYWORD_ISSR_208000403_SALES_ARGENTINA">#REF!</definedName>
    <definedName name="L_KEYWORD_ISSR_208000403_SALES_BRAZIL">#REF!</definedName>
    <definedName name="L_KEYWORD_ISSR_208000403_SALES_CANADA">#REF!</definedName>
    <definedName name="L_KEYWORD_ISSR_208000403_SALES_CEE">#REF!</definedName>
    <definedName name="L_KEYWORD_ISSR_208000403_SALES_CHILE">#REF!</definedName>
    <definedName name="L_KEYWORD_ISSR_208000403_SALES_CHINA">#REF!</definedName>
    <definedName name="L_KEYWORD_ISSR_208000403_SALES_COLOMBIA">#REF!</definedName>
    <definedName name="L_KEYWORD_ISSR_208000403_SALES_CONS">#REF!</definedName>
    <definedName name="L_KEYWORD_ISSR_208000403_SALES_EU_EX_UK">#REF!</definedName>
    <definedName name="L_KEYWORD_ISSR_208000403_SALES_FINAN">#REF!</definedName>
    <definedName name="L_KEYWORD_ISSR_208000403_SALES_FX_ARS">#REF!</definedName>
    <definedName name="L_KEYWORD_ISSR_208000403_SALES_FX_BRL">#REF!</definedName>
    <definedName name="L_KEYWORD_ISSR_208000403_SALES_FX_CAD">#REF!</definedName>
    <definedName name="L_KEYWORD_ISSR_208000403_SALES_FX_CLP">#REF!</definedName>
    <definedName name="L_KEYWORD_ISSR_208000403_SALES_FX_CNY">#REF!</definedName>
    <definedName name="L_KEYWORD_ISSR_208000403_SALES_FX_COP">#REF!</definedName>
    <definedName name="L_KEYWORD_ISSR_208000403_SALES_FX_EUR">#REF!</definedName>
    <definedName name="L_KEYWORD_ISSR_208000403_SALES_FX_GPB">#REF!</definedName>
    <definedName name="L_KEYWORD_ISSR_208000403_SALES_FX_INR">#REF!</definedName>
    <definedName name="L_KEYWORD_ISSR_208000403_SALES_FX_MXN">#REF!</definedName>
    <definedName name="L_KEYWORD_ISSR_208000403_SALES_FX_OTH">#REF!</definedName>
    <definedName name="L_KEYWORD_ISSR_208000403_SALES_FX_RUB">#REF!</definedName>
    <definedName name="L_KEYWORD_ISSR_208000403_SALES_FX_USD">#REF!</definedName>
    <definedName name="L_KEYWORD_ISSR_208000403_SALES_FX_VEF">#REF!</definedName>
    <definedName name="L_KEYWORD_ISSR_208000403_SALES_FX_YEN">#REF!</definedName>
    <definedName name="L_KEYWORD_ISSR_208000403_SALES_GOV">#REF!</definedName>
    <definedName name="L_KEYWORD_ISSR_208000403_SALES_IND">#REF!</definedName>
    <definedName name="L_KEYWORD_ISSR_208000403_SALES_INDIA">#REF!</definedName>
    <definedName name="L_KEYWORD_ISSR_208000403_SALES_JAPAN">#REF!</definedName>
    <definedName name="L_KEYWORD_ISSR_208000403_SALES_ME">#REF!</definedName>
    <definedName name="L_KEYWORD_ISSR_208000403_SALES_MEXICO">#REF!</definedName>
    <definedName name="L_KEYWORD_ISSR_208000403_SALES_OTH_AEJ">#REF!</definedName>
    <definedName name="L_KEYWORD_ISSR_208000403_SALES_OTH_AM">#REF!</definedName>
    <definedName name="L_KEYWORD_ISSR_208000403_SALES_OTH_COMMODITY">#REF!</definedName>
    <definedName name="L_KEYWORD_ISSR_208000403_SALES_OTH_EMEA">#REF!</definedName>
    <definedName name="L_KEYWORD_ISSR_208000403_SALES_OTH_SALES_SOURCES">#REF!</definedName>
    <definedName name="L_KEYWORD_ISSR_208000403_SALES_OTHER">#REF!</definedName>
    <definedName name="L_KEYWORD_ISSR_208000403_SALES_RUSSIA">#REF!</definedName>
    <definedName name="L_KEYWORD_ISSR_208000403_SALES_SMB">#REF!</definedName>
    <definedName name="L_KEYWORD_ISSR_208000403_SALES_TOT_AFRICA">#REF!</definedName>
    <definedName name="L_KEYWORD_ISSR_208000403_SALES_TOT_AM">#REF!</definedName>
    <definedName name="L_KEYWORD_ISSR_208000403_SALES_TOT_ASIA">#REF!</definedName>
    <definedName name="L_KEYWORD_ISSR_208000403_SALES_TOT_EMEA">#REF!</definedName>
    <definedName name="L_KEYWORD_ISSR_208000403_SALES_UK">#REF!</definedName>
    <definedName name="L_KEYWORD_ISSR_208000403_SALES_US">#REF!</definedName>
    <definedName name="L_KEYWORD_ISSR_208000403_SALES_VENEZUELA">#REF!</definedName>
    <definedName name="L_KEYWORD_ISSR_208000403_SEL_GL_AD">#REF!</definedName>
    <definedName name="L_KEYWORD_ISSR_208000403_SH_REPUR">#REF!</definedName>
    <definedName name="L_KEYWORD_ISSR_208000403_SHORT_T_DEBT">#REF!</definedName>
    <definedName name="L_KEYWORD_ISSR_208000403_SHORT_TERM_LIABS">#REF!</definedName>
    <definedName name="L_KEYWORD_ISSR_208000403_STOCKS">#REF!</definedName>
    <definedName name="L_KEYWORD_ISSR_208000403_TOT_ASSET">#REF!</definedName>
    <definedName name="L_KEYWORD_ISSR_208000403_TOT_CF">#REF!</definedName>
    <definedName name="L_KEYWORD_ISSR_208000403_TOT_LIAB">#REF!</definedName>
    <definedName name="L_KEYWORD_ISSR_208000403_TOT_LIAB_EQ">#REF!</definedName>
    <definedName name="L_KEYWORD_ISSR_208000403_TOT_LT_LIAB">#REF!</definedName>
    <definedName name="L_KEYWORD_ISSR_208000403_TOT_OPS_EXP">#REF!</definedName>
    <definedName name="L_KEYWORD_ISSR_208000403_TOT_OPS_EXP_DDA">#REF!</definedName>
    <definedName name="L_KEYWORD_ISSR_208000403_UNF_PENS">#REF!</definedName>
    <definedName name="L_KEYWORD_ISSR_208000403_UNF_PENS_LIAB_OTH">#REF!</definedName>
    <definedName name="L_KEYWORD_ISSR_208000403_UNF_PENS_OFF">#REF!</definedName>
    <definedName name="L_KEYWORD_ISSR_208000403_WORK_CAP">#REF!</definedName>
    <definedName name="L_LIVEDATA_EQTY_200001266">#REF!</definedName>
    <definedName name="L_LIVEDATA_ISSR_208000403">#REF!</definedName>
    <definedName name="L_SECTION_EQTY_200001266_1314">#REF!</definedName>
    <definedName name="L_SECTION_EQTY_200001266_1319">#REF!</definedName>
    <definedName name="L_SECTION_EQTY_200001266_131E">#REF!</definedName>
    <definedName name="L_SECTION_EQTY_200001266_131O">#REF!</definedName>
    <definedName name="L_SECTION_EQTY_200001266_13A">#REF!</definedName>
    <definedName name="L_SECTION_EQTY_200001266_13K">#REF!</definedName>
    <definedName name="L_SECTION_EQTY_200001266_13U">#REF!</definedName>
    <definedName name="L_SECTION_EQTY_200001266_13V">#REF!</definedName>
    <definedName name="L_SECTION_EQTY_200001266_13W">#REF!</definedName>
    <definedName name="L_SECTION_EQTY_200001266_Reference_Data">#REF!</definedName>
    <definedName name="L_SECTION_ISSR_208000403_1314">#REF!</definedName>
    <definedName name="L_SECTION_ISSR_208000403_13168">#REF!</definedName>
    <definedName name="L_SECTION_ISSR_208000403_1316S">#REF!</definedName>
    <definedName name="L_SECTION_ISSR_208000403_1316T">#REF!</definedName>
    <definedName name="L_SECTION_ISSR_208000403_1316U">#REF!</definedName>
    <definedName name="L_SECTION_ISSR_208000403_1319">#REF!</definedName>
    <definedName name="L_SECTION_ISSR_208000403_131E">#REF!</definedName>
    <definedName name="L_SECTION_ISSR_208000403_131J">#REF!</definedName>
    <definedName name="L_SECTION_ISSR_208000403_131O">#REF!</definedName>
    <definedName name="L_SECTION_ISSR_208000403_13A">#REF!</definedName>
    <definedName name="L_SECTION_ISSR_208000403_13U">#REF!</definedName>
    <definedName name="L_SECTION_ISSR_208000403_13V">#REF!</definedName>
    <definedName name="L_SECTION_ISSR_208000403_Reference_Data">#REF!</definedName>
    <definedName name="lalal" hidden="1">{"receivables",#N/A,FALSE,"SII 99";"sales",#N/A,FALSE,"SII 99";"turns",#N/A,FALSE,"SII 99";"pastdue",#N/A,FALSE,"SII 99"}</definedName>
    <definedName name="lalal_1" hidden="1">{"receivables",#N/A,FALSE,"SII 99";"sales",#N/A,FALSE,"SII 99";"turns",#N/A,FALSE,"SII 99";"pastdue",#N/A,FALSE,"SII 99"}</definedName>
    <definedName name="lands">BS!$45:$45</definedName>
    <definedName name="ListOffset" hidden="1">1</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werRowTT" hidden="1">#REF!</definedName>
    <definedName name="ltdebt">BS!$31:$31</definedName>
    <definedName name="mamma" hidden="1">{"inventory",#N/A,FALSE,"Inven. Turns 97 Rep";"sales",#N/A,FALSE,"Inven. Turns 97 Rep";"turns",#N/A,FALSE,"Inven. Turns 97 Rep";"days",#N/A,FALSE,"Inven. Turns 97 Rep"}</definedName>
    <definedName name="mbn" hidden="1">{#N/A,#N/A,FALSE,"UK";#N/A,#N/A,FALSE,"FR";#N/A,#N/A,FALSE,"SWE";#N/A,#N/A,FALSE,"BE";#N/A,#N/A,FALSE,"IT";#N/A,#N/A,FALSE,"SP";#N/A,#N/A,FALSE,"Ticker0009";#N/A,#N/A,FALSE,"PO";#N/A,#N/A,FALSE,"SWI";#N/A,#N/A,FALSE,"NON"}</definedName>
    <definedName name="mh" hidden="1">{#N/A,#N/A,FALSE,"Summary";#N/A,#N/A,FALSE,"Total";#N/A,#N/A,FALSE,"Total ex Swe";#N/A,#N/A,FALSE,"Volume";#N/A,#N/A,FALSE,"Expenses";#N/A,#N/A,FALSE,"CM Var";#N/A,#N/A,FALSE,"YTD Var"}</definedName>
    <definedName name="mhbnjm" hidden="1">{#N/A,#N/A,FALSE,"UK";#N/A,#N/A,FALSE,"FR";#N/A,#N/A,FALSE,"SWE";#N/A,#N/A,FALSE,"BE";#N/A,#N/A,FALSE,"IT";#N/A,#N/A,FALSE,"SP";#N/A,#N/A,FALSE,"Ticker0009";#N/A,#N/A,FALSE,"PO";#N/A,#N/A,FALSE,"SWI";#N/A,#N/A,FALSE,"NON"}</definedName>
    <definedName name="michelle" hidden="1">{"Summary analysis",#N/A,FALSE,"Total";"OCPH analysis",#N/A,FALSE,"Total";"detail analysis",#N/A,FALSE,"Total"}</definedName>
    <definedName name="michelle2" hidden="1">{"Summary analysis",#N/A,FALSE,"Total";"OCPH analysis",#N/A,FALSE,"Total";"detail analysis",#N/A,FALSE,"Total"}</definedName>
    <definedName name="mike" hidden="1">{"Summary analysis",#N/A,FALSE,"Total";"OCPH analysis",#N/A,FALSE,"Total";"detail analysis",#N/A,FALSE,"Total"}</definedName>
    <definedName name="mis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kmk" hidden="1">{"IS",#N/A,FALSE,"IS";"RPTIS",#N/A,FALSE,"RPTIS";"STATS",#N/A,FALSE,"STATS";"CELL",#N/A,FALSE,"CELL";"BS",#N/A,FALSE,"BS"}</definedName>
    <definedName name="mmmm" hidden="1">{#N/A,#N/A,FALSE,"UK";#N/A,#N/A,FALSE,"FR";#N/A,#N/A,FALSE,"SWE";#N/A,#N/A,FALSE,"BE";#N/A,#N/A,FALSE,"IT";#N/A,#N/A,FALSE,"SP";#N/A,#N/A,FALSE,"Ticker0009";#N/A,#N/A,FALSE,"PO";#N/A,#N/A,FALSE,"SWI";#N/A,#N/A,FALSE,"NON"}</definedName>
    <definedName name="MMO"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mo" hidden="1">{#N/A,#N/A,TRUE,"KEY DATA";#N/A,#N/A,TRUE,"KEY DATA Base Case";#N/A,#N/A,TRUE,"JULY";#N/A,#N/A,TRUE,"AUG";#N/A,#N/A,TRUE,"SEPT";#N/A,#N/A,TRUE,"3Q"}</definedName>
    <definedName name="mo_1" hidden="1">{#N/A,#N/A,TRUE,"KEY DATA";#N/A,#N/A,TRUE,"KEY DATA Base Case";#N/A,#N/A,TRUE,"JULY";#N/A,#N/A,TRUE,"AUG";#N/A,#N/A,TRUE,"SEPT";#N/A,#N/A,TRUE,"3Q"}</definedName>
    <definedName name="monthly" hidden="1">{"summary",#N/A,FALSE,"Summary";"daily",#N/A,FALSE,"Daily";"detail",#N/A,FALSE,"Detail";"flash",#N/A,FALSE,"Flash";"revenue",#N/A,FALSE,"PDF";"fxexp",#N/A,FALSE,"PDF";"headcount",#N/A,FALSE,"PDF"}</definedName>
    <definedName name="n" hidden="1">{"IS",#N/A,FALSE,"IS";"RPTIS",#N/A,FALSE,"RPTIS";"STATS",#N/A,FALSE,"STATS";"BS",#N/A,FALSE,"BS"}</definedName>
    <definedName name="nb" hidden="1">{#N/A,#N/A,FALSE,"Summary";#N/A,#N/A,FALSE,"Total";#N/A,#N/A,FALSE,"Total ex Swe";#N/A,#N/A,FALSE,"Volume";#N/A,#N/A,FALSE,"Expenses";#N/A,#N/A,FALSE,"CM Var";#N/A,#N/A,FALSE,"YTD Var"}</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debt">BS!$60:$60</definedName>
    <definedName name="netdebttocap">BS!$62:$62</definedName>
    <definedName name="netinc">IS!$20:$20</definedName>
    <definedName name="newbel" hidden="1">{"IS",#N/A,FALSE,"IS";"RPTIS",#N/A,FALSE,"RPTIS";"STATS",#N/A,FALSE,"STATS";"CELL",#N/A,FALSE,"CELL";"BS",#N/A,FALSE,"BS"}</definedName>
    <definedName name="nh" hidden="1">{#N/A,#N/A,FALSE,"UK";#N/A,#N/A,FALSE,"FR";#N/A,#N/A,FALSE,"SWE";#N/A,#N/A,FALSE,"BE";#N/A,#N/A,FALSE,"IT";#N/A,#N/A,FALSE,"SP";#N/A,#N/A,FALSE,"Ticker0009";#N/A,#N/A,FALSE,"PO";#N/A,#N/A,FALSE,"SWI";#N/A,#N/A,FALSE,"NON"}</definedName>
    <definedName name="NHR" hidden="1">{"raatios",#N/A,FALSE,"A";"ratios",#N/A,FALSE,"B";"ratios",#N/A,FALSE,"C";"ratios",#N/A,FALSE,"D";"ratios",#N/A,FALSE,"F"}</definedName>
    <definedName name="nj" hidden="1">{"inventory",#N/A,FALSE,"Inven. Turns 97 Act";"sales",#N/A,FALSE,"Inven. Turns 97 Act";"turns",#N/A,FALSE,"Inven. Turns 97 Act";"days",#N/A,FALSE,"Inven. Turns 97 Act"}</definedName>
    <definedName name="nklkjn" hidden="1">{#N/A,#N/A,FALSE,"UK";#N/A,#N/A,FALSE,"FR";#N/A,#N/A,FALSE,"SWE";#N/A,#N/A,FALSE,"BE";#N/A,#N/A,FALSE,"IT";#N/A,#N/A,FALSE,"SP";#N/A,#N/A,FALSE,"Ticker0009";#N/A,#N/A,FALSE,"PO";#N/A,#N/A,FALSE,"SWI";#N/A,#N/A,FALSE,"NON"}</definedName>
    <definedName name="nnn" hidden="1">{"inventory",#N/A,FALSE,"Inven. Turns 97 Rep";"sales",#N/A,FALSE,"Inven. Turns 97 Rep";"turns",#N/A,FALSE,"Inven. Turns 97 Rep";"days",#N/A,FALSE,"Inven. Turns 97 Rep"}</definedName>
    <definedName name="None" hidden="1">{"Summary analysis",#N/A,FALSE,"Total";"OCPH analysis",#N/A,FALSE,"Total";"detail analysis",#N/A,FALSE,"Total"}</definedName>
    <definedName name="None2" hidden="1">{"Summary analysis",#N/A,FALSE,"Total";"OCPH analysis",#N/A,FALSE,"Total";"detail analysis",#N/A,FALSE,"Total"}</definedName>
    <definedName name="nt" hidden="1">{#N/A,#N/A,FALSE,"Summary";#N/A,#N/A,FALSE,"Total";#N/A,#N/A,FALSE,"Total ex Swe";#N/A,#N/A,FALSE,"Volume";#N/A,#N/A,FALSE,"Expenses";#N/A,#N/A,FALSE,"CM Var";#N/A,#N/A,FALSE,"YTD Var"}</definedName>
    <definedName name="oieuroq" hidden="1">{#N/A,#N/A,FALSE,"UK";#N/A,#N/A,FALSE,"FR";#N/A,#N/A,FALSE,"SWE";#N/A,#N/A,FALSE,"BE";#N/A,#N/A,FALSE,"IT";#N/A,#N/A,FALSE,"SP";#N/A,#N/A,FALSE,"Ticker0009";#N/A,#N/A,FALSE,"PO";#N/A,#N/A,FALSE,"SWI";#N/A,#N/A,FALSE,"NON"}</definedName>
    <definedName name="oou" hidden="1">{"WRO-CF",#N/A,FALSE,"WHO";"DOM-CF",#N/A,FALSE,"DOM";"VENZ-CF",#N/A,FALSE,"VEN";"CAN-CF",#N/A,FALSE,"CAN";"ELIM-CF",#N/A,FALSE,"ELIM"}</definedName>
    <definedName name="opinc">IS!$14:$14</definedName>
    <definedName name="otherinc">IS!$17:$17</definedName>
    <definedName name="p" hidden="1">{"External_Annual_Income",#N/A,FALSE,"External";"External_Quarterly_Income",#N/A,FALSE,"External"}</definedName>
    <definedName name="Pal_Workbook_GUID" hidden="1">"FRRDBT27QSB9YMAE1AVF3W4H"</definedName>
    <definedName name="pensionadj">BS!$53:$53</definedName>
    <definedName name="pensiondebttocap">BS!$67:$67</definedName>
    <definedName name="pensionequity">BS!$64:$64</definedName>
    <definedName name="pensionexpense">IS!$57:$57</definedName>
    <definedName name="pensionnetdebt">BS!$66:$66</definedName>
    <definedName name="pensionnetdebttocap">BS!$68:$68</definedName>
    <definedName name="pensionshare">IS!$58:$58</definedName>
    <definedName name="pensionstatus">BS!$52:$52</definedName>
    <definedName name="pippo" hidden="1">{"receivables",#N/A,FALSE,"Receiv. Turns 3Q 98 Est";"sales",#N/A,FALSE,"Receiv. Turns 3Q 98 Est";"turns",#N/A,FALSE,"Receiv. Turns 3Q 98 Est";"pastdue",#N/A,FALSE,"Receiv. Turns 3Q 98 Est"}</definedName>
    <definedName name="pippo_" hidden="1">{"receivables",#N/A,FALSE,"Receiv. Turns 3Q 98 Est";"sales",#N/A,FALSE,"Receiv. Turns 3Q 98 Est";"turns",#N/A,FALSE,"Receiv. Turns 3Q 98 Est";"pastdue",#N/A,FALSE,"Receiv. Turns 3Q 98 Est"}</definedName>
    <definedName name="pippo_1" hidden="1">{"receivables",#N/A,FALSE,"Receiv. Turns 3Q 98 Est";"sales",#N/A,FALSE,"Receiv. Turns 3Q 98 Est";"turns",#N/A,FALSE,"Receiv. Turns 3Q 98 Est";"pastdue",#N/A,FALSE,"Receiv. Turns 3Q 98 Est"}</definedName>
    <definedName name="pli" hidden="1">{"Inventory",#N/A,TRUE,"Inven. Turns 1996";"sales",#N/A,TRUE,"Inven. Turns 1996";"Turns",#N/A,TRUE,"Inven. Turns 1996";"days",#N/A,TRUE,"Inven. Turns 1996"}</definedName>
    <definedName name="PopCache_GL_INTERFACE_REFERENCE7" hidden="1">#REF!</definedName>
    <definedName name="popoo" hidden="1">{"inventory",#N/A,FALSE,"Inven. Turns 97 Rep";"sales",#N/A,FALSE,"Inven. Turns 97 Rep";"turns",#N/A,FALSE,"Inven. Turns 97 Rep";"days",#N/A,FALSE,"Inven. Turns 97 Rep"}</definedName>
    <definedName name="pp" hidden="1">{"receivables",#N/A,FALSE,"Receiv. Turns 3Q 98 Est";"sales",#N/A,FALSE,"Receiv. Turns 3Q 98 Est";"turns",#N/A,FALSE,"Receiv. Turns 3Q 98 Est";"pastdue",#N/A,FALSE,"Receiv. Turns 3Q 98 Est"}</definedName>
    <definedName name="pp_1" hidden="1">{"receivables",#N/A,FALSE,"Receiv. Turns 3Q 98 Est";"sales",#N/A,FALSE,"Receiv. Turns 3Q 98 Est";"turns",#N/A,FALSE,"Receiv. Turns 3Q 98 Est";"pastdue",#N/A,FALSE,"Receiv. Turns 3Q 98 Est"}</definedName>
    <definedName name="ppe">BS!$16:$16</definedName>
    <definedName name="prem" hidden="1">{"Summary analysis",#N/A,FALSE,"Total";"OCPH analysis",#N/A,FALSE,"Total";"detail analysis",#N/A,FALSE,"Total"}</definedName>
    <definedName name="prem2" hidden="1">{"Summary analysis",#N/A,FALSE,"Total";"OCPH analysis",#N/A,FALSE,"Total";"detail analysis",#N/A,FALSE,"Total"}</definedName>
    <definedName name="pretax">IS!$18:$18</definedName>
    <definedName name="_xlnm.Print_Area" localSheetId="6">BS!$B$2:$CP$90</definedName>
    <definedName name="_xlnm.Print_Area" localSheetId="7">CFLO!$B$2:$CP$58</definedName>
    <definedName name="_xlnm.Print_Area" localSheetId="1">data!$B$2:$CA$332</definedName>
    <definedName name="_xlnm.Print_Area" localSheetId="5">IS!$B$2:$CP$91</definedName>
    <definedName name="_xlnm.Print_Area" localSheetId="4">SEG!$B$2:$CP$148</definedName>
    <definedName name="_xlnm.Print_Titles" localSheetId="1">data!$2:$4</definedName>
    <definedName name="Productivity" hidden="1">{"Summary analysis",#N/A,FALSE,"Total";"OCPH analysis",#N/A,FALSE,"Total";"detail analysis",#N/A,FALSE,"Total"}</definedName>
    <definedName name="Productivity2" hidden="1">{"Summary analysis",#N/A,FALSE,"Total";"OCPH analysis",#N/A,FALSE,"Total";"detail analysis",#N/A,FALSE,"Total"}</definedName>
    <definedName name="ProForma" hidden="1">{"summary",#N/A,FALSE,"Summary";"daily",#N/A,FALSE,"Daily";"detail",#N/A,FALSE,"Detail";"flash",#N/A,FALSE,"Flash";"revenue",#N/A,FALSE,"PDF";"fxexp",#N/A,FALSE,"PDF";"headcount",#N/A,FALSE,"PDF"}</definedName>
    <definedName name="PW" hidden="1">{"WRO-CF",#N/A,FALSE,"WHO";"DOM-CF",#N/A,FALSE,"DOM";"VENZ-CF",#N/A,FALSE,"VEN";"CAN-CF",#N/A,FALSE,"CAN";"ELIM-CF",#N/A,FALSE,"ELIM"}</definedName>
    <definedName name="q1.04">IS!$J:$J</definedName>
    <definedName name="q1.05">IS!$O:$O</definedName>
    <definedName name="q1.06">IS!$T:$T</definedName>
    <definedName name="q1.07">IS!$Y:$Y</definedName>
    <definedName name="q1.08">IS!$AD:$AD</definedName>
    <definedName name="q1.09">IS!$AI:$AI</definedName>
    <definedName name="q1.10">IS!$AN:$AN</definedName>
    <definedName name="q1.11">IS!$AS:$AS</definedName>
    <definedName name="q1.12">IS!$AX:$AX</definedName>
    <definedName name="q1.13">IS!$BC:$BC</definedName>
    <definedName name="q1.14">IS!$BH:$BH</definedName>
    <definedName name="q1.15">IS!$BM:$BM</definedName>
    <definedName name="q1.16">IS!$BR:$BR</definedName>
    <definedName name="q1.17">IS!$BW:$BW</definedName>
    <definedName name="q1.18">IS!$CB:$CB</definedName>
    <definedName name="q1.19">IS!$CG:$CG</definedName>
    <definedName name="q1.20">IS!$CL:$CL</definedName>
    <definedName name="q1.21">IS!$CQ:$CQ</definedName>
    <definedName name="q1.22">IS!$CV:$CV</definedName>
    <definedName name="q1.23">IS!$DA:$DA</definedName>
    <definedName name="q1.24">IS!$DF:$DF</definedName>
    <definedName name="q1.25">IS!$DK:$DK</definedName>
    <definedName name="q2.04">IS!$K:$K</definedName>
    <definedName name="q2.05">IS!$P:$P</definedName>
    <definedName name="q2.06">IS!$U:$U</definedName>
    <definedName name="q2.07">IS!$Z:$Z</definedName>
    <definedName name="q2.08">IS!$AE:$AE</definedName>
    <definedName name="q2.09">IS!$AJ:$AJ</definedName>
    <definedName name="q2.10">IS!$AO:$AO</definedName>
    <definedName name="q2.11">IS!$AT:$AT</definedName>
    <definedName name="q2.12">IS!$AY:$AY</definedName>
    <definedName name="q2.13">IS!$BD:$BD</definedName>
    <definedName name="q2.14">IS!$BI:$BI</definedName>
    <definedName name="q2.15">IS!$BN:$BN</definedName>
    <definedName name="q2.16">IS!$BS:$BS</definedName>
    <definedName name="q2.17">IS!$BX:$BX</definedName>
    <definedName name="q2.18">IS!$CC:$CC</definedName>
    <definedName name="q2.19">IS!$CH:$CH</definedName>
    <definedName name="q2.20">IS!$CM:$CM</definedName>
    <definedName name="q2.21">IS!$CR:$CR</definedName>
    <definedName name="q2.22">IS!$CW:$CW</definedName>
    <definedName name="q2.23">IS!$DB:$DB</definedName>
    <definedName name="q2.24">IS!$DG:$DG</definedName>
    <definedName name="q2.25">IS!$DL:$DL</definedName>
    <definedName name="q3.04">IS!$L:$L</definedName>
    <definedName name="q3.05">IS!$Q:$Q</definedName>
    <definedName name="q3.06">IS!$V:$V</definedName>
    <definedName name="q3.07">IS!$AA:$AA</definedName>
    <definedName name="q3.08">IS!$AF:$AF</definedName>
    <definedName name="q3.09">IS!$AK:$AK</definedName>
    <definedName name="q3.10">IS!$AP:$AP</definedName>
    <definedName name="q3.11">IS!$AU:$AU</definedName>
    <definedName name="q3.12">IS!$AZ:$AZ</definedName>
    <definedName name="q3.13">IS!$BE:$BE</definedName>
    <definedName name="q3.14">IS!$BJ:$BJ</definedName>
    <definedName name="q3.15">IS!$BO:$BO</definedName>
    <definedName name="q3.16">IS!$BT:$BT</definedName>
    <definedName name="q3.17">IS!$BY:$BY</definedName>
    <definedName name="q3.18">IS!$CD:$CD</definedName>
    <definedName name="q3.19">IS!$CI:$CI</definedName>
    <definedName name="q3.20">IS!$CN:$CN</definedName>
    <definedName name="q3.21">IS!$CS:$CS</definedName>
    <definedName name="q3.22">IS!$CX:$CX</definedName>
    <definedName name="q3.23">IS!$DC:$DC</definedName>
    <definedName name="q3.24">IS!$DH:$DH</definedName>
    <definedName name="q3.25">IS!$DM:$DM</definedName>
    <definedName name="q4.04">IS!$M:$M</definedName>
    <definedName name="q4.05">IS!$R:$R</definedName>
    <definedName name="q4.06">IS!$W:$W</definedName>
    <definedName name="q4.07">IS!$AB:$AB</definedName>
    <definedName name="q4.08">IS!$AG:$AG</definedName>
    <definedName name="q4.09">IS!$AL:$AL</definedName>
    <definedName name="q4.10">IS!$AQ:$AQ</definedName>
    <definedName name="q4.11">IS!$AV:$AV</definedName>
    <definedName name="q4.12">IS!$BA:$BA</definedName>
    <definedName name="q4.13">IS!$BF:$BF</definedName>
    <definedName name="q4.14">IS!$BK:$BK</definedName>
    <definedName name="q4.15">IS!$BP:$BP</definedName>
    <definedName name="q4.16">IS!$BU:$BU</definedName>
    <definedName name="q4.17">IS!$BZ:$BZ</definedName>
    <definedName name="q4.18">IS!$CE:$CE</definedName>
    <definedName name="q4.19">IS!$CJ:$CJ</definedName>
    <definedName name="q4.20">IS!$CO:$CO</definedName>
    <definedName name="q4.21">IS!$CT:$CT</definedName>
    <definedName name="q4.22">IS!$CY:$CY</definedName>
    <definedName name="q4.23">IS!$DD:$DD</definedName>
    <definedName name="q4.24">IS!$DI:$DI</definedName>
    <definedName name="q4.25">IS!$DN:$DN</definedName>
    <definedName name="qefdz" hidden="1">{#N/A,#N/A,FALSE,"Summary";#N/A,#N/A,FALSE,"Total";#N/A,#N/A,FALSE,"Total ex Swe";#N/A,#N/A,FALSE,"Volume";#N/A,#N/A,FALSE,"Expenses";#N/A,#N/A,FALSE,"CM Var";#N/A,#N/A,FALSE,"YTD Var"}</definedName>
    <definedName name="qsdf" hidden="1">{#N/A,#N/A,FALSE,"Ventilation";#N/A,#N/A,FALSE,"Courbe1";#N/A,#N/A,FALSE,"Courbe2"}</definedName>
    <definedName name="Rate2" hidden="1">{#N/A,#N/A,FALSE,"Company2656";#N/A,#N/A,FALSE,"FED";#N/A,#N/A,FALSE,"39";#N/A,#N/A,FALSE,"ST";#N/A,#N/A,FALSE,"Company2489";#N/A,#N/A,FALSE,"GL";#N/A,#N/A,FALSE,"AMT";#N/A,#N/A,FALSE,"AMTGL";#N/A,#N/A,FALSE,"CAL";#N/A,#N/A,FALSE,"704(c)";#N/A,#N/A,FALSE,"CAP";#N/A,#N/A,FALSE,"Company0026";#N/A,#N/A,FALSE,"REC"}</definedName>
    <definedName name="rd">IS!$13:$13</definedName>
    <definedName name="rdhy" hidden="1">{#N/A,#N/A,FALSE,"UK";#N/A,#N/A,FALSE,"FR";#N/A,#N/A,FALSE,"SWE";#N/A,#N/A,FALSE,"BE";#N/A,#N/A,FALSE,"IT";#N/A,#N/A,FALSE,"SP";#N/A,#N/A,FALSE,"Ticker0009";#N/A,#N/A,FALSE,"PO";#N/A,#N/A,FALSE,"SWI";#N/A,#N/A,FALSE,"NON"}</definedName>
    <definedName name="re.dom." hidden="1">{"DOM-IS",#N/A,FALSE,"DOM";"DOM-BS",#N/A,FALSE,"DOM";"DOM-FA",#N/A,FALSE,"DOM";"DOM-CF",#N/A,FALSE,"DOM"}</definedName>
    <definedName name="reag" hidden="1">{#N/A,#N/A,FALSE,"Summary";#N/A,#N/A,FALSE,"Total";#N/A,#N/A,FALSE,"Total ex Swe";#N/A,#N/A,FALSE,"Volume";#N/A,#N/A,FALSE,"Expenses";#N/A,#N/A,FALSE,"CM Var";#N/A,#N/A,FALSE,"YTD Var"}</definedName>
    <definedName name="recon" hidden="1">{#N/A,#N/A,TRUE,"KEY DATA";#N/A,#N/A,TRUE,"KEY DATA Base Case";#N/A,#N/A,TRUE,"JULY";#N/A,#N/A,TRUE,"AUG";#N/A,#N/A,TRUE,"SEPT";#N/A,#N/A,TRUE,"3Q"}</definedName>
    <definedName name="remove" hidden="1">{#N/A,#N/A,TRUE,"KEY DATA";#N/A,#N/A,TRUE,"KEY DATA Base Case";#N/A,#N/A,TRUE,"JULY";#N/A,#N/A,TRUE,"AUG";#N/A,#N/A,TRUE,"SEPT";#N/A,#N/A,TRUE,"3Q"}</definedName>
    <definedName name="remove2" hidden="1">{#N/A,#N/A,TRUE,"KEY DATA";#N/A,#N/A,TRUE,"KEY DATA Base Case";#N/A,#N/A,TRUE,"JULY";#N/A,#N/A,TRUE,"AUG";#N/A,#N/A,TRUE,"SEPT";#N/A,#N/A,TRUE,"3Q"}</definedName>
    <definedName name="ReportGroup" hidden="1">0</definedName>
    <definedName name="ReportPage1" hidden="1">{"Annual_Income",#N/A,FALSE,"Report Page";"Balance_Cash_Flow",#N/A,FALSE,"Report Page";"Quarterly_Income",#N/A,FALSE,"Report Page"}</definedName>
    <definedName name="rfxshyrs" hidden="1">{#N/A,#N/A,FALSE,"Summary";#N/A,#N/A,FALSE,"Total";#N/A,#N/A,FALSE,"Total ex Swe";#N/A,#N/A,FALSE,"Volume";#N/A,#N/A,FALSE,"Expenses";#N/A,#N/A,FALSE,"CM Var";#N/A,#N/A,FALSE,"YTD Var"}</definedName>
    <definedName name="rjuyg" hidden="1">{#N/A,#N/A,FALSE,"UK";#N/A,#N/A,FALSE,"FR";#N/A,#N/A,FALSE,"SWE";#N/A,#N/A,FALSE,"BE";#N/A,#N/A,FALSE,"IT";#N/A,#N/A,FALSE,"SP";#N/A,#N/A,FALSE,"Ticker0009";#N/A,#N/A,FALSE,"PO";#N/A,#N/A,FALSE,"SWI";#N/A,#N/A,FALSE,"NON"}</definedName>
    <definedName name="roic">BS!$88:$88</definedName>
    <definedName name="roy" hidden="1">{"Summary analysis",#N/A,FALSE,"Total";"OCPH analysis",#N/A,FALSE,"Total";"detail analysis",#N/A,FALSE,"Total"}</definedName>
    <definedName name="RR" hidden="1">{"summary",#N/A,FALSE,"2000 vs 1999";"detail",#N/A,FALSE,"2000 vs 1999"}</definedName>
    <definedName name="rrrrrrrrrrrrrr" hidden="1">#REF!</definedName>
    <definedName name="rshy" hidden="1">{#N/A,#N/A,FALSE,"UK";#N/A,#N/A,FALSE,"FR";#N/A,#N/A,FALSE,"SWE";#N/A,#N/A,FALSE,"BE";#N/A,#N/A,FALSE,"IT";#N/A,#N/A,FALSE,"SP";#N/A,#N/A,FALSE,"Ticker0009";#N/A,#N/A,FALSE,"PO";#N/A,#N/A,FALSE,"SWI";#N/A,#N/A,FALSE,"NON"}</definedName>
    <definedName name="rszyh" hidden="1">{#N/A,#N/A,FALSE,"Summary";#N/A,#N/A,FALSE,"Total";#N/A,#N/A,FALSE,"Total ex Swe";#N/A,#N/A,FALSE,"Volume";#N/A,#N/A,FALSE,"Expenses";#N/A,#N/A,FALSE,"CM Var";#N/A,#N/A,FALSE,"YTD Var"}</definedName>
    <definedName name="Rwvu.ANNUAL." hidden="1">#REF!,#REF!,#REF!,#REF!,#REF!,#REF!</definedName>
    <definedName name="Rwvu.NAV91." hidden="1">#REF!,#REF!</definedName>
    <definedName name="rxshy" hidden="1">{#N/A,#N/A,FALSE,"Summary";#N/A,#N/A,FALSE,"Total";#N/A,#N/A,FALSE,"Total ex Swe";#N/A,#N/A,FALSE,"Volume";#N/A,#N/A,FALSE,"Expenses";#N/A,#N/A,FALSE,"CM Var";#N/A,#N/A,FALSE,"YTD Var"}</definedName>
    <definedName name="rxsye" hidden="1">{#N/A,#N/A,FALSE,"UK";#N/A,#N/A,FALSE,"FR";#N/A,#N/A,FALSE,"SWE";#N/A,#N/A,FALSE,"BE";#N/A,#N/A,FALSE,"IT";#N/A,#N/A,FALSE,"SP";#N/A,#N/A,FALSE,"Ticker0009";#N/A,#N/A,FALSE,"PO";#N/A,#N/A,FALSE,"SWI";#N/A,#N/A,FALSE,"NON"}</definedName>
    <definedName name="sal" hidden="1">{"inventory",#N/A,FALSE,"Inven. Turns 97 Rep";"sales",#N/A,FALSE,"Inven. Turns 97 Rep";"turns",#N/A,FALSE,"Inven. Turns 97 Rep";"days",#N/A,FALSE,"Inven. Turns 97 Rep"}</definedName>
    <definedName name="sal_1" hidden="1">{"inventory",#N/A,FALSE,"Inven. Turns 97 Rep";"sales",#N/A,FALSE,"Inven. Turns 97 Rep";"turns",#N/A,FALSE,"Inven. Turns 97 Rep";"days",#N/A,FALSE,"Inven. Turns 97 Rep"}</definedName>
    <definedName name="sales">IS!$9:$9</definedName>
    <definedName name="sales_1" hidden="1">{"inventory",#N/A,FALSE,"Inven. Turns 97 Rep";"sales",#N/A,FALSE,"Inven. Turns 97 Rep";"turns",#N/A,FALSE,"Inven. Turns 97 Rep";"days",#N/A,FALSE,"Inven. Turns 97 Rep"}</definedName>
    <definedName name="SAPBEXhrIndnt" hidden="1">"Wide"</definedName>
    <definedName name="SAPBEXrevision" hidden="1">23</definedName>
    <definedName name="SAPBEXsysID" hidden="1">"BWP"</definedName>
    <definedName name="SAPBEXwbID" hidden="1">"3DT2QHV79OHQQL9JW840MTGJP"</definedName>
    <definedName name="SAPsysID" hidden="1">"708C5W7SBKP804JT78WJ0JNKI"</definedName>
    <definedName name="SAPwbID" hidden="1">"ARS"</definedName>
    <definedName name="scen_name1" hidden="1">"high1 normal"</definedName>
    <definedName name="scen_name2" hidden="1">"high1 high"</definedName>
    <definedName name="scen_name3" hidden="1">"low1 normal"</definedName>
    <definedName name="scen_name4" hidden="1">"low 2 normal"</definedName>
    <definedName name="scen_name5" hidden="1">"low2 high"</definedName>
    <definedName name="scen_name6" hidden="1">"low1 high"</definedName>
    <definedName name="scen_user1" hidden="1">"Person0321 Person1115"</definedName>
    <definedName name="scen_user2" hidden="1">"Person0321 Person1115"</definedName>
    <definedName name="scen_user3" hidden="1">"Person0321 Person1115"</definedName>
    <definedName name="scen_user4" hidden="1">"Person0321 Person1115"</definedName>
    <definedName name="scen_user5" hidden="1">"Person0321 Person1115"</definedName>
    <definedName name="scen_user6" hidden="1">"Person0321 Person1115"</definedName>
    <definedName name="sdfafaf" hidden="1">{#N/A,#N/A,FALSE,"JANLN2"}</definedName>
    <definedName name="sdfsdf" hidden="1">{"Summary analysis",#N/A,FALSE,"Total";"OCPH analysis",#N/A,FALSE,"Total";"detail analysis",#N/A,FALSE,"Total"}</definedName>
    <definedName name="sdqsdfg" hidden="1">{#N/A,#N/A,FALSE,"Ventilation";#N/A,#N/A,FALSE,"Courbe1";#N/A,#N/A,FALSE,"Courbe2"}</definedName>
    <definedName name="sdwdsdqw" hidden="1">{"'Pork'!$A$1:$N$50"}</definedName>
    <definedName name="sencount" hidden="1">1</definedName>
    <definedName name="Sept4" hidden="1">{"detail",#N/A,FALSE,"2000 vs 1999";"summary",#N/A,FALSE,"2000 vs 1999"}</definedName>
    <definedName name="serv_1" hidden="1">{"WRO-IS",#N/A,FALSE,"WHO";"DOM-IS",#N/A,FALSE,"WHO";"VENZ-IS",#N/A,FALSE,"WHO";"CAN-IS",#N/A,FALSE,"WHO";"ELIM-IS",#N/A,FALSE,"WHO"}</definedName>
    <definedName name="servicios" hidden="1">{"WRO-BS",#N/A,FALSE,"WHO";"DOM-BS",#N/A,FALSE,"WHO";"CAN-BS",#N/A,FALSE,"WHO";"ELIM-BS",#N/A,FALSE,"WHO";"VENZ-BS",#N/A,FALSE,"WHO"}</definedName>
    <definedName name="sga">IS!$12:$12</definedName>
    <definedName name="sharebb">CFLO!$39:$39</definedName>
    <definedName name="shares">IS!$51:$51</definedName>
    <definedName name="sharesfd">IS!$52:$52</definedName>
    <definedName name="SJFL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k" hidden="1">{"Qtr",#N/A,FALSE,"Earnings Model";"Annual",#N/A,FALSE,"Earnings Model"}</definedName>
    <definedName name="sky" hidden="1">{"Summary analysis",#N/A,FALSE,"Total";"OCPH analysis",#N/A,FALSE,"Total";"detail analysis",#N/A,FALSE,"Total"}</definedName>
    <definedName name="solver_lin" hidden="1">0</definedName>
    <definedName name="solver_num" hidden="1">0</definedName>
    <definedName name="solver_opt" hidden="1">#REF!</definedName>
    <definedName name="solver_tmp" hidden="1">#NULL!</definedName>
    <definedName name="solver_typ" hidden="1">3</definedName>
    <definedName name="solver_val" hidden="1">0.1076</definedName>
    <definedName name="sort" hidden="1">{#N/A,#N/A,FALSE,"EndRpt"}</definedName>
    <definedName name="sruy" hidden="1">{#N/A,#N/A,FALSE,"UK";#N/A,#N/A,FALSE,"FR";#N/A,#N/A,FALSE,"SWE";#N/A,#N/A,FALSE,"BE";#N/A,#N/A,FALSE,"IT";#N/A,#N/A,FALSE,"SP";#N/A,#N/A,FALSE,"Ticker0009";#N/A,#N/A,FALSE,"PO";#N/A,#N/A,FALSE,"SWI";#N/A,#N/A,FALSE,"NON"}</definedName>
    <definedName name="srwq" hidden="1">{#N/A,#N/A,FALSE,"Summary";#N/A,#N/A,FALSE,"Total";#N/A,#N/A,FALSE,"Total ex Swe";#N/A,#N/A,FALSE,"Volume";#N/A,#N/A,FALSE,"Expenses";#N/A,#N/A,FALSE,"CM Var";#N/A,#N/A,FALSE,"YTD Var"}</definedName>
    <definedName name="SSDSD" hidden="1">{"'POTORD'!$A$2:$G$40"}</definedName>
    <definedName name="sss" hidden="1">{"FundRat.Even",#N/A,FALSE,"Price Fundamentals";"US$Perform.Even",#N/A,FALSE,"Price Performance";"LocPerfom.Even",#N/A,FALSE,"Price Performance";"MoMGraph Even",#N/A,FALSE,"Price Performance";"YoYGraph Even",#N/A,FALSE,"Price Performance"}</definedName>
    <definedName name="stdebt">BS!#REF!</definedName>
    <definedName name="sthte" hidden="1">{#N/A,#N/A,FALSE,"Summary";#N/A,#N/A,FALSE,"Total";#N/A,#N/A,FALSE,"Total ex Swe";#N/A,#N/A,FALSE,"Volume";#N/A,#N/A,FALSE,"Expenses";#N/A,#N/A,FALSE,"CM Var";#N/A,#N/A,FALSE,"YTD Var"}</definedName>
    <definedName name="stockcomp">CFLO!$16:$16</definedName>
    <definedName name="summaryty" hidden="1">{#N/A,#N/A,TRUE,"KEY DATA";#N/A,#N/A,TRUE,"KEY DATA Base Case";#N/A,#N/A,TRUE,"JULY";#N/A,#N/A,TRUE,"AUG";#N/A,#N/A,TRUE,"SEPT";#N/A,#N/A,TRUE,"3Q"}</definedName>
    <definedName name="summaryty." hidden="1">{#N/A,#N/A,TRUE,"KEY DATA";#N/A,#N/A,TRUE,"KEY DATA Base Case";#N/A,#N/A,TRUE,"JULY";#N/A,#N/A,TRUE,"AUG";#N/A,#N/A,TRUE,"SEPT";#N/A,#N/A,TRUE,"3Q"}</definedName>
    <definedName name="summaryty_1" hidden="1">{#N/A,#N/A,TRUE,"KEY DATA";#N/A,#N/A,TRUE,"KEY DATA Base Case";#N/A,#N/A,TRUE,"JULY";#N/A,#N/A,TRUE,"AUG";#N/A,#N/A,TRUE,"SEPT";#N/A,#N/A,TRUE,"3Q"}</definedName>
    <definedName name="summmmmm" hidden="1">{#N/A,#N/A,TRUE,"KEY DATA";#N/A,#N/A,TRUE,"KEY DATA Base Case";#N/A,#N/A,TRUE,"JULY";#N/A,#N/A,TRUE,"AUG";#N/A,#N/A,TRUE,"SEPT";#N/A,#N/A,TRUE,"3Q"}</definedName>
    <definedName name="taxes">IS!$19:$19</definedName>
    <definedName name="taxrate">IS!$75:$75</definedName>
    <definedName name="tdjmh" hidden="1">{#N/A,#N/A,FALSE,"UK";#N/A,#N/A,FALSE,"FR";#N/A,#N/A,FALSE,"SWE";#N/A,#N/A,FALSE,"BE";#N/A,#N/A,FALSE,"IT";#N/A,#N/A,FALSE,"SP";#N/A,#N/A,FALSE,"Ticker0009";#N/A,#N/A,FALSE,"PO";#N/A,#N/A,FALSE,"SWI";#N/A,#N/A,FALSE,"NON"}</definedName>
    <definedName name="tdrjryds" hidden="1">{#N/A,#N/A,FALSE,"UK";#N/A,#N/A,FALSE,"FR";#N/A,#N/A,FALSE,"SWE";#N/A,#N/A,FALSE,"BE";#N/A,#N/A,FALSE,"IT";#N/A,#N/A,FALSE,"SP";#N/A,#N/A,FALSE,"Ticker0009";#N/A,#N/A,FALSE,"PO";#N/A,#N/A,FALSE,"SWI";#N/A,#N/A,FALSE,"NON"}</definedName>
    <definedName name="temp." hidden="1">{#N/A,#N/A,TRUE,"KEY DATA";#N/A,#N/A,TRUE,"KEY DATA Base Case";#N/A,#N/A,TRUE,"JULY";#N/A,#N/A,TRUE,"AUG";#N/A,#N/A,TRUE,"SEPT";#N/A,#N/A,TRUE,"3Q"}</definedName>
    <definedName name="temp_1" hidden="1">{#N/A,#N/A,TRUE,"KEY DATA";#N/A,#N/A,TRUE,"KEY DATA Base Case";#N/A,#N/A,TRUE,"JULY";#N/A,#N/A,TRUE,"AUG";#N/A,#N/A,TRUE,"SEPT";#N/A,#N/A,TRUE,"3Q"}</definedName>
    <definedName name="temp12" hidden="1">{#N/A,#N/A,TRUE,"KEY DATA";#N/A,#N/A,TRUE,"KEY DATA Base Case";#N/A,#N/A,TRUE,"JULY";#N/A,#N/A,TRUE,"AUG";#N/A,#N/A,TRUE,"SEPT";#N/A,#N/A,TRUE,"3Q"}</definedName>
    <definedName name="temp12." hidden="1">{#N/A,#N/A,TRUE,"KEY DATA";#N/A,#N/A,TRUE,"KEY DATA Base Case";#N/A,#N/A,TRUE,"JULY";#N/A,#N/A,TRUE,"AUG";#N/A,#N/A,TRUE,"SEPT";#N/A,#N/A,TRUE,"3Q"}</definedName>
    <definedName name="temp12_1" hidden="1">{#N/A,#N/A,TRUE,"KEY DATA";#N/A,#N/A,TRUE,"KEY DATA Base Case";#N/A,#N/A,TRUE,"JULY";#N/A,#N/A,TRUE,"AUG";#N/A,#N/A,TRUE,"SEPT";#N/A,#N/A,TRUE,"3Q"}</definedName>
    <definedName name="test" hidden="1">{"IS",#N/A,FALSE,"IS";"RPTIS",#N/A,FALSE,"RPTIS";"STATS",#N/A,FALSE,"STATS";"CELL",#N/A,FALSE,"CELL";"BS",#N/A,FALSE,"BS"}</definedName>
    <definedName name="test_1" hidden="1">{"'POTORD'!$A$2:$G$40"}</definedName>
    <definedName name="test2" hidden="1">{#N/A,#N/A,FALSE,"Periods";#N/A,#N/A,FALSE,"Chrt of Accts"}</definedName>
    <definedName name="TESTING" hidden="1">{"WRO-BS",#N/A,FALSE,"WHO";"DOM-BS",#N/A,FALSE,"WHO";"CAN-BS",#N/A,FALSE,"WHO";"ELIM-BS",#N/A,FALSE,"WHO";"VENZ-BS",#N/A,FALSE,"WHO"}</definedName>
    <definedName name="tets" hidden="1">{"'POTORD'!$A$2:$G$40"}</definedName>
    <definedName name="TextRefCopyRangeCount" hidden="1">22</definedName>
    <definedName name="thjeza" hidden="1">{#N/A,#N/A,FALSE,"UK";#N/A,#N/A,FALSE,"FR";#N/A,#N/A,FALSE,"SWE";#N/A,#N/A,FALSE,"BE";#N/A,#N/A,FALSE,"IT";#N/A,#N/A,FALSE,"SP";#N/A,#N/A,FALSE,"Ticker0009";#N/A,#N/A,FALSE,"PO";#N/A,#N/A,FALSE,"SWI";#N/A,#N/A,FALSE,"NON"}</definedName>
    <definedName name="thyu6rt" hidden="1">{#N/A,#N/A,FALSE,"Summary";#N/A,#N/A,FALSE,"Total";#N/A,#N/A,FALSE,"Total ex Swe";#N/A,#N/A,FALSE,"Volume";#N/A,#N/A,FALSE,"Expenses";#N/A,#N/A,FALSE,"CM Var";#N/A,#N/A,FALSE,"YTD Var"}</definedName>
    <definedName name="Tigr_Exhibit00f1d7e9_ebfb_488c_9c7d_1178dacf4452" hidden="1">#REF!</definedName>
    <definedName name="Tigr_Exhibit0337f087_519b_4802_8851_c1ff2a968b58" hidden="1">#REF!</definedName>
    <definedName name="Tigr_Exhibit03c8615a_7567_44db_9991_56a1c0368ff2" hidden="1">#REF!</definedName>
    <definedName name="Tigr_Exhibit05a759d5_ec73_4e28_b2a4_22e8849751aa" hidden="1">#REF!</definedName>
    <definedName name="Tigr_Exhibit0e26778d_3dba_45fe_8ef0_080e70efa67c" hidden="1">#REF!</definedName>
    <definedName name="Tigr_Exhibit0fda44c2_28e2_4bb9_951c_1baed0b3021a" hidden="1">#REF!</definedName>
    <definedName name="Tigr_Exhibit1117c4fc_2b20_423e_b78f_ceeb7ba25d59" hidden="1">#REF!</definedName>
    <definedName name="Tigr_Exhibit14d14958_eddd_4e2c_a32f_8b3396b86060" hidden="1">#REF!</definedName>
    <definedName name="Tigr_Exhibit15038c63_9dcd_472e_9e4a_a29bebde98c6" hidden="1">#REF!</definedName>
    <definedName name="Tigr_Exhibit1ab06ff4_fcf7_4262_b3dd_c756cffaa011" hidden="1">#REF!</definedName>
    <definedName name="Tigr_Exhibit1ab73270_d176_4ffd_beb4_5f6261fd04a0" hidden="1">#REF!</definedName>
    <definedName name="Tigr_Exhibit1adb2c49_bfc7_466e_94cb_a95bb22eacc6" hidden="1">#REF!</definedName>
    <definedName name="Tigr_Exhibit1b5309f4_a304_419d_9387_9f920b2fcf79" hidden="1">#REF!</definedName>
    <definedName name="Tigr_Exhibit1bbb6702_6f96_47c9_bdd9_73c909e82ee8" hidden="1">#REF!</definedName>
    <definedName name="Tigr_Exhibit1c0b1c5a_b9ca_4050_9764_ef3a48fda14b" hidden="1">#REF!</definedName>
    <definedName name="Tigr_Exhibit1c3f42a3_5124_4f30_96d7_21cc33035078" hidden="1">#REF!</definedName>
    <definedName name="Tigr_Exhibit1d1359d7_9560_40e8_92f9_b9e590b89da4" hidden="1">#REF!</definedName>
    <definedName name="Tigr_Exhibit1e715695_19cc_4d67_87b3_4cc6abe78394" hidden="1">#REF!</definedName>
    <definedName name="Tigr_Exhibit235051d0_f611_47c2_855c_fbd9911348f1" hidden="1">#REF!</definedName>
    <definedName name="Tigr_Exhibit28c751f2_3dbe_45a5_8d5c_9a322d298a1b" hidden="1">#REF!</definedName>
    <definedName name="Tigr_Exhibit2c5010da_768d_434a_9915_e831f02c7dec" hidden="1">#REF!</definedName>
    <definedName name="Tigr_Exhibit2c82ad88_41b1_46b9_8afc_0099ab77e92d" hidden="1">#REF!</definedName>
    <definedName name="Tigr_Exhibit2dc6868e_86cc_4b67_88da_1b4ac91e7e51" hidden="1">#REF!</definedName>
    <definedName name="Tigr_Exhibit2f15d2e8_3367_44f6_afa7_c478c87644ca" hidden="1">#REF!</definedName>
    <definedName name="Tigr_Exhibit2f7b5d56_10d7_4e58_b21f_765d39e1bd1b" hidden="1">#REF!</definedName>
    <definedName name="Tigr_Exhibit2fc427d3_64b9_4b17_83fd_f5535c7b6343" hidden="1">#REF!</definedName>
    <definedName name="Tigr_Exhibit30484631_188a_4029_94b9_dedbd5703c0b" hidden="1">#REF!</definedName>
    <definedName name="Tigr_Exhibit33331a50_af5f_4166_938d_d41e1e35cdb4" hidden="1">#REF!</definedName>
    <definedName name="Tigr_Exhibit34b7fc8a_4d0d_466f_9fca_0a1f4cd7ceec" hidden="1">#REF!</definedName>
    <definedName name="Tigr_Exhibit36e7de15_e464_446d_8958_fdcbd98b9f11" hidden="1">#REF!</definedName>
    <definedName name="Tigr_Exhibit39782708_c8a0_43c4_a9e5_5595ca029345" hidden="1">#REF!</definedName>
    <definedName name="Tigr_Exhibit3c2e48fe_e4f7_445e_8277_e0cc7e2a0716" hidden="1">#REF!</definedName>
    <definedName name="Tigr_Exhibit401d1dfc_70c0_4da2_8220_cf79c97ad564" hidden="1">#REF!</definedName>
    <definedName name="Tigr_Exhibit422d616a_8485_4a37_895e_b814ace01634" hidden="1">#REF!</definedName>
    <definedName name="Tigr_Exhibit45c31183_9082_42c3_984f_5daac1ca2f1c" hidden="1">#REF!</definedName>
    <definedName name="Tigr_Exhibit4695a41d_ee93_473a_b033_1b34066dfcc0" hidden="1">#REF!</definedName>
    <definedName name="Tigr_Exhibit4b6b8825_2d4d_445e_808f_633fc296d4f6" hidden="1">#REF!</definedName>
    <definedName name="Tigr_Exhibit4ca93ea3_5475_4e58_9c95_1d35693bf1f9" hidden="1">#REF!</definedName>
    <definedName name="Tigr_Exhibit4da18d29_d84f_4cb3_91d8_5c55dadee241" hidden="1">#REF!</definedName>
    <definedName name="Tigr_Exhibit4e04cb4f_1d66_40ee_ac60_b2d2db6642a6" hidden="1">#REF!</definedName>
    <definedName name="Tigr_Exhibit4e599df3_0185_4516_9399_dd8be917db5e" hidden="1">#REF!</definedName>
    <definedName name="Tigr_Exhibit4ef9f319_5097_45a6_92e8_3349b45a842e" hidden="1">#REF!</definedName>
    <definedName name="Tigr_Exhibit5378bf44_9756_4fd6_a07e_1bd8ab627a70" hidden="1">#REF!</definedName>
    <definedName name="Tigr_Exhibit53c05bc5_a61a_49ea_9dae_18d16bced063" hidden="1">#REF!</definedName>
    <definedName name="Tigr_Exhibit547b2df4_c3f0_485c_93ba_cc8f05d85820" hidden="1">#REF!</definedName>
    <definedName name="Tigr_Exhibit54b16911_6503_41bc_8497_7fb7dc7a7fcf" hidden="1">#REF!</definedName>
    <definedName name="Tigr_Exhibit55117343_e03e_46d6_a858_e5cc07e40d7f" hidden="1">#REF!</definedName>
    <definedName name="Tigr_Exhibit576c91a8_df99_4d99_8432_6b29a106bc94" hidden="1">#REF!</definedName>
    <definedName name="Tigr_Exhibit57acd19a_1eb8_4a45_bd53_8b8ff70bb224" hidden="1">#REF!</definedName>
    <definedName name="Tigr_Exhibit5e2d9892_f820_4231_a5f2_50c68f7c9dc2" hidden="1">#REF!</definedName>
    <definedName name="Tigr_Exhibit5e4d6227_0342_431c_bcb8_b0147e58ebfa" hidden="1">#REF!</definedName>
    <definedName name="Tigr_Exhibit5f9a29ea_bcd0_4a4c_a43c_1d0c4d17315e" hidden="1">#REF!</definedName>
    <definedName name="Tigr_Exhibit60c581ea_09ba_4c45_810a_1fd009fe332a" hidden="1">#REF!</definedName>
    <definedName name="Tigr_Exhibit6347abbe_70b2_4d67_8df9_e8a0327c7eea" hidden="1">#REF!</definedName>
    <definedName name="Tigr_Exhibit6360037d_9357_406e_87b5_cb3277f88f5a" hidden="1">#REF!</definedName>
    <definedName name="Tigr_Exhibit63d157ac_a331_4447_b3e3_0b643f662f41" hidden="1">#REF!</definedName>
    <definedName name="Tigr_Exhibit6427750b_7594_4bb6_b797_33b82ff6d066" hidden="1">#REF!</definedName>
    <definedName name="Tigr_Exhibit649b8484_3e87_41d3_9d56_77eb12d01801" hidden="1">#REF!</definedName>
    <definedName name="Tigr_Exhibit64dee21c_e3fc_4c3d_a16b_f5569fb27f92" hidden="1">#REF!</definedName>
    <definedName name="Tigr_Exhibit652bc5a2_23ba_4c56_ab76_6de9ce8561ab" hidden="1">#REF!</definedName>
    <definedName name="Tigr_Exhibit6a4c9b11_6d74_4f57_a8e9_e5be69da9a89" hidden="1">#REF!</definedName>
    <definedName name="Tigr_Exhibit6a5ab274_e0a4_4a93_9c45_614daf8f9916" hidden="1">#REF!</definedName>
    <definedName name="Tigr_Exhibit6a97d6b4_ca3b_4c59_bd9f_9f9e020cb568" hidden="1">#REF!</definedName>
    <definedName name="Tigr_Exhibit6de13fc5_5ced_472e_85fa_0f81b6de88c0" hidden="1">#REF!</definedName>
    <definedName name="Tigr_Exhibit6fe6a665_54f1_4ab3_a5de_78e9a03c31b4" hidden="1">#REF!</definedName>
    <definedName name="Tigr_Exhibit709b318c_6cc0_4e08_ac92_9a9eae27c776" hidden="1">#REF!</definedName>
    <definedName name="Tigr_Exhibit744edd66_6ef2_473e_8423_2163367f4410" hidden="1">#REF!</definedName>
    <definedName name="Tigr_Exhibit74f82cc5_ec6d_4490_9530_cd9fe2faf445" hidden="1">#REF!</definedName>
    <definedName name="Tigr_Exhibit7589105b_7b61_495a_b9bd_adf21b409440" hidden="1">#REF!</definedName>
    <definedName name="Tigr_Exhibit77d809a5_4982_4ff7_bbee_46478caa3bef" hidden="1">#REF!</definedName>
    <definedName name="Tigr_Exhibit7861187b_c01f_40d3_8631_d3b49b9b991b" hidden="1">#REF!</definedName>
    <definedName name="Tigr_Exhibit786eabe9_0f8d_4a6b_bf05_6aee439f8be5" hidden="1">#REF!</definedName>
    <definedName name="Tigr_Exhibit78e95c49_7ac0_4238_b215_5828761624cd" hidden="1">#REF!</definedName>
    <definedName name="Tigr_Exhibit7f0fe6e1_42c7_4e53_8ee1_a2577b693f3f" hidden="1">#REF!</definedName>
    <definedName name="Tigr_Exhibit7f40abe3_3eb2_4944_889e_148c62a94a30" hidden="1">#REF!</definedName>
    <definedName name="Tigr_Exhibit83f39e7f_220e_4d9e_8541_1edabe7a7a10" hidden="1">#REF!</definedName>
    <definedName name="Tigr_Exhibit84e2c1c4_971c_4e45_a929_b1572ade620e" hidden="1">#REF!</definedName>
    <definedName name="Tigr_Exhibit8fe73210_bb2d_419b_bd9c_5d7af12bd23c" hidden="1">#REF!</definedName>
    <definedName name="Tigr_Exhibit918e9ff1_8153_4ead_bb39_875cfc603382" hidden="1">#REF!</definedName>
    <definedName name="Tigr_Exhibit93b77f31_b270_4f8d_9f2b_fccdb59a21ab" hidden="1">#REF!</definedName>
    <definedName name="Tigr_Exhibit9ce5eed2_1dae_4a2f_abc1_b30f89759039" hidden="1">#REF!</definedName>
    <definedName name="Tigr_Exhibit9d86931c_b0cc_493e_ad76_674509df75aa" hidden="1">#REF!</definedName>
    <definedName name="Tigr_Exhibita528d396_2bf7_477e_af0c_753606ac8ec1" hidden="1">#REF!</definedName>
    <definedName name="Tigr_Exhibita5aa325e_aeec_464d_9586_6b85857cdec0" hidden="1">#REF!</definedName>
    <definedName name="Tigr_Exhibita8b6399f_8f7f_4410_bc36_112c9390e334" hidden="1">#REF!</definedName>
    <definedName name="Tigr_Exhibita95864cf_af54_44a6_b8f5_cfe487bd037e" hidden="1">#REF!</definedName>
    <definedName name="Tigr_Exhibitabeee823_a431_4db1_8dc5_a1c57d8e38b9" hidden="1">#REF!</definedName>
    <definedName name="Tigr_Exhibitace62d8a_7675_48b6_b390_e258db2bb94b" hidden="1">#REF!</definedName>
    <definedName name="Tigr_Exhibitb208e5e3_65c1_47a7_802f_3faca48c00f3" hidden="1">#REF!</definedName>
    <definedName name="Tigr_Exhibitb487b3fc_034e_4ef9_adfb_4b5789d8813c" hidden="1">#REF!</definedName>
    <definedName name="Tigr_Exhibitb48e1b0b_08c0_4392_81bd_fcb577c0ed9f" hidden="1">#REF!</definedName>
    <definedName name="Tigr_Exhibitb4ed8c98_d3bc_4e17_b2b0_60d7a44ff887" hidden="1">#REF!</definedName>
    <definedName name="Tigr_Exhibitb564dc7d_a012_4659_bc65_980868defe8c" hidden="1">#REF!</definedName>
    <definedName name="Tigr_Exhibitb9fd6726_955b_45b8_bb25_a838b20f3dec" hidden="1">#REF!</definedName>
    <definedName name="Tigr_Exhibitbf0dc257_f9ce_446c_887b_6f035f3bcca5" hidden="1">#REF!</definedName>
    <definedName name="Tigr_Exhibitc7b0702e_9880_4feb_92dc_02e8a00c70c5" hidden="1">#REF!</definedName>
    <definedName name="Tigr_Exhibitc95e6280_fdd7_456e_8bcc_f8c6dc22f7f4" hidden="1">#REF!</definedName>
    <definedName name="Tigr_Exhibitc9b7ae97_9cc3_4e1b_9cee_ad8a236a7d76" hidden="1">#REF!</definedName>
    <definedName name="Tigr_Exhibitca17613e_7079_4aa1_9e93_6eb1f407f93f" hidden="1">#REF!</definedName>
    <definedName name="Tigr_Exhibitce09a3de_8887_4b70_9375_f6d979c8ae70" hidden="1">#REF!</definedName>
    <definedName name="Tigr_Exhibitce729fd1_6b5a_4690_98ff_7cdd768e1045" hidden="1">#REF!</definedName>
    <definedName name="Tigr_Exhibitd51e0104_00fe_49a4_8fb0_c84c6de15e15" hidden="1">#REF!</definedName>
    <definedName name="Tigr_Exhibitd5cdfafb_1191_469a_a747_e150146f1104" hidden="1">#REF!</definedName>
    <definedName name="Tigr_Exhibitd614a6e6_b943_403e_ba15_e9229b357630" hidden="1">#REF!</definedName>
    <definedName name="Tigr_Exhibitdde5a7cb_d54d_4671_b2b0_c8fb82d315e5" hidden="1">#REF!</definedName>
    <definedName name="Tigr_Exhibitdf1f8977_aaac_4cd1_bc8d_ea416fcc316a" hidden="1">#REF!</definedName>
    <definedName name="Tigr_Exhibitdfa92a7e_c428_458f_8cca_3f038391fa4b" hidden="1">#REF!</definedName>
    <definedName name="Tigr_Exhibite027a3e8_2f34_45ff_9d1d_d6c8f8417e99" hidden="1">#REF!</definedName>
    <definedName name="Tigr_Exhibite456e915_c9ad_42b6_8b7a_e878b2cab5a7" hidden="1">#REF!</definedName>
    <definedName name="Tigr_Exhibite481de2f_a7a8_44f8_96a8_44b5a9d39e66" hidden="1">#REF!</definedName>
    <definedName name="Tigr_Exhibite6a1ebee_1771_4c23_8f70_705ba5bbd1fe" hidden="1">#REF!</definedName>
    <definedName name="Tigr_Exhibite6e1525f_a50f_4114_986c_840e27de876e" hidden="1">#REF!</definedName>
    <definedName name="Tigr_Exhibitebb23fc5_da4c_401d_be6f_3148ac520a99" hidden="1">#REF!</definedName>
    <definedName name="Tigr_Exhibited399084_54dd_4466_ac01_4a2695f2f0a3" hidden="1">#REF!</definedName>
    <definedName name="Tigr_Exhibitf230839f_7830_413d_abd5_e33278fe5631" hidden="1">#REF!</definedName>
    <definedName name="Tigr_Exhibitf2fdfc06_1dc1_4430_b025_ac0ad2c33b0c" hidden="1">#REF!</definedName>
    <definedName name="Tigr_Exhibitf4331eee_5b06_490a_80a9_8daf6a22f0fd" hidden="1">#REF!</definedName>
    <definedName name="Tigr_Exhibitf5de036a_6c69_4516_bc86_4fc273496697" hidden="1">#REF!</definedName>
    <definedName name="Tigr_Exhibitf6302d11_c775_4ba2_818b_6d5e06b6896c" hidden="1">#REF!</definedName>
    <definedName name="Tigr_Exhibitf9416893_67d6_43b9_8fbd_248953b28126" hidden="1">#REF!</definedName>
    <definedName name="Tigr_Exhibitfa3f30b6_425d_4886_ba8d_0cea0cda9490" hidden="1">#REF!</definedName>
    <definedName name="Tigr_Exhibitfd7207e5_1f6b_4822_b635_ecff6c603fb1" hidden="1">#REF!</definedName>
    <definedName name="Tigr_Exhibitfd747811_1e70_4efd_a62b_cf5d4b56ab2f" hidden="1">#REF!</definedName>
    <definedName name="tl">BS!$36:$36</definedName>
    <definedName name="tony" hidden="1">{"Summary analysis",#N/A,FALSE,"Total";"OCPH analysis",#N/A,FALSE,"Total";"detail analysis",#N/A,FALSE,"Total"}</definedName>
    <definedName name="tony2" hidden="1">{"Summary analysis",#N/A,FALSE,"Total";"OCPH analysis",#N/A,FALSE,"Total";"detail analysis",#N/A,FALSE,"Total"}</definedName>
    <definedName name="totalassets">BS!$22:$22</definedName>
    <definedName name="totalpack" hidden="1">{#N/A,#N/A,FALSE,"UK";#N/A,#N/A,FALSE,"FR";#N/A,#N/A,FALSE,"SWE";#N/A,#N/A,FALSE,"BE";#N/A,#N/A,FALSE,"IT";#N/A,#N/A,FALSE,"SP";#N/A,#N/A,FALSE,"Ticker0009";#N/A,#N/A,FALSE,"PO";#N/A,#N/A,FALSE,"SWI";#N/A,#N/A,FALSE,"NON"}</definedName>
    <definedName name="trysz" hidden="1">{#N/A,#N/A,FALSE,"Summary";#N/A,#N/A,FALSE,"Total";#N/A,#N/A,FALSE,"Total ex Swe";#N/A,#N/A,FALSE,"Volume";#N/A,#N/A,FALSE,"Expenses";#N/A,#N/A,FALSE,"CM Var";#N/A,#N/A,FALSE,"YTD Var"}</definedName>
    <definedName name="uk" hidden="1">{"summary",#N/A,FALSE,"Summary";"daily",#N/A,FALSE,"Daily";"detail",#N/A,FALSE,"Detail";"flash",#N/A,FALSE,"Flash";"revenue",#N/A,FALSE,"PDF";"fxexp",#N/A,FALSE,"PDF";"headcount",#N/A,FALSE,"PDF"}</definedName>
    <definedName name="upi" hidden="1">{#N/A,#N/A,FALSE,"Summary";#N/A,#N/A,FALSE,"Total";#N/A,#N/A,FALSE,"Total ex Swe";#N/A,#N/A,FALSE,"Volume";#N/A,#N/A,FALSE,"Expenses";#N/A,#N/A,FALSE,"CM Var";#N/A,#N/A,FALSE,"YTD Var"}</definedName>
    <definedName name="UpperRowTT" hidden="1">#REF!</definedName>
    <definedName name="uuuiii" hidden="1">{"WRO-BS",#N/A,FALSE,"WHO";"DOM-BS",#N/A,FALSE,"WHO";"CAN-BS",#N/A,FALSE,"WHO";"ELIM-BS",#N/A,FALSE,"WHO";"VENZ-BS",#N/A,FALSE,"WHO"}</definedName>
    <definedName name="uuuu" hidden="1">{"WRO-BS",#N/A,FALSE,"WHO";"DOM-BS",#N/A,FALSE,"WHO";"CAN-BS",#N/A,FALSE,"WHO";"ELIM-BS",#N/A,FALSE,"WHO";"VENZ-BS",#N/A,FALSE,"WHO"}</definedName>
    <definedName name="v" hidden="1">{"IS",#N/A,FALSE,"IS";"RPTIS",#N/A,FALSE,"RPTIS";"STATS",#N/A,FALSE,"STATS";"CELL",#N/A,FALSE,"CELL";"BS",#N/A,FALSE,"BS"}</definedName>
    <definedName name="V_ALL_Ticker0009">#REF!</definedName>
    <definedName name="V_ALL_KEYWORDS_TYPE_ScalarContributed_EQTY_200001266">#REF!,#REF!,#REF!,#REF!,#REF!</definedName>
    <definedName name="V_ALL_KEYWORDS_TYPE_ScalarContributed_ISSR_208000403">#REF!,#REF!</definedName>
    <definedName name="V_ALL_KEYWORDS_TYPE_ScalarReference_EQTY_200001266">#REF!</definedName>
    <definedName name="V_ALL_KEYWORDS_TYPE_ScalarReference_ISSR_208000403">#REF!</definedName>
    <definedName name="V_ALL_KEYWORDS_TYPE_Vector_EQTY_200001266">#REF!,#REF!,#REF!,#REF!,#REF!,#REF!,#REF!</definedName>
    <definedName name="V_ALL_KEYWORDS_TYPE_Vector_ISSR_208000403">#REF!,#REF!,#REF!,#REF!,#REF!,#REF!,#REF!,#REF!,#REF!</definedName>
    <definedName name="V_ALL_LMT">#REF!</definedName>
    <definedName name="V_ALL_LMT_">#REF!</definedName>
    <definedName name="V_ALL_SECTION_KEYWORDS_EQTY_200001266_1314">#REF!</definedName>
    <definedName name="V_ALL_SECTION_KEYWORDS_EQTY_200001266_1319">#REF!</definedName>
    <definedName name="V_ALL_SECTION_KEYWORDS_EQTY_200001266_131E">#REF!</definedName>
    <definedName name="V_ALL_SECTION_KEYWORDS_EQTY_200001266_131O">#REF!</definedName>
    <definedName name="V_ALL_SECTION_KEYWORDS_EQTY_200001266_13A">#REF!</definedName>
    <definedName name="V_ALL_SECTION_KEYWORDS_EQTY_200001266_13K">#REF!</definedName>
    <definedName name="V_ALL_SECTION_KEYWORDS_EQTY_200001266_13U">#REF!</definedName>
    <definedName name="V_ALL_SECTION_KEYWORDS_EQTY_200001266_13V">#REF!</definedName>
    <definedName name="V_ALL_SECTION_KEYWORDS_EQTY_200001266_13W">#REF!</definedName>
    <definedName name="V_ALL_SECTION_KEYWORDS_EQTY_200001266_Reference_Data">#REF!</definedName>
    <definedName name="V_ALL_SECTION_KEYWORDS_ISSR_208000403_1314">#REF!</definedName>
    <definedName name="V_ALL_SECTION_KEYWORDS_ISSR_208000403_13168">#REF!</definedName>
    <definedName name="V_ALL_SECTION_KEYWORDS_ISSR_208000403_1316S">#REF!</definedName>
    <definedName name="V_ALL_SECTION_KEYWORDS_ISSR_208000403_1316T">#REF!</definedName>
    <definedName name="V_ALL_SECTION_KEYWORDS_ISSR_208000403_1316U">#REF!</definedName>
    <definedName name="V_ALL_SECTION_KEYWORDS_ISSR_208000403_1319">#REF!</definedName>
    <definedName name="V_ALL_SECTION_KEYWORDS_ISSR_208000403_131E">#REF!</definedName>
    <definedName name="V_ALL_SECTION_KEYWORDS_ISSR_208000403_131J">#REF!</definedName>
    <definedName name="V_ALL_SECTION_KEYWORDS_ISSR_208000403_131O">#REF!</definedName>
    <definedName name="V_ALL_SECTION_KEYWORDS_ISSR_208000403_136E">#REF!,#REF!</definedName>
    <definedName name="V_ALL_SECTION_KEYWORDS_ISSR_208000403_13A">#REF!</definedName>
    <definedName name="V_ALL_SECTION_KEYWORDS_ISSR_208000403_13U">#REF!</definedName>
    <definedName name="V_ALL_SECTION_KEYWORDS_ISSR_208000403_13V">#REF!</definedName>
    <definedName name="V_ALL_SECTION_KEYWORDS_ISSR_208000403_Reference_Data">#REF!</definedName>
    <definedName name="V_ALL_SECTIONS_EQTY_200001266">#REF!,#REF!,#REF!,#REF!,#REF!,#REF!,#REF!,#REF!,#REF!,#REF!</definedName>
    <definedName name="V_CURRENCY_EQTY_200001266_PRI">#REF!</definedName>
    <definedName name="V_CURRENCY_EQTY_200001266_PUB">#REF!</definedName>
    <definedName name="V_CURRENCY_EQTY_200001266_REP">#REF!</definedName>
    <definedName name="V_CURRENCY_ISSR_208000403_REP">#REF!</definedName>
    <definedName name="V_KEYWORD_EQTY_200001266_AMER_LIST">#REF!</definedName>
    <definedName name="V_KEYWORD_EQTY_200001266_BETA_ANALYST">#REF!</definedName>
    <definedName name="V_KEYWORD_EQTY_200001266_BVPS">#REF!</definedName>
    <definedName name="V_KEYWORD_EQTY_200001266_BVPS_PUB">#REF!</definedName>
    <definedName name="V_KEYWORD_EQTY_200001266_CEEE_EPS">#REF!</definedName>
    <definedName name="V_KEYWORD_EQTY_200001266_CF_NI_PRE_PREF">#REF!</definedName>
    <definedName name="V_KEYWORD_EQTY_200001266_COMMON_DIV_PAID">#REF!</definedName>
    <definedName name="V_KEYWORD_EQTY_200001266_CURRENCY_ISO">#REF!</definedName>
    <definedName name="V_KEYWORD_EQTY_200001266_DILUTE_SHARES">#REF!</definedName>
    <definedName name="V_KEYWORD_EQTY_200001266_DPS">#REF!</definedName>
    <definedName name="V_KEYWORD_EQTY_200001266_DPS_PUB">#REF!</definedName>
    <definedName name="V_KEYWORD_EQTY_200001266_EBIT_PUB">#REF!</definedName>
    <definedName name="V_KEYWORD_EQTY_200001266_EBITDA_PUB">#REF!</definedName>
    <definedName name="V_KEYWORD_EQTY_200001266_EPS">#REF!</definedName>
    <definedName name="V_KEYWORD_EQTY_200001266_EPS_EX_ESO_B">#REF!</definedName>
    <definedName name="V_KEYWORD_EQTY_200001266_EPS_EX_ESO_D">#REF!</definedName>
    <definedName name="V_KEYWORD_EQTY_200001266_EPS_FUL_DIL">#REF!</definedName>
    <definedName name="V_KEYWORD_EQTY_200001266_EPS_POST_BASIC">#REF!</definedName>
    <definedName name="V_KEYWORD_EQTY_200001266_EPS_PUB">#REF!</definedName>
    <definedName name="V_KEYWORD_EQTY_200001266_EPS_PUB_EX_ESO">#REF!</definedName>
    <definedName name="V_KEYWORD_EQTY_200001266_EQ_PUB">#REF!</definedName>
    <definedName name="V_KEYWORD_EQTY_200001266_ESO_POST_TAX">#REF!</definedName>
    <definedName name="V_KEYWORD_EQTY_200001266_ESO_YEAR">#REF!</definedName>
    <definedName name="V_KEYWORD_EQTY_200001266_EV_ADJ_PUB">#REF!</definedName>
    <definedName name="V_KEYWORD_EQTY_200001266_FREE_FLOAT">#REF!</definedName>
    <definedName name="V_KEYWORD_EQTY_200001266_FULLY_DIL_EPS">#REF!</definedName>
    <definedName name="V_KEYWORD_EQTY_200001266_FV_GRANT">#REF!</definedName>
    <definedName name="V_KEYWORD_EQTY_200001266_INC_MINORITY">#REF!</definedName>
    <definedName name="V_KEYWORD_EQTY_200001266_Interim_Type">#REF!</definedName>
    <definedName name="V_KEYWORD_EQTY_200001266_LEGAL_RATING">#REF!</definedName>
    <definedName name="V_KEYWORD_EQTY_200001266_MARGIN_TAX_RATE">#REF!</definedName>
    <definedName name="V_KEYWORD_EQTY_200001266_MKT_EQ_RISK_PREM">#REF!</definedName>
    <definedName name="V_KEYWORD_EQTY_200001266_NET_DEBT_PUB">#REF!</definedName>
    <definedName name="V_KEYWORD_EQTY_200001266_NET_EARNING">#REF!</definedName>
    <definedName name="V_KEYWORD_EQTY_200001266_NET_INC">#REF!</definedName>
    <definedName name="V_KEYWORD_EQTY_200001266_NI_PRE_PREF">#REF!</definedName>
    <definedName name="V_KEYWORD_EQTY_200001266_NI_PUB">#REF!</definedName>
    <definedName name="V_KEYWORD_EQTY_200001266_NON_OP_ADD">#REF!</definedName>
    <definedName name="V_KEYWORD_EQTY_200001266_NUM_SH">#REF!</definedName>
    <definedName name="V_KEYWORD_EQTY_200001266_PREF_DIV">#REF!</definedName>
    <definedName name="V_KEYWORD_EQTY_200001266_PRICE_CURRENCY_ISO">#REF!</definedName>
    <definedName name="V_KEYWORD_EQTY_200001266_PROV_INC_TAX">#REF!</definedName>
    <definedName name="V_KEYWORD_EQTY_200001266_PTP_PUB">#REF!</definedName>
    <definedName name="V_KEYWORD_EQTY_200001266_PUB_CURRENCY_ISO">#REF!</definedName>
    <definedName name="V_KEYWORD_EQTY_200001266_REPUR_ACTUAL">#REF!</definedName>
    <definedName name="V_KEYWORD_EQTY_200001266_REPUR_REMAINING">#REF!</definedName>
    <definedName name="V_KEYWORD_EQTY_200001266_REPUR_SUSPENDED">#REF!</definedName>
    <definedName name="V_KEYWORD_EQTY_200001266_REPUR_TOT_AUTH">#REF!</definedName>
    <definedName name="V_KEYWORD_EQTY_200001266_REVS_PUB">#REF!</definedName>
    <definedName name="V_KEYWORD_EQTY_200001266_RISK_FR_RATE">#REF!</definedName>
    <definedName name="V_KEYWORD_EQTY_200001266_Security_Name">#REF!</definedName>
    <definedName name="V_KEYWORD_EQTY_200001266_SH">#REF!</definedName>
    <definedName name="V_KEYWORD_EQTY_200001266_TARGET_PRICE">#REF!</definedName>
    <definedName name="V_KEYWORD_EQTY_200001266_TAX_EXC">#REF!</definedName>
    <definedName name="V_KEYWORD_EQTY_200001266_Ticker">#REF!</definedName>
    <definedName name="V_KEYWORD_EQTY_200001266_TP_PERIOD">#REF!</definedName>
    <definedName name="V_KEYWORD_ISSR_208000403_ACC_AMORT">#REF!</definedName>
    <definedName name="V_KEYWORD_ISSR_208000403_ACC_DDA">#REF!</definedName>
    <definedName name="V_KEYWORD_ISSR_208000403_ACC_END_DATE">#REF!</definedName>
    <definedName name="V_KEYWORD_ISSR_208000403_ACC_PAY_GQ">#REF!</definedName>
    <definedName name="V_KEYWORD_ISSR_208000403_ACQ">#REF!</definedName>
    <definedName name="V_KEYWORD_ISSR_208000403_ADJ_UNF_PENS_GOOD">#REF!</definedName>
    <definedName name="V_KEYWORD_ISSR_208000403_ASSOC_JV_ADDBK">#REF!</definedName>
    <definedName name="V_KEYWORD_ISSR_208000403_ASSOCIATE">#REF!</definedName>
    <definedName name="V_KEYWORD_ISSR_208000403_ASSOCIATE_OP">#REF!</definedName>
    <definedName name="V_KEYWORD_ISSR_208000403_BAL_MINO_INT">#REF!</definedName>
    <definedName name="V_KEYWORD_ISSR_208000403_CAP_LEASES">#REF!</definedName>
    <definedName name="V_KEYWORD_ISSR_208000403_CAPEX">#REF!</definedName>
    <definedName name="V_KEYWORD_ISSR_208000403_CAPEX_EXPANSION">#REF!</definedName>
    <definedName name="V_KEYWORD_ISSR_208000403_CAPEX_MAINTENANCE">#REF!</definedName>
    <definedName name="V_KEYWORD_ISSR_208000403_CASH_EQ">#REF!</definedName>
    <definedName name="V_KEYWORD_ISSR_208000403_CASH_INT_EXP">#REF!</definedName>
    <definedName name="V_KEYWORD_ISSR_208000403_CASH_PCT_OS_US">#REF!</definedName>
    <definedName name="V_KEYWORD_ISSR_208000403_CASH_TAX_EXP">#REF!</definedName>
    <definedName name="V_KEYWORD_ISSR_208000403_CF_FIN">#REF!</definedName>
    <definedName name="V_KEYWORD_ISSR_208000403_CF_INC_MINORITY">#REF!</definedName>
    <definedName name="V_KEYWORD_ISSR_208000403_CF_INV">#REF!</definedName>
    <definedName name="V_KEYWORD_ISSR_208000403_CF_OPS">#REF!</definedName>
    <definedName name="V_KEYWORD_ISSR_208000403_CHG_LT_DEBT">#REF!</definedName>
    <definedName name="V_KEYWORD_ISSR_208000403_CO_BOR_MARGIN">#REF!</definedName>
    <definedName name="V_KEYWORD_ISSR_208000403_COST_GD_SD">#REF!</definedName>
    <definedName name="V_KEYWORD_ISSR_208000403_CUR_ASS">#REF!</definedName>
    <definedName name="V_KEYWORD_ISSR_208000403_CURRENCY_ISO">#REF!</definedName>
    <definedName name="V_KEYWORD_ISSR_208000403_DEBTORS">#REF!</definedName>
    <definedName name="V_KEYWORD_ISSR_208000403_DEF_INC_TAX">#REF!</definedName>
    <definedName name="V_KEYWORD_ISSR_208000403_DEPR_AMORT">#REF!</definedName>
    <definedName name="V_KEYWORD_ISSR_208000403_DEPREC">#REF!</definedName>
    <definedName name="V_KEYWORD_ISSR_208000403_DIV_PAID">#REF!</definedName>
    <definedName name="V_KEYWORD_ISSR_208000403_DIVDS_ASSOC_JV">#REF!</definedName>
    <definedName name="V_KEYWORD_ISSR_208000403_DIVDS_PD_MINORITIES">#REF!</definedName>
    <definedName name="V_KEYWORD_ISSR_208000403_DIVEST">#REF!</definedName>
    <definedName name="V_KEYWORD_ISSR_208000403_EBIT">#REF!</definedName>
    <definedName name="V_KEYWORD_ISSR_208000403_EBIT_FIN_SEGMENT">#REF!</definedName>
    <definedName name="V_KEYWORD_ISSR_208000403_EBITDA_CALC">#REF!</definedName>
    <definedName name="V_KEYWORD_ISSR_208000403_EMPLOYEES">#REF!</definedName>
    <definedName name="V_KEYWORD_ISSR_208000403_EQ">#REF!</definedName>
    <definedName name="V_KEYWORD_ISSR_208000403_ESO_PRE_TAX">#REF!</definedName>
    <definedName name="V_KEYWORD_ISSR_208000403_EXP_ALUMINIUM">#REF!</definedName>
    <definedName name="V_KEYWORD_ISSR_208000403_EXP_COPPER">#REF!</definedName>
    <definedName name="V_KEYWORD_ISSR_208000403_EXP_GLASS">#REF!</definedName>
    <definedName name="V_KEYWORD_ISSR_208000403_EXP_GOLD">#REF!</definedName>
    <definedName name="V_KEYWORD_ISSR_208000403_EXP_NAT_GAS">#REF!</definedName>
    <definedName name="V_KEYWORD_ISSR_208000403_EXP_NICKEL">#REF!</definedName>
    <definedName name="V_KEYWORD_ISSR_208000403_EXP_OIL_DERIV_NGLS_PLASTICS">#REF!</definedName>
    <definedName name="V_KEYWORD_ISSR_208000403_EXP_OIL_PETRO_FUEL">#REF!</definedName>
    <definedName name="V_KEYWORD_ISSR_208000403_EXP_OTH_COMMODITY">#REF!</definedName>
    <definedName name="V_KEYWORD_ISSR_208000403_EXP_OTH_COST">#REF!</definedName>
    <definedName name="V_KEYWORD_ISSR_208000403_EXP_PALLADIUM">#REF!</definedName>
    <definedName name="V_KEYWORD_ISSR_208000403_EXP_PLATINUM">#REF!</definedName>
    <definedName name="V_KEYWORD_ISSR_208000403_EXP_RUBBER">#REF!</definedName>
    <definedName name="V_KEYWORD_ISSR_208000403_EXP_SILVER">#REF!</definedName>
    <definedName name="V_KEYWORD_ISSR_208000403_EXP_STEEL">#REF!</definedName>
    <definedName name="V_KEYWORD_ISSR_208000403_EXP_WATER">#REF!</definedName>
    <definedName name="V_KEYWORD_ISSR_208000403_EXP_Company3050">#REF!</definedName>
    <definedName name="V_KEYWORD_ISSR_208000403_FIX_ASS_INV">#REF!</definedName>
    <definedName name="V_KEYWORD_ISSR_208000403_GCI_INFL">#REF!</definedName>
    <definedName name="V_KEYWORD_ISSR_208000403_GOODWILL_AMORT">#REF!</definedName>
    <definedName name="V_KEYWORD_ISSR_208000403_GR_FIX_ASS">#REF!</definedName>
    <definedName name="V_KEYWORD_ISSR_208000403_GR_INTANG">#REF!</definedName>
    <definedName name="V_KEYWORD_ISSR_208000403_INT_EXP_IND">#REF!</definedName>
    <definedName name="V_KEYWORD_ISSR_208000403_INT_INC_IND">#REF!</definedName>
    <definedName name="V_KEYWORD_ISSR_208000403_INV_SECUR">#REF!</definedName>
    <definedName name="V_KEYWORD_ISSR_208000403_Issuer_Name">#REF!</definedName>
    <definedName name="V_KEYWORD_ISSR_208000403_LEASE_DEEM_DEPR">#REF!</definedName>
    <definedName name="V_KEYWORD_ISSR_208000403_LEASE_DEEM_INT">#REF!</definedName>
    <definedName name="V_KEYWORD_ISSR_208000403_LEASE_PAY">#REF!</definedName>
    <definedName name="V_KEYWORD_ISSR_208000403_LT_DEBT">#REF!</definedName>
    <definedName name="V_KEYWORD_ISSR_208000403_MA_PROB">#REF!</definedName>
    <definedName name="V_KEYWORD_ISSR_208000403_MINORITIES">#REF!</definedName>
    <definedName name="V_KEYWORD_ISSR_208000403_MV_ASSOCIATES">#REF!</definedName>
    <definedName name="V_KEYWORD_ISSR_208000403_NET_DEBT">#REF!</definedName>
    <definedName name="V_KEYWORD_ISSR_208000403_NET_DEBT_ADJ">#REF!</definedName>
    <definedName name="V_KEYWORD_ISSR_208000403_NET_FIX_ASS">#REF!</definedName>
    <definedName name="V_KEYWORD_ISSR_208000403_NET_INT_CH">#REF!</definedName>
    <definedName name="V_KEYWORD_ISSR_208000403_NET_INT_EXP">#REF!</definedName>
    <definedName name="V_KEYWORD_ISSR_208000403_NET_INTANG">#REF!</definedName>
    <definedName name="V_KEYWORD_ISSR_208000403_NONPPE_CAPEX">#REF!</definedName>
    <definedName name="V_KEYWORD_ISSR_208000403_OP_COST">#REF!</definedName>
    <definedName name="V_KEYWORD_ISSR_208000403_ORD_SH_FUND">#REF!</definedName>
    <definedName name="V_KEYWORD_ISSR_208000403_OTH_COST_INC">#REF!</definedName>
    <definedName name="V_KEYWORD_ISSR_208000403_OTH_CUR_ASS">#REF!</definedName>
    <definedName name="V_KEYWORD_ISSR_208000403_OTH_CUR_LIABS">#REF!</definedName>
    <definedName name="V_KEYWORD_ISSR_208000403_OTH_DACF_ADJ">#REF!</definedName>
    <definedName name="V_KEYWORD_ISSR_208000403_OTH_FIN_CF">#REF!</definedName>
    <definedName name="V_KEYWORD_ISSR_208000403_OTH_GCI_ADJ">#REF!</definedName>
    <definedName name="V_KEYWORD_ISSR_208000403_OTH_INV_CF">#REF!</definedName>
    <definedName name="V_KEYWORD_ISSR_208000403_OTH_LT_ASS">#REF!</definedName>
    <definedName name="V_KEYWORD_ISSR_208000403_OTH_LT_CRED_GQ">#REF!</definedName>
    <definedName name="V_KEYWORD_ISSR_208000403_OTH_NONCASH_ADJ">#REF!</definedName>
    <definedName name="V_KEYWORD_ISSR_208000403_OTH_OP_CF">#REF!</definedName>
    <definedName name="V_KEYWORD_ISSR_208000403_OTH_OP_INC_EXP">#REF!</definedName>
    <definedName name="V_KEYWORD_ISSR_208000403_PERIOD_MILESTONE">#REF!</definedName>
    <definedName name="V_KEYWORD_ISSR_208000403_PL_SALE_ASSETS">#REF!</definedName>
    <definedName name="V_KEYWORD_ISSR_208000403_PREF_SH">#REF!</definedName>
    <definedName name="V_KEYWORD_ISSR_208000403_PROFIT_ON_DISP">#REF!</definedName>
    <definedName name="V_KEYWORD_ISSR_208000403_PT_PROF">#REF!</definedName>
    <definedName name="V_KEYWORD_ISSR_208000403_RD_EXP">#REF!</definedName>
    <definedName name="V_KEYWORD_ISSR_208000403_REV_FIN_SEGMENT">#REF!</definedName>
    <definedName name="V_KEYWORD_ISSR_208000403_SALES">#REF!</definedName>
    <definedName name="V_KEYWORD_ISSR_208000403_SALES_ARGENTINA">#REF!</definedName>
    <definedName name="V_KEYWORD_ISSR_208000403_SALES_BRAZIL">#REF!</definedName>
    <definedName name="V_KEYWORD_ISSR_208000403_SALES_CANADA">#REF!</definedName>
    <definedName name="V_KEYWORD_ISSR_208000403_SALES_CEE">#REF!</definedName>
    <definedName name="V_KEYWORD_ISSR_208000403_SALES_CHILE">#REF!</definedName>
    <definedName name="V_KEYWORD_ISSR_208000403_SALES_CHINA">#REF!</definedName>
    <definedName name="V_KEYWORD_ISSR_208000403_SALES_COLOMBIA">#REF!</definedName>
    <definedName name="V_KEYWORD_ISSR_208000403_SALES_CONS">#REF!</definedName>
    <definedName name="V_KEYWORD_ISSR_208000403_SALES_EU_EX_UK">#REF!</definedName>
    <definedName name="V_KEYWORD_ISSR_208000403_SALES_FINAN">#REF!</definedName>
    <definedName name="V_KEYWORD_ISSR_208000403_SALES_FX_ARS">#REF!</definedName>
    <definedName name="V_KEYWORD_ISSR_208000403_SALES_FX_BRL">#REF!</definedName>
    <definedName name="V_KEYWORD_ISSR_208000403_SALES_FX_CAD">#REF!</definedName>
    <definedName name="V_KEYWORD_ISSR_208000403_SALES_FX_CLP">#REF!</definedName>
    <definedName name="V_KEYWORD_ISSR_208000403_SALES_FX_CNY">#REF!</definedName>
    <definedName name="V_KEYWORD_ISSR_208000403_SALES_FX_COP">#REF!</definedName>
    <definedName name="V_KEYWORD_ISSR_208000403_SALES_FX_EUR">#REF!</definedName>
    <definedName name="V_KEYWORD_ISSR_208000403_SALES_FX_GPB">#REF!</definedName>
    <definedName name="V_KEYWORD_ISSR_208000403_SALES_FX_INR">#REF!</definedName>
    <definedName name="V_KEYWORD_ISSR_208000403_SALES_FX_MXN">#REF!</definedName>
    <definedName name="V_KEYWORD_ISSR_208000403_SALES_FX_OTH">#REF!</definedName>
    <definedName name="V_KEYWORD_ISSR_208000403_SALES_FX_RUB">#REF!</definedName>
    <definedName name="V_KEYWORD_ISSR_208000403_SALES_FX_USD">#REF!</definedName>
    <definedName name="V_KEYWORD_ISSR_208000403_SALES_FX_VEF">#REF!</definedName>
    <definedName name="V_KEYWORD_ISSR_208000403_SALES_FX_YEN">#REF!</definedName>
    <definedName name="V_KEYWORD_ISSR_208000403_SALES_GOV">#REF!</definedName>
    <definedName name="V_KEYWORD_ISSR_208000403_SALES_IND">#REF!</definedName>
    <definedName name="V_KEYWORD_ISSR_208000403_SALES_INDIA">#REF!</definedName>
    <definedName name="V_KEYWORD_ISSR_208000403_SALES_JAPAN">#REF!</definedName>
    <definedName name="V_KEYWORD_ISSR_208000403_SALES_ME">#REF!</definedName>
    <definedName name="V_KEYWORD_ISSR_208000403_SALES_MEXICO">#REF!</definedName>
    <definedName name="V_KEYWORD_ISSR_208000403_SALES_OTH_AEJ">#REF!</definedName>
    <definedName name="V_KEYWORD_ISSR_208000403_SALES_OTH_AM">#REF!</definedName>
    <definedName name="V_KEYWORD_ISSR_208000403_SALES_OTH_COMMODITY">#REF!</definedName>
    <definedName name="V_KEYWORD_ISSR_208000403_SALES_OTH_EMEA">#REF!</definedName>
    <definedName name="V_KEYWORD_ISSR_208000403_SALES_OTH_SALES_SOURCES">#REF!</definedName>
    <definedName name="V_KEYWORD_ISSR_208000403_SALES_OTHER">#REF!</definedName>
    <definedName name="V_KEYWORD_ISSR_208000403_SALES_RUSSIA">#REF!</definedName>
    <definedName name="V_KEYWORD_ISSR_208000403_SALES_SMB">#REF!</definedName>
    <definedName name="V_KEYWORD_ISSR_208000403_SALES_TOT_AFRICA">#REF!</definedName>
    <definedName name="V_KEYWORD_ISSR_208000403_SALES_TOT_AM">#REF!</definedName>
    <definedName name="V_KEYWORD_ISSR_208000403_SALES_TOT_ASIA">#REF!</definedName>
    <definedName name="V_KEYWORD_ISSR_208000403_SALES_TOT_EMEA">#REF!</definedName>
    <definedName name="V_KEYWORD_ISSR_208000403_SALES_UK">#REF!</definedName>
    <definedName name="V_KEYWORD_ISSR_208000403_SALES_US">#REF!</definedName>
    <definedName name="V_KEYWORD_ISSR_208000403_SALES_VENEZUELA">#REF!</definedName>
    <definedName name="V_KEYWORD_ISSR_208000403_SEL_GL_AD">#REF!</definedName>
    <definedName name="V_KEYWORD_ISSR_208000403_SH_REPUR">#REF!</definedName>
    <definedName name="V_KEYWORD_ISSR_208000403_SHORT_T_DEBT">#REF!</definedName>
    <definedName name="V_KEYWORD_ISSR_208000403_SHORT_TERM_LIABS">#REF!</definedName>
    <definedName name="V_KEYWORD_ISSR_208000403_STOCKS">#REF!</definedName>
    <definedName name="V_KEYWORD_ISSR_208000403_TOT_ASSET">#REF!</definedName>
    <definedName name="V_KEYWORD_ISSR_208000403_TOT_CF">#REF!</definedName>
    <definedName name="V_KEYWORD_ISSR_208000403_TOT_LIAB">#REF!</definedName>
    <definedName name="V_KEYWORD_ISSR_208000403_TOT_LIAB_EQ">#REF!</definedName>
    <definedName name="V_KEYWORD_ISSR_208000403_TOT_LT_LIAB">#REF!</definedName>
    <definedName name="V_KEYWORD_ISSR_208000403_TOT_OPS_EXP">#REF!</definedName>
    <definedName name="V_KEYWORD_ISSR_208000403_TOT_OPS_EXP_DDA">#REF!</definedName>
    <definedName name="V_KEYWORD_ISSR_208000403_UNF_PENS">#REF!</definedName>
    <definedName name="V_KEYWORD_ISSR_208000403_UNF_PENS_LIAB_OTH">#REF!</definedName>
    <definedName name="V_KEYWORD_ISSR_208000403_UNF_PENS_OFF">#REF!</definedName>
    <definedName name="V_KEYWORD_ISSR_208000403_WORK_CAP">#REF!</definedName>
    <definedName name="V_LIVEDATA_EQTY_200001266">#REF!</definedName>
    <definedName name="V_LIVEDATA_ISSR_208000403">#REF!</definedName>
    <definedName name="V_SECTION_EQTY_200001266_1314">#REF!</definedName>
    <definedName name="V_SECTION_EQTY_200001266_1319">#REF!</definedName>
    <definedName name="V_SECTION_EQTY_200001266_131E">#REF!</definedName>
    <definedName name="V_SECTION_EQTY_200001266_131O">#REF!</definedName>
    <definedName name="V_SECTION_EQTY_200001266_13A">#REF!</definedName>
    <definedName name="V_SECTION_EQTY_200001266_13K">#REF!</definedName>
    <definedName name="V_SECTION_EQTY_200001266_13U">#REF!</definedName>
    <definedName name="V_SECTION_EQTY_200001266_13V">#REF!</definedName>
    <definedName name="V_SECTION_EQTY_200001266_13W">#REF!</definedName>
    <definedName name="V_SECTION_EQTY_200001266_Reference_Data">#REF!</definedName>
    <definedName name="V_SECTION_ISSR_208000403_1314">#REF!</definedName>
    <definedName name="V_SECTION_ISSR_208000403_13168">#REF!</definedName>
    <definedName name="V_SECTION_ISSR_208000403_1316S">#REF!</definedName>
    <definedName name="V_SECTION_ISSR_208000403_1316T">#REF!</definedName>
    <definedName name="V_SECTION_ISSR_208000403_1316U">#REF!</definedName>
    <definedName name="V_SECTION_ISSR_208000403_1319">#REF!</definedName>
    <definedName name="V_SECTION_ISSR_208000403_131E">#REF!</definedName>
    <definedName name="V_SECTION_ISSR_208000403_131J">#REF!</definedName>
    <definedName name="V_SECTION_ISSR_208000403_131O">#REF!</definedName>
    <definedName name="V_SECTION_ISSR_208000403_13A">#REF!</definedName>
    <definedName name="V_SECTION_ISSR_208000403_13U">#REF!</definedName>
    <definedName name="V_SECTION_ISSR_208000403_13V">#REF!</definedName>
    <definedName name="V_SECTION_ISSR_208000403_Reference_Data">#REF!</definedName>
    <definedName name="vbhj" hidden="1">{#N/A,#N/A,FALSE,"Summary";#N/A,#N/A,FALSE,"Total";#N/A,#N/A,FALSE,"Total ex Swe";#N/A,#N/A,FALSE,"Volume";#N/A,#N/A,FALSE,"Expenses";#N/A,#N/A,FALSE,"CM Var";#N/A,#N/A,FALSE,"YTD Var"}</definedName>
    <definedName name="Vgl" hidden="1">{"K GuV o. Kommentar",#N/A,FALSE,"Company1502"}</definedName>
    <definedName name="vito" hidden="1">{"Summary analysis",#N/A,FALSE,"Total";"OCPH analysis",#N/A,FALSE,"Total";"detail analysis",#N/A,FALSE,"Total"}</definedName>
    <definedName name="vv" hidden="1">{"summary",#N/A,FALSE,"Summary";"daily",#N/A,FALSE,"Daily";"detail",#N/A,FALSE,"Detail";"flash",#N/A,FALSE,"Flash";"revenue",#N/A,FALSE,"PDF";"fxexp",#N/A,FALSE,"PDF";"headcount",#N/A,FALSE,"PDF"}</definedName>
    <definedName name="vvvvv" hidden="1">{#N/A,#N/A,TRUE,"MTHLY-CV";#N/A,#N/A,TRUE,"CV";#N/A,#N/A,TRUE,"INT_FEES_DRR_DEPR";#N/A,#N/A,TRUE,"OTHER_LEASE"}</definedName>
    <definedName name="vvvvvvvvvvvvvvvvvvvvvvvvv" hidden="1">{"raatios",#N/A,FALSE,"A";"ratios",#N/A,FALSE,"B";"ratios",#N/A,FALSE,"C";"ratios",#N/A,FALSE,"D";"ratios",#N/A,FALSE,"F"}</definedName>
    <definedName name="w" hidden="1">{"IS",#N/A,FALSE,"IS";"RPTIS",#N/A,FALSE,"RPTIS";"STATS",#N/A,FALSE,"STATS";"CELL",#N/A,FALSE,"CELL";"BS",#N/A,FALSE,"BS"}</definedName>
    <definedName name="Person1160" hidden="1">{"DOM",#N/A,FALSE,"DOM05-96";"HQ",#N/A,FALSE,"DOM05-96"}</definedName>
    <definedName name="wc">CFLO!$20:$20</definedName>
    <definedName name="wcom" hidden="1">{"IS",#N/A,FALSE,"IS";"RPTIS",#N/A,FALSE,"RPTIS";"STATS",#N/A,FALSE,"STATS";"BS",#N/A,FALSE,"BS"}</definedName>
    <definedName name="wetg" hidden="1">{"'Pork'!$A$1:$N$50"}</definedName>
    <definedName name="WPL_Assistant" hidden="1">#REF!</definedName>
    <definedName name="WPL_AssistantEmail" hidden="1">#REF!</definedName>
    <definedName name="WPL_AssistantPhone" hidden="1">#REF!</definedName>
    <definedName name="WPL_ChineseName" hidden="1">#REF!</definedName>
    <definedName name="WPL_ChineseTitle" hidden="1">#REF!</definedName>
    <definedName name="WPL_CompanyAddress" hidden="1">#REF!</definedName>
    <definedName name="WPL_CompanyAddress2" hidden="1">#REF!</definedName>
    <definedName name="WPL_CompanyAddress3" hidden="1">#REF!</definedName>
    <definedName name="WPL_CompanyFax" hidden="1">#REF!</definedName>
    <definedName name="WPL_CompanyLogo" hidden="1">#REF!</definedName>
    <definedName name="WPL_CompanyName" hidden="1">#REF!</definedName>
    <definedName name="WPL_CompanyPhone" hidden="1">#REF!</definedName>
    <definedName name="WPL_DepartmentFax" hidden="1">#REF!</definedName>
    <definedName name="WPL_DepartmentName" hidden="1">#REF!</definedName>
    <definedName name="WPL_DepartmentPhone" hidden="1">#REF!</definedName>
    <definedName name="WPL_Email" hidden="1">#REF!</definedName>
    <definedName name="WPL_Fax" hidden="1">#REF!</definedName>
    <definedName name="WPL_FirstName" hidden="1">#REF!</definedName>
    <definedName name="WPL_LastName" hidden="1">#REF!</definedName>
    <definedName name="WPL_Mobile" hidden="1">#REF!</definedName>
    <definedName name="WPL_Telephone" hidden="1">#REF!</definedName>
    <definedName name="WPL_Title" hidden="1">#REF!</definedName>
    <definedName name="wqg" hidden="1">{#N/A,#N/A,FALSE,"UK";#N/A,#N/A,FALSE,"FR";#N/A,#N/A,FALSE,"SWE";#N/A,#N/A,FALSE,"BE";#N/A,#N/A,FALSE,"IT";#N/A,#N/A,FALSE,"SP";#N/A,#N/A,FALSE,"Ticker0009";#N/A,#N/A,FALSE,"PO";#N/A,#N/A,FALSE,"SWI";#N/A,#N/A,FALSE,"NON"}</definedName>
    <definedName name="wrn" hidden="1">{"ANNUAL",#N/A,FALSE,"DDCLINK";"DDC94",#N/A,FALSE,"DDCLINK"}</definedName>
    <definedName name="wrn.09BASIC." hidden="1">{"YTDONLY",#N/A,FALSE,"09-SUM  ";"REGULAR1",#N/A,FALSE,"09-SUM  "}</definedName>
    <definedName name="wrn.Accounts._.3Q98._.Est." hidden="1">{"receivables",#N/A,FALSE,"Receiv. Turns 3Q 98 Est";"sales",#N/A,FALSE,"Receiv. Turns 3Q 98 Est";"turns",#N/A,FALSE,"Receiv. Turns 3Q 98 Est";"pastdue",#N/A,FALSE,"Receiv. Turns 3Q 98 Est"}</definedName>
    <definedName name="wrn.Accounts._.3Q98._.Est._1" hidden="1">{"receivables",#N/A,FALSE,"Receiv. Turns 3Q 98 Est";"sales",#N/A,FALSE,"Receiv. Turns 3Q 98 Est";"turns",#N/A,FALSE,"Receiv. Turns 3Q 98 Est";"pastdue",#N/A,FALSE,"Receiv. Turns 3Q 98 Est"}</definedName>
    <definedName name="wrn.Accounts._.SII._.99." hidden="1">{"receivables",#N/A,FALSE,"SII 99";"sales",#N/A,FALSE,"SII 99";"turns",#N/A,FALSE,"SII 99";"pastdue",#N/A,FALSE,"SII 99"}</definedName>
    <definedName name="wrn.Accounts._.SII._.99._1" hidden="1">{"receivables",#N/A,FALSE,"SII 99";"sales",#N/A,FALSE,"SII 99";"turns",#N/A,FALSE,"SII 99";"pastdue",#N/A,FALSE,"SII 99"}</definedName>
    <definedName name="wrn.aim." hidden="1">{#N/A,#N/A,FALSE,"AIM";#N/A,#N/A,FALSE,"Africa";#N/A,#N/A,FALSE,"India";#N/A,#N/A,FALSE,"Gulf";#N/A,#N/A,FALSE,"Saudi";#N/A,#N/A,FALSE,"CJe0 backlog";#N/A,#N/A,FALSE,"Actual orders";#N/A,#N/A,FALSE,"CMS"}</definedName>
    <definedName name="wrn.aim.2" hidden="1">{#N/A,#N/A,FALSE,"AIM";#N/A,#N/A,FALSE,"Africa";#N/A,#N/A,FALSE,"India";#N/A,#N/A,FALSE,"Gulf";#N/A,#N/A,FALSE,"Saudi";#N/A,#N/A,FALSE,"CJe0 backlog";#N/A,#N/A,FALSE,"Actual orders";#N/A,#N/A,FALSE,"CMS"}</definedName>
    <definedName name="wrn.all." hidden="1">{#N/A,#N/A,FALSE,"Time Company2988";#N/A,#N/A,FALSE,"Entertainment Group";#N/A,#N/A,FALSE,"EBITDA";#N/A,#N/A,FALSE,"Notes"}</definedName>
    <definedName name="wrn.All._.Pages." hidden="1">{#N/A,#N/A,FALSE,"Summary";#N/A,#N/A,FALSE,"UK";#N/A,#N/A,FALSE,"FR";#N/A,#N/A,FALSE,"BL";#N/A,#N/A,FALSE,"IT";#N/A,#N/A,FALSE,"SP"}</definedName>
    <definedName name="wrn.ALL._.TFA." hidden="1">{#N/A,#N/A,FALSE,"Company2656";#N/A,#N/A,FALSE,"FED";#N/A,#N/A,FALSE,"39";#N/A,#N/A,FALSE,"ST";#N/A,#N/A,FALSE,"Company2489";#N/A,#N/A,FALSE,"GL";#N/A,#N/A,FALSE,"AMT";#N/A,#N/A,FALSE,"AMTGL";#N/A,#N/A,FALSE,"CAL";#N/A,#N/A,FALSE,"704(c)";#N/A,#N/A,FALSE,"CAP";#N/A,#N/A,FALSE,"Company0026";#N/A,#N/A,FALSE,"REC"}</definedName>
    <definedName name="wrn.All._.Units." hidden="1">{"All Units",#N/A,FALSE,"Sheet1"}</definedName>
    <definedName name="wrn.all_pages_PandL." hidden="1">{"page 1",#N/A,FALSE,"A";"page 2",#N/A,FALSE,"A";"page 3",#N/A,FALSE,"A";"page 4",#N/A,FALSE,"A";"page 5",#N/A,FALSE,"A"}</definedName>
    <definedName name="wrn.approvls." hidden="1">{#N/A,#N/A,FALSE,"EndRpt"}</definedName>
    <definedName name="wrn.BASIC." hidden="1">{"TRSONLY",#N/A,FALSE,"08-SUM ";"MISCUNITS",#N/A,FALSE,"08-SUM "}</definedName>
    <definedName name="wrn.COMPANY0377." hidden="1">{"IS",#N/A,FALSE,"IS";"RPTIS",#N/A,FALSE,"RPTIS";"STATS",#N/A,FALSE,"STATS";"CELL",#N/A,FALSE,"CELL";"BS",#N/A,FALSE,"BS"}</definedName>
    <definedName name="wrn.Book._.Output." hidden="1">{#N/A,#N/A,FALSE,"Title";#N/A,#N/A,FALSE,"Inputs";#N/A,#N/A,FALSE,"Impact";#N/A,#N/A,FALSE,"Sources &amp; Uses";#N/A,#N/A,FALSE,"Capitalization Impact";#N/A,#N/A,FALSE,"NEWCO Projections"}</definedName>
    <definedName name="wrn.BS." hidden="1">{"WRO-BS",#N/A,FALSE,"WHO";"DOM-BS",#N/A,FALSE,"WHO";"CAN-BS",#N/A,FALSE,"WHO";"ELIM-BS",#N/A,FALSE,"WHO";"VENZ-BS",#N/A,FALSE,"WHO"}</definedName>
    <definedName name="wrn.BS_ALL." hidden="1">{"BS","id_9000",FALSE,"BS";"BS","id_7007",FALSE,"BS"}</definedName>
    <definedName name="wrn.BS_ALL._1" hidden="1">{"BS","id_9000",FALSE,"BS";"BS","id_7007",FALSE,"BS"}</definedName>
    <definedName name="wrn.CAN." hidden="1">{"CAN-IS",#N/A,FALSE,"CAN";"CAN-BS",#N/A,FALSE,"CAN";"CAN-FA",#N/A,FALSE,"CAN";"CAN-CF",#N/A,FALSE,"CAN"}</definedName>
    <definedName name="wrn.Cash." hidden="1">{"CashPrint",#N/A,FALSE,"Cash"}</definedName>
    <definedName name="wrn.cash._1" hidden="1">{"whocash",#N/A,FALSE,"WHO";"ehocash",#N/A,FALSE,"Company0845";"apcash",#N/A,FALSE,"ASIA";"hqcash",#N/A,FALSE,"HQ";"conscash",#N/A,FALSE,"CONS"}</definedName>
    <definedName name="wrn.Cash.2" hidden="1">{"CashPrint",#N/A,FALSE,"Cash"}</definedName>
    <definedName name="wrn.CF." hidden="1">{"WRO-CF",#N/A,FALSE,"WHO";"DOM-CF",#N/A,FALSE,"DOM";"VENZ-CF",#N/A,FALSE,"VEN";"CAN-CF",#N/A,FALSE,"CAN";"ELIM-CF",#N/A,FALSE,"ELIM"}</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ombined." hidden="1">{"Quarterly earnings",#N/A,FALSE,"Earnings model";"Quarterly compare",#N/A,FALSE,"Earnings model";"Annual earnings",#N/A,FALSE,"Earnings model"}</definedName>
    <definedName name="wrn.Combinedfull." hidden="1">{"quarterlyfull",#N/A,FALSE,"Earnings model ";"Annualfull",#N/A,FALSE,"Earnings model "}</definedName>
    <definedName name="wrn.CONSOLIDATION." hidden="1">{"PAGE1",#N/A,FALSE,"Consolidation";"PAGE2",#N/A,FALSE,"Consolidation";"PAGE3",#N/A,FALSE,"Consolidation";"PAGE4",#N/A,FALSE,"Consolidation";"PAGE5",#N/A,FALSE,"Consolidation";"PAGE6",#N/A,FALSE,"Consolidation";"PAGE7",#N/A,FALSE,"Consolidation"}</definedName>
    <definedName name="wrn.crsdata." hidden="1">{#N/A,#N/A,TRUE,"   RC-B   ";#N/A,#N/A,TRUE,"   RC-I   ";#N/A,#N/A,TRUE,"  RC-N.1  ";#N/A,#N/A,TRUE,"   RC-N.2"}</definedName>
    <definedName name="wrn.CUPID." hidden="1">{"Guide",#N/A,FALSE,"Company1168";"Boston Sci",#N/A,FALSE,"Boston Scientific";"Company1790",#N/A,FALSE,"Company1791";"St. Company1442",#N/A,FALSE,"St. Company1442";"Company2161",#N/A,FALSE,"Company2162";"Company0364",#N/A,FALSE,"Company0364";"Johns",#N/A,FALSE,"Company1437"}</definedName>
    <definedName name="wrn.cv." hidden="1">{#N/A,#N/A,TRUE,"MTHLY-CV";#N/A,#N/A,TRUE,"CV";#N/A,#N/A,TRUE,"INT_FEES_DRR_DEPR";#N/A,#N/A,TRUE,"OTHER_LEASE"}</definedName>
    <definedName name="wrn.Data._.Reduction." hidden="1">{"Inputs",#N/A,FALSE,"Data Reduction";"Outputs",#N/A,FALSE,"Data Reduction";"Cycle Deck Comparison",#N/A,FALSE,"Data Reduction"}</definedName>
    <definedName name="wrn.dcf." hidden="1">{"mgmt forecast",#N/A,FALSE,"Mgmt Forecast";"dcf table",#N/A,FALSE,"Mgmt Forecast";"sensitivity",#N/A,FALSE,"Mgmt Forecast";"table inputs",#N/A,FALSE,"Mgmt Forecast";"calculations",#N/A,FALSE,"Mgmt Forecast"}</definedName>
    <definedName name="wrn.DOM." hidden="1">{"DOM-IS",#N/A,FALSE,"DOM";"DOM-BS",#N/A,FALSE,"DOM";"DOM-FA",#N/A,FALSE,"DOM";"DOM-CF",#N/A,FALSE,"DOM"}</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IM." hidden="1">{"ELIM-IS",#N/A,FALSE,"ELIM";"ELIM-BS",#N/A,FALSE,"ELIM";"ELIM-FA",#N/A,FALSE,"ELIM";"ELIM-CF",#N/A,FALSE,"ELIM"}</definedName>
    <definedName name="wrn.Everything." hidden="1">{#N/A,#N/A,FALSE,"Company0322";#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mpany0692";#N/A,#N/A,FALSE,"CONws";#N/A,#N/A,FALSE,"MergCON";#N/A,#N/A,FALSE,"CredStwCON";#N/A,#N/A,FALSE,"SPwCONws ";#N/A,#N/A,FALSE,"MergSPwCON";#N/A,#N/A,FALSE,"CredStILLwCON";#N/A,#N/A,FALSE,"SPws (2)";#N/A,#N/A,FALSE,"MergSP (2)";#N/A,#N/A,FALSE,"CredStwSP (2)";#N/A,#N/A,FALSE,"Company0617";#N/A,#N/A,FALSE,"CSXws";#N/A,#N/A,FALSE,"MergCSX";#N/A,#N/A,FALSE,"CredStwCSX";#N/A,#N/A,FALSE,"Company1947";#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dvsb." hidden="1">{"fidvsb1",#N/A,FALSE,"RET";"fidvsb2",#N/A,FALSE,"RET"}</definedName>
    <definedName name="wrn.FN_JE98." hidden="1">{"FN_JE98",#N/A,FALSE,"98 W Options"}</definedName>
    <definedName name="wrn.FN_JE98wo" hidden="1">{"FN_JE98",#N/A,FALSE,"98 W Options"}</definedName>
    <definedName name="wrn.FN_JE99." hidden="1">{"FN_JE",#N/A,FALSE,"99 W Options"}</definedName>
    <definedName name="wrn.full." hidden="1">{"ANNUAL",#N/A,FALSE,"DDCLINK";"DDC94",#N/A,FALSE,"DDCLINK"}</definedName>
    <definedName name="wrn.Full._.report." hidden="1">{"multiple",#N/A,FALSE,"client (2)";"margins",#N/A,FALSE,"client (2)";"data",#N/A,FALSE,"client (2)";"multiple",#N/A,FALSE,"client";"margins",#N/A,FALSE,"client";"data",#N/A,FALSE,"client"}</definedName>
    <definedName name="wrn.full2." hidden="1">{"NAV 94",#N/A,FALSE;"ANNUAL",#N/A,FALSE}</definedName>
    <definedName name="wrn.impress." hidden="1">{#N/A,#N/A,FALSE,"Ventilation";#N/A,#N/A,FALSE,"Courbe1";#N/A,#N/A,FALSE,"Courbe2"}</definedName>
    <definedName name="wrn.Income._.Statement." hidden="1">{#N/A,#N/A,FALSE,"Report Print"}</definedName>
    <definedName name="wrn.inventario._.97._.Act." hidden="1">{"inventory",#N/A,FALSE,"Inven. Turns 97 Act";"sales",#N/A,FALSE,"Inven. Turns 97 Act";"turns",#N/A,FALSE,"Inven. Turns 97 Act";"days",#N/A,FALSE,"Inven. Turns 97 Act"}</definedName>
    <definedName name="wrn.inventario._.97._.Act._1" hidden="1">{"inventory",#N/A,FALSE,"Inven. Turns 97 Act";"sales",#N/A,FALSE,"Inven. Turns 97 Act";"turns",#N/A,FALSE,"Inven. Turns 97 Act";"days",#N/A,FALSE,"Inven. Turns 97 Act"}</definedName>
    <definedName name="wrn.inventario._.97._.OP." hidden="1">{"inventory",#N/A,TRUE,"Inven. Turns 97 OP";"sales",#N/A,TRUE,"Inven. Turns 97 OP";"turns",#N/A,TRUE,"Inven. Turns 97 OP";"days",#N/A,TRUE,"Inven. Turns 97 OP"}</definedName>
    <definedName name="wrn.inventario._.97._.OP._1" hidden="1">{"inventory",#N/A,TRUE,"Inven. Turns 97 OP";"sales",#N/A,TRUE,"Inven. Turns 97 OP";"turns",#N/A,TRUE,"Inven. Turns 97 OP";"days",#N/A,TRUE,"Inven. Turns 97 OP"}</definedName>
    <definedName name="wrn.inventario._.97._.Rep." hidden="1">{"inventory",#N/A,FALSE,"Inven. Turns 97 Rep";"sales",#N/A,FALSE,"Inven. Turns 97 Rep";"turns",#N/A,FALSE,"Inven. Turns 97 Rep";"days",#N/A,FALSE,"Inven. Turns 97 Rep"}</definedName>
    <definedName name="wrn.inventario._.97._.Rep._1" hidden="1">{"inventory",#N/A,FALSE,"Inven. Turns 97 Rep";"sales",#N/A,FALSE,"Inven. Turns 97 Rep";"turns",#N/A,FALSE,"Inven. Turns 97 Rep";"days",#N/A,FALSE,"Inven. Turns 97 Rep"}</definedName>
    <definedName name="wrn.inventario96." hidden="1">{"Inventory",#N/A,TRUE,"Inven. Turns 1996";"sales",#N/A,TRUE,"Inven. Turns 1996";"Turns",#N/A,TRUE,"Inven. Turns 1996";"days",#N/A,TRUE,"Inven. Turns 1996"}</definedName>
    <definedName name="wrn.inventario96._1" hidden="1">{"Inventory",#N/A,TRUE,"Inven. Turns 1996";"sales",#N/A,TRUE,"Inven. Turns 1996";"Turns",#N/A,TRUE,"Inven. Turns 1996";"days",#N/A,TRUE,"Inven. Turns 1996"}</definedName>
    <definedName name="wrn.IPIX." hidden="1">{#N/A,#N/A,FALSE,"Report Print"}</definedName>
    <definedName name="wrn.IS." hidden="1">{"WRO-IS",#N/A,FALSE,"WHO";"DOM-IS",#N/A,FALSE,"WHO";"VENZ-IS",#N/A,FALSE,"WHO";"CAN-IS",#N/A,FALSE,"WHO";"ELIM-IS",#N/A,FALSE,"WHO"}</definedName>
    <definedName name="wrn.K._.GuV._.o.._.Kommentar." hidden="1">{"K GuV o. Kommentar",#N/A,FALSE,"Company1502"}</definedName>
    <definedName name="wrn.KBilanz._.o.._.Kommentar." hidden="1">{"K Bilanz o. Kommentar",#N/A,FALSE,"Company1502"}</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ster_Income." hidden="1">{"Annual_Income",#N/A,FALSE,"Master Model";"Quarterly_Income",#N/A,FALSE,"Master Model"}</definedName>
    <definedName name="wrn.MERGER._.PLANS." hidden="1">{"Assumptions1",#N/A,FALSE,"Assumptions";"MergerPlans1","20yearamort",FALSE,"MergerPlans";"MergerPlans1","40yearamort",FALSE,"MergerPlans";"MergerPlans2",#N/A,FALSE,"MergerPlans";"inputs",#N/A,FALSE,"MergerPlans"}</definedName>
    <definedName name="wrn.Model." hidden="1">{"Qtr",#N/A,FALSE,"Earnings Model";"Annual",#N/A,FALSE,"Earnings Model"}</definedName>
    <definedName name="wrn.Monthly._.Report." hidden="1">{#N/A,#N/A,TRUE,"CntrlRefs";#N/A,#N/A,TRUE,"Input_PL";#N/A,#N/A,TRUE,"Input_BS";#N/A,#N/A,TRUE,"BS_Summary";#N/A,#N/A,TRUE,"Input_Interco";#N/A,#N/A,TRUE,"PL_Mth";#N/A,#N/A,TRUE,"PL_Qtr";#N/A,#N/A,TRUE,"PL_YTD";#N/A,#N/A,TRUE,"CashFlow"}</definedName>
    <definedName name="wrn.only" hidden="1">{#N/A,#N/A,FALSE,"JANLN2"}</definedName>
    <definedName name="wrn.only_1" hidden="1">{#N/A,#N/A,FALSE,"JANLN2"}</definedName>
    <definedName name="wrn.Output." hidden="1">{#N/A,#N/A,TRUE,"Title";#N/A,#N/A,TRUE,"Inputs";#N/A,#N/A,TRUE,"Impact";#N/A,#N/A,TRUE,"Sources &amp; Uses";#N/A,#N/A,TRUE,"Capitalization Impact";#N/A,#N/A,TRUE,"NEWCO Projections";#N/A,#N/A,TRUE,"Summary - Company1353";#N/A,#N/A,TRUE,"Summary - Company1030";#N/A,#N/A,TRUE,"Balance Sheet Adj.";#N/A,#N/A,TRUE,"Calculation Verification"}</definedName>
    <definedName name="wrn.pages1to5." hidden="1">{#N/A,#N/A,FALSE,"P 1";#N/A,#N/A,FALSE,"P 2";#N/A,#N/A,FALSE,"P 3";#N/A,#N/A,FALSE,"P 4";#N/A,#N/A,FALSE,"P 5"}</definedName>
    <definedName name="wrn.pcli." hidden="1">{"page 1",#N/A,FALSE,"Company2048";"page 2",#N/A,FALSE,"Company2048";"page 3",#N/A,FALSE,"Company2048";"page 4",#N/A,FALSE,"Company2048";"page 5",#N/A,FALSE,"Company2048";"page 6",#N/A,FALSE,"Company2048";"page 7",#N/A,FALSE,"Company2048";"page 8",#N/A,FALSE,"Company2048";"page 9",#N/A,FALSE,"Company2048";"page 10",#N/A,FALSE,"Company2048";"page 11",#N/A,FALSE,"Company2048";"page 12",#N/A,FALSE,"Company2048"}</definedName>
    <definedName name="wrn.pdf." hidden="1">{"summary",#N/A,FALSE,"Summary";"daily",#N/A,FALSE,"Daily";"detail",#N/A,FALSE,"Detail";"flash",#N/A,FALSE,"Flash";"revenue",#N/A,FALSE,"PDF";"fxexp",#N/A,FALSE,"PDF";"headcount",#N/A,FALSE,"PDF"}</definedName>
    <definedName name="wrn.PL." hidden="1">{"MONTH",#N/A,FALSE,"A";"YTD",#N/A,FALSE,"A"}</definedName>
    <definedName name="wrn.PL_ALL." hidden="1">{#N/A,"id_9000_y",FALSE,"PL";#N/A,"id_7007_y",FALSE,"PL"}</definedName>
    <definedName name="wrn.PL_ALL._1" hidden="1">{#N/A,"id_9000_y",FALSE,"PL";#N/A,"id_7007_y",FALSE,"PL"}</definedName>
    <definedName name="wrn.PMM_BSDDI."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BSDDI._1"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PLQ."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MM_PLQ._1"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all." hidden="1">{"output","fiftysix",FALSE,"mergerplans";"inputs",#N/A,FALSE,"mergerplans";"output","sixtyfive",FALSE,"mergerplans";"output","seventy",FALSE,"mergerplans"}</definedName>
    <definedName name="WRN.PRODUCT" hidden="1">{"Detail analysis",#N/A,FALSE,"Model";"Summary analysis",#N/A,FALSE,"Model";"OCPH analysis",#N/A,FALSE,"Model"}</definedName>
    <definedName name="wrn.Productivity." hidden="1">{"Summary analysis",#N/A,FALSE,"Total";"OCPH analysis",#N/A,FALSE,"Total";"detail analysis",#N/A,FALSE,"Total"}</definedName>
    <definedName name="wrn.productivity.2" hidden="1">{"Summary analysis",#N/A,FALSE,"Total";"OCPH analysis",#N/A,FALSE,"Total";"detail analysis",#N/A,FALSE,"Total"}</definedName>
    <definedName name="wrn.prov98w._.opt." hidden="1">{"provcal",#N/A,FALSE,"99 W Options"}</definedName>
    <definedName name="wrn.provcal99w._.opt." hidden="1">{#N/A,#N/A,FALSE,"99 W Options";"prov99w opt",#N/A,FALSE,"99 W Options"}</definedName>
    <definedName name="wrn.provision." hidden="1">{"a (hldgs)",#N/A,FALSE,"hldgs";#N/A,#N/A,FALSE,"rate rec.";#N/A,#N/A,FALSE,"DTA-state by state cal'n";"a (Company2769 prov)",#N/A,FALSE,"hldgs"}</definedName>
    <definedName name="wrn.Quarterly._.Report." hidden="1">{#N/A,#N/A,TRUE,"CntrlRefs";#N/A,#N/A,TRUE,"Input_PL";#N/A,#N/A,TRUE,"PL_Mth";#N/A,#N/A,TRUE,"PL_Qtr";#N/A,#N/A,TRUE,"PL_YTD";#N/A,#N/A,TRUE,"BS_Summary";#N/A,#N/A,TRUE,"Input_BS";#N/A,#N/A,TRUE,"Deprn";#N/A,#N/A,TRUE,"CashFlow";#N/A,#N/A,TRUE,"PP&amp;E";#N/A,#N/A,TRUE,"CBFlash";#N/A,#N/A,TRUE,"Input_SS";#N/A,#N/A,TRUE,"HLQtd";#N/A,#N/A,TRUE,"HLYTD";#N/A,#N/A,TRUE,"ARStats"}</definedName>
    <definedName name="wrn.ratios." hidden="1">{"raatios",#N/A,FALSE,"A";"ratios",#N/A,FALSE,"B";"ratios",#N/A,FALSE,"C";"ratios",#N/A,FALSE,"D";"ratios",#N/A,FALSE,"F"}</definedName>
    <definedName name="wrn.rep_page." hidden="1">{"Annual_Income",#N/A,FALSE,"Report Page";"Balance_Cash_Flow",#N/A,FALSE,"Report Page";"Quarterly_Income",#N/A,FALSE,"Report Page"}</definedName>
    <definedName name="wrn.report." hidden="1">{"summary",#N/A,FALSE,"2000 vs 1999";"detail",#N/A,FALSE,"2000 vs 1999"}</definedName>
    <definedName name="wrn.report._1" hidden="1">{"summary",#N/A,FALSE,"2000 vs 1999";"detail",#N/A,FALSE,"2000 vs 1999"}</definedName>
    <definedName name="wrn.report.1" hidden="1">{"summary",#N/A,FALSE,"2000 vs 1999";"detail",#N/A,FALSE,"2000 vs 1999"}</definedName>
    <definedName name="wrn.report.1_1" hidden="1">{"summary",#N/A,FALSE,"2000 vs 1999";"detail",#N/A,FALSE,"2000 vs 1999"}</definedName>
    <definedName name="wrn.report.2" hidden="1">{"summary",#N/A,FALSE,"2000 vs 1999";"detail",#N/A,FALSE,"2000 vs 1999"}</definedName>
    <definedName name="wrn.report.2_1"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1_1" hidden="1">{"summary",#N/A,FALSE,"2000 vs 1999";"detail",#N/A,FALSE,"2000 vs 1999"}</definedName>
    <definedName name="wrn.report.new_1" hidden="1">{"summary",#N/A,FALSE,"2000 vs 1999";"detail",#N/A,FALSE,"2000 vs 1999"}</definedName>
    <definedName name="wrn.report.new1" hidden="1">{"summary",#N/A,FALSE,"2000 vs 1999";"detail",#N/A,FALSE,"2000 vs 1999"}</definedName>
    <definedName name="wrn.report.new1_1" hidden="1">{"summary",#N/A,FALSE,"2000 vs 1999";"detail",#N/A,FALSE,"2000 vs 1999"}</definedName>
    <definedName name="wrn.Report_Page." hidden="1">{"Annual_Income",#N/A,FALSE,"Report Page";"Balance_Cash_Flow",#N/A,FALSE,"Report Page";"Quarterly_Income",#N/A,FALSE,"Report Page"}</definedName>
    <definedName name="wrn.report1" hidden="1">{"summary",#N/A,FALSE,"2000 vs 1999";"detail",#N/A,FALSE,"2000 vs 1999"}</definedName>
    <definedName name="wrn.report1_1" hidden="1">{"summary",#N/A,FALSE,"2000 vs 1999";"detail",#N/A,FALSE,"2000 vs 1999"}</definedName>
    <definedName name="wrn.ret." hidden="1">{"page 1",#N/A,FALSE,"RET";"page 2",#N/A,FALSE,"RET";"page 3",#N/A,FALSE,"RET";"page 4",#N/A,FALSE,"RET";"page 5",#N/A,FALSE,"RET";"page 6",#N/A,FALSE,"RET";"page 7",#N/A,FALSE,"RET";"page 8",#N/A,FALSE,"RET";"page 9",#N/A,FALSE,"RET";"page 10",#N/A,FALSE,"RET";"page 11",#N/A,FALSE,"RET";"page 12",#N/A,FALSE,"RET"}</definedName>
    <definedName name="wrn.RPCOE._.pitch."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wrn.scorecard._.rpt." hidden="1">{"scorecard view",#N/A,FALSE,"Scorecard output"}</definedName>
    <definedName name="wrn.scorecard._.rpt._1" hidden="1">{"scorecard view",#N/A,FALSE,"Scorecard output"}</definedName>
    <definedName name="wrn.SHIPMENTS." hidden="1">{#N/A,#N/A,FALSE,"JANLN2"}</definedName>
    <definedName name="wrn.SHIPMENTS._1" hidden="1">{#N/A,#N/A,FALSE,"JANLN2"}</definedName>
    <definedName name="wrn.Summary." hidden="1">{"Print Summary",#N/A,FALSE,"Bal_Graphs";"Print Summary",#N/A,FALSE,"DCF";"Print Summary",#N/A,FALSE,"Graphs";"Print Summary",#N/A,FALSE,"Summary"}</definedName>
    <definedName name="wrn.summary.." hidden="1">{#N/A,#N/A,TRUE,"KEY DATA";#N/A,#N/A,TRUE,"KEY DATA Base Case";#N/A,#N/A,TRUE,"JULY";#N/A,#N/A,TRUE,"AUG";#N/A,#N/A,TRUE,"SEPT";#N/A,#N/A,TRUE,"3Q"}</definedName>
    <definedName name="wrn.Summary._.Output." hidden="1">{#N/A,#N/A,FALSE,"Title";#N/A,#N/A,FALSE,"Inputs";#N/A,#N/A,FALSE,"Impact"}</definedName>
    <definedName name="wrn.Summary._.Projections." hidden="1">{#N/A,#N/A,FALSE,"Summary - Company1030";#N/A,#N/A,FALSE,"Summary - Company1353"}</definedName>
    <definedName name="wrn.summary._1" hidden="1">{"spread3",#N/A,FALSE,"INVREC"}</definedName>
    <definedName name="wrn.SummaryPgs." hidden="1">{#N/A,#N/A,FALSE,"CreditStat";#N/A,#N/A,FALSE,"SPbrkup";#N/A,#N/A,FALSE,"MerSPsyn";#N/A,#N/A,FALSE,"MerSPwKCsyn";#N/A,#N/A,FALSE,"MerSPwKCsyn (2)";#N/A,#N/A,FALSE,"CreditStat (2)"}</definedName>
    <definedName name="wrn.Tax._.Schedules." hidden="1">{#N/A,#N/A,FALSE,"106";#N/A,#N/A,FALSE,"103D";#N/A,#N/A,FALSE,"107A"}</definedName>
    <definedName name="wrn.TEST." hidden="1">{#N/A,#N/A,FALSE,"Periods";#N/A,#N/A,FALSE,"Chrt of Accts"}</definedName>
    <definedName name="wrn.TEST2" hidden="1">{#N/A,#N/A,FALSE,"Periods";#N/A,#N/A,FALSE,"Chrt of Accts"}</definedName>
    <definedName name="wrn.THISYEAR." hidden="1">{"THIS",#N/A,FALSE,"consadds";"THIS",#N/A,FALSE,"north";"THIS",#N/A,FALSE,"south";"THIS",#N/A,FALSE,"central";"THIS",#N/A,FALSE,"key";"THIS",#N/A,FALSE,"tele";"THIS",#N/A,FALSE,"coch"}</definedName>
    <definedName name="wrn.TOP._.80." hidden="1">{#N/A,#N/A,FALSE,"CF34-DFT";#N/A,#N/A,FALSE,"FCMO";#N/A,#N/A,FALSE,"MEMO";#N/A,#N/A,FALSE,"RPMO";#N/A,#N/A,FALSE,"SPMO";#N/A,#N/A,FALSE,"TEPM";#N/A,#N/A,FALSE,"TPCE";#N/A,#N/A,FALSE,"TC64";#N/A,#N/A,FALSE,"TPMO"}</definedName>
    <definedName name="wrn.Total._.Pack." hidden="1">{#N/A,#N/A,FALSE,"UK";#N/A,#N/A,FALSE,"FR";#N/A,#N/A,FALSE,"SWE";#N/A,#N/A,FALSE,"BE";#N/A,#N/A,FALSE,"IT";#N/A,#N/A,FALSE,"SP";#N/A,#N/A,FALSE,"Ticker0009";#N/A,#N/A,FALSE,"PO";#N/A,#N/A,FALSE,"SWI";#N/A,#N/A,FALSE,"NON"}</definedName>
    <definedName name="wrn.Total._.Summary." hidden="1">{#N/A,#N/A,FALSE,"Summary";#N/A,#N/A,FALSE,"Total";#N/A,#N/A,FALSE,"Total ex Swe";#N/A,#N/A,FALSE,"Volume";#N/A,#N/A,FALSE,"Expenses";#N/A,#N/A,FALSE,"CM Var";#N/A,#N/A,FALSE,"YTD Var"}</definedName>
    <definedName name="wrn.Company2833." hidden="1">{"IS",#N/A,FALSE,"IS";"RPTIS",#N/A,FALSE,"RPTIS";"STATS",#N/A,FALSE,"STATS";"BS",#N/A,FALSE,"BS"}</definedName>
    <definedName name="wrn.Variances1Q._.97." hidden="1">{"pag1",#N/A,TRUE,"Graf1Q97";"pag2",#N/A,TRUE,"Graf1Q97";"pag3",#N/A,TRUE,"Graf1Q97";"pag4",#N/A,TRUE,"Graf1Q97";"pag5",#N/A,TRUE,"Graf1Q97";"pag6",#N/A,TRUE,"Graf1Q97"}</definedName>
    <definedName name="wrn.Variances1Q._.97._1" hidden="1">{"pag1",#N/A,TRUE,"Graf1Q97";"pag2",#N/A,TRUE,"Graf1Q97";"pag3",#N/A,TRUE,"Graf1Q97";"pag4",#N/A,TRUE,"Graf1Q97";"pag5",#N/A,TRUE,"Graf1Q97";"pag6",#N/A,TRUE,"Graf1Q97"}</definedName>
    <definedName name="wrn.VENZ." hidden="1">{"VENZ-IS",#N/A,FALSE,"VEN";"VENZ-BS",#N/A,FALSE,"VEN";"VENZ-FA",#N/A,FALSE,"VEN";"VENZ-CF",#N/A,FALSE,"VEN"}</definedName>
    <definedName name="wrn.Weekly._.Scrap._.Report." hidden="1">{#N/A,#N/A,TRUE,"GEM Total";#N/A,#N/A,TRUE,"Final Assembly";#N/A,#N/A,TRUE,"Cleaning";#N/A,#N/A,TRUE,"Schooping,Clearing";#N/A,#N/A,TRUE,"Winding"}</definedName>
    <definedName name="wrn.weekly._.scrap._.report..." hidden="1">{#N/A,#N/A,TRUE,"GEM Total";#N/A,#N/A,TRUE,"Final Assembly";#N/A,#N/A,TRUE,"Cleaning";#N/A,#N/A,TRUE,"Schooping,Clearing";#N/A,#N/A,TRUE,"Winding"}</definedName>
    <definedName name="wrn.Weekly._.Scrap._.Report._1" hidden="1">{#N/A,#N/A,TRUE,"GEM Total";#N/A,#N/A,TRUE,"Final Assembly";#N/A,#N/A,TRUE,"Cleaning";#N/A,#N/A,TRUE,"Schooping,Clearing";#N/A,#N/A,TRUE,"Winding"}</definedName>
    <definedName name="wrn.WRO." hidden="1">{"WRO-IS",#N/A,FALSE,"WHO";"WRO-BS",#N/A,FALSE,"WHO";"WRO-FA",#N/A,FALSE,"WHO";"WRO-CF",#N/A,FALSE,"WHO"}</definedName>
    <definedName name="wrn1.crsdata" hidden="1">{#N/A,#N/A,TRUE,"   RC-B   ";#N/A,#N/A,TRUE,"   RC-I   ";#N/A,#N/A,TRUE,"  RC-N.1  ";#N/A,#N/A,TRUE,"   RC-N.2"}</definedName>
    <definedName name="wrn1.summary" hidden="1">{#N/A,#N/A,TRUE,"KEY DATA";#N/A,#N/A,TRUE,"KEY DATA Base Case";#N/A,#N/A,TRUE,"JULY";#N/A,#N/A,TRUE,"AUG";#N/A,#N/A,TRUE,"SEPT";#N/A,#N/A,TRUE,"3Q"}</definedName>
    <definedName name="wrn1.summary.." hidden="1">{#N/A,#N/A,TRUE,"KEY DATA";#N/A,#N/A,TRUE,"KEY DATA Base Case";#N/A,#N/A,TRUE,"JULY";#N/A,#N/A,TRUE,"AUG";#N/A,#N/A,TRUE,"SEPT";#N/A,#N/A,TRUE,"3Q"}</definedName>
    <definedName name="wrn1.summary_1" hidden="1">{#N/A,#N/A,TRUE,"KEY DATA";#N/A,#N/A,TRUE,"KEY DATA Base Case";#N/A,#N/A,TRUE,"JULY";#N/A,#N/A,TRUE,"AUG";#N/A,#N/A,TRUE,"SEPT";#N/A,#N/A,TRUE,"3Q"}</definedName>
    <definedName name="wrn2.pdf" hidden="1">{"summary",#N/A,FALSE,"Summary";"daily",#N/A,FALSE,"Daily";"detail",#N/A,FALSE,"Detail";"flash",#N/A,FALSE,"Flash";"revenue",#N/A,FALSE,"PDF";"fxexp",#N/A,FALSE,"PDF";"headcount",#N/A,FALSE,"PDF"}</definedName>
    <definedName name="wrnc" hidden="1">{"quarterlyfull",#N/A,FALSE,"Earnings model ";"Annualfull",#N/A,FALSE,"Earnings model "}</definedName>
    <definedName name="wtr" hidden="1">{#N/A,#N/A,FALSE,"Summary";#N/A,#N/A,FALSE,"Total";#N/A,#N/A,FALSE,"Total ex Swe";#N/A,#N/A,FALSE,"Volume";#N/A,#N/A,FALSE,"Expenses";#N/A,#N/A,FALSE,"CM Var";#N/A,#N/A,FALSE,"YTD Var"}</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_1"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xshjrf" hidden="1">{#N/A,#N/A,FALSE,"Summary";#N/A,#N/A,FALSE,"Total";#N/A,#N/A,FALSE,"Total ex Swe";#N/A,#N/A,FALSE,"Volume";#N/A,#N/A,FALSE,"Expenses";#N/A,#N/A,FALSE,"CM Var";#N/A,#N/A,FALSE,"YTD Var"}</definedName>
    <definedName name="xsrhrs" hidden="1">{#N/A,#N/A,FALSE,"Summary";#N/A,#N/A,FALSE,"Total";#N/A,#N/A,FALSE,"Total ex Swe";#N/A,#N/A,FALSE,"Volume";#N/A,#N/A,FALSE,"Expenses";#N/A,#N/A,FALSE,"CM Var";#N/A,#N/A,FALSE,"YTD Var"}</definedName>
    <definedName name="XTEST" hidden="1">{#N/A,#N/A,FALSE,"JANLN2"}</definedName>
    <definedName name="XTEST_1" hidden="1">{#N/A,#N/A,FALSE,"JANLN2"}</definedName>
    <definedName name="xx" hidden="1">{"quarterlyfull",#N/A,FALSE,"Earnings model ";"Annualfull",#N/A,FALSE,"Earnings model "}</definedName>
    <definedName name="xxx" hidden="1">{"quarterlyfull",#N/A,FALSE,"Earnings model ";"Annualfull",#N/A,FALSE,"Earnings model "}</definedName>
    <definedName name="xxxxxx" hidden="1">{#N/A,#N/A,TRUE,"GEM Total";#N/A,#N/A,TRUE,"Final Assembly";#N/A,#N/A,TRUE,"Cleaning";#N/A,#N/A,TRUE,"Schooping,Clearing";#N/A,#N/A,TRUE,"Winding"}</definedName>
    <definedName name="xxxxxxx" hidden="1">{#N/A,#N/A,TRUE,"GEM Total";#N/A,#N/A,TRUE,"Final Assembly";#N/A,#N/A,TRUE,"Cleaning";#N/A,#N/A,TRUE,"Schooping,Clearing";#N/A,#N/A,TRUE,"Winding"}</definedName>
    <definedName name="xxxxxxxx" hidden="1">{#N/A,#N/A,TRUE,"KEY DATA";#N/A,#N/A,TRUE,"KEY DATA Base Case";#N/A,#N/A,TRUE,"JULY";#N/A,#N/A,TRUE,"AUG";#N/A,#N/A,TRUE,"SEPT";#N/A,#N/A,TRUE,"3Q"}</definedName>
    <definedName name="xxxxxxxxxx" hidden="1">{#N/A,#N/A,TRUE,"KEY DATA";#N/A,#N/A,TRUE,"KEY DATA Base Case";#N/A,#N/A,TRUE,"JULY";#N/A,#N/A,TRUE,"AUG";#N/A,#N/A,TRUE,"SEPT";#N/A,#N/A,TRUE,"3Q"}</definedName>
    <definedName name="xxxxxxxxxxxx" hidden="1">{#N/A,#N/A,TRUE,"KEY DATA";#N/A,#N/A,TRUE,"KEY DATA Base Case";#N/A,#N/A,TRUE,"JULY";#N/A,#N/A,TRUE,"AUG";#N/A,#N/A,TRUE,"SEPT";#N/A,#N/A,TRUE,"3Q"}</definedName>
    <definedName name="xxxxxxxxxxxxx" hidden="1">{#N/A,#N/A,TRUE,"KEY DATA";#N/A,#N/A,TRUE,"KEY DATA Base Case";#N/A,#N/A,TRUE,"JULY";#N/A,#N/A,TRUE,"AUG";#N/A,#N/A,TRUE,"SEPT";#N/A,#N/A,TRUE,"3Q"}</definedName>
    <definedName name="xxxxxxxxxxxxxx" hidden="1">{#N/A,#N/A,TRUE,"GEM Total";#N/A,#N/A,TRUE,"Final Assembly";#N/A,#N/A,TRUE,"Cleaning";#N/A,#N/A,TRUE,"Schooping,Clearing";#N/A,#N/A,TRUE,"Winding"}</definedName>
    <definedName name="xxxxxxxxxxxxxxx" hidden="1">{#N/A,#N/A,TRUE,"KEY DATA";#N/A,#N/A,TRUE,"KEY DATA Base Case";#N/A,#N/A,TRUE,"JULY";#N/A,#N/A,TRUE,"AUG";#N/A,#N/A,TRUE,"SEPT";#N/A,#N/A,TRUE,"3Q"}</definedName>
    <definedName name="xxxxxxxxxxxxxxxx" hidden="1">{"quarterlyfull",#N/A,FALSE,"Earnings model ";"Annualfull",#N/A,FALSE,"Earnings model "}</definedName>
    <definedName name="y" hidden="1">{"inventory",#N/A,TRUE,"Inven. Turns 97 OP";"sales",#N/A,TRUE,"Inven. Turns 97 OP";"turns",#N/A,TRUE,"Inven. Turns 97 OP";"days",#N/A,TRUE,"Inven. Turns 97 OP"}</definedName>
    <definedName name="yju" hidden="1">{#N/A,#N/A,FALSE,"UK";#N/A,#N/A,FALSE,"FR";#N/A,#N/A,FALSE,"SWE";#N/A,#N/A,FALSE,"BE";#N/A,#N/A,FALSE,"IT";#N/A,#N/A,FALSE,"SP";#N/A,#N/A,FALSE,"Ticker0009";#N/A,#N/A,FALSE,"PO";#N/A,#N/A,FALSE,"SWI";#N/A,#N/A,FALSE,"NON"}</definedName>
    <definedName name="yrxsjurtd" hidden="1">{#N/A,#N/A,FALSE,"UK";#N/A,#N/A,FALSE,"FR";#N/A,#N/A,FALSE,"SWE";#N/A,#N/A,FALSE,"BE";#N/A,#N/A,FALSE,"IT";#N/A,#N/A,FALSE,"SP";#N/A,#N/A,FALSE,"Ticker0009";#N/A,#N/A,FALSE,"PO";#N/A,#N/A,FALSE,"SWI";#N/A,#N/A,FALSE,"NON"}</definedName>
    <definedName name="ysa" hidden="1">{"inventory",#N/A,FALSE,"Inven. Turns 97 Rep";"sales",#N/A,FALSE,"Inven. Turns 97 Rep";"turns",#N/A,FALSE,"Inven. Turns 97 Rep";"days",#N/A,FALSE,"Inven. Turns 97 Rep"}</definedName>
    <definedName name="ysx" hidden="1">#REF!</definedName>
    <definedName name="ytu" hidden="1">{#N/A,#N/A,FALSE,"UK";#N/A,#N/A,FALSE,"FR";#N/A,#N/A,FALSE,"SWE";#N/A,#N/A,FALSE,"BE";#N/A,#N/A,FALSE,"IT";#N/A,#N/A,FALSE,"SP";#N/A,#N/A,FALSE,"Ticker0009";#N/A,#N/A,FALSE,"PO";#N/A,#N/A,FALSE,"SWI";#N/A,#N/A,FALSE,"NON"}</definedName>
    <definedName name="yyyyyyyyyyyy" hidden="1">{"raatios",#N/A,FALSE,"A";"ratios",#N/A,FALSE,"B";"ratios",#N/A,FALSE,"C";"ratios",#N/A,FALSE,"D";"ratios",#N/A,FALSE,"F"}</definedName>
    <definedName name="yzs" hidden="1">{"inventory",#N/A,FALSE,"Inven. Turns 97 Rep";"sales",#N/A,FALSE,"Inven. Turns 97 Rep";"turns",#N/A,FALSE,"Inven. Turns 97 Rep";"days",#N/A,FALSE,"Inven. Turns 97 Rep"}</definedName>
    <definedName name="z" hidden="1">{#N/A,#N/A,FALSE,"UK";#N/A,#N/A,FALSE,"FR";#N/A,#N/A,FALSE,"SWE";#N/A,#N/A,FALSE,"BE";#N/A,#N/A,FALSE,"IT";#N/A,#N/A,FALSE,"SP";#N/A,#N/A,FALSE,"Ticker0009";#N/A,#N/A,FALSE,"PO";#N/A,#N/A,FALSE,"SWI";#N/A,#N/A,FALSE,"NON"}</definedName>
    <definedName name="Z_06EE1333_4E33_4B9A_B94B_1E3137273EA1_.wvu.FilterData" hidden="1">#REF!</definedName>
    <definedName name="Z_1567207B_D6F2_4A4F_A22F_762661042FAE_.wvu.PrintArea" hidden="1">#REF!</definedName>
    <definedName name="Z_3D53C85A_1670_43A3_85FD_D83DBC1A5DDD_.wvu.Rows" hidden="1">#REF!,#REF!,#REF!,#REF!,#REF!,#REF!,#REF!,#REF!,#REF!,#REF!,#REF!,#REF!,#REF!,#REF!,#REF!,#REF!,#REF!,#REF!,#REF!,#REF!,#REF!,#REF!,#REF!</definedName>
    <definedName name="Z_45B15D42_AD22_11D1_BBC3_444553540000_.wvu.Rows" hidden="1">#REF!</definedName>
    <definedName name="Z_45B15D43_AD22_11D1_BBC3_444553540000_.wvu.Rows" hidden="1">#REF!</definedName>
    <definedName name="Z_46643836_6218_4612_A19A_A73A8D1FDDD8_.wvu.PrintArea" hidden="1">#REF!</definedName>
    <definedName name="Z_46643836_6218_4612_A19A_A73A8D1FDDD8_.wvu.Rows" hidden="1">#REF!</definedName>
    <definedName name="Z_48284223_12A7_4EE9_B0E4_B9A89AC74F33_.wvu.Cols" hidden="1">#REF!</definedName>
    <definedName name="Z_48284223_12A7_4EE9_B0E4_B9A89AC74F33_.wvu.FilterData" hidden="1">#REF!</definedName>
    <definedName name="Z_48877919_4222_477F_B825_6B52F182C5EE_.wvu.Rows" hidden="1">#REF!</definedName>
    <definedName name="Z_5602346D_EE3A_4FAA_AADB_D23E8602D7F9_.wvu.Cols" hidden="1">#REF!,#REF!,#REF!,#REF!,#REF!,#REF!</definedName>
    <definedName name="Z_5602346D_EE3A_4FAA_AADB_D23E8602D7F9_.wvu.Rows" hidden="1">#REF!</definedName>
    <definedName name="Z_60FA13F0_C7AB_11D5_82BE_0060B0F04987_.wvu.Rows" hidden="1">#REF!</definedName>
    <definedName name="Z_65C2A17F_5635_4804_BE02_928441E4AA3E_.wvu.FilterData" hidden="1">#REF!</definedName>
    <definedName name="Z_78C3C388_9EC7_42DB_B2CF_59B85792A7CB_.wvu.FilterData" hidden="1">#REF!</definedName>
    <definedName name="Z_7C4298AD_8F24_46B9_B78E_F7AB605EF027_.wvu.Cols" hidden="1">#REF!,#REF!</definedName>
    <definedName name="Z_7C4298AD_8F24_46B9_B78E_F7AB605EF027_.wvu.PrintArea" hidden="1">#REF!,#REF!</definedName>
    <definedName name="Z_7C4298AD_8F24_46B9_B78E_F7AB605EF027_.wvu.Rows" hidden="1">#REF!,#REF!</definedName>
    <definedName name="Z_7F4006E7_D6FE_4DEF_AAC9_ABFE8DE52730_.wvu.FilterData" hidden="1">#REF!</definedName>
    <definedName name="Z_88C269E0_AAB5_11D1_BBC3_444553540000_.wvu.PrintTitles" hidden="1">#REF!</definedName>
    <definedName name="Z_94331F79_2978_4D9C_A34D_0B28D57636AC_.wvu.Cols" hidden="1">#REF!</definedName>
    <definedName name="Z_94331F79_2978_4D9C_A34D_0B28D57636AC_.wvu.FilterData" hidden="1">#REF!</definedName>
    <definedName name="Z_98F7F1EC_C800_4FD2_8A72_B90EEE0BBE1D_.wvu.FilterData" hidden="1">#REF!</definedName>
    <definedName name="Z_B38843BF_DFDF_44FA_8E71_0A2E36B1AD6C_.wvu.Cols" hidden="1">#REF!</definedName>
    <definedName name="Z_B38843BF_DFDF_44FA_8E71_0A2E36B1AD6C_.wvu.PrintArea" hidden="1">#REF!</definedName>
    <definedName name="Z_B38843BF_DFDF_44FA_8E71_0A2E36B1AD6C_.wvu.Rows" hidden="1">#REF!</definedName>
    <definedName name="Z_C0B37B4C_3386_4542_9DCC_D004B914D214_.wvu.Cols" hidden="1">#REF!</definedName>
    <definedName name="Z_C0B37B4C_3386_4542_9DCC_D004B914D214_.wvu.FilterData" hidden="1">#REF!</definedName>
    <definedName name="Z_C0B37B4C_3386_4542_9DCC_D004B914D214_.wvu.PrintArea" hidden="1">#REF!</definedName>
    <definedName name="Z_CCD92046_DA37_4544_8978_82EA7DF7E433_.wvu.Cols" hidden="1">#REF!</definedName>
    <definedName name="Z_CCD92046_DA37_4544_8978_82EA7DF7E433_.wvu.PrintArea" hidden="1">#REF!</definedName>
    <definedName name="Z_D27B34DB_D6A4_4B2E_94CA_B5446AD0D31F_.wvu.FilterData" hidden="1">#REF!</definedName>
    <definedName name="Z_DEF6B6B2_E56E_4C10_983F_4B404A40CB78_.wvu.Cols" hidden="1">#REF!</definedName>
    <definedName name="Z_ED972A1B_0E89_4FE8_A32A_C3A05AC5EF2E_.wvu.FilterData" hidden="1">#REF!</definedName>
    <definedName name="Z_EE726717_6F86_4902_92A9_5FC10CA897E6_.wvu.Cols" hidden="1">#N/A</definedName>
    <definedName name="Z_EE726717_6F86_4902_92A9_5FC10CA897E6_.wvu.FilterData" hidden="1">#N/A</definedName>
    <definedName name="Z_EE726717_6F86_4902_92A9_5FC10CA897E6_.wvu.PrintArea" hidden="1">#N/A</definedName>
    <definedName name="Z_EEED617B_40B1_4F46_A299_6DA0C9B76CB3_.wvu.FilterData" hidden="1">#REF!</definedName>
    <definedName name="Z_EEED617B_40B1_4F46_A299_6DA0C9B76CB3_.wvu.PrintArea" hidden="1">#REF!</definedName>
    <definedName name="Z_EEED617B_40B1_4F46_A299_6DA0C9B76CB3_.wvu.PrintTitles" hidden="1">#REF!</definedName>
    <definedName name="Z_FDC97991_FFA9_446D_BD4F_81553D717ECC_.wvu.Cols" hidden="1">#REF!</definedName>
    <definedName name="zaed" hidden="1">{#N/A,#N/A,FALSE,"Ventilation";#N/A,#N/A,FALSE,"Courbe1";#N/A,#N/A,FALSE,"Courbe2"}</definedName>
    <definedName name="zcz" hidden="1">{"Quarterly earnings",#N/A,FALSE,"Earnings model";"Quarterly compare",#N/A,FALSE,"Earnings model";"Annual earnings",#N/A,FALSE,"Earnings model"}</definedName>
    <definedName name="zcza" hidden="1">{"quarterlyfull",#N/A,FALSE,"Earnings model ";"Annualfull",#N/A,FALSE,"Earnings model "}</definedName>
    <definedName name="zzz.." hidden="1">{#N/A,#N/A,TRUE,"GEM Total";#N/A,#N/A,TRUE,"Final Assembly";#N/A,#N/A,TRUE,"Cleaning";#N/A,#N/A,TRUE,"Schooping,Clearing";#N/A,#N/A,TRUE,"Winding"}</definedName>
    <definedName name="zzz_1" hidden="1">{#N/A,#N/A,TRUE,"GEM Total";#N/A,#N/A,TRUE,"Final Assembly";#N/A,#N/A,TRUE,"Cleaning";#N/A,#N/A,TRUE,"Schooping,Clearing";#N/A,#N/A,TRUE,"Winding"}</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K46" i="13" l="1"/>
  <c r="DL46" i="13" s="1"/>
  <c r="DL68" i="16" l="1"/>
  <c r="DL69" i="16"/>
  <c r="DL166" i="1"/>
  <c r="DL170" i="39" l="1"/>
  <c r="DL173" i="39"/>
  <c r="DL174" i="39"/>
  <c r="DL130" i="39"/>
  <c r="DL132" i="39"/>
  <c r="DL134" i="39"/>
  <c r="DL116" i="39"/>
  <c r="DL117" i="39" s="1"/>
  <c r="DL120" i="39"/>
  <c r="DL122" i="39"/>
  <c r="DL124" i="39"/>
  <c r="DL112" i="39"/>
  <c r="DL116" i="1"/>
  <c r="DL111" i="1" s="1"/>
  <c r="DL110" i="1"/>
  <c r="DL139" i="1"/>
  <c r="DL141" i="1" s="1"/>
  <c r="DL129" i="1"/>
  <c r="DL131" i="1" s="1"/>
  <c r="DL117" i="1" l="1"/>
  <c r="DL119" i="1" s="1"/>
  <c r="DL143" i="1"/>
  <c r="DL145" i="1" s="1"/>
  <c r="DL147" i="1" s="1"/>
  <c r="DL137" i="39"/>
  <c r="DL138" i="39"/>
  <c r="DL15" i="11" l="1"/>
  <c r="AB9" i="44"/>
  <c r="DL43" i="12"/>
  <c r="DL42" i="12"/>
  <c r="DL41" i="12"/>
  <c r="DL40" i="12"/>
  <c r="DL39" i="12"/>
  <c r="DL38" i="12"/>
  <c r="DL37" i="12"/>
  <c r="DL35" i="12"/>
  <c r="DL34" i="12"/>
  <c r="DL33" i="12"/>
  <c r="DL32" i="12"/>
  <c r="DL31" i="12"/>
  <c r="DL29" i="12"/>
  <c r="DL27" i="12"/>
  <c r="DL26" i="12"/>
  <c r="DL25" i="12"/>
  <c r="DL20" i="12"/>
  <c r="DL19" i="12"/>
  <c r="DL18" i="12"/>
  <c r="DL17" i="12"/>
  <c r="DL16" i="12"/>
  <c r="DL15" i="12"/>
  <c r="DL13" i="12"/>
  <c r="DL11" i="12"/>
  <c r="DL10" i="12"/>
  <c r="DL9" i="12"/>
  <c r="DL8" i="12"/>
  <c r="DL7" i="12"/>
  <c r="DL44" i="12" l="1"/>
  <c r="DL98" i="39"/>
  <c r="DL99" i="39"/>
  <c r="DL86" i="39"/>
  <c r="DL58" i="39"/>
  <c r="DL60" i="39"/>
  <c r="DL62" i="39"/>
  <c r="DL65" i="39"/>
  <c r="DL66" i="39"/>
  <c r="DL54" i="39"/>
  <c r="DL46" i="11"/>
  <c r="DL74" i="1"/>
  <c r="DL28" i="12" s="1"/>
  <c r="DL30" i="12" s="1"/>
  <c r="DL36" i="12" s="1"/>
  <c r="DL67" i="1"/>
  <c r="DL21" i="12" s="1"/>
  <c r="DL57" i="1"/>
  <c r="DL12" i="12" s="1"/>
  <c r="DL14" i="12" s="1"/>
  <c r="DL45" i="12" l="1"/>
  <c r="DL22" i="12"/>
  <c r="DL71" i="12"/>
  <c r="DL81" i="12"/>
  <c r="DL54" i="11"/>
  <c r="DL51" i="11"/>
  <c r="DL52" i="11" s="1"/>
  <c r="DL29" i="11"/>
  <c r="DL25" i="11"/>
  <c r="DL23" i="11"/>
  <c r="DL21" i="11"/>
  <c r="DL19" i="11"/>
  <c r="DL17" i="11"/>
  <c r="DL16" i="11"/>
  <c r="DL13" i="11"/>
  <c r="DL12" i="11"/>
  <c r="DL10" i="11"/>
  <c r="DL7" i="11"/>
  <c r="DL6" i="11"/>
  <c r="DL70" i="16"/>
  <c r="DL64" i="16"/>
  <c r="DL63" i="16"/>
  <c r="DL8" i="16"/>
  <c r="DL7" i="16"/>
  <c r="DL40" i="1"/>
  <c r="DL36" i="1"/>
  <c r="DL24" i="1"/>
  <c r="DL22" i="1"/>
  <c r="DL15" i="1"/>
  <c r="DL10" i="1"/>
  <c r="DL8" i="11" s="1"/>
  <c r="DL9" i="1"/>
  <c r="DL11" i="1" s="1"/>
  <c r="DL156" i="1"/>
  <c r="DL10" i="16" s="1"/>
  <c r="DL163" i="1"/>
  <c r="DL90" i="1"/>
  <c r="DL92" i="1" s="1"/>
  <c r="DL76" i="1"/>
  <c r="DL83" i="1" s="1"/>
  <c r="DL59" i="1"/>
  <c r="DL68" i="1" s="1"/>
  <c r="DP8" i="11"/>
  <c r="DP63" i="11"/>
  <c r="DL84" i="16" l="1"/>
  <c r="DL85" i="16"/>
  <c r="DL9" i="11"/>
  <c r="DL69" i="11" s="1"/>
  <c r="DM52" i="11"/>
  <c r="DN52" i="11" s="1"/>
  <c r="DL16" i="1"/>
  <c r="DL19" i="1" s="1"/>
  <c r="DL23" i="1" s="1"/>
  <c r="DL25" i="1" s="1"/>
  <c r="DL35" i="1" s="1"/>
  <c r="DL37" i="1" s="1"/>
  <c r="DL93" i="1"/>
  <c r="DL95" i="1" s="1"/>
  <c r="DL33" i="11"/>
  <c r="DL34" i="11"/>
  <c r="DL68" i="11" l="1"/>
  <c r="DL71" i="11"/>
  <c r="DL70" i="11"/>
  <c r="DL27" i="1"/>
  <c r="DL29" i="1" s="1"/>
  <c r="DL31" i="1" s="1"/>
  <c r="DL33" i="1" s="1"/>
  <c r="DL39" i="1"/>
  <c r="DL41" i="1" s="1"/>
  <c r="DL11" i="11"/>
  <c r="DP70" i="16"/>
  <c r="DR53" i="16"/>
  <c r="DS53" i="16"/>
  <c r="DQ53" i="16"/>
  <c r="DP53" i="16"/>
  <c r="DM53" i="16"/>
  <c r="DN53" i="16"/>
  <c r="DP52" i="13"/>
  <c r="DP51" i="13"/>
  <c r="DP54" i="13" s="1"/>
  <c r="DP36" i="13"/>
  <c r="DP7" i="13"/>
  <c r="DT53" i="13"/>
  <c r="DS52" i="13"/>
  <c r="DR52" i="13"/>
  <c r="DQ52" i="13"/>
  <c r="DT52" i="13" s="1"/>
  <c r="DS51" i="13"/>
  <c r="DS54" i="13" s="1"/>
  <c r="DR51" i="13"/>
  <c r="DQ51" i="13"/>
  <c r="DT46" i="13"/>
  <c r="DT44" i="13"/>
  <c r="DT43" i="13"/>
  <c r="DT41" i="13"/>
  <c r="DT40" i="13"/>
  <c r="DT39" i="13"/>
  <c r="DT38" i="13"/>
  <c r="DT37" i="13"/>
  <c r="DS36" i="13"/>
  <c r="DR36" i="13"/>
  <c r="DQ36" i="13"/>
  <c r="DT35" i="13"/>
  <c r="DT34" i="13"/>
  <c r="DT33" i="13"/>
  <c r="DT32" i="13"/>
  <c r="DT31" i="13"/>
  <c r="DT30" i="13"/>
  <c r="DT29" i="13"/>
  <c r="DT28" i="13"/>
  <c r="DT27" i="13"/>
  <c r="DT26" i="13"/>
  <c r="DT16" i="13"/>
  <c r="DT15" i="13"/>
  <c r="DT14" i="13"/>
  <c r="DT13" i="13"/>
  <c r="DT12" i="13"/>
  <c r="DT11" i="13"/>
  <c r="DT10" i="13"/>
  <c r="DT9" i="13"/>
  <c r="DS7" i="13"/>
  <c r="DR7" i="13"/>
  <c r="DQ7" i="13"/>
  <c r="DS76" i="12"/>
  <c r="DS77" i="12" s="1"/>
  <c r="DR76" i="12"/>
  <c r="DR77" i="12" s="1"/>
  <c r="DQ76" i="12"/>
  <c r="DQ77" i="12" s="1"/>
  <c r="DT71" i="11"/>
  <c r="DT70" i="11"/>
  <c r="DS63" i="11"/>
  <c r="DR63" i="11"/>
  <c r="DQ63" i="11"/>
  <c r="DT46" i="11"/>
  <c r="DT45" i="11"/>
  <c r="DT44" i="11"/>
  <c r="DT43" i="11"/>
  <c r="DT42" i="11"/>
  <c r="DT41" i="11"/>
  <c r="DT40" i="11"/>
  <c r="DT39" i="11"/>
  <c r="DT25" i="11"/>
  <c r="DS8" i="11"/>
  <c r="DR8" i="11"/>
  <c r="DQ8" i="11"/>
  <c r="DS113" i="16"/>
  <c r="DR113" i="16"/>
  <c r="DQ113" i="16"/>
  <c r="DP113" i="16"/>
  <c r="DS112" i="16"/>
  <c r="DR112" i="16"/>
  <c r="DQ112" i="16"/>
  <c r="DP112" i="16"/>
  <c r="DT104" i="16"/>
  <c r="DS104" i="16"/>
  <c r="DR104" i="16"/>
  <c r="DQ104" i="16"/>
  <c r="DP104" i="16"/>
  <c r="DT103" i="16"/>
  <c r="DS103" i="16"/>
  <c r="DR103" i="16"/>
  <c r="DQ103" i="16"/>
  <c r="DP103" i="16"/>
  <c r="DT96" i="16"/>
  <c r="DS96" i="16"/>
  <c r="DR96" i="16"/>
  <c r="DQ96" i="16"/>
  <c r="DP96" i="16"/>
  <c r="DS95" i="16"/>
  <c r="DR95" i="16"/>
  <c r="DQ95" i="16"/>
  <c r="DS70" i="16"/>
  <c r="DR70" i="16"/>
  <c r="DQ70" i="16"/>
  <c r="DQ115" i="16" s="1"/>
  <c r="DT69" i="16"/>
  <c r="DT68" i="16"/>
  <c r="DT30" i="16"/>
  <c r="DS30" i="16"/>
  <c r="DR30" i="16"/>
  <c r="DQ30" i="16"/>
  <c r="DP30" i="16"/>
  <c r="DT23" i="16"/>
  <c r="DS23" i="16"/>
  <c r="DR23" i="16"/>
  <c r="DQ23" i="16"/>
  <c r="DP23" i="16"/>
  <c r="DT10" i="16"/>
  <c r="DT75" i="39" s="1"/>
  <c r="DT9" i="16"/>
  <c r="DS59" i="16" s="1"/>
  <c r="DP138" i="39"/>
  <c r="DP137" i="39"/>
  <c r="DS75" i="39"/>
  <c r="DR75" i="39"/>
  <c r="DQ75" i="39"/>
  <c r="DP75" i="39"/>
  <c r="DV331" i="1"/>
  <c r="DV185" i="1"/>
  <c r="DV187" i="1" s="1"/>
  <c r="DV180" i="1"/>
  <c r="DV182" i="1" s="1"/>
  <c r="DV27" i="1"/>
  <c r="DO46" i="13"/>
  <c r="DT8" i="11" l="1"/>
  <c r="DL14" i="11"/>
  <c r="DL67" i="11"/>
  <c r="DS115" i="16"/>
  <c r="DR59" i="16"/>
  <c r="DT7" i="13"/>
  <c r="DR54" i="13"/>
  <c r="DR115" i="16"/>
  <c r="DP59" i="16"/>
  <c r="DQ59" i="16"/>
  <c r="DQ54" i="13"/>
  <c r="DT36" i="13"/>
  <c r="DT8" i="13"/>
  <c r="DT21" i="11"/>
  <c r="DT23" i="11"/>
  <c r="DT70" i="16"/>
  <c r="DL18" i="11" l="1"/>
  <c r="DL82" i="12"/>
  <c r="DT63" i="11"/>
  <c r="DK174" i="39"/>
  <c r="DK173" i="39"/>
  <c r="DK170" i="39"/>
  <c r="DK138" i="39"/>
  <c r="DP147" i="39" s="1"/>
  <c r="DK137" i="39"/>
  <c r="DP146" i="39" s="1"/>
  <c r="DK134" i="39"/>
  <c r="DK132" i="39"/>
  <c r="DK130" i="39"/>
  <c r="DK124" i="39"/>
  <c r="DK122" i="39"/>
  <c r="DK120" i="39"/>
  <c r="DK116" i="39"/>
  <c r="DK117" i="39" s="1"/>
  <c r="DK112" i="39"/>
  <c r="DJ85" i="39"/>
  <c r="DJ84" i="39"/>
  <c r="DK99" i="39"/>
  <c r="DK98" i="39"/>
  <c r="DK86" i="39"/>
  <c r="DK67" i="39" s="1"/>
  <c r="DK66" i="39"/>
  <c r="DK65" i="39"/>
  <c r="DK62" i="39"/>
  <c r="DK60" i="39"/>
  <c r="DK58" i="39"/>
  <c r="DK54" i="39"/>
  <c r="DK44" i="13"/>
  <c r="DL44" i="13" s="1"/>
  <c r="DK43" i="13"/>
  <c r="DL43" i="13" s="1"/>
  <c r="DK42" i="13"/>
  <c r="DL42" i="13" s="1"/>
  <c r="DK41" i="13"/>
  <c r="DL41" i="13" s="1"/>
  <c r="DK40" i="13"/>
  <c r="DL40" i="13" s="1"/>
  <c r="DK39" i="13"/>
  <c r="DL39" i="13" s="1"/>
  <c r="DK38" i="13"/>
  <c r="DL38" i="13" s="1"/>
  <c r="DK37" i="13"/>
  <c r="DL37" i="13" s="1"/>
  <c r="DK35" i="13"/>
  <c r="DL35" i="13" s="1"/>
  <c r="DK33" i="13"/>
  <c r="DL33" i="13" s="1"/>
  <c r="DK32" i="13"/>
  <c r="DL32" i="13" s="1"/>
  <c r="DK31" i="13"/>
  <c r="DL31" i="13" s="1"/>
  <c r="DK30" i="13"/>
  <c r="DL30" i="13" s="1"/>
  <c r="DK29" i="13"/>
  <c r="DL29" i="13" s="1"/>
  <c r="DK28" i="13"/>
  <c r="DL28" i="13" s="1"/>
  <c r="DK27" i="13"/>
  <c r="DL27" i="13" s="1"/>
  <c r="DK26" i="13"/>
  <c r="DL26" i="13" s="1"/>
  <c r="DK24" i="13"/>
  <c r="DL24" i="13" s="1"/>
  <c r="DK23" i="13"/>
  <c r="DL23" i="13" s="1"/>
  <c r="DK22" i="13"/>
  <c r="DL22" i="13" s="1"/>
  <c r="DK21" i="13"/>
  <c r="DL21" i="13" s="1"/>
  <c r="DK20" i="13"/>
  <c r="DL20" i="13" s="1"/>
  <c r="DK19" i="13"/>
  <c r="DL19" i="13" s="1"/>
  <c r="DK16" i="13"/>
  <c r="DL16" i="13" s="1"/>
  <c r="DK15" i="13"/>
  <c r="DL15" i="13" s="1"/>
  <c r="DK14" i="13"/>
  <c r="DL14" i="13" s="1"/>
  <c r="DK13" i="13"/>
  <c r="DL13" i="13" s="1"/>
  <c r="DK12" i="13"/>
  <c r="DL12" i="13" s="1"/>
  <c r="DK11" i="13"/>
  <c r="DL11" i="13" s="1"/>
  <c r="DK10" i="13"/>
  <c r="DL10" i="13" s="1"/>
  <c r="DK9" i="13"/>
  <c r="DL9" i="13" s="1"/>
  <c r="DK8" i="13"/>
  <c r="DL8" i="13" s="1"/>
  <c r="DK7" i="13"/>
  <c r="DL7" i="13" s="1"/>
  <c r="DK6" i="13"/>
  <c r="DL6" i="13" s="1"/>
  <c r="DK43" i="12"/>
  <c r="DK42" i="12"/>
  <c r="DK41" i="12"/>
  <c r="DK40" i="12"/>
  <c r="DK39" i="12"/>
  <c r="DK38" i="12"/>
  <c r="DK37" i="12"/>
  <c r="DK35" i="12"/>
  <c r="DK34" i="12"/>
  <c r="DK33" i="12"/>
  <c r="DK32" i="12"/>
  <c r="DK31" i="12"/>
  <c r="DK29" i="12"/>
  <c r="DK27" i="12"/>
  <c r="DK26" i="12"/>
  <c r="DL74" i="12" s="1"/>
  <c r="DK25" i="12"/>
  <c r="DK21" i="12"/>
  <c r="DK20" i="12"/>
  <c r="DK19" i="12"/>
  <c r="DK18" i="12"/>
  <c r="DK17" i="12"/>
  <c r="DK16" i="12"/>
  <c r="DK15" i="12"/>
  <c r="DK13" i="12"/>
  <c r="DK12" i="12"/>
  <c r="DK11" i="12"/>
  <c r="DL73" i="12" s="1"/>
  <c r="DK10" i="12"/>
  <c r="DL75" i="12" s="1"/>
  <c r="DL76" i="12" s="1"/>
  <c r="DK9" i="12"/>
  <c r="DL72" i="12" s="1"/>
  <c r="DK8" i="12"/>
  <c r="DK7" i="12"/>
  <c r="DK54" i="11"/>
  <c r="DK166" i="1"/>
  <c r="DK128" i="1"/>
  <c r="DK34" i="13" s="1"/>
  <c r="DL34" i="13" s="1"/>
  <c r="DK110" i="1"/>
  <c r="DK17" i="13" s="1"/>
  <c r="DL17" i="13" s="1"/>
  <c r="DK74" i="1"/>
  <c r="DK28" i="12" s="1"/>
  <c r="DK51" i="11"/>
  <c r="DK52" i="11" s="1"/>
  <c r="DK25" i="11"/>
  <c r="DK23" i="11"/>
  <c r="DK21" i="11"/>
  <c r="DK19" i="11"/>
  <c r="DK16" i="11"/>
  <c r="DK15" i="11"/>
  <c r="DK13" i="11"/>
  <c r="DK12" i="11"/>
  <c r="DK10" i="11"/>
  <c r="DK8" i="11"/>
  <c r="DK7" i="11"/>
  <c r="DK6" i="11"/>
  <c r="DK64" i="16"/>
  <c r="DK63" i="16"/>
  <c r="DK9" i="16"/>
  <c r="DK8" i="16"/>
  <c r="DK7" i="16"/>
  <c r="DK45" i="1"/>
  <c r="DK22" i="1"/>
  <c r="DK17" i="11" s="1"/>
  <c r="DP95" i="16" l="1"/>
  <c r="DL53" i="16"/>
  <c r="DL77" i="12"/>
  <c r="DL45" i="13"/>
  <c r="DL18" i="13"/>
  <c r="DL25" i="13" s="1"/>
  <c r="DL51" i="13" s="1"/>
  <c r="DL36" i="13"/>
  <c r="DL52" i="13"/>
  <c r="DK56" i="12"/>
  <c r="DK57" i="12" s="1"/>
  <c r="DL20" i="11"/>
  <c r="DL75" i="11"/>
  <c r="DT25" i="13"/>
  <c r="DK30" i="12"/>
  <c r="DK36" i="12" s="1"/>
  <c r="DK85" i="16"/>
  <c r="DK59" i="12"/>
  <c r="DK65" i="12" s="1"/>
  <c r="DK45" i="13"/>
  <c r="DK44" i="12"/>
  <c r="DK58" i="12" s="1"/>
  <c r="DK64" i="12" s="1"/>
  <c r="DK36" i="13"/>
  <c r="DK18" i="13"/>
  <c r="DK25" i="13" s="1"/>
  <c r="DK51" i="13" s="1"/>
  <c r="DK52" i="13"/>
  <c r="DK14" i="12"/>
  <c r="DK84" i="16"/>
  <c r="DK9" i="11"/>
  <c r="DL86" i="11" s="1"/>
  <c r="DL54" i="13" l="1"/>
  <c r="DL76" i="11"/>
  <c r="DL28" i="11"/>
  <c r="DL30" i="11" s="1"/>
  <c r="DL32" i="11"/>
  <c r="DL35" i="11" s="1"/>
  <c r="DL22" i="11"/>
  <c r="DL24" i="11" s="1"/>
  <c r="DL26" i="11" s="1"/>
  <c r="DK60" i="12"/>
  <c r="DK62" i="12" s="1"/>
  <c r="DL55" i="13"/>
  <c r="DL57" i="13"/>
  <c r="DL47" i="13"/>
  <c r="DP52" i="11"/>
  <c r="DT51" i="13"/>
  <c r="DT54" i="13" s="1"/>
  <c r="DK45" i="12"/>
  <c r="DK61" i="12"/>
  <c r="DK11" i="11"/>
  <c r="DK68" i="11"/>
  <c r="DK71" i="11"/>
  <c r="DK70" i="11"/>
  <c r="DK69" i="11"/>
  <c r="DK54" i="13"/>
  <c r="DK47" i="13"/>
  <c r="DK67" i="12"/>
  <c r="DK66" i="12"/>
  <c r="DK68" i="12" s="1"/>
  <c r="DK71" i="12"/>
  <c r="DK81" i="12"/>
  <c r="DK22" i="12"/>
  <c r="DL78" i="12" s="1"/>
  <c r="DL86" i="12" l="1"/>
  <c r="DP34" i="11"/>
  <c r="DQ52" i="11"/>
  <c r="DP33" i="11"/>
  <c r="DP57" i="13"/>
  <c r="DK14" i="11"/>
  <c r="DK67" i="11"/>
  <c r="DK57" i="13"/>
  <c r="DR52" i="11" l="1"/>
  <c r="DQ34" i="11"/>
  <c r="DQ57" i="13"/>
  <c r="DQ33" i="11"/>
  <c r="DK18" i="11"/>
  <c r="DK82" i="12"/>
  <c r="DS52" i="11" l="1"/>
  <c r="DR57" i="13"/>
  <c r="DR33" i="11"/>
  <c r="DR34" i="11"/>
  <c r="DK20" i="11"/>
  <c r="DL89" i="11" s="1"/>
  <c r="DK75" i="11"/>
  <c r="DS57" i="13" l="1"/>
  <c r="DS34" i="11"/>
  <c r="DS33" i="11"/>
  <c r="DT52" i="11"/>
  <c r="DK22" i="11"/>
  <c r="DK24" i="11" s="1"/>
  <c r="DK26" i="11" s="1"/>
  <c r="DK76" i="11"/>
  <c r="DK55" i="13"/>
  <c r="DT33" i="11" l="1"/>
  <c r="DT34" i="11"/>
  <c r="DT57" i="13"/>
  <c r="DK163" i="1" l="1"/>
  <c r="DK70" i="16" s="1"/>
  <c r="DK156" i="1"/>
  <c r="DK10" i="16" s="1"/>
  <c r="DK11" i="16" s="1"/>
  <c r="DK139" i="1"/>
  <c r="DK141" i="1" s="1"/>
  <c r="DK129" i="1"/>
  <c r="DK131" i="1" s="1"/>
  <c r="DK111" i="1"/>
  <c r="DK90" i="1"/>
  <c r="DK92" i="1" s="1"/>
  <c r="DK76" i="1"/>
  <c r="DK83" i="1" s="1"/>
  <c r="DK59" i="1"/>
  <c r="DK68" i="1" s="1"/>
  <c r="DK40" i="1"/>
  <c r="DK36" i="1"/>
  <c r="DK15" i="1"/>
  <c r="DK9" i="1"/>
  <c r="DK11" i="1" s="1"/>
  <c r="DI170" i="39"/>
  <c r="DH170" i="39"/>
  <c r="DG170" i="39"/>
  <c r="DL175" i="39" s="1"/>
  <c r="DF170" i="39"/>
  <c r="DK175" i="39" s="1"/>
  <c r="DJ169" i="39"/>
  <c r="DJ168" i="39"/>
  <c r="DI174" i="39"/>
  <c r="DI173" i="39"/>
  <c r="DI45" i="1"/>
  <c r="DJ146" i="1"/>
  <c r="DJ142" i="1"/>
  <c r="DJ140" i="1"/>
  <c r="DJ137" i="1"/>
  <c r="DJ136" i="1"/>
  <c r="DJ135" i="1"/>
  <c r="DJ134" i="1"/>
  <c r="DJ133" i="1"/>
  <c r="DJ132" i="1"/>
  <c r="DJ130" i="1"/>
  <c r="DJ128" i="1"/>
  <c r="DJ127" i="1"/>
  <c r="DJ126" i="1"/>
  <c r="DJ125" i="1"/>
  <c r="DJ124" i="1"/>
  <c r="DJ123" i="1"/>
  <c r="DJ122" i="1"/>
  <c r="DJ121" i="1"/>
  <c r="DJ120" i="1"/>
  <c r="DJ118" i="1"/>
  <c r="DJ115" i="1"/>
  <c r="DJ114" i="1"/>
  <c r="DJ113" i="1"/>
  <c r="DJ112" i="1"/>
  <c r="DJ109" i="1"/>
  <c r="DJ108" i="1"/>
  <c r="DJ107" i="1"/>
  <c r="DJ106" i="1"/>
  <c r="DJ105" i="1"/>
  <c r="DJ104" i="1"/>
  <c r="DJ103" i="1"/>
  <c r="DJ102" i="1"/>
  <c r="DJ101" i="1"/>
  <c r="DJ100" i="1"/>
  <c r="DJ99" i="1"/>
  <c r="DI138" i="1"/>
  <c r="DJ138" i="1" s="1"/>
  <c r="DI129" i="1"/>
  <c r="DI131" i="1" s="1"/>
  <c r="DI110" i="1"/>
  <c r="DI116" i="1"/>
  <c r="DJ116" i="1" s="1"/>
  <c r="DJ89" i="1"/>
  <c r="DJ88" i="1"/>
  <c r="DJ87" i="1"/>
  <c r="DJ86" i="1"/>
  <c r="DJ85" i="1"/>
  <c r="DJ84" i="1"/>
  <c r="DJ82" i="1"/>
  <c r="DJ81" i="1"/>
  <c r="DJ80" i="1"/>
  <c r="DJ79" i="1"/>
  <c r="DJ78" i="1"/>
  <c r="DJ77" i="1"/>
  <c r="DJ75" i="1"/>
  <c r="DJ73" i="1"/>
  <c r="DJ72" i="1"/>
  <c r="DJ71" i="1"/>
  <c r="DJ66" i="1"/>
  <c r="DJ65" i="1"/>
  <c r="DJ64" i="1"/>
  <c r="DJ63" i="1"/>
  <c r="DJ62" i="1"/>
  <c r="DJ61" i="1"/>
  <c r="DJ60" i="1"/>
  <c r="DJ58" i="1"/>
  <c r="DJ57" i="1"/>
  <c r="DJ56" i="1"/>
  <c r="DJ55" i="1"/>
  <c r="DJ54" i="1"/>
  <c r="DJ53" i="1"/>
  <c r="DJ52" i="1"/>
  <c r="DJ51" i="1"/>
  <c r="DJ27" i="1"/>
  <c r="AC9" i="44"/>
  <c r="AD9" i="44" s="1"/>
  <c r="AE9" i="44" s="1"/>
  <c r="DP106" i="16" l="1"/>
  <c r="DI111" i="1"/>
  <c r="DJ111" i="1" s="1"/>
  <c r="DK117" i="1"/>
  <c r="DK119" i="1" s="1"/>
  <c r="DK143" i="1" s="1"/>
  <c r="DJ110" i="1"/>
  <c r="DJ139" i="1"/>
  <c r="DJ141" i="1" s="1"/>
  <c r="DJ90" i="1"/>
  <c r="DJ129" i="1"/>
  <c r="DJ131" i="1" s="1"/>
  <c r="DK16" i="1"/>
  <c r="DK19" i="1" s="1"/>
  <c r="DK23" i="1" s="1"/>
  <c r="DK25" i="1" s="1"/>
  <c r="DK35" i="1" s="1"/>
  <c r="DK37" i="1" s="1"/>
  <c r="DK93" i="1"/>
  <c r="DK95" i="1" s="1"/>
  <c r="DK69" i="16"/>
  <c r="DK68" i="16"/>
  <c r="DJ73" i="39"/>
  <c r="DJ72" i="39"/>
  <c r="DI137" i="39"/>
  <c r="DI138" i="39"/>
  <c r="DI147" i="39" s="1"/>
  <c r="DI134" i="39"/>
  <c r="DI132" i="39"/>
  <c r="DI130" i="39"/>
  <c r="DI124" i="39"/>
  <c r="DI122" i="39"/>
  <c r="DI120" i="39"/>
  <c r="DI116" i="39"/>
  <c r="DI117" i="39" s="1"/>
  <c r="DJ111" i="39"/>
  <c r="DJ108" i="39"/>
  <c r="DJ106" i="39"/>
  <c r="DI112" i="39"/>
  <c r="DI99" i="39"/>
  <c r="DI86" i="39"/>
  <c r="DI67" i="39" s="1"/>
  <c r="DI66" i="39"/>
  <c r="DI65" i="39"/>
  <c r="DI62" i="39"/>
  <c r="DI60" i="39"/>
  <c r="DI58" i="39"/>
  <c r="DJ55" i="39"/>
  <c r="DJ53" i="39"/>
  <c r="DJ51" i="39"/>
  <c r="DI52" i="11"/>
  <c r="DI42" i="12"/>
  <c r="DI41" i="12"/>
  <c r="DI40" i="12"/>
  <c r="DI39" i="12"/>
  <c r="DI38" i="12"/>
  <c r="DI37" i="12"/>
  <c r="DI35" i="12"/>
  <c r="DI34" i="12"/>
  <c r="DI33" i="12"/>
  <c r="DI32" i="12"/>
  <c r="DI31" i="12"/>
  <c r="DI29" i="12"/>
  <c r="DI27" i="12"/>
  <c r="DI26" i="12"/>
  <c r="DI25" i="12"/>
  <c r="DI20" i="12"/>
  <c r="DI19" i="12"/>
  <c r="DI18" i="12"/>
  <c r="DI17" i="12"/>
  <c r="DI16" i="12"/>
  <c r="DI15" i="12"/>
  <c r="DI13" i="12"/>
  <c r="DI12" i="12"/>
  <c r="DI11" i="12"/>
  <c r="DI10" i="12"/>
  <c r="DI9" i="12"/>
  <c r="DI8" i="12"/>
  <c r="DI7" i="12"/>
  <c r="DI53" i="13"/>
  <c r="DI91" i="1"/>
  <c r="DJ91" i="1" s="1"/>
  <c r="DI67" i="1"/>
  <c r="DJ67" i="1" s="1"/>
  <c r="DI74" i="1"/>
  <c r="DJ74" i="1" s="1"/>
  <c r="DJ76" i="1" s="1"/>
  <c r="DJ83" i="1" s="1"/>
  <c r="DI54" i="11"/>
  <c r="DI25" i="11"/>
  <c r="DI23" i="11"/>
  <c r="DI21" i="11"/>
  <c r="DI10" i="11"/>
  <c r="DI12" i="11"/>
  <c r="DI13" i="11"/>
  <c r="DI15" i="11"/>
  <c r="DI16" i="11"/>
  <c r="DI19" i="11"/>
  <c r="DI8" i="11"/>
  <c r="DI7" i="11"/>
  <c r="DI6" i="11"/>
  <c r="DI63" i="16"/>
  <c r="DI64" i="16"/>
  <c r="DI7" i="16"/>
  <c r="DK51" i="16" s="1"/>
  <c r="DI8" i="16"/>
  <c r="DK52" i="16" s="1"/>
  <c r="DI9" i="16"/>
  <c r="DK53" i="16" s="1"/>
  <c r="DI22" i="1"/>
  <c r="DI17" i="11" s="1"/>
  <c r="DI139" i="1"/>
  <c r="DI141" i="1" s="1"/>
  <c r="DI90" i="1"/>
  <c r="DI59" i="1"/>
  <c r="DI36" i="1"/>
  <c r="DI40" i="1"/>
  <c r="DI15" i="1"/>
  <c r="DI9" i="1"/>
  <c r="DI11" i="1" s="1"/>
  <c r="DI156" i="1"/>
  <c r="DI10" i="16" s="1"/>
  <c r="DI163" i="1"/>
  <c r="DJ117" i="1" l="1"/>
  <c r="DJ119" i="1" s="1"/>
  <c r="DI117" i="1"/>
  <c r="DI119" i="1" s="1"/>
  <c r="DI85" i="16"/>
  <c r="DJ143" i="1"/>
  <c r="DK39" i="1"/>
  <c r="DK41" i="1" s="1"/>
  <c r="DI11" i="16"/>
  <c r="DK54" i="16" s="1"/>
  <c r="DI84" i="16"/>
  <c r="DI28" i="12"/>
  <c r="DK27" i="1"/>
  <c r="DK29" i="1" s="1"/>
  <c r="DK31" i="1" s="1"/>
  <c r="DK33" i="1" s="1"/>
  <c r="DI139" i="39"/>
  <c r="DI142" i="39" s="1"/>
  <c r="DI143" i="39" s="1"/>
  <c r="DJ92" i="1"/>
  <c r="DJ93" i="1" s="1"/>
  <c r="DI92" i="1"/>
  <c r="DI76" i="1"/>
  <c r="DI83" i="1" s="1"/>
  <c r="DI93" i="1" s="1"/>
  <c r="DI30" i="12"/>
  <c r="DI36" i="12" s="1"/>
  <c r="DI9" i="11"/>
  <c r="DK86" i="11" s="1"/>
  <c r="DI14" i="12"/>
  <c r="DJ112" i="39"/>
  <c r="DJ134" i="39"/>
  <c r="DJ132" i="39"/>
  <c r="DJ116" i="39"/>
  <c r="DJ117" i="39" s="1"/>
  <c r="DJ130" i="39"/>
  <c r="DI43" i="12"/>
  <c r="DI44" i="12" s="1"/>
  <c r="DI21" i="12"/>
  <c r="DI22" i="12" s="1"/>
  <c r="DI146" i="39"/>
  <c r="DI68" i="1"/>
  <c r="DJ68" i="1" s="1"/>
  <c r="DJ59" i="1"/>
  <c r="DI143" i="1"/>
  <c r="DI16" i="1"/>
  <c r="DI19" i="1" s="1"/>
  <c r="DI23" i="1" s="1"/>
  <c r="DI25" i="1" s="1"/>
  <c r="DI27" i="1" s="1"/>
  <c r="DI29" i="1" s="1"/>
  <c r="DI31" i="1" s="1"/>
  <c r="DI33" i="1" s="1"/>
  <c r="DI98" i="39"/>
  <c r="DI71" i="11" l="1"/>
  <c r="DI70" i="11"/>
  <c r="DI71" i="12"/>
  <c r="DI11" i="11"/>
  <c r="DI14" i="11" s="1"/>
  <c r="DI18" i="11" s="1"/>
  <c r="DI69" i="11"/>
  <c r="DI68" i="11"/>
  <c r="DI45" i="12"/>
  <c r="DI39" i="1"/>
  <c r="DI41" i="1" s="1"/>
  <c r="DI35" i="1"/>
  <c r="DI37" i="1" s="1"/>
  <c r="DH53" i="13"/>
  <c r="DF24" i="13"/>
  <c r="DG24" i="13" s="1"/>
  <c r="DH24" i="13" s="1"/>
  <c r="DH43" i="12"/>
  <c r="DH42" i="12"/>
  <c r="DH41" i="12"/>
  <c r="DH40" i="12"/>
  <c r="DH39" i="12"/>
  <c r="DH38" i="12"/>
  <c r="DH37" i="12"/>
  <c r="DH35" i="12"/>
  <c r="DH34" i="12"/>
  <c r="DH33" i="12"/>
  <c r="DH32" i="12"/>
  <c r="DH31" i="12"/>
  <c r="DH29" i="12"/>
  <c r="DH27" i="12"/>
  <c r="DH26" i="12"/>
  <c r="DI74" i="12" s="1"/>
  <c r="DH25" i="12"/>
  <c r="DH21" i="12"/>
  <c r="DH20" i="12"/>
  <c r="DH19" i="12"/>
  <c r="DH18" i="12"/>
  <c r="DH17" i="12"/>
  <c r="DH16" i="12"/>
  <c r="DH15" i="12"/>
  <c r="DH13" i="12"/>
  <c r="DH12" i="12"/>
  <c r="DH11" i="12"/>
  <c r="DI73" i="12" s="1"/>
  <c r="DH10" i="12"/>
  <c r="DI75" i="12" s="1"/>
  <c r="DI76" i="12" s="1"/>
  <c r="DH9" i="12"/>
  <c r="DI72" i="12" s="1"/>
  <c r="DH8" i="12"/>
  <c r="DH7" i="12"/>
  <c r="DH173" i="39"/>
  <c r="DH174" i="39"/>
  <c r="DH137" i="39"/>
  <c r="DH138" i="39"/>
  <c r="DH130" i="39"/>
  <c r="DH132" i="39"/>
  <c r="DH134" i="39"/>
  <c r="DH120" i="39"/>
  <c r="DH122" i="39"/>
  <c r="DH124" i="39"/>
  <c r="DH116" i="39"/>
  <c r="DH117" i="39" s="1"/>
  <c r="DH112" i="39"/>
  <c r="DH98" i="39"/>
  <c r="DH99" i="39"/>
  <c r="DH86" i="39"/>
  <c r="DH67" i="39" s="1"/>
  <c r="DH58" i="39"/>
  <c r="DH60" i="39"/>
  <c r="DH62" i="39"/>
  <c r="DH65" i="39"/>
  <c r="DH66" i="39"/>
  <c r="DH138" i="1"/>
  <c r="DH139" i="1" s="1"/>
  <c r="DH141" i="1" s="1"/>
  <c r="DH129" i="1"/>
  <c r="DH131" i="1" s="1"/>
  <c r="DH110" i="1"/>
  <c r="DH116" i="1"/>
  <c r="DH90" i="1"/>
  <c r="DH92" i="1" s="1"/>
  <c r="DH74" i="1"/>
  <c r="DH28" i="12" s="1"/>
  <c r="DH59" i="1"/>
  <c r="DH68" i="1" s="1"/>
  <c r="DG22" i="1"/>
  <c r="DG21" i="11"/>
  <c r="DH21" i="11"/>
  <c r="DF21" i="11"/>
  <c r="DA21" i="11"/>
  <c r="DB21" i="11"/>
  <c r="DC21" i="11"/>
  <c r="CV21" i="11"/>
  <c r="CW21" i="11"/>
  <c r="CX21" i="11"/>
  <c r="CQ21" i="11"/>
  <c r="CR21" i="11"/>
  <c r="CS21" i="11"/>
  <c r="CL21" i="11"/>
  <c r="CM21" i="11"/>
  <c r="CN21" i="11"/>
  <c r="DD63" i="16"/>
  <c r="DD64" i="16"/>
  <c r="DH9" i="16"/>
  <c r="DH166" i="1"/>
  <c r="DH70" i="16" s="1"/>
  <c r="DC166" i="1"/>
  <c r="DH54" i="11"/>
  <c r="DH6" i="11"/>
  <c r="DH7" i="11"/>
  <c r="DH8" i="11"/>
  <c r="DH10" i="11"/>
  <c r="DH12" i="11"/>
  <c r="DH13" i="11"/>
  <c r="DH15" i="11"/>
  <c r="DH16" i="11"/>
  <c r="DH19" i="11"/>
  <c r="DH23" i="11"/>
  <c r="DH25" i="11"/>
  <c r="DH51" i="11"/>
  <c r="DH52" i="11"/>
  <c r="DH36" i="1"/>
  <c r="DH40" i="1"/>
  <c r="DH22" i="1"/>
  <c r="DH17" i="11" s="1"/>
  <c r="DH15" i="1"/>
  <c r="DH9" i="1"/>
  <c r="DH11" i="1" s="1"/>
  <c r="DH68" i="16"/>
  <c r="DH69" i="16"/>
  <c r="DC68" i="16"/>
  <c r="DC69" i="16"/>
  <c r="DH64" i="16"/>
  <c r="DH63" i="16"/>
  <c r="DH8" i="16"/>
  <c r="DH7" i="16"/>
  <c r="DG166" i="1"/>
  <c r="DC156" i="1"/>
  <c r="DC10" i="16" s="1"/>
  <c r="DH163" i="1"/>
  <c r="DB71" i="39"/>
  <c r="DC71" i="39"/>
  <c r="DV75" i="39"/>
  <c r="DU75" i="39"/>
  <c r="DN75" i="39"/>
  <c r="DS101" i="39" s="1"/>
  <c r="DM75" i="39"/>
  <c r="DR101" i="39" s="1"/>
  <c r="DL75" i="39"/>
  <c r="DQ101" i="39" s="1"/>
  <c r="DK75" i="39"/>
  <c r="DP101" i="39" s="1"/>
  <c r="DI75" i="39"/>
  <c r="DG75" i="39"/>
  <c r="DG157" i="1"/>
  <c r="DL101" i="39" l="1"/>
  <c r="DH85" i="16"/>
  <c r="DI67" i="11"/>
  <c r="DH14" i="12"/>
  <c r="DH22" i="12" s="1"/>
  <c r="DI78" i="12" s="1"/>
  <c r="DH76" i="1"/>
  <c r="DH83" i="1" s="1"/>
  <c r="DH93" i="1" s="1"/>
  <c r="DH30" i="12"/>
  <c r="DH36" i="12" s="1"/>
  <c r="DH45" i="12" s="1"/>
  <c r="DI24" i="13"/>
  <c r="DJ24" i="13" s="1"/>
  <c r="DH16" i="1"/>
  <c r="DH19" i="1" s="1"/>
  <c r="DH23" i="1" s="1"/>
  <c r="DH25" i="1" s="1"/>
  <c r="DH111" i="1"/>
  <c r="DH117" i="1" s="1"/>
  <c r="DH119" i="1" s="1"/>
  <c r="DH143" i="1" s="1"/>
  <c r="DI77" i="12"/>
  <c r="DH44" i="12"/>
  <c r="DH33" i="11"/>
  <c r="DH74" i="39"/>
  <c r="DH84" i="16"/>
  <c r="DH139" i="39"/>
  <c r="DH142" i="39" s="1"/>
  <c r="DH143" i="39" s="1"/>
  <c r="DV101" i="39"/>
  <c r="DI20" i="11"/>
  <c r="DK89" i="11" s="1"/>
  <c r="DI75" i="11"/>
  <c r="DN101" i="39"/>
  <c r="DU101" i="39"/>
  <c r="DH34" i="11"/>
  <c r="DH29" i="11"/>
  <c r="DH71" i="12" l="1"/>
  <c r="DH81" i="12"/>
  <c r="DH35" i="1"/>
  <c r="DH37" i="1" s="1"/>
  <c r="DH39" i="1"/>
  <c r="DH41" i="1" s="1"/>
  <c r="DI76" i="11"/>
  <c r="CZ70" i="16" l="1"/>
  <c r="CU70" i="16"/>
  <c r="CP70" i="16"/>
  <c r="CX67" i="16"/>
  <c r="CW67" i="16"/>
  <c r="CV67" i="16"/>
  <c r="CS67" i="16"/>
  <c r="CR67" i="16"/>
  <c r="CQ67" i="16"/>
  <c r="CM67" i="16"/>
  <c r="CN67" i="16"/>
  <c r="CL67" i="16"/>
  <c r="CY155" i="1"/>
  <c r="DE155" i="1"/>
  <c r="DV70" i="16"/>
  <c r="DU70" i="16"/>
  <c r="DN70" i="16"/>
  <c r="DM70" i="16"/>
  <c r="DC87" i="16"/>
  <c r="CZ87" i="16"/>
  <c r="CY87" i="16"/>
  <c r="CX87" i="16"/>
  <c r="CW87" i="16"/>
  <c r="CV87" i="16"/>
  <c r="CG59" i="16"/>
  <c r="CH59" i="16"/>
  <c r="CI59" i="16"/>
  <c r="CJ59" i="16"/>
  <c r="DV8" i="11"/>
  <c r="DU8" i="11"/>
  <c r="DN8" i="11"/>
  <c r="DM8" i="11"/>
  <c r="DO9" i="16"/>
  <c r="CN9" i="16"/>
  <c r="CM9" i="16"/>
  <c r="CL9" i="16"/>
  <c r="CS9" i="16"/>
  <c r="CR9" i="16"/>
  <c r="CQ9" i="16"/>
  <c r="CX9" i="16"/>
  <c r="CX86" i="16" s="1"/>
  <c r="CW9" i="16"/>
  <c r="CW86" i="16" s="1"/>
  <c r="CV9" i="16"/>
  <c r="CV86" i="16" s="1"/>
  <c r="DG9" i="16"/>
  <c r="DG86" i="16" s="1"/>
  <c r="DF9" i="16"/>
  <c r="DB9" i="16"/>
  <c r="DB86" i="16" s="1"/>
  <c r="DC9" i="16"/>
  <c r="DA9" i="16"/>
  <c r="DA86" i="16" s="1"/>
  <c r="DG69" i="16"/>
  <c r="DG68" i="16"/>
  <c r="DB69" i="16"/>
  <c r="DB68" i="16"/>
  <c r="DB166" i="1"/>
  <c r="DA165" i="1"/>
  <c r="DA164" i="1"/>
  <c r="DF165" i="1"/>
  <c r="DF164" i="1"/>
  <c r="DK59" i="16" l="1"/>
  <c r="DT35" i="16"/>
  <c r="DT95" i="16"/>
  <c r="DM115" i="16"/>
  <c r="DR106" i="16"/>
  <c r="DN115" i="16"/>
  <c r="DP115" i="16"/>
  <c r="DS106" i="16"/>
  <c r="DL115" i="16"/>
  <c r="DQ106" i="16"/>
  <c r="DF68" i="16"/>
  <c r="DI164" i="1"/>
  <c r="CQ71" i="16"/>
  <c r="CQ62" i="11" s="1"/>
  <c r="CX71" i="16"/>
  <c r="CX62" i="11" s="1"/>
  <c r="DF86" i="16"/>
  <c r="DK35" i="16"/>
  <c r="CL71" i="16"/>
  <c r="CL62" i="11" s="1"/>
  <c r="CS71" i="16"/>
  <c r="CS62" i="11" s="1"/>
  <c r="CW71" i="16"/>
  <c r="CW62" i="11" s="1"/>
  <c r="DF69" i="16"/>
  <c r="DI165" i="1"/>
  <c r="DI69" i="16" s="1"/>
  <c r="CR71" i="16"/>
  <c r="CR62" i="11" s="1"/>
  <c r="CM71" i="16"/>
  <c r="CM62" i="11" s="1"/>
  <c r="DA68" i="16"/>
  <c r="DD164" i="1"/>
  <c r="DA69" i="16"/>
  <c r="DD165" i="1"/>
  <c r="DD69" i="16" s="1"/>
  <c r="DC86" i="16"/>
  <c r="DH35" i="16"/>
  <c r="CN71" i="16"/>
  <c r="CN62" i="11" s="1"/>
  <c r="CV71" i="16"/>
  <c r="CV62" i="11" s="1"/>
  <c r="DC70" i="16"/>
  <c r="DF166" i="1"/>
  <c r="DA166" i="1"/>
  <c r="DM59" i="16"/>
  <c r="DN59" i="16"/>
  <c r="DL59" i="16"/>
  <c r="DG70" i="16"/>
  <c r="DF35" i="16"/>
  <c r="DG35" i="16"/>
  <c r="DJ9" i="16"/>
  <c r="DG59" i="16" s="1"/>
  <c r="DB70" i="16"/>
  <c r="DF70" i="16" l="1"/>
  <c r="DG115" i="16" s="1"/>
  <c r="DH115" i="16"/>
  <c r="DC115" i="16"/>
  <c r="DJ69" i="16"/>
  <c r="DA70" i="16"/>
  <c r="DA115" i="16" s="1"/>
  <c r="DD166" i="1"/>
  <c r="DD70" i="16" s="1"/>
  <c r="DD115" i="16" s="1"/>
  <c r="DD68" i="16"/>
  <c r="DI166" i="1"/>
  <c r="DI70" i="16" s="1"/>
  <c r="DI68" i="16"/>
  <c r="DJ68" i="16" s="1"/>
  <c r="DO35" i="16"/>
  <c r="DH59" i="16"/>
  <c r="DI59" i="16"/>
  <c r="DF59" i="16"/>
  <c r="DB115" i="16" l="1"/>
  <c r="DJ70" i="16"/>
  <c r="DI115" i="16"/>
  <c r="DK115" i="16"/>
  <c r="DF115" i="16"/>
  <c r="DJ166" i="1"/>
  <c r="AA85" i="44"/>
  <c r="DO10" i="16"/>
  <c r="DO75" i="39" s="1"/>
  <c r="DT101" i="39" s="1"/>
  <c r="DG8" i="11" l="1"/>
  <c r="DO8" i="11" s="1"/>
  <c r="DG54" i="11" l="1"/>
  <c r="DG137" i="39"/>
  <c r="DG138" i="39"/>
  <c r="DF139" i="39"/>
  <c r="DD127" i="39"/>
  <c r="DG173" i="39"/>
  <c r="DG174" i="39"/>
  <c r="DG130" i="39"/>
  <c r="DG132" i="39"/>
  <c r="DG134" i="39"/>
  <c r="DG112" i="39"/>
  <c r="DL125" i="39" s="1"/>
  <c r="DG116" i="39"/>
  <c r="DG117" i="39" s="1"/>
  <c r="DG120" i="39"/>
  <c r="DG122" i="39"/>
  <c r="DG124" i="39"/>
  <c r="DG98" i="39"/>
  <c r="DG99" i="39"/>
  <c r="DG86" i="39"/>
  <c r="DG58" i="39"/>
  <c r="DG60" i="39"/>
  <c r="DG62" i="39"/>
  <c r="DG65" i="39"/>
  <c r="DG66" i="39"/>
  <c r="DF154" i="1"/>
  <c r="DJ154" i="1" s="1"/>
  <c r="DF153" i="1"/>
  <c r="DJ153" i="1" s="1"/>
  <c r="DA156" i="1"/>
  <c r="DF156" i="1"/>
  <c r="DA154" i="1"/>
  <c r="DE154" i="1" s="1"/>
  <c r="DA153" i="1"/>
  <c r="DA162" i="1"/>
  <c r="DE162" i="1" s="1"/>
  <c r="DA161" i="1"/>
  <c r="DE161" i="1" s="1"/>
  <c r="DF162" i="1"/>
  <c r="DJ162" i="1" s="1"/>
  <c r="DF161" i="1"/>
  <c r="DJ161" i="1" s="1"/>
  <c r="DJ53" i="13"/>
  <c r="DU51" i="13"/>
  <c r="DU52" i="13"/>
  <c r="DV51" i="13"/>
  <c r="DV52" i="13"/>
  <c r="DO53" i="13"/>
  <c r="DA167" i="1"/>
  <c r="DF167" i="1"/>
  <c r="DG116" i="1"/>
  <c r="DG111" i="1" s="1"/>
  <c r="DG43" i="12"/>
  <c r="DG42" i="12"/>
  <c r="DG41" i="12"/>
  <c r="DG40" i="12"/>
  <c r="DG39" i="12"/>
  <c r="DG38" i="12"/>
  <c r="DG37" i="12"/>
  <c r="DG35" i="12"/>
  <c r="DG34" i="12"/>
  <c r="DG33" i="12"/>
  <c r="DG32" i="12"/>
  <c r="DG31" i="12"/>
  <c r="DG29" i="12"/>
  <c r="DG27" i="12"/>
  <c r="DG26" i="12"/>
  <c r="DH74" i="12" s="1"/>
  <c r="DG25" i="12"/>
  <c r="DG21" i="12"/>
  <c r="DG20" i="12"/>
  <c r="DG19" i="12"/>
  <c r="DG18" i="12"/>
  <c r="DG17" i="12"/>
  <c r="DG16" i="12"/>
  <c r="DG15" i="12"/>
  <c r="DG13" i="12"/>
  <c r="DG11" i="12"/>
  <c r="DG10" i="12"/>
  <c r="DH75" i="12" s="1"/>
  <c r="DH76" i="12" s="1"/>
  <c r="DG9" i="12"/>
  <c r="DG8" i="12"/>
  <c r="DG7" i="12"/>
  <c r="DG56" i="12" s="1"/>
  <c r="DG129" i="1"/>
  <c r="DG131" i="1" s="1"/>
  <c r="DG110" i="1"/>
  <c r="DG74" i="1"/>
  <c r="DG28" i="12" s="1"/>
  <c r="DG57" i="1"/>
  <c r="DG59" i="1" s="1"/>
  <c r="DG68" i="1" s="1"/>
  <c r="DG51" i="11"/>
  <c r="DG52" i="11"/>
  <c r="DG23" i="11"/>
  <c r="DG25" i="11"/>
  <c r="DG19" i="11"/>
  <c r="DG16" i="11"/>
  <c r="DG15" i="11"/>
  <c r="DG13" i="11"/>
  <c r="DG12" i="11"/>
  <c r="DG10" i="11"/>
  <c r="DG7" i="11"/>
  <c r="DG6" i="11"/>
  <c r="DG17" i="11"/>
  <c r="DG64" i="16"/>
  <c r="DG63" i="16"/>
  <c r="DB10" i="16"/>
  <c r="DB87" i="16" s="1"/>
  <c r="DB157" i="1"/>
  <c r="DG7" i="16"/>
  <c r="DL33" i="16" s="1"/>
  <c r="DG8" i="16"/>
  <c r="DG175" i="1"/>
  <c r="DG163" i="1"/>
  <c r="DG139" i="1"/>
  <c r="DG141" i="1" s="1"/>
  <c r="DG90" i="1"/>
  <c r="DG92" i="1" s="1"/>
  <c r="DG40" i="1"/>
  <c r="DG36" i="1"/>
  <c r="DG15" i="1"/>
  <c r="DG9" i="1"/>
  <c r="DG11" i="1" s="1"/>
  <c r="DJ163" i="1" l="1"/>
  <c r="DJ167" i="1" s="1"/>
  <c r="DG117" i="1"/>
  <c r="DG119" i="1" s="1"/>
  <c r="DG74" i="39"/>
  <c r="DL34" i="16"/>
  <c r="DJ86" i="39"/>
  <c r="DL67" i="39"/>
  <c r="DG67" i="39"/>
  <c r="DE153" i="1"/>
  <c r="DA71" i="39"/>
  <c r="DG33" i="11"/>
  <c r="DG34" i="11"/>
  <c r="DG139" i="39"/>
  <c r="DG142" i="39" s="1"/>
  <c r="DG143" i="39" s="1"/>
  <c r="DG67" i="16"/>
  <c r="DG12" i="12"/>
  <c r="DG14" i="12" s="1"/>
  <c r="DG22" i="12" s="1"/>
  <c r="DG44" i="12"/>
  <c r="DG58" i="12" s="1"/>
  <c r="DG64" i="12" s="1"/>
  <c r="DG76" i="1"/>
  <c r="DG83" i="1" s="1"/>
  <c r="DG93" i="1" s="1"/>
  <c r="DG59" i="12"/>
  <c r="DG30" i="12"/>
  <c r="DG36" i="12" s="1"/>
  <c r="DG57" i="12"/>
  <c r="DG85" i="16"/>
  <c r="DG29" i="11"/>
  <c r="DG84" i="16"/>
  <c r="DG16" i="1"/>
  <c r="DG19" i="1" s="1"/>
  <c r="DG23" i="1" s="1"/>
  <c r="DG9" i="11"/>
  <c r="DG70" i="11" s="1"/>
  <c r="DG143" i="1"/>
  <c r="DG61" i="12" l="1"/>
  <c r="DG25" i="1"/>
  <c r="DG35" i="1" s="1"/>
  <c r="DG37" i="1" s="1"/>
  <c r="DG45" i="12"/>
  <c r="DG60" i="12"/>
  <c r="DG62" i="12" s="1"/>
  <c r="DG65" i="12"/>
  <c r="DG66" i="12" s="1"/>
  <c r="DG68" i="12" s="1"/>
  <c r="DG81" i="12"/>
  <c r="DG71" i="12"/>
  <c r="DG71" i="11"/>
  <c r="DG68" i="11"/>
  <c r="DG69" i="11"/>
  <c r="DG11" i="11"/>
  <c r="DG14" i="11" s="1"/>
  <c r="DG72" i="16" s="1"/>
  <c r="DF99" i="39"/>
  <c r="DF98" i="39"/>
  <c r="DF75" i="39"/>
  <c r="DK101" i="39" s="1"/>
  <c r="DF174" i="39"/>
  <c r="DF173" i="39"/>
  <c r="DF134" i="39"/>
  <c r="DF132" i="39"/>
  <c r="DF130" i="39"/>
  <c r="DF124" i="39"/>
  <c r="DF122" i="39"/>
  <c r="DF120" i="39"/>
  <c r="DF116" i="39"/>
  <c r="DF117" i="39" s="1"/>
  <c r="DF112" i="39"/>
  <c r="DK125" i="39" s="1"/>
  <c r="DF67" i="39"/>
  <c r="DF66" i="39"/>
  <c r="DF65" i="39"/>
  <c r="DF62" i="39"/>
  <c r="DF60" i="39"/>
  <c r="DF58" i="39"/>
  <c r="DF46" i="13"/>
  <c r="DG67" i="12" l="1"/>
  <c r="DG39" i="1"/>
  <c r="DG41" i="1" s="1"/>
  <c r="DG46" i="13"/>
  <c r="DH46" i="13" s="1"/>
  <c r="DI46" i="13" s="1"/>
  <c r="DG27" i="1"/>
  <c r="DG29" i="1" s="1"/>
  <c r="DG31" i="1" s="1"/>
  <c r="DG33" i="1" s="1"/>
  <c r="DG18" i="11"/>
  <c r="DG82" i="12"/>
  <c r="DG67" i="11"/>
  <c r="DF63" i="16"/>
  <c r="DA63" i="16"/>
  <c r="DA10" i="16"/>
  <c r="DA157" i="1"/>
  <c r="DJ46" i="13" l="1"/>
  <c r="DG20" i="11"/>
  <c r="DA87" i="16"/>
  <c r="DG75" i="11"/>
  <c r="DF44" i="13"/>
  <c r="DG44" i="13" s="1"/>
  <c r="DH44" i="13" s="1"/>
  <c r="DI44" i="13" s="1"/>
  <c r="DJ44" i="13" s="1"/>
  <c r="DF43" i="13"/>
  <c r="DG43" i="13" s="1"/>
  <c r="DH43" i="13" s="1"/>
  <c r="DI43" i="13" s="1"/>
  <c r="DJ43" i="13" s="1"/>
  <c r="DF42" i="13"/>
  <c r="DG42" i="13" s="1"/>
  <c r="DH42" i="13" s="1"/>
  <c r="DI42" i="13" s="1"/>
  <c r="DJ42" i="13" s="1"/>
  <c r="DF41" i="13"/>
  <c r="DG41" i="13" s="1"/>
  <c r="DH41" i="13" s="1"/>
  <c r="DI41" i="13" s="1"/>
  <c r="DJ41" i="13" s="1"/>
  <c r="DF40" i="13"/>
  <c r="DG40" i="13" s="1"/>
  <c r="DH40" i="13" s="1"/>
  <c r="DI40" i="13" s="1"/>
  <c r="DJ40" i="13" s="1"/>
  <c r="DF39" i="13"/>
  <c r="DG39" i="13" s="1"/>
  <c r="DH39" i="13" s="1"/>
  <c r="DI39" i="13" s="1"/>
  <c r="DJ39" i="13" s="1"/>
  <c r="DF38" i="13"/>
  <c r="DG38" i="13" s="1"/>
  <c r="DH38" i="13" s="1"/>
  <c r="DI38" i="13" s="1"/>
  <c r="DJ38" i="13" s="1"/>
  <c r="DF37" i="13"/>
  <c r="DF17" i="13"/>
  <c r="DG17" i="13" s="1"/>
  <c r="DH17" i="13" s="1"/>
  <c r="DI17" i="13" s="1"/>
  <c r="DJ17" i="13" s="1"/>
  <c r="DF35" i="13"/>
  <c r="DG35" i="13" s="1"/>
  <c r="DH35" i="13" s="1"/>
  <c r="DI35" i="13" s="1"/>
  <c r="DJ35" i="13" s="1"/>
  <c r="DF34" i="13"/>
  <c r="DG34" i="13" s="1"/>
  <c r="DH34" i="13" s="1"/>
  <c r="DI34" i="13" s="1"/>
  <c r="DJ34" i="13" s="1"/>
  <c r="DF33" i="13"/>
  <c r="DG33" i="13" s="1"/>
  <c r="DH33" i="13" s="1"/>
  <c r="DI33" i="13" s="1"/>
  <c r="DJ33" i="13" s="1"/>
  <c r="DF32" i="13"/>
  <c r="DG32" i="13" s="1"/>
  <c r="DH32" i="13" s="1"/>
  <c r="DI32" i="13" s="1"/>
  <c r="DJ32" i="13" s="1"/>
  <c r="DF31" i="13"/>
  <c r="DG31" i="13" s="1"/>
  <c r="DH31" i="13" s="1"/>
  <c r="DI31" i="13" s="1"/>
  <c r="DJ31" i="13" s="1"/>
  <c r="DF30" i="13"/>
  <c r="DG30" i="13" s="1"/>
  <c r="DH30" i="13" s="1"/>
  <c r="DI30" i="13" s="1"/>
  <c r="DJ30" i="13" s="1"/>
  <c r="DF29" i="13"/>
  <c r="DG29" i="13" s="1"/>
  <c r="DH29" i="13" s="1"/>
  <c r="DI29" i="13" s="1"/>
  <c r="DJ29" i="13" s="1"/>
  <c r="DF28" i="13"/>
  <c r="DG28" i="13" s="1"/>
  <c r="DH28" i="13" s="1"/>
  <c r="DI28" i="13" s="1"/>
  <c r="DJ28" i="13" s="1"/>
  <c r="DF27" i="13"/>
  <c r="DG27" i="13" s="1"/>
  <c r="DH27" i="13" s="1"/>
  <c r="DI27" i="13" s="1"/>
  <c r="DJ27" i="13" s="1"/>
  <c r="DF26" i="13"/>
  <c r="DF23" i="13"/>
  <c r="DG23" i="13" s="1"/>
  <c r="DH23" i="13" s="1"/>
  <c r="DI23" i="13" s="1"/>
  <c r="DJ23" i="13" s="1"/>
  <c r="DF22" i="13"/>
  <c r="DG22" i="13" s="1"/>
  <c r="DH22" i="13" s="1"/>
  <c r="DI22" i="13" s="1"/>
  <c r="DJ22" i="13" s="1"/>
  <c r="DF21" i="13"/>
  <c r="DG21" i="13" s="1"/>
  <c r="DH21" i="13" s="1"/>
  <c r="DI21" i="13" s="1"/>
  <c r="DJ21" i="13" s="1"/>
  <c r="DF20" i="13"/>
  <c r="DG20" i="13" s="1"/>
  <c r="DH20" i="13" s="1"/>
  <c r="DI20" i="13" s="1"/>
  <c r="DJ20" i="13" s="1"/>
  <c r="DF19" i="13"/>
  <c r="DF16" i="13"/>
  <c r="DG16" i="13" s="1"/>
  <c r="DH16" i="13" s="1"/>
  <c r="DI16" i="13" s="1"/>
  <c r="DJ16" i="13" s="1"/>
  <c r="DF15" i="13"/>
  <c r="DG15" i="13" s="1"/>
  <c r="DH15" i="13" s="1"/>
  <c r="DI15" i="13" s="1"/>
  <c r="DJ15" i="13" s="1"/>
  <c r="DF14" i="13"/>
  <c r="DG14" i="13" s="1"/>
  <c r="DH14" i="13" s="1"/>
  <c r="DI14" i="13" s="1"/>
  <c r="DJ14" i="13" s="1"/>
  <c r="DF13" i="13"/>
  <c r="DG13" i="13" s="1"/>
  <c r="DH13" i="13" s="1"/>
  <c r="DI13" i="13" s="1"/>
  <c r="DJ13" i="13" s="1"/>
  <c r="DF12" i="13"/>
  <c r="DG12" i="13" s="1"/>
  <c r="DH12" i="13" s="1"/>
  <c r="DI12" i="13" s="1"/>
  <c r="DJ12" i="13" s="1"/>
  <c r="DF11" i="13"/>
  <c r="DG11" i="13" s="1"/>
  <c r="DH11" i="13" s="1"/>
  <c r="DI11" i="13" s="1"/>
  <c r="DJ11" i="13" s="1"/>
  <c r="DF10" i="13"/>
  <c r="DG10" i="13" s="1"/>
  <c r="DH10" i="13" s="1"/>
  <c r="DI10" i="13" s="1"/>
  <c r="DJ10" i="13" s="1"/>
  <c r="DF9" i="13"/>
  <c r="DG9" i="13" s="1"/>
  <c r="DH9" i="13" s="1"/>
  <c r="DI9" i="13" s="1"/>
  <c r="DJ9" i="13" s="1"/>
  <c r="DF8" i="13"/>
  <c r="DG8" i="13" s="1"/>
  <c r="DH8" i="13" s="1"/>
  <c r="DI8" i="13" s="1"/>
  <c r="DJ8" i="13" s="1"/>
  <c r="DF7" i="13"/>
  <c r="DG7" i="13" s="1"/>
  <c r="DH7" i="13" s="1"/>
  <c r="DI7" i="13" s="1"/>
  <c r="DJ7" i="13" s="1"/>
  <c r="DF6" i="13"/>
  <c r="DG6" i="13" s="1"/>
  <c r="DH6" i="13" s="1"/>
  <c r="DF43" i="12"/>
  <c r="DF42" i="12"/>
  <c r="DF41" i="12"/>
  <c r="DF40" i="12"/>
  <c r="DF39" i="12"/>
  <c r="DF38" i="12"/>
  <c r="DF37" i="12"/>
  <c r="DF35" i="12"/>
  <c r="DF34" i="12"/>
  <c r="DF33" i="12"/>
  <c r="DF32" i="12"/>
  <c r="DF31" i="12"/>
  <c r="DF29" i="12"/>
  <c r="DF28" i="12"/>
  <c r="DF27" i="12"/>
  <c r="DF26" i="12"/>
  <c r="DG74" i="12" s="1"/>
  <c r="DF25" i="12"/>
  <c r="DF21" i="12"/>
  <c r="DF20" i="12"/>
  <c r="DF19" i="12"/>
  <c r="DF18" i="12"/>
  <c r="DF17" i="12"/>
  <c r="DF16" i="12"/>
  <c r="DF15" i="12"/>
  <c r="DF13" i="12"/>
  <c r="DF12" i="12"/>
  <c r="DF11" i="12"/>
  <c r="DG73" i="12" s="1"/>
  <c r="DF10" i="12"/>
  <c r="DG75" i="12" s="1"/>
  <c r="DG76" i="12" s="1"/>
  <c r="DF9" i="12"/>
  <c r="DG72" i="12" s="1"/>
  <c r="DF8" i="12"/>
  <c r="DF7" i="12"/>
  <c r="DF52" i="11"/>
  <c r="DF51" i="11"/>
  <c r="DF25" i="11"/>
  <c r="DF23" i="11"/>
  <c r="DF7" i="11"/>
  <c r="DF6" i="11"/>
  <c r="DF8" i="11"/>
  <c r="DJ8" i="11" s="1"/>
  <c r="DF9" i="1"/>
  <c r="DF19" i="11"/>
  <c r="DF16" i="11"/>
  <c r="DF15" i="11"/>
  <c r="DF13" i="11"/>
  <c r="DF12" i="11"/>
  <c r="DF10" i="11"/>
  <c r="DF64" i="16"/>
  <c r="DF163" i="1"/>
  <c r="DF10" i="16"/>
  <c r="DF8" i="16"/>
  <c r="DF7" i="16"/>
  <c r="DF22" i="1"/>
  <c r="DF17" i="11" s="1"/>
  <c r="DF15" i="1"/>
  <c r="DF157" i="1"/>
  <c r="DG22" i="11" l="1"/>
  <c r="DG24" i="11" s="1"/>
  <c r="DG26" i="11" s="1"/>
  <c r="DG38" i="11" s="1"/>
  <c r="DG47" i="11" s="1"/>
  <c r="DG48" i="11" s="1"/>
  <c r="DL82" i="11"/>
  <c r="DF34" i="11"/>
  <c r="DF87" i="16"/>
  <c r="DG19" i="13"/>
  <c r="DH19" i="13" s="1"/>
  <c r="DI6" i="13"/>
  <c r="DG26" i="13"/>
  <c r="DH26" i="13" s="1"/>
  <c r="DK34" i="16"/>
  <c r="DF74" i="39"/>
  <c r="DK33" i="16"/>
  <c r="DF33" i="11"/>
  <c r="DG37" i="13"/>
  <c r="DH37" i="13" s="1"/>
  <c r="DG28" i="11"/>
  <c r="DG30" i="11" s="1"/>
  <c r="DG32" i="11"/>
  <c r="DG76" i="11"/>
  <c r="DF11" i="16"/>
  <c r="DG77" i="12"/>
  <c r="DF30" i="12"/>
  <c r="DF36" i="12" s="1"/>
  <c r="DF67" i="16"/>
  <c r="DF14" i="12"/>
  <c r="DF44" i="12"/>
  <c r="DF18" i="13"/>
  <c r="DF25" i="13" s="1"/>
  <c r="DF51" i="13" s="1"/>
  <c r="DF54" i="11"/>
  <c r="DG45" i="13" l="1"/>
  <c r="DG114" i="16"/>
  <c r="DG35" i="11"/>
  <c r="DL83" i="11"/>
  <c r="DG52" i="13"/>
  <c r="DG36" i="13"/>
  <c r="DJ6" i="13"/>
  <c r="DH18" i="13"/>
  <c r="DH25" i="13" s="1"/>
  <c r="DH51" i="13" s="1"/>
  <c r="DI19" i="13"/>
  <c r="DI18" i="13" s="1"/>
  <c r="DH36" i="13"/>
  <c r="DI26" i="13"/>
  <c r="DH52" i="13"/>
  <c r="DG18" i="13"/>
  <c r="DG25" i="13" s="1"/>
  <c r="DG51" i="13" s="1"/>
  <c r="DH45" i="13"/>
  <c r="DI37" i="13"/>
  <c r="DF71" i="12"/>
  <c r="DF139" i="1"/>
  <c r="DF141" i="1" s="1"/>
  <c r="DF129" i="1"/>
  <c r="DF131" i="1" s="1"/>
  <c r="DF111" i="1"/>
  <c r="DF117" i="1" s="1"/>
  <c r="DF90" i="1"/>
  <c r="DF92" i="1" s="1"/>
  <c r="DF76" i="1"/>
  <c r="DF83" i="1" s="1"/>
  <c r="DF59" i="1"/>
  <c r="DF68" i="1" s="1"/>
  <c r="DF40" i="1"/>
  <c r="DF36" i="1"/>
  <c r="DF11" i="1"/>
  <c r="DF16" i="1" s="1"/>
  <c r="DF19" i="1" s="1"/>
  <c r="DF23" i="1" s="1"/>
  <c r="DF25" i="1" s="1"/>
  <c r="DG54" i="13" l="1"/>
  <c r="DH54" i="13"/>
  <c r="DH57" i="13" s="1"/>
  <c r="DI45" i="13"/>
  <c r="DJ37" i="13"/>
  <c r="DJ45" i="13" s="1"/>
  <c r="DJ18" i="13"/>
  <c r="DJ25" i="13" s="1"/>
  <c r="DJ19" i="13"/>
  <c r="DH47" i="13"/>
  <c r="DI25" i="13"/>
  <c r="DG47" i="13"/>
  <c r="DI36" i="13"/>
  <c r="DJ26" i="13"/>
  <c r="DJ36" i="13" s="1"/>
  <c r="DF119" i="1"/>
  <c r="DF93" i="1"/>
  <c r="DF35" i="1"/>
  <c r="DF37" i="1" s="1"/>
  <c r="DF39" i="1"/>
  <c r="DF41" i="1" s="1"/>
  <c r="DI47" i="13" l="1"/>
  <c r="DJ47" i="13"/>
  <c r="DF143" i="1"/>
  <c r="DE53" i="13"/>
  <c r="DE46" i="11"/>
  <c r="DD163" i="1"/>
  <c r="DC163" i="1"/>
  <c r="DB163" i="1"/>
  <c r="DA163" i="1"/>
  <c r="DD54" i="11"/>
  <c r="DC54" i="11"/>
  <c r="DB54" i="11"/>
  <c r="DA54" i="11"/>
  <c r="CY54" i="11"/>
  <c r="CX54" i="11"/>
  <c r="CW54" i="11"/>
  <c r="CV54" i="11"/>
  <c r="CT54" i="11"/>
  <c r="CS54" i="11"/>
  <c r="CR54" i="11"/>
  <c r="CQ54" i="11"/>
  <c r="CO54" i="11"/>
  <c r="CN54" i="11"/>
  <c r="CM54" i="11"/>
  <c r="CL54" i="11"/>
  <c r="DE163" i="1" l="1"/>
  <c r="AB87" i="44"/>
  <c r="AB86" i="44"/>
  <c r="AB85" i="44"/>
  <c r="AB27" i="44"/>
  <c r="AC27" i="44" s="1"/>
  <c r="AD27" i="44" s="1"/>
  <c r="AA201" i="44"/>
  <c r="Z201" i="44"/>
  <c r="Y201" i="44"/>
  <c r="X201" i="44"/>
  <c r="W201" i="44"/>
  <c r="V201" i="44"/>
  <c r="U201" i="44"/>
  <c r="T201" i="44"/>
  <c r="S201" i="44"/>
  <c r="R201" i="44"/>
  <c r="Q201" i="44"/>
  <c r="P201" i="44"/>
  <c r="O201" i="44"/>
  <c r="AQ201" i="44"/>
  <c r="AP201" i="44"/>
  <c r="AO201" i="44"/>
  <c r="AN201" i="44"/>
  <c r="AM201" i="44"/>
  <c r="AL201" i="44"/>
  <c r="AK201" i="44"/>
  <c r="AJ201" i="44"/>
  <c r="AI201" i="44"/>
  <c r="AH201" i="44"/>
  <c r="AG201" i="44"/>
  <c r="AF201" i="44"/>
  <c r="AE201" i="44"/>
  <c r="AD201" i="44"/>
  <c r="AC201" i="44"/>
  <c r="AB201" i="44"/>
  <c r="AA183" i="44"/>
  <c r="Z183" i="44"/>
  <c r="Y183" i="44"/>
  <c r="X183" i="44"/>
  <c r="W183" i="44"/>
  <c r="V183" i="44"/>
  <c r="U183" i="44"/>
  <c r="T183" i="44"/>
  <c r="S183" i="44"/>
  <c r="R183" i="44"/>
  <c r="Q183" i="44"/>
  <c r="P183" i="44"/>
  <c r="O183" i="44"/>
  <c r="AQ183" i="44"/>
  <c r="AP183" i="44"/>
  <c r="AO183" i="44"/>
  <c r="AN183" i="44"/>
  <c r="AM183" i="44"/>
  <c r="AL183" i="44"/>
  <c r="AK183" i="44"/>
  <c r="AJ183" i="44"/>
  <c r="AI183" i="44"/>
  <c r="AH183" i="44"/>
  <c r="AG183" i="44"/>
  <c r="AF183" i="44"/>
  <c r="AE183" i="44"/>
  <c r="AD183" i="44"/>
  <c r="AC183" i="44"/>
  <c r="AB183" i="44"/>
  <c r="AA165" i="44"/>
  <c r="Z165" i="44"/>
  <c r="Y165" i="44"/>
  <c r="X165" i="44"/>
  <c r="W165" i="44"/>
  <c r="V165" i="44"/>
  <c r="U165" i="44"/>
  <c r="T165" i="44"/>
  <c r="S165" i="44"/>
  <c r="R165" i="44"/>
  <c r="Q165" i="44"/>
  <c r="P165" i="44"/>
  <c r="O165" i="44"/>
  <c r="AQ165" i="44"/>
  <c r="AP165" i="44"/>
  <c r="AO165" i="44"/>
  <c r="AN165" i="44"/>
  <c r="AM165" i="44"/>
  <c r="AL165" i="44"/>
  <c r="AK165" i="44"/>
  <c r="AJ165" i="44"/>
  <c r="AI165" i="44"/>
  <c r="AH165" i="44"/>
  <c r="AG165" i="44"/>
  <c r="AF165" i="44"/>
  <c r="AE165" i="44"/>
  <c r="AD165" i="44"/>
  <c r="AC165" i="44"/>
  <c r="AB165" i="44"/>
  <c r="AA147" i="44"/>
  <c r="Z147" i="44"/>
  <c r="Y147" i="44"/>
  <c r="X147" i="44"/>
  <c r="W147" i="44"/>
  <c r="V147" i="44"/>
  <c r="U147" i="44"/>
  <c r="T147" i="44"/>
  <c r="S147" i="44"/>
  <c r="R147" i="44"/>
  <c r="Q147" i="44"/>
  <c r="P147" i="44"/>
  <c r="O147" i="44"/>
  <c r="AQ147" i="44"/>
  <c r="AP147" i="44"/>
  <c r="AO147" i="44"/>
  <c r="AN147" i="44"/>
  <c r="AM147" i="44"/>
  <c r="AL147" i="44"/>
  <c r="AK147" i="44"/>
  <c r="AJ147" i="44"/>
  <c r="AI147" i="44"/>
  <c r="AH147" i="44"/>
  <c r="AG147" i="44"/>
  <c r="AF147" i="44"/>
  <c r="AE147" i="44"/>
  <c r="AD147" i="44"/>
  <c r="AC147" i="44"/>
  <c r="AB147" i="44"/>
  <c r="AA111" i="44"/>
  <c r="Z111" i="44"/>
  <c r="Y111" i="44"/>
  <c r="X111" i="44"/>
  <c r="W111" i="44"/>
  <c r="V111" i="44"/>
  <c r="U111" i="44"/>
  <c r="T111" i="44"/>
  <c r="S111" i="44"/>
  <c r="R111" i="44"/>
  <c r="Q111" i="44"/>
  <c r="P111" i="44"/>
  <c r="O111" i="44"/>
  <c r="AA129" i="44"/>
  <c r="Z129" i="44"/>
  <c r="Y129" i="44"/>
  <c r="X129" i="44"/>
  <c r="W129" i="44"/>
  <c r="V129" i="44"/>
  <c r="U129" i="44"/>
  <c r="T129" i="44"/>
  <c r="S129" i="44"/>
  <c r="R129" i="44"/>
  <c r="Q129" i="44"/>
  <c r="P129" i="44"/>
  <c r="O129" i="44"/>
  <c r="AQ129" i="44"/>
  <c r="AP129" i="44"/>
  <c r="AO129" i="44"/>
  <c r="AN129" i="44"/>
  <c r="AM129" i="44"/>
  <c r="AL129" i="44"/>
  <c r="AK129" i="44"/>
  <c r="AJ129" i="44"/>
  <c r="AI129" i="44"/>
  <c r="AH129" i="44"/>
  <c r="AG129" i="44"/>
  <c r="AF129" i="44"/>
  <c r="AE129" i="44"/>
  <c r="AD129" i="44"/>
  <c r="AC129" i="44"/>
  <c r="AB129" i="44"/>
  <c r="AQ111" i="44"/>
  <c r="AP111" i="44"/>
  <c r="AO111" i="44"/>
  <c r="AN111" i="44"/>
  <c r="AM111" i="44"/>
  <c r="AL111" i="44"/>
  <c r="AK111" i="44"/>
  <c r="AJ111" i="44"/>
  <c r="AI111" i="44"/>
  <c r="AH111" i="44"/>
  <c r="AG111" i="44"/>
  <c r="AF111" i="44"/>
  <c r="AE111" i="44"/>
  <c r="AD111" i="44"/>
  <c r="AC111" i="44"/>
  <c r="AB111" i="44"/>
  <c r="AF9" i="44"/>
  <c r="AG9" i="44" s="1"/>
  <c r="AH9" i="44" s="1"/>
  <c r="AI9" i="44" s="1"/>
  <c r="AK103" i="44"/>
  <c r="AJ103" i="44"/>
  <c r="AI103" i="44"/>
  <c r="AH103" i="44"/>
  <c r="AG103" i="44"/>
  <c r="AF103" i="44"/>
  <c r="AF14" i="44"/>
  <c r="AG14" i="44" s="1"/>
  <c r="AG71" i="44" s="1"/>
  <c r="AQ195" i="44"/>
  <c r="AP195" i="44"/>
  <c r="AO195" i="44"/>
  <c r="AN195" i="44"/>
  <c r="AM195" i="44"/>
  <c r="AL195" i="44"/>
  <c r="AK195" i="44"/>
  <c r="AJ195" i="44"/>
  <c r="AI195" i="44"/>
  <c r="AQ194" i="44"/>
  <c r="AP194" i="44"/>
  <c r="AO194" i="44"/>
  <c r="AN194" i="44"/>
  <c r="AM194" i="44"/>
  <c r="AL194" i="44"/>
  <c r="AK194" i="44"/>
  <c r="AJ194" i="44"/>
  <c r="AI194" i="44"/>
  <c r="AM193" i="44"/>
  <c r="AL193" i="44"/>
  <c r="AK193" i="44"/>
  <c r="AJ193" i="44"/>
  <c r="AI193" i="44"/>
  <c r="AQ177" i="44"/>
  <c r="AP177" i="44"/>
  <c r="AO177" i="44"/>
  <c r="AN177" i="44"/>
  <c r="AM177" i="44"/>
  <c r="AL177" i="44"/>
  <c r="AK177" i="44"/>
  <c r="AJ177" i="44"/>
  <c r="AI177" i="44"/>
  <c r="AQ176" i="44"/>
  <c r="AP176" i="44"/>
  <c r="AO176" i="44"/>
  <c r="AN176" i="44"/>
  <c r="AM176" i="44"/>
  <c r="AL176" i="44"/>
  <c r="AK176" i="44"/>
  <c r="AJ176" i="44"/>
  <c r="AI176" i="44"/>
  <c r="AQ175" i="44"/>
  <c r="AP175" i="44"/>
  <c r="AO175" i="44"/>
  <c r="AN175" i="44"/>
  <c r="AM175" i="44"/>
  <c r="AL175" i="44"/>
  <c r="AK175" i="44"/>
  <c r="AJ175" i="44"/>
  <c r="AI175" i="44"/>
  <c r="AQ159" i="44"/>
  <c r="AP159" i="44"/>
  <c r="AO159" i="44"/>
  <c r="AN159" i="44"/>
  <c r="AM159" i="44"/>
  <c r="AL159" i="44"/>
  <c r="AK159" i="44"/>
  <c r="AJ159" i="44"/>
  <c r="AI159" i="44"/>
  <c r="AQ158" i="44"/>
  <c r="AP158" i="44"/>
  <c r="AO158" i="44"/>
  <c r="AN158" i="44"/>
  <c r="AM158" i="44"/>
  <c r="AL158" i="44"/>
  <c r="AK158" i="44"/>
  <c r="AJ158" i="44"/>
  <c r="AI158" i="44"/>
  <c r="AQ157" i="44"/>
  <c r="AP157" i="44"/>
  <c r="AO157" i="44"/>
  <c r="AN157" i="44"/>
  <c r="AM157" i="44"/>
  <c r="AL157" i="44"/>
  <c r="AK157" i="44"/>
  <c r="AJ157" i="44"/>
  <c r="AI157" i="44"/>
  <c r="AQ141" i="44"/>
  <c r="AP141" i="44"/>
  <c r="AO141" i="44"/>
  <c r="AN141" i="44"/>
  <c r="AM141" i="44"/>
  <c r="AL141" i="44"/>
  <c r="AK141" i="44"/>
  <c r="AJ141" i="44"/>
  <c r="AI141" i="44"/>
  <c r="AQ140" i="44"/>
  <c r="AP140" i="44"/>
  <c r="AO140" i="44"/>
  <c r="AN140" i="44"/>
  <c r="AM140" i="44"/>
  <c r="AL140" i="44"/>
  <c r="AK140" i="44"/>
  <c r="AJ140" i="44"/>
  <c r="AI140" i="44"/>
  <c r="AQ139" i="44"/>
  <c r="AP139" i="44"/>
  <c r="AO139" i="44"/>
  <c r="AN139" i="44"/>
  <c r="AM139" i="44"/>
  <c r="AL139" i="44"/>
  <c r="AK139" i="44"/>
  <c r="AJ139" i="44"/>
  <c r="AI139" i="44"/>
  <c r="AQ123" i="44"/>
  <c r="AP123" i="44"/>
  <c r="AO123" i="44"/>
  <c r="AN123" i="44"/>
  <c r="AM123" i="44"/>
  <c r="AL123" i="44"/>
  <c r="AK123" i="44"/>
  <c r="AJ123" i="44"/>
  <c r="AI123" i="44"/>
  <c r="AQ122" i="44"/>
  <c r="AP122" i="44"/>
  <c r="AO122" i="44"/>
  <c r="AN122" i="44"/>
  <c r="AM122" i="44"/>
  <c r="AL122" i="44"/>
  <c r="AK122" i="44"/>
  <c r="AJ122" i="44"/>
  <c r="AI122" i="44"/>
  <c r="AQ121" i="44"/>
  <c r="AP121" i="44"/>
  <c r="AO121" i="44"/>
  <c r="AN121" i="44"/>
  <c r="AM121" i="44"/>
  <c r="AL121" i="44"/>
  <c r="AK121" i="44"/>
  <c r="AJ121" i="44"/>
  <c r="AI121" i="44"/>
  <c r="AQ105" i="44"/>
  <c r="AP105" i="44"/>
  <c r="AO105" i="44"/>
  <c r="AN105" i="44"/>
  <c r="AM105" i="44"/>
  <c r="AL105" i="44"/>
  <c r="AK105" i="44"/>
  <c r="AJ105" i="44"/>
  <c r="AI105" i="44"/>
  <c r="AQ104" i="44"/>
  <c r="AP104" i="44"/>
  <c r="AO104" i="44"/>
  <c r="AN104" i="44"/>
  <c r="AM104" i="44"/>
  <c r="AL104" i="44"/>
  <c r="AK104" i="44"/>
  <c r="AJ104" i="44"/>
  <c r="AI104" i="44"/>
  <c r="AQ93" i="44"/>
  <c r="AP93" i="44"/>
  <c r="AO93" i="44"/>
  <c r="AN93" i="44"/>
  <c r="AM93" i="44"/>
  <c r="AL93" i="44"/>
  <c r="AK93" i="44"/>
  <c r="AJ93" i="44"/>
  <c r="AI93" i="44"/>
  <c r="AQ87" i="44"/>
  <c r="AP87" i="44"/>
  <c r="AO87" i="44"/>
  <c r="AN87" i="44"/>
  <c r="AM87" i="44"/>
  <c r="AL87" i="44"/>
  <c r="AK87" i="44"/>
  <c r="AJ87" i="44"/>
  <c r="AI87" i="44"/>
  <c r="AQ86" i="44"/>
  <c r="AP86" i="44"/>
  <c r="AO86" i="44"/>
  <c r="AN86" i="44"/>
  <c r="AM86" i="44"/>
  <c r="AL86" i="44"/>
  <c r="AK86" i="44"/>
  <c r="AJ86" i="44"/>
  <c r="AI86" i="44"/>
  <c r="AQ85" i="44"/>
  <c r="AP85" i="44"/>
  <c r="AO85" i="44"/>
  <c r="AN85" i="44"/>
  <c r="AM85" i="44"/>
  <c r="AL85" i="44"/>
  <c r="AK85" i="44"/>
  <c r="AJ85" i="44"/>
  <c r="AI85" i="44"/>
  <c r="AQ70" i="44"/>
  <c r="AP70" i="44"/>
  <c r="AO70" i="44"/>
  <c r="AN70" i="44"/>
  <c r="AM70" i="44"/>
  <c r="AL70" i="44"/>
  <c r="AK70" i="44"/>
  <c r="AJ70" i="44"/>
  <c r="AI70" i="44"/>
  <c r="AQ69" i="44"/>
  <c r="AP69" i="44"/>
  <c r="AO69" i="44"/>
  <c r="AN69" i="44"/>
  <c r="AM69" i="44"/>
  <c r="AL69" i="44"/>
  <c r="AK69" i="44"/>
  <c r="AJ69" i="44"/>
  <c r="AI69" i="44"/>
  <c r="AQ68" i="44"/>
  <c r="AP68" i="44"/>
  <c r="AO68" i="44"/>
  <c r="AN68" i="44"/>
  <c r="AM68" i="44"/>
  <c r="AL68" i="44"/>
  <c r="AK68" i="44"/>
  <c r="AJ68" i="44"/>
  <c r="AI68" i="44"/>
  <c r="AQ67" i="44"/>
  <c r="AP67" i="44"/>
  <c r="AO67" i="44"/>
  <c r="AN67" i="44"/>
  <c r="AM67" i="44"/>
  <c r="AL67" i="44"/>
  <c r="AK67" i="44"/>
  <c r="AJ67" i="44"/>
  <c r="AI67" i="44"/>
  <c r="AQ65" i="44"/>
  <c r="AP65" i="44"/>
  <c r="AO65" i="44"/>
  <c r="AN65" i="44"/>
  <c r="AM65" i="44"/>
  <c r="AL65" i="44"/>
  <c r="AK65" i="44"/>
  <c r="AJ65" i="44"/>
  <c r="AI65" i="44"/>
  <c r="AH195" i="44"/>
  <c r="AH194" i="44"/>
  <c r="AH193" i="44"/>
  <c r="AH177" i="44"/>
  <c r="AH176" i="44"/>
  <c r="AH175" i="44"/>
  <c r="AH159" i="44"/>
  <c r="AH158" i="44"/>
  <c r="AH157" i="44"/>
  <c r="AH141" i="44"/>
  <c r="AH140" i="44"/>
  <c r="AH139" i="44"/>
  <c r="AH123" i="44"/>
  <c r="AH122" i="44"/>
  <c r="AH121" i="44"/>
  <c r="AH105" i="44"/>
  <c r="AH104" i="44"/>
  <c r="AH93" i="44"/>
  <c r="AH87" i="44"/>
  <c r="AH86" i="44"/>
  <c r="AH85" i="44"/>
  <c r="AH70" i="44"/>
  <c r="AH69" i="44"/>
  <c r="AH68" i="44"/>
  <c r="AH67" i="44"/>
  <c r="AH65" i="44"/>
  <c r="AG195" i="44"/>
  <c r="AG194" i="44"/>
  <c r="AG193" i="44"/>
  <c r="AG177" i="44"/>
  <c r="AG176" i="44"/>
  <c r="AG175" i="44"/>
  <c r="AG159" i="44"/>
  <c r="AG158" i="44"/>
  <c r="AG157" i="44"/>
  <c r="AG141" i="44"/>
  <c r="AG140" i="44"/>
  <c r="AG139" i="44"/>
  <c r="AG123" i="44"/>
  <c r="AG122" i="44"/>
  <c r="AG121" i="44"/>
  <c r="AG105" i="44"/>
  <c r="AG104" i="44"/>
  <c r="AG93" i="44"/>
  <c r="AG87" i="44"/>
  <c r="AG86" i="44"/>
  <c r="AG85" i="44"/>
  <c r="AG70" i="44"/>
  <c r="AG69" i="44"/>
  <c r="AG68" i="44"/>
  <c r="AG67" i="44"/>
  <c r="AG65" i="44"/>
  <c r="AF195" i="44"/>
  <c r="AF194" i="44"/>
  <c r="AF193" i="44"/>
  <c r="AF177" i="44"/>
  <c r="AF176" i="44"/>
  <c r="AF175" i="44"/>
  <c r="AF159" i="44"/>
  <c r="AF158" i="44"/>
  <c r="AF157" i="44"/>
  <c r="AF141" i="44"/>
  <c r="AF140" i="44"/>
  <c r="AF139" i="44"/>
  <c r="AF123" i="44"/>
  <c r="AF122" i="44"/>
  <c r="AF121" i="44"/>
  <c r="AF105" i="44"/>
  <c r="AF104" i="44"/>
  <c r="AF93" i="44"/>
  <c r="AF87" i="44"/>
  <c r="AF86" i="44"/>
  <c r="AF85" i="44"/>
  <c r="AF71" i="44"/>
  <c r="AF70" i="44"/>
  <c r="AF69" i="44"/>
  <c r="AF68" i="44"/>
  <c r="AF67" i="44"/>
  <c r="AF65" i="44"/>
  <c r="AE103" i="44"/>
  <c r="AD103" i="44"/>
  <c r="AC103" i="44"/>
  <c r="AB103" i="44"/>
  <c r="AA103" i="44"/>
  <c r="Y21" i="44"/>
  <c r="X21" i="44" s="1"/>
  <c r="W21" i="44" s="1"/>
  <c r="V21" i="44" s="1"/>
  <c r="U21" i="44" s="1"/>
  <c r="T21" i="44" s="1"/>
  <c r="S21" i="44" s="1"/>
  <c r="R21" i="44" s="1"/>
  <c r="Q21" i="44" s="1"/>
  <c r="P21" i="44" s="1"/>
  <c r="O21" i="44" s="1"/>
  <c r="O57" i="44" s="1"/>
  <c r="Y20" i="44"/>
  <c r="X20" i="44" s="1"/>
  <c r="W20" i="44" s="1"/>
  <c r="V20" i="44" s="1"/>
  <c r="U20" i="44" s="1"/>
  <c r="T20" i="44" s="1"/>
  <c r="S20" i="44" s="1"/>
  <c r="R20" i="44" s="1"/>
  <c r="Q20" i="44" s="1"/>
  <c r="Y19" i="44"/>
  <c r="X19" i="44" s="1"/>
  <c r="W19" i="44" s="1"/>
  <c r="V19" i="44" s="1"/>
  <c r="U19" i="44" s="1"/>
  <c r="T19" i="44" s="1"/>
  <c r="S19" i="44" s="1"/>
  <c r="R19" i="44" s="1"/>
  <c r="Q19" i="44" s="1"/>
  <c r="P19" i="44" s="1"/>
  <c r="Y18" i="44"/>
  <c r="X18" i="44" s="1"/>
  <c r="W18" i="44" s="1"/>
  <c r="V18" i="44" s="1"/>
  <c r="U18" i="44" s="1"/>
  <c r="T18" i="44" s="1"/>
  <c r="S18" i="44" s="1"/>
  <c r="Y17" i="44"/>
  <c r="X17" i="44" s="1"/>
  <c r="W17" i="44" s="1"/>
  <c r="V17" i="44" s="1"/>
  <c r="U17" i="44" s="1"/>
  <c r="T17" i="44" s="1"/>
  <c r="S17" i="44" s="1"/>
  <c r="R17" i="44" s="1"/>
  <c r="Q17" i="44" s="1"/>
  <c r="Y23" i="44"/>
  <c r="X23" i="44" s="1"/>
  <c r="Y22" i="44"/>
  <c r="X22" i="44" s="1"/>
  <c r="W22" i="44" s="1"/>
  <c r="V22" i="44" s="1"/>
  <c r="U22" i="44" s="1"/>
  <c r="T22" i="44" s="1"/>
  <c r="S22" i="44" s="1"/>
  <c r="R22" i="44" s="1"/>
  <c r="Q22" i="44" s="1"/>
  <c r="P22" i="44" s="1"/>
  <c r="V85" i="44"/>
  <c r="U85" i="44"/>
  <c r="T85" i="44"/>
  <c r="S85" i="44"/>
  <c r="R85" i="44"/>
  <c r="Q85" i="44"/>
  <c r="P85" i="44"/>
  <c r="O85" i="44"/>
  <c r="N85" i="44"/>
  <c r="M85" i="44"/>
  <c r="V86" i="44"/>
  <c r="U86" i="44"/>
  <c r="T86" i="44"/>
  <c r="S86" i="44"/>
  <c r="R86" i="44"/>
  <c r="Q86" i="44"/>
  <c r="Y87" i="44"/>
  <c r="X87" i="44"/>
  <c r="W87" i="44"/>
  <c r="Y86" i="44"/>
  <c r="X86" i="44"/>
  <c r="W86" i="44"/>
  <c r="Y85" i="44"/>
  <c r="X85" i="44"/>
  <c r="W85" i="44"/>
  <c r="AE87" i="44"/>
  <c r="AD87" i="44"/>
  <c r="AC87" i="44"/>
  <c r="AA87" i="44"/>
  <c r="AE86" i="44"/>
  <c r="AD86" i="44"/>
  <c r="AC86" i="44"/>
  <c r="AA86" i="44"/>
  <c r="AE85" i="44"/>
  <c r="AD85" i="44"/>
  <c r="AC85" i="44"/>
  <c r="Z87" i="44"/>
  <c r="Z86" i="44"/>
  <c r="Z85" i="44"/>
  <c r="Z206" i="44"/>
  <c r="AA199" i="44"/>
  <c r="AB199" i="44" s="1"/>
  <c r="AC199" i="44" s="1"/>
  <c r="AD199" i="44" s="1"/>
  <c r="Y199" i="44"/>
  <c r="AA198" i="44"/>
  <c r="Y198" i="44"/>
  <c r="X198" i="44" s="1"/>
  <c r="W198" i="44" s="1"/>
  <c r="V198" i="44" s="1"/>
  <c r="AA197" i="44"/>
  <c r="AB197" i="44" s="1"/>
  <c r="Y197" i="44"/>
  <c r="X197" i="44" s="1"/>
  <c r="W197" i="44" s="1"/>
  <c r="V197" i="44" s="1"/>
  <c r="AE195" i="44"/>
  <c r="AD195" i="44"/>
  <c r="AC195" i="44"/>
  <c r="AB195" i="44"/>
  <c r="AA195" i="44"/>
  <c r="Z195" i="44"/>
  <c r="Y195" i="44"/>
  <c r="X195" i="44"/>
  <c r="W195" i="44"/>
  <c r="AE194" i="44"/>
  <c r="AD194" i="44"/>
  <c r="AC194" i="44"/>
  <c r="AB194" i="44"/>
  <c r="AA194" i="44"/>
  <c r="Z194" i="44"/>
  <c r="Z204" i="44" s="1"/>
  <c r="Y194" i="44"/>
  <c r="X194" i="44"/>
  <c r="W194" i="44"/>
  <c r="V194" i="44"/>
  <c r="U194" i="44"/>
  <c r="T194" i="44"/>
  <c r="S194" i="44"/>
  <c r="R194" i="44"/>
  <c r="Q194" i="44"/>
  <c r="AE193" i="44"/>
  <c r="AD193" i="44"/>
  <c r="AC193" i="44"/>
  <c r="AB193" i="44"/>
  <c r="AA193" i="44"/>
  <c r="Z193" i="44"/>
  <c r="Y193" i="44"/>
  <c r="X193" i="44"/>
  <c r="W193" i="44"/>
  <c r="V193" i="44"/>
  <c r="U193" i="44"/>
  <c r="T193" i="44"/>
  <c r="S193" i="44"/>
  <c r="R193" i="44"/>
  <c r="Q193" i="44"/>
  <c r="P193" i="44"/>
  <c r="O193" i="44"/>
  <c r="N193" i="44"/>
  <c r="M193" i="44"/>
  <c r="Z188" i="44"/>
  <c r="AA181" i="44"/>
  <c r="AB181" i="44" s="1"/>
  <c r="AC181" i="44" s="1"/>
  <c r="Y181" i="44"/>
  <c r="X181" i="44" s="1"/>
  <c r="W181" i="44" s="1"/>
  <c r="AA180" i="44"/>
  <c r="AB180" i="44" s="1"/>
  <c r="AC180" i="44" s="1"/>
  <c r="Y180" i="44"/>
  <c r="X180" i="44" s="1"/>
  <c r="W180" i="44" s="1"/>
  <c r="V180" i="44" s="1"/>
  <c r="AA179" i="44"/>
  <c r="AB179" i="44" s="1"/>
  <c r="AC179" i="44" s="1"/>
  <c r="AD179" i="44" s="1"/>
  <c r="AE179" i="44" s="1"/>
  <c r="AF179" i="44" s="1"/>
  <c r="AG179" i="44" s="1"/>
  <c r="AH179" i="44" s="1"/>
  <c r="AI179" i="44" s="1"/>
  <c r="AJ179" i="44" s="1"/>
  <c r="AK179" i="44" s="1"/>
  <c r="AL179" i="44" s="1"/>
  <c r="AM179" i="44" s="1"/>
  <c r="AN179" i="44" s="1"/>
  <c r="AO179" i="44" s="1"/>
  <c r="AP179" i="44" s="1"/>
  <c r="AQ179" i="44" s="1"/>
  <c r="Y179" i="44"/>
  <c r="X179" i="44" s="1"/>
  <c r="W179" i="44" s="1"/>
  <c r="V179" i="44" s="1"/>
  <c r="U179" i="44" s="1"/>
  <c r="T179" i="44" s="1"/>
  <c r="S179" i="44" s="1"/>
  <c r="R179" i="44" s="1"/>
  <c r="Q179" i="44" s="1"/>
  <c r="AE177" i="44"/>
  <c r="AD177" i="44"/>
  <c r="AC177" i="44"/>
  <c r="AB177" i="44"/>
  <c r="AA177" i="44"/>
  <c r="Z177" i="44"/>
  <c r="Y177" i="44"/>
  <c r="X177" i="44"/>
  <c r="W177" i="44"/>
  <c r="V177" i="44"/>
  <c r="U177" i="44"/>
  <c r="AE176" i="44"/>
  <c r="AD176" i="44"/>
  <c r="AC176" i="44"/>
  <c r="AB176" i="44"/>
  <c r="AA176" i="44"/>
  <c r="Z176" i="44"/>
  <c r="Y176" i="44"/>
  <c r="X176" i="44"/>
  <c r="W176" i="44"/>
  <c r="V176" i="44"/>
  <c r="U176" i="44"/>
  <c r="T176" i="44"/>
  <c r="S176" i="44"/>
  <c r="R176" i="44"/>
  <c r="Q176" i="44"/>
  <c r="AE175" i="44"/>
  <c r="AD175" i="44"/>
  <c r="AC175" i="44"/>
  <c r="AB175" i="44"/>
  <c r="AA175" i="44"/>
  <c r="Z175" i="44"/>
  <c r="Y175" i="44"/>
  <c r="X175" i="44"/>
  <c r="W175" i="44"/>
  <c r="V175" i="44"/>
  <c r="U175" i="44"/>
  <c r="T175" i="44"/>
  <c r="S175" i="44"/>
  <c r="R175" i="44"/>
  <c r="Q175" i="44"/>
  <c r="P175" i="44"/>
  <c r="O175" i="44"/>
  <c r="N175" i="44"/>
  <c r="M175" i="44"/>
  <c r="Z170" i="44"/>
  <c r="AA163" i="44"/>
  <c r="AB163" i="44" s="1"/>
  <c r="AC163" i="44" s="1"/>
  <c r="AD163" i="44" s="1"/>
  <c r="AE163" i="44" s="1"/>
  <c r="AF163" i="44" s="1"/>
  <c r="AG163" i="44" s="1"/>
  <c r="AH163" i="44" s="1"/>
  <c r="AI163" i="44" s="1"/>
  <c r="AJ163" i="44" s="1"/>
  <c r="AK163" i="44" s="1"/>
  <c r="Y163" i="44"/>
  <c r="X163" i="44" s="1"/>
  <c r="W163" i="44" s="1"/>
  <c r="V163" i="44" s="1"/>
  <c r="AA162" i="44"/>
  <c r="AB162" i="44" s="1"/>
  <c r="AC162" i="44" s="1"/>
  <c r="AD162" i="44" s="1"/>
  <c r="AE162" i="44" s="1"/>
  <c r="AF162" i="44" s="1"/>
  <c r="AG162" i="44" s="1"/>
  <c r="AH162" i="44" s="1"/>
  <c r="AI162" i="44" s="1"/>
  <c r="AJ162" i="44" s="1"/>
  <c r="AK162" i="44" s="1"/>
  <c r="AL162" i="44" s="1"/>
  <c r="AM162" i="44" s="1"/>
  <c r="AN162" i="44" s="1"/>
  <c r="AO162" i="44" s="1"/>
  <c r="AP162" i="44" s="1"/>
  <c r="AQ162" i="44" s="1"/>
  <c r="Y162" i="44"/>
  <c r="X162" i="44" s="1"/>
  <c r="W162" i="44" s="1"/>
  <c r="V162" i="44" s="1"/>
  <c r="U162" i="44" s="1"/>
  <c r="T162" i="44" s="1"/>
  <c r="AA161" i="44"/>
  <c r="AB161" i="44" s="1"/>
  <c r="Y161" i="44"/>
  <c r="X161" i="44" s="1"/>
  <c r="AE159" i="44"/>
  <c r="AD159" i="44"/>
  <c r="AC159" i="44"/>
  <c r="AB159" i="44"/>
  <c r="AA159" i="44"/>
  <c r="Z159" i="44"/>
  <c r="Y159" i="44"/>
  <c r="X159" i="44"/>
  <c r="W159" i="44"/>
  <c r="AE158" i="44"/>
  <c r="AD158" i="44"/>
  <c r="AC158" i="44"/>
  <c r="AB158" i="44"/>
  <c r="AA158" i="44"/>
  <c r="Z158" i="44"/>
  <c r="Y158" i="44"/>
  <c r="X158" i="44"/>
  <c r="W158" i="44"/>
  <c r="V158" i="44"/>
  <c r="U158" i="44"/>
  <c r="T158" i="44"/>
  <c r="S158" i="44"/>
  <c r="R158" i="44"/>
  <c r="Q158" i="44"/>
  <c r="AE157" i="44"/>
  <c r="AD157" i="44"/>
  <c r="AC157" i="44"/>
  <c r="AB157" i="44"/>
  <c r="AA157" i="44"/>
  <c r="Z157" i="44"/>
  <c r="Y157" i="44"/>
  <c r="X157" i="44"/>
  <c r="W157" i="44"/>
  <c r="V157" i="44"/>
  <c r="U157" i="44"/>
  <c r="T157" i="44"/>
  <c r="S157" i="44"/>
  <c r="R157" i="44"/>
  <c r="Q157" i="44"/>
  <c r="P157" i="44"/>
  <c r="O157" i="44"/>
  <c r="N157" i="44"/>
  <c r="M157" i="44"/>
  <c r="Z152" i="44"/>
  <c r="AA145" i="44"/>
  <c r="AB145" i="44" s="1"/>
  <c r="AC145" i="44" s="1"/>
  <c r="AD145" i="44" s="1"/>
  <c r="AE145" i="44" s="1"/>
  <c r="AF145" i="44" s="1"/>
  <c r="AG145" i="44" s="1"/>
  <c r="AH145" i="44" s="1"/>
  <c r="AI145" i="44" s="1"/>
  <c r="AJ145" i="44" s="1"/>
  <c r="AK145" i="44" s="1"/>
  <c r="AL145" i="44" s="1"/>
  <c r="AM145" i="44" s="1"/>
  <c r="AN145" i="44" s="1"/>
  <c r="AO145" i="44" s="1"/>
  <c r="AP145" i="44" s="1"/>
  <c r="AQ145" i="44" s="1"/>
  <c r="Y145" i="44"/>
  <c r="AA144" i="44"/>
  <c r="AB144" i="44" s="1"/>
  <c r="AC144" i="44" s="1"/>
  <c r="Y144" i="44"/>
  <c r="X144" i="44" s="1"/>
  <c r="W144" i="44" s="1"/>
  <c r="V144" i="44" s="1"/>
  <c r="AA143" i="44"/>
  <c r="Y143" i="44"/>
  <c r="X143" i="44" s="1"/>
  <c r="W143" i="44" s="1"/>
  <c r="V143" i="44" s="1"/>
  <c r="AE141" i="44"/>
  <c r="AD141" i="44"/>
  <c r="AC141" i="44"/>
  <c r="AB141" i="44"/>
  <c r="AA141" i="44"/>
  <c r="Z141" i="44"/>
  <c r="Y141" i="44"/>
  <c r="X141" i="44"/>
  <c r="W141" i="44"/>
  <c r="AE140" i="44"/>
  <c r="AD140" i="44"/>
  <c r="AC140" i="44"/>
  <c r="AB140" i="44"/>
  <c r="AA140" i="44"/>
  <c r="Z140" i="44"/>
  <c r="Y140" i="44"/>
  <c r="X140" i="44"/>
  <c r="W140" i="44"/>
  <c r="V140" i="44"/>
  <c r="U140" i="44"/>
  <c r="T140" i="44"/>
  <c r="S140" i="44"/>
  <c r="R140" i="44"/>
  <c r="Q140" i="44"/>
  <c r="AE139" i="44"/>
  <c r="AD139" i="44"/>
  <c r="AC139" i="44"/>
  <c r="AB139" i="44"/>
  <c r="AA139" i="44"/>
  <c r="Z139" i="44"/>
  <c r="Y139" i="44"/>
  <c r="X139" i="44"/>
  <c r="W139" i="44"/>
  <c r="V139" i="44"/>
  <c r="U139" i="44"/>
  <c r="T139" i="44"/>
  <c r="S139" i="44"/>
  <c r="R139" i="44"/>
  <c r="Q139" i="44"/>
  <c r="P139" i="44"/>
  <c r="O139" i="44"/>
  <c r="N139" i="44"/>
  <c r="M139" i="44"/>
  <c r="Z134" i="44"/>
  <c r="AA127" i="44"/>
  <c r="AB127" i="44" s="1"/>
  <c r="AC127" i="44" s="1"/>
  <c r="Y127" i="44"/>
  <c r="X127" i="44" s="1"/>
  <c r="W127" i="44" s="1"/>
  <c r="V127" i="44" s="1"/>
  <c r="U127" i="44" s="1"/>
  <c r="AA126" i="44"/>
  <c r="AB126" i="44" s="1"/>
  <c r="AC126" i="44" s="1"/>
  <c r="AD126" i="44" s="1"/>
  <c r="Y126" i="44"/>
  <c r="X126" i="44" s="1"/>
  <c r="W126" i="44" s="1"/>
  <c r="V126" i="44" s="1"/>
  <c r="U126" i="44" s="1"/>
  <c r="AA125" i="44"/>
  <c r="AB125" i="44" s="1"/>
  <c r="Y125" i="44"/>
  <c r="X125" i="44" s="1"/>
  <c r="W125" i="44" s="1"/>
  <c r="AE123" i="44"/>
  <c r="AD123" i="44"/>
  <c r="AC123" i="44"/>
  <c r="AB123" i="44"/>
  <c r="AA123" i="44"/>
  <c r="Z123" i="44"/>
  <c r="Y123" i="44"/>
  <c r="X123" i="44"/>
  <c r="W123" i="44"/>
  <c r="AE122" i="44"/>
  <c r="AD122" i="44"/>
  <c r="AC122" i="44"/>
  <c r="AB122" i="44"/>
  <c r="AA122" i="44"/>
  <c r="Z122" i="44"/>
  <c r="Y122" i="44"/>
  <c r="X122" i="44"/>
  <c r="W122" i="44"/>
  <c r="V122" i="44"/>
  <c r="U122" i="44"/>
  <c r="T122" i="44"/>
  <c r="S122" i="44"/>
  <c r="R122" i="44"/>
  <c r="Q122" i="44"/>
  <c r="AE121" i="44"/>
  <c r="AD121" i="44"/>
  <c r="AC121" i="44"/>
  <c r="AB121" i="44"/>
  <c r="AA121" i="44"/>
  <c r="Z121" i="44"/>
  <c r="Y121" i="44"/>
  <c r="X121" i="44"/>
  <c r="W121" i="44"/>
  <c r="V121" i="44"/>
  <c r="U121" i="44"/>
  <c r="T121" i="44"/>
  <c r="S121" i="44"/>
  <c r="R121" i="44"/>
  <c r="Q121" i="44"/>
  <c r="P121" i="44"/>
  <c r="O121" i="44"/>
  <c r="N121" i="44"/>
  <c r="M121" i="44"/>
  <c r="Z116" i="44"/>
  <c r="AA109" i="44"/>
  <c r="Y109" i="44"/>
  <c r="X109" i="44" s="1"/>
  <c r="W109" i="44" s="1"/>
  <c r="AA108" i="44"/>
  <c r="AB108" i="44" s="1"/>
  <c r="AC108" i="44" s="1"/>
  <c r="Y108" i="44"/>
  <c r="X108" i="44" s="1"/>
  <c r="W108" i="44" s="1"/>
  <c r="V108" i="44" s="1"/>
  <c r="U108" i="44" s="1"/>
  <c r="T108" i="44" s="1"/>
  <c r="AA107" i="44"/>
  <c r="AB107" i="44" s="1"/>
  <c r="AC107" i="44" s="1"/>
  <c r="AD107" i="44" s="1"/>
  <c r="AE107" i="44" s="1"/>
  <c r="AF107" i="44" s="1"/>
  <c r="AG107" i="44" s="1"/>
  <c r="AH107" i="44" s="1"/>
  <c r="AI107" i="44" s="1"/>
  <c r="AJ107" i="44" s="1"/>
  <c r="AK107" i="44" s="1"/>
  <c r="AL107" i="44" s="1"/>
  <c r="Y107" i="44"/>
  <c r="AE105" i="44"/>
  <c r="AD105" i="44"/>
  <c r="AC105" i="44"/>
  <c r="AB105" i="44"/>
  <c r="AA105" i="44"/>
  <c r="Z105" i="44"/>
  <c r="Y105" i="44"/>
  <c r="X105" i="44"/>
  <c r="W105" i="44"/>
  <c r="AE104" i="44"/>
  <c r="AD104" i="44"/>
  <c r="AC104" i="44"/>
  <c r="AB104" i="44"/>
  <c r="AA104" i="44"/>
  <c r="Z104" i="44"/>
  <c r="Y104" i="44"/>
  <c r="X104" i="44"/>
  <c r="W104" i="44"/>
  <c r="V104" i="44"/>
  <c r="U104" i="44"/>
  <c r="T104" i="44"/>
  <c r="S104" i="44"/>
  <c r="R104" i="44"/>
  <c r="Q104" i="44"/>
  <c r="Z103" i="44"/>
  <c r="Y103" i="44"/>
  <c r="X103" i="44"/>
  <c r="W103" i="44"/>
  <c r="V103" i="44"/>
  <c r="U103" i="44"/>
  <c r="T103" i="44"/>
  <c r="S103" i="44"/>
  <c r="R103" i="44"/>
  <c r="Q103" i="44"/>
  <c r="P103" i="44"/>
  <c r="O103" i="44"/>
  <c r="N103" i="44"/>
  <c r="M103" i="44"/>
  <c r="Z98" i="44"/>
  <c r="AE93" i="44"/>
  <c r="AD93" i="44"/>
  <c r="AC93" i="44"/>
  <c r="AB93" i="44"/>
  <c r="AA93" i="44"/>
  <c r="Z93" i="44"/>
  <c r="Z97" i="44" s="1"/>
  <c r="Y93" i="44"/>
  <c r="X93" i="44"/>
  <c r="W93" i="44"/>
  <c r="V93" i="44"/>
  <c r="U93" i="44"/>
  <c r="T93" i="44"/>
  <c r="S93" i="44"/>
  <c r="R93" i="44"/>
  <c r="Q93" i="44"/>
  <c r="P93" i="44"/>
  <c r="O93" i="44"/>
  <c r="AA91" i="44"/>
  <c r="AB91" i="44" s="1"/>
  <c r="AC91" i="44" s="1"/>
  <c r="AD91" i="44" s="1"/>
  <c r="AE91" i="44" s="1"/>
  <c r="AF91" i="44" s="1"/>
  <c r="AG91" i="44" s="1"/>
  <c r="AH91" i="44" s="1"/>
  <c r="AI91" i="44" s="1"/>
  <c r="AJ91" i="44" s="1"/>
  <c r="AK91" i="44" s="1"/>
  <c r="AL91" i="44" s="1"/>
  <c r="AM91" i="44" s="1"/>
  <c r="Y91" i="44"/>
  <c r="X91" i="44" s="1"/>
  <c r="AA90" i="44"/>
  <c r="AB90" i="44" s="1"/>
  <c r="AC90" i="44" s="1"/>
  <c r="Y90" i="44"/>
  <c r="X90" i="44" s="1"/>
  <c r="W90" i="44" s="1"/>
  <c r="AA89" i="44"/>
  <c r="AB89" i="44" s="1"/>
  <c r="AC89" i="44" s="1"/>
  <c r="Y89" i="44"/>
  <c r="X89" i="44" s="1"/>
  <c r="AE71" i="44"/>
  <c r="AD71" i="44"/>
  <c r="AC71" i="44"/>
  <c r="AB71" i="44"/>
  <c r="AA71" i="44"/>
  <c r="Z71" i="44"/>
  <c r="Y71" i="44"/>
  <c r="X71" i="44"/>
  <c r="W71" i="44"/>
  <c r="V71" i="44"/>
  <c r="U71" i="44"/>
  <c r="T71" i="44"/>
  <c r="S71" i="44"/>
  <c r="R71" i="44"/>
  <c r="Q71" i="44"/>
  <c r="P71" i="44"/>
  <c r="O71" i="44"/>
  <c r="N71" i="44"/>
  <c r="M71" i="44"/>
  <c r="L71" i="44"/>
  <c r="K71" i="44"/>
  <c r="J71" i="44"/>
  <c r="AE70" i="44"/>
  <c r="AD70" i="44"/>
  <c r="AC70" i="44"/>
  <c r="AB70" i="44"/>
  <c r="AA70" i="44"/>
  <c r="Z70" i="44"/>
  <c r="Y70" i="44"/>
  <c r="X70" i="44"/>
  <c r="W70" i="44"/>
  <c r="V70" i="44"/>
  <c r="U70" i="44"/>
  <c r="T70" i="44"/>
  <c r="S70" i="44"/>
  <c r="R70" i="44"/>
  <c r="Q70" i="44"/>
  <c r="P70" i="44"/>
  <c r="O70" i="44"/>
  <c r="N70" i="44"/>
  <c r="M70" i="44"/>
  <c r="L70" i="44"/>
  <c r="K70" i="44"/>
  <c r="J70" i="44"/>
  <c r="AE69" i="44"/>
  <c r="AD69" i="44"/>
  <c r="AC69" i="44"/>
  <c r="AB69" i="44"/>
  <c r="AA69" i="44"/>
  <c r="Z69" i="44"/>
  <c r="Y69" i="44"/>
  <c r="X69" i="44"/>
  <c r="W69" i="44"/>
  <c r="V69" i="44"/>
  <c r="U69" i="44"/>
  <c r="T69" i="44"/>
  <c r="S69" i="44"/>
  <c r="R69" i="44"/>
  <c r="Q69" i="44"/>
  <c r="P69" i="44"/>
  <c r="O69" i="44"/>
  <c r="N69" i="44"/>
  <c r="M69" i="44"/>
  <c r="L69" i="44"/>
  <c r="K69" i="44"/>
  <c r="J69" i="44"/>
  <c r="AE68" i="44"/>
  <c r="AD68" i="44"/>
  <c r="AC68" i="44"/>
  <c r="AB68" i="44"/>
  <c r="AA68" i="44"/>
  <c r="Z68" i="44"/>
  <c r="Y68" i="44"/>
  <c r="X68" i="44"/>
  <c r="W68" i="44"/>
  <c r="V68" i="44"/>
  <c r="U68" i="44"/>
  <c r="T68" i="44"/>
  <c r="S68" i="44"/>
  <c r="R68" i="44"/>
  <c r="Q68" i="44"/>
  <c r="P68" i="44"/>
  <c r="O68" i="44"/>
  <c r="N68" i="44"/>
  <c r="M68" i="44"/>
  <c r="L68" i="44"/>
  <c r="K68" i="44"/>
  <c r="J68" i="44"/>
  <c r="AE67" i="44"/>
  <c r="AD67" i="44"/>
  <c r="AC67" i="44"/>
  <c r="AB67" i="44"/>
  <c r="AA67" i="44"/>
  <c r="Z67" i="44"/>
  <c r="Y67" i="44"/>
  <c r="X67" i="44"/>
  <c r="W67" i="44"/>
  <c r="V67" i="44"/>
  <c r="U67" i="44"/>
  <c r="T67" i="44"/>
  <c r="S67" i="44"/>
  <c r="R67" i="44"/>
  <c r="Q67" i="44"/>
  <c r="P67" i="44"/>
  <c r="O67" i="44"/>
  <c r="N67" i="44"/>
  <c r="M67" i="44"/>
  <c r="L67" i="44"/>
  <c r="K67" i="44"/>
  <c r="J67" i="44"/>
  <c r="AE66" i="44"/>
  <c r="AD66" i="44"/>
  <c r="AC66" i="44"/>
  <c r="AB66" i="44"/>
  <c r="AA66" i="44"/>
  <c r="Z66" i="44"/>
  <c r="Y66" i="44"/>
  <c r="X66" i="44"/>
  <c r="W66" i="44"/>
  <c r="V66" i="44"/>
  <c r="U66" i="44"/>
  <c r="T66" i="44"/>
  <c r="S66" i="44"/>
  <c r="R66" i="44"/>
  <c r="Q66" i="44"/>
  <c r="P66" i="44"/>
  <c r="O66" i="44"/>
  <c r="N66" i="44"/>
  <c r="M66" i="44"/>
  <c r="L66" i="44"/>
  <c r="K66" i="44"/>
  <c r="J66" i="44"/>
  <c r="AE65" i="44"/>
  <c r="AD65" i="44"/>
  <c r="AC65" i="44"/>
  <c r="AB65" i="44"/>
  <c r="AA65" i="44"/>
  <c r="Z65" i="44"/>
  <c r="Y65" i="44"/>
  <c r="X65" i="44"/>
  <c r="W65" i="44"/>
  <c r="V65" i="44"/>
  <c r="U65" i="44"/>
  <c r="T65" i="44"/>
  <c r="S65" i="44"/>
  <c r="R65" i="44"/>
  <c r="Q65" i="44"/>
  <c r="P65" i="44"/>
  <c r="O65" i="44"/>
  <c r="N65" i="44"/>
  <c r="M65" i="44"/>
  <c r="L65" i="44"/>
  <c r="K65" i="44"/>
  <c r="J65" i="44"/>
  <c r="Z59" i="44"/>
  <c r="Z58" i="44"/>
  <c r="Z57" i="44"/>
  <c r="Z56" i="44"/>
  <c r="Z55" i="44"/>
  <c r="Z54" i="44"/>
  <c r="Z53" i="44"/>
  <c r="AB32" i="44"/>
  <c r="AB31" i="44"/>
  <c r="AC31" i="44" s="1"/>
  <c r="AD31" i="44" s="1"/>
  <c r="AE31" i="44" s="1"/>
  <c r="AF31" i="44" s="1"/>
  <c r="AG31" i="44" s="1"/>
  <c r="AH31" i="44" s="1"/>
  <c r="AI31" i="44" s="1"/>
  <c r="AJ31" i="44" s="1"/>
  <c r="AK31" i="44" s="1"/>
  <c r="AL31" i="44" s="1"/>
  <c r="AM31" i="44" s="1"/>
  <c r="AN31" i="44" s="1"/>
  <c r="AO31" i="44" s="1"/>
  <c r="AP31" i="44" s="1"/>
  <c r="AQ31" i="44" s="1"/>
  <c r="AB30" i="44"/>
  <c r="AB29" i="44"/>
  <c r="AB28" i="44"/>
  <c r="AB26" i="44"/>
  <c r="AC26" i="44" s="1"/>
  <c r="AD26" i="44" s="1"/>
  <c r="AE26" i="44" s="1"/>
  <c r="AF26" i="44" s="1"/>
  <c r="AG26" i="44" s="1"/>
  <c r="AA23" i="44"/>
  <c r="AA206" i="44" s="1"/>
  <c r="AA22" i="44"/>
  <c r="AA58" i="44" s="1"/>
  <c r="AA21" i="44"/>
  <c r="AA170" i="44" s="1"/>
  <c r="AA20" i="44"/>
  <c r="AA56" i="44" s="1"/>
  <c r="AA19" i="44"/>
  <c r="AA134" i="44" s="1"/>
  <c r="AA18" i="44"/>
  <c r="AB18" i="44" s="1"/>
  <c r="AA17" i="44"/>
  <c r="AB17" i="44" s="1"/>
  <c r="AA210" i="44" l="1"/>
  <c r="Z151" i="44"/>
  <c r="AM97" i="44"/>
  <c r="AL103" i="44"/>
  <c r="AL210" i="44" s="1"/>
  <c r="AN193" i="44"/>
  <c r="Z203" i="44"/>
  <c r="Z205" i="44"/>
  <c r="AF66" i="44"/>
  <c r="Y133" i="44"/>
  <c r="Z114" i="44"/>
  <c r="Y186" i="44"/>
  <c r="AM103" i="44"/>
  <c r="Z167" i="44"/>
  <c r="Z169" i="44"/>
  <c r="AH14" i="44"/>
  <c r="AO193" i="44"/>
  <c r="AH26" i="44"/>
  <c r="AF97" i="44"/>
  <c r="AG97" i="44"/>
  <c r="AG210" i="44"/>
  <c r="Z168" i="44"/>
  <c r="AH97" i="44"/>
  <c r="AH210" i="44"/>
  <c r="AI97" i="44"/>
  <c r="AL97" i="44"/>
  <c r="AA168" i="44"/>
  <c r="AJ97" i="44"/>
  <c r="Z132" i="44"/>
  <c r="Z95" i="44"/>
  <c r="AK97" i="44"/>
  <c r="AM107" i="44"/>
  <c r="AN107" i="44" s="1"/>
  <c r="AO107" i="44" s="1"/>
  <c r="AP107" i="44" s="1"/>
  <c r="AQ107" i="44" s="1"/>
  <c r="AN91" i="44"/>
  <c r="AO91" i="44" s="1"/>
  <c r="AP91" i="44" s="1"/>
  <c r="AQ91" i="44" s="1"/>
  <c r="AI210" i="44"/>
  <c r="AL163" i="44"/>
  <c r="AM163" i="44" s="1"/>
  <c r="AJ210" i="44"/>
  <c r="AK210" i="44"/>
  <c r="W23" i="44"/>
  <c r="X206" i="44"/>
  <c r="AA53" i="44"/>
  <c r="AA98" i="44"/>
  <c r="Z149" i="44"/>
  <c r="Y185" i="44"/>
  <c r="Z113" i="44"/>
  <c r="Y205" i="44"/>
  <c r="AF210" i="44"/>
  <c r="AB21" i="44"/>
  <c r="AB170" i="44" s="1"/>
  <c r="Z186" i="44"/>
  <c r="Y113" i="44"/>
  <c r="Z150" i="44"/>
  <c r="U133" i="44"/>
  <c r="AA115" i="44"/>
  <c r="AA205" i="44"/>
  <c r="AC32" i="44"/>
  <c r="AD32" i="44" s="1"/>
  <c r="AA204" i="44"/>
  <c r="AA149" i="44"/>
  <c r="AA114" i="44"/>
  <c r="Y97" i="44"/>
  <c r="Y131" i="44"/>
  <c r="U132" i="44"/>
  <c r="T126" i="44"/>
  <c r="S126" i="44" s="1"/>
  <c r="R126" i="44" s="1"/>
  <c r="Y132" i="44"/>
  <c r="AB109" i="44"/>
  <c r="AC109" i="44" s="1"/>
  <c r="AD109" i="44" s="1"/>
  <c r="AE109" i="44" s="1"/>
  <c r="AF109" i="44" s="1"/>
  <c r="AG109" i="44" s="1"/>
  <c r="AH109" i="44" s="1"/>
  <c r="AI109" i="44" s="1"/>
  <c r="AJ109" i="44" s="1"/>
  <c r="AK109" i="44" s="1"/>
  <c r="AL109" i="44" s="1"/>
  <c r="AB198" i="44"/>
  <c r="AC198" i="44" s="1"/>
  <c r="AD198" i="44" s="1"/>
  <c r="AE198" i="44" s="1"/>
  <c r="AF198" i="44" s="1"/>
  <c r="AG198" i="44" s="1"/>
  <c r="AH198" i="44" s="1"/>
  <c r="AI198" i="44" s="1"/>
  <c r="AJ198" i="44" s="1"/>
  <c r="AK198" i="44" s="1"/>
  <c r="AL198" i="44" s="1"/>
  <c r="AM198" i="44" s="1"/>
  <c r="AN198" i="44" s="1"/>
  <c r="AO198" i="44" s="1"/>
  <c r="AP198" i="44" s="1"/>
  <c r="AQ198" i="44" s="1"/>
  <c r="X199" i="44"/>
  <c r="X205" i="44" s="1"/>
  <c r="W185" i="44"/>
  <c r="AA186" i="44"/>
  <c r="AA150" i="44"/>
  <c r="AA97" i="44"/>
  <c r="Z115" i="44"/>
  <c r="Z185" i="44"/>
  <c r="V132" i="44"/>
  <c r="AB132" i="44"/>
  <c r="X150" i="44"/>
  <c r="Z187" i="44"/>
  <c r="AB203" i="44"/>
  <c r="Y168" i="44"/>
  <c r="V185" i="44"/>
  <c r="V204" i="44"/>
  <c r="O19" i="44"/>
  <c r="O55" i="44" s="1"/>
  <c r="P55" i="44"/>
  <c r="O22" i="44"/>
  <c r="O58" i="44" s="1"/>
  <c r="P58" i="44"/>
  <c r="S116" i="44"/>
  <c r="R18" i="44"/>
  <c r="S54" i="44"/>
  <c r="P17" i="44"/>
  <c r="Q53" i="44"/>
  <c r="Q98" i="44"/>
  <c r="P20" i="44"/>
  <c r="O20" i="44" s="1"/>
  <c r="O56" i="44" s="1"/>
  <c r="Q152" i="44"/>
  <c r="P57" i="44"/>
  <c r="Q56" i="44"/>
  <c r="AA188" i="44"/>
  <c r="AB20" i="44"/>
  <c r="AB56" i="44" s="1"/>
  <c r="AA152" i="44"/>
  <c r="AB19" i="44"/>
  <c r="AB55" i="44" s="1"/>
  <c r="AA55" i="44"/>
  <c r="U180" i="44"/>
  <c r="T180" i="44" s="1"/>
  <c r="S180" i="44" s="1"/>
  <c r="R180" i="44" s="1"/>
  <c r="Q180" i="44" s="1"/>
  <c r="Q186" i="44" s="1"/>
  <c r="V186" i="44"/>
  <c r="W186" i="44"/>
  <c r="T185" i="44"/>
  <c r="X167" i="44"/>
  <c r="W161" i="44"/>
  <c r="V161" i="44" s="1"/>
  <c r="U161" i="44" s="1"/>
  <c r="T161" i="44" s="1"/>
  <c r="S161" i="44" s="1"/>
  <c r="X169" i="44"/>
  <c r="Y167" i="44"/>
  <c r="X107" i="44"/>
  <c r="W107" i="44" s="1"/>
  <c r="Y115" i="44"/>
  <c r="Y95" i="44"/>
  <c r="V203" i="44"/>
  <c r="U197" i="44"/>
  <c r="T197" i="44" s="1"/>
  <c r="S197" i="44" s="1"/>
  <c r="R197" i="44" s="1"/>
  <c r="R203" i="44" s="1"/>
  <c r="W204" i="44"/>
  <c r="U198" i="44"/>
  <c r="T198" i="44" s="1"/>
  <c r="S198" i="44" s="1"/>
  <c r="AA151" i="44"/>
  <c r="V150" i="44"/>
  <c r="U144" i="44"/>
  <c r="T144" i="44" s="1"/>
  <c r="S144" i="44" s="1"/>
  <c r="R144" i="44" s="1"/>
  <c r="Q144" i="44" s="1"/>
  <c r="Q150" i="44" s="1"/>
  <c r="W150" i="44"/>
  <c r="X149" i="44"/>
  <c r="W133" i="44"/>
  <c r="T127" i="44"/>
  <c r="X114" i="44"/>
  <c r="Y114" i="44"/>
  <c r="AA96" i="44"/>
  <c r="W89" i="44"/>
  <c r="V89" i="44" s="1"/>
  <c r="X95" i="44"/>
  <c r="AA95" i="44"/>
  <c r="X97" i="44"/>
  <c r="W91" i="44"/>
  <c r="V91" i="44" s="1"/>
  <c r="U91" i="44" s="1"/>
  <c r="AC97" i="44"/>
  <c r="W96" i="44"/>
  <c r="V90" i="44"/>
  <c r="U90" i="44" s="1"/>
  <c r="Y96" i="44"/>
  <c r="X96" i="44"/>
  <c r="AB96" i="44"/>
  <c r="Q170" i="44"/>
  <c r="Q57" i="44"/>
  <c r="AC96" i="44"/>
  <c r="AD90" i="44"/>
  <c r="AE90" i="44" s="1"/>
  <c r="AD89" i="44"/>
  <c r="AC95" i="44"/>
  <c r="AD144" i="44"/>
  <c r="AD181" i="44"/>
  <c r="AE199" i="44"/>
  <c r="AF199" i="44" s="1"/>
  <c r="AG199" i="44" s="1"/>
  <c r="AH199" i="44" s="1"/>
  <c r="AI199" i="44" s="1"/>
  <c r="AJ199" i="44" s="1"/>
  <c r="AK199" i="44" s="1"/>
  <c r="AL199" i="44" s="1"/>
  <c r="AM199" i="44" s="1"/>
  <c r="AN199" i="44" s="1"/>
  <c r="AO199" i="44" s="1"/>
  <c r="AP199" i="44" s="1"/>
  <c r="AQ199" i="44" s="1"/>
  <c r="AC114" i="44"/>
  <c r="AD127" i="44"/>
  <c r="S162" i="44"/>
  <c r="T168" i="44"/>
  <c r="AB116" i="44"/>
  <c r="AC18" i="44"/>
  <c r="AB54" i="44"/>
  <c r="AD97" i="44"/>
  <c r="V125" i="44"/>
  <c r="W131" i="44"/>
  <c r="AE126" i="44"/>
  <c r="AF126" i="44" s="1"/>
  <c r="AG126" i="44" s="1"/>
  <c r="AH126" i="44" s="1"/>
  <c r="AI126" i="44" s="1"/>
  <c r="AJ126" i="44" s="1"/>
  <c r="AK126" i="44" s="1"/>
  <c r="AL126" i="44" s="1"/>
  <c r="AM126" i="44" s="1"/>
  <c r="AN126" i="44" s="1"/>
  <c r="AO126" i="44" s="1"/>
  <c r="U163" i="44"/>
  <c r="V169" i="44"/>
  <c r="AB133" i="44"/>
  <c r="X145" i="44"/>
  <c r="W145" i="44" s="1"/>
  <c r="V145" i="44" s="1"/>
  <c r="Y151" i="44"/>
  <c r="AB150" i="44"/>
  <c r="V181" i="44"/>
  <c r="W187" i="44"/>
  <c r="W168" i="44"/>
  <c r="Q210" i="44"/>
  <c r="AB95" i="44"/>
  <c r="AB97" i="44"/>
  <c r="AB114" i="44"/>
  <c r="X132" i="44"/>
  <c r="AB131" i="44"/>
  <c r="AC125" i="44"/>
  <c r="AD125" i="44" s="1"/>
  <c r="AE125" i="44" s="1"/>
  <c r="AF125" i="44" s="1"/>
  <c r="AG125" i="44" s="1"/>
  <c r="AH125" i="44" s="1"/>
  <c r="AI125" i="44" s="1"/>
  <c r="AJ125" i="44" s="1"/>
  <c r="AK125" i="44" s="1"/>
  <c r="AL125" i="44" s="1"/>
  <c r="AM125" i="44" s="1"/>
  <c r="AN125" i="44" s="1"/>
  <c r="AO125" i="44" s="1"/>
  <c r="AP125" i="44" s="1"/>
  <c r="AQ125" i="44" s="1"/>
  <c r="X168" i="44"/>
  <c r="AA169" i="44"/>
  <c r="AC161" i="44"/>
  <c r="AB210" i="44"/>
  <c r="AD180" i="44"/>
  <c r="AE180" i="44" s="1"/>
  <c r="AF180" i="44" s="1"/>
  <c r="AG180" i="44" s="1"/>
  <c r="AH180" i="44" s="1"/>
  <c r="AI180" i="44" s="1"/>
  <c r="AJ180" i="44" s="1"/>
  <c r="AK180" i="44" s="1"/>
  <c r="AL180" i="44" s="1"/>
  <c r="AM180" i="44" s="1"/>
  <c r="AN180" i="44" s="1"/>
  <c r="AO180" i="44" s="1"/>
  <c r="AP180" i="44" s="1"/>
  <c r="AQ180" i="44" s="1"/>
  <c r="T210" i="44"/>
  <c r="AC29" i="44"/>
  <c r="AA113" i="44"/>
  <c r="V109" i="44"/>
  <c r="W115" i="44"/>
  <c r="X131" i="44"/>
  <c r="Y210" i="44"/>
  <c r="AB22" i="44"/>
  <c r="AB98" i="44"/>
  <c r="AC17" i="44"/>
  <c r="AC205" i="44"/>
  <c r="T114" i="44"/>
  <c r="S108" i="44"/>
  <c r="R108" i="44" s="1"/>
  <c r="X187" i="44"/>
  <c r="AA116" i="44"/>
  <c r="AA54" i="44"/>
  <c r="U143" i="44"/>
  <c r="V149" i="44"/>
  <c r="W210" i="44"/>
  <c r="W203" i="44"/>
  <c r="AC210" i="44"/>
  <c r="AC197" i="44"/>
  <c r="AD197" i="44" s="1"/>
  <c r="AB23" i="44"/>
  <c r="AA59" i="44"/>
  <c r="W114" i="44"/>
  <c r="AA167" i="44"/>
  <c r="W169" i="44"/>
  <c r="S210" i="44"/>
  <c r="Y187" i="44"/>
  <c r="Z96" i="44"/>
  <c r="AB186" i="44"/>
  <c r="AB168" i="44"/>
  <c r="AD108" i="44"/>
  <c r="AE108" i="44" s="1"/>
  <c r="AF108" i="44" s="1"/>
  <c r="AG108" i="44" s="1"/>
  <c r="AH108" i="44" s="1"/>
  <c r="AI108" i="44" s="1"/>
  <c r="AJ108" i="44" s="1"/>
  <c r="AK108" i="44" s="1"/>
  <c r="AL108" i="44" s="1"/>
  <c r="AM108" i="44" s="1"/>
  <c r="AN108" i="44" s="1"/>
  <c r="V133" i="44"/>
  <c r="AB151" i="44"/>
  <c r="AB143" i="44"/>
  <c r="Y149" i="44"/>
  <c r="Y169" i="44"/>
  <c r="Y204" i="44"/>
  <c r="Y203" i="44"/>
  <c r="Z210" i="44"/>
  <c r="AC30" i="44"/>
  <c r="AB53" i="44"/>
  <c r="X59" i="44"/>
  <c r="AA132" i="44"/>
  <c r="X133" i="44"/>
  <c r="AA131" i="44"/>
  <c r="W149" i="44"/>
  <c r="S185" i="44"/>
  <c r="U210" i="44"/>
  <c r="AA203" i="44"/>
  <c r="R210" i="44"/>
  <c r="X204" i="44"/>
  <c r="AE97" i="44"/>
  <c r="U114" i="44"/>
  <c r="X115" i="44"/>
  <c r="U168" i="44"/>
  <c r="Q185" i="44"/>
  <c r="AA187" i="44"/>
  <c r="AD210" i="44"/>
  <c r="AC28" i="44"/>
  <c r="AA57" i="44"/>
  <c r="V114" i="44"/>
  <c r="AA133" i="44"/>
  <c r="Y150" i="44"/>
  <c r="V168" i="44"/>
  <c r="R185" i="44"/>
  <c r="X185" i="44"/>
  <c r="V210" i="44"/>
  <c r="X210" i="44"/>
  <c r="Z131" i="44"/>
  <c r="W132" i="44"/>
  <c r="Z133" i="44"/>
  <c r="U185" i="44"/>
  <c r="AA185" i="44"/>
  <c r="X186" i="44"/>
  <c r="AE210" i="44"/>
  <c r="AB205" i="44"/>
  <c r="X203" i="44"/>
  <c r="AE211" i="44" l="1"/>
  <c r="AG211" i="44"/>
  <c r="AA211" i="44"/>
  <c r="Z211" i="44"/>
  <c r="AB211" i="44"/>
  <c r="AD211" i="44"/>
  <c r="AF211" i="44"/>
  <c r="AC211" i="44"/>
  <c r="Z207" i="44"/>
  <c r="Z220" i="44" s="1"/>
  <c r="Z99" i="44"/>
  <c r="AC19" i="44"/>
  <c r="AC134" i="44" s="1"/>
  <c r="S132" i="44"/>
  <c r="T132" i="44"/>
  <c r="Z117" i="44"/>
  <c r="R186" i="44"/>
  <c r="Z171" i="44"/>
  <c r="Z218" i="44" s="1"/>
  <c r="AP97" i="44"/>
  <c r="AB204" i="44"/>
  <c r="T203" i="44"/>
  <c r="AG66" i="44"/>
  <c r="AN103" i="44"/>
  <c r="AM210" i="44"/>
  <c r="U186" i="44"/>
  <c r="V167" i="44"/>
  <c r="AP193" i="44"/>
  <c r="AH71" i="44"/>
  <c r="AI14" i="44"/>
  <c r="W167" i="44"/>
  <c r="S186" i="44"/>
  <c r="Z153" i="44"/>
  <c r="Z217" i="44" s="1"/>
  <c r="AI26" i="44"/>
  <c r="AJ26" i="44" s="1"/>
  <c r="AK26" i="44" s="1"/>
  <c r="AL26" i="44" s="1"/>
  <c r="AM26" i="44" s="1"/>
  <c r="AN26" i="44" s="1"/>
  <c r="AO26" i="44" s="1"/>
  <c r="AP26" i="44" s="1"/>
  <c r="AQ26" i="44" s="1"/>
  <c r="AN97" i="44"/>
  <c r="AO97" i="44"/>
  <c r="AP126" i="44"/>
  <c r="AQ97" i="44"/>
  <c r="AN163" i="44"/>
  <c r="AM109" i="44"/>
  <c r="AO108" i="44"/>
  <c r="T204" i="44"/>
  <c r="U204" i="44"/>
  <c r="AC20" i="44"/>
  <c r="AC152" i="44" s="1"/>
  <c r="AB134" i="44"/>
  <c r="AB135" i="44" s="1"/>
  <c r="AB216" i="44" s="1"/>
  <c r="AC204" i="44"/>
  <c r="S114" i="44"/>
  <c r="W206" i="44"/>
  <c r="V23" i="44"/>
  <c r="W59" i="44"/>
  <c r="AE96" i="44"/>
  <c r="AF90" i="44"/>
  <c r="AC21" i="44"/>
  <c r="AC170" i="44" s="1"/>
  <c r="AB57" i="44"/>
  <c r="AB152" i="44"/>
  <c r="AB115" i="44"/>
  <c r="AC113" i="44"/>
  <c r="AB169" i="44"/>
  <c r="V96" i="44"/>
  <c r="AA207" i="44"/>
  <c r="AA220" i="44" s="1"/>
  <c r="AA99" i="44"/>
  <c r="AA214" i="44" s="1"/>
  <c r="Q197" i="44"/>
  <c r="Q203" i="44" s="1"/>
  <c r="S203" i="44"/>
  <c r="W199" i="44"/>
  <c r="V199" i="44" s="1"/>
  <c r="V205" i="44" s="1"/>
  <c r="Z189" i="44"/>
  <c r="Z219" i="44" s="1"/>
  <c r="T186" i="44"/>
  <c r="U150" i="44"/>
  <c r="AA189" i="44"/>
  <c r="AA219" i="44" s="1"/>
  <c r="AA171" i="44"/>
  <c r="AA218" i="44" s="1"/>
  <c r="AA153" i="44"/>
  <c r="AA217" i="44" s="1"/>
  <c r="Q18" i="44"/>
  <c r="R54" i="44"/>
  <c r="R116" i="44"/>
  <c r="P53" i="44"/>
  <c r="O17" i="44"/>
  <c r="O53" i="44" s="1"/>
  <c r="P56" i="44"/>
  <c r="AA61" i="44"/>
  <c r="AA225" i="44" s="1"/>
  <c r="U203" i="44"/>
  <c r="R150" i="44"/>
  <c r="S150" i="44"/>
  <c r="W113" i="44"/>
  <c r="V107" i="44"/>
  <c r="X113" i="44"/>
  <c r="W95" i="44"/>
  <c r="X207" i="44"/>
  <c r="X220" i="44" s="1"/>
  <c r="R198" i="44"/>
  <c r="S204" i="44"/>
  <c r="T150" i="44"/>
  <c r="T133" i="44"/>
  <c r="S127" i="44"/>
  <c r="AA135" i="44"/>
  <c r="AA216" i="44" s="1"/>
  <c r="V97" i="44"/>
  <c r="W97" i="44"/>
  <c r="AD96" i="44"/>
  <c r="V95" i="44"/>
  <c r="U89" i="44"/>
  <c r="T90" i="44"/>
  <c r="U96" i="44"/>
  <c r="Z214" i="44"/>
  <c r="AC167" i="44"/>
  <c r="AD30" i="44"/>
  <c r="AB188" i="44"/>
  <c r="AB58" i="44"/>
  <c r="AC22" i="44"/>
  <c r="AB167" i="44"/>
  <c r="S167" i="44"/>
  <c r="R161" i="44"/>
  <c r="V115" i="44"/>
  <c r="U109" i="44"/>
  <c r="V151" i="44"/>
  <c r="U145" i="44"/>
  <c r="AD18" i="44"/>
  <c r="AC54" i="44"/>
  <c r="AC116" i="44"/>
  <c r="W151" i="44"/>
  <c r="AC23" i="44"/>
  <c r="AB59" i="44"/>
  <c r="AB206" i="44"/>
  <c r="T167" i="44"/>
  <c r="T163" i="44"/>
  <c r="U169" i="44"/>
  <c r="AD28" i="44"/>
  <c r="Q134" i="44"/>
  <c r="Q55" i="44"/>
  <c r="AC115" i="44"/>
  <c r="Q126" i="44"/>
  <c r="Q132" i="44" s="1"/>
  <c r="R132" i="44"/>
  <c r="U167" i="44"/>
  <c r="X151" i="44"/>
  <c r="AE181" i="44"/>
  <c r="AF181" i="44" s="1"/>
  <c r="AG181" i="44" s="1"/>
  <c r="Q188" i="44"/>
  <c r="Q58" i="44"/>
  <c r="R98" i="44"/>
  <c r="R53" i="44"/>
  <c r="AC143" i="44"/>
  <c r="AB149" i="44"/>
  <c r="AB185" i="44"/>
  <c r="Q108" i="44"/>
  <c r="Q114" i="44" s="1"/>
  <c r="R114" i="44"/>
  <c r="AC98" i="44"/>
  <c r="AC99" i="44" s="1"/>
  <c r="AC214" i="44" s="1"/>
  <c r="AD17" i="44"/>
  <c r="AC53" i="44"/>
  <c r="AD29" i="44"/>
  <c r="AD161" i="44"/>
  <c r="U181" i="44"/>
  <c r="V187" i="44"/>
  <c r="R57" i="44"/>
  <c r="R170" i="44"/>
  <c r="Y206" i="44"/>
  <c r="Y207" i="44" s="1"/>
  <c r="Y220" i="44" s="1"/>
  <c r="Y59" i="44"/>
  <c r="AD203" i="44"/>
  <c r="AE32" i="44"/>
  <c r="V131" i="44"/>
  <c r="U125" i="44"/>
  <c r="AE127" i="44"/>
  <c r="AF127" i="44" s="1"/>
  <c r="AG127" i="44" s="1"/>
  <c r="AE197" i="44"/>
  <c r="AF197" i="44" s="1"/>
  <c r="AG197" i="44" s="1"/>
  <c r="AH197" i="44" s="1"/>
  <c r="AI197" i="44" s="1"/>
  <c r="AJ197" i="44" s="1"/>
  <c r="AK197" i="44" s="1"/>
  <c r="AL197" i="44" s="1"/>
  <c r="AM197" i="44" s="1"/>
  <c r="AN197" i="44" s="1"/>
  <c r="AO197" i="44" s="1"/>
  <c r="AP197" i="44" s="1"/>
  <c r="AQ197" i="44" s="1"/>
  <c r="R162" i="44"/>
  <c r="S168" i="44"/>
  <c r="AB113" i="44"/>
  <c r="R152" i="44"/>
  <c r="R56" i="44"/>
  <c r="U97" i="44"/>
  <c r="T91" i="44"/>
  <c r="AC203" i="44"/>
  <c r="AA117" i="44"/>
  <c r="AE89" i="44"/>
  <c r="AD95" i="44"/>
  <c r="Z135" i="44"/>
  <c r="Z216" i="44" s="1"/>
  <c r="AB187" i="44"/>
  <c r="T143" i="44"/>
  <c r="U149" i="44"/>
  <c r="T116" i="44"/>
  <c r="T54" i="44"/>
  <c r="AB99" i="44"/>
  <c r="AB214" i="44" s="1"/>
  <c r="AE27" i="44"/>
  <c r="AE144" i="44"/>
  <c r="AF144" i="44" s="1"/>
  <c r="AG144" i="44" s="1"/>
  <c r="AD19" i="44" l="1"/>
  <c r="AB153" i="44"/>
  <c r="AB217" i="44" s="1"/>
  <c r="AC55" i="44"/>
  <c r="AA215" i="44"/>
  <c r="AA222" i="44" s="1"/>
  <c r="AA226" i="44" s="1"/>
  <c r="AA239" i="44" s="1"/>
  <c r="Z215" i="44"/>
  <c r="AN210" i="44"/>
  <c r="AH66" i="44"/>
  <c r="AO103" i="44"/>
  <c r="AB207" i="44"/>
  <c r="AB220" i="44" s="1"/>
  <c r="AQ193" i="44"/>
  <c r="AJ14" i="44"/>
  <c r="AI71" i="44"/>
  <c r="AH127" i="44"/>
  <c r="AH144" i="44"/>
  <c r="AC56" i="44"/>
  <c r="AF96" i="44"/>
  <c r="AG90" i="44"/>
  <c r="AB117" i="44"/>
  <c r="AH181" i="44"/>
  <c r="AO163" i="44"/>
  <c r="AP108" i="44"/>
  <c r="AQ126" i="44"/>
  <c r="AN109" i="44"/>
  <c r="AD21" i="44"/>
  <c r="AD170" i="44" s="1"/>
  <c r="AC57" i="44"/>
  <c r="AD20" i="44"/>
  <c r="AD152" i="44" s="1"/>
  <c r="AE113" i="44"/>
  <c r="AF27" i="44"/>
  <c r="AE205" i="44"/>
  <c r="AF32" i="44"/>
  <c r="U23" i="44"/>
  <c r="V206" i="44"/>
  <c r="V207" i="44" s="1"/>
  <c r="V220" i="44" s="1"/>
  <c r="V59" i="44"/>
  <c r="AE95" i="44"/>
  <c r="AF89" i="44"/>
  <c r="AC117" i="44"/>
  <c r="W205" i="44"/>
  <c r="W207" i="44" s="1"/>
  <c r="W220" i="44" s="1"/>
  <c r="AB171" i="44"/>
  <c r="AB218" i="44" s="1"/>
  <c r="U199" i="44"/>
  <c r="Q116" i="44"/>
  <c r="Q54" i="44"/>
  <c r="P18" i="44"/>
  <c r="AB61" i="44"/>
  <c r="AB225" i="44" s="1"/>
  <c r="U107" i="44"/>
  <c r="V113" i="44"/>
  <c r="Q198" i="44"/>
  <c r="Q204" i="44" s="1"/>
  <c r="R204" i="44"/>
  <c r="R127" i="44"/>
  <c r="S133" i="44"/>
  <c r="T89" i="44"/>
  <c r="U95" i="44"/>
  <c r="S90" i="44"/>
  <c r="T96" i="44"/>
  <c r="U116" i="44"/>
  <c r="U54" i="44"/>
  <c r="AC133" i="44"/>
  <c r="AC131" i="44"/>
  <c r="AC132" i="44"/>
  <c r="AE18" i="44"/>
  <c r="AF18" i="44" s="1"/>
  <c r="AG18" i="44" s="1"/>
  <c r="AD116" i="44"/>
  <c r="AD54" i="44"/>
  <c r="U151" i="44"/>
  <c r="T145" i="44"/>
  <c r="AC185" i="44"/>
  <c r="AC186" i="44"/>
  <c r="AC187" i="44"/>
  <c r="AD113" i="44"/>
  <c r="AD115" i="44"/>
  <c r="AD114" i="44"/>
  <c r="S57" i="44"/>
  <c r="S170" i="44"/>
  <c r="AD98" i="44"/>
  <c r="AD99" i="44" s="1"/>
  <c r="AD214" i="44" s="1"/>
  <c r="AD53" i="44"/>
  <c r="AE17" i="44"/>
  <c r="AF17" i="44" s="1"/>
  <c r="AG17" i="44" s="1"/>
  <c r="AD167" i="44"/>
  <c r="AE30" i="44"/>
  <c r="AF30" i="44" s="1"/>
  <c r="AG30" i="44" s="1"/>
  <c r="AA238" i="44"/>
  <c r="S143" i="44"/>
  <c r="T149" i="44"/>
  <c r="S53" i="44"/>
  <c r="S98" i="44"/>
  <c r="U115" i="44"/>
  <c r="T109" i="44"/>
  <c r="Q162" i="44"/>
  <c r="Q168" i="44" s="1"/>
  <c r="R168" i="44"/>
  <c r="AD204" i="44"/>
  <c r="AD205" i="44"/>
  <c r="T169" i="44"/>
  <c r="S163" i="44"/>
  <c r="S91" i="44"/>
  <c r="T97" i="44"/>
  <c r="AE161" i="44"/>
  <c r="AF161" i="44" s="1"/>
  <c r="AG161" i="44" s="1"/>
  <c r="AH161" i="44" s="1"/>
  <c r="AI161" i="44" s="1"/>
  <c r="AJ161" i="44" s="1"/>
  <c r="AK161" i="44" s="1"/>
  <c r="AL161" i="44" s="1"/>
  <c r="AM161" i="44" s="1"/>
  <c r="AN161" i="44" s="1"/>
  <c r="AO161" i="44" s="1"/>
  <c r="AP161" i="44" s="1"/>
  <c r="AQ161" i="44" s="1"/>
  <c r="AD143" i="44"/>
  <c r="AC149" i="44"/>
  <c r="AC206" i="44"/>
  <c r="AC207" i="44" s="1"/>
  <c r="AC220" i="44" s="1"/>
  <c r="AC59" i="44"/>
  <c r="AD23" i="44"/>
  <c r="T125" i="44"/>
  <c r="U131" i="44"/>
  <c r="AE29" i="44"/>
  <c r="AD22" i="44"/>
  <c r="AC58" i="44"/>
  <c r="AC188" i="44"/>
  <c r="AC168" i="44"/>
  <c r="AC169" i="44"/>
  <c r="S56" i="44"/>
  <c r="S152" i="44"/>
  <c r="AC151" i="44"/>
  <c r="AC150" i="44"/>
  <c r="AB189" i="44"/>
  <c r="AB219" i="44" s="1"/>
  <c r="AD134" i="44"/>
  <c r="AD55" i="44"/>
  <c r="AE19" i="44"/>
  <c r="AF19" i="44" s="1"/>
  <c r="AG19" i="44" s="1"/>
  <c r="T181" i="44"/>
  <c r="U187" i="44"/>
  <c r="R188" i="44"/>
  <c r="R58" i="44"/>
  <c r="R134" i="44"/>
  <c r="R55" i="44"/>
  <c r="AE28" i="44"/>
  <c r="R167" i="44"/>
  <c r="Q161" i="44"/>
  <c r="Q167" i="44" s="1"/>
  <c r="AC215" i="44" l="1"/>
  <c r="AB215" i="44"/>
  <c r="AB222" i="44" s="1"/>
  <c r="AB226" i="44" s="1"/>
  <c r="AB239" i="44" s="1"/>
  <c r="AE114" i="44"/>
  <c r="AE20" i="44"/>
  <c r="AF20" i="44" s="1"/>
  <c r="AG20" i="44" s="1"/>
  <c r="AG152" i="44" s="1"/>
  <c r="AI66" i="44"/>
  <c r="AP103" i="44"/>
  <c r="AO210" i="44"/>
  <c r="AK14" i="44"/>
  <c r="AJ71" i="44"/>
  <c r="AF203" i="44"/>
  <c r="AG32" i="44"/>
  <c r="AE115" i="44"/>
  <c r="AF95" i="44"/>
  <c r="AG89" i="44"/>
  <c r="AF113" i="44"/>
  <c r="AG27" i="44"/>
  <c r="AI181" i="44"/>
  <c r="AJ181" i="44" s="1"/>
  <c r="AI144" i="44"/>
  <c r="AJ144" i="44" s="1"/>
  <c r="AG134" i="44"/>
  <c r="AH19" i="44"/>
  <c r="AH30" i="44"/>
  <c r="AE21" i="44"/>
  <c r="AF21" i="44" s="1"/>
  <c r="AG21" i="44" s="1"/>
  <c r="AG116" i="44"/>
  <c r="AH18" i="44"/>
  <c r="AG98" i="44"/>
  <c r="AH17" i="44"/>
  <c r="AG53" i="44"/>
  <c r="AD57" i="44"/>
  <c r="AH90" i="44"/>
  <c r="AG96" i="44"/>
  <c r="AI127" i="44"/>
  <c r="AP163" i="44"/>
  <c r="AO109" i="44"/>
  <c r="AQ108" i="44"/>
  <c r="AD56" i="44"/>
  <c r="AF205" i="44"/>
  <c r="AF134" i="44"/>
  <c r="T199" i="44"/>
  <c r="U205" i="44"/>
  <c r="AE203" i="44"/>
  <c r="AE151" i="44"/>
  <c r="AF29" i="44"/>
  <c r="AF54" i="44"/>
  <c r="AF116" i="44"/>
  <c r="AE133" i="44"/>
  <c r="AF28" i="44"/>
  <c r="AF98" i="44"/>
  <c r="AF53" i="44"/>
  <c r="AE204" i="44"/>
  <c r="T23" i="44"/>
  <c r="U59" i="44"/>
  <c r="U206" i="44"/>
  <c r="AC61" i="44"/>
  <c r="AC62" i="44" s="1"/>
  <c r="AB62" i="44"/>
  <c r="P54" i="44"/>
  <c r="O18" i="44"/>
  <c r="O54" i="44" s="1"/>
  <c r="T107" i="44"/>
  <c r="U113" i="44"/>
  <c r="U117" i="44" s="1"/>
  <c r="U215" i="44" s="1"/>
  <c r="AC171" i="44"/>
  <c r="AC218" i="44" s="1"/>
  <c r="Q127" i="44"/>
  <c r="Q133" i="44" s="1"/>
  <c r="R133" i="44"/>
  <c r="S89" i="44"/>
  <c r="T95" i="44"/>
  <c r="R90" i="44"/>
  <c r="S96" i="44"/>
  <c r="AA240" i="44"/>
  <c r="AA227" i="44"/>
  <c r="AB238" i="44"/>
  <c r="AD151" i="44"/>
  <c r="AD150" i="44"/>
  <c r="AD132" i="44"/>
  <c r="AD133" i="44"/>
  <c r="AD131" i="44"/>
  <c r="AE55" i="44"/>
  <c r="AE134" i="44"/>
  <c r="AE143" i="44"/>
  <c r="AD149" i="44"/>
  <c r="S109" i="44"/>
  <c r="T115" i="44"/>
  <c r="AE167" i="44"/>
  <c r="T151" i="44"/>
  <c r="S145" i="44"/>
  <c r="AE23" i="44"/>
  <c r="AF23" i="44" s="1"/>
  <c r="AG23" i="44" s="1"/>
  <c r="AD206" i="44"/>
  <c r="AD207" i="44" s="1"/>
  <c r="AD220" i="44" s="1"/>
  <c r="AD59" i="44"/>
  <c r="R163" i="44"/>
  <c r="S169" i="44"/>
  <c r="S171" i="44" s="1"/>
  <c r="S218" i="44" s="1"/>
  <c r="AD168" i="44"/>
  <c r="AD169" i="44"/>
  <c r="V116" i="44"/>
  <c r="V117" i="44" s="1"/>
  <c r="V215" i="44" s="1"/>
  <c r="V54" i="44"/>
  <c r="S134" i="44"/>
  <c r="S55" i="44"/>
  <c r="AD185" i="44"/>
  <c r="AD186" i="44"/>
  <c r="AD187" i="44"/>
  <c r="AD117" i="44"/>
  <c r="AE116" i="44"/>
  <c r="AE54" i="44"/>
  <c r="T152" i="44"/>
  <c r="T56" i="44"/>
  <c r="T53" i="44"/>
  <c r="T98" i="44"/>
  <c r="T170" i="44"/>
  <c r="T171" i="44" s="1"/>
  <c r="T218" i="44" s="1"/>
  <c r="T57" i="44"/>
  <c r="AD188" i="44"/>
  <c r="AE22" i="44"/>
  <c r="AF22" i="44" s="1"/>
  <c r="AG22" i="44" s="1"/>
  <c r="AD58" i="44"/>
  <c r="AE98" i="44"/>
  <c r="AE99" i="44" s="1"/>
  <c r="AE214" i="44" s="1"/>
  <c r="AE53" i="44"/>
  <c r="AC135" i="44"/>
  <c r="AC216" i="44" s="1"/>
  <c r="S58" i="44"/>
  <c r="S188" i="44"/>
  <c r="S181" i="44"/>
  <c r="T187" i="44"/>
  <c r="S125" i="44"/>
  <c r="T131" i="44"/>
  <c r="AC153" i="44"/>
  <c r="AC217" i="44" s="1"/>
  <c r="S97" i="44"/>
  <c r="R91" i="44"/>
  <c r="S149" i="44"/>
  <c r="R143" i="44"/>
  <c r="AC189" i="44"/>
  <c r="AC219" i="44" s="1"/>
  <c r="AH20" i="44" l="1"/>
  <c r="AE152" i="44"/>
  <c r="AE56" i="44"/>
  <c r="AD215" i="44"/>
  <c r="AF57" i="44"/>
  <c r="AE57" i="44"/>
  <c r="AF170" i="44"/>
  <c r="AE170" i="44"/>
  <c r="AF152" i="44"/>
  <c r="AF99" i="44"/>
  <c r="AF214" i="44" s="1"/>
  <c r="AF204" i="44"/>
  <c r="AQ103" i="44"/>
  <c r="AP210" i="44"/>
  <c r="AJ66" i="44"/>
  <c r="AE117" i="44"/>
  <c r="AK71" i="44"/>
  <c r="AL14" i="44"/>
  <c r="AG28" i="44"/>
  <c r="AG185" i="44"/>
  <c r="AG186" i="44"/>
  <c r="AG187" i="44"/>
  <c r="AI30" i="44"/>
  <c r="AH116" i="44"/>
  <c r="AI18" i="44"/>
  <c r="AI20" i="44"/>
  <c r="AH152" i="44"/>
  <c r="AK144" i="44"/>
  <c r="AH27" i="44"/>
  <c r="AH54" i="44" s="1"/>
  <c r="AE150" i="44"/>
  <c r="AG188" i="44"/>
  <c r="AG58" i="44"/>
  <c r="AH22" i="44"/>
  <c r="AF115" i="44"/>
  <c r="AH98" i="44"/>
  <c r="AI17" i="44"/>
  <c r="AH53" i="44"/>
  <c r="AG170" i="44"/>
  <c r="AG57" i="44"/>
  <c r="AH21" i="44"/>
  <c r="AH89" i="44"/>
  <c r="AG95" i="44"/>
  <c r="AG99" i="44" s="1"/>
  <c r="AG214" i="44" s="1"/>
  <c r="AH32" i="44"/>
  <c r="AH134" i="44"/>
  <c r="AI19" i="44"/>
  <c r="AI90" i="44"/>
  <c r="AH96" i="44"/>
  <c r="AG54" i="44"/>
  <c r="AG206" i="44"/>
  <c r="AH23" i="44"/>
  <c r="AG59" i="44"/>
  <c r="AC225" i="44"/>
  <c r="AC238" i="44" s="1"/>
  <c r="AF114" i="44"/>
  <c r="AF151" i="44"/>
  <c r="AG29" i="44"/>
  <c r="AJ127" i="44"/>
  <c r="AG167" i="44"/>
  <c r="AG169" i="44"/>
  <c r="AG168" i="44"/>
  <c r="AK181" i="44"/>
  <c r="AQ163" i="44"/>
  <c r="AP109" i="44"/>
  <c r="AB223" i="44"/>
  <c r="AF55" i="44"/>
  <c r="AF168" i="44"/>
  <c r="AF169" i="44"/>
  <c r="AE149" i="44"/>
  <c r="AF143" i="44"/>
  <c r="AF185" i="44"/>
  <c r="AF186" i="44"/>
  <c r="AF187" i="44"/>
  <c r="AE132" i="44"/>
  <c r="AF58" i="44"/>
  <c r="AF188" i="44"/>
  <c r="AF56" i="44"/>
  <c r="T59" i="44"/>
  <c r="S23" i="44"/>
  <c r="T206" i="44"/>
  <c r="AE131" i="44"/>
  <c r="AF167" i="44"/>
  <c r="U207" i="44"/>
  <c r="U220" i="44" s="1"/>
  <c r="AF59" i="44"/>
  <c r="AF206" i="44"/>
  <c r="AF132" i="44"/>
  <c r="AF131" i="44"/>
  <c r="AF133" i="44"/>
  <c r="T205" i="44"/>
  <c r="S199" i="44"/>
  <c r="AD171" i="44"/>
  <c r="AD218" i="44" s="1"/>
  <c r="AD61" i="44"/>
  <c r="AD62" i="44" s="1"/>
  <c r="T153" i="44"/>
  <c r="T217" i="44" s="1"/>
  <c r="T99" i="44"/>
  <c r="T214" i="44" s="1"/>
  <c r="T113" i="44"/>
  <c r="T117" i="44" s="1"/>
  <c r="T215" i="44" s="1"/>
  <c r="S107" i="44"/>
  <c r="AD153" i="44"/>
  <c r="AD217" i="44" s="1"/>
  <c r="R89" i="44"/>
  <c r="S95" i="44"/>
  <c r="S99" i="44" s="1"/>
  <c r="S214" i="44" s="1"/>
  <c r="AA235" i="44"/>
  <c r="Q90" i="44"/>
  <c r="Q96" i="44" s="1"/>
  <c r="R96" i="44"/>
  <c r="AB227" i="44"/>
  <c r="T134" i="44"/>
  <c r="T135" i="44" s="1"/>
  <c r="T216" i="44" s="1"/>
  <c r="T55" i="44"/>
  <c r="R145" i="44"/>
  <c r="S151" i="44"/>
  <c r="S153" i="44" s="1"/>
  <c r="S217" i="44" s="1"/>
  <c r="R97" i="44"/>
  <c r="Q91" i="44"/>
  <c r="Q97" i="44" s="1"/>
  <c r="S187" i="44"/>
  <c r="S189" i="44" s="1"/>
  <c r="S219" i="44" s="1"/>
  <c r="R181" i="44"/>
  <c r="AC222" i="44"/>
  <c r="AD189" i="44"/>
  <c r="AD219" i="44" s="1"/>
  <c r="AE188" i="44"/>
  <c r="AE58" i="44"/>
  <c r="U152" i="44"/>
  <c r="U153" i="44" s="1"/>
  <c r="U217" i="44" s="1"/>
  <c r="U56" i="44"/>
  <c r="AE59" i="44"/>
  <c r="AE206" i="44"/>
  <c r="AE207" i="44" s="1"/>
  <c r="AE220" i="44" s="1"/>
  <c r="Q143" i="44"/>
  <c r="Q149" i="44" s="1"/>
  <c r="R149" i="44"/>
  <c r="R125" i="44"/>
  <c r="S131" i="44"/>
  <c r="S135" i="44" s="1"/>
  <c r="S216" i="44" s="1"/>
  <c r="W54" i="44"/>
  <c r="W116" i="44"/>
  <c r="W117" i="44" s="1"/>
  <c r="W215" i="44" s="1"/>
  <c r="S115" i="44"/>
  <c r="R109" i="44"/>
  <c r="AD135" i="44"/>
  <c r="AD216" i="44" s="1"/>
  <c r="AB240" i="44"/>
  <c r="R169" i="44"/>
  <c r="R171" i="44" s="1"/>
  <c r="R218" i="44" s="1"/>
  <c r="Q163" i="44"/>
  <c r="Q169" i="44" s="1"/>
  <c r="Q171" i="44" s="1"/>
  <c r="Q218" i="44" s="1"/>
  <c r="U98" i="44"/>
  <c r="U99" i="44" s="1"/>
  <c r="U214" i="44" s="1"/>
  <c r="U53" i="44"/>
  <c r="U170" i="44"/>
  <c r="U171" i="44" s="1"/>
  <c r="U218" i="44" s="1"/>
  <c r="U57" i="44"/>
  <c r="AE186" i="44"/>
  <c r="AE185" i="44"/>
  <c r="AE187" i="44"/>
  <c r="T188" i="44"/>
  <c r="T189" i="44" s="1"/>
  <c r="T219" i="44" s="1"/>
  <c r="T58" i="44"/>
  <c r="AE168" i="44"/>
  <c r="AE169" i="44"/>
  <c r="T207" i="44" l="1"/>
  <c r="T220" i="44" s="1"/>
  <c r="AB228" i="44"/>
  <c r="AE215" i="44"/>
  <c r="AE153" i="44"/>
  <c r="AE217" i="44" s="1"/>
  <c r="AF207" i="44"/>
  <c r="AF220" i="44" s="1"/>
  <c r="AE135" i="44"/>
  <c r="AE216" i="44" s="1"/>
  <c r="AG171" i="44"/>
  <c r="AG218" i="44" s="1"/>
  <c r="AF117" i="44"/>
  <c r="AQ210" i="44"/>
  <c r="AK66" i="44"/>
  <c r="AL71" i="44"/>
  <c r="AM14" i="44"/>
  <c r="AI116" i="44"/>
  <c r="AJ18" i="44"/>
  <c r="AI32" i="44"/>
  <c r="AL144" i="44"/>
  <c r="AL181" i="44"/>
  <c r="AH57" i="44"/>
  <c r="AI21" i="44"/>
  <c r="AH170" i="44"/>
  <c r="AH185" i="44"/>
  <c r="AH186" i="44"/>
  <c r="AH187" i="44"/>
  <c r="AF171" i="44"/>
  <c r="AF218" i="44" s="1"/>
  <c r="AF150" i="44"/>
  <c r="AG203" i="44"/>
  <c r="AG205" i="44"/>
  <c r="AG204" i="44"/>
  <c r="AG189" i="44"/>
  <c r="AG219" i="44" s="1"/>
  <c r="AH206" i="44"/>
  <c r="AI23" i="44"/>
  <c r="AH59" i="44"/>
  <c r="AF61" i="44"/>
  <c r="AF225" i="44" s="1"/>
  <c r="AJ90" i="44"/>
  <c r="AI96" i="44"/>
  <c r="AI98" i="44"/>
  <c r="AI53" i="44"/>
  <c r="AJ17" i="44"/>
  <c r="AI152" i="44"/>
  <c r="AJ20" i="44"/>
  <c r="AH167" i="44"/>
  <c r="AH168" i="44"/>
  <c r="AH169" i="44"/>
  <c r="AH28" i="44"/>
  <c r="AG55" i="44"/>
  <c r="AF149" i="44"/>
  <c r="AG143" i="44"/>
  <c r="AH143" i="44" s="1"/>
  <c r="AI143" i="44" s="1"/>
  <c r="AH29" i="44"/>
  <c r="AG56" i="44"/>
  <c r="AI134" i="44"/>
  <c r="AJ19" i="44"/>
  <c r="AG113" i="44"/>
  <c r="AG114" i="44"/>
  <c r="AG115" i="44"/>
  <c r="AH188" i="44"/>
  <c r="AH58" i="44"/>
  <c r="AI22" i="44"/>
  <c r="AK127" i="44"/>
  <c r="AI89" i="44"/>
  <c r="AH95" i="44"/>
  <c r="AH99" i="44" s="1"/>
  <c r="AH214" i="44" s="1"/>
  <c r="AI27" i="44"/>
  <c r="AI54" i="44" s="1"/>
  <c r="AJ30" i="44"/>
  <c r="AQ109" i="44"/>
  <c r="AE61" i="44"/>
  <c r="AE62" i="44" s="1"/>
  <c r="AF135" i="44"/>
  <c r="AF216" i="44" s="1"/>
  <c r="S205" i="44"/>
  <c r="R199" i="44"/>
  <c r="R23" i="44"/>
  <c r="S206" i="44"/>
  <c r="S59" i="44"/>
  <c r="AF189" i="44"/>
  <c r="AF219" i="44" s="1"/>
  <c r="AD225" i="44"/>
  <c r="AD238" i="44" s="1"/>
  <c r="AD222" i="44"/>
  <c r="AD226" i="44" s="1"/>
  <c r="AD239" i="44" s="1"/>
  <c r="R107" i="44"/>
  <c r="S113" i="44"/>
  <c r="S117" i="44" s="1"/>
  <c r="S215" i="44" s="1"/>
  <c r="AE171" i="44"/>
  <c r="AE218" i="44" s="1"/>
  <c r="Q89" i="44"/>
  <c r="Q95" i="44" s="1"/>
  <c r="Q99" i="44" s="1"/>
  <c r="Q214" i="44" s="1"/>
  <c r="R95" i="44"/>
  <c r="R99" i="44" s="1"/>
  <c r="R214" i="44" s="1"/>
  <c r="AB235" i="44"/>
  <c r="AE189" i="44"/>
  <c r="U134" i="44"/>
  <c r="U135" i="44" s="1"/>
  <c r="U216" i="44" s="1"/>
  <c r="U55" i="44"/>
  <c r="U188" i="44"/>
  <c r="U189" i="44" s="1"/>
  <c r="U219" i="44" s="1"/>
  <c r="U58" i="44"/>
  <c r="V152" i="44"/>
  <c r="V153" i="44" s="1"/>
  <c r="V217" i="44" s="1"/>
  <c r="V56" i="44"/>
  <c r="X116" i="44"/>
  <c r="X117" i="44" s="1"/>
  <c r="X215" i="44" s="1"/>
  <c r="X54" i="44"/>
  <c r="V57" i="44"/>
  <c r="V170" i="44"/>
  <c r="V171" i="44" s="1"/>
  <c r="V218" i="44" s="1"/>
  <c r="AC226" i="44"/>
  <c r="AC223" i="44"/>
  <c r="V98" i="44"/>
  <c r="V99" i="44" s="1"/>
  <c r="V214" i="44" s="1"/>
  <c r="V53" i="44"/>
  <c r="R115" i="44"/>
  <c r="Q109" i="44"/>
  <c r="Q115" i="44" s="1"/>
  <c r="R187" i="44"/>
  <c r="R189" i="44" s="1"/>
  <c r="R219" i="44" s="1"/>
  <c r="Q181" i="44"/>
  <c r="Q187" i="44" s="1"/>
  <c r="Q189" i="44" s="1"/>
  <c r="Q219" i="44" s="1"/>
  <c r="Q125" i="44"/>
  <c r="Q131" i="44" s="1"/>
  <c r="Q135" i="44" s="1"/>
  <c r="Q216" i="44" s="1"/>
  <c r="R131" i="44"/>
  <c r="R135" i="44" s="1"/>
  <c r="R216" i="44" s="1"/>
  <c r="R151" i="44"/>
  <c r="R153" i="44" s="1"/>
  <c r="R217" i="44" s="1"/>
  <c r="Q145" i="44"/>
  <c r="Q151" i="44" s="1"/>
  <c r="Q153" i="44" s="1"/>
  <c r="Q217" i="44" s="1"/>
  <c r="AF215" i="44" l="1"/>
  <c r="S207" i="44"/>
  <c r="S220" i="44" s="1"/>
  <c r="AG61" i="44"/>
  <c r="AG225" i="44" s="1"/>
  <c r="AL66" i="44"/>
  <c r="AF153" i="44"/>
  <c r="AF217" i="44" s="1"/>
  <c r="AF222" i="44" s="1"/>
  <c r="AF226" i="44" s="1"/>
  <c r="AF239" i="44" s="1"/>
  <c r="AM71" i="44"/>
  <c r="AN14" i="44"/>
  <c r="AE225" i="44"/>
  <c r="AE238" i="44" s="1"/>
  <c r="AK30" i="44"/>
  <c r="AJ89" i="44"/>
  <c r="AI95" i="44"/>
  <c r="AI99" i="44" s="1"/>
  <c r="AI214" i="44" s="1"/>
  <c r="AG117" i="44"/>
  <c r="AI28" i="44"/>
  <c r="AH55" i="44"/>
  <c r="AK20" i="44"/>
  <c r="AJ152" i="44"/>
  <c r="AK90" i="44"/>
  <c r="AJ96" i="44"/>
  <c r="AM181" i="44"/>
  <c r="AH113" i="44"/>
  <c r="AH114" i="44"/>
  <c r="AH115" i="44"/>
  <c r="AH203" i="44"/>
  <c r="AH205" i="44"/>
  <c r="AH204" i="44"/>
  <c r="AH189" i="44"/>
  <c r="AH219" i="44" s="1"/>
  <c r="AK18" i="44"/>
  <c r="AJ116" i="44"/>
  <c r="AG131" i="44"/>
  <c r="AG132" i="44"/>
  <c r="AG133" i="44"/>
  <c r="AF62" i="44"/>
  <c r="AI167" i="44"/>
  <c r="AI168" i="44"/>
  <c r="AI169" i="44"/>
  <c r="AL127" i="44"/>
  <c r="AG149" i="44"/>
  <c r="AG151" i="44"/>
  <c r="AG150" i="44"/>
  <c r="AJ53" i="44"/>
  <c r="AK17" i="44"/>
  <c r="AJ98" i="44"/>
  <c r="AG207" i="44"/>
  <c r="AG220" i="44" s="1"/>
  <c r="AM144" i="44"/>
  <c r="AI187" i="44"/>
  <c r="AI186" i="44"/>
  <c r="AI185" i="44"/>
  <c r="AI29" i="44"/>
  <c r="AH56" i="44"/>
  <c r="AJ27" i="44"/>
  <c r="AJ22" i="44"/>
  <c r="AI188" i="44"/>
  <c r="AI58" i="44"/>
  <c r="AJ134" i="44"/>
  <c r="AK19" i="44"/>
  <c r="AJ143" i="44"/>
  <c r="AH171" i="44"/>
  <c r="AH218" i="44" s="1"/>
  <c r="AJ23" i="44"/>
  <c r="AI206" i="44"/>
  <c r="AI59" i="44"/>
  <c r="AI170" i="44"/>
  <c r="AI57" i="44"/>
  <c r="AJ21" i="44"/>
  <c r="AJ32" i="44"/>
  <c r="AF238" i="44"/>
  <c r="R205" i="44"/>
  <c r="Q199" i="44"/>
  <c r="Q205" i="44" s="1"/>
  <c r="R206" i="44"/>
  <c r="R59" i="44"/>
  <c r="Q23" i="44"/>
  <c r="AD223" i="44"/>
  <c r="Q107" i="44"/>
  <c r="Q113" i="44" s="1"/>
  <c r="Q117" i="44" s="1"/>
  <c r="Q215" i="44" s="1"/>
  <c r="R113" i="44"/>
  <c r="R117" i="44" s="1"/>
  <c r="R215" i="44" s="1"/>
  <c r="W98" i="44"/>
  <c r="W99" i="44" s="1"/>
  <c r="W214" i="44" s="1"/>
  <c r="W53" i="44"/>
  <c r="V134" i="44"/>
  <c r="V135" i="44" s="1"/>
  <c r="V216" i="44" s="1"/>
  <c r="V55" i="44"/>
  <c r="AD227" i="44"/>
  <c r="AD240" i="44"/>
  <c r="W170" i="44"/>
  <c r="W171" i="44" s="1"/>
  <c r="W218" i="44" s="1"/>
  <c r="W57" i="44"/>
  <c r="V188" i="44"/>
  <c r="V189" i="44" s="1"/>
  <c r="V219" i="44" s="1"/>
  <c r="V58" i="44"/>
  <c r="AC239" i="44"/>
  <c r="AC240" i="44" s="1"/>
  <c r="AC227" i="44"/>
  <c r="Y116" i="44"/>
  <c r="Y117" i="44" s="1"/>
  <c r="Y54" i="44"/>
  <c r="W56" i="44"/>
  <c r="W152" i="44"/>
  <c r="W153" i="44" s="1"/>
  <c r="W217" i="44" s="1"/>
  <c r="AE219" i="44"/>
  <c r="AE222" i="44" s="1"/>
  <c r="AC228" i="44" l="1"/>
  <c r="Y215" i="44"/>
  <c r="AG215" i="44"/>
  <c r="AG62" i="44"/>
  <c r="AH61" i="44"/>
  <c r="AH62" i="44" s="1"/>
  <c r="AM66" i="44"/>
  <c r="AO14" i="44"/>
  <c r="AN71" i="44"/>
  <c r="AF223" i="44"/>
  <c r="AN181" i="44"/>
  <c r="AL30" i="44"/>
  <c r="AJ170" i="44"/>
  <c r="AJ57" i="44"/>
  <c r="AK21" i="44"/>
  <c r="AJ28" i="44"/>
  <c r="AI55" i="44"/>
  <c r="AJ169" i="44"/>
  <c r="AJ168" i="44"/>
  <c r="AJ167" i="44"/>
  <c r="AI203" i="44"/>
  <c r="AI205" i="44"/>
  <c r="AI204" i="44"/>
  <c r="AJ29" i="44"/>
  <c r="AI56" i="44"/>
  <c r="AN144" i="44"/>
  <c r="AI171" i="44"/>
  <c r="AI218" i="44" s="1"/>
  <c r="AL18" i="44"/>
  <c r="AK116" i="44"/>
  <c r="AH117" i="44"/>
  <c r="AH215" i="44" s="1"/>
  <c r="AL90" i="44"/>
  <c r="AK96" i="44"/>
  <c r="AH131" i="44"/>
  <c r="AH132" i="44"/>
  <c r="AH133" i="44"/>
  <c r="AJ186" i="44"/>
  <c r="AJ185" i="44"/>
  <c r="AJ187" i="44"/>
  <c r="AJ206" i="44"/>
  <c r="AJ59" i="44"/>
  <c r="AK23" i="44"/>
  <c r="AK27" i="44"/>
  <c r="AK54" i="44" s="1"/>
  <c r="AF240" i="44"/>
  <c r="AH149" i="44"/>
  <c r="AH151" i="44"/>
  <c r="AH150" i="44"/>
  <c r="AG153" i="44"/>
  <c r="AG217" i="44" s="1"/>
  <c r="AJ54" i="44"/>
  <c r="AG238" i="44"/>
  <c r="AF227" i="44"/>
  <c r="AK143" i="44"/>
  <c r="AK22" i="44"/>
  <c r="AJ58" i="44"/>
  <c r="AJ188" i="44"/>
  <c r="AI189" i="44"/>
  <c r="AI219" i="44" s="1"/>
  <c r="AG135" i="44"/>
  <c r="AG216" i="44" s="1"/>
  <c r="AK152" i="44"/>
  <c r="AL20" i="44"/>
  <c r="AK32" i="44"/>
  <c r="AL19" i="44"/>
  <c r="AK134" i="44"/>
  <c r="AI115" i="44"/>
  <c r="AI113" i="44"/>
  <c r="AI114" i="44"/>
  <c r="AL17" i="44"/>
  <c r="AK98" i="44"/>
  <c r="AK53" i="44"/>
  <c r="AM127" i="44"/>
  <c r="AH207" i="44"/>
  <c r="AH220" i="44" s="1"/>
  <c r="AK89" i="44"/>
  <c r="AJ95" i="44"/>
  <c r="AJ99" i="44" s="1"/>
  <c r="AJ214" i="44" s="1"/>
  <c r="Q206" i="44"/>
  <c r="Q207" i="44" s="1"/>
  <c r="Q220" i="44" s="1"/>
  <c r="P23" i="44"/>
  <c r="Q59" i="44"/>
  <c r="R207" i="44"/>
  <c r="R220" i="44" s="1"/>
  <c r="AD228" i="44"/>
  <c r="X152" i="44"/>
  <c r="X153" i="44" s="1"/>
  <c r="X217" i="44" s="1"/>
  <c r="X56" i="44"/>
  <c r="W134" i="44"/>
  <c r="W135" i="44" s="1"/>
  <c r="W216" i="44" s="1"/>
  <c r="W55" i="44"/>
  <c r="V61" i="44"/>
  <c r="X170" i="44"/>
  <c r="X171" i="44" s="1"/>
  <c r="X218" i="44" s="1"/>
  <c r="X57" i="44"/>
  <c r="X98" i="44"/>
  <c r="X99" i="44" s="1"/>
  <c r="X214" i="44" s="1"/>
  <c r="X53" i="44"/>
  <c r="AE226" i="44"/>
  <c r="AE223" i="44"/>
  <c r="AC235" i="44"/>
  <c r="W188" i="44"/>
  <c r="W189" i="44" s="1"/>
  <c r="W219" i="44" s="1"/>
  <c r="W58" i="44"/>
  <c r="AD235" i="44"/>
  <c r="AH225" i="44" l="1"/>
  <c r="AH238" i="44" s="1"/>
  <c r="AG222" i="44"/>
  <c r="AG226" i="44" s="1"/>
  <c r="AH153" i="44"/>
  <c r="AH217" i="44" s="1"/>
  <c r="AN66" i="44"/>
  <c r="AP14" i="44"/>
  <c r="AO71" i="44"/>
  <c r="AF235" i="44"/>
  <c r="AN127" i="44"/>
  <c r="AL152" i="44"/>
  <c r="AM20" i="44"/>
  <c r="AJ113" i="44"/>
  <c r="AJ115" i="44"/>
  <c r="AJ114" i="44"/>
  <c r="AO144" i="44"/>
  <c r="AI207" i="44"/>
  <c r="AI220" i="44" s="1"/>
  <c r="AK188" i="44"/>
  <c r="AK58" i="44"/>
  <c r="AL22" i="44"/>
  <c r="AK206" i="44"/>
  <c r="AK59" i="44"/>
  <c r="AL23" i="44"/>
  <c r="AI61" i="44"/>
  <c r="AK186" i="44"/>
  <c r="AK185" i="44"/>
  <c r="AK187" i="44"/>
  <c r="AM18" i="44"/>
  <c r="AL116" i="44"/>
  <c r="AK29" i="44"/>
  <c r="AJ56" i="44"/>
  <c r="AK28" i="44"/>
  <c r="AJ55" i="44"/>
  <c r="AM30" i="44"/>
  <c r="AL89" i="44"/>
  <c r="AK95" i="44"/>
  <c r="AK99" i="44" s="1"/>
  <c r="AK214" i="44" s="1"/>
  <c r="AM17" i="44"/>
  <c r="AL98" i="44"/>
  <c r="AL53" i="44"/>
  <c r="AM19" i="44"/>
  <c r="AL134" i="44"/>
  <c r="AL143" i="44"/>
  <c r="AH135" i="44"/>
  <c r="AH216" i="44" s="1"/>
  <c r="AI150" i="44"/>
  <c r="AI151" i="44"/>
  <c r="AI149" i="44"/>
  <c r="AI131" i="44"/>
  <c r="AI132" i="44"/>
  <c r="AI133" i="44"/>
  <c r="AK167" i="44"/>
  <c r="AK169" i="44"/>
  <c r="AK168" i="44"/>
  <c r="AK170" i="44"/>
  <c r="AK57" i="44"/>
  <c r="AL21" i="44"/>
  <c r="AJ203" i="44"/>
  <c r="AJ205" i="44"/>
  <c r="AJ204" i="44"/>
  <c r="AJ171" i="44"/>
  <c r="AJ218" i="44" s="1"/>
  <c r="AI117" i="44"/>
  <c r="AI215" i="44" s="1"/>
  <c r="AL32" i="44"/>
  <c r="AL27" i="44"/>
  <c r="AL54" i="44" s="1"/>
  <c r="AJ189" i="44"/>
  <c r="AJ219" i="44" s="1"/>
  <c r="AM90" i="44"/>
  <c r="AL96" i="44"/>
  <c r="AO181" i="44"/>
  <c r="O23" i="44"/>
  <c r="O59" i="44" s="1"/>
  <c r="O61" i="44" s="1"/>
  <c r="P59" i="44"/>
  <c r="P61" i="44" s="1"/>
  <c r="V225" i="44"/>
  <c r="Y56" i="44"/>
  <c r="Y152" i="44"/>
  <c r="Y153" i="44" s="1"/>
  <c r="Y217" i="44" s="1"/>
  <c r="Y53" i="44"/>
  <c r="Y98" i="44"/>
  <c r="Y99" i="44" s="1"/>
  <c r="Y214" i="44" s="1"/>
  <c r="X55" i="44"/>
  <c r="X134" i="44"/>
  <c r="X135" i="44" s="1"/>
  <c r="X216" i="44" s="1"/>
  <c r="AE239" i="44"/>
  <c r="AE227" i="44"/>
  <c r="X188" i="44"/>
  <c r="X189" i="44" s="1"/>
  <c r="X219" i="44" s="1"/>
  <c r="X58" i="44"/>
  <c r="Y170" i="44"/>
  <c r="Y171" i="44" s="1"/>
  <c r="Y218" i="44" s="1"/>
  <c r="Y57" i="44"/>
  <c r="AE240" i="44" l="1"/>
  <c r="AF228" i="44"/>
  <c r="AJ61" i="44"/>
  <c r="AJ62" i="44" s="1"/>
  <c r="AH222" i="44"/>
  <c r="AH226" i="44" s="1"/>
  <c r="AG223" i="44"/>
  <c r="AJ117" i="44"/>
  <c r="AJ215" i="44" s="1"/>
  <c r="AI153" i="44"/>
  <c r="AI217" i="44" s="1"/>
  <c r="AO66" i="44"/>
  <c r="AQ14" i="44"/>
  <c r="AQ71" i="44" s="1"/>
  <c r="AP71" i="44"/>
  <c r="AP181" i="44"/>
  <c r="AM143" i="44"/>
  <c r="AM98" i="44"/>
  <c r="AM53" i="44"/>
  <c r="AN17" i="44"/>
  <c r="AG239" i="44"/>
  <c r="AG240" i="44" s="1"/>
  <c r="AG227" i="44"/>
  <c r="AG228" i="44" s="1"/>
  <c r="AM32" i="44"/>
  <c r="AL28" i="44"/>
  <c r="AK55" i="44"/>
  <c r="AI225" i="44"/>
  <c r="AI62" i="44"/>
  <c r="AL58" i="44"/>
  <c r="AM22" i="44"/>
  <c r="AL188" i="44"/>
  <c r="AP144" i="44"/>
  <c r="AM96" i="44"/>
  <c r="AN90" i="44"/>
  <c r="AK204" i="44"/>
  <c r="AK203" i="44"/>
  <c r="AK205" i="44"/>
  <c r="AM89" i="44"/>
  <c r="AL95" i="44"/>
  <c r="AL99" i="44" s="1"/>
  <c r="AL214" i="44" s="1"/>
  <c r="AJ132" i="44"/>
  <c r="AJ131" i="44"/>
  <c r="AJ133" i="44"/>
  <c r="AM116" i="44"/>
  <c r="AN18" i="44"/>
  <c r="AM23" i="44"/>
  <c r="AL59" i="44"/>
  <c r="AL206" i="44"/>
  <c r="AJ207" i="44"/>
  <c r="AJ220" i="44" s="1"/>
  <c r="AK171" i="44"/>
  <c r="AK218" i="44" s="1"/>
  <c r="AN19" i="44"/>
  <c r="AM134" i="44"/>
  <c r="AL186" i="44"/>
  <c r="AL185" i="44"/>
  <c r="AL187" i="44"/>
  <c r="AO127" i="44"/>
  <c r="AM27" i="44"/>
  <c r="AM54" i="44" s="1"/>
  <c r="AL169" i="44"/>
  <c r="AL168" i="44"/>
  <c r="AL167" i="44"/>
  <c r="AJ151" i="44"/>
  <c r="AJ150" i="44"/>
  <c r="AJ149" i="44"/>
  <c r="AL57" i="44"/>
  <c r="AL170" i="44"/>
  <c r="AM21" i="44"/>
  <c r="AK114" i="44"/>
  <c r="AK115" i="44"/>
  <c r="AK113" i="44"/>
  <c r="AI135" i="44"/>
  <c r="AI216" i="44" s="1"/>
  <c r="AN30" i="44"/>
  <c r="AL29" i="44"/>
  <c r="AK56" i="44"/>
  <c r="AK189" i="44"/>
  <c r="AK219" i="44" s="1"/>
  <c r="AM152" i="44"/>
  <c r="AN20" i="44"/>
  <c r="AE235" i="44"/>
  <c r="V238" i="44"/>
  <c r="Y188" i="44"/>
  <c r="Y189" i="44" s="1"/>
  <c r="Y58" i="44"/>
  <c r="AE228" i="44"/>
  <c r="Y55" i="44"/>
  <c r="Y134" i="44"/>
  <c r="Y135" i="44" s="1"/>
  <c r="Y216" i="44" s="1"/>
  <c r="AJ225" i="44" l="1"/>
  <c r="AH223" i="44"/>
  <c r="AI222" i="44"/>
  <c r="AI226" i="44" s="1"/>
  <c r="AI239" i="44" s="1"/>
  <c r="AK117" i="44"/>
  <c r="AK215" i="44" s="1"/>
  <c r="AJ153" i="44"/>
  <c r="AJ217" i="44" s="1"/>
  <c r="AP66" i="44"/>
  <c r="AQ66" i="44"/>
  <c r="AO18" i="44"/>
  <c r="AN116" i="44"/>
  <c r="AM95" i="44"/>
  <c r="AM99" i="44" s="1"/>
  <c r="AM214" i="44" s="1"/>
  <c r="AN89" i="44"/>
  <c r="AN32" i="44"/>
  <c r="AI238" i="44"/>
  <c r="AL205" i="44"/>
  <c r="AL203" i="44"/>
  <c r="AL204" i="44"/>
  <c r="AP127" i="44"/>
  <c r="AQ181" i="44"/>
  <c r="AM29" i="44"/>
  <c r="AL56" i="44"/>
  <c r="AK207" i="44"/>
  <c r="AK220" i="44" s="1"/>
  <c r="AQ144" i="44"/>
  <c r="AK61" i="44"/>
  <c r="AN143" i="44"/>
  <c r="AH239" i="44"/>
  <c r="AH240" i="44" s="1"/>
  <c r="AH227" i="44"/>
  <c r="AH228" i="44" s="1"/>
  <c r="AN134" i="44"/>
  <c r="AO19" i="44"/>
  <c r="AN27" i="44"/>
  <c r="AN54" i="44" s="1"/>
  <c r="AM167" i="44"/>
  <c r="AM169" i="44"/>
  <c r="AM168" i="44"/>
  <c r="AL113" i="44"/>
  <c r="AL115" i="44"/>
  <c r="AL114" i="44"/>
  <c r="AJ135" i="44"/>
  <c r="AJ216" i="44" s="1"/>
  <c r="AM28" i="44"/>
  <c r="AL55" i="44"/>
  <c r="AG235" i="44"/>
  <c r="AN152" i="44"/>
  <c r="AO20" i="44"/>
  <c r="AK151" i="44"/>
  <c r="AK150" i="44"/>
  <c r="AK149" i="44"/>
  <c r="AL189" i="44"/>
  <c r="AL219" i="44" s="1"/>
  <c r="AM185" i="44"/>
  <c r="AM186" i="44"/>
  <c r="AM187" i="44"/>
  <c r="AO30" i="44"/>
  <c r="AN21" i="44"/>
  <c r="AM170" i="44"/>
  <c r="AM57" i="44"/>
  <c r="AL171" i="44"/>
  <c r="AL218" i="44" s="1"/>
  <c r="AM206" i="44"/>
  <c r="AM59" i="44"/>
  <c r="AN23" i="44"/>
  <c r="AO90" i="44"/>
  <c r="AN96" i="44"/>
  <c r="AM188" i="44"/>
  <c r="AM58" i="44"/>
  <c r="AN22" i="44"/>
  <c r="AK131" i="44"/>
  <c r="AK132" i="44"/>
  <c r="AK133" i="44"/>
  <c r="AO17" i="44"/>
  <c r="AN98" i="44"/>
  <c r="AN53" i="44"/>
  <c r="AJ238" i="44"/>
  <c r="Y219" i="44"/>
  <c r="AI223" i="44" l="1"/>
  <c r="AJ222" i="44"/>
  <c r="AJ226" i="44" s="1"/>
  <c r="AI240" i="44"/>
  <c r="AL61" i="44"/>
  <c r="AL62" i="44" s="1"/>
  <c r="AL117" i="44"/>
  <c r="AL215" i="44" s="1"/>
  <c r="AL207" i="44"/>
  <c r="AL220" i="44" s="1"/>
  <c r="AO89" i="44"/>
  <c r="AN95" i="44"/>
  <c r="AN99" i="44" s="1"/>
  <c r="AN214" i="44" s="1"/>
  <c r="AN28" i="44"/>
  <c r="AM55" i="44"/>
  <c r="AO143" i="44"/>
  <c r="AQ127" i="44"/>
  <c r="AP90" i="44"/>
  <c r="AO96" i="44"/>
  <c r="AK135" i="44"/>
  <c r="AK216" i="44" s="1"/>
  <c r="AN59" i="44"/>
  <c r="AN206" i="44"/>
  <c r="AO23" i="44"/>
  <c r="AO21" i="44"/>
  <c r="AN57" i="44"/>
  <c r="AN170" i="44"/>
  <c r="AO152" i="44"/>
  <c r="AP20" i="44"/>
  <c r="AL132" i="44"/>
  <c r="AL131" i="44"/>
  <c r="AL133" i="44"/>
  <c r="AO134" i="44"/>
  <c r="AP19" i="44"/>
  <c r="AK225" i="44"/>
  <c r="AK62" i="44"/>
  <c r="AN29" i="44"/>
  <c r="AM56" i="44"/>
  <c r="AL151" i="44"/>
  <c r="AL150" i="44"/>
  <c r="AL149" i="44"/>
  <c r="AN188" i="44"/>
  <c r="AO22" i="44"/>
  <c r="AN58" i="44"/>
  <c r="AM189" i="44"/>
  <c r="AM219" i="44" s="1"/>
  <c r="AP30" i="44"/>
  <c r="AO27" i="44"/>
  <c r="AO54" i="44" s="1"/>
  <c r="AO32" i="44"/>
  <c r="AO116" i="44"/>
  <c r="AP18" i="44"/>
  <c r="AN185" i="44"/>
  <c r="AN186" i="44"/>
  <c r="AN187" i="44"/>
  <c r="AM171" i="44"/>
  <c r="AM218" i="44" s="1"/>
  <c r="AP17" i="44"/>
  <c r="AO53" i="44"/>
  <c r="AO98" i="44"/>
  <c r="AN169" i="44"/>
  <c r="AN168" i="44"/>
  <c r="AN167" i="44"/>
  <c r="AK153" i="44"/>
  <c r="AK217" i="44" s="1"/>
  <c r="AM113" i="44"/>
  <c r="AM115" i="44"/>
  <c r="AM114" i="44"/>
  <c r="AH235" i="44"/>
  <c r="AI227" i="44"/>
  <c r="AI228" i="44" s="1"/>
  <c r="AM204" i="44"/>
  <c r="AM205" i="44"/>
  <c r="AM203" i="44"/>
  <c r="AL225" i="44" l="1"/>
  <c r="AL238" i="44" s="1"/>
  <c r="AJ223" i="44"/>
  <c r="AM61" i="44"/>
  <c r="AM225" i="44" s="1"/>
  <c r="AN171" i="44"/>
  <c r="AN218" i="44" s="1"/>
  <c r="AM117" i="44"/>
  <c r="AM215" i="44" s="1"/>
  <c r="AN189" i="44"/>
  <c r="AN219" i="44" s="1"/>
  <c r="AP32" i="44"/>
  <c r="AO168" i="44"/>
  <c r="AO167" i="44"/>
  <c r="AO169" i="44"/>
  <c r="AJ239" i="44"/>
  <c r="AJ240" i="44" s="1"/>
  <c r="AJ227" i="44"/>
  <c r="AJ228" i="44" s="1"/>
  <c r="AM151" i="44"/>
  <c r="AM150" i="44"/>
  <c r="AM149" i="44"/>
  <c r="AK222" i="44"/>
  <c r="AO28" i="44"/>
  <c r="AN55" i="44"/>
  <c r="AP98" i="44"/>
  <c r="AP53" i="44"/>
  <c r="AQ17" i="44"/>
  <c r="AL153" i="44"/>
  <c r="AL217" i="44" s="1"/>
  <c r="AL135" i="44"/>
  <c r="AL216" i="44" s="1"/>
  <c r="AM132" i="44"/>
  <c r="AM131" i="44"/>
  <c r="AM133" i="44"/>
  <c r="AO170" i="44"/>
  <c r="AP21" i="44"/>
  <c r="AO57" i="44"/>
  <c r="AN205" i="44"/>
  <c r="AN203" i="44"/>
  <c r="AN204" i="44"/>
  <c r="AO29" i="44"/>
  <c r="AN56" i="44"/>
  <c r="AK238" i="44"/>
  <c r="AP22" i="44"/>
  <c r="AO188" i="44"/>
  <c r="AO58" i="44"/>
  <c r="AP89" i="44"/>
  <c r="AO95" i="44"/>
  <c r="AO99" i="44" s="1"/>
  <c r="AO214" i="44" s="1"/>
  <c r="AQ30" i="44"/>
  <c r="AP27" i="44"/>
  <c r="AP116" i="44"/>
  <c r="AQ18" i="44"/>
  <c r="AN113" i="44"/>
  <c r="AN115" i="44"/>
  <c r="AN114" i="44"/>
  <c r="AO206" i="44"/>
  <c r="AO59" i="44"/>
  <c r="AP23" i="44"/>
  <c r="AM207" i="44"/>
  <c r="AM220" i="44" s="1"/>
  <c r="AO186" i="44"/>
  <c r="AO185" i="44"/>
  <c r="AO187" i="44"/>
  <c r="AQ19" i="44"/>
  <c r="AP134" i="44"/>
  <c r="AP152" i="44"/>
  <c r="AQ20" i="44"/>
  <c r="AQ90" i="44"/>
  <c r="AQ96" i="44" s="1"/>
  <c r="AP96" i="44"/>
  <c r="AP143" i="44"/>
  <c r="AI235" i="44"/>
  <c r="AM62" i="44" l="1"/>
  <c r="AN61" i="44"/>
  <c r="AN62" i="44" s="1"/>
  <c r="AM153" i="44"/>
  <c r="AM217" i="44" s="1"/>
  <c r="AN131" i="44"/>
  <c r="AN132" i="44"/>
  <c r="AN133" i="44"/>
  <c r="AN151" i="44"/>
  <c r="AN150" i="44"/>
  <c r="AN149" i="44"/>
  <c r="AQ98" i="44"/>
  <c r="AQ53" i="44"/>
  <c r="AP188" i="44"/>
  <c r="AP58" i="44"/>
  <c r="AQ22" i="44"/>
  <c r="AO113" i="44"/>
  <c r="AO114" i="44"/>
  <c r="AO115" i="44"/>
  <c r="AN207" i="44"/>
  <c r="AN220" i="44" s="1"/>
  <c r="AM135" i="44"/>
  <c r="AM216" i="44" s="1"/>
  <c r="AP28" i="44"/>
  <c r="AO55" i="44"/>
  <c r="AQ32" i="44"/>
  <c r="AQ152" i="44"/>
  <c r="AP167" i="44"/>
  <c r="AP168" i="44"/>
  <c r="AP169" i="44"/>
  <c r="AO171" i="44"/>
  <c r="AO218" i="44" s="1"/>
  <c r="AQ143" i="44"/>
  <c r="AQ27" i="44"/>
  <c r="AQ134" i="44"/>
  <c r="AJ235" i="44"/>
  <c r="AO189" i="44"/>
  <c r="AO219" i="44" s="1"/>
  <c r="AP186" i="44"/>
  <c r="AP185" i="44"/>
  <c r="AP187" i="44"/>
  <c r="AN117" i="44"/>
  <c r="AN215" i="44" s="1"/>
  <c r="AO204" i="44"/>
  <c r="AO205" i="44"/>
  <c r="AO203" i="44"/>
  <c r="AP206" i="44"/>
  <c r="AP59" i="44"/>
  <c r="AQ23" i="44"/>
  <c r="AQ116" i="44"/>
  <c r="AQ89" i="44"/>
  <c r="AQ95" i="44" s="1"/>
  <c r="AP95" i="44"/>
  <c r="AP99" i="44" s="1"/>
  <c r="AP214" i="44" s="1"/>
  <c r="AM238" i="44"/>
  <c r="AP54" i="44"/>
  <c r="AP29" i="44"/>
  <c r="AO56" i="44"/>
  <c r="AQ21" i="44"/>
  <c r="AP170" i="44"/>
  <c r="AP57" i="44"/>
  <c r="AL222" i="44"/>
  <c r="AK226" i="44"/>
  <c r="AK223" i="44"/>
  <c r="AN225" i="44" l="1"/>
  <c r="AN238" i="44" s="1"/>
  <c r="AM222" i="44"/>
  <c r="AM226" i="44" s="1"/>
  <c r="AQ54" i="44"/>
  <c r="AP189" i="44"/>
  <c r="AP219" i="44" s="1"/>
  <c r="AL226" i="44"/>
  <c r="AL223" i="44"/>
  <c r="AQ188" i="44"/>
  <c r="AQ58" i="44"/>
  <c r="AQ204" i="44"/>
  <c r="AQ205" i="44"/>
  <c r="AQ203" i="44"/>
  <c r="AP204" i="44"/>
  <c r="AP203" i="44"/>
  <c r="AP205" i="44"/>
  <c r="AQ206" i="44"/>
  <c r="AQ59" i="44"/>
  <c r="AQ170" i="44"/>
  <c r="AQ57" i="44"/>
  <c r="AQ168" i="44"/>
  <c r="AQ167" i="44"/>
  <c r="AQ169" i="44"/>
  <c r="AP114" i="44"/>
  <c r="AP115" i="44"/>
  <c r="AP113" i="44"/>
  <c r="AO61" i="44"/>
  <c r="AQ29" i="44"/>
  <c r="AP56" i="44"/>
  <c r="AQ186" i="44"/>
  <c r="AQ185" i="44"/>
  <c r="AQ187" i="44"/>
  <c r="AQ113" i="44"/>
  <c r="AQ114" i="44"/>
  <c r="AQ115" i="44"/>
  <c r="AP171" i="44"/>
  <c r="AP218" i="44" s="1"/>
  <c r="AQ28" i="44"/>
  <c r="AP55" i="44"/>
  <c r="AQ99" i="44"/>
  <c r="AQ214" i="44" s="1"/>
  <c r="AN135" i="44"/>
  <c r="AN216" i="44" s="1"/>
  <c r="AK239" i="44"/>
  <c r="AK240" i="44" s="1"/>
  <c r="AK227" i="44"/>
  <c r="AK228" i="44" s="1"/>
  <c r="AO151" i="44"/>
  <c r="AO150" i="44"/>
  <c r="AO149" i="44"/>
  <c r="AO207" i="44"/>
  <c r="AO220" i="44" s="1"/>
  <c r="AO132" i="44"/>
  <c r="AO131" i="44"/>
  <c r="AO133" i="44"/>
  <c r="AO117" i="44"/>
  <c r="AO215" i="44" s="1"/>
  <c r="AN153" i="44"/>
  <c r="AN217" i="44" s="1"/>
  <c r="AP61" i="44" l="1"/>
  <c r="AP225" i="44" s="1"/>
  <c r="AM223" i="44"/>
  <c r="AN222" i="44"/>
  <c r="AN226" i="44" s="1"/>
  <c r="AP117" i="44"/>
  <c r="AP215" i="44" s="1"/>
  <c r="AQ117" i="44"/>
  <c r="AQ215" i="44" s="1"/>
  <c r="AK235" i="44"/>
  <c r="AQ56" i="44"/>
  <c r="AO135" i="44"/>
  <c r="AO216" i="44" s="1"/>
  <c r="AP151" i="44"/>
  <c r="AP150" i="44"/>
  <c r="AP149" i="44"/>
  <c r="AQ207" i="44"/>
  <c r="AQ220" i="44" s="1"/>
  <c r="AQ55" i="44"/>
  <c r="AP207" i="44"/>
  <c r="AP220" i="44" s="1"/>
  <c r="AP131" i="44"/>
  <c r="AP132" i="44"/>
  <c r="AP133" i="44"/>
  <c r="AO153" i="44"/>
  <c r="AO217" i="44" s="1"/>
  <c r="AQ189" i="44"/>
  <c r="AQ219" i="44" s="1"/>
  <c r="AQ171" i="44"/>
  <c r="AQ218" i="44" s="1"/>
  <c r="AL239" i="44"/>
  <c r="AL240" i="44" s="1"/>
  <c r="AL227" i="44"/>
  <c r="AL228" i="44" s="1"/>
  <c r="AO62" i="44"/>
  <c r="AO225" i="44"/>
  <c r="AM239" i="44"/>
  <c r="AM240" i="44" s="1"/>
  <c r="AM227" i="44"/>
  <c r="AP62" i="44" l="1"/>
  <c r="AP153" i="44"/>
  <c r="AP217" i="44" s="1"/>
  <c r="AN223" i="44"/>
  <c r="AL235" i="44"/>
  <c r="AP135" i="44"/>
  <c r="AP216" i="44" s="1"/>
  <c r="AQ151" i="44"/>
  <c r="AQ150" i="44"/>
  <c r="AQ149" i="44"/>
  <c r="AM228" i="44"/>
  <c r="AM235" i="44"/>
  <c r="AQ61" i="44"/>
  <c r="AO238" i="44"/>
  <c r="AO222" i="44"/>
  <c r="AQ131" i="44"/>
  <c r="AQ132" i="44"/>
  <c r="AQ133" i="44"/>
  <c r="AN239" i="44"/>
  <c r="AN240" i="44" s="1"/>
  <c r="AN227" i="44"/>
  <c r="AN228" i="44" s="1"/>
  <c r="AP238" i="44"/>
  <c r="DN52" i="13"/>
  <c r="CP221" i="1"/>
  <c r="CP220" i="1"/>
  <c r="CU221" i="1"/>
  <c r="CU220" i="1"/>
  <c r="DE221" i="1"/>
  <c r="CZ221" i="1"/>
  <c r="CZ220" i="1"/>
  <c r="DE220" i="1"/>
  <c r="AP222" i="44" l="1"/>
  <c r="AP226" i="44" s="1"/>
  <c r="AQ153" i="44"/>
  <c r="AQ217" i="44" s="1"/>
  <c r="AQ225" i="44"/>
  <c r="AQ62" i="44"/>
  <c r="AO226" i="44"/>
  <c r="AO223" i="44"/>
  <c r="AN235" i="44"/>
  <c r="AQ135" i="44"/>
  <c r="AQ216" i="44" s="1"/>
  <c r="DF218" i="1"/>
  <c r="DG218" i="1" s="1"/>
  <c r="AP223" i="44" l="1"/>
  <c r="AQ222" i="44"/>
  <c r="AQ226" i="44" s="1"/>
  <c r="AQ239" i="44" s="1"/>
  <c r="AQ238" i="44"/>
  <c r="AO239" i="44"/>
  <c r="AO240" i="44" s="1"/>
  <c r="AO227" i="44"/>
  <c r="AO228" i="44" s="1"/>
  <c r="AP239" i="44"/>
  <c r="AP240" i="44" s="1"/>
  <c r="AP227" i="44"/>
  <c r="DH218" i="1"/>
  <c r="CQ17" i="13"/>
  <c r="DV63" i="11"/>
  <c r="DU63" i="11"/>
  <c r="DN63" i="11"/>
  <c r="DM63" i="11"/>
  <c r="DL63" i="11"/>
  <c r="DK63" i="11"/>
  <c r="AQ223" i="44" l="1"/>
  <c r="AQ227" i="44"/>
  <c r="AQ228" i="44" s="1"/>
  <c r="AP228" i="44"/>
  <c r="AO235" i="44"/>
  <c r="AP235" i="44"/>
  <c r="AQ240" i="44"/>
  <c r="DI218" i="1"/>
  <c r="AQ235" i="44" l="1"/>
  <c r="CN40" i="1"/>
  <c r="CN44" i="1"/>
  <c r="DA171" i="1" l="1"/>
  <c r="BY8" i="16" l="1"/>
  <c r="BX8" i="16"/>
  <c r="BY7" i="16"/>
  <c r="BX7" i="16"/>
  <c r="BW7" i="16"/>
  <c r="CE8" i="16"/>
  <c r="CD8" i="16"/>
  <c r="CC8" i="16"/>
  <c r="CE7" i="16"/>
  <c r="CD7" i="16"/>
  <c r="CC7" i="16"/>
  <c r="CB7" i="16"/>
  <c r="CG8" i="16"/>
  <c r="BK139" i="39"/>
  <c r="CX10" i="11" l="1"/>
  <c r="CW10" i="11"/>
  <c r="CV10" i="11"/>
  <c r="CS10" i="11"/>
  <c r="CR10" i="11"/>
  <c r="CQ10" i="11"/>
  <c r="CN10" i="11"/>
  <c r="CM10" i="11"/>
  <c r="CL10" i="11"/>
  <c r="DC10" i="11"/>
  <c r="DB10" i="11"/>
  <c r="DA10" i="11"/>
  <c r="DJ10" i="39"/>
  <c r="DC7" i="16"/>
  <c r="DH33" i="16" s="1"/>
  <c r="DB7" i="16"/>
  <c r="DA7" i="16"/>
  <c r="CX7" i="16"/>
  <c r="CW7" i="16"/>
  <c r="CV7" i="16"/>
  <c r="CS7" i="16"/>
  <c r="CR7" i="16"/>
  <c r="CQ7" i="16"/>
  <c r="CN7" i="16"/>
  <c r="CM7" i="16"/>
  <c r="CL7" i="16"/>
  <c r="DE75" i="39"/>
  <c r="DC75" i="39"/>
  <c r="DB75" i="39"/>
  <c r="DG101" i="39" s="1"/>
  <c r="DA75" i="39"/>
  <c r="DF101" i="39" s="1"/>
  <c r="DE74" i="39"/>
  <c r="CY156" i="1"/>
  <c r="CP74" i="39"/>
  <c r="CU74" i="39"/>
  <c r="CZ74" i="39"/>
  <c r="CH8" i="16"/>
  <c r="CI8" i="16"/>
  <c r="CJ8" i="16"/>
  <c r="DE71" i="39"/>
  <c r="DG33" i="16" l="1"/>
  <c r="DA170" i="1"/>
  <c r="DA172" i="1" s="1"/>
  <c r="DG170" i="1"/>
  <c r="DF33" i="16"/>
  <c r="DD170" i="1"/>
  <c r="DO10" i="39"/>
  <c r="DT10" i="39" s="1"/>
  <c r="DC170" i="1"/>
  <c r="DB170" i="1"/>
  <c r="DK71" i="39" l="1"/>
  <c r="DK91" i="39" s="1"/>
  <c r="DH71" i="39"/>
  <c r="DM7" i="16"/>
  <c r="CK8" i="16"/>
  <c r="CI7" i="16"/>
  <c r="CH7" i="16"/>
  <c r="CG7" i="16"/>
  <c r="DV36" i="13"/>
  <c r="DV7" i="13"/>
  <c r="DV76" i="12"/>
  <c r="DV77" i="12" s="1"/>
  <c r="DV104" i="16"/>
  <c r="DV103" i="16"/>
  <c r="DV96" i="16"/>
  <c r="DV95" i="16"/>
  <c r="DV30" i="16"/>
  <c r="DV23" i="16"/>
  <c r="DE67" i="16"/>
  <c r="DC67" i="16"/>
  <c r="DB67" i="16"/>
  <c r="DA67" i="16"/>
  <c r="DB114" i="16" l="1"/>
  <c r="DC114" i="16"/>
  <c r="DL71" i="39"/>
  <c r="DL92" i="39" s="1"/>
  <c r="DL51" i="16"/>
  <c r="DQ7" i="16"/>
  <c r="DM71" i="39"/>
  <c r="DM91" i="39" s="1"/>
  <c r="DM51" i="16"/>
  <c r="DR7" i="16"/>
  <c r="DK92" i="39"/>
  <c r="DH91" i="39"/>
  <c r="DH97" i="39"/>
  <c r="DH92" i="39"/>
  <c r="DU10" i="39"/>
  <c r="DV10" i="39" s="1"/>
  <c r="CP202" i="1"/>
  <c r="CU54" i="11"/>
  <c r="CU202" i="1"/>
  <c r="CP54" i="11"/>
  <c r="BX11" i="16"/>
  <c r="BY11" i="16"/>
  <c r="CC11" i="16"/>
  <c r="CF7" i="16"/>
  <c r="CD11" i="16"/>
  <c r="CE11" i="16"/>
  <c r="CG11" i="16"/>
  <c r="CH11" i="16"/>
  <c r="CI11" i="16"/>
  <c r="DV106" i="16"/>
  <c r="DV54" i="13"/>
  <c r="DL91" i="39" l="1"/>
  <c r="DR63" i="16"/>
  <c r="DR51" i="16"/>
  <c r="DR71" i="39"/>
  <c r="DR39" i="16"/>
  <c r="DM97" i="39"/>
  <c r="DQ71" i="39"/>
  <c r="DQ63" i="16"/>
  <c r="DQ39" i="16"/>
  <c r="DM92" i="39"/>
  <c r="DO46" i="11"/>
  <c r="DO45" i="11"/>
  <c r="DO44" i="11"/>
  <c r="DO43" i="11"/>
  <c r="DO42" i="11"/>
  <c r="DO41" i="11"/>
  <c r="DO40" i="11"/>
  <c r="DO39" i="11"/>
  <c r="DJ39" i="11"/>
  <c r="DJ40" i="11"/>
  <c r="DJ41" i="11"/>
  <c r="DJ42" i="11"/>
  <c r="DJ43" i="11"/>
  <c r="DJ44" i="11"/>
  <c r="DJ45" i="11"/>
  <c r="DJ46" i="11"/>
  <c r="DO25" i="11"/>
  <c r="DJ25" i="11"/>
  <c r="DR92" i="39" l="1"/>
  <c r="DR91" i="39"/>
  <c r="DR97" i="39"/>
  <c r="DQ91" i="39"/>
  <c r="DQ97" i="39"/>
  <c r="DQ92" i="39"/>
  <c r="DR110" i="16"/>
  <c r="DO26" i="13"/>
  <c r="DO35" i="13"/>
  <c r="DO34" i="13"/>
  <c r="DO33" i="13"/>
  <c r="DO32" i="13"/>
  <c r="DO31" i="13"/>
  <c r="DO30" i="13"/>
  <c r="DO29" i="13"/>
  <c r="DO28" i="13"/>
  <c r="DO27" i="13"/>
  <c r="DO44" i="13"/>
  <c r="DO43" i="13"/>
  <c r="DO41" i="13"/>
  <c r="DO40" i="13"/>
  <c r="DO39" i="13"/>
  <c r="DO38" i="13"/>
  <c r="DO37" i="13"/>
  <c r="DO25" i="13"/>
  <c r="DO16" i="13"/>
  <c r="DO15" i="13"/>
  <c r="DO14" i="13"/>
  <c r="DO13" i="13"/>
  <c r="DO12" i="13"/>
  <c r="DO11" i="13"/>
  <c r="DO10" i="13"/>
  <c r="DO9" i="13"/>
  <c r="DU7" i="13"/>
  <c r="DN7" i="13"/>
  <c r="DM7" i="13"/>
  <c r="DO8" i="13"/>
  <c r="DO23" i="11"/>
  <c r="DO21" i="11"/>
  <c r="CP47" i="11"/>
  <c r="CU46" i="11"/>
  <c r="CT45" i="11"/>
  <c r="CT44" i="11"/>
  <c r="CT43" i="11"/>
  <c r="CT42" i="11"/>
  <c r="CT41" i="11"/>
  <c r="CT40" i="11"/>
  <c r="CT39" i="11"/>
  <c r="CP25" i="11"/>
  <c r="CU25" i="11"/>
  <c r="CO32" i="1"/>
  <c r="CT32" i="1"/>
  <c r="CR46" i="11"/>
  <c r="CQ46" i="11"/>
  <c r="CR25" i="11"/>
  <c r="CS25" i="11"/>
  <c r="CM25" i="11"/>
  <c r="CN25" i="11"/>
  <c r="CL25" i="11"/>
  <c r="CQ25" i="11"/>
  <c r="CZ46" i="11"/>
  <c r="CZ25" i="11"/>
  <c r="CY44" i="11"/>
  <c r="CY43" i="11"/>
  <c r="CY42" i="11"/>
  <c r="CY41" i="11"/>
  <c r="CY40" i="11"/>
  <c r="CY39" i="11"/>
  <c r="DD45" i="11"/>
  <c r="DD44" i="11"/>
  <c r="DD43" i="11"/>
  <c r="DD42" i="11"/>
  <c r="DD41" i="11"/>
  <c r="DD40" i="11"/>
  <c r="DD39" i="11"/>
  <c r="DE25" i="11"/>
  <c r="DD32" i="1"/>
  <c r="CY32" i="1"/>
  <c r="DB25" i="11"/>
  <c r="CW25" i="11"/>
  <c r="CV45" i="11"/>
  <c r="CY45" i="11" s="1"/>
  <c r="CV46" i="11"/>
  <c r="CV25" i="11"/>
  <c r="DA25" i="11"/>
  <c r="DC25" i="11"/>
  <c r="CX25" i="11"/>
  <c r="DC8" i="11"/>
  <c r="DC13" i="11"/>
  <c r="B38" i="11"/>
  <c r="CO47" i="11" l="1"/>
  <c r="DO7" i="13"/>
  <c r="DO63" i="11"/>
  <c r="DO36" i="13"/>
  <c r="CY46" i="11"/>
  <c r="CT46" i="11"/>
  <c r="DD25" i="11"/>
  <c r="CO25" i="11"/>
  <c r="CT25" i="11"/>
  <c r="CY25" i="11"/>
  <c r="DJ71" i="11" l="1"/>
  <c r="DO71" i="11" s="1"/>
  <c r="DU71" i="11" s="1"/>
  <c r="DV71" i="11" s="1"/>
  <c r="DB8" i="11" l="1"/>
  <c r="DA8" i="11"/>
  <c r="DC63" i="16" l="1"/>
  <c r="DC64" i="16"/>
  <c r="DC84" i="16" l="1"/>
  <c r="DG71" i="39"/>
  <c r="DL97" i="39" s="1"/>
  <c r="DG92" i="39" l="1"/>
  <c r="DG91" i="39"/>
  <c r="DG97" i="39"/>
  <c r="DN113" i="16" l="1"/>
  <c r="DM113" i="16"/>
  <c r="DL113" i="16"/>
  <c r="DK113" i="16"/>
  <c r="DN112" i="16"/>
  <c r="DM112" i="16"/>
  <c r="DL112" i="16"/>
  <c r="DK112" i="16"/>
  <c r="DN104" i="16"/>
  <c r="DM104" i="16"/>
  <c r="DL104" i="16"/>
  <c r="DK104" i="16"/>
  <c r="DN103" i="16"/>
  <c r="DM103" i="16"/>
  <c r="DL103" i="16"/>
  <c r="DK103" i="16"/>
  <c r="DM95" i="16"/>
  <c r="DL95" i="16"/>
  <c r="DM63" i="16"/>
  <c r="DM39" i="16"/>
  <c r="DL39" i="16"/>
  <c r="DK39" i="16"/>
  <c r="DN30" i="16"/>
  <c r="DM30" i="16"/>
  <c r="DL30" i="16"/>
  <c r="DK30" i="16"/>
  <c r="DN23" i="16"/>
  <c r="DM23" i="16"/>
  <c r="DL23" i="16"/>
  <c r="DK23" i="16"/>
  <c r="DA46" i="13"/>
  <c r="DB46" i="13" s="1"/>
  <c r="DA44" i="13"/>
  <c r="DB44" i="13" s="1"/>
  <c r="DC44" i="13" s="1"/>
  <c r="DA43" i="13"/>
  <c r="DA42" i="13"/>
  <c r="DA41" i="13"/>
  <c r="DA40" i="13"/>
  <c r="DA39" i="13"/>
  <c r="DB39" i="13" s="1"/>
  <c r="DC39" i="13" s="1"/>
  <c r="DA38" i="13"/>
  <c r="DB38" i="13" s="1"/>
  <c r="DC38" i="13" s="1"/>
  <c r="DD38" i="13" s="1"/>
  <c r="DA37" i="13"/>
  <c r="DA35" i="13"/>
  <c r="DB35" i="13" s="1"/>
  <c r="DA34" i="13"/>
  <c r="DB34" i="13" s="1"/>
  <c r="DC34" i="13" s="1"/>
  <c r="DD34" i="13" s="1"/>
  <c r="DA33" i="13"/>
  <c r="DB33" i="13" s="1"/>
  <c r="DC33" i="13" s="1"/>
  <c r="DD33" i="13" s="1"/>
  <c r="DA32" i="13"/>
  <c r="DA31" i="13"/>
  <c r="DA30" i="13"/>
  <c r="DB30" i="13" s="1"/>
  <c r="DA29" i="13"/>
  <c r="DA28" i="13"/>
  <c r="DA27" i="13"/>
  <c r="DA26" i="13"/>
  <c r="DA24" i="13"/>
  <c r="DB24" i="13" s="1"/>
  <c r="DA23" i="13"/>
  <c r="DB23" i="13" s="1"/>
  <c r="DC23" i="13" s="1"/>
  <c r="DA22" i="13"/>
  <c r="DB22" i="13" s="1"/>
  <c r="DC22" i="13" s="1"/>
  <c r="DD22" i="13" s="1"/>
  <c r="DA21" i="13"/>
  <c r="DA20" i="13"/>
  <c r="DA19" i="13"/>
  <c r="DB19" i="13" s="1"/>
  <c r="DA16" i="13"/>
  <c r="DA15" i="13"/>
  <c r="DA14" i="13"/>
  <c r="DA13" i="13"/>
  <c r="DB13" i="13" s="1"/>
  <c r="DA12" i="13"/>
  <c r="DB12" i="13" s="1"/>
  <c r="DA11" i="13"/>
  <c r="DB11" i="13" s="1"/>
  <c r="DC11" i="13" s="1"/>
  <c r="DA10" i="13"/>
  <c r="DB10" i="13" s="1"/>
  <c r="DC10" i="13" s="1"/>
  <c r="DD10" i="13" s="1"/>
  <c r="DA9" i="13"/>
  <c r="DA8" i="13"/>
  <c r="DA7" i="13"/>
  <c r="DB7" i="13" s="1"/>
  <c r="DA6" i="13"/>
  <c r="CV46" i="13"/>
  <c r="CW46" i="13" s="1"/>
  <c r="CV44" i="13"/>
  <c r="CW44" i="13" s="1"/>
  <c r="CV43" i="13"/>
  <c r="CV42" i="13"/>
  <c r="CV41" i="13"/>
  <c r="CV40" i="13"/>
  <c r="CV39" i="13"/>
  <c r="CW39" i="13" s="1"/>
  <c r="CV38" i="13"/>
  <c r="CW38" i="13" s="1"/>
  <c r="CX38" i="13" s="1"/>
  <c r="CY38" i="13" s="1"/>
  <c r="CV37" i="13"/>
  <c r="CV35" i="13"/>
  <c r="CW35" i="13" s="1"/>
  <c r="CV34" i="13"/>
  <c r="CW34" i="13" s="1"/>
  <c r="CV33" i="13"/>
  <c r="CW33" i="13" s="1"/>
  <c r="CX33" i="13" s="1"/>
  <c r="CY33" i="13" s="1"/>
  <c r="CV32" i="13"/>
  <c r="CV31" i="13"/>
  <c r="CV30" i="13"/>
  <c r="CW30" i="13" s="1"/>
  <c r="CV29" i="13"/>
  <c r="CV28" i="13"/>
  <c r="CV27" i="13"/>
  <c r="CV26" i="13"/>
  <c r="CV24" i="13"/>
  <c r="CW24" i="13" s="1"/>
  <c r="CX24" i="13" s="1"/>
  <c r="CY24" i="13" s="1"/>
  <c r="CV23" i="13"/>
  <c r="CW23" i="13" s="1"/>
  <c r="CX23" i="13" s="1"/>
  <c r="CV22" i="13"/>
  <c r="CW22" i="13" s="1"/>
  <c r="CV21" i="13"/>
  <c r="CV20" i="13"/>
  <c r="CV19" i="13"/>
  <c r="CW19" i="13" s="1"/>
  <c r="CV16" i="13"/>
  <c r="CW16" i="13" s="1"/>
  <c r="CV15" i="13"/>
  <c r="CV14" i="13"/>
  <c r="CV13" i="13"/>
  <c r="CW13" i="13" s="1"/>
  <c r="CX13" i="13" s="1"/>
  <c r="CY13" i="13" s="1"/>
  <c r="CV12" i="13"/>
  <c r="CW12" i="13" s="1"/>
  <c r="CV11" i="13"/>
  <c r="CW11" i="13" s="1"/>
  <c r="CX11" i="13" s="1"/>
  <c r="CV10" i="13"/>
  <c r="CW10" i="13" s="1"/>
  <c r="CV9" i="13"/>
  <c r="CV8" i="13"/>
  <c r="CV7" i="13"/>
  <c r="CW7" i="13" s="1"/>
  <c r="CX7" i="13" s="1"/>
  <c r="CY7" i="13" s="1"/>
  <c r="CV6" i="13"/>
  <c r="CQ46" i="13"/>
  <c r="CR46" i="13" s="1"/>
  <c r="CS46" i="13" s="1"/>
  <c r="CQ44" i="13"/>
  <c r="CR44" i="13" s="1"/>
  <c r="CS44" i="13" s="1"/>
  <c r="CT44" i="13" s="1"/>
  <c r="CQ43" i="13"/>
  <c r="CQ42" i="13"/>
  <c r="CQ41" i="13"/>
  <c r="CR41" i="13" s="1"/>
  <c r="CS41" i="13" s="1"/>
  <c r="CQ40" i="13"/>
  <c r="CQ39" i="13"/>
  <c r="CR39" i="13" s="1"/>
  <c r="CQ38" i="13"/>
  <c r="CR38" i="13" s="1"/>
  <c r="CS38" i="13" s="1"/>
  <c r="CT38" i="13" s="1"/>
  <c r="CQ37" i="13"/>
  <c r="CQ35" i="13"/>
  <c r="CR35" i="13" s="1"/>
  <c r="CQ34" i="13"/>
  <c r="CR34" i="13" s="1"/>
  <c r="CS34" i="13" s="1"/>
  <c r="CQ33" i="13"/>
  <c r="CR33" i="13" s="1"/>
  <c r="CS33" i="13" s="1"/>
  <c r="CT33" i="13" s="1"/>
  <c r="CQ32" i="13"/>
  <c r="CQ31" i="13"/>
  <c r="CQ30" i="13"/>
  <c r="CR30" i="13" s="1"/>
  <c r="CQ29" i="13"/>
  <c r="CQ28" i="13"/>
  <c r="CQ27" i="13"/>
  <c r="CQ26" i="13"/>
  <c r="CQ24" i="13"/>
  <c r="CQ23" i="13"/>
  <c r="CR23" i="13" s="1"/>
  <c r="CS23" i="13" s="1"/>
  <c r="CT23" i="13" s="1"/>
  <c r="CQ22" i="13"/>
  <c r="CR22" i="13" s="1"/>
  <c r="CS22" i="13" s="1"/>
  <c r="CT22" i="13" s="1"/>
  <c r="CQ21" i="13"/>
  <c r="CQ20" i="13"/>
  <c r="CQ19" i="13"/>
  <c r="CR19" i="13" s="1"/>
  <c r="CQ16" i="13"/>
  <c r="CR16" i="13" s="1"/>
  <c r="CS16" i="13" s="1"/>
  <c r="CT16" i="13" s="1"/>
  <c r="CQ15" i="13"/>
  <c r="CR15" i="13" s="1"/>
  <c r="CS15" i="13" s="1"/>
  <c r="CT15" i="13" s="1"/>
  <c r="CQ14" i="13"/>
  <c r="CQ13" i="13"/>
  <c r="CR13" i="13" s="1"/>
  <c r="CQ12" i="13"/>
  <c r="CR12" i="13" s="1"/>
  <c r="CQ11" i="13"/>
  <c r="CR11" i="13" s="1"/>
  <c r="CS11" i="13" s="1"/>
  <c r="CT11" i="13" s="1"/>
  <c r="CQ10" i="13"/>
  <c r="CR10" i="13" s="1"/>
  <c r="CS10" i="13" s="1"/>
  <c r="CT10" i="13" s="1"/>
  <c r="CQ9" i="13"/>
  <c r="CQ8" i="13"/>
  <c r="CQ7" i="13"/>
  <c r="CR7" i="13" s="1"/>
  <c r="CQ6" i="13"/>
  <c r="CL44" i="13"/>
  <c r="CM44" i="13" s="1"/>
  <c r="CL43" i="13"/>
  <c r="CL42" i="13"/>
  <c r="CL41" i="13"/>
  <c r="CM41" i="13" s="1"/>
  <c r="CN41" i="13" s="1"/>
  <c r="CL40" i="13"/>
  <c r="CL39" i="13"/>
  <c r="CM39" i="13" s="1"/>
  <c r="CL38" i="13"/>
  <c r="CM38" i="13" s="1"/>
  <c r="CN38" i="13" s="1"/>
  <c r="CO38" i="13" s="1"/>
  <c r="CL35" i="13"/>
  <c r="CM35" i="13" s="1"/>
  <c r="CN35" i="13" s="1"/>
  <c r="CL34" i="13"/>
  <c r="CM34" i="13" s="1"/>
  <c r="CN34" i="13" s="1"/>
  <c r="CO34" i="13" s="1"/>
  <c r="CL33" i="13"/>
  <c r="CM33" i="13" s="1"/>
  <c r="CN33" i="13" s="1"/>
  <c r="CO33" i="13" s="1"/>
  <c r="CL32" i="13"/>
  <c r="CM32" i="13" s="1"/>
  <c r="CN32" i="13" s="1"/>
  <c r="CO32" i="13" s="1"/>
  <c r="CL31" i="13"/>
  <c r="CM31" i="13" s="1"/>
  <c r="CN31" i="13" s="1"/>
  <c r="CO31" i="13" s="1"/>
  <c r="CL30" i="13"/>
  <c r="CL29" i="13"/>
  <c r="CL28" i="13"/>
  <c r="CL27" i="13"/>
  <c r="CL24" i="13"/>
  <c r="CM24" i="13" s="1"/>
  <c r="CL23" i="13"/>
  <c r="CM23" i="13" s="1"/>
  <c r="CN23" i="13" s="1"/>
  <c r="CO23" i="13" s="1"/>
  <c r="CL22" i="13"/>
  <c r="CM22" i="13" s="1"/>
  <c r="CN22" i="13" s="1"/>
  <c r="CO22" i="13" s="1"/>
  <c r="CL21" i="13"/>
  <c r="CM21" i="13" s="1"/>
  <c r="CN21" i="13" s="1"/>
  <c r="CO21" i="13" s="1"/>
  <c r="CL20" i="13"/>
  <c r="CM20" i="13" s="1"/>
  <c r="CN20" i="13" s="1"/>
  <c r="CO20" i="13" s="1"/>
  <c r="CL19" i="13"/>
  <c r="CL17" i="13"/>
  <c r="CL16" i="13"/>
  <c r="CM16" i="13" s="1"/>
  <c r="CN16" i="13" s="1"/>
  <c r="CO16" i="13" s="1"/>
  <c r="CL15" i="13"/>
  <c r="CM15" i="13" s="1"/>
  <c r="CN15" i="13" s="1"/>
  <c r="CO15" i="13" s="1"/>
  <c r="CL14" i="13"/>
  <c r="CM14" i="13" s="1"/>
  <c r="CN14" i="13" s="1"/>
  <c r="CO14" i="13" s="1"/>
  <c r="CL13" i="13"/>
  <c r="CM13" i="13" s="1"/>
  <c r="CN13" i="13" s="1"/>
  <c r="CO13" i="13" s="1"/>
  <c r="CL12" i="13"/>
  <c r="CM12" i="13" s="1"/>
  <c r="CN12" i="13" s="1"/>
  <c r="CO12" i="13" s="1"/>
  <c r="CL11" i="13"/>
  <c r="CM11" i="13" s="1"/>
  <c r="CN11" i="13" s="1"/>
  <c r="CO11" i="13" s="1"/>
  <c r="CL10" i="13"/>
  <c r="CM10" i="13" s="1"/>
  <c r="CL7" i="13"/>
  <c r="CM7" i="13" s="1"/>
  <c r="CN7" i="13" s="1"/>
  <c r="CO7" i="13" s="1"/>
  <c r="DQ101" i="16" l="1"/>
  <c r="DQ93" i="16"/>
  <c r="DK36" i="16"/>
  <c r="DR101" i="16"/>
  <c r="DR93" i="16"/>
  <c r="CM29" i="13"/>
  <c r="CM43" i="13"/>
  <c r="CR24" i="13"/>
  <c r="CS24" i="13" s="1"/>
  <c r="CT24" i="13" s="1"/>
  <c r="CR27" i="13"/>
  <c r="CR40" i="13"/>
  <c r="CW6" i="13"/>
  <c r="CW27" i="13"/>
  <c r="CX27" i="13" s="1"/>
  <c r="CW40" i="13"/>
  <c r="DB6" i="13"/>
  <c r="DB40" i="13"/>
  <c r="DC40" i="13" s="1"/>
  <c r="CM40" i="13"/>
  <c r="CR28" i="13"/>
  <c r="CW28" i="13"/>
  <c r="CW41" i="13"/>
  <c r="CX41" i="13" s="1"/>
  <c r="DB28" i="13"/>
  <c r="DB41" i="13"/>
  <c r="DC41" i="13" s="1"/>
  <c r="CR6" i="13"/>
  <c r="CM27" i="13"/>
  <c r="CR29" i="13"/>
  <c r="CS29" i="13" s="1"/>
  <c r="CW29" i="13"/>
  <c r="DB29" i="13"/>
  <c r="DC29" i="13" s="1"/>
  <c r="CM28" i="13"/>
  <c r="CM42" i="13"/>
  <c r="CN42" i="13" s="1"/>
  <c r="CQ45" i="13"/>
  <c r="CV45" i="13"/>
  <c r="DA45" i="13"/>
  <c r="CQ36" i="13"/>
  <c r="CZ24" i="13"/>
  <c r="DA36" i="13"/>
  <c r="CV36" i="13"/>
  <c r="DM110" i="16"/>
  <c r="DC33" i="16"/>
  <c r="DC35" i="16"/>
  <c r="DL110" i="16"/>
  <c r="CZ7" i="13"/>
  <c r="CS39" i="13"/>
  <c r="CT39" i="13" s="1"/>
  <c r="DB16" i="13"/>
  <c r="DC16" i="13" s="1"/>
  <c r="DD16" i="13" s="1"/>
  <c r="DE22" i="13"/>
  <c r="CU44" i="13"/>
  <c r="CU11" i="13"/>
  <c r="CU33" i="13"/>
  <c r="DB27" i="13"/>
  <c r="CU16" i="13"/>
  <c r="CU23" i="13"/>
  <c r="DE10" i="13"/>
  <c r="DE33" i="13"/>
  <c r="DC35" i="13"/>
  <c r="DD35" i="13" s="1"/>
  <c r="DC30" i="13"/>
  <c r="DD30" i="13" s="1"/>
  <c r="DC19" i="13"/>
  <c r="DC7" i="13"/>
  <c r="DD7" i="13" s="1"/>
  <c r="DC12" i="13"/>
  <c r="DD12" i="13" s="1"/>
  <c r="DC13" i="13"/>
  <c r="DD13" i="13" s="1"/>
  <c r="DC24" i="13"/>
  <c r="DD24" i="13" s="1"/>
  <c r="DE38" i="13"/>
  <c r="DC46" i="13"/>
  <c r="DB9" i="13"/>
  <c r="DD11" i="13"/>
  <c r="DE11" i="13" s="1"/>
  <c r="DB21" i="13"/>
  <c r="DC21" i="13" s="1"/>
  <c r="DD21" i="13" s="1"/>
  <c r="DD23" i="13"/>
  <c r="DE23" i="13" s="1"/>
  <c r="DB37" i="13"/>
  <c r="DD39" i="13"/>
  <c r="DE39" i="13" s="1"/>
  <c r="DB14" i="13"/>
  <c r="DC14" i="13" s="1"/>
  <c r="DD14" i="13" s="1"/>
  <c r="DE34" i="13"/>
  <c r="DB42" i="13"/>
  <c r="DA18" i="13"/>
  <c r="DB15" i="13"/>
  <c r="DC15" i="13" s="1"/>
  <c r="DD15" i="13" s="1"/>
  <c r="DB26" i="13"/>
  <c r="DB32" i="13"/>
  <c r="DC32" i="13" s="1"/>
  <c r="DD32" i="13" s="1"/>
  <c r="DB43" i="13"/>
  <c r="DD44" i="13"/>
  <c r="DE44" i="13" s="1"/>
  <c r="DB8" i="13"/>
  <c r="DB20" i="13"/>
  <c r="DC20" i="13" s="1"/>
  <c r="DD20" i="13" s="1"/>
  <c r="DB31" i="13"/>
  <c r="DC31" i="13" s="1"/>
  <c r="DD31" i="13" s="1"/>
  <c r="CX19" i="13"/>
  <c r="CX34" i="13"/>
  <c r="CY34" i="13" s="1"/>
  <c r="CX12" i="13"/>
  <c r="CY12" i="13" s="1"/>
  <c r="CX30" i="13"/>
  <c r="CY30" i="13" s="1"/>
  <c r="CX16" i="13"/>
  <c r="CY16" i="13" s="1"/>
  <c r="CY23" i="13"/>
  <c r="CZ23" i="13" s="1"/>
  <c r="CX10" i="13"/>
  <c r="CY10" i="13" s="1"/>
  <c r="CW21" i="13"/>
  <c r="CX21" i="13" s="1"/>
  <c r="CY21" i="13" s="1"/>
  <c r="CZ13" i="13"/>
  <c r="CX44" i="13"/>
  <c r="CY44" i="13" s="1"/>
  <c r="CY11" i="13"/>
  <c r="CZ11" i="13" s="1"/>
  <c r="CW15" i="13"/>
  <c r="CX15" i="13" s="1"/>
  <c r="CY15" i="13" s="1"/>
  <c r="CW26" i="13"/>
  <c r="CX40" i="13"/>
  <c r="CW9" i="13"/>
  <c r="CX35" i="13"/>
  <c r="CY35" i="13" s="1"/>
  <c r="CX22" i="13"/>
  <c r="CY22" i="13" s="1"/>
  <c r="CX39" i="13"/>
  <c r="CY39" i="13" s="1"/>
  <c r="CX46" i="13"/>
  <c r="CW32" i="13"/>
  <c r="CX32" i="13" s="1"/>
  <c r="CY32" i="13" s="1"/>
  <c r="CZ32" i="13" s="1"/>
  <c r="CW37" i="13"/>
  <c r="CW43" i="13"/>
  <c r="CW14" i="13"/>
  <c r="CX14" i="13" s="1"/>
  <c r="CY14" i="13" s="1"/>
  <c r="CW20" i="13"/>
  <c r="CX20" i="13" s="1"/>
  <c r="CY20" i="13" s="1"/>
  <c r="CW42" i="13"/>
  <c r="CV18" i="13"/>
  <c r="CZ33" i="13"/>
  <c r="CZ38" i="13"/>
  <c r="CW8" i="13"/>
  <c r="CW31" i="13"/>
  <c r="CX31" i="13" s="1"/>
  <c r="CY31" i="13" s="1"/>
  <c r="CS19" i="13"/>
  <c r="CS35" i="13"/>
  <c r="CT35" i="13" s="1"/>
  <c r="CS7" i="13"/>
  <c r="CT7" i="13" s="1"/>
  <c r="CU38" i="13"/>
  <c r="CS12" i="13"/>
  <c r="CT12" i="13" s="1"/>
  <c r="CU22" i="13"/>
  <c r="CT41" i="13"/>
  <c r="CU41" i="13" s="1"/>
  <c r="CU10" i="13"/>
  <c r="CS13" i="13"/>
  <c r="CT13" i="13" s="1"/>
  <c r="CS30" i="13"/>
  <c r="CT30" i="13" s="1"/>
  <c r="CT46" i="13"/>
  <c r="CR14" i="13"/>
  <c r="CS14" i="13" s="1"/>
  <c r="CT14" i="13" s="1"/>
  <c r="CR20" i="13"/>
  <c r="CS20" i="13" s="1"/>
  <c r="CT20" i="13" s="1"/>
  <c r="CR31" i="13"/>
  <c r="CS31" i="13" s="1"/>
  <c r="CT31" i="13" s="1"/>
  <c r="CR42" i="13"/>
  <c r="CR21" i="13"/>
  <c r="CS21" i="13" s="1"/>
  <c r="CT21" i="13" s="1"/>
  <c r="CR32" i="13"/>
  <c r="CS32" i="13" s="1"/>
  <c r="CT32" i="13" s="1"/>
  <c r="CQ18" i="13"/>
  <c r="CR9" i="13"/>
  <c r="CR26" i="13"/>
  <c r="CR37" i="13"/>
  <c r="CR43" i="13"/>
  <c r="CR8" i="13"/>
  <c r="CU15" i="13"/>
  <c r="CO41" i="13"/>
  <c r="CP41" i="13" s="1"/>
  <c r="CP16" i="13"/>
  <c r="CP15" i="13"/>
  <c r="CP38" i="13"/>
  <c r="CN39" i="13"/>
  <c r="CO39" i="13" s="1"/>
  <c r="CN44" i="13"/>
  <c r="CO44" i="13" s="1"/>
  <c r="CP31" i="13"/>
  <c r="CN10" i="13"/>
  <c r="CO10" i="13" s="1"/>
  <c r="CO35" i="13"/>
  <c r="CP35" i="13" s="1"/>
  <c r="CP34" i="13"/>
  <c r="CP33" i="13"/>
  <c r="CP32" i="13"/>
  <c r="CP14" i="13"/>
  <c r="CM30" i="13"/>
  <c r="CN30" i="13" s="1"/>
  <c r="CO30" i="13" s="1"/>
  <c r="CP12" i="13"/>
  <c r="CP13" i="13"/>
  <c r="CL18" i="13"/>
  <c r="CP7" i="13"/>
  <c r="CP11" i="13"/>
  <c r="CN24" i="13"/>
  <c r="CM19" i="13"/>
  <c r="DM52" i="13"/>
  <c r="DN51" i="13"/>
  <c r="DN54" i="13" s="1"/>
  <c r="DM51" i="13"/>
  <c r="DN76" i="12"/>
  <c r="DN77" i="12" s="1"/>
  <c r="DM76" i="12"/>
  <c r="DM77" i="12" s="1"/>
  <c r="DD43" i="12"/>
  <c r="DC43" i="12"/>
  <c r="DB43" i="12"/>
  <c r="DA43" i="12"/>
  <c r="DD42" i="12"/>
  <c r="DE42" i="12" s="1"/>
  <c r="DC42" i="12"/>
  <c r="DB42" i="12"/>
  <c r="DA42" i="12"/>
  <c r="DD41" i="12"/>
  <c r="DE41" i="12" s="1"/>
  <c r="DC41" i="12"/>
  <c r="DB41" i="12"/>
  <c r="DA41" i="12"/>
  <c r="DD40" i="12"/>
  <c r="DE40" i="12" s="1"/>
  <c r="DC40" i="12"/>
  <c r="DB40" i="12"/>
  <c r="DA40" i="12"/>
  <c r="DD39" i="12"/>
  <c r="DE39" i="12" s="1"/>
  <c r="DC39" i="12"/>
  <c r="DB39" i="12"/>
  <c r="DA39" i="12"/>
  <c r="DD38" i="12"/>
  <c r="DC38" i="12"/>
  <c r="DB38" i="12"/>
  <c r="DA38" i="12"/>
  <c r="DD37" i="12"/>
  <c r="DC37" i="12"/>
  <c r="DB37" i="12"/>
  <c r="DA37" i="12"/>
  <c r="DD35" i="12"/>
  <c r="DE35" i="12" s="1"/>
  <c r="DC35" i="12"/>
  <c r="DB35" i="12"/>
  <c r="DA35" i="12"/>
  <c r="DD34" i="12"/>
  <c r="DE34" i="12" s="1"/>
  <c r="DC34" i="12"/>
  <c r="DB34" i="12"/>
  <c r="DA34" i="12"/>
  <c r="DD33" i="12"/>
  <c r="DE33" i="12" s="1"/>
  <c r="DC33" i="12"/>
  <c r="DB33" i="12"/>
  <c r="DA33" i="12"/>
  <c r="DD32" i="12"/>
  <c r="DC32" i="12"/>
  <c r="DB32" i="12"/>
  <c r="DA32" i="12"/>
  <c r="DD31" i="12"/>
  <c r="DC31" i="12"/>
  <c r="DB31" i="12"/>
  <c r="DA31" i="12"/>
  <c r="DD29" i="12"/>
  <c r="DE29" i="12" s="1"/>
  <c r="DC29" i="12"/>
  <c r="DB29" i="12"/>
  <c r="DA29" i="12"/>
  <c r="DD28" i="12"/>
  <c r="DE28" i="12" s="1"/>
  <c r="DC28" i="12"/>
  <c r="DB28" i="12"/>
  <c r="DA28" i="12"/>
  <c r="DD27" i="12"/>
  <c r="DC27" i="12"/>
  <c r="DB27" i="12"/>
  <c r="DA27" i="12"/>
  <c r="DD26" i="12"/>
  <c r="DC26" i="12"/>
  <c r="DB26" i="12"/>
  <c r="DA26" i="12"/>
  <c r="DD25" i="12"/>
  <c r="DC25" i="12"/>
  <c r="DB25" i="12"/>
  <c r="DA25" i="12"/>
  <c r="DD21" i="12"/>
  <c r="DE21" i="12" s="1"/>
  <c r="DC21" i="12"/>
  <c r="DB21" i="12"/>
  <c r="DA21" i="12"/>
  <c r="DD20" i="12"/>
  <c r="DE20" i="12" s="1"/>
  <c r="DC20" i="12"/>
  <c r="DB20" i="12"/>
  <c r="DA20" i="12"/>
  <c r="DD19" i="12"/>
  <c r="DC19" i="12"/>
  <c r="DB19" i="12"/>
  <c r="DA19" i="12"/>
  <c r="DD18" i="12"/>
  <c r="DE18" i="12" s="1"/>
  <c r="DC18" i="12"/>
  <c r="DB18" i="12"/>
  <c r="DA18" i="12"/>
  <c r="DD17" i="12"/>
  <c r="DC17" i="12"/>
  <c r="DB17" i="12"/>
  <c r="DA17" i="12"/>
  <c r="DD16" i="12"/>
  <c r="DC16" i="12"/>
  <c r="DB16" i="12"/>
  <c r="DA16" i="12"/>
  <c r="DD15" i="12"/>
  <c r="DE15" i="12" s="1"/>
  <c r="DC15" i="12"/>
  <c r="DB15" i="12"/>
  <c r="DA15" i="12"/>
  <c r="DD13" i="12"/>
  <c r="DE13" i="12" s="1"/>
  <c r="DC13" i="12"/>
  <c r="DB13" i="12"/>
  <c r="DA13" i="12"/>
  <c r="DD12" i="12"/>
  <c r="DE12" i="12" s="1"/>
  <c r="DC12" i="12"/>
  <c r="DB12" i="12"/>
  <c r="DA12" i="12"/>
  <c r="DD11" i="12"/>
  <c r="DE11" i="12" s="1"/>
  <c r="DC11" i="12"/>
  <c r="DB11" i="12"/>
  <c r="DA11" i="12"/>
  <c r="DD10" i="12"/>
  <c r="DC10" i="12"/>
  <c r="DB10" i="12"/>
  <c r="DA10" i="12"/>
  <c r="DD9" i="12"/>
  <c r="DC9" i="12"/>
  <c r="DB9" i="12"/>
  <c r="DA9" i="12"/>
  <c r="DD8" i="12"/>
  <c r="DC8" i="12"/>
  <c r="DB8" i="12"/>
  <c r="DA8" i="12"/>
  <c r="DD7" i="12"/>
  <c r="DC7" i="12"/>
  <c r="DB7" i="12"/>
  <c r="DA7" i="12"/>
  <c r="CY43" i="12"/>
  <c r="CX43" i="12"/>
  <c r="CW43" i="12"/>
  <c r="CV43" i="12"/>
  <c r="CY42" i="12"/>
  <c r="CZ42" i="12" s="1"/>
  <c r="CX42" i="12"/>
  <c r="CW42" i="12"/>
  <c r="CV42" i="12"/>
  <c r="CY41" i="12"/>
  <c r="CZ41" i="12" s="1"/>
  <c r="CX41" i="12"/>
  <c r="CW41" i="12"/>
  <c r="CV41" i="12"/>
  <c r="CY40" i="12"/>
  <c r="CZ40" i="12" s="1"/>
  <c r="CX40" i="12"/>
  <c r="CW40" i="12"/>
  <c r="CV40" i="12"/>
  <c r="CY39" i="12"/>
  <c r="CZ39" i="12" s="1"/>
  <c r="CX39" i="12"/>
  <c r="CW39" i="12"/>
  <c r="CV39" i="12"/>
  <c r="CY38" i="12"/>
  <c r="CX38" i="12"/>
  <c r="CW38" i="12"/>
  <c r="CV38" i="12"/>
  <c r="CY37" i="12"/>
  <c r="CX37" i="12"/>
  <c r="CW37" i="12"/>
  <c r="CV37" i="12"/>
  <c r="CY35" i="12"/>
  <c r="CZ35" i="12" s="1"/>
  <c r="CX35" i="12"/>
  <c r="CW35" i="12"/>
  <c r="CV35" i="12"/>
  <c r="CY34" i="12"/>
  <c r="CZ34" i="12" s="1"/>
  <c r="CX34" i="12"/>
  <c r="CW34" i="12"/>
  <c r="CV34" i="12"/>
  <c r="CY33" i="12"/>
  <c r="CZ33" i="12" s="1"/>
  <c r="CX33" i="12"/>
  <c r="CW33" i="12"/>
  <c r="CV33" i="12"/>
  <c r="CY32" i="12"/>
  <c r="CX32" i="12"/>
  <c r="CW32" i="12"/>
  <c r="CV32" i="12"/>
  <c r="CY31" i="12"/>
  <c r="CX31" i="12"/>
  <c r="CW31" i="12"/>
  <c r="CV31" i="12"/>
  <c r="CY29" i="12"/>
  <c r="CZ29" i="12" s="1"/>
  <c r="CX29" i="12"/>
  <c r="CW29" i="12"/>
  <c r="CV29" i="12"/>
  <c r="CY28" i="12"/>
  <c r="CZ28" i="12" s="1"/>
  <c r="CX28" i="12"/>
  <c r="CW28" i="12"/>
  <c r="CV28" i="12"/>
  <c r="CY27" i="12"/>
  <c r="CX27" i="12"/>
  <c r="CW27" i="12"/>
  <c r="CV27" i="12"/>
  <c r="CY26" i="12"/>
  <c r="CX26" i="12"/>
  <c r="CW26" i="12"/>
  <c r="CV26" i="12"/>
  <c r="CY25" i="12"/>
  <c r="CX25" i="12"/>
  <c r="CW25" i="12"/>
  <c r="CV25" i="12"/>
  <c r="CY21" i="12"/>
  <c r="CZ21" i="12" s="1"/>
  <c r="CX21" i="12"/>
  <c r="CW21" i="12"/>
  <c r="CV21" i="12"/>
  <c r="CY20" i="12"/>
  <c r="CZ20" i="12" s="1"/>
  <c r="CX20" i="12"/>
  <c r="CW20" i="12"/>
  <c r="CV20" i="12"/>
  <c r="CY19" i="12"/>
  <c r="CX19" i="12"/>
  <c r="CW19" i="12"/>
  <c r="CV19" i="12"/>
  <c r="CY18" i="12"/>
  <c r="CZ18" i="12" s="1"/>
  <c r="CX18" i="12"/>
  <c r="CW18" i="12"/>
  <c r="CV18" i="12"/>
  <c r="CY17" i="12"/>
  <c r="CX17" i="12"/>
  <c r="CW17" i="12"/>
  <c r="CV17" i="12"/>
  <c r="CY16" i="12"/>
  <c r="CX16" i="12"/>
  <c r="CW16" i="12"/>
  <c r="CV16" i="12"/>
  <c r="CY15" i="12"/>
  <c r="CZ15" i="12" s="1"/>
  <c r="CX15" i="12"/>
  <c r="CW15" i="12"/>
  <c r="CV15" i="12"/>
  <c r="CY13" i="12"/>
  <c r="CZ13" i="12" s="1"/>
  <c r="CX13" i="12"/>
  <c r="CW13" i="12"/>
  <c r="CV13" i="12"/>
  <c r="CY12" i="12"/>
  <c r="CZ12" i="12" s="1"/>
  <c r="CX12" i="12"/>
  <c r="CW12" i="12"/>
  <c r="CV12" i="12"/>
  <c r="CY11" i="12"/>
  <c r="CX11" i="12"/>
  <c r="CW11" i="12"/>
  <c r="CV11" i="12"/>
  <c r="CY10" i="12"/>
  <c r="CX10" i="12"/>
  <c r="CW10" i="12"/>
  <c r="CV10" i="12"/>
  <c r="CY9" i="12"/>
  <c r="CX9" i="12"/>
  <c r="CW9" i="12"/>
  <c r="CV9" i="12"/>
  <c r="CY8" i="12"/>
  <c r="CX8" i="12"/>
  <c r="CW8" i="12"/>
  <c r="CV8" i="12"/>
  <c r="CY7" i="12"/>
  <c r="CX7" i="12"/>
  <c r="CW7" i="12"/>
  <c r="CV7" i="12"/>
  <c r="CO43" i="12"/>
  <c r="CO42" i="12"/>
  <c r="CP42" i="12" s="1"/>
  <c r="CO41" i="12"/>
  <c r="CP41" i="12" s="1"/>
  <c r="CO40" i="12"/>
  <c r="CP40" i="12" s="1"/>
  <c r="CO39" i="12"/>
  <c r="CP39" i="12" s="1"/>
  <c r="CO38" i="12"/>
  <c r="CO37" i="12"/>
  <c r="CO34" i="12"/>
  <c r="CP34" i="12" s="1"/>
  <c r="CO33" i="12"/>
  <c r="CP33" i="12" s="1"/>
  <c r="CO32" i="12"/>
  <c r="CO31" i="12"/>
  <c r="CO29" i="12"/>
  <c r="CP29" i="12" s="1"/>
  <c r="CO28" i="12"/>
  <c r="CP28" i="12" s="1"/>
  <c r="CO27" i="12"/>
  <c r="CO26" i="12"/>
  <c r="CO25" i="12"/>
  <c r="CT43" i="12"/>
  <c r="CS43" i="12"/>
  <c r="CR43" i="12"/>
  <c r="CQ43" i="12"/>
  <c r="CT42" i="12"/>
  <c r="CS42" i="12"/>
  <c r="CR42" i="12"/>
  <c r="CT41" i="12"/>
  <c r="CU41" i="12" s="1"/>
  <c r="CS41" i="12"/>
  <c r="CR41" i="12"/>
  <c r="CT40" i="12"/>
  <c r="CS40" i="12"/>
  <c r="CR40" i="12"/>
  <c r="CT39" i="12"/>
  <c r="CT38" i="12"/>
  <c r="CS38" i="12"/>
  <c r="CR38" i="12"/>
  <c r="CT37" i="12"/>
  <c r="CS37" i="12"/>
  <c r="CR37" i="12"/>
  <c r="CT35" i="12"/>
  <c r="CS35" i="12"/>
  <c r="CT34" i="12"/>
  <c r="CU34" i="12" s="1"/>
  <c r="CS34" i="12"/>
  <c r="CR34" i="12"/>
  <c r="CT33" i="12"/>
  <c r="CS33" i="12"/>
  <c r="CR33" i="12"/>
  <c r="CT32" i="12"/>
  <c r="CS32" i="12"/>
  <c r="CR32" i="12"/>
  <c r="CT31" i="12"/>
  <c r="CS31" i="12"/>
  <c r="CR31" i="12"/>
  <c r="CT29" i="12"/>
  <c r="CS29" i="12"/>
  <c r="CR29" i="12"/>
  <c r="CT28" i="12"/>
  <c r="CT27" i="12"/>
  <c r="CS27" i="12"/>
  <c r="CR27" i="12"/>
  <c r="CT26" i="12"/>
  <c r="CS26" i="12"/>
  <c r="CR26" i="12"/>
  <c r="CT25" i="12"/>
  <c r="CS25" i="12"/>
  <c r="CR25" i="12"/>
  <c r="CQ41" i="12"/>
  <c r="CQ39" i="12"/>
  <c r="CQ37" i="12"/>
  <c r="CQ38" i="12"/>
  <c r="CQ42" i="12"/>
  <c r="CQ34" i="12"/>
  <c r="CQ35" i="12"/>
  <c r="CQ29" i="12"/>
  <c r="CQ28" i="12"/>
  <c r="CQ25" i="12"/>
  <c r="CO20" i="12"/>
  <c r="CP20" i="12" s="1"/>
  <c r="CO19" i="12"/>
  <c r="CO18" i="12"/>
  <c r="CP18" i="12" s="1"/>
  <c r="CO17" i="12"/>
  <c r="CO16" i="12"/>
  <c r="CO15" i="12"/>
  <c r="CP15" i="12" s="1"/>
  <c r="CO13" i="12"/>
  <c r="CP13" i="12" s="1"/>
  <c r="CO11" i="12"/>
  <c r="CP11" i="12" s="1"/>
  <c r="CO10" i="12"/>
  <c r="CO9" i="12"/>
  <c r="CO8" i="12"/>
  <c r="CO7" i="12"/>
  <c r="CT21" i="12"/>
  <c r="CT20" i="12"/>
  <c r="CS20" i="12"/>
  <c r="CR20" i="12"/>
  <c r="CT19" i="12"/>
  <c r="CS19" i="12"/>
  <c r="CR19" i="12"/>
  <c r="CT18" i="12"/>
  <c r="CS18" i="12"/>
  <c r="CR18" i="12"/>
  <c r="CT17" i="12"/>
  <c r="CS17" i="12"/>
  <c r="CR17" i="12"/>
  <c r="CT16" i="12"/>
  <c r="CS16" i="12"/>
  <c r="CR16" i="12"/>
  <c r="CT15" i="12"/>
  <c r="CU15" i="12" s="1"/>
  <c r="CS15" i="12"/>
  <c r="CR15" i="12"/>
  <c r="CQ19" i="12"/>
  <c r="CQ15" i="12"/>
  <c r="CT13" i="12"/>
  <c r="CU13" i="12" s="1"/>
  <c r="CS13" i="12"/>
  <c r="CR13" i="12"/>
  <c r="CT12" i="12"/>
  <c r="CU12" i="12" s="1"/>
  <c r="CT11" i="12"/>
  <c r="CU11" i="12" s="1"/>
  <c r="CS11" i="12"/>
  <c r="CR11" i="12"/>
  <c r="CT10" i="12"/>
  <c r="CS10" i="12"/>
  <c r="CR10" i="12"/>
  <c r="CT9" i="12"/>
  <c r="CS9" i="12"/>
  <c r="CR9" i="12"/>
  <c r="CT8" i="12"/>
  <c r="CS8" i="12"/>
  <c r="CR8" i="12"/>
  <c r="CT7" i="12"/>
  <c r="CS7" i="12"/>
  <c r="CR7" i="12"/>
  <c r="CQ13" i="12"/>
  <c r="CQ11" i="12"/>
  <c r="CQ9" i="12"/>
  <c r="CQ8" i="12"/>
  <c r="DC52" i="11"/>
  <c r="DB52" i="11"/>
  <c r="DB33" i="11" s="1"/>
  <c r="DA52" i="11"/>
  <c r="DA33" i="11" s="1"/>
  <c r="DC51" i="11"/>
  <c r="DB51" i="11"/>
  <c r="DA51" i="11"/>
  <c r="DC23" i="11"/>
  <c r="DB23" i="11"/>
  <c r="DA23" i="11"/>
  <c r="DC19" i="11"/>
  <c r="DB19" i="11"/>
  <c r="DA19" i="11"/>
  <c r="DC16" i="11"/>
  <c r="DB16" i="11"/>
  <c r="DA16" i="11"/>
  <c r="DC15" i="11"/>
  <c r="DB15" i="11"/>
  <c r="DA15" i="11"/>
  <c r="DB13" i="11"/>
  <c r="DA13" i="11"/>
  <c r="DC7" i="11"/>
  <c r="DB7" i="11"/>
  <c r="DA7" i="11"/>
  <c r="DC6" i="11"/>
  <c r="DB6" i="11"/>
  <c r="DA6" i="11"/>
  <c r="CX52" i="11"/>
  <c r="CW52" i="11"/>
  <c r="CV52" i="11"/>
  <c r="CX51" i="11"/>
  <c r="CW51" i="11"/>
  <c r="CV51" i="11"/>
  <c r="CX23" i="11"/>
  <c r="CW23" i="11"/>
  <c r="CV23" i="11"/>
  <c r="CX19" i="11"/>
  <c r="CW19" i="11"/>
  <c r="CV19" i="11"/>
  <c r="CX16" i="11"/>
  <c r="CW16" i="11"/>
  <c r="CV16" i="11"/>
  <c r="CX15" i="11"/>
  <c r="CW15" i="11"/>
  <c r="CV15" i="11"/>
  <c r="CX13" i="11"/>
  <c r="CW13" i="11"/>
  <c r="CV13" i="11"/>
  <c r="CX8" i="11"/>
  <c r="CW8" i="11"/>
  <c r="CV8" i="11"/>
  <c r="CX7" i="11"/>
  <c r="CW7" i="11"/>
  <c r="CV7" i="11"/>
  <c r="CX6" i="11"/>
  <c r="CW6" i="11"/>
  <c r="CV6" i="11"/>
  <c r="CT52" i="11"/>
  <c r="CS52" i="11"/>
  <c r="CR52" i="11"/>
  <c r="CQ52" i="11"/>
  <c r="CT51" i="11"/>
  <c r="CS51" i="11"/>
  <c r="CR51" i="11"/>
  <c r="CQ51" i="11"/>
  <c r="CS23" i="11"/>
  <c r="CR23" i="11"/>
  <c r="CQ23" i="11"/>
  <c r="CS19" i="11"/>
  <c r="CR19" i="11"/>
  <c r="CQ19" i="11"/>
  <c r="CS16" i="11"/>
  <c r="CR16" i="11"/>
  <c r="CQ16" i="11"/>
  <c r="CS15" i="11"/>
  <c r="CR15" i="11"/>
  <c r="CQ15" i="11"/>
  <c r="CS13" i="11"/>
  <c r="CR13" i="11"/>
  <c r="CQ13" i="11"/>
  <c r="CS12" i="11"/>
  <c r="CR12" i="11"/>
  <c r="CQ12" i="11"/>
  <c r="CS8" i="11"/>
  <c r="CR8" i="11"/>
  <c r="CQ8" i="11"/>
  <c r="CS7" i="11"/>
  <c r="CR7" i="11"/>
  <c r="CQ7" i="11"/>
  <c r="CS6" i="11"/>
  <c r="CR6" i="11"/>
  <c r="CQ6" i="11"/>
  <c r="CN23" i="11"/>
  <c r="CM23" i="11"/>
  <c r="CL23" i="11"/>
  <c r="CN16" i="11"/>
  <c r="CM16" i="11"/>
  <c r="CL16" i="11"/>
  <c r="CN12" i="11"/>
  <c r="CM12" i="11"/>
  <c r="CL12" i="11"/>
  <c r="CN8" i="11"/>
  <c r="CM8" i="11"/>
  <c r="CL8" i="11"/>
  <c r="DD31" i="39"/>
  <c r="DC31" i="39"/>
  <c r="DB31" i="39"/>
  <c r="DA31" i="39"/>
  <c r="CY31" i="39"/>
  <c r="CX31" i="39"/>
  <c r="CW31" i="39"/>
  <c r="CV31" i="39"/>
  <c r="DD30" i="39"/>
  <c r="DC30" i="39"/>
  <c r="DB30" i="39"/>
  <c r="DA30" i="39"/>
  <c r="CY30" i="39"/>
  <c r="CX30" i="39"/>
  <c r="CW30" i="39"/>
  <c r="CV30" i="39"/>
  <c r="DD27" i="39"/>
  <c r="DC27" i="39"/>
  <c r="DB27" i="39"/>
  <c r="DA27" i="39"/>
  <c r="CY27" i="39"/>
  <c r="CX27" i="39"/>
  <c r="CW27" i="39"/>
  <c r="CV27" i="39"/>
  <c r="DD26" i="39"/>
  <c r="DC26" i="39"/>
  <c r="DB26" i="39"/>
  <c r="DA26" i="39"/>
  <c r="CY26" i="39"/>
  <c r="CX26" i="39"/>
  <c r="CW26" i="39"/>
  <c r="CV26" i="39"/>
  <c r="DD20" i="39"/>
  <c r="DC20" i="39"/>
  <c r="DB20" i="39"/>
  <c r="DA20" i="39"/>
  <c r="CY20" i="39"/>
  <c r="CX20" i="39"/>
  <c r="CW20" i="39"/>
  <c r="CV20" i="39"/>
  <c r="CU169" i="39"/>
  <c r="CU168" i="39"/>
  <c r="CU158" i="39"/>
  <c r="CU157" i="39"/>
  <c r="CU152" i="39"/>
  <c r="CU137" i="39"/>
  <c r="CU127" i="39"/>
  <c r="CU111" i="39"/>
  <c r="CU108" i="39"/>
  <c r="CU106" i="39"/>
  <c r="CU101" i="39"/>
  <c r="CU85" i="39"/>
  <c r="CU66" i="39" s="1"/>
  <c r="CU84" i="39"/>
  <c r="CU65" i="39" s="1"/>
  <c r="CZ100" i="39"/>
  <c r="CU73" i="39"/>
  <c r="CU72" i="39"/>
  <c r="CU55" i="39"/>
  <c r="CU53" i="39"/>
  <c r="CU51" i="39"/>
  <c r="CU46" i="39"/>
  <c r="CU45" i="39"/>
  <c r="CU44" i="39"/>
  <c r="CU43" i="39"/>
  <c r="CU42" i="39"/>
  <c r="CU234" i="1" s="1"/>
  <c r="CU10" i="39"/>
  <c r="CU9" i="39"/>
  <c r="CU7" i="39"/>
  <c r="DD174" i="39"/>
  <c r="DC174" i="39"/>
  <c r="DB174" i="39"/>
  <c r="DA174" i="39"/>
  <c r="CY174" i="39"/>
  <c r="CX174" i="39"/>
  <c r="CW174" i="39"/>
  <c r="DD173" i="39"/>
  <c r="DC173" i="39"/>
  <c r="DB173" i="39"/>
  <c r="DA173" i="39"/>
  <c r="CY173" i="39"/>
  <c r="CX173" i="39"/>
  <c r="CW173" i="39"/>
  <c r="DD170" i="39"/>
  <c r="DC170" i="39"/>
  <c r="DB170" i="39"/>
  <c r="DA170" i="39"/>
  <c r="CY170" i="39"/>
  <c r="CX170" i="39"/>
  <c r="CW170" i="39"/>
  <c r="CV170" i="39"/>
  <c r="DE169" i="39"/>
  <c r="DJ174" i="39" s="1"/>
  <c r="CZ169" i="39"/>
  <c r="DE168" i="39"/>
  <c r="DJ173" i="39" s="1"/>
  <c r="CZ168" i="39"/>
  <c r="CY163" i="39"/>
  <c r="CY162" i="39"/>
  <c r="CY159" i="39"/>
  <c r="CZ159" i="39" s="1"/>
  <c r="CZ158" i="39"/>
  <c r="CZ157" i="39"/>
  <c r="CZ152" i="39"/>
  <c r="DD147" i="39"/>
  <c r="DC147" i="39"/>
  <c r="DB147" i="39"/>
  <c r="DA147" i="39"/>
  <c r="CY147" i="39"/>
  <c r="CX147" i="39"/>
  <c r="CW147" i="39"/>
  <c r="DD146" i="39"/>
  <c r="DC146" i="39"/>
  <c r="DB146" i="39"/>
  <c r="DA146" i="39"/>
  <c r="CY146" i="39"/>
  <c r="CX146" i="39"/>
  <c r="CW146" i="39"/>
  <c r="CV146" i="39"/>
  <c r="DD139" i="39"/>
  <c r="DI148" i="39" s="1"/>
  <c r="DC139" i="39"/>
  <c r="DB139" i="39"/>
  <c r="DB142" i="39" s="1"/>
  <c r="DA139" i="39"/>
  <c r="CY139" i="39"/>
  <c r="CX139" i="39"/>
  <c r="CW139" i="39"/>
  <c r="CV139" i="39"/>
  <c r="DE138" i="39"/>
  <c r="CZ138" i="39"/>
  <c r="DE137" i="39"/>
  <c r="CZ137" i="39"/>
  <c r="DD134" i="39"/>
  <c r="DC134" i="39"/>
  <c r="DB134" i="39"/>
  <c r="DA134" i="39"/>
  <c r="CY134" i="39"/>
  <c r="CX134" i="39"/>
  <c r="CW134" i="39"/>
  <c r="CV134" i="39"/>
  <c r="DD132" i="39"/>
  <c r="DC132" i="39"/>
  <c r="DB132" i="39"/>
  <c r="DA132" i="39"/>
  <c r="CY132" i="39"/>
  <c r="CX132" i="39"/>
  <c r="CW132" i="39"/>
  <c r="CV132" i="39"/>
  <c r="DD130" i="39"/>
  <c r="DC130" i="39"/>
  <c r="DB130" i="39"/>
  <c r="DA130" i="39"/>
  <c r="CY130" i="39"/>
  <c r="CX130" i="39"/>
  <c r="CW130" i="39"/>
  <c r="CV130" i="39"/>
  <c r="DC127" i="39"/>
  <c r="DB127" i="39"/>
  <c r="DA127" i="39"/>
  <c r="CY127" i="39"/>
  <c r="CX127" i="39"/>
  <c r="CW127" i="39"/>
  <c r="CV127" i="39"/>
  <c r="DD124" i="39"/>
  <c r="DC124" i="39"/>
  <c r="DB124" i="39"/>
  <c r="DA124" i="39"/>
  <c r="CY124" i="39"/>
  <c r="CX124" i="39"/>
  <c r="CW124" i="39"/>
  <c r="CV124" i="39"/>
  <c r="DD122" i="39"/>
  <c r="DC122" i="39"/>
  <c r="DB122" i="39"/>
  <c r="DA122" i="39"/>
  <c r="CY122" i="39"/>
  <c r="CX122" i="39"/>
  <c r="CW122" i="39"/>
  <c r="CV122" i="39"/>
  <c r="DD120" i="39"/>
  <c r="DC120" i="39"/>
  <c r="DB120" i="39"/>
  <c r="DA120" i="39"/>
  <c r="CY120" i="39"/>
  <c r="CX120" i="39"/>
  <c r="CW120" i="39"/>
  <c r="CV120" i="39"/>
  <c r="DD116" i="39"/>
  <c r="DD117" i="39" s="1"/>
  <c r="DC116" i="39"/>
  <c r="DC117" i="39" s="1"/>
  <c r="DB116" i="39"/>
  <c r="DB117" i="39" s="1"/>
  <c r="DA116" i="39"/>
  <c r="DA117" i="39" s="1"/>
  <c r="CY116" i="39"/>
  <c r="CY117" i="39" s="1"/>
  <c r="CX116" i="39"/>
  <c r="CX117" i="39" s="1"/>
  <c r="CW116" i="39"/>
  <c r="CW117" i="39" s="1"/>
  <c r="CV116" i="39"/>
  <c r="CV117" i="39" s="1"/>
  <c r="DE114" i="39"/>
  <c r="CZ114" i="39"/>
  <c r="CZ127" i="39" s="1"/>
  <c r="DD112" i="39"/>
  <c r="DI125" i="39" s="1"/>
  <c r="DC112" i="39"/>
  <c r="DH125" i="39" s="1"/>
  <c r="DB112" i="39"/>
  <c r="DG125" i="39" s="1"/>
  <c r="DA112" i="39"/>
  <c r="DF125" i="39" s="1"/>
  <c r="CY112" i="39"/>
  <c r="CX112" i="39"/>
  <c r="CW112" i="39"/>
  <c r="CV112" i="39"/>
  <c r="DE111" i="39"/>
  <c r="DJ124" i="39" s="1"/>
  <c r="CZ111" i="39"/>
  <c r="DE108" i="39"/>
  <c r="DJ122" i="39" s="1"/>
  <c r="CZ108" i="39"/>
  <c r="DE106" i="39"/>
  <c r="DJ120" i="39" s="1"/>
  <c r="CZ106" i="39"/>
  <c r="DE101" i="39"/>
  <c r="DC101" i="39"/>
  <c r="DB101" i="39"/>
  <c r="DA101" i="39"/>
  <c r="CZ101" i="39"/>
  <c r="CX101" i="39"/>
  <c r="CW101" i="39"/>
  <c r="CV101" i="39"/>
  <c r="DE100" i="39"/>
  <c r="CY100" i="39"/>
  <c r="CX100" i="39"/>
  <c r="CW100" i="39"/>
  <c r="CV100" i="39"/>
  <c r="DD99" i="39"/>
  <c r="DC99" i="39"/>
  <c r="DB99" i="39"/>
  <c r="DA99" i="39"/>
  <c r="CY99" i="39"/>
  <c r="CX99" i="39"/>
  <c r="CW99" i="39"/>
  <c r="CV99" i="39"/>
  <c r="DD98" i="39"/>
  <c r="DC98" i="39"/>
  <c r="DB98" i="39"/>
  <c r="DA98" i="39"/>
  <c r="CY98" i="39"/>
  <c r="CX98" i="39"/>
  <c r="CW98" i="39"/>
  <c r="CV98" i="39"/>
  <c r="DE97" i="39"/>
  <c r="DC97" i="39"/>
  <c r="DB97" i="39"/>
  <c r="DA97" i="39"/>
  <c r="CX97" i="39"/>
  <c r="CW97" i="39"/>
  <c r="CV97" i="39"/>
  <c r="DC92" i="39"/>
  <c r="DB92" i="39"/>
  <c r="DA92" i="39"/>
  <c r="CX92" i="39"/>
  <c r="CW92" i="39"/>
  <c r="CV92" i="39"/>
  <c r="DC91" i="39"/>
  <c r="DB91" i="39"/>
  <c r="DA91" i="39"/>
  <c r="CX91" i="39"/>
  <c r="CW91" i="39"/>
  <c r="CV91" i="39"/>
  <c r="DE86" i="39"/>
  <c r="DJ67" i="39" s="1"/>
  <c r="CV86" i="39"/>
  <c r="CZ86" i="39" s="1"/>
  <c r="DE85" i="39"/>
  <c r="DJ66" i="39" s="1"/>
  <c r="CZ85" i="39"/>
  <c r="DE84" i="39"/>
  <c r="DJ65" i="39" s="1"/>
  <c r="CZ84" i="39"/>
  <c r="DE81" i="39"/>
  <c r="CZ81" i="39"/>
  <c r="CZ90" i="39" s="1"/>
  <c r="CX81" i="39"/>
  <c r="CW81" i="39"/>
  <c r="CV81" i="39"/>
  <c r="CV93" i="39" s="1"/>
  <c r="CY75" i="39"/>
  <c r="DE73" i="39"/>
  <c r="DJ99" i="39" s="1"/>
  <c r="CZ73" i="39"/>
  <c r="DE72" i="39"/>
  <c r="DJ98" i="39" s="1"/>
  <c r="CZ72" i="39"/>
  <c r="CY71" i="39"/>
  <c r="DD67" i="39"/>
  <c r="DC67" i="39"/>
  <c r="DB67" i="39"/>
  <c r="CW67" i="39"/>
  <c r="DD66" i="39"/>
  <c r="DC66" i="39"/>
  <c r="DB66" i="39"/>
  <c r="DA66" i="39"/>
  <c r="CY66" i="39"/>
  <c r="CX66" i="39"/>
  <c r="CW66" i="39"/>
  <c r="CV66" i="39"/>
  <c r="DD65" i="39"/>
  <c r="DC65" i="39"/>
  <c r="DB65" i="39"/>
  <c r="DA65" i="39"/>
  <c r="CY65" i="39"/>
  <c r="CX65" i="39"/>
  <c r="CW65" i="39"/>
  <c r="CV65" i="39"/>
  <c r="DD62" i="39"/>
  <c r="DC62" i="39"/>
  <c r="DB62" i="39"/>
  <c r="DA62" i="39"/>
  <c r="CY62" i="39"/>
  <c r="CX62" i="39"/>
  <c r="CW62" i="39"/>
  <c r="CV62" i="39"/>
  <c r="DD60" i="39"/>
  <c r="DC60" i="39"/>
  <c r="DB60" i="39"/>
  <c r="DA60" i="39"/>
  <c r="CY60" i="39"/>
  <c r="CX60" i="39"/>
  <c r="CW60" i="39"/>
  <c r="CV60" i="39"/>
  <c r="DD58" i="39"/>
  <c r="DC58" i="39"/>
  <c r="DB58" i="39"/>
  <c r="DA58" i="39"/>
  <c r="CY58" i="39"/>
  <c r="CX58" i="39"/>
  <c r="CW58" i="39"/>
  <c r="CV58" i="39"/>
  <c r="DE55" i="39"/>
  <c r="DJ62" i="39" s="1"/>
  <c r="CZ55" i="39"/>
  <c r="DE53" i="39"/>
  <c r="DJ60" i="39" s="1"/>
  <c r="CZ53" i="39"/>
  <c r="DE51" i="39"/>
  <c r="DJ58" i="39" s="1"/>
  <c r="CZ51" i="39"/>
  <c r="DE46" i="39"/>
  <c r="DA46" i="39" s="1"/>
  <c r="DA39" i="39" s="1"/>
  <c r="CZ46" i="39"/>
  <c r="CY46" i="39" s="1"/>
  <c r="CY39" i="39" s="1"/>
  <c r="DE45" i="39"/>
  <c r="DA45" i="39" s="1"/>
  <c r="DA38" i="39" s="1"/>
  <c r="CZ45" i="39"/>
  <c r="CY45" i="39" s="1"/>
  <c r="CY38" i="39" s="1"/>
  <c r="DE44" i="39"/>
  <c r="DD44" i="39" s="1"/>
  <c r="DD37" i="39" s="1"/>
  <c r="CZ44" i="39"/>
  <c r="CV44" i="39" s="1"/>
  <c r="CV37" i="39" s="1"/>
  <c r="DE43" i="39"/>
  <c r="DD43" i="39" s="1"/>
  <c r="DD36" i="39" s="1"/>
  <c r="CZ43" i="39"/>
  <c r="CY43" i="39" s="1"/>
  <c r="CY36" i="39" s="1"/>
  <c r="DE42" i="39"/>
  <c r="CZ42" i="39"/>
  <c r="DD16" i="39"/>
  <c r="DC16" i="39"/>
  <c r="DB16" i="39"/>
  <c r="DA16" i="39"/>
  <c r="CY16" i="39"/>
  <c r="CX16" i="39"/>
  <c r="CW16" i="39"/>
  <c r="CV16" i="39"/>
  <c r="DA15" i="39"/>
  <c r="CX15" i="39"/>
  <c r="CW15" i="39"/>
  <c r="CV15" i="39"/>
  <c r="DD14" i="39"/>
  <c r="DC14" i="39"/>
  <c r="DB14" i="39"/>
  <c r="DA14" i="39"/>
  <c r="CY14" i="39"/>
  <c r="CX14" i="39"/>
  <c r="CW14" i="39"/>
  <c r="CV14" i="39"/>
  <c r="DD11" i="39"/>
  <c r="DC11" i="39"/>
  <c r="DB11" i="39"/>
  <c r="DA11" i="39"/>
  <c r="CY11" i="39"/>
  <c r="CX11" i="39"/>
  <c r="CW11" i="39"/>
  <c r="CV11" i="39"/>
  <c r="DE10" i="39"/>
  <c r="CZ10" i="39"/>
  <c r="DE9" i="39"/>
  <c r="CZ9" i="39"/>
  <c r="DD8" i="39"/>
  <c r="DC8" i="39"/>
  <c r="DB8" i="39"/>
  <c r="DA8" i="39"/>
  <c r="CY8" i="39"/>
  <c r="CX8" i="39"/>
  <c r="CW8" i="39"/>
  <c r="CV8" i="39"/>
  <c r="DE7" i="39"/>
  <c r="CZ7" i="39"/>
  <c r="CV110" i="1"/>
  <c r="DA110" i="1"/>
  <c r="DA17" i="13" s="1"/>
  <c r="CW110" i="1"/>
  <c r="DB110" i="1"/>
  <c r="CX110" i="1"/>
  <c r="DC110" i="1"/>
  <c r="CV22" i="1"/>
  <c r="CV17" i="11" s="1"/>
  <c r="CV17" i="1"/>
  <c r="CV12" i="11" s="1"/>
  <c r="DA22" i="1"/>
  <c r="DA17" i="11" s="1"/>
  <c r="DA17" i="1"/>
  <c r="DA12" i="11" s="1"/>
  <c r="CW22" i="1"/>
  <c r="CW17" i="11" s="1"/>
  <c r="CW17" i="1"/>
  <c r="CW12" i="11" s="1"/>
  <c r="DB22" i="1"/>
  <c r="DB17" i="11" s="1"/>
  <c r="DB17" i="1"/>
  <c r="DB12" i="11" s="1"/>
  <c r="DD67" i="16"/>
  <c r="CY163" i="1"/>
  <c r="CY67" i="16" s="1"/>
  <c r="DA114" i="16" s="1"/>
  <c r="DD71" i="39"/>
  <c r="CY153" i="1"/>
  <c r="CV154" i="1"/>
  <c r="CV8" i="16" s="1"/>
  <c r="CV11" i="16" s="1"/>
  <c r="DA8" i="16"/>
  <c r="DA74" i="39" s="1"/>
  <c r="DF100" i="39" s="1"/>
  <c r="CW154" i="1"/>
  <c r="CW8" i="16" s="1"/>
  <c r="CW11" i="16" s="1"/>
  <c r="CX22" i="1"/>
  <c r="CX17" i="11" s="1"/>
  <c r="CX17" i="1"/>
  <c r="CX12" i="11" s="1"/>
  <c r="CY45" i="1"/>
  <c r="CY44" i="1"/>
  <c r="CY51" i="11" s="1"/>
  <c r="DD45" i="1"/>
  <c r="DD44" i="1"/>
  <c r="DD51" i="11" s="1"/>
  <c r="DC22" i="1"/>
  <c r="DC17" i="11" s="1"/>
  <c r="DC17" i="1"/>
  <c r="DC12" i="11" s="1"/>
  <c r="CY30" i="1"/>
  <c r="CY23" i="11" s="1"/>
  <c r="CY28" i="1"/>
  <c r="CY26" i="1"/>
  <c r="DD30" i="1"/>
  <c r="DD23" i="11" s="1"/>
  <c r="DD28" i="1"/>
  <c r="DD26" i="1"/>
  <c r="DD24" i="1"/>
  <c r="DD19" i="11" s="1"/>
  <c r="CY24" i="1"/>
  <c r="CY19" i="11" s="1"/>
  <c r="DD21" i="1"/>
  <c r="DD16" i="11" s="1"/>
  <c r="DD20" i="1"/>
  <c r="DD15" i="11" s="1"/>
  <c r="CY21" i="1"/>
  <c r="CY16" i="11" s="1"/>
  <c r="CY20" i="1"/>
  <c r="CY15" i="11" s="1"/>
  <c r="CY18" i="1"/>
  <c r="CY13" i="11" s="1"/>
  <c r="DD18" i="1"/>
  <c r="DD13" i="11" s="1"/>
  <c r="DD13" i="1"/>
  <c r="DD12" i="1"/>
  <c r="CY13" i="1"/>
  <c r="CY12" i="1"/>
  <c r="DD10" i="1"/>
  <c r="CY10" i="1"/>
  <c r="DD8" i="1"/>
  <c r="DD7" i="11" s="1"/>
  <c r="DD7" i="1"/>
  <c r="DD6" i="11" s="1"/>
  <c r="CY8" i="1"/>
  <c r="CY7" i="11" s="1"/>
  <c r="CY7" i="1"/>
  <c r="CY6" i="11" s="1"/>
  <c r="CX154" i="1"/>
  <c r="CX8" i="16" s="1"/>
  <c r="CX11" i="16" s="1"/>
  <c r="DE157" i="1"/>
  <c r="CZ154" i="1"/>
  <c r="CY138" i="1"/>
  <c r="CZ138" i="1" s="1"/>
  <c r="CY110" i="1"/>
  <c r="DE135" i="1"/>
  <c r="DE118" i="1"/>
  <c r="DD110" i="1"/>
  <c r="DE110" i="1" s="1"/>
  <c r="DE146" i="1"/>
  <c r="DE144" i="1"/>
  <c r="DE142" i="1"/>
  <c r="DE140" i="1"/>
  <c r="DE138" i="1"/>
  <c r="DE137" i="1"/>
  <c r="DE136" i="1"/>
  <c r="DE134" i="1"/>
  <c r="DE133" i="1"/>
  <c r="DE132" i="1"/>
  <c r="DE130" i="1"/>
  <c r="DE128" i="1"/>
  <c r="DE127" i="1"/>
  <c r="DE126" i="1"/>
  <c r="DE125" i="1"/>
  <c r="DE124" i="1"/>
  <c r="DE123" i="1"/>
  <c r="DE122" i="1"/>
  <c r="DE121" i="1"/>
  <c r="DE120" i="1"/>
  <c r="DE116" i="1"/>
  <c r="DE115" i="1"/>
  <c r="DE114" i="1"/>
  <c r="DE113" i="1"/>
  <c r="DE112" i="1"/>
  <c r="DE109" i="1"/>
  <c r="DE108" i="1"/>
  <c r="DE107" i="1"/>
  <c r="DE106" i="1"/>
  <c r="DE105" i="1"/>
  <c r="DE104" i="1"/>
  <c r="DE103" i="1"/>
  <c r="DE102" i="1"/>
  <c r="DE101" i="1"/>
  <c r="DE100" i="1"/>
  <c r="DE99" i="1"/>
  <c r="CZ146" i="1"/>
  <c r="CZ142" i="1"/>
  <c r="CZ140" i="1"/>
  <c r="CZ137" i="1"/>
  <c r="CZ136" i="1"/>
  <c r="CZ134" i="1"/>
  <c r="CZ133" i="1"/>
  <c r="CZ132" i="1"/>
  <c r="CZ130" i="1"/>
  <c r="CZ128" i="1"/>
  <c r="CZ127" i="1"/>
  <c r="CZ126" i="1"/>
  <c r="CZ125" i="1"/>
  <c r="CZ124" i="1"/>
  <c r="CZ123" i="1"/>
  <c r="CZ122" i="1"/>
  <c r="CZ121" i="1"/>
  <c r="CZ120" i="1"/>
  <c r="CZ116" i="1"/>
  <c r="CZ115" i="1"/>
  <c r="CZ114" i="1"/>
  <c r="CZ113" i="1"/>
  <c r="CZ112" i="1"/>
  <c r="CZ109" i="1"/>
  <c r="CZ108" i="1"/>
  <c r="CZ107" i="1"/>
  <c r="CZ106" i="1"/>
  <c r="CZ105" i="1"/>
  <c r="CZ104" i="1"/>
  <c r="CZ103" i="1"/>
  <c r="CZ102" i="1"/>
  <c r="CZ101" i="1"/>
  <c r="CZ100" i="1"/>
  <c r="CZ99" i="1"/>
  <c r="DD139" i="1"/>
  <c r="DD141" i="1" s="1"/>
  <c r="DC139" i="1"/>
  <c r="DC141" i="1" s="1"/>
  <c r="DB139" i="1"/>
  <c r="DB141" i="1" s="1"/>
  <c r="DA139" i="1"/>
  <c r="DA141" i="1" s="1"/>
  <c r="DD129" i="1"/>
  <c r="DD131" i="1" s="1"/>
  <c r="DC129" i="1"/>
  <c r="DC131" i="1" s="1"/>
  <c r="DB129" i="1"/>
  <c r="DB131" i="1" s="1"/>
  <c r="DA129" i="1"/>
  <c r="DA131" i="1" s="1"/>
  <c r="DD111" i="1"/>
  <c r="DC111" i="1"/>
  <c r="DB111" i="1"/>
  <c r="DA111" i="1"/>
  <c r="DD90" i="1"/>
  <c r="DC90" i="1"/>
  <c r="DD76" i="1"/>
  <c r="DD83" i="1" s="1"/>
  <c r="DC76" i="1"/>
  <c r="DC83" i="1" s="1"/>
  <c r="DD59" i="1"/>
  <c r="DD68" i="1" s="1"/>
  <c r="DE68" i="1" s="1"/>
  <c r="DC59" i="1"/>
  <c r="DC68" i="1" s="1"/>
  <c r="DE91" i="1"/>
  <c r="DE89" i="1"/>
  <c r="DE88" i="1"/>
  <c r="DE87" i="1"/>
  <c r="DE86" i="1"/>
  <c r="DE85" i="1"/>
  <c r="DE84" i="1"/>
  <c r="DE82" i="1"/>
  <c r="DE81" i="1"/>
  <c r="DE80" i="1"/>
  <c r="DE79" i="1"/>
  <c r="DE78" i="1"/>
  <c r="DE77" i="1"/>
  <c r="DE75" i="1"/>
  <c r="DE74" i="1"/>
  <c r="DE73" i="1"/>
  <c r="DE72" i="1"/>
  <c r="DE71" i="1"/>
  <c r="DE67" i="1"/>
  <c r="DE66" i="1"/>
  <c r="DE65" i="1"/>
  <c r="DE64" i="1"/>
  <c r="DE63" i="1"/>
  <c r="DE62" i="1"/>
  <c r="DE61" i="1"/>
  <c r="DE60" i="1"/>
  <c r="DE58" i="1"/>
  <c r="DE57" i="1"/>
  <c r="DE56" i="1"/>
  <c r="DE55" i="1"/>
  <c r="DE54" i="1"/>
  <c r="DE53" i="1"/>
  <c r="DE52" i="1"/>
  <c r="DE51" i="1"/>
  <c r="CZ91" i="1"/>
  <c r="CZ89" i="1"/>
  <c r="CZ88" i="1"/>
  <c r="CZ87" i="1"/>
  <c r="CZ86" i="1"/>
  <c r="CZ85" i="1"/>
  <c r="CZ84" i="1"/>
  <c r="CZ82" i="1"/>
  <c r="CZ81" i="1"/>
  <c r="CZ80" i="1"/>
  <c r="CZ79" i="1"/>
  <c r="CZ78" i="1"/>
  <c r="CZ77" i="1"/>
  <c r="CZ75" i="1"/>
  <c r="CZ74" i="1"/>
  <c r="CZ73" i="1"/>
  <c r="CZ72" i="1"/>
  <c r="CZ71" i="1"/>
  <c r="CZ67" i="1"/>
  <c r="CZ66" i="1"/>
  <c r="CZ65" i="1"/>
  <c r="CZ64" i="1"/>
  <c r="CZ63" i="1"/>
  <c r="CZ62" i="1"/>
  <c r="CZ61" i="1"/>
  <c r="CZ60" i="1"/>
  <c r="CZ58" i="1"/>
  <c r="CZ57" i="1"/>
  <c r="CZ56" i="1"/>
  <c r="CZ55" i="1"/>
  <c r="CZ54" i="1"/>
  <c r="CZ53" i="1"/>
  <c r="CZ52" i="1"/>
  <c r="CZ51" i="1"/>
  <c r="CX40" i="1"/>
  <c r="CW40" i="1"/>
  <c r="CV40" i="1"/>
  <c r="CX36" i="1"/>
  <c r="CW36" i="1"/>
  <c r="CV36" i="1"/>
  <c r="DE40" i="1"/>
  <c r="DC40" i="1"/>
  <c r="DB40" i="1"/>
  <c r="DA40" i="1"/>
  <c r="DE36" i="1"/>
  <c r="DC36" i="1"/>
  <c r="DB36" i="1"/>
  <c r="DA36" i="1"/>
  <c r="CZ40" i="1"/>
  <c r="CZ36" i="1"/>
  <c r="CZ22" i="1"/>
  <c r="CZ17" i="1"/>
  <c r="DE22" i="1"/>
  <c r="DE17" i="1"/>
  <c r="DD114" i="16" l="1"/>
  <c r="DF114" i="16"/>
  <c r="DD21" i="11"/>
  <c r="CZ163" i="39"/>
  <c r="DO52" i="13"/>
  <c r="CY71" i="16"/>
  <c r="CZ67" i="16"/>
  <c r="CY21" i="11"/>
  <c r="DA81" i="39"/>
  <c r="DA102" i="39" s="1"/>
  <c r="DA100" i="39"/>
  <c r="DM54" i="13"/>
  <c r="CS40" i="13"/>
  <c r="CT40" i="13" s="1"/>
  <c r="CY8" i="11"/>
  <c r="CY9" i="11" s="1"/>
  <c r="CY9" i="16"/>
  <c r="DD8" i="11"/>
  <c r="DE8" i="11" s="1"/>
  <c r="DD9" i="16"/>
  <c r="CV88" i="16"/>
  <c r="CW88" i="16"/>
  <c r="CX88" i="16"/>
  <c r="DO51" i="13"/>
  <c r="CY42" i="39"/>
  <c r="CY35" i="39" s="1"/>
  <c r="CZ234" i="1"/>
  <c r="CZ60" i="39"/>
  <c r="X61" i="44"/>
  <c r="CU284" i="1"/>
  <c r="DE139" i="39"/>
  <c r="DE143" i="39" s="1"/>
  <c r="DA42" i="39"/>
  <c r="DA35" i="39" s="1"/>
  <c r="DE234" i="1"/>
  <c r="CZ98" i="39"/>
  <c r="X222" i="44"/>
  <c r="CZ92" i="39"/>
  <c r="DA11" i="16"/>
  <c r="DF34" i="16"/>
  <c r="CX6" i="13"/>
  <c r="CY6" i="13" s="1"/>
  <c r="DC6" i="13"/>
  <c r="DD10" i="11"/>
  <c r="CY10" i="11"/>
  <c r="DB34" i="11"/>
  <c r="CR56" i="12"/>
  <c r="CR57" i="12" s="1"/>
  <c r="CP9" i="12"/>
  <c r="CP17" i="12"/>
  <c r="CU43" i="12"/>
  <c r="CP31" i="12"/>
  <c r="CW56" i="12"/>
  <c r="CW57" i="12" s="1"/>
  <c r="CZ8" i="12"/>
  <c r="CZ27" i="12"/>
  <c r="CZ31" i="12"/>
  <c r="DE27" i="12"/>
  <c r="DE31" i="12"/>
  <c r="DE38" i="12"/>
  <c r="CS56" i="12"/>
  <c r="CS57" i="12" s="1"/>
  <c r="CP10" i="12"/>
  <c r="CU37" i="12"/>
  <c r="CO59" i="12"/>
  <c r="CO65" i="12" s="1"/>
  <c r="CP32" i="12"/>
  <c r="CZ38" i="12"/>
  <c r="DE10" i="12"/>
  <c r="CT56" i="12"/>
  <c r="CT57" i="12" s="1"/>
  <c r="CU9" i="12"/>
  <c r="CP19" i="12"/>
  <c r="CP26" i="12"/>
  <c r="CZ7" i="12"/>
  <c r="CZ10" i="12"/>
  <c r="CZ17" i="12"/>
  <c r="CZ26" i="12"/>
  <c r="DE17" i="12"/>
  <c r="DE26" i="12"/>
  <c r="DE43" i="12"/>
  <c r="CS59" i="12"/>
  <c r="CS65" i="12" s="1"/>
  <c r="CP27" i="12"/>
  <c r="CZ43" i="12"/>
  <c r="DE9" i="12"/>
  <c r="CV17" i="13"/>
  <c r="CP7" i="12"/>
  <c r="CO49" i="13"/>
  <c r="CP43" i="12"/>
  <c r="CZ9" i="12"/>
  <c r="CZ16" i="12"/>
  <c r="CZ19" i="12"/>
  <c r="DA56" i="12"/>
  <c r="DA57" i="12" s="1"/>
  <c r="DE16" i="12"/>
  <c r="DE19" i="12"/>
  <c r="DE32" i="12"/>
  <c r="CU8" i="12"/>
  <c r="CU10" i="12"/>
  <c r="CP8" i="12"/>
  <c r="CP16" i="12"/>
  <c r="CP38" i="12"/>
  <c r="CV56" i="12"/>
  <c r="CV57" i="12" s="1"/>
  <c r="CZ32" i="12"/>
  <c r="DE8" i="12"/>
  <c r="DB143" i="39"/>
  <c r="CS28" i="13"/>
  <c r="CT28" i="13" s="1"/>
  <c r="CU28" i="13" s="1"/>
  <c r="CS43" i="13"/>
  <c r="CX9" i="13"/>
  <c r="CN27" i="13"/>
  <c r="CS42" i="13"/>
  <c r="CX42" i="13"/>
  <c r="CY40" i="13"/>
  <c r="CY41" i="13"/>
  <c r="CZ41" i="13" s="1"/>
  <c r="DC9" i="13"/>
  <c r="DD29" i="13"/>
  <c r="DC27" i="13"/>
  <c r="DC28" i="13"/>
  <c r="CO42" i="13"/>
  <c r="CP42" i="13" s="1"/>
  <c r="CS9" i="13"/>
  <c r="CX8" i="13"/>
  <c r="CY27" i="13"/>
  <c r="DC8" i="13"/>
  <c r="DD41" i="13"/>
  <c r="DE41" i="13" s="1"/>
  <c r="DD40" i="13"/>
  <c r="DE40" i="13" s="1"/>
  <c r="CN40" i="13"/>
  <c r="CN43" i="13"/>
  <c r="CQ25" i="13"/>
  <c r="CX43" i="13"/>
  <c r="CN28" i="13"/>
  <c r="CS8" i="13"/>
  <c r="CT29" i="13"/>
  <c r="CX29" i="13"/>
  <c r="DC43" i="13"/>
  <c r="DC42" i="13"/>
  <c r="CX28" i="13"/>
  <c r="CS27" i="13"/>
  <c r="CN29" i="13"/>
  <c r="CY7" i="16"/>
  <c r="CZ7" i="16" s="1"/>
  <c r="DD7" i="16"/>
  <c r="CW59" i="12"/>
  <c r="CW65" i="12" s="1"/>
  <c r="DJ15" i="12"/>
  <c r="DM15" i="12" s="1"/>
  <c r="DN15" i="12" s="1"/>
  <c r="DO15" i="12" s="1"/>
  <c r="CY22" i="1"/>
  <c r="CY17" i="11" s="1"/>
  <c r="CZ17" i="11" s="1"/>
  <c r="CT59" i="12"/>
  <c r="CT65" i="12" s="1"/>
  <c r="DE7" i="12"/>
  <c r="DJ34" i="12"/>
  <c r="DM34" i="12" s="1"/>
  <c r="DN34" i="12" s="1"/>
  <c r="DO34" i="12" s="1"/>
  <c r="DC8" i="16"/>
  <c r="DH34" i="16" s="1"/>
  <c r="CY17" i="1"/>
  <c r="CY12" i="11" s="1"/>
  <c r="CY154" i="1"/>
  <c r="CY8" i="16" s="1"/>
  <c r="CZ8" i="16" s="1"/>
  <c r="CY52" i="11"/>
  <c r="CZ202" i="1"/>
  <c r="DB8" i="16"/>
  <c r="DB74" i="39" s="1"/>
  <c r="DB117" i="1"/>
  <c r="DB119" i="1" s="1"/>
  <c r="DB143" i="1" s="1"/>
  <c r="DB145" i="1" s="1"/>
  <c r="DB147" i="1" s="1"/>
  <c r="CY36" i="1"/>
  <c r="DD52" i="11"/>
  <c r="DE202" i="1"/>
  <c r="CS9" i="11"/>
  <c r="CV9" i="11"/>
  <c r="CR9" i="11"/>
  <c r="CR33" i="11"/>
  <c r="CW9" i="11"/>
  <c r="DA9" i="11"/>
  <c r="DA86" i="11" s="1"/>
  <c r="DD30" i="12"/>
  <c r="DE30" i="12" s="1"/>
  <c r="DD22" i="1"/>
  <c r="DD17" i="11" s="1"/>
  <c r="DD117" i="1"/>
  <c r="DD119" i="1" s="1"/>
  <c r="DD143" i="1" s="1"/>
  <c r="DD145" i="1" s="1"/>
  <c r="CX33" i="11"/>
  <c r="DC59" i="12"/>
  <c r="DC65" i="12" s="1"/>
  <c r="DA117" i="1"/>
  <c r="DA119" i="1" s="1"/>
  <c r="DA143" i="1" s="1"/>
  <c r="DA145" i="1" s="1"/>
  <c r="DA147" i="1" s="1"/>
  <c r="DA44" i="12"/>
  <c r="DC44" i="12"/>
  <c r="DD17" i="1"/>
  <c r="DD12" i="11" s="1"/>
  <c r="DD29" i="11"/>
  <c r="DC117" i="1"/>
  <c r="DC119" i="1" s="1"/>
  <c r="DC143" i="1" s="1"/>
  <c r="DC145" i="1" s="1"/>
  <c r="DC147" i="1" s="1"/>
  <c r="CT44" i="12"/>
  <c r="CZ110" i="1"/>
  <c r="CX9" i="11"/>
  <c r="DB9" i="11"/>
  <c r="CO44" i="12"/>
  <c r="CV44" i="12"/>
  <c r="DB44" i="12"/>
  <c r="CZ76" i="1"/>
  <c r="CZ83" i="1" s="1"/>
  <c r="DC9" i="11"/>
  <c r="CW44" i="12"/>
  <c r="DA14" i="12"/>
  <c r="CO56" i="12"/>
  <c r="CX14" i="12"/>
  <c r="CY59" i="12"/>
  <c r="CY65" i="12" s="1"/>
  <c r="CX44" i="12"/>
  <c r="DB14" i="12"/>
  <c r="DA30" i="12"/>
  <c r="DD44" i="12"/>
  <c r="CX56" i="12"/>
  <c r="CX57" i="12" s="1"/>
  <c r="DB56" i="12"/>
  <c r="DB57" i="12" s="1"/>
  <c r="CQ9" i="11"/>
  <c r="CY44" i="12"/>
  <c r="CZ44" i="12" s="1"/>
  <c r="DC14" i="12"/>
  <c r="DB30" i="12"/>
  <c r="CY56" i="12"/>
  <c r="DC56" i="12"/>
  <c r="DC57" i="12" s="1"/>
  <c r="CR45" i="13"/>
  <c r="DC30" i="12"/>
  <c r="DD56" i="12"/>
  <c r="DD59" i="12"/>
  <c r="CV30" i="12"/>
  <c r="CY17" i="39"/>
  <c r="CZ62" i="39"/>
  <c r="CY81" i="39"/>
  <c r="CY90" i="39" s="1"/>
  <c r="DB46" i="39"/>
  <c r="DB39" i="39" s="1"/>
  <c r="CZ124" i="39"/>
  <c r="DE91" i="39"/>
  <c r="DA125" i="39"/>
  <c r="DD46" i="39"/>
  <c r="DD39" i="39" s="1"/>
  <c r="DB125" i="39"/>
  <c r="CX46" i="39"/>
  <c r="CX39" i="39" s="1"/>
  <c r="CZ146" i="39"/>
  <c r="CY142" i="39"/>
  <c r="CY143" i="39" s="1"/>
  <c r="CU20" i="39"/>
  <c r="DE20" i="39"/>
  <c r="CV43" i="39"/>
  <c r="CV36" i="39" s="1"/>
  <c r="DE102" i="39"/>
  <c r="CU36" i="39"/>
  <c r="CW46" i="39"/>
  <c r="CW39" i="39" s="1"/>
  <c r="CU37" i="39"/>
  <c r="CU134" i="39"/>
  <c r="CY44" i="39"/>
  <c r="CY37" i="39" s="1"/>
  <c r="DA175" i="39"/>
  <c r="CZ20" i="39"/>
  <c r="CZ16" i="39"/>
  <c r="DC17" i="39"/>
  <c r="CX43" i="39"/>
  <c r="CX36" i="39" s="1"/>
  <c r="CX44" i="39"/>
  <c r="CX37" i="39" s="1"/>
  <c r="CV46" i="39"/>
  <c r="CV39" i="39" s="1"/>
  <c r="DC46" i="39"/>
  <c r="DC39" i="39" s="1"/>
  <c r="DE66" i="39"/>
  <c r="CZ91" i="39"/>
  <c r="DE127" i="39"/>
  <c r="DE146" i="39"/>
  <c r="DD142" i="39"/>
  <c r="CZ174" i="39"/>
  <c r="DE14" i="39"/>
  <c r="DA43" i="39"/>
  <c r="DA36" i="39" s="1"/>
  <c r="DE62" i="39"/>
  <c r="DB43" i="39"/>
  <c r="DB36" i="39" s="1"/>
  <c r="CZ58" i="39"/>
  <c r="CZ65" i="39"/>
  <c r="CZ120" i="39"/>
  <c r="DC148" i="39"/>
  <c r="DE174" i="39"/>
  <c r="DE124" i="39"/>
  <c r="DC43" i="39"/>
  <c r="DC36" i="39" s="1"/>
  <c r="DE58" i="39"/>
  <c r="DE65" i="39"/>
  <c r="DD148" i="39"/>
  <c r="DC175" i="39"/>
  <c r="DE60" i="39"/>
  <c r="DE16" i="39"/>
  <c r="DE37" i="39"/>
  <c r="CW44" i="39"/>
  <c r="CW37" i="39" s="1"/>
  <c r="DD125" i="39"/>
  <c r="CX142" i="39"/>
  <c r="CX143" i="39" s="1"/>
  <c r="CU112" i="39"/>
  <c r="DE27" i="39"/>
  <c r="DE15" i="39"/>
  <c r="CZ93" i="39"/>
  <c r="CZ94" i="39" s="1"/>
  <c r="DE26" i="39"/>
  <c r="CZ27" i="39"/>
  <c r="CY91" i="39"/>
  <c r="DA93" i="39"/>
  <c r="DC142" i="39"/>
  <c r="CU130" i="39"/>
  <c r="CZ26" i="39"/>
  <c r="DA90" i="39"/>
  <c r="DE11" i="39"/>
  <c r="CW17" i="39"/>
  <c r="DE36" i="39"/>
  <c r="CW43" i="39"/>
  <c r="CW36" i="39" s="1"/>
  <c r="DE98" i="39"/>
  <c r="CU35" i="39"/>
  <c r="CU47" i="39"/>
  <c r="DD17" i="39"/>
  <c r="DE8" i="39"/>
  <c r="CZ11" i="39"/>
  <c r="CX17" i="39"/>
  <c r="DC125" i="39"/>
  <c r="CW142" i="39"/>
  <c r="CW143" i="39" s="1"/>
  <c r="DD175" i="39"/>
  <c r="CU8" i="39"/>
  <c r="DB75" i="12"/>
  <c r="DB76" i="12" s="1"/>
  <c r="CX30" i="12"/>
  <c r="CR36" i="13"/>
  <c r="DE30" i="13"/>
  <c r="CW45" i="13"/>
  <c r="DB45" i="13"/>
  <c r="CZ12" i="13"/>
  <c r="DB36" i="13"/>
  <c r="CU39" i="13"/>
  <c r="CW36" i="13"/>
  <c r="CZ21" i="13"/>
  <c r="CZ39" i="13"/>
  <c r="CZ15" i="13"/>
  <c r="DE16" i="13"/>
  <c r="CZ34" i="13"/>
  <c r="DE32" i="13"/>
  <c r="CU21" i="13"/>
  <c r="CZ31" i="13"/>
  <c r="CZ30" i="13"/>
  <c r="DE7" i="13"/>
  <c r="DE35" i="13"/>
  <c r="CP10" i="13"/>
  <c r="CU7" i="13"/>
  <c r="DE13" i="13"/>
  <c r="DE31" i="13"/>
  <c r="DE20" i="13"/>
  <c r="DE24" i="13"/>
  <c r="DE14" i="13"/>
  <c r="DC37" i="13"/>
  <c r="DD46" i="13"/>
  <c r="DB18" i="13"/>
  <c r="DE15" i="13"/>
  <c r="DC26" i="13"/>
  <c r="DE21" i="13"/>
  <c r="DE12" i="13"/>
  <c r="DD19" i="13"/>
  <c r="DC18" i="13"/>
  <c r="CZ14" i="13"/>
  <c r="CX37" i="13"/>
  <c r="CW18" i="13"/>
  <c r="CZ22" i="13"/>
  <c r="CZ44" i="13"/>
  <c r="CZ16" i="13"/>
  <c r="CZ35" i="13"/>
  <c r="CZ10" i="13"/>
  <c r="CY19" i="13"/>
  <c r="CX18" i="13"/>
  <c r="CY46" i="13"/>
  <c r="CX26" i="13"/>
  <c r="CZ20" i="13"/>
  <c r="CU13" i="13"/>
  <c r="CU32" i="13"/>
  <c r="CU20" i="13"/>
  <c r="CR18" i="13"/>
  <c r="CS37" i="13"/>
  <c r="CT19" i="13"/>
  <c r="CS18" i="13"/>
  <c r="CS26" i="13"/>
  <c r="CU30" i="13"/>
  <c r="CU14" i="13"/>
  <c r="CU46" i="13"/>
  <c r="CU12" i="13"/>
  <c r="CU24" i="13"/>
  <c r="CU35" i="13"/>
  <c r="CU31" i="13"/>
  <c r="CP44" i="13"/>
  <c r="CP39" i="13"/>
  <c r="CP30" i="13"/>
  <c r="CN19" i="13"/>
  <c r="CM18" i="13"/>
  <c r="CO24" i="13"/>
  <c r="CR59" i="12"/>
  <c r="CR65" i="12" s="1"/>
  <c r="CR66" i="12" s="1"/>
  <c r="DA59" i="12"/>
  <c r="CX59" i="12"/>
  <c r="CX65" i="12" s="1"/>
  <c r="DB59" i="12"/>
  <c r="CV59" i="12"/>
  <c r="CO30" i="12"/>
  <c r="CY30" i="12"/>
  <c r="CV29" i="11"/>
  <c r="CX34" i="11"/>
  <c r="CV34" i="11"/>
  <c r="DE7" i="11"/>
  <c r="CW34" i="11"/>
  <c r="CR34" i="11"/>
  <c r="CW29" i="11"/>
  <c r="CS34" i="11"/>
  <c r="CX74" i="12"/>
  <c r="DA34" i="11"/>
  <c r="CQ34" i="11"/>
  <c r="CZ7" i="11"/>
  <c r="CZ16" i="11"/>
  <c r="DE6" i="11"/>
  <c r="CS29" i="11"/>
  <c r="CW33" i="11"/>
  <c r="CW74" i="12"/>
  <c r="CZ13" i="11"/>
  <c r="DE15" i="11"/>
  <c r="DC33" i="11"/>
  <c r="DE23" i="11"/>
  <c r="DE51" i="11"/>
  <c r="CW30" i="12"/>
  <c r="CS33" i="11"/>
  <c r="DE13" i="11"/>
  <c r="DB29" i="11"/>
  <c r="CU52" i="11"/>
  <c r="CZ6" i="11"/>
  <c r="CZ15" i="11"/>
  <c r="DE16" i="11"/>
  <c r="CV14" i="12"/>
  <c r="CQ33" i="11"/>
  <c r="CU51" i="11"/>
  <c r="CZ23" i="11"/>
  <c r="CZ51" i="11"/>
  <c r="DA29" i="11"/>
  <c r="DC34" i="11"/>
  <c r="DE25" i="12"/>
  <c r="DE37" i="12"/>
  <c r="DD14" i="12"/>
  <c r="CZ11" i="12"/>
  <c r="CW14" i="12"/>
  <c r="CZ25" i="12"/>
  <c r="CZ37" i="12"/>
  <c r="CY14" i="12"/>
  <c r="CP25" i="12"/>
  <c r="CP37" i="12"/>
  <c r="CT30" i="12"/>
  <c r="CT14" i="12"/>
  <c r="CU7" i="12"/>
  <c r="DC29" i="11"/>
  <c r="DE19" i="11"/>
  <c r="CX29" i="11"/>
  <c r="CV33" i="11"/>
  <c r="CZ19" i="11"/>
  <c r="CQ29" i="11"/>
  <c r="CR29" i="11"/>
  <c r="CU116" i="39"/>
  <c r="CU117" i="39" s="1"/>
  <c r="CU38" i="39"/>
  <c r="CU132" i="39"/>
  <c r="CZ66" i="39"/>
  <c r="CZ162" i="39"/>
  <c r="CZ173" i="39"/>
  <c r="CU39" i="39"/>
  <c r="CU170" i="39"/>
  <c r="CZ14" i="39"/>
  <c r="CZ15" i="39"/>
  <c r="DE67" i="39"/>
  <c r="DE99" i="39"/>
  <c r="DE92" i="39"/>
  <c r="CZ39" i="39"/>
  <c r="CZ36" i="39"/>
  <c r="CX42" i="39"/>
  <c r="CZ35" i="39"/>
  <c r="CW42" i="39"/>
  <c r="CZ47" i="39"/>
  <c r="CV42" i="39"/>
  <c r="CZ132" i="39"/>
  <c r="DE90" i="39"/>
  <c r="DE120" i="39"/>
  <c r="DE134" i="39"/>
  <c r="DE112" i="39"/>
  <c r="DJ125" i="39" s="1"/>
  <c r="CX90" i="39"/>
  <c r="DA17" i="39"/>
  <c r="CZ37" i="39"/>
  <c r="DE93" i="39"/>
  <c r="DE132" i="39"/>
  <c r="CZ139" i="39"/>
  <c r="DE170" i="39"/>
  <c r="DA67" i="39"/>
  <c r="DB148" i="39"/>
  <c r="DB44" i="39"/>
  <c r="DB37" i="39" s="1"/>
  <c r="DA44" i="39"/>
  <c r="DA37" i="39" s="1"/>
  <c r="DE47" i="39"/>
  <c r="CZ99" i="39"/>
  <c r="DE130" i="39"/>
  <c r="CZ8" i="39"/>
  <c r="DD42" i="39"/>
  <c r="DC42" i="39"/>
  <c r="DE35" i="39"/>
  <c r="DB42" i="39"/>
  <c r="CX45" i="39"/>
  <c r="CX38" i="39" s="1"/>
  <c r="CZ38" i="39"/>
  <c r="CW45" i="39"/>
  <c r="CW38" i="39" s="1"/>
  <c r="CV45" i="39"/>
  <c r="CV38" i="39" s="1"/>
  <c r="CZ122" i="39"/>
  <c r="CZ116" i="39"/>
  <c r="CZ117" i="39" s="1"/>
  <c r="CZ130" i="39"/>
  <c r="CV142" i="39"/>
  <c r="CV143" i="39" s="1"/>
  <c r="CV17" i="39"/>
  <c r="DB17" i="39"/>
  <c r="DE39" i="39"/>
  <c r="DC44" i="39"/>
  <c r="DC37" i="39" s="1"/>
  <c r="DD45" i="39"/>
  <c r="DD38" i="39" s="1"/>
  <c r="DC45" i="39"/>
  <c r="DC38" i="39" s="1"/>
  <c r="DE38" i="39"/>
  <c r="DB45" i="39"/>
  <c r="DB38" i="39" s="1"/>
  <c r="CW93" i="39"/>
  <c r="CW90" i="39"/>
  <c r="CX93" i="39"/>
  <c r="CZ134" i="39"/>
  <c r="DE147" i="39"/>
  <c r="DA142" i="39"/>
  <c r="DA148" i="39"/>
  <c r="DE173" i="39"/>
  <c r="CZ170" i="39"/>
  <c r="DB175" i="39"/>
  <c r="CY92" i="39"/>
  <c r="DE116" i="39"/>
  <c r="DE117" i="39" s="1"/>
  <c r="DE122" i="39"/>
  <c r="CV90" i="39"/>
  <c r="CV94" i="39" s="1"/>
  <c r="CZ112" i="39"/>
  <c r="DD36" i="1"/>
  <c r="CY40" i="1"/>
  <c r="DD40" i="1"/>
  <c r="DE139" i="1"/>
  <c r="DE141" i="1" s="1"/>
  <c r="DE76" i="1"/>
  <c r="DE83" i="1" s="1"/>
  <c r="CZ129" i="1"/>
  <c r="CZ131" i="1" s="1"/>
  <c r="CZ139" i="1"/>
  <c r="CZ141" i="1" s="1"/>
  <c r="DE129" i="1"/>
  <c r="DE131" i="1" s="1"/>
  <c r="DE111" i="1"/>
  <c r="DE117" i="1" s="1"/>
  <c r="DE119" i="1" s="1"/>
  <c r="CZ90" i="1"/>
  <c r="CZ92" i="1" s="1"/>
  <c r="DE59" i="1"/>
  <c r="DE90" i="1"/>
  <c r="DE92" i="1" s="1"/>
  <c r="DI33" i="16" l="1"/>
  <c r="DF51" i="16"/>
  <c r="DI35" i="16"/>
  <c r="DF53" i="16"/>
  <c r="DP34" i="12"/>
  <c r="DQ34" i="12" s="1"/>
  <c r="DR34" i="12" s="1"/>
  <c r="DS34" i="12" s="1"/>
  <c r="DT34" i="12" s="1"/>
  <c r="DU34" i="12" s="1"/>
  <c r="DV34" i="12" s="1"/>
  <c r="DP15" i="12"/>
  <c r="DQ15" i="12" s="1"/>
  <c r="DR15" i="12" s="1"/>
  <c r="DS15" i="12" s="1"/>
  <c r="DT15" i="12" s="1"/>
  <c r="DU15" i="12" s="1"/>
  <c r="DV15" i="12" s="1"/>
  <c r="DO54" i="13"/>
  <c r="DG100" i="39"/>
  <c r="DB100" i="39"/>
  <c r="DB81" i="39"/>
  <c r="CY62" i="11"/>
  <c r="CZ62" i="11" s="1"/>
  <c r="CZ71" i="16"/>
  <c r="DG175" i="39"/>
  <c r="DD9" i="11"/>
  <c r="DC74" i="39"/>
  <c r="CZ8" i="11"/>
  <c r="CZ9" i="11" s="1"/>
  <c r="DD86" i="16"/>
  <c r="DE9" i="16"/>
  <c r="DD59" i="16" s="1"/>
  <c r="CS66" i="12"/>
  <c r="CY86" i="16"/>
  <c r="CZ9" i="16"/>
  <c r="CV58" i="16"/>
  <c r="CW58" i="16"/>
  <c r="CX58" i="16"/>
  <c r="CY58" i="16"/>
  <c r="DC85" i="16"/>
  <c r="DC11" i="16"/>
  <c r="DC88" i="16" s="1"/>
  <c r="CW66" i="12"/>
  <c r="DF175" i="39"/>
  <c r="DE142" i="39"/>
  <c r="CV25" i="13"/>
  <c r="CV47" i="13" s="1"/>
  <c r="CY66" i="12"/>
  <c r="DA60" i="12"/>
  <c r="CO66" i="12"/>
  <c r="DE29" i="13"/>
  <c r="DB71" i="12"/>
  <c r="CW60" i="12"/>
  <c r="DG34" i="16"/>
  <c r="DB11" i="16"/>
  <c r="CS60" i="12"/>
  <c r="CX22" i="12"/>
  <c r="DE284" i="1"/>
  <c r="DC63" i="11"/>
  <c r="DF75" i="12"/>
  <c r="X225" i="44"/>
  <c r="X238" i="44" s="1"/>
  <c r="CT60" i="12"/>
  <c r="Z222" i="44"/>
  <c r="Y61" i="44"/>
  <c r="CZ284" i="1"/>
  <c r="DF74" i="12"/>
  <c r="DA88" i="16"/>
  <c r="CU286" i="1"/>
  <c r="DE12" i="11"/>
  <c r="Y222" i="44"/>
  <c r="CY93" i="39"/>
  <c r="CY94" i="39" s="1"/>
  <c r="X226" i="44"/>
  <c r="CY74" i="12"/>
  <c r="DD6" i="13"/>
  <c r="DA25" i="13"/>
  <c r="DA47" i="13" s="1"/>
  <c r="DD74" i="12"/>
  <c r="DD84" i="16"/>
  <c r="CY43" i="13"/>
  <c r="CZ43" i="13" s="1"/>
  <c r="DB60" i="12"/>
  <c r="CY57" i="12"/>
  <c r="DA22" i="12"/>
  <c r="CY60" i="12"/>
  <c r="CZ59" i="12"/>
  <c r="CX36" i="12"/>
  <c r="DE21" i="11"/>
  <c r="CZ52" i="11"/>
  <c r="CZ34" i="11" s="1"/>
  <c r="CZ217" i="1"/>
  <c r="CZ216" i="1" s="1"/>
  <c r="CZ56" i="12"/>
  <c r="DB17" i="13"/>
  <c r="DC17" i="13" s="1"/>
  <c r="DD17" i="13" s="1"/>
  <c r="CU56" i="12"/>
  <c r="CU57" i="12" s="1"/>
  <c r="DC36" i="12"/>
  <c r="DB36" i="12"/>
  <c r="DB58" i="12"/>
  <c r="DB64" i="12" s="1"/>
  <c r="CY29" i="11"/>
  <c r="CY73" i="12"/>
  <c r="CW17" i="13"/>
  <c r="CX17" i="13" s="1"/>
  <c r="CY17" i="13" s="1"/>
  <c r="CY36" i="12"/>
  <c r="DC22" i="12"/>
  <c r="DA36" i="12"/>
  <c r="CR69" i="11"/>
  <c r="DE56" i="12"/>
  <c r="CT22" i="12"/>
  <c r="CT36" i="12"/>
  <c r="CV36" i="12"/>
  <c r="CY58" i="12"/>
  <c r="CY64" i="12" s="1"/>
  <c r="CY67" i="12" s="1"/>
  <c r="DB22" i="12"/>
  <c r="CV58" i="12"/>
  <c r="CV64" i="12" s="1"/>
  <c r="DC58" i="12"/>
  <c r="DC64" i="12" s="1"/>
  <c r="DC67" i="12" s="1"/>
  <c r="CX58" i="12"/>
  <c r="CX64" i="12" s="1"/>
  <c r="CX67" i="12" s="1"/>
  <c r="CW58" i="12"/>
  <c r="CT58" i="12"/>
  <c r="DA58" i="12"/>
  <c r="DA64" i="12" s="1"/>
  <c r="DD36" i="12"/>
  <c r="CV68" i="11"/>
  <c r="CP56" i="12"/>
  <c r="CP49" i="13"/>
  <c r="CZ58" i="12"/>
  <c r="CZ64" i="12" s="1"/>
  <c r="CV71" i="12"/>
  <c r="CW36" i="12"/>
  <c r="CP59" i="12"/>
  <c r="DD71" i="12"/>
  <c r="CZ12" i="11"/>
  <c r="CX66" i="12"/>
  <c r="DC60" i="12"/>
  <c r="DD34" i="11"/>
  <c r="CZ54" i="11"/>
  <c r="DA143" i="39"/>
  <c r="DN142" i="39"/>
  <c r="DS142" i="39" s="1"/>
  <c r="DD143" i="39"/>
  <c r="DN143" i="39" s="1"/>
  <c r="DS143" i="39" s="1"/>
  <c r="DM142" i="39"/>
  <c r="DR142" i="39" s="1"/>
  <c r="DC143" i="39"/>
  <c r="DM143" i="39" s="1"/>
  <c r="DR143" i="39" s="1"/>
  <c r="CZ27" i="13"/>
  <c r="CZ40" i="13"/>
  <c r="CU40" i="13"/>
  <c r="CQ47" i="13"/>
  <c r="CY29" i="13"/>
  <c r="CS36" i="13"/>
  <c r="DC36" i="13"/>
  <c r="DC45" i="13"/>
  <c r="CT27" i="13"/>
  <c r="DD28" i="13"/>
  <c r="CT42" i="13"/>
  <c r="CU29" i="13"/>
  <c r="CO28" i="13"/>
  <c r="CY8" i="13"/>
  <c r="DD42" i="13"/>
  <c r="DD8" i="13"/>
  <c r="DD9" i="13"/>
  <c r="CO27" i="13"/>
  <c r="CS45" i="13"/>
  <c r="CX36" i="13"/>
  <c r="CX45" i="13"/>
  <c r="CT9" i="13"/>
  <c r="CY42" i="13"/>
  <c r="CO29" i="13"/>
  <c r="CY28" i="13"/>
  <c r="DD43" i="13"/>
  <c r="CT8" i="13"/>
  <c r="CO40" i="13"/>
  <c r="DD27" i="13"/>
  <c r="CY9" i="13"/>
  <c r="DD91" i="39"/>
  <c r="DD97" i="39"/>
  <c r="DD92" i="39"/>
  <c r="CY157" i="1"/>
  <c r="DE143" i="1"/>
  <c r="CY34" i="11"/>
  <c r="DD57" i="12"/>
  <c r="DE52" i="11"/>
  <c r="DE34" i="11" s="1"/>
  <c r="CV73" i="12"/>
  <c r="CV69" i="11"/>
  <c r="CV72" i="12"/>
  <c r="DE59" i="12"/>
  <c r="DE65" i="12" s="1"/>
  <c r="DD33" i="11"/>
  <c r="CZ21" i="11"/>
  <c r="CO60" i="12"/>
  <c r="DC71" i="12"/>
  <c r="DE17" i="11"/>
  <c r="CY33" i="11"/>
  <c r="DC34" i="16"/>
  <c r="DE54" i="11"/>
  <c r="CZ93" i="1"/>
  <c r="DB72" i="12"/>
  <c r="DD156" i="1"/>
  <c r="DD8" i="16"/>
  <c r="DB73" i="12"/>
  <c r="DB68" i="11"/>
  <c r="CZ11" i="16"/>
  <c r="CY11" i="16"/>
  <c r="CW73" i="12"/>
  <c r="DB86" i="11"/>
  <c r="DB11" i="11"/>
  <c r="DB14" i="11" s="1"/>
  <c r="DB72" i="16" s="1"/>
  <c r="CR11" i="11"/>
  <c r="CR67" i="11" s="1"/>
  <c r="CY11" i="11"/>
  <c r="CY14" i="11" s="1"/>
  <c r="CY72" i="16" s="1"/>
  <c r="CY75" i="12"/>
  <c r="CY76" i="12" s="1"/>
  <c r="CQ70" i="11"/>
  <c r="DA72" i="12"/>
  <c r="DA71" i="11"/>
  <c r="DA70" i="11"/>
  <c r="CS70" i="11"/>
  <c r="CY72" i="12"/>
  <c r="CQ69" i="11"/>
  <c r="DC71" i="11"/>
  <c r="DC70" i="11"/>
  <c r="CS86" i="11"/>
  <c r="DA69" i="11"/>
  <c r="CS11" i="11"/>
  <c r="CS14" i="11" s="1"/>
  <c r="CS72" i="16" s="1"/>
  <c r="CS68" i="11"/>
  <c r="CS69" i="11"/>
  <c r="DD70" i="11"/>
  <c r="DA73" i="12"/>
  <c r="DA68" i="11"/>
  <c r="CY69" i="11"/>
  <c r="CY70" i="11"/>
  <c r="CY71" i="11"/>
  <c r="CW70" i="11"/>
  <c r="CW71" i="11"/>
  <c r="CW72" i="12"/>
  <c r="CW68" i="11"/>
  <c r="CY86" i="11"/>
  <c r="DB70" i="11"/>
  <c r="DB71" i="11"/>
  <c r="CR70" i="11"/>
  <c r="CW86" i="11"/>
  <c r="CR86" i="11"/>
  <c r="CQ11" i="11"/>
  <c r="CQ14" i="11" s="1"/>
  <c r="CR68" i="11"/>
  <c r="CX71" i="11"/>
  <c r="CX70" i="11"/>
  <c r="CV71" i="11"/>
  <c r="CV70" i="11"/>
  <c r="DC72" i="12"/>
  <c r="DC73" i="12"/>
  <c r="DC86" i="11"/>
  <c r="DD86" i="11"/>
  <c r="DC11" i="11"/>
  <c r="DC67" i="11" s="1"/>
  <c r="DC69" i="11"/>
  <c r="CX73" i="12"/>
  <c r="DA71" i="12"/>
  <c r="CX68" i="11"/>
  <c r="CX72" i="12"/>
  <c r="CX86" i="11"/>
  <c r="CX69" i="11"/>
  <c r="CY68" i="11"/>
  <c r="CW69" i="11"/>
  <c r="DC68" i="11"/>
  <c r="CX25" i="13"/>
  <c r="DE93" i="1"/>
  <c r="DD65" i="12"/>
  <c r="DD60" i="12"/>
  <c r="DE44" i="12"/>
  <c r="DD58" i="12"/>
  <c r="DB69" i="11"/>
  <c r="CQ68" i="11"/>
  <c r="CP44" i="12"/>
  <c r="CO58" i="12"/>
  <c r="DJ23" i="11"/>
  <c r="CW75" i="12"/>
  <c r="CW76" i="12" s="1"/>
  <c r="CY47" i="39"/>
  <c r="DA47" i="39"/>
  <c r="DD33" i="16"/>
  <c r="DD35" i="16"/>
  <c r="CZ125" i="39"/>
  <c r="DE17" i="39"/>
  <c r="DE7" i="16"/>
  <c r="DA94" i="39"/>
  <c r="CX75" i="12"/>
  <c r="CX76" i="12" s="1"/>
  <c r="CX71" i="12"/>
  <c r="DB74" i="12"/>
  <c r="CX11" i="11"/>
  <c r="CX14" i="11" s="1"/>
  <c r="DD37" i="13"/>
  <c r="DE46" i="13"/>
  <c r="DD26" i="13"/>
  <c r="DD18" i="13"/>
  <c r="DE19" i="13"/>
  <c r="CY37" i="13"/>
  <c r="CZ6" i="13"/>
  <c r="CY18" i="13"/>
  <c r="CZ19" i="13"/>
  <c r="CY26" i="13"/>
  <c r="CZ46" i="13"/>
  <c r="CT26" i="13"/>
  <c r="CT37" i="13"/>
  <c r="CT18" i="13"/>
  <c r="CU19" i="13"/>
  <c r="CP30" i="12"/>
  <c r="DA65" i="12"/>
  <c r="DA66" i="12" s="1"/>
  <c r="CV65" i="12"/>
  <c r="CR60" i="12"/>
  <c r="CX60" i="12"/>
  <c r="CO19" i="13"/>
  <c r="CO18" i="13" s="1"/>
  <c r="CN18" i="13"/>
  <c r="CV60" i="12"/>
  <c r="CZ30" i="12"/>
  <c r="DB65" i="12"/>
  <c r="CY71" i="12"/>
  <c r="DD75" i="12"/>
  <c r="DD76" i="12" s="1"/>
  <c r="DE9" i="11"/>
  <c r="CW71" i="12"/>
  <c r="CV22" i="12"/>
  <c r="CW11" i="11"/>
  <c r="CW67" i="11" s="1"/>
  <c r="CV75" i="12"/>
  <c r="CV76" i="12" s="1"/>
  <c r="DA74" i="12"/>
  <c r="DA75" i="12"/>
  <c r="DA76" i="12" s="1"/>
  <c r="DC75" i="12"/>
  <c r="DC76" i="12" s="1"/>
  <c r="DC74" i="12"/>
  <c r="DC66" i="12"/>
  <c r="DE14" i="12"/>
  <c r="DD22" i="12"/>
  <c r="CW22" i="12"/>
  <c r="CZ14" i="12"/>
  <c r="CY22" i="12"/>
  <c r="CT66" i="12"/>
  <c r="DA11" i="11"/>
  <c r="DE10" i="11"/>
  <c r="CV11" i="11"/>
  <c r="CZ10" i="11"/>
  <c r="CZ17" i="39"/>
  <c r="CZ175" i="39"/>
  <c r="CW47" i="39"/>
  <c r="CW35" i="39"/>
  <c r="CW94" i="39"/>
  <c r="DE175" i="39"/>
  <c r="DE94" i="39"/>
  <c r="CX35" i="39"/>
  <c r="CX47" i="39"/>
  <c r="DE125" i="39"/>
  <c r="DC35" i="39"/>
  <c r="DC47" i="39"/>
  <c r="DE148" i="39"/>
  <c r="CZ143" i="39"/>
  <c r="CX94" i="39"/>
  <c r="DD35" i="39"/>
  <c r="DD47" i="39"/>
  <c r="DB47" i="39"/>
  <c r="DB35" i="39"/>
  <c r="CZ142" i="39"/>
  <c r="CV47" i="39"/>
  <c r="CV35" i="39"/>
  <c r="DD147" i="1"/>
  <c r="DE147" i="1" s="1"/>
  <c r="DE145" i="1"/>
  <c r="DI34" i="16" l="1"/>
  <c r="DF52" i="16"/>
  <c r="DD72" i="12"/>
  <c r="DD68" i="11"/>
  <c r="DD73" i="12"/>
  <c r="CW62" i="12"/>
  <c r="DD11" i="11"/>
  <c r="DD67" i="11" s="1"/>
  <c r="DD71" i="11"/>
  <c r="DD69" i="11"/>
  <c r="DD75" i="39"/>
  <c r="DI101" i="39" s="1"/>
  <c r="DD10" i="16"/>
  <c r="DB102" i="39"/>
  <c r="DB93" i="39"/>
  <c r="DB90" i="39"/>
  <c r="DF144" i="1"/>
  <c r="DF145" i="1" s="1"/>
  <c r="DF147" i="1" s="1"/>
  <c r="DG144" i="1"/>
  <c r="DG145" i="1" s="1"/>
  <c r="DK145" i="1" s="1"/>
  <c r="DK147" i="1" s="1"/>
  <c r="DI144" i="1"/>
  <c r="DJ144" i="1" s="1"/>
  <c r="DH144" i="1"/>
  <c r="DH175" i="39"/>
  <c r="DE8" i="16"/>
  <c r="DD74" i="39"/>
  <c r="DD100" i="39" s="1"/>
  <c r="DI71" i="39"/>
  <c r="DI91" i="39" s="1"/>
  <c r="DC100" i="39"/>
  <c r="DC81" i="39"/>
  <c r="DC93" i="39" s="1"/>
  <c r="CQ72" i="16"/>
  <c r="CX72" i="16"/>
  <c r="CX90" i="16" s="1"/>
  <c r="CY90" i="16"/>
  <c r="CX62" i="12"/>
  <c r="DE6" i="13"/>
  <c r="DA68" i="12"/>
  <c r="DC59" i="16"/>
  <c r="DA59" i="16"/>
  <c r="DE86" i="16"/>
  <c r="DB59" i="16"/>
  <c r="CX59" i="16"/>
  <c r="CW59" i="16"/>
  <c r="CZ86" i="16"/>
  <c r="CV59" i="16"/>
  <c r="CY59" i="16"/>
  <c r="DD11" i="16"/>
  <c r="DF54" i="16" s="1"/>
  <c r="CY88" i="16"/>
  <c r="CZ88" i="16"/>
  <c r="CP60" i="12"/>
  <c r="CP65" i="12"/>
  <c r="CP66" i="12" s="1"/>
  <c r="DB45" i="12"/>
  <c r="DD45" i="12"/>
  <c r="DE45" i="12" s="1"/>
  <c r="CU36" i="12"/>
  <c r="CZ36" i="12"/>
  <c r="DC45" i="12"/>
  <c r="CX61" i="12"/>
  <c r="CT45" i="12"/>
  <c r="CY45" i="12"/>
  <c r="CZ45" i="12" s="1"/>
  <c r="DB61" i="12"/>
  <c r="CZ60" i="12"/>
  <c r="CZ62" i="12" s="1"/>
  <c r="CV62" i="12"/>
  <c r="DA61" i="12"/>
  <c r="CZ61" i="12"/>
  <c r="CZ65" i="12"/>
  <c r="CZ66" i="12" s="1"/>
  <c r="CZ68" i="12" s="1"/>
  <c r="DB25" i="13"/>
  <c r="DB47" i="13" s="1"/>
  <c r="DC78" i="12"/>
  <c r="DB88" i="16"/>
  <c r="CW25" i="13"/>
  <c r="DE60" i="12"/>
  <c r="Z61" i="44"/>
  <c r="CZ286" i="1"/>
  <c r="AA223" i="44"/>
  <c r="Z226" i="44"/>
  <c r="Z239" i="44" s="1"/>
  <c r="DE286" i="1"/>
  <c r="Y225" i="44"/>
  <c r="Y238" i="44" s="1"/>
  <c r="Y62" i="44"/>
  <c r="X239" i="44"/>
  <c r="X240" i="44" s="1"/>
  <c r="X227" i="44"/>
  <c r="Y226" i="44"/>
  <c r="Y223" i="44"/>
  <c r="Z223" i="44"/>
  <c r="CY68" i="12"/>
  <c r="CV61" i="12"/>
  <c r="CY62" i="12"/>
  <c r="DN7" i="16"/>
  <c r="DJ7" i="16"/>
  <c r="DE29" i="11"/>
  <c r="DC68" i="12"/>
  <c r="DB62" i="12"/>
  <c r="DC62" i="12"/>
  <c r="DE36" i="12"/>
  <c r="DB67" i="12"/>
  <c r="CV67" i="12"/>
  <c r="DB78" i="12"/>
  <c r="DC61" i="12"/>
  <c r="CY61" i="12"/>
  <c r="CV45" i="12"/>
  <c r="DA62" i="12"/>
  <c r="CZ57" i="12"/>
  <c r="CP58" i="12"/>
  <c r="CP64" i="12" s="1"/>
  <c r="CZ33" i="11"/>
  <c r="DF217" i="1"/>
  <c r="DE58" i="12"/>
  <c r="CX78" i="12"/>
  <c r="CW45" i="12"/>
  <c r="CT64" i="12"/>
  <c r="CT67" i="12" s="1"/>
  <c r="CT61" i="12"/>
  <c r="CY18" i="11"/>
  <c r="CY20" i="11" s="1"/>
  <c r="CY22" i="11" s="1"/>
  <c r="CX68" i="12"/>
  <c r="DA45" i="12"/>
  <c r="CX45" i="12"/>
  <c r="CZ22" i="12"/>
  <c r="DE71" i="12"/>
  <c r="DE57" i="12"/>
  <c r="CW64" i="12"/>
  <c r="CW61" i="12"/>
  <c r="CT62" i="12"/>
  <c r="CU27" i="13"/>
  <c r="CP40" i="13"/>
  <c r="CZ29" i="13"/>
  <c r="DD45" i="13"/>
  <c r="CU8" i="13"/>
  <c r="DE8" i="13"/>
  <c r="DD63" i="11"/>
  <c r="CU42" i="13"/>
  <c r="CZ42" i="13"/>
  <c r="DE9" i="13"/>
  <c r="DE28" i="13"/>
  <c r="CY45" i="13"/>
  <c r="CY36" i="13"/>
  <c r="CZ8" i="13"/>
  <c r="CZ17" i="13"/>
  <c r="DE43" i="13"/>
  <c r="DD25" i="13"/>
  <c r="DE18" i="13"/>
  <c r="CZ28" i="13"/>
  <c r="CU18" i="13"/>
  <c r="CZ18" i="13"/>
  <c r="DD36" i="13"/>
  <c r="CU9" i="13"/>
  <c r="DE42" i="13"/>
  <c r="DE27" i="13"/>
  <c r="DC25" i="13"/>
  <c r="CZ9" i="13"/>
  <c r="DE33" i="11"/>
  <c r="CZ29" i="11"/>
  <c r="DB67" i="11"/>
  <c r="DD77" i="12"/>
  <c r="DB77" i="12"/>
  <c r="CQ67" i="11"/>
  <c r="CY77" i="12"/>
  <c r="DM8" i="16"/>
  <c r="DD85" i="16"/>
  <c r="DD34" i="16"/>
  <c r="DF59" i="12"/>
  <c r="CY67" i="11"/>
  <c r="CR14" i="11"/>
  <c r="CR72" i="16" s="1"/>
  <c r="CW77" i="12"/>
  <c r="CS67" i="11"/>
  <c r="DE73" i="12"/>
  <c r="DE69" i="11"/>
  <c r="DE71" i="11"/>
  <c r="DE70" i="11"/>
  <c r="CX77" i="12"/>
  <c r="CZ70" i="11"/>
  <c r="CZ71" i="11"/>
  <c r="DC14" i="11"/>
  <c r="DC72" i="16" s="1"/>
  <c r="CZ68" i="11"/>
  <c r="DJ41" i="12"/>
  <c r="DM41" i="12" s="1"/>
  <c r="DN41" i="12" s="1"/>
  <c r="DJ13" i="12"/>
  <c r="DA67" i="12"/>
  <c r="DD66" i="12"/>
  <c r="CO64" i="12"/>
  <c r="CO61" i="12"/>
  <c r="CO62" i="12"/>
  <c r="DD64" i="12"/>
  <c r="DD67" i="12" s="1"/>
  <c r="DD61" i="12"/>
  <c r="DB66" i="12"/>
  <c r="DB68" i="12" s="1"/>
  <c r="DE37" i="13"/>
  <c r="DD62" i="12"/>
  <c r="CY25" i="13"/>
  <c r="CZ69" i="11"/>
  <c r="DE68" i="11"/>
  <c r="DN95" i="16"/>
  <c r="CX67" i="11"/>
  <c r="CW14" i="11"/>
  <c r="CW72" i="16" s="1"/>
  <c r="CW90" i="16" s="1"/>
  <c r="CV66" i="12"/>
  <c r="CV68" i="12" s="1"/>
  <c r="CU37" i="13"/>
  <c r="CZ37" i="13"/>
  <c r="DE26" i="13"/>
  <c r="CZ26" i="13"/>
  <c r="CX47" i="13"/>
  <c r="CU26" i="13"/>
  <c r="CZ71" i="12"/>
  <c r="DE66" i="12"/>
  <c r="DE22" i="12"/>
  <c r="DD78" i="12"/>
  <c r="DE72" i="12"/>
  <c r="DA77" i="12"/>
  <c r="CZ73" i="12"/>
  <c r="CZ72" i="12"/>
  <c r="DE11" i="11"/>
  <c r="DE75" i="12"/>
  <c r="DE76" i="12" s="1"/>
  <c r="DE74" i="12"/>
  <c r="CZ11" i="11"/>
  <c r="CZ14" i="11" s="1"/>
  <c r="CZ75" i="12"/>
  <c r="CZ76" i="12" s="1"/>
  <c r="DC77" i="12"/>
  <c r="CW78" i="12"/>
  <c r="CY78" i="12"/>
  <c r="DA14" i="11"/>
  <c r="DA72" i="16" s="1"/>
  <c r="DB18" i="11"/>
  <c r="CX18" i="11"/>
  <c r="CV14" i="11"/>
  <c r="CV67" i="11"/>
  <c r="CU154" i="1"/>
  <c r="CP154" i="1"/>
  <c r="CT163" i="1"/>
  <c r="CT67" i="16" s="1"/>
  <c r="CO163" i="1"/>
  <c r="CO67" i="16" s="1"/>
  <c r="CT153" i="1"/>
  <c r="CT7" i="16" s="1"/>
  <c r="CU7" i="16" s="1"/>
  <c r="CO153" i="1"/>
  <c r="CO7" i="16" s="1"/>
  <c r="CP7" i="16" s="1"/>
  <c r="CP146" i="1"/>
  <c r="CP144" i="1"/>
  <c r="CO138" i="1"/>
  <c r="CO110" i="1"/>
  <c r="CP110" i="1" s="1"/>
  <c r="CU146" i="1"/>
  <c r="CT138" i="1"/>
  <c r="CT128" i="1"/>
  <c r="CT110" i="1"/>
  <c r="CU110" i="1" s="1"/>
  <c r="CP142" i="1"/>
  <c r="CP140" i="1"/>
  <c r="CP137" i="1"/>
  <c r="CP136" i="1"/>
  <c r="CP134" i="1"/>
  <c r="CP133" i="1"/>
  <c r="CP132" i="1"/>
  <c r="CP130" i="1"/>
  <c r="CP128" i="1"/>
  <c r="CP127" i="1"/>
  <c r="CP126" i="1"/>
  <c r="CP125" i="1"/>
  <c r="CP124" i="1"/>
  <c r="CP123" i="1"/>
  <c r="CP122" i="1"/>
  <c r="CP121" i="1"/>
  <c r="CP120" i="1"/>
  <c r="CP118" i="1"/>
  <c r="CP116" i="1"/>
  <c r="CP115" i="1"/>
  <c r="CP114" i="1"/>
  <c r="CP113" i="1"/>
  <c r="CP112" i="1"/>
  <c r="CP109" i="1"/>
  <c r="CP108" i="1"/>
  <c r="CP107" i="1"/>
  <c r="CP106" i="1"/>
  <c r="CP105" i="1"/>
  <c r="CP104" i="1"/>
  <c r="CP103" i="1"/>
  <c r="CP102" i="1"/>
  <c r="CP101" i="1"/>
  <c r="CP100" i="1"/>
  <c r="CP99" i="1"/>
  <c r="CU140" i="1"/>
  <c r="CU137" i="1"/>
  <c r="CU136" i="1"/>
  <c r="CU134" i="1"/>
  <c r="CU133" i="1"/>
  <c r="CU132" i="1"/>
  <c r="CU130" i="1"/>
  <c r="CU127" i="1"/>
  <c r="CU126" i="1"/>
  <c r="CU125" i="1"/>
  <c r="CU124" i="1"/>
  <c r="CU123" i="1"/>
  <c r="CU122" i="1"/>
  <c r="CU121" i="1"/>
  <c r="CU120" i="1"/>
  <c r="CU118" i="1"/>
  <c r="CU116" i="1"/>
  <c r="CU115" i="1"/>
  <c r="CU114" i="1"/>
  <c r="CU113" i="1"/>
  <c r="CU112" i="1"/>
  <c r="CU109" i="1"/>
  <c r="CU108" i="1"/>
  <c r="CU107" i="1"/>
  <c r="CU106" i="1"/>
  <c r="CU105" i="1"/>
  <c r="CU104" i="1"/>
  <c r="CU103" i="1"/>
  <c r="CU102" i="1"/>
  <c r="CU101" i="1"/>
  <c r="CU100" i="1"/>
  <c r="CU99" i="1"/>
  <c r="CU91" i="1"/>
  <c r="CU89" i="1"/>
  <c r="CU88" i="1"/>
  <c r="CU87" i="1"/>
  <c r="CU86" i="1"/>
  <c r="CU85" i="1"/>
  <c r="CU84" i="1"/>
  <c r="CU82" i="1"/>
  <c r="CU81" i="1"/>
  <c r="CU80" i="1"/>
  <c r="CU79" i="1"/>
  <c r="CU78" i="1"/>
  <c r="CU77" i="1"/>
  <c r="CU75" i="1"/>
  <c r="CU74" i="1"/>
  <c r="CU73" i="1"/>
  <c r="CU72" i="1"/>
  <c r="CU71" i="1"/>
  <c r="CU67" i="1"/>
  <c r="CU66" i="1"/>
  <c r="CU65" i="1"/>
  <c r="CU64" i="1"/>
  <c r="CU63" i="1"/>
  <c r="CU62" i="1"/>
  <c r="CU61" i="1"/>
  <c r="CU60" i="1"/>
  <c r="CU58" i="1"/>
  <c r="CU57" i="1"/>
  <c r="CU56" i="1"/>
  <c r="CU55" i="1"/>
  <c r="CU54" i="1"/>
  <c r="CU53" i="1"/>
  <c r="CU52" i="1"/>
  <c r="CU51" i="1"/>
  <c r="CP36" i="1"/>
  <c r="CP22" i="1"/>
  <c r="CP21" i="1"/>
  <c r="CP9" i="1"/>
  <c r="CP11" i="1" s="1"/>
  <c r="CO30" i="1"/>
  <c r="CO23" i="11" s="1"/>
  <c r="CO28" i="1"/>
  <c r="CO26" i="1"/>
  <c r="CO18" i="1"/>
  <c r="CO17" i="1"/>
  <c r="CO12" i="11" s="1"/>
  <c r="CO13" i="1"/>
  <c r="CO12" i="1"/>
  <c r="CO10" i="1"/>
  <c r="CO8" i="1"/>
  <c r="CO7" i="11" s="1"/>
  <c r="CO7" i="1"/>
  <c r="CO6" i="11" s="1"/>
  <c r="DE9" i="1"/>
  <c r="DE11" i="1" s="1"/>
  <c r="DD9" i="1"/>
  <c r="DD11" i="1" s="1"/>
  <c r="DC9" i="1"/>
  <c r="DC11" i="1" s="1"/>
  <c r="DB9" i="1"/>
  <c r="DB11" i="1" s="1"/>
  <c r="DA9" i="1"/>
  <c r="DA11" i="1" s="1"/>
  <c r="CZ9" i="1"/>
  <c r="CZ11" i="1" s="1"/>
  <c r="CY9" i="1"/>
  <c r="CY11" i="1" s="1"/>
  <c r="CX9" i="1"/>
  <c r="CX11" i="1" s="1"/>
  <c r="CW9" i="1"/>
  <c r="CW11" i="1" s="1"/>
  <c r="CV9" i="1"/>
  <c r="CV11" i="1" s="1"/>
  <c r="CU9" i="1"/>
  <c r="CU11" i="1" s="1"/>
  <c r="CS9" i="1"/>
  <c r="CS11" i="1" s="1"/>
  <c r="CR9" i="1"/>
  <c r="CR11" i="1" s="1"/>
  <c r="CQ9" i="1"/>
  <c r="CQ11" i="1" s="1"/>
  <c r="CN9" i="1"/>
  <c r="CN11" i="1" s="1"/>
  <c r="CM9" i="1"/>
  <c r="CM11" i="1" s="1"/>
  <c r="CL9" i="1"/>
  <c r="CL11" i="1" s="1"/>
  <c r="CU22" i="1"/>
  <c r="CT30" i="1"/>
  <c r="CT23" i="11" s="1"/>
  <c r="CT28" i="1"/>
  <c r="CT40" i="1" s="1"/>
  <c r="CT26" i="1"/>
  <c r="CT18" i="1"/>
  <c r="CT13" i="11" s="1"/>
  <c r="CT17" i="1"/>
  <c r="CT12" i="11" s="1"/>
  <c r="CT13" i="1"/>
  <c r="CT12" i="1"/>
  <c r="CT10" i="1"/>
  <c r="CT8" i="1"/>
  <c r="CT7" i="11" s="1"/>
  <c r="CU7" i="11" s="1"/>
  <c r="CT7" i="1"/>
  <c r="CT6" i="11" s="1"/>
  <c r="CN154" i="1"/>
  <c r="CN8" i="16" s="1"/>
  <c r="CN11" i="16" s="1"/>
  <c r="CS154" i="1"/>
  <c r="CS8" i="16" s="1"/>
  <c r="CN110" i="1"/>
  <c r="CS99" i="1"/>
  <c r="CS6" i="13" s="1"/>
  <c r="CS87" i="1"/>
  <c r="CS74" i="1"/>
  <c r="CS65" i="1"/>
  <c r="CS21" i="12" s="1"/>
  <c r="CS57" i="1"/>
  <c r="CS12" i="12" s="1"/>
  <c r="CN22" i="1"/>
  <c r="CS22" i="1"/>
  <c r="CS17" i="11" s="1"/>
  <c r="CR154" i="1"/>
  <c r="CR8" i="16" s="1"/>
  <c r="CM154" i="1"/>
  <c r="CM8" i="16" s="1"/>
  <c r="CM11" i="16" s="1"/>
  <c r="CM110" i="1"/>
  <c r="CM17" i="13" s="1"/>
  <c r="CR110" i="1"/>
  <c r="CR81" i="1"/>
  <c r="CR35" i="12" s="1"/>
  <c r="CR87" i="1"/>
  <c r="CR74" i="1"/>
  <c r="CR65" i="1"/>
  <c r="CR21" i="12" s="1"/>
  <c r="CR57" i="1"/>
  <c r="CR12" i="12" s="1"/>
  <c r="DE15" i="1"/>
  <c r="DD15" i="1"/>
  <c r="DC15" i="1"/>
  <c r="DB15" i="1"/>
  <c r="DA15" i="1"/>
  <c r="CZ15" i="1"/>
  <c r="CY15" i="1"/>
  <c r="CX15" i="1"/>
  <c r="CW15" i="1"/>
  <c r="CV15" i="1"/>
  <c r="CU15" i="1"/>
  <c r="CS15" i="1"/>
  <c r="CR15" i="1"/>
  <c r="CQ15" i="1"/>
  <c r="CP15" i="1"/>
  <c r="CN15" i="1"/>
  <c r="CM15" i="1"/>
  <c r="CM22" i="1"/>
  <c r="CR22" i="1"/>
  <c r="CR17" i="11" s="1"/>
  <c r="CR14" i="39"/>
  <c r="CQ154" i="1"/>
  <c r="CQ8" i="16" s="1"/>
  <c r="CL154" i="1"/>
  <c r="CL8" i="16" s="1"/>
  <c r="CO65" i="1"/>
  <c r="CP91" i="1"/>
  <c r="CP89" i="1"/>
  <c r="CP88" i="1"/>
  <c r="CP87" i="1"/>
  <c r="CP86" i="1"/>
  <c r="CP85" i="1"/>
  <c r="CP84" i="1"/>
  <c r="CO81" i="1"/>
  <c r="CP82" i="1"/>
  <c r="CP80" i="1"/>
  <c r="CP79" i="1"/>
  <c r="CP78" i="1"/>
  <c r="CP77" i="1"/>
  <c r="DB76" i="1"/>
  <c r="DB83" i="1" s="1"/>
  <c r="DA76" i="1"/>
  <c r="DA83" i="1" s="1"/>
  <c r="CY76" i="1"/>
  <c r="CY83" i="1" s="1"/>
  <c r="CX76" i="1"/>
  <c r="CX83" i="1" s="1"/>
  <c r="CW76" i="1"/>
  <c r="CW83" i="1" s="1"/>
  <c r="CV76" i="1"/>
  <c r="CV83" i="1" s="1"/>
  <c r="CT76" i="1"/>
  <c r="CT83" i="1" s="1"/>
  <c r="CQ76" i="1"/>
  <c r="CO76" i="1"/>
  <c r="CP75" i="1"/>
  <c r="CP74" i="1"/>
  <c r="CP73" i="1"/>
  <c r="CP72" i="1"/>
  <c r="CP71" i="1"/>
  <c r="CQ65" i="1"/>
  <c r="CQ21" i="12" s="1"/>
  <c r="CP67" i="1"/>
  <c r="CP66" i="1"/>
  <c r="CP64" i="1"/>
  <c r="CP63" i="1"/>
  <c r="CP62" i="1"/>
  <c r="CP61" i="1"/>
  <c r="CP60" i="1"/>
  <c r="CQ57" i="1"/>
  <c r="CQ12" i="12" s="1"/>
  <c r="CP58" i="1"/>
  <c r="CP56" i="1"/>
  <c r="CP55" i="1"/>
  <c r="CP54" i="1"/>
  <c r="CP53" i="1"/>
  <c r="CP52" i="1"/>
  <c r="CP51" i="1"/>
  <c r="CO57" i="1"/>
  <c r="CL76" i="1"/>
  <c r="CL83" i="1" s="1"/>
  <c r="CK90" i="1"/>
  <c r="CK92" i="1" s="1"/>
  <c r="CJ90" i="1"/>
  <c r="CJ92" i="1" s="1"/>
  <c r="CI90" i="1"/>
  <c r="CI92" i="1" s="1"/>
  <c r="CH90" i="1"/>
  <c r="CH92" i="1" s="1"/>
  <c r="CG90" i="1"/>
  <c r="CG92" i="1" s="1"/>
  <c r="CF90" i="1"/>
  <c r="CF92" i="1" s="1"/>
  <c r="CE90" i="1"/>
  <c r="CE92" i="1" s="1"/>
  <c r="CD90" i="1"/>
  <c r="CD92" i="1" s="1"/>
  <c r="CC90" i="1"/>
  <c r="CC92" i="1" s="1"/>
  <c r="CB90" i="1"/>
  <c r="CB92" i="1" s="1"/>
  <c r="CA90" i="1"/>
  <c r="CA92" i="1" s="1"/>
  <c r="BZ90" i="1"/>
  <c r="BZ92" i="1" s="1"/>
  <c r="BY90" i="1"/>
  <c r="BY92" i="1" s="1"/>
  <c r="BX90" i="1"/>
  <c r="BX92" i="1" s="1"/>
  <c r="BW90" i="1"/>
  <c r="BW92" i="1" s="1"/>
  <c r="BV90" i="1"/>
  <c r="BV92" i="1" s="1"/>
  <c r="BU90" i="1"/>
  <c r="BU92" i="1" s="1"/>
  <c r="BT90" i="1"/>
  <c r="BT92" i="1" s="1"/>
  <c r="BS90" i="1"/>
  <c r="BS92" i="1" s="1"/>
  <c r="BR90" i="1"/>
  <c r="BR92" i="1" s="1"/>
  <c r="BQ90" i="1"/>
  <c r="BQ92" i="1" s="1"/>
  <c r="BP90" i="1"/>
  <c r="BP92" i="1" s="1"/>
  <c r="BO90" i="1"/>
  <c r="BO92" i="1" s="1"/>
  <c r="BN90" i="1"/>
  <c r="BN92" i="1" s="1"/>
  <c r="BM90" i="1"/>
  <c r="BM92" i="1" s="1"/>
  <c r="BL90" i="1"/>
  <c r="BL92" i="1" s="1"/>
  <c r="BK90" i="1"/>
  <c r="BK92" i="1" s="1"/>
  <c r="BJ90" i="1"/>
  <c r="BJ92" i="1" s="1"/>
  <c r="BI90" i="1"/>
  <c r="BI92" i="1" s="1"/>
  <c r="BH90" i="1"/>
  <c r="BH92" i="1" s="1"/>
  <c r="BG90" i="1"/>
  <c r="BG92" i="1" s="1"/>
  <c r="BF90" i="1"/>
  <c r="BF92" i="1" s="1"/>
  <c r="BE90" i="1"/>
  <c r="BE92" i="1" s="1"/>
  <c r="BD90" i="1"/>
  <c r="BD92" i="1" s="1"/>
  <c r="BC90" i="1"/>
  <c r="BC92" i="1" s="1"/>
  <c r="BB90" i="1"/>
  <c r="BB92" i="1" s="1"/>
  <c r="BA90" i="1"/>
  <c r="BA92" i="1" s="1"/>
  <c r="AZ90" i="1"/>
  <c r="AZ92" i="1" s="1"/>
  <c r="AY90" i="1"/>
  <c r="AY92" i="1" s="1"/>
  <c r="AX90" i="1"/>
  <c r="AX92" i="1" s="1"/>
  <c r="AW90" i="1"/>
  <c r="AW92" i="1" s="1"/>
  <c r="AV90" i="1"/>
  <c r="AV92" i="1" s="1"/>
  <c r="AU90" i="1"/>
  <c r="AU92" i="1" s="1"/>
  <c r="AT90" i="1"/>
  <c r="AT92" i="1" s="1"/>
  <c r="AS90" i="1"/>
  <c r="AS92" i="1" s="1"/>
  <c r="AR90" i="1"/>
  <c r="AR92" i="1" s="1"/>
  <c r="AQ90" i="1"/>
  <c r="AQ92" i="1" s="1"/>
  <c r="AP90" i="1"/>
  <c r="AP92" i="1" s="1"/>
  <c r="AO90" i="1"/>
  <c r="AO92" i="1" s="1"/>
  <c r="AN90" i="1"/>
  <c r="AN92" i="1" s="1"/>
  <c r="AM90" i="1"/>
  <c r="AM92" i="1" s="1"/>
  <c r="AL90" i="1"/>
  <c r="AL92" i="1" s="1"/>
  <c r="AK90" i="1"/>
  <c r="AK92" i="1" s="1"/>
  <c r="AJ90" i="1"/>
  <c r="AJ92" i="1" s="1"/>
  <c r="AI90" i="1"/>
  <c r="AI92" i="1" s="1"/>
  <c r="AH90" i="1"/>
  <c r="AH92" i="1" s="1"/>
  <c r="AG90" i="1"/>
  <c r="AG92" i="1" s="1"/>
  <c r="AF90" i="1"/>
  <c r="AF92" i="1" s="1"/>
  <c r="AE90" i="1"/>
  <c r="AE92" i="1" s="1"/>
  <c r="AD90" i="1"/>
  <c r="AD92" i="1" s="1"/>
  <c r="AC90" i="1"/>
  <c r="AC92" i="1" s="1"/>
  <c r="AB90" i="1"/>
  <c r="AB92" i="1" s="1"/>
  <c r="AA90" i="1"/>
  <c r="AA92" i="1" s="1"/>
  <c r="Z90" i="1"/>
  <c r="Z92" i="1" s="1"/>
  <c r="Y90" i="1"/>
  <c r="Y92" i="1" s="1"/>
  <c r="X90" i="1"/>
  <c r="X92" i="1" s="1"/>
  <c r="W90" i="1"/>
  <c r="W92" i="1" s="1"/>
  <c r="V90" i="1"/>
  <c r="V92" i="1" s="1"/>
  <c r="U90" i="1"/>
  <c r="U92" i="1" s="1"/>
  <c r="T90" i="1"/>
  <c r="T92" i="1" s="1"/>
  <c r="S90" i="1"/>
  <c r="S92" i="1" s="1"/>
  <c r="R90" i="1"/>
  <c r="R92" i="1" s="1"/>
  <c r="Q90" i="1"/>
  <c r="Q92" i="1" s="1"/>
  <c r="P90" i="1"/>
  <c r="P92" i="1" s="1"/>
  <c r="O90" i="1"/>
  <c r="O92" i="1" s="1"/>
  <c r="N90" i="1"/>
  <c r="N92" i="1" s="1"/>
  <c r="M90" i="1"/>
  <c r="M92" i="1" s="1"/>
  <c r="L90" i="1"/>
  <c r="L92" i="1" s="1"/>
  <c r="K90" i="1"/>
  <c r="K92" i="1" s="1"/>
  <c r="J90" i="1"/>
  <c r="J92" i="1" s="1"/>
  <c r="I90" i="1"/>
  <c r="I92" i="1" s="1"/>
  <c r="H90" i="1"/>
  <c r="H92" i="1" s="1"/>
  <c r="G90" i="1"/>
  <c r="G92" i="1" s="1"/>
  <c r="F90" i="1"/>
  <c r="F92" i="1" s="1"/>
  <c r="E90" i="1"/>
  <c r="E92" i="1" s="1"/>
  <c r="D90" i="1"/>
  <c r="D92" i="1" s="1"/>
  <c r="C90" i="1"/>
  <c r="C92" i="1" s="1"/>
  <c r="DB90" i="1"/>
  <c r="DB92" i="1" s="1"/>
  <c r="DA90" i="1"/>
  <c r="DA92" i="1" s="1"/>
  <c r="CY90" i="1"/>
  <c r="CY92" i="1" s="1"/>
  <c r="CX90" i="1"/>
  <c r="CX92" i="1" s="1"/>
  <c r="CW90" i="1"/>
  <c r="CW92" i="1" s="1"/>
  <c r="CV90" i="1"/>
  <c r="CV92" i="1" s="1"/>
  <c r="CT90" i="1"/>
  <c r="CT92" i="1" s="1"/>
  <c r="CQ90" i="1"/>
  <c r="CQ92" i="1" s="1"/>
  <c r="CO90" i="1"/>
  <c r="CO92" i="1" s="1"/>
  <c r="CN90" i="1"/>
  <c r="CN92" i="1" s="1"/>
  <c r="CM90" i="1"/>
  <c r="CM92" i="1" s="1"/>
  <c r="CL90" i="1"/>
  <c r="CL92" i="1" s="1"/>
  <c r="DD92" i="1"/>
  <c r="DD93" i="1" s="1"/>
  <c r="DC92" i="1"/>
  <c r="DC93" i="1" s="1"/>
  <c r="CS40" i="1"/>
  <c r="CR40" i="1"/>
  <c r="CQ40" i="1"/>
  <c r="CS36" i="1"/>
  <c r="CR36" i="1"/>
  <c r="CQ36" i="1"/>
  <c r="DU27" i="1"/>
  <c r="DT27" i="1"/>
  <c r="DO27" i="1"/>
  <c r="DN27" i="1"/>
  <c r="DM27" i="1"/>
  <c r="DH27" i="1"/>
  <c r="DH29" i="1" s="1"/>
  <c r="DH31" i="1" s="1"/>
  <c r="DH33" i="1" s="1"/>
  <c r="DF27" i="1"/>
  <c r="DF29" i="1" s="1"/>
  <c r="DF31" i="1" s="1"/>
  <c r="DF33" i="1" s="1"/>
  <c r="CL22" i="1"/>
  <c r="CQ22" i="1"/>
  <c r="CQ17" i="11" s="1"/>
  <c r="CL15" i="1"/>
  <c r="B16" i="11"/>
  <c r="DR8" i="16" l="1"/>
  <c r="DM52" i="16"/>
  <c r="DN71" i="39"/>
  <c r="DN97" i="39" s="1"/>
  <c r="DN51" i="16"/>
  <c r="DS7" i="16"/>
  <c r="DQ8" i="16"/>
  <c r="DL52" i="16"/>
  <c r="CO21" i="11"/>
  <c r="CT21" i="11"/>
  <c r="DD101" i="39"/>
  <c r="DD14" i="11"/>
  <c r="DD72" i="16" s="1"/>
  <c r="DB94" i="39"/>
  <c r="CO71" i="16"/>
  <c r="CO62" i="11" s="1"/>
  <c r="CP67" i="16"/>
  <c r="CT71" i="16"/>
  <c r="CU67" i="16"/>
  <c r="DD87" i="16"/>
  <c r="DE10" i="16"/>
  <c r="DE87" i="16" s="1"/>
  <c r="DI92" i="39"/>
  <c r="DI97" i="39"/>
  <c r="DJ71" i="39"/>
  <c r="DJ92" i="39" s="1"/>
  <c r="DJ170" i="39"/>
  <c r="DJ175" i="39" s="1"/>
  <c r="DI175" i="39"/>
  <c r="DG147" i="1"/>
  <c r="DH145" i="1"/>
  <c r="DD88" i="16"/>
  <c r="DD81" i="39"/>
  <c r="DD93" i="39" s="1"/>
  <c r="DI74" i="39"/>
  <c r="DL11" i="16"/>
  <c r="DL54" i="16" s="1"/>
  <c r="DL74" i="39"/>
  <c r="DC90" i="39"/>
  <c r="DC94" i="39" s="1"/>
  <c r="DC102" i="39"/>
  <c r="DM11" i="16"/>
  <c r="DM74" i="39"/>
  <c r="DH100" i="39"/>
  <c r="CZ72" i="16"/>
  <c r="CZ90" i="16" s="1"/>
  <c r="CV72" i="16"/>
  <c r="CV90" i="16" s="1"/>
  <c r="CT8" i="11"/>
  <c r="CU8" i="11" s="1"/>
  <c r="CT9" i="16"/>
  <c r="CP67" i="12"/>
  <c r="CO8" i="11"/>
  <c r="CP8" i="11" s="1"/>
  <c r="CO9" i="16"/>
  <c r="CM88" i="16"/>
  <c r="CN88" i="16"/>
  <c r="CZ67" i="12"/>
  <c r="DE62" i="12"/>
  <c r="CW47" i="13"/>
  <c r="CP62" i="12"/>
  <c r="CP68" i="12"/>
  <c r="CP61" i="12"/>
  <c r="AA62" i="44"/>
  <c r="Z225" i="44"/>
  <c r="Z62" i="44"/>
  <c r="Y227" i="44"/>
  <c r="Y239" i="44"/>
  <c r="Y240" i="44" s="1"/>
  <c r="X235" i="44"/>
  <c r="CT68" i="12"/>
  <c r="DO7" i="16"/>
  <c r="DN63" i="16"/>
  <c r="DN39" i="16"/>
  <c r="CY75" i="11"/>
  <c r="CO10" i="11"/>
  <c r="CT10" i="11"/>
  <c r="CP12" i="11"/>
  <c r="CW18" i="11"/>
  <c r="CW75" i="11" s="1"/>
  <c r="CR17" i="13"/>
  <c r="CS17" i="13" s="1"/>
  <c r="CT17" i="13" s="1"/>
  <c r="CS14" i="12"/>
  <c r="DA78" i="12"/>
  <c r="CR73" i="11"/>
  <c r="CW67" i="12"/>
  <c r="CW68" i="12"/>
  <c r="CR14" i="12"/>
  <c r="CP23" i="11"/>
  <c r="DE78" i="12"/>
  <c r="CY73" i="11"/>
  <c r="DG217" i="1"/>
  <c r="CS73" i="11"/>
  <c r="CQ71" i="11"/>
  <c r="DC18" i="11"/>
  <c r="DE64" i="12"/>
  <c r="DE67" i="12" s="1"/>
  <c r="DE61" i="12"/>
  <c r="DC47" i="13"/>
  <c r="CY47" i="13"/>
  <c r="CZ25" i="13"/>
  <c r="DE36" i="13"/>
  <c r="DE45" i="13"/>
  <c r="DJ18" i="12"/>
  <c r="DE17" i="13"/>
  <c r="DE25" i="13" s="1"/>
  <c r="CZ45" i="13"/>
  <c r="CZ36" i="13"/>
  <c r="DM64" i="16"/>
  <c r="DG81" i="39"/>
  <c r="DN8" i="16"/>
  <c r="CL11" i="16"/>
  <c r="CR11" i="16"/>
  <c r="CR90" i="16" s="1"/>
  <c r="CQ11" i="16"/>
  <c r="CQ90" i="16" s="1"/>
  <c r="CS18" i="11"/>
  <c r="CS75" i="11" s="1"/>
  <c r="CS71" i="11"/>
  <c r="CR18" i="11"/>
  <c r="CR75" i="11" s="1"/>
  <c r="CR71" i="11"/>
  <c r="CS11" i="16"/>
  <c r="CS90" i="16" s="1"/>
  <c r="CN17" i="13"/>
  <c r="CU23" i="11"/>
  <c r="CT34" i="11"/>
  <c r="CP138" i="1"/>
  <c r="CP139" i="1" s="1"/>
  <c r="CP141" i="1" s="1"/>
  <c r="CO43" i="13"/>
  <c r="CP57" i="1"/>
  <c r="CO12" i="12"/>
  <c r="CP81" i="1"/>
  <c r="CO35" i="12"/>
  <c r="CQ18" i="11"/>
  <c r="CQ20" i="11" s="1"/>
  <c r="CU12" i="11"/>
  <c r="CU128" i="1"/>
  <c r="CT34" i="13"/>
  <c r="CO67" i="12"/>
  <c r="CO68" i="12"/>
  <c r="CP65" i="1"/>
  <c r="CO21" i="12"/>
  <c r="CS76" i="1"/>
  <c r="CS83" i="1" s="1"/>
  <c r="CS28" i="12"/>
  <c r="CU6" i="11"/>
  <c r="CU13" i="11"/>
  <c r="CU138" i="1"/>
  <c r="CT43" i="13"/>
  <c r="CR76" i="1"/>
  <c r="CR83" i="1" s="1"/>
  <c r="CR28" i="12"/>
  <c r="CS90" i="1"/>
  <c r="CS92" i="1" s="1"/>
  <c r="CS39" i="12"/>
  <c r="DD68" i="12"/>
  <c r="CR90" i="1"/>
  <c r="CR92" i="1" s="1"/>
  <c r="CR39" i="12"/>
  <c r="CT6" i="13"/>
  <c r="DE67" i="11"/>
  <c r="DE14" i="11"/>
  <c r="DE72" i="16" s="1"/>
  <c r="DD47" i="13"/>
  <c r="CZ67" i="11"/>
  <c r="DE77" i="12"/>
  <c r="DB75" i="11"/>
  <c r="DB20" i="11"/>
  <c r="DA18" i="11"/>
  <c r="CZ18" i="11"/>
  <c r="CX20" i="11"/>
  <c r="CX75" i="11"/>
  <c r="CX81" i="11"/>
  <c r="CX73" i="11"/>
  <c r="CY88" i="11"/>
  <c r="CV18" i="11"/>
  <c r="CY24" i="11"/>
  <c r="CY28" i="11"/>
  <c r="CY30" i="11" s="1"/>
  <c r="CY76" i="11"/>
  <c r="CY32" i="11"/>
  <c r="CQ73" i="11"/>
  <c r="DD16" i="1"/>
  <c r="CY16" i="1"/>
  <c r="CX16" i="1"/>
  <c r="CT15" i="1"/>
  <c r="CT154" i="1"/>
  <c r="CT8" i="16" s="1"/>
  <c r="CU8" i="16" s="1"/>
  <c r="CT9" i="1"/>
  <c r="CT11" i="1" s="1"/>
  <c r="CZ16" i="1"/>
  <c r="DE16" i="1"/>
  <c r="CO154" i="1"/>
  <c r="CO8" i="16" s="1"/>
  <c r="CP8" i="16" s="1"/>
  <c r="CT36" i="1"/>
  <c r="CU76" i="1"/>
  <c r="CU83" i="1" s="1"/>
  <c r="CP129" i="1"/>
  <c r="CP131" i="1" s="1"/>
  <c r="CU90" i="1"/>
  <c r="CU92" i="1" s="1"/>
  <c r="CO15" i="1"/>
  <c r="CO9" i="1"/>
  <c r="CO11" i="1" s="1"/>
  <c r="CW16" i="1"/>
  <c r="DC16" i="1"/>
  <c r="CP16" i="1"/>
  <c r="CP19" i="1" s="1"/>
  <c r="CV16" i="1"/>
  <c r="DB16" i="1"/>
  <c r="CQ16" i="1"/>
  <c r="CR16" i="1"/>
  <c r="CM16" i="1"/>
  <c r="DA16" i="1"/>
  <c r="CU16" i="1"/>
  <c r="CN16" i="1"/>
  <c r="CS16" i="1"/>
  <c r="CT93" i="1"/>
  <c r="DA93" i="1"/>
  <c r="CP76" i="1"/>
  <c r="DB93" i="1"/>
  <c r="CV93" i="1"/>
  <c r="CL93" i="1"/>
  <c r="CP90" i="1"/>
  <c r="CP92" i="1" s="1"/>
  <c r="CY93" i="1"/>
  <c r="CW93" i="1"/>
  <c r="CX93" i="1"/>
  <c r="CL16" i="1"/>
  <c r="CL19" i="1" s="1"/>
  <c r="CL23" i="1" s="1"/>
  <c r="CK15" i="1"/>
  <c r="CJ15" i="1"/>
  <c r="CI15" i="1"/>
  <c r="CH15"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Y15" i="1"/>
  <c r="AX15" i="1"/>
  <c r="AW15" i="1"/>
  <c r="AV15" i="1"/>
  <c r="AU15" i="1"/>
  <c r="AT15" i="1"/>
  <c r="AS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D15" i="1"/>
  <c r="C15" i="1"/>
  <c r="DD18" i="11" l="1"/>
  <c r="DN92" i="39"/>
  <c r="DQ64" i="16"/>
  <c r="DQ74" i="39"/>
  <c r="DQ40" i="16"/>
  <c r="DQ11" i="16"/>
  <c r="DS39" i="16"/>
  <c r="DS51" i="16"/>
  <c r="DS71" i="39"/>
  <c r="DS63" i="16"/>
  <c r="DN52" i="16"/>
  <c r="DS8" i="16"/>
  <c r="DS11" i="16" s="1"/>
  <c r="DS45" i="16" s="1"/>
  <c r="DN91" i="39"/>
  <c r="DM54" i="16"/>
  <c r="DR52" i="16"/>
  <c r="DR40" i="16"/>
  <c r="DR64" i="16"/>
  <c r="DR74" i="39"/>
  <c r="DR11" i="16"/>
  <c r="DM9" i="11"/>
  <c r="CT9" i="11"/>
  <c r="CV86" i="11" s="1"/>
  <c r="DJ91" i="39"/>
  <c r="DJ97" i="39"/>
  <c r="CP62" i="11"/>
  <c r="CQ88" i="11"/>
  <c r="CQ22" i="11"/>
  <c r="CQ24" i="11" s="1"/>
  <c r="CQ26" i="11" s="1"/>
  <c r="CT62" i="11"/>
  <c r="CU71" i="16"/>
  <c r="DE11" i="16"/>
  <c r="DE88" i="16" s="1"/>
  <c r="DL67" i="16"/>
  <c r="DD102" i="39"/>
  <c r="DD90" i="39"/>
  <c r="DD94" i="39" s="1"/>
  <c r="DM67" i="16"/>
  <c r="DH147" i="1"/>
  <c r="DI145" i="1"/>
  <c r="DO71" i="39"/>
  <c r="DO91" i="39" s="1"/>
  <c r="DD75" i="11"/>
  <c r="DL100" i="39"/>
  <c r="DL81" i="39"/>
  <c r="DL90" i="39" s="1"/>
  <c r="DN64" i="16"/>
  <c r="DN74" i="39"/>
  <c r="DI100" i="39"/>
  <c r="DI81" i="39"/>
  <c r="CY89" i="11"/>
  <c r="CX22" i="11"/>
  <c r="CX24" i="11" s="1"/>
  <c r="CX26" i="11" s="1"/>
  <c r="DG82" i="11"/>
  <c r="DB22" i="11"/>
  <c r="DB24" i="11" s="1"/>
  <c r="DB26" i="11" s="1"/>
  <c r="DM100" i="39"/>
  <c r="DM81" i="39"/>
  <c r="DM93" i="39" s="1"/>
  <c r="DC20" i="11"/>
  <c r="DN11" i="16"/>
  <c r="DN54" i="16" s="1"/>
  <c r="CO9" i="11"/>
  <c r="CP9" i="16"/>
  <c r="CO59" i="16" s="1"/>
  <c r="CU9" i="16"/>
  <c r="CT59" i="16" s="1"/>
  <c r="CS88" i="16"/>
  <c r="CR88" i="16"/>
  <c r="CQ88" i="16"/>
  <c r="CL88" i="16"/>
  <c r="CS22" i="12"/>
  <c r="DG93" i="39"/>
  <c r="DG90" i="39"/>
  <c r="DG102" i="39"/>
  <c r="DG14" i="39" s="1"/>
  <c r="DG17" i="39" s="1"/>
  <c r="Y235" i="44"/>
  <c r="CW20" i="11"/>
  <c r="CR93" i="1"/>
  <c r="CR22" i="12"/>
  <c r="Z227" i="44"/>
  <c r="Z238" i="44"/>
  <c r="Z240" i="44" s="1"/>
  <c r="DC75" i="11"/>
  <c r="Y228" i="44"/>
  <c r="DN57" i="16"/>
  <c r="DD20" i="11"/>
  <c r="DI82" i="11" s="1"/>
  <c r="CR25" i="13"/>
  <c r="CR47" i="13" s="1"/>
  <c r="DO63" i="16"/>
  <c r="DN110" i="16"/>
  <c r="DO33" i="16"/>
  <c r="DM57" i="16"/>
  <c r="DL57" i="16"/>
  <c r="DK57" i="16"/>
  <c r="DM7" i="39"/>
  <c r="DM111" i="16"/>
  <c r="CR88" i="11"/>
  <c r="CU10" i="11"/>
  <c r="DM46" i="16"/>
  <c r="CS93" i="1"/>
  <c r="CR44" i="12"/>
  <c r="CS30" i="12"/>
  <c r="CU34" i="11"/>
  <c r="DE68" i="12"/>
  <c r="CR30" i="12"/>
  <c r="CX88" i="11"/>
  <c r="CP21" i="12"/>
  <c r="DE18" i="11"/>
  <c r="DE75" i="11" s="1"/>
  <c r="CS44" i="12"/>
  <c r="CS88" i="11"/>
  <c r="DH217" i="1"/>
  <c r="CZ47" i="13"/>
  <c r="DJ25" i="12"/>
  <c r="CO17" i="13"/>
  <c r="CP43" i="13"/>
  <c r="DM45" i="16"/>
  <c r="CS25" i="13"/>
  <c r="CS20" i="11"/>
  <c r="CU9" i="11"/>
  <c r="CR20" i="11"/>
  <c r="DL46" i="16"/>
  <c r="DL7" i="39"/>
  <c r="DL45" i="16"/>
  <c r="CQ75" i="11"/>
  <c r="CU6" i="13"/>
  <c r="CT16" i="1"/>
  <c r="CW88" i="11"/>
  <c r="CW73" i="11"/>
  <c r="CU21" i="11"/>
  <c r="CT29" i="11"/>
  <c r="CT33" i="11"/>
  <c r="CU34" i="13"/>
  <c r="CT36" i="13"/>
  <c r="CP12" i="12"/>
  <c r="CO14" i="12"/>
  <c r="CW81" i="11"/>
  <c r="CP35" i="12"/>
  <c r="CO36" i="12"/>
  <c r="CU43" i="13"/>
  <c r="CT45" i="13"/>
  <c r="DA20" i="11"/>
  <c r="DA75" i="11"/>
  <c r="DB76" i="11"/>
  <c r="DB32" i="11"/>
  <c r="DG83" i="11" s="1"/>
  <c r="DB28" i="11"/>
  <c r="DB30" i="11" s="1"/>
  <c r="CX32" i="11"/>
  <c r="CY90" i="11" s="1"/>
  <c r="CX28" i="11"/>
  <c r="CX30" i="11" s="1"/>
  <c r="CX76" i="11"/>
  <c r="CZ73" i="11"/>
  <c r="CY35" i="11"/>
  <c r="CY55" i="11"/>
  <c r="CV20" i="11"/>
  <c r="CV75" i="11"/>
  <c r="CV81" i="11"/>
  <c r="CV73" i="11"/>
  <c r="CZ20" i="11"/>
  <c r="CZ75" i="11"/>
  <c r="CQ32" i="11"/>
  <c r="CQ28" i="11"/>
  <c r="CQ30" i="11" s="1"/>
  <c r="CQ76" i="11"/>
  <c r="CU93" i="1"/>
  <c r="CO16" i="1"/>
  <c r="CO19" i="1" s="1"/>
  <c r="CN19" i="1"/>
  <c r="CN23" i="1" s="1"/>
  <c r="CQ19" i="1"/>
  <c r="CQ23" i="1" s="1"/>
  <c r="CM19" i="1"/>
  <c r="CM23" i="1" s="1"/>
  <c r="DC19" i="1"/>
  <c r="DC23" i="1" s="1"/>
  <c r="DD19" i="1"/>
  <c r="DD23" i="1" s="1"/>
  <c r="DE19" i="1"/>
  <c r="DE23" i="1" s="1"/>
  <c r="CT68" i="11" l="1"/>
  <c r="CT86" i="11"/>
  <c r="CT69" i="11"/>
  <c r="CT11" i="11"/>
  <c r="CT67" i="11" s="1"/>
  <c r="DM114" i="16"/>
  <c r="DQ9" i="11"/>
  <c r="DQ7" i="39"/>
  <c r="DQ36" i="16"/>
  <c r="DQ42" i="16"/>
  <c r="DQ45" i="16"/>
  <c r="DS110" i="16"/>
  <c r="DS93" i="16"/>
  <c r="DS101" i="16"/>
  <c r="DQ46" i="16"/>
  <c r="DR54" i="16"/>
  <c r="DR9" i="11"/>
  <c r="DR36" i="16"/>
  <c r="DR7" i="39"/>
  <c r="DR42" i="16"/>
  <c r="DR45" i="16"/>
  <c r="DS46" i="16"/>
  <c r="DS48" i="16" s="1"/>
  <c r="DS54" i="16"/>
  <c r="DS7" i="39"/>
  <c r="DS9" i="11"/>
  <c r="DS36" i="16"/>
  <c r="DS42" i="16"/>
  <c r="DR46" i="16"/>
  <c r="DS97" i="39"/>
  <c r="DS92" i="39"/>
  <c r="DS91" i="39"/>
  <c r="DR100" i="39"/>
  <c r="DR81" i="39"/>
  <c r="DS64" i="16"/>
  <c r="DS52" i="16"/>
  <c r="DS40" i="16"/>
  <c r="DS74" i="39"/>
  <c r="DS81" i="39" s="1"/>
  <c r="DQ100" i="39"/>
  <c r="DQ81" i="39"/>
  <c r="DR94" i="16"/>
  <c r="DR111" i="16"/>
  <c r="DR102" i="16"/>
  <c r="DR67" i="16"/>
  <c r="DQ102" i="16"/>
  <c r="DQ94" i="16"/>
  <c r="DQ67" i="16"/>
  <c r="DN9" i="11"/>
  <c r="DM7" i="11"/>
  <c r="DM6" i="11"/>
  <c r="DM13" i="11"/>
  <c r="DM12" i="11"/>
  <c r="DM17" i="11"/>
  <c r="CU62" i="11"/>
  <c r="CV88" i="11"/>
  <c r="DL88" i="16"/>
  <c r="CV22" i="11"/>
  <c r="CV24" i="11" s="1"/>
  <c r="CV26" i="11" s="1"/>
  <c r="CQ86" i="11"/>
  <c r="DA22" i="11"/>
  <c r="DA24" i="11" s="1"/>
  <c r="DA26" i="11" s="1"/>
  <c r="DA89" i="11"/>
  <c r="DI147" i="1"/>
  <c r="DJ147" i="1" s="1"/>
  <c r="DJ145" i="1"/>
  <c r="DO92" i="39"/>
  <c r="DL102" i="39"/>
  <c r="DL14" i="39" s="1"/>
  <c r="DL17" i="39" s="1"/>
  <c r="DO97" i="39"/>
  <c r="DM88" i="16"/>
  <c r="DN111" i="16"/>
  <c r="AA228" i="44"/>
  <c r="DN67" i="16"/>
  <c r="DN114" i="16" s="1"/>
  <c r="DN100" i="39"/>
  <c r="DN81" i="39"/>
  <c r="DI90" i="39"/>
  <c r="DI102" i="39"/>
  <c r="DI14" i="39" s="1"/>
  <c r="DI93" i="39"/>
  <c r="DL93" i="39"/>
  <c r="DL94" i="39" s="1"/>
  <c r="CS22" i="11"/>
  <c r="CS24" i="11" s="1"/>
  <c r="CS26" i="11" s="1"/>
  <c r="DC22" i="11"/>
  <c r="DC24" i="11" s="1"/>
  <c r="DC26" i="11" s="1"/>
  <c r="DB82" i="11"/>
  <c r="CW22" i="11"/>
  <c r="CW24" i="11" s="1"/>
  <c r="CW26" i="11" s="1"/>
  <c r="CW38" i="11" s="1"/>
  <c r="CW47" i="11" s="1"/>
  <c r="CR76" i="11"/>
  <c r="CR22" i="11"/>
  <c r="CR24" i="11" s="1"/>
  <c r="CR26" i="11" s="1"/>
  <c r="DD32" i="11"/>
  <c r="DD83" i="11" s="1"/>
  <c r="DD22" i="11"/>
  <c r="DD24" i="11" s="1"/>
  <c r="DC32" i="11"/>
  <c r="DC55" i="11" s="1"/>
  <c r="DC76" i="11"/>
  <c r="DC82" i="11"/>
  <c r="DC28" i="11"/>
  <c r="DC30" i="11" s="1"/>
  <c r="DC89" i="11"/>
  <c r="DM90" i="39"/>
  <c r="DM94" i="39" s="1"/>
  <c r="CW76" i="11"/>
  <c r="DD28" i="11"/>
  <c r="DD30" i="11" s="1"/>
  <c r="CQ59" i="16"/>
  <c r="CR59" i="16"/>
  <c r="CS59" i="16"/>
  <c r="Z235" i="44"/>
  <c r="CN59" i="16"/>
  <c r="CL59" i="16"/>
  <c r="CM59" i="16"/>
  <c r="DG94" i="39"/>
  <c r="CW89" i="11"/>
  <c r="CW32" i="11"/>
  <c r="DB83" i="11" s="1"/>
  <c r="DN7" i="39"/>
  <c r="CW28" i="11"/>
  <c r="CW30" i="11" s="1"/>
  <c r="CX89" i="11"/>
  <c r="Z228" i="44"/>
  <c r="DU54" i="13"/>
  <c r="DE20" i="11"/>
  <c r="DE32" i="11" s="1"/>
  <c r="DD82" i="11"/>
  <c r="DD89" i="11"/>
  <c r="DD76" i="11"/>
  <c r="DM48" i="16"/>
  <c r="DO84" i="16"/>
  <c r="DL48" i="16"/>
  <c r="CX82" i="11"/>
  <c r="CS28" i="11"/>
  <c r="CS30" i="11" s="1"/>
  <c r="DJ31" i="12"/>
  <c r="DJ37" i="12"/>
  <c r="DJ17" i="12"/>
  <c r="DI217" i="1"/>
  <c r="DJ16" i="12"/>
  <c r="CS36" i="12"/>
  <c r="CX38" i="11"/>
  <c r="CX47" i="11" s="1"/>
  <c r="CR36" i="12"/>
  <c r="CU69" i="11"/>
  <c r="CR58" i="12"/>
  <c r="CQ38" i="11"/>
  <c r="CQ47" i="11" s="1"/>
  <c r="DB38" i="11"/>
  <c r="DB47" i="11" s="1"/>
  <c r="CS58" i="12"/>
  <c r="DJ43" i="12"/>
  <c r="CU17" i="13"/>
  <c r="CU45" i="13"/>
  <c r="CU36" i="13"/>
  <c r="DE47" i="13"/>
  <c r="CS47" i="13"/>
  <c r="CT25" i="13"/>
  <c r="CU68" i="11"/>
  <c r="CU11" i="11"/>
  <c r="CU67" i="11" s="1"/>
  <c r="CS76" i="11"/>
  <c r="CS32" i="11"/>
  <c r="CS35" i="11" s="1"/>
  <c r="CR89" i="11"/>
  <c r="CW82" i="11"/>
  <c r="CR28" i="11"/>
  <c r="CR30" i="11" s="1"/>
  <c r="CR32" i="11"/>
  <c r="CS89" i="11"/>
  <c r="DN45" i="16"/>
  <c r="DN46" i="16"/>
  <c r="DM13" i="12"/>
  <c r="DB89" i="11"/>
  <c r="DA32" i="11"/>
  <c r="CP36" i="12"/>
  <c r="CO45" i="12"/>
  <c r="CO22" i="12"/>
  <c r="CO71" i="12"/>
  <c r="CP14" i="12"/>
  <c r="CU33" i="11"/>
  <c r="CU29" i="11"/>
  <c r="DA28" i="11"/>
  <c r="DA30" i="11" s="1"/>
  <c r="DA76" i="11"/>
  <c r="DA82" i="11"/>
  <c r="DB35" i="11"/>
  <c r="DB55" i="11"/>
  <c r="CX55" i="11"/>
  <c r="CX35" i="11"/>
  <c r="CZ28" i="11"/>
  <c r="CZ30" i="11" s="1"/>
  <c r="CZ76" i="11"/>
  <c r="CZ32" i="11"/>
  <c r="CZ55" i="11" s="1"/>
  <c r="CZ22" i="11"/>
  <c r="CZ24" i="11" s="1"/>
  <c r="CZ26" i="11" s="1"/>
  <c r="CV82" i="11"/>
  <c r="CV76" i="11"/>
  <c r="CV32" i="11"/>
  <c r="CV28" i="11"/>
  <c r="CV30" i="11" s="1"/>
  <c r="CQ35" i="11"/>
  <c r="CQ55" i="11"/>
  <c r="DE25" i="1"/>
  <c r="DD25" i="1"/>
  <c r="DC25" i="1"/>
  <c r="CT14" i="11" l="1"/>
  <c r="DQ48" i="16"/>
  <c r="DR114" i="16"/>
  <c r="DR105" i="16"/>
  <c r="DR71" i="16"/>
  <c r="DR79" i="16" s="1"/>
  <c r="DR97" i="16"/>
  <c r="DR88" i="16"/>
  <c r="DQ102" i="39"/>
  <c r="DQ14" i="39" s="1"/>
  <c r="DQ17" i="39" s="1"/>
  <c r="DQ90" i="39"/>
  <c r="DS102" i="16"/>
  <c r="DS94" i="16"/>
  <c r="DS111" i="16"/>
  <c r="DS102" i="39"/>
  <c r="DS14" i="39" s="1"/>
  <c r="DS17" i="39" s="1"/>
  <c r="DQ93" i="39"/>
  <c r="DR90" i="39"/>
  <c r="DR102" i="39"/>
  <c r="DR14" i="39" s="1"/>
  <c r="DR17" i="39" s="1"/>
  <c r="DS11" i="12"/>
  <c r="DS9" i="12"/>
  <c r="DS12" i="11"/>
  <c r="DS7" i="11"/>
  <c r="DS86" i="11"/>
  <c r="DS13" i="11"/>
  <c r="DS6" i="11"/>
  <c r="DS17" i="11"/>
  <c r="DS16" i="11"/>
  <c r="DR26" i="39"/>
  <c r="DR30" i="39"/>
  <c r="DR139" i="39"/>
  <c r="DQ71" i="16"/>
  <c r="DQ79" i="16" s="1"/>
  <c r="DQ97" i="16"/>
  <c r="DQ105" i="16"/>
  <c r="DQ88" i="16"/>
  <c r="DR93" i="39"/>
  <c r="DS139" i="39"/>
  <c r="DS26" i="39"/>
  <c r="DS30" i="39"/>
  <c r="DQ139" i="39"/>
  <c r="DQ26" i="39"/>
  <c r="DN7" i="11"/>
  <c r="DS100" i="39"/>
  <c r="DS93" i="39"/>
  <c r="DR11" i="12"/>
  <c r="DR9" i="12"/>
  <c r="DR16" i="11"/>
  <c r="DR6" i="11"/>
  <c r="DR7" i="11"/>
  <c r="DR86" i="11"/>
  <c r="DR12" i="11"/>
  <c r="DR13" i="11"/>
  <c r="DR17" i="11"/>
  <c r="DQ16" i="11"/>
  <c r="DQ9" i="12"/>
  <c r="DQ17" i="11"/>
  <c r="DQ11" i="12"/>
  <c r="DQ12" i="11"/>
  <c r="DQ13" i="11"/>
  <c r="DN6" i="11"/>
  <c r="DS90" i="39"/>
  <c r="DS67" i="16"/>
  <c r="DR48" i="16"/>
  <c r="DB90" i="11"/>
  <c r="DA90" i="11"/>
  <c r="DC90" i="11"/>
  <c r="DN88" i="16"/>
  <c r="DD55" i="11"/>
  <c r="DD35" i="11"/>
  <c r="DI94" i="39"/>
  <c r="DC83" i="11"/>
  <c r="DC35" i="11"/>
  <c r="DD90" i="11"/>
  <c r="DN102" i="39"/>
  <c r="DN14" i="39" s="1"/>
  <c r="DN17" i="39" s="1"/>
  <c r="DN93" i="39"/>
  <c r="DN90" i="39"/>
  <c r="CS38" i="11"/>
  <c r="CS47" i="11" s="1"/>
  <c r="CT72" i="16"/>
  <c r="CX90" i="11"/>
  <c r="CW35" i="11"/>
  <c r="CW83" i="11"/>
  <c r="CW55" i="11"/>
  <c r="DE22" i="11"/>
  <c r="DE24" i="11" s="1"/>
  <c r="DE26" i="11" s="1"/>
  <c r="DE28" i="11"/>
  <c r="DE30" i="11" s="1"/>
  <c r="DE82" i="11"/>
  <c r="DE76" i="11"/>
  <c r="CU14" i="11"/>
  <c r="DN48" i="16"/>
  <c r="CX83" i="11"/>
  <c r="CS55" i="11"/>
  <c r="CV38" i="11"/>
  <c r="CV47" i="11" s="1"/>
  <c r="CP71" i="12"/>
  <c r="CP45" i="12"/>
  <c r="CR45" i="12"/>
  <c r="CS45" i="12"/>
  <c r="DB48" i="11"/>
  <c r="CX48" i="11"/>
  <c r="CR38" i="11"/>
  <c r="CR47" i="11" s="1"/>
  <c r="CS64" i="12"/>
  <c r="CS61" i="12"/>
  <c r="CS62" i="12"/>
  <c r="CQ48" i="11"/>
  <c r="DM17" i="12"/>
  <c r="DN17" i="12" s="1"/>
  <c r="DO17" i="12" s="1"/>
  <c r="DA38" i="11"/>
  <c r="DA47" i="11" s="1"/>
  <c r="DC38" i="11"/>
  <c r="DC47" i="11" s="1"/>
  <c r="CU25" i="13"/>
  <c r="CW48" i="11"/>
  <c r="CP22" i="12"/>
  <c r="CR64" i="12"/>
  <c r="CR61" i="12"/>
  <c r="CR62" i="12"/>
  <c r="CT47" i="13"/>
  <c r="CR55" i="11"/>
  <c r="CS90" i="11"/>
  <c r="CR35" i="11"/>
  <c r="CR90" i="11"/>
  <c r="DN12" i="11"/>
  <c r="DN17" i="11"/>
  <c r="DN13" i="11"/>
  <c r="DN9" i="12"/>
  <c r="DN11" i="12"/>
  <c r="DO41" i="12"/>
  <c r="DN13" i="12"/>
  <c r="DO13" i="12" s="1"/>
  <c r="CZ38" i="11"/>
  <c r="CY26" i="11"/>
  <c r="DA83" i="11"/>
  <c r="DA35" i="11"/>
  <c r="DA55" i="11"/>
  <c r="DE35" i="11"/>
  <c r="DE83" i="11"/>
  <c r="DE55" i="11"/>
  <c r="CV83" i="11"/>
  <c r="CV35" i="11"/>
  <c r="CV55" i="11"/>
  <c r="CZ35" i="11"/>
  <c r="CW90" i="11"/>
  <c r="DC39" i="1"/>
  <c r="DC41" i="1" s="1"/>
  <c r="DC35" i="1"/>
  <c r="DC37" i="1" s="1"/>
  <c r="DD39" i="1"/>
  <c r="DD41" i="1" s="1"/>
  <c r="DD35" i="1"/>
  <c r="DD37" i="1" s="1"/>
  <c r="DE39" i="1"/>
  <c r="DE41" i="1" s="1"/>
  <c r="DE35" i="1"/>
  <c r="DE37" i="1" s="1"/>
  <c r="DC27" i="1"/>
  <c r="DC29" i="1" s="1"/>
  <c r="DC31" i="1" s="1"/>
  <c r="DC33" i="1" s="1"/>
  <c r="DD27" i="1"/>
  <c r="DE27" i="1"/>
  <c r="DE29" i="1" s="1"/>
  <c r="DU76" i="12"/>
  <c r="DU77" i="12" s="1"/>
  <c r="DU106" i="16"/>
  <c r="DU104" i="16"/>
  <c r="DU103" i="16"/>
  <c r="DU96" i="16"/>
  <c r="DU95" i="16"/>
  <c r="DU30" i="16"/>
  <c r="DU23" i="16"/>
  <c r="DU331" i="1"/>
  <c r="DU185" i="1"/>
  <c r="DU187" i="1" s="1"/>
  <c r="DU180" i="1"/>
  <c r="DU182" i="1" s="1"/>
  <c r="DT331" i="1"/>
  <c r="DT185" i="1"/>
  <c r="DT187" i="1" s="1"/>
  <c r="DT180" i="1"/>
  <c r="DT182" i="1" s="1"/>
  <c r="M8" i="16"/>
  <c r="L8" i="16"/>
  <c r="K8" i="16"/>
  <c r="J8" i="16"/>
  <c r="M7" i="16"/>
  <c r="L7" i="16"/>
  <c r="K7" i="16"/>
  <c r="J7" i="16"/>
  <c r="R8" i="16"/>
  <c r="Q8" i="16"/>
  <c r="P8" i="16"/>
  <c r="O8" i="16"/>
  <c r="R7" i="16"/>
  <c r="Q7" i="16"/>
  <c r="P7" i="16"/>
  <c r="O7" i="16"/>
  <c r="W8" i="16"/>
  <c r="V8" i="16"/>
  <c r="U8" i="16"/>
  <c r="T8" i="16"/>
  <c r="W7" i="16"/>
  <c r="V7" i="16"/>
  <c r="U7" i="16"/>
  <c r="T7" i="16"/>
  <c r="AB8" i="16"/>
  <c r="AA8" i="16"/>
  <c r="Z8" i="16"/>
  <c r="Y8" i="16"/>
  <c r="AB7" i="16"/>
  <c r="AA7" i="16"/>
  <c r="Z7" i="16"/>
  <c r="Y7" i="16"/>
  <c r="AG8" i="16"/>
  <c r="AF8" i="16"/>
  <c r="AE8" i="16"/>
  <c r="AD8" i="16"/>
  <c r="AG7" i="16"/>
  <c r="AF7" i="16"/>
  <c r="AE7" i="16"/>
  <c r="AD7" i="16"/>
  <c r="AL8" i="16"/>
  <c r="AK8" i="16"/>
  <c r="AJ8" i="16"/>
  <c r="AI8" i="16"/>
  <c r="AL7" i="16"/>
  <c r="AK7" i="16"/>
  <c r="AJ7" i="16"/>
  <c r="AI7" i="16"/>
  <c r="AQ8" i="16"/>
  <c r="AP8" i="16"/>
  <c r="AO8" i="16"/>
  <c r="AN8" i="16"/>
  <c r="AQ7" i="16"/>
  <c r="AP7" i="16"/>
  <c r="AO7" i="16"/>
  <c r="AN7" i="16"/>
  <c r="AV8" i="16"/>
  <c r="AU8" i="16"/>
  <c r="AT8" i="16"/>
  <c r="AS8" i="16"/>
  <c r="AV7" i="16"/>
  <c r="AU7" i="16"/>
  <c r="AT7" i="16"/>
  <c r="AS7" i="16"/>
  <c r="BA8" i="16"/>
  <c r="AZ8" i="16"/>
  <c r="AY8" i="16"/>
  <c r="AX8" i="16"/>
  <c r="BA7" i="16"/>
  <c r="AZ7" i="16"/>
  <c r="AY7" i="16"/>
  <c r="AX7" i="16"/>
  <c r="BF8" i="16"/>
  <c r="BE8" i="16"/>
  <c r="BD8" i="16"/>
  <c r="BC8" i="16"/>
  <c r="BF7" i="16"/>
  <c r="BE7" i="16"/>
  <c r="BD7" i="16"/>
  <c r="BC7" i="16"/>
  <c r="BK8" i="16"/>
  <c r="BJ8" i="16"/>
  <c r="BI8" i="16"/>
  <c r="BH8" i="16"/>
  <c r="BK7" i="16"/>
  <c r="BJ7" i="16"/>
  <c r="BI7" i="16"/>
  <c r="BH7" i="16"/>
  <c r="BZ71" i="39"/>
  <c r="BZ7" i="16" s="1"/>
  <c r="CF71" i="39"/>
  <c r="CJ71" i="39"/>
  <c r="CJ7" i="16" s="1"/>
  <c r="CO71" i="39"/>
  <c r="CO11" i="16" s="1"/>
  <c r="CT71" i="39"/>
  <c r="CH72" i="39"/>
  <c r="CI72" i="39"/>
  <c r="CP72" i="39"/>
  <c r="BW73" i="39"/>
  <c r="BX73" i="39"/>
  <c r="BY73" i="39"/>
  <c r="CB73" i="39"/>
  <c r="CC73" i="39"/>
  <c r="CD73" i="39"/>
  <c r="CE73" i="39"/>
  <c r="CG73" i="39"/>
  <c r="CG72" i="39" s="1"/>
  <c r="CK73" i="39"/>
  <c r="CP73" i="39"/>
  <c r="BZ74" i="39"/>
  <c r="BZ8" i="16" s="1"/>
  <c r="CF74" i="39"/>
  <c r="CU100" i="39"/>
  <c r="CH75" i="39"/>
  <c r="CI75" i="39"/>
  <c r="CI81" i="39" s="1"/>
  <c r="CO75" i="39"/>
  <c r="CT75" i="39"/>
  <c r="BM81" i="39"/>
  <c r="BN81" i="39"/>
  <c r="BO81" i="39"/>
  <c r="BP81" i="39"/>
  <c r="BR81" i="39"/>
  <c r="BR74" i="39" s="1"/>
  <c r="BS81" i="39"/>
  <c r="BS74" i="39" s="1"/>
  <c r="BS8" i="16" s="1"/>
  <c r="BT81" i="39"/>
  <c r="BT74" i="39" s="1"/>
  <c r="BT8" i="16" s="1"/>
  <c r="BU81" i="39"/>
  <c r="BW81" i="39"/>
  <c r="BX81" i="39"/>
  <c r="BX75" i="39" s="1"/>
  <c r="BY81" i="39"/>
  <c r="BY75" i="39" s="1"/>
  <c r="BZ81" i="39"/>
  <c r="CB81" i="39"/>
  <c r="CB75" i="39" s="1"/>
  <c r="CB8" i="16" s="1"/>
  <c r="CC81" i="39"/>
  <c r="CD81" i="39"/>
  <c r="CD75" i="39" s="1"/>
  <c r="CE81" i="39"/>
  <c r="CE75" i="39" s="1"/>
  <c r="CG81" i="39"/>
  <c r="CL81" i="39"/>
  <c r="CM81" i="39"/>
  <c r="CN81" i="39"/>
  <c r="CO81" i="39"/>
  <c r="CQ81" i="39"/>
  <c r="CV102" i="39" s="1"/>
  <c r="CR81" i="39"/>
  <c r="CW102" i="39" s="1"/>
  <c r="CS81" i="39"/>
  <c r="CX102" i="39" s="1"/>
  <c r="CT81" i="39"/>
  <c r="CY102" i="39" s="1"/>
  <c r="I157" i="1"/>
  <c r="H157" i="1"/>
  <c r="G157" i="1"/>
  <c r="F157" i="1"/>
  <c r="E157" i="1"/>
  <c r="D157" i="1"/>
  <c r="C157" i="1"/>
  <c r="AB40" i="1"/>
  <c r="AA40" i="1"/>
  <c r="Z40" i="1"/>
  <c r="Y40" i="1"/>
  <c r="AB36" i="1"/>
  <c r="AA36" i="1"/>
  <c r="Z36" i="1"/>
  <c r="Y36" i="1"/>
  <c r="AC24" i="1"/>
  <c r="AC22" i="1"/>
  <c r="AC21" i="1"/>
  <c r="AC20" i="1"/>
  <c r="AC11" i="1"/>
  <c r="AC16" i="1" s="1"/>
  <c r="AC19" i="1" s="1"/>
  <c r="AB11" i="1"/>
  <c r="AB16" i="1" s="1"/>
  <c r="AB19" i="1" s="1"/>
  <c r="AB23" i="1" s="1"/>
  <c r="AB25" i="1" s="1"/>
  <c r="AA11" i="1"/>
  <c r="AA16" i="1" s="1"/>
  <c r="AA19" i="1" s="1"/>
  <c r="AA23" i="1" s="1"/>
  <c r="AA25" i="1" s="1"/>
  <c r="Z11" i="1"/>
  <c r="Z16" i="1" s="1"/>
  <c r="Z19" i="1" s="1"/>
  <c r="Z23" i="1" s="1"/>
  <c r="Z25" i="1" s="1"/>
  <c r="Y11" i="1"/>
  <c r="Y16" i="1" s="1"/>
  <c r="Y19" i="1" s="1"/>
  <c r="Y23" i="1" s="1"/>
  <c r="Y25" i="1" s="1"/>
  <c r="W40" i="1"/>
  <c r="V40" i="1"/>
  <c r="U40" i="1"/>
  <c r="T40" i="1"/>
  <c r="W36" i="1"/>
  <c r="V36" i="1"/>
  <c r="U36" i="1"/>
  <c r="T36" i="1"/>
  <c r="X24" i="1"/>
  <c r="X22" i="1"/>
  <c r="X21" i="1"/>
  <c r="X20" i="1"/>
  <c r="X11" i="1"/>
  <c r="X16" i="1" s="1"/>
  <c r="X19" i="1" s="1"/>
  <c r="W11" i="1"/>
  <c r="W16" i="1" s="1"/>
  <c r="W19" i="1" s="1"/>
  <c r="W23" i="1" s="1"/>
  <c r="W25" i="1" s="1"/>
  <c r="V11" i="1"/>
  <c r="V16" i="1" s="1"/>
  <c r="V19" i="1" s="1"/>
  <c r="V23" i="1" s="1"/>
  <c r="V25" i="1" s="1"/>
  <c r="U11" i="1"/>
  <c r="U16" i="1" s="1"/>
  <c r="U19" i="1" s="1"/>
  <c r="U23" i="1" s="1"/>
  <c r="U25" i="1" s="1"/>
  <c r="T11" i="1"/>
  <c r="T16" i="1" s="1"/>
  <c r="T19" i="1" s="1"/>
  <c r="T23" i="1" s="1"/>
  <c r="T25" i="1" s="1"/>
  <c r="R40" i="1"/>
  <c r="Q40" i="1"/>
  <c r="P40" i="1"/>
  <c r="O40" i="1"/>
  <c r="R36" i="1"/>
  <c r="Q36" i="1"/>
  <c r="P36" i="1"/>
  <c r="O36" i="1"/>
  <c r="S24" i="1"/>
  <c r="S22" i="1"/>
  <c r="S21" i="1"/>
  <c r="S20" i="1"/>
  <c r="S11" i="1"/>
  <c r="S16" i="1" s="1"/>
  <c r="S19" i="1" s="1"/>
  <c r="R11" i="1"/>
  <c r="R16" i="1" s="1"/>
  <c r="R19" i="1" s="1"/>
  <c r="R23" i="1" s="1"/>
  <c r="R25" i="1" s="1"/>
  <c r="Q11" i="1"/>
  <c r="Q16" i="1" s="1"/>
  <c r="Q19" i="1" s="1"/>
  <c r="Q23" i="1" s="1"/>
  <c r="Q25" i="1" s="1"/>
  <c r="P11" i="1"/>
  <c r="P16" i="1" s="1"/>
  <c r="P19" i="1" s="1"/>
  <c r="P23" i="1" s="1"/>
  <c r="P25" i="1" s="1"/>
  <c r="O11" i="1"/>
  <c r="O16" i="1" s="1"/>
  <c r="O19" i="1" s="1"/>
  <c r="O23" i="1" s="1"/>
  <c r="O25" i="1" s="1"/>
  <c r="M40" i="1"/>
  <c r="L40" i="1"/>
  <c r="K40" i="1"/>
  <c r="J40" i="1"/>
  <c r="M36" i="1"/>
  <c r="L36" i="1"/>
  <c r="K36" i="1"/>
  <c r="J36" i="1"/>
  <c r="N24" i="1"/>
  <c r="N22" i="1"/>
  <c r="N21" i="1"/>
  <c r="N20" i="1"/>
  <c r="N11" i="1"/>
  <c r="N16" i="1" s="1"/>
  <c r="N19" i="1" s="1"/>
  <c r="M11" i="1"/>
  <c r="M16" i="1" s="1"/>
  <c r="M19" i="1" s="1"/>
  <c r="M23" i="1" s="1"/>
  <c r="M25" i="1" s="1"/>
  <c r="L11" i="1"/>
  <c r="L16" i="1" s="1"/>
  <c r="L19" i="1" s="1"/>
  <c r="L23" i="1" s="1"/>
  <c r="L25" i="1" s="1"/>
  <c r="K11" i="1"/>
  <c r="K16" i="1" s="1"/>
  <c r="K19" i="1" s="1"/>
  <c r="K23" i="1" s="1"/>
  <c r="K25" i="1" s="1"/>
  <c r="J11" i="1"/>
  <c r="J16" i="1" s="1"/>
  <c r="J19" i="1" s="1"/>
  <c r="J23" i="1" s="1"/>
  <c r="J25" i="1" s="1"/>
  <c r="AG40" i="1"/>
  <c r="AF40" i="1"/>
  <c r="AE40" i="1"/>
  <c r="AD40" i="1"/>
  <c r="AG36" i="1"/>
  <c r="AF36" i="1"/>
  <c r="AE36" i="1"/>
  <c r="AD36" i="1"/>
  <c r="AH24" i="1"/>
  <c r="AH22" i="1"/>
  <c r="AH21" i="1"/>
  <c r="AH20" i="1"/>
  <c r="AH11" i="1"/>
  <c r="AH16" i="1" s="1"/>
  <c r="AH19" i="1" s="1"/>
  <c r="AG11" i="1"/>
  <c r="AG16" i="1" s="1"/>
  <c r="AG19" i="1" s="1"/>
  <c r="AG23" i="1" s="1"/>
  <c r="AG25" i="1" s="1"/>
  <c r="AF11" i="1"/>
  <c r="AF16" i="1" s="1"/>
  <c r="AF19" i="1" s="1"/>
  <c r="AF23" i="1" s="1"/>
  <c r="AF25" i="1" s="1"/>
  <c r="AE11" i="1"/>
  <c r="AE16" i="1" s="1"/>
  <c r="AE19" i="1" s="1"/>
  <c r="AE23" i="1" s="1"/>
  <c r="AE25" i="1" s="1"/>
  <c r="AD11" i="1"/>
  <c r="AD16" i="1" s="1"/>
  <c r="AD19" i="1" s="1"/>
  <c r="AD23" i="1" s="1"/>
  <c r="AD25" i="1" s="1"/>
  <c r="AL40" i="1"/>
  <c r="AK40" i="1"/>
  <c r="AJ40" i="1"/>
  <c r="AI40" i="1"/>
  <c r="AL36" i="1"/>
  <c r="AK36" i="1"/>
  <c r="AJ36" i="1"/>
  <c r="AI36" i="1"/>
  <c r="AM24" i="1"/>
  <c r="AM22" i="1"/>
  <c r="AM21" i="1"/>
  <c r="AM20" i="1"/>
  <c r="AM11" i="1"/>
  <c r="AM16" i="1" s="1"/>
  <c r="AM19" i="1" s="1"/>
  <c r="AL11" i="1"/>
  <c r="AL16" i="1" s="1"/>
  <c r="AL19" i="1" s="1"/>
  <c r="AL23" i="1" s="1"/>
  <c r="AL25" i="1" s="1"/>
  <c r="AK11" i="1"/>
  <c r="AK16" i="1" s="1"/>
  <c r="AK19" i="1" s="1"/>
  <c r="AK23" i="1" s="1"/>
  <c r="AK25" i="1" s="1"/>
  <c r="AJ11" i="1"/>
  <c r="AJ16" i="1" s="1"/>
  <c r="AJ19" i="1" s="1"/>
  <c r="AJ23" i="1" s="1"/>
  <c r="AJ25" i="1" s="1"/>
  <c r="AI11" i="1"/>
  <c r="AI16" i="1" s="1"/>
  <c r="AI19" i="1" s="1"/>
  <c r="AI23" i="1" s="1"/>
  <c r="AI25" i="1" s="1"/>
  <c r="AQ40" i="1"/>
  <c r="AP40" i="1"/>
  <c r="AO40" i="1"/>
  <c r="AN40" i="1"/>
  <c r="AQ36" i="1"/>
  <c r="AP36" i="1"/>
  <c r="AO36" i="1"/>
  <c r="AN36" i="1"/>
  <c r="AR24" i="1"/>
  <c r="AR22" i="1"/>
  <c r="AR21" i="1"/>
  <c r="AR20" i="1"/>
  <c r="AR11" i="1"/>
  <c r="AR16" i="1" s="1"/>
  <c r="AR19" i="1" s="1"/>
  <c r="AQ11" i="1"/>
  <c r="AQ16" i="1" s="1"/>
  <c r="AQ19" i="1" s="1"/>
  <c r="AQ23" i="1" s="1"/>
  <c r="AQ25" i="1" s="1"/>
  <c r="AP11" i="1"/>
  <c r="AP16" i="1" s="1"/>
  <c r="AP19" i="1" s="1"/>
  <c r="AP23" i="1" s="1"/>
  <c r="AP25" i="1" s="1"/>
  <c r="AO11" i="1"/>
  <c r="AO16" i="1" s="1"/>
  <c r="AO19" i="1" s="1"/>
  <c r="AO23" i="1" s="1"/>
  <c r="AO25" i="1" s="1"/>
  <c r="AN11" i="1"/>
  <c r="AN16" i="1" s="1"/>
  <c r="AN19" i="1" s="1"/>
  <c r="AN23" i="1" s="1"/>
  <c r="AN25" i="1" s="1"/>
  <c r="AV40" i="1"/>
  <c r="AU40" i="1"/>
  <c r="AT40" i="1"/>
  <c r="AS40" i="1"/>
  <c r="AV36" i="1"/>
  <c r="AU36" i="1"/>
  <c r="AT36" i="1"/>
  <c r="AS36" i="1"/>
  <c r="AW24" i="1"/>
  <c r="AW22" i="1"/>
  <c r="AW21" i="1"/>
  <c r="AW20" i="1"/>
  <c r="AW11" i="1"/>
  <c r="AW16" i="1" s="1"/>
  <c r="AW19" i="1" s="1"/>
  <c r="AV11" i="1"/>
  <c r="AV16" i="1" s="1"/>
  <c r="AV19" i="1" s="1"/>
  <c r="AV23" i="1" s="1"/>
  <c r="AV25" i="1" s="1"/>
  <c r="AU11" i="1"/>
  <c r="AU16" i="1" s="1"/>
  <c r="AU19" i="1" s="1"/>
  <c r="AU23" i="1" s="1"/>
  <c r="AU25" i="1" s="1"/>
  <c r="AT11" i="1"/>
  <c r="AT16" i="1" s="1"/>
  <c r="AT19" i="1" s="1"/>
  <c r="AT23" i="1" s="1"/>
  <c r="AT25" i="1" s="1"/>
  <c r="AS11" i="1"/>
  <c r="AS16" i="1" s="1"/>
  <c r="AS19" i="1" s="1"/>
  <c r="AS23" i="1" s="1"/>
  <c r="AS25" i="1" s="1"/>
  <c r="BA40" i="1"/>
  <c r="AZ40" i="1"/>
  <c r="AY40" i="1"/>
  <c r="AX40" i="1"/>
  <c r="BA36" i="1"/>
  <c r="AZ36" i="1"/>
  <c r="AY36" i="1"/>
  <c r="AX36" i="1"/>
  <c r="BB24" i="1"/>
  <c r="BB22" i="1"/>
  <c r="BB21" i="1"/>
  <c r="BB20" i="1"/>
  <c r="BB11" i="1"/>
  <c r="BB16" i="1" s="1"/>
  <c r="BB19" i="1" s="1"/>
  <c r="BA11" i="1"/>
  <c r="BA16" i="1" s="1"/>
  <c r="BA19" i="1" s="1"/>
  <c r="BA23" i="1" s="1"/>
  <c r="BA25" i="1" s="1"/>
  <c r="AZ11" i="1"/>
  <c r="AZ16" i="1" s="1"/>
  <c r="AZ19" i="1" s="1"/>
  <c r="AZ23" i="1" s="1"/>
  <c r="AZ25" i="1" s="1"/>
  <c r="AY11" i="1"/>
  <c r="AY16" i="1" s="1"/>
  <c r="AY19" i="1" s="1"/>
  <c r="AY23" i="1" s="1"/>
  <c r="AY25" i="1" s="1"/>
  <c r="AX11" i="1"/>
  <c r="AX16" i="1" s="1"/>
  <c r="AX19" i="1" s="1"/>
  <c r="AX23" i="1" s="1"/>
  <c r="AX25" i="1" s="1"/>
  <c r="BF40" i="1"/>
  <c r="BE40" i="1"/>
  <c r="BD40" i="1"/>
  <c r="BC40" i="1"/>
  <c r="BF36" i="1"/>
  <c r="BE36" i="1"/>
  <c r="BD36" i="1"/>
  <c r="BC36" i="1"/>
  <c r="BG24" i="1"/>
  <c r="BG22" i="1"/>
  <c r="BG21" i="1"/>
  <c r="BG20" i="1"/>
  <c r="BG11" i="1"/>
  <c r="BG16" i="1" s="1"/>
  <c r="BG19" i="1" s="1"/>
  <c r="BF11" i="1"/>
  <c r="BF16" i="1" s="1"/>
  <c r="BF19" i="1" s="1"/>
  <c r="BF23" i="1" s="1"/>
  <c r="BF25" i="1" s="1"/>
  <c r="BE11" i="1"/>
  <c r="BE16" i="1" s="1"/>
  <c r="BE19" i="1" s="1"/>
  <c r="BE23" i="1" s="1"/>
  <c r="BE25" i="1" s="1"/>
  <c r="BD11" i="1"/>
  <c r="BD16" i="1" s="1"/>
  <c r="BD19" i="1" s="1"/>
  <c r="BD23" i="1" s="1"/>
  <c r="BD25" i="1" s="1"/>
  <c r="BC11" i="1"/>
  <c r="BC16" i="1" s="1"/>
  <c r="BC19" i="1" s="1"/>
  <c r="BC23" i="1" s="1"/>
  <c r="BC25" i="1" s="1"/>
  <c r="BK40" i="1"/>
  <c r="BJ40" i="1"/>
  <c r="BI40" i="1"/>
  <c r="BH40" i="1"/>
  <c r="BK36" i="1"/>
  <c r="BJ36" i="1"/>
  <c r="BI36" i="1"/>
  <c r="BH36" i="1"/>
  <c r="BL24" i="1"/>
  <c r="BL22" i="1"/>
  <c r="BL21" i="1"/>
  <c r="BL20" i="1"/>
  <c r="BL11" i="1"/>
  <c r="BL16" i="1" s="1"/>
  <c r="BL19" i="1" s="1"/>
  <c r="BK11" i="1"/>
  <c r="BK16" i="1" s="1"/>
  <c r="BK19" i="1" s="1"/>
  <c r="BK23" i="1" s="1"/>
  <c r="BK25" i="1" s="1"/>
  <c r="BJ11" i="1"/>
  <c r="BJ16" i="1" s="1"/>
  <c r="BJ19" i="1" s="1"/>
  <c r="BJ23" i="1" s="1"/>
  <c r="BJ25" i="1" s="1"/>
  <c r="BI11" i="1"/>
  <c r="BI16" i="1" s="1"/>
  <c r="BI19" i="1" s="1"/>
  <c r="BI23" i="1" s="1"/>
  <c r="BI25" i="1" s="1"/>
  <c r="BH11" i="1"/>
  <c r="BH16" i="1" s="1"/>
  <c r="BH19" i="1" s="1"/>
  <c r="BH23" i="1" s="1"/>
  <c r="BH25" i="1" s="1"/>
  <c r="BP40" i="1"/>
  <c r="BO40" i="1"/>
  <c r="BN40" i="1"/>
  <c r="BM40" i="1"/>
  <c r="BP36" i="1"/>
  <c r="BO36" i="1"/>
  <c r="BN36" i="1"/>
  <c r="BM36" i="1"/>
  <c r="BQ24" i="1"/>
  <c r="BQ22" i="1"/>
  <c r="BQ21" i="1"/>
  <c r="BQ20" i="1"/>
  <c r="BQ11" i="1"/>
  <c r="BQ16" i="1" s="1"/>
  <c r="BQ19" i="1" s="1"/>
  <c r="BP11" i="1"/>
  <c r="BP16" i="1" s="1"/>
  <c r="BP19" i="1" s="1"/>
  <c r="BP23" i="1" s="1"/>
  <c r="BP25" i="1" s="1"/>
  <c r="BO11" i="1"/>
  <c r="BO16" i="1" s="1"/>
  <c r="BO19" i="1" s="1"/>
  <c r="BO23" i="1" s="1"/>
  <c r="BO25" i="1" s="1"/>
  <c r="BN11" i="1"/>
  <c r="BN16" i="1" s="1"/>
  <c r="BN19" i="1" s="1"/>
  <c r="BN23" i="1" s="1"/>
  <c r="BN25" i="1" s="1"/>
  <c r="BM11" i="1"/>
  <c r="BM16" i="1" s="1"/>
  <c r="BM19" i="1" s="1"/>
  <c r="BM23" i="1" s="1"/>
  <c r="BM25" i="1" s="1"/>
  <c r="BU40" i="1"/>
  <c r="BT40" i="1"/>
  <c r="BS40" i="1"/>
  <c r="BR40" i="1"/>
  <c r="BU36" i="1"/>
  <c r="BT36" i="1"/>
  <c r="BS36" i="1"/>
  <c r="BR36" i="1"/>
  <c r="BV24" i="1"/>
  <c r="BV22" i="1"/>
  <c r="BV21" i="1"/>
  <c r="BV20" i="1"/>
  <c r="BV11" i="1"/>
  <c r="BV16" i="1" s="1"/>
  <c r="BV19" i="1" s="1"/>
  <c r="BU11" i="1"/>
  <c r="BU16" i="1" s="1"/>
  <c r="BU19" i="1" s="1"/>
  <c r="BU23" i="1" s="1"/>
  <c r="BU25" i="1" s="1"/>
  <c r="BT11" i="1"/>
  <c r="BT16" i="1" s="1"/>
  <c r="BT19" i="1" s="1"/>
  <c r="BT23" i="1" s="1"/>
  <c r="BT25" i="1" s="1"/>
  <c r="BS11" i="1"/>
  <c r="BS16" i="1" s="1"/>
  <c r="BS19" i="1" s="1"/>
  <c r="BS23" i="1" s="1"/>
  <c r="BS25" i="1" s="1"/>
  <c r="BR11" i="1"/>
  <c r="BR16" i="1" s="1"/>
  <c r="BR19" i="1" s="1"/>
  <c r="BR23" i="1" s="1"/>
  <c r="BR25" i="1" s="1"/>
  <c r="BZ40" i="1"/>
  <c r="BY40" i="1"/>
  <c r="BX40" i="1"/>
  <c r="BW40" i="1"/>
  <c r="BZ36" i="1"/>
  <c r="BY36" i="1"/>
  <c r="BX36" i="1"/>
  <c r="BW36" i="1"/>
  <c r="CA24" i="1"/>
  <c r="CA22" i="1"/>
  <c r="CA21" i="1"/>
  <c r="CA20" i="1"/>
  <c r="CA11" i="1"/>
  <c r="CA16" i="1" s="1"/>
  <c r="CA19" i="1" s="1"/>
  <c r="BZ11" i="1"/>
  <c r="BZ16" i="1" s="1"/>
  <c r="BZ19" i="1" s="1"/>
  <c r="BZ23" i="1" s="1"/>
  <c r="BZ25" i="1" s="1"/>
  <c r="BY11" i="1"/>
  <c r="BY16" i="1" s="1"/>
  <c r="BY19" i="1" s="1"/>
  <c r="BY23" i="1" s="1"/>
  <c r="BY25" i="1" s="1"/>
  <c r="BX11" i="1"/>
  <c r="BX16" i="1" s="1"/>
  <c r="BX19" i="1" s="1"/>
  <c r="BX23" i="1" s="1"/>
  <c r="BX25" i="1" s="1"/>
  <c r="BW11" i="1"/>
  <c r="BW16" i="1" s="1"/>
  <c r="BW19" i="1" s="1"/>
  <c r="BW23" i="1" s="1"/>
  <c r="BW25" i="1" s="1"/>
  <c r="CE40" i="1"/>
  <c r="CD40" i="1"/>
  <c r="CC40" i="1"/>
  <c r="CB40" i="1"/>
  <c r="CE36" i="1"/>
  <c r="CD36" i="1"/>
  <c r="CC36" i="1"/>
  <c r="CB36" i="1"/>
  <c r="CF24" i="1"/>
  <c r="CF22" i="1"/>
  <c r="CF21" i="1"/>
  <c r="CF20" i="1"/>
  <c r="CF11" i="1"/>
  <c r="CF16" i="1" s="1"/>
  <c r="CF19" i="1" s="1"/>
  <c r="CE11" i="1"/>
  <c r="CE16" i="1" s="1"/>
  <c r="CE19" i="1" s="1"/>
  <c r="CE23" i="1" s="1"/>
  <c r="CE25" i="1" s="1"/>
  <c r="CD11" i="1"/>
  <c r="CD16" i="1" s="1"/>
  <c r="CD19" i="1" s="1"/>
  <c r="CD23" i="1" s="1"/>
  <c r="CD25" i="1" s="1"/>
  <c r="CC11" i="1"/>
  <c r="CC16" i="1" s="1"/>
  <c r="CC19" i="1" s="1"/>
  <c r="CC23" i="1" s="1"/>
  <c r="CC25" i="1" s="1"/>
  <c r="CB11" i="1"/>
  <c r="CB16" i="1" s="1"/>
  <c r="CB19" i="1" s="1"/>
  <c r="CB23" i="1" s="1"/>
  <c r="CB25" i="1" s="1"/>
  <c r="CJ40" i="1"/>
  <c r="CI40" i="1"/>
  <c r="CH40" i="1"/>
  <c r="CG40" i="1"/>
  <c r="CJ36" i="1"/>
  <c r="CI36" i="1"/>
  <c r="CH36" i="1"/>
  <c r="CG36" i="1"/>
  <c r="CK24" i="1"/>
  <c r="CK22" i="1"/>
  <c r="CK21" i="1"/>
  <c r="CK20" i="1"/>
  <c r="CK11" i="1"/>
  <c r="CK16" i="1" s="1"/>
  <c r="CK19" i="1" s="1"/>
  <c r="CJ11" i="1"/>
  <c r="CJ16" i="1" s="1"/>
  <c r="CJ19" i="1" s="1"/>
  <c r="CJ23" i="1" s="1"/>
  <c r="CJ25" i="1" s="1"/>
  <c r="CI11" i="1"/>
  <c r="CI16" i="1" s="1"/>
  <c r="CI19" i="1" s="1"/>
  <c r="CI23" i="1" s="1"/>
  <c r="CI25" i="1" s="1"/>
  <c r="CH11" i="1"/>
  <c r="CH16" i="1" s="1"/>
  <c r="CH19" i="1" s="1"/>
  <c r="CH23" i="1" s="1"/>
  <c r="CH25" i="1" s="1"/>
  <c r="CG11" i="1"/>
  <c r="CG16" i="1" s="1"/>
  <c r="CG19" i="1" s="1"/>
  <c r="CG23" i="1" s="1"/>
  <c r="CG25" i="1" s="1"/>
  <c r="CO40" i="1"/>
  <c r="CM40" i="1"/>
  <c r="CL40" i="1"/>
  <c r="CO36" i="1"/>
  <c r="CN36" i="1"/>
  <c r="CM36" i="1"/>
  <c r="CL36" i="1"/>
  <c r="CN25" i="1"/>
  <c r="CN27" i="1" s="1"/>
  <c r="CN29" i="1" s="1"/>
  <c r="CM25" i="1"/>
  <c r="CM27" i="1" s="1"/>
  <c r="CM29" i="1" s="1"/>
  <c r="CL25" i="1"/>
  <c r="CL27" i="1" s="1"/>
  <c r="CL29" i="1" s="1"/>
  <c r="CL31" i="1" s="1"/>
  <c r="CL33" i="1" s="1"/>
  <c r="CU19" i="1"/>
  <c r="CT19" i="1"/>
  <c r="CS19" i="1"/>
  <c r="CS23" i="1" s="1"/>
  <c r="CR19" i="1"/>
  <c r="CR23" i="1" s="1"/>
  <c r="CQ25" i="1"/>
  <c r="DP17" i="12" l="1"/>
  <c r="DP13" i="12"/>
  <c r="DP41" i="12"/>
  <c r="DQ41" i="12" s="1"/>
  <c r="DR41" i="12" s="1"/>
  <c r="DS41" i="12" s="1"/>
  <c r="DT41" i="12" s="1"/>
  <c r="DU41" i="12" s="1"/>
  <c r="DV41" i="12" s="1"/>
  <c r="DS94" i="39"/>
  <c r="DS21" i="13"/>
  <c r="DT11" i="12"/>
  <c r="DS19" i="13"/>
  <c r="DT9" i="12"/>
  <c r="DR19" i="13"/>
  <c r="DR138" i="39"/>
  <c r="DR137" i="39"/>
  <c r="DS114" i="16"/>
  <c r="DS88" i="16"/>
  <c r="DS71" i="16"/>
  <c r="DS79" i="16" s="1"/>
  <c r="DS97" i="16"/>
  <c r="DS105" i="16"/>
  <c r="DR94" i="39"/>
  <c r="DR14" i="11"/>
  <c r="DR62" i="11"/>
  <c r="DR77" i="16"/>
  <c r="DR81" i="16"/>
  <c r="DR80" i="16"/>
  <c r="DR89" i="16"/>
  <c r="DR20" i="39" s="1"/>
  <c r="DR9" i="39" s="1"/>
  <c r="DR78" i="16"/>
  <c r="DR116" i="16"/>
  <c r="DR75" i="16"/>
  <c r="DR76" i="16"/>
  <c r="DQ94" i="39"/>
  <c r="DR21" i="13"/>
  <c r="DS137" i="39"/>
  <c r="DS138" i="39"/>
  <c r="DQ62" i="11"/>
  <c r="DQ14" i="11"/>
  <c r="DQ77" i="16"/>
  <c r="DQ81" i="16"/>
  <c r="DQ80" i="16"/>
  <c r="DQ78" i="16"/>
  <c r="DQ89" i="16"/>
  <c r="DQ20" i="39" s="1"/>
  <c r="DQ9" i="39" s="1"/>
  <c r="DQ75" i="16"/>
  <c r="DQ76" i="16"/>
  <c r="CS48" i="11"/>
  <c r="CU47" i="13"/>
  <c r="DD26" i="11"/>
  <c r="DE38" i="11"/>
  <c r="DE47" i="11" s="1"/>
  <c r="DN94" i="39"/>
  <c r="CU72" i="16"/>
  <c r="CO88" i="16"/>
  <c r="CU98" i="39"/>
  <c r="V222" i="44"/>
  <c r="CU99" i="39"/>
  <c r="DA48" i="11"/>
  <c r="CS67" i="12"/>
  <c r="CS68" i="12"/>
  <c r="CR68" i="12"/>
  <c r="CR67" i="12"/>
  <c r="DC48" i="11"/>
  <c r="CR48" i="11"/>
  <c r="CV48" i="11"/>
  <c r="CJ11" i="16"/>
  <c r="CK7" i="16"/>
  <c r="CK11" i="16" s="1"/>
  <c r="DO11" i="12"/>
  <c r="CF8" i="16"/>
  <c r="CF11" i="16" s="1"/>
  <c r="CB11" i="16"/>
  <c r="BZ11" i="16"/>
  <c r="CA7" i="16"/>
  <c r="DO9" i="12"/>
  <c r="CZ47" i="11"/>
  <c r="CY38" i="11"/>
  <c r="CY47" i="11" s="1"/>
  <c r="CY81" i="11"/>
  <c r="CT88" i="11"/>
  <c r="CT73" i="11"/>
  <c r="CJ75" i="39"/>
  <c r="CY101" i="39"/>
  <c r="CT11" i="16"/>
  <c r="CT90" i="16" s="1"/>
  <c r="CU71" i="39"/>
  <c r="CY97" i="39"/>
  <c r="CP71" i="39"/>
  <c r="CP76" i="39" s="1"/>
  <c r="DD29" i="1"/>
  <c r="DD31" i="1" s="1"/>
  <c r="DE31" i="1"/>
  <c r="DE33" i="1" s="1"/>
  <c r="CR25" i="1"/>
  <c r="CS25" i="1"/>
  <c r="CH81" i="39"/>
  <c r="CF73" i="39"/>
  <c r="CF81" i="39"/>
  <c r="CQ27" i="1"/>
  <c r="CL35" i="1"/>
  <c r="CL37" i="1" s="1"/>
  <c r="CL39" i="1"/>
  <c r="CL41" i="1" s="1"/>
  <c r="CF23" i="1"/>
  <c r="CF25" i="1" s="1"/>
  <c r="CF29" i="1" s="1"/>
  <c r="CF44" i="1" s="1"/>
  <c r="CF36" i="1" s="1"/>
  <c r="CF37" i="1" s="1"/>
  <c r="AW23" i="1"/>
  <c r="AW25" i="1" s="1"/>
  <c r="AW29" i="1" s="1"/>
  <c r="AW45" i="1" s="1"/>
  <c r="AW40" i="1" s="1"/>
  <c r="AW41" i="1" s="1"/>
  <c r="AR23" i="1"/>
  <c r="AR25" i="1" s="1"/>
  <c r="AR29" i="1" s="1"/>
  <c r="AR44" i="1" s="1"/>
  <c r="AR36" i="1" s="1"/>
  <c r="AR37" i="1" s="1"/>
  <c r="X23" i="1"/>
  <c r="X25" i="1" s="1"/>
  <c r="X29" i="1" s="1"/>
  <c r="X45" i="1" s="1"/>
  <c r="X40" i="1" s="1"/>
  <c r="X41" i="1" s="1"/>
  <c r="BT71" i="39"/>
  <c r="CA81" i="39"/>
  <c r="CF75" i="39"/>
  <c r="BW75" i="39"/>
  <c r="BW8" i="16" s="1"/>
  <c r="BS71" i="39"/>
  <c r="BR71" i="39"/>
  <c r="BR7" i="16" s="1"/>
  <c r="BZ75" i="39"/>
  <c r="AH23" i="1"/>
  <c r="AH25" i="1" s="1"/>
  <c r="AH29" i="1" s="1"/>
  <c r="N23" i="1"/>
  <c r="N25" i="1" s="1"/>
  <c r="N29" i="1" s="1"/>
  <c r="N45" i="1" s="1"/>
  <c r="N40" i="1" s="1"/>
  <c r="N41" i="1" s="1"/>
  <c r="S23" i="1"/>
  <c r="S25" i="1" s="1"/>
  <c r="S29" i="1" s="1"/>
  <c r="S45" i="1" s="1"/>
  <c r="S40" i="1" s="1"/>
  <c r="S41" i="1" s="1"/>
  <c r="BZ73" i="39"/>
  <c r="CA73" i="39" s="1"/>
  <c r="AM23" i="1"/>
  <c r="AM25" i="1" s="1"/>
  <c r="AM29" i="1" s="1"/>
  <c r="AM45" i="1" s="1"/>
  <c r="AM40" i="1" s="1"/>
  <c r="AM41" i="1" s="1"/>
  <c r="CK23" i="1"/>
  <c r="CK25" i="1" s="1"/>
  <c r="CK29" i="1" s="1"/>
  <c r="CK45" i="1" s="1"/>
  <c r="CK40" i="1" s="1"/>
  <c r="CK41" i="1" s="1"/>
  <c r="BQ23" i="1"/>
  <c r="BQ25" i="1" s="1"/>
  <c r="BQ29" i="1" s="1"/>
  <c r="BQ45" i="1" s="1"/>
  <c r="BQ40" i="1" s="1"/>
  <c r="BQ41" i="1" s="1"/>
  <c r="BL23" i="1"/>
  <c r="BL25" i="1" s="1"/>
  <c r="BL29" i="1" s="1"/>
  <c r="BL45" i="1" s="1"/>
  <c r="BL40" i="1" s="1"/>
  <c r="BL41" i="1" s="1"/>
  <c r="BV23" i="1"/>
  <c r="BV25" i="1" s="1"/>
  <c r="BV29" i="1" s="1"/>
  <c r="BV44" i="1" s="1"/>
  <c r="BV36" i="1" s="1"/>
  <c r="BV37" i="1" s="1"/>
  <c r="BG23" i="1"/>
  <c r="BG25" i="1" s="1"/>
  <c r="BG29" i="1" s="1"/>
  <c r="BG45" i="1" s="1"/>
  <c r="BG40" i="1" s="1"/>
  <c r="BG41" i="1" s="1"/>
  <c r="CA23" i="1"/>
  <c r="CA25" i="1" s="1"/>
  <c r="CA29" i="1" s="1"/>
  <c r="CA44" i="1" s="1"/>
  <c r="CA36" i="1" s="1"/>
  <c r="CA37" i="1" s="1"/>
  <c r="AC23" i="1"/>
  <c r="AC25" i="1" s="1"/>
  <c r="AC29" i="1" s="1"/>
  <c r="AC44" i="1" s="1"/>
  <c r="AC36" i="1" s="1"/>
  <c r="AC37" i="1" s="1"/>
  <c r="BB23" i="1"/>
  <c r="BB25" i="1" s="1"/>
  <c r="BB29" i="1" s="1"/>
  <c r="BB45" i="1" s="1"/>
  <c r="BB40" i="1" s="1"/>
  <c r="BB41" i="1" s="1"/>
  <c r="AB39" i="1"/>
  <c r="AB41" i="1" s="1"/>
  <c r="AB29" i="1"/>
  <c r="AB35" i="1"/>
  <c r="AB37" i="1" s="1"/>
  <c r="Y39" i="1"/>
  <c r="Y41" i="1" s="1"/>
  <c r="Y29" i="1"/>
  <c r="Y35" i="1"/>
  <c r="Y37" i="1" s="1"/>
  <c r="AA35" i="1"/>
  <c r="AA37" i="1" s="1"/>
  <c r="AA39" i="1"/>
  <c r="AA41" i="1" s="1"/>
  <c r="AA29" i="1"/>
  <c r="Z29" i="1"/>
  <c r="Z39" i="1"/>
  <c r="Z41" i="1" s="1"/>
  <c r="Z35" i="1"/>
  <c r="Z37" i="1" s="1"/>
  <c r="W39" i="1"/>
  <c r="W41" i="1" s="1"/>
  <c r="W29" i="1"/>
  <c r="W35" i="1"/>
  <c r="W37" i="1" s="1"/>
  <c r="T39" i="1"/>
  <c r="T41" i="1" s="1"/>
  <c r="T35" i="1"/>
  <c r="T37" i="1" s="1"/>
  <c r="T29" i="1"/>
  <c r="V39" i="1"/>
  <c r="V41" i="1" s="1"/>
  <c r="V29" i="1"/>
  <c r="V35" i="1"/>
  <c r="V37" i="1" s="1"/>
  <c r="U35" i="1"/>
  <c r="U37" i="1" s="1"/>
  <c r="U29" i="1"/>
  <c r="U39" i="1"/>
  <c r="U41" i="1" s="1"/>
  <c r="O39" i="1"/>
  <c r="O41" i="1" s="1"/>
  <c r="O29" i="1"/>
  <c r="O35" i="1"/>
  <c r="O37" i="1" s="1"/>
  <c r="P39" i="1"/>
  <c r="P41" i="1" s="1"/>
  <c r="P29" i="1"/>
  <c r="P35" i="1"/>
  <c r="P37" i="1" s="1"/>
  <c r="Q39" i="1"/>
  <c r="Q41" i="1" s="1"/>
  <c r="Q29" i="1"/>
  <c r="Q35" i="1"/>
  <c r="Q37" i="1" s="1"/>
  <c r="R39" i="1"/>
  <c r="R41" i="1" s="1"/>
  <c r="R29" i="1"/>
  <c r="R35" i="1"/>
  <c r="R37" i="1" s="1"/>
  <c r="J39" i="1"/>
  <c r="J41" i="1" s="1"/>
  <c r="J29" i="1"/>
  <c r="J35" i="1"/>
  <c r="J37" i="1" s="1"/>
  <c r="M39" i="1"/>
  <c r="M41" i="1" s="1"/>
  <c r="M35" i="1"/>
  <c r="M37" i="1" s="1"/>
  <c r="M29" i="1"/>
  <c r="K29" i="1"/>
  <c r="K39" i="1"/>
  <c r="K41" i="1" s="1"/>
  <c r="K35" i="1"/>
  <c r="K37" i="1" s="1"/>
  <c r="L39" i="1"/>
  <c r="L41" i="1" s="1"/>
  <c r="L29" i="1"/>
  <c r="L35" i="1"/>
  <c r="L37" i="1" s="1"/>
  <c r="AD39" i="1"/>
  <c r="AD41" i="1" s="1"/>
  <c r="AD29" i="1"/>
  <c r="AD35" i="1"/>
  <c r="AD37" i="1" s="1"/>
  <c r="AE39" i="1"/>
  <c r="AE41" i="1" s="1"/>
  <c r="AE29" i="1"/>
  <c r="AE35" i="1"/>
  <c r="AE37" i="1" s="1"/>
  <c r="AF39" i="1"/>
  <c r="AF41" i="1" s="1"/>
  <c r="AF29" i="1"/>
  <c r="AF35" i="1"/>
  <c r="AF37" i="1" s="1"/>
  <c r="AG39" i="1"/>
  <c r="AG41" i="1" s="1"/>
  <c r="AG29" i="1"/>
  <c r="AG35" i="1"/>
  <c r="AG37" i="1" s="1"/>
  <c r="AP29" i="1"/>
  <c r="AP39" i="1"/>
  <c r="AP41" i="1" s="1"/>
  <c r="AP35" i="1"/>
  <c r="AP37" i="1" s="1"/>
  <c r="AJ35" i="1"/>
  <c r="AJ37" i="1" s="1"/>
  <c r="AJ29" i="1"/>
  <c r="AJ39" i="1"/>
  <c r="AJ41" i="1" s="1"/>
  <c r="AN39" i="1"/>
  <c r="AN41" i="1" s="1"/>
  <c r="AN35" i="1"/>
  <c r="AN37" i="1" s="1"/>
  <c r="AN29" i="1"/>
  <c r="AK35" i="1"/>
  <c r="AK37" i="1" s="1"/>
  <c r="AK39" i="1"/>
  <c r="AK41" i="1" s="1"/>
  <c r="AK29" i="1"/>
  <c r="AQ35" i="1"/>
  <c r="AQ37" i="1" s="1"/>
  <c r="AQ39" i="1"/>
  <c r="AQ41" i="1" s="1"/>
  <c r="AQ29" i="1"/>
  <c r="AL39" i="1"/>
  <c r="AL41" i="1" s="1"/>
  <c r="AL29" i="1"/>
  <c r="AL35" i="1"/>
  <c r="AL37" i="1" s="1"/>
  <c r="AO39" i="1"/>
  <c r="AO41" i="1" s="1"/>
  <c r="AO29" i="1"/>
  <c r="AO35" i="1"/>
  <c r="AO37" i="1" s="1"/>
  <c r="AI39" i="1"/>
  <c r="AI41" i="1" s="1"/>
  <c r="AI29" i="1"/>
  <c r="AI35" i="1"/>
  <c r="AI37" i="1" s="1"/>
  <c r="AV39" i="1"/>
  <c r="AV41" i="1" s="1"/>
  <c r="AV29" i="1"/>
  <c r="AV35" i="1"/>
  <c r="AV37" i="1" s="1"/>
  <c r="AS39" i="1"/>
  <c r="AS41" i="1" s="1"/>
  <c r="AS29" i="1"/>
  <c r="AS35" i="1"/>
  <c r="AS37" i="1" s="1"/>
  <c r="AU35" i="1"/>
  <c r="AU37" i="1" s="1"/>
  <c r="AU39" i="1"/>
  <c r="AU41" i="1" s="1"/>
  <c r="AU29" i="1"/>
  <c r="AT29" i="1"/>
  <c r="AT35" i="1"/>
  <c r="AT37" i="1" s="1"/>
  <c r="AT39" i="1"/>
  <c r="AT41" i="1" s="1"/>
  <c r="AX39" i="1"/>
  <c r="AX41" i="1" s="1"/>
  <c r="AX35" i="1"/>
  <c r="AX37" i="1" s="1"/>
  <c r="AX29" i="1"/>
  <c r="AZ39" i="1"/>
  <c r="AZ41" i="1" s="1"/>
  <c r="AZ29" i="1"/>
  <c r="AZ35" i="1"/>
  <c r="AZ37" i="1" s="1"/>
  <c r="BA39" i="1"/>
  <c r="BA41" i="1" s="1"/>
  <c r="BA29" i="1"/>
  <c r="BA35" i="1"/>
  <c r="BA37" i="1" s="1"/>
  <c r="AY39" i="1"/>
  <c r="AY41" i="1" s="1"/>
  <c r="AY29" i="1"/>
  <c r="AY35" i="1"/>
  <c r="AY37" i="1" s="1"/>
  <c r="BF39" i="1"/>
  <c r="BF41" i="1" s="1"/>
  <c r="BF29" i="1"/>
  <c r="BF35" i="1"/>
  <c r="BF37" i="1" s="1"/>
  <c r="BD39" i="1"/>
  <c r="BD41" i="1" s="1"/>
  <c r="BD29" i="1"/>
  <c r="BD35" i="1"/>
  <c r="BD37" i="1" s="1"/>
  <c r="BC39" i="1"/>
  <c r="BC41" i="1" s="1"/>
  <c r="BC35" i="1"/>
  <c r="BC37" i="1" s="1"/>
  <c r="BC29" i="1"/>
  <c r="BE39" i="1"/>
  <c r="BE41" i="1" s="1"/>
  <c r="BE29" i="1"/>
  <c r="BE35" i="1"/>
  <c r="BE37" i="1" s="1"/>
  <c r="BI29" i="1"/>
  <c r="BI39" i="1"/>
  <c r="BI41" i="1" s="1"/>
  <c r="BI35" i="1"/>
  <c r="BI37" i="1" s="1"/>
  <c r="BH35" i="1"/>
  <c r="BH37" i="1" s="1"/>
  <c r="BH39" i="1"/>
  <c r="BH41" i="1" s="1"/>
  <c r="BH29" i="1"/>
  <c r="BK39" i="1"/>
  <c r="BK41" i="1" s="1"/>
  <c r="BK29" i="1"/>
  <c r="BK35" i="1"/>
  <c r="BK37" i="1" s="1"/>
  <c r="BJ39" i="1"/>
  <c r="BJ41" i="1" s="1"/>
  <c r="BJ29" i="1"/>
  <c r="BJ35" i="1"/>
  <c r="BJ37" i="1" s="1"/>
  <c r="BM35" i="1"/>
  <c r="BM37" i="1" s="1"/>
  <c r="BM39" i="1"/>
  <c r="BM41" i="1" s="1"/>
  <c r="BM29" i="1"/>
  <c r="BN29" i="1"/>
  <c r="BN39" i="1"/>
  <c r="BN41" i="1" s="1"/>
  <c r="BN35" i="1"/>
  <c r="BN37" i="1" s="1"/>
  <c r="BO39" i="1"/>
  <c r="BO41" i="1" s="1"/>
  <c r="BO35" i="1"/>
  <c r="BO37" i="1" s="1"/>
  <c r="BO29" i="1"/>
  <c r="BP39" i="1"/>
  <c r="BP41" i="1" s="1"/>
  <c r="BP29" i="1"/>
  <c r="BP35" i="1"/>
  <c r="BP37" i="1" s="1"/>
  <c r="BT39" i="1"/>
  <c r="BT41" i="1" s="1"/>
  <c r="BT29" i="1"/>
  <c r="BT35" i="1"/>
  <c r="BT37" i="1" s="1"/>
  <c r="BU39" i="1"/>
  <c r="BU41" i="1" s="1"/>
  <c r="BU29" i="1"/>
  <c r="BU35" i="1"/>
  <c r="BU37" i="1" s="1"/>
  <c r="BS39" i="1"/>
  <c r="BS41" i="1" s="1"/>
  <c r="BS29" i="1"/>
  <c r="BS35" i="1"/>
  <c r="BS37" i="1" s="1"/>
  <c r="BR29" i="1"/>
  <c r="BR39" i="1"/>
  <c r="BR41" i="1" s="1"/>
  <c r="BR35" i="1"/>
  <c r="BR37" i="1" s="1"/>
  <c r="BZ39" i="1"/>
  <c r="BZ41" i="1" s="1"/>
  <c r="BZ29" i="1"/>
  <c r="BZ35" i="1"/>
  <c r="BZ37" i="1" s="1"/>
  <c r="BY39" i="1"/>
  <c r="BY41" i="1" s="1"/>
  <c r="BY29" i="1"/>
  <c r="BY35" i="1"/>
  <c r="BY37" i="1" s="1"/>
  <c r="BX39" i="1"/>
  <c r="BX41" i="1" s="1"/>
  <c r="BX29" i="1"/>
  <c r="BX35" i="1"/>
  <c r="BX37" i="1" s="1"/>
  <c r="BW39" i="1"/>
  <c r="BW41" i="1" s="1"/>
  <c r="BW29" i="1"/>
  <c r="BW35" i="1"/>
  <c r="BW37" i="1" s="1"/>
  <c r="CB39" i="1"/>
  <c r="CB41" i="1" s="1"/>
  <c r="CB29" i="1"/>
  <c r="CB35" i="1"/>
  <c r="CB37" i="1" s="1"/>
  <c r="CD39" i="1"/>
  <c r="CD41" i="1" s="1"/>
  <c r="CD29" i="1"/>
  <c r="CD35" i="1"/>
  <c r="CD37" i="1" s="1"/>
  <c r="CE39" i="1"/>
  <c r="CE41" i="1" s="1"/>
  <c r="CE29" i="1"/>
  <c r="CE35" i="1"/>
  <c r="CE37" i="1" s="1"/>
  <c r="CC39" i="1"/>
  <c r="CC41" i="1" s="1"/>
  <c r="CC29" i="1"/>
  <c r="CC35" i="1"/>
  <c r="CC37" i="1" s="1"/>
  <c r="CJ39" i="1"/>
  <c r="CJ41" i="1" s="1"/>
  <c r="CJ29" i="1"/>
  <c r="CJ35" i="1"/>
  <c r="CJ37" i="1" s="1"/>
  <c r="CH39" i="1"/>
  <c r="CH41" i="1" s="1"/>
  <c r="CH29" i="1"/>
  <c r="CH35" i="1"/>
  <c r="CH37" i="1" s="1"/>
  <c r="CI39" i="1"/>
  <c r="CI41" i="1" s="1"/>
  <c r="CI29" i="1"/>
  <c r="CI35" i="1"/>
  <c r="CI37" i="1" s="1"/>
  <c r="CG35" i="1"/>
  <c r="CG37" i="1" s="1"/>
  <c r="CG39" i="1"/>
  <c r="CG41" i="1" s="1"/>
  <c r="CG29" i="1"/>
  <c r="CN31" i="1"/>
  <c r="CM31" i="1"/>
  <c r="CM33" i="1" s="1"/>
  <c r="DQ13" i="12" l="1"/>
  <c r="DQ17" i="12"/>
  <c r="DQ11" i="11"/>
  <c r="DQ72" i="16"/>
  <c r="DQ90" i="16" s="1"/>
  <c r="DQ64" i="11"/>
  <c r="DQ73" i="11"/>
  <c r="DR11" i="39"/>
  <c r="DR31" i="39"/>
  <c r="DR8" i="39"/>
  <c r="DR73" i="11"/>
  <c r="DR88" i="11"/>
  <c r="DR64" i="11"/>
  <c r="DS62" i="11"/>
  <c r="DS14" i="11"/>
  <c r="DS78" i="16"/>
  <c r="DS116" i="16"/>
  <c r="DS80" i="16"/>
  <c r="DS77" i="16"/>
  <c r="DS81" i="16"/>
  <c r="DS89" i="16"/>
  <c r="DS20" i="39" s="1"/>
  <c r="DS9" i="39" s="1"/>
  <c r="DS75" i="16"/>
  <c r="DS76" i="16"/>
  <c r="DR11" i="11"/>
  <c r="DR72" i="16"/>
  <c r="DR90" i="16" s="1"/>
  <c r="DQ11" i="39"/>
  <c r="DQ8" i="39"/>
  <c r="DD38" i="11"/>
  <c r="DD47" i="11" s="1"/>
  <c r="CZ81" i="11"/>
  <c r="CU73" i="11"/>
  <c r="CT88" i="16"/>
  <c r="V226" i="44"/>
  <c r="W61" i="44"/>
  <c r="W222" i="44"/>
  <c r="U222" i="44"/>
  <c r="T222" i="44"/>
  <c r="DE48" i="11"/>
  <c r="DM43" i="12"/>
  <c r="CY48" i="11"/>
  <c r="CN33" i="1"/>
  <c r="CN39" i="1"/>
  <c r="CN41" i="1" s="1"/>
  <c r="CZ48" i="11"/>
  <c r="DM37" i="12"/>
  <c r="BS7" i="16"/>
  <c r="BS11" i="16" s="1"/>
  <c r="CA8" i="16"/>
  <c r="CA11" i="16" s="1"/>
  <c r="BW11" i="16"/>
  <c r="BT7" i="16"/>
  <c r="BT11" i="16" s="1"/>
  <c r="CJ81" i="39"/>
  <c r="CK81" i="39" s="1"/>
  <c r="BS75" i="39"/>
  <c r="CU81" i="39"/>
  <c r="CU90" i="39" s="1"/>
  <c r="CU91" i="39"/>
  <c r="CU92" i="39"/>
  <c r="CZ97" i="39"/>
  <c r="CU97" i="39"/>
  <c r="CU11" i="16"/>
  <c r="CU90" i="16" s="1"/>
  <c r="DM11" i="12"/>
  <c r="DM9" i="12"/>
  <c r="DN86" i="11"/>
  <c r="DM86" i="11"/>
  <c r="CQ29" i="1"/>
  <c r="CQ31" i="1" s="1"/>
  <c r="CQ33" i="1" s="1"/>
  <c r="CS27" i="1"/>
  <c r="CS29" i="1" s="1"/>
  <c r="CS31" i="1" s="1"/>
  <c r="CR27" i="1"/>
  <c r="CR29" i="1" s="1"/>
  <c r="CR31" i="1" s="1"/>
  <c r="BR75" i="39"/>
  <c r="BR8" i="16" s="1"/>
  <c r="CM39" i="1"/>
  <c r="CM41" i="1" s="1"/>
  <c r="CM35" i="1"/>
  <c r="CM37" i="1" s="1"/>
  <c r="CN35" i="1"/>
  <c r="CN37" i="1" s="1"/>
  <c r="AR45" i="1"/>
  <c r="AR40" i="1" s="1"/>
  <c r="AR41" i="1" s="1"/>
  <c r="X44" i="1"/>
  <c r="X36" i="1" s="1"/>
  <c r="X37" i="1" s="1"/>
  <c r="BB44" i="1"/>
  <c r="BB36" i="1" s="1"/>
  <c r="BB37" i="1" s="1"/>
  <c r="AM44" i="1"/>
  <c r="AM36" i="1" s="1"/>
  <c r="AM37" i="1" s="1"/>
  <c r="CF45" i="1"/>
  <c r="CF40" i="1" s="1"/>
  <c r="CF41" i="1" s="1"/>
  <c r="BT75" i="39"/>
  <c r="CA75" i="39"/>
  <c r="CA45" i="1"/>
  <c r="CA40" i="1" s="1"/>
  <c r="CA41" i="1" s="1"/>
  <c r="S44" i="1"/>
  <c r="S36" i="1" s="1"/>
  <c r="S37" i="1" s="1"/>
  <c r="BQ44" i="1"/>
  <c r="BQ36" i="1" s="1"/>
  <c r="BQ37" i="1" s="1"/>
  <c r="AH45" i="1"/>
  <c r="AH40" i="1" s="1"/>
  <c r="AH41" i="1" s="1"/>
  <c r="AH44" i="1"/>
  <c r="AH36" i="1" s="1"/>
  <c r="AH37" i="1" s="1"/>
  <c r="AW44" i="1"/>
  <c r="AW36" i="1" s="1"/>
  <c r="AW37" i="1" s="1"/>
  <c r="CK44" i="1"/>
  <c r="CK36" i="1" s="1"/>
  <c r="CK37" i="1" s="1"/>
  <c r="BG44" i="1"/>
  <c r="BG36" i="1" s="1"/>
  <c r="BG37" i="1" s="1"/>
  <c r="N44" i="1"/>
  <c r="N36" i="1" s="1"/>
  <c r="N37" i="1" s="1"/>
  <c r="BV45" i="1"/>
  <c r="BV40" i="1" s="1"/>
  <c r="BV41" i="1" s="1"/>
  <c r="AC45" i="1"/>
  <c r="AC40" i="1" s="1"/>
  <c r="AC41" i="1" s="1"/>
  <c r="BL44" i="1"/>
  <c r="BL36" i="1" s="1"/>
  <c r="BL37" i="1" s="1"/>
  <c r="DR17" i="12" l="1"/>
  <c r="DR13" i="12"/>
  <c r="DD48" i="11"/>
  <c r="DR67" i="11"/>
  <c r="DR10" i="11"/>
  <c r="DR87" i="11"/>
  <c r="DR72" i="11"/>
  <c r="DS31" i="39"/>
  <c r="DS11" i="39"/>
  <c r="DS8" i="39"/>
  <c r="DQ72" i="11"/>
  <c r="DQ67" i="11"/>
  <c r="DQ10" i="11"/>
  <c r="DS72" i="16"/>
  <c r="DS90" i="16" s="1"/>
  <c r="DS11" i="11"/>
  <c r="DS88" i="11"/>
  <c r="DS64" i="11"/>
  <c r="DS73" i="11"/>
  <c r="CU88" i="16"/>
  <c r="W225" i="44"/>
  <c r="W238" i="44" s="1"/>
  <c r="W62" i="44"/>
  <c r="X62" i="44"/>
  <c r="V239" i="44"/>
  <c r="V240" i="44" s="1"/>
  <c r="V227" i="44"/>
  <c r="W226" i="44"/>
  <c r="W223" i="44"/>
  <c r="X223" i="44"/>
  <c r="T226" i="44"/>
  <c r="T239" i="44" s="1"/>
  <c r="U223" i="44"/>
  <c r="U226" i="44"/>
  <c r="U239" i="44" s="1"/>
  <c r="V223" i="44"/>
  <c r="DN37" i="12"/>
  <c r="DN43" i="12"/>
  <c r="BR11" i="16"/>
  <c r="DN19" i="13"/>
  <c r="DN21" i="13"/>
  <c r="CS35" i="1"/>
  <c r="CS37" i="1" s="1"/>
  <c r="CS33" i="1"/>
  <c r="CR39" i="1"/>
  <c r="CR41" i="1" s="1"/>
  <c r="CR33" i="1"/>
  <c r="DM21" i="13"/>
  <c r="DM19" i="13"/>
  <c r="CU93" i="39"/>
  <c r="CU94" i="39" s="1"/>
  <c r="CZ102" i="39"/>
  <c r="CQ39" i="1"/>
  <c r="CQ41" i="1" s="1"/>
  <c r="CQ35" i="1"/>
  <c r="CQ37" i="1" s="1"/>
  <c r="CS39" i="1"/>
  <c r="CS41" i="1" s="1"/>
  <c r="CR35" i="1"/>
  <c r="CR37" i="1" s="1"/>
  <c r="CT174" i="39"/>
  <c r="CS174" i="39"/>
  <c r="CR174" i="39"/>
  <c r="CT173" i="39"/>
  <c r="CS173" i="39"/>
  <c r="CR173" i="39"/>
  <c r="CT170" i="39"/>
  <c r="CY175" i="39" s="1"/>
  <c r="CS170" i="39"/>
  <c r="CX175" i="39" s="1"/>
  <c r="CR170" i="39"/>
  <c r="CW175" i="39" s="1"/>
  <c r="CO170" i="39"/>
  <c r="CN170" i="39"/>
  <c r="CM170" i="39"/>
  <c r="CK170" i="39"/>
  <c r="CP169" i="39"/>
  <c r="CU174" i="39" s="1"/>
  <c r="CP168" i="39"/>
  <c r="CT163" i="39"/>
  <c r="CQ163" i="39"/>
  <c r="CO163" i="39"/>
  <c r="CN163" i="39"/>
  <c r="CM163" i="39"/>
  <c r="CL163" i="39"/>
  <c r="CI163" i="39"/>
  <c r="CH163" i="39"/>
  <c r="CG163" i="39"/>
  <c r="CF163" i="39"/>
  <c r="CD163" i="39"/>
  <c r="CC163" i="39"/>
  <c r="CB163" i="39"/>
  <c r="CA163" i="39"/>
  <c r="BY163" i="39"/>
  <c r="BX163" i="39"/>
  <c r="BW163" i="39"/>
  <c r="BV163" i="39"/>
  <c r="BT163" i="39"/>
  <c r="BS163" i="39"/>
  <c r="BR163" i="39"/>
  <c r="BQ163" i="39"/>
  <c r="BL163" i="39"/>
  <c r="CT162" i="39"/>
  <c r="CQ162" i="39"/>
  <c r="CO162" i="39"/>
  <c r="CN162" i="39"/>
  <c r="CM162" i="39"/>
  <c r="CL162" i="39"/>
  <c r="CI162" i="39"/>
  <c r="CH162" i="39"/>
  <c r="CG162" i="39"/>
  <c r="CF162" i="39"/>
  <c r="CD162" i="39"/>
  <c r="CC162" i="39"/>
  <c r="CB162" i="39"/>
  <c r="CA162" i="39"/>
  <c r="BY162" i="39"/>
  <c r="BX162" i="39"/>
  <c r="BW162" i="39"/>
  <c r="BV162" i="39"/>
  <c r="BT162" i="39"/>
  <c r="BS162" i="39"/>
  <c r="BR162" i="39"/>
  <c r="BQ162" i="39"/>
  <c r="BL162" i="39"/>
  <c r="CT159" i="39"/>
  <c r="CQ159" i="39"/>
  <c r="CP159" i="39"/>
  <c r="CN159" i="39"/>
  <c r="CM159" i="39"/>
  <c r="CL159" i="39"/>
  <c r="CJ159" i="39"/>
  <c r="CO164" i="39" s="1"/>
  <c r="CI159" i="39"/>
  <c r="CH159" i="39"/>
  <c r="CG159" i="39"/>
  <c r="CF159" i="39"/>
  <c r="CD159" i="39"/>
  <c r="CC159" i="39"/>
  <c r="CB159" i="39"/>
  <c r="CA159" i="39"/>
  <c r="BY159" i="39"/>
  <c r="BX159" i="39"/>
  <c r="BW159" i="39"/>
  <c r="BV159" i="39"/>
  <c r="BT159" i="39"/>
  <c r="BS159" i="39"/>
  <c r="BR159" i="39"/>
  <c r="BQ159" i="39"/>
  <c r="BP159" i="39" s="1"/>
  <c r="BO159" i="39"/>
  <c r="BN159" i="39"/>
  <c r="BM159" i="39"/>
  <c r="BL159" i="39"/>
  <c r="BG159" i="39"/>
  <c r="CP158" i="39"/>
  <c r="CU163" i="39" s="1"/>
  <c r="CK158" i="39"/>
  <c r="CK163" i="39" s="1"/>
  <c r="CE158" i="39"/>
  <c r="CJ163" i="39" s="1"/>
  <c r="BZ158" i="39"/>
  <c r="BU158" i="39"/>
  <c r="BP158" i="39"/>
  <c r="CP157" i="39"/>
  <c r="CU162" i="39" s="1"/>
  <c r="CK157" i="39"/>
  <c r="CK162" i="39" s="1"/>
  <c r="CE157" i="39"/>
  <c r="BZ157" i="39"/>
  <c r="BU157" i="39"/>
  <c r="BP157" i="39"/>
  <c r="CP152" i="39"/>
  <c r="CK152" i="39"/>
  <c r="CT147" i="39"/>
  <c r="CS147" i="39"/>
  <c r="CR147" i="39"/>
  <c r="CT146" i="39"/>
  <c r="CS146" i="39"/>
  <c r="CR146" i="39"/>
  <c r="CQ146" i="39"/>
  <c r="CO146" i="39"/>
  <c r="CN146" i="39"/>
  <c r="CM146" i="39"/>
  <c r="CL146" i="39"/>
  <c r="CJ146" i="39"/>
  <c r="CI146" i="39"/>
  <c r="CH146" i="39"/>
  <c r="CG146" i="39"/>
  <c r="CD146" i="39"/>
  <c r="CC146" i="39"/>
  <c r="CB146" i="39"/>
  <c r="BT142" i="39"/>
  <c r="BS142" i="39"/>
  <c r="BR142" i="39"/>
  <c r="BO142" i="39"/>
  <c r="BN142" i="39"/>
  <c r="BM142" i="39"/>
  <c r="CT139" i="39"/>
  <c r="CY148" i="39" s="1"/>
  <c r="CS139" i="39"/>
  <c r="CR139" i="39"/>
  <c r="CQ139" i="39"/>
  <c r="CO139" i="39"/>
  <c r="CN139" i="39"/>
  <c r="CM139" i="39"/>
  <c r="CL139" i="39"/>
  <c r="CL138" i="39" s="1"/>
  <c r="CJ139" i="39"/>
  <c r="CJ138" i="39" s="1"/>
  <c r="CI139" i="39"/>
  <c r="CH139" i="39"/>
  <c r="CG139" i="39"/>
  <c r="CE139" i="39"/>
  <c r="CE138" i="39" s="1"/>
  <c r="CE143" i="39" s="1"/>
  <c r="CD139" i="39"/>
  <c r="CD138" i="39" s="1"/>
  <c r="CC139" i="39"/>
  <c r="CB139" i="39"/>
  <c r="BZ139" i="39"/>
  <c r="BY139" i="39"/>
  <c r="BX139" i="39"/>
  <c r="BX138" i="39" s="1"/>
  <c r="BW139" i="39"/>
  <c r="BU139" i="39"/>
  <c r="BT139" i="39"/>
  <c r="BS139" i="39"/>
  <c r="BS138" i="39" s="1"/>
  <c r="BR139" i="39"/>
  <c r="BP139" i="39"/>
  <c r="BP148" i="39" s="1"/>
  <c r="BO139" i="39"/>
  <c r="BO138" i="39" s="1"/>
  <c r="BN139" i="39"/>
  <c r="BN138" i="39" s="1"/>
  <c r="BM139" i="39"/>
  <c r="BM138" i="39" s="1"/>
  <c r="BJ139" i="39"/>
  <c r="BI139" i="39"/>
  <c r="BH139" i="39"/>
  <c r="BH137" i="39" s="1"/>
  <c r="BF139" i="39"/>
  <c r="BK148" i="39" s="1"/>
  <c r="BE139" i="39"/>
  <c r="BD139" i="39"/>
  <c r="BC139" i="39"/>
  <c r="BA139" i="39"/>
  <c r="AZ139" i="39"/>
  <c r="AY139" i="39"/>
  <c r="AX139" i="39"/>
  <c r="CP137" i="39"/>
  <c r="CU146" i="39" s="1"/>
  <c r="CK137" i="39"/>
  <c r="CF137" i="39"/>
  <c r="CF146" i="39" s="1"/>
  <c r="BZ137" i="39"/>
  <c r="CT134" i="39"/>
  <c r="CS134" i="39"/>
  <c r="CR134" i="39"/>
  <c r="CQ134" i="39"/>
  <c r="CO134" i="39"/>
  <c r="CN134" i="39"/>
  <c r="CM134" i="39"/>
  <c r="CL134" i="39"/>
  <c r="CJ134" i="39"/>
  <c r="CI134" i="39"/>
  <c r="CH134" i="39"/>
  <c r="CG134" i="39"/>
  <c r="CE134" i="39"/>
  <c r="CD134" i="39"/>
  <c r="CC134" i="39"/>
  <c r="CB134" i="39"/>
  <c r="BZ134" i="39"/>
  <c r="BY134" i="39"/>
  <c r="BX134" i="39"/>
  <c r="BW134" i="39"/>
  <c r="BU134" i="39"/>
  <c r="BT134" i="39"/>
  <c r="BS134" i="39"/>
  <c r="BR134" i="39"/>
  <c r="BP134" i="39"/>
  <c r="BO134" i="39"/>
  <c r="BN134" i="39"/>
  <c r="BM134" i="39"/>
  <c r="BK134" i="39"/>
  <c r="BJ134" i="39"/>
  <c r="BI134" i="39"/>
  <c r="BH134" i="39"/>
  <c r="BG134" i="39"/>
  <c r="CT132" i="39"/>
  <c r="CS132" i="39"/>
  <c r="CR132" i="39"/>
  <c r="CQ132" i="39"/>
  <c r="CO132" i="39"/>
  <c r="CN132" i="39"/>
  <c r="CM132" i="39"/>
  <c r="CL132" i="39"/>
  <c r="CJ132" i="39"/>
  <c r="CI132" i="39"/>
  <c r="CH132" i="39"/>
  <c r="CG132" i="39"/>
  <c r="CE132" i="39"/>
  <c r="CD132" i="39"/>
  <c r="CC132" i="39"/>
  <c r="CB132" i="39"/>
  <c r="BZ132" i="39"/>
  <c r="BY132" i="39"/>
  <c r="BX132" i="39"/>
  <c r="BW132" i="39"/>
  <c r="BU132" i="39"/>
  <c r="BT132" i="39"/>
  <c r="BS132" i="39"/>
  <c r="BR132" i="39"/>
  <c r="BP132" i="39"/>
  <c r="BO132" i="39"/>
  <c r="BN132" i="39"/>
  <c r="BM132" i="39"/>
  <c r="BK132" i="39"/>
  <c r="BJ132" i="39"/>
  <c r="BI132" i="39"/>
  <c r="BH132" i="39"/>
  <c r="BG132" i="39"/>
  <c r="CL131" i="39"/>
  <c r="CJ131" i="39"/>
  <c r="CI131" i="39"/>
  <c r="CH131" i="39"/>
  <c r="CG131" i="39"/>
  <c r="CE131" i="39"/>
  <c r="CD131" i="39"/>
  <c r="CC131" i="39"/>
  <c r="CB131" i="39"/>
  <c r="BZ131" i="39"/>
  <c r="BY131" i="39"/>
  <c r="BX131" i="39"/>
  <c r="BW131" i="39"/>
  <c r="BU131" i="39"/>
  <c r="BT131" i="39"/>
  <c r="BS131" i="39"/>
  <c r="BR131" i="39"/>
  <c r="BP131" i="39"/>
  <c r="BO131" i="39"/>
  <c r="BN131" i="39"/>
  <c r="BM131" i="39"/>
  <c r="BK131" i="39"/>
  <c r="BJ131" i="39"/>
  <c r="BI131" i="39"/>
  <c r="BH131" i="39"/>
  <c r="BG131" i="39"/>
  <c r="CT130" i="39"/>
  <c r="CS130" i="39"/>
  <c r="CR130" i="39"/>
  <c r="CQ130" i="39"/>
  <c r="CO130" i="39"/>
  <c r="CN130" i="39"/>
  <c r="CM130" i="39"/>
  <c r="CL130" i="39"/>
  <c r="CJ130" i="39"/>
  <c r="CI130" i="39"/>
  <c r="CH130" i="39"/>
  <c r="CG130" i="39"/>
  <c r="CE130" i="39"/>
  <c r="CD130" i="39"/>
  <c r="CC130" i="39"/>
  <c r="CB130" i="39"/>
  <c r="BZ130" i="39"/>
  <c r="BY130" i="39"/>
  <c r="BX130" i="39"/>
  <c r="BW130" i="39"/>
  <c r="BU130" i="39"/>
  <c r="BT130" i="39"/>
  <c r="BS130" i="39"/>
  <c r="BR130" i="39"/>
  <c r="BP130" i="39"/>
  <c r="BO130" i="39"/>
  <c r="BN130" i="39"/>
  <c r="BM130" i="39"/>
  <c r="BK130" i="39"/>
  <c r="BJ130" i="39"/>
  <c r="BI130" i="39"/>
  <c r="BH130" i="39"/>
  <c r="BG130" i="39"/>
  <c r="CT127" i="39"/>
  <c r="CS127" i="39"/>
  <c r="CR127" i="39"/>
  <c r="CQ127" i="39"/>
  <c r="CP127" i="39"/>
  <c r="CO127" i="39"/>
  <c r="CN127" i="39"/>
  <c r="CM127" i="39"/>
  <c r="CL127" i="39"/>
  <c r="CJ127" i="39"/>
  <c r="CI127" i="39"/>
  <c r="CH127" i="39"/>
  <c r="CG127" i="39"/>
  <c r="CE127" i="39"/>
  <c r="CD127" i="39"/>
  <c r="CC127" i="39"/>
  <c r="CB127" i="39"/>
  <c r="BZ127" i="39"/>
  <c r="BY127" i="39"/>
  <c r="BX127" i="39"/>
  <c r="BW127" i="39"/>
  <c r="BU127" i="39"/>
  <c r="BT127" i="39"/>
  <c r="BS127" i="39"/>
  <c r="BR127" i="39"/>
  <c r="BP127" i="39"/>
  <c r="BO127" i="39"/>
  <c r="BN127" i="39"/>
  <c r="BM127" i="39"/>
  <c r="CT124" i="39"/>
  <c r="CS124" i="39"/>
  <c r="CR124" i="39"/>
  <c r="CQ124" i="39"/>
  <c r="CO124" i="39"/>
  <c r="CN124" i="39"/>
  <c r="CM124" i="39"/>
  <c r="CL124" i="39"/>
  <c r="CJ124" i="39"/>
  <c r="CI124" i="39"/>
  <c r="CH124" i="39"/>
  <c r="CG124" i="39"/>
  <c r="CE124" i="39"/>
  <c r="CD124" i="39"/>
  <c r="CC124" i="39"/>
  <c r="CB124" i="39"/>
  <c r="BZ124" i="39"/>
  <c r="BY124" i="39"/>
  <c r="BX124" i="39"/>
  <c r="BW124" i="39"/>
  <c r="BU124" i="39"/>
  <c r="BT124" i="39"/>
  <c r="BS124" i="39"/>
  <c r="BR124" i="39"/>
  <c r="BP124" i="39"/>
  <c r="BO124" i="39"/>
  <c r="BN124" i="39"/>
  <c r="BM124" i="39"/>
  <c r="CT122" i="39"/>
  <c r="CS122" i="39"/>
  <c r="CR122" i="39"/>
  <c r="CQ122" i="39"/>
  <c r="CO122" i="39"/>
  <c r="CN122" i="39"/>
  <c r="CM122" i="39"/>
  <c r="CL122" i="39"/>
  <c r="CJ122" i="39"/>
  <c r="CI122" i="39"/>
  <c r="CH122" i="39"/>
  <c r="CG122" i="39"/>
  <c r="CE122" i="39"/>
  <c r="CD122" i="39"/>
  <c r="CC122" i="39"/>
  <c r="CB122" i="39"/>
  <c r="BZ122" i="39"/>
  <c r="BY122" i="39"/>
  <c r="BX122" i="39"/>
  <c r="BW122" i="39"/>
  <c r="BU122" i="39"/>
  <c r="BT122" i="39"/>
  <c r="BS122" i="39"/>
  <c r="BR122" i="39"/>
  <c r="BP122" i="39"/>
  <c r="BO122" i="39"/>
  <c r="BN122" i="39"/>
  <c r="BM122" i="39"/>
  <c r="CL121" i="39"/>
  <c r="CJ121" i="39"/>
  <c r="CI121" i="39"/>
  <c r="CH121" i="39"/>
  <c r="CG121" i="39"/>
  <c r="CE121" i="39"/>
  <c r="CD121" i="39"/>
  <c r="CC121" i="39"/>
  <c r="CB121" i="39"/>
  <c r="BZ121" i="39"/>
  <c r="BY121" i="39"/>
  <c r="BX121" i="39"/>
  <c r="BW121" i="39"/>
  <c r="BU121" i="39"/>
  <c r="BT121" i="39"/>
  <c r="BS121" i="39"/>
  <c r="BR121" i="39"/>
  <c r="BP121" i="39"/>
  <c r="BO121" i="39"/>
  <c r="BN121" i="39"/>
  <c r="BM121" i="39"/>
  <c r="CT120" i="39"/>
  <c r="CS120" i="39"/>
  <c r="CR120" i="39"/>
  <c r="CQ120" i="39"/>
  <c r="CO120" i="39"/>
  <c r="CN120" i="39"/>
  <c r="CM120" i="39"/>
  <c r="CL120" i="39"/>
  <c r="CJ120" i="39"/>
  <c r="CI120" i="39"/>
  <c r="CH120" i="39"/>
  <c r="CG120" i="39"/>
  <c r="CE120" i="39"/>
  <c r="CD120" i="39"/>
  <c r="CC120" i="39"/>
  <c r="CB120" i="39"/>
  <c r="BZ120" i="39"/>
  <c r="BY120" i="39"/>
  <c r="BX120" i="39"/>
  <c r="BW120" i="39"/>
  <c r="BU120" i="39"/>
  <c r="BT120" i="39"/>
  <c r="BS120" i="39"/>
  <c r="BR120" i="39"/>
  <c r="BP120" i="39"/>
  <c r="BO120" i="39"/>
  <c r="BN120" i="39"/>
  <c r="BM120" i="39"/>
  <c r="CT116" i="39"/>
  <c r="CT117" i="39" s="1"/>
  <c r="CS116" i="39"/>
  <c r="CS117" i="39" s="1"/>
  <c r="CR116" i="39"/>
  <c r="CR117" i="39" s="1"/>
  <c r="CQ116" i="39"/>
  <c r="CQ117" i="39" s="1"/>
  <c r="CN116" i="39"/>
  <c r="CN117" i="39" s="1"/>
  <c r="CL116" i="39"/>
  <c r="CL117" i="39" s="1"/>
  <c r="CI116" i="39"/>
  <c r="CI117" i="39" s="1"/>
  <c r="CG116" i="39"/>
  <c r="CG117" i="39" s="1"/>
  <c r="CF114" i="39"/>
  <c r="CA114" i="39"/>
  <c r="BV114" i="39"/>
  <c r="BQ114" i="39"/>
  <c r="BL114" i="39"/>
  <c r="BL127" i="39" s="1"/>
  <c r="CT112" i="39"/>
  <c r="CY125" i="39" s="1"/>
  <c r="CS112" i="39"/>
  <c r="CX125" i="39" s="1"/>
  <c r="CR112" i="39"/>
  <c r="CW125" i="39" s="1"/>
  <c r="CQ112" i="39"/>
  <c r="CV125" i="39" s="1"/>
  <c r="CO112" i="39"/>
  <c r="CN112" i="39"/>
  <c r="CM112" i="39"/>
  <c r="CL112" i="39"/>
  <c r="CJ112" i="39"/>
  <c r="CI112" i="39"/>
  <c r="CH112" i="39"/>
  <c r="CG112" i="39"/>
  <c r="CE112" i="39"/>
  <c r="CD112" i="39"/>
  <c r="CC112" i="39"/>
  <c r="CB112" i="39"/>
  <c r="BZ112" i="39"/>
  <c r="BY112" i="39"/>
  <c r="BX112" i="39"/>
  <c r="BW112" i="39"/>
  <c r="BU112" i="39"/>
  <c r="BT112" i="39"/>
  <c r="BS112" i="39"/>
  <c r="BR112" i="39"/>
  <c r="BP112" i="39"/>
  <c r="BO112" i="39"/>
  <c r="BN112" i="39"/>
  <c r="BM112" i="39"/>
  <c r="BK112" i="39"/>
  <c r="BJ112" i="39"/>
  <c r="BI112" i="39"/>
  <c r="BH112" i="39"/>
  <c r="BG112" i="39"/>
  <c r="CP111" i="39"/>
  <c r="CU124" i="39" s="1"/>
  <c r="CK111" i="39"/>
  <c r="CF111" i="39"/>
  <c r="CA111" i="39"/>
  <c r="BV111" i="39"/>
  <c r="BQ111" i="39"/>
  <c r="BL111" i="39"/>
  <c r="CM110" i="39"/>
  <c r="CM116" i="39" s="1"/>
  <c r="CM117" i="39" s="1"/>
  <c r="CJ110" i="39"/>
  <c r="CJ116" i="39" s="1"/>
  <c r="CJ117" i="39" s="1"/>
  <c r="CH110" i="39"/>
  <c r="CH116" i="39" s="1"/>
  <c r="CH117" i="39" s="1"/>
  <c r="CL109" i="39"/>
  <c r="CJ109" i="39"/>
  <c r="CI109" i="39"/>
  <c r="CH109" i="39"/>
  <c r="CG109" i="39"/>
  <c r="CG133" i="39" s="1"/>
  <c r="CE109" i="39"/>
  <c r="CD109" i="39"/>
  <c r="CC109" i="39"/>
  <c r="CB109" i="39"/>
  <c r="BZ109" i="39"/>
  <c r="BY109" i="39"/>
  <c r="BX109" i="39"/>
  <c r="BW109" i="39"/>
  <c r="BU109" i="39"/>
  <c r="BU133" i="39" s="1"/>
  <c r="BT109" i="39"/>
  <c r="BS109" i="39"/>
  <c r="BR109" i="39"/>
  <c r="BP109" i="39"/>
  <c r="BO109" i="39"/>
  <c r="BO133" i="39" s="1"/>
  <c r="BN109" i="39"/>
  <c r="BM109" i="39"/>
  <c r="BK109" i="39"/>
  <c r="BK133" i="39" s="1"/>
  <c r="BJ109" i="39"/>
  <c r="BJ133" i="39" s="1"/>
  <c r="BI109" i="39"/>
  <c r="BI133" i="39" s="1"/>
  <c r="BH109" i="39"/>
  <c r="BH133" i="39" s="1"/>
  <c r="BG109" i="39"/>
  <c r="BG133" i="39" s="1"/>
  <c r="CP108" i="39"/>
  <c r="CU122" i="39" s="1"/>
  <c r="CK108" i="39"/>
  <c r="CF108" i="39"/>
  <c r="CA108" i="39"/>
  <c r="BV108" i="39"/>
  <c r="BQ108" i="39"/>
  <c r="BL108" i="39"/>
  <c r="BL122" i="39" s="1"/>
  <c r="CK107" i="39"/>
  <c r="CF107" i="39"/>
  <c r="CA107" i="39"/>
  <c r="BV107" i="39"/>
  <c r="BQ107" i="39"/>
  <c r="BL107" i="39"/>
  <c r="CP106" i="39"/>
  <c r="CU120" i="39" s="1"/>
  <c r="CK106" i="39"/>
  <c r="CF106" i="39"/>
  <c r="CA106" i="39"/>
  <c r="BV106" i="39"/>
  <c r="BQ106" i="39"/>
  <c r="BL106" i="39"/>
  <c r="CS101" i="39"/>
  <c r="CR101" i="39"/>
  <c r="CQ101" i="39"/>
  <c r="CP101" i="39"/>
  <c r="CL101" i="39"/>
  <c r="CT100" i="39"/>
  <c r="CS100" i="39"/>
  <c r="CR100" i="39"/>
  <c r="CQ100" i="39"/>
  <c r="CO100" i="39"/>
  <c r="CN100" i="39"/>
  <c r="CM100" i="39"/>
  <c r="CL100" i="39"/>
  <c r="CJ100" i="39"/>
  <c r="CI100" i="39"/>
  <c r="CH100" i="39"/>
  <c r="CG100" i="39"/>
  <c r="CD100" i="39"/>
  <c r="CC100" i="39"/>
  <c r="CB100" i="39"/>
  <c r="CT99" i="39"/>
  <c r="CS99" i="39"/>
  <c r="CR99" i="39"/>
  <c r="CO99" i="39"/>
  <c r="CN99" i="39"/>
  <c r="CM99" i="39"/>
  <c r="CT98" i="39"/>
  <c r="CS98" i="39"/>
  <c r="CO98" i="39"/>
  <c r="CS97" i="39"/>
  <c r="CR97" i="39"/>
  <c r="CQ97" i="39"/>
  <c r="CN97" i="39"/>
  <c r="CM97" i="39"/>
  <c r="CL97" i="39"/>
  <c r="CI97" i="39"/>
  <c r="CH97" i="39"/>
  <c r="CG97" i="39"/>
  <c r="CD97" i="39"/>
  <c r="CC97" i="39"/>
  <c r="CB97" i="39"/>
  <c r="BU94" i="39"/>
  <c r="BM94" i="39"/>
  <c r="BN94" i="39" s="1"/>
  <c r="BO94" i="39" s="1"/>
  <c r="BP94" i="39" s="1"/>
  <c r="BU93" i="39"/>
  <c r="BU74" i="39" s="1"/>
  <c r="BU8" i="16" s="1"/>
  <c r="BV8" i="16" s="1"/>
  <c r="BM93" i="39"/>
  <c r="CS92" i="39"/>
  <c r="CR92" i="39"/>
  <c r="CQ92" i="39"/>
  <c r="CN92" i="39"/>
  <c r="CM92" i="39"/>
  <c r="CI92" i="39"/>
  <c r="CH92" i="39"/>
  <c r="CS91" i="39"/>
  <c r="CQ91" i="39"/>
  <c r="CN91" i="39"/>
  <c r="CK91" i="39"/>
  <c r="CE91" i="39"/>
  <c r="CD91" i="39"/>
  <c r="CD72" i="39" s="1"/>
  <c r="CC91" i="39"/>
  <c r="CC72" i="39" s="1"/>
  <c r="CB91" i="39"/>
  <c r="CB72" i="39" s="1"/>
  <c r="BZ91" i="39"/>
  <c r="BZ72" i="39" s="1"/>
  <c r="BY91" i="39"/>
  <c r="BY72" i="39" s="1"/>
  <c r="BX91" i="39"/>
  <c r="BX72" i="39" s="1"/>
  <c r="BW91" i="39"/>
  <c r="BW72" i="39" s="1"/>
  <c r="BU90" i="39"/>
  <c r="BU71" i="39" s="1"/>
  <c r="BU7" i="16" s="1"/>
  <c r="BM90" i="39"/>
  <c r="CT93" i="39"/>
  <c r="CS90" i="39"/>
  <c r="CR90" i="39"/>
  <c r="CM90" i="39"/>
  <c r="CL90" i="39"/>
  <c r="CC94" i="39"/>
  <c r="CN101" i="39"/>
  <c r="CP100" i="39"/>
  <c r="CG92" i="39"/>
  <c r="CN98" i="39"/>
  <c r="CT91" i="39"/>
  <c r="CJ92" i="39"/>
  <c r="CS66" i="39"/>
  <c r="CR66" i="39"/>
  <c r="CN66" i="39"/>
  <c r="CM66" i="39"/>
  <c r="CL66" i="39"/>
  <c r="CH66" i="39"/>
  <c r="CG66" i="39"/>
  <c r="CC66" i="39"/>
  <c r="CB66" i="39"/>
  <c r="CA66" i="39"/>
  <c r="BY66" i="39"/>
  <c r="BX66" i="39"/>
  <c r="BV66" i="39"/>
  <c r="BT66" i="39"/>
  <c r="BS66" i="39"/>
  <c r="BQ66" i="39"/>
  <c r="CS65" i="39"/>
  <c r="CR65" i="39"/>
  <c r="CP65" i="39"/>
  <c r="CN65" i="39"/>
  <c r="CM65" i="39"/>
  <c r="CL65" i="39"/>
  <c r="CI65" i="39"/>
  <c r="CH65" i="39"/>
  <c r="CG65" i="39"/>
  <c r="CD65" i="39"/>
  <c r="CC65" i="39"/>
  <c r="CB65" i="39"/>
  <c r="CA65" i="39"/>
  <c r="BY65" i="39"/>
  <c r="BX65" i="39"/>
  <c r="BV65" i="39"/>
  <c r="BT65" i="39"/>
  <c r="BS65" i="39"/>
  <c r="BQ65" i="39"/>
  <c r="CT86" i="39"/>
  <c r="CY67" i="39" s="1"/>
  <c r="CS86" i="39"/>
  <c r="CX67" i="39" s="1"/>
  <c r="CP86" i="39"/>
  <c r="CN86" i="39"/>
  <c r="CL86" i="39"/>
  <c r="CI86" i="39"/>
  <c r="CI67" i="39" s="1"/>
  <c r="CH86" i="39"/>
  <c r="CG86" i="39"/>
  <c r="CE86" i="39"/>
  <c r="CJ67" i="39" s="1"/>
  <c r="CC86" i="39"/>
  <c r="CB86" i="39"/>
  <c r="CA86" i="39"/>
  <c r="BY86" i="39"/>
  <c r="CD67" i="39" s="1"/>
  <c r="BX86" i="39"/>
  <c r="BW86" i="39"/>
  <c r="BV86" i="39"/>
  <c r="BT86" i="39"/>
  <c r="BS86" i="39"/>
  <c r="BQ86" i="39"/>
  <c r="BO86" i="39"/>
  <c r="BN86" i="39"/>
  <c r="BL86" i="39"/>
  <c r="BG86" i="39"/>
  <c r="CO85" i="39"/>
  <c r="CT66" i="39" s="1"/>
  <c r="CD85" i="39"/>
  <c r="CD66" i="39" s="1"/>
  <c r="BZ85" i="39"/>
  <c r="CE66" i="39" s="1"/>
  <c r="BR85" i="39"/>
  <c r="BM85" i="39"/>
  <c r="BP85" i="39" s="1"/>
  <c r="CO84" i="39"/>
  <c r="CT65" i="39" s="1"/>
  <c r="CJ84" i="39"/>
  <c r="CJ65" i="39" s="1"/>
  <c r="CF84" i="39"/>
  <c r="BZ84" i="39"/>
  <c r="BR84" i="39"/>
  <c r="BU84" i="39" s="1"/>
  <c r="BM84" i="39"/>
  <c r="CT62" i="39"/>
  <c r="CS62" i="39"/>
  <c r="CR62" i="39"/>
  <c r="CQ62" i="39"/>
  <c r="CO62" i="39"/>
  <c r="CN62" i="39"/>
  <c r="CM62" i="39"/>
  <c r="CL62" i="39"/>
  <c r="CJ62" i="39"/>
  <c r="CI62" i="39"/>
  <c r="CH62" i="39"/>
  <c r="CG62" i="39"/>
  <c r="CE62" i="39"/>
  <c r="CD62" i="39"/>
  <c r="CC62" i="39"/>
  <c r="CB62" i="39"/>
  <c r="BZ62" i="39"/>
  <c r="BY62" i="39"/>
  <c r="BX62" i="39"/>
  <c r="BW62" i="39"/>
  <c r="BU62" i="39"/>
  <c r="BT62" i="39"/>
  <c r="BS62" i="39"/>
  <c r="BR62" i="39"/>
  <c r="BP62" i="39"/>
  <c r="BO62" i="39"/>
  <c r="BN62" i="39"/>
  <c r="BM62" i="39"/>
  <c r="CT60" i="39"/>
  <c r="CS60" i="39"/>
  <c r="CR60" i="39"/>
  <c r="CO60" i="39"/>
  <c r="CN60" i="39"/>
  <c r="CM60" i="39"/>
  <c r="CL60" i="39"/>
  <c r="CJ60" i="39"/>
  <c r="CI60" i="39"/>
  <c r="CH60" i="39"/>
  <c r="CG60" i="39"/>
  <c r="CE60" i="39"/>
  <c r="CD60" i="39"/>
  <c r="CC60" i="39"/>
  <c r="CB60" i="39"/>
  <c r="BZ60" i="39"/>
  <c r="BY60" i="39"/>
  <c r="BX60" i="39"/>
  <c r="BW60" i="39"/>
  <c r="BU60" i="39"/>
  <c r="BT60" i="39"/>
  <c r="BS60" i="39"/>
  <c r="BR60" i="39"/>
  <c r="BP60" i="39"/>
  <c r="BO60" i="39"/>
  <c r="BN60" i="39"/>
  <c r="BM60" i="39"/>
  <c r="CJ59" i="39"/>
  <c r="CI59" i="39"/>
  <c r="CH59" i="39"/>
  <c r="CG59" i="39"/>
  <c r="CE59" i="39"/>
  <c r="CD59" i="39"/>
  <c r="CC59" i="39"/>
  <c r="CB59" i="39"/>
  <c r="BZ59" i="39"/>
  <c r="BY59" i="39"/>
  <c r="BX59" i="39"/>
  <c r="BW59" i="39"/>
  <c r="BU59" i="39"/>
  <c r="BT59" i="39"/>
  <c r="BS59" i="39"/>
  <c r="BR59" i="39"/>
  <c r="BP59" i="39"/>
  <c r="BO59" i="39"/>
  <c r="BN59" i="39"/>
  <c r="BM59" i="39"/>
  <c r="CT58" i="39"/>
  <c r="CS58" i="39"/>
  <c r="CR58" i="39"/>
  <c r="CO58" i="39"/>
  <c r="CN58" i="39"/>
  <c r="CM58" i="39"/>
  <c r="CL58" i="39"/>
  <c r="CJ58" i="39"/>
  <c r="CI58" i="39"/>
  <c r="CH58" i="39"/>
  <c r="CG58" i="39"/>
  <c r="CE58" i="39"/>
  <c r="CD58" i="39"/>
  <c r="CC58" i="39"/>
  <c r="CB58" i="39"/>
  <c r="BZ58" i="39"/>
  <c r="BY58" i="39"/>
  <c r="BX58" i="39"/>
  <c r="BW58" i="39"/>
  <c r="BU58" i="39"/>
  <c r="BT58" i="39"/>
  <c r="BS58" i="39"/>
  <c r="BR58" i="39"/>
  <c r="BP58" i="39"/>
  <c r="BO58" i="39"/>
  <c r="BN58" i="39"/>
  <c r="BM58" i="39"/>
  <c r="CP55" i="39"/>
  <c r="CU62" i="39" s="1"/>
  <c r="CK55" i="39"/>
  <c r="CF55" i="39"/>
  <c r="CF62" i="39" s="1"/>
  <c r="BV55" i="39"/>
  <c r="BQ55" i="39"/>
  <c r="BL55" i="39"/>
  <c r="CJ54" i="39"/>
  <c r="CI54" i="39"/>
  <c r="CH54" i="39"/>
  <c r="CG54" i="39"/>
  <c r="CE54" i="39"/>
  <c r="CD54" i="39"/>
  <c r="CC54" i="39"/>
  <c r="CB54" i="39"/>
  <c r="BZ54" i="39"/>
  <c r="BY54" i="39"/>
  <c r="BX54" i="39"/>
  <c r="BW54" i="39"/>
  <c r="BU54" i="39"/>
  <c r="BT54" i="39"/>
  <c r="BS54" i="39"/>
  <c r="BR54" i="39"/>
  <c r="BP54" i="39"/>
  <c r="BO54" i="39"/>
  <c r="BN54" i="39"/>
  <c r="BM54" i="39"/>
  <c r="BK54" i="39"/>
  <c r="BJ54" i="39"/>
  <c r="BI54" i="39"/>
  <c r="BH54" i="39"/>
  <c r="CP53" i="39"/>
  <c r="CU60" i="39" s="1"/>
  <c r="CK53" i="39"/>
  <c r="CF53" i="39"/>
  <c r="CA53" i="39"/>
  <c r="BV53" i="39"/>
  <c r="BQ53" i="39"/>
  <c r="BL53" i="39"/>
  <c r="CK52" i="39"/>
  <c r="CF52" i="39"/>
  <c r="CA52" i="39"/>
  <c r="BV52" i="39"/>
  <c r="BQ52" i="39"/>
  <c r="BL52" i="39"/>
  <c r="CQ58" i="39"/>
  <c r="CP51" i="39"/>
  <c r="CU58" i="39" s="1"/>
  <c r="CK51" i="39"/>
  <c r="CF51" i="39"/>
  <c r="CA51" i="39"/>
  <c r="BV51" i="39"/>
  <c r="BQ51" i="39"/>
  <c r="BL51" i="39"/>
  <c r="BQ47" i="39"/>
  <c r="BR47" i="39" s="1"/>
  <c r="BS47" i="39" s="1"/>
  <c r="BT47" i="39" s="1"/>
  <c r="BU47" i="39" s="1"/>
  <c r="BL47" i="39"/>
  <c r="BM47" i="39" s="1"/>
  <c r="BN47" i="39" s="1"/>
  <c r="BO47" i="39" s="1"/>
  <c r="BP47" i="39" s="1"/>
  <c r="CP46" i="39"/>
  <c r="CL46" i="39" s="1"/>
  <c r="CL39" i="39" s="1"/>
  <c r="CK46" i="39"/>
  <c r="CF46" i="39"/>
  <c r="CA46" i="39"/>
  <c r="CB46" i="39" s="1"/>
  <c r="BV46" i="39"/>
  <c r="BW46" i="39" s="1"/>
  <c r="BX46" i="39" s="1"/>
  <c r="BY46" i="39" s="1"/>
  <c r="BR46" i="39"/>
  <c r="BS46" i="39" s="1"/>
  <c r="BM46" i="39"/>
  <c r="BM39" i="39" s="1"/>
  <c r="CS45" i="39"/>
  <c r="CS38" i="39" s="1"/>
  <c r="CP45" i="39"/>
  <c r="CO45" i="39" s="1"/>
  <c r="CO38" i="39" s="1"/>
  <c r="CK45" i="39"/>
  <c r="CH45" i="39" s="1"/>
  <c r="CH38" i="39" s="1"/>
  <c r="CF45" i="39"/>
  <c r="CA45" i="39"/>
  <c r="CB45" i="39" s="1"/>
  <c r="CB38" i="39" s="1"/>
  <c r="BV45" i="39"/>
  <c r="BW45" i="39" s="1"/>
  <c r="BR45" i="39"/>
  <c r="BS45" i="39" s="1"/>
  <c r="BM45" i="39"/>
  <c r="BN45" i="39" s="1"/>
  <c r="BO45" i="39" s="1"/>
  <c r="BP45" i="39" s="1"/>
  <c r="BP38" i="39" s="1"/>
  <c r="CS44" i="39"/>
  <c r="CS37" i="39" s="1"/>
  <c r="CP44" i="39"/>
  <c r="CM44" i="39" s="1"/>
  <c r="CM37" i="39" s="1"/>
  <c r="CK44" i="39"/>
  <c r="CJ44" i="39" s="1"/>
  <c r="CJ37" i="39" s="1"/>
  <c r="CF44" i="39"/>
  <c r="CA44" i="39"/>
  <c r="BV44" i="39"/>
  <c r="BW44" i="39" s="1"/>
  <c r="BR44" i="39"/>
  <c r="BS44" i="39" s="1"/>
  <c r="BM44" i="39"/>
  <c r="BN44" i="39" s="1"/>
  <c r="CT43" i="39"/>
  <c r="CT36" i="39" s="1"/>
  <c r="CP43" i="39"/>
  <c r="CL43" i="39" s="1"/>
  <c r="CL36" i="39" s="1"/>
  <c r="CK43" i="39"/>
  <c r="CJ43" i="39" s="1"/>
  <c r="CJ36" i="39" s="1"/>
  <c r="CF43" i="39"/>
  <c r="CA43" i="39"/>
  <c r="CB43" i="39" s="1"/>
  <c r="CB36" i="39" s="1"/>
  <c r="BV43" i="39"/>
  <c r="BW43" i="39" s="1"/>
  <c r="BX43" i="39" s="1"/>
  <c r="BR43" i="39"/>
  <c r="BS43" i="39" s="1"/>
  <c r="BT43" i="39" s="1"/>
  <c r="BM43" i="39"/>
  <c r="BN43" i="39" s="1"/>
  <c r="CT42" i="39"/>
  <c r="CP42" i="39"/>
  <c r="CK42" i="39"/>
  <c r="CJ42" i="39" s="1"/>
  <c r="CF42" i="39"/>
  <c r="CA42" i="39"/>
  <c r="CB42" i="39" s="1"/>
  <c r="CB35" i="39" s="1"/>
  <c r="BV42" i="39"/>
  <c r="BW42" i="39" s="1"/>
  <c r="BX42" i="39" s="1"/>
  <c r="BR42" i="39"/>
  <c r="BS42" i="39" s="1"/>
  <c r="BS35" i="39" s="1"/>
  <c r="BM42" i="39"/>
  <c r="BN42" i="39" s="1"/>
  <c r="BO42" i="39" s="1"/>
  <c r="CT31" i="39"/>
  <c r="CS31" i="39"/>
  <c r="CR31" i="39"/>
  <c r="CQ31" i="39"/>
  <c r="CO31" i="39"/>
  <c r="CN31" i="39"/>
  <c r="CM31" i="39"/>
  <c r="CL31" i="39"/>
  <c r="BC31" i="39"/>
  <c r="BA31" i="39"/>
  <c r="AZ31" i="39"/>
  <c r="AY31" i="39"/>
  <c r="AX31" i="39"/>
  <c r="AV31" i="39"/>
  <c r="AU31" i="39"/>
  <c r="AT31" i="39"/>
  <c r="AS31" i="39"/>
  <c r="AQ31" i="39"/>
  <c r="AP31" i="39"/>
  <c r="AO31" i="39"/>
  <c r="AN31" i="39"/>
  <c r="AL31" i="39"/>
  <c r="AK31" i="39"/>
  <c r="AG31" i="39"/>
  <c r="AF31" i="39"/>
  <c r="AE31" i="39"/>
  <c r="AD31" i="39"/>
  <c r="AB31" i="39"/>
  <c r="AA31" i="39"/>
  <c r="Z31" i="39"/>
  <c r="Y31" i="39"/>
  <c r="W31" i="39"/>
  <c r="V31" i="39"/>
  <c r="U31" i="39"/>
  <c r="CT30" i="39"/>
  <c r="CS30" i="39"/>
  <c r="CR30" i="39"/>
  <c r="CQ30" i="39"/>
  <c r="CO30" i="39"/>
  <c r="CN30" i="39"/>
  <c r="CM30" i="39"/>
  <c r="CL30" i="39"/>
  <c r="CJ30" i="39"/>
  <c r="CI30" i="39"/>
  <c r="CH30" i="39"/>
  <c r="CG30" i="39"/>
  <c r="CE30" i="39"/>
  <c r="CD30" i="39"/>
  <c r="CC30" i="39"/>
  <c r="CB30" i="39"/>
  <c r="BZ30" i="39"/>
  <c r="BY30" i="39"/>
  <c r="BX30" i="39"/>
  <c r="BW30" i="39"/>
  <c r="BU30" i="39"/>
  <c r="BT30" i="39"/>
  <c r="BS30" i="39"/>
  <c r="BR30" i="39"/>
  <c r="BP30" i="39"/>
  <c r="BO30" i="39"/>
  <c r="BN30" i="39"/>
  <c r="BM30" i="39"/>
  <c r="BK30" i="39"/>
  <c r="BJ30" i="39"/>
  <c r="BI30" i="39"/>
  <c r="BH30" i="39"/>
  <c r="BF30" i="39"/>
  <c r="BE30" i="39"/>
  <c r="BD30" i="39"/>
  <c r="BC30" i="39"/>
  <c r="BA30" i="39"/>
  <c r="AZ30" i="39"/>
  <c r="AY30" i="39"/>
  <c r="AX30" i="39"/>
  <c r="AV30" i="39"/>
  <c r="AU30" i="39"/>
  <c r="AT30" i="39"/>
  <c r="AS30" i="39"/>
  <c r="AQ30" i="39"/>
  <c r="AP30" i="39"/>
  <c r="AO30" i="39"/>
  <c r="AN30" i="39"/>
  <c r="AL30" i="39"/>
  <c r="AK30" i="39"/>
  <c r="AJ30" i="39"/>
  <c r="AI30" i="39"/>
  <c r="AG30" i="39"/>
  <c r="AF30" i="39"/>
  <c r="AE30" i="39"/>
  <c r="AD30" i="39"/>
  <c r="AB30" i="39"/>
  <c r="AA30" i="39"/>
  <c r="Z30" i="39"/>
  <c r="Y30" i="39"/>
  <c r="W30" i="39"/>
  <c r="V30" i="39"/>
  <c r="U30" i="39"/>
  <c r="CT27" i="39"/>
  <c r="CS27" i="39"/>
  <c r="CR27" i="39"/>
  <c r="CQ27" i="39"/>
  <c r="CO27" i="39"/>
  <c r="BC27" i="39"/>
  <c r="BA27" i="39"/>
  <c r="AZ27" i="39"/>
  <c r="AY27" i="39"/>
  <c r="AX27" i="39"/>
  <c r="AV27" i="39"/>
  <c r="AU27" i="39"/>
  <c r="AT27" i="39"/>
  <c r="AS27" i="39"/>
  <c r="AQ27" i="39"/>
  <c r="AP27" i="39"/>
  <c r="AO27" i="39"/>
  <c r="AL27" i="39"/>
  <c r="AK27" i="39"/>
  <c r="AJ27" i="39"/>
  <c r="AG27" i="39"/>
  <c r="AF27" i="39"/>
  <c r="AE27" i="39"/>
  <c r="AD27" i="39"/>
  <c r="AB27" i="39"/>
  <c r="AA27" i="39"/>
  <c r="Z27" i="39"/>
  <c r="Y27" i="39"/>
  <c r="S27" i="39"/>
  <c r="N27" i="39"/>
  <c r="I27" i="39"/>
  <c r="CT26" i="39"/>
  <c r="CS26" i="39"/>
  <c r="CR26" i="39"/>
  <c r="CQ26" i="39"/>
  <c r="CO26" i="39"/>
  <c r="CN26" i="39"/>
  <c r="CM26" i="39"/>
  <c r="CL26" i="39"/>
  <c r="CJ26" i="39"/>
  <c r="CI26" i="39"/>
  <c r="CH26" i="39"/>
  <c r="CG26" i="39"/>
  <c r="CE26" i="39"/>
  <c r="CD26" i="39"/>
  <c r="CC26" i="39"/>
  <c r="CB26" i="39"/>
  <c r="BZ26" i="39"/>
  <c r="BY26" i="39"/>
  <c r="BX26" i="39"/>
  <c r="BW26" i="39"/>
  <c r="BU26" i="39"/>
  <c r="BT26" i="39"/>
  <c r="BS26" i="39"/>
  <c r="BR26" i="39"/>
  <c r="BP26" i="39"/>
  <c r="BO26" i="39"/>
  <c r="BN26" i="39"/>
  <c r="BM26" i="39"/>
  <c r="BK26" i="39"/>
  <c r="BJ26" i="39"/>
  <c r="BI26" i="39"/>
  <c r="BH26" i="39"/>
  <c r="BF26" i="39"/>
  <c r="BE26" i="39"/>
  <c r="BD26" i="39"/>
  <c r="BC26" i="39"/>
  <c r="BA26" i="39"/>
  <c r="AZ26" i="39"/>
  <c r="AY26" i="39"/>
  <c r="AX26" i="39"/>
  <c r="AV26" i="39"/>
  <c r="AU26" i="39"/>
  <c r="AT26" i="39"/>
  <c r="AS26" i="39"/>
  <c r="AQ26" i="39"/>
  <c r="AP26" i="39"/>
  <c r="AO26" i="39"/>
  <c r="AN26" i="39"/>
  <c r="AL26" i="39"/>
  <c r="AK26" i="39"/>
  <c r="AJ26" i="39"/>
  <c r="AI26" i="39"/>
  <c r="AG26" i="39"/>
  <c r="AF26" i="39"/>
  <c r="AE26" i="39"/>
  <c r="AD26" i="39"/>
  <c r="AB26" i="39"/>
  <c r="AA26" i="39"/>
  <c r="Z26" i="39"/>
  <c r="Y26" i="39"/>
  <c r="S26" i="39"/>
  <c r="N26" i="39"/>
  <c r="I26" i="39"/>
  <c r="CT20" i="39"/>
  <c r="CS20" i="39"/>
  <c r="CR20" i="39"/>
  <c r="CQ20" i="39"/>
  <c r="CO20" i="39"/>
  <c r="CN20" i="39"/>
  <c r="CM20" i="39"/>
  <c r="CL20" i="39"/>
  <c r="CJ20" i="39"/>
  <c r="CI20" i="39"/>
  <c r="CH20" i="39"/>
  <c r="CG20" i="39"/>
  <c r="CE20" i="39"/>
  <c r="CD20" i="39"/>
  <c r="CC20" i="39"/>
  <c r="CB20" i="39"/>
  <c r="BZ20" i="39"/>
  <c r="BY20" i="39"/>
  <c r="BX20" i="39"/>
  <c r="BW20" i="39"/>
  <c r="BU20" i="39"/>
  <c r="BT20" i="39"/>
  <c r="BS20" i="39"/>
  <c r="BR20" i="39"/>
  <c r="BP20" i="39"/>
  <c r="BO20" i="39"/>
  <c r="BN20" i="39"/>
  <c r="BM20" i="39"/>
  <c r="BK20" i="39"/>
  <c r="BJ20" i="39"/>
  <c r="BI20" i="39"/>
  <c r="BH20" i="39"/>
  <c r="BF20" i="39"/>
  <c r="BE20" i="39"/>
  <c r="BD20" i="39"/>
  <c r="AV20" i="39"/>
  <c r="AU20" i="39"/>
  <c r="AT20" i="39"/>
  <c r="AS20" i="39"/>
  <c r="AQ20" i="39"/>
  <c r="AP20" i="39"/>
  <c r="AO20" i="39"/>
  <c r="AN20" i="39"/>
  <c r="AL20" i="39"/>
  <c r="AK20" i="39"/>
  <c r="AJ20" i="39"/>
  <c r="AG20" i="39"/>
  <c r="AF20" i="39"/>
  <c r="AE20" i="39"/>
  <c r="AD20" i="39"/>
  <c r="AB20" i="39"/>
  <c r="AA20" i="39"/>
  <c r="Z20" i="39"/>
  <c r="Y20" i="39"/>
  <c r="W20" i="39"/>
  <c r="V20" i="39"/>
  <c r="U20" i="39"/>
  <c r="T20" i="39"/>
  <c r="S20" i="39"/>
  <c r="N20" i="39"/>
  <c r="I20" i="39"/>
  <c r="H20" i="39"/>
  <c r="CE17" i="39"/>
  <c r="CD17" i="39"/>
  <c r="CC17" i="39"/>
  <c r="CB17" i="39"/>
  <c r="BZ17" i="39"/>
  <c r="BY17" i="39"/>
  <c r="BX17" i="39"/>
  <c r="BU17" i="39"/>
  <c r="BT17" i="39"/>
  <c r="BS17" i="39"/>
  <c r="BR17" i="39"/>
  <c r="BP17" i="39"/>
  <c r="BO17" i="39"/>
  <c r="BN17" i="39"/>
  <c r="BM17" i="39"/>
  <c r="BK17" i="39"/>
  <c r="BH17" i="39"/>
  <c r="BF17" i="39"/>
  <c r="BF15" i="39" s="1"/>
  <c r="BE17" i="39"/>
  <c r="BD17" i="39"/>
  <c r="BD14" i="39" s="1"/>
  <c r="BC17" i="39"/>
  <c r="BC14" i="39" s="1"/>
  <c r="BA17" i="39"/>
  <c r="AZ17" i="39"/>
  <c r="AY17" i="39"/>
  <c r="AX17" i="39"/>
  <c r="AV17" i="39"/>
  <c r="AU17" i="39"/>
  <c r="AT17" i="39"/>
  <c r="AS17" i="39"/>
  <c r="AQ17" i="39"/>
  <c r="AP17" i="39"/>
  <c r="AO17" i="39"/>
  <c r="AN17" i="39"/>
  <c r="AL17" i="39"/>
  <c r="AK17" i="39"/>
  <c r="AJ17" i="39"/>
  <c r="AI17" i="39"/>
  <c r="AG17" i="39"/>
  <c r="AF17" i="39"/>
  <c r="AE17" i="39"/>
  <c r="AD17" i="39"/>
  <c r="AB17" i="39"/>
  <c r="AA17" i="39"/>
  <c r="Z17" i="39"/>
  <c r="Y17" i="39"/>
  <c r="S17" i="39"/>
  <c r="N17" i="39"/>
  <c r="I17" i="39"/>
  <c r="CT16" i="39"/>
  <c r="CS16" i="39"/>
  <c r="CR16" i="39"/>
  <c r="CQ16" i="39"/>
  <c r="CO16" i="39"/>
  <c r="CN16" i="39"/>
  <c r="CM16" i="39"/>
  <c r="CL16" i="39"/>
  <c r="CJ16" i="39"/>
  <c r="CI16" i="39"/>
  <c r="CH16" i="39"/>
  <c r="CG16" i="39"/>
  <c r="AR16" i="39"/>
  <c r="AM16" i="39"/>
  <c r="CT15" i="39"/>
  <c r="CS15" i="39"/>
  <c r="CR15" i="39"/>
  <c r="CQ15" i="39"/>
  <c r="CO15" i="39"/>
  <c r="CN15" i="39"/>
  <c r="CM15" i="39"/>
  <c r="CL15" i="39"/>
  <c r="CJ15" i="39"/>
  <c r="CI15" i="39"/>
  <c r="CH15" i="39"/>
  <c r="BJ15" i="39"/>
  <c r="BJ17" i="39" s="1"/>
  <c r="BI15" i="39"/>
  <c r="BI17" i="39" s="1"/>
  <c r="AM15" i="39"/>
  <c r="CT14" i="39"/>
  <c r="CS14" i="39"/>
  <c r="CQ14" i="39"/>
  <c r="CO14" i="39"/>
  <c r="CN14" i="39"/>
  <c r="CM14" i="39"/>
  <c r="CL14" i="39"/>
  <c r="CJ14" i="39"/>
  <c r="CI14" i="39"/>
  <c r="CH14" i="39"/>
  <c r="CG14" i="39"/>
  <c r="BW14" i="39"/>
  <c r="BW17" i="39" s="1"/>
  <c r="CT11" i="39"/>
  <c r="CS11" i="39"/>
  <c r="CR11" i="39"/>
  <c r="CQ11" i="39"/>
  <c r="CP11" i="39"/>
  <c r="CK11" i="39"/>
  <c r="CF11" i="39"/>
  <c r="CA11" i="39"/>
  <c r="BV11" i="39"/>
  <c r="BC11" i="39"/>
  <c r="BC20" i="39" s="1"/>
  <c r="BA11" i="39"/>
  <c r="AZ11" i="39"/>
  <c r="AY11" i="39"/>
  <c r="AY20" i="39" s="1"/>
  <c r="AX11" i="39"/>
  <c r="AX20" i="39" s="1"/>
  <c r="AV11" i="39"/>
  <c r="AU11" i="39"/>
  <c r="AT11" i="39"/>
  <c r="AS11" i="39"/>
  <c r="AQ11" i="39"/>
  <c r="AP11" i="39"/>
  <c r="AO11" i="39"/>
  <c r="AN11" i="39"/>
  <c r="AL11" i="39"/>
  <c r="AK11" i="39"/>
  <c r="AJ11" i="39"/>
  <c r="AG11" i="39"/>
  <c r="AF11" i="39"/>
  <c r="AE11" i="39"/>
  <c r="AD11" i="39"/>
  <c r="AB11" i="39"/>
  <c r="AA11" i="39"/>
  <c r="Z11" i="39"/>
  <c r="Y11" i="39"/>
  <c r="W11" i="39"/>
  <c r="V11" i="39"/>
  <c r="U11" i="39"/>
  <c r="T11" i="39"/>
  <c r="S11" i="39"/>
  <c r="N11" i="39"/>
  <c r="I11" i="39"/>
  <c r="H11" i="39"/>
  <c r="CP10" i="39"/>
  <c r="CK10" i="39"/>
  <c r="CF10" i="39"/>
  <c r="CA10" i="39"/>
  <c r="BV10" i="39"/>
  <c r="CP9" i="39"/>
  <c r="CI9" i="39"/>
  <c r="CH9" i="39"/>
  <c r="CG9" i="39"/>
  <c r="CG8" i="39" s="1"/>
  <c r="CE9" i="39"/>
  <c r="CD9" i="39"/>
  <c r="CD8" i="39" s="1"/>
  <c r="CC9" i="39"/>
  <c r="CC8" i="39" s="1"/>
  <c r="CB9" i="39"/>
  <c r="BZ9" i="39"/>
  <c r="BY9" i="39"/>
  <c r="BX9" i="39"/>
  <c r="BW9" i="39"/>
  <c r="BW8" i="39" s="1"/>
  <c r="BU9" i="39"/>
  <c r="BU8" i="39" s="1"/>
  <c r="BT9" i="39"/>
  <c r="BT8" i="39" s="1"/>
  <c r="BS9" i="39"/>
  <c r="BR9" i="39"/>
  <c r="BP9" i="39"/>
  <c r="BP8" i="39" s="1"/>
  <c r="BO9" i="39"/>
  <c r="BO8" i="39" s="1"/>
  <c r="BN9" i="39"/>
  <c r="BN8" i="39" s="1"/>
  <c r="BM9" i="39"/>
  <c r="BK9" i="39"/>
  <c r="BJ9" i="39"/>
  <c r="BJ8" i="39" s="1"/>
  <c r="BI9" i="39"/>
  <c r="BI8" i="39" s="1"/>
  <c r="BH9" i="39"/>
  <c r="BH8" i="39" s="1"/>
  <c r="BF9" i="39"/>
  <c r="BF8" i="39" s="1"/>
  <c r="BE9" i="39"/>
  <c r="BE8" i="39" s="1"/>
  <c r="BD9" i="39"/>
  <c r="BD27" i="39" s="1"/>
  <c r="BB9" i="39"/>
  <c r="AW9" i="39"/>
  <c r="AR9" i="39"/>
  <c r="AI9" i="39"/>
  <c r="AH9" i="39"/>
  <c r="AC9" i="39"/>
  <c r="X9" i="39"/>
  <c r="X27" i="39" s="1"/>
  <c r="CT8" i="39"/>
  <c r="CS8" i="39"/>
  <c r="CR8" i="39"/>
  <c r="CQ8" i="39"/>
  <c r="CO8" i="39"/>
  <c r="CN8" i="39"/>
  <c r="CM8" i="39"/>
  <c r="CL8" i="39"/>
  <c r="CJ8" i="39"/>
  <c r="CI8" i="39"/>
  <c r="BC8" i="39"/>
  <c r="BA8" i="39"/>
  <c r="AZ8" i="39"/>
  <c r="AY8" i="39"/>
  <c r="AX8" i="39"/>
  <c r="AV8" i="39"/>
  <c r="AU8" i="39"/>
  <c r="AT8" i="39"/>
  <c r="AS8" i="39"/>
  <c r="AQ8" i="39"/>
  <c r="AP8" i="39"/>
  <c r="AO8" i="39"/>
  <c r="AN8" i="39"/>
  <c r="AL8" i="39"/>
  <c r="AK8" i="39"/>
  <c r="AJ8" i="39"/>
  <c r="AG8" i="39"/>
  <c r="AF8" i="39"/>
  <c r="AE8" i="39"/>
  <c r="AD8" i="39"/>
  <c r="AB8" i="39"/>
  <c r="AA8" i="39"/>
  <c r="Z8" i="39"/>
  <c r="Y8" i="39"/>
  <c r="W8" i="39"/>
  <c r="V8" i="39"/>
  <c r="U8" i="39"/>
  <c r="T8" i="39"/>
  <c r="S8" i="39"/>
  <c r="N8" i="39"/>
  <c r="I8" i="39"/>
  <c r="H8" i="39"/>
  <c r="CP7" i="39"/>
  <c r="CK7" i="39"/>
  <c r="CF7" i="39"/>
  <c r="CA7" i="39"/>
  <c r="BV7" i="39"/>
  <c r="BQ7" i="39"/>
  <c r="BL7" i="39"/>
  <c r="BG7" i="39"/>
  <c r="BB7" i="39"/>
  <c r="AW7" i="39"/>
  <c r="AW139" i="39" s="1"/>
  <c r="AR7" i="39"/>
  <c r="AM7" i="39"/>
  <c r="AH7" i="39"/>
  <c r="AC7" i="39"/>
  <c r="X7" i="39"/>
  <c r="X17" i="39" s="1"/>
  <c r="DS13" i="12" l="1"/>
  <c r="DT13" i="12" s="1"/>
  <c r="DU13" i="12" s="1"/>
  <c r="DV13" i="12" s="1"/>
  <c r="DS17" i="12"/>
  <c r="DS67" i="11"/>
  <c r="DS10" i="11"/>
  <c r="DS87" i="11"/>
  <c r="DS72" i="11"/>
  <c r="DR26" i="12"/>
  <c r="DR10" i="12"/>
  <c r="DQ26" i="12"/>
  <c r="DQ10" i="12"/>
  <c r="V235" i="44"/>
  <c r="CM42" i="39"/>
  <c r="CM35" i="39" s="1"/>
  <c r="CP234" i="1"/>
  <c r="CF16" i="39"/>
  <c r="BG16" i="39"/>
  <c r="CU27" i="39"/>
  <c r="BL16" i="39"/>
  <c r="W239" i="44"/>
  <c r="W240" i="44" s="1"/>
  <c r="W227" i="44"/>
  <c r="DO43" i="12"/>
  <c r="DP43" i="12" s="1"/>
  <c r="DO37" i="12"/>
  <c r="DP37" i="12" s="1"/>
  <c r="BL81" i="39"/>
  <c r="BL71" i="39" s="1"/>
  <c r="BL139" i="39"/>
  <c r="BU11" i="16"/>
  <c r="BV7" i="16"/>
  <c r="BV11" i="16" s="1"/>
  <c r="CU15" i="39"/>
  <c r="BR137" i="39"/>
  <c r="BW146" i="39" s="1"/>
  <c r="CU16" i="39"/>
  <c r="CU14" i="39"/>
  <c r="CU139" i="39"/>
  <c r="CV148" i="39"/>
  <c r="CR143" i="39"/>
  <c r="CW148" i="39"/>
  <c r="CS143" i="39"/>
  <c r="CX148" i="39"/>
  <c r="CP173" i="39"/>
  <c r="CU173" i="39"/>
  <c r="CU159" i="39"/>
  <c r="CY164" i="39"/>
  <c r="CP81" i="39"/>
  <c r="CU102" i="39" s="1"/>
  <c r="CU26" i="39"/>
  <c r="CU11" i="39"/>
  <c r="BM36" i="39"/>
  <c r="BD148" i="39"/>
  <c r="BT148" i="39"/>
  <c r="CB148" i="39"/>
  <c r="CQ148" i="39"/>
  <c r="BO137" i="39"/>
  <c r="CE159" i="39"/>
  <c r="CJ164" i="39" s="1"/>
  <c r="CA72" i="39"/>
  <c r="CJ45" i="39"/>
  <c r="CJ38" i="39" s="1"/>
  <c r="BN90" i="39"/>
  <c r="BM71" i="39"/>
  <c r="BM7" i="16" s="1"/>
  <c r="CE72" i="39"/>
  <c r="CF72" i="39" s="1"/>
  <c r="BU75" i="39"/>
  <c r="BV16" i="39"/>
  <c r="BQ81" i="39"/>
  <c r="CA16" i="39"/>
  <c r="BV81" i="39"/>
  <c r="BN93" i="39"/>
  <c r="BN74" i="39" s="1"/>
  <c r="BN8" i="16" s="1"/>
  <c r="BM74" i="39"/>
  <c r="BM125" i="39"/>
  <c r="CB125" i="39"/>
  <c r="CI125" i="39"/>
  <c r="CR175" i="39"/>
  <c r="CM43" i="39"/>
  <c r="CM36" i="39" s="1"/>
  <c r="CI45" i="39"/>
  <c r="CI38" i="39" s="1"/>
  <c r="CM46" i="39"/>
  <c r="CM39" i="39" s="1"/>
  <c r="BO38" i="39"/>
  <c r="BR39" i="39"/>
  <c r="CH17" i="39"/>
  <c r="CK59" i="39"/>
  <c r="CG91" i="39"/>
  <c r="CN46" i="39"/>
  <c r="CN39" i="39" s="1"/>
  <c r="CP163" i="39"/>
  <c r="CT45" i="39"/>
  <c r="CT38" i="39" s="1"/>
  <c r="CK60" i="39"/>
  <c r="CF60" i="39"/>
  <c r="CQ125" i="39"/>
  <c r="CT101" i="39"/>
  <c r="BR27" i="39"/>
  <c r="BM38" i="39"/>
  <c r="BO61" i="39"/>
  <c r="BY61" i="39"/>
  <c r="BV62" i="39"/>
  <c r="BU125" i="39"/>
  <c r="CC125" i="39"/>
  <c r="CC164" i="39"/>
  <c r="BQ164" i="39"/>
  <c r="CS175" i="39"/>
  <c r="BN38" i="39"/>
  <c r="BS61" i="39"/>
  <c r="CE61" i="39"/>
  <c r="AR26" i="39"/>
  <c r="BX31" i="39"/>
  <c r="CJ148" i="39"/>
  <c r="CF47" i="39"/>
  <c r="BV127" i="39"/>
  <c r="CK146" i="39"/>
  <c r="BR38" i="39"/>
  <c r="CK109" i="39"/>
  <c r="CK133" i="39" s="1"/>
  <c r="BZ163" i="39"/>
  <c r="BR164" i="39"/>
  <c r="AW27" i="39"/>
  <c r="BN46" i="39"/>
  <c r="CK36" i="39"/>
  <c r="BM31" i="39"/>
  <c r="BR37" i="39"/>
  <c r="CO42" i="39"/>
  <c r="CO35" i="39" s="1"/>
  <c r="CN43" i="39"/>
  <c r="CN36" i="39" s="1"/>
  <c r="CG45" i="39"/>
  <c r="CG38" i="39" s="1"/>
  <c r="CO46" i="39"/>
  <c r="CO39" i="39" s="1"/>
  <c r="CR142" i="39"/>
  <c r="BV26" i="39"/>
  <c r="CE31" i="39"/>
  <c r="AC8" i="39"/>
  <c r="BV37" i="39"/>
  <c r="CQ102" i="39"/>
  <c r="BC148" i="39"/>
  <c r="BZ148" i="39"/>
  <c r="BN137" i="39"/>
  <c r="CP162" i="39"/>
  <c r="BO43" i="39"/>
  <c r="BO36" i="39" s="1"/>
  <c r="BN36" i="39"/>
  <c r="CC46" i="39"/>
  <c r="CD46" i="39" s="1"/>
  <c r="CB39" i="39"/>
  <c r="BY31" i="39"/>
  <c r="CP60" i="39"/>
  <c r="X8" i="39"/>
  <c r="CE8" i="39"/>
  <c r="AC27" i="39"/>
  <c r="BK31" i="39"/>
  <c r="BS31" i="39"/>
  <c r="BZ27" i="39"/>
  <c r="CH31" i="39"/>
  <c r="CJ27" i="39"/>
  <c r="BR36" i="39"/>
  <c r="CG42" i="39"/>
  <c r="CG35" i="39" s="1"/>
  <c r="CO43" i="39"/>
  <c r="CO36" i="39" s="1"/>
  <c r="CT44" i="39"/>
  <c r="CT37" i="39" s="1"/>
  <c r="CF58" i="39"/>
  <c r="BQ59" i="39"/>
  <c r="BQ60" i="39"/>
  <c r="BQ54" i="39"/>
  <c r="BT61" i="39"/>
  <c r="BX67" i="39"/>
  <c r="BZ86" i="39"/>
  <c r="CE67" i="39" s="1"/>
  <c r="CS67" i="39"/>
  <c r="BW65" i="39"/>
  <c r="CA112" i="39"/>
  <c r="BL109" i="39"/>
  <c r="BL123" i="39" s="1"/>
  <c r="BW125" i="39"/>
  <c r="BT138" i="39"/>
  <c r="BT147" i="39" s="1"/>
  <c r="AW17" i="39"/>
  <c r="BV112" i="39"/>
  <c r="AH20" i="39"/>
  <c r="CF9" i="39"/>
  <c r="BN61" i="39"/>
  <c r="BT67" i="39"/>
  <c r="CL67" i="39"/>
  <c r="CL102" i="39"/>
  <c r="CB138" i="39"/>
  <c r="CB147" i="39" s="1"/>
  <c r="BL164" i="39"/>
  <c r="BY164" i="39"/>
  <c r="CG164" i="39"/>
  <c r="CN164" i="39"/>
  <c r="CA58" i="39"/>
  <c r="BL54" i="39"/>
  <c r="CK20" i="39"/>
  <c r="BV14" i="39"/>
  <c r="BV15" i="39"/>
  <c r="CL42" i="39"/>
  <c r="CL35" i="39" s="1"/>
  <c r="CK47" i="39"/>
  <c r="CC67" i="39"/>
  <c r="CM67" i="39"/>
  <c r="CK99" i="39"/>
  <c r="CR102" i="39"/>
  <c r="BV122" i="39"/>
  <c r="CG125" i="39"/>
  <c r="CN125" i="39"/>
  <c r="CM148" i="39"/>
  <c r="BS164" i="39"/>
  <c r="BR31" i="39"/>
  <c r="BX8" i="39"/>
  <c r="CM17" i="39"/>
  <c r="CT17" i="39"/>
  <c r="CA15" i="39"/>
  <c r="BM37" i="39"/>
  <c r="CI44" i="39"/>
  <c r="CI37" i="39" s="1"/>
  <c r="BQ62" i="39"/>
  <c r="CD98" i="39"/>
  <c r="BS125" i="39"/>
  <c r="CH125" i="39"/>
  <c r="CO125" i="39"/>
  <c r="CP146" i="39"/>
  <c r="CQ138" i="39"/>
  <c r="BF148" i="39"/>
  <c r="CD142" i="39"/>
  <c r="CB164" i="39"/>
  <c r="CI164" i="39"/>
  <c r="CQ164" i="39"/>
  <c r="CJ35" i="39"/>
  <c r="BZ61" i="39"/>
  <c r="CK15" i="39"/>
  <c r="CC43" i="39"/>
  <c r="CD43" i="39" s="1"/>
  <c r="CK58" i="39"/>
  <c r="CK62" i="39"/>
  <c r="CF85" i="39"/>
  <c r="CF66" i="39" s="1"/>
  <c r="CN93" i="39"/>
  <c r="CN90" i="39"/>
  <c r="BV124" i="39"/>
  <c r="CP16" i="39"/>
  <c r="BX45" i="39"/>
  <c r="BW38" i="39"/>
  <c r="CR46" i="39"/>
  <c r="CR39" i="39" s="1"/>
  <c r="CS46" i="39"/>
  <c r="CS39" i="39" s="1"/>
  <c r="AM9" i="39"/>
  <c r="AM11" i="39" s="1"/>
  <c r="AH11" i="39"/>
  <c r="CK14" i="39"/>
  <c r="CN17" i="39"/>
  <c r="BQ26" i="39"/>
  <c r="BR8" i="39"/>
  <c r="BY8" i="39"/>
  <c r="BL9" i="39"/>
  <c r="CD31" i="39"/>
  <c r="CP20" i="39"/>
  <c r="CP14" i="39"/>
  <c r="BG15" i="39"/>
  <c r="BW36" i="39"/>
  <c r="CS42" i="39"/>
  <c r="CN45" i="39"/>
  <c r="CN38" i="39" s="1"/>
  <c r="CA59" i="39"/>
  <c r="CP62" i="39"/>
  <c r="CI91" i="39"/>
  <c r="CS102" i="39"/>
  <c r="CF120" i="39"/>
  <c r="BO123" i="39"/>
  <c r="CF130" i="39"/>
  <c r="BR148" i="39"/>
  <c r="BR138" i="39"/>
  <c r="BY148" i="39"/>
  <c r="BY143" i="39"/>
  <c r="CG148" i="39"/>
  <c r="CG138" i="39"/>
  <c r="CN148" i="39"/>
  <c r="BT137" i="39"/>
  <c r="CJ46" i="39"/>
  <c r="CJ39" i="39" s="1"/>
  <c r="CI46" i="39"/>
  <c r="CI39" i="39" s="1"/>
  <c r="CQ60" i="39"/>
  <c r="AH26" i="39"/>
  <c r="AI8" i="39"/>
  <c r="BD8" i="39"/>
  <c r="BK8" i="39"/>
  <c r="BS8" i="39"/>
  <c r="BZ8" i="39"/>
  <c r="CI17" i="39"/>
  <c r="CQ17" i="39"/>
  <c r="AI20" i="39"/>
  <c r="BA20" i="39"/>
  <c r="CF20" i="39"/>
  <c r="CA26" i="39"/>
  <c r="BM35" i="39"/>
  <c r="CI42" i="39"/>
  <c r="CI35" i="39" s="1"/>
  <c r="CH42" i="39"/>
  <c r="CH35" i="39" s="1"/>
  <c r="CG43" i="39"/>
  <c r="CG36" i="39" s="1"/>
  <c r="BT44" i="39"/>
  <c r="BS37" i="39"/>
  <c r="CH44" i="39"/>
  <c r="CH37" i="39" s="1"/>
  <c r="CG44" i="39"/>
  <c r="CG37" i="39" s="1"/>
  <c r="BM61" i="39"/>
  <c r="BS67" i="39"/>
  <c r="BS147" i="39"/>
  <c r="BJ138" i="39"/>
  <c r="BO147" i="39" s="1"/>
  <c r="BJ137" i="39"/>
  <c r="BS137" i="39"/>
  <c r="CH148" i="39"/>
  <c r="CH138" i="39"/>
  <c r="CM147" i="39" s="1"/>
  <c r="BX142" i="39"/>
  <c r="CM143" i="39"/>
  <c r="BW164" i="39"/>
  <c r="BB8" i="39"/>
  <c r="BF31" i="39"/>
  <c r="BM8" i="39"/>
  <c r="CB8" i="39"/>
  <c r="CH8" i="39"/>
  <c r="BJ27" i="39"/>
  <c r="AZ20" i="39"/>
  <c r="BB14" i="39"/>
  <c r="CJ17" i="39"/>
  <c r="CR17" i="39"/>
  <c r="AC20" i="39"/>
  <c r="AN27" i="39"/>
  <c r="CA35" i="39"/>
  <c r="BY43" i="39"/>
  <c r="BX36" i="39"/>
  <c r="CS43" i="39"/>
  <c r="CS36" i="39" s="1"/>
  <c r="CL45" i="39"/>
  <c r="CL38" i="39" s="1"/>
  <c r="CM45" i="39"/>
  <c r="CM38" i="39" s="1"/>
  <c r="CG46" i="39"/>
  <c r="CG39" i="39" s="1"/>
  <c r="BX61" i="39"/>
  <c r="BQ67" i="39"/>
  <c r="BY67" i="39"/>
  <c r="CH67" i="39"/>
  <c r="CQ86" i="39"/>
  <c r="CC99" i="39"/>
  <c r="CQ99" i="39"/>
  <c r="CE100" i="39"/>
  <c r="CG90" i="39"/>
  <c r="CC90" i="39"/>
  <c r="CC93" i="39"/>
  <c r="BH138" i="39"/>
  <c r="BM147" i="39" s="1"/>
  <c r="BM137" i="39"/>
  <c r="BX148" i="39"/>
  <c r="CK159" i="39"/>
  <c r="CK164" i="39" s="1"/>
  <c r="CA164" i="39"/>
  <c r="CH164" i="39"/>
  <c r="CK9" i="39"/>
  <c r="CL17" i="39"/>
  <c r="CS17" i="39"/>
  <c r="CK16" i="39"/>
  <c r="CG17" i="39"/>
  <c r="CI43" i="39"/>
  <c r="CI36" i="39" s="1"/>
  <c r="CH43" i="39"/>
  <c r="CH36" i="39" s="1"/>
  <c r="CL44" i="39"/>
  <c r="CL37" i="39" s="1"/>
  <c r="CO44" i="39"/>
  <c r="CO37" i="39" s="1"/>
  <c r="CN44" i="39"/>
  <c r="CN37" i="39" s="1"/>
  <c r="CH46" i="39"/>
  <c r="CH39" i="39" s="1"/>
  <c r="CT46" i="39"/>
  <c r="CT39" i="39" s="1"/>
  <c r="CR67" i="39"/>
  <c r="CT90" i="39"/>
  <c r="CT94" i="39" s="1"/>
  <c r="CD99" i="39"/>
  <c r="CC98" i="39"/>
  <c r="CI98" i="39"/>
  <c r="BY125" i="39"/>
  <c r="CE125" i="39"/>
  <c r="CM125" i="39"/>
  <c r="CT125" i="39"/>
  <c r="CD148" i="39"/>
  <c r="BT164" i="39"/>
  <c r="CP58" i="39"/>
  <c r="CA60" i="39"/>
  <c r="CJ61" i="39"/>
  <c r="CF59" i="39"/>
  <c r="CN67" i="39"/>
  <c r="CP116" i="39"/>
  <c r="CP117" i="39" s="1"/>
  <c r="CA127" i="39"/>
  <c r="BE148" i="39"/>
  <c r="BN148" i="39"/>
  <c r="BU148" i="39"/>
  <c r="CR148" i="39"/>
  <c r="CJ142" i="39"/>
  <c r="BU162" i="39"/>
  <c r="CD164" i="39"/>
  <c r="CL164" i="39"/>
  <c r="CP47" i="39"/>
  <c r="BP61" i="39"/>
  <c r="CD61" i="39"/>
  <c r="CO86" i="39"/>
  <c r="CO67" i="39" s="1"/>
  <c r="CQ66" i="39"/>
  <c r="CB99" i="39"/>
  <c r="CO110" i="39"/>
  <c r="CO116" i="39" s="1"/>
  <c r="CO117" i="39" s="1"/>
  <c r="BP125" i="39"/>
  <c r="CS125" i="39"/>
  <c r="BO148" i="39"/>
  <c r="CL148" i="39"/>
  <c r="CS148" i="39"/>
  <c r="CL142" i="39"/>
  <c r="BZ162" i="39"/>
  <c r="BX164" i="39"/>
  <c r="CF164" i="39"/>
  <c r="CP170" i="39"/>
  <c r="BO35" i="39"/>
  <c r="BP42" i="39"/>
  <c r="BP35" i="39" s="1"/>
  <c r="BX44" i="39"/>
  <c r="BW37" i="39"/>
  <c r="CP38" i="39"/>
  <c r="CP35" i="39"/>
  <c r="CP26" i="39"/>
  <c r="CP37" i="39"/>
  <c r="BY42" i="39"/>
  <c r="BX35" i="39"/>
  <c r="BN37" i="39"/>
  <c r="BO44" i="39"/>
  <c r="BT45" i="39"/>
  <c r="BS38" i="39"/>
  <c r="BT46" i="39"/>
  <c r="BS39" i="39"/>
  <c r="BL39" i="39"/>
  <c r="BL38" i="39"/>
  <c r="BL35" i="39"/>
  <c r="BL26" i="39"/>
  <c r="BL37" i="39"/>
  <c r="BN31" i="39"/>
  <c r="BN27" i="39"/>
  <c r="BM86" i="39"/>
  <c r="BR65" i="39"/>
  <c r="BP84" i="39"/>
  <c r="BP86" i="39" s="1"/>
  <c r="AR8" i="39"/>
  <c r="BP31" i="39"/>
  <c r="BP27" i="39"/>
  <c r="BV9" i="39"/>
  <c r="CB27" i="39"/>
  <c r="CB31" i="39"/>
  <c r="CH27" i="39"/>
  <c r="CM27" i="39"/>
  <c r="AC11" i="39"/>
  <c r="AI11" i="39"/>
  <c r="CA14" i="39"/>
  <c r="CF15" i="39"/>
  <c r="AM17" i="39"/>
  <c r="AM14" i="39" s="1"/>
  <c r="CO17" i="39"/>
  <c r="AW20" i="39"/>
  <c r="CA20" i="39"/>
  <c r="AH27" i="39"/>
  <c r="BF27" i="39"/>
  <c r="BX27" i="39"/>
  <c r="BN35" i="39"/>
  <c r="CP36" i="39"/>
  <c r="BQ37" i="39"/>
  <c r="CP39" i="39"/>
  <c r="CC61" i="39"/>
  <c r="CF54" i="39"/>
  <c r="AR17" i="39"/>
  <c r="AR14" i="39" s="1"/>
  <c r="BS27" i="39"/>
  <c r="BV139" i="39"/>
  <c r="BV36" i="39"/>
  <c r="BV39" i="39"/>
  <c r="BV38" i="39"/>
  <c r="BV35" i="39"/>
  <c r="CA139" i="39"/>
  <c r="CA36" i="39"/>
  <c r="AJ31" i="39"/>
  <c r="AI31" i="39"/>
  <c r="BE27" i="39"/>
  <c r="BE31" i="39"/>
  <c r="BK27" i="39"/>
  <c r="BQ9" i="39"/>
  <c r="BW27" i="39"/>
  <c r="BW31" i="39"/>
  <c r="CC27" i="39"/>
  <c r="CC31" i="39"/>
  <c r="CI27" i="39"/>
  <c r="CN27" i="39"/>
  <c r="CJ31" i="39"/>
  <c r="CI31" i="39"/>
  <c r="X11" i="39"/>
  <c r="BB11" i="39"/>
  <c r="BB20" i="39" s="1"/>
  <c r="BG14" i="39"/>
  <c r="CF14" i="39"/>
  <c r="AH17" i="39"/>
  <c r="AH14" i="39" s="1"/>
  <c r="AR20" i="39"/>
  <c r="BV20" i="39"/>
  <c r="AC26" i="39"/>
  <c r="AI27" i="39"/>
  <c r="BY27" i="39"/>
  <c r="CF35" i="39"/>
  <c r="CT35" i="39"/>
  <c r="BW61" i="39"/>
  <c r="CA54" i="39"/>
  <c r="BQ139" i="39"/>
  <c r="BQ36" i="39"/>
  <c r="BQ39" i="39"/>
  <c r="BQ38" i="39"/>
  <c r="BQ35" i="39"/>
  <c r="BI31" i="39"/>
  <c r="BI27" i="39"/>
  <c r="BU31" i="39"/>
  <c r="BU27" i="39"/>
  <c r="X20" i="39"/>
  <c r="BL36" i="39"/>
  <c r="BU43" i="39"/>
  <c r="BU36" i="39" s="1"/>
  <c r="BT36" i="39"/>
  <c r="BB139" i="39"/>
  <c r="BB148" i="39" s="1"/>
  <c r="BB26" i="39"/>
  <c r="CF139" i="39"/>
  <c r="CF142" i="39" s="1"/>
  <c r="CF26" i="39"/>
  <c r="CF39" i="39"/>
  <c r="CF37" i="39"/>
  <c r="CF36" i="39"/>
  <c r="AH8" i="39"/>
  <c r="CP8" i="39"/>
  <c r="AW11" i="39"/>
  <c r="BL14" i="39"/>
  <c r="BL15" i="39"/>
  <c r="AC17" i="39"/>
  <c r="X26" i="39"/>
  <c r="AW26" i="39"/>
  <c r="CD27" i="39"/>
  <c r="BD31" i="39"/>
  <c r="BZ31" i="39"/>
  <c r="CA38" i="39"/>
  <c r="CA37" i="39"/>
  <c r="BH31" i="39"/>
  <c r="BH27" i="39"/>
  <c r="BT31" i="39"/>
  <c r="BT27" i="39"/>
  <c r="AM26" i="39"/>
  <c r="AW8" i="39"/>
  <c r="BB27" i="39"/>
  <c r="BO31" i="39"/>
  <c r="BO27" i="39"/>
  <c r="CA9" i="39"/>
  <c r="CG27" i="39"/>
  <c r="CL27" i="39"/>
  <c r="BG139" i="39"/>
  <c r="BG26" i="39"/>
  <c r="CK139" i="39"/>
  <c r="CK39" i="39"/>
  <c r="CK38" i="39"/>
  <c r="CK35" i="39"/>
  <c r="CK26" i="39"/>
  <c r="CK37" i="39"/>
  <c r="BG9" i="39"/>
  <c r="AR11" i="39"/>
  <c r="AW14" i="39"/>
  <c r="BQ14" i="39"/>
  <c r="BQ15" i="39"/>
  <c r="CP15" i="39"/>
  <c r="BQ16" i="39"/>
  <c r="BB17" i="39"/>
  <c r="BM27" i="39"/>
  <c r="CE27" i="39"/>
  <c r="BJ31" i="39"/>
  <c r="CG31" i="39"/>
  <c r="BS36" i="39"/>
  <c r="CF38" i="39"/>
  <c r="CA39" i="39"/>
  <c r="BW47" i="39"/>
  <c r="BW35" i="39"/>
  <c r="CC45" i="39"/>
  <c r="CH98" i="39"/>
  <c r="CH91" i="39"/>
  <c r="CR42" i="39"/>
  <c r="CQ42" i="39"/>
  <c r="CR43" i="39"/>
  <c r="CR36" i="39" s="1"/>
  <c r="CQ43" i="39"/>
  <c r="CQ36" i="39" s="1"/>
  <c r="CR45" i="39"/>
  <c r="CR38" i="39" s="1"/>
  <c r="CQ45" i="39"/>
  <c r="CQ38" i="39" s="1"/>
  <c r="BZ46" i="39"/>
  <c r="BZ39" i="39" s="1"/>
  <c r="BY39" i="39"/>
  <c r="CB98" i="39"/>
  <c r="CD123" i="39"/>
  <c r="CD133" i="39"/>
  <c r="BL134" i="39"/>
  <c r="BL124" i="39"/>
  <c r="BL112" i="39"/>
  <c r="BL125" i="39" s="1"/>
  <c r="CP134" i="39"/>
  <c r="CP112" i="39"/>
  <c r="CU125" i="39" s="1"/>
  <c r="CP124" i="39"/>
  <c r="BW39" i="39"/>
  <c r="BT42" i="39"/>
  <c r="CA47" i="39"/>
  <c r="CN42" i="39"/>
  <c r="CB44" i="39"/>
  <c r="CB47" i="39" s="1"/>
  <c r="BV59" i="39"/>
  <c r="BV60" i="39"/>
  <c r="BR61" i="39"/>
  <c r="BV54" i="39"/>
  <c r="BZ65" i="39"/>
  <c r="CJ85" i="39"/>
  <c r="CO66" i="39" s="1"/>
  <c r="CB67" i="39"/>
  <c r="CG67" i="39"/>
  <c r="CF86" i="39"/>
  <c r="CF67" i="39" s="1"/>
  <c r="CK86" i="39"/>
  <c r="CE97" i="39"/>
  <c r="CG99" i="39"/>
  <c r="BX123" i="39"/>
  <c r="BX133" i="39"/>
  <c r="CE123" i="39"/>
  <c r="CE133" i="39"/>
  <c r="BR35" i="39"/>
  <c r="BX39" i="39"/>
  <c r="CH61" i="39"/>
  <c r="CF65" i="39"/>
  <c r="CK65" i="39"/>
  <c r="BV67" i="39"/>
  <c r="CK97" i="39"/>
  <c r="CL99" i="39"/>
  <c r="BV47" i="39"/>
  <c r="CC42" i="39"/>
  <c r="CR44" i="39"/>
  <c r="CR37" i="39" s="1"/>
  <c r="CQ44" i="39"/>
  <c r="CQ37" i="39" s="1"/>
  <c r="BQ58" i="39"/>
  <c r="CB61" i="39"/>
  <c r="CI61" i="39"/>
  <c r="CK54" i="39"/>
  <c r="BR66" i="39"/>
  <c r="CO65" i="39"/>
  <c r="CR91" i="39"/>
  <c r="CR98" i="39"/>
  <c r="CF100" i="39"/>
  <c r="CK100" i="39"/>
  <c r="CF97" i="39"/>
  <c r="BV58" i="39"/>
  <c r="BU61" i="39"/>
  <c r="CG61" i="39"/>
  <c r="BR86" i="39"/>
  <c r="BW67" i="39" s="1"/>
  <c r="CJ97" i="39"/>
  <c r="CJ91" i="39"/>
  <c r="CM101" i="39"/>
  <c r="CK92" i="39"/>
  <c r="BR123" i="39"/>
  <c r="BR133" i="39"/>
  <c r="BY123" i="39"/>
  <c r="BY133" i="39"/>
  <c r="CA62" i="39"/>
  <c r="BU85" i="39"/>
  <c r="BU86" i="39" s="1"/>
  <c r="CE65" i="39"/>
  <c r="CQ65" i="39"/>
  <c r="BW66" i="39"/>
  <c r="CI66" i="39"/>
  <c r="CA67" i="39"/>
  <c r="CO92" i="39"/>
  <c r="CO97" i="39"/>
  <c r="CN102" i="39"/>
  <c r="BS123" i="39"/>
  <c r="BS133" i="39"/>
  <c r="BQ127" i="39"/>
  <c r="CQ46" i="39"/>
  <c r="CQ39" i="39" s="1"/>
  <c r="CM91" i="39"/>
  <c r="CM98" i="39"/>
  <c r="CO91" i="39"/>
  <c r="CO93" i="39"/>
  <c r="CH101" i="39"/>
  <c r="BQ130" i="39"/>
  <c r="BQ120" i="39"/>
  <c r="BQ109" i="39"/>
  <c r="CF121" i="39"/>
  <c r="CF131" i="39"/>
  <c r="CF122" i="39"/>
  <c r="CF132" i="39"/>
  <c r="BM123" i="39"/>
  <c r="BM133" i="39"/>
  <c r="BO125" i="39"/>
  <c r="CT92" i="39"/>
  <c r="CT97" i="39"/>
  <c r="CE99" i="39"/>
  <c r="CO90" i="39"/>
  <c r="BV130" i="39"/>
  <c r="BV120" i="39"/>
  <c r="BV109" i="39"/>
  <c r="CK131" i="39"/>
  <c r="CK121" i="39"/>
  <c r="CK122" i="39"/>
  <c r="CK132" i="39"/>
  <c r="CJ123" i="39"/>
  <c r="CJ133" i="39"/>
  <c r="CK134" i="39"/>
  <c r="CK124" i="39"/>
  <c r="CK112" i="39"/>
  <c r="CO148" i="39"/>
  <c r="CO142" i="39"/>
  <c r="CO143" i="39"/>
  <c r="CP139" i="39"/>
  <c r="CL92" i="39"/>
  <c r="CQ93" i="39"/>
  <c r="CH99" i="39"/>
  <c r="CT102" i="39"/>
  <c r="CA130" i="39"/>
  <c r="CA120" i="39"/>
  <c r="BL121" i="39"/>
  <c r="BL131" i="39"/>
  <c r="CP122" i="39"/>
  <c r="BN123" i="39"/>
  <c r="BN133" i="39"/>
  <c r="BT123" i="39"/>
  <c r="BT133" i="39"/>
  <c r="BZ123" i="39"/>
  <c r="BZ133" i="39"/>
  <c r="CF109" i="39"/>
  <c r="CL123" i="39"/>
  <c r="CL133" i="39"/>
  <c r="BQ124" i="39"/>
  <c r="BQ134" i="39"/>
  <c r="BQ112" i="39"/>
  <c r="BU123" i="39"/>
  <c r="CI148" i="39"/>
  <c r="CI142" i="39"/>
  <c r="CI138" i="39"/>
  <c r="CT175" i="39"/>
  <c r="CQ90" i="39"/>
  <c r="CL93" i="39"/>
  <c r="CL94" i="39" s="1"/>
  <c r="CR93" i="39"/>
  <c r="CR94" i="39" s="1"/>
  <c r="CI99" i="39"/>
  <c r="CF116" i="39"/>
  <c r="CF117" i="39" s="1"/>
  <c r="BQ121" i="39"/>
  <c r="BQ131" i="39"/>
  <c r="BQ132" i="39"/>
  <c r="BQ122" i="39"/>
  <c r="CA109" i="39"/>
  <c r="BR125" i="39"/>
  <c r="BX125" i="39"/>
  <c r="CD125" i="39"/>
  <c r="CJ125" i="39"/>
  <c r="CL143" i="39"/>
  <c r="CP138" i="39"/>
  <c r="CC148" i="39"/>
  <c r="CC142" i="39"/>
  <c r="CC138" i="39"/>
  <c r="CJ143" i="39"/>
  <c r="CJ147" i="39"/>
  <c r="BV164" i="39"/>
  <c r="BU159" i="39"/>
  <c r="BU164" i="39" s="1"/>
  <c r="CG93" i="39"/>
  <c r="CM93" i="39"/>
  <c r="CM94" i="39" s="1"/>
  <c r="CS93" i="39"/>
  <c r="CS94" i="39" s="1"/>
  <c r="CJ99" i="39"/>
  <c r="CK130" i="39"/>
  <c r="CK120" i="39"/>
  <c r="CK116" i="39"/>
  <c r="CK117" i="39" s="1"/>
  <c r="BV121" i="39"/>
  <c r="BV131" i="39"/>
  <c r="BV132" i="39"/>
  <c r="BP133" i="39"/>
  <c r="BP123" i="39"/>
  <c r="CB133" i="39"/>
  <c r="CB123" i="39"/>
  <c r="CH133" i="39"/>
  <c r="CH123" i="39"/>
  <c r="CA134" i="39"/>
  <c r="CA124" i="39"/>
  <c r="CF127" i="39"/>
  <c r="CK127" i="39"/>
  <c r="CG123" i="39"/>
  <c r="BL132" i="39"/>
  <c r="BV134" i="39"/>
  <c r="BX143" i="39"/>
  <c r="BX147" i="39"/>
  <c r="BZ138" i="39"/>
  <c r="CE147" i="39" s="1"/>
  <c r="BH148" i="39"/>
  <c r="BW148" i="39"/>
  <c r="BW142" i="39"/>
  <c r="BW143" i="39"/>
  <c r="CD143" i="39"/>
  <c r="CD147" i="39"/>
  <c r="BL130" i="39"/>
  <c r="BL120" i="39"/>
  <c r="CP130" i="39"/>
  <c r="CP120" i="39"/>
  <c r="CA121" i="39"/>
  <c r="CA131" i="39"/>
  <c r="CA122" i="39"/>
  <c r="CA132" i="39"/>
  <c r="BW133" i="39"/>
  <c r="BW123" i="39"/>
  <c r="CC133" i="39"/>
  <c r="CC123" i="39"/>
  <c r="CI133" i="39"/>
  <c r="CI123" i="39"/>
  <c r="CF134" i="39"/>
  <c r="CF124" i="39"/>
  <c r="BN125" i="39"/>
  <c r="BT125" i="39"/>
  <c r="BZ125" i="39"/>
  <c r="CF112" i="39"/>
  <c r="CL125" i="39"/>
  <c r="CR125" i="39"/>
  <c r="CP132" i="39"/>
  <c r="BI137" i="39"/>
  <c r="BI138" i="39"/>
  <c r="BN147" i="39" s="1"/>
  <c r="BI148" i="39"/>
  <c r="CT148" i="39"/>
  <c r="CO147" i="39"/>
  <c r="BU163" i="39"/>
  <c r="CM164" i="39"/>
  <c r="BY142" i="39"/>
  <c r="CE142" i="39"/>
  <c r="CQ142" i="39"/>
  <c r="CE146" i="39"/>
  <c r="BM148" i="39"/>
  <c r="BS148" i="39"/>
  <c r="CE148" i="39"/>
  <c r="CJ162" i="39"/>
  <c r="BZ142" i="39"/>
  <c r="CE162" i="39"/>
  <c r="CE163" i="39"/>
  <c r="CP174" i="39"/>
  <c r="CG142" i="39"/>
  <c r="CM142" i="39"/>
  <c r="CS142" i="39"/>
  <c r="CN143" i="39"/>
  <c r="CT143" i="39"/>
  <c r="CT164" i="39"/>
  <c r="CB142" i="39"/>
  <c r="CH142" i="39"/>
  <c r="CN142" i="39"/>
  <c r="CT142" i="39"/>
  <c r="BJ148" i="39"/>
  <c r="BZ159" i="39"/>
  <c r="DB175" i="1"/>
  <c r="DA175" i="1"/>
  <c r="DE174" i="1"/>
  <c r="DE173" i="1"/>
  <c r="DE172" i="1"/>
  <c r="DE171" i="1"/>
  <c r="CY175" i="1"/>
  <c r="CX175" i="1"/>
  <c r="CW175" i="1"/>
  <c r="CV175" i="1"/>
  <c r="CZ174" i="1"/>
  <c r="CZ173" i="1"/>
  <c r="CZ172" i="1"/>
  <c r="CZ171" i="1"/>
  <c r="CT175" i="1"/>
  <c r="CS175" i="1"/>
  <c r="CR175" i="1"/>
  <c r="CQ175" i="1"/>
  <c r="CU174" i="1"/>
  <c r="CU173" i="1"/>
  <c r="CU172" i="1"/>
  <c r="CU171" i="1"/>
  <c r="CO175" i="1"/>
  <c r="CN175" i="1"/>
  <c r="CM175" i="1"/>
  <c r="CL175" i="1"/>
  <c r="CP174" i="1"/>
  <c r="CP173" i="1"/>
  <c r="CP172" i="1"/>
  <c r="CP171" i="1"/>
  <c r="CJ175" i="1"/>
  <c r="CI175" i="1"/>
  <c r="CH175" i="1"/>
  <c r="CG175" i="1"/>
  <c r="CK174" i="1"/>
  <c r="CK173" i="1"/>
  <c r="CK172" i="1"/>
  <c r="CK171" i="1"/>
  <c r="CE175" i="1"/>
  <c r="CD175" i="1"/>
  <c r="CC175" i="1"/>
  <c r="CB175" i="1"/>
  <c r="CF174" i="1"/>
  <c r="CF173" i="1"/>
  <c r="CF172" i="1"/>
  <c r="CF171" i="1"/>
  <c r="BZ175" i="1"/>
  <c r="BY175" i="1"/>
  <c r="BX175" i="1"/>
  <c r="BW175" i="1"/>
  <c r="CA174" i="1"/>
  <c r="CA173" i="1"/>
  <c r="CA172" i="1"/>
  <c r="CA171" i="1"/>
  <c r="BU175" i="1"/>
  <c r="BT175" i="1"/>
  <c r="BS175" i="1"/>
  <c r="BR175" i="1"/>
  <c r="BV174" i="1"/>
  <c r="BV173" i="1"/>
  <c r="BV172" i="1"/>
  <c r="BV171" i="1"/>
  <c r="BP175" i="1"/>
  <c r="BO175" i="1"/>
  <c r="BN175" i="1"/>
  <c r="BM175" i="1"/>
  <c r="BQ174" i="1"/>
  <c r="BQ173" i="1"/>
  <c r="BQ172" i="1"/>
  <c r="BQ171" i="1"/>
  <c r="BK175" i="1"/>
  <c r="BJ175" i="1"/>
  <c r="BI175" i="1"/>
  <c r="BH175" i="1"/>
  <c r="BL174" i="1"/>
  <c r="BL173" i="1"/>
  <c r="BL172" i="1"/>
  <c r="BL171" i="1"/>
  <c r="BF175" i="1"/>
  <c r="BE175" i="1"/>
  <c r="BD175" i="1"/>
  <c r="BC175" i="1"/>
  <c r="BG174" i="1"/>
  <c r="BG173" i="1"/>
  <c r="BG172" i="1"/>
  <c r="BG171" i="1"/>
  <c r="BA175" i="1"/>
  <c r="AZ175" i="1"/>
  <c r="AY175" i="1"/>
  <c r="AX175" i="1"/>
  <c r="BB174" i="1"/>
  <c r="BB173" i="1"/>
  <c r="BB172" i="1"/>
  <c r="BB171" i="1"/>
  <c r="AV175" i="1"/>
  <c r="AU175" i="1"/>
  <c r="AT175" i="1"/>
  <c r="AS175" i="1"/>
  <c r="AW174" i="1"/>
  <c r="AW173" i="1"/>
  <c r="AW172" i="1"/>
  <c r="AW171" i="1"/>
  <c r="AQ175" i="1"/>
  <c r="AP175" i="1"/>
  <c r="AO175" i="1"/>
  <c r="AN175" i="1"/>
  <c r="AR174" i="1"/>
  <c r="AR173" i="1"/>
  <c r="AR172" i="1"/>
  <c r="AR171" i="1"/>
  <c r="AL175" i="1"/>
  <c r="AK175" i="1"/>
  <c r="AJ175" i="1"/>
  <c r="AI175" i="1"/>
  <c r="AM174" i="1"/>
  <c r="AM173" i="1"/>
  <c r="AM172" i="1"/>
  <c r="AM171" i="1"/>
  <c r="AG175" i="1"/>
  <c r="AF175" i="1"/>
  <c r="AE175" i="1"/>
  <c r="AD175" i="1"/>
  <c r="AH174" i="1"/>
  <c r="AH173" i="1"/>
  <c r="AH172" i="1"/>
  <c r="AH171" i="1"/>
  <c r="AB175" i="1"/>
  <c r="AA175" i="1"/>
  <c r="Z175" i="1"/>
  <c r="Y175" i="1"/>
  <c r="AC174" i="1"/>
  <c r="AC173" i="1"/>
  <c r="AC172" i="1"/>
  <c r="AC171" i="1"/>
  <c r="W175" i="1"/>
  <c r="V175" i="1"/>
  <c r="U175" i="1"/>
  <c r="T175" i="1"/>
  <c r="X174" i="1"/>
  <c r="X173" i="1"/>
  <c r="X172" i="1"/>
  <c r="X171" i="1"/>
  <c r="R175" i="1"/>
  <c r="Q175" i="1"/>
  <c r="P175" i="1"/>
  <c r="O175" i="1"/>
  <c r="S174" i="1"/>
  <c r="S173" i="1"/>
  <c r="S172" i="1"/>
  <c r="S171" i="1"/>
  <c r="N174" i="1"/>
  <c r="N173" i="1"/>
  <c r="N172" i="1"/>
  <c r="N171" i="1"/>
  <c r="M175" i="1"/>
  <c r="L175" i="1"/>
  <c r="K175" i="1"/>
  <c r="J175" i="1"/>
  <c r="I175" i="1"/>
  <c r="H175" i="1"/>
  <c r="G175" i="1"/>
  <c r="F175" i="1"/>
  <c r="E175" i="1"/>
  <c r="D175" i="1"/>
  <c r="C175" i="1"/>
  <c r="CU162" i="1"/>
  <c r="CU161" i="1"/>
  <c r="CP162" i="1"/>
  <c r="CP161" i="1"/>
  <c r="CJ163" i="1"/>
  <c r="CI163" i="1"/>
  <c r="CH163" i="1"/>
  <c r="CG163" i="1"/>
  <c r="CK162" i="1"/>
  <c r="CK161" i="1"/>
  <c r="CE163" i="1"/>
  <c r="CD163" i="1"/>
  <c r="CC163" i="1"/>
  <c r="CB163" i="1"/>
  <c r="CF162" i="1"/>
  <c r="CF161" i="1"/>
  <c r="BZ163" i="1"/>
  <c r="BY163" i="1"/>
  <c r="BX163" i="1"/>
  <c r="BW163" i="1"/>
  <c r="CA162" i="1"/>
  <c r="CA161" i="1"/>
  <c r="BU163" i="1"/>
  <c r="BT163" i="1"/>
  <c r="BS163" i="1"/>
  <c r="BR163" i="1"/>
  <c r="BV162" i="1"/>
  <c r="BV161" i="1"/>
  <c r="BP163" i="1"/>
  <c r="BO163" i="1"/>
  <c r="BN163" i="1"/>
  <c r="BM163" i="1"/>
  <c r="BQ162" i="1"/>
  <c r="BQ161" i="1"/>
  <c r="BK163" i="1"/>
  <c r="BJ163" i="1"/>
  <c r="BI163" i="1"/>
  <c r="BH163" i="1"/>
  <c r="BL162" i="1"/>
  <c r="BL161" i="1"/>
  <c r="BF163" i="1"/>
  <c r="BE163" i="1"/>
  <c r="BD163" i="1"/>
  <c r="BC163" i="1"/>
  <c r="BG162" i="1"/>
  <c r="BG161" i="1"/>
  <c r="BA163" i="1"/>
  <c r="AZ163" i="1"/>
  <c r="AY163" i="1"/>
  <c r="AX163" i="1"/>
  <c r="BB162" i="1"/>
  <c r="BB161" i="1"/>
  <c r="AV163" i="1"/>
  <c r="AU163" i="1"/>
  <c r="AT163" i="1"/>
  <c r="AS163" i="1"/>
  <c r="AW162" i="1"/>
  <c r="AW161" i="1"/>
  <c r="AQ163" i="1"/>
  <c r="AP163" i="1"/>
  <c r="AO163" i="1"/>
  <c r="AN163" i="1"/>
  <c r="AR162" i="1"/>
  <c r="AR161" i="1"/>
  <c r="AL163" i="1"/>
  <c r="AK163" i="1"/>
  <c r="AJ163" i="1"/>
  <c r="AI163" i="1"/>
  <c r="AM162" i="1"/>
  <c r="AM161" i="1"/>
  <c r="AG163" i="1"/>
  <c r="AF163" i="1"/>
  <c r="AE163" i="1"/>
  <c r="AD163" i="1"/>
  <c r="AH162" i="1"/>
  <c r="AH161" i="1"/>
  <c r="AB163" i="1"/>
  <c r="AA163" i="1"/>
  <c r="Z163" i="1"/>
  <c r="Y163" i="1"/>
  <c r="AC162" i="1"/>
  <c r="AC161" i="1"/>
  <c r="W163" i="1"/>
  <c r="V163" i="1"/>
  <c r="U163" i="1"/>
  <c r="T163" i="1"/>
  <c r="X162" i="1"/>
  <c r="X161" i="1"/>
  <c r="R163" i="1"/>
  <c r="Q163" i="1"/>
  <c r="P163" i="1"/>
  <c r="O163" i="1"/>
  <c r="S162" i="1"/>
  <c r="S161" i="1"/>
  <c r="M163" i="1"/>
  <c r="L163" i="1"/>
  <c r="K163" i="1"/>
  <c r="J163" i="1"/>
  <c r="N162" i="1"/>
  <c r="N161" i="1"/>
  <c r="I163" i="1"/>
  <c r="H163" i="1"/>
  <c r="G163" i="1"/>
  <c r="F163" i="1"/>
  <c r="E163" i="1"/>
  <c r="D163" i="1"/>
  <c r="C163" i="1"/>
  <c r="CX157" i="1"/>
  <c r="CW157" i="1"/>
  <c r="CV157" i="1"/>
  <c r="CT157" i="1"/>
  <c r="CS157" i="1"/>
  <c r="CR157" i="1"/>
  <c r="CQ157" i="1"/>
  <c r="CO157" i="1"/>
  <c r="CN157" i="1"/>
  <c r="CM157" i="1"/>
  <c r="CL157" i="1"/>
  <c r="CJ157" i="1"/>
  <c r="CI157" i="1"/>
  <c r="CH157" i="1"/>
  <c r="CG157" i="1"/>
  <c r="CE157" i="1"/>
  <c r="CD157" i="1"/>
  <c r="CC157" i="1"/>
  <c r="CB157" i="1"/>
  <c r="BZ157" i="1"/>
  <c r="BY157" i="1"/>
  <c r="BX157" i="1"/>
  <c r="BW157" i="1"/>
  <c r="BU157" i="1"/>
  <c r="BT157" i="1"/>
  <c r="BS157" i="1"/>
  <c r="BR157" i="1"/>
  <c r="BP157" i="1"/>
  <c r="BO157" i="1"/>
  <c r="BN157" i="1"/>
  <c r="BM157" i="1"/>
  <c r="BK157" i="1"/>
  <c r="BJ157" i="1"/>
  <c r="BI157" i="1"/>
  <c r="BH157" i="1"/>
  <c r="BF157" i="1"/>
  <c r="BE157" i="1"/>
  <c r="BD157" i="1"/>
  <c r="BC157" i="1"/>
  <c r="BA157" i="1"/>
  <c r="AZ157" i="1"/>
  <c r="AY157" i="1"/>
  <c r="AX157" i="1"/>
  <c r="AV157" i="1"/>
  <c r="AU157" i="1"/>
  <c r="AT157" i="1"/>
  <c r="AS157" i="1"/>
  <c r="AR157" i="1"/>
  <c r="AQ157" i="1"/>
  <c r="AP157" i="1"/>
  <c r="AO157" i="1"/>
  <c r="AN157" i="1"/>
  <c r="AM157" i="1"/>
  <c r="AL157" i="1"/>
  <c r="AK157" i="1"/>
  <c r="AJ157" i="1"/>
  <c r="AI157" i="1"/>
  <c r="AH157" i="1"/>
  <c r="AG157" i="1"/>
  <c r="AF157" i="1"/>
  <c r="AE157" i="1"/>
  <c r="AD157" i="1"/>
  <c r="AC157" i="1"/>
  <c r="AB157" i="1"/>
  <c r="AA157" i="1"/>
  <c r="Z157" i="1"/>
  <c r="Y157" i="1"/>
  <c r="X157" i="1"/>
  <c r="W157" i="1"/>
  <c r="V157" i="1"/>
  <c r="U157" i="1"/>
  <c r="T157" i="1"/>
  <c r="S157" i="1"/>
  <c r="R157" i="1"/>
  <c r="Q157" i="1"/>
  <c r="P157" i="1"/>
  <c r="O157" i="1"/>
  <c r="N157" i="1"/>
  <c r="M157" i="1"/>
  <c r="L157" i="1"/>
  <c r="K157" i="1"/>
  <c r="J157" i="1"/>
  <c r="AS84" i="16"/>
  <c r="AT84" i="16"/>
  <c r="AU84" i="16"/>
  <c r="AV84" i="16"/>
  <c r="AS85" i="16"/>
  <c r="AT85" i="16"/>
  <c r="AU85" i="16"/>
  <c r="AV85" i="16"/>
  <c r="AV53" i="16"/>
  <c r="AU53" i="16"/>
  <c r="AT53" i="16"/>
  <c r="AS53" i="16"/>
  <c r="AV52" i="16"/>
  <c r="AU52" i="16"/>
  <c r="AT52" i="16"/>
  <c r="AS52" i="16"/>
  <c r="AV51" i="16"/>
  <c r="AU51" i="16"/>
  <c r="AT51" i="16"/>
  <c r="AS51" i="16"/>
  <c r="AQ53" i="16"/>
  <c r="AP53" i="16"/>
  <c r="AO53" i="16"/>
  <c r="AN53" i="16"/>
  <c r="AQ52" i="16"/>
  <c r="AP52" i="16"/>
  <c r="AO52" i="16"/>
  <c r="AN52" i="16"/>
  <c r="AQ51" i="16"/>
  <c r="AP51" i="16"/>
  <c r="AO51" i="16"/>
  <c r="AN51" i="16"/>
  <c r="AL53" i="16"/>
  <c r="AK53" i="16"/>
  <c r="AJ53" i="16"/>
  <c r="AI53" i="16"/>
  <c r="AL52" i="16"/>
  <c r="AK52" i="16"/>
  <c r="AJ52" i="16"/>
  <c r="AI52" i="16"/>
  <c r="AL51" i="16"/>
  <c r="AK51" i="16"/>
  <c r="AJ51" i="16"/>
  <c r="AI51" i="16"/>
  <c r="AG53" i="16"/>
  <c r="AF53" i="16"/>
  <c r="AE53" i="16"/>
  <c r="AD53" i="16"/>
  <c r="AG52" i="16"/>
  <c r="AF52" i="16"/>
  <c r="AE52" i="16"/>
  <c r="AD52" i="16"/>
  <c r="AG51" i="16"/>
  <c r="AF51" i="16"/>
  <c r="AE51" i="16"/>
  <c r="AD51" i="16"/>
  <c r="AB53" i="16"/>
  <c r="AA53" i="16"/>
  <c r="Z53" i="16"/>
  <c r="Y53" i="16"/>
  <c r="AB52" i="16"/>
  <c r="AA52" i="16"/>
  <c r="Z52" i="16"/>
  <c r="Y52" i="16"/>
  <c r="AB51" i="16"/>
  <c r="AA51" i="16"/>
  <c r="Z51" i="16"/>
  <c r="Y51" i="16"/>
  <c r="W53" i="16"/>
  <c r="V53" i="16"/>
  <c r="U53" i="16"/>
  <c r="T53" i="16"/>
  <c r="W52" i="16"/>
  <c r="V52" i="16"/>
  <c r="U52" i="16"/>
  <c r="T52" i="16"/>
  <c r="W51" i="16"/>
  <c r="V51" i="16"/>
  <c r="U51" i="16"/>
  <c r="T51" i="16"/>
  <c r="R53" i="16"/>
  <c r="Q53" i="16"/>
  <c r="P53" i="16"/>
  <c r="O53" i="16"/>
  <c r="R52" i="16"/>
  <c r="Q52" i="16"/>
  <c r="P52" i="16"/>
  <c r="O52" i="16"/>
  <c r="R51" i="16"/>
  <c r="Q51" i="16"/>
  <c r="P51" i="16"/>
  <c r="O51" i="16"/>
  <c r="M53" i="16"/>
  <c r="L53" i="16"/>
  <c r="K53" i="16"/>
  <c r="M52" i="16"/>
  <c r="L52" i="16"/>
  <c r="K52" i="16"/>
  <c r="M51" i="16"/>
  <c r="L51" i="16"/>
  <c r="K51" i="16"/>
  <c r="M34" i="16"/>
  <c r="L34" i="16"/>
  <c r="K34" i="16"/>
  <c r="J34" i="16"/>
  <c r="M33" i="16"/>
  <c r="L33" i="16"/>
  <c r="K33" i="16"/>
  <c r="J33" i="16"/>
  <c r="CV35" i="16"/>
  <c r="CV34" i="16"/>
  <c r="CV33" i="16"/>
  <c r="CW35" i="16"/>
  <c r="CW34" i="16"/>
  <c r="CW33" i="16"/>
  <c r="CX35" i="16"/>
  <c r="CX34" i="16"/>
  <c r="CX33" i="16"/>
  <c r="CY35" i="16"/>
  <c r="CY34" i="16"/>
  <c r="CY33" i="16"/>
  <c r="DA35" i="16"/>
  <c r="DA34" i="16"/>
  <c r="DA33" i="16"/>
  <c r="DO30" i="16"/>
  <c r="DI30" i="16"/>
  <c r="DH30" i="16"/>
  <c r="DG30" i="16"/>
  <c r="DF30" i="16"/>
  <c r="DD30" i="16"/>
  <c r="DC30" i="16"/>
  <c r="DB30" i="16"/>
  <c r="DA30" i="16"/>
  <c r="CY30" i="16"/>
  <c r="CX30" i="16"/>
  <c r="CW30" i="16"/>
  <c r="CV30" i="16"/>
  <c r="CT30" i="16"/>
  <c r="CS30" i="16"/>
  <c r="CR30" i="16"/>
  <c r="CQ30" i="16"/>
  <c r="CO30" i="16"/>
  <c r="CN30" i="16"/>
  <c r="CM30" i="16"/>
  <c r="CL30" i="16"/>
  <c r="CJ30" i="16"/>
  <c r="CI30" i="16"/>
  <c r="CH30" i="16"/>
  <c r="CG30" i="16"/>
  <c r="CE30" i="16"/>
  <c r="CD30" i="16"/>
  <c r="CC30" i="16"/>
  <c r="CB30" i="16"/>
  <c r="BZ30" i="16"/>
  <c r="BY30" i="16"/>
  <c r="BX30" i="16"/>
  <c r="BW30" i="16"/>
  <c r="BU30" i="16"/>
  <c r="BT30" i="16"/>
  <c r="BS30" i="16"/>
  <c r="BR30" i="16"/>
  <c r="BP30" i="16"/>
  <c r="BO30" i="16"/>
  <c r="BN30" i="16"/>
  <c r="BM30" i="16"/>
  <c r="BK30" i="16"/>
  <c r="BJ30" i="16"/>
  <c r="BI30" i="16"/>
  <c r="BH30" i="16"/>
  <c r="BF30" i="16"/>
  <c r="BE30" i="16"/>
  <c r="BD30" i="16"/>
  <c r="BC30" i="16"/>
  <c r="BA30" i="16"/>
  <c r="AZ30" i="16"/>
  <c r="AY30" i="16"/>
  <c r="AX30" i="16"/>
  <c r="AV30" i="16"/>
  <c r="AU30" i="16"/>
  <c r="AT30" i="16"/>
  <c r="AS30" i="16"/>
  <c r="AQ30" i="16"/>
  <c r="AP30" i="16"/>
  <c r="AO30" i="16"/>
  <c r="AN30" i="16"/>
  <c r="AL30" i="16"/>
  <c r="AK30" i="16"/>
  <c r="AJ30" i="16"/>
  <c r="AI30" i="16"/>
  <c r="AG30" i="16"/>
  <c r="AF30" i="16"/>
  <c r="AE30" i="16"/>
  <c r="AD30" i="16"/>
  <c r="AB30" i="16"/>
  <c r="AA30" i="16"/>
  <c r="Z30" i="16"/>
  <c r="Y30" i="16"/>
  <c r="W30" i="16"/>
  <c r="V30" i="16"/>
  <c r="U30" i="16"/>
  <c r="T30" i="16"/>
  <c r="R30" i="16"/>
  <c r="Q30" i="16"/>
  <c r="P30" i="16"/>
  <c r="O30" i="16"/>
  <c r="M30" i="16"/>
  <c r="L30" i="16"/>
  <c r="K30" i="16"/>
  <c r="J30" i="16"/>
  <c r="I30" i="16"/>
  <c r="H30" i="16"/>
  <c r="G30" i="16"/>
  <c r="F30" i="16"/>
  <c r="E30" i="16"/>
  <c r="D30" i="16"/>
  <c r="C30" i="16"/>
  <c r="DJ29" i="16"/>
  <c r="DE29" i="16"/>
  <c r="CZ29" i="16"/>
  <c r="CU29" i="16"/>
  <c r="CP29" i="16"/>
  <c r="CK29" i="16"/>
  <c r="CF29" i="16"/>
  <c r="CA29" i="16"/>
  <c r="BV29" i="16"/>
  <c r="BQ29" i="16"/>
  <c r="BL29" i="16"/>
  <c r="BG29" i="16"/>
  <c r="BB29" i="16"/>
  <c r="AW29" i="16"/>
  <c r="AR29" i="16"/>
  <c r="AM29" i="16"/>
  <c r="AH29" i="16"/>
  <c r="AC29" i="16"/>
  <c r="X29" i="16"/>
  <c r="S29" i="16"/>
  <c r="N29" i="16"/>
  <c r="DJ28" i="16"/>
  <c r="DJ35" i="16" s="1"/>
  <c r="DE28" i="16"/>
  <c r="CZ28" i="16"/>
  <c r="CU28" i="16"/>
  <c r="CP28" i="16"/>
  <c r="CK28" i="16"/>
  <c r="CF28" i="16"/>
  <c r="CA28" i="16"/>
  <c r="BV28" i="16"/>
  <c r="BQ28" i="16"/>
  <c r="BL28" i="16"/>
  <c r="BG28" i="16"/>
  <c r="BB28" i="16"/>
  <c r="AW28" i="16"/>
  <c r="AR28" i="16"/>
  <c r="AM28" i="16"/>
  <c r="AH28" i="16"/>
  <c r="AC28" i="16"/>
  <c r="X28" i="16"/>
  <c r="S28" i="16"/>
  <c r="N28" i="16"/>
  <c r="DJ27" i="16"/>
  <c r="DE27" i="16"/>
  <c r="CZ27" i="16"/>
  <c r="CU27" i="16"/>
  <c r="CP27" i="16"/>
  <c r="CK27" i="16"/>
  <c r="CF27" i="16"/>
  <c r="CA27" i="16"/>
  <c r="BV27" i="16"/>
  <c r="BQ27" i="16"/>
  <c r="BL27" i="16"/>
  <c r="BG27" i="16"/>
  <c r="BB27" i="16"/>
  <c r="AW27" i="16"/>
  <c r="AR27" i="16"/>
  <c r="AM27" i="16"/>
  <c r="AH27" i="16"/>
  <c r="AC27" i="16"/>
  <c r="X27" i="16"/>
  <c r="S27" i="16"/>
  <c r="N27" i="16"/>
  <c r="DJ26" i="16"/>
  <c r="DE26" i="16"/>
  <c r="CZ26" i="16"/>
  <c r="CU26" i="16"/>
  <c r="CP26" i="16"/>
  <c r="CK26" i="16"/>
  <c r="CF26" i="16"/>
  <c r="CA26" i="16"/>
  <c r="BV26" i="16"/>
  <c r="BQ26" i="16"/>
  <c r="BL26" i="16"/>
  <c r="BG26" i="16"/>
  <c r="BB26" i="16"/>
  <c r="AW26" i="16"/>
  <c r="AR26" i="16"/>
  <c r="AM26" i="16"/>
  <c r="AH26" i="16"/>
  <c r="AC26" i="16"/>
  <c r="X26" i="16"/>
  <c r="S26" i="16"/>
  <c r="N26" i="16"/>
  <c r="DI23" i="16"/>
  <c r="DH23" i="16"/>
  <c r="DG23" i="16"/>
  <c r="DF23" i="16"/>
  <c r="DJ22" i="16"/>
  <c r="DJ20" i="16"/>
  <c r="DJ19" i="16"/>
  <c r="DD23" i="16"/>
  <c r="DC23" i="16"/>
  <c r="DB23" i="16"/>
  <c r="DA23" i="16"/>
  <c r="DE22" i="16"/>
  <c r="DE20" i="16"/>
  <c r="DE19" i="16"/>
  <c r="CY23" i="16"/>
  <c r="CX23" i="16"/>
  <c r="CW23" i="16"/>
  <c r="CV23" i="16"/>
  <c r="CZ22" i="16"/>
  <c r="CZ20" i="16"/>
  <c r="CZ19" i="16"/>
  <c r="CT23" i="16"/>
  <c r="CS23" i="16"/>
  <c r="CR23" i="16"/>
  <c r="CQ23" i="16"/>
  <c r="CU22" i="16"/>
  <c r="CU20" i="16"/>
  <c r="CU19" i="16"/>
  <c r="CO23" i="16"/>
  <c r="CN23" i="16"/>
  <c r="CM23" i="16"/>
  <c r="CL23" i="16"/>
  <c r="CP22" i="16"/>
  <c r="CP20" i="16"/>
  <c r="CP19" i="16"/>
  <c r="CJ23" i="16"/>
  <c r="CI23" i="16"/>
  <c r="CH23" i="16"/>
  <c r="CG23" i="16"/>
  <c r="CK22" i="16"/>
  <c r="CK20" i="16"/>
  <c r="CK19" i="16"/>
  <c r="CE23" i="16"/>
  <c r="CD23" i="16"/>
  <c r="CC23" i="16"/>
  <c r="CB23" i="16"/>
  <c r="CF22" i="16"/>
  <c r="CF20" i="16"/>
  <c r="CF19" i="16"/>
  <c r="BZ23" i="16"/>
  <c r="BY23" i="16"/>
  <c r="BX23" i="16"/>
  <c r="BW23" i="16"/>
  <c r="CA22" i="16"/>
  <c r="CA20" i="16"/>
  <c r="CA19" i="16"/>
  <c r="BU23" i="16"/>
  <c r="BT23" i="16"/>
  <c r="BS23" i="16"/>
  <c r="BR23" i="16"/>
  <c r="BV22" i="16"/>
  <c r="BV20" i="16"/>
  <c r="BV19" i="16"/>
  <c r="BP23" i="16"/>
  <c r="BO23" i="16"/>
  <c r="BN23" i="16"/>
  <c r="BM23" i="16"/>
  <c r="BQ22" i="16"/>
  <c r="BQ20" i="16"/>
  <c r="BQ19" i="16"/>
  <c r="BK23" i="16"/>
  <c r="BJ23" i="16"/>
  <c r="BI23" i="16"/>
  <c r="BH23" i="16"/>
  <c r="BL22" i="16"/>
  <c r="BL20" i="16"/>
  <c r="BL19" i="16"/>
  <c r="BF23" i="16"/>
  <c r="BE23" i="16"/>
  <c r="BD23" i="16"/>
  <c r="BC23" i="16"/>
  <c r="BG22" i="16"/>
  <c r="BG20" i="16"/>
  <c r="BG19" i="16"/>
  <c r="BA23" i="16"/>
  <c r="AZ23" i="16"/>
  <c r="AY23" i="16"/>
  <c r="AX23" i="16"/>
  <c r="BB22" i="16"/>
  <c r="BB20" i="16"/>
  <c r="BB19" i="16"/>
  <c r="AV23" i="16"/>
  <c r="AU23" i="16"/>
  <c r="AT23" i="16"/>
  <c r="AS23" i="16"/>
  <c r="AW22" i="16"/>
  <c r="AW20" i="16"/>
  <c r="AW19" i="16"/>
  <c r="AR22" i="16"/>
  <c r="AR20" i="16"/>
  <c r="AR19" i="16"/>
  <c r="AM22" i="16"/>
  <c r="AM20" i="16"/>
  <c r="AM19" i="16"/>
  <c r="AH22" i="16"/>
  <c r="AH20" i="16"/>
  <c r="AH19" i="16"/>
  <c r="AC22" i="16"/>
  <c r="AC20" i="16"/>
  <c r="AC19" i="16"/>
  <c r="X22" i="16"/>
  <c r="X20" i="16"/>
  <c r="X19" i="16"/>
  <c r="S22" i="16"/>
  <c r="S20" i="16"/>
  <c r="S19" i="16"/>
  <c r="N22" i="16"/>
  <c r="N20" i="16"/>
  <c r="N19" i="16"/>
  <c r="DO23" i="16"/>
  <c r="AQ23" i="16"/>
  <c r="AP23" i="16"/>
  <c r="AO23" i="16"/>
  <c r="AN23" i="16"/>
  <c r="AL23" i="16"/>
  <c r="AK23" i="16"/>
  <c r="AJ23" i="16"/>
  <c r="AI23" i="16"/>
  <c r="AG23" i="16"/>
  <c r="AF23" i="16"/>
  <c r="AE23" i="16"/>
  <c r="AD23" i="16"/>
  <c r="AB23" i="16"/>
  <c r="AA23" i="16"/>
  <c r="Z23" i="16"/>
  <c r="Y23" i="16"/>
  <c r="W23" i="16"/>
  <c r="V23" i="16"/>
  <c r="U23" i="16"/>
  <c r="T23" i="16"/>
  <c r="R23" i="16"/>
  <c r="Q23" i="16"/>
  <c r="P23" i="16"/>
  <c r="O23" i="16"/>
  <c r="M23" i="16"/>
  <c r="L23" i="16"/>
  <c r="K23" i="16"/>
  <c r="J23" i="16"/>
  <c r="I23" i="16"/>
  <c r="H23" i="16"/>
  <c r="G23" i="16"/>
  <c r="F23" i="16"/>
  <c r="E23" i="16"/>
  <c r="D23" i="16"/>
  <c r="C23" i="16"/>
  <c r="BK11" i="16"/>
  <c r="BJ11" i="16"/>
  <c r="BI11" i="16"/>
  <c r="BH11" i="16"/>
  <c r="BF11" i="16"/>
  <c r="BE11" i="16"/>
  <c r="BD11" i="16"/>
  <c r="BC11" i="16"/>
  <c r="BA11" i="16"/>
  <c r="AZ11" i="16"/>
  <c r="AY11" i="16"/>
  <c r="AX11" i="16"/>
  <c r="AV11" i="16"/>
  <c r="AU11" i="16"/>
  <c r="AT11" i="16"/>
  <c r="AS11" i="16"/>
  <c r="AQ11" i="16"/>
  <c r="AP11" i="16"/>
  <c r="AO11" i="16"/>
  <c r="AN11" i="16"/>
  <c r="AL11" i="16"/>
  <c r="AK11" i="16"/>
  <c r="AJ11" i="16"/>
  <c r="AI11" i="16"/>
  <c r="AG11" i="16"/>
  <c r="AF11" i="16"/>
  <c r="AE11" i="16"/>
  <c r="AD11" i="16"/>
  <c r="AB11" i="16"/>
  <c r="AA11" i="16"/>
  <c r="Z11" i="16"/>
  <c r="Y11" i="16"/>
  <c r="W11" i="16"/>
  <c r="V11" i="16"/>
  <c r="U11" i="16"/>
  <c r="T11" i="16"/>
  <c r="R11" i="16"/>
  <c r="Q11" i="16"/>
  <c r="P11" i="16"/>
  <c r="O11" i="16"/>
  <c r="M11" i="16"/>
  <c r="L11" i="16"/>
  <c r="K11" i="16"/>
  <c r="J11" i="16"/>
  <c r="I11" i="16"/>
  <c r="H11" i="16"/>
  <c r="G11" i="16"/>
  <c r="F11" i="16"/>
  <c r="E11" i="16"/>
  <c r="D11" i="16"/>
  <c r="C11" i="16"/>
  <c r="CP11" i="16"/>
  <c r="BL8" i="16"/>
  <c r="BL7" i="16"/>
  <c r="BG8" i="16"/>
  <c r="BG7" i="16"/>
  <c r="BB8" i="16"/>
  <c r="BB7" i="16"/>
  <c r="AW8" i="16"/>
  <c r="AW7" i="16"/>
  <c r="AR8" i="16"/>
  <c r="AR7" i="16"/>
  <c r="AM8" i="16"/>
  <c r="AM7" i="16"/>
  <c r="AH8" i="16"/>
  <c r="AH7" i="16"/>
  <c r="AC8" i="16"/>
  <c r="AC7" i="16"/>
  <c r="X8" i="16"/>
  <c r="X7" i="16"/>
  <c r="S8" i="16"/>
  <c r="S7" i="16"/>
  <c r="N8" i="16"/>
  <c r="N7" i="16"/>
  <c r="DT17" i="12" l="1"/>
  <c r="DU17" i="12" s="1"/>
  <c r="DV17" i="12" s="1"/>
  <c r="DQ37" i="12"/>
  <c r="DQ43" i="12"/>
  <c r="BR146" i="39"/>
  <c r="DS26" i="12"/>
  <c r="DS10" i="12"/>
  <c r="DR20" i="13"/>
  <c r="DI36" i="16"/>
  <c r="DR22" i="13"/>
  <c r="BL74" i="39"/>
  <c r="CP88" i="16"/>
  <c r="DJ33" i="16"/>
  <c r="CP93" i="39"/>
  <c r="BL75" i="39"/>
  <c r="CF8" i="39"/>
  <c r="BQ8" i="39"/>
  <c r="CP284" i="1"/>
  <c r="BL11" i="39"/>
  <c r="BL20" i="39" s="1"/>
  <c r="W235" i="44"/>
  <c r="W228" i="44"/>
  <c r="X228" i="44"/>
  <c r="T61" i="44"/>
  <c r="U61" i="44"/>
  <c r="BL137" i="39"/>
  <c r="BK137" i="39" s="1"/>
  <c r="BK142" i="39" s="1"/>
  <c r="BL138" i="39"/>
  <c r="BK138" i="39" s="1"/>
  <c r="BK143" i="39" s="1"/>
  <c r="F88" i="16"/>
  <c r="L88" i="16"/>
  <c r="R88" i="16"/>
  <c r="AJ88" i="16"/>
  <c r="AP88" i="16"/>
  <c r="G88" i="16"/>
  <c r="M88" i="16"/>
  <c r="AK88" i="16"/>
  <c r="AQ88" i="16"/>
  <c r="H88" i="16"/>
  <c r="T88" i="16"/>
  <c r="AL88" i="16"/>
  <c r="C88" i="16"/>
  <c r="I88" i="16"/>
  <c r="O88" i="16"/>
  <c r="U88" i="16"/>
  <c r="D88" i="16"/>
  <c r="J88" i="16"/>
  <c r="P88" i="16"/>
  <c r="V88" i="16"/>
  <c r="AN88" i="16"/>
  <c r="E88" i="16"/>
  <c r="K88" i="16"/>
  <c r="Q88" i="16"/>
  <c r="W88" i="16"/>
  <c r="AI88" i="16"/>
  <c r="AO88" i="16"/>
  <c r="DC36" i="16"/>
  <c r="DD36" i="16"/>
  <c r="BT146" i="39"/>
  <c r="BO146" i="39"/>
  <c r="CU17" i="39"/>
  <c r="T54" i="16"/>
  <c r="CF125" i="39"/>
  <c r="CU164" i="39"/>
  <c r="CZ164" i="39"/>
  <c r="CP175" i="39"/>
  <c r="CU175" i="39"/>
  <c r="CA125" i="39"/>
  <c r="CU148" i="39"/>
  <c r="CU142" i="39"/>
  <c r="CZ148" i="39"/>
  <c r="CU86" i="39"/>
  <c r="CV67" i="39"/>
  <c r="CU138" i="39"/>
  <c r="CV147" i="39"/>
  <c r="BG30" i="16"/>
  <c r="CK30" i="16"/>
  <c r="CP30" i="16"/>
  <c r="AC30" i="16"/>
  <c r="X23" i="16"/>
  <c r="N30" i="16"/>
  <c r="AR30" i="16"/>
  <c r="BV30" i="16"/>
  <c r="CZ30" i="16"/>
  <c r="AM30" i="16"/>
  <c r="BQ30" i="16"/>
  <c r="CU30" i="16"/>
  <c r="CK23" i="16"/>
  <c r="X30" i="16"/>
  <c r="BB30" i="16"/>
  <c r="CF30" i="16"/>
  <c r="DJ30" i="16"/>
  <c r="N23" i="16"/>
  <c r="AC23" i="16"/>
  <c r="AR23" i="16"/>
  <c r="BB23" i="16"/>
  <c r="BQ23" i="16"/>
  <c r="CF23" i="16"/>
  <c r="CU23" i="16"/>
  <c r="DJ23" i="16"/>
  <c r="AU54" i="16"/>
  <c r="AA54" i="16"/>
  <c r="M54" i="16"/>
  <c r="Z54" i="16"/>
  <c r="AW11" i="16"/>
  <c r="AP54" i="16"/>
  <c r="AH11" i="16"/>
  <c r="AH88" i="16" s="1"/>
  <c r="BQ61" i="39"/>
  <c r="J36" i="16"/>
  <c r="AM23" i="16"/>
  <c r="BG23" i="16"/>
  <c r="BV23" i="16"/>
  <c r="CZ23" i="16"/>
  <c r="S30" i="16"/>
  <c r="AW30" i="16"/>
  <c r="CA30" i="16"/>
  <c r="DE30" i="16"/>
  <c r="AH30" i="16"/>
  <c r="BL30" i="16"/>
  <c r="S23" i="16"/>
  <c r="AH23" i="16"/>
  <c r="AW23" i="16"/>
  <c r="BL23" i="16"/>
  <c r="CA23" i="16"/>
  <c r="CP23" i="16"/>
  <c r="DE23" i="16"/>
  <c r="U54" i="16"/>
  <c r="BO93" i="39"/>
  <c r="BO74" i="39" s="1"/>
  <c r="BO8" i="16" s="1"/>
  <c r="AT54" i="16"/>
  <c r="X11" i="16"/>
  <c r="X88" i="16" s="1"/>
  <c r="AM11" i="16"/>
  <c r="AM88" i="16" s="1"/>
  <c r="AB54" i="16"/>
  <c r="BV74" i="39"/>
  <c r="BV71" i="39"/>
  <c r="AJ54" i="16"/>
  <c r="BQ71" i="39"/>
  <c r="BQ74" i="39"/>
  <c r="BO90" i="39"/>
  <c r="BN71" i="39"/>
  <c r="AQ54" i="16"/>
  <c r="BV75" i="39"/>
  <c r="CJ98" i="39"/>
  <c r="AK54" i="16"/>
  <c r="AE54" i="16"/>
  <c r="AC11" i="16"/>
  <c r="AC88" i="16" s="1"/>
  <c r="AR11" i="16"/>
  <c r="AR88" i="16" s="1"/>
  <c r="BG11" i="16"/>
  <c r="K54" i="16"/>
  <c r="AF54" i="16"/>
  <c r="CV36" i="16"/>
  <c r="AL54" i="16"/>
  <c r="L54" i="16"/>
  <c r="BM75" i="39"/>
  <c r="BM8" i="16" s="1"/>
  <c r="N175" i="1"/>
  <c r="N11" i="16"/>
  <c r="K36" i="16"/>
  <c r="L36" i="16"/>
  <c r="O54" i="16"/>
  <c r="M36" i="16"/>
  <c r="P54" i="16"/>
  <c r="Q54" i="16"/>
  <c r="R54" i="16"/>
  <c r="S11" i="16"/>
  <c r="S88" i="16" s="1"/>
  <c r="Y54" i="16"/>
  <c r="V54" i="16"/>
  <c r="W54" i="16"/>
  <c r="AG54" i="16"/>
  <c r="AD54" i="16"/>
  <c r="AI54" i="16"/>
  <c r="AN54" i="16"/>
  <c r="AO54" i="16"/>
  <c r="AS54" i="16"/>
  <c r="AV54" i="16"/>
  <c r="BB11" i="16"/>
  <c r="BL11" i="16"/>
  <c r="DA36" i="16"/>
  <c r="CW36" i="16"/>
  <c r="CX36" i="16"/>
  <c r="CY36" i="16"/>
  <c r="AC175" i="1"/>
  <c r="AR175" i="1"/>
  <c r="BG175" i="1"/>
  <c r="BV175" i="1"/>
  <c r="CK175" i="1"/>
  <c r="CZ175" i="1"/>
  <c r="S163" i="1"/>
  <c r="AH163" i="1"/>
  <c r="AW163" i="1"/>
  <c r="BL163" i="1"/>
  <c r="CA163" i="1"/>
  <c r="X163" i="1"/>
  <c r="AM163" i="1"/>
  <c r="BB163" i="1"/>
  <c r="BQ163" i="1"/>
  <c r="CF163" i="1"/>
  <c r="S175" i="1"/>
  <c r="AH175" i="1"/>
  <c r="AW175" i="1"/>
  <c r="BL175" i="1"/>
  <c r="CA175" i="1"/>
  <c r="CP175" i="1"/>
  <c r="DE175" i="1"/>
  <c r="CP157" i="1"/>
  <c r="N163" i="1"/>
  <c r="AC163" i="1"/>
  <c r="AR163" i="1"/>
  <c r="BG163" i="1"/>
  <c r="BV163" i="1"/>
  <c r="CK163" i="1"/>
  <c r="X175" i="1"/>
  <c r="AM175" i="1"/>
  <c r="BB175" i="1"/>
  <c r="BQ175" i="1"/>
  <c r="CF175" i="1"/>
  <c r="CU175" i="1"/>
  <c r="CC36" i="39"/>
  <c r="CG98" i="39"/>
  <c r="CK27" i="39"/>
  <c r="BV17" i="39"/>
  <c r="CH143" i="39"/>
  <c r="BM146" i="39"/>
  <c r="CG147" i="39"/>
  <c r="CB143" i="39"/>
  <c r="BU65" i="39"/>
  <c r="CF27" i="39"/>
  <c r="CL98" i="39"/>
  <c r="CQ98" i="39"/>
  <c r="AM27" i="39"/>
  <c r="CA17" i="39"/>
  <c r="CL91" i="39"/>
  <c r="CT47" i="39"/>
  <c r="CF61" i="39"/>
  <c r="CG143" i="39"/>
  <c r="BU67" i="39"/>
  <c r="BV61" i="39"/>
  <c r="CP27" i="39"/>
  <c r="CQ143" i="39"/>
  <c r="BY146" i="39"/>
  <c r="CO47" i="39"/>
  <c r="BL8" i="39"/>
  <c r="BL27" i="39"/>
  <c r="CL147" i="39"/>
  <c r="CK138" i="39"/>
  <c r="CP147" i="39" s="1"/>
  <c r="BL133" i="39"/>
  <c r="CF99" i="39"/>
  <c r="BS146" i="39"/>
  <c r="CC39" i="39"/>
  <c r="CQ147" i="39"/>
  <c r="BY147" i="39"/>
  <c r="CH147" i="39"/>
  <c r="CK123" i="39"/>
  <c r="AM20" i="39"/>
  <c r="BX47" i="39"/>
  <c r="CG47" i="39"/>
  <c r="CE98" i="39"/>
  <c r="BQ125" i="39"/>
  <c r="BG17" i="39"/>
  <c r="BO46" i="39"/>
  <c r="BN39" i="39"/>
  <c r="CK17" i="39"/>
  <c r="CK61" i="39"/>
  <c r="CK67" i="39"/>
  <c r="CK8" i="39"/>
  <c r="BP43" i="39"/>
  <c r="BP36" i="39" s="1"/>
  <c r="BV27" i="39"/>
  <c r="AR27" i="39"/>
  <c r="CL47" i="39"/>
  <c r="BN146" i="39"/>
  <c r="CG94" i="39"/>
  <c r="CO94" i="39"/>
  <c r="CT67" i="39"/>
  <c r="CP125" i="39"/>
  <c r="CP17" i="39"/>
  <c r="BL17" i="39"/>
  <c r="CM47" i="39"/>
  <c r="BY45" i="39"/>
  <c r="BX38" i="39"/>
  <c r="CN94" i="39"/>
  <c r="BX146" i="39"/>
  <c r="CP164" i="39"/>
  <c r="CQ67" i="39"/>
  <c r="BR147" i="39"/>
  <c r="BW147" i="39"/>
  <c r="CE46" i="39"/>
  <c r="CE39" i="39" s="1"/>
  <c r="CD39" i="39"/>
  <c r="BZ43" i="39"/>
  <c r="BZ36" i="39" s="1"/>
  <c r="BY36" i="39"/>
  <c r="CQ94" i="39"/>
  <c r="BG8" i="39"/>
  <c r="CK148" i="39"/>
  <c r="BU44" i="39"/>
  <c r="BU37" i="39" s="1"/>
  <c r="BT37" i="39"/>
  <c r="CS47" i="39"/>
  <c r="CS35" i="39"/>
  <c r="CI47" i="39"/>
  <c r="CH47" i="39"/>
  <c r="BQ17" i="39"/>
  <c r="DF45" i="39"/>
  <c r="DG45" i="39" s="1"/>
  <c r="AM8" i="39"/>
  <c r="CJ47" i="39"/>
  <c r="BU45" i="39"/>
  <c r="BU38" i="39" s="1"/>
  <c r="BT38" i="39"/>
  <c r="CK142" i="39"/>
  <c r="BZ164" i="39"/>
  <c r="CP99" i="39"/>
  <c r="CP92" i="39"/>
  <c r="CF123" i="39"/>
  <c r="CF133" i="39"/>
  <c r="CP148" i="39"/>
  <c r="CP142" i="39"/>
  <c r="BV133" i="39"/>
  <c r="BV123" i="39"/>
  <c r="CP91" i="39"/>
  <c r="CP98" i="39"/>
  <c r="CP97" i="39"/>
  <c r="CP90" i="39"/>
  <c r="CO101" i="39"/>
  <c r="BR67" i="39"/>
  <c r="BG137" i="39"/>
  <c r="BG138" i="39"/>
  <c r="BG148" i="39"/>
  <c r="BL148" i="39"/>
  <c r="CA27" i="39"/>
  <c r="CA8" i="39"/>
  <c r="CE164" i="39"/>
  <c r="BY35" i="39"/>
  <c r="BZ42" i="39"/>
  <c r="CE43" i="39"/>
  <c r="CE36" i="39" s="1"/>
  <c r="CD36" i="39"/>
  <c r="BU66" i="39"/>
  <c r="BZ66" i="39"/>
  <c r="BV138" i="39"/>
  <c r="BV148" i="39"/>
  <c r="BV137" i="39"/>
  <c r="BZ143" i="39"/>
  <c r="CK125" i="39"/>
  <c r="CH93" i="39"/>
  <c r="CH102" i="39"/>
  <c r="CM102" i="39"/>
  <c r="CH90" i="39"/>
  <c r="BV125" i="39"/>
  <c r="CA61" i="39"/>
  <c r="BO37" i="39"/>
  <c r="BP44" i="39"/>
  <c r="BP37" i="39" s="1"/>
  <c r="CP143" i="39"/>
  <c r="CP67" i="39"/>
  <c r="CC143" i="39"/>
  <c r="CC147" i="39"/>
  <c r="CF138" i="39"/>
  <c r="BQ133" i="39"/>
  <c r="BQ123" i="39"/>
  <c r="CI90" i="39"/>
  <c r="CI93" i="39"/>
  <c r="CJ66" i="39"/>
  <c r="CK85" i="39"/>
  <c r="BU42" i="39"/>
  <c r="BU35" i="39" s="1"/>
  <c r="BT35" i="39"/>
  <c r="CD45" i="39"/>
  <c r="CC38" i="39"/>
  <c r="BG11" i="39"/>
  <c r="BG27" i="39"/>
  <c r="CF148" i="39"/>
  <c r="BQ148" i="39"/>
  <c r="BQ137" i="39"/>
  <c r="BQ138" i="39"/>
  <c r="CF17" i="39"/>
  <c r="BQ27" i="39"/>
  <c r="BQ11" i="39"/>
  <c r="BU46" i="39"/>
  <c r="BU39" i="39" s="1"/>
  <c r="BT39" i="39"/>
  <c r="CN47" i="39"/>
  <c r="CN35" i="39"/>
  <c r="CR47" i="39"/>
  <c r="CR35" i="39"/>
  <c r="CA148" i="39"/>
  <c r="CA142" i="39"/>
  <c r="CA143" i="39"/>
  <c r="CA133" i="39"/>
  <c r="CA123" i="39"/>
  <c r="CN147" i="39"/>
  <c r="CI143" i="39"/>
  <c r="CI147" i="39"/>
  <c r="CC35" i="39"/>
  <c r="CD42" i="39"/>
  <c r="CC44" i="39"/>
  <c r="CB37" i="39"/>
  <c r="CF98" i="39"/>
  <c r="CK98" i="39"/>
  <c r="BZ67" i="39"/>
  <c r="CQ35" i="39"/>
  <c r="CQ47" i="39"/>
  <c r="BV8" i="39"/>
  <c r="BY44" i="39"/>
  <c r="BX37" i="39"/>
  <c r="AT88" i="16"/>
  <c r="AS88" i="16"/>
  <c r="AU88" i="16"/>
  <c r="AV88" i="16"/>
  <c r="DR43" i="12" l="1"/>
  <c r="DR37" i="12"/>
  <c r="DT10" i="12"/>
  <c r="DS20" i="13"/>
  <c r="DT26" i="12"/>
  <c r="DS22" i="13"/>
  <c r="CP94" i="39"/>
  <c r="BL146" i="39"/>
  <c r="BL147" i="39"/>
  <c r="CP286" i="1"/>
  <c r="S222" i="44"/>
  <c r="U225" i="44"/>
  <c r="U62" i="44"/>
  <c r="V62" i="44"/>
  <c r="T225" i="44"/>
  <c r="Q222" i="44"/>
  <c r="BM11" i="16"/>
  <c r="BN7" i="16"/>
  <c r="BN11" i="16" s="1"/>
  <c r="N88" i="16"/>
  <c r="BP93" i="39"/>
  <c r="BP74" i="39" s="1"/>
  <c r="BP8" i="16" s="1"/>
  <c r="BQ8" i="16" s="1"/>
  <c r="CU147" i="39"/>
  <c r="CU143" i="39"/>
  <c r="CZ147" i="39"/>
  <c r="CU67" i="39"/>
  <c r="CZ67" i="39"/>
  <c r="BN75" i="39"/>
  <c r="CK143" i="39"/>
  <c r="BP90" i="39"/>
  <c r="BP71" i="39" s="1"/>
  <c r="BO71" i="39"/>
  <c r="BY47" i="39"/>
  <c r="BP46" i="39"/>
  <c r="BP39" i="39" s="1"/>
  <c r="BO39" i="39"/>
  <c r="BZ45" i="39"/>
  <c r="BZ38" i="39" s="1"/>
  <c r="BY38" i="39"/>
  <c r="CH94" i="39"/>
  <c r="CD44" i="39"/>
  <c r="CC37" i="39"/>
  <c r="BQ146" i="39"/>
  <c r="BP137" i="39"/>
  <c r="CE45" i="39"/>
  <c r="CE38" i="39" s="1"/>
  <c r="CD38" i="39"/>
  <c r="BV147" i="39"/>
  <c r="CA147" i="39"/>
  <c r="BU138" i="39"/>
  <c r="BP138" i="39"/>
  <c r="BQ147" i="39"/>
  <c r="CJ93" i="39"/>
  <c r="CJ90" i="39"/>
  <c r="CO102" i="39"/>
  <c r="CE42" i="39"/>
  <c r="CD35" i="39"/>
  <c r="BQ20" i="39"/>
  <c r="BZ44" i="39"/>
  <c r="BZ37" i="39" s="1"/>
  <c r="BY37" i="39"/>
  <c r="CF147" i="39"/>
  <c r="CF143" i="39"/>
  <c r="BZ35" i="39"/>
  <c r="CC47" i="39"/>
  <c r="DH45" i="39"/>
  <c r="BG20" i="39"/>
  <c r="CK66" i="39"/>
  <c r="CP66" i="39"/>
  <c r="CI94" i="39"/>
  <c r="BU137" i="39"/>
  <c r="BV146" i="39"/>
  <c r="CA146" i="39"/>
  <c r="CK147" i="39"/>
  <c r="DB123" i="16"/>
  <c r="DB122" i="16"/>
  <c r="DB121" i="16"/>
  <c r="DB120" i="16"/>
  <c r="DB64" i="16"/>
  <c r="DB63" i="16"/>
  <c r="DS37" i="12" l="1"/>
  <c r="DS43" i="12"/>
  <c r="DE63" i="16"/>
  <c r="DB84" i="16"/>
  <c r="DB85" i="16"/>
  <c r="Q61" i="44"/>
  <c r="Q226" i="44"/>
  <c r="Q239" i="44" s="1"/>
  <c r="T238" i="44"/>
  <c r="T240" i="44" s="1"/>
  <c r="T227" i="44"/>
  <c r="S226" i="44"/>
  <c r="S239" i="44" s="1"/>
  <c r="T223" i="44"/>
  <c r="U238" i="44"/>
  <c r="U240" i="44" s="1"/>
  <c r="U227" i="44"/>
  <c r="BO7" i="16"/>
  <c r="BO11" i="16" s="1"/>
  <c r="BP7" i="16"/>
  <c r="BP11" i="16" s="1"/>
  <c r="BO75" i="39"/>
  <c r="BP75" i="39"/>
  <c r="CJ94" i="39"/>
  <c r="BZ47" i="39"/>
  <c r="BU147" i="39"/>
  <c r="BU143" i="39"/>
  <c r="BZ147" i="39"/>
  <c r="CE44" i="39"/>
  <c r="CE37" i="39" s="1"/>
  <c r="CD37" i="39"/>
  <c r="CE35" i="39"/>
  <c r="BP147" i="39"/>
  <c r="BP143" i="39"/>
  <c r="CK90" i="39"/>
  <c r="CK93" i="39"/>
  <c r="CP102" i="39"/>
  <c r="DF44" i="39"/>
  <c r="DG44" i="39" s="1"/>
  <c r="BP146" i="39"/>
  <c r="BP142" i="39"/>
  <c r="BU142" i="39"/>
  <c r="BU146" i="39"/>
  <c r="BZ146" i="39"/>
  <c r="DI45" i="39"/>
  <c r="CD47" i="39"/>
  <c r="DB125" i="16"/>
  <c r="DT43" i="12" l="1"/>
  <c r="DT37" i="12"/>
  <c r="S61" i="44"/>
  <c r="S225" i="44" s="1"/>
  <c r="DE84" i="16"/>
  <c r="U228" i="44"/>
  <c r="V228" i="44"/>
  <c r="Q225" i="44"/>
  <c r="U235" i="44"/>
  <c r="T235" i="44"/>
  <c r="BQ7" i="16"/>
  <c r="BQ11" i="16" s="1"/>
  <c r="BQ75" i="39"/>
  <c r="CE47" i="39"/>
  <c r="CK94" i="39"/>
  <c r="DF43" i="39"/>
  <c r="DG43" i="39" s="1"/>
  <c r="DJ45" i="39"/>
  <c r="DF42" i="39"/>
  <c r="DG42" i="39" s="1"/>
  <c r="DB59" i="1"/>
  <c r="DB68" i="1" s="1"/>
  <c r="DB19" i="1"/>
  <c r="DB23" i="1" s="1"/>
  <c r="T62" i="44" l="1"/>
  <c r="DU37" i="12"/>
  <c r="DU43" i="12"/>
  <c r="Q238" i="44"/>
  <c r="Q240" i="44" s="1"/>
  <c r="Q227" i="44"/>
  <c r="R222" i="44"/>
  <c r="S238" i="44"/>
  <c r="S240" i="44" s="1"/>
  <c r="S227" i="44"/>
  <c r="T228" i="44" s="1"/>
  <c r="DO45" i="39"/>
  <c r="DK45" i="39"/>
  <c r="DL45" i="39" s="1"/>
  <c r="DM45" i="39" s="1"/>
  <c r="DN45" i="39" s="1"/>
  <c r="DB25" i="1"/>
  <c r="DH44" i="39"/>
  <c r="DJ15" i="39"/>
  <c r="DF46" i="39"/>
  <c r="DV37" i="12" l="1"/>
  <c r="DV43" i="12"/>
  <c r="DT45" i="39"/>
  <c r="DU45" i="39" s="1"/>
  <c r="DV45" i="39" s="1"/>
  <c r="DP45" i="39"/>
  <c r="DQ45" i="39" s="1"/>
  <c r="DF47" i="39"/>
  <c r="DG46" i="39"/>
  <c r="R61" i="44"/>
  <c r="S235" i="44"/>
  <c r="R223" i="44"/>
  <c r="R226" i="44"/>
  <c r="R239" i="44" s="1"/>
  <c r="S223" i="44"/>
  <c r="Q235" i="44"/>
  <c r="DB27" i="1"/>
  <c r="DB29" i="1" s="1"/>
  <c r="DB31" i="1" s="1"/>
  <c r="DB33" i="1" s="1"/>
  <c r="DB35" i="1"/>
  <c r="DB37" i="1" s="1"/>
  <c r="DB39" i="1"/>
  <c r="DB41" i="1" s="1"/>
  <c r="DH42" i="39"/>
  <c r="DH43" i="39"/>
  <c r="DI44" i="39"/>
  <c r="DR45" i="39" l="1"/>
  <c r="DQ38" i="39"/>
  <c r="DG47" i="39"/>
  <c r="S62" i="44"/>
  <c r="R225" i="44"/>
  <c r="R62" i="44"/>
  <c r="DI43" i="39"/>
  <c r="DJ44" i="39"/>
  <c r="DI42" i="39"/>
  <c r="DH46" i="39"/>
  <c r="DI52" i="13"/>
  <c r="DI51" i="13"/>
  <c r="DF52" i="13"/>
  <c r="DF76" i="12"/>
  <c r="DJ21" i="11"/>
  <c r="DI63" i="11"/>
  <c r="DH63" i="11"/>
  <c r="DF63" i="11"/>
  <c r="DS45" i="39" l="1"/>
  <c r="DS38" i="39" s="1"/>
  <c r="DR38" i="39"/>
  <c r="DI54" i="13"/>
  <c r="DJ51" i="13"/>
  <c r="DJ52" i="13"/>
  <c r="DF54" i="13"/>
  <c r="R238" i="44"/>
  <c r="R240" i="44" s="1"/>
  <c r="R227" i="44"/>
  <c r="DJ218" i="1"/>
  <c r="DK217" i="1"/>
  <c r="DO44" i="39"/>
  <c r="DK44" i="39"/>
  <c r="DL44" i="39" s="1"/>
  <c r="DM44" i="39" s="1"/>
  <c r="DN44" i="39" s="1"/>
  <c r="DI46" i="39"/>
  <c r="DH47" i="39"/>
  <c r="DJ43" i="39"/>
  <c r="DJ42" i="39"/>
  <c r="DJ234" i="1" s="1"/>
  <c r="DJ63" i="11"/>
  <c r="DT44" i="39" l="1"/>
  <c r="DU44" i="39" s="1"/>
  <c r="DV44" i="39" s="1"/>
  <c r="DP44" i="39"/>
  <c r="DQ44" i="39" s="1"/>
  <c r="DJ54" i="13"/>
  <c r="S228" i="44"/>
  <c r="R228" i="44"/>
  <c r="R235" i="44"/>
  <c r="DK218" i="1"/>
  <c r="DO218" i="1"/>
  <c r="DJ284" i="1"/>
  <c r="DL217" i="1"/>
  <c r="DM31" i="12"/>
  <c r="DL139" i="39"/>
  <c r="DL142" i="39" s="1"/>
  <c r="DL143" i="39" s="1"/>
  <c r="DO43" i="39"/>
  <c r="DK43" i="39"/>
  <c r="DO42" i="39"/>
  <c r="DK42" i="39"/>
  <c r="DL37" i="39"/>
  <c r="DL38" i="39"/>
  <c r="DI17" i="39"/>
  <c r="DJ16" i="39"/>
  <c r="DI47" i="39"/>
  <c r="DJ46" i="39"/>
  <c r="DQ148" i="39" l="1"/>
  <c r="DT42" i="39"/>
  <c r="DP42" i="39"/>
  <c r="DT43" i="39"/>
  <c r="DU43" i="39" s="1"/>
  <c r="DV43" i="39" s="1"/>
  <c r="DP43" i="39"/>
  <c r="DQ43" i="39" s="1"/>
  <c r="DR44" i="39"/>
  <c r="DQ37" i="39"/>
  <c r="DT218" i="1"/>
  <c r="DL218" i="1"/>
  <c r="DO234" i="1"/>
  <c r="DO284" i="1" s="1"/>
  <c r="DO286" i="1" s="1"/>
  <c r="DJ286" i="1"/>
  <c r="DM18" i="12"/>
  <c r="DM16" i="12"/>
  <c r="DM217" i="1" s="1"/>
  <c r="DN31" i="12"/>
  <c r="DM139" i="39"/>
  <c r="DR148" i="39" s="1"/>
  <c r="DO46" i="39"/>
  <c r="DK46" i="39"/>
  <c r="DK47" i="39" s="1"/>
  <c r="DL42" i="39"/>
  <c r="DL43" i="39"/>
  <c r="DM37" i="39"/>
  <c r="DM38" i="39"/>
  <c r="DM30" i="39"/>
  <c r="DJ47" i="39"/>
  <c r="DP46" i="39" l="1"/>
  <c r="DQ46" i="39" s="1"/>
  <c r="DT46" i="39"/>
  <c r="DU46" i="39" s="1"/>
  <c r="DV46" i="39" s="1"/>
  <c r="DS44" i="39"/>
  <c r="DS37" i="39" s="1"/>
  <c r="DR37" i="39"/>
  <c r="DR43" i="39"/>
  <c r="DQ36" i="39"/>
  <c r="DP47" i="39"/>
  <c r="DQ42" i="39"/>
  <c r="DO31" i="12"/>
  <c r="DP31" i="12" s="1"/>
  <c r="DM218" i="1"/>
  <c r="DU218" i="1"/>
  <c r="DU42" i="39"/>
  <c r="DT234" i="1"/>
  <c r="DT284" i="1" s="1"/>
  <c r="DT286" i="1" s="1"/>
  <c r="DM25" i="12"/>
  <c r="DN18" i="12"/>
  <c r="DO18" i="12" s="1"/>
  <c r="DP18" i="12" s="1"/>
  <c r="DN16" i="12"/>
  <c r="DO47" i="39"/>
  <c r="DN139" i="39"/>
  <c r="DS148" i="39" s="1"/>
  <c r="DM138" i="39"/>
  <c r="DR147" i="39" s="1"/>
  <c r="DM137" i="39"/>
  <c r="DR146" i="39" s="1"/>
  <c r="DM43" i="39"/>
  <c r="DL36" i="39"/>
  <c r="DM42" i="39"/>
  <c r="DL35" i="39"/>
  <c r="DL46" i="39"/>
  <c r="DN38" i="39"/>
  <c r="DN30" i="39"/>
  <c r="DN37" i="39"/>
  <c r="DB63" i="11"/>
  <c r="DA63" i="11"/>
  <c r="DF39" i="16"/>
  <c r="DT47" i="39" l="1"/>
  <c r="DQ31" i="12"/>
  <c r="DQ18" i="12"/>
  <c r="DU47" i="39"/>
  <c r="DR42" i="39"/>
  <c r="DQ47" i="39"/>
  <c r="DQ35" i="39"/>
  <c r="DR46" i="39"/>
  <c r="DQ39" i="39"/>
  <c r="DS43" i="39"/>
  <c r="DS36" i="39" s="1"/>
  <c r="DR36" i="39"/>
  <c r="DV218" i="1"/>
  <c r="DN218" i="1"/>
  <c r="DO16" i="12"/>
  <c r="DN217" i="1"/>
  <c r="DV42" i="39"/>
  <c r="DU234" i="1"/>
  <c r="DU284" i="1" s="1"/>
  <c r="DU286" i="1" s="1"/>
  <c r="DN25" i="12"/>
  <c r="DN137" i="39"/>
  <c r="DS146" i="39" s="1"/>
  <c r="DN138" i="39"/>
  <c r="DS147" i="39" s="1"/>
  <c r="DM46" i="39"/>
  <c r="DM47" i="39" s="1"/>
  <c r="DL39" i="39"/>
  <c r="DN42" i="39"/>
  <c r="DM35" i="39"/>
  <c r="DL47" i="39"/>
  <c r="DN43" i="39"/>
  <c r="DN36" i="39" s="1"/>
  <c r="DM36" i="39"/>
  <c r="DE63" i="11"/>
  <c r="DA123" i="16"/>
  <c r="DB132" i="16" s="1"/>
  <c r="DB139" i="16" s="1"/>
  <c r="DA122" i="16"/>
  <c r="DB131" i="16" s="1"/>
  <c r="DB138" i="16" s="1"/>
  <c r="DA121" i="16"/>
  <c r="DB130" i="16" s="1"/>
  <c r="DB137" i="16" s="1"/>
  <c r="DA120" i="16"/>
  <c r="DB129" i="16" s="1"/>
  <c r="DB136" i="16" s="1"/>
  <c r="DF103" i="16"/>
  <c r="DE69" i="16"/>
  <c r="DA64" i="16"/>
  <c r="DO25" i="12" l="1"/>
  <c r="DP25" i="12" s="1"/>
  <c r="DR31" i="12"/>
  <c r="DR18" i="12"/>
  <c r="DS46" i="39"/>
  <c r="DS39" i="39" s="1"/>
  <c r="DR39" i="39"/>
  <c r="DS42" i="39"/>
  <c r="DR47" i="39"/>
  <c r="DR35" i="39"/>
  <c r="DO217" i="1"/>
  <c r="DP16" i="12"/>
  <c r="DV47" i="39"/>
  <c r="DV234" i="1"/>
  <c r="DV284" i="1" s="1"/>
  <c r="DE64" i="16"/>
  <c r="DA85" i="16"/>
  <c r="DA84" i="16"/>
  <c r="DN35" i="39"/>
  <c r="DN46" i="39"/>
  <c r="DN39" i="39" s="1"/>
  <c r="DM39" i="39"/>
  <c r="DE57" i="11"/>
  <c r="DE58" i="11" s="1"/>
  <c r="DF104" i="16"/>
  <c r="DA125" i="16"/>
  <c r="DA90" i="16"/>
  <c r="DA59" i="1"/>
  <c r="DA68" i="1" s="1"/>
  <c r="DA19" i="1"/>
  <c r="DA23" i="1" s="1"/>
  <c r="DO331" i="1"/>
  <c r="DJ331" i="1"/>
  <c r="DE331" i="1"/>
  <c r="CZ331" i="1"/>
  <c r="DQ25" i="12" l="1"/>
  <c r="DR25" i="12" s="1"/>
  <c r="DP59" i="12"/>
  <c r="DP65" i="12" s="1"/>
  <c r="DS18" i="12"/>
  <c r="DS31" i="12"/>
  <c r="DS47" i="39"/>
  <c r="DS35" i="39"/>
  <c r="DQ16" i="12"/>
  <c r="DQ59" i="12"/>
  <c r="DQ65" i="12" s="1"/>
  <c r="DV285" i="1"/>
  <c r="DV286" i="1"/>
  <c r="DV287" i="1" s="1"/>
  <c r="DE85" i="16"/>
  <c r="DF106" i="16"/>
  <c r="DN47" i="39"/>
  <c r="DA25" i="1"/>
  <c r="CZ19" i="1"/>
  <c r="CZ162" i="1"/>
  <c r="CZ161" i="1"/>
  <c r="CY139" i="1"/>
  <c r="CY141" i="1" s="1"/>
  <c r="CY129" i="1"/>
  <c r="CY131" i="1" s="1"/>
  <c r="CY111" i="1"/>
  <c r="CY117" i="1" s="1"/>
  <c r="CY59" i="1"/>
  <c r="CZ123" i="16"/>
  <c r="CZ122" i="16"/>
  <c r="CZ121" i="16"/>
  <c r="CZ120" i="16"/>
  <c r="CY123" i="16"/>
  <c r="CY122" i="16"/>
  <c r="CY121" i="16"/>
  <c r="CY120" i="16"/>
  <c r="CY85" i="16"/>
  <c r="CY84" i="16"/>
  <c r="CY19" i="1"/>
  <c r="CY23" i="1" s="1"/>
  <c r="DT31" i="12" l="1"/>
  <c r="DT18" i="12"/>
  <c r="DR16" i="12"/>
  <c r="DR59" i="12"/>
  <c r="DR65" i="12" s="1"/>
  <c r="DS25" i="12"/>
  <c r="DA27" i="1"/>
  <c r="DA29" i="1" s="1"/>
  <c r="DA31" i="1" s="1"/>
  <c r="DA33" i="1" s="1"/>
  <c r="DD33" i="1" s="1"/>
  <c r="DA39" i="1"/>
  <c r="DA41" i="1" s="1"/>
  <c r="DA35" i="1"/>
  <c r="DA37" i="1" s="1"/>
  <c r="CY119" i="1"/>
  <c r="CY143" i="1" s="1"/>
  <c r="CZ111" i="1"/>
  <c r="CY68" i="1"/>
  <c r="CZ68" i="1" s="1"/>
  <c r="CZ59" i="1"/>
  <c r="CZ23" i="1"/>
  <c r="CZ25" i="1" s="1"/>
  <c r="CY25" i="1"/>
  <c r="CZ157" i="1"/>
  <c r="DA131" i="16"/>
  <c r="DA138" i="16" s="1"/>
  <c r="DA132" i="16"/>
  <c r="DA139" i="16" s="1"/>
  <c r="DA129" i="16"/>
  <c r="DA136" i="16" s="1"/>
  <c r="DA130" i="16"/>
  <c r="DA137" i="16" s="1"/>
  <c r="CY125" i="16"/>
  <c r="CY167" i="1"/>
  <c r="CZ125" i="16"/>
  <c r="DU18" i="12" l="1"/>
  <c r="DU31" i="12"/>
  <c r="DS16" i="12"/>
  <c r="DS59" i="12"/>
  <c r="DS65" i="12" s="1"/>
  <c r="DT25" i="12"/>
  <c r="CZ117" i="1"/>
  <c r="CZ119" i="1" s="1"/>
  <c r="CZ143" i="1" s="1"/>
  <c r="CZ35" i="1"/>
  <c r="CZ37" i="1" s="1"/>
  <c r="CZ39" i="1"/>
  <c r="CZ41" i="1" s="1"/>
  <c r="CY35" i="1"/>
  <c r="CY37" i="1" s="1"/>
  <c r="CY39" i="1"/>
  <c r="CY41" i="1" s="1"/>
  <c r="CY27" i="1"/>
  <c r="CZ27" i="1"/>
  <c r="CZ29" i="1" s="1"/>
  <c r="DV31" i="12" l="1"/>
  <c r="DV18" i="12"/>
  <c r="DT16" i="12"/>
  <c r="DT59" i="12"/>
  <c r="DT65" i="12" s="1"/>
  <c r="DU25" i="12"/>
  <c r="CY29" i="1"/>
  <c r="CY31" i="1" s="1"/>
  <c r="CZ31" i="1"/>
  <c r="CZ33" i="1" s="1"/>
  <c r="CX139" i="1"/>
  <c r="CX141" i="1" s="1"/>
  <c r="CX129" i="1"/>
  <c r="CX131" i="1" s="1"/>
  <c r="CX111" i="1"/>
  <c r="CX117" i="1" s="1"/>
  <c r="CX59" i="1"/>
  <c r="CX68" i="1" s="1"/>
  <c r="CX123" i="16"/>
  <c r="CX122" i="16"/>
  <c r="CY131" i="16" s="1"/>
  <c r="CY138" i="16" s="1"/>
  <c r="CX121" i="16"/>
  <c r="CY130" i="16" s="1"/>
  <c r="CY137" i="16" s="1"/>
  <c r="CX120" i="16"/>
  <c r="CY129" i="16" s="1"/>
  <c r="CY136" i="16" s="1"/>
  <c r="CX85" i="16"/>
  <c r="CX84" i="16"/>
  <c r="CX19" i="1"/>
  <c r="CX23" i="1" s="1"/>
  <c r="DT217" i="1" l="1"/>
  <c r="DU16" i="12"/>
  <c r="DV25" i="12"/>
  <c r="CX119" i="1"/>
  <c r="CX143" i="1" s="1"/>
  <c r="CX25" i="1"/>
  <c r="CY132" i="16"/>
  <c r="CY139" i="16" s="1"/>
  <c r="CX125" i="16"/>
  <c r="CX167" i="1"/>
  <c r="DU217" i="1" l="1"/>
  <c r="DV16" i="12"/>
  <c r="DV59" i="12"/>
  <c r="DV65" i="12" s="1"/>
  <c r="CX35" i="1"/>
  <c r="CX37" i="1" s="1"/>
  <c r="CX39" i="1"/>
  <c r="CX41" i="1" s="1"/>
  <c r="CX27" i="1"/>
  <c r="DV217" i="1" l="1"/>
  <c r="CX29" i="1"/>
  <c r="CX31" i="1" s="1"/>
  <c r="CX33" i="1" s="1"/>
  <c r="DJ52" i="11"/>
  <c r="CW139" i="1"/>
  <c r="CW141" i="1" s="1"/>
  <c r="CW129" i="1"/>
  <c r="CW131" i="1" s="1"/>
  <c r="CW111" i="1"/>
  <c r="CW117" i="1" s="1"/>
  <c r="CW59" i="1"/>
  <c r="CW68" i="1" s="1"/>
  <c r="DJ34" i="11" l="1"/>
  <c r="DI34" i="11"/>
  <c r="CW119" i="1"/>
  <c r="CW143" i="1" s="1"/>
  <c r="DJ33" i="11"/>
  <c r="DJ57" i="13"/>
  <c r="DI33" i="11"/>
  <c r="DI57" i="13"/>
  <c r="CW123" i="16" l="1"/>
  <c r="CX132" i="16" s="1"/>
  <c r="CX139" i="16" s="1"/>
  <c r="DB146" i="16" s="1"/>
  <c r="CW122" i="16"/>
  <c r="CX131" i="16" s="1"/>
  <c r="CX138" i="16" s="1"/>
  <c r="DB145" i="16" s="1"/>
  <c r="CW121" i="16"/>
  <c r="CX130" i="16" s="1"/>
  <c r="CX137" i="16" s="1"/>
  <c r="DB144" i="16" s="1"/>
  <c r="CW120" i="16"/>
  <c r="CW85" i="16"/>
  <c r="CW84" i="16"/>
  <c r="CW19" i="1"/>
  <c r="CW23" i="1" s="1"/>
  <c r="CW25" i="1" l="1"/>
  <c r="CW125" i="16"/>
  <c r="CX129" i="16"/>
  <c r="CX136" i="16" s="1"/>
  <c r="DB143" i="16" s="1"/>
  <c r="CW167" i="1"/>
  <c r="CW89" i="16" l="1"/>
  <c r="CW39" i="1"/>
  <c r="CW41" i="1" s="1"/>
  <c r="CW35" i="1"/>
  <c r="CW37" i="1" s="1"/>
  <c r="CW27" i="1"/>
  <c r="CW29" i="1" s="1"/>
  <c r="CW31" i="1" s="1"/>
  <c r="CW33" i="1" s="1"/>
  <c r="DE52" i="13" l="1"/>
  <c r="DE51" i="13"/>
  <c r="DE54" i="13" s="1"/>
  <c r="DD52" i="13"/>
  <c r="DC52" i="13"/>
  <c r="DB52" i="13"/>
  <c r="DA52" i="13"/>
  <c r="DD51" i="13"/>
  <c r="DC51" i="13"/>
  <c r="DB51" i="13"/>
  <c r="DA51" i="13"/>
  <c r="DC54" i="13" l="1"/>
  <c r="DD54" i="13"/>
  <c r="DA54" i="13"/>
  <c r="DB54" i="13"/>
  <c r="DE68" i="16" l="1"/>
  <c r="DB34" i="16"/>
  <c r="DC90" i="16" l="1"/>
  <c r="DB90" i="16"/>
  <c r="DI106" i="16"/>
  <c r="DD90" i="16"/>
  <c r="DB33" i="16"/>
  <c r="DG106" i="16"/>
  <c r="DB35" i="16"/>
  <c r="DE70" i="16"/>
  <c r="DE71" i="16" s="1"/>
  <c r="DB106" i="16"/>
  <c r="DE90" i="16" l="1"/>
  <c r="CV111" i="1" l="1"/>
  <c r="CV117" i="1" s="1"/>
  <c r="CV129" i="1"/>
  <c r="CV131" i="1" s="1"/>
  <c r="CV139" i="1"/>
  <c r="CV141" i="1" s="1"/>
  <c r="CV59" i="1"/>
  <c r="CV68" i="1" s="1"/>
  <c r="CV63" i="11" l="1"/>
  <c r="CV64" i="11" s="1"/>
  <c r="CV119" i="1"/>
  <c r="CV143" i="1" s="1"/>
  <c r="CX63" i="11" l="1"/>
  <c r="CX64" i="11" s="1"/>
  <c r="CW63" i="11"/>
  <c r="CV72" i="11"/>
  <c r="CY63" i="11"/>
  <c r="CY64" i="11" s="1"/>
  <c r="CV123" i="16"/>
  <c r="CW132" i="16" s="1"/>
  <c r="CW139" i="16" s="1"/>
  <c r="DA146" i="16" s="1"/>
  <c r="CV122" i="16"/>
  <c r="CW131" i="16" s="1"/>
  <c r="CW138" i="16" s="1"/>
  <c r="DA145" i="16" s="1"/>
  <c r="CV121" i="16"/>
  <c r="CW130" i="16" s="1"/>
  <c r="CW137" i="16" s="1"/>
  <c r="DA144" i="16" s="1"/>
  <c r="CV120" i="16"/>
  <c r="CW129" i="16" s="1"/>
  <c r="CW136" i="16" s="1"/>
  <c r="DA143" i="16" s="1"/>
  <c r="DA96" i="16"/>
  <c r="DA95" i="16"/>
  <c r="CV84" i="16"/>
  <c r="CZ167" i="1"/>
  <c r="CV19" i="1"/>
  <c r="CV23" i="1" s="1"/>
  <c r="DA94" i="16" l="1"/>
  <c r="CV85" i="16"/>
  <c r="CZ57" i="11"/>
  <c r="CZ58" i="11" s="1"/>
  <c r="CW64" i="11"/>
  <c r="CZ63" i="11"/>
  <c r="CZ64" i="11" s="1"/>
  <c r="CY72" i="11"/>
  <c r="CY87" i="11"/>
  <c r="CX72" i="11"/>
  <c r="CV25" i="1"/>
  <c r="DA93" i="16"/>
  <c r="DA41" i="16"/>
  <c r="DA39" i="16"/>
  <c r="DA40" i="16"/>
  <c r="CV167" i="1"/>
  <c r="CV125" i="16"/>
  <c r="CX87" i="11" l="1"/>
  <c r="CZ72" i="11"/>
  <c r="CW72" i="11"/>
  <c r="CW87" i="11"/>
  <c r="CV39" i="1"/>
  <c r="CV41" i="1" s="1"/>
  <c r="CV35" i="1"/>
  <c r="CV37" i="1" s="1"/>
  <c r="CV27" i="1"/>
  <c r="DA106" i="16"/>
  <c r="DA47" i="16"/>
  <c r="DA133" i="16"/>
  <c r="DA140" i="16" s="1"/>
  <c r="DA101" i="16"/>
  <c r="DA102" i="16"/>
  <c r="DA46" i="16"/>
  <c r="DA45" i="16"/>
  <c r="DA103" i="16"/>
  <c r="DA57" i="13"/>
  <c r="CV89" i="16"/>
  <c r="DA48" i="16" l="1"/>
  <c r="CV29" i="1"/>
  <c r="CV31" i="1" s="1"/>
  <c r="CV33" i="1" s="1"/>
  <c r="CY33" i="1" s="1"/>
  <c r="DA104" i="16"/>
  <c r="DB57" i="13"/>
  <c r="DA105" i="16" l="1"/>
  <c r="DA71" i="16"/>
  <c r="DA62" i="11" s="1"/>
  <c r="DA88" i="11" s="1"/>
  <c r="DC57" i="13"/>
  <c r="CT139" i="1"/>
  <c r="CT141" i="1" s="1"/>
  <c r="CT129" i="1"/>
  <c r="CT131" i="1" s="1"/>
  <c r="CT111" i="1"/>
  <c r="CT117" i="1" s="1"/>
  <c r="CU142" i="1"/>
  <c r="CT59" i="1"/>
  <c r="CU59" i="1" s="1"/>
  <c r="DA73" i="11" l="1"/>
  <c r="DA81" i="11"/>
  <c r="DA64" i="11"/>
  <c r="DA87" i="11" s="1"/>
  <c r="DA89" i="16"/>
  <c r="CU111" i="1"/>
  <c r="CU117" i="1" s="1"/>
  <c r="CT119" i="1"/>
  <c r="CT143" i="1" s="1"/>
  <c r="CT68" i="1"/>
  <c r="CU68" i="1" s="1"/>
  <c r="CU157" i="1"/>
  <c r="DA79" i="16"/>
  <c r="DA81" i="16"/>
  <c r="DA80" i="16"/>
  <c r="DA76" i="16"/>
  <c r="DA77" i="16"/>
  <c r="DA75" i="16"/>
  <c r="DA78" i="16"/>
  <c r="DA107" i="16"/>
  <c r="DD57" i="13"/>
  <c r="CU139" i="1"/>
  <c r="CU141" i="1" s="1"/>
  <c r="CU129" i="1"/>
  <c r="CU131" i="1" s="1"/>
  <c r="DA72" i="11" l="1"/>
  <c r="CU119" i="1"/>
  <c r="CU143" i="1" s="1"/>
  <c r="DE57" i="13"/>
  <c r="CU123" i="16"/>
  <c r="CU122" i="16"/>
  <c r="CU121" i="16"/>
  <c r="CU120" i="16"/>
  <c r="CT123" i="16"/>
  <c r="CT122" i="16"/>
  <c r="CT121" i="16"/>
  <c r="CT120" i="16"/>
  <c r="CT85" i="16"/>
  <c r="CT84" i="16"/>
  <c r="CV132" i="16" l="1"/>
  <c r="CV139" i="16" s="1"/>
  <c r="CV130" i="16"/>
  <c r="CV137" i="16" s="1"/>
  <c r="CV131" i="16"/>
  <c r="CV138" i="16" s="1"/>
  <c r="CT167" i="1"/>
  <c r="CT125" i="16"/>
  <c r="CU125" i="16"/>
  <c r="CV129" i="16"/>
  <c r="CV136" i="16" s="1"/>
  <c r="CY145" i="16" l="1"/>
  <c r="CY144" i="16"/>
  <c r="CY146" i="16"/>
  <c r="CY143" i="16"/>
  <c r="CT73" i="12" l="1"/>
  <c r="CT72" i="12"/>
  <c r="CS139" i="1"/>
  <c r="CS141" i="1" s="1"/>
  <c r="CS129" i="1"/>
  <c r="CS131" i="1" s="1"/>
  <c r="CS111" i="1"/>
  <c r="CS117" i="1" s="1"/>
  <c r="CS59" i="1"/>
  <c r="CS68" i="1" s="1"/>
  <c r="CS123" i="16"/>
  <c r="CT132" i="16" s="1"/>
  <c r="CT139" i="16" s="1"/>
  <c r="CX146" i="16" s="1"/>
  <c r="CS122" i="16"/>
  <c r="CT131" i="16" s="1"/>
  <c r="CT138" i="16" s="1"/>
  <c r="CX145" i="16" s="1"/>
  <c r="CS121" i="16"/>
  <c r="CT130" i="16" s="1"/>
  <c r="CT137" i="16" s="1"/>
  <c r="CX144" i="16" s="1"/>
  <c r="CS120" i="16"/>
  <c r="CS85" i="16"/>
  <c r="CS84" i="16"/>
  <c r="CS119" i="1" l="1"/>
  <c r="CS143" i="1" s="1"/>
  <c r="CS167" i="1"/>
  <c r="CS125" i="16"/>
  <c r="CT129" i="16"/>
  <c r="CT136" i="16" s="1"/>
  <c r="CX143" i="16" s="1"/>
  <c r="CS73" i="12" l="1"/>
  <c r="CS72" i="12"/>
  <c r="CR139" i="1"/>
  <c r="CR141" i="1" s="1"/>
  <c r="CR129" i="1"/>
  <c r="CR131" i="1" s="1"/>
  <c r="CR111" i="1"/>
  <c r="CR117" i="1" s="1"/>
  <c r="CR59" i="1"/>
  <c r="CR68" i="1" s="1"/>
  <c r="CR123" i="16"/>
  <c r="CS132" i="16" s="1"/>
  <c r="CS139" i="16" s="1"/>
  <c r="CW146" i="16" s="1"/>
  <c r="CR122" i="16"/>
  <c r="CS131" i="16" s="1"/>
  <c r="CS138" i="16" s="1"/>
  <c r="CW145" i="16" s="1"/>
  <c r="CR121" i="16"/>
  <c r="CS130" i="16" s="1"/>
  <c r="CS137" i="16" s="1"/>
  <c r="CW144" i="16" s="1"/>
  <c r="CR120" i="16"/>
  <c r="CR85" i="16"/>
  <c r="CR84" i="16"/>
  <c r="CR119" i="1" l="1"/>
  <c r="CR143" i="1" s="1"/>
  <c r="CR167" i="1"/>
  <c r="CR125" i="16"/>
  <c r="CS129" i="16"/>
  <c r="CS136" i="16" s="1"/>
  <c r="CW143" i="16" s="1"/>
  <c r="CZ52" i="13" l="1"/>
  <c r="CZ51" i="13"/>
  <c r="CY52" i="13"/>
  <c r="CY51" i="13"/>
  <c r="CX52" i="13"/>
  <c r="CX51" i="13"/>
  <c r="CW52" i="13"/>
  <c r="CW51" i="13"/>
  <c r="CV52" i="13"/>
  <c r="CV51" i="13"/>
  <c r="CW54" i="13" l="1"/>
  <c r="DD106" i="16"/>
  <c r="DC106" i="16"/>
  <c r="CX54" i="13"/>
  <c r="CW115" i="16"/>
  <c r="CV54" i="13"/>
  <c r="CY115" i="16"/>
  <c r="CY54" i="13"/>
  <c r="CZ54" i="13"/>
  <c r="DE106" i="16" l="1"/>
  <c r="CX115" i="16"/>
  <c r="CQ40" i="12" l="1"/>
  <c r="CQ33" i="12"/>
  <c r="CQ32" i="12"/>
  <c r="CQ31" i="12"/>
  <c r="CQ27" i="12"/>
  <c r="CQ26" i="12"/>
  <c r="CQ20" i="12"/>
  <c r="CQ18" i="12"/>
  <c r="CQ17" i="12"/>
  <c r="CQ16" i="12"/>
  <c r="CQ10" i="12"/>
  <c r="CR73" i="12"/>
  <c r="CR72" i="12"/>
  <c r="CQ7" i="12"/>
  <c r="CQ139" i="1"/>
  <c r="CQ141" i="1" s="1"/>
  <c r="CQ129" i="1"/>
  <c r="CQ131" i="1" s="1"/>
  <c r="CQ111" i="1"/>
  <c r="CQ117" i="1" s="1"/>
  <c r="CQ83" i="1"/>
  <c r="CQ93" i="1" s="1"/>
  <c r="CQ59" i="1"/>
  <c r="CQ68" i="1" s="1"/>
  <c r="CQ123" i="16"/>
  <c r="CR132" i="16" s="1"/>
  <c r="CR139" i="16" s="1"/>
  <c r="CV146" i="16" s="1"/>
  <c r="CQ122" i="16"/>
  <c r="CR131" i="16" s="1"/>
  <c r="CR138" i="16" s="1"/>
  <c r="CV145" i="16" s="1"/>
  <c r="CQ121" i="16"/>
  <c r="CR130" i="16" s="1"/>
  <c r="CR137" i="16" s="1"/>
  <c r="CV144" i="16" s="1"/>
  <c r="CQ120" i="16"/>
  <c r="CR129" i="16" s="1"/>
  <c r="CR136" i="16" s="1"/>
  <c r="CV143" i="16" s="1"/>
  <c r="CQ85" i="16"/>
  <c r="CQ84" i="16"/>
  <c r="CQ59" i="12" l="1"/>
  <c r="CQ44" i="12"/>
  <c r="CQ63" i="11"/>
  <c r="CQ30" i="12"/>
  <c r="CQ14" i="12"/>
  <c r="CQ119" i="1"/>
  <c r="CQ143" i="1" s="1"/>
  <c r="CU167" i="1"/>
  <c r="CV40" i="16"/>
  <c r="CV41" i="16"/>
  <c r="CV39" i="16"/>
  <c r="CQ125" i="16"/>
  <c r="CQ22" i="12" l="1"/>
  <c r="CQ36" i="12"/>
  <c r="CQ64" i="11"/>
  <c r="CR63" i="11"/>
  <c r="CR64" i="11" s="1"/>
  <c r="CR78" i="12"/>
  <c r="DA97" i="16"/>
  <c r="DA98" i="16"/>
  <c r="DA42" i="16"/>
  <c r="CQ167" i="1"/>
  <c r="CV133" i="16"/>
  <c r="CV140" i="16" s="1"/>
  <c r="CV93" i="16"/>
  <c r="CV46" i="16"/>
  <c r="CV45" i="16"/>
  <c r="CV96" i="16"/>
  <c r="CV47" i="16"/>
  <c r="CV95" i="16"/>
  <c r="CV94" i="16"/>
  <c r="CQ45" i="12"/>
  <c r="CV48" i="16" l="1"/>
  <c r="CT63" i="11"/>
  <c r="CT64" i="11" s="1"/>
  <c r="CV87" i="11" s="1"/>
  <c r="CS63" i="11"/>
  <c r="CS64" i="11" s="1"/>
  <c r="CQ72" i="11"/>
  <c r="CR87" i="11"/>
  <c r="CR72" i="11"/>
  <c r="CU63" i="11" l="1"/>
  <c r="CU64" i="11" s="1"/>
  <c r="CS72" i="11"/>
  <c r="CS87" i="11"/>
  <c r="CT72" i="11"/>
  <c r="CT87" i="11"/>
  <c r="CV80" i="16"/>
  <c r="CV81" i="16"/>
  <c r="CV75" i="16"/>
  <c r="CV76" i="16"/>
  <c r="CV78" i="16"/>
  <c r="CV77" i="16"/>
  <c r="CV79" i="16"/>
  <c r="CV57" i="13"/>
  <c r="CU72" i="11" l="1"/>
  <c r="CW57" i="13"/>
  <c r="CO139" i="1"/>
  <c r="CO141" i="1" s="1"/>
  <c r="CO129" i="1"/>
  <c r="CO131" i="1" s="1"/>
  <c r="CO111" i="1"/>
  <c r="CO117" i="1" s="1"/>
  <c r="CO59" i="1"/>
  <c r="CO52" i="11"/>
  <c r="CO51" i="11"/>
  <c r="CO13" i="11"/>
  <c r="CP123" i="16"/>
  <c r="CQ132" i="16" s="1"/>
  <c r="CQ139" i="16" s="1"/>
  <c r="CT146" i="16" s="1"/>
  <c r="CP122" i="16"/>
  <c r="CQ131" i="16" s="1"/>
  <c r="CQ138" i="16" s="1"/>
  <c r="CT145" i="16" s="1"/>
  <c r="CP120" i="16"/>
  <c r="CP121" i="16"/>
  <c r="CQ130" i="16" s="1"/>
  <c r="CQ137" i="16" s="1"/>
  <c r="CT144" i="16" s="1"/>
  <c r="CO123" i="16"/>
  <c r="CO122" i="16"/>
  <c r="CO121" i="16"/>
  <c r="CO120" i="16"/>
  <c r="CO85" i="16"/>
  <c r="CO84" i="16"/>
  <c r="CO69" i="11" l="1"/>
  <c r="CO48" i="11"/>
  <c r="CO68" i="11"/>
  <c r="CO57" i="12"/>
  <c r="CO34" i="11"/>
  <c r="CO11" i="11"/>
  <c r="CO14" i="11" s="1"/>
  <c r="CP111" i="1"/>
  <c r="CP117" i="1" s="1"/>
  <c r="CP119" i="1" s="1"/>
  <c r="CP143" i="1" s="1"/>
  <c r="CO119" i="1"/>
  <c r="CO143" i="1" s="1"/>
  <c r="CO145" i="1" s="1"/>
  <c r="CO147" i="1" s="1"/>
  <c r="CP59" i="1"/>
  <c r="CO68" i="1"/>
  <c r="CP68" i="1" s="1"/>
  <c r="CP83" i="1"/>
  <c r="CP93" i="1" s="1"/>
  <c r="CO83" i="1"/>
  <c r="CO93" i="1" s="1"/>
  <c r="CX57" i="13"/>
  <c r="CO167" i="1"/>
  <c r="CP125" i="16"/>
  <c r="CQ129" i="16"/>
  <c r="CQ136" i="16" s="1"/>
  <c r="CT143" i="16" s="1"/>
  <c r="CO125" i="16"/>
  <c r="CO72" i="16" l="1"/>
  <c r="CO90" i="16" s="1"/>
  <c r="CY57" i="13"/>
  <c r="CP145" i="1" l="1"/>
  <c r="CZ57" i="13"/>
  <c r="CP147" i="1" l="1"/>
  <c r="CQ144" i="1"/>
  <c r="DO185" i="1"/>
  <c r="DO187" i="1" s="1"/>
  <c r="DO180" i="1"/>
  <c r="DO182" i="1" s="1"/>
  <c r="DJ185" i="1"/>
  <c r="DJ187" i="1" s="1"/>
  <c r="DJ180" i="1"/>
  <c r="DJ182" i="1" s="1"/>
  <c r="CR144" i="1" l="1"/>
  <c r="CQ145" i="1"/>
  <c r="CQ147" i="1" s="1"/>
  <c r="CS144" i="1" l="1"/>
  <c r="CR145" i="1"/>
  <c r="CR147" i="1" s="1"/>
  <c r="CN6" i="11"/>
  <c r="CN7" i="11"/>
  <c r="CN9" i="11" l="1"/>
  <c r="CT144" i="1"/>
  <c r="CS145" i="1"/>
  <c r="CS147" i="1" s="1"/>
  <c r="CN70" i="11" l="1"/>
  <c r="CU144" i="1"/>
  <c r="CT145" i="1"/>
  <c r="CN40" i="12"/>
  <c r="CN39" i="12"/>
  <c r="CN38" i="12"/>
  <c r="CN35" i="12"/>
  <c r="CN33" i="12"/>
  <c r="CN32" i="12"/>
  <c r="CN31" i="12"/>
  <c r="CN28" i="12"/>
  <c r="CN29" i="12"/>
  <c r="CN27" i="12"/>
  <c r="CN26" i="12"/>
  <c r="CN20" i="12"/>
  <c r="CN19" i="12"/>
  <c r="CN18" i="12"/>
  <c r="CN17" i="12"/>
  <c r="CN16" i="12"/>
  <c r="CN12" i="12"/>
  <c r="CN10" i="12"/>
  <c r="CO73" i="12"/>
  <c r="CN9" i="12"/>
  <c r="CO72" i="12" s="1"/>
  <c r="CN7" i="12"/>
  <c r="CN139" i="1"/>
  <c r="CN141" i="1" s="1"/>
  <c r="CN129" i="1"/>
  <c r="CN131" i="1" s="1"/>
  <c r="CN111" i="1"/>
  <c r="CN117" i="1" s="1"/>
  <c r="CN42" i="12"/>
  <c r="CN76" i="1"/>
  <c r="CN83" i="1" s="1"/>
  <c r="CN93" i="1" s="1"/>
  <c r="CN59" i="1"/>
  <c r="CN68" i="1" s="1"/>
  <c r="CN52" i="11"/>
  <c r="CN51" i="11"/>
  <c r="CN19" i="11"/>
  <c r="CN17" i="11"/>
  <c r="CN15" i="11"/>
  <c r="CN13" i="11"/>
  <c r="CN68" i="11"/>
  <c r="CN123" i="16"/>
  <c r="CO132" i="16" s="1"/>
  <c r="CO139" i="16" s="1"/>
  <c r="CS146" i="16" s="1"/>
  <c r="CN122" i="16"/>
  <c r="CO131" i="16" s="1"/>
  <c r="CO138" i="16" s="1"/>
  <c r="CS145" i="16" s="1"/>
  <c r="CN121" i="16"/>
  <c r="CO130" i="16" s="1"/>
  <c r="CO137" i="16" s="1"/>
  <c r="CS144" i="16" s="1"/>
  <c r="CN120" i="16"/>
  <c r="CO129" i="16" s="1"/>
  <c r="CO136" i="16" s="1"/>
  <c r="CS143" i="16" s="1"/>
  <c r="CN85" i="16"/>
  <c r="CN84" i="16"/>
  <c r="CN71" i="11" l="1"/>
  <c r="CN69" i="11"/>
  <c r="CN34" i="11"/>
  <c r="CN48" i="11"/>
  <c r="CN11" i="11"/>
  <c r="CN14" i="11" s="1"/>
  <c r="CT147" i="1"/>
  <c r="CU147" i="1" s="1"/>
  <c r="CU145" i="1"/>
  <c r="CV144" i="1" s="1"/>
  <c r="CN119" i="1"/>
  <c r="CN143" i="1" s="1"/>
  <c r="CN145" i="1" s="1"/>
  <c r="CN147" i="1" s="1"/>
  <c r="CN167" i="1"/>
  <c r="CN14" i="12"/>
  <c r="CN22" i="12" s="1"/>
  <c r="CN30" i="12"/>
  <c r="CN36" i="12" s="1"/>
  <c r="CN44" i="12"/>
  <c r="CN125" i="16"/>
  <c r="CN72" i="16" l="1"/>
  <c r="CN90" i="16" s="1"/>
  <c r="CW144" i="1"/>
  <c r="CV145" i="1"/>
  <c r="CV147" i="1" s="1"/>
  <c r="CN45" i="12"/>
  <c r="CU331" i="1"/>
  <c r="CX144" i="1" l="1"/>
  <c r="CW145" i="1"/>
  <c r="CW147" i="1" s="1"/>
  <c r="CU51" i="13"/>
  <c r="CY144" i="1" l="1"/>
  <c r="CX145" i="1"/>
  <c r="CX147" i="1" s="1"/>
  <c r="CU52" i="13"/>
  <c r="CU54" i="13" s="1"/>
  <c r="CZ144" i="1" l="1"/>
  <c r="CY145" i="1"/>
  <c r="CT52" i="13"/>
  <c r="CS52" i="13"/>
  <c r="CR52" i="13"/>
  <c r="CT51" i="13"/>
  <c r="CS51" i="13"/>
  <c r="CR51" i="13"/>
  <c r="CQ52" i="13"/>
  <c r="CQ51" i="13"/>
  <c r="CY147" i="1" l="1"/>
  <c r="CZ147" i="1" s="1"/>
  <c r="CZ145" i="1"/>
  <c r="CS54" i="13"/>
  <c r="CR54" i="13"/>
  <c r="CT54" i="13"/>
  <c r="CQ54" i="13"/>
  <c r="CL51" i="11"/>
  <c r="CT35" i="16" l="1"/>
  <c r="CT33" i="16"/>
  <c r="CS33" i="16"/>
  <c r="CS35" i="16"/>
  <c r="CT34" i="16"/>
  <c r="CS34" i="16"/>
  <c r="CX106" i="16"/>
  <c r="CW106" i="16"/>
  <c r="CV106" i="16"/>
  <c r="CV115" i="16"/>
  <c r="CY106" i="16"/>
  <c r="CR115" i="16"/>
  <c r="CZ106" i="16"/>
  <c r="CT115" i="16"/>
  <c r="CS106" i="16"/>
  <c r="CS115" i="16"/>
  <c r="CR133" i="16" l="1"/>
  <c r="CR140" i="16" s="1"/>
  <c r="CQ57" i="13"/>
  <c r="CM6" i="11"/>
  <c r="CM7" i="11"/>
  <c r="CL7" i="11"/>
  <c r="CL6" i="11"/>
  <c r="CL9" i="11" l="1"/>
  <c r="CM9" i="11"/>
  <c r="CP6" i="11"/>
  <c r="CP7" i="11"/>
  <c r="CU19" i="12"/>
  <c r="CR57" i="13"/>
  <c r="CM70" i="11" l="1"/>
  <c r="CL70" i="11"/>
  <c r="CP10" i="11"/>
  <c r="CP9" i="11"/>
  <c r="CS57" i="13"/>
  <c r="CP68" i="11" l="1"/>
  <c r="CU57" i="13"/>
  <c r="CT57" i="13"/>
  <c r="CM40" i="12"/>
  <c r="CM39" i="12"/>
  <c r="CM38" i="12"/>
  <c r="CM35" i="12"/>
  <c r="CM33" i="12"/>
  <c r="CM32" i="12"/>
  <c r="CM31" i="12"/>
  <c r="CM28" i="12"/>
  <c r="CM29" i="12"/>
  <c r="CM27" i="12"/>
  <c r="CM26" i="12"/>
  <c r="CM20" i="12"/>
  <c r="CM19" i="12"/>
  <c r="CM18" i="12"/>
  <c r="CM17" i="12"/>
  <c r="CM16" i="12"/>
  <c r="CM12" i="12"/>
  <c r="CM10" i="12"/>
  <c r="CM9" i="12"/>
  <c r="CM7" i="12"/>
  <c r="CM42" i="12"/>
  <c r="CM123" i="16"/>
  <c r="CN132" i="16" s="1"/>
  <c r="CN139" i="16" s="1"/>
  <c r="CR146" i="16" s="1"/>
  <c r="CM122" i="16"/>
  <c r="CN131" i="16" s="1"/>
  <c r="CN138" i="16" s="1"/>
  <c r="CR145" i="16" s="1"/>
  <c r="CM121" i="16"/>
  <c r="CN130" i="16" s="1"/>
  <c r="CN137" i="16" s="1"/>
  <c r="CR144" i="16" s="1"/>
  <c r="CM120" i="16"/>
  <c r="CN129" i="16" s="1"/>
  <c r="CN136" i="16" s="1"/>
  <c r="CR143" i="16" s="1"/>
  <c r="CM125" i="16" l="1"/>
  <c r="CM52" i="11"/>
  <c r="CM51" i="11"/>
  <c r="CM19" i="11"/>
  <c r="CM17" i="11"/>
  <c r="CM15" i="11"/>
  <c r="CM13" i="11"/>
  <c r="CM85" i="16"/>
  <c r="CM84" i="16"/>
  <c r="CM139" i="1"/>
  <c r="CM141" i="1" s="1"/>
  <c r="CM129" i="1"/>
  <c r="CM131" i="1" s="1"/>
  <c r="CM111" i="1"/>
  <c r="CM117" i="1" s="1"/>
  <c r="CM76" i="1"/>
  <c r="CM83" i="1" s="1"/>
  <c r="CM93" i="1" s="1"/>
  <c r="CM59" i="1"/>
  <c r="CM68" i="1" s="1"/>
  <c r="CM71" i="11" l="1"/>
  <c r="CM69" i="11"/>
  <c r="CM34" i="11"/>
  <c r="CM48" i="11"/>
  <c r="CM68" i="11"/>
  <c r="CM11" i="11"/>
  <c r="CM14" i="11" s="1"/>
  <c r="CM119" i="1"/>
  <c r="CM143" i="1" s="1"/>
  <c r="CM145" i="1" s="1"/>
  <c r="CM147" i="1" s="1"/>
  <c r="CR33" i="16"/>
  <c r="CR34" i="16"/>
  <c r="CR35" i="16"/>
  <c r="CR46" i="16"/>
  <c r="CR39" i="16"/>
  <c r="CR41" i="16"/>
  <c r="CR40" i="16"/>
  <c r="CM167" i="1"/>
  <c r="CM72" i="16" l="1"/>
  <c r="CM90" i="16" s="1"/>
  <c r="CR36" i="16"/>
  <c r="CW40" i="16"/>
  <c r="CW53" i="16"/>
  <c r="CW41" i="16"/>
  <c r="CW52" i="16"/>
  <c r="CW51" i="16"/>
  <c r="CW39" i="16"/>
  <c r="CW96" i="16"/>
  <c r="CW113" i="16"/>
  <c r="CR94" i="16"/>
  <c r="CR95" i="16"/>
  <c r="CR96" i="16"/>
  <c r="CR47" i="16"/>
  <c r="CR45" i="16"/>
  <c r="CR105" i="16"/>
  <c r="CR93" i="16"/>
  <c r="CR42" i="16"/>
  <c r="CR48" i="16" l="1"/>
  <c r="CL68" i="11"/>
  <c r="CL11" i="11"/>
  <c r="DG39" i="16"/>
  <c r="DG51" i="16"/>
  <c r="CW47" i="16"/>
  <c r="CW133" i="16"/>
  <c r="CW140" i="16" s="1"/>
  <c r="CW111" i="16"/>
  <c r="CW110" i="16"/>
  <c r="CW93" i="16"/>
  <c r="DB51" i="16"/>
  <c r="DB53" i="16"/>
  <c r="DB52" i="16"/>
  <c r="DB40" i="16"/>
  <c r="DB41" i="16"/>
  <c r="DB39" i="16"/>
  <c r="DB133" i="16"/>
  <c r="DB140" i="16" s="1"/>
  <c r="CW97" i="16"/>
  <c r="CW95" i="16"/>
  <c r="CW94" i="16"/>
  <c r="CW112" i="16"/>
  <c r="CW54" i="16"/>
  <c r="CW45" i="16"/>
  <c r="CW42" i="16"/>
  <c r="CW46" i="16"/>
  <c r="CW105" i="16"/>
  <c r="CW114" i="16"/>
  <c r="CR97" i="16"/>
  <c r="CR89" i="16"/>
  <c r="DL101" i="16" l="1"/>
  <c r="DL93" i="16"/>
  <c r="CW48" i="16"/>
  <c r="DB96" i="16"/>
  <c r="DB95" i="16"/>
  <c r="DB94" i="16"/>
  <c r="DB93" i="16"/>
  <c r="DG112" i="16"/>
  <c r="DG95" i="16"/>
  <c r="DG103" i="16"/>
  <c r="DG101" i="16"/>
  <c r="DG93" i="16"/>
  <c r="DG104" i="16"/>
  <c r="DG113" i="16"/>
  <c r="DB112" i="16"/>
  <c r="DB110" i="16"/>
  <c r="DB111" i="16"/>
  <c r="DB113" i="16"/>
  <c r="DB102" i="16"/>
  <c r="DB103" i="16"/>
  <c r="DB104" i="16"/>
  <c r="DB45" i="16"/>
  <c r="DB46" i="16"/>
  <c r="DB42" i="16"/>
  <c r="DB54" i="16"/>
  <c r="DB36" i="16"/>
  <c r="DB47" i="16"/>
  <c r="DB101" i="16"/>
  <c r="DB97" i="16"/>
  <c r="CR79" i="16"/>
  <c r="CR80" i="16"/>
  <c r="CR81" i="16"/>
  <c r="CR75" i="16"/>
  <c r="CR76" i="16"/>
  <c r="CR77" i="16"/>
  <c r="CR78" i="16"/>
  <c r="DB48" i="16" l="1"/>
  <c r="CW79" i="16"/>
  <c r="CW75" i="16"/>
  <c r="CW81" i="16"/>
  <c r="CW78" i="16"/>
  <c r="CW107" i="16"/>
  <c r="CW77" i="16"/>
  <c r="CW76" i="16"/>
  <c r="CW98" i="16"/>
  <c r="CW80" i="16"/>
  <c r="CW116" i="16"/>
  <c r="DB71" i="16"/>
  <c r="DB62" i="11" s="1"/>
  <c r="DB105" i="16"/>
  <c r="DB73" i="11" l="1"/>
  <c r="DB81" i="11"/>
  <c r="DB88" i="11"/>
  <c r="DB64" i="11"/>
  <c r="DB89" i="16"/>
  <c r="DB98" i="16"/>
  <c r="DB79" i="16"/>
  <c r="DB116" i="16"/>
  <c r="DB77" i="16"/>
  <c r="DB78" i="16"/>
  <c r="DB81" i="16"/>
  <c r="DB107" i="16"/>
  <c r="DB80" i="16"/>
  <c r="DB76" i="16"/>
  <c r="DB75" i="16"/>
  <c r="CR75" i="12"/>
  <c r="CR76" i="12" s="1"/>
  <c r="CR74" i="12"/>
  <c r="CL40" i="12"/>
  <c r="CL39" i="12"/>
  <c r="CL38" i="12"/>
  <c r="CL35" i="12"/>
  <c r="CL33" i="12"/>
  <c r="CL32" i="12"/>
  <c r="CL31" i="12"/>
  <c r="CL28" i="12"/>
  <c r="CL29" i="12"/>
  <c r="CL27" i="12"/>
  <c r="CL26" i="12"/>
  <c r="CL20" i="12"/>
  <c r="CL19" i="12"/>
  <c r="CL18" i="12"/>
  <c r="CL17" i="12"/>
  <c r="CL16" i="12"/>
  <c r="CL12" i="12"/>
  <c r="CL10" i="12"/>
  <c r="CL9" i="12"/>
  <c r="CL7" i="12"/>
  <c r="CL46" i="13"/>
  <c r="CL37" i="13"/>
  <c r="CL26" i="13"/>
  <c r="CL9" i="13"/>
  <c r="CL8" i="13"/>
  <c r="CL6" i="13"/>
  <c r="CL139" i="1"/>
  <c r="CL141" i="1" s="1"/>
  <c r="CL129" i="1"/>
  <c r="CL131" i="1" s="1"/>
  <c r="CL111" i="1"/>
  <c r="CL117" i="1" s="1"/>
  <c r="CL119" i="1" s="1"/>
  <c r="CL59" i="1"/>
  <c r="CL68" i="1" s="1"/>
  <c r="CL52" i="11"/>
  <c r="CL19" i="11"/>
  <c r="CL17" i="11"/>
  <c r="CL15" i="11"/>
  <c r="CL13" i="11"/>
  <c r="CL123" i="16"/>
  <c r="CM132" i="16" s="1"/>
  <c r="CM139" i="16" s="1"/>
  <c r="CQ146" i="16" s="1"/>
  <c r="CL122" i="16"/>
  <c r="CM131" i="16" s="1"/>
  <c r="CM138" i="16" s="1"/>
  <c r="CQ145" i="16" s="1"/>
  <c r="CL121" i="16"/>
  <c r="CM130" i="16" s="1"/>
  <c r="CM137" i="16" s="1"/>
  <c r="CQ144" i="16" s="1"/>
  <c r="CL120" i="16"/>
  <c r="CL85" i="16"/>
  <c r="CL84" i="16"/>
  <c r="CJ7" i="11"/>
  <c r="CK7" i="11"/>
  <c r="CK6" i="11"/>
  <c r="CI6" i="11"/>
  <c r="CI7" i="11"/>
  <c r="DB72" i="11" l="1"/>
  <c r="DB87" i="11"/>
  <c r="CL34" i="11"/>
  <c r="CL71" i="11"/>
  <c r="CL69" i="11"/>
  <c r="DJ19" i="12"/>
  <c r="CL36" i="13"/>
  <c r="CL45" i="13"/>
  <c r="CM46" i="13"/>
  <c r="CL14" i="11"/>
  <c r="CL25" i="13"/>
  <c r="CL52" i="13"/>
  <c r="CM9" i="13"/>
  <c r="CM8" i="13"/>
  <c r="CM6" i="13"/>
  <c r="CL143" i="1"/>
  <c r="CL145" i="1" s="1"/>
  <c r="CL147" i="1" s="1"/>
  <c r="CR77" i="12"/>
  <c r="CQ33" i="16"/>
  <c r="CQ35" i="16"/>
  <c r="CM110" i="16"/>
  <c r="CQ34" i="16"/>
  <c r="CL42" i="12"/>
  <c r="CL44" i="12" s="1"/>
  <c r="CJ6" i="11"/>
  <c r="CQ40" i="16"/>
  <c r="CR52" i="16"/>
  <c r="CQ39" i="16"/>
  <c r="CR51" i="16"/>
  <c r="CQ41" i="16"/>
  <c r="CR53" i="16"/>
  <c r="CL30" i="12"/>
  <c r="CL36" i="12" s="1"/>
  <c r="CL167" i="1"/>
  <c r="CM37" i="13"/>
  <c r="CL125" i="16"/>
  <c r="CM129" i="16"/>
  <c r="CM136" i="16" s="1"/>
  <c r="CQ143" i="16" s="1"/>
  <c r="CL14" i="12"/>
  <c r="CL22" i="12" s="1"/>
  <c r="CM26" i="13"/>
  <c r="CL72" i="16" l="1"/>
  <c r="CL90" i="16" s="1"/>
  <c r="CL18" i="11"/>
  <c r="CN9" i="13"/>
  <c r="CM36" i="13"/>
  <c r="CM45" i="13"/>
  <c r="CN8" i="13"/>
  <c r="CN46" i="13"/>
  <c r="CM25" i="13"/>
  <c r="CN6" i="13"/>
  <c r="CQ133" i="16"/>
  <c r="CQ140" i="16" s="1"/>
  <c r="CV42" i="16"/>
  <c r="CL47" i="13"/>
  <c r="CP167" i="1"/>
  <c r="CL45" i="12"/>
  <c r="CN37" i="13"/>
  <c r="CQ95" i="16"/>
  <c r="CR112" i="16"/>
  <c r="CR54" i="16"/>
  <c r="CQ93" i="16"/>
  <c r="CR110" i="16"/>
  <c r="CR113" i="16"/>
  <c r="CQ96" i="16"/>
  <c r="CN26" i="13"/>
  <c r="CQ47" i="16"/>
  <c r="CQ45" i="16"/>
  <c r="CQ46" i="16"/>
  <c r="CQ94" i="16"/>
  <c r="CR111" i="16"/>
  <c r="CM133" i="16"/>
  <c r="CM140" i="16" s="1"/>
  <c r="DM19" i="12" l="1"/>
  <c r="CO46" i="13"/>
  <c r="CN25" i="13"/>
  <c r="CN45" i="13"/>
  <c r="CO8" i="13"/>
  <c r="CN36" i="13"/>
  <c r="CO9" i="13"/>
  <c r="CQ48" i="16"/>
  <c r="CO6" i="13"/>
  <c r="CM47" i="13"/>
  <c r="CV97" i="16"/>
  <c r="CV105" i="16"/>
  <c r="CO26" i="13"/>
  <c r="CO37" i="13"/>
  <c r="CR114" i="16"/>
  <c r="CQ89" i="16"/>
  <c r="CJ9" i="11"/>
  <c r="CJ13" i="11"/>
  <c r="CJ7" i="12"/>
  <c r="CJ9" i="12"/>
  <c r="CJ10" i="12"/>
  <c r="CJ12" i="12"/>
  <c r="CJ16" i="12"/>
  <c r="CJ17" i="12"/>
  <c r="CJ18" i="12"/>
  <c r="CJ19" i="12"/>
  <c r="CJ20" i="12"/>
  <c r="CJ26" i="12"/>
  <c r="CJ27" i="12"/>
  <c r="CJ29" i="12"/>
  <c r="CJ28" i="12"/>
  <c r="CJ31" i="12"/>
  <c r="CJ32" i="12"/>
  <c r="CJ33" i="12"/>
  <c r="CJ35" i="12"/>
  <c r="CJ38" i="12"/>
  <c r="CJ39" i="12"/>
  <c r="CJ40" i="12"/>
  <c r="CK154" i="1"/>
  <c r="CK153" i="1"/>
  <c r="CK142" i="1"/>
  <c r="CJ139" i="1"/>
  <c r="CJ129" i="1"/>
  <c r="CJ76" i="1"/>
  <c r="CJ83" i="1" s="1"/>
  <c r="CJ93" i="1" s="1"/>
  <c r="CJ59" i="1"/>
  <c r="CJ68" i="1" s="1"/>
  <c r="DN19" i="12" l="1"/>
  <c r="CO45" i="13"/>
  <c r="CP8" i="13"/>
  <c r="CO25" i="13"/>
  <c r="CO36" i="13"/>
  <c r="CP9" i="13"/>
  <c r="CP6" i="13"/>
  <c r="CK157" i="1"/>
  <c r="CK59" i="1"/>
  <c r="CK68" i="1" s="1"/>
  <c r="CV107" i="16"/>
  <c r="CV98" i="16"/>
  <c r="CN47" i="13"/>
  <c r="CQ79" i="16"/>
  <c r="CK76" i="1"/>
  <c r="CK83" i="1" s="1"/>
  <c r="CK93" i="1" s="1"/>
  <c r="CJ42" i="12"/>
  <c r="CJ44" i="12" s="1"/>
  <c r="CJ111" i="1"/>
  <c r="CK129" i="1"/>
  <c r="CK139" i="1"/>
  <c r="CQ80" i="16"/>
  <c r="CQ81" i="16"/>
  <c r="CR116" i="16"/>
  <c r="CQ77" i="16"/>
  <c r="CQ75" i="16"/>
  <c r="CQ78" i="16"/>
  <c r="CQ76" i="16"/>
  <c r="CJ14" i="12"/>
  <c r="CJ22" i="12" s="1"/>
  <c r="CJ30" i="12"/>
  <c r="CJ36" i="12" s="1"/>
  <c r="DO19" i="12" l="1"/>
  <c r="DP19" i="12" s="1"/>
  <c r="CO47" i="13"/>
  <c r="CK111" i="1"/>
  <c r="CK117" i="1" s="1"/>
  <c r="CK143" i="1" s="1"/>
  <c r="CJ117" i="1"/>
  <c r="CJ143" i="1" s="1"/>
  <c r="CJ45" i="12"/>
  <c r="CK121" i="16"/>
  <c r="CK120" i="16"/>
  <c r="CK123" i="16"/>
  <c r="CK122" i="16"/>
  <c r="DQ19" i="12" l="1"/>
  <c r="CL131" i="16"/>
  <c r="CL138" i="16" s="1"/>
  <c r="CO145" i="16" s="1"/>
  <c r="CL132" i="16"/>
  <c r="CL139" i="16" s="1"/>
  <c r="CO146" i="16" s="1"/>
  <c r="CL129" i="16"/>
  <c r="CL136" i="16" s="1"/>
  <c r="CO143" i="16" s="1"/>
  <c r="CL130" i="16"/>
  <c r="CL137" i="16" s="1"/>
  <c r="CO144" i="16" s="1"/>
  <c r="CK125" i="16"/>
  <c r="CJ120" i="16"/>
  <c r="CJ121" i="16"/>
  <c r="CJ122" i="16"/>
  <c r="CJ123" i="16"/>
  <c r="CJ15" i="11"/>
  <c r="CJ17" i="11"/>
  <c r="CJ19" i="11"/>
  <c r="CJ21" i="11"/>
  <c r="CJ84" i="16"/>
  <c r="CJ85" i="16"/>
  <c r="DR19" i="12" l="1"/>
  <c r="CJ88" i="16"/>
  <c r="CJ167" i="1"/>
  <c r="CJ125" i="16"/>
  <c r="DS19" i="12" l="1"/>
  <c r="CI40" i="12"/>
  <c r="CI39" i="12"/>
  <c r="CI38" i="12"/>
  <c r="CI35" i="12"/>
  <c r="CI33" i="12"/>
  <c r="CI32" i="12"/>
  <c r="CI31" i="12"/>
  <c r="CI28" i="12"/>
  <c r="CI29" i="12"/>
  <c r="CI27" i="12"/>
  <c r="CI26" i="12"/>
  <c r="CI20" i="12"/>
  <c r="CI19" i="12"/>
  <c r="CI18" i="12"/>
  <c r="CI17" i="12"/>
  <c r="CI16" i="12"/>
  <c r="CI12" i="12"/>
  <c r="CI10" i="12"/>
  <c r="CI9" i="12"/>
  <c r="CI7" i="12"/>
  <c r="CI42" i="12"/>
  <c r="CI76" i="1"/>
  <c r="CI83" i="1" s="1"/>
  <c r="CI93" i="1" s="1"/>
  <c r="CI59" i="1"/>
  <c r="CI68" i="1" s="1"/>
  <c r="DT19" i="12" l="1"/>
  <c r="CI30" i="12"/>
  <c r="CI36" i="12" s="1"/>
  <c r="CI14" i="12"/>
  <c r="CI22" i="12" s="1"/>
  <c r="CI44" i="12"/>
  <c r="CI13" i="11"/>
  <c r="CI9" i="11"/>
  <c r="CI139" i="1"/>
  <c r="CI129" i="1"/>
  <c r="CI111" i="1"/>
  <c r="CI117" i="1" s="1"/>
  <c r="CI45" i="12" l="1"/>
  <c r="CI143" i="1"/>
  <c r="CI120" i="16"/>
  <c r="CJ129" i="16" s="1"/>
  <c r="CJ136" i="16" s="1"/>
  <c r="CN143" i="16" s="1"/>
  <c r="CI121" i="16"/>
  <c r="CJ130" i="16" s="1"/>
  <c r="CJ137" i="16" s="1"/>
  <c r="CN144" i="16" s="1"/>
  <c r="CI122" i="16"/>
  <c r="CJ131" i="16" s="1"/>
  <c r="CJ138" i="16" s="1"/>
  <c r="CN145" i="16" s="1"/>
  <c r="CI123" i="16"/>
  <c r="CJ132" i="16" s="1"/>
  <c r="CJ139" i="16" s="1"/>
  <c r="CN146" i="16" s="1"/>
  <c r="CI125" i="16" l="1"/>
  <c r="CI21" i="11"/>
  <c r="CI19" i="11"/>
  <c r="CI17" i="11"/>
  <c r="CI15" i="11"/>
  <c r="CI84" i="16"/>
  <c r="CI85" i="16"/>
  <c r="CI88" i="16" l="1"/>
  <c r="CI167" i="1"/>
  <c r="CH7" i="11" l="1"/>
  <c r="CG7" i="11"/>
  <c r="CF7" i="11"/>
  <c r="CD7" i="11"/>
  <c r="CC7" i="11"/>
  <c r="CB7" i="11"/>
  <c r="CH6" i="11"/>
  <c r="CG6" i="11"/>
  <c r="CF6" i="11"/>
  <c r="CD6" i="11"/>
  <c r="CC6" i="11"/>
  <c r="CB6" i="11"/>
  <c r="CH7" i="12" l="1"/>
  <c r="CH9" i="12"/>
  <c r="CH10" i="12"/>
  <c r="CH12" i="12"/>
  <c r="CH16" i="12"/>
  <c r="CH17" i="12"/>
  <c r="CH18" i="12"/>
  <c r="CH19" i="12"/>
  <c r="CH20" i="12"/>
  <c r="CH26" i="12"/>
  <c r="CH27" i="12"/>
  <c r="CH29" i="12"/>
  <c r="CH28" i="12"/>
  <c r="CH31" i="12"/>
  <c r="CH32" i="12"/>
  <c r="CH33" i="12"/>
  <c r="CH35" i="12"/>
  <c r="CH38" i="12"/>
  <c r="CH39" i="12"/>
  <c r="CH40" i="12"/>
  <c r="CH76" i="1"/>
  <c r="CH83" i="1" s="1"/>
  <c r="CH93" i="1" s="1"/>
  <c r="CH59" i="1"/>
  <c r="CH68" i="1" s="1"/>
  <c r="CH139" i="1"/>
  <c r="CH129" i="1"/>
  <c r="CH111" i="1"/>
  <c r="CH117" i="1" s="1"/>
  <c r="CH143" i="1" l="1"/>
  <c r="CH14" i="12"/>
  <c r="CH22" i="12" s="1"/>
  <c r="CH42" i="12"/>
  <c r="CH44" i="12" s="1"/>
  <c r="CH30" i="12"/>
  <c r="CH36" i="12" s="1"/>
  <c r="CH45" i="12" l="1"/>
  <c r="CH120" i="16" l="1"/>
  <c r="CI129" i="16" s="1"/>
  <c r="CI136" i="16" s="1"/>
  <c r="CM143" i="16" s="1"/>
  <c r="CH121" i="16"/>
  <c r="CI130" i="16" s="1"/>
  <c r="CI137" i="16" s="1"/>
  <c r="CM144" i="16" s="1"/>
  <c r="CH122" i="16"/>
  <c r="CI131" i="16" s="1"/>
  <c r="CI138" i="16" s="1"/>
  <c r="CM145" i="16" s="1"/>
  <c r="CH123" i="16"/>
  <c r="CI132" i="16" s="1"/>
  <c r="CI139" i="16" s="1"/>
  <c r="CM146" i="16" s="1"/>
  <c r="CH13" i="11"/>
  <c r="CH9" i="11"/>
  <c r="CH21" i="11"/>
  <c r="CH19" i="11"/>
  <c r="CH17" i="11"/>
  <c r="CH15" i="11"/>
  <c r="CH85" i="16"/>
  <c r="CH84" i="16"/>
  <c r="CH88" i="16" l="1"/>
  <c r="CH167" i="1"/>
  <c r="CH125" i="16"/>
  <c r="CK189" i="1" l="1"/>
  <c r="CK180" i="1"/>
  <c r="CK182" i="1" s="1"/>
  <c r="CG15" i="11"/>
  <c r="CG38" i="12" l="1"/>
  <c r="CG39" i="12"/>
  <c r="CG40" i="12"/>
  <c r="CG26" i="12"/>
  <c r="CG27" i="12"/>
  <c r="CG29" i="12"/>
  <c r="CG28" i="12"/>
  <c r="CG31" i="12"/>
  <c r="CG32" i="12"/>
  <c r="CG33" i="12"/>
  <c r="CG35" i="12"/>
  <c r="CG20" i="12"/>
  <c r="CG19" i="12"/>
  <c r="CG18" i="12"/>
  <c r="CG17" i="12"/>
  <c r="CG16" i="12"/>
  <c r="CG7" i="12"/>
  <c r="CG9" i="12"/>
  <c r="CG10" i="12"/>
  <c r="CG12" i="12"/>
  <c r="CG42" i="12"/>
  <c r="CG76" i="1"/>
  <c r="CG83" i="1" s="1"/>
  <c r="CG93" i="1" s="1"/>
  <c r="CG59" i="1"/>
  <c r="CG68" i="1" s="1"/>
  <c r="CG129" i="1"/>
  <c r="CG111" i="1"/>
  <c r="CG117" i="1" s="1"/>
  <c r="CG123" i="16"/>
  <c r="CH132" i="16" s="1"/>
  <c r="CH139" i="16" s="1"/>
  <c r="CL146" i="16" s="1"/>
  <c r="CG122" i="16"/>
  <c r="CG121" i="16"/>
  <c r="CH130" i="16" s="1"/>
  <c r="CH137" i="16" s="1"/>
  <c r="CL144" i="16" s="1"/>
  <c r="CG120" i="16"/>
  <c r="CH129" i="16" s="1"/>
  <c r="CH136" i="16" s="1"/>
  <c r="CL143" i="16" s="1"/>
  <c r="CG21" i="11"/>
  <c r="CG19" i="11"/>
  <c r="CG17" i="11"/>
  <c r="CG13" i="11"/>
  <c r="CK13" i="11" s="1"/>
  <c r="CG9" i="11"/>
  <c r="CG85" i="16"/>
  <c r="CG84" i="16"/>
  <c r="CE13" i="11"/>
  <c r="CA189" i="1"/>
  <c r="CE7" i="11"/>
  <c r="CE6" i="11"/>
  <c r="CE15" i="11"/>
  <c r="CE7" i="12"/>
  <c r="CE9" i="12"/>
  <c r="CF9" i="12" s="1"/>
  <c r="CE10" i="12"/>
  <c r="CE12" i="12"/>
  <c r="CF12" i="12" s="1"/>
  <c r="CE16" i="12"/>
  <c r="CE17" i="12"/>
  <c r="CF17" i="12" s="1"/>
  <c r="CE18" i="12"/>
  <c r="CF18" i="12" s="1"/>
  <c r="CE19" i="12"/>
  <c r="CF19" i="12" s="1"/>
  <c r="CE20" i="12"/>
  <c r="CF20" i="12" s="1"/>
  <c r="CF26" i="12"/>
  <c r="CF29" i="12"/>
  <c r="CF25" i="12"/>
  <c r="CF28" i="12"/>
  <c r="CF32" i="12"/>
  <c r="CF33" i="12"/>
  <c r="CF35" i="12"/>
  <c r="CF38" i="12"/>
  <c r="CF39" i="12"/>
  <c r="CF40" i="12"/>
  <c r="CF42" i="12"/>
  <c r="CE76" i="1"/>
  <c r="CE83" i="1" s="1"/>
  <c r="CE93" i="1" s="1"/>
  <c r="CE59" i="1"/>
  <c r="CE68" i="1" s="1"/>
  <c r="CF142" i="1"/>
  <c r="CE139" i="1"/>
  <c r="CE129" i="1"/>
  <c r="CE111" i="1"/>
  <c r="CF111" i="1" s="1"/>
  <c r="CF154" i="1"/>
  <c r="CF153" i="1"/>
  <c r="CF123" i="16"/>
  <c r="CF122" i="16"/>
  <c r="CF120" i="16"/>
  <c r="CE120" i="16"/>
  <c r="CE121" i="16"/>
  <c r="CE122" i="16"/>
  <c r="CE123" i="16"/>
  <c r="CE21" i="11"/>
  <c r="CE19" i="11"/>
  <c r="CE17" i="11"/>
  <c r="CE85" i="16"/>
  <c r="CE84" i="16"/>
  <c r="CE9" i="11"/>
  <c r="CO52" i="13"/>
  <c r="CN52" i="13"/>
  <c r="CM52" i="13"/>
  <c r="CO51" i="13"/>
  <c r="CN51" i="13"/>
  <c r="CM51" i="13"/>
  <c r="CL51" i="13"/>
  <c r="CP46" i="13"/>
  <c r="CP37" i="13"/>
  <c r="CP28" i="13"/>
  <c r="CP27" i="13"/>
  <c r="CP26" i="13"/>
  <c r="CP17" i="13"/>
  <c r="CO63" i="11"/>
  <c r="CN63" i="11"/>
  <c r="CM63" i="11"/>
  <c r="CL63" i="11"/>
  <c r="CP21" i="11"/>
  <c r="CN34" i="16"/>
  <c r="CN33" i="16"/>
  <c r="CO34" i="16"/>
  <c r="CO33" i="16"/>
  <c r="CP331" i="1"/>
  <c r="CP185" i="1"/>
  <c r="CP180" i="1"/>
  <c r="CU180" i="1"/>
  <c r="CZ180" i="1"/>
  <c r="DE180" i="1"/>
  <c r="CU185" i="1"/>
  <c r="CZ185" i="1"/>
  <c r="DE185" i="1"/>
  <c r="CD9" i="11"/>
  <c r="CD20" i="12"/>
  <c r="CD19" i="12"/>
  <c r="CD18" i="12"/>
  <c r="CD17" i="12"/>
  <c r="CD16" i="12"/>
  <c r="CD12" i="12"/>
  <c r="CD10" i="12"/>
  <c r="CD9" i="12"/>
  <c r="CD7" i="12"/>
  <c r="CD76" i="1"/>
  <c r="CD83" i="1" s="1"/>
  <c r="CD93" i="1" s="1"/>
  <c r="CD59" i="1"/>
  <c r="CD68" i="1" s="1"/>
  <c r="CD139" i="1"/>
  <c r="CD129" i="1"/>
  <c r="CD111" i="1"/>
  <c r="CD117" i="1" s="1"/>
  <c r="CD21" i="11"/>
  <c r="CD19" i="11"/>
  <c r="CD17" i="11"/>
  <c r="CD15" i="11"/>
  <c r="CD13" i="11"/>
  <c r="CD123" i="16"/>
  <c r="CD122" i="16"/>
  <c r="CD121" i="16"/>
  <c r="CD120" i="16"/>
  <c r="CD85" i="16"/>
  <c r="CD84" i="16"/>
  <c r="CI39" i="16"/>
  <c r="CK331" i="1"/>
  <c r="CF331" i="1"/>
  <c r="CC84" i="16"/>
  <c r="CC20" i="12"/>
  <c r="CC19" i="12"/>
  <c r="CC18" i="12"/>
  <c r="CC17" i="12"/>
  <c r="CC16" i="12"/>
  <c r="CC12" i="12"/>
  <c r="CC10" i="12"/>
  <c r="CC9" i="12"/>
  <c r="CC7" i="12"/>
  <c r="CC139" i="1"/>
  <c r="CC129" i="1"/>
  <c r="CC111" i="1"/>
  <c r="CC117" i="1" s="1"/>
  <c r="CC76" i="1"/>
  <c r="CC83" i="1" s="1"/>
  <c r="CC93" i="1" s="1"/>
  <c r="CC59" i="1"/>
  <c r="CC68" i="1" s="1"/>
  <c r="CC123" i="16"/>
  <c r="CC122" i="16"/>
  <c r="CC121" i="16"/>
  <c r="CC120" i="16"/>
  <c r="CC21" i="11"/>
  <c r="CC19" i="11"/>
  <c r="CC17" i="11"/>
  <c r="CC15" i="11"/>
  <c r="CC13" i="11"/>
  <c r="CC85" i="16"/>
  <c r="CJ70" i="16"/>
  <c r="CI70" i="16"/>
  <c r="CH70" i="16"/>
  <c r="CB111" i="1"/>
  <c r="CB117" i="1" s="1"/>
  <c r="CB20" i="12"/>
  <c r="CB19" i="12"/>
  <c r="CB18" i="12"/>
  <c r="CB17" i="12"/>
  <c r="CB16" i="12"/>
  <c r="CB12" i="12"/>
  <c r="CB10" i="12"/>
  <c r="CB9" i="12"/>
  <c r="CB7" i="12"/>
  <c r="CB15" i="11"/>
  <c r="CB13" i="11"/>
  <c r="CB129" i="1"/>
  <c r="CB76" i="1"/>
  <c r="CB83" i="1" s="1"/>
  <c r="CB93" i="1" s="1"/>
  <c r="CB59" i="1"/>
  <c r="CB68" i="1" s="1"/>
  <c r="CB123" i="16"/>
  <c r="CB122" i="16"/>
  <c r="CB121" i="16"/>
  <c r="CB120" i="16"/>
  <c r="CB21" i="11"/>
  <c r="CB19" i="11"/>
  <c r="CB17" i="11"/>
  <c r="CB85" i="16"/>
  <c r="CB84" i="16"/>
  <c r="CB9" i="11"/>
  <c r="BZ16" i="11"/>
  <c r="BY16" i="11"/>
  <c r="BX16" i="11"/>
  <c r="BW16" i="11"/>
  <c r="CA142" i="1"/>
  <c r="CA154" i="1"/>
  <c r="CA153" i="1"/>
  <c r="CA9" i="12"/>
  <c r="CA10" i="12"/>
  <c r="CA12" i="12"/>
  <c r="CA16" i="12"/>
  <c r="CA17" i="12"/>
  <c r="CA18" i="12"/>
  <c r="CA19" i="12"/>
  <c r="CA20" i="12"/>
  <c r="CA21" i="12"/>
  <c r="CA27" i="12"/>
  <c r="CA25" i="12"/>
  <c r="CA28" i="12"/>
  <c r="CA32" i="12"/>
  <c r="CA33" i="12"/>
  <c r="CA35" i="12"/>
  <c r="CA38" i="12"/>
  <c r="CA39" i="12"/>
  <c r="CA40" i="12"/>
  <c r="BZ10" i="11"/>
  <c r="BZ13" i="11"/>
  <c r="BZ15" i="11"/>
  <c r="BZ76" i="1"/>
  <c r="BZ83" i="1" s="1"/>
  <c r="BZ93" i="1" s="1"/>
  <c r="BZ59" i="1"/>
  <c r="BZ68" i="1" s="1"/>
  <c r="BZ139" i="1"/>
  <c r="BZ129" i="1"/>
  <c r="BZ111" i="1"/>
  <c r="CA111" i="1" s="1"/>
  <c r="CA123" i="16"/>
  <c r="CA121" i="16"/>
  <c r="CA120" i="16"/>
  <c r="CA122" i="16"/>
  <c r="BZ120" i="16"/>
  <c r="BZ121" i="16"/>
  <c r="BZ122" i="16"/>
  <c r="BZ123" i="16"/>
  <c r="BZ17" i="11"/>
  <c r="BZ19" i="11"/>
  <c r="BZ21" i="11"/>
  <c r="BZ85" i="16"/>
  <c r="BZ84" i="16"/>
  <c r="BY15" i="11"/>
  <c r="BY76" i="1"/>
  <c r="BY83" i="1" s="1"/>
  <c r="BY93" i="1" s="1"/>
  <c r="BY59" i="1"/>
  <c r="BY68" i="1" s="1"/>
  <c r="BY129" i="1"/>
  <c r="BY139" i="1"/>
  <c r="BY10" i="11"/>
  <c r="BY13" i="11"/>
  <c r="BY17" i="11"/>
  <c r="BY19" i="11"/>
  <c r="BY21" i="11"/>
  <c r="BY120" i="16"/>
  <c r="BY121" i="16"/>
  <c r="BY122" i="16"/>
  <c r="BY123" i="16"/>
  <c r="BY85" i="16"/>
  <c r="BY84" i="16"/>
  <c r="BW85" i="16"/>
  <c r="BX123" i="16"/>
  <c r="BX122" i="16"/>
  <c r="BX121" i="16"/>
  <c r="BX120" i="16"/>
  <c r="BX76" i="1"/>
  <c r="BX83" i="1" s="1"/>
  <c r="BX93" i="1" s="1"/>
  <c r="BX59" i="1"/>
  <c r="BX68" i="1" s="1"/>
  <c r="BX139" i="1"/>
  <c r="BX129" i="1"/>
  <c r="BX111" i="1"/>
  <c r="BX117" i="1" s="1"/>
  <c r="BX10" i="11"/>
  <c r="BX13" i="11"/>
  <c r="BX15" i="11"/>
  <c r="BX17" i="11"/>
  <c r="BX19" i="11"/>
  <c r="BX21" i="11"/>
  <c r="BX84" i="16"/>
  <c r="BX85" i="16"/>
  <c r="CC40" i="16"/>
  <c r="BW15" i="11"/>
  <c r="BW10" i="11"/>
  <c r="BW19" i="11"/>
  <c r="BW17" i="11"/>
  <c r="BW13" i="11"/>
  <c r="BW129" i="1"/>
  <c r="BW59" i="1"/>
  <c r="BW68" i="1" s="1"/>
  <c r="BW76" i="1"/>
  <c r="BW83" i="1" s="1"/>
  <c r="BW93" i="1" s="1"/>
  <c r="BW123" i="16"/>
  <c r="BW122" i="16"/>
  <c r="BW121" i="16"/>
  <c r="BW120" i="16"/>
  <c r="BW21" i="11"/>
  <c r="BW84" i="16"/>
  <c r="BV7" i="11"/>
  <c r="BV6" i="11"/>
  <c r="CA331" i="1"/>
  <c r="BV331" i="1"/>
  <c r="CA291" i="1"/>
  <c r="CA290" i="1"/>
  <c r="BV123" i="16"/>
  <c r="BV122" i="16"/>
  <c r="BV121" i="16"/>
  <c r="BV120" i="16"/>
  <c r="BV153" i="1"/>
  <c r="BV142" i="1"/>
  <c r="BU76" i="1"/>
  <c r="BU83" i="1" s="1"/>
  <c r="BU93" i="1" s="1"/>
  <c r="BU59" i="1"/>
  <c r="BU68" i="1" s="1"/>
  <c r="BU120" i="16"/>
  <c r="BU121" i="16"/>
  <c r="BU122" i="16"/>
  <c r="BU123" i="16"/>
  <c r="BU129" i="1"/>
  <c r="BU10" i="11"/>
  <c r="BU13" i="11"/>
  <c r="BU15" i="11"/>
  <c r="BU17" i="11"/>
  <c r="BU19" i="11"/>
  <c r="BU9" i="11"/>
  <c r="BU21" i="11"/>
  <c r="BU84" i="16"/>
  <c r="BU85" i="16"/>
  <c r="BW53" i="16"/>
  <c r="CK185" i="1"/>
  <c r="BS6" i="11"/>
  <c r="BT6" i="11"/>
  <c r="BT7" i="11"/>
  <c r="BT9" i="11"/>
  <c r="BT111" i="1"/>
  <c r="BT76" i="1"/>
  <c r="BT83" i="1" s="1"/>
  <c r="BT93" i="1" s="1"/>
  <c r="BT59" i="1"/>
  <c r="BT68" i="1" s="1"/>
  <c r="BT13" i="11"/>
  <c r="BT15" i="11"/>
  <c r="BT17" i="11"/>
  <c r="BT19" i="11"/>
  <c r="BT120" i="16"/>
  <c r="BT121" i="16"/>
  <c r="BT122" i="16"/>
  <c r="BT123" i="16"/>
  <c r="BT139" i="1"/>
  <c r="BT129" i="1"/>
  <c r="BT21" i="11"/>
  <c r="BT84" i="16"/>
  <c r="BT85" i="16"/>
  <c r="BR59" i="1"/>
  <c r="BR68" i="1" s="1"/>
  <c r="BR76" i="1"/>
  <c r="BR83" i="1" s="1"/>
  <c r="BR93" i="1" s="1"/>
  <c r="BK9" i="11"/>
  <c r="BJ9" i="11"/>
  <c r="BH9" i="11"/>
  <c r="BF9" i="11"/>
  <c r="BE9" i="11"/>
  <c r="BD9" i="11"/>
  <c r="BC9" i="11"/>
  <c r="BA9" i="11"/>
  <c r="AZ9" i="11"/>
  <c r="AY9" i="11"/>
  <c r="BS139" i="1"/>
  <c r="BS129" i="1"/>
  <c r="BR9" i="11"/>
  <c r="BM10" i="11"/>
  <c r="BM9" i="11"/>
  <c r="BN9" i="11"/>
  <c r="BS10" i="11"/>
  <c r="BS7" i="11"/>
  <c r="BS120" i="16"/>
  <c r="BS121" i="16"/>
  <c r="BS122" i="16"/>
  <c r="BS123" i="16"/>
  <c r="BS13" i="11"/>
  <c r="BS15" i="11"/>
  <c r="BS17" i="11"/>
  <c r="BS19" i="11"/>
  <c r="BS21" i="11"/>
  <c r="BS85" i="16"/>
  <c r="BS84" i="16"/>
  <c r="BR15" i="11"/>
  <c r="BR123" i="16"/>
  <c r="BR122" i="16"/>
  <c r="BR121" i="16"/>
  <c r="BR120" i="16"/>
  <c r="BR21" i="11"/>
  <c r="BR19" i="11"/>
  <c r="BR17" i="11"/>
  <c r="BR13" i="11"/>
  <c r="BR7" i="11"/>
  <c r="BR6" i="11"/>
  <c r="BR85" i="16"/>
  <c r="BR84" i="16"/>
  <c r="BQ6" i="11"/>
  <c r="BQ331" i="1"/>
  <c r="BQ189" i="1"/>
  <c r="BQ180" i="1"/>
  <c r="BQ182" i="1" s="1"/>
  <c r="BQ142" i="1"/>
  <c r="BP6" i="11"/>
  <c r="BP7" i="11"/>
  <c r="BP15" i="11"/>
  <c r="BP121" i="16"/>
  <c r="BQ121" i="16" s="1"/>
  <c r="BO85" i="16"/>
  <c r="BO84" i="16"/>
  <c r="BN85" i="16"/>
  <c r="BM84" i="16"/>
  <c r="BO7" i="11"/>
  <c r="BO6" i="11"/>
  <c r="BQ123" i="16"/>
  <c r="BQ122" i="16"/>
  <c r="BQ120" i="16"/>
  <c r="BP123" i="16"/>
  <c r="BP122" i="16"/>
  <c r="BP120" i="16"/>
  <c r="BP85" i="16"/>
  <c r="BP84" i="16"/>
  <c r="BP129" i="1"/>
  <c r="BP111" i="1"/>
  <c r="BP21" i="11"/>
  <c r="BP19" i="11"/>
  <c r="BP17" i="11"/>
  <c r="BP13" i="11"/>
  <c r="BO15" i="11"/>
  <c r="BO10" i="11"/>
  <c r="BO21" i="11"/>
  <c r="BO19" i="11"/>
  <c r="BO17" i="11"/>
  <c r="BO13" i="11"/>
  <c r="BO123" i="16"/>
  <c r="BO122" i="16"/>
  <c r="BO121" i="16"/>
  <c r="BO120" i="16"/>
  <c r="BO139" i="1"/>
  <c r="BO129" i="1"/>
  <c r="BO111" i="1"/>
  <c r="BO117" i="1" s="1"/>
  <c r="BO76" i="1"/>
  <c r="BO83" i="1" s="1"/>
  <c r="BO93" i="1" s="1"/>
  <c r="BO59" i="1"/>
  <c r="BO68" i="1" s="1"/>
  <c r="BN21" i="11"/>
  <c r="BN19" i="11"/>
  <c r="BN17" i="11"/>
  <c r="BN15" i="11"/>
  <c r="BN13" i="11"/>
  <c r="BN76" i="1"/>
  <c r="BN83" i="1" s="1"/>
  <c r="BN93" i="1" s="1"/>
  <c r="BN59" i="1"/>
  <c r="BN68" i="1" s="1"/>
  <c r="BN129" i="1"/>
  <c r="BN111" i="1"/>
  <c r="BN117" i="1" s="1"/>
  <c r="BN120" i="16"/>
  <c r="BN121" i="16"/>
  <c r="BN122" i="16"/>
  <c r="BN123" i="16"/>
  <c r="BN7" i="11"/>
  <c r="BN6" i="11"/>
  <c r="BL189" i="1"/>
  <c r="BJ15" i="11"/>
  <c r="BM15" i="11"/>
  <c r="BK15" i="11"/>
  <c r="BM76" i="1"/>
  <c r="BM83" i="1" s="1"/>
  <c r="BM93" i="1" s="1"/>
  <c r="BM59" i="1"/>
  <c r="BM68" i="1" s="1"/>
  <c r="BM129" i="1"/>
  <c r="BM111" i="1"/>
  <c r="BM117" i="1" s="1"/>
  <c r="BM123" i="16"/>
  <c r="BM122" i="16"/>
  <c r="BM121" i="16"/>
  <c r="BM120" i="16"/>
  <c r="BM21" i="11"/>
  <c r="BM19" i="11"/>
  <c r="BM17" i="11"/>
  <c r="BM13" i="11"/>
  <c r="BM7" i="11"/>
  <c r="BM6" i="11"/>
  <c r="BL7" i="11"/>
  <c r="BL6" i="11"/>
  <c r="BK10" i="11"/>
  <c r="BL185" i="1"/>
  <c r="BL331" i="1"/>
  <c r="BL154" i="1"/>
  <c r="BL153" i="1"/>
  <c r="BL142" i="1"/>
  <c r="BK7" i="11"/>
  <c r="BK6" i="11"/>
  <c r="BK13" i="11"/>
  <c r="BL123" i="16"/>
  <c r="BL122" i="16"/>
  <c r="BL121" i="16"/>
  <c r="BL120" i="16"/>
  <c r="BK123" i="16"/>
  <c r="BK122" i="16"/>
  <c r="BK121" i="16"/>
  <c r="BK120" i="16"/>
  <c r="BK129" i="1"/>
  <c r="BK111" i="1"/>
  <c r="BL111" i="1" s="1"/>
  <c r="BK76" i="1"/>
  <c r="BK83" i="1" s="1"/>
  <c r="BK93" i="1" s="1"/>
  <c r="BK59" i="1"/>
  <c r="BK68" i="1" s="1"/>
  <c r="BK21" i="11"/>
  <c r="BK19" i="11"/>
  <c r="BK17" i="11"/>
  <c r="BK85" i="16"/>
  <c r="BK84" i="16"/>
  <c r="BJ7" i="11"/>
  <c r="BJ6" i="11"/>
  <c r="BJ139" i="1"/>
  <c r="BJ129" i="1"/>
  <c r="BJ111" i="1"/>
  <c r="BJ117" i="1" s="1"/>
  <c r="BJ76" i="1"/>
  <c r="BJ83" i="1" s="1"/>
  <c r="BJ93" i="1" s="1"/>
  <c r="BJ59" i="1"/>
  <c r="BJ68" i="1" s="1"/>
  <c r="BJ13" i="11"/>
  <c r="BJ10" i="11"/>
  <c r="BJ21" i="11"/>
  <c r="BJ19" i="11"/>
  <c r="BJ17" i="11"/>
  <c r="BJ85" i="16"/>
  <c r="BJ84" i="16"/>
  <c r="BJ123" i="16"/>
  <c r="BJ122" i="16"/>
  <c r="BJ121" i="16"/>
  <c r="BJ120" i="16"/>
  <c r="AM189" i="1"/>
  <c r="AR189" i="1"/>
  <c r="BB185" i="1"/>
  <c r="AW189" i="1"/>
  <c r="BB189" i="1"/>
  <c r="BG189" i="1"/>
  <c r="BI7" i="11"/>
  <c r="BI6" i="11"/>
  <c r="BI15" i="11"/>
  <c r="BI21" i="11"/>
  <c r="BI10" i="11"/>
  <c r="BI13" i="11"/>
  <c r="BI129" i="1"/>
  <c r="BI111" i="1"/>
  <c r="BI117" i="1" s="1"/>
  <c r="BI76" i="1"/>
  <c r="BI83" i="1" s="1"/>
  <c r="BI93" i="1" s="1"/>
  <c r="BI59" i="1"/>
  <c r="BI68" i="1" s="1"/>
  <c r="BI123" i="16"/>
  <c r="BI122" i="16"/>
  <c r="BI121" i="16"/>
  <c r="BI120" i="16"/>
  <c r="BI19" i="11"/>
  <c r="BI17" i="11"/>
  <c r="BI85" i="16"/>
  <c r="BI84" i="16"/>
  <c r="BI9" i="11"/>
  <c r="BH7" i="11"/>
  <c r="BH6" i="11"/>
  <c r="BH129" i="1"/>
  <c r="BH111" i="1"/>
  <c r="BH117" i="1" s="1"/>
  <c r="BH76" i="1"/>
  <c r="BH83" i="1" s="1"/>
  <c r="BH93" i="1" s="1"/>
  <c r="BH59" i="1"/>
  <c r="BH68" i="1" s="1"/>
  <c r="BH123" i="16"/>
  <c r="BH122" i="16"/>
  <c r="BH121" i="16"/>
  <c r="BH120" i="16"/>
  <c r="BH21" i="11"/>
  <c r="BH19" i="11"/>
  <c r="BH17" i="11"/>
  <c r="BH15" i="11"/>
  <c r="BH10" i="11"/>
  <c r="BH13" i="11"/>
  <c r="BH85" i="16"/>
  <c r="BH84" i="16"/>
  <c r="BG180" i="1"/>
  <c r="BG182" i="1" s="1"/>
  <c r="BV180" i="1"/>
  <c r="BV182" i="1" s="1"/>
  <c r="BV185" i="1"/>
  <c r="BG331" i="1"/>
  <c r="BG7" i="11"/>
  <c r="BG6" i="11"/>
  <c r="BF7" i="11"/>
  <c r="BF6" i="11"/>
  <c r="BF15" i="11"/>
  <c r="BG123" i="16"/>
  <c r="BG122" i="16"/>
  <c r="BG120" i="16"/>
  <c r="BG154" i="1"/>
  <c r="BG153" i="1"/>
  <c r="BG142" i="1"/>
  <c r="BF76" i="1"/>
  <c r="BF83" i="1" s="1"/>
  <c r="BF93" i="1" s="1"/>
  <c r="BF59" i="1"/>
  <c r="BF68" i="1" s="1"/>
  <c r="BF139" i="1"/>
  <c r="BF129" i="1"/>
  <c r="BF84" i="16"/>
  <c r="BF85" i="16"/>
  <c r="BF10" i="11"/>
  <c r="BF13" i="11"/>
  <c r="BF17" i="11"/>
  <c r="BF19" i="11"/>
  <c r="BF21" i="11"/>
  <c r="BF167" i="1"/>
  <c r="BE7" i="11"/>
  <c r="BE6" i="11"/>
  <c r="BE10" i="11"/>
  <c r="BE85" i="16"/>
  <c r="BE84" i="16"/>
  <c r="BD13" i="11"/>
  <c r="BE13" i="11"/>
  <c r="BD7" i="11"/>
  <c r="BD6" i="11"/>
  <c r="BE123" i="16"/>
  <c r="BE122" i="16"/>
  <c r="BE121" i="16"/>
  <c r="BE120" i="16"/>
  <c r="BD121" i="16"/>
  <c r="BD120" i="16"/>
  <c r="BE139" i="1"/>
  <c r="BE111" i="1"/>
  <c r="BE117" i="1" s="1"/>
  <c r="BE19" i="11"/>
  <c r="BE17" i="11"/>
  <c r="BE15" i="11"/>
  <c r="BE21" i="11"/>
  <c r="BE76" i="1"/>
  <c r="BE83" i="1" s="1"/>
  <c r="BE93" i="1" s="1"/>
  <c r="BD76" i="1"/>
  <c r="BD83" i="1" s="1"/>
  <c r="BD93" i="1" s="1"/>
  <c r="BE59" i="1"/>
  <c r="BE68" i="1" s="1"/>
  <c r="BD59" i="1"/>
  <c r="BD68" i="1" s="1"/>
  <c r="BD139" i="1"/>
  <c r="BD129" i="1"/>
  <c r="BE129" i="1"/>
  <c r="AT111" i="1"/>
  <c r="AY111" i="1"/>
  <c r="AY117" i="1" s="1"/>
  <c r="AS19" i="13"/>
  <c r="AS18" i="13"/>
  <c r="AX19" i="13"/>
  <c r="AY19" i="13" s="1"/>
  <c r="AX18" i="13"/>
  <c r="AY18" i="13" s="1"/>
  <c r="AZ18" i="13" s="1"/>
  <c r="BA18" i="13" s="1"/>
  <c r="BC111" i="1"/>
  <c r="BD111" i="1"/>
  <c r="AZ111" i="1"/>
  <c r="AV129" i="1"/>
  <c r="AV111" i="1"/>
  <c r="AW111" i="1" s="1"/>
  <c r="AU111" i="1"/>
  <c r="AL111" i="1"/>
  <c r="AM111" i="1" s="1"/>
  <c r="AS111" i="1"/>
  <c r="AS117" i="1" s="1"/>
  <c r="AP111" i="1"/>
  <c r="AP117" i="1" s="1"/>
  <c r="BB331" i="1"/>
  <c r="BD21" i="11"/>
  <c r="BD19" i="11"/>
  <c r="BD17" i="11"/>
  <c r="BD15" i="11"/>
  <c r="BD122" i="16"/>
  <c r="BD123" i="16"/>
  <c r="BD84" i="16"/>
  <c r="BD85" i="16"/>
  <c r="BD167" i="1"/>
  <c r="BC7" i="11"/>
  <c r="BB7" i="11"/>
  <c r="AZ7" i="11"/>
  <c r="BC6" i="11"/>
  <c r="BB6" i="11"/>
  <c r="AZ6" i="11"/>
  <c r="BC10" i="11"/>
  <c r="BC15" i="11"/>
  <c r="BC76" i="1"/>
  <c r="BC83" i="1" s="1"/>
  <c r="BC93" i="1" s="1"/>
  <c r="BC59" i="1"/>
  <c r="BC68" i="1" s="1"/>
  <c r="BC129" i="1"/>
  <c r="BC21" i="11"/>
  <c r="BC19" i="11"/>
  <c r="BC17" i="11"/>
  <c r="BC13" i="11"/>
  <c r="BC85" i="16"/>
  <c r="BC84" i="16"/>
  <c r="BC167" i="1"/>
  <c r="BA54" i="11"/>
  <c r="BB142" i="1"/>
  <c r="BA7" i="11"/>
  <c r="BB153" i="1"/>
  <c r="BB154" i="1"/>
  <c r="AW154" i="1"/>
  <c r="AW153" i="1"/>
  <c r="AX85" i="16"/>
  <c r="AY85" i="16"/>
  <c r="AZ85" i="16"/>
  <c r="BA85" i="16"/>
  <c r="BA84" i="16"/>
  <c r="AZ84" i="16"/>
  <c r="AY84" i="16"/>
  <c r="AX84" i="16"/>
  <c r="AG57" i="16"/>
  <c r="AF57" i="16"/>
  <c r="AE57" i="16"/>
  <c r="AD57" i="16"/>
  <c r="AB57" i="16"/>
  <c r="AA57" i="16"/>
  <c r="Z57" i="16"/>
  <c r="Y57" i="16"/>
  <c r="W57" i="16"/>
  <c r="V57" i="16"/>
  <c r="U57" i="16"/>
  <c r="T57" i="16"/>
  <c r="AQ113" i="16"/>
  <c r="AP113" i="16"/>
  <c r="AO113" i="16"/>
  <c r="AN113" i="16"/>
  <c r="AL113" i="16"/>
  <c r="AK113" i="16"/>
  <c r="AJ113" i="16"/>
  <c r="AQ112" i="16"/>
  <c r="AP112" i="16"/>
  <c r="AO112" i="16"/>
  <c r="AN112" i="16"/>
  <c r="AL112" i="16"/>
  <c r="AK112" i="16"/>
  <c r="AJ112" i="16"/>
  <c r="BG121" i="16"/>
  <c r="BF121" i="16"/>
  <c r="BC121" i="16"/>
  <c r="BA121" i="16"/>
  <c r="AZ121" i="16"/>
  <c r="AY121" i="16"/>
  <c r="AX121" i="16"/>
  <c r="AV121" i="16"/>
  <c r="AU121" i="16"/>
  <c r="AT121" i="16"/>
  <c r="AS121" i="16"/>
  <c r="BF120" i="16"/>
  <c r="BC120" i="16"/>
  <c r="BA120" i="16"/>
  <c r="AZ120" i="16"/>
  <c r="AY120" i="16"/>
  <c r="AX120" i="16"/>
  <c r="AV120" i="16"/>
  <c r="AU120" i="16"/>
  <c r="AT120" i="16"/>
  <c r="AS120" i="16"/>
  <c r="BF123" i="16"/>
  <c r="BC123" i="16"/>
  <c r="BA123" i="16"/>
  <c r="AZ123" i="16"/>
  <c r="AY123" i="16"/>
  <c r="AX123" i="16"/>
  <c r="AV123" i="16"/>
  <c r="AU123" i="16"/>
  <c r="AT123" i="16"/>
  <c r="AS123" i="16"/>
  <c r="BF122" i="16"/>
  <c r="BC122" i="16"/>
  <c r="BA122" i="16"/>
  <c r="AZ122" i="16"/>
  <c r="AY122" i="16"/>
  <c r="AX122" i="16"/>
  <c r="AV122" i="16"/>
  <c r="AU122" i="16"/>
  <c r="AT122" i="16"/>
  <c r="AS122" i="16"/>
  <c r="AX9" i="11"/>
  <c r="BB123" i="16"/>
  <c r="BB122" i="16"/>
  <c r="BB121" i="16"/>
  <c r="BB120" i="16"/>
  <c r="AW121" i="16"/>
  <c r="AW122" i="16"/>
  <c r="AW123" i="16"/>
  <c r="AW120" i="16"/>
  <c r="BA167" i="1"/>
  <c r="BA129" i="1"/>
  <c r="BA76" i="1"/>
  <c r="BA83" i="1" s="1"/>
  <c r="BA93" i="1" s="1"/>
  <c r="BA59" i="1"/>
  <c r="BA68" i="1" s="1"/>
  <c r="AV9" i="11"/>
  <c r="BA51" i="11"/>
  <c r="BA52" i="11"/>
  <c r="BA21" i="11"/>
  <c r="BA19" i="11"/>
  <c r="AZ19" i="11"/>
  <c r="BA17" i="11"/>
  <c r="BA15" i="11"/>
  <c r="BA13" i="11"/>
  <c r="BA10" i="11"/>
  <c r="AZ57" i="11"/>
  <c r="AV13" i="11"/>
  <c r="BQ187" i="1"/>
  <c r="AZ54" i="11"/>
  <c r="AZ139" i="1"/>
  <c r="AZ129" i="1"/>
  <c r="AZ76" i="1"/>
  <c r="AZ83" i="1" s="1"/>
  <c r="AZ93" i="1" s="1"/>
  <c r="AZ59" i="1"/>
  <c r="AZ68" i="1" s="1"/>
  <c r="AZ51" i="11"/>
  <c r="AZ52" i="11"/>
  <c r="AZ21" i="11"/>
  <c r="AZ17" i="11"/>
  <c r="AZ15" i="11"/>
  <c r="AZ13" i="11"/>
  <c r="AY7" i="11"/>
  <c r="AY6" i="11"/>
  <c r="AY139" i="1"/>
  <c r="AY129" i="1"/>
  <c r="AY76" i="1"/>
  <c r="AY83" i="1" s="1"/>
  <c r="AY93" i="1" s="1"/>
  <c r="AY59" i="1"/>
  <c r="AY68" i="1" s="1"/>
  <c r="AY54" i="11"/>
  <c r="AY51" i="11"/>
  <c r="AY52" i="11"/>
  <c r="AY21" i="11"/>
  <c r="AY19" i="11"/>
  <c r="AY17" i="11"/>
  <c r="AY15" i="11"/>
  <c r="AY13" i="11"/>
  <c r="AY57" i="11"/>
  <c r="AX54" i="11"/>
  <c r="AX7" i="11"/>
  <c r="AX6" i="11"/>
  <c r="AU7" i="11"/>
  <c r="AT7" i="11"/>
  <c r="AS7" i="11"/>
  <c r="AU6" i="11"/>
  <c r="AT6" i="11"/>
  <c r="AS6" i="11"/>
  <c r="AX76" i="1"/>
  <c r="AX83" i="1" s="1"/>
  <c r="AX93" i="1" s="1"/>
  <c r="AX59" i="1"/>
  <c r="AX68" i="1" s="1"/>
  <c r="AX46" i="13"/>
  <c r="AY46" i="13" s="1"/>
  <c r="AZ46" i="13" s="1"/>
  <c r="BA46" i="13" s="1"/>
  <c r="AX44" i="13"/>
  <c r="AX42" i="13"/>
  <c r="AY42" i="13" s="1"/>
  <c r="AZ42" i="13" s="1"/>
  <c r="BA42" i="13" s="1"/>
  <c r="AX41" i="13"/>
  <c r="AY41" i="13" s="1"/>
  <c r="AX40" i="13"/>
  <c r="AX39" i="13"/>
  <c r="AY39" i="13" s="1"/>
  <c r="AX38" i="13"/>
  <c r="AY38" i="13" s="1"/>
  <c r="AZ38" i="13" s="1"/>
  <c r="BA38" i="13" s="1"/>
  <c r="AX37" i="13"/>
  <c r="AY37" i="13" s="1"/>
  <c r="AZ37" i="13" s="1"/>
  <c r="BA37" i="13" s="1"/>
  <c r="AX29" i="13"/>
  <c r="AX28" i="13"/>
  <c r="AX27" i="13"/>
  <c r="AY27" i="13" s="1"/>
  <c r="AZ27" i="13" s="1"/>
  <c r="AX26" i="13"/>
  <c r="AX52" i="13" s="1"/>
  <c r="AX23" i="13"/>
  <c r="AY23" i="13" s="1"/>
  <c r="AX21" i="13"/>
  <c r="AY21" i="13" s="1"/>
  <c r="AZ21" i="13" s="1"/>
  <c r="BA21" i="13" s="1"/>
  <c r="AX17" i="13"/>
  <c r="AY17" i="13" s="1"/>
  <c r="AZ17" i="13" s="1"/>
  <c r="BA17" i="13" s="1"/>
  <c r="AX16" i="13"/>
  <c r="AX9" i="13"/>
  <c r="AX8" i="13"/>
  <c r="AX6" i="13"/>
  <c r="AX139" i="1"/>
  <c r="AX129" i="1"/>
  <c r="AX52" i="11"/>
  <c r="AX51" i="11"/>
  <c r="AX21" i="11"/>
  <c r="AX19" i="11"/>
  <c r="AX17" i="11"/>
  <c r="AX15" i="11"/>
  <c r="AX13" i="11"/>
  <c r="AX57" i="11"/>
  <c r="AQ7" i="11"/>
  <c r="AQ6" i="11"/>
  <c r="AV7" i="11"/>
  <c r="AV6" i="11"/>
  <c r="BL180" i="1"/>
  <c r="BL182" i="1" s="1"/>
  <c r="AV139" i="1"/>
  <c r="AW142" i="1"/>
  <c r="AV76" i="1"/>
  <c r="AV83" i="1" s="1"/>
  <c r="AV93" i="1" s="1"/>
  <c r="AV59" i="1"/>
  <c r="AV68" i="1" s="1"/>
  <c r="AV57" i="11"/>
  <c r="AV51" i="11"/>
  <c r="AV52" i="11"/>
  <c r="AV21" i="11"/>
  <c r="AV19" i="11"/>
  <c r="AV17" i="11"/>
  <c r="AU15" i="11"/>
  <c r="AU139" i="1"/>
  <c r="AU129" i="1"/>
  <c r="AU76" i="1"/>
  <c r="AU83" i="1" s="1"/>
  <c r="AU93" i="1" s="1"/>
  <c r="AU59" i="1"/>
  <c r="AU68" i="1" s="1"/>
  <c r="AU52" i="11"/>
  <c r="AU51" i="11"/>
  <c r="AU21" i="11"/>
  <c r="AU19" i="11"/>
  <c r="AU17" i="11"/>
  <c r="AU13" i="11"/>
  <c r="AR52" i="11"/>
  <c r="AT139" i="1"/>
  <c r="AT129" i="1"/>
  <c r="AT76" i="1"/>
  <c r="AT83" i="1" s="1"/>
  <c r="AT93" i="1" s="1"/>
  <c r="AT59" i="1"/>
  <c r="AT68" i="1" s="1"/>
  <c r="AT51" i="11"/>
  <c r="AT52" i="11"/>
  <c r="AT21" i="11"/>
  <c r="AT19" i="11"/>
  <c r="AT17" i="11"/>
  <c r="AT15" i="11"/>
  <c r="AT13" i="11"/>
  <c r="AT57" i="11"/>
  <c r="AU54" i="11"/>
  <c r="AV59" i="11" s="1"/>
  <c r="AT54" i="11"/>
  <c r="AS15" i="11"/>
  <c r="AS54" i="11"/>
  <c r="AS10" i="11"/>
  <c r="AS46" i="13"/>
  <c r="AT46" i="13" s="1"/>
  <c r="AU46" i="13" s="1"/>
  <c r="AS44" i="13"/>
  <c r="AT44" i="13" s="1"/>
  <c r="AU44" i="13" s="1"/>
  <c r="AS42" i="13"/>
  <c r="AS41" i="13"/>
  <c r="AT41" i="13" s="1"/>
  <c r="AU41" i="13" s="1"/>
  <c r="AV41" i="13" s="1"/>
  <c r="AS40" i="13"/>
  <c r="AS39" i="13"/>
  <c r="AT39" i="13" s="1"/>
  <c r="AS38" i="13"/>
  <c r="AT38" i="13" s="1"/>
  <c r="AU38" i="13" s="1"/>
  <c r="AS37" i="13"/>
  <c r="AT37" i="13" s="1"/>
  <c r="AS29" i="13"/>
  <c r="AT29" i="13" s="1"/>
  <c r="AU29" i="13" s="1"/>
  <c r="AV29" i="13" s="1"/>
  <c r="AS28" i="13"/>
  <c r="AS27" i="13"/>
  <c r="AS26" i="13"/>
  <c r="AT26" i="13" s="1"/>
  <c r="AU26" i="13" s="1"/>
  <c r="AV26" i="13" s="1"/>
  <c r="AS23" i="13"/>
  <c r="AT23" i="13" s="1"/>
  <c r="AU23" i="13" s="1"/>
  <c r="AV23" i="13" s="1"/>
  <c r="AW23" i="13" s="1"/>
  <c r="AS21" i="13"/>
  <c r="AT21" i="13" s="1"/>
  <c r="AU21" i="13" s="1"/>
  <c r="AV21" i="13" s="1"/>
  <c r="AS17" i="13"/>
  <c r="AS16" i="13"/>
  <c r="AT16" i="13" s="1"/>
  <c r="AU16" i="13" s="1"/>
  <c r="AV16" i="13" s="1"/>
  <c r="AS9" i="13"/>
  <c r="AS8" i="13"/>
  <c r="AT8" i="13" s="1"/>
  <c r="AU8" i="13" s="1"/>
  <c r="AS6" i="13"/>
  <c r="AS139" i="1"/>
  <c r="AS129" i="1"/>
  <c r="AS52" i="11"/>
  <c r="AS51" i="11"/>
  <c r="AS21" i="11"/>
  <c r="AS19" i="11"/>
  <c r="AS17" i="11"/>
  <c r="AS13" i="11"/>
  <c r="AQ52" i="11"/>
  <c r="AP52" i="11"/>
  <c r="AO52" i="11"/>
  <c r="AN52" i="11"/>
  <c r="AM52" i="11"/>
  <c r="AL52" i="11"/>
  <c r="AK52" i="11"/>
  <c r="AJ52" i="11"/>
  <c r="AI52" i="11"/>
  <c r="AH52" i="11"/>
  <c r="AF52" i="11"/>
  <c r="AE52" i="11"/>
  <c r="AD52" i="11"/>
  <c r="AC52" i="11"/>
  <c r="AA52" i="11"/>
  <c r="Z52" i="11"/>
  <c r="Y52" i="11"/>
  <c r="X52" i="11"/>
  <c r="V52" i="11"/>
  <c r="U52" i="11"/>
  <c r="T52" i="11"/>
  <c r="S52" i="11"/>
  <c r="Q52" i="11"/>
  <c r="P52" i="11"/>
  <c r="O52" i="11"/>
  <c r="N52" i="11"/>
  <c r="AR51" i="11"/>
  <c r="AQ51" i="11"/>
  <c r="AP51" i="11"/>
  <c r="AO51" i="11"/>
  <c r="AN51" i="11"/>
  <c r="AM51" i="11"/>
  <c r="AL51" i="11"/>
  <c r="AK51" i="11"/>
  <c r="AJ51" i="11"/>
  <c r="AI51" i="11"/>
  <c r="AH51" i="11"/>
  <c r="AF51" i="11"/>
  <c r="AE51" i="11"/>
  <c r="AD51" i="11"/>
  <c r="AC51" i="11"/>
  <c r="AA51" i="11"/>
  <c r="Z51" i="11"/>
  <c r="Y51" i="11"/>
  <c r="X51" i="11"/>
  <c r="V51" i="11"/>
  <c r="U51" i="11"/>
  <c r="T51" i="11"/>
  <c r="S51" i="11"/>
  <c r="Q51" i="11"/>
  <c r="P51" i="11"/>
  <c r="O51" i="11"/>
  <c r="N51" i="11"/>
  <c r="AN13" i="11"/>
  <c r="AN15" i="11"/>
  <c r="AN17" i="11"/>
  <c r="AN19" i="11"/>
  <c r="AN21" i="11"/>
  <c r="AN6" i="11"/>
  <c r="AO6" i="11"/>
  <c r="AP6" i="11"/>
  <c r="AN7" i="11"/>
  <c r="AO7" i="11"/>
  <c r="AP7" i="11"/>
  <c r="AQ10" i="11"/>
  <c r="AK7" i="11"/>
  <c r="AJ7" i="11"/>
  <c r="AI7" i="11"/>
  <c r="AK6" i="11"/>
  <c r="AJ6" i="11"/>
  <c r="AI6" i="11"/>
  <c r="AF7" i="11"/>
  <c r="AE7" i="11"/>
  <c r="AD7" i="11"/>
  <c r="AF6" i="11"/>
  <c r="AE6" i="11"/>
  <c r="AD6" i="11"/>
  <c r="AA7" i="11"/>
  <c r="Z7" i="11"/>
  <c r="Y7" i="11"/>
  <c r="AA6" i="11"/>
  <c r="Z6" i="11"/>
  <c r="Y6" i="11"/>
  <c r="AP139" i="1"/>
  <c r="AO139" i="1"/>
  <c r="AQ139" i="1"/>
  <c r="AR142" i="1"/>
  <c r="AQ76" i="1"/>
  <c r="AQ83" i="1" s="1"/>
  <c r="AQ93" i="1" s="1"/>
  <c r="AQ15" i="11"/>
  <c r="AP15" i="11"/>
  <c r="AQ57" i="11"/>
  <c r="AQ21" i="11"/>
  <c r="AQ19" i="11"/>
  <c r="AQ17" i="11"/>
  <c r="AQ13" i="11"/>
  <c r="BG185" i="1"/>
  <c r="AP54" i="11"/>
  <c r="AP21" i="11"/>
  <c r="AP19" i="11"/>
  <c r="AP17" i="11"/>
  <c r="AP13" i="11"/>
  <c r="AP129" i="1"/>
  <c r="AP57" i="11"/>
  <c r="AQ54" i="11"/>
  <c r="AO57" i="11"/>
  <c r="AO21" i="11"/>
  <c r="AO19" i="11"/>
  <c r="AO17" i="11"/>
  <c r="AO15" i="11"/>
  <c r="AO13" i="11"/>
  <c r="AO129" i="1"/>
  <c r="AO111" i="1"/>
  <c r="AO117" i="1" s="1"/>
  <c r="AO54" i="11"/>
  <c r="AN54" i="11"/>
  <c r="AN8" i="13"/>
  <c r="AN9" i="13"/>
  <c r="AO9" i="13" s="1"/>
  <c r="AN6" i="13"/>
  <c r="AN16" i="13"/>
  <c r="AN17" i="13"/>
  <c r="AO17" i="13" s="1"/>
  <c r="AP17" i="13" s="1"/>
  <c r="AQ17" i="13" s="1"/>
  <c r="AR17" i="13" s="1"/>
  <c r="AN18" i="13"/>
  <c r="AO18" i="13" s="1"/>
  <c r="AN19" i="13"/>
  <c r="AO19" i="13" s="1"/>
  <c r="AP19" i="13" s="1"/>
  <c r="AN21" i="13"/>
  <c r="AN23" i="13"/>
  <c r="AO23" i="13" s="1"/>
  <c r="AP23" i="13" s="1"/>
  <c r="AQ23" i="13" s="1"/>
  <c r="AR23" i="13" s="1"/>
  <c r="AN26" i="13"/>
  <c r="AO26" i="13" s="1"/>
  <c r="AN46" i="13"/>
  <c r="AO46" i="13" s="1"/>
  <c r="AP46" i="13" s="1"/>
  <c r="AQ46" i="13" s="1"/>
  <c r="AN37" i="13"/>
  <c r="AO37" i="13" s="1"/>
  <c r="AP37" i="13" s="1"/>
  <c r="AQ37" i="13" s="1"/>
  <c r="AR37" i="13" s="1"/>
  <c r="AN38" i="13"/>
  <c r="AN39" i="13"/>
  <c r="AN40" i="13"/>
  <c r="AN41" i="13"/>
  <c r="AO41" i="13" s="1"/>
  <c r="AP41" i="13" s="1"/>
  <c r="AQ41" i="13" s="1"/>
  <c r="AR41" i="13" s="1"/>
  <c r="AN42" i="13"/>
  <c r="AN44" i="13"/>
  <c r="AO44" i="13" s="1"/>
  <c r="AP44" i="13" s="1"/>
  <c r="AQ44" i="13" s="1"/>
  <c r="AN27" i="13"/>
  <c r="AN28" i="13"/>
  <c r="AN29" i="13"/>
  <c r="AO29" i="13" s="1"/>
  <c r="AP29" i="13" s="1"/>
  <c r="AI46" i="13"/>
  <c r="AJ46" i="13" s="1"/>
  <c r="AK46" i="13" s="1"/>
  <c r="AL46" i="13" s="1"/>
  <c r="AM46" i="13" s="1"/>
  <c r="AI37" i="13"/>
  <c r="AJ37" i="13" s="1"/>
  <c r="AI38" i="13"/>
  <c r="AJ38" i="13" s="1"/>
  <c r="AI39" i="13"/>
  <c r="AI40" i="13"/>
  <c r="AI41" i="13"/>
  <c r="AI42" i="13"/>
  <c r="AJ42" i="13" s="1"/>
  <c r="AK42" i="13" s="1"/>
  <c r="AL42" i="13" s="1"/>
  <c r="AI44" i="13"/>
  <c r="AI26" i="13"/>
  <c r="AJ26" i="13" s="1"/>
  <c r="AJ52" i="13" s="1"/>
  <c r="AI27" i="13"/>
  <c r="AI28" i="13"/>
  <c r="AI29" i="13"/>
  <c r="AJ29" i="13" s="1"/>
  <c r="AI6" i="13"/>
  <c r="AI8" i="13"/>
  <c r="AI9" i="13"/>
  <c r="AI16" i="13"/>
  <c r="AJ16" i="13" s="1"/>
  <c r="AK16" i="13" s="1"/>
  <c r="AL16" i="13" s="1"/>
  <c r="AI17" i="13"/>
  <c r="AJ17" i="13" s="1"/>
  <c r="AK17" i="13" s="1"/>
  <c r="AL17" i="13" s="1"/>
  <c r="AI18" i="13"/>
  <c r="AI19" i="13"/>
  <c r="AI21" i="13"/>
  <c r="AJ21" i="13" s="1"/>
  <c r="AK21" i="13" s="1"/>
  <c r="AL21" i="13" s="1"/>
  <c r="AM21" i="13" s="1"/>
  <c r="AI23" i="13"/>
  <c r="AJ23" i="13" s="1"/>
  <c r="AD46" i="13"/>
  <c r="AE46" i="13" s="1"/>
  <c r="AF46" i="13" s="1"/>
  <c r="AD37" i="13"/>
  <c r="AE37" i="13" s="1"/>
  <c r="AD38" i="13"/>
  <c r="AD39" i="13"/>
  <c r="AE39" i="13" s="1"/>
  <c r="AF39" i="13" s="1"/>
  <c r="AD40" i="13"/>
  <c r="AD41" i="13"/>
  <c r="AE41" i="13" s="1"/>
  <c r="AF41" i="13" s="1"/>
  <c r="AD42" i="13"/>
  <c r="AD44" i="13"/>
  <c r="AE44" i="13" s="1"/>
  <c r="AF44" i="13" s="1"/>
  <c r="AD26" i="13"/>
  <c r="AD27" i="13"/>
  <c r="AE27" i="13" s="1"/>
  <c r="AD28" i="13"/>
  <c r="AD29" i="13"/>
  <c r="AE29" i="13" s="1"/>
  <c r="AF29" i="13" s="1"/>
  <c r="AD6" i="13"/>
  <c r="AD8" i="13"/>
  <c r="AD9" i="13"/>
  <c r="AD16" i="13"/>
  <c r="AE16" i="13" s="1"/>
  <c r="AF16" i="13" s="1"/>
  <c r="AD17" i="13"/>
  <c r="AE17" i="13" s="1"/>
  <c r="AF17" i="13" s="1"/>
  <c r="AD18" i="13"/>
  <c r="AE18" i="13" s="1"/>
  <c r="AF18" i="13" s="1"/>
  <c r="AD19" i="13"/>
  <c r="AD21" i="13"/>
  <c r="AE21" i="13" s="1"/>
  <c r="AF21" i="13" s="1"/>
  <c r="AD23" i="13"/>
  <c r="Y46" i="13"/>
  <c r="Z46" i="13" s="1"/>
  <c r="AA46" i="13" s="1"/>
  <c r="Y37" i="13"/>
  <c r="Z37" i="13" s="1"/>
  <c r="AA37" i="13" s="1"/>
  <c r="Y38" i="13"/>
  <c r="Y39" i="13"/>
  <c r="Z39" i="13" s="1"/>
  <c r="AA39" i="13" s="1"/>
  <c r="Y40" i="13"/>
  <c r="Y41" i="13"/>
  <c r="Z41" i="13" s="1"/>
  <c r="AA41" i="13" s="1"/>
  <c r="Y42" i="13"/>
  <c r="Y44" i="13"/>
  <c r="Z44" i="13" s="1"/>
  <c r="AA44" i="13" s="1"/>
  <c r="Y26" i="13"/>
  <c r="Z26" i="13" s="1"/>
  <c r="Y27" i="13"/>
  <c r="Y28" i="13"/>
  <c r="Z28" i="13" s="1"/>
  <c r="Y29" i="13"/>
  <c r="Y6" i="13"/>
  <c r="Y8" i="13"/>
  <c r="Y9" i="13"/>
  <c r="Y16" i="13"/>
  <c r="Z16" i="13" s="1"/>
  <c r="AA16" i="13" s="1"/>
  <c r="Y17" i="13"/>
  <c r="Z17" i="13" s="1"/>
  <c r="Y18" i="13"/>
  <c r="Z18" i="13" s="1"/>
  <c r="AA18" i="13" s="1"/>
  <c r="Y19" i="13"/>
  <c r="Y21" i="13"/>
  <c r="Z21" i="13" s="1"/>
  <c r="AA21" i="13" s="1"/>
  <c r="Y23" i="13"/>
  <c r="Z23" i="13" s="1"/>
  <c r="AA23" i="13" s="1"/>
  <c r="T46" i="13"/>
  <c r="U46" i="13" s="1"/>
  <c r="V46" i="13" s="1"/>
  <c r="T37" i="13"/>
  <c r="U37" i="13" s="1"/>
  <c r="V37" i="13" s="1"/>
  <c r="T38" i="13"/>
  <c r="T39" i="13"/>
  <c r="U39" i="13" s="1"/>
  <c r="V39" i="13" s="1"/>
  <c r="T40" i="13"/>
  <c r="T41" i="13"/>
  <c r="U41" i="13" s="1"/>
  <c r="V41" i="13" s="1"/>
  <c r="T42" i="13"/>
  <c r="T44" i="13"/>
  <c r="U44" i="13" s="1"/>
  <c r="V44" i="13" s="1"/>
  <c r="T26" i="13"/>
  <c r="T27" i="13"/>
  <c r="T28" i="13"/>
  <c r="U28" i="13" s="1"/>
  <c r="T29" i="13"/>
  <c r="T6" i="13"/>
  <c r="T8" i="13"/>
  <c r="U8" i="13" s="1"/>
  <c r="T9" i="13"/>
  <c r="T16" i="13"/>
  <c r="U16" i="13" s="1"/>
  <c r="V16" i="13" s="1"/>
  <c r="T17" i="13"/>
  <c r="T18" i="13"/>
  <c r="U18" i="13" s="1"/>
  <c r="V18" i="13" s="1"/>
  <c r="T19" i="13"/>
  <c r="U19" i="13" s="1"/>
  <c r="V19" i="13" s="1"/>
  <c r="T21" i="13"/>
  <c r="U21" i="13" s="1"/>
  <c r="V21" i="13" s="1"/>
  <c r="T23" i="13"/>
  <c r="O46" i="13"/>
  <c r="P46" i="13" s="1"/>
  <c r="Q46" i="13" s="1"/>
  <c r="O37" i="13"/>
  <c r="P37" i="13" s="1"/>
  <c r="O38" i="13"/>
  <c r="O39" i="13"/>
  <c r="P39" i="13" s="1"/>
  <c r="Q39" i="13" s="1"/>
  <c r="O40" i="13"/>
  <c r="O41" i="13"/>
  <c r="P41" i="13" s="1"/>
  <c r="Q41" i="13" s="1"/>
  <c r="O42" i="13"/>
  <c r="O44" i="13"/>
  <c r="P44" i="13" s="1"/>
  <c r="Q44" i="13" s="1"/>
  <c r="O26" i="13"/>
  <c r="P26" i="13" s="1"/>
  <c r="O27" i="13"/>
  <c r="P27" i="13" s="1"/>
  <c r="O28" i="13"/>
  <c r="P28" i="13" s="1"/>
  <c r="O29" i="13"/>
  <c r="P29" i="13" s="1"/>
  <c r="Q29" i="13" s="1"/>
  <c r="O6" i="13"/>
  <c r="O8" i="13"/>
  <c r="O9" i="13"/>
  <c r="P9" i="13" s="1"/>
  <c r="O16" i="13"/>
  <c r="P16" i="13" s="1"/>
  <c r="Q16" i="13" s="1"/>
  <c r="O17" i="13"/>
  <c r="P17" i="13" s="1"/>
  <c r="Q17" i="13" s="1"/>
  <c r="O18" i="13"/>
  <c r="O19" i="13"/>
  <c r="P19" i="13" s="1"/>
  <c r="Q19" i="13" s="1"/>
  <c r="O21" i="13"/>
  <c r="P21" i="13" s="1"/>
  <c r="Q21" i="13" s="1"/>
  <c r="O23" i="13"/>
  <c r="P23" i="13" s="1"/>
  <c r="Q23" i="13" s="1"/>
  <c r="R23" i="13" s="1"/>
  <c r="S23" i="13" s="1"/>
  <c r="J46" i="13"/>
  <c r="K46" i="13" s="1"/>
  <c r="L46" i="13" s="1"/>
  <c r="J37" i="13"/>
  <c r="J38" i="13"/>
  <c r="K38" i="13" s="1"/>
  <c r="L38" i="13" s="1"/>
  <c r="J39" i="13"/>
  <c r="K39" i="13" s="1"/>
  <c r="L39" i="13" s="1"/>
  <c r="J40" i="13"/>
  <c r="J41" i="13"/>
  <c r="J42" i="13"/>
  <c r="K42" i="13" s="1"/>
  <c r="L42" i="13" s="1"/>
  <c r="J44" i="13"/>
  <c r="J26" i="13"/>
  <c r="J52" i="13" s="1"/>
  <c r="J27" i="13"/>
  <c r="J28" i="13"/>
  <c r="J29" i="13"/>
  <c r="K29" i="13" s="1"/>
  <c r="L29" i="13" s="1"/>
  <c r="J6" i="13"/>
  <c r="J8" i="13"/>
  <c r="J9" i="13"/>
  <c r="J16" i="13"/>
  <c r="K16" i="13" s="1"/>
  <c r="L16" i="13" s="1"/>
  <c r="J17" i="13"/>
  <c r="K17" i="13" s="1"/>
  <c r="L17" i="13" s="1"/>
  <c r="J18" i="13"/>
  <c r="K18" i="13" s="1"/>
  <c r="L18" i="13" s="1"/>
  <c r="J19" i="13"/>
  <c r="J21" i="13"/>
  <c r="K21" i="13" s="1"/>
  <c r="L21" i="13" s="1"/>
  <c r="J23" i="13"/>
  <c r="K23" i="13" s="1"/>
  <c r="L23" i="13" s="1"/>
  <c r="I46" i="13"/>
  <c r="I37" i="13"/>
  <c r="I38" i="13"/>
  <c r="I39" i="13"/>
  <c r="I40" i="13"/>
  <c r="I42" i="13"/>
  <c r="I44" i="13"/>
  <c r="I26" i="13"/>
  <c r="I27" i="13"/>
  <c r="I28" i="13"/>
  <c r="I29" i="13"/>
  <c r="I6" i="13"/>
  <c r="I8" i="13"/>
  <c r="I9" i="13"/>
  <c r="I16" i="13"/>
  <c r="I17" i="13"/>
  <c r="I18" i="13"/>
  <c r="I19" i="13"/>
  <c r="I21" i="13"/>
  <c r="I23" i="13"/>
  <c r="H46" i="13"/>
  <c r="H37" i="13"/>
  <c r="H38" i="13"/>
  <c r="H39" i="13"/>
  <c r="H40" i="13"/>
  <c r="H41" i="13"/>
  <c r="H42" i="13"/>
  <c r="H44" i="13"/>
  <c r="H26" i="13"/>
  <c r="H27" i="13"/>
  <c r="H28" i="13"/>
  <c r="H29" i="13"/>
  <c r="H6" i="13"/>
  <c r="H8" i="13"/>
  <c r="H9" i="13"/>
  <c r="H16" i="13"/>
  <c r="H17" i="13"/>
  <c r="H18" i="13"/>
  <c r="H21" i="13"/>
  <c r="H23" i="13"/>
  <c r="G46" i="13"/>
  <c r="G37" i="13"/>
  <c r="G38" i="13"/>
  <c r="G39" i="13"/>
  <c r="G40" i="13"/>
  <c r="G41" i="13"/>
  <c r="G44" i="13"/>
  <c r="G26" i="13"/>
  <c r="G27" i="13"/>
  <c r="G28" i="13"/>
  <c r="G29" i="13"/>
  <c r="G6" i="13"/>
  <c r="G8" i="13"/>
  <c r="G9" i="13"/>
  <c r="G16" i="13"/>
  <c r="G17" i="13"/>
  <c r="G18" i="13"/>
  <c r="G21" i="13"/>
  <c r="G23" i="13"/>
  <c r="F46" i="13"/>
  <c r="F37" i="13"/>
  <c r="F38" i="13"/>
  <c r="F39" i="13"/>
  <c r="F40" i="13"/>
  <c r="F41" i="13"/>
  <c r="F44" i="13"/>
  <c r="F26" i="13"/>
  <c r="F27" i="13"/>
  <c r="F28" i="13"/>
  <c r="F29" i="13"/>
  <c r="F6" i="13"/>
  <c r="F8" i="13"/>
  <c r="F9" i="13"/>
  <c r="F16" i="13"/>
  <c r="F17" i="13"/>
  <c r="F18" i="13"/>
  <c r="F21" i="13"/>
  <c r="F23" i="13"/>
  <c r="E46" i="13"/>
  <c r="E37" i="13"/>
  <c r="E38" i="13"/>
  <c r="E39" i="13"/>
  <c r="E40" i="13"/>
  <c r="E41" i="13"/>
  <c r="E44" i="13"/>
  <c r="E26" i="13"/>
  <c r="E27" i="13"/>
  <c r="E28" i="13"/>
  <c r="E29" i="13"/>
  <c r="E6" i="13"/>
  <c r="E8" i="13"/>
  <c r="E9" i="13"/>
  <c r="E16" i="13"/>
  <c r="E17" i="13"/>
  <c r="E18" i="13"/>
  <c r="E19" i="13"/>
  <c r="E21" i="13"/>
  <c r="E23" i="13"/>
  <c r="D46" i="13"/>
  <c r="D37" i="13"/>
  <c r="D38" i="13"/>
  <c r="D39" i="13"/>
  <c r="D40" i="13"/>
  <c r="D41" i="13"/>
  <c r="D44" i="13"/>
  <c r="D26" i="13"/>
  <c r="D27" i="13"/>
  <c r="D28" i="13"/>
  <c r="D29" i="13"/>
  <c r="D6" i="13"/>
  <c r="D8" i="13"/>
  <c r="D9" i="13"/>
  <c r="D16" i="13"/>
  <c r="D17" i="13"/>
  <c r="D18" i="13"/>
  <c r="D19" i="13"/>
  <c r="D21" i="13"/>
  <c r="D23" i="13"/>
  <c r="D48" i="13"/>
  <c r="AN139" i="1"/>
  <c r="AN129" i="1"/>
  <c r="AN111" i="1"/>
  <c r="AN117" i="1" s="1"/>
  <c r="AN76" i="1"/>
  <c r="AN83" i="1" s="1"/>
  <c r="AN93" i="1" s="1"/>
  <c r="AN59" i="1"/>
  <c r="AN68" i="1" s="1"/>
  <c r="AI17" i="11"/>
  <c r="AI19" i="11"/>
  <c r="AI15" i="11"/>
  <c r="AM142" i="1"/>
  <c r="AL57" i="11"/>
  <c r="AL54" i="11"/>
  <c r="AL13" i="11"/>
  <c r="AL15" i="11"/>
  <c r="AL17" i="11"/>
  <c r="AL19" i="11"/>
  <c r="AL21" i="11"/>
  <c r="AL139" i="1"/>
  <c r="AL59" i="1"/>
  <c r="AL68" i="1" s="1"/>
  <c r="I51" i="12"/>
  <c r="I50" i="12"/>
  <c r="AW185" i="1"/>
  <c r="AW187" i="1" s="1"/>
  <c r="AR185" i="1"/>
  <c r="AR187" i="1" s="1"/>
  <c r="AW180" i="1"/>
  <c r="AR180" i="1"/>
  <c r="BB182" i="1"/>
  <c r="I53" i="12"/>
  <c r="I38" i="12"/>
  <c r="I39" i="12"/>
  <c r="I40" i="12"/>
  <c r="I42" i="12"/>
  <c r="H53" i="12"/>
  <c r="H38" i="12"/>
  <c r="H39" i="12"/>
  <c r="H40" i="12"/>
  <c r="G53" i="12"/>
  <c r="G38" i="12"/>
  <c r="G39" i="12"/>
  <c r="G40" i="12"/>
  <c r="G42" i="12"/>
  <c r="F38" i="12"/>
  <c r="F39" i="12"/>
  <c r="F40" i="12"/>
  <c r="F42" i="12"/>
  <c r="E38" i="12"/>
  <c r="E39" i="12"/>
  <c r="E40" i="12"/>
  <c r="E42" i="12"/>
  <c r="D38" i="12"/>
  <c r="D39" i="12"/>
  <c r="D40" i="12"/>
  <c r="D42" i="12"/>
  <c r="AK13" i="11"/>
  <c r="C38" i="12"/>
  <c r="C39" i="12"/>
  <c r="C40" i="12"/>
  <c r="C42" i="12"/>
  <c r="I31" i="12"/>
  <c r="H31" i="12"/>
  <c r="G31" i="12"/>
  <c r="F31" i="12"/>
  <c r="E31" i="12"/>
  <c r="D31" i="12"/>
  <c r="C31" i="12"/>
  <c r="AG52" i="11"/>
  <c r="AB52" i="11"/>
  <c r="AB51" i="11"/>
  <c r="W52" i="11"/>
  <c r="W51" i="11"/>
  <c r="R51" i="11"/>
  <c r="J9" i="11"/>
  <c r="K9" i="11"/>
  <c r="L9" i="11"/>
  <c r="M9" i="11"/>
  <c r="J10" i="11"/>
  <c r="K10" i="11"/>
  <c r="L10" i="11"/>
  <c r="M10" i="11"/>
  <c r="J13" i="11"/>
  <c r="K13" i="11"/>
  <c r="L13" i="11"/>
  <c r="M13" i="11"/>
  <c r="J15" i="11"/>
  <c r="K15" i="11"/>
  <c r="L15" i="11"/>
  <c r="M15" i="11"/>
  <c r="J17" i="11"/>
  <c r="K17" i="11"/>
  <c r="L17" i="11"/>
  <c r="M17" i="11"/>
  <c r="J19" i="11"/>
  <c r="K19" i="11"/>
  <c r="L19" i="11"/>
  <c r="M19" i="11"/>
  <c r="J52" i="11"/>
  <c r="K52" i="11"/>
  <c r="L52" i="11"/>
  <c r="M52" i="11"/>
  <c r="J21" i="11"/>
  <c r="K21" i="11"/>
  <c r="L21" i="11"/>
  <c r="J51" i="11"/>
  <c r="K51" i="11"/>
  <c r="L51" i="11"/>
  <c r="M51" i="11"/>
  <c r="S185" i="1"/>
  <c r="X180" i="1"/>
  <c r="X182" i="1" s="1"/>
  <c r="J7" i="11"/>
  <c r="K7" i="11"/>
  <c r="L7" i="11"/>
  <c r="M7" i="11"/>
  <c r="J6" i="11"/>
  <c r="K6" i="11"/>
  <c r="L6" i="11"/>
  <c r="M6" i="11"/>
  <c r="H70" i="16"/>
  <c r="G70" i="16"/>
  <c r="F70" i="16"/>
  <c r="E70" i="16"/>
  <c r="E106" i="16" s="1"/>
  <c r="AJ19" i="11"/>
  <c r="AK19" i="11"/>
  <c r="AI13" i="11"/>
  <c r="AJ13" i="11"/>
  <c r="AJ17" i="11"/>
  <c r="AK17" i="11"/>
  <c r="AJ15" i="11"/>
  <c r="AK15" i="11"/>
  <c r="AI57" i="11"/>
  <c r="AJ57" i="11"/>
  <c r="AK57" i="11"/>
  <c r="AD57" i="11"/>
  <c r="AE57" i="11"/>
  <c r="AF57" i="11"/>
  <c r="AG57" i="11"/>
  <c r="AD19" i="11"/>
  <c r="AE19" i="11"/>
  <c r="AF19" i="11"/>
  <c r="AG19" i="11"/>
  <c r="AG6" i="11"/>
  <c r="AG7" i="11"/>
  <c r="AD13" i="11"/>
  <c r="AE13" i="11"/>
  <c r="AF13" i="11"/>
  <c r="AG13" i="11"/>
  <c r="AD15" i="11"/>
  <c r="AE15" i="11"/>
  <c r="AF15" i="11"/>
  <c r="AG15" i="11"/>
  <c r="AD17" i="11"/>
  <c r="AE17" i="11"/>
  <c r="AF17" i="11"/>
  <c r="AG17" i="11"/>
  <c r="Y57" i="11"/>
  <c r="Z57" i="11"/>
  <c r="AA57" i="11"/>
  <c r="AB57" i="11"/>
  <c r="Y19" i="11"/>
  <c r="Z19" i="11"/>
  <c r="AA19" i="11"/>
  <c r="AB19" i="11"/>
  <c r="AB6" i="11"/>
  <c r="AB7" i="11"/>
  <c r="Y13" i="11"/>
  <c r="Z13" i="11"/>
  <c r="AA13" i="11"/>
  <c r="AB13" i="11"/>
  <c r="Y15" i="11"/>
  <c r="Z15" i="11"/>
  <c r="AA15" i="11"/>
  <c r="Y17" i="11"/>
  <c r="Z17" i="11"/>
  <c r="AA17" i="11"/>
  <c r="AB17" i="11"/>
  <c r="T57" i="11"/>
  <c r="U57" i="11"/>
  <c r="V57" i="11"/>
  <c r="T19" i="11"/>
  <c r="U19" i="11"/>
  <c r="V19" i="11"/>
  <c r="W19" i="11"/>
  <c r="T6" i="11"/>
  <c r="U6" i="11"/>
  <c r="V6" i="11"/>
  <c r="W6" i="11"/>
  <c r="T7" i="11"/>
  <c r="U7" i="11"/>
  <c r="V7" i="11"/>
  <c r="W7" i="11"/>
  <c r="T13" i="11"/>
  <c r="U13" i="11"/>
  <c r="V13" i="11"/>
  <c r="W13" i="11"/>
  <c r="T15" i="11"/>
  <c r="U15" i="11"/>
  <c r="V15" i="11"/>
  <c r="W15" i="11"/>
  <c r="T17" i="11"/>
  <c r="U17" i="11"/>
  <c r="V17" i="11"/>
  <c r="W17" i="11"/>
  <c r="O57" i="11"/>
  <c r="P57" i="11"/>
  <c r="Q57" i="11"/>
  <c r="O19" i="11"/>
  <c r="P19" i="11"/>
  <c r="Q19" i="11"/>
  <c r="R19" i="11"/>
  <c r="O6" i="11"/>
  <c r="P6" i="11"/>
  <c r="Q6" i="11"/>
  <c r="R6" i="11"/>
  <c r="O7" i="11"/>
  <c r="P7" i="11"/>
  <c r="Q7" i="11"/>
  <c r="R7" i="11"/>
  <c r="O13" i="11"/>
  <c r="P13" i="11"/>
  <c r="Q13" i="11"/>
  <c r="R13" i="11"/>
  <c r="O15" i="11"/>
  <c r="P15" i="11"/>
  <c r="Q15" i="11"/>
  <c r="R15" i="11"/>
  <c r="O17" i="11"/>
  <c r="P17" i="11"/>
  <c r="Q17" i="11"/>
  <c r="R17" i="11"/>
  <c r="J57" i="11"/>
  <c r="K57" i="11"/>
  <c r="L57" i="11"/>
  <c r="I57" i="11"/>
  <c r="I19" i="11"/>
  <c r="I9" i="11"/>
  <c r="I10" i="11"/>
  <c r="I13" i="11"/>
  <c r="I15" i="11"/>
  <c r="I17" i="11"/>
  <c r="I52" i="11"/>
  <c r="H57" i="11"/>
  <c r="H19" i="11"/>
  <c r="H9" i="11"/>
  <c r="H10" i="11"/>
  <c r="H13" i="11"/>
  <c r="H15" i="11"/>
  <c r="H17" i="11"/>
  <c r="H52" i="11"/>
  <c r="G57" i="11"/>
  <c r="G19" i="11"/>
  <c r="G9" i="11"/>
  <c r="G10" i="11"/>
  <c r="G13" i="11"/>
  <c r="G15" i="11"/>
  <c r="G17" i="11"/>
  <c r="G52" i="11"/>
  <c r="F57" i="11"/>
  <c r="F19" i="11"/>
  <c r="F9" i="11"/>
  <c r="F10" i="11"/>
  <c r="F13" i="11"/>
  <c r="F15" i="11"/>
  <c r="F17" i="11"/>
  <c r="F52" i="11"/>
  <c r="E57" i="11"/>
  <c r="E19" i="11"/>
  <c r="E9" i="11"/>
  <c r="E10" i="11"/>
  <c r="E13" i="11"/>
  <c r="E15" i="11"/>
  <c r="E17" i="11"/>
  <c r="E52" i="11"/>
  <c r="D57" i="11"/>
  <c r="D19" i="11"/>
  <c r="D9" i="11"/>
  <c r="D10" i="11"/>
  <c r="D13" i="11"/>
  <c r="D15" i="11"/>
  <c r="D17" i="11"/>
  <c r="D52" i="11"/>
  <c r="C57" i="11"/>
  <c r="C19" i="11"/>
  <c r="C9" i="11"/>
  <c r="C10" i="11"/>
  <c r="C13" i="11"/>
  <c r="C15" i="11"/>
  <c r="C17" i="11"/>
  <c r="C52" i="11"/>
  <c r="I19" i="12"/>
  <c r="I20" i="12"/>
  <c r="I21" i="12"/>
  <c r="I7" i="12"/>
  <c r="I9" i="12"/>
  <c r="I10" i="12"/>
  <c r="I12" i="12"/>
  <c r="I8" i="12"/>
  <c r="I17" i="12"/>
  <c r="I18" i="12"/>
  <c r="I16" i="12"/>
  <c r="H19" i="12"/>
  <c r="H20" i="12"/>
  <c r="H21" i="12"/>
  <c r="H7" i="12"/>
  <c r="H9" i="12"/>
  <c r="H10" i="12"/>
  <c r="H12" i="12"/>
  <c r="H8" i="12"/>
  <c r="H17" i="12"/>
  <c r="H18" i="12"/>
  <c r="H16" i="12"/>
  <c r="G19" i="12"/>
  <c r="G20" i="12"/>
  <c r="G21" i="12"/>
  <c r="G7" i="12"/>
  <c r="G9" i="12"/>
  <c r="G10" i="12"/>
  <c r="G12" i="12"/>
  <c r="G8" i="12"/>
  <c r="G17" i="12"/>
  <c r="G18" i="12"/>
  <c r="G16" i="12"/>
  <c r="F19" i="12"/>
  <c r="F20" i="12"/>
  <c r="F21" i="12"/>
  <c r="F7" i="12"/>
  <c r="F9" i="12"/>
  <c r="F10" i="12"/>
  <c r="F12" i="12"/>
  <c r="F8" i="12"/>
  <c r="F17" i="12"/>
  <c r="F18" i="12"/>
  <c r="F16" i="12"/>
  <c r="E19" i="12"/>
  <c r="E20" i="12"/>
  <c r="E21" i="12"/>
  <c r="E7" i="12"/>
  <c r="E56" i="12" s="1"/>
  <c r="E9" i="12"/>
  <c r="E10" i="12"/>
  <c r="E12" i="12"/>
  <c r="E8" i="12"/>
  <c r="E17" i="12"/>
  <c r="E18" i="12"/>
  <c r="E16" i="12"/>
  <c r="D19" i="12"/>
  <c r="D20" i="12"/>
  <c r="D21" i="12"/>
  <c r="D7" i="12"/>
  <c r="D9" i="12"/>
  <c r="D10" i="12"/>
  <c r="D12" i="12"/>
  <c r="D8" i="12"/>
  <c r="D17" i="12"/>
  <c r="D18" i="12"/>
  <c r="D16" i="12"/>
  <c r="C19" i="12"/>
  <c r="C20" i="12"/>
  <c r="C7" i="12"/>
  <c r="C9" i="12"/>
  <c r="C10" i="12"/>
  <c r="C12" i="12"/>
  <c r="C8" i="12"/>
  <c r="C17" i="12"/>
  <c r="C18" i="12"/>
  <c r="C16" i="12"/>
  <c r="AG142" i="1"/>
  <c r="AB142" i="1"/>
  <c r="W142" i="1"/>
  <c r="R142" i="1"/>
  <c r="M142" i="1"/>
  <c r="C38" i="13"/>
  <c r="C44" i="13"/>
  <c r="C46" i="13"/>
  <c r="C8" i="13"/>
  <c r="C9" i="13"/>
  <c r="AI21" i="11"/>
  <c r="AJ21" i="11"/>
  <c r="AK21" i="11"/>
  <c r="AD21" i="11"/>
  <c r="AE21" i="11"/>
  <c r="AF21" i="11"/>
  <c r="AG21" i="11"/>
  <c r="Y21" i="11"/>
  <c r="Z21" i="11"/>
  <c r="AA21" i="11"/>
  <c r="AB21" i="11"/>
  <c r="T21" i="11"/>
  <c r="U21" i="11"/>
  <c r="V21" i="11"/>
  <c r="O21" i="11"/>
  <c r="P21" i="11"/>
  <c r="Q21" i="11"/>
  <c r="N185" i="1"/>
  <c r="F185" i="1"/>
  <c r="AK129" i="1"/>
  <c r="AE129" i="1"/>
  <c r="AF129" i="1"/>
  <c r="I41" i="13"/>
  <c r="G42" i="13"/>
  <c r="G129" i="1"/>
  <c r="G111" i="1"/>
  <c r="G19" i="13"/>
  <c r="F42" i="13"/>
  <c r="F19" i="13"/>
  <c r="E42" i="13"/>
  <c r="D139" i="1"/>
  <c r="H19" i="13"/>
  <c r="C40" i="13"/>
  <c r="C37" i="13"/>
  <c r="C39" i="13"/>
  <c r="C41" i="13"/>
  <c r="C42" i="13"/>
  <c r="C26" i="13"/>
  <c r="C27" i="13"/>
  <c r="C28" i="13"/>
  <c r="C29" i="13"/>
  <c r="C6" i="13"/>
  <c r="C21" i="13"/>
  <c r="C23" i="13"/>
  <c r="C16" i="13"/>
  <c r="C17" i="13"/>
  <c r="C18" i="13"/>
  <c r="C19" i="13"/>
  <c r="AI54" i="11"/>
  <c r="AJ54" i="11"/>
  <c r="AK54" i="11"/>
  <c r="AD54" i="11"/>
  <c r="AE54" i="11"/>
  <c r="AF54" i="11"/>
  <c r="AG54" i="11"/>
  <c r="Y54" i="11"/>
  <c r="Z54" i="11"/>
  <c r="AA54" i="11"/>
  <c r="AB54" i="11"/>
  <c r="T54" i="11"/>
  <c r="U54" i="11"/>
  <c r="V54" i="11"/>
  <c r="W54" i="11"/>
  <c r="O54" i="11"/>
  <c r="P54" i="11"/>
  <c r="Q54" i="11"/>
  <c r="R54" i="11"/>
  <c r="J54" i="11"/>
  <c r="K54" i="11"/>
  <c r="L54" i="11"/>
  <c r="M54" i="11"/>
  <c r="I54" i="11"/>
  <c r="H54" i="11"/>
  <c r="G54" i="11"/>
  <c r="F54" i="11"/>
  <c r="E54" i="11"/>
  <c r="D54" i="11"/>
  <c r="C54" i="11"/>
  <c r="F51" i="12"/>
  <c r="F50" i="12"/>
  <c r="E51" i="12"/>
  <c r="E50" i="12"/>
  <c r="D51" i="12"/>
  <c r="D50" i="12"/>
  <c r="C51" i="12"/>
  <c r="C50" i="12"/>
  <c r="Q76" i="1"/>
  <c r="Q83" i="1" s="1"/>
  <c r="Q93" i="1" s="1"/>
  <c r="K76" i="1"/>
  <c r="K83" i="1" s="1"/>
  <c r="K93" i="1" s="1"/>
  <c r="I32" i="12"/>
  <c r="I33" i="12"/>
  <c r="I35" i="12"/>
  <c r="I26" i="12"/>
  <c r="I27" i="12"/>
  <c r="I29" i="12"/>
  <c r="H32" i="12"/>
  <c r="H33" i="12"/>
  <c r="H35" i="12"/>
  <c r="H26" i="12"/>
  <c r="H27" i="12"/>
  <c r="H29" i="12"/>
  <c r="H28" i="12"/>
  <c r="G32" i="12"/>
  <c r="G33" i="12"/>
  <c r="G35" i="12"/>
  <c r="G26" i="12"/>
  <c r="G27" i="12"/>
  <c r="G29" i="12"/>
  <c r="F32" i="12"/>
  <c r="F33" i="12"/>
  <c r="F35" i="12"/>
  <c r="F26" i="12"/>
  <c r="F27" i="12"/>
  <c r="F29" i="12"/>
  <c r="E32" i="12"/>
  <c r="E33" i="12"/>
  <c r="E35" i="12"/>
  <c r="E26" i="12"/>
  <c r="E27" i="12"/>
  <c r="E29" i="12"/>
  <c r="E28" i="12"/>
  <c r="D32" i="12"/>
  <c r="D33" i="12"/>
  <c r="D35" i="12"/>
  <c r="D26" i="12"/>
  <c r="D27" i="12"/>
  <c r="D29" i="12"/>
  <c r="D28" i="12"/>
  <c r="C32" i="12"/>
  <c r="C33" i="12"/>
  <c r="C35" i="12"/>
  <c r="C26" i="12"/>
  <c r="C27" i="12"/>
  <c r="C29" i="12"/>
  <c r="C28" i="12"/>
  <c r="I51" i="11"/>
  <c r="H51" i="11"/>
  <c r="G51" i="11"/>
  <c r="F51" i="11"/>
  <c r="I21" i="11"/>
  <c r="H21" i="11"/>
  <c r="F21" i="11"/>
  <c r="E51" i="11"/>
  <c r="E21" i="11"/>
  <c r="D51" i="11"/>
  <c r="D21" i="11"/>
  <c r="C51" i="11"/>
  <c r="AK139" i="1"/>
  <c r="AK111" i="1"/>
  <c r="AK117" i="1" s="1"/>
  <c r="G51" i="12"/>
  <c r="G50" i="12"/>
  <c r="H51" i="12"/>
  <c r="H50" i="12"/>
  <c r="H167" i="1"/>
  <c r="G167" i="1"/>
  <c r="F167" i="1"/>
  <c r="E167" i="1"/>
  <c r="D167" i="1"/>
  <c r="C167" i="1"/>
  <c r="D106" i="16"/>
  <c r="C48" i="13"/>
  <c r="C49" i="13"/>
  <c r="C6" i="11"/>
  <c r="D6" i="11"/>
  <c r="E6" i="11"/>
  <c r="F6" i="11"/>
  <c r="G6" i="11"/>
  <c r="H6" i="11"/>
  <c r="I6" i="11"/>
  <c r="C7" i="11"/>
  <c r="D7" i="11"/>
  <c r="E7" i="11"/>
  <c r="F7" i="11"/>
  <c r="G7" i="11"/>
  <c r="H7" i="11"/>
  <c r="I7" i="11"/>
  <c r="C16" i="1"/>
  <c r="C19" i="1" s="1"/>
  <c r="C23" i="1" s="1"/>
  <c r="C25" i="1" s="1"/>
  <c r="D16" i="1"/>
  <c r="D19" i="1" s="1"/>
  <c r="D23" i="1" s="1"/>
  <c r="D25" i="1" s="1"/>
  <c r="D35" i="1" s="1"/>
  <c r="E16" i="1"/>
  <c r="E19" i="1" s="1"/>
  <c r="E23" i="1" s="1"/>
  <c r="E25" i="1" s="1"/>
  <c r="E39" i="1" s="1"/>
  <c r="F16" i="1"/>
  <c r="F19" i="1" s="1"/>
  <c r="F23" i="1" s="1"/>
  <c r="F25" i="1" s="1"/>
  <c r="F39" i="1" s="1"/>
  <c r="G16" i="1"/>
  <c r="G19" i="1" s="1"/>
  <c r="G23" i="1" s="1"/>
  <c r="G25" i="1" s="1"/>
  <c r="H16" i="1"/>
  <c r="H19" i="1" s="1"/>
  <c r="H23" i="1" s="1"/>
  <c r="H25" i="1" s="1"/>
  <c r="H29" i="1" s="1"/>
  <c r="I16" i="1"/>
  <c r="I19" i="1" s="1"/>
  <c r="I23" i="1" s="1"/>
  <c r="I25" i="1" s="1"/>
  <c r="I39" i="1" s="1"/>
  <c r="D36" i="1"/>
  <c r="E36" i="1"/>
  <c r="F36" i="1"/>
  <c r="H36" i="1"/>
  <c r="I36" i="1"/>
  <c r="D40" i="1"/>
  <c r="E40" i="1"/>
  <c r="F40" i="1"/>
  <c r="H40" i="1"/>
  <c r="I40" i="1"/>
  <c r="C59" i="1"/>
  <c r="D59" i="1"/>
  <c r="E59" i="1"/>
  <c r="F59" i="1"/>
  <c r="I59" i="1"/>
  <c r="J59" i="1"/>
  <c r="K59" i="1"/>
  <c r="L59" i="1"/>
  <c r="N59" i="1"/>
  <c r="O59" i="1"/>
  <c r="P59" i="1"/>
  <c r="Q59" i="1"/>
  <c r="S59" i="1"/>
  <c r="R59" i="1" s="1"/>
  <c r="T59" i="1"/>
  <c r="T68" i="1" s="1"/>
  <c r="U59" i="1"/>
  <c r="U68" i="1" s="1"/>
  <c r="V59" i="1"/>
  <c r="V68" i="1" s="1"/>
  <c r="X59" i="1"/>
  <c r="X68" i="1" s="1"/>
  <c r="W68" i="1" s="1"/>
  <c r="Y59" i="1"/>
  <c r="Y68" i="1" s="1"/>
  <c r="Z59" i="1"/>
  <c r="Z68" i="1" s="1"/>
  <c r="AA59" i="1"/>
  <c r="AA68" i="1" s="1"/>
  <c r="AC59" i="1"/>
  <c r="AB59" i="1" s="1"/>
  <c r="AD59" i="1"/>
  <c r="AD68" i="1" s="1"/>
  <c r="AE59" i="1"/>
  <c r="AE68" i="1" s="1"/>
  <c r="AF59" i="1"/>
  <c r="AF68" i="1" s="1"/>
  <c r="AH59" i="1"/>
  <c r="AG59" i="1" s="1"/>
  <c r="AI59" i="1"/>
  <c r="AI68" i="1" s="1"/>
  <c r="AJ59" i="1"/>
  <c r="AJ68" i="1" s="1"/>
  <c r="AK59" i="1"/>
  <c r="AK68" i="1" s="1"/>
  <c r="N76" i="1"/>
  <c r="N83" i="1" s="1"/>
  <c r="N93" i="1" s="1"/>
  <c r="S76" i="1"/>
  <c r="S83" i="1" s="1"/>
  <c r="S93" i="1" s="1"/>
  <c r="T76" i="1"/>
  <c r="T83" i="1" s="1"/>
  <c r="T93" i="1" s="1"/>
  <c r="U76" i="1"/>
  <c r="U83" i="1" s="1"/>
  <c r="U93" i="1" s="1"/>
  <c r="V76" i="1"/>
  <c r="V83" i="1" s="1"/>
  <c r="V93" i="1" s="1"/>
  <c r="X76" i="1"/>
  <c r="Y76" i="1"/>
  <c r="Y83" i="1" s="1"/>
  <c r="Y93" i="1" s="1"/>
  <c r="Z76" i="1"/>
  <c r="Z83" i="1" s="1"/>
  <c r="Z93" i="1" s="1"/>
  <c r="AA76" i="1"/>
  <c r="AA83" i="1" s="1"/>
  <c r="AA93" i="1" s="1"/>
  <c r="AC76" i="1"/>
  <c r="AD76" i="1"/>
  <c r="AD83" i="1" s="1"/>
  <c r="AD93" i="1" s="1"/>
  <c r="AE76" i="1"/>
  <c r="AE83" i="1" s="1"/>
  <c r="AE93" i="1" s="1"/>
  <c r="AF76" i="1"/>
  <c r="AF83" i="1" s="1"/>
  <c r="AF93" i="1" s="1"/>
  <c r="AH76" i="1"/>
  <c r="AH83" i="1" s="1"/>
  <c r="AH93" i="1" s="1"/>
  <c r="AI76" i="1"/>
  <c r="AI83" i="1" s="1"/>
  <c r="AI93" i="1" s="1"/>
  <c r="AJ76" i="1"/>
  <c r="AJ83" i="1" s="1"/>
  <c r="AJ93" i="1" s="1"/>
  <c r="AK76" i="1"/>
  <c r="AK83" i="1" s="1"/>
  <c r="AK93" i="1" s="1"/>
  <c r="J111" i="1"/>
  <c r="J117" i="1" s="1"/>
  <c r="K111" i="1"/>
  <c r="K117" i="1" s="1"/>
  <c r="L111" i="1"/>
  <c r="L117" i="1" s="1"/>
  <c r="O111" i="1"/>
  <c r="O117" i="1" s="1"/>
  <c r="P111" i="1"/>
  <c r="P117" i="1" s="1"/>
  <c r="Q111" i="1"/>
  <c r="Q117" i="1" s="1"/>
  <c r="S111" i="1"/>
  <c r="R111" i="1" s="1"/>
  <c r="T111" i="1"/>
  <c r="T117" i="1" s="1"/>
  <c r="U111" i="1"/>
  <c r="U117" i="1" s="1"/>
  <c r="V111" i="1"/>
  <c r="V117" i="1" s="1"/>
  <c r="X111" i="1"/>
  <c r="Y111" i="1"/>
  <c r="Y117" i="1" s="1"/>
  <c r="Z111" i="1"/>
  <c r="Z117" i="1" s="1"/>
  <c r="AA111" i="1"/>
  <c r="AA117" i="1" s="1"/>
  <c r="AC111" i="1"/>
  <c r="AC117" i="1" s="1"/>
  <c r="AB117" i="1" s="1"/>
  <c r="AD111" i="1"/>
  <c r="AD117" i="1" s="1"/>
  <c r="AE111" i="1"/>
  <c r="AE117" i="1" s="1"/>
  <c r="AF111" i="1"/>
  <c r="AF117" i="1" s="1"/>
  <c r="AH111" i="1"/>
  <c r="AG111" i="1" s="1"/>
  <c r="AI111" i="1"/>
  <c r="AI117" i="1" s="1"/>
  <c r="AJ111" i="1"/>
  <c r="AJ117" i="1" s="1"/>
  <c r="D129" i="1"/>
  <c r="H129" i="1"/>
  <c r="I129" i="1"/>
  <c r="J129" i="1"/>
  <c r="K129" i="1"/>
  <c r="L129" i="1"/>
  <c r="N129" i="1"/>
  <c r="M129" i="1" s="1"/>
  <c r="O129" i="1"/>
  <c r="P129" i="1"/>
  <c r="Q129" i="1"/>
  <c r="S129" i="1"/>
  <c r="T129" i="1"/>
  <c r="U129" i="1"/>
  <c r="V129" i="1"/>
  <c r="X129" i="1"/>
  <c r="W129" i="1" s="1"/>
  <c r="Y129" i="1"/>
  <c r="Z129" i="1"/>
  <c r="AA129" i="1"/>
  <c r="AC129" i="1"/>
  <c r="AB129" i="1" s="1"/>
  <c r="AD129" i="1"/>
  <c r="AH129" i="1"/>
  <c r="AG129" i="1" s="1"/>
  <c r="AI129" i="1"/>
  <c r="AJ129" i="1"/>
  <c r="H139" i="1"/>
  <c r="J139" i="1"/>
  <c r="K139" i="1"/>
  <c r="L139" i="1"/>
  <c r="N139" i="1"/>
  <c r="M139" i="1" s="1"/>
  <c r="O139" i="1"/>
  <c r="P139" i="1"/>
  <c r="Q139" i="1"/>
  <c r="S139" i="1"/>
  <c r="R139" i="1" s="1"/>
  <c r="T139" i="1"/>
  <c r="U139" i="1"/>
  <c r="V139" i="1"/>
  <c r="X139" i="1"/>
  <c r="W139" i="1" s="1"/>
  <c r="Y139" i="1"/>
  <c r="Z139" i="1"/>
  <c r="AA139" i="1"/>
  <c r="AC139" i="1"/>
  <c r="AD139" i="1"/>
  <c r="AE139" i="1"/>
  <c r="AF139" i="1"/>
  <c r="AH139" i="1"/>
  <c r="AG139" i="1" s="1"/>
  <c r="AI139" i="1"/>
  <c r="AJ139" i="1"/>
  <c r="AL76" i="1"/>
  <c r="AL83" i="1" s="1"/>
  <c r="AL93" i="1" s="1"/>
  <c r="AV10" i="11"/>
  <c r="AW129" i="16"/>
  <c r="AW131" i="16"/>
  <c r="AW132" i="16"/>
  <c r="CK28" i="12"/>
  <c r="AL129" i="1"/>
  <c r="C36" i="1"/>
  <c r="H76" i="1"/>
  <c r="H83" i="1" s="1"/>
  <c r="H93" i="1" s="1"/>
  <c r="G40" i="1"/>
  <c r="H180" i="1"/>
  <c r="AN57" i="11"/>
  <c r="M57" i="11"/>
  <c r="W57" i="11"/>
  <c r="W21" i="11"/>
  <c r="G28" i="12"/>
  <c r="G76" i="1"/>
  <c r="G83" i="1" s="1"/>
  <c r="G93" i="1" s="1"/>
  <c r="I185" i="1"/>
  <c r="AQ129" i="1"/>
  <c r="CK39" i="12"/>
  <c r="CK38" i="12"/>
  <c r="CK33" i="12"/>
  <c r="R57" i="11"/>
  <c r="AM185" i="1"/>
  <c r="BJ53" i="16"/>
  <c r="BY51" i="16"/>
  <c r="BT52" i="16"/>
  <c r="CD52" i="16"/>
  <c r="BU51" i="16"/>
  <c r="CE39" i="16"/>
  <c r="CK29" i="12"/>
  <c r="CK12" i="12"/>
  <c r="CK32" i="12"/>
  <c r="AV15" i="11"/>
  <c r="CK17" i="12"/>
  <c r="CK35" i="12"/>
  <c r="CP45" i="13" l="1"/>
  <c r="AN29" i="11"/>
  <c r="CP52" i="13"/>
  <c r="W76" i="1"/>
  <c r="W83" i="1" s="1"/>
  <c r="W93" i="1" s="1"/>
  <c r="X83" i="1"/>
  <c r="X93" i="1" s="1"/>
  <c r="AB76" i="1"/>
  <c r="AB83" i="1" s="1"/>
  <c r="AB93" i="1" s="1"/>
  <c r="AC83" i="1"/>
  <c r="AC93" i="1" s="1"/>
  <c r="CF10" i="12"/>
  <c r="CD88" i="16"/>
  <c r="CA26" i="12"/>
  <c r="AY8" i="13"/>
  <c r="K26" i="13"/>
  <c r="AY9" i="13"/>
  <c r="D180" i="1"/>
  <c r="D182" i="1" s="1"/>
  <c r="AB111" i="1"/>
  <c r="BG157" i="1"/>
  <c r="AW157" i="1"/>
  <c r="AW182" i="1"/>
  <c r="BG187" i="1"/>
  <c r="CF7" i="12"/>
  <c r="W59" i="1"/>
  <c r="BY88" i="16"/>
  <c r="CA157" i="1"/>
  <c r="CP182" i="1"/>
  <c r="CF157" i="1"/>
  <c r="BA111" i="1"/>
  <c r="BB111" i="1" s="1"/>
  <c r="BB117" i="1" s="1"/>
  <c r="AZ10" i="11"/>
  <c r="AE6" i="13"/>
  <c r="AF6" i="13" s="1"/>
  <c r="I52" i="13"/>
  <c r="X185" i="1"/>
  <c r="X187" i="1" s="1"/>
  <c r="K40" i="13"/>
  <c r="AL117" i="1"/>
  <c r="AL143" i="1" s="1"/>
  <c r="E129" i="1"/>
  <c r="AS167" i="1"/>
  <c r="BL157" i="1"/>
  <c r="BB157" i="1"/>
  <c r="BF86" i="11"/>
  <c r="C129" i="1"/>
  <c r="D29" i="1"/>
  <c r="D42" i="13"/>
  <c r="D45" i="13" s="1"/>
  <c r="F180" i="1"/>
  <c r="T143" i="1"/>
  <c r="T149" i="1" s="1"/>
  <c r="BW88" i="16"/>
  <c r="AY88" i="16"/>
  <c r="BR139" i="1"/>
  <c r="BE88" i="16"/>
  <c r="D185" i="1"/>
  <c r="D187" i="1" s="1"/>
  <c r="BP88" i="16"/>
  <c r="CB88" i="16"/>
  <c r="CE167" i="1"/>
  <c r="CG88" i="16"/>
  <c r="BR88" i="16"/>
  <c r="BI86" i="11"/>
  <c r="G117" i="1"/>
  <c r="CC88" i="16"/>
  <c r="CA8" i="12"/>
  <c r="E111" i="1"/>
  <c r="E117" i="1" s="1"/>
  <c r="AZ88" i="16"/>
  <c r="BH88" i="16"/>
  <c r="BT88" i="16"/>
  <c r="BU88" i="16"/>
  <c r="BZ88" i="16"/>
  <c r="P10" i="11"/>
  <c r="AB39" i="13"/>
  <c r="AC39" i="13" s="1"/>
  <c r="BA88" i="16"/>
  <c r="BD88" i="16"/>
  <c r="BK88" i="16"/>
  <c r="BO88" i="16"/>
  <c r="BC88" i="16"/>
  <c r="BF88" i="16"/>
  <c r="BV187" i="1"/>
  <c r="BI88" i="16"/>
  <c r="BS88" i="16"/>
  <c r="BX88" i="16"/>
  <c r="CE88" i="16"/>
  <c r="AO76" i="1"/>
  <c r="AO83" i="1" s="1"/>
  <c r="AO93" i="1" s="1"/>
  <c r="AS76" i="1"/>
  <c r="AS83" i="1" s="1"/>
  <c r="AS93" i="1" s="1"/>
  <c r="W16" i="13"/>
  <c r="X16" i="13" s="1"/>
  <c r="W9" i="11"/>
  <c r="AX88" i="16"/>
  <c r="BJ88" i="16"/>
  <c r="BJ113" i="16"/>
  <c r="BH111" i="16"/>
  <c r="BJ110" i="16"/>
  <c r="BY113" i="16"/>
  <c r="BP110" i="16"/>
  <c r="BF110" i="16"/>
  <c r="BI113" i="16"/>
  <c r="CB110" i="16"/>
  <c r="BT111" i="16"/>
  <c r="CB113" i="16"/>
  <c r="CE113" i="16"/>
  <c r="BY110" i="16"/>
  <c r="BE86" i="11"/>
  <c r="CA17" i="11"/>
  <c r="E75" i="12"/>
  <c r="E76" i="12" s="1"/>
  <c r="AA33" i="11"/>
  <c r="AX29" i="11"/>
  <c r="CA19" i="11"/>
  <c r="BI11" i="11"/>
  <c r="BI67" i="11" s="1"/>
  <c r="AA10" i="11"/>
  <c r="AS9" i="11"/>
  <c r="Z6" i="13"/>
  <c r="AJ27" i="13"/>
  <c r="AK27" i="13" s="1"/>
  <c r="BZ52" i="16"/>
  <c r="BD111" i="16"/>
  <c r="AC180" i="1"/>
  <c r="CA15" i="11"/>
  <c r="BQ19" i="11"/>
  <c r="BZ113" i="16"/>
  <c r="I111" i="1"/>
  <c r="I117" i="1" s="1"/>
  <c r="AR57" i="11"/>
  <c r="E11" i="11"/>
  <c r="E67" i="11" s="1"/>
  <c r="F139" i="1"/>
  <c r="AQ167" i="1"/>
  <c r="AR139" i="1"/>
  <c r="BC139" i="1"/>
  <c r="BL10" i="11"/>
  <c r="BJ96" i="16"/>
  <c r="BM51" i="16"/>
  <c r="BF111" i="1"/>
  <c r="BG111" i="1" s="1"/>
  <c r="BG117" i="1" s="1"/>
  <c r="BH51" i="16"/>
  <c r="BJ86" i="11"/>
  <c r="BZ51" i="16"/>
  <c r="BC63" i="11"/>
  <c r="E185" i="1"/>
  <c r="E187" i="1" s="1"/>
  <c r="AQ59" i="1"/>
  <c r="AQ68" i="1" s="1"/>
  <c r="AX63" i="11"/>
  <c r="BV17" i="11"/>
  <c r="CU187" i="1"/>
  <c r="BF51" i="16"/>
  <c r="G180" i="1"/>
  <c r="L76" i="1"/>
  <c r="L83" i="1" s="1"/>
  <c r="L93" i="1" s="1"/>
  <c r="BL187" i="1"/>
  <c r="U33" i="11"/>
  <c r="M16" i="13"/>
  <c r="N16" i="13" s="1"/>
  <c r="W39" i="13"/>
  <c r="X39" i="13" s="1"/>
  <c r="AB16" i="13"/>
  <c r="AC16" i="13" s="1"/>
  <c r="BQ129" i="1"/>
  <c r="CA85" i="16"/>
  <c r="CA139" i="1"/>
  <c r="CB112" i="16"/>
  <c r="AR129" i="1"/>
  <c r="BG17" i="11"/>
  <c r="CE96" i="16"/>
  <c r="BL15" i="11"/>
  <c r="AU167" i="1"/>
  <c r="AZ86" i="11"/>
  <c r="N111" i="1"/>
  <c r="M111" i="1" s="1"/>
  <c r="BE167" i="1"/>
  <c r="BK139" i="1"/>
  <c r="BP139" i="1"/>
  <c r="BR10" i="11"/>
  <c r="BR11" i="11" s="1"/>
  <c r="BW110" i="16"/>
  <c r="CA10" i="11"/>
  <c r="BW111" i="16"/>
  <c r="BP93" i="16"/>
  <c r="BG9" i="11"/>
  <c r="G185" i="1"/>
  <c r="BB167" i="1"/>
  <c r="BB129" i="1"/>
  <c r="C180" i="1"/>
  <c r="AH17" i="11"/>
  <c r="BG15" i="11"/>
  <c r="AZ167" i="1"/>
  <c r="BC86" i="11"/>
  <c r="R21" i="11"/>
  <c r="AY28" i="13"/>
  <c r="BP9" i="11"/>
  <c r="CF31" i="12"/>
  <c r="D68" i="1"/>
  <c r="BA11" i="11"/>
  <c r="BA14" i="11" s="1"/>
  <c r="BA18" i="11" s="1"/>
  <c r="BA20" i="11" s="1"/>
  <c r="BB139" i="1"/>
  <c r="BA139" i="1"/>
  <c r="CF27" i="12"/>
  <c r="H185" i="1"/>
  <c r="H187" i="1" s="1"/>
  <c r="BB13" i="11"/>
  <c r="F28" i="12"/>
  <c r="F76" i="1"/>
  <c r="F83" i="1" s="1"/>
  <c r="F93" i="1" s="1"/>
  <c r="I52" i="12"/>
  <c r="AM59" i="1"/>
  <c r="AM68" i="1" s="1"/>
  <c r="M46" i="13"/>
  <c r="N46" i="13" s="1"/>
  <c r="AP76" i="1"/>
  <c r="AP83" i="1" s="1"/>
  <c r="AP93" i="1" s="1"/>
  <c r="AS59" i="1"/>
  <c r="AS68" i="1" s="1"/>
  <c r="AT70" i="16"/>
  <c r="AW167" i="1"/>
  <c r="U70" i="16"/>
  <c r="AO70" i="16"/>
  <c r="AO59" i="1"/>
  <c r="AO68" i="1" s="1"/>
  <c r="BG13" i="11"/>
  <c r="L68" i="1"/>
  <c r="AE167" i="1"/>
  <c r="AP167" i="1"/>
  <c r="AP70" i="16"/>
  <c r="AP59" i="1"/>
  <c r="AP68" i="1" s="1"/>
  <c r="CA7" i="12"/>
  <c r="D76" i="1"/>
  <c r="D83" i="1" s="1"/>
  <c r="D93" i="1" s="1"/>
  <c r="AW51" i="11"/>
  <c r="N187" i="1"/>
  <c r="E139" i="1"/>
  <c r="CF16" i="12"/>
  <c r="BG19" i="11"/>
  <c r="AC68" i="1"/>
  <c r="AB68" i="1" s="1"/>
  <c r="AA167" i="1"/>
  <c r="J68" i="1"/>
  <c r="BL17" i="11"/>
  <c r="BY112" i="16"/>
  <c r="AR167" i="1"/>
  <c r="BT95" i="16"/>
  <c r="BU86" i="11"/>
  <c r="CD40" i="16"/>
  <c r="I68" i="1"/>
  <c r="M23" i="13"/>
  <c r="N23" i="13" s="1"/>
  <c r="R29" i="13"/>
  <c r="S29" i="13" s="1"/>
  <c r="Z9" i="11"/>
  <c r="BD52" i="16"/>
  <c r="BF111" i="16"/>
  <c r="BK51" i="16"/>
  <c r="BL85" i="16"/>
  <c r="BN112" i="16"/>
  <c r="AR182" i="1"/>
  <c r="AG16" i="13"/>
  <c r="AH16" i="13" s="1"/>
  <c r="O68" i="1"/>
  <c r="H29" i="11"/>
  <c r="Q10" i="11"/>
  <c r="AF70" i="16"/>
  <c r="AX111" i="16"/>
  <c r="CF129" i="1"/>
  <c r="CE95" i="16"/>
  <c r="BE51" i="16"/>
  <c r="BM110" i="16"/>
  <c r="BT40" i="16"/>
  <c r="CA84" i="16"/>
  <c r="BJ51" i="16"/>
  <c r="CD96" i="16"/>
  <c r="V70" i="16"/>
  <c r="AG70" i="16"/>
  <c r="E180" i="1"/>
  <c r="C185" i="1"/>
  <c r="AV70" i="16"/>
  <c r="AV167" i="1"/>
  <c r="BA6" i="11"/>
  <c r="BN167" i="1"/>
  <c r="BN70" i="16"/>
  <c r="H42" i="12"/>
  <c r="H44" i="12" s="1"/>
  <c r="AW59" i="1"/>
  <c r="AW68" i="1" s="1"/>
  <c r="AU10" i="11"/>
  <c r="BQ7" i="11"/>
  <c r="BR167" i="1"/>
  <c r="BR70" i="16"/>
  <c r="BO70" i="16"/>
  <c r="BY167" i="1"/>
  <c r="BY70" i="16"/>
  <c r="W111" i="1"/>
  <c r="X117" i="1"/>
  <c r="W117" i="1" s="1"/>
  <c r="AM187" i="1"/>
  <c r="H59" i="1"/>
  <c r="H68" i="1" s="1"/>
  <c r="AM117" i="1"/>
  <c r="G59" i="1"/>
  <c r="G68" i="1" s="1"/>
  <c r="Z95" i="1"/>
  <c r="M21" i="11"/>
  <c r="N21" i="11" s="1"/>
  <c r="Z8" i="13"/>
  <c r="BM96" i="16"/>
  <c r="V143" i="1"/>
  <c r="V149" i="1" s="1"/>
  <c r="F111" i="1"/>
  <c r="F117" i="1" s="1"/>
  <c r="Z143" i="1"/>
  <c r="Z149" i="1" s="1"/>
  <c r="I180" i="1"/>
  <c r="C21" i="12"/>
  <c r="C68" i="1"/>
  <c r="BB59" i="1"/>
  <c r="BB68" i="1" s="1"/>
  <c r="D111" i="1"/>
  <c r="D117" i="1" s="1"/>
  <c r="D143" i="1" s="1"/>
  <c r="D149" i="1" s="1"/>
  <c r="U95" i="1"/>
  <c r="AD143" i="1"/>
  <c r="AD149" i="1" s="1"/>
  <c r="Q68" i="1"/>
  <c r="I187" i="1"/>
  <c r="R76" i="1"/>
  <c r="R83" i="1" s="1"/>
  <c r="R93" i="1" s="1"/>
  <c r="AB15" i="11"/>
  <c r="C76" i="1"/>
  <c r="C83" i="1" s="1"/>
  <c r="C93" i="1" s="1"/>
  <c r="W33" i="11"/>
  <c r="C111" i="1"/>
  <c r="C117" i="1" s="1"/>
  <c r="L143" i="1"/>
  <c r="L149" i="1" s="1"/>
  <c r="C21" i="11"/>
  <c r="C33" i="11" s="1"/>
  <c r="C40" i="1"/>
  <c r="G21" i="11"/>
  <c r="G36" i="1"/>
  <c r="H20" i="13"/>
  <c r="H111" i="1"/>
  <c r="H117" i="1" s="1"/>
  <c r="H143" i="1" s="1"/>
  <c r="H149" i="1" s="1"/>
  <c r="BF112" i="16"/>
  <c r="AR59" i="1"/>
  <c r="AR68" i="1" s="1"/>
  <c r="AJ6" i="13"/>
  <c r="AK6" i="13" s="1"/>
  <c r="AN167" i="1"/>
  <c r="Y143" i="1"/>
  <c r="Y149" i="1" s="1"/>
  <c r="AF95" i="1"/>
  <c r="K68" i="1"/>
  <c r="F41" i="1"/>
  <c r="P76" i="1"/>
  <c r="P83" i="1" s="1"/>
  <c r="P93" i="1" s="1"/>
  <c r="F129" i="1"/>
  <c r="F36" i="13"/>
  <c r="AT27" i="13"/>
  <c r="AY44" i="13"/>
  <c r="BD117" i="1"/>
  <c r="BD143" i="1" s="1"/>
  <c r="AO27" i="13"/>
  <c r="AR76" i="1"/>
  <c r="AR83" i="1" s="1"/>
  <c r="AR93" i="1" s="1"/>
  <c r="CB51" i="16"/>
  <c r="BZ93" i="16"/>
  <c r="L11" i="11"/>
  <c r="L67" i="11" s="1"/>
  <c r="D52" i="13"/>
  <c r="AG18" i="13"/>
  <c r="AH18" i="13" s="1"/>
  <c r="BB76" i="1"/>
  <c r="BB83" i="1" s="1"/>
  <c r="BB93" i="1" s="1"/>
  <c r="BE63" i="11"/>
  <c r="BQ17" i="11"/>
  <c r="BV15" i="11"/>
  <c r="BW113" i="16"/>
  <c r="CD112" i="16"/>
  <c r="BN51" i="16"/>
  <c r="BU96" i="16"/>
  <c r="BV19" i="11"/>
  <c r="AU117" i="1"/>
  <c r="AU143" i="1" s="1"/>
  <c r="BE111" i="16"/>
  <c r="BH167" i="1"/>
  <c r="CA180" i="1"/>
  <c r="CA182" i="1" s="1"/>
  <c r="BN84" i="16"/>
  <c r="BP70" i="16"/>
  <c r="BK86" i="11"/>
  <c r="CB53" i="16"/>
  <c r="BY52" i="16"/>
  <c r="V95" i="1"/>
  <c r="E68" i="1"/>
  <c r="E72" i="12"/>
  <c r="P70" i="16"/>
  <c r="M18" i="13"/>
  <c r="N18" i="13" s="1"/>
  <c r="R21" i="13"/>
  <c r="S21" i="13" s="1"/>
  <c r="R39" i="13"/>
  <c r="S39" i="13" s="1"/>
  <c r="AB18" i="13"/>
  <c r="AC18" i="13" s="1"/>
  <c r="AG21" i="13"/>
  <c r="AH21" i="13" s="1"/>
  <c r="AG39" i="13"/>
  <c r="AH39" i="13" s="1"/>
  <c r="AW76" i="1"/>
  <c r="AW83" i="1" s="1"/>
  <c r="AW93" i="1" s="1"/>
  <c r="AW139" i="1"/>
  <c r="AT9" i="11"/>
  <c r="AZ19" i="13"/>
  <c r="BA19" i="13" s="1"/>
  <c r="AC167" i="1"/>
  <c r="Z167" i="1"/>
  <c r="AY167" i="1"/>
  <c r="M167" i="1"/>
  <c r="AG167" i="1"/>
  <c r="Y167" i="1"/>
  <c r="AF167" i="1"/>
  <c r="S187" i="1"/>
  <c r="R167" i="1"/>
  <c r="R52" i="11"/>
  <c r="V28" i="13"/>
  <c r="AO8" i="13"/>
  <c r="AO63" i="11" s="1"/>
  <c r="AH68" i="1"/>
  <c r="AG68" i="1" s="1"/>
  <c r="BM86" i="11"/>
  <c r="AT167" i="1"/>
  <c r="AW117" i="1"/>
  <c r="AZ117" i="1"/>
  <c r="AZ143" i="1" s="1"/>
  <c r="AW129" i="1"/>
  <c r="C139" i="1"/>
  <c r="T70" i="16"/>
  <c r="T167" i="1"/>
  <c r="AM129" i="1"/>
  <c r="AL6" i="11"/>
  <c r="AM6" i="11" s="1"/>
  <c r="BG85" i="16"/>
  <c r="S117" i="1"/>
  <c r="R117" i="1" s="1"/>
  <c r="AH117" i="1"/>
  <c r="AG117" i="1" s="1"/>
  <c r="AF143" i="1"/>
  <c r="AF149" i="1" s="1"/>
  <c r="AG51" i="11"/>
  <c r="S68" i="1"/>
  <c r="R68" i="1" s="1"/>
  <c r="AE26" i="13"/>
  <c r="AF26" i="13" s="1"/>
  <c r="AD52" i="13"/>
  <c r="I139" i="1"/>
  <c r="H39" i="1"/>
  <c r="H41" i="1" s="1"/>
  <c r="H35" i="1"/>
  <c r="I28" i="12"/>
  <c r="I30" i="12" s="1"/>
  <c r="I36" i="12" s="1"/>
  <c r="I76" i="1"/>
  <c r="I83" i="1" s="1"/>
  <c r="I93" i="1" s="1"/>
  <c r="O76" i="1"/>
  <c r="O83" i="1" s="1"/>
  <c r="O93" i="1" s="1"/>
  <c r="L33" i="11"/>
  <c r="AM139" i="1"/>
  <c r="AM76" i="1"/>
  <c r="AM83" i="1" s="1"/>
  <c r="AM93" i="1" s="1"/>
  <c r="AL7" i="11"/>
  <c r="AM7" i="11" s="1"/>
  <c r="AJ18" i="13"/>
  <c r="AK18" i="13" s="1"/>
  <c r="AL18" i="13" s="1"/>
  <c r="BU34" i="16"/>
  <c r="J11" i="11"/>
  <c r="J14" i="11" s="1"/>
  <c r="BL9" i="11"/>
  <c r="BD86" i="11"/>
  <c r="E76" i="1"/>
  <c r="E83" i="1" s="1"/>
  <c r="E93" i="1" s="1"/>
  <c r="AW17" i="11"/>
  <c r="L29" i="11"/>
  <c r="R129" i="1"/>
  <c r="J76" i="1"/>
  <c r="J83" i="1" s="1"/>
  <c r="J93" i="1" s="1"/>
  <c r="AE70" i="16"/>
  <c r="BK70" i="16"/>
  <c r="BK167" i="1"/>
  <c r="BL167" i="1"/>
  <c r="G139" i="1"/>
  <c r="AT117" i="1"/>
  <c r="AT143" i="1" s="1"/>
  <c r="CA185" i="1"/>
  <c r="CF180" i="1"/>
  <c r="BZ117" i="1"/>
  <c r="BZ143" i="1" s="1"/>
  <c r="BL129" i="1"/>
  <c r="BU93" i="16"/>
  <c r="BV84" i="16"/>
  <c r="BW52" i="16"/>
  <c r="CA129" i="1"/>
  <c r="CO54" i="13"/>
  <c r="CG111" i="16"/>
  <c r="Q143" i="1"/>
  <c r="Q149" i="1" s="1"/>
  <c r="P68" i="1"/>
  <c r="N180" i="1"/>
  <c r="AB9" i="11"/>
  <c r="R70" i="16"/>
  <c r="R17" i="13"/>
  <c r="S17" i="13" s="1"/>
  <c r="R46" i="13"/>
  <c r="S46" i="13" s="1"/>
  <c r="W19" i="13"/>
  <c r="X19" i="13" s="1"/>
  <c r="AG29" i="13"/>
  <c r="AH29" i="13" s="1"/>
  <c r="AD9" i="11"/>
  <c r="AX111" i="1"/>
  <c r="AX117" i="1" s="1"/>
  <c r="AX143" i="1" s="1"/>
  <c r="AQ111" i="1"/>
  <c r="AQ117" i="1" s="1"/>
  <c r="AQ143" i="1" s="1"/>
  <c r="BM93" i="16"/>
  <c r="BJ112" i="16"/>
  <c r="BT117" i="1"/>
  <c r="BT143" i="1" s="1"/>
  <c r="BV76" i="1"/>
  <c r="BV83" i="1" s="1"/>
  <c r="BV93" i="1" s="1"/>
  <c r="P143" i="1"/>
  <c r="P149" i="1" s="1"/>
  <c r="F68" i="1"/>
  <c r="AD167" i="1"/>
  <c r="R41" i="13"/>
  <c r="S41" i="13" s="1"/>
  <c r="W18" i="13"/>
  <c r="X18" i="13" s="1"/>
  <c r="AB21" i="13"/>
  <c r="AC21" i="13" s="1"/>
  <c r="AG41" i="13"/>
  <c r="AH41" i="13" s="1"/>
  <c r="BT47" i="16"/>
  <c r="BZ46" i="16"/>
  <c r="CG52" i="16"/>
  <c r="CF139" i="1"/>
  <c r="M38" i="13"/>
  <c r="N38" i="13" s="1"/>
  <c r="AQ19" i="13"/>
  <c r="AR19" i="13" s="1"/>
  <c r="AA9" i="11"/>
  <c r="AX110" i="16"/>
  <c r="BG167" i="1"/>
  <c r="BJ93" i="16"/>
  <c r="BP53" i="16"/>
  <c r="CA59" i="1"/>
  <c r="CA68" i="1" s="1"/>
  <c r="CA29" i="12"/>
  <c r="CA31" i="12"/>
  <c r="D33" i="11"/>
  <c r="I33" i="11"/>
  <c r="AW7" i="11"/>
  <c r="BD112" i="16"/>
  <c r="BT96" i="16"/>
  <c r="BZ95" i="16"/>
  <c r="BT110" i="16"/>
  <c r="BP95" i="16"/>
  <c r="BK96" i="16"/>
  <c r="BI110" i="16"/>
  <c r="BI112" i="16"/>
  <c r="BU110" i="16"/>
  <c r="BZ53" i="16"/>
  <c r="BE113" i="16"/>
  <c r="BM112" i="16"/>
  <c r="BE112" i="16"/>
  <c r="M70" i="16"/>
  <c r="BC132" i="16"/>
  <c r="BC139" i="16" s="1"/>
  <c r="BU112" i="16"/>
  <c r="BE53" i="16"/>
  <c r="BU45" i="16"/>
  <c r="BP113" i="16"/>
  <c r="BU52" i="16"/>
  <c r="BK112" i="16"/>
  <c r="BE52" i="16"/>
  <c r="BN129" i="16"/>
  <c r="BN136" i="16" s="1"/>
  <c r="BN132" i="16"/>
  <c r="BN139" i="16" s="1"/>
  <c r="I41" i="1"/>
  <c r="O10" i="11"/>
  <c r="U10" i="11"/>
  <c r="AC57" i="11"/>
  <c r="C44" i="12"/>
  <c r="I44" i="12"/>
  <c r="Y36" i="13"/>
  <c r="BY39" i="16"/>
  <c r="P33" i="11"/>
  <c r="AW13" i="11"/>
  <c r="F72" i="12"/>
  <c r="P6" i="13"/>
  <c r="I75" i="12"/>
  <c r="I76" i="12" s="1"/>
  <c r="AI33" i="11"/>
  <c r="AT29" i="11"/>
  <c r="BE143" i="1"/>
  <c r="AJ9" i="13"/>
  <c r="AE9" i="13"/>
  <c r="Q27" i="13"/>
  <c r="R27" i="13" s="1"/>
  <c r="X15" i="11"/>
  <c r="G30" i="12"/>
  <c r="G59" i="12"/>
  <c r="AO143" i="1"/>
  <c r="F187" i="1"/>
  <c r="K8" i="13"/>
  <c r="E63" i="11"/>
  <c r="D56" i="12"/>
  <c r="D57" i="12" s="1"/>
  <c r="BH113" i="16"/>
  <c r="BH110" i="16"/>
  <c r="BL19" i="11"/>
  <c r="CC14" i="12"/>
  <c r="CD14" i="12"/>
  <c r="Q37" i="13"/>
  <c r="H33" i="11"/>
  <c r="X57" i="11"/>
  <c r="E41" i="1"/>
  <c r="BI51" i="16"/>
  <c r="W10" i="11"/>
  <c r="BL131" i="16"/>
  <c r="BL138" i="16" s="1"/>
  <c r="BL145" i="16" s="1"/>
  <c r="BS53" i="16"/>
  <c r="AK70" i="16"/>
  <c r="BR111" i="16"/>
  <c r="BX112" i="16"/>
  <c r="F63" i="11"/>
  <c r="G106" i="16"/>
  <c r="BX95" i="16"/>
  <c r="CD110" i="16"/>
  <c r="E30" i="12"/>
  <c r="E36" i="12" s="1"/>
  <c r="P9" i="11"/>
  <c r="V9" i="11"/>
  <c r="R9" i="11"/>
  <c r="U29" i="11"/>
  <c r="T52" i="13"/>
  <c r="U26" i="13"/>
  <c r="V26" i="13" s="1"/>
  <c r="W26" i="13" s="1"/>
  <c r="AY33" i="11"/>
  <c r="AA26" i="13"/>
  <c r="AU37" i="13"/>
  <c r="AV37" i="13" s="1"/>
  <c r="I59" i="12"/>
  <c r="E57" i="12"/>
  <c r="AI29" i="11"/>
  <c r="C52" i="13"/>
  <c r="AH6" i="11"/>
  <c r="D52" i="12"/>
  <c r="F52" i="12"/>
  <c r="G11" i="11"/>
  <c r="G14" i="11" s="1"/>
  <c r="G62" i="11" s="1"/>
  <c r="G73" i="11" s="1"/>
  <c r="AM13" i="11"/>
  <c r="AM17" i="13"/>
  <c r="Y9" i="11"/>
  <c r="AF9" i="11"/>
  <c r="AI9" i="11"/>
  <c r="AN9" i="11"/>
  <c r="AZ112" i="16"/>
  <c r="CG113" i="16"/>
  <c r="AJ9" i="11"/>
  <c r="Q9" i="13"/>
  <c r="CQ53" i="16"/>
  <c r="CE110" i="16"/>
  <c r="CF85" i="16"/>
  <c r="BK111" i="16"/>
  <c r="BJ94" i="16"/>
  <c r="AG33" i="11"/>
  <c r="AF37" i="13"/>
  <c r="BI53" i="16"/>
  <c r="CE94" i="16"/>
  <c r="BO53" i="16"/>
  <c r="C59" i="12"/>
  <c r="AM42" i="13"/>
  <c r="AN52" i="13"/>
  <c r="BJ111" i="16"/>
  <c r="CB111" i="16"/>
  <c r="CF19" i="11"/>
  <c r="CE86" i="11"/>
  <c r="CD39" i="16"/>
  <c r="C30" i="12"/>
  <c r="E59" i="12"/>
  <c r="E60" i="12" s="1"/>
  <c r="BL13" i="11"/>
  <c r="Z52" i="13"/>
  <c r="O52" i="13"/>
  <c r="Y52" i="13"/>
  <c r="AY29" i="11"/>
  <c r="H30" i="12"/>
  <c r="H36" i="12" s="1"/>
  <c r="C14" i="12"/>
  <c r="F14" i="12"/>
  <c r="F22" i="12" s="1"/>
  <c r="K22" i="12"/>
  <c r="W22" i="12"/>
  <c r="AH57" i="11"/>
  <c r="N7" i="11"/>
  <c r="F44" i="12"/>
  <c r="AE9" i="11"/>
  <c r="AD10" i="11"/>
  <c r="AI10" i="11"/>
  <c r="AO9" i="11"/>
  <c r="AX10" i="11"/>
  <c r="AU9" i="11"/>
  <c r="BS51" i="16"/>
  <c r="BM53" i="16"/>
  <c r="G63" i="11"/>
  <c r="AK9" i="11"/>
  <c r="AP9" i="11"/>
  <c r="BI111" i="16"/>
  <c r="BR112" i="16"/>
  <c r="AJ143" i="1"/>
  <c r="AJ149" i="1" s="1"/>
  <c r="O22" i="12"/>
  <c r="X167" i="1"/>
  <c r="AI167" i="1"/>
  <c r="AY10" i="11"/>
  <c r="AY143" i="1"/>
  <c r="X54" i="11"/>
  <c r="G56" i="12"/>
  <c r="G57" i="12" s="1"/>
  <c r="H56" i="12"/>
  <c r="H14" i="12"/>
  <c r="R22" i="12"/>
  <c r="V22" i="12"/>
  <c r="AA22" i="12"/>
  <c r="T10" i="11"/>
  <c r="T9" i="11"/>
  <c r="X6" i="11"/>
  <c r="AH15" i="11"/>
  <c r="N19" i="11"/>
  <c r="N13" i="11"/>
  <c r="F59" i="12"/>
  <c r="H59" i="12"/>
  <c r="H63" i="11"/>
  <c r="H52" i="13"/>
  <c r="J20" i="13"/>
  <c r="Z9" i="13"/>
  <c r="AA9" i="13" s="1"/>
  <c r="Y63" i="11"/>
  <c r="Z29" i="13"/>
  <c r="AA29" i="13" s="1"/>
  <c r="AB29" i="13" s="1"/>
  <c r="AO28" i="13"/>
  <c r="AN36" i="13"/>
  <c r="AO29" i="11"/>
  <c r="AO33" i="11"/>
  <c r="AS29" i="11"/>
  <c r="AT33" i="11"/>
  <c r="AU29" i="11"/>
  <c r="AY6" i="13"/>
  <c r="AY26" i="13"/>
  <c r="AY40" i="13"/>
  <c r="AY86" i="11"/>
  <c r="BB9" i="11"/>
  <c r="N17" i="11"/>
  <c r="X13" i="11"/>
  <c r="G14" i="12"/>
  <c r="G22" i="12" s="1"/>
  <c r="V167" i="1"/>
  <c r="BC11" i="11"/>
  <c r="BC14" i="11" s="1"/>
  <c r="AT40" i="13"/>
  <c r="D37" i="1"/>
  <c r="BK94" i="16"/>
  <c r="BK93" i="16"/>
  <c r="BK113" i="16"/>
  <c r="CG53" i="16"/>
  <c r="BH112" i="16"/>
  <c r="E36" i="13"/>
  <c r="BZ131" i="16"/>
  <c r="BZ138" i="16" s="1"/>
  <c r="Y10" i="11"/>
  <c r="AK10" i="11"/>
  <c r="AO10" i="11"/>
  <c r="I56" i="12"/>
  <c r="I57" i="12" s="1"/>
  <c r="K70" i="16"/>
  <c r="D59" i="12"/>
  <c r="AQ59" i="11"/>
  <c r="AP29" i="11"/>
  <c r="AE10" i="11"/>
  <c r="AT6" i="13"/>
  <c r="BB15" i="11"/>
  <c r="DE187" i="1"/>
  <c r="BK110" i="16"/>
  <c r="AW29" i="13"/>
  <c r="AH54" i="11"/>
  <c r="U22" i="12"/>
  <c r="AM21" i="11"/>
  <c r="AM33" i="11" s="1"/>
  <c r="BK52" i="16"/>
  <c r="V8" i="13"/>
  <c r="BM52" i="16"/>
  <c r="AK33" i="11"/>
  <c r="X17" i="11"/>
  <c r="I70" i="16"/>
  <c r="I106" i="16" s="1"/>
  <c r="F106" i="16"/>
  <c r="M11" i="11"/>
  <c r="AR7" i="11"/>
  <c r="AX36" i="13"/>
  <c r="BF129" i="16"/>
  <c r="BF136" i="16" s="1"/>
  <c r="CD167" i="1"/>
  <c r="CZ187" i="1"/>
  <c r="D36" i="13"/>
  <c r="E20" i="13"/>
  <c r="I36" i="13"/>
  <c r="AD36" i="13"/>
  <c r="AK167" i="1"/>
  <c r="AC7" i="11"/>
  <c r="AH7" i="11"/>
  <c r="Z10" i="11"/>
  <c r="AF10" i="11"/>
  <c r="AJ10" i="11"/>
  <c r="AV29" i="11"/>
  <c r="BC51" i="16"/>
  <c r="AW6" i="11"/>
  <c r="L167" i="1"/>
  <c r="E52" i="12"/>
  <c r="C63" i="11"/>
  <c r="I14" i="12"/>
  <c r="I22" i="12" s="1"/>
  <c r="X19" i="11"/>
  <c r="AM57" i="11"/>
  <c r="N10" i="11"/>
  <c r="BA59" i="11"/>
  <c r="BC113" i="16"/>
  <c r="AP26" i="13"/>
  <c r="AM19" i="11"/>
  <c r="K6" i="13"/>
  <c r="H182" i="1"/>
  <c r="AF27" i="13"/>
  <c r="AM54" i="11"/>
  <c r="AM17" i="11"/>
  <c r="D63" i="11"/>
  <c r="E45" i="13"/>
  <c r="K27" i="13"/>
  <c r="P42" i="13"/>
  <c r="O45" i="13"/>
  <c r="U9" i="13"/>
  <c r="T63" i="11"/>
  <c r="U29" i="13"/>
  <c r="Z27" i="13"/>
  <c r="Z38" i="13"/>
  <c r="AA38" i="13" s="1"/>
  <c r="AK23" i="13"/>
  <c r="AJ8" i="13"/>
  <c r="AJ28" i="13"/>
  <c r="AO6" i="13"/>
  <c r="AQ29" i="11"/>
  <c r="AQ33" i="11"/>
  <c r="AW52" i="11"/>
  <c r="AV33" i="11"/>
  <c r="AP33" i="11"/>
  <c r="AW19" i="11"/>
  <c r="AO167" i="1"/>
  <c r="T33" i="11"/>
  <c r="T29" i="11"/>
  <c r="F56" i="12"/>
  <c r="U9" i="11"/>
  <c r="K11" i="11"/>
  <c r="K67" i="11" s="1"/>
  <c r="CC110" i="16"/>
  <c r="L47" i="1"/>
  <c r="AW54" i="11"/>
  <c r="AK29" i="11"/>
  <c r="BA29" i="11"/>
  <c r="AX167" i="1"/>
  <c r="AX33" i="11"/>
  <c r="F20" i="13"/>
  <c r="BA33" i="11"/>
  <c r="AZ51" i="16"/>
  <c r="AZ130" i="16"/>
  <c r="AZ137" i="16" s="1"/>
  <c r="BG84" i="16"/>
  <c r="AT19" i="13"/>
  <c r="AU19" i="13" s="1"/>
  <c r="BT113" i="16"/>
  <c r="CB94" i="16"/>
  <c r="D20" i="13"/>
  <c r="BI52" i="16"/>
  <c r="BL84" i="16"/>
  <c r="BJ52" i="16"/>
  <c r="BR110" i="16"/>
  <c r="BV85" i="16"/>
  <c r="AQ70" i="16"/>
  <c r="AX53" i="16"/>
  <c r="AV125" i="16"/>
  <c r="BC130" i="16"/>
  <c r="BC137" i="16" s="1"/>
  <c r="AX113" i="16"/>
  <c r="BW51" i="16"/>
  <c r="BZ112" i="16"/>
  <c r="BZ40" i="16"/>
  <c r="F74" i="12"/>
  <c r="D44" i="12"/>
  <c r="G44" i="12"/>
  <c r="E44" i="12"/>
  <c r="Q22" i="12"/>
  <c r="W29" i="11"/>
  <c r="W59" i="11"/>
  <c r="Q33" i="11"/>
  <c r="Q29" i="11"/>
  <c r="V29" i="11"/>
  <c r="V33" i="11"/>
  <c r="AA29" i="11"/>
  <c r="AB29" i="11"/>
  <c r="S57" i="11"/>
  <c r="N15" i="11"/>
  <c r="AC19" i="11"/>
  <c r="H11" i="11"/>
  <c r="AH19" i="11"/>
  <c r="AC17" i="11"/>
  <c r="S19" i="11"/>
  <c r="S17" i="11"/>
  <c r="J33" i="11"/>
  <c r="AH13" i="11"/>
  <c r="S13" i="11"/>
  <c r="I11" i="11"/>
  <c r="I67" i="11" s="1"/>
  <c r="AM15" i="11"/>
  <c r="AB10" i="11"/>
  <c r="N57" i="11"/>
  <c r="E74" i="12"/>
  <c r="H75" i="12"/>
  <c r="H76" i="12" s="1"/>
  <c r="AR15" i="11"/>
  <c r="AR19" i="11"/>
  <c r="J29" i="11"/>
  <c r="AP10" i="11"/>
  <c r="BV13" i="11"/>
  <c r="J70" i="16"/>
  <c r="AX52" i="16"/>
  <c r="AX132" i="16"/>
  <c r="AX139" i="16" s="1"/>
  <c r="AX146" i="16" s="1"/>
  <c r="AT125" i="16"/>
  <c r="AS125" i="16"/>
  <c r="BA112" i="16"/>
  <c r="BA111" i="16"/>
  <c r="BB85" i="16"/>
  <c r="BG130" i="16"/>
  <c r="BG137" i="16" s="1"/>
  <c r="BG144" i="16" s="1"/>
  <c r="BD53" i="16"/>
  <c r="BH52" i="16"/>
  <c r="BH132" i="16"/>
  <c r="BH139" i="16" s="1"/>
  <c r="BY95" i="16"/>
  <c r="BU111" i="16"/>
  <c r="BT94" i="16"/>
  <c r="BU113" i="16"/>
  <c r="BP112" i="16"/>
  <c r="BJ95" i="16"/>
  <c r="BT53" i="16"/>
  <c r="BK95" i="16"/>
  <c r="BM95" i="16"/>
  <c r="BK53" i="16"/>
  <c r="BN96" i="16"/>
  <c r="BT51" i="16"/>
  <c r="BR113" i="16"/>
  <c r="BF113" i="16"/>
  <c r="BF53" i="16"/>
  <c r="BF52" i="16"/>
  <c r="BR53" i="16"/>
  <c r="BH53" i="16"/>
  <c r="BY93" i="16"/>
  <c r="BZ94" i="16"/>
  <c r="BZ96" i="16"/>
  <c r="CC113" i="16"/>
  <c r="CD53" i="16"/>
  <c r="CD93" i="16"/>
  <c r="CD95" i="16"/>
  <c r="CE40" i="16"/>
  <c r="AA70" i="16"/>
  <c r="Y70" i="16"/>
  <c r="AN70" i="16"/>
  <c r="AI70" i="16"/>
  <c r="AY70" i="16"/>
  <c r="AW125" i="16"/>
  <c r="AX130" i="16"/>
  <c r="AX137" i="16" s="1"/>
  <c r="AX144" i="16" s="1"/>
  <c r="AY51" i="16"/>
  <c r="BE132" i="16"/>
  <c r="BE139" i="16" s="1"/>
  <c r="BX53" i="16"/>
  <c r="BX111" i="16"/>
  <c r="CG40" i="16"/>
  <c r="CC52" i="16"/>
  <c r="CC95" i="16"/>
  <c r="CC53" i="16"/>
  <c r="BZ110" i="16"/>
  <c r="BZ111" i="16"/>
  <c r="BY94" i="16"/>
  <c r="BY111" i="16"/>
  <c r="BZ39" i="16"/>
  <c r="CD113" i="16"/>
  <c r="CD94" i="16"/>
  <c r="CD111" i="16"/>
  <c r="CE111" i="16"/>
  <c r="BU39" i="16"/>
  <c r="BT112" i="16"/>
  <c r="BY40" i="16"/>
  <c r="BY53" i="16"/>
  <c r="CE52" i="16"/>
  <c r="BP111" i="16"/>
  <c r="BU53" i="16"/>
  <c r="BU95" i="16"/>
  <c r="CD51" i="16"/>
  <c r="BW112" i="16"/>
  <c r="BO52" i="16"/>
  <c r="BR51" i="16"/>
  <c r="BP96" i="16"/>
  <c r="BN95" i="16"/>
  <c r="CB52" i="16"/>
  <c r="BN53" i="16"/>
  <c r="BP94" i="16"/>
  <c r="BN94" i="16"/>
  <c r="BA132" i="16"/>
  <c r="BA139" i="16" s="1"/>
  <c r="AZ125" i="16"/>
  <c r="BH94" i="16"/>
  <c r="BC111" i="16"/>
  <c r="CB96" i="16"/>
  <c r="CB40" i="16"/>
  <c r="BS111" i="16"/>
  <c r="BU129" i="16"/>
  <c r="BU136" i="16" s="1"/>
  <c r="CI33" i="16"/>
  <c r="CM34" i="16"/>
  <c r="K143" i="1"/>
  <c r="K149" i="1" s="1"/>
  <c r="AE143" i="1"/>
  <c r="AE149" i="1" s="1"/>
  <c r="U143" i="1"/>
  <c r="U149" i="1" s="1"/>
  <c r="O143" i="1"/>
  <c r="O149" i="1" s="1"/>
  <c r="AA143" i="1"/>
  <c r="AA149" i="1" s="1"/>
  <c r="AD95" i="1"/>
  <c r="Q167" i="1"/>
  <c r="I167" i="1"/>
  <c r="D14" i="12"/>
  <c r="AG10" i="11"/>
  <c r="BK117" i="1"/>
  <c r="BL139" i="1"/>
  <c r="BT167" i="1"/>
  <c r="BV139" i="1"/>
  <c r="BU139" i="1"/>
  <c r="CC9" i="11"/>
  <c r="CC86" i="11" s="1"/>
  <c r="BG139" i="1"/>
  <c r="BL117" i="1"/>
  <c r="BS70" i="16"/>
  <c r="BW139" i="1"/>
  <c r="CB139" i="1"/>
  <c r="CB143" i="1" s="1"/>
  <c r="BQ154" i="1"/>
  <c r="BV154" i="1"/>
  <c r="BV157" i="1" s="1"/>
  <c r="BP59" i="1"/>
  <c r="BP68" i="1" s="1"/>
  <c r="BS111" i="1"/>
  <c r="BS117" i="1" s="1"/>
  <c r="BS143" i="1" s="1"/>
  <c r="CB167" i="1"/>
  <c r="AT10" i="11"/>
  <c r="AV11" i="11"/>
  <c r="AV14" i="11" s="1"/>
  <c r="AQ9" i="11"/>
  <c r="AR6" i="11"/>
  <c r="M76" i="1"/>
  <c r="M83" i="1" s="1"/>
  <c r="M93" i="1" s="1"/>
  <c r="F29" i="11"/>
  <c r="R10" i="11"/>
  <c r="N9" i="11"/>
  <c r="AO52" i="13"/>
  <c r="AB37" i="13"/>
  <c r="AC37" i="13" s="1"/>
  <c r="Q28" i="13"/>
  <c r="AZ23" i="13"/>
  <c r="BA23" i="13" s="1"/>
  <c r="AB139" i="1"/>
  <c r="AC143" i="1"/>
  <c r="AA95" i="1"/>
  <c r="Y95" i="1"/>
  <c r="T95" i="1"/>
  <c r="M59" i="1"/>
  <c r="N68" i="1"/>
  <c r="M68" i="1" s="1"/>
  <c r="J47" i="1"/>
  <c r="F35" i="1"/>
  <c r="F37" i="1" s="1"/>
  <c r="F29" i="1"/>
  <c r="D39" i="1"/>
  <c r="D41" i="1" s="1"/>
  <c r="D47" i="1"/>
  <c r="AI143" i="1"/>
  <c r="AI149" i="1" s="1"/>
  <c r="AK95" i="1"/>
  <c r="AI95" i="1"/>
  <c r="AJ95" i="1"/>
  <c r="AE95" i="1"/>
  <c r="C29" i="1"/>
  <c r="J167" i="1"/>
  <c r="O167" i="1"/>
  <c r="K167" i="1"/>
  <c r="P167" i="1"/>
  <c r="N167" i="1"/>
  <c r="S167" i="1"/>
  <c r="H52" i="12"/>
  <c r="G52" i="12"/>
  <c r="D30" i="12"/>
  <c r="D36" i="12" s="1"/>
  <c r="M17" i="13"/>
  <c r="N17" i="13" s="1"/>
  <c r="M42" i="13"/>
  <c r="N42" i="13" s="1"/>
  <c r="M39" i="13"/>
  <c r="N39" i="13" s="1"/>
  <c r="R16" i="13"/>
  <c r="S16" i="13" s="1"/>
  <c r="W44" i="13"/>
  <c r="X44" i="13" s="1"/>
  <c r="W46" i="13"/>
  <c r="X46" i="13" s="1"/>
  <c r="AB23" i="13"/>
  <c r="AC23" i="13" s="1"/>
  <c r="AB44" i="13"/>
  <c r="AC44" i="13" s="1"/>
  <c r="AB46" i="13"/>
  <c r="AC46" i="13" s="1"/>
  <c r="AG17" i="13"/>
  <c r="AH17" i="13" s="1"/>
  <c r="AG44" i="13"/>
  <c r="AH44" i="13" s="1"/>
  <c r="AG46" i="13"/>
  <c r="AH46" i="13" s="1"/>
  <c r="AH167" i="1"/>
  <c r="AJ167" i="1"/>
  <c r="O9" i="11"/>
  <c r="O86" i="11" s="1"/>
  <c r="S6" i="11"/>
  <c r="H106" i="16"/>
  <c r="BC117" i="1"/>
  <c r="BG59" i="1"/>
  <c r="BG68" i="1" s="1"/>
  <c r="BG76" i="1"/>
  <c r="BG83" i="1" s="1"/>
  <c r="BG93" i="1" s="1"/>
  <c r="BG129" i="1"/>
  <c r="BL59" i="1"/>
  <c r="BL68" i="1" s="1"/>
  <c r="BL76" i="1"/>
  <c r="BL83" i="1" s="1"/>
  <c r="BL93" i="1" s="1"/>
  <c r="BQ139" i="1"/>
  <c r="BV59" i="1"/>
  <c r="BV68" i="1" s="1"/>
  <c r="BV129" i="1"/>
  <c r="CA117" i="1"/>
  <c r="BP129" i="16"/>
  <c r="BP136" i="16" s="1"/>
  <c r="BR129" i="1"/>
  <c r="BU111" i="1"/>
  <c r="BV111" i="1" s="1"/>
  <c r="BU11" i="11"/>
  <c r="BU67" i="11" s="1"/>
  <c r="BW131" i="16"/>
  <c r="BW138" i="16" s="1"/>
  <c r="BW167" i="1"/>
  <c r="BX52" i="16"/>
  <c r="CB95" i="16"/>
  <c r="DE182" i="1"/>
  <c r="CZ182" i="1"/>
  <c r="CP187" i="1"/>
  <c r="CF117" i="1"/>
  <c r="CG139" i="1"/>
  <c r="CG143" i="1" s="1"/>
  <c r="BG21" i="11"/>
  <c r="BR125" i="16"/>
  <c r="BN86" i="11"/>
  <c r="CE51" i="16"/>
  <c r="CE53" i="16"/>
  <c r="CF84" i="16"/>
  <c r="CE112" i="16"/>
  <c r="CF15" i="11"/>
  <c r="CG110" i="16"/>
  <c r="AP143" i="1"/>
  <c r="BB17" i="11"/>
  <c r="BX143" i="1"/>
  <c r="AK26" i="13"/>
  <c r="BD110" i="16"/>
  <c r="CG95" i="16"/>
  <c r="CG70" i="16"/>
  <c r="CK70" i="16"/>
  <c r="CK21" i="11"/>
  <c r="CE93" i="16"/>
  <c r="CF17" i="11"/>
  <c r="CG51" i="16"/>
  <c r="CG112" i="16"/>
  <c r="BD113" i="16"/>
  <c r="AK37" i="13"/>
  <c r="BE110" i="16"/>
  <c r="AI20" i="13"/>
  <c r="AP9" i="13"/>
  <c r="BD51" i="16"/>
  <c r="AG76" i="1"/>
  <c r="AG83" i="1" s="1"/>
  <c r="AG93" i="1" s="1"/>
  <c r="D29" i="11"/>
  <c r="E29" i="11"/>
  <c r="F33" i="11"/>
  <c r="I29" i="11"/>
  <c r="H74" i="12"/>
  <c r="I74" i="12"/>
  <c r="M59" i="11"/>
  <c r="N54" i="11"/>
  <c r="S54" i="11"/>
  <c r="AC54" i="11"/>
  <c r="C20" i="13"/>
  <c r="C45" i="13"/>
  <c r="O29" i="11"/>
  <c r="O33" i="11"/>
  <c r="X21" i="11"/>
  <c r="X33" i="11" s="1"/>
  <c r="Y33" i="11"/>
  <c r="Y29" i="11"/>
  <c r="AF29" i="11"/>
  <c r="AF33" i="11"/>
  <c r="AD33" i="11"/>
  <c r="AJ33" i="11"/>
  <c r="AJ29" i="11"/>
  <c r="C56" i="12"/>
  <c r="D72" i="12"/>
  <c r="E14" i="12"/>
  <c r="G72" i="12"/>
  <c r="H72" i="12"/>
  <c r="Y22" i="12"/>
  <c r="Z22" i="12"/>
  <c r="C11" i="11"/>
  <c r="C14" i="11" s="1"/>
  <c r="D11" i="11"/>
  <c r="D67" i="11" s="1"/>
  <c r="D75" i="12"/>
  <c r="D76" i="12" s="1"/>
  <c r="F75" i="12"/>
  <c r="F76" i="12" s="1"/>
  <c r="F11" i="11"/>
  <c r="F14" i="11" s="1"/>
  <c r="F62" i="11" s="1"/>
  <c r="F73" i="11" s="1"/>
  <c r="G74" i="12"/>
  <c r="G75" i="12"/>
  <c r="G76" i="12" s="1"/>
  <c r="AN143" i="1"/>
  <c r="F52" i="13"/>
  <c r="F45" i="13"/>
  <c r="G52" i="13"/>
  <c r="I63" i="11"/>
  <c r="I45" i="13"/>
  <c r="O20" i="13"/>
  <c r="P8" i="13"/>
  <c r="P63" i="11" s="1"/>
  <c r="O63" i="11"/>
  <c r="O36" i="13"/>
  <c r="P40" i="13"/>
  <c r="U40" i="13"/>
  <c r="Z40" i="13"/>
  <c r="Y45" i="13"/>
  <c r="AE23" i="13"/>
  <c r="AF23" i="13" s="1"/>
  <c r="AG23" i="13" s="1"/>
  <c r="AH23" i="13" s="1"/>
  <c r="AD20" i="13"/>
  <c r="AE8" i="13"/>
  <c r="AD63" i="11"/>
  <c r="AE40" i="13"/>
  <c r="AI63" i="11"/>
  <c r="AI52" i="13"/>
  <c r="AJ41" i="13"/>
  <c r="AJ39" i="13"/>
  <c r="AK39" i="13" s="1"/>
  <c r="AL39" i="13" s="1"/>
  <c r="AI45" i="13"/>
  <c r="AO40" i="13"/>
  <c r="AO38" i="13"/>
  <c r="AO21" i="13"/>
  <c r="AN20" i="13"/>
  <c r="AP18" i="13"/>
  <c r="AQ18" i="13" s="1"/>
  <c r="AN63" i="11"/>
  <c r="AR54" i="11"/>
  <c r="AR21" i="11"/>
  <c r="AR29" i="11" s="1"/>
  <c r="AN33" i="11"/>
  <c r="AR17" i="11"/>
  <c r="AR13" i="11"/>
  <c r="AN10" i="11"/>
  <c r="P29" i="11"/>
  <c r="Z29" i="11"/>
  <c r="AE29" i="11"/>
  <c r="Z33" i="11"/>
  <c r="AE33" i="11"/>
  <c r="AS57" i="11"/>
  <c r="AS70" i="16"/>
  <c r="AS33" i="11"/>
  <c r="AW21" i="11"/>
  <c r="AS143" i="1"/>
  <c r="AS63" i="11"/>
  <c r="AT9" i="13"/>
  <c r="AT17" i="13"/>
  <c r="AU17" i="13" s="1"/>
  <c r="AV17" i="13" s="1"/>
  <c r="AS52" i="13"/>
  <c r="AS36" i="13"/>
  <c r="AS45" i="13"/>
  <c r="AZ29" i="11"/>
  <c r="AZ33" i="11"/>
  <c r="BB21" i="11"/>
  <c r="BA57" i="11"/>
  <c r="BA70" i="16"/>
  <c r="BB19" i="11"/>
  <c r="AX86" i="11"/>
  <c r="BA86" i="11"/>
  <c r="AX51" i="16"/>
  <c r="BA51" i="16"/>
  <c r="AZ52" i="16"/>
  <c r="AY52" i="16"/>
  <c r="BA52" i="16"/>
  <c r="BC52" i="16"/>
  <c r="AY53" i="16"/>
  <c r="AZ53" i="16"/>
  <c r="BC53" i="16"/>
  <c r="BA53" i="16"/>
  <c r="AY131" i="16"/>
  <c r="AY138" i="16" s="1"/>
  <c r="AX131" i="16"/>
  <c r="AX138" i="16" s="1"/>
  <c r="AX145" i="16" s="1"/>
  <c r="AZ131" i="16"/>
  <c r="AZ138" i="16" s="1"/>
  <c r="BA131" i="16"/>
  <c r="BA138" i="16" s="1"/>
  <c r="BD131" i="16"/>
  <c r="BD138" i="16" s="1"/>
  <c r="BC131" i="16"/>
  <c r="BC138" i="16" s="1"/>
  <c r="AY132" i="16"/>
  <c r="AY139" i="16" s="1"/>
  <c r="AZ132" i="16"/>
  <c r="AZ139" i="16" s="1"/>
  <c r="AU125" i="16"/>
  <c r="AX125" i="16"/>
  <c r="AX129" i="16"/>
  <c r="AX136" i="16" s="1"/>
  <c r="AX143" i="16" s="1"/>
  <c r="AY129" i="16"/>
  <c r="AY136" i="16" s="1"/>
  <c r="AZ129" i="16"/>
  <c r="AZ136" i="16" s="1"/>
  <c r="BA129" i="16"/>
  <c r="BA136" i="16" s="1"/>
  <c r="BD129" i="16"/>
  <c r="BD136" i="16" s="1"/>
  <c r="BC125" i="16"/>
  <c r="BG125" i="16"/>
  <c r="BH129" i="16"/>
  <c r="BH136" i="16" s="1"/>
  <c r="AY125" i="16"/>
  <c r="AY130" i="16"/>
  <c r="AY137" i="16" s="1"/>
  <c r="BA125" i="16"/>
  <c r="BA130" i="16"/>
  <c r="BA137" i="16" s="1"/>
  <c r="BF130" i="16"/>
  <c r="BF137" i="16" s="1"/>
  <c r="BF125" i="16"/>
  <c r="AY112" i="16"/>
  <c r="AX112" i="16"/>
  <c r="AY113" i="16"/>
  <c r="BA113" i="16"/>
  <c r="AZ113" i="16"/>
  <c r="AW84" i="16"/>
  <c r="BB84" i="16"/>
  <c r="AY110" i="16"/>
  <c r="AZ110" i="16"/>
  <c r="BA110" i="16"/>
  <c r="BC110" i="16"/>
  <c r="AZ111" i="16"/>
  <c r="AY111" i="16"/>
  <c r="AW85" i="16"/>
  <c r="AX70" i="16"/>
  <c r="BB125" i="16"/>
  <c r="AK143" i="1"/>
  <c r="AK149" i="1" s="1"/>
  <c r="BC112" i="16"/>
  <c r="BH95" i="16"/>
  <c r="BC70" i="16"/>
  <c r="BS9" i="11"/>
  <c r="BN10" i="11"/>
  <c r="BP167" i="1"/>
  <c r="BU131" i="16"/>
  <c r="BU138" i="16" s="1"/>
  <c r="BT131" i="16"/>
  <c r="BT138" i="16" s="1"/>
  <c r="CA21" i="11"/>
  <c r="BW132" i="16"/>
  <c r="BW139" i="16" s="1"/>
  <c r="BX63" i="11"/>
  <c r="BW63" i="11"/>
  <c r="CA13" i="11"/>
  <c r="U167" i="1"/>
  <c r="BH93" i="16"/>
  <c r="BH96" i="16"/>
  <c r="BH130" i="16"/>
  <c r="BH137" i="16" s="1"/>
  <c r="BH131" i="16"/>
  <c r="BH138" i="16" s="1"/>
  <c r="BI70" i="16"/>
  <c r="BI130" i="16"/>
  <c r="BI137" i="16" s="1"/>
  <c r="BM11" i="11"/>
  <c r="BQ21" i="11"/>
  <c r="BN52" i="16"/>
  <c r="J143" i="1"/>
  <c r="J149" i="1" s="1"/>
  <c r="C52" i="12"/>
  <c r="AC6" i="11"/>
  <c r="AG9" i="11"/>
  <c r="BD132" i="16"/>
  <c r="BD139" i="16" s="1"/>
  <c r="BF11" i="11"/>
  <c r="BF14" i="11" s="1"/>
  <c r="BY131" i="16"/>
  <c r="BY138" i="16" s="1"/>
  <c r="CF21" i="11"/>
  <c r="CE132" i="16"/>
  <c r="CE139" i="16" s="1"/>
  <c r="BZ33" i="16"/>
  <c r="BT70" i="16"/>
  <c r="BU130" i="16"/>
  <c r="BU137" i="16" s="1"/>
  <c r="BW70" i="16"/>
  <c r="BX129" i="16"/>
  <c r="BX136" i="16" s="1"/>
  <c r="BX131" i="16"/>
  <c r="BX138" i="16" s="1"/>
  <c r="BZ129" i="16"/>
  <c r="BZ136" i="16" s="1"/>
  <c r="CF13" i="11"/>
  <c r="CD143" i="1"/>
  <c r="CU38" i="12"/>
  <c r="CU28" i="12"/>
  <c r="CU35" i="12"/>
  <c r="CU33" i="12"/>
  <c r="CU39" i="12"/>
  <c r="CU21" i="12"/>
  <c r="G20" i="13"/>
  <c r="CR106" i="16"/>
  <c r="CT106" i="16"/>
  <c r="CQ115" i="16"/>
  <c r="BA27" i="13"/>
  <c r="M21" i="13"/>
  <c r="N21" i="13" s="1"/>
  <c r="AV38" i="13"/>
  <c r="AW38" i="13" s="1"/>
  <c r="AV52" i="13"/>
  <c r="AZ41" i="13"/>
  <c r="AA28" i="13"/>
  <c r="AT52" i="13"/>
  <c r="CI63" i="11"/>
  <c r="P52" i="13"/>
  <c r="AW26" i="13"/>
  <c r="AU52" i="13"/>
  <c r="AW16" i="13"/>
  <c r="Q26" i="13"/>
  <c r="BD63" i="11"/>
  <c r="AW41" i="13"/>
  <c r="W21" i="13"/>
  <c r="AB41" i="13"/>
  <c r="AC41" i="13" s="1"/>
  <c r="K19" i="13"/>
  <c r="J63" i="11"/>
  <c r="K9" i="13"/>
  <c r="J36" i="13"/>
  <c r="K44" i="13"/>
  <c r="K41" i="13"/>
  <c r="J45" i="13"/>
  <c r="K37" i="13"/>
  <c r="P20" i="13"/>
  <c r="P18" i="13"/>
  <c r="U23" i="13"/>
  <c r="T20" i="13"/>
  <c r="U17" i="13"/>
  <c r="U6" i="13"/>
  <c r="U27" i="13"/>
  <c r="T36" i="13"/>
  <c r="U42" i="13"/>
  <c r="T45" i="13"/>
  <c r="U38" i="13"/>
  <c r="Y20" i="13"/>
  <c r="Z19" i="13"/>
  <c r="AA19" i="13" s="1"/>
  <c r="AB19" i="13" s="1"/>
  <c r="AC19" i="13" s="1"/>
  <c r="AO39" i="13"/>
  <c r="AN45" i="13"/>
  <c r="AY16" i="13"/>
  <c r="AX20" i="13"/>
  <c r="AY29" i="13"/>
  <c r="AX45" i="13"/>
  <c r="AZ39" i="13"/>
  <c r="C36" i="13"/>
  <c r="AR46" i="13"/>
  <c r="AM16" i="13"/>
  <c r="W41" i="13"/>
  <c r="BM63" i="11"/>
  <c r="AK38" i="13"/>
  <c r="G45" i="13"/>
  <c r="H36" i="13"/>
  <c r="H45" i="13"/>
  <c r="AO42" i="13"/>
  <c r="AT28" i="13"/>
  <c r="AT42" i="13"/>
  <c r="AK29" i="13"/>
  <c r="E52" i="13"/>
  <c r="P38" i="13"/>
  <c r="Z42" i="13"/>
  <c r="AE19" i="13"/>
  <c r="AE42" i="13"/>
  <c r="AD45" i="13"/>
  <c r="AE38" i="13"/>
  <c r="AJ19" i="13"/>
  <c r="AI36" i="13"/>
  <c r="AJ44" i="13"/>
  <c r="AK44" i="13" s="1"/>
  <c r="AL44" i="13" s="1"/>
  <c r="AM44" i="13" s="1"/>
  <c r="AJ40" i="13"/>
  <c r="AO16" i="13"/>
  <c r="AS20" i="13"/>
  <c r="BH63" i="11"/>
  <c r="CJ63" i="11"/>
  <c r="I20" i="13"/>
  <c r="CG63" i="11"/>
  <c r="CH63" i="11"/>
  <c r="BD10" i="11"/>
  <c r="CG93" i="16"/>
  <c r="BX39" i="16"/>
  <c r="BX96" i="16"/>
  <c r="E71" i="16"/>
  <c r="E89" i="16" s="1"/>
  <c r="O70" i="16"/>
  <c r="AD70" i="16"/>
  <c r="L70" i="16"/>
  <c r="AJ70" i="16"/>
  <c r="AU57" i="11"/>
  <c r="AU70" i="16"/>
  <c r="BL132" i="16"/>
  <c r="BL139" i="16" s="1"/>
  <c r="BL146" i="16" s="1"/>
  <c r="V59" i="16"/>
  <c r="CC51" i="16"/>
  <c r="BX93" i="16"/>
  <c r="CC39" i="16"/>
  <c r="BX40" i="16"/>
  <c r="BP132" i="16"/>
  <c r="BP139" i="16" s="1"/>
  <c r="BX33" i="16"/>
  <c r="BR129" i="16"/>
  <c r="BR136" i="16" s="1"/>
  <c r="BM129" i="16"/>
  <c r="BM136" i="16" s="1"/>
  <c r="BM131" i="16"/>
  <c r="BM138" i="16" s="1"/>
  <c r="CC112" i="16"/>
  <c r="BW95" i="16"/>
  <c r="BS112" i="16"/>
  <c r="CC96" i="16"/>
  <c r="CC94" i="16"/>
  <c r="BX94" i="16"/>
  <c r="BS40" i="16"/>
  <c r="CG39" i="16"/>
  <c r="CB70" i="16"/>
  <c r="CI34" i="16"/>
  <c r="CE131" i="16"/>
  <c r="CE138" i="16" s="1"/>
  <c r="CM33" i="16"/>
  <c r="BI131" i="16"/>
  <c r="BI138" i="16" s="1"/>
  <c r="CC111" i="16"/>
  <c r="BX113" i="16"/>
  <c r="CC93" i="16"/>
  <c r="BR132" i="16"/>
  <c r="BR139" i="16" s="1"/>
  <c r="BS125" i="16"/>
  <c r="BT130" i="16"/>
  <c r="BT137" i="16" s="1"/>
  <c r="BX132" i="16"/>
  <c r="BX139" i="16" s="1"/>
  <c r="BO95" i="16"/>
  <c r="BE131" i="16"/>
  <c r="BE138" i="16" s="1"/>
  <c r="BF70" i="16"/>
  <c r="BN131" i="16"/>
  <c r="BN138" i="16" s="1"/>
  <c r="BN47" i="16"/>
  <c r="BO132" i="16"/>
  <c r="BO139" i="16" s="1"/>
  <c r="BO129" i="16"/>
  <c r="BO136" i="16" s="1"/>
  <c r="BF131" i="16"/>
  <c r="BF138" i="16" s="1"/>
  <c r="BN130" i="16"/>
  <c r="BN137" i="16" s="1"/>
  <c r="BD130" i="16"/>
  <c r="BD137" i="16" s="1"/>
  <c r="BL125" i="16"/>
  <c r="BS39" i="16"/>
  <c r="BP125" i="16"/>
  <c r="CL33" i="16"/>
  <c r="CL34" i="16"/>
  <c r="CD70" i="16"/>
  <c r="AA17" i="13"/>
  <c r="AB17" i="13" s="1"/>
  <c r="AC17" i="13" s="1"/>
  <c r="BC129" i="16"/>
  <c r="BC136" i="16" s="1"/>
  <c r="BO111" i="16"/>
  <c r="CE70" i="16"/>
  <c r="X7" i="11"/>
  <c r="BO125" i="16"/>
  <c r="BU125" i="16"/>
  <c r="BX125" i="16"/>
  <c r="M29" i="13"/>
  <c r="AC13" i="11"/>
  <c r="BH70" i="16"/>
  <c r="BO143" i="1"/>
  <c r="BY9" i="11"/>
  <c r="CB14" i="12"/>
  <c r="BI94" i="16"/>
  <c r="BY132" i="16"/>
  <c r="BY139" i="16" s="1"/>
  <c r="BZ130" i="16"/>
  <c r="BZ137" i="16" s="1"/>
  <c r="BZ125" i="16"/>
  <c r="V10" i="11"/>
  <c r="BK132" i="16"/>
  <c r="BK139" i="16" s="1"/>
  <c r="BY130" i="16"/>
  <c r="BY137" i="16" s="1"/>
  <c r="CC143" i="1"/>
  <c r="CG167" i="1"/>
  <c r="CG14" i="12"/>
  <c r="CG22" i="12" s="1"/>
  <c r="R59" i="11"/>
  <c r="AB59" i="11"/>
  <c r="Q70" i="16"/>
  <c r="N6" i="11"/>
  <c r="BK130" i="16"/>
  <c r="BK137" i="16" s="1"/>
  <c r="BN125" i="16"/>
  <c r="BQ13" i="11"/>
  <c r="BT125" i="16"/>
  <c r="BY125" i="16"/>
  <c r="CG94" i="16"/>
  <c r="AV44" i="13"/>
  <c r="AW44" i="13" s="1"/>
  <c r="AV8" i="13"/>
  <c r="CP63" i="11"/>
  <c r="K33" i="11"/>
  <c r="AG59" i="11"/>
  <c r="CK17" i="11"/>
  <c r="S7" i="11"/>
  <c r="D74" i="12"/>
  <c r="I72" i="12"/>
  <c r="E33" i="11"/>
  <c r="AL33" i="11"/>
  <c r="K29" i="11"/>
  <c r="AD29" i="11"/>
  <c r="AL29" i="11"/>
  <c r="I59" i="11"/>
  <c r="AL59" i="11"/>
  <c r="AU33" i="11"/>
  <c r="BL21" i="11"/>
  <c r="AC21" i="11"/>
  <c r="S15" i="11"/>
  <c r="Q9" i="11"/>
  <c r="CN54" i="13"/>
  <c r="CM54" i="13"/>
  <c r="CL54" i="13"/>
  <c r="AW15" i="11"/>
  <c r="W37" i="13"/>
  <c r="AQ29" i="13"/>
  <c r="AH21" i="11"/>
  <c r="AH33" i="11" s="1"/>
  <c r="K28" i="13"/>
  <c r="AT18" i="13"/>
  <c r="BJ131" i="16"/>
  <c r="BJ138" i="16" s="1"/>
  <c r="BD70" i="16"/>
  <c r="BE11" i="11"/>
  <c r="BE70" i="16"/>
  <c r="BJ125" i="16"/>
  <c r="BE130" i="16"/>
  <c r="BE137" i="16" s="1"/>
  <c r="BH125" i="16"/>
  <c r="BK11" i="11"/>
  <c r="BK14" i="11" s="1"/>
  <c r="BY129" i="16"/>
  <c r="BY136" i="16" s="1"/>
  <c r="CE14" i="12"/>
  <c r="CJ33" i="16"/>
  <c r="CD132" i="16"/>
  <c r="CD139" i="16" s="1"/>
  <c r="BM130" i="16"/>
  <c r="BM137" i="16" s="1"/>
  <c r="BM132" i="16"/>
  <c r="BM139" i="16" s="1"/>
  <c r="BR95" i="16"/>
  <c r="BQ15" i="11"/>
  <c r="BS96" i="16"/>
  <c r="BO113" i="16"/>
  <c r="BS129" i="16"/>
  <c r="BS136" i="16" s="1"/>
  <c r="BS130" i="16"/>
  <c r="BS137" i="16" s="1"/>
  <c r="CA22" i="12"/>
  <c r="CJ34" i="16"/>
  <c r="BS94" i="16"/>
  <c r="BZ132" i="16"/>
  <c r="BZ139" i="16" s="1"/>
  <c r="CC131" i="16"/>
  <c r="CC138" i="16" s="1"/>
  <c r="CD125" i="16"/>
  <c r="CG132" i="16"/>
  <c r="CG139" i="16" s="1"/>
  <c r="CJ146" i="16" s="1"/>
  <c r="CG34" i="16"/>
  <c r="CJ93" i="16"/>
  <c r="R44" i="13"/>
  <c r="AR44" i="13"/>
  <c r="R19" i="13"/>
  <c r="I35" i="1"/>
  <c r="I29" i="1"/>
  <c r="G29" i="1"/>
  <c r="G39" i="1"/>
  <c r="G41" i="1" s="1"/>
  <c r="G35" i="1"/>
  <c r="E35" i="1"/>
  <c r="E37" i="1" s="1"/>
  <c r="E29" i="1"/>
  <c r="C35" i="1"/>
  <c r="C39" i="1"/>
  <c r="AB33" i="11"/>
  <c r="AW21" i="13"/>
  <c r="AV46" i="13"/>
  <c r="BI93" i="16"/>
  <c r="BI125" i="16"/>
  <c r="BJ129" i="16"/>
  <c r="BJ136" i="16" s="1"/>
  <c r="BJ132" i="16"/>
  <c r="BJ139" i="16" s="1"/>
  <c r="BI132" i="16"/>
  <c r="BI139" i="16" s="1"/>
  <c r="BB187" i="1"/>
  <c r="BJ11" i="11"/>
  <c r="BJ14" i="11" s="1"/>
  <c r="BJ18" i="11" s="1"/>
  <c r="BJ75" i="11" s="1"/>
  <c r="BK125" i="16"/>
  <c r="BK129" i="16"/>
  <c r="BK136" i="16" s="1"/>
  <c r="AE28" i="13"/>
  <c r="AU39" i="13"/>
  <c r="BI96" i="16"/>
  <c r="BI95" i="16"/>
  <c r="BH86" i="11"/>
  <c r="BH11" i="11"/>
  <c r="BH14" i="11" s="1"/>
  <c r="BJ130" i="16"/>
  <c r="BJ137" i="16" s="1"/>
  <c r="BJ167" i="1"/>
  <c r="BJ143" i="1"/>
  <c r="BP131" i="16"/>
  <c r="BP138" i="16" s="1"/>
  <c r="BO131" i="16"/>
  <c r="BO138" i="16" s="1"/>
  <c r="BO9" i="11"/>
  <c r="BF132" i="16"/>
  <c r="BF139" i="16" s="1"/>
  <c r="BI129" i="16"/>
  <c r="BI136" i="16" s="1"/>
  <c r="BH139" i="1"/>
  <c r="BH143" i="1" s="1"/>
  <c r="BI139" i="1"/>
  <c r="BI143" i="1" s="1"/>
  <c r="AV117" i="1"/>
  <c r="AV143" i="1" s="1"/>
  <c r="BD125" i="16"/>
  <c r="BE129" i="16"/>
  <c r="BE136" i="16" s="1"/>
  <c r="BE125" i="16"/>
  <c r="BK131" i="16"/>
  <c r="BK138" i="16" s="1"/>
  <c r="BO94" i="16"/>
  <c r="BO96" i="16"/>
  <c r="BR34" i="16"/>
  <c r="BW40" i="16"/>
  <c r="BR93" i="16"/>
  <c r="BS110" i="16"/>
  <c r="BS113" i="16"/>
  <c r="BW96" i="16"/>
  <c r="BV21" i="11"/>
  <c r="BI167" i="1"/>
  <c r="CK187" i="1"/>
  <c r="BR39" i="16"/>
  <c r="BM125" i="16"/>
  <c r="BN139" i="1"/>
  <c r="BN143" i="1" s="1"/>
  <c r="BS95" i="16"/>
  <c r="BO112" i="16"/>
  <c r="BO130" i="16"/>
  <c r="BO137" i="16" s="1"/>
  <c r="BQ153" i="1"/>
  <c r="BW39" i="16"/>
  <c r="BW46" i="16"/>
  <c r="BX51" i="16"/>
  <c r="CB39" i="16"/>
  <c r="BX110" i="16"/>
  <c r="CB93" i="16"/>
  <c r="BW93" i="16"/>
  <c r="CA16" i="11"/>
  <c r="BX167" i="1"/>
  <c r="BZ167" i="1"/>
  <c r="CB63" i="11"/>
  <c r="BM139" i="1"/>
  <c r="BM143" i="1" s="1"/>
  <c r="BT129" i="16"/>
  <c r="BT136" i="16" s="1"/>
  <c r="BY96" i="16"/>
  <c r="BU70" i="16"/>
  <c r="BU167" i="1"/>
  <c r="BU132" i="16"/>
  <c r="BU139" i="16" s="1"/>
  <c r="BW34" i="16"/>
  <c r="BS46" i="16"/>
  <c r="BQ9" i="11"/>
  <c r="BX130" i="16"/>
  <c r="BX137" i="16" s="1"/>
  <c r="BW125" i="16"/>
  <c r="BW130" i="16"/>
  <c r="BW137" i="16" s="1"/>
  <c r="BW111" i="1"/>
  <c r="BW117" i="1" s="1"/>
  <c r="BT34" i="16"/>
  <c r="BS131" i="16"/>
  <c r="BS138" i="16" s="1"/>
  <c r="BR131" i="16"/>
  <c r="BR138" i="16" s="1"/>
  <c r="BS167" i="1"/>
  <c r="BS59" i="1"/>
  <c r="BS68" i="1" s="1"/>
  <c r="BS76" i="1"/>
  <c r="BS83" i="1" s="1"/>
  <c r="BS93" i="1" s="1"/>
  <c r="BP76" i="1"/>
  <c r="BP83" i="1" s="1"/>
  <c r="BP93" i="1" s="1"/>
  <c r="BR111" i="1"/>
  <c r="BR117" i="1" s="1"/>
  <c r="BW129" i="16"/>
  <c r="BW136" i="16" s="1"/>
  <c r="BV125" i="16"/>
  <c r="CF291" i="1"/>
  <c r="BY111" i="1"/>
  <c r="BY117" i="1" s="1"/>
  <c r="BY143" i="1" s="1"/>
  <c r="BY33" i="16"/>
  <c r="BP117" i="1"/>
  <c r="BQ111" i="1"/>
  <c r="BQ117" i="1" s="1"/>
  <c r="BT132" i="16"/>
  <c r="BT139" i="16" s="1"/>
  <c r="BS132" i="16"/>
  <c r="BS139" i="16" s="1"/>
  <c r="BT10" i="11"/>
  <c r="BW9" i="11"/>
  <c r="CF290" i="1"/>
  <c r="BX9" i="11"/>
  <c r="CA76" i="1"/>
  <c r="CA83" i="1" s="1"/>
  <c r="CA93" i="1" s="1"/>
  <c r="BR130" i="16"/>
  <c r="BR137" i="16" s="1"/>
  <c r="CD33" i="16"/>
  <c r="CD34" i="16"/>
  <c r="BZ9" i="11"/>
  <c r="CP13" i="11"/>
  <c r="CA125" i="16"/>
  <c r="CB130" i="16"/>
  <c r="CB137" i="16" s="1"/>
  <c r="CE125" i="16"/>
  <c r="CE130" i="16"/>
  <c r="CE137" i="16" s="1"/>
  <c r="CG96" i="16"/>
  <c r="CU182" i="1"/>
  <c r="CF129" i="16"/>
  <c r="CF136" i="16" s="1"/>
  <c r="CF143" i="16" s="1"/>
  <c r="CB131" i="16"/>
  <c r="CB138" i="16" s="1"/>
  <c r="CH34" i="16"/>
  <c r="CC132" i="16"/>
  <c r="CC139" i="16" s="1"/>
  <c r="CD130" i="16"/>
  <c r="CD137" i="16" s="1"/>
  <c r="CD131" i="16"/>
  <c r="CD138" i="16" s="1"/>
  <c r="CF59" i="1"/>
  <c r="CF68" i="1" s="1"/>
  <c r="CH131" i="16"/>
  <c r="CH138" i="16" s="1"/>
  <c r="CL145" i="16" s="1"/>
  <c r="CG131" i="16"/>
  <c r="CG138" i="16" s="1"/>
  <c r="CG30" i="12"/>
  <c r="CB132" i="16"/>
  <c r="CB139" i="16" s="1"/>
  <c r="CC167" i="1"/>
  <c r="CC125" i="16"/>
  <c r="CD129" i="16"/>
  <c r="CD136" i="16" s="1"/>
  <c r="CF121" i="16"/>
  <c r="CG44" i="12"/>
  <c r="CB129" i="16"/>
  <c r="CB136" i="16" s="1"/>
  <c r="CC47" i="16"/>
  <c r="CC130" i="16"/>
  <c r="CC137" i="16" s="1"/>
  <c r="CB125" i="16"/>
  <c r="CF76" i="1"/>
  <c r="CF83" i="1" s="1"/>
  <c r="CF93" i="1" s="1"/>
  <c r="CC129" i="16"/>
  <c r="CC136" i="16" s="1"/>
  <c r="CE129" i="16"/>
  <c r="CE136" i="16" s="1"/>
  <c r="CG129" i="16"/>
  <c r="CG136" i="16" s="1"/>
  <c r="CE33" i="16"/>
  <c r="CE117" i="1"/>
  <c r="CE143" i="1" s="1"/>
  <c r="CG125" i="16"/>
  <c r="CN115" i="16"/>
  <c r="CO115" i="16"/>
  <c r="CU106" i="16"/>
  <c r="CJ115" i="16"/>
  <c r="CK31" i="12"/>
  <c r="BQ125" i="16"/>
  <c r="BY47" i="16"/>
  <c r="BT33" i="16"/>
  <c r="CB33" i="16"/>
  <c r="CB34" i="16"/>
  <c r="CM40" i="16"/>
  <c r="CC33" i="16"/>
  <c r="CC34" i="16"/>
  <c r="BR33" i="16"/>
  <c r="CO106" i="16"/>
  <c r="BG132" i="16"/>
  <c r="BG139" i="16" s="1"/>
  <c r="BG146" i="16" s="1"/>
  <c r="BY45" i="16"/>
  <c r="BY46" i="16"/>
  <c r="BS33" i="16"/>
  <c r="BW33" i="16"/>
  <c r="CJ51" i="16"/>
  <c r="CJ39" i="16"/>
  <c r="CJ53" i="16"/>
  <c r="CI113" i="16"/>
  <c r="BB130" i="16"/>
  <c r="BB137" i="16" s="1"/>
  <c r="BB144" i="16" s="1"/>
  <c r="CN39" i="16"/>
  <c r="CI115" i="16"/>
  <c r="CN106" i="16"/>
  <c r="BU33" i="16"/>
  <c r="BY34" i="16"/>
  <c r="CG33" i="16"/>
  <c r="CI40" i="16"/>
  <c r="CI52" i="16"/>
  <c r="BZ34" i="16"/>
  <c r="CH33" i="16"/>
  <c r="CE34" i="16"/>
  <c r="CL40" i="16"/>
  <c r="BX34" i="16"/>
  <c r="CK19" i="12"/>
  <c r="CM106" i="16"/>
  <c r="CH113" i="16"/>
  <c r="CH94" i="16"/>
  <c r="CG86" i="11"/>
  <c r="CI53" i="16"/>
  <c r="CJ112" i="16"/>
  <c r="CL53" i="16"/>
  <c r="CH53" i="16"/>
  <c r="CH111" i="16"/>
  <c r="CH40" i="16"/>
  <c r="CH52" i="16"/>
  <c r="CH45" i="16"/>
  <c r="CH96" i="16"/>
  <c r="CL93" i="16"/>
  <c r="CL39" i="16"/>
  <c r="CL110" i="16"/>
  <c r="CJ96" i="16"/>
  <c r="CK129" i="16"/>
  <c r="CK136" i="16" s="1"/>
  <c r="CK143" i="16" s="1"/>
  <c r="CI51" i="16"/>
  <c r="CH39" i="16"/>
  <c r="CH51" i="16"/>
  <c r="CJ110" i="16"/>
  <c r="CI93" i="16"/>
  <c r="CI96" i="16"/>
  <c r="CJ113" i="16"/>
  <c r="CK132" i="16"/>
  <c r="CK139" i="16" s="1"/>
  <c r="CK146" i="16" s="1"/>
  <c r="CO95" i="16"/>
  <c r="CM53" i="16"/>
  <c r="CK85" i="16"/>
  <c r="CJ52" i="16"/>
  <c r="CJ40" i="16"/>
  <c r="CJ94" i="16"/>
  <c r="CP69" i="11" l="1"/>
  <c r="BQ85" i="16"/>
  <c r="BM85" i="16"/>
  <c r="CB71" i="16"/>
  <c r="CB89" i="16" s="1"/>
  <c r="AY63" i="11"/>
  <c r="AZ9" i="13"/>
  <c r="BA9" i="13" s="1"/>
  <c r="AA6" i="13"/>
  <c r="I182" i="1"/>
  <c r="F25" i="13"/>
  <c r="F47" i="13" s="1"/>
  <c r="AM29" i="11"/>
  <c r="X95" i="1"/>
  <c r="AC9" i="11"/>
  <c r="AC15" i="11"/>
  <c r="AV86" i="11"/>
  <c r="J25" i="13"/>
  <c r="J51" i="13" s="1"/>
  <c r="J54" i="13" s="1"/>
  <c r="J57" i="13" s="1"/>
  <c r="AZ8" i="13"/>
  <c r="Z45" i="12"/>
  <c r="AQ11" i="11"/>
  <c r="AQ14" i="11" s="1"/>
  <c r="BW143" i="1"/>
  <c r="K52" i="13"/>
  <c r="CD45" i="12"/>
  <c r="AR111" i="1"/>
  <c r="AR117" i="1" s="1"/>
  <c r="AR143" i="1" s="1"/>
  <c r="L26" i="13"/>
  <c r="M26" i="13" s="1"/>
  <c r="BL88" i="16"/>
  <c r="D95" i="1"/>
  <c r="Q95" i="1"/>
  <c r="G143" i="1"/>
  <c r="G149" i="1" s="1"/>
  <c r="BQ157" i="1"/>
  <c r="AL10" i="11"/>
  <c r="BF18" i="11"/>
  <c r="BF20" i="11" s="1"/>
  <c r="Q6" i="13"/>
  <c r="E182" i="1"/>
  <c r="BP143" i="1"/>
  <c r="L6" i="13"/>
  <c r="M6" i="13" s="1"/>
  <c r="F30" i="12"/>
  <c r="F81" i="12" s="1"/>
  <c r="I95" i="1"/>
  <c r="E95" i="1"/>
  <c r="AB95" i="1"/>
  <c r="AE86" i="11"/>
  <c r="AV62" i="11"/>
  <c r="AV73" i="11" s="1"/>
  <c r="F65" i="12"/>
  <c r="F66" i="12" s="1"/>
  <c r="Y45" i="12"/>
  <c r="C58" i="12"/>
  <c r="C64" i="12" s="1"/>
  <c r="F182" i="1"/>
  <c r="G95" i="1"/>
  <c r="BA117" i="1"/>
  <c r="BA143" i="1" s="1"/>
  <c r="AK47" i="1"/>
  <c r="M45" i="12"/>
  <c r="L40" i="13"/>
  <c r="C187" i="1"/>
  <c r="G71" i="12"/>
  <c r="AZ11" i="11"/>
  <c r="AZ67" i="11" s="1"/>
  <c r="BF117" i="1"/>
  <c r="BF143" i="1" s="1"/>
  <c r="C22" i="12"/>
  <c r="AA45" i="12"/>
  <c r="G187" i="1"/>
  <c r="M29" i="11"/>
  <c r="C143" i="1"/>
  <c r="C47" i="13" s="1"/>
  <c r="AW88" i="16"/>
  <c r="G36" i="13"/>
  <c r="AE11" i="11"/>
  <c r="AE67" i="11" s="1"/>
  <c r="G37" i="1"/>
  <c r="AC45" i="12"/>
  <c r="AG26" i="13"/>
  <c r="R95" i="1"/>
  <c r="BR143" i="1"/>
  <c r="AF52" i="13"/>
  <c r="G182" i="1"/>
  <c r="X143" i="1"/>
  <c r="W143" i="1" s="1"/>
  <c r="AE52" i="13"/>
  <c r="AD47" i="1"/>
  <c r="CA88" i="16"/>
  <c r="BK143" i="1"/>
  <c r="BG88" i="16"/>
  <c r="I45" i="12"/>
  <c r="C65" i="12"/>
  <c r="C66" i="12" s="1"/>
  <c r="W8" i="13"/>
  <c r="X8" i="13" s="1"/>
  <c r="BB88" i="16"/>
  <c r="CF88" i="16"/>
  <c r="L95" i="1"/>
  <c r="C41" i="1"/>
  <c r="I143" i="1"/>
  <c r="I149" i="1" s="1"/>
  <c r="AS11" i="11"/>
  <c r="AS14" i="11" s="1"/>
  <c r="AC29" i="13"/>
  <c r="M33" i="11"/>
  <c r="R45" i="12"/>
  <c r="BV88" i="16"/>
  <c r="BN93" i="16"/>
  <c r="BN88" i="16"/>
  <c r="K95" i="1"/>
  <c r="BG143" i="1"/>
  <c r="AW37" i="13"/>
  <c r="J95" i="1"/>
  <c r="I58" i="12"/>
  <c r="I64" i="12" s="1"/>
  <c r="H71" i="12"/>
  <c r="W11" i="11"/>
  <c r="W14" i="11" s="1"/>
  <c r="BI14" i="11"/>
  <c r="BI18" i="11" s="1"/>
  <c r="BQ143" i="1"/>
  <c r="AG37" i="13"/>
  <c r="BL143" i="1"/>
  <c r="AB167" i="1"/>
  <c r="E143" i="1"/>
  <c r="E149" i="1" s="1"/>
  <c r="N117" i="1"/>
  <c r="BM88" i="16"/>
  <c r="AL105" i="16"/>
  <c r="BZ54" i="16"/>
  <c r="BL70" i="16"/>
  <c r="BJ70" i="16"/>
  <c r="BJ71" i="16" s="1"/>
  <c r="BJ89" i="16" s="1"/>
  <c r="BZ114" i="16"/>
  <c r="AB70" i="16"/>
  <c r="AB115" i="16" s="1"/>
  <c r="BW105" i="16"/>
  <c r="BQ70" i="16"/>
  <c r="AT106" i="16"/>
  <c r="U106" i="16"/>
  <c r="BZ47" i="16"/>
  <c r="CE42" i="16"/>
  <c r="BZ45" i="16"/>
  <c r="CB54" i="16"/>
  <c r="BO110" i="16"/>
  <c r="I36" i="16"/>
  <c r="CG46" i="16"/>
  <c r="CE105" i="16"/>
  <c r="AR70" i="16"/>
  <c r="BY71" i="16"/>
  <c r="BZ105" i="16"/>
  <c r="BR96" i="16"/>
  <c r="BN113" i="16"/>
  <c r="BM113" i="16"/>
  <c r="BW114" i="16"/>
  <c r="BG129" i="16"/>
  <c r="BG136" i="16" s="1"/>
  <c r="BG143" i="16" s="1"/>
  <c r="CD105" i="16"/>
  <c r="BS34" i="16"/>
  <c r="BL129" i="16"/>
  <c r="BL136" i="16" s="1"/>
  <c r="BL143" i="16" s="1"/>
  <c r="AD11" i="11"/>
  <c r="AD67" i="11" s="1"/>
  <c r="E14" i="11"/>
  <c r="E62" i="11" s="1"/>
  <c r="T86" i="11"/>
  <c r="BA67" i="11"/>
  <c r="AH10" i="11"/>
  <c r="T11" i="11"/>
  <c r="T14" i="11" s="1"/>
  <c r="J18" i="11"/>
  <c r="K14" i="11"/>
  <c r="K62" i="11" s="1"/>
  <c r="J62" i="11"/>
  <c r="J73" i="11" s="1"/>
  <c r="S10" i="11"/>
  <c r="BL11" i="11"/>
  <c r="BL67" i="11" s="1"/>
  <c r="J67" i="11"/>
  <c r="N11" i="11"/>
  <c r="N67" i="11" s="1"/>
  <c r="P11" i="11"/>
  <c r="P67" i="11" s="1"/>
  <c r="BY105" i="16"/>
  <c r="BT46" i="16"/>
  <c r="BT45" i="16"/>
  <c r="BY42" i="16"/>
  <c r="BV131" i="16"/>
  <c r="BV138" i="16" s="1"/>
  <c r="BV145" i="16" s="1"/>
  <c r="BB129" i="16"/>
  <c r="BB136" i="16" s="1"/>
  <c r="BB143" i="16" s="1"/>
  <c r="BD54" i="16"/>
  <c r="D36" i="16"/>
  <c r="CA131" i="16"/>
  <c r="CA138" i="16" s="1"/>
  <c r="CA145" i="16" s="1"/>
  <c r="BV132" i="16"/>
  <c r="BV139" i="16" s="1"/>
  <c r="BV146" i="16" s="1"/>
  <c r="J71" i="16"/>
  <c r="DH39" i="16"/>
  <c r="DH51" i="16"/>
  <c r="CD114" i="16"/>
  <c r="X29" i="11"/>
  <c r="AW9" i="11"/>
  <c r="C67" i="11"/>
  <c r="AL9" i="11"/>
  <c r="CC45" i="12"/>
  <c r="F77" i="12"/>
  <c r="E77" i="12"/>
  <c r="P86" i="11"/>
  <c r="O11" i="11"/>
  <c r="O67" i="11" s="1"/>
  <c r="AU86" i="11"/>
  <c r="Z11" i="11"/>
  <c r="Z67" i="11" s="1"/>
  <c r="L45" i="12"/>
  <c r="K115" i="16"/>
  <c r="V115" i="16"/>
  <c r="F36" i="16"/>
  <c r="AI86" i="11"/>
  <c r="BT105" i="16"/>
  <c r="AG86" i="11"/>
  <c r="F64" i="11"/>
  <c r="F72" i="11" s="1"/>
  <c r="O95" i="1"/>
  <c r="AZ40" i="13"/>
  <c r="BA40" i="13" s="1"/>
  <c r="BC143" i="1"/>
  <c r="AM10" i="11"/>
  <c r="AA11" i="11"/>
  <c r="AA67" i="11" s="1"/>
  <c r="AJ86" i="11"/>
  <c r="AA86" i="11"/>
  <c r="BL130" i="16"/>
  <c r="BL137" i="16" s="1"/>
  <c r="BL144" i="16" s="1"/>
  <c r="AH143" i="1"/>
  <c r="AG143" i="1" s="1"/>
  <c r="G33" i="11"/>
  <c r="F143" i="1"/>
  <c r="F149" i="1" s="1"/>
  <c r="CF143" i="1"/>
  <c r="AJ63" i="11"/>
  <c r="BR94" i="16"/>
  <c r="AI11" i="11"/>
  <c r="AI14" i="11" s="1"/>
  <c r="AY45" i="13"/>
  <c r="AV67" i="11"/>
  <c r="BM70" i="16"/>
  <c r="BN115" i="16" s="1"/>
  <c r="G29" i="11"/>
  <c r="AT133" i="16"/>
  <c r="AT140" i="16" s="1"/>
  <c r="AI115" i="16"/>
  <c r="AK106" i="16"/>
  <c r="AC182" i="1"/>
  <c r="R11" i="11"/>
  <c r="R67" i="11" s="1"/>
  <c r="Z70" i="16"/>
  <c r="Z115" i="16" s="1"/>
  <c r="H95" i="1"/>
  <c r="D60" i="12"/>
  <c r="D65" i="12"/>
  <c r="D66" i="12" s="1"/>
  <c r="AX11" i="11"/>
  <c r="AX67" i="11" s="1"/>
  <c r="N33" i="11"/>
  <c r="G67" i="11"/>
  <c r="CG45" i="16"/>
  <c r="AB26" i="13"/>
  <c r="AB52" i="13" s="1"/>
  <c r="AG29" i="11"/>
  <c r="Z63" i="11"/>
  <c r="BM167" i="1"/>
  <c r="AP27" i="13"/>
  <c r="C29" i="11"/>
  <c r="CC22" i="12"/>
  <c r="N29" i="11"/>
  <c r="BU117" i="1"/>
  <c r="BU143" i="1" s="1"/>
  <c r="AZ28" i="13"/>
  <c r="AP8" i="13"/>
  <c r="BN110" i="16"/>
  <c r="S180" i="1"/>
  <c r="R29" i="11"/>
  <c r="S21" i="11"/>
  <c r="Z86" i="11"/>
  <c r="AF115" i="16"/>
  <c r="I14" i="11"/>
  <c r="I18" i="11" s="1"/>
  <c r="I75" i="11" s="1"/>
  <c r="I58" i="11" s="1"/>
  <c r="AT86" i="11"/>
  <c r="BU46" i="16"/>
  <c r="AG115" i="16"/>
  <c r="BG131" i="16"/>
  <c r="BG138" i="16" s="1"/>
  <c r="BG145" i="16" s="1"/>
  <c r="BP130" i="16"/>
  <c r="BP137" i="16" s="1"/>
  <c r="BT144" i="16" s="1"/>
  <c r="BS93" i="16"/>
  <c r="V71" i="16"/>
  <c r="BW71" i="16"/>
  <c r="BW89" i="16" s="1"/>
  <c r="I65" i="12"/>
  <c r="I66" i="12" s="1"/>
  <c r="L14" i="11"/>
  <c r="X47" i="1"/>
  <c r="AC10" i="11"/>
  <c r="AZ44" i="13"/>
  <c r="AK28" i="13"/>
  <c r="AK36" i="13" s="1"/>
  <c r="AJ36" i="13"/>
  <c r="R9" i="13"/>
  <c r="BM94" i="16"/>
  <c r="AM70" i="16"/>
  <c r="AL70" i="16"/>
  <c r="AQ106" i="16" s="1"/>
  <c r="CG47" i="16"/>
  <c r="AU27" i="13"/>
  <c r="AV27" i="13" s="1"/>
  <c r="AM167" i="1"/>
  <c r="AL167" i="1" s="1"/>
  <c r="C182" i="1"/>
  <c r="Y86" i="11"/>
  <c r="Y11" i="11"/>
  <c r="Y67" i="11" s="1"/>
  <c r="BB132" i="16"/>
  <c r="BB139" i="16" s="1"/>
  <c r="BB146" i="16" s="1"/>
  <c r="BQ59" i="1"/>
  <c r="BQ68" i="1" s="1"/>
  <c r="BP114" i="16"/>
  <c r="BO105" i="16"/>
  <c r="AF71" i="16"/>
  <c r="AF89" i="16" s="1"/>
  <c r="R33" i="11"/>
  <c r="P47" i="1"/>
  <c r="BQ84" i="16"/>
  <c r="AB38" i="13"/>
  <c r="AC38" i="13" s="1"/>
  <c r="CD22" i="12"/>
  <c r="G36" i="12"/>
  <c r="G45" i="12" s="1"/>
  <c r="G81" i="12"/>
  <c r="AX133" i="16"/>
  <c r="AX140" i="16" s="1"/>
  <c r="H77" i="12"/>
  <c r="AZ70" i="16"/>
  <c r="AZ71" i="16" s="1"/>
  <c r="AZ89" i="16" s="1"/>
  <c r="BU114" i="16"/>
  <c r="AF106" i="16"/>
  <c r="P106" i="16"/>
  <c r="AG11" i="11"/>
  <c r="AG14" i="11" s="1"/>
  <c r="F95" i="1"/>
  <c r="D45" i="12"/>
  <c r="AW70" i="16"/>
  <c r="AC95" i="1"/>
  <c r="AH180" i="1"/>
  <c r="BR86" i="11"/>
  <c r="Q115" i="16"/>
  <c r="AG71" i="16"/>
  <c r="Q45" i="12"/>
  <c r="BB143" i="1"/>
  <c r="AM143" i="1"/>
  <c r="BA133" i="16"/>
  <c r="BA140" i="16" s="1"/>
  <c r="R106" i="16"/>
  <c r="O71" i="16"/>
  <c r="CA39" i="16"/>
  <c r="BU47" i="16"/>
  <c r="BU54" i="16"/>
  <c r="U11" i="11"/>
  <c r="U67" i="11" s="1"/>
  <c r="BO93" i="16"/>
  <c r="D71" i="12"/>
  <c r="D22" i="12"/>
  <c r="H67" i="11"/>
  <c r="H14" i="11"/>
  <c r="H82" i="12" s="1"/>
  <c r="W28" i="13"/>
  <c r="X28" i="13" s="1"/>
  <c r="AU11" i="11"/>
  <c r="AU14" i="11" s="1"/>
  <c r="AU18" i="11" s="1"/>
  <c r="F58" i="12"/>
  <c r="F61" i="12" s="1"/>
  <c r="AK86" i="11"/>
  <c r="U52" i="13"/>
  <c r="L8" i="13"/>
  <c r="H47" i="1"/>
  <c r="H37" i="1"/>
  <c r="P22" i="12"/>
  <c r="M14" i="11"/>
  <c r="M67" i="11"/>
  <c r="H57" i="12"/>
  <c r="H60" i="12"/>
  <c r="BA54" i="16"/>
  <c r="BZ42" i="16"/>
  <c r="BU14" i="11"/>
  <c r="BU62" i="11" s="1"/>
  <c r="BU94" i="16"/>
  <c r="X45" i="12"/>
  <c r="AY11" i="11"/>
  <c r="AH20" i="13"/>
  <c r="M115" i="16"/>
  <c r="G60" i="12"/>
  <c r="P95" i="1"/>
  <c r="AA8" i="13"/>
  <c r="AW143" i="1"/>
  <c r="D77" i="12"/>
  <c r="BV117" i="1"/>
  <c r="BV143" i="1" s="1"/>
  <c r="S9" i="11"/>
  <c r="AK8" i="13"/>
  <c r="AM18" i="13"/>
  <c r="F18" i="11"/>
  <c r="AS86" i="11"/>
  <c r="AV18" i="11"/>
  <c r="M71" i="16"/>
  <c r="M89" i="16" s="1"/>
  <c r="O115" i="16"/>
  <c r="CA143" i="1"/>
  <c r="C95" i="1"/>
  <c r="R114" i="16"/>
  <c r="AM9" i="11"/>
  <c r="AP86" i="11"/>
  <c r="AO11" i="11"/>
  <c r="AR9" i="11"/>
  <c r="AD86" i="11"/>
  <c r="U86" i="11"/>
  <c r="AQ86" i="11"/>
  <c r="X9" i="11"/>
  <c r="V86" i="11"/>
  <c r="AH9" i="11"/>
  <c r="W86" i="11"/>
  <c r="AB86" i="11"/>
  <c r="V11" i="11"/>
  <c r="V67" i="11" s="1"/>
  <c r="AP11" i="11"/>
  <c r="AP14" i="11" s="1"/>
  <c r="AP62" i="11" s="1"/>
  <c r="AP73" i="11" s="1"/>
  <c r="AF86" i="11"/>
  <c r="AB11" i="11"/>
  <c r="AB67" i="11" s="1"/>
  <c r="CF182" i="1"/>
  <c r="BN111" i="16"/>
  <c r="BM111" i="16"/>
  <c r="AC185" i="1"/>
  <c r="N182" i="1"/>
  <c r="S143" i="1"/>
  <c r="E45" i="12"/>
  <c r="J45" i="12"/>
  <c r="H81" i="12"/>
  <c r="BP52" i="16"/>
  <c r="BU40" i="16"/>
  <c r="AN11" i="11"/>
  <c r="AN14" i="11" s="1"/>
  <c r="AX54" i="16"/>
  <c r="AB45" i="12"/>
  <c r="CA187" i="1"/>
  <c r="AA52" i="13"/>
  <c r="W167" i="1"/>
  <c r="DC51" i="16"/>
  <c r="AP71" i="16"/>
  <c r="DC39" i="16"/>
  <c r="N70" i="16"/>
  <c r="N106" i="16" s="1"/>
  <c r="CF131" i="16"/>
  <c r="CF138" i="16" s="1"/>
  <c r="CF145" i="16" s="1"/>
  <c r="AB114" i="16"/>
  <c r="AN71" i="16"/>
  <c r="AK71" i="16"/>
  <c r="AK89" i="16" s="1"/>
  <c r="AY144" i="16"/>
  <c r="AY106" i="16"/>
  <c r="BA39" i="13"/>
  <c r="AI25" i="13"/>
  <c r="AI51" i="13" s="1"/>
  <c r="AI54" i="13" s="1"/>
  <c r="AI57" i="13" s="1"/>
  <c r="AF9" i="13"/>
  <c r="BI63" i="11"/>
  <c r="AK9" i="13"/>
  <c r="Z114" i="16"/>
  <c r="AH185" i="1"/>
  <c r="BA41" i="13"/>
  <c r="R37" i="13"/>
  <c r="BW54" i="16"/>
  <c r="BZ133" i="16"/>
  <c r="BZ140" i="16" s="1"/>
  <c r="CV53" i="16"/>
  <c r="CX51" i="16"/>
  <c r="CX39" i="16"/>
  <c r="AK105" i="16"/>
  <c r="CF130" i="16"/>
  <c r="CF137" i="16" s="1"/>
  <c r="CF144" i="16" s="1"/>
  <c r="AG105" i="16"/>
  <c r="BX143" i="16"/>
  <c r="AA106" i="16"/>
  <c r="AE20" i="13"/>
  <c r="AG20" i="13"/>
  <c r="BT115" i="16"/>
  <c r="X10" i="11"/>
  <c r="BM54" i="16"/>
  <c r="V23" i="13"/>
  <c r="W23" i="13" s="1"/>
  <c r="X23" i="13" s="1"/>
  <c r="U20" i="13"/>
  <c r="L22" i="12"/>
  <c r="BX114" i="16"/>
  <c r="BC62" i="11"/>
  <c r="BC73" i="11" s="1"/>
  <c r="CA129" i="16"/>
  <c r="CA136" i="16" s="1"/>
  <c r="CA143" i="16" s="1"/>
  <c r="CA33" i="16"/>
  <c r="AK11" i="11"/>
  <c r="BB10" i="11"/>
  <c r="AO86" i="11"/>
  <c r="H58" i="12"/>
  <c r="H45" i="12"/>
  <c r="C36" i="12"/>
  <c r="C45" i="12" s="1"/>
  <c r="C81" i="12"/>
  <c r="AF19" i="13"/>
  <c r="AG19" i="13" s="1"/>
  <c r="BC18" i="11"/>
  <c r="BC20" i="11" s="1"/>
  <c r="BY114" i="16"/>
  <c r="AQ114" i="16"/>
  <c r="AV105" i="16"/>
  <c r="AT11" i="11"/>
  <c r="AT67" i="11" s="1"/>
  <c r="CA130" i="16"/>
  <c r="CA137" i="16" s="1"/>
  <c r="CA144" i="16" s="1"/>
  <c r="AJ11" i="11"/>
  <c r="AJ67" i="11" s="1"/>
  <c r="E25" i="13"/>
  <c r="E51" i="13" s="1"/>
  <c r="E54" i="13" s="1"/>
  <c r="E57" i="13" s="1"/>
  <c r="AP110" i="16"/>
  <c r="AT115" i="16"/>
  <c r="AX106" i="16"/>
  <c r="AS115" i="16"/>
  <c r="CF132" i="16"/>
  <c r="CF139" i="16" s="1"/>
  <c r="CF146" i="16" s="1"/>
  <c r="H65" i="12"/>
  <c r="H66" i="12" s="1"/>
  <c r="CC105" i="16"/>
  <c r="BD133" i="16"/>
  <c r="BD140" i="16" s="1"/>
  <c r="BT106" i="16"/>
  <c r="BT71" i="16"/>
  <c r="BM14" i="11"/>
  <c r="BM62" i="11" s="1"/>
  <c r="BM73" i="11" s="1"/>
  <c r="BM67" i="11"/>
  <c r="J22" i="12"/>
  <c r="BI133" i="16"/>
  <c r="BI140" i="16" s="1"/>
  <c r="BI54" i="16"/>
  <c r="U114" i="16"/>
  <c r="AH70" i="16"/>
  <c r="AY146" i="16"/>
  <c r="H22" i="12"/>
  <c r="I78" i="12" s="1"/>
  <c r="CF34" i="16"/>
  <c r="CK63" i="11"/>
  <c r="U45" i="12"/>
  <c r="I60" i="12"/>
  <c r="I71" i="12"/>
  <c r="BA143" i="16"/>
  <c r="AZ145" i="16"/>
  <c r="C25" i="13"/>
  <c r="C51" i="13" s="1"/>
  <c r="C54" i="13" s="1"/>
  <c r="C57" i="13" s="1"/>
  <c r="BC105" i="16"/>
  <c r="AT114" i="16"/>
  <c r="G78" i="12"/>
  <c r="BK67" i="11"/>
  <c r="BK133" i="16"/>
  <c r="BK140" i="16" s="1"/>
  <c r="BJ133" i="16"/>
  <c r="BJ140" i="16" s="1"/>
  <c r="T106" i="16"/>
  <c r="K114" i="16"/>
  <c r="N22" i="12"/>
  <c r="BN63" i="11"/>
  <c r="I77" i="12"/>
  <c r="AY143" i="16"/>
  <c r="F60" i="12"/>
  <c r="F57" i="12"/>
  <c r="AU40" i="13"/>
  <c r="AY52" i="13"/>
  <c r="AZ26" i="13"/>
  <c r="K20" i="13"/>
  <c r="Z20" i="13"/>
  <c r="D81" i="12"/>
  <c r="CH145" i="16"/>
  <c r="E22" i="12"/>
  <c r="F78" i="12" s="1"/>
  <c r="E71" i="12"/>
  <c r="AQ26" i="13"/>
  <c r="AR26" i="13" s="1"/>
  <c r="AP52" i="13"/>
  <c r="AF11" i="11"/>
  <c r="BP71" i="16"/>
  <c r="AW33" i="11"/>
  <c r="BC67" i="11"/>
  <c r="BE71" i="16"/>
  <c r="Q8" i="13"/>
  <c r="Q63" i="11" s="1"/>
  <c r="S45" i="12"/>
  <c r="AW10" i="11"/>
  <c r="BJ54" i="16"/>
  <c r="AL23" i="13"/>
  <c r="AM23" i="13" s="1"/>
  <c r="Z36" i="13"/>
  <c r="AA27" i="13"/>
  <c r="AA36" i="13" s="1"/>
  <c r="V9" i="13"/>
  <c r="U63" i="11"/>
  <c r="V52" i="13"/>
  <c r="AO71" i="16"/>
  <c r="AO89" i="16" s="1"/>
  <c r="AD106" i="16"/>
  <c r="O105" i="16"/>
  <c r="AG6" i="13"/>
  <c r="AP28" i="13"/>
  <c r="T45" i="12"/>
  <c r="AZ6" i="13"/>
  <c r="AU6" i="13"/>
  <c r="E65" i="12"/>
  <c r="E66" i="12" s="1"/>
  <c r="BP143" i="16"/>
  <c r="AG27" i="13"/>
  <c r="V29" i="13"/>
  <c r="Q42" i="13"/>
  <c r="F47" i="1"/>
  <c r="AP6" i="13"/>
  <c r="AV133" i="16"/>
  <c r="AV140" i="16" s="1"/>
  <c r="D25" i="13"/>
  <c r="L27" i="13"/>
  <c r="AO36" i="13"/>
  <c r="CQ112" i="16"/>
  <c r="BU105" i="16"/>
  <c r="BR146" i="16"/>
  <c r="AA105" i="16"/>
  <c r="AS105" i="16"/>
  <c r="BG70" i="16"/>
  <c r="AS133" i="16"/>
  <c r="AS140" i="16" s="1"/>
  <c r="BC115" i="16"/>
  <c r="BC133" i="16"/>
  <c r="BC140" i="16" s="1"/>
  <c r="BI144" i="16"/>
  <c r="BY145" i="16"/>
  <c r="BD144" i="16"/>
  <c r="BD146" i="16"/>
  <c r="AN106" i="16"/>
  <c r="AU133" i="16"/>
  <c r="AU140" i="16" s="1"/>
  <c r="BO115" i="16"/>
  <c r="BN145" i="16"/>
  <c r="BP115" i="16"/>
  <c r="G58" i="12"/>
  <c r="E58" i="12"/>
  <c r="E62" i="12" s="1"/>
  <c r="D58" i="12"/>
  <c r="BA62" i="11"/>
  <c r="CG105" i="16"/>
  <c r="BN106" i="16"/>
  <c r="Z59" i="16"/>
  <c r="AZ144" i="16"/>
  <c r="AS71" i="16"/>
  <c r="AS89" i="16" s="1"/>
  <c r="CF33" i="16"/>
  <c r="BQ131" i="16"/>
  <c r="BQ138" i="16" s="1"/>
  <c r="BQ145" i="16" s="1"/>
  <c r="Y59" i="16"/>
  <c r="BK54" i="16"/>
  <c r="BC54" i="16"/>
  <c r="I42" i="16"/>
  <c r="AO115" i="16"/>
  <c r="BW146" i="16"/>
  <c r="BF146" i="16"/>
  <c r="CD106" i="16"/>
  <c r="AP106" i="16"/>
  <c r="BR143" i="16"/>
  <c r="AI71" i="16"/>
  <c r="AI89" i="16" s="1"/>
  <c r="BB131" i="16"/>
  <c r="BB138" i="16" s="1"/>
  <c r="BB145" i="16" s="1"/>
  <c r="BQ132" i="16"/>
  <c r="BQ139" i="16" s="1"/>
  <c r="BQ146" i="16" s="1"/>
  <c r="BY106" i="16"/>
  <c r="AZ133" i="16"/>
  <c r="AZ140" i="16" s="1"/>
  <c r="AP115" i="16"/>
  <c r="BE143" i="16"/>
  <c r="BF143" i="16"/>
  <c r="AV71" i="16"/>
  <c r="AV89" i="16" s="1"/>
  <c r="AV106" i="16"/>
  <c r="V105" i="16"/>
  <c r="Q105" i="16"/>
  <c r="BC114" i="16"/>
  <c r="BA71" i="16"/>
  <c r="BA105" i="16"/>
  <c r="AY105" i="16"/>
  <c r="AY114" i="16"/>
  <c r="AT71" i="16"/>
  <c r="AT89" i="16" s="1"/>
  <c r="AZ54" i="16"/>
  <c r="BT143" i="16"/>
  <c r="BM144" i="16"/>
  <c r="BA144" i="16"/>
  <c r="BC144" i="16"/>
  <c r="L115" i="16"/>
  <c r="Q71" i="16"/>
  <c r="Q89" i="16" s="1"/>
  <c r="AZ146" i="16"/>
  <c r="AZ105" i="16"/>
  <c r="AV114" i="16"/>
  <c r="CJ143" i="16"/>
  <c r="CI143" i="16"/>
  <c r="BE144" i="16"/>
  <c r="BJ145" i="16"/>
  <c r="BK106" i="16"/>
  <c r="R60" i="16"/>
  <c r="O60" i="16"/>
  <c r="AU114" i="16"/>
  <c r="AY133" i="16"/>
  <c r="AY140" i="16" s="1"/>
  <c r="P114" i="16"/>
  <c r="BZ145" i="16"/>
  <c r="CB145" i="16"/>
  <c r="BS54" i="16"/>
  <c r="BR40" i="16"/>
  <c r="BS52" i="16"/>
  <c r="BW94" i="16"/>
  <c r="CA132" i="16"/>
  <c r="CA139" i="16" s="1"/>
  <c r="CA146" i="16" s="1"/>
  <c r="BV129" i="16"/>
  <c r="BV136" i="16" s="1"/>
  <c r="BV143" i="16" s="1"/>
  <c r="CD133" i="16"/>
  <c r="CD140" i="16" s="1"/>
  <c r="BY144" i="16"/>
  <c r="BO143" i="16"/>
  <c r="CB106" i="16"/>
  <c r="BP106" i="16"/>
  <c r="AW57" i="11"/>
  <c r="V114" i="16"/>
  <c r="AO106" i="16"/>
  <c r="BE146" i="16"/>
  <c r="BX46" i="16"/>
  <c r="BX47" i="16"/>
  <c r="BX45" i="16"/>
  <c r="CF9" i="11"/>
  <c r="CD86" i="11"/>
  <c r="BO51" i="16"/>
  <c r="BT93" i="16"/>
  <c r="BT39" i="16"/>
  <c r="BP51" i="16"/>
  <c r="BY54" i="16"/>
  <c r="CE144" i="16"/>
  <c r="CB133" i="16"/>
  <c r="CB140" i="16" s="1"/>
  <c r="BR52" i="16"/>
  <c r="G65" i="12"/>
  <c r="CD144" i="16"/>
  <c r="CB144" i="16"/>
  <c r="BI143" i="16"/>
  <c r="E47" i="1"/>
  <c r="CC144" i="16"/>
  <c r="BR115" i="16"/>
  <c r="AQ115" i="16"/>
  <c r="J60" i="16"/>
  <c r="M114" i="16"/>
  <c r="I105" i="16"/>
  <c r="Y105" i="16"/>
  <c r="BA114" i="16"/>
  <c r="BA146" i="16"/>
  <c r="BD145" i="16"/>
  <c r="AY145" i="16"/>
  <c r="BB70" i="16"/>
  <c r="AW17" i="13"/>
  <c r="AR18" i="13"/>
  <c r="AM39" i="13"/>
  <c r="AB143" i="1"/>
  <c r="R28" i="13"/>
  <c r="P45" i="12"/>
  <c r="BE54" i="16"/>
  <c r="BI146" i="16"/>
  <c r="BJ143" i="16"/>
  <c r="BN143" i="16"/>
  <c r="CD146" i="16"/>
  <c r="CE146" i="16"/>
  <c r="BH144" i="16"/>
  <c r="BM143" i="16"/>
  <c r="BH146" i="16"/>
  <c r="BK143" i="16"/>
  <c r="BW145" i="16"/>
  <c r="BS145" i="16"/>
  <c r="CB105" i="16"/>
  <c r="BE14" i="11"/>
  <c r="BE67" i="11"/>
  <c r="BH106" i="16"/>
  <c r="BI115" i="16"/>
  <c r="BO71" i="16"/>
  <c r="F71" i="16"/>
  <c r="F89" i="16" s="1"/>
  <c r="F105" i="16"/>
  <c r="AU115" i="16"/>
  <c r="AU106" i="16"/>
  <c r="AJ71" i="16"/>
  <c r="AL114" i="16"/>
  <c r="AB59" i="16"/>
  <c r="AN114" i="16"/>
  <c r="CE145" i="16"/>
  <c r="BP145" i="16"/>
  <c r="BJ144" i="16"/>
  <c r="BZ146" i="16"/>
  <c r="BS11" i="11"/>
  <c r="BS14" i="11" s="1"/>
  <c r="BS86" i="11"/>
  <c r="BR145" i="16"/>
  <c r="BX146" i="16"/>
  <c r="BM145" i="16"/>
  <c r="BS115" i="16"/>
  <c r="BW106" i="16"/>
  <c r="G77" i="12"/>
  <c r="AV115" i="16"/>
  <c r="AD105" i="16"/>
  <c r="D42" i="16"/>
  <c r="BU144" i="16"/>
  <c r="BU115" i="16"/>
  <c r="BK145" i="16"/>
  <c r="BU145" i="16"/>
  <c r="BC106" i="16"/>
  <c r="AX71" i="16"/>
  <c r="BF144" i="16"/>
  <c r="BH133" i="16"/>
  <c r="BH140" i="16" s="1"/>
  <c r="BD143" i="16"/>
  <c r="BC143" i="16"/>
  <c r="AZ143" i="16"/>
  <c r="CG106" i="16"/>
  <c r="AF20" i="13"/>
  <c r="BN11" i="11"/>
  <c r="BT86" i="11"/>
  <c r="BV9" i="11"/>
  <c r="AN25" i="13"/>
  <c r="AK41" i="13"/>
  <c r="AD25" i="13"/>
  <c r="AA40" i="13"/>
  <c r="V40" i="13"/>
  <c r="O25" i="13"/>
  <c r="X22" i="12"/>
  <c r="W45" i="12"/>
  <c r="AL37" i="13"/>
  <c r="E81" i="12"/>
  <c r="AL26" i="13"/>
  <c r="AM26" i="13" s="1"/>
  <c r="AK52" i="13"/>
  <c r="BF62" i="11"/>
  <c r="BF73" i="11" s="1"/>
  <c r="Q11" i="11"/>
  <c r="Q14" i="11" s="1"/>
  <c r="AR10" i="11"/>
  <c r="D14" i="11"/>
  <c r="D18" i="11" s="1"/>
  <c r="BD11" i="11"/>
  <c r="BD14" i="11" s="1"/>
  <c r="BD18" i="11" s="1"/>
  <c r="BD20" i="11" s="1"/>
  <c r="F82" i="12"/>
  <c r="Q86" i="11"/>
  <c r="BX144" i="16"/>
  <c r="BX145" i="16"/>
  <c r="BS106" i="16"/>
  <c r="CH115" i="16"/>
  <c r="BO145" i="16"/>
  <c r="AD114" i="16"/>
  <c r="BE145" i="16"/>
  <c r="AK115" i="16"/>
  <c r="AJ115" i="16"/>
  <c r="AA59" i="16"/>
  <c r="AK114" i="16"/>
  <c r="BC145" i="16"/>
  <c r="AS106" i="16"/>
  <c r="BG10" i="11"/>
  <c r="BG11" i="11" s="1"/>
  <c r="G18" i="11"/>
  <c r="G20" i="11" s="1"/>
  <c r="F67" i="11"/>
  <c r="G81" i="11"/>
  <c r="BF67" i="11"/>
  <c r="CD36" i="16"/>
  <c r="AY115" i="16"/>
  <c r="BA145" i="16"/>
  <c r="P60" i="16"/>
  <c r="BC146" i="16"/>
  <c r="O106" i="16"/>
  <c r="AJ106" i="16"/>
  <c r="CF39" i="16"/>
  <c r="AY54" i="16"/>
  <c r="T115" i="16"/>
  <c r="CD42" i="16"/>
  <c r="U71" i="16"/>
  <c r="U89" i="16" s="1"/>
  <c r="P115" i="16"/>
  <c r="H42" i="16"/>
  <c r="Y71" i="16"/>
  <c r="AX114" i="16"/>
  <c r="R86" i="11"/>
  <c r="BY11" i="11"/>
  <c r="BY67" i="11" s="1"/>
  <c r="AO45" i="13"/>
  <c r="AW29" i="11"/>
  <c r="AQ9" i="13"/>
  <c r="AX105" i="16"/>
  <c r="AI114" i="16"/>
  <c r="S70" i="16"/>
  <c r="I81" i="12"/>
  <c r="AP40" i="13"/>
  <c r="AF40" i="13"/>
  <c r="BC71" i="16"/>
  <c r="AZ114" i="16"/>
  <c r="AY71" i="16"/>
  <c r="AY89" i="16" s="1"/>
  <c r="AT63" i="11"/>
  <c r="AU9" i="13"/>
  <c r="AR33" i="11"/>
  <c r="AP21" i="13"/>
  <c r="AQ21" i="13" s="1"/>
  <c r="AO20" i="13"/>
  <c r="AP38" i="13"/>
  <c r="AF8" i="13"/>
  <c r="AE63" i="11"/>
  <c r="Q40" i="13"/>
  <c r="AB22" i="12"/>
  <c r="T22" i="12"/>
  <c r="M22" i="12"/>
  <c r="C57" i="12"/>
  <c r="C60" i="12"/>
  <c r="V45" i="12"/>
  <c r="AB9" i="13"/>
  <c r="BS47" i="16"/>
  <c r="BK144" i="16"/>
  <c r="CE115" i="16"/>
  <c r="G25" i="13"/>
  <c r="CI145" i="16"/>
  <c r="CQ52" i="16"/>
  <c r="CS39" i="16"/>
  <c r="CS51" i="16"/>
  <c r="CQ113" i="16"/>
  <c r="CN110" i="16"/>
  <c r="CN40" i="16"/>
  <c r="CT41" i="16"/>
  <c r="CN53" i="16"/>
  <c r="CQ51" i="16"/>
  <c r="AW52" i="13"/>
  <c r="S27" i="13"/>
  <c r="AB28" i="13"/>
  <c r="Q52" i="13"/>
  <c r="R26" i="13"/>
  <c r="I25" i="13"/>
  <c r="AS25" i="13"/>
  <c r="AE45" i="13"/>
  <c r="AF38" i="13"/>
  <c r="AF42" i="13"/>
  <c r="AA42" i="13"/>
  <c r="P36" i="13"/>
  <c r="AL29" i="13"/>
  <c r="AU28" i="13"/>
  <c r="AT36" i="13"/>
  <c r="AX25" i="13"/>
  <c r="AX47" i="13" s="1"/>
  <c r="Y25" i="13"/>
  <c r="U45" i="13"/>
  <c r="V38" i="13"/>
  <c r="V42" i="13"/>
  <c r="T25" i="13"/>
  <c r="T51" i="13" s="1"/>
  <c r="T54" i="13" s="1"/>
  <c r="T57" i="13" s="1"/>
  <c r="Q20" i="13"/>
  <c r="L44" i="13"/>
  <c r="L19" i="13"/>
  <c r="X21" i="13"/>
  <c r="H25" i="13"/>
  <c r="H51" i="13" s="1"/>
  <c r="H54" i="13" s="1"/>
  <c r="H57" i="13" s="1"/>
  <c r="AK19" i="13"/>
  <c r="P45" i="13"/>
  <c r="Q38" i="13"/>
  <c r="AL38" i="13"/>
  <c r="AM38" i="13" s="1"/>
  <c r="Z45" i="13"/>
  <c r="AY36" i="13"/>
  <c r="AZ29" i="13"/>
  <c r="AY20" i="13"/>
  <c r="V6" i="13"/>
  <c r="K63" i="11"/>
  <c r="L9" i="13"/>
  <c r="AK40" i="13"/>
  <c r="AJ45" i="13"/>
  <c r="AP42" i="13"/>
  <c r="AL27" i="13"/>
  <c r="AP39" i="13"/>
  <c r="L37" i="13"/>
  <c r="K45" i="13"/>
  <c r="L41" i="13"/>
  <c r="AP16" i="13"/>
  <c r="AJ20" i="13"/>
  <c r="AU42" i="13"/>
  <c r="AT45" i="13"/>
  <c r="AL6" i="13"/>
  <c r="AM6" i="13" s="1"/>
  <c r="X41" i="13"/>
  <c r="AZ16" i="13"/>
  <c r="V27" i="13"/>
  <c r="U36" i="13"/>
  <c r="V17" i="13"/>
  <c r="Q18" i="13"/>
  <c r="P25" i="13"/>
  <c r="P51" i="13" s="1"/>
  <c r="P54" i="13" s="1"/>
  <c r="P57" i="13" s="1"/>
  <c r="H36" i="16"/>
  <c r="BU133" i="16"/>
  <c r="BU140" i="16" s="1"/>
  <c r="AX115" i="16"/>
  <c r="BI145" i="16"/>
  <c r="BN146" i="16"/>
  <c r="BA106" i="16"/>
  <c r="CB45" i="12"/>
  <c r="BN144" i="16"/>
  <c r="BU146" i="16"/>
  <c r="BP146" i="16"/>
  <c r="BS114" i="16"/>
  <c r="CE143" i="16"/>
  <c r="CE133" i="16"/>
  <c r="CE140" i="16" s="1"/>
  <c r="BX133" i="16"/>
  <c r="BX140" i="16" s="1"/>
  <c r="CD145" i="16"/>
  <c r="BU143" i="16"/>
  <c r="CC143" i="16"/>
  <c r="BO146" i="16"/>
  <c r="BY146" i="16"/>
  <c r="CI106" i="16"/>
  <c r="Q114" i="16"/>
  <c r="AE114" i="16"/>
  <c r="G71" i="16"/>
  <c r="G105" i="16"/>
  <c r="CG143" i="16"/>
  <c r="BT146" i="16"/>
  <c r="CG71" i="16"/>
  <c r="CG89" i="16" s="1"/>
  <c r="BY143" i="16"/>
  <c r="CG146" i="16"/>
  <c r="CC145" i="16"/>
  <c r="CB143" i="16"/>
  <c r="BZ144" i="16"/>
  <c r="BW144" i="16"/>
  <c r="BT145" i="16"/>
  <c r="CH143" i="16"/>
  <c r="AE115" i="16"/>
  <c r="BT133" i="16"/>
  <c r="BT140" i="16" s="1"/>
  <c r="U105" i="16"/>
  <c r="I71" i="16"/>
  <c r="I89" i="16" s="1"/>
  <c r="AJ105" i="16"/>
  <c r="O114" i="16"/>
  <c r="L114" i="16"/>
  <c r="CI146" i="16"/>
  <c r="BY133" i="16"/>
  <c r="BY140" i="16" s="1"/>
  <c r="AI105" i="16"/>
  <c r="AD71" i="16"/>
  <c r="AQ71" i="16"/>
  <c r="AQ89" i="16" s="1"/>
  <c r="BF106" i="16"/>
  <c r="CG97" i="16"/>
  <c r="AE105" i="16"/>
  <c r="BT54" i="16"/>
  <c r="AJ110" i="16"/>
  <c r="BN133" i="16"/>
  <c r="BN140" i="16" s="1"/>
  <c r="BN46" i="16"/>
  <c r="BN45" i="16"/>
  <c r="AT105" i="16"/>
  <c r="U59" i="16"/>
  <c r="T59" i="16"/>
  <c r="W59" i="16"/>
  <c r="C71" i="16"/>
  <c r="C89" i="16" s="1"/>
  <c r="AU105" i="16"/>
  <c r="AP114" i="16"/>
  <c r="AP105" i="16"/>
  <c r="T105" i="16"/>
  <c r="T71" i="16"/>
  <c r="T89" i="16" s="1"/>
  <c r="Z105" i="16"/>
  <c r="CH146" i="16"/>
  <c r="CB146" i="16"/>
  <c r="CG36" i="16"/>
  <c r="CC146" i="16"/>
  <c r="BS146" i="16"/>
  <c r="BM146" i="16"/>
  <c r="BF145" i="16"/>
  <c r="BJ146" i="16"/>
  <c r="BT114" i="16"/>
  <c r="CD143" i="16"/>
  <c r="AQ105" i="16"/>
  <c r="L71" i="16"/>
  <c r="BS36" i="16"/>
  <c r="CC54" i="16"/>
  <c r="CE71" i="16"/>
  <c r="BH145" i="16"/>
  <c r="CD71" i="16"/>
  <c r="Q106" i="16"/>
  <c r="AI106" i="16"/>
  <c r="F42" i="16"/>
  <c r="AS114" i="16"/>
  <c r="AO105" i="16"/>
  <c r="BS71" i="16"/>
  <c r="BS89" i="16" s="1"/>
  <c r="BS42" i="16"/>
  <c r="BX105" i="16"/>
  <c r="BS45" i="16"/>
  <c r="AK110" i="16"/>
  <c r="BF115" i="16"/>
  <c r="BW143" i="16"/>
  <c r="AO114" i="16"/>
  <c r="E105" i="16"/>
  <c r="AU71" i="16"/>
  <c r="AU89" i="16" s="1"/>
  <c r="AA71" i="16"/>
  <c r="AA89" i="16" s="1"/>
  <c r="AA114" i="16"/>
  <c r="K71" i="16"/>
  <c r="K89" i="16" s="1"/>
  <c r="P105" i="16"/>
  <c r="D71" i="16"/>
  <c r="D105" i="16"/>
  <c r="CJ106" i="16"/>
  <c r="CG145" i="16"/>
  <c r="BO144" i="16"/>
  <c r="BS143" i="16"/>
  <c r="BX36" i="16"/>
  <c r="AE71" i="16"/>
  <c r="AE89" i="16" s="1"/>
  <c r="P71" i="16"/>
  <c r="G42" i="16"/>
  <c r="AJ114" i="16"/>
  <c r="AN105" i="16"/>
  <c r="E42" i="16"/>
  <c r="BX42" i="16"/>
  <c r="BS133" i="16"/>
  <c r="BS140" i="16" s="1"/>
  <c r="BH115" i="16"/>
  <c r="H71" i="16"/>
  <c r="H89" i="16" s="1"/>
  <c r="H105" i="16"/>
  <c r="AF105" i="16"/>
  <c r="AF114" i="16"/>
  <c r="AG114" i="16"/>
  <c r="Y106" i="16"/>
  <c r="U115" i="16"/>
  <c r="BE115" i="16"/>
  <c r="W114" i="16"/>
  <c r="Q60" i="16"/>
  <c r="AB105" i="16"/>
  <c r="Y114" i="16"/>
  <c r="E79" i="16"/>
  <c r="E81" i="16"/>
  <c r="E80" i="16"/>
  <c r="CC133" i="16"/>
  <c r="CC140" i="16" s="1"/>
  <c r="BW45" i="16"/>
  <c r="CF40" i="16"/>
  <c r="BZ143" i="16"/>
  <c r="CB42" i="16"/>
  <c r="BH143" i="16"/>
  <c r="CH47" i="16"/>
  <c r="CM36" i="16"/>
  <c r="CK167" i="1"/>
  <c r="CA36" i="12"/>
  <c r="CA30" i="12"/>
  <c r="CB22" i="12"/>
  <c r="R115" i="16"/>
  <c r="N47" i="1"/>
  <c r="CF44" i="12"/>
  <c r="N29" i="13"/>
  <c r="V106" i="16"/>
  <c r="BV167" i="1"/>
  <c r="CJ145" i="16"/>
  <c r="BK146" i="16"/>
  <c r="AF47" i="1"/>
  <c r="O45" i="12"/>
  <c r="W52" i="13"/>
  <c r="S19" i="13"/>
  <c r="AW8" i="13"/>
  <c r="X26" i="13"/>
  <c r="CN51" i="16"/>
  <c r="AC33" i="11"/>
  <c r="G82" i="12"/>
  <c r="G64" i="11"/>
  <c r="BH62" i="11"/>
  <c r="BH64" i="11" s="1"/>
  <c r="BH67" i="11"/>
  <c r="BJ67" i="11"/>
  <c r="BH18" i="11"/>
  <c r="BH20" i="11" s="1"/>
  <c r="AC29" i="11"/>
  <c r="BA75" i="11"/>
  <c r="BA58" i="11" s="1"/>
  <c r="CL51" i="16"/>
  <c r="BW47" i="16"/>
  <c r="CK131" i="16"/>
  <c r="CK138" i="16" s="1"/>
  <c r="CK145" i="16" s="1"/>
  <c r="AU18" i="13"/>
  <c r="AV18" i="13" s="1"/>
  <c r="AW18" i="13" s="1"/>
  <c r="L28" i="13"/>
  <c r="K36" i="13"/>
  <c r="AH29" i="11"/>
  <c r="CH46" i="16"/>
  <c r="CG130" i="16"/>
  <c r="CG137" i="16" s="1"/>
  <c r="CK130" i="16"/>
  <c r="CK137" i="16" s="1"/>
  <c r="CK144" i="16" s="1"/>
  <c r="BI106" i="16"/>
  <c r="BD106" i="16"/>
  <c r="BD115" i="16"/>
  <c r="X37" i="13"/>
  <c r="CE22" i="12"/>
  <c r="CF14" i="12"/>
  <c r="BJ63" i="11"/>
  <c r="AR29" i="13"/>
  <c r="CJ133" i="16"/>
  <c r="CJ140" i="16" s="1"/>
  <c r="S44" i="13"/>
  <c r="CC114" i="16"/>
  <c r="CB114" i="16"/>
  <c r="CD45" i="16"/>
  <c r="CD47" i="16"/>
  <c r="CD46" i="16"/>
  <c r="CA14" i="12"/>
  <c r="BK62" i="11"/>
  <c r="BK18" i="11"/>
  <c r="BH71" i="16"/>
  <c r="BH89" i="16" s="1"/>
  <c r="BH105" i="16"/>
  <c r="CJ95" i="16"/>
  <c r="CE114" i="16"/>
  <c r="CE54" i="16"/>
  <c r="CE45" i="16"/>
  <c r="CE46" i="16"/>
  <c r="CE47" i="16"/>
  <c r="CG54" i="16"/>
  <c r="CC46" i="16"/>
  <c r="CD54" i="16"/>
  <c r="CA42" i="12"/>
  <c r="BV10" i="11"/>
  <c r="BR14" i="11"/>
  <c r="BR67" i="11"/>
  <c r="BO167" i="1"/>
  <c r="CK291" i="1"/>
  <c r="BP105" i="16"/>
  <c r="BX70" i="16"/>
  <c r="BK105" i="16"/>
  <c r="BK71" i="16"/>
  <c r="BK89" i="16" s="1"/>
  <c r="BK114" i="16"/>
  <c r="AT20" i="13"/>
  <c r="AV39" i="13"/>
  <c r="AW39" i="13" s="1"/>
  <c r="BI114" i="16"/>
  <c r="BI105" i="16"/>
  <c r="BI71" i="16"/>
  <c r="BI89" i="16" s="1"/>
  <c r="BF54" i="16"/>
  <c r="BD71" i="16"/>
  <c r="BD89" i="16" s="1"/>
  <c r="BD114" i="16"/>
  <c r="BD105" i="16"/>
  <c r="CF125" i="16"/>
  <c r="CF30" i="12"/>
  <c r="CA167" i="1"/>
  <c r="CC63" i="11"/>
  <c r="BW133" i="16"/>
  <c r="BW140" i="16" s="1"/>
  <c r="BX54" i="16"/>
  <c r="BR71" i="16"/>
  <c r="BR89" i="16" s="1"/>
  <c r="BR114" i="16"/>
  <c r="BE105" i="16"/>
  <c r="BE114" i="16"/>
  <c r="BM133" i="16"/>
  <c r="BM140" i="16" s="1"/>
  <c r="BJ62" i="11"/>
  <c r="BH54" i="16"/>
  <c r="G47" i="1"/>
  <c r="CC42" i="16"/>
  <c r="CC70" i="16"/>
  <c r="CF70" i="16"/>
  <c r="CK106" i="16" s="1"/>
  <c r="CG36" i="12"/>
  <c r="CG45" i="12" s="1"/>
  <c r="CG42" i="16"/>
  <c r="CB45" i="16"/>
  <c r="CB46" i="16"/>
  <c r="CB47" i="16"/>
  <c r="CF189" i="1"/>
  <c r="BZ11" i="11"/>
  <c r="BZ67" i="11" s="1"/>
  <c r="BZ86" i="11"/>
  <c r="CB86" i="11"/>
  <c r="CA9" i="11"/>
  <c r="BW11" i="11"/>
  <c r="BW67" i="11" s="1"/>
  <c r="BW86" i="11"/>
  <c r="BQ76" i="1"/>
  <c r="BQ83" i="1" s="1"/>
  <c r="BQ93" i="1" s="1"/>
  <c r="BW115" i="16"/>
  <c r="BU106" i="16"/>
  <c r="BZ70" i="16"/>
  <c r="BM47" i="16"/>
  <c r="BM45" i="16"/>
  <c r="BN54" i="16"/>
  <c r="BM46" i="16"/>
  <c r="BJ114" i="16"/>
  <c r="BJ105" i="16"/>
  <c r="AV19" i="13"/>
  <c r="AW19" i="13" s="1"/>
  <c r="AW46" i="13"/>
  <c r="C47" i="1"/>
  <c r="C37" i="1"/>
  <c r="CC45" i="16"/>
  <c r="CF167" i="1"/>
  <c r="BX11" i="11"/>
  <c r="BX67" i="11" s="1"/>
  <c r="BX86" i="11"/>
  <c r="BY86" i="11"/>
  <c r="CK290" i="1"/>
  <c r="BT11" i="11"/>
  <c r="BR63" i="11"/>
  <c r="BV70" i="16"/>
  <c r="BE133" i="16"/>
  <c r="BE140" i="16" s="1"/>
  <c r="BF133" i="16"/>
  <c r="BF140" i="16" s="1"/>
  <c r="BO11" i="11"/>
  <c r="BP86" i="11"/>
  <c r="BO86" i="11"/>
  <c r="AF28" i="13"/>
  <c r="AE36" i="13"/>
  <c r="BF105" i="16"/>
  <c r="BF71" i="16"/>
  <c r="BF114" i="16"/>
  <c r="BH114" i="16"/>
  <c r="I37" i="1"/>
  <c r="I47" i="1"/>
  <c r="BU71" i="16"/>
  <c r="BU89" i="16" s="1"/>
  <c r="CK34" i="16"/>
  <c r="CO96" i="16"/>
  <c r="CM51" i="16"/>
  <c r="CJ46" i="16"/>
  <c r="CK16" i="12"/>
  <c r="BJ20" i="11"/>
  <c r="BJ76" i="11" s="1"/>
  <c r="CJ47" i="16"/>
  <c r="CB36" i="16"/>
  <c r="CH58" i="16"/>
  <c r="CJ45" i="16"/>
  <c r="CJ42" i="16"/>
  <c r="BY36" i="16"/>
  <c r="CP106" i="16"/>
  <c r="CM52" i="16"/>
  <c r="CH42" i="16"/>
  <c r="CH54" i="16"/>
  <c r="CJ36" i="16"/>
  <c r="CI47" i="16"/>
  <c r="CI133" i="16"/>
  <c r="CI140" i="16" s="1"/>
  <c r="CI45" i="16"/>
  <c r="G36" i="16"/>
  <c r="CI54" i="16"/>
  <c r="CI46" i="16"/>
  <c r="CJ54" i="16"/>
  <c r="CJ86" i="11"/>
  <c r="CI36" i="16"/>
  <c r="CI42" i="16"/>
  <c r="CC36" i="16"/>
  <c r="CI95" i="16"/>
  <c r="CO39" i="16"/>
  <c r="CK40" i="16"/>
  <c r="CP130" i="16"/>
  <c r="CP137" i="16" s="1"/>
  <c r="CP144" i="16" s="1"/>
  <c r="CI97" i="16"/>
  <c r="CG58" i="16"/>
  <c r="CP131" i="16"/>
  <c r="CP138" i="16" s="1"/>
  <c r="CP145" i="16" s="1"/>
  <c r="CO53" i="16"/>
  <c r="CH36" i="16"/>
  <c r="BZ36" i="16"/>
  <c r="CN52" i="16"/>
  <c r="CO51" i="16"/>
  <c r="CH57" i="16"/>
  <c r="CI111" i="16"/>
  <c r="CI94" i="16"/>
  <c r="CM46" i="16"/>
  <c r="CJ111" i="16"/>
  <c r="CP129" i="16"/>
  <c r="CP136" i="16" s="1"/>
  <c r="CP143" i="16" s="1"/>
  <c r="CI58" i="16"/>
  <c r="CJ58" i="16"/>
  <c r="CM39" i="16"/>
  <c r="CP132" i="16"/>
  <c r="CP139" i="16" s="1"/>
  <c r="CP146" i="16" s="1"/>
  <c r="CL52" i="16"/>
  <c r="CE36" i="16"/>
  <c r="CH133" i="16"/>
  <c r="CH140" i="16" s="1"/>
  <c r="CK20" i="12"/>
  <c r="CK18" i="12"/>
  <c r="C82" i="12"/>
  <c r="C18" i="11"/>
  <c r="C62" i="11"/>
  <c r="CI110" i="16"/>
  <c r="CL112" i="16"/>
  <c r="CM96" i="16"/>
  <c r="CN113" i="16"/>
  <c r="CL95" i="16"/>
  <c r="CN93" i="16"/>
  <c r="CH112" i="16"/>
  <c r="CH95" i="16"/>
  <c r="CI112" i="16"/>
  <c r="CM93" i="16"/>
  <c r="CK84" i="16"/>
  <c r="CH86" i="11"/>
  <c r="CH110" i="16"/>
  <c r="CH93" i="16"/>
  <c r="CK39" i="16"/>
  <c r="CK33" i="16"/>
  <c r="CJ57" i="16"/>
  <c r="CI57" i="16"/>
  <c r="CG57" i="16"/>
  <c r="BA32" i="11"/>
  <c r="BA76" i="11"/>
  <c r="BA22" i="11"/>
  <c r="BA28" i="11"/>
  <c r="BA30" i="11" s="1"/>
  <c r="CO113" i="16"/>
  <c r="CN96" i="16"/>
  <c r="CM112" i="16"/>
  <c r="CM95" i="16"/>
  <c r="CO52" i="16"/>
  <c r="CO40" i="16"/>
  <c r="CJ71" i="16"/>
  <c r="CJ97" i="16"/>
  <c r="CJ105" i="16"/>
  <c r="CK9" i="12"/>
  <c r="G79" i="16" l="1"/>
  <c r="G89" i="16"/>
  <c r="AX78" i="16"/>
  <c r="AX89" i="16"/>
  <c r="BO81" i="16"/>
  <c r="BO89" i="16"/>
  <c r="AP80" i="16"/>
  <c r="AP89" i="16"/>
  <c r="BY79" i="16"/>
  <c r="BY89" i="16"/>
  <c r="BF79" i="16"/>
  <c r="BF89" i="16"/>
  <c r="P79" i="16"/>
  <c r="P89" i="16"/>
  <c r="CE14" i="11"/>
  <c r="CE18" i="11" s="1"/>
  <c r="CE89" i="16"/>
  <c r="AJ80" i="16"/>
  <c r="AJ89" i="16"/>
  <c r="BE77" i="16"/>
  <c r="BE89" i="16"/>
  <c r="O79" i="16"/>
  <c r="O89" i="16"/>
  <c r="BC80" i="16"/>
  <c r="BC89" i="16"/>
  <c r="BA79" i="16"/>
  <c r="BA89" i="16"/>
  <c r="BT79" i="16"/>
  <c r="BT89" i="16"/>
  <c r="AN80" i="16"/>
  <c r="AN89" i="16"/>
  <c r="AG80" i="16"/>
  <c r="AG89" i="16"/>
  <c r="E107" i="16"/>
  <c r="D89" i="16"/>
  <c r="Y81" i="16"/>
  <c r="Y89" i="16"/>
  <c r="J80" i="16"/>
  <c r="J89" i="16"/>
  <c r="CJ14" i="11"/>
  <c r="CJ18" i="11" s="1"/>
  <c r="CJ20" i="11" s="1"/>
  <c r="CJ89" i="16"/>
  <c r="CD76" i="16"/>
  <c r="CD89" i="16"/>
  <c r="L79" i="16"/>
  <c r="L89" i="16"/>
  <c r="BP79" i="16"/>
  <c r="BP89" i="16"/>
  <c r="V79" i="16"/>
  <c r="V89" i="16"/>
  <c r="AD81" i="16"/>
  <c r="AD89" i="16"/>
  <c r="DM93" i="16"/>
  <c r="DM101" i="16"/>
  <c r="BL14" i="11"/>
  <c r="L52" i="13"/>
  <c r="AB6" i="13"/>
  <c r="F51" i="13"/>
  <c r="F54" i="13" s="1"/>
  <c r="F57" i="13" s="1"/>
  <c r="R6" i="13"/>
  <c r="W95" i="1"/>
  <c r="C62" i="12"/>
  <c r="AZ63" i="11"/>
  <c r="BA8" i="13"/>
  <c r="F71" i="12"/>
  <c r="M62" i="11"/>
  <c r="M73" i="11" s="1"/>
  <c r="AQ67" i="11"/>
  <c r="J47" i="13"/>
  <c r="F36" i="12"/>
  <c r="F45" i="12" s="1"/>
  <c r="BI20" i="11"/>
  <c r="BI22" i="11" s="1"/>
  <c r="M18" i="11"/>
  <c r="BQ167" i="1"/>
  <c r="DC93" i="16"/>
  <c r="O14" i="11"/>
  <c r="O18" i="11" s="1"/>
  <c r="AC26" i="13"/>
  <c r="AC52" i="13" s="1"/>
  <c r="H18" i="11"/>
  <c r="D82" i="12"/>
  <c r="J64" i="11"/>
  <c r="P14" i="11"/>
  <c r="P18" i="11" s="1"/>
  <c r="T67" i="11"/>
  <c r="C67" i="12"/>
  <c r="D78" i="12"/>
  <c r="AW11" i="11"/>
  <c r="AW67" i="11" s="1"/>
  <c r="I62" i="12"/>
  <c r="S95" i="1"/>
  <c r="U14" i="11"/>
  <c r="BF75" i="11"/>
  <c r="BC75" i="11"/>
  <c r="C68" i="12"/>
  <c r="S11" i="11"/>
  <c r="S67" i="11" s="1"/>
  <c r="K45" i="12"/>
  <c r="M40" i="13"/>
  <c r="N40" i="13" s="1"/>
  <c r="AH37" i="13"/>
  <c r="W67" i="11"/>
  <c r="AD14" i="11"/>
  <c r="AL11" i="11"/>
  <c r="AL14" i="11" s="1"/>
  <c r="AU67" i="11"/>
  <c r="BI62" i="11"/>
  <c r="BI88" i="11" s="1"/>
  <c r="BI75" i="11"/>
  <c r="J20" i="11"/>
  <c r="J22" i="11" s="1"/>
  <c r="C61" i="12"/>
  <c r="AV75" i="11"/>
  <c r="AV58" i="11" s="1"/>
  <c r="U25" i="13"/>
  <c r="U51" i="13" s="1"/>
  <c r="U54" i="13" s="1"/>
  <c r="U57" i="13" s="1"/>
  <c r="AP63" i="11"/>
  <c r="AP64" i="11" s="1"/>
  <c r="AE14" i="11"/>
  <c r="AE62" i="11" s="1"/>
  <c r="AE73" i="11" s="1"/>
  <c r="AC47" i="1"/>
  <c r="F62" i="12"/>
  <c r="V47" i="1"/>
  <c r="X149" i="1"/>
  <c r="I61" i="12"/>
  <c r="AI67" i="11"/>
  <c r="AG52" i="13"/>
  <c r="AZ14" i="11"/>
  <c r="AZ62" i="11" s="1"/>
  <c r="AZ73" i="11" s="1"/>
  <c r="I82" i="12"/>
  <c r="AL86" i="11"/>
  <c r="F64" i="12"/>
  <c r="F68" i="12" s="1"/>
  <c r="H62" i="12"/>
  <c r="O47" i="1"/>
  <c r="AI47" i="1"/>
  <c r="BE18" i="11"/>
  <c r="E82" i="12"/>
  <c r="AH26" i="13"/>
  <c r="K18" i="11"/>
  <c r="J75" i="11"/>
  <c r="J58" i="11" s="1"/>
  <c r="E18" i="11"/>
  <c r="AA14" i="11"/>
  <c r="AA62" i="11" s="1"/>
  <c r="AA73" i="11" s="1"/>
  <c r="V14" i="11"/>
  <c r="V18" i="11" s="1"/>
  <c r="AS18" i="11"/>
  <c r="N14" i="11"/>
  <c r="Y14" i="11"/>
  <c r="AR9" i="13"/>
  <c r="AS67" i="11"/>
  <c r="AM11" i="11"/>
  <c r="AM67" i="11" s="1"/>
  <c r="AS62" i="11"/>
  <c r="AS73" i="11" s="1"/>
  <c r="Z14" i="11"/>
  <c r="AZ45" i="13"/>
  <c r="M117" i="1"/>
  <c r="N143" i="1"/>
  <c r="Y47" i="1"/>
  <c r="CK88" i="16"/>
  <c r="BF63" i="11"/>
  <c r="BG63" i="11" s="1"/>
  <c r="AD115" i="16"/>
  <c r="AG106" i="16"/>
  <c r="BY75" i="16"/>
  <c r="AB71" i="16"/>
  <c r="AC70" i="16"/>
  <c r="AC71" i="16" s="1"/>
  <c r="AC89" i="16" s="1"/>
  <c r="BO106" i="16"/>
  <c r="BJ115" i="16"/>
  <c r="BJ106" i="16"/>
  <c r="BW78" i="16"/>
  <c r="BK115" i="16"/>
  <c r="BM106" i="16"/>
  <c r="AN115" i="16"/>
  <c r="CB79" i="16"/>
  <c r="BE116" i="16"/>
  <c r="BW75" i="16"/>
  <c r="BY76" i="16"/>
  <c r="BW76" i="16"/>
  <c r="BY80" i="16"/>
  <c r="BY14" i="11"/>
  <c r="K116" i="16"/>
  <c r="BW80" i="16"/>
  <c r="BT80" i="16"/>
  <c r="BY78" i="16"/>
  <c r="BY77" i="16"/>
  <c r="BW79" i="16"/>
  <c r="BY81" i="16"/>
  <c r="BW81" i="16"/>
  <c r="BO46" i="16"/>
  <c r="BT76" i="16"/>
  <c r="BY107" i="16"/>
  <c r="BY98" i="16"/>
  <c r="S106" i="16"/>
  <c r="BT36" i="16"/>
  <c r="BM71" i="16"/>
  <c r="AT75" i="16"/>
  <c r="BR106" i="16"/>
  <c r="BM114" i="16"/>
  <c r="BR105" i="16"/>
  <c r="BM115" i="16"/>
  <c r="AT79" i="16"/>
  <c r="BP78" i="16"/>
  <c r="CG78" i="16"/>
  <c r="BE78" i="16"/>
  <c r="BE75" i="16"/>
  <c r="AW106" i="16"/>
  <c r="BJ98" i="16"/>
  <c r="AN86" i="11"/>
  <c r="BJ22" i="11"/>
  <c r="V81" i="16"/>
  <c r="M81" i="16"/>
  <c r="CF105" i="16"/>
  <c r="AX147" i="16"/>
  <c r="O81" i="16"/>
  <c r="AL71" i="16"/>
  <c r="BD147" i="16"/>
  <c r="E36" i="16"/>
  <c r="CG79" i="16"/>
  <c r="AL115" i="16"/>
  <c r="BO79" i="16"/>
  <c r="AL106" i="16"/>
  <c r="AZ76" i="16"/>
  <c r="BB133" i="16"/>
  <c r="BB140" i="16" s="1"/>
  <c r="BT81" i="16"/>
  <c r="BE81" i="16"/>
  <c r="BE76" i="16"/>
  <c r="BQ130" i="16"/>
  <c r="BQ137" i="16" s="1"/>
  <c r="BQ144" i="16" s="1"/>
  <c r="BT75" i="16"/>
  <c r="J81" i="16"/>
  <c r="BE80" i="16"/>
  <c r="DH101" i="16"/>
  <c r="DH93" i="16"/>
  <c r="DH110" i="16"/>
  <c r="N71" i="16"/>
  <c r="CG14" i="11"/>
  <c r="CG11" i="11" s="1"/>
  <c r="BT77" i="16"/>
  <c r="J79" i="16"/>
  <c r="AZ77" i="16"/>
  <c r="BT78" i="16"/>
  <c r="BE79" i="16"/>
  <c r="AF59" i="16"/>
  <c r="AF81" i="16"/>
  <c r="AZ81" i="16"/>
  <c r="AY147" i="16"/>
  <c r="AE106" i="16"/>
  <c r="AZ80" i="16"/>
  <c r="AZ75" i="16"/>
  <c r="AZ78" i="16"/>
  <c r="BA115" i="16"/>
  <c r="BE107" i="16"/>
  <c r="AZ79" i="16"/>
  <c r="AZ116" i="16"/>
  <c r="AF79" i="16"/>
  <c r="AZ106" i="16"/>
  <c r="AF80" i="16"/>
  <c r="AZ115" i="16"/>
  <c r="BE98" i="16"/>
  <c r="BA116" i="16"/>
  <c r="AG81" i="16"/>
  <c r="BM105" i="16"/>
  <c r="AG116" i="16"/>
  <c r="AX81" i="16"/>
  <c r="AG79" i="16"/>
  <c r="I68" i="12"/>
  <c r="H62" i="11"/>
  <c r="H73" i="11" s="1"/>
  <c r="AX14" i="11"/>
  <c r="AL28" i="13"/>
  <c r="L36" i="13"/>
  <c r="BB105" i="16"/>
  <c r="BK81" i="11"/>
  <c r="AU62" i="11"/>
  <c r="AU81" i="11" s="1"/>
  <c r="Q67" i="11"/>
  <c r="BW77" i="16"/>
  <c r="BW14" i="11"/>
  <c r="AT14" i="11"/>
  <c r="L63" i="11"/>
  <c r="I62" i="11"/>
  <c r="I73" i="11" s="1"/>
  <c r="BA78" i="16"/>
  <c r="AR11" i="11"/>
  <c r="AR14" i="11" s="1"/>
  <c r="BP76" i="16"/>
  <c r="CA45" i="16"/>
  <c r="AH105" i="16"/>
  <c r="AV20" i="11"/>
  <c r="BL71" i="16"/>
  <c r="BE62" i="11"/>
  <c r="BF88" i="11" s="1"/>
  <c r="H78" i="12"/>
  <c r="AS75" i="16"/>
  <c r="O107" i="16"/>
  <c r="O98" i="16"/>
  <c r="BH81" i="11"/>
  <c r="BA75" i="16"/>
  <c r="F83" i="12"/>
  <c r="S47" i="1"/>
  <c r="T60" i="16"/>
  <c r="AI79" i="16"/>
  <c r="AN110" i="16"/>
  <c r="AO110" i="16"/>
  <c r="AO14" i="11"/>
  <c r="AO67" i="11"/>
  <c r="M79" i="16"/>
  <c r="M80" i="16"/>
  <c r="AQ27" i="13"/>
  <c r="AR27" i="13" s="1"/>
  <c r="BP45" i="16"/>
  <c r="BU36" i="16"/>
  <c r="BU42" i="16"/>
  <c r="BU18" i="11"/>
  <c r="BU20" i="11" s="1"/>
  <c r="N6" i="13"/>
  <c r="BT42" i="16"/>
  <c r="BO54" i="16"/>
  <c r="BO47" i="16"/>
  <c r="BO133" i="16"/>
  <c r="BO140" i="16" s="1"/>
  <c r="BO147" i="16" s="1"/>
  <c r="BO45" i="16"/>
  <c r="BA44" i="13"/>
  <c r="BP144" i="16"/>
  <c r="BS144" i="16"/>
  <c r="BR144" i="16"/>
  <c r="Z106" i="16"/>
  <c r="Z71" i="16"/>
  <c r="Z89" i="16" s="1"/>
  <c r="AA115" i="16"/>
  <c r="BL133" i="16"/>
  <c r="BL140" i="16" s="1"/>
  <c r="AH47" i="1"/>
  <c r="AK79" i="16"/>
  <c r="Z47" i="1"/>
  <c r="BN71" i="16"/>
  <c r="BO114" i="16"/>
  <c r="BS105" i="16"/>
  <c r="D62" i="11"/>
  <c r="D73" i="11" s="1"/>
  <c r="AT78" i="16"/>
  <c r="AT81" i="16"/>
  <c r="CA47" i="16"/>
  <c r="CA46" i="16"/>
  <c r="G75" i="11"/>
  <c r="G58" i="11" s="1"/>
  <c r="S29" i="11"/>
  <c r="S33" i="11"/>
  <c r="CA105" i="16"/>
  <c r="AG67" i="11"/>
  <c r="CA133" i="16"/>
  <c r="CA140" i="16" s="1"/>
  <c r="CA147" i="16" s="1"/>
  <c r="BN105" i="16"/>
  <c r="BN114" i="16"/>
  <c r="AY98" i="16"/>
  <c r="AC11" i="11"/>
  <c r="AC67" i="11" s="1"/>
  <c r="R14" i="11"/>
  <c r="F75" i="11"/>
  <c r="F58" i="11" s="1"/>
  <c r="O116" i="16"/>
  <c r="M8" i="13"/>
  <c r="N8" i="13" s="1"/>
  <c r="V116" i="16"/>
  <c r="V80" i="16"/>
  <c r="AD59" i="16"/>
  <c r="AE59" i="16"/>
  <c r="BL105" i="16"/>
  <c r="I67" i="12"/>
  <c r="BE106" i="16"/>
  <c r="F20" i="11"/>
  <c r="F86" i="12" s="1"/>
  <c r="O80" i="16"/>
  <c r="BU98" i="16"/>
  <c r="AO81" i="16"/>
  <c r="E47" i="13"/>
  <c r="BA28" i="13"/>
  <c r="L18" i="11"/>
  <c r="L62" i="11"/>
  <c r="L73" i="11" s="1"/>
  <c r="AQ8" i="13"/>
  <c r="AQ63" i="11" s="1"/>
  <c r="S9" i="13"/>
  <c r="AH182" i="1"/>
  <c r="AY107" i="16"/>
  <c r="M60" i="16"/>
  <c r="BR42" i="16"/>
  <c r="BR133" i="16"/>
  <c r="BR140" i="16" s="1"/>
  <c r="AO79" i="16"/>
  <c r="K25" i="13"/>
  <c r="K51" i="13" s="1"/>
  <c r="K54" i="13" s="1"/>
  <c r="K57" i="13" s="1"/>
  <c r="AU36" i="13"/>
  <c r="AK63" i="11"/>
  <c r="X11" i="11"/>
  <c r="X67" i="11" s="1"/>
  <c r="AG59" i="16"/>
  <c r="S182" i="1"/>
  <c r="T47" i="1"/>
  <c r="BL106" i="16"/>
  <c r="BP54" i="16"/>
  <c r="BP46" i="16"/>
  <c r="AM106" i="16"/>
  <c r="AY67" i="11"/>
  <c r="AY14" i="11"/>
  <c r="BG133" i="16"/>
  <c r="BG140" i="16" s="1"/>
  <c r="BJ80" i="16"/>
  <c r="BS67" i="11"/>
  <c r="CE116" i="16"/>
  <c r="R105" i="16"/>
  <c r="AB14" i="11"/>
  <c r="AC22" i="12"/>
  <c r="AB8" i="13"/>
  <c r="BJ75" i="16"/>
  <c r="BP47" i="16"/>
  <c r="BP133" i="16"/>
  <c r="BP140" i="16" s="1"/>
  <c r="AL8" i="13"/>
  <c r="AM8" i="13" s="1"/>
  <c r="AA63" i="11"/>
  <c r="AP107" i="16"/>
  <c r="AI80" i="16"/>
  <c r="AK107" i="16"/>
  <c r="I81" i="16"/>
  <c r="AN107" i="16"/>
  <c r="AI81" i="16"/>
  <c r="AK81" i="16"/>
  <c r="AK80" i="16"/>
  <c r="AI116" i="16"/>
  <c r="AN79" i="16"/>
  <c r="V98" i="16"/>
  <c r="Y79" i="16"/>
  <c r="AN98" i="16"/>
  <c r="AO80" i="16"/>
  <c r="R71" i="16"/>
  <c r="R89" i="16" s="1"/>
  <c r="W105" i="16"/>
  <c r="I79" i="16"/>
  <c r="T114" i="16"/>
  <c r="AP67" i="11"/>
  <c r="AN67" i="11"/>
  <c r="AP18" i="11"/>
  <c r="AH11" i="11"/>
  <c r="AH14" i="11" s="1"/>
  <c r="V107" i="16"/>
  <c r="AE81" i="16"/>
  <c r="Q79" i="16"/>
  <c r="AP98" i="16"/>
  <c r="AP79" i="16"/>
  <c r="AP116" i="16"/>
  <c r="Q80" i="16"/>
  <c r="Q81" i="16"/>
  <c r="AP81" i="16"/>
  <c r="BJ77" i="16"/>
  <c r="BP10" i="11"/>
  <c r="BP81" i="16"/>
  <c r="AS98" i="16"/>
  <c r="BG105" i="16"/>
  <c r="Y80" i="16"/>
  <c r="BJ107" i="16"/>
  <c r="BJ76" i="16"/>
  <c r="BG106" i="16"/>
  <c r="BP80" i="16"/>
  <c r="AS76" i="16"/>
  <c r="BO63" i="11"/>
  <c r="R143" i="1"/>
  <c r="BJ81" i="16"/>
  <c r="BC64" i="11"/>
  <c r="BP77" i="16"/>
  <c r="I80" i="16"/>
  <c r="BJ78" i="16"/>
  <c r="X70" i="16"/>
  <c r="W70" i="16"/>
  <c r="R8" i="13"/>
  <c r="BP75" i="16"/>
  <c r="BD67" i="11"/>
  <c r="BJ79" i="16"/>
  <c r="BG71" i="16"/>
  <c r="CB147" i="16"/>
  <c r="AV40" i="13"/>
  <c r="AC187" i="1"/>
  <c r="DC52" i="16"/>
  <c r="DA53" i="16"/>
  <c r="DC110" i="16"/>
  <c r="DC94" i="16"/>
  <c r="DC40" i="16"/>
  <c r="DC101" i="16"/>
  <c r="I98" i="16"/>
  <c r="AN81" i="16"/>
  <c r="AE25" i="13"/>
  <c r="AE51" i="13" s="1"/>
  <c r="AE54" i="13" s="1"/>
  <c r="AE57" i="13" s="1"/>
  <c r="AQ52" i="13"/>
  <c r="AI47" i="13"/>
  <c r="H64" i="12"/>
  <c r="H67" i="12" s="1"/>
  <c r="H61" i="12"/>
  <c r="BY147" i="16"/>
  <c r="Y107" i="16"/>
  <c r="M116" i="16"/>
  <c r="Q116" i="16"/>
  <c r="AG9" i="13"/>
  <c r="AL9" i="13"/>
  <c r="P116" i="16"/>
  <c r="CE77" i="16"/>
  <c r="P80" i="16"/>
  <c r="I107" i="16"/>
  <c r="S37" i="13"/>
  <c r="CE76" i="16"/>
  <c r="AH187" i="1"/>
  <c r="AJ14" i="11"/>
  <c r="CF45" i="16"/>
  <c r="BB71" i="16"/>
  <c r="CV113" i="16"/>
  <c r="CV112" i="16"/>
  <c r="BH72" i="11"/>
  <c r="DA52" i="16"/>
  <c r="CV52" i="16"/>
  <c r="CX110" i="16"/>
  <c r="CX93" i="16"/>
  <c r="CY41" i="16"/>
  <c r="CV51" i="16"/>
  <c r="CT53" i="16"/>
  <c r="CX40" i="16"/>
  <c r="CX52" i="16"/>
  <c r="L81" i="16"/>
  <c r="BZ147" i="16"/>
  <c r="CE80" i="16"/>
  <c r="AQ110" i="16"/>
  <c r="BA147" i="16"/>
  <c r="BB147" i="16" s="1"/>
  <c r="BF81" i="11"/>
  <c r="BC147" i="16"/>
  <c r="S71" i="16"/>
  <c r="S89" i="16" s="1"/>
  <c r="CG115" i="16"/>
  <c r="P81" i="16"/>
  <c r="CE75" i="16"/>
  <c r="AO25" i="13"/>
  <c r="AO51" i="13" s="1"/>
  <c r="AO54" i="13" s="1"/>
  <c r="AO57" i="13" s="1"/>
  <c r="BC88" i="11"/>
  <c r="CG81" i="16"/>
  <c r="CG80" i="16"/>
  <c r="AK116" i="16"/>
  <c r="AJ79" i="16"/>
  <c r="AZ147" i="16"/>
  <c r="K60" i="16"/>
  <c r="L60" i="16"/>
  <c r="BM64" i="11"/>
  <c r="BE147" i="16"/>
  <c r="BY63" i="11"/>
  <c r="BX147" i="16"/>
  <c r="X20" i="13"/>
  <c r="BK147" i="16"/>
  <c r="BL147" i="16" s="1"/>
  <c r="AK67" i="11"/>
  <c r="AK14" i="11"/>
  <c r="BP98" i="16"/>
  <c r="CG107" i="16"/>
  <c r="CG77" i="16"/>
  <c r="AJ81" i="16"/>
  <c r="AO98" i="16"/>
  <c r="AJ116" i="16"/>
  <c r="BM147" i="16"/>
  <c r="AU45" i="13"/>
  <c r="F81" i="16"/>
  <c r="W20" i="13"/>
  <c r="AH71" i="16"/>
  <c r="AH89" i="16" s="1"/>
  <c r="BM18" i="11"/>
  <c r="V20" i="13"/>
  <c r="BP107" i="16"/>
  <c r="CG75" i="16"/>
  <c r="CG76" i="16"/>
  <c r="AO107" i="16"/>
  <c r="AM71" i="16"/>
  <c r="AV147" i="16"/>
  <c r="AW147" i="16" s="1"/>
  <c r="AW27" i="13"/>
  <c r="BB11" i="11"/>
  <c r="CB80" i="16"/>
  <c r="BW107" i="16"/>
  <c r="U60" i="16"/>
  <c r="S105" i="16"/>
  <c r="BT107" i="16"/>
  <c r="AS81" i="16"/>
  <c r="AS79" i="16"/>
  <c r="P107" i="16"/>
  <c r="P98" i="16"/>
  <c r="N105" i="16"/>
  <c r="CF97" i="16"/>
  <c r="BO107" i="16"/>
  <c r="AR106" i="16"/>
  <c r="I20" i="11"/>
  <c r="BR116" i="16"/>
  <c r="CB75" i="16"/>
  <c r="CG98" i="16"/>
  <c r="AT116" i="16"/>
  <c r="AS77" i="16"/>
  <c r="BO78" i="16"/>
  <c r="AM105" i="16"/>
  <c r="CG114" i="16"/>
  <c r="BO75" i="16"/>
  <c r="CB98" i="16"/>
  <c r="CB78" i="16"/>
  <c r="AS80" i="16"/>
  <c r="AE80" i="16"/>
  <c r="CF71" i="16"/>
  <c r="AS78" i="16"/>
  <c r="AS107" i="16"/>
  <c r="AX98" i="16"/>
  <c r="BH73" i="11"/>
  <c r="AW133" i="16"/>
  <c r="AW140" i="16" s="1"/>
  <c r="E78" i="12"/>
  <c r="AR52" i="13"/>
  <c r="AG40" i="13"/>
  <c r="AH40" i="13" s="1"/>
  <c r="AH6" i="13"/>
  <c r="AO116" i="16"/>
  <c r="AF67" i="11"/>
  <c r="AF14" i="11"/>
  <c r="AA20" i="13"/>
  <c r="BA6" i="13"/>
  <c r="BA26" i="13"/>
  <c r="AZ52" i="13"/>
  <c r="BM81" i="11"/>
  <c r="AB27" i="13"/>
  <c r="AQ28" i="13"/>
  <c r="V63" i="11"/>
  <c r="W9" i="13"/>
  <c r="AP36" i="13"/>
  <c r="Z25" i="13"/>
  <c r="L20" i="13"/>
  <c r="AV6" i="13"/>
  <c r="S28" i="13"/>
  <c r="R42" i="13"/>
  <c r="CF47" i="16"/>
  <c r="BS76" i="16"/>
  <c r="BS81" i="16"/>
  <c r="BS75" i="16"/>
  <c r="AD79" i="16"/>
  <c r="BK63" i="11"/>
  <c r="BK64" i="11" s="1"/>
  <c r="F107" i="16"/>
  <c r="BA77" i="16"/>
  <c r="F80" i="16"/>
  <c r="AW105" i="16"/>
  <c r="BA98" i="16"/>
  <c r="CO133" i="16"/>
  <c r="CO140" i="16" s="1"/>
  <c r="BH75" i="11"/>
  <c r="CF42" i="16"/>
  <c r="AX77" i="16"/>
  <c r="BW36" i="16"/>
  <c r="F79" i="16"/>
  <c r="AR21" i="13"/>
  <c r="D51" i="13"/>
  <c r="D54" i="13" s="1"/>
  <c r="D57" i="13" s="1"/>
  <c r="D47" i="13"/>
  <c r="D49" i="13" s="1"/>
  <c r="E48" i="13" s="1"/>
  <c r="AQ6" i="13"/>
  <c r="CF36" i="16"/>
  <c r="T107" i="16"/>
  <c r="CF46" i="16"/>
  <c r="AD107" i="16"/>
  <c r="BF116" i="16"/>
  <c r="AP20" i="13"/>
  <c r="CF133" i="16"/>
  <c r="CF140" i="16" s="1"/>
  <c r="CF147" i="16" s="1"/>
  <c r="AF25" i="13"/>
  <c r="AF51" i="13" s="1"/>
  <c r="AF54" i="13" s="1"/>
  <c r="AF57" i="13" s="1"/>
  <c r="CC147" i="16"/>
  <c r="F98" i="16"/>
  <c r="AM37" i="13"/>
  <c r="AX79" i="16"/>
  <c r="M27" i="13"/>
  <c r="W29" i="13"/>
  <c r="AH27" i="13"/>
  <c r="CQ111" i="16"/>
  <c r="AX116" i="16"/>
  <c r="AX75" i="16"/>
  <c r="G61" i="12"/>
  <c r="G64" i="12"/>
  <c r="G62" i="12"/>
  <c r="D64" i="12"/>
  <c r="D61" i="12"/>
  <c r="D62" i="12"/>
  <c r="E61" i="12"/>
  <c r="E64" i="12"/>
  <c r="BA73" i="11"/>
  <c r="BA81" i="11"/>
  <c r="AL110" i="16"/>
  <c r="BR45" i="16"/>
  <c r="BP116" i="16"/>
  <c r="CB107" i="16"/>
  <c r="CB77" i="16"/>
  <c r="CB76" i="16"/>
  <c r="CB14" i="11"/>
  <c r="CB11" i="11" s="1"/>
  <c r="CB81" i="16"/>
  <c r="BW98" i="16"/>
  <c r="CG116" i="16"/>
  <c r="W60" i="16"/>
  <c r="V60" i="16"/>
  <c r="X105" i="16"/>
  <c r="BT98" i="16"/>
  <c r="AX107" i="16"/>
  <c r="AC105" i="16"/>
  <c r="U107" i="16"/>
  <c r="AT80" i="16"/>
  <c r="AT107" i="16"/>
  <c r="AT98" i="16"/>
  <c r="AT76" i="16"/>
  <c r="AU116" i="16"/>
  <c r="AT77" i="16"/>
  <c r="Q107" i="16"/>
  <c r="Q98" i="16"/>
  <c r="L80" i="16"/>
  <c r="AS147" i="16"/>
  <c r="BO77" i="16"/>
  <c r="BO80" i="16"/>
  <c r="CD80" i="16"/>
  <c r="CE81" i="16"/>
  <c r="CE79" i="16"/>
  <c r="CE78" i="16"/>
  <c r="BJ147" i="16"/>
  <c r="BO98" i="16"/>
  <c r="Y98" i="16"/>
  <c r="AD80" i="16"/>
  <c r="BQ106" i="16"/>
  <c r="CD107" i="16"/>
  <c r="BV106" i="16"/>
  <c r="BW42" i="16"/>
  <c r="BO76" i="16"/>
  <c r="AI107" i="16"/>
  <c r="BR54" i="16"/>
  <c r="BR36" i="16"/>
  <c r="U98" i="16"/>
  <c r="BR47" i="16"/>
  <c r="BB106" i="16"/>
  <c r="AX80" i="16"/>
  <c r="AX76" i="16"/>
  <c r="BR46" i="16"/>
  <c r="BA81" i="16"/>
  <c r="BA80" i="16"/>
  <c r="BA76" i="16"/>
  <c r="BA107" i="16"/>
  <c r="AV81" i="16"/>
  <c r="AV76" i="16"/>
  <c r="AV78" i="16"/>
  <c r="AV75" i="16"/>
  <c r="AV80" i="16"/>
  <c r="AV79" i="16"/>
  <c r="AV77" i="16"/>
  <c r="BV33" i="16"/>
  <c r="BQ129" i="16"/>
  <c r="BQ136" i="16" s="1"/>
  <c r="BQ143" i="16" s="1"/>
  <c r="BV39" i="16"/>
  <c r="BV130" i="16"/>
  <c r="BV137" i="16" s="1"/>
  <c r="BV144" i="16" s="1"/>
  <c r="BV46" i="16"/>
  <c r="CA34" i="16"/>
  <c r="BV34" i="16"/>
  <c r="BV40" i="16"/>
  <c r="CA40" i="16"/>
  <c r="N45" i="12"/>
  <c r="AB149" i="1"/>
  <c r="AC149" i="1"/>
  <c r="M95" i="1"/>
  <c r="N95" i="1"/>
  <c r="W149" i="1"/>
  <c r="G66" i="12"/>
  <c r="CN36" i="16"/>
  <c r="CN133" i="16"/>
  <c r="CN140" i="16" s="1"/>
  <c r="AC9" i="13"/>
  <c r="R40" i="13"/>
  <c r="AF63" i="11"/>
  <c r="AG8" i="13"/>
  <c r="AQ38" i="13"/>
  <c r="AV9" i="13"/>
  <c r="AW9" i="13" s="1"/>
  <c r="AU63" i="11"/>
  <c r="AY77" i="16"/>
  <c r="AY81" i="16"/>
  <c r="AY80" i="16"/>
  <c r="AY79" i="16"/>
  <c r="AY116" i="16"/>
  <c r="AY78" i="16"/>
  <c r="AY75" i="16"/>
  <c r="AY76" i="16"/>
  <c r="AQ40" i="13"/>
  <c r="BD62" i="11"/>
  <c r="AL52" i="13"/>
  <c r="BN14" i="11"/>
  <c r="BN67" i="11"/>
  <c r="AM52" i="13"/>
  <c r="AG149" i="1"/>
  <c r="AH149" i="1"/>
  <c r="BC81" i="16"/>
  <c r="BC78" i="16"/>
  <c r="BC107" i="16"/>
  <c r="BC116" i="16"/>
  <c r="BC79" i="16"/>
  <c r="BC76" i="16"/>
  <c r="BC75" i="16"/>
  <c r="BC98" i="16"/>
  <c r="BC77" i="16"/>
  <c r="AW71" i="16"/>
  <c r="AW89" i="16" s="1"/>
  <c r="U80" i="16"/>
  <c r="U81" i="16"/>
  <c r="U79" i="16"/>
  <c r="AG95" i="1"/>
  <c r="AH95" i="1"/>
  <c r="S22" i="12"/>
  <c r="O51" i="13"/>
  <c r="O54" i="13" s="1"/>
  <c r="O57" i="13" s="1"/>
  <c r="O47" i="13"/>
  <c r="W40" i="13"/>
  <c r="AB40" i="13"/>
  <c r="AD47" i="13"/>
  <c r="AD51" i="13"/>
  <c r="AD54" i="13" s="1"/>
  <c r="AD57" i="13" s="1"/>
  <c r="AL41" i="13"/>
  <c r="AN51" i="13"/>
  <c r="AN54" i="13" s="1"/>
  <c r="AN57" i="13" s="1"/>
  <c r="AN47" i="13"/>
  <c r="CU29" i="12"/>
  <c r="CJ60" i="16"/>
  <c r="CN95" i="16"/>
  <c r="G51" i="13"/>
  <c r="G54" i="13" s="1"/>
  <c r="G57" i="13" s="1"/>
  <c r="G47" i="13"/>
  <c r="T47" i="13"/>
  <c r="CL54" i="16"/>
  <c r="CQ42" i="16"/>
  <c r="CQ36" i="16"/>
  <c r="CM54" i="16"/>
  <c r="CO46" i="16"/>
  <c r="CQ54" i="16"/>
  <c r="CS41" i="16"/>
  <c r="CS53" i="16"/>
  <c r="CT95" i="16"/>
  <c r="CS93" i="16"/>
  <c r="CS110" i="16"/>
  <c r="CN47" i="16"/>
  <c r="CN54" i="16"/>
  <c r="CT96" i="16"/>
  <c r="CS40" i="16"/>
  <c r="CS52" i="16"/>
  <c r="CS133" i="16"/>
  <c r="CS140" i="16" s="1"/>
  <c r="CP84" i="16"/>
  <c r="CO110" i="16"/>
  <c r="CQ110" i="16"/>
  <c r="CT39" i="16"/>
  <c r="CT51" i="16"/>
  <c r="CU132" i="16"/>
  <c r="CU139" i="16" s="1"/>
  <c r="CU146" i="16" s="1"/>
  <c r="CT52" i="16"/>
  <c r="CT40" i="16"/>
  <c r="R52" i="13"/>
  <c r="S26" i="13"/>
  <c r="AC28" i="13"/>
  <c r="BA29" i="13"/>
  <c r="AZ36" i="13"/>
  <c r="R18" i="13"/>
  <c r="Q25" i="13"/>
  <c r="Q51" i="13" s="1"/>
  <c r="Q54" i="13" s="1"/>
  <c r="Q57" i="13" s="1"/>
  <c r="AV42" i="13"/>
  <c r="AJ25" i="13"/>
  <c r="AJ47" i="13" s="1"/>
  <c r="AL40" i="13"/>
  <c r="AM40" i="13" s="1"/>
  <c r="BA20" i="13"/>
  <c r="AZ20" i="13"/>
  <c r="AK45" i="13"/>
  <c r="AX51" i="13"/>
  <c r="AX54" i="13" s="1"/>
  <c r="AX57" i="13" s="1"/>
  <c r="AV28" i="13"/>
  <c r="AB42" i="13"/>
  <c r="AA45" i="13"/>
  <c r="AG38" i="13"/>
  <c r="AF45" i="13"/>
  <c r="AS51" i="13"/>
  <c r="AS54" i="13" s="1"/>
  <c r="AS57" i="13" s="1"/>
  <c r="AS47" i="13"/>
  <c r="I51" i="13"/>
  <c r="I54" i="13" s="1"/>
  <c r="I57" i="13" s="1"/>
  <c r="I47" i="13"/>
  <c r="W17" i="13"/>
  <c r="AM29" i="13"/>
  <c r="BA16" i="13"/>
  <c r="AL20" i="13"/>
  <c r="AK20" i="13"/>
  <c r="AQ16" i="13"/>
  <c r="M37" i="13"/>
  <c r="L45" i="13"/>
  <c r="AQ39" i="13"/>
  <c r="AP45" i="13"/>
  <c r="R38" i="13"/>
  <c r="Q45" i="13"/>
  <c r="AL19" i="13"/>
  <c r="M19" i="13"/>
  <c r="S20" i="13"/>
  <c r="R20" i="13"/>
  <c r="H47" i="13"/>
  <c r="W6" i="13"/>
  <c r="AY25" i="13"/>
  <c r="P47" i="13"/>
  <c r="M44" i="13"/>
  <c r="W38" i="13"/>
  <c r="V45" i="13"/>
  <c r="W27" i="13"/>
  <c r="V36" i="13"/>
  <c r="M41" i="13"/>
  <c r="AM27" i="13"/>
  <c r="AQ42" i="13"/>
  <c r="M9" i="13"/>
  <c r="W42" i="13"/>
  <c r="Y51" i="13"/>
  <c r="Y54" i="13" s="1"/>
  <c r="Y57" i="13" s="1"/>
  <c r="Y47" i="13"/>
  <c r="Q36" i="13"/>
  <c r="AG42" i="13"/>
  <c r="CP34" i="16"/>
  <c r="U116" i="16"/>
  <c r="BU147" i="16"/>
  <c r="AQ79" i="16"/>
  <c r="AV98" i="16"/>
  <c r="AQ116" i="16"/>
  <c r="AF116" i="16"/>
  <c r="AJ107" i="16"/>
  <c r="BW147" i="16"/>
  <c r="D80" i="16"/>
  <c r="D81" i="16"/>
  <c r="D98" i="16"/>
  <c r="D107" i="16"/>
  <c r="K80" i="16"/>
  <c r="K81" i="16"/>
  <c r="AU78" i="16"/>
  <c r="AV116" i="16"/>
  <c r="AU81" i="16"/>
  <c r="AU80" i="16"/>
  <c r="AU77" i="16"/>
  <c r="AU98" i="16"/>
  <c r="AU79" i="16"/>
  <c r="AU75" i="16"/>
  <c r="AU107" i="16"/>
  <c r="AU76" i="16"/>
  <c r="BS78" i="16"/>
  <c r="BS77" i="16"/>
  <c r="C79" i="16"/>
  <c r="C80" i="16"/>
  <c r="C81" i="16"/>
  <c r="AR105" i="16"/>
  <c r="AV107" i="16"/>
  <c r="AE116" i="16"/>
  <c r="AZ107" i="16"/>
  <c r="CD147" i="16"/>
  <c r="AQ80" i="16"/>
  <c r="BS79" i="16"/>
  <c r="BS80" i="16"/>
  <c r="CE147" i="16"/>
  <c r="H107" i="16"/>
  <c r="H98" i="16"/>
  <c r="H79" i="16"/>
  <c r="H81" i="16"/>
  <c r="H80" i="16"/>
  <c r="CD78" i="16"/>
  <c r="CD75" i="16"/>
  <c r="CD77" i="16"/>
  <c r="CD79" i="16"/>
  <c r="CD14" i="11"/>
  <c r="CD81" i="16"/>
  <c r="T98" i="16"/>
  <c r="T81" i="16"/>
  <c r="T79" i="16"/>
  <c r="T80" i="16"/>
  <c r="AE79" i="16"/>
  <c r="BV71" i="16"/>
  <c r="AS116" i="16"/>
  <c r="BU107" i="16"/>
  <c r="L116" i="16"/>
  <c r="AZ98" i="16"/>
  <c r="AQ81" i="16"/>
  <c r="BF147" i="16"/>
  <c r="BG147" i="16" s="1"/>
  <c r="BT116" i="16"/>
  <c r="BS116" i="16"/>
  <c r="AR71" i="16"/>
  <c r="AR89" i="16" s="1"/>
  <c r="CD98" i="16"/>
  <c r="E98" i="16"/>
  <c r="D79" i="16"/>
  <c r="AA80" i="16"/>
  <c r="AA81" i="16"/>
  <c r="AA79" i="16"/>
  <c r="AA98" i="16"/>
  <c r="AF107" i="16"/>
  <c r="AA107" i="16"/>
  <c r="K79" i="16"/>
  <c r="G98" i="16"/>
  <c r="G81" i="16"/>
  <c r="G80" i="16"/>
  <c r="G107" i="16"/>
  <c r="BW116" i="16"/>
  <c r="BU116" i="16"/>
  <c r="CN57" i="16"/>
  <c r="CP33" i="16"/>
  <c r="AT147" i="16"/>
  <c r="AH19" i="13"/>
  <c r="CL46" i="16"/>
  <c r="CL36" i="16"/>
  <c r="CL133" i="16"/>
  <c r="CL140" i="16" s="1"/>
  <c r="AJ47" i="1"/>
  <c r="X52" i="13"/>
  <c r="BH88" i="11"/>
  <c r="CM94" i="16"/>
  <c r="CM57" i="16"/>
  <c r="CL113" i="16"/>
  <c r="G72" i="11"/>
  <c r="E73" i="11"/>
  <c r="E64" i="11"/>
  <c r="F81" i="11"/>
  <c r="BH76" i="16"/>
  <c r="BH98" i="16"/>
  <c r="BH81" i="16"/>
  <c r="BH80" i="16"/>
  <c r="BH79" i="16"/>
  <c r="BH78" i="16"/>
  <c r="BH75" i="16"/>
  <c r="BH107" i="16"/>
  <c r="BH77" i="16"/>
  <c r="BK73" i="11"/>
  <c r="BM88" i="11"/>
  <c r="M52" i="13"/>
  <c r="BI147" i="16"/>
  <c r="BK75" i="11"/>
  <c r="BK20" i="11"/>
  <c r="BK82" i="11" s="1"/>
  <c r="CF22" i="12"/>
  <c r="CJ144" i="16"/>
  <c r="CI144" i="16"/>
  <c r="CH144" i="16"/>
  <c r="CG144" i="16"/>
  <c r="M28" i="13"/>
  <c r="BS62" i="11"/>
  <c r="BS73" i="11" s="1"/>
  <c r="BS18" i="11"/>
  <c r="BC89" i="11"/>
  <c r="BH147" i="16"/>
  <c r="CG133" i="16"/>
  <c r="CG140" i="16" s="1"/>
  <c r="CG147" i="16" s="1"/>
  <c r="CK133" i="16"/>
  <c r="CK140" i="16" s="1"/>
  <c r="CK147" i="16" s="1"/>
  <c r="N26" i="13"/>
  <c r="BO67" i="11"/>
  <c r="BO14" i="11"/>
  <c r="BZ115" i="16"/>
  <c r="CE106" i="16"/>
  <c r="BZ71" i="16"/>
  <c r="BZ106" i="16"/>
  <c r="CB115" i="16"/>
  <c r="CF185" i="1"/>
  <c r="BN147" i="16"/>
  <c r="BR80" i="16"/>
  <c r="BR81" i="16"/>
  <c r="BR76" i="16"/>
  <c r="BR77" i="16"/>
  <c r="BR75" i="16"/>
  <c r="BR78" i="16"/>
  <c r="CD63" i="11"/>
  <c r="AT25" i="13"/>
  <c r="BK79" i="16"/>
  <c r="BK78" i="16"/>
  <c r="BK80" i="16"/>
  <c r="BK75" i="16"/>
  <c r="BK116" i="16"/>
  <c r="BK107" i="16"/>
  <c r="BK77" i="16"/>
  <c r="BK81" i="16"/>
  <c r="BK76" i="16"/>
  <c r="BK98" i="16"/>
  <c r="CA70" i="16"/>
  <c r="CF106" i="16" s="1"/>
  <c r="CA45" i="12"/>
  <c r="CA44" i="12"/>
  <c r="AQ20" i="13"/>
  <c r="BT14" i="11"/>
  <c r="BT67" i="11"/>
  <c r="CP290" i="1"/>
  <c r="AU20" i="13"/>
  <c r="CC106" i="16"/>
  <c r="BX115" i="16"/>
  <c r="BX106" i="16"/>
  <c r="BX71" i="16"/>
  <c r="BY115" i="16"/>
  <c r="CP291" i="1"/>
  <c r="CP285" i="1"/>
  <c r="BU73" i="11"/>
  <c r="BU77" i="16"/>
  <c r="BU78" i="16"/>
  <c r="BU79" i="16"/>
  <c r="BU80" i="16"/>
  <c r="BU81" i="16"/>
  <c r="BU76" i="16"/>
  <c r="BU75" i="16"/>
  <c r="BP63" i="11"/>
  <c r="BS63" i="11"/>
  <c r="BR79" i="16"/>
  <c r="BD98" i="16"/>
  <c r="BD75" i="16"/>
  <c r="BD80" i="16"/>
  <c r="BD107" i="16"/>
  <c r="BD78" i="16"/>
  <c r="BD77" i="16"/>
  <c r="BD81" i="16"/>
  <c r="BD76" i="16"/>
  <c r="BD116" i="16"/>
  <c r="BR62" i="11"/>
  <c r="BR18" i="11"/>
  <c r="BF77" i="16"/>
  <c r="BF81" i="16"/>
  <c r="BF75" i="16"/>
  <c r="BF80" i="16"/>
  <c r="BF78" i="16"/>
  <c r="BF76" i="16"/>
  <c r="BF107" i="16"/>
  <c r="BF98" i="16"/>
  <c r="BH116" i="16"/>
  <c r="AG28" i="13"/>
  <c r="AF36" i="13"/>
  <c r="CA11" i="11"/>
  <c r="CA67" i="11" s="1"/>
  <c r="CC71" i="16"/>
  <c r="CC89" i="16" s="1"/>
  <c r="CH106" i="16"/>
  <c r="CD115" i="16"/>
  <c r="CC115" i="16"/>
  <c r="BJ73" i="11"/>
  <c r="BK88" i="11"/>
  <c r="BJ64" i="11"/>
  <c r="CE45" i="12"/>
  <c r="CF45" i="12" s="1"/>
  <c r="CF36" i="12"/>
  <c r="BD79" i="16"/>
  <c r="BI79" i="16"/>
  <c r="BI76" i="16"/>
  <c r="BI75" i="16"/>
  <c r="BJ116" i="16"/>
  <c r="BI116" i="16"/>
  <c r="BI80" i="16"/>
  <c r="BI77" i="16"/>
  <c r="BI98" i="16"/>
  <c r="BI81" i="16"/>
  <c r="BI107" i="16"/>
  <c r="BI78" i="16"/>
  <c r="BV11" i="11"/>
  <c r="CL45" i="16"/>
  <c r="CP40" i="16"/>
  <c r="CM111" i="16"/>
  <c r="CM42" i="16"/>
  <c r="BD75" i="11"/>
  <c r="CK9" i="11"/>
  <c r="CL42" i="16"/>
  <c r="CL47" i="16"/>
  <c r="CI86" i="11"/>
  <c r="CO112" i="16"/>
  <c r="CN112" i="16"/>
  <c r="CM113" i="16"/>
  <c r="CM58" i="16"/>
  <c r="CO57" i="16"/>
  <c r="CN94" i="16"/>
  <c r="CM45" i="16"/>
  <c r="CN111" i="16"/>
  <c r="CO58" i="16"/>
  <c r="CL58" i="16"/>
  <c r="CP39" i="16"/>
  <c r="CM47" i="16"/>
  <c r="CN58" i="16"/>
  <c r="CL57" i="16"/>
  <c r="CN45" i="16"/>
  <c r="CN42" i="16"/>
  <c r="CN46" i="16"/>
  <c r="CJ114" i="16"/>
  <c r="CI105" i="16"/>
  <c r="CI114" i="16"/>
  <c r="CI71" i="16"/>
  <c r="CI89" i="16" s="1"/>
  <c r="CO93" i="16"/>
  <c r="AU147" i="16"/>
  <c r="AQ62" i="11"/>
  <c r="AQ18" i="11"/>
  <c r="G76" i="11"/>
  <c r="G28" i="11"/>
  <c r="G30" i="11" s="1"/>
  <c r="G22" i="11"/>
  <c r="G86" i="12"/>
  <c r="G32" i="11"/>
  <c r="BG67" i="11"/>
  <c r="BG14" i="11"/>
  <c r="CL96" i="16"/>
  <c r="CL94" i="16"/>
  <c r="CL111" i="16"/>
  <c r="C73" i="11"/>
  <c r="C64" i="11"/>
  <c r="T62" i="11"/>
  <c r="T18" i="11"/>
  <c r="C75" i="11"/>
  <c r="C58" i="11" s="1"/>
  <c r="C20" i="11"/>
  <c r="AG62" i="11"/>
  <c r="AG18" i="11"/>
  <c r="CG60" i="16"/>
  <c r="CK47" i="16"/>
  <c r="BC22" i="11"/>
  <c r="BC90" i="11"/>
  <c r="BC76" i="11"/>
  <c r="CI60" i="16"/>
  <c r="CH60" i="16"/>
  <c r="CK46" i="16"/>
  <c r="CK45" i="16"/>
  <c r="CK42" i="16"/>
  <c r="CK36" i="16"/>
  <c r="CH114" i="16"/>
  <c r="CH71" i="16"/>
  <c r="CH97" i="16"/>
  <c r="CH105" i="16"/>
  <c r="AI62" i="11"/>
  <c r="AI18" i="11"/>
  <c r="D75" i="11"/>
  <c r="D58" i="11" s="1"/>
  <c r="D20" i="11"/>
  <c r="AN18" i="11"/>
  <c r="AN62" i="11"/>
  <c r="AU20" i="11"/>
  <c r="AU75" i="11"/>
  <c r="AU58" i="11" s="1"/>
  <c r="W18" i="11"/>
  <c r="W62" i="11"/>
  <c r="Q18" i="11"/>
  <c r="Q62" i="11"/>
  <c r="K73" i="11"/>
  <c r="K64" i="11"/>
  <c r="BH89" i="11"/>
  <c r="BH76" i="11"/>
  <c r="BH82" i="11"/>
  <c r="BH22" i="11"/>
  <c r="BF76" i="11"/>
  <c r="BF22" i="11"/>
  <c r="BF82" i="11"/>
  <c r="BD22" i="11"/>
  <c r="BD76" i="11"/>
  <c r="BD89" i="11"/>
  <c r="BA35" i="11"/>
  <c r="BA55" i="11"/>
  <c r="CL57" i="13"/>
  <c r="CL33" i="11"/>
  <c r="CO94" i="16"/>
  <c r="CQ114" i="16"/>
  <c r="CO111" i="16"/>
  <c r="CJ80" i="16"/>
  <c r="CJ98" i="16"/>
  <c r="CJ77" i="16"/>
  <c r="CJ107" i="16"/>
  <c r="CJ75" i="16"/>
  <c r="CJ81" i="16"/>
  <c r="CJ78" i="16"/>
  <c r="CJ76" i="16"/>
  <c r="CO54" i="16"/>
  <c r="CO45" i="16"/>
  <c r="CO42" i="16"/>
  <c r="CO36" i="16"/>
  <c r="CO47" i="16"/>
  <c r="CJ79" i="16"/>
  <c r="CM89" i="16"/>
  <c r="CM105" i="16"/>
  <c r="CM97" i="16"/>
  <c r="CE11" i="11" l="1"/>
  <c r="CE62" i="11"/>
  <c r="CJ75" i="11"/>
  <c r="CH14" i="11"/>
  <c r="CH89" i="16"/>
  <c r="AM80" i="16"/>
  <c r="AM89" i="16"/>
  <c r="BB79" i="16"/>
  <c r="BB89" i="16"/>
  <c r="BQ71" i="16"/>
  <c r="BQ75" i="16" s="1"/>
  <c r="BQ88" i="16"/>
  <c r="AB81" i="16"/>
  <c r="AB89" i="16"/>
  <c r="CF79" i="16"/>
  <c r="CF89" i="16"/>
  <c r="BM80" i="16"/>
  <c r="BM89" i="16"/>
  <c r="CP85" i="16"/>
  <c r="BV76" i="16"/>
  <c r="BV89" i="16"/>
  <c r="BG79" i="16"/>
  <c r="BG89" i="16"/>
  <c r="BN79" i="16"/>
  <c r="BN89" i="16"/>
  <c r="N80" i="16"/>
  <c r="N89" i="16"/>
  <c r="BX80" i="16"/>
  <c r="BX89" i="16"/>
  <c r="BZ80" i="16"/>
  <c r="BZ89" i="16"/>
  <c r="BL79" i="16"/>
  <c r="BL89" i="16"/>
  <c r="AN116" i="16"/>
  <c r="AL89" i="16"/>
  <c r="CL48" i="16"/>
  <c r="CN48" i="16"/>
  <c r="CO48" i="16"/>
  <c r="CM48" i="16"/>
  <c r="BL18" i="11"/>
  <c r="BL20" i="11" s="1"/>
  <c r="BL76" i="11" s="1"/>
  <c r="BL62" i="11"/>
  <c r="BL73" i="11" s="1"/>
  <c r="M75" i="11"/>
  <c r="M58" i="11" s="1"/>
  <c r="S6" i="13"/>
  <c r="AC6" i="13"/>
  <c r="BI89" i="11"/>
  <c r="BE75" i="11"/>
  <c r="BA63" i="11"/>
  <c r="AR63" i="11"/>
  <c r="BI76" i="11"/>
  <c r="BJ90" i="11"/>
  <c r="O62" i="11"/>
  <c r="O73" i="11" s="1"/>
  <c r="AL18" i="11"/>
  <c r="AL20" i="11" s="1"/>
  <c r="P62" i="11"/>
  <c r="P73" i="11" s="1"/>
  <c r="AS75" i="11"/>
  <c r="AS58" i="11" s="1"/>
  <c r="AS20" i="11"/>
  <c r="AS55" i="13" s="1"/>
  <c r="H75" i="11"/>
  <c r="H58" i="11" s="1"/>
  <c r="M20" i="11"/>
  <c r="M22" i="11" s="1"/>
  <c r="H20" i="11"/>
  <c r="H88" i="12" s="1"/>
  <c r="J72" i="11"/>
  <c r="AS64" i="11"/>
  <c r="AB80" i="16"/>
  <c r="AL36" i="13"/>
  <c r="AM36" i="13" s="1"/>
  <c r="BI82" i="11"/>
  <c r="BJ89" i="11"/>
  <c r="AS88" i="11"/>
  <c r="AL62" i="11"/>
  <c r="AQ81" i="11" s="1"/>
  <c r="Z62" i="11"/>
  <c r="AE81" i="11" s="1"/>
  <c r="P75" i="11"/>
  <c r="P58" i="11" s="1"/>
  <c r="U18" i="11"/>
  <c r="P20" i="11"/>
  <c r="P76" i="11" s="1"/>
  <c r="AU73" i="11"/>
  <c r="U62" i="11"/>
  <c r="U64" i="11" s="1"/>
  <c r="S14" i="11"/>
  <c r="S18" i="11" s="1"/>
  <c r="AW14" i="11"/>
  <c r="AW62" i="11" s="1"/>
  <c r="BI64" i="11"/>
  <c r="BJ87" i="11" s="1"/>
  <c r="BI73" i="11"/>
  <c r="BJ88" i="11"/>
  <c r="BE73" i="11"/>
  <c r="U47" i="13"/>
  <c r="AD62" i="11"/>
  <c r="AD64" i="11" s="1"/>
  <c r="AD72" i="11" s="1"/>
  <c r="F67" i="12"/>
  <c r="AD18" i="11"/>
  <c r="BW18" i="11"/>
  <c r="E75" i="11"/>
  <c r="E58" i="11" s="1"/>
  <c r="G87" i="12"/>
  <c r="AE18" i="11"/>
  <c r="AE20" i="11" s="1"/>
  <c r="AE32" i="11" s="1"/>
  <c r="BE20" i="11"/>
  <c r="BE22" i="11" s="1"/>
  <c r="J32" i="11"/>
  <c r="J35" i="11" s="1"/>
  <c r="AM14" i="11"/>
  <c r="E49" i="13"/>
  <c r="F48" i="13" s="1"/>
  <c r="F49" i="13" s="1"/>
  <c r="G48" i="13" s="1"/>
  <c r="G49" i="13" s="1"/>
  <c r="H48" i="13" s="1"/>
  <c r="H49" i="13" s="1"/>
  <c r="I48" i="13" s="1"/>
  <c r="I49" i="13" s="1"/>
  <c r="J48" i="13" s="1"/>
  <c r="J49" i="13" s="1"/>
  <c r="K48" i="13" s="1"/>
  <c r="AL67" i="11"/>
  <c r="N62" i="11"/>
  <c r="N73" i="11" s="1"/>
  <c r="H81" i="11"/>
  <c r="X14" i="11"/>
  <c r="X62" i="11" s="1"/>
  <c r="X73" i="11" s="1"/>
  <c r="I22" i="11"/>
  <c r="J55" i="13"/>
  <c r="K20" i="11"/>
  <c r="N18" i="11"/>
  <c r="J28" i="11"/>
  <c r="J30" i="11" s="1"/>
  <c r="J76" i="11"/>
  <c r="K75" i="11"/>
  <c r="K58" i="11" s="1"/>
  <c r="AR67" i="11"/>
  <c r="Z18" i="11"/>
  <c r="Y18" i="11"/>
  <c r="Y62" i="11"/>
  <c r="Y81" i="11" s="1"/>
  <c r="AX18" i="11"/>
  <c r="AX20" i="11" s="1"/>
  <c r="BZ63" i="11"/>
  <c r="CA63" i="11" s="1"/>
  <c r="AZ18" i="11"/>
  <c r="AC106" i="16"/>
  <c r="AD116" i="16"/>
  <c r="AG107" i="16"/>
  <c r="AB79" i="16"/>
  <c r="AE64" i="11"/>
  <c r="AE72" i="11" s="1"/>
  <c r="AH52" i="13"/>
  <c r="AO47" i="13"/>
  <c r="AA64" i="11"/>
  <c r="M143" i="1"/>
  <c r="CP97" i="16"/>
  <c r="BJ81" i="11"/>
  <c r="E20" i="11"/>
  <c r="F82" i="11" s="1"/>
  <c r="BF64" i="11"/>
  <c r="BH87" i="11" s="1"/>
  <c r="BA88" i="11"/>
  <c r="AT62" i="11"/>
  <c r="AT73" i="11" s="1"/>
  <c r="H64" i="11"/>
  <c r="BE64" i="11"/>
  <c r="K47" i="13"/>
  <c r="AZ64" i="11"/>
  <c r="V62" i="11"/>
  <c r="V73" i="11" s="1"/>
  <c r="AT18" i="11"/>
  <c r="AT20" i="11" s="1"/>
  <c r="AT22" i="11" s="1"/>
  <c r="BE81" i="11"/>
  <c r="BL63" i="11"/>
  <c r="BE88" i="11"/>
  <c r="AA18" i="11"/>
  <c r="AB116" i="16"/>
  <c r="AH106" i="16"/>
  <c r="BV105" i="16"/>
  <c r="AL79" i="16"/>
  <c r="BL76" i="16"/>
  <c r="CG62" i="11"/>
  <c r="CG64" i="11" s="1"/>
  <c r="BL81" i="16"/>
  <c r="BL80" i="16"/>
  <c r="BS107" i="16"/>
  <c r="BM98" i="16"/>
  <c r="BM116" i="16"/>
  <c r="BR98" i="16"/>
  <c r="AC80" i="16"/>
  <c r="BN107" i="16"/>
  <c r="BO116" i="16"/>
  <c r="BM76" i="16"/>
  <c r="BY18" i="11"/>
  <c r="BY75" i="11" s="1"/>
  <c r="BY62" i="11"/>
  <c r="BY73" i="11" s="1"/>
  <c r="CG18" i="11"/>
  <c r="CG20" i="11" s="1"/>
  <c r="BM107" i="16"/>
  <c r="BM79" i="16"/>
  <c r="BM75" i="16"/>
  <c r="BM81" i="16"/>
  <c r="BM78" i="16"/>
  <c r="BM77" i="16"/>
  <c r="BR107" i="16"/>
  <c r="BN98" i="16"/>
  <c r="G82" i="11"/>
  <c r="R18" i="11"/>
  <c r="R20" i="11" s="1"/>
  <c r="F32" i="11"/>
  <c r="F35" i="11" s="1"/>
  <c r="I81" i="11"/>
  <c r="AO18" i="11"/>
  <c r="AO75" i="11" s="1"/>
  <c r="AO58" i="11" s="1"/>
  <c r="F76" i="11"/>
  <c r="I64" i="11"/>
  <c r="I87" i="12" s="1"/>
  <c r="R62" i="11"/>
  <c r="R73" i="11" s="1"/>
  <c r="F28" i="11"/>
  <c r="F30" i="11" s="1"/>
  <c r="BW62" i="11"/>
  <c r="BW73" i="11" s="1"/>
  <c r="DJ33" i="12"/>
  <c r="DJ39" i="12"/>
  <c r="DJ38" i="12"/>
  <c r="DJ35" i="12"/>
  <c r="N107" i="16"/>
  <c r="AL107" i="16"/>
  <c r="BB78" i="16"/>
  <c r="N81" i="16"/>
  <c r="N79" i="16"/>
  <c r="AL81" i="16"/>
  <c r="AQ98" i="16"/>
  <c r="AL116" i="16"/>
  <c r="N98" i="16"/>
  <c r="AQ107" i="16"/>
  <c r="AL80" i="16"/>
  <c r="S75" i="16"/>
  <c r="BB81" i="16"/>
  <c r="BB77" i="16"/>
  <c r="BQ105" i="16"/>
  <c r="DD104" i="16"/>
  <c r="S77" i="16"/>
  <c r="DD103" i="16"/>
  <c r="S98" i="16"/>
  <c r="S78" i="16"/>
  <c r="S107" i="16"/>
  <c r="R116" i="16"/>
  <c r="DH53" i="16"/>
  <c r="AV88" i="11"/>
  <c r="AX62" i="11"/>
  <c r="AX88" i="11" s="1"/>
  <c r="AZ81" i="11"/>
  <c r="AU64" i="11"/>
  <c r="AM28" i="13"/>
  <c r="BU22" i="11"/>
  <c r="BU76" i="11"/>
  <c r="AV32" i="11"/>
  <c r="AV76" i="11"/>
  <c r="AV28" i="11"/>
  <c r="AV30" i="11" s="1"/>
  <c r="AV22" i="11"/>
  <c r="BA82" i="11"/>
  <c r="AL63" i="11"/>
  <c r="D81" i="11"/>
  <c r="E81" i="11"/>
  <c r="F22" i="11"/>
  <c r="AV36" i="13"/>
  <c r="AW36" i="13" s="1"/>
  <c r="F88" i="12"/>
  <c r="AP72" i="11"/>
  <c r="BL77" i="16"/>
  <c r="BS98" i="16"/>
  <c r="L25" i="13"/>
  <c r="L51" i="13" s="1"/>
  <c r="L54" i="13" s="1"/>
  <c r="L57" i="13" s="1"/>
  <c r="AC8" i="13"/>
  <c r="D64" i="11"/>
  <c r="F55" i="13"/>
  <c r="AC79" i="16"/>
  <c r="AC81" i="16"/>
  <c r="BL75" i="16"/>
  <c r="BL78" i="16"/>
  <c r="AG25" i="13"/>
  <c r="AG51" i="13" s="1"/>
  <c r="AG54" i="13" s="1"/>
  <c r="AG57" i="13" s="1"/>
  <c r="AB63" i="11"/>
  <c r="BC72" i="11"/>
  <c r="Z107" i="16"/>
  <c r="AO62" i="11"/>
  <c r="AO73" i="11" s="1"/>
  <c r="AH80" i="16"/>
  <c r="BM72" i="11"/>
  <c r="AB18" i="11"/>
  <c r="L75" i="11"/>
  <c r="L58" i="11" s="1"/>
  <c r="L20" i="11"/>
  <c r="BU75" i="11"/>
  <c r="Z81" i="16"/>
  <c r="Z79" i="16"/>
  <c r="AH18" i="11"/>
  <c r="AE47" i="13"/>
  <c r="S8" i="13"/>
  <c r="AH62" i="11"/>
  <c r="AH73" i="11" s="1"/>
  <c r="AC14" i="11"/>
  <c r="G55" i="13"/>
  <c r="AA116" i="16"/>
  <c r="BA45" i="13"/>
  <c r="Z98" i="16"/>
  <c r="BP147" i="16"/>
  <c r="BN77" i="16"/>
  <c r="BN116" i="16"/>
  <c r="BN78" i="16"/>
  <c r="BN80" i="16"/>
  <c r="BN81" i="16"/>
  <c r="BN75" i="16"/>
  <c r="BN76" i="16"/>
  <c r="V25" i="13"/>
  <c r="V51" i="13" s="1"/>
  <c r="V54" i="13" s="1"/>
  <c r="V57" i="13" s="1"/>
  <c r="AE107" i="16"/>
  <c r="R80" i="16"/>
  <c r="Z116" i="16"/>
  <c r="Z80" i="16"/>
  <c r="AR8" i="13"/>
  <c r="L64" i="11"/>
  <c r="BG78" i="16"/>
  <c r="BT147" i="16"/>
  <c r="BG77" i="16"/>
  <c r="BR147" i="16"/>
  <c r="CF76" i="16"/>
  <c r="AP25" i="13"/>
  <c r="AP51" i="13" s="1"/>
  <c r="AP54" i="13" s="1"/>
  <c r="CF78" i="16"/>
  <c r="BS147" i="16"/>
  <c r="BG107" i="16"/>
  <c r="AJ18" i="11"/>
  <c r="AB62" i="11"/>
  <c r="AG81" i="11" s="1"/>
  <c r="BV77" i="16"/>
  <c r="AJ62" i="11"/>
  <c r="AJ73" i="11" s="1"/>
  <c r="X106" i="16"/>
  <c r="AH67" i="11"/>
  <c r="AY62" i="11"/>
  <c r="BD81" i="11" s="1"/>
  <c r="AY18" i="11"/>
  <c r="S81" i="16"/>
  <c r="S80" i="16"/>
  <c r="S79" i="16"/>
  <c r="R79" i="16"/>
  <c r="R107" i="16"/>
  <c r="T116" i="16"/>
  <c r="R98" i="16"/>
  <c r="R81" i="16"/>
  <c r="AM81" i="16"/>
  <c r="AP75" i="11"/>
  <c r="AP58" i="11" s="1"/>
  <c r="AP20" i="11"/>
  <c r="DA113" i="16"/>
  <c r="DA112" i="16"/>
  <c r="AM180" i="1"/>
  <c r="BP11" i="11"/>
  <c r="BQ10" i="11"/>
  <c r="CB18" i="11"/>
  <c r="CB20" i="11" s="1"/>
  <c r="AH98" i="16"/>
  <c r="BL98" i="16"/>
  <c r="BG75" i="16"/>
  <c r="BG81" i="16"/>
  <c r="H68" i="12"/>
  <c r="AW40" i="13"/>
  <c r="BB76" i="16"/>
  <c r="BB75" i="16"/>
  <c r="BL107" i="16"/>
  <c r="AV45" i="13"/>
  <c r="AW45" i="13" s="1"/>
  <c r="BB107" i="16"/>
  <c r="G68" i="12"/>
  <c r="BG76" i="16"/>
  <c r="AH107" i="16"/>
  <c r="I88" i="12"/>
  <c r="CB62" i="11"/>
  <c r="CB73" i="11" s="1"/>
  <c r="BG98" i="16"/>
  <c r="R63" i="11"/>
  <c r="AM98" i="16"/>
  <c r="W106" i="16"/>
  <c r="W115" i="16"/>
  <c r="Y115" i="16"/>
  <c r="AB106" i="16"/>
  <c r="W71" i="16"/>
  <c r="W89" i="16" s="1"/>
  <c r="S149" i="1"/>
  <c r="R149" i="1"/>
  <c r="BB80" i="16"/>
  <c r="BG80" i="16"/>
  <c r="X71" i="16"/>
  <c r="X89" i="16" s="1"/>
  <c r="DC53" i="16"/>
  <c r="DD41" i="16"/>
  <c r="DA51" i="16"/>
  <c r="DD53" i="16"/>
  <c r="DC111" i="16"/>
  <c r="DC102" i="16"/>
  <c r="DC95" i="16"/>
  <c r="DC41" i="16"/>
  <c r="CI76" i="16"/>
  <c r="AB36" i="13"/>
  <c r="AM9" i="13"/>
  <c r="G83" i="12"/>
  <c r="G89" i="12"/>
  <c r="G88" i="12"/>
  <c r="AH9" i="13"/>
  <c r="CS147" i="16"/>
  <c r="CT58" i="16"/>
  <c r="CU130" i="16"/>
  <c r="CU137" i="16" s="1"/>
  <c r="CU144" i="16" s="1"/>
  <c r="CT36" i="16"/>
  <c r="CT133" i="16"/>
  <c r="CT140" i="16" s="1"/>
  <c r="CT147" i="16" s="1"/>
  <c r="CT57" i="16"/>
  <c r="CU129" i="16"/>
  <c r="CU136" i="16" s="1"/>
  <c r="CU143" i="16" s="1"/>
  <c r="CU131" i="16"/>
  <c r="CU138" i="16" s="1"/>
  <c r="CU145" i="16" s="1"/>
  <c r="CV111" i="16"/>
  <c r="CV110" i="16"/>
  <c r="CQ147" i="16"/>
  <c r="CR147" i="16"/>
  <c r="CT112" i="16"/>
  <c r="CZ132" i="16"/>
  <c r="CZ139" i="16" s="1"/>
  <c r="CZ146" i="16" s="1"/>
  <c r="CT47" i="16"/>
  <c r="CV54" i="16"/>
  <c r="CY51" i="16"/>
  <c r="CY39" i="16"/>
  <c r="CY133" i="16"/>
  <c r="CY140" i="16" s="1"/>
  <c r="CZ129" i="16"/>
  <c r="CZ136" i="16" s="1"/>
  <c r="CZ143" i="16" s="1"/>
  <c r="CY95" i="16"/>
  <c r="AM79" i="16"/>
  <c r="CX111" i="16"/>
  <c r="CX94" i="16"/>
  <c r="CY96" i="16"/>
  <c r="CX41" i="16"/>
  <c r="CX53" i="16"/>
  <c r="CZ131" i="16"/>
  <c r="CZ138" i="16" s="1"/>
  <c r="CZ145" i="16" s="1"/>
  <c r="CY40" i="16"/>
  <c r="CY52" i="16"/>
  <c r="CY53" i="16"/>
  <c r="CX133" i="16"/>
  <c r="CX140" i="16" s="1"/>
  <c r="DB147" i="16" s="1"/>
  <c r="AM107" i="16"/>
  <c r="F89" i="12"/>
  <c r="I28" i="11"/>
  <c r="I30" i="11" s="1"/>
  <c r="I86" i="12"/>
  <c r="CF81" i="16"/>
  <c r="CF77" i="16"/>
  <c r="CF75" i="16"/>
  <c r="BM20" i="11"/>
  <c r="BM75" i="11"/>
  <c r="CI107" i="16"/>
  <c r="I32" i="11"/>
  <c r="I55" i="11" s="1"/>
  <c r="I89" i="12"/>
  <c r="CF80" i="16"/>
  <c r="BB67" i="11"/>
  <c r="BB14" i="11"/>
  <c r="AH79" i="16"/>
  <c r="AH81" i="16"/>
  <c r="I76" i="11"/>
  <c r="AF47" i="13"/>
  <c r="AK62" i="11"/>
  <c r="AK18" i="11"/>
  <c r="CI81" i="16"/>
  <c r="I55" i="13"/>
  <c r="CJ116" i="16"/>
  <c r="CI79" i="16"/>
  <c r="CI78" i="16"/>
  <c r="AL45" i="13"/>
  <c r="AM45" i="13" s="1"/>
  <c r="BA52" i="13"/>
  <c r="AA25" i="13"/>
  <c r="AF18" i="11"/>
  <c r="AF62" i="11"/>
  <c r="AF64" i="11" s="1"/>
  <c r="BV79" i="16"/>
  <c r="G67" i="12"/>
  <c r="Z51" i="13"/>
  <c r="Z54" i="13" s="1"/>
  <c r="Z57" i="13" s="1"/>
  <c r="Z47" i="13"/>
  <c r="AQ36" i="13"/>
  <c r="AR36" i="13" s="1"/>
  <c r="AC20" i="13"/>
  <c r="AB20" i="13"/>
  <c r="AC27" i="13"/>
  <c r="N20" i="13"/>
  <c r="M20" i="13"/>
  <c r="W63" i="11"/>
  <c r="W64" i="11" s="1"/>
  <c r="X9" i="13"/>
  <c r="AR28" i="13"/>
  <c r="AW6" i="13"/>
  <c r="X29" i="13"/>
  <c r="S42" i="13"/>
  <c r="CP133" i="16"/>
  <c r="CP140" i="16" s="1"/>
  <c r="CP147" i="16" s="1"/>
  <c r="AR38" i="13"/>
  <c r="N27" i="13"/>
  <c r="AR6" i="13"/>
  <c r="CO147" i="16"/>
  <c r="CT45" i="16"/>
  <c r="CT42" i="16"/>
  <c r="E68" i="12"/>
  <c r="F87" i="12"/>
  <c r="E67" i="12"/>
  <c r="D67" i="12"/>
  <c r="D68" i="12"/>
  <c r="BB98" i="16"/>
  <c r="BQ45" i="16"/>
  <c r="BQ46" i="16"/>
  <c r="BQ133" i="16"/>
  <c r="BQ140" i="16" s="1"/>
  <c r="BQ147" i="16" s="1"/>
  <c r="BQ47" i="16"/>
  <c r="BV47" i="16"/>
  <c r="CA36" i="16"/>
  <c r="BV42" i="16"/>
  <c r="CA97" i="16"/>
  <c r="BV133" i="16"/>
  <c r="BV140" i="16" s="1"/>
  <c r="BV147" i="16" s="1"/>
  <c r="CA42" i="16"/>
  <c r="BV45" i="16"/>
  <c r="BV36" i="16"/>
  <c r="AM41" i="13"/>
  <c r="AC40" i="13"/>
  <c r="AW80" i="16"/>
  <c r="AW79" i="16"/>
  <c r="AW75" i="16"/>
  <c r="AW81" i="16"/>
  <c r="AW77" i="16"/>
  <c r="AW76" i="16"/>
  <c r="AW78" i="16"/>
  <c r="BN62" i="11"/>
  <c r="BS81" i="11" s="1"/>
  <c r="BN18" i="11"/>
  <c r="BD64" i="11"/>
  <c r="BD73" i="11"/>
  <c r="BD88" i="11"/>
  <c r="AR40" i="13"/>
  <c r="AV63" i="11"/>
  <c r="BI81" i="11"/>
  <c r="X40" i="13"/>
  <c r="AH8" i="13"/>
  <c r="AG63" i="11"/>
  <c r="AG64" i="11" s="1"/>
  <c r="S40" i="13"/>
  <c r="CN147" i="16"/>
  <c r="CT46" i="16"/>
  <c r="CU17" i="12"/>
  <c r="CJ22" i="11"/>
  <c r="CR98" i="16"/>
  <c r="CR107" i="16"/>
  <c r="CL105" i="16"/>
  <c r="CL114" i="16"/>
  <c r="CQ97" i="16"/>
  <c r="CQ105" i="16"/>
  <c r="CM114" i="16"/>
  <c r="CS47" i="16"/>
  <c r="CT54" i="16"/>
  <c r="CU40" i="16"/>
  <c r="CU34" i="16"/>
  <c r="CQ58" i="16"/>
  <c r="CR58" i="16"/>
  <c r="CS58" i="16"/>
  <c r="CU41" i="16"/>
  <c r="CU35" i="16"/>
  <c r="CT93" i="16"/>
  <c r="CT110" i="16"/>
  <c r="CS94" i="16"/>
  <c r="CS111" i="16"/>
  <c r="CU85" i="16"/>
  <c r="CU84" i="16"/>
  <c r="CT94" i="16"/>
  <c r="CT111" i="16"/>
  <c r="CS96" i="16"/>
  <c r="CS113" i="16"/>
  <c r="CS95" i="16"/>
  <c r="CS112" i="16"/>
  <c r="CU33" i="16"/>
  <c r="CU133" i="16"/>
  <c r="CU140" i="16" s="1"/>
  <c r="CU147" i="16" s="1"/>
  <c r="CU39" i="16"/>
  <c r="CR57" i="16"/>
  <c r="CQ57" i="16"/>
  <c r="CS57" i="16"/>
  <c r="CS36" i="16"/>
  <c r="CS42" i="16"/>
  <c r="CS54" i="16"/>
  <c r="CS45" i="16"/>
  <c r="CS46" i="16"/>
  <c r="CT113" i="16"/>
  <c r="CO114" i="16"/>
  <c r="AL25" i="13"/>
  <c r="AL51" i="13" s="1"/>
  <c r="AL54" i="13" s="1"/>
  <c r="AL57" i="13" s="1"/>
  <c r="AM19" i="13"/>
  <c r="AZ25" i="13"/>
  <c r="AZ51" i="13" s="1"/>
  <c r="AZ54" i="13" s="1"/>
  <c r="AW28" i="13"/>
  <c r="AW42" i="13"/>
  <c r="S52" i="13"/>
  <c r="Q47" i="13"/>
  <c r="AM20" i="13"/>
  <c r="AH42" i="13"/>
  <c r="N9" i="13"/>
  <c r="AQ45" i="13"/>
  <c r="AR45" i="13" s="1"/>
  <c r="AR42" i="13"/>
  <c r="X27" i="13"/>
  <c r="W36" i="13"/>
  <c r="X38" i="13"/>
  <c r="W45" i="13"/>
  <c r="AR39" i="13"/>
  <c r="BA36" i="13"/>
  <c r="N41" i="13"/>
  <c r="R36" i="13"/>
  <c r="AY51" i="13"/>
  <c r="AY54" i="13" s="1"/>
  <c r="AY47" i="13"/>
  <c r="N19" i="13"/>
  <c r="M45" i="13"/>
  <c r="N37" i="13"/>
  <c r="BA25" i="13"/>
  <c r="S38" i="13"/>
  <c r="R45" i="13"/>
  <c r="AR16" i="13"/>
  <c r="M63" i="11"/>
  <c r="M64" i="11" s="1"/>
  <c r="S18" i="13"/>
  <c r="R25" i="13"/>
  <c r="R51" i="13" s="1"/>
  <c r="R54" i="13" s="1"/>
  <c r="R57" i="13" s="1"/>
  <c r="AK25" i="13"/>
  <c r="AK51" i="13" s="1"/>
  <c r="AK54" i="13" s="1"/>
  <c r="X17" i="13"/>
  <c r="N44" i="13"/>
  <c r="W25" i="13"/>
  <c r="W51" i="13" s="1"/>
  <c r="W54" i="13" s="1"/>
  <c r="W57" i="13" s="1"/>
  <c r="AG45" i="13"/>
  <c r="AH38" i="13"/>
  <c r="AC42" i="13"/>
  <c r="AB45" i="13"/>
  <c r="AJ51" i="13"/>
  <c r="AJ54" i="13" s="1"/>
  <c r="AJ57" i="13" s="1"/>
  <c r="X42" i="13"/>
  <c r="X6" i="13"/>
  <c r="BV78" i="16"/>
  <c r="CD18" i="11"/>
  <c r="CD62" i="11"/>
  <c r="CD73" i="11" s="1"/>
  <c r="CD11" i="11"/>
  <c r="BV75" i="16"/>
  <c r="BV81" i="16"/>
  <c r="AR80" i="16"/>
  <c r="AR107" i="16"/>
  <c r="AR81" i="16"/>
  <c r="AR98" i="16"/>
  <c r="AW98" i="16"/>
  <c r="AW107" i="16"/>
  <c r="BV80" i="16"/>
  <c r="AR79" i="16"/>
  <c r="CI147" i="16"/>
  <c r="CP46" i="16"/>
  <c r="CP36" i="16"/>
  <c r="CM79" i="16"/>
  <c r="CL147" i="16"/>
  <c r="CM147" i="16"/>
  <c r="CF187" i="1"/>
  <c r="CN97" i="16"/>
  <c r="E72" i="11"/>
  <c r="E87" i="12"/>
  <c r="E83" i="12"/>
  <c r="BS64" i="11"/>
  <c r="N28" i="13"/>
  <c r="BK89" i="11"/>
  <c r="BK83" i="11"/>
  <c r="BK22" i="11"/>
  <c r="BK76" i="11"/>
  <c r="M36" i="13"/>
  <c r="CH147" i="16"/>
  <c r="N52" i="13"/>
  <c r="BS75" i="11"/>
  <c r="BS20" i="11"/>
  <c r="CJ147" i="16"/>
  <c r="CI80" i="16"/>
  <c r="CI14" i="11"/>
  <c r="CI62" i="11" s="1"/>
  <c r="CI73" i="11" s="1"/>
  <c r="BR75" i="11"/>
  <c r="BR20" i="11"/>
  <c r="AE47" i="1"/>
  <c r="CU290" i="1"/>
  <c r="AQ25" i="13"/>
  <c r="AT47" i="13"/>
  <c r="AT51" i="13"/>
  <c r="AT54" i="13" s="1"/>
  <c r="AT57" i="13" s="1"/>
  <c r="BV14" i="11"/>
  <c r="BV67" i="11"/>
  <c r="CC79" i="16"/>
  <c r="CC98" i="16"/>
  <c r="CC14" i="11"/>
  <c r="CC81" i="16"/>
  <c r="CC76" i="16"/>
  <c r="CC77" i="16"/>
  <c r="CC80" i="16"/>
  <c r="CD116" i="16"/>
  <c r="CC116" i="16"/>
  <c r="CC107" i="16"/>
  <c r="CC75" i="16"/>
  <c r="CC78" i="16"/>
  <c r="BK72" i="11"/>
  <c r="BM87" i="11"/>
  <c r="BK87" i="11"/>
  <c r="AA47" i="1"/>
  <c r="CU285" i="1"/>
  <c r="CU291" i="1"/>
  <c r="AU25" i="13"/>
  <c r="BO62" i="11"/>
  <c r="BO18" i="11"/>
  <c r="AR20" i="13"/>
  <c r="CP287" i="1"/>
  <c r="AG36" i="13"/>
  <c r="AH28" i="13"/>
  <c r="BR64" i="11"/>
  <c r="BR73" i="11"/>
  <c r="BR81" i="11"/>
  <c r="BS88" i="11"/>
  <c r="BT63" i="11"/>
  <c r="AV20" i="13"/>
  <c r="AW20" i="13" s="1"/>
  <c r="CA71" i="16"/>
  <c r="CA89" i="16" s="1"/>
  <c r="CA106" i="16"/>
  <c r="CE63" i="11"/>
  <c r="CF63" i="11" s="1"/>
  <c r="BZ81" i="16"/>
  <c r="BZ14" i="11"/>
  <c r="BZ79" i="16"/>
  <c r="BZ77" i="16"/>
  <c r="BZ98" i="16"/>
  <c r="BZ107" i="16"/>
  <c r="CE107" i="16"/>
  <c r="BZ76" i="16"/>
  <c r="CE98" i="16"/>
  <c r="BZ78" i="16"/>
  <c r="BZ75" i="16"/>
  <c r="BZ116" i="16"/>
  <c r="CB116" i="16"/>
  <c r="BJ72" i="11"/>
  <c r="BX77" i="16"/>
  <c r="BX76" i="16"/>
  <c r="BX81" i="16"/>
  <c r="BX75" i="16"/>
  <c r="BX78" i="16"/>
  <c r="BX98" i="16"/>
  <c r="BX14" i="11"/>
  <c r="BX79" i="16"/>
  <c r="BY116" i="16"/>
  <c r="BX107" i="16"/>
  <c r="BX116" i="16"/>
  <c r="BT62" i="11"/>
  <c r="BT18" i="11"/>
  <c r="BQ63" i="11"/>
  <c r="CL86" i="11"/>
  <c r="CN86" i="11"/>
  <c r="CN114" i="16"/>
  <c r="CI77" i="16"/>
  <c r="CI98" i="16"/>
  <c r="CI75" i="16"/>
  <c r="CN105" i="16"/>
  <c r="CM86" i="11"/>
  <c r="CE73" i="11"/>
  <c r="CE20" i="11"/>
  <c r="CE75" i="11"/>
  <c r="CE10" i="11"/>
  <c r="CE67" i="11"/>
  <c r="AQ64" i="11"/>
  <c r="AQ73" i="11"/>
  <c r="AQ88" i="11"/>
  <c r="AV81" i="11"/>
  <c r="AQ75" i="11"/>
  <c r="AQ58" i="11" s="1"/>
  <c r="AQ20" i="11"/>
  <c r="BG62" i="11"/>
  <c r="BG18" i="11"/>
  <c r="G35" i="11"/>
  <c r="G55" i="11"/>
  <c r="CL97" i="16"/>
  <c r="CM60" i="16"/>
  <c r="CN60" i="16"/>
  <c r="CO60" i="16"/>
  <c r="CP47" i="16"/>
  <c r="CP45" i="16"/>
  <c r="CL60" i="16"/>
  <c r="CP42" i="16"/>
  <c r="CB67" i="11"/>
  <c r="CB10" i="11"/>
  <c r="CG67" i="11"/>
  <c r="CG10" i="11"/>
  <c r="AG20" i="11"/>
  <c r="AG75" i="11"/>
  <c r="AG58" i="11" s="1"/>
  <c r="V75" i="11"/>
  <c r="V58" i="11" s="1"/>
  <c r="V20" i="11"/>
  <c r="C76" i="11"/>
  <c r="C22" i="11"/>
  <c r="C28" i="11"/>
  <c r="C30" i="11" s="1"/>
  <c r="C32" i="11"/>
  <c r="C55" i="13"/>
  <c r="T75" i="11"/>
  <c r="T58" i="11" s="1"/>
  <c r="T20" i="11"/>
  <c r="C72" i="11"/>
  <c r="C83" i="12"/>
  <c r="AG73" i="11"/>
  <c r="T64" i="11"/>
  <c r="T73" i="11"/>
  <c r="CK97" i="16"/>
  <c r="CK71" i="16"/>
  <c r="CK105" i="16"/>
  <c r="CH116" i="16"/>
  <c r="CH76" i="16"/>
  <c r="CH75" i="16"/>
  <c r="CH98" i="16"/>
  <c r="CH80" i="16"/>
  <c r="CH77" i="16"/>
  <c r="CH107" i="16"/>
  <c r="CH79" i="16"/>
  <c r="CH81" i="16"/>
  <c r="CH78" i="16"/>
  <c r="CI116" i="16"/>
  <c r="Q81" i="11"/>
  <c r="Q73" i="11"/>
  <c r="Q64" i="11"/>
  <c r="AR18" i="11"/>
  <c r="W75" i="11"/>
  <c r="W58" i="11" s="1"/>
  <c r="W20" i="11"/>
  <c r="AU32" i="11"/>
  <c r="AU22" i="11"/>
  <c r="AU76" i="11"/>
  <c r="AU28" i="11"/>
  <c r="AU30" i="11" s="1"/>
  <c r="AV89" i="11"/>
  <c r="AN73" i="11"/>
  <c r="AS81" i="11"/>
  <c r="AN64" i="11"/>
  <c r="AN81" i="11"/>
  <c r="AI75" i="11"/>
  <c r="AI58" i="11" s="1"/>
  <c r="AI20" i="11"/>
  <c r="K72" i="11"/>
  <c r="Q20" i="11"/>
  <c r="Q75" i="11"/>
  <c r="Q58" i="11" s="1"/>
  <c r="AN20" i="11"/>
  <c r="AN75" i="11"/>
  <c r="AN58" i="11" s="1"/>
  <c r="D88" i="12"/>
  <c r="D32" i="11"/>
  <c r="D86" i="12"/>
  <c r="D28" i="11"/>
  <c r="D30" i="11" s="1"/>
  <c r="D76" i="11"/>
  <c r="D22" i="11"/>
  <c r="D55" i="13"/>
  <c r="D89" i="12"/>
  <c r="D82" i="11"/>
  <c r="AI64" i="11"/>
  <c r="AI73" i="11"/>
  <c r="AI88" i="11"/>
  <c r="O75" i="11"/>
  <c r="O58" i="11" s="1"/>
  <c r="O20" i="11"/>
  <c r="W73" i="11"/>
  <c r="CL29" i="11"/>
  <c r="CM33" i="11"/>
  <c r="CM57" i="13"/>
  <c r="BD90" i="11"/>
  <c r="BF83" i="11"/>
  <c r="BH90" i="11"/>
  <c r="BH83" i="11"/>
  <c r="CO86" i="11"/>
  <c r="CJ62" i="11"/>
  <c r="CJ11" i="11"/>
  <c r="CO97" i="16"/>
  <c r="CO105" i="16"/>
  <c r="CO89" i="16"/>
  <c r="CM77" i="16"/>
  <c r="CM80" i="16"/>
  <c r="CM78" i="16"/>
  <c r="CM75" i="16"/>
  <c r="CM81" i="16"/>
  <c r="CM98" i="16"/>
  <c r="CM107" i="16"/>
  <c r="CM76" i="16"/>
  <c r="BL22" i="11" l="1"/>
  <c r="BQ107" i="16"/>
  <c r="BL75" i="11"/>
  <c r="BQ77" i="16"/>
  <c r="BQ76" i="16"/>
  <c r="BQ78" i="16"/>
  <c r="BV107" i="16"/>
  <c r="BQ80" i="16"/>
  <c r="BV98" i="16"/>
  <c r="BQ81" i="16"/>
  <c r="BQ98" i="16"/>
  <c r="CK79" i="16"/>
  <c r="CK89" i="16"/>
  <c r="CN77" i="16"/>
  <c r="CN89" i="16"/>
  <c r="BQ79" i="16"/>
  <c r="BQ89" i="16"/>
  <c r="BL64" i="11"/>
  <c r="BL72" i="11" s="1"/>
  <c r="CT48" i="16"/>
  <c r="CS48" i="16"/>
  <c r="CP48" i="16"/>
  <c r="DM39" i="12"/>
  <c r="DN39" i="12" s="1"/>
  <c r="DO39" i="12" s="1"/>
  <c r="DM33" i="12"/>
  <c r="DN33" i="12" s="1"/>
  <c r="DO33" i="12" s="1"/>
  <c r="DM35" i="12"/>
  <c r="DN35" i="12" s="1"/>
  <c r="DO35" i="12" s="1"/>
  <c r="BI83" i="11"/>
  <c r="BI90" i="11"/>
  <c r="O64" i="11"/>
  <c r="S20" i="11"/>
  <c r="T81" i="11"/>
  <c r="BB63" i="11"/>
  <c r="BA64" i="11"/>
  <c r="BF87" i="11"/>
  <c r="H76" i="11"/>
  <c r="O88" i="11"/>
  <c r="U73" i="11"/>
  <c r="Q88" i="11"/>
  <c r="H28" i="11"/>
  <c r="H30" i="11" s="1"/>
  <c r="AS22" i="11"/>
  <c r="BI87" i="11"/>
  <c r="H82" i="11"/>
  <c r="I82" i="11"/>
  <c r="AS72" i="11"/>
  <c r="AS32" i="11"/>
  <c r="AS35" i="11" s="1"/>
  <c r="BW20" i="11"/>
  <c r="BW22" i="11" s="1"/>
  <c r="P64" i="11"/>
  <c r="H32" i="11"/>
  <c r="I83" i="11" s="1"/>
  <c r="H86" i="12"/>
  <c r="AS28" i="11"/>
  <c r="AS30" i="11" s="1"/>
  <c r="O81" i="11"/>
  <c r="H55" i="13"/>
  <c r="H89" i="12"/>
  <c r="E76" i="11"/>
  <c r="H22" i="11"/>
  <c r="AL75" i="11"/>
  <c r="AL58" i="11" s="1"/>
  <c r="P88" i="11"/>
  <c r="P81" i="11"/>
  <c r="M28" i="11"/>
  <c r="M30" i="11" s="1"/>
  <c r="M76" i="11"/>
  <c r="N20" i="11"/>
  <c r="N32" i="11" s="1"/>
  <c r="S62" i="11"/>
  <c r="S81" i="11" s="1"/>
  <c r="K55" i="13"/>
  <c r="M32" i="11"/>
  <c r="M55" i="11" s="1"/>
  <c r="P28" i="11"/>
  <c r="P30" i="11" s="1"/>
  <c r="AL73" i="11"/>
  <c r="AL81" i="11"/>
  <c r="AN88" i="11"/>
  <c r="Z73" i="11"/>
  <c r="AA88" i="11"/>
  <c r="AE88" i="11"/>
  <c r="J55" i="11"/>
  <c r="BI72" i="11"/>
  <c r="AI81" i="11"/>
  <c r="BJ82" i="11"/>
  <c r="Z64" i="11"/>
  <c r="AD73" i="11"/>
  <c r="S63" i="11"/>
  <c r="AL64" i="11"/>
  <c r="AN87" i="11" s="1"/>
  <c r="S75" i="11"/>
  <c r="S58" i="11" s="1"/>
  <c r="U81" i="11"/>
  <c r="U20" i="11"/>
  <c r="U55" i="13" s="1"/>
  <c r="Z81" i="11"/>
  <c r="U88" i="11"/>
  <c r="U75" i="11"/>
  <c r="U58" i="11" s="1"/>
  <c r="R75" i="11"/>
  <c r="R58" i="11" s="1"/>
  <c r="P22" i="11"/>
  <c r="P32" i="11"/>
  <c r="P35" i="11" s="1"/>
  <c r="P55" i="13"/>
  <c r="Z20" i="11"/>
  <c r="AW18" i="11"/>
  <c r="AW75" i="11" s="1"/>
  <c r="AW58" i="11" s="1"/>
  <c r="BW75" i="11"/>
  <c r="AX73" i="11"/>
  <c r="K28" i="11"/>
  <c r="K30" i="11" s="1"/>
  <c r="H72" i="11"/>
  <c r="AX75" i="11"/>
  <c r="AX58" i="11" s="1"/>
  <c r="P82" i="11"/>
  <c r="BE76" i="11"/>
  <c r="E86" i="12"/>
  <c r="X18" i="11"/>
  <c r="K32" i="11"/>
  <c r="K35" i="11" s="1"/>
  <c r="E88" i="12"/>
  <c r="K76" i="11"/>
  <c r="H87" i="12"/>
  <c r="E55" i="13"/>
  <c r="AE76" i="11"/>
  <c r="E82" i="11"/>
  <c r="K22" i="11"/>
  <c r="AE22" i="11"/>
  <c r="AA72" i="11"/>
  <c r="N81" i="11"/>
  <c r="Y20" i="11"/>
  <c r="E28" i="11"/>
  <c r="E30" i="11" s="1"/>
  <c r="Y75" i="11"/>
  <c r="Y58" i="11" s="1"/>
  <c r="BE89" i="11"/>
  <c r="AE75" i="11"/>
  <c r="AE58" i="11" s="1"/>
  <c r="BF89" i="11"/>
  <c r="BF90" i="11"/>
  <c r="AF87" i="11"/>
  <c r="AD20" i="11"/>
  <c r="AI82" i="11" s="1"/>
  <c r="AD75" i="11"/>
  <c r="AD58" i="11" s="1"/>
  <c r="N75" i="11"/>
  <c r="N58" i="11" s="1"/>
  <c r="BC81" i="11"/>
  <c r="AM18" i="11"/>
  <c r="AM75" i="11" s="1"/>
  <c r="AM58" i="11" s="1"/>
  <c r="AP47" i="13"/>
  <c r="AX64" i="11"/>
  <c r="Z75" i="11"/>
  <c r="Z58" i="11" s="1"/>
  <c r="AX81" i="11"/>
  <c r="H83" i="12"/>
  <c r="K49" i="13"/>
  <c r="L48" i="13" s="1"/>
  <c r="Y73" i="11"/>
  <c r="Y88" i="11"/>
  <c r="Y64" i="11"/>
  <c r="AD81" i="11"/>
  <c r="Z88" i="11"/>
  <c r="V81" i="11"/>
  <c r="V64" i="11"/>
  <c r="AT32" i="11"/>
  <c r="AT75" i="11"/>
  <c r="AT58" i="11" s="1"/>
  <c r="G83" i="11"/>
  <c r="I72" i="11"/>
  <c r="F55" i="11"/>
  <c r="AZ75" i="11"/>
  <c r="AZ58" i="11" s="1"/>
  <c r="AZ20" i="11"/>
  <c r="AZ55" i="13" s="1"/>
  <c r="BE72" i="11"/>
  <c r="BE87" i="11"/>
  <c r="AT89" i="11"/>
  <c r="L47" i="13"/>
  <c r="AZ72" i="11"/>
  <c r="N149" i="1"/>
  <c r="M149" i="1"/>
  <c r="AA20" i="11"/>
  <c r="AA82" i="11" s="1"/>
  <c r="AA75" i="11"/>
  <c r="AA58" i="11" s="1"/>
  <c r="BF72" i="11"/>
  <c r="W81" i="11"/>
  <c r="AT28" i="11"/>
  <c r="AT30" i="11" s="1"/>
  <c r="AA81" i="11"/>
  <c r="E89" i="12"/>
  <c r="AT64" i="11"/>
  <c r="W88" i="11"/>
  <c r="R88" i="11"/>
  <c r="AT76" i="11"/>
  <c r="V88" i="11"/>
  <c r="E22" i="11"/>
  <c r="AU89" i="11"/>
  <c r="E32" i="11"/>
  <c r="F83" i="11" s="1"/>
  <c r="AT88" i="11"/>
  <c r="AU88" i="11"/>
  <c r="BY20" i="11"/>
  <c r="CG88" i="11"/>
  <c r="CG73" i="11"/>
  <c r="BW64" i="11"/>
  <c r="BY64" i="11"/>
  <c r="BW88" i="11"/>
  <c r="BW81" i="11"/>
  <c r="BY81" i="11"/>
  <c r="CG75" i="11"/>
  <c r="CB81" i="11"/>
  <c r="T88" i="11"/>
  <c r="I83" i="12"/>
  <c r="R64" i="11"/>
  <c r="R81" i="11"/>
  <c r="AO20" i="11"/>
  <c r="I35" i="11"/>
  <c r="DJ21" i="12"/>
  <c r="DD96" i="16"/>
  <c r="DF113" i="16"/>
  <c r="DD95" i="16"/>
  <c r="DF112" i="16"/>
  <c r="DH95" i="16"/>
  <c r="DH112" i="16"/>
  <c r="DH103" i="16"/>
  <c r="DI53" i="16"/>
  <c r="AO81" i="11"/>
  <c r="AH20" i="11"/>
  <c r="AJ88" i="11"/>
  <c r="AC18" i="11"/>
  <c r="AC20" i="11" s="1"/>
  <c r="AC63" i="11"/>
  <c r="CB75" i="11"/>
  <c r="AY88" i="11"/>
  <c r="D72" i="11"/>
  <c r="D83" i="12"/>
  <c r="AU72" i="11"/>
  <c r="D87" i="12"/>
  <c r="AH75" i="11"/>
  <c r="AH58" i="11" s="1"/>
  <c r="AV55" i="11"/>
  <c r="BA83" i="11"/>
  <c r="AV35" i="11"/>
  <c r="V47" i="13"/>
  <c r="AS76" i="11"/>
  <c r="AE87" i="11"/>
  <c r="AE55" i="13"/>
  <c r="AM63" i="11"/>
  <c r="AU82" i="11"/>
  <c r="AE28" i="11"/>
  <c r="AE30" i="11" s="1"/>
  <c r="L76" i="11"/>
  <c r="L28" i="11"/>
  <c r="L30" i="11" s="1"/>
  <c r="L32" i="11"/>
  <c r="L22" i="11"/>
  <c r="AB20" i="11"/>
  <c r="AB82" i="11" s="1"/>
  <c r="AB75" i="11"/>
  <c r="AB58" i="11" s="1"/>
  <c r="AO88" i="11"/>
  <c r="AC62" i="11"/>
  <c r="AC81" i="11" s="1"/>
  <c r="AH25" i="13"/>
  <c r="AH51" i="13" s="1"/>
  <c r="AH54" i="13" s="1"/>
  <c r="AH57" i="13" s="1"/>
  <c r="AM62" i="11"/>
  <c r="L72" i="11"/>
  <c r="AB81" i="11"/>
  <c r="AR62" i="11"/>
  <c r="AW81" i="11" s="1"/>
  <c r="AJ64" i="11"/>
  <c r="AJ72" i="11" s="1"/>
  <c r="AP88" i="11"/>
  <c r="L55" i="13"/>
  <c r="AJ81" i="11"/>
  <c r="AO64" i="11"/>
  <c r="AO72" i="11" s="1"/>
  <c r="AT81" i="11"/>
  <c r="AC25" i="13"/>
  <c r="AC51" i="13" s="1"/>
  <c r="AC54" i="13" s="1"/>
  <c r="AC57" i="13" s="1"/>
  <c r="AR25" i="13"/>
  <c r="AR51" i="13" s="1"/>
  <c r="AR54" i="13" s="1"/>
  <c r="AR57" i="13" s="1"/>
  <c r="CW147" i="16"/>
  <c r="AY73" i="11"/>
  <c r="AY64" i="11"/>
  <c r="AZ88" i="11"/>
  <c r="AB73" i="11"/>
  <c r="AB88" i="11"/>
  <c r="AD88" i="11"/>
  <c r="CG81" i="11"/>
  <c r="AJ20" i="11"/>
  <c r="AJ75" i="11"/>
  <c r="AJ58" i="11" s="1"/>
  <c r="CB64" i="11"/>
  <c r="CX147" i="16"/>
  <c r="DA147" i="16"/>
  <c r="CY147" i="16"/>
  <c r="AB64" i="11"/>
  <c r="AY81" i="11"/>
  <c r="CZ130" i="16"/>
  <c r="CZ137" i="16" s="1"/>
  <c r="CZ144" i="16" s="1"/>
  <c r="AY20" i="11"/>
  <c r="AY75" i="11"/>
  <c r="AY58" i="11" s="1"/>
  <c r="AL88" i="11"/>
  <c r="AP76" i="11"/>
  <c r="AP32" i="11"/>
  <c r="AU83" i="11" s="1"/>
  <c r="AP28" i="11"/>
  <c r="AP30" i="11" s="1"/>
  <c r="AP22" i="11"/>
  <c r="DA110" i="16"/>
  <c r="CY113" i="16"/>
  <c r="W80" i="16"/>
  <c r="W79" i="16"/>
  <c r="W107" i="16"/>
  <c r="Y116" i="16"/>
  <c r="W116" i="16"/>
  <c r="W81" i="16"/>
  <c r="W98" i="16"/>
  <c r="AB107" i="16"/>
  <c r="X81" i="16"/>
  <c r="X79" i="16"/>
  <c r="AC98" i="16"/>
  <c r="X80" i="16"/>
  <c r="X98" i="16"/>
  <c r="AC107" i="16"/>
  <c r="X107" i="16"/>
  <c r="BP67" i="11"/>
  <c r="BP14" i="11"/>
  <c r="AT55" i="13"/>
  <c r="AG88" i="11"/>
  <c r="AM182" i="1"/>
  <c r="BQ11" i="11"/>
  <c r="DD39" i="16"/>
  <c r="DD51" i="16"/>
  <c r="DA111" i="16"/>
  <c r="DD52" i="16"/>
  <c r="DC112" i="16"/>
  <c r="DD112" i="16"/>
  <c r="CZ34" i="16"/>
  <c r="CZ40" i="16"/>
  <c r="DD40" i="16"/>
  <c r="DE41" i="16"/>
  <c r="DE35" i="16"/>
  <c r="CZ35" i="16"/>
  <c r="DC103" i="16"/>
  <c r="DC96" i="16"/>
  <c r="CZ33" i="16"/>
  <c r="CV147" i="16"/>
  <c r="M72" i="11"/>
  <c r="AG47" i="13"/>
  <c r="AH47" i="13" s="1"/>
  <c r="AZ47" i="13"/>
  <c r="AL47" i="13"/>
  <c r="CV114" i="16"/>
  <c r="CY46" i="16"/>
  <c r="CU56" i="13"/>
  <c r="CY45" i="16"/>
  <c r="CX42" i="16"/>
  <c r="CX54" i="16"/>
  <c r="CX45" i="16"/>
  <c r="CX46" i="16"/>
  <c r="CZ39" i="16"/>
  <c r="CV57" i="16"/>
  <c r="CW57" i="16"/>
  <c r="CX57" i="16"/>
  <c r="CX113" i="16"/>
  <c r="CX96" i="16"/>
  <c r="CX112" i="16"/>
  <c r="CX95" i="16"/>
  <c r="CY42" i="16"/>
  <c r="CY54" i="16"/>
  <c r="CY47" i="16"/>
  <c r="CY57" i="16"/>
  <c r="CY111" i="16"/>
  <c r="CY94" i="16"/>
  <c r="CX47" i="16"/>
  <c r="CY110" i="16"/>
  <c r="CY93" i="16"/>
  <c r="CZ84" i="16"/>
  <c r="CZ41" i="16"/>
  <c r="CY112" i="16"/>
  <c r="CD81" i="11"/>
  <c r="AK47" i="13"/>
  <c r="AC36" i="13"/>
  <c r="M25" i="13"/>
  <c r="M51" i="13" s="1"/>
  <c r="M54" i="13" s="1"/>
  <c r="BB18" i="11"/>
  <c r="BB62" i="11"/>
  <c r="BM22" i="11"/>
  <c r="BM76" i="11"/>
  <c r="BM82" i="11"/>
  <c r="AK75" i="11"/>
  <c r="AK58" i="11" s="1"/>
  <c r="AK20" i="11"/>
  <c r="AL89" i="11" s="1"/>
  <c r="BM89" i="11"/>
  <c r="AK88" i="11"/>
  <c r="AK73" i="11"/>
  <c r="AK64" i="11"/>
  <c r="AP81" i="11"/>
  <c r="AM25" i="13"/>
  <c r="AM51" i="13" s="1"/>
  <c r="AM54" i="13" s="1"/>
  <c r="AM57" i="13" s="1"/>
  <c r="K47" i="1"/>
  <c r="AF72" i="11"/>
  <c r="X63" i="11"/>
  <c r="X64" i="11" s="1"/>
  <c r="AF75" i="11"/>
  <c r="AF58" i="11" s="1"/>
  <c r="AF20" i="11"/>
  <c r="AG89" i="11" s="1"/>
  <c r="AB25" i="13"/>
  <c r="AB51" i="13" s="1"/>
  <c r="AB54" i="13" s="1"/>
  <c r="AF73" i="11"/>
  <c r="AF88" i="11"/>
  <c r="AK81" i="11"/>
  <c r="AF81" i="11"/>
  <c r="AA51" i="13"/>
  <c r="AA54" i="13" s="1"/>
  <c r="AA47" i="13"/>
  <c r="AG47" i="1"/>
  <c r="CI81" i="11"/>
  <c r="CI64" i="11"/>
  <c r="CI72" i="11" s="1"/>
  <c r="CI11" i="11"/>
  <c r="CN79" i="16"/>
  <c r="AW63" i="11"/>
  <c r="AV64" i="11"/>
  <c r="AH63" i="11"/>
  <c r="BD87" i="11"/>
  <c r="BD72" i="11"/>
  <c r="BN75" i="11"/>
  <c r="BN20" i="11"/>
  <c r="BN64" i="11"/>
  <c r="BN81" i="11"/>
  <c r="BN73" i="11"/>
  <c r="BN88" i="11"/>
  <c r="CU25" i="12"/>
  <c r="CL75" i="11"/>
  <c r="CS60" i="16"/>
  <c r="CU36" i="16"/>
  <c r="CU42" i="16"/>
  <c r="CR60" i="16"/>
  <c r="CQ60" i="16"/>
  <c r="CT60" i="16"/>
  <c r="CO79" i="16"/>
  <c r="CQ116" i="16"/>
  <c r="CS97" i="16"/>
  <c r="CS105" i="16"/>
  <c r="CS89" i="16"/>
  <c r="CS114" i="16"/>
  <c r="CU45" i="16"/>
  <c r="CT114" i="16"/>
  <c r="CT97" i="16"/>
  <c r="CT105" i="16"/>
  <c r="CT89" i="16"/>
  <c r="CU47" i="16"/>
  <c r="CU46" i="16"/>
  <c r="CN81" i="16"/>
  <c r="CN80" i="16"/>
  <c r="N48" i="13"/>
  <c r="N63" i="11"/>
  <c r="N64" i="11" s="1"/>
  <c r="N25" i="13"/>
  <c r="N51" i="13" s="1"/>
  <c r="N54" i="13" s="1"/>
  <c r="AC45" i="13"/>
  <c r="AZ57" i="13"/>
  <c r="S45" i="13"/>
  <c r="AY57" i="13"/>
  <c r="BA47" i="13"/>
  <c r="AH45" i="13"/>
  <c r="AK57" i="13"/>
  <c r="S25" i="13"/>
  <c r="S51" i="13" s="1"/>
  <c r="S54" i="13" s="1"/>
  <c r="S57" i="13" s="1"/>
  <c r="X45" i="13"/>
  <c r="N45" i="13"/>
  <c r="X25" i="13"/>
  <c r="X51" i="13" s="1"/>
  <c r="X54" i="13" s="1"/>
  <c r="X57" i="13" s="1"/>
  <c r="R47" i="13"/>
  <c r="S47" i="13" s="1"/>
  <c r="BA51" i="13"/>
  <c r="BA54" i="13" s="1"/>
  <c r="S36" i="13"/>
  <c r="W47" i="13"/>
  <c r="X36" i="13"/>
  <c r="CD64" i="11"/>
  <c r="CE88" i="11"/>
  <c r="CD75" i="11"/>
  <c r="CD20" i="11"/>
  <c r="CE89" i="11" s="1"/>
  <c r="CD67" i="11"/>
  <c r="CD10" i="11"/>
  <c r="N36" i="13"/>
  <c r="BS72" i="11"/>
  <c r="CE64" i="11"/>
  <c r="BS22" i="11"/>
  <c r="BS76" i="11"/>
  <c r="BK90" i="11"/>
  <c r="BZ18" i="11"/>
  <c r="BZ62" i="11"/>
  <c r="CA79" i="16"/>
  <c r="CA75" i="16"/>
  <c r="CA107" i="16"/>
  <c r="CF107" i="16"/>
  <c r="CA78" i="16"/>
  <c r="CA81" i="16"/>
  <c r="CA98" i="16"/>
  <c r="CA76" i="16"/>
  <c r="CF98" i="16"/>
  <c r="CA77" i="16"/>
  <c r="CA80" i="16"/>
  <c r="BR72" i="11"/>
  <c r="BS87" i="11"/>
  <c r="CC11" i="11"/>
  <c r="CC18" i="11"/>
  <c r="CC62" i="11"/>
  <c r="AP57" i="13"/>
  <c r="AP55" i="13"/>
  <c r="BT73" i="11"/>
  <c r="BT64" i="11"/>
  <c r="BT81" i="11"/>
  <c r="BT88" i="11"/>
  <c r="BU88" i="11"/>
  <c r="AB47" i="1"/>
  <c r="AH36" i="13"/>
  <c r="BO75" i="11"/>
  <c r="BO20" i="11"/>
  <c r="AU51" i="13"/>
  <c r="AU54" i="13" s="1"/>
  <c r="AU47" i="13"/>
  <c r="CZ285" i="1"/>
  <c r="AQ51" i="13"/>
  <c r="AQ54" i="13" s="1"/>
  <c r="AQ57" i="13" s="1"/>
  <c r="AQ47" i="13"/>
  <c r="CZ290" i="1"/>
  <c r="BX18" i="11"/>
  <c r="BX62" i="11"/>
  <c r="CA14" i="11"/>
  <c r="AV25" i="13"/>
  <c r="AW25" i="13" s="1"/>
  <c r="BU63" i="11"/>
  <c r="BU64" i="11" s="1"/>
  <c r="BO81" i="11"/>
  <c r="BO64" i="11"/>
  <c r="BO73" i="11"/>
  <c r="BO88" i="11"/>
  <c r="BR76" i="11"/>
  <c r="BS89" i="11"/>
  <c r="BR82" i="11"/>
  <c r="BR22" i="11"/>
  <c r="BT75" i="11"/>
  <c r="BT20" i="11"/>
  <c r="CU287" i="1"/>
  <c r="CZ291" i="1"/>
  <c r="BV18" i="11"/>
  <c r="BV62" i="11"/>
  <c r="CN75" i="16"/>
  <c r="CP105" i="16"/>
  <c r="CP89" i="16"/>
  <c r="CN78" i="16"/>
  <c r="CP29" i="13"/>
  <c r="CN107" i="16"/>
  <c r="CN98" i="16"/>
  <c r="CN116" i="16"/>
  <c r="CN76" i="16"/>
  <c r="CE76" i="11"/>
  <c r="CE22" i="11"/>
  <c r="AV82" i="11"/>
  <c r="AQ28" i="11"/>
  <c r="AQ30" i="11" s="1"/>
  <c r="AQ76" i="11"/>
  <c r="AQ32" i="11"/>
  <c r="AQ22" i="11"/>
  <c r="AQ89" i="11"/>
  <c r="AQ72" i="11"/>
  <c r="AQ87" i="11"/>
  <c r="AS87" i="11"/>
  <c r="AS89" i="11"/>
  <c r="BL81" i="11"/>
  <c r="BG64" i="11"/>
  <c r="BG73" i="11"/>
  <c r="BG20" i="11"/>
  <c r="BG75" i="11"/>
  <c r="CB76" i="11"/>
  <c r="CB22" i="11"/>
  <c r="CG22" i="11"/>
  <c r="CG76" i="11"/>
  <c r="CG82" i="11"/>
  <c r="CG89" i="11"/>
  <c r="CG72" i="11"/>
  <c r="T72" i="11"/>
  <c r="U87" i="11"/>
  <c r="U72" i="11"/>
  <c r="T89" i="11"/>
  <c r="T76" i="11"/>
  <c r="T32" i="11"/>
  <c r="T28" i="11"/>
  <c r="T30" i="11" s="1"/>
  <c r="T55" i="13"/>
  <c r="T22" i="11"/>
  <c r="C55" i="11"/>
  <c r="C35" i="11"/>
  <c r="AW73" i="11"/>
  <c r="AG28" i="11"/>
  <c r="AG30" i="11" s="1"/>
  <c r="AG22" i="11"/>
  <c r="AG55" i="13"/>
  <c r="AG76" i="11"/>
  <c r="AG32" i="11"/>
  <c r="R32" i="11"/>
  <c r="R28" i="11"/>
  <c r="R30" i="11" s="1"/>
  <c r="R22" i="11"/>
  <c r="R82" i="11"/>
  <c r="R55" i="13"/>
  <c r="R76" i="11"/>
  <c r="AG72" i="11"/>
  <c r="AG87" i="11"/>
  <c r="V32" i="11"/>
  <c r="V28" i="11"/>
  <c r="V30" i="11" s="1"/>
  <c r="V76" i="11"/>
  <c r="V55" i="13"/>
  <c r="V22" i="11"/>
  <c r="CK98" i="16"/>
  <c r="CK80" i="16"/>
  <c r="CK107" i="16"/>
  <c r="CK75" i="16"/>
  <c r="CK76" i="16"/>
  <c r="CK81" i="16"/>
  <c r="CK78" i="16"/>
  <c r="CK77" i="16"/>
  <c r="CH62" i="11"/>
  <c r="CH11" i="11"/>
  <c r="W72" i="11"/>
  <c r="AI28" i="11"/>
  <c r="AI30" i="11" s="1"/>
  <c r="AI22" i="11"/>
  <c r="AI55" i="13"/>
  <c r="AI32" i="11"/>
  <c r="AI89" i="11"/>
  <c r="AI76" i="11"/>
  <c r="AR20" i="11"/>
  <c r="AR75" i="11"/>
  <c r="AR58" i="11" s="1"/>
  <c r="AX22" i="11"/>
  <c r="BC82" i="11"/>
  <c r="AX89" i="11"/>
  <c r="AX55" i="13"/>
  <c r="AX28" i="11"/>
  <c r="AX30" i="11" s="1"/>
  <c r="AX82" i="11"/>
  <c r="AX32" i="11"/>
  <c r="O89" i="11"/>
  <c r="O82" i="11"/>
  <c r="O55" i="13"/>
  <c r="O28" i="11"/>
  <c r="O30" i="11" s="1"/>
  <c r="O76" i="11"/>
  <c r="P89" i="11"/>
  <c r="O32" i="11"/>
  <c r="O22" i="11"/>
  <c r="T82" i="11"/>
  <c r="AI72" i="11"/>
  <c r="AI87" i="11"/>
  <c r="D35" i="11"/>
  <c r="D55" i="11"/>
  <c r="D83" i="11"/>
  <c r="AL55" i="13"/>
  <c r="AL82" i="11"/>
  <c r="AL22" i="11"/>
  <c r="AL32" i="11"/>
  <c r="AL28" i="11"/>
  <c r="AL30" i="11" s="1"/>
  <c r="AL76" i="11"/>
  <c r="AQ82" i="11"/>
  <c r="AE55" i="11"/>
  <c r="AS55" i="11"/>
  <c r="AE35" i="11"/>
  <c r="AN55" i="13"/>
  <c r="AN32" i="11"/>
  <c r="AN82" i="11"/>
  <c r="AN22" i="11"/>
  <c r="AN28" i="11"/>
  <c r="AN30" i="11" s="1"/>
  <c r="AS82" i="11"/>
  <c r="AN89" i="11"/>
  <c r="Q22" i="11"/>
  <c r="Q76" i="11"/>
  <c r="Q32" i="11"/>
  <c r="Q28" i="11"/>
  <c r="Q30" i="11" s="1"/>
  <c r="Q55" i="13"/>
  <c r="Q82" i="11"/>
  <c r="Q89" i="11"/>
  <c r="R89" i="11"/>
  <c r="V82" i="11"/>
  <c r="AN72" i="11"/>
  <c r="AU35" i="11"/>
  <c r="AU55" i="11"/>
  <c r="AV90" i="11"/>
  <c r="W32" i="11"/>
  <c r="W22" i="11"/>
  <c r="W28" i="11"/>
  <c r="W30" i="11" s="1"/>
  <c r="W76" i="11"/>
  <c r="W82" i="11"/>
  <c r="W55" i="13"/>
  <c r="W89" i="11"/>
  <c r="Q72" i="11"/>
  <c r="CP52" i="11"/>
  <c r="CN33" i="11"/>
  <c r="CN57" i="13"/>
  <c r="CM29" i="11"/>
  <c r="CJ73" i="11"/>
  <c r="CJ88" i="11"/>
  <c r="CJ81" i="11"/>
  <c r="CJ64" i="11"/>
  <c r="CO81" i="16"/>
  <c r="CO116" i="16"/>
  <c r="CO75" i="16"/>
  <c r="CO107" i="16"/>
  <c r="CO98" i="16"/>
  <c r="CO77" i="16"/>
  <c r="CO80" i="16"/>
  <c r="CO78" i="16"/>
  <c r="CO76" i="16"/>
  <c r="CJ67" i="11"/>
  <c r="CJ10" i="11"/>
  <c r="CQ72" i="12"/>
  <c r="CQ73" i="12"/>
  <c r="DP33" i="12" l="1"/>
  <c r="DQ33" i="12" s="1"/>
  <c r="DR33" i="12" s="1"/>
  <c r="DS33" i="12" s="1"/>
  <c r="DT33" i="12" s="1"/>
  <c r="DU33" i="12" s="1"/>
  <c r="DV33" i="12" s="1"/>
  <c r="DP39" i="12"/>
  <c r="DQ39" i="12" s="1"/>
  <c r="DR39" i="12" s="1"/>
  <c r="DS39" i="12" s="1"/>
  <c r="DT39" i="12" s="1"/>
  <c r="DU39" i="12" s="1"/>
  <c r="DV39" i="12" s="1"/>
  <c r="DP35" i="12"/>
  <c r="DQ35" i="12" s="1"/>
  <c r="DR35" i="12" s="1"/>
  <c r="DS35" i="12" s="1"/>
  <c r="DT35" i="12" s="1"/>
  <c r="DU35" i="12" s="1"/>
  <c r="DV35" i="12" s="1"/>
  <c r="CR81" i="11"/>
  <c r="CP36" i="13"/>
  <c r="CP48" i="11"/>
  <c r="CZ94" i="16"/>
  <c r="CZ85" i="16"/>
  <c r="S64" i="11"/>
  <c r="S72" i="11" s="1"/>
  <c r="CU48" i="16"/>
  <c r="CX48" i="16"/>
  <c r="CY48" i="16"/>
  <c r="DM38" i="12"/>
  <c r="DM21" i="12"/>
  <c r="DN21" i="12" s="1"/>
  <c r="CP57" i="12"/>
  <c r="CP34" i="11"/>
  <c r="O72" i="11"/>
  <c r="O87" i="11"/>
  <c r="S22" i="11"/>
  <c r="S28" i="11"/>
  <c r="S30" i="11" s="1"/>
  <c r="BJ83" i="11"/>
  <c r="U22" i="11"/>
  <c r="N82" i="11"/>
  <c r="N22" i="11"/>
  <c r="S32" i="11"/>
  <c r="S35" i="11" s="1"/>
  <c r="S76" i="11"/>
  <c r="N28" i="11"/>
  <c r="N30" i="11" s="1"/>
  <c r="H83" i="11"/>
  <c r="N76" i="11"/>
  <c r="U76" i="11"/>
  <c r="AT90" i="11"/>
  <c r="CB82" i="11"/>
  <c r="BC87" i="11"/>
  <c r="BA72" i="11"/>
  <c r="BA87" i="11"/>
  <c r="AS90" i="11"/>
  <c r="BW76" i="11"/>
  <c r="BW83" i="11"/>
  <c r="BW89" i="11"/>
  <c r="BW82" i="11"/>
  <c r="P87" i="11"/>
  <c r="Q87" i="11"/>
  <c r="X81" i="11"/>
  <c r="H55" i="11"/>
  <c r="H35" i="11"/>
  <c r="P72" i="11"/>
  <c r="AW20" i="11"/>
  <c r="AW32" i="11" s="1"/>
  <c r="AW35" i="11" s="1"/>
  <c r="AU90" i="11"/>
  <c r="S82" i="11"/>
  <c r="S73" i="11"/>
  <c r="U89" i="11"/>
  <c r="M35" i="11"/>
  <c r="V89" i="11"/>
  <c r="U28" i="11"/>
  <c r="U30" i="11" s="1"/>
  <c r="Z55" i="13"/>
  <c r="Z72" i="11"/>
  <c r="Z32" i="11"/>
  <c r="AE83" i="11" s="1"/>
  <c r="AN76" i="11"/>
  <c r="Z22" i="11"/>
  <c r="AA87" i="11"/>
  <c r="Z28" i="11"/>
  <c r="Z30" i="11" s="1"/>
  <c r="Z76" i="11"/>
  <c r="Y76" i="11"/>
  <c r="AE82" i="11"/>
  <c r="Z82" i="11"/>
  <c r="Y72" i="11"/>
  <c r="Y22" i="11"/>
  <c r="Y55" i="13"/>
  <c r="Y89" i="11"/>
  <c r="AP89" i="11"/>
  <c r="Y82" i="11"/>
  <c r="AY87" i="11"/>
  <c r="AD82" i="11"/>
  <c r="BE90" i="11"/>
  <c r="Z89" i="11"/>
  <c r="AL72" i="11"/>
  <c r="Y28" i="11"/>
  <c r="Y30" i="11" s="1"/>
  <c r="Y32" i="11"/>
  <c r="Y55" i="11" s="1"/>
  <c r="AL87" i="11"/>
  <c r="U32" i="11"/>
  <c r="U83" i="11" s="1"/>
  <c r="P55" i="11"/>
  <c r="AM20" i="11"/>
  <c r="AM82" i="11" s="1"/>
  <c r="U82" i="11"/>
  <c r="L49" i="13"/>
  <c r="M48" i="13" s="1"/>
  <c r="P83" i="11"/>
  <c r="AO32" i="11"/>
  <c r="AO90" i="11" s="1"/>
  <c r="AE89" i="11"/>
  <c r="K55" i="11"/>
  <c r="AO22" i="11"/>
  <c r="AT55" i="11"/>
  <c r="X75" i="11"/>
  <c r="X58" i="11" s="1"/>
  <c r="Z87" i="11"/>
  <c r="AT35" i="11"/>
  <c r="BW72" i="11"/>
  <c r="AX72" i="11"/>
  <c r="Y87" i="11"/>
  <c r="BW87" i="11"/>
  <c r="X20" i="11"/>
  <c r="X55" i="13" s="1"/>
  <c r="V87" i="11"/>
  <c r="AD32" i="11"/>
  <c r="AD55" i="11" s="1"/>
  <c r="AD55" i="13"/>
  <c r="AD22" i="11"/>
  <c r="AD28" i="11"/>
  <c r="AD30" i="11" s="1"/>
  <c r="AD76" i="11"/>
  <c r="V72" i="11"/>
  <c r="W87" i="11"/>
  <c r="AR47" i="13"/>
  <c r="E83" i="11"/>
  <c r="E35" i="11"/>
  <c r="AC64" i="11"/>
  <c r="AC72" i="11" s="1"/>
  <c r="T87" i="11"/>
  <c r="R72" i="11"/>
  <c r="R87" i="11"/>
  <c r="AH76" i="11"/>
  <c r="AH28" i="11"/>
  <c r="AH30" i="11" s="1"/>
  <c r="AH32" i="11"/>
  <c r="AH55" i="11" s="1"/>
  <c r="AO76" i="11"/>
  <c r="AH22" i="11"/>
  <c r="AT82" i="11"/>
  <c r="AO55" i="13"/>
  <c r="AH82" i="11"/>
  <c r="AO28" i="11"/>
  <c r="AO30" i="11" s="1"/>
  <c r="AO89" i="11"/>
  <c r="AO82" i="11"/>
  <c r="AC73" i="11"/>
  <c r="BA89" i="11"/>
  <c r="AZ28" i="11"/>
  <c r="AZ30" i="11" s="1"/>
  <c r="AZ76" i="11"/>
  <c r="AZ82" i="11"/>
  <c r="AZ32" i="11"/>
  <c r="AZ55" i="11" s="1"/>
  <c r="AZ22" i="11"/>
  <c r="BE82" i="11"/>
  <c r="BY22" i="11"/>
  <c r="BY76" i="11"/>
  <c r="BY82" i="11"/>
  <c r="X47" i="13"/>
  <c r="AU87" i="11"/>
  <c r="AT87" i="11"/>
  <c r="AA28" i="11"/>
  <c r="AA30" i="11" s="1"/>
  <c r="AA22" i="11"/>
  <c r="AA32" i="11"/>
  <c r="AA55" i="11" s="1"/>
  <c r="AA76" i="11"/>
  <c r="E55" i="11"/>
  <c r="AT72" i="11"/>
  <c r="AA89" i="11"/>
  <c r="BY72" i="11"/>
  <c r="AC75" i="11"/>
  <c r="AC58" i="11" s="1"/>
  <c r="AM64" i="11"/>
  <c r="AM72" i="11" s="1"/>
  <c r="DD94" i="16"/>
  <c r="DD93" i="16"/>
  <c r="DJ103" i="16"/>
  <c r="DI103" i="16"/>
  <c r="DI112" i="16"/>
  <c r="DI95" i="16"/>
  <c r="DI104" i="16"/>
  <c r="DD101" i="16"/>
  <c r="DD110" i="16"/>
  <c r="DE95" i="16"/>
  <c r="DI39" i="16"/>
  <c r="DI51" i="16"/>
  <c r="DI57" i="16"/>
  <c r="DA57" i="16"/>
  <c r="AM81" i="11"/>
  <c r="AM73" i="11"/>
  <c r="AR81" i="11"/>
  <c r="N72" i="11"/>
  <c r="AR64" i="11"/>
  <c r="AR72" i="11" s="1"/>
  <c r="AJ55" i="13"/>
  <c r="AH81" i="11"/>
  <c r="AB89" i="11"/>
  <c r="AB22" i="11"/>
  <c r="AB76" i="11"/>
  <c r="AD89" i="11"/>
  <c r="AB28" i="11"/>
  <c r="AB30" i="11" s="1"/>
  <c r="AB32" i="11"/>
  <c r="AG83" i="11" s="1"/>
  <c r="AP87" i="11"/>
  <c r="CB72" i="11"/>
  <c r="AH55" i="13"/>
  <c r="L35" i="11"/>
  <c r="L55" i="11"/>
  <c r="AR73" i="11"/>
  <c r="AO87" i="11"/>
  <c r="BM90" i="11"/>
  <c r="AJ87" i="11"/>
  <c r="AG82" i="11"/>
  <c r="DA54" i="16"/>
  <c r="CZ133" i="16"/>
  <c r="CZ140" i="16" s="1"/>
  <c r="CZ147" i="16" s="1"/>
  <c r="AY76" i="11"/>
  <c r="BD82" i="11"/>
  <c r="AY22" i="11"/>
  <c r="AY32" i="11"/>
  <c r="AY90" i="11" s="1"/>
  <c r="AZ89" i="11"/>
  <c r="AY28" i="11"/>
  <c r="AY30" i="11" s="1"/>
  <c r="AY82" i="11"/>
  <c r="AY72" i="11"/>
  <c r="AZ87" i="11"/>
  <c r="AJ28" i="11"/>
  <c r="AJ30" i="11" s="1"/>
  <c r="AJ82" i="11"/>
  <c r="AJ76" i="11"/>
  <c r="AJ22" i="11"/>
  <c r="AJ32" i="11"/>
  <c r="AJ83" i="11" s="1"/>
  <c r="AX76" i="11"/>
  <c r="AY55" i="13"/>
  <c r="AB72" i="11"/>
  <c r="AB87" i="11"/>
  <c r="AD87" i="11"/>
  <c r="AJ89" i="11"/>
  <c r="AY89" i="11"/>
  <c r="AP55" i="11"/>
  <c r="AP35" i="11"/>
  <c r="DC57" i="16"/>
  <c r="DB57" i="16"/>
  <c r="DE39" i="16"/>
  <c r="BP62" i="11"/>
  <c r="BU81" i="11" s="1"/>
  <c r="BP18" i="11"/>
  <c r="BP75" i="11" s="1"/>
  <c r="S55" i="13"/>
  <c r="CE72" i="11"/>
  <c r="DD57" i="16"/>
  <c r="AM47" i="13"/>
  <c r="DE33" i="16"/>
  <c r="BQ67" i="11"/>
  <c r="BQ14" i="11"/>
  <c r="BQ18" i="11" s="1"/>
  <c r="DD42" i="16"/>
  <c r="DD45" i="16"/>
  <c r="DD47" i="16"/>
  <c r="DD46" i="16"/>
  <c r="DC42" i="16"/>
  <c r="DA58" i="16"/>
  <c r="DB58" i="16"/>
  <c r="DC58" i="16"/>
  <c r="DD58" i="16"/>
  <c r="DC113" i="16"/>
  <c r="DD113" i="16"/>
  <c r="DD111" i="16"/>
  <c r="DD60" i="16"/>
  <c r="DE34" i="16"/>
  <c r="DE40" i="16"/>
  <c r="DD102" i="16"/>
  <c r="CZ95" i="16"/>
  <c r="DE103" i="16"/>
  <c r="DC46" i="16"/>
  <c r="DC45" i="16"/>
  <c r="DC54" i="16"/>
  <c r="DC47" i="16"/>
  <c r="DC104" i="16"/>
  <c r="DE96" i="16"/>
  <c r="DD54" i="16"/>
  <c r="CD82" i="11"/>
  <c r="AX87" i="11"/>
  <c r="X72" i="11"/>
  <c r="AW64" i="11"/>
  <c r="AW72" i="11" s="1"/>
  <c r="CV116" i="16"/>
  <c r="CZ36" i="16"/>
  <c r="CZ56" i="13"/>
  <c r="CY60" i="16"/>
  <c r="CZ42" i="16"/>
  <c r="CV60" i="16"/>
  <c r="CW60" i="16"/>
  <c r="CX60" i="16"/>
  <c r="CX105" i="16"/>
  <c r="CX114" i="16"/>
  <c r="CX97" i="16"/>
  <c r="CX89" i="16"/>
  <c r="CL88" i="11"/>
  <c r="CZ96" i="16"/>
  <c r="CL20" i="11"/>
  <c r="CY89" i="16"/>
  <c r="CY114" i="16"/>
  <c r="CY97" i="16"/>
  <c r="CY105" i="16"/>
  <c r="BB73" i="11"/>
  <c r="BB81" i="11"/>
  <c r="BB64" i="11"/>
  <c r="BB72" i="11" s="1"/>
  <c r="BG81" i="11"/>
  <c r="M47" i="13"/>
  <c r="M49" i="13" s="1"/>
  <c r="AK32" i="11"/>
  <c r="AL90" i="11" s="1"/>
  <c r="AK22" i="11"/>
  <c r="AK76" i="11"/>
  <c r="AK28" i="11"/>
  <c r="AK30" i="11" s="1"/>
  <c r="AP82" i="11"/>
  <c r="AK89" i="11"/>
  <c r="AK72" i="11"/>
  <c r="AK87" i="11"/>
  <c r="M57" i="13"/>
  <c r="M55" i="13"/>
  <c r="AK55" i="13"/>
  <c r="BM83" i="11"/>
  <c r="BB75" i="11"/>
  <c r="BB20" i="11"/>
  <c r="BB76" i="11" s="1"/>
  <c r="AB57" i="13"/>
  <c r="AB55" i="13"/>
  <c r="AB47" i="13"/>
  <c r="AC47" i="13" s="1"/>
  <c r="AF28" i="11"/>
  <c r="AF30" i="11" s="1"/>
  <c r="AK82" i="11"/>
  <c r="AF32" i="11"/>
  <c r="AG90" i="11" s="1"/>
  <c r="AF22" i="11"/>
  <c r="AF76" i="11"/>
  <c r="AF55" i="13"/>
  <c r="AF82" i="11"/>
  <c r="AF89" i="11"/>
  <c r="AA57" i="13"/>
  <c r="AA55" i="13"/>
  <c r="U47" i="1"/>
  <c r="CI67" i="11"/>
  <c r="CI10" i="11"/>
  <c r="Q47" i="1"/>
  <c r="M47" i="1"/>
  <c r="BN76" i="11"/>
  <c r="BS83" i="11"/>
  <c r="BN22" i="11"/>
  <c r="BN82" i="11"/>
  <c r="BS82" i="11"/>
  <c r="BN89" i="11"/>
  <c r="AV72" i="11"/>
  <c r="AV87" i="11"/>
  <c r="CN18" i="11"/>
  <c r="CN20" i="11" s="1"/>
  <c r="CN22" i="11" s="1"/>
  <c r="BN72" i="11"/>
  <c r="BN87" i="11"/>
  <c r="AH64" i="11"/>
  <c r="AH72" i="11" s="1"/>
  <c r="CZ46" i="16"/>
  <c r="CS79" i="16"/>
  <c r="CT79" i="16"/>
  <c r="CU72" i="12"/>
  <c r="CU73" i="12"/>
  <c r="CU97" i="16"/>
  <c r="CU105" i="16"/>
  <c r="CU89" i="16"/>
  <c r="CS81" i="16"/>
  <c r="CS98" i="16"/>
  <c r="CS107" i="16"/>
  <c r="CS80" i="16"/>
  <c r="CS116" i="16"/>
  <c r="CS75" i="16"/>
  <c r="CS78" i="16"/>
  <c r="CS77" i="16"/>
  <c r="CS76" i="16"/>
  <c r="CT81" i="16"/>
  <c r="CT107" i="16"/>
  <c r="CT116" i="16"/>
  <c r="CT98" i="16"/>
  <c r="CT80" i="16"/>
  <c r="CT77" i="16"/>
  <c r="CT78" i="16"/>
  <c r="CT75" i="16"/>
  <c r="CT76" i="16"/>
  <c r="CP24" i="13"/>
  <c r="N57" i="13"/>
  <c r="N55" i="13"/>
  <c r="CG87" i="11"/>
  <c r="CE87" i="11"/>
  <c r="BA55" i="13"/>
  <c r="BA57" i="13"/>
  <c r="CD72" i="11"/>
  <c r="CD22" i="11"/>
  <c r="CD76" i="11"/>
  <c r="CP21" i="13"/>
  <c r="CN73" i="11"/>
  <c r="AQ55" i="13"/>
  <c r="AW51" i="13"/>
  <c r="AW54" i="13" s="1"/>
  <c r="AW57" i="13" s="1"/>
  <c r="DE291" i="1"/>
  <c r="CZ287" i="1"/>
  <c r="BO72" i="11"/>
  <c r="BO87" i="11"/>
  <c r="AV51" i="13"/>
  <c r="AV54" i="13" s="1"/>
  <c r="AV57" i="13" s="1"/>
  <c r="AV47" i="13"/>
  <c r="DE290" i="1"/>
  <c r="DJ290" i="1" s="1"/>
  <c r="BT72" i="11"/>
  <c r="BT87" i="11"/>
  <c r="CC20" i="11"/>
  <c r="CD89" i="11" s="1"/>
  <c r="CC75" i="11"/>
  <c r="BZ20" i="11"/>
  <c r="CE82" i="11" s="1"/>
  <c r="BZ75" i="11"/>
  <c r="BT22" i="11"/>
  <c r="BT76" i="11"/>
  <c r="BU89" i="11"/>
  <c r="BT89" i="11"/>
  <c r="BT82" i="11"/>
  <c r="BX81" i="11"/>
  <c r="BX64" i="11"/>
  <c r="BX72" i="11" s="1"/>
  <c r="BX73" i="11"/>
  <c r="BX88" i="11"/>
  <c r="BY88" i="11"/>
  <c r="AU57" i="13"/>
  <c r="AU55" i="13"/>
  <c r="BO89" i="11"/>
  <c r="BO22" i="11"/>
  <c r="BO76" i="11"/>
  <c r="BO82" i="11"/>
  <c r="CC10" i="11"/>
  <c r="CF10" i="11" s="1"/>
  <c r="CC67" i="11"/>
  <c r="BZ73" i="11"/>
  <c r="BZ64" i="11"/>
  <c r="BZ72" i="11" s="1"/>
  <c r="BZ81" i="11"/>
  <c r="CB88" i="11"/>
  <c r="BZ88" i="11"/>
  <c r="CE81" i="11"/>
  <c r="BV75" i="11"/>
  <c r="BV20" i="11"/>
  <c r="BV76" i="11" s="1"/>
  <c r="BU72" i="11"/>
  <c r="BU87" i="11"/>
  <c r="CA18" i="11"/>
  <c r="CA20" i="11" s="1"/>
  <c r="CA62" i="11"/>
  <c r="CA64" i="11" s="1"/>
  <c r="BX20" i="11"/>
  <c r="BX75" i="11"/>
  <c r="BV63" i="11"/>
  <c r="BV64" i="11" s="1"/>
  <c r="BV72" i="11" s="1"/>
  <c r="BV73" i="11"/>
  <c r="BR83" i="11"/>
  <c r="BS90" i="11"/>
  <c r="DE285" i="1"/>
  <c r="CC81" i="11"/>
  <c r="CC73" i="11"/>
  <c r="CC88" i="11"/>
  <c r="CC64" i="11"/>
  <c r="CD87" i="11" s="1"/>
  <c r="CD88" i="11"/>
  <c r="CP22" i="13"/>
  <c r="CZ45" i="16"/>
  <c r="CZ93" i="16"/>
  <c r="CZ47" i="16"/>
  <c r="CP78" i="16"/>
  <c r="CP79" i="16"/>
  <c r="CP98" i="16"/>
  <c r="CP76" i="16"/>
  <c r="CP107" i="16"/>
  <c r="CP81" i="16"/>
  <c r="CP80" i="16"/>
  <c r="CP75" i="16"/>
  <c r="CP77" i="16"/>
  <c r="AV83" i="11"/>
  <c r="AQ55" i="11"/>
  <c r="AQ35" i="11"/>
  <c r="AQ90" i="11"/>
  <c r="BG72" i="11"/>
  <c r="BG22" i="11"/>
  <c r="BG76" i="11"/>
  <c r="BL82" i="11"/>
  <c r="CG83" i="11"/>
  <c r="CG90" i="11"/>
  <c r="CP18" i="13"/>
  <c r="N83" i="11"/>
  <c r="N35" i="11"/>
  <c r="N55" i="11"/>
  <c r="AG55" i="11"/>
  <c r="AG35" i="11"/>
  <c r="R55" i="11"/>
  <c r="R35" i="11"/>
  <c r="R83" i="11"/>
  <c r="V55" i="11"/>
  <c r="V35" i="11"/>
  <c r="T90" i="11"/>
  <c r="T55" i="11"/>
  <c r="T35" i="11"/>
  <c r="AC76" i="11"/>
  <c r="AC32" i="11"/>
  <c r="AC55" i="11" s="1"/>
  <c r="AC28" i="11"/>
  <c r="AC30" i="11" s="1"/>
  <c r="AC55" i="13"/>
  <c r="AC22" i="11"/>
  <c r="CH67" i="11"/>
  <c r="CH10" i="11"/>
  <c r="CH81" i="11"/>
  <c r="CH64" i="11"/>
  <c r="CH72" i="11" s="1"/>
  <c r="CH88" i="11"/>
  <c r="CH73" i="11"/>
  <c r="CI88" i="11"/>
  <c r="Q83" i="11"/>
  <c r="Q35" i="11"/>
  <c r="R90" i="11"/>
  <c r="Q55" i="11"/>
  <c r="Q90" i="11"/>
  <c r="V83" i="11"/>
  <c r="W35" i="11"/>
  <c r="W55" i="11"/>
  <c r="W83" i="11"/>
  <c r="W90" i="11"/>
  <c r="AI35" i="11"/>
  <c r="AI55" i="11"/>
  <c r="AI90" i="11"/>
  <c r="AN35" i="11"/>
  <c r="AN90" i="11"/>
  <c r="AN83" i="11"/>
  <c r="AS83" i="11"/>
  <c r="BC83" i="11"/>
  <c r="AX83" i="11"/>
  <c r="AX90" i="11"/>
  <c r="AX35" i="11"/>
  <c r="AL35" i="11"/>
  <c r="AL83" i="11"/>
  <c r="AL55" i="11"/>
  <c r="AQ83" i="11"/>
  <c r="AR22" i="11"/>
  <c r="AR32" i="11"/>
  <c r="AR35" i="11" s="1"/>
  <c r="AR28" i="11"/>
  <c r="AR30" i="11" s="1"/>
  <c r="AR55" i="13"/>
  <c r="AR76" i="11"/>
  <c r="O83" i="11"/>
  <c r="P90" i="11"/>
  <c r="O35" i="11"/>
  <c r="O55" i="11"/>
  <c r="O90" i="11"/>
  <c r="T83" i="11"/>
  <c r="CP33" i="11"/>
  <c r="CN29" i="11"/>
  <c r="CO57" i="13"/>
  <c r="CO33" i="11"/>
  <c r="CP73" i="12"/>
  <c r="CP72" i="12"/>
  <c r="CJ87" i="11"/>
  <c r="CJ72" i="11"/>
  <c r="CO64" i="11"/>
  <c r="CQ87" i="11" s="1"/>
  <c r="CM64" i="11"/>
  <c r="CM72" i="11" s="1"/>
  <c r="CM81" i="11"/>
  <c r="CM73" i="11"/>
  <c r="CM67" i="11"/>
  <c r="DE94" i="16"/>
  <c r="DC97" i="16"/>
  <c r="DD97" i="16"/>
  <c r="CP25" i="13"/>
  <c r="BW90" i="11"/>
  <c r="CB83" i="11"/>
  <c r="CD83" i="11"/>
  <c r="DI113" i="16"/>
  <c r="BY83" i="11"/>
  <c r="DJ285" i="1"/>
  <c r="DE93" i="16"/>
  <c r="DE101" i="16"/>
  <c r="DH104" i="16"/>
  <c r="DH113" i="16"/>
  <c r="DF57" i="16"/>
  <c r="DG57" i="16"/>
  <c r="DH57" i="16"/>
  <c r="DA60" i="16"/>
  <c r="DB60" i="16"/>
  <c r="DC60" i="16"/>
  <c r="DE42" i="16"/>
  <c r="DE45" i="16"/>
  <c r="DE47" i="16"/>
  <c r="DE56" i="13"/>
  <c r="DC105" i="16"/>
  <c r="DD71" i="16"/>
  <c r="DD62" i="11" s="1"/>
  <c r="DD105" i="16"/>
  <c r="DE46" i="16"/>
  <c r="DE36" i="16"/>
  <c r="DE102" i="16"/>
  <c r="DE104" i="16"/>
  <c r="DC71" i="16"/>
  <c r="DC62" i="11" s="1"/>
  <c r="R47" i="1"/>
  <c r="W47" i="1"/>
  <c r="CL67" i="11"/>
  <c r="CS75" i="12"/>
  <c r="CS76" i="12" s="1"/>
  <c r="CS74" i="12"/>
  <c r="CZ97" i="16"/>
  <c r="CZ105" i="16"/>
  <c r="CZ89" i="16"/>
  <c r="CX116" i="16"/>
  <c r="CX75" i="16"/>
  <c r="CX76" i="16"/>
  <c r="BG83" i="11"/>
  <c r="N47" i="13"/>
  <c r="N49" i="13" s="1"/>
  <c r="CO75" i="12"/>
  <c r="CO76" i="12" s="1"/>
  <c r="CO74" i="12"/>
  <c r="CN67" i="11"/>
  <c r="DJ39" i="16"/>
  <c r="CE90" i="11"/>
  <c r="BN83" i="11"/>
  <c r="BN90" i="11"/>
  <c r="CU79" i="16"/>
  <c r="CU81" i="16"/>
  <c r="CU78" i="16"/>
  <c r="CU76" i="16"/>
  <c r="BT90" i="11"/>
  <c r="BU90" i="11"/>
  <c r="BT83" i="11"/>
  <c r="BO83" i="11"/>
  <c r="BO90" i="11"/>
  <c r="AW47" i="13"/>
  <c r="CK7" i="12"/>
  <c r="BL83" i="11"/>
  <c r="CH18" i="11"/>
  <c r="CH75" i="11" s="1"/>
  <c r="CO29" i="11"/>
  <c r="CP51" i="11"/>
  <c r="CO67" i="11"/>
  <c r="CK27" i="12"/>
  <c r="CK26" i="12"/>
  <c r="CK10" i="12"/>
  <c r="AD35" i="11" l="1"/>
  <c r="AE90" i="11"/>
  <c r="Y35" i="11"/>
  <c r="AR82" i="11"/>
  <c r="AW22" i="11"/>
  <c r="DC88" i="11"/>
  <c r="DC64" i="11"/>
  <c r="DC81" i="11"/>
  <c r="DC73" i="11"/>
  <c r="DE62" i="11"/>
  <c r="DD88" i="11"/>
  <c r="DD73" i="11"/>
  <c r="DD81" i="11"/>
  <c r="DD64" i="11"/>
  <c r="AB55" i="11"/>
  <c r="AZ35" i="11"/>
  <c r="AW28" i="11"/>
  <c r="AW30" i="11" s="1"/>
  <c r="AW82" i="11"/>
  <c r="AZ83" i="11"/>
  <c r="AW55" i="11"/>
  <c r="AM76" i="11"/>
  <c r="AI83" i="11"/>
  <c r="AM55" i="13"/>
  <c r="DN101" i="16"/>
  <c r="DJ63" i="16"/>
  <c r="CQ82" i="11"/>
  <c r="CL22" i="11"/>
  <c r="BE83" i="11"/>
  <c r="AM28" i="11"/>
  <c r="AM30" i="11" s="1"/>
  <c r="BA90" i="11"/>
  <c r="AM22" i="11"/>
  <c r="AW76" i="11"/>
  <c r="AM32" i="11"/>
  <c r="AM35" i="11" s="1"/>
  <c r="CN64" i="11"/>
  <c r="CO87" i="11" s="1"/>
  <c r="BQ62" i="11"/>
  <c r="BQ73" i="11" s="1"/>
  <c r="CN88" i="11"/>
  <c r="CC22" i="11"/>
  <c r="CU77" i="16"/>
  <c r="CU98" i="16"/>
  <c r="CU80" i="16"/>
  <c r="CU107" i="16"/>
  <c r="DN93" i="16"/>
  <c r="CM88" i="11"/>
  <c r="CX81" i="16"/>
  <c r="CX80" i="16"/>
  <c r="AC35" i="11"/>
  <c r="CN81" i="11"/>
  <c r="CU75" i="16"/>
  <c r="CX78" i="16"/>
  <c r="CX107" i="16"/>
  <c r="CX79" i="16"/>
  <c r="CX77" i="16"/>
  <c r="CX98" i="16"/>
  <c r="CC82" i="11"/>
  <c r="CB89" i="11"/>
  <c r="AY83" i="11"/>
  <c r="X28" i="11"/>
  <c r="X30" i="11" s="1"/>
  <c r="X32" i="11"/>
  <c r="X35" i="11" s="1"/>
  <c r="CC76" i="11"/>
  <c r="CC89" i="11"/>
  <c r="DC48" i="16"/>
  <c r="AB35" i="11"/>
  <c r="Y83" i="11"/>
  <c r="CL64" i="11"/>
  <c r="AY55" i="11"/>
  <c r="AZ90" i="11"/>
  <c r="BD83" i="11"/>
  <c r="AY35" i="11"/>
  <c r="DD48" i="16"/>
  <c r="CY78" i="16"/>
  <c r="CY76" i="16"/>
  <c r="CY107" i="16"/>
  <c r="DD89" i="16"/>
  <c r="CY80" i="16"/>
  <c r="CY79" i="16"/>
  <c r="DC89" i="16"/>
  <c r="CY81" i="16"/>
  <c r="CY98" i="16"/>
  <c r="CY75" i="16"/>
  <c r="CY77" i="16"/>
  <c r="CY116" i="16"/>
  <c r="DA116" i="16"/>
  <c r="BV22" i="11"/>
  <c r="BP20" i="11"/>
  <c r="BP82" i="11" s="1"/>
  <c r="AJ55" i="11"/>
  <c r="AR55" i="11"/>
  <c r="BZ89" i="11"/>
  <c r="BZ22" i="11"/>
  <c r="U90" i="11"/>
  <c r="CN75" i="11"/>
  <c r="AK55" i="11"/>
  <c r="AD90" i="11"/>
  <c r="X22" i="11"/>
  <c r="S83" i="11"/>
  <c r="BP64" i="11"/>
  <c r="BR87" i="11" s="1"/>
  <c r="AK35" i="11"/>
  <c r="AB83" i="11"/>
  <c r="Y90" i="11"/>
  <c r="AD83" i="11"/>
  <c r="CA75" i="11"/>
  <c r="BZ76" i="11"/>
  <c r="AH83" i="11"/>
  <c r="BG82" i="11"/>
  <c r="CL81" i="11"/>
  <c r="AJ35" i="11"/>
  <c r="AA35" i="11"/>
  <c r="X82" i="11"/>
  <c r="S55" i="11"/>
  <c r="U55" i="11"/>
  <c r="BZ82" i="11"/>
  <c r="AK90" i="11"/>
  <c r="AX55" i="11"/>
  <c r="AJ90" i="11"/>
  <c r="AH35" i="11"/>
  <c r="AC82" i="11"/>
  <c r="U35" i="11"/>
  <c r="AP83" i="11"/>
  <c r="X76" i="11"/>
  <c r="V90" i="11"/>
  <c r="CC72" i="11"/>
  <c r="DI93" i="16"/>
  <c r="DI101" i="16"/>
  <c r="DK110" i="16"/>
  <c r="DI110" i="16"/>
  <c r="AF83" i="11"/>
  <c r="AN55" i="11"/>
  <c r="Z55" i="11"/>
  <c r="AA90" i="11"/>
  <c r="AA83" i="11"/>
  <c r="Z35" i="11"/>
  <c r="AW83" i="11"/>
  <c r="AK83" i="11"/>
  <c r="BB22" i="11"/>
  <c r="AB90" i="11"/>
  <c r="Z90" i="11"/>
  <c r="AF90" i="11"/>
  <c r="BB82" i="11"/>
  <c r="AF35" i="11"/>
  <c r="BX87" i="11"/>
  <c r="AF55" i="11"/>
  <c r="Z83" i="11"/>
  <c r="CS81" i="11"/>
  <c r="DJ28" i="12"/>
  <c r="DM28" i="12" s="1"/>
  <c r="DN28" i="12" s="1"/>
  <c r="DO28" i="12" s="1"/>
  <c r="CL73" i="11"/>
  <c r="DO21" i="12"/>
  <c r="CO88" i="11"/>
  <c r="DE287" i="1"/>
  <c r="BY87" i="11"/>
  <c r="CC87" i="11"/>
  <c r="AW55" i="13"/>
  <c r="BP88" i="11"/>
  <c r="AP90" i="11"/>
  <c r="AO83" i="11"/>
  <c r="AT83" i="11"/>
  <c r="BY89" i="11"/>
  <c r="BP73" i="11"/>
  <c r="AO55" i="11"/>
  <c r="BX22" i="11"/>
  <c r="CI87" i="11"/>
  <c r="BX76" i="11"/>
  <c r="BP81" i="11"/>
  <c r="AO35" i="11"/>
  <c r="CH87" i="11"/>
  <c r="BX82" i="11"/>
  <c r="BR88" i="11"/>
  <c r="CZ48" i="16"/>
  <c r="BX89" i="11"/>
  <c r="CO81" i="11"/>
  <c r="CA73" i="11"/>
  <c r="CT81" i="11"/>
  <c r="CO73" i="11"/>
  <c r="CK10" i="11"/>
  <c r="CK11" i="11" s="1"/>
  <c r="CK67" i="11" s="1"/>
  <c r="CA81" i="11"/>
  <c r="AV55" i="13"/>
  <c r="CB87" i="11"/>
  <c r="BZ87" i="11"/>
  <c r="DJ291" i="1"/>
  <c r="DO291" i="1" s="1"/>
  <c r="CQ81" i="11"/>
  <c r="DE48" i="16"/>
  <c r="DN38" i="12"/>
  <c r="DO38" i="12" s="1"/>
  <c r="CN24" i="11"/>
  <c r="CN26" i="11" s="1"/>
  <c r="CS82" i="11"/>
  <c r="DJ287" i="1"/>
  <c r="DJ104" i="16"/>
  <c r="DE97" i="16"/>
  <c r="DD76" i="16"/>
  <c r="DD98" i="16"/>
  <c r="DC98" i="16"/>
  <c r="DO285" i="1"/>
  <c r="DD107" i="16"/>
  <c r="BQ75" i="11"/>
  <c r="BQ20" i="11"/>
  <c r="DD78" i="16"/>
  <c r="DD80" i="16"/>
  <c r="DD75" i="16"/>
  <c r="DD79" i="16"/>
  <c r="DD77" i="16"/>
  <c r="DD81" i="16"/>
  <c r="DD116" i="16"/>
  <c r="DC79" i="16"/>
  <c r="DC116" i="16"/>
  <c r="DC107" i="16"/>
  <c r="DE105" i="16"/>
  <c r="DE89" i="16"/>
  <c r="DC77" i="16"/>
  <c r="DC76" i="16"/>
  <c r="DC75" i="16"/>
  <c r="DC80" i="16"/>
  <c r="DC81" i="16"/>
  <c r="DC78" i="16"/>
  <c r="CQ65" i="12"/>
  <c r="CT75" i="12"/>
  <c r="CT76" i="12" s="1"/>
  <c r="CT74" i="12"/>
  <c r="CS77" i="12"/>
  <c r="CZ79" i="16"/>
  <c r="CZ107" i="16"/>
  <c r="CZ98" i="16"/>
  <c r="CZ81" i="16"/>
  <c r="CZ80" i="16"/>
  <c r="CZ76" i="16"/>
  <c r="CZ78" i="16"/>
  <c r="CZ75" i="16"/>
  <c r="CZ77" i="16"/>
  <c r="S48" i="13"/>
  <c r="S49" i="13" s="1"/>
  <c r="O48" i="13"/>
  <c r="O49" i="13" s="1"/>
  <c r="P48" i="13" s="1"/>
  <c r="P49" i="13" s="1"/>
  <c r="Q48" i="13" s="1"/>
  <c r="Q49" i="13" s="1"/>
  <c r="R48" i="13" s="1"/>
  <c r="R49" i="13" s="1"/>
  <c r="BB83" i="11"/>
  <c r="DO290" i="1"/>
  <c r="CO77" i="12"/>
  <c r="DO39" i="16"/>
  <c r="BZ83" i="11"/>
  <c r="CE83" i="11"/>
  <c r="BZ90" i="11"/>
  <c r="CB90" i="11"/>
  <c r="CC83" i="11"/>
  <c r="CC90" i="11"/>
  <c r="CD90" i="11"/>
  <c r="CA72" i="11"/>
  <c r="BX83" i="11"/>
  <c r="BX90" i="11"/>
  <c r="BY90" i="11"/>
  <c r="CA82" i="11"/>
  <c r="CA76" i="11"/>
  <c r="CA22" i="11"/>
  <c r="CF11" i="11"/>
  <c r="CI18" i="11"/>
  <c r="CI75" i="11" s="1"/>
  <c r="CP29" i="11"/>
  <c r="CK15" i="11"/>
  <c r="CK14" i="12"/>
  <c r="CK30" i="12"/>
  <c r="CO72" i="11"/>
  <c r="CM30" i="12"/>
  <c r="CM36" i="12" s="1"/>
  <c r="DP38" i="12" l="1"/>
  <c r="DQ38" i="12" s="1"/>
  <c r="DR38" i="12" s="1"/>
  <c r="DS38" i="12" s="1"/>
  <c r="DT38" i="12" s="1"/>
  <c r="DU38" i="12" s="1"/>
  <c r="DV38" i="12" s="1"/>
  <c r="DP28" i="12"/>
  <c r="DQ28" i="12" s="1"/>
  <c r="DR28" i="12" s="1"/>
  <c r="DS28" i="12" s="1"/>
  <c r="DT28" i="12" s="1"/>
  <c r="DU28" i="12" s="1"/>
  <c r="DV28" i="12" s="1"/>
  <c r="DP21" i="12"/>
  <c r="DQ21" i="12" s="1"/>
  <c r="DR21" i="12" s="1"/>
  <c r="DS21" i="12" s="1"/>
  <c r="DT21" i="12" s="1"/>
  <c r="DU21" i="12" s="1"/>
  <c r="DV21" i="12" s="1"/>
  <c r="BQ64" i="11"/>
  <c r="BQ72" i="11" s="1"/>
  <c r="DC72" i="11"/>
  <c r="DC87" i="11"/>
  <c r="DD87" i="11"/>
  <c r="DD72" i="11"/>
  <c r="DE81" i="11"/>
  <c r="DE73" i="11"/>
  <c r="DE64" i="11"/>
  <c r="CN87" i="11"/>
  <c r="CL72" i="11"/>
  <c r="X55" i="11"/>
  <c r="CN72" i="11"/>
  <c r="BQ81" i="11"/>
  <c r="BV81" i="11"/>
  <c r="AR83" i="11"/>
  <c r="AM55" i="11"/>
  <c r="AM83" i="11"/>
  <c r="AC83" i="11"/>
  <c r="X83" i="11"/>
  <c r="CM87" i="11"/>
  <c r="CL87" i="11"/>
  <c r="BP89" i="11"/>
  <c r="BP76" i="11"/>
  <c r="BP22" i="11"/>
  <c r="BU82" i="11"/>
  <c r="BR89" i="11"/>
  <c r="BP87" i="11"/>
  <c r="BP72" i="11"/>
  <c r="CK14" i="11"/>
  <c r="CK18" i="11" s="1"/>
  <c r="CN38" i="11"/>
  <c r="CN46" i="11" s="1"/>
  <c r="DO287" i="1"/>
  <c r="DT287" i="1"/>
  <c r="DU287" i="1"/>
  <c r="DT285" i="1"/>
  <c r="DU285" i="1"/>
  <c r="DT291" i="1"/>
  <c r="DU291" i="1" s="1"/>
  <c r="DV291" i="1" s="1"/>
  <c r="DT290" i="1"/>
  <c r="DU290" i="1" s="1"/>
  <c r="DV290" i="1" s="1"/>
  <c r="DE98" i="16"/>
  <c r="BQ76" i="11"/>
  <c r="BQ82" i="11"/>
  <c r="BQ22" i="11"/>
  <c r="BV82" i="11"/>
  <c r="BR90" i="11"/>
  <c r="BP90" i="11"/>
  <c r="BP83" i="11"/>
  <c r="BU83" i="11"/>
  <c r="DE77" i="16"/>
  <c r="DE76" i="16"/>
  <c r="DE75" i="16"/>
  <c r="DE80" i="16"/>
  <c r="DE79" i="16"/>
  <c r="DE107" i="16"/>
  <c r="DE78" i="16"/>
  <c r="DE81" i="16"/>
  <c r="CT77" i="12"/>
  <c r="X48" i="13"/>
  <c r="X49" i="13" s="1"/>
  <c r="T48" i="13"/>
  <c r="T49" i="13" s="1"/>
  <c r="U48" i="13" s="1"/>
  <c r="U49" i="13" s="1"/>
  <c r="V48" i="13" s="1"/>
  <c r="V49" i="13" s="1"/>
  <c r="W48" i="13" s="1"/>
  <c r="W49" i="13" s="1"/>
  <c r="CU32" i="12"/>
  <c r="CU31" i="12"/>
  <c r="CP11" i="11"/>
  <c r="CM14" i="12"/>
  <c r="CF14" i="11"/>
  <c r="CF67" i="11"/>
  <c r="CA83" i="11"/>
  <c r="CH20" i="11"/>
  <c r="CK22" i="12"/>
  <c r="CQ74" i="12"/>
  <c r="CQ75" i="12"/>
  <c r="CQ76" i="12" s="1"/>
  <c r="CP23" i="13"/>
  <c r="CK36" i="12"/>
  <c r="DE72" i="11" l="1"/>
  <c r="CK62" i="11"/>
  <c r="CK64" i="11" s="1"/>
  <c r="CU59" i="12"/>
  <c r="CU60" i="12" s="1"/>
  <c r="CU65" i="12"/>
  <c r="CP67" i="11"/>
  <c r="CP14" i="11"/>
  <c r="BQ83" i="11"/>
  <c r="BV83" i="11"/>
  <c r="AC48" i="13"/>
  <c r="AC49" i="13" s="1"/>
  <c r="Y48" i="13"/>
  <c r="Y49" i="13" s="1"/>
  <c r="Z48" i="13" s="1"/>
  <c r="Z49" i="13" s="1"/>
  <c r="AA48" i="13" s="1"/>
  <c r="AA49" i="13" s="1"/>
  <c r="AB48" i="13" s="1"/>
  <c r="AB49" i="13" s="1"/>
  <c r="CQ77" i="12"/>
  <c r="CU16" i="12"/>
  <c r="CU27" i="12"/>
  <c r="CU26" i="12"/>
  <c r="CP51" i="13"/>
  <c r="CP54" i="13" s="1"/>
  <c r="CM22" i="12"/>
  <c r="CF62" i="11"/>
  <c r="CF18" i="11"/>
  <c r="CI20" i="11"/>
  <c r="CH89" i="11"/>
  <c r="CH76" i="11"/>
  <c r="CH82" i="11"/>
  <c r="CH22" i="11"/>
  <c r="CM18" i="11"/>
  <c r="CM75" i="11" s="1"/>
  <c r="CK19" i="11"/>
  <c r="CP75" i="12"/>
  <c r="CP76" i="12" s="1"/>
  <c r="CP74" i="12"/>
  <c r="CK81" i="11" l="1"/>
  <c r="CK73" i="11"/>
  <c r="CP72" i="16"/>
  <c r="CP90" i="16" s="1"/>
  <c r="DU19" i="12"/>
  <c r="CP47" i="13"/>
  <c r="CP56" i="13"/>
  <c r="CP57" i="13"/>
  <c r="CU66" i="12"/>
  <c r="CV74" i="12"/>
  <c r="CV77" i="12" s="1"/>
  <c r="CZ74" i="12"/>
  <c r="CZ77" i="12" s="1"/>
  <c r="AD48" i="13"/>
  <c r="AD49" i="13" s="1"/>
  <c r="AE48" i="13" s="1"/>
  <c r="AE49" i="13" s="1"/>
  <c r="AF48" i="13" s="1"/>
  <c r="AF49" i="13" s="1"/>
  <c r="AG48" i="13" s="1"/>
  <c r="AG49" i="13" s="1"/>
  <c r="AH48" i="13"/>
  <c r="AH49" i="13" s="1"/>
  <c r="CU74" i="12"/>
  <c r="CU18" i="12"/>
  <c r="CU30" i="12"/>
  <c r="CU75" i="12"/>
  <c r="CU76" i="12" s="1"/>
  <c r="CP20" i="13"/>
  <c r="CO81" i="12"/>
  <c r="CF64" i="11"/>
  <c r="CF81" i="11"/>
  <c r="CF73" i="11"/>
  <c r="CF75" i="11"/>
  <c r="CF20" i="11"/>
  <c r="CK20" i="11"/>
  <c r="CK75" i="11"/>
  <c r="CH90" i="11"/>
  <c r="CH83" i="11"/>
  <c r="CJ76" i="11"/>
  <c r="CJ82" i="11"/>
  <c r="CJ89" i="11"/>
  <c r="CI89" i="11"/>
  <c r="CI82" i="11"/>
  <c r="CI76" i="11"/>
  <c r="CI22" i="11"/>
  <c r="CK72" i="11"/>
  <c r="CP81" i="12"/>
  <c r="CP77" i="12"/>
  <c r="CU81" i="11" l="1"/>
  <c r="CP48" i="13"/>
  <c r="DV19" i="12"/>
  <c r="AI48" i="13"/>
  <c r="AI49" i="13" s="1"/>
  <c r="AJ48" i="13" s="1"/>
  <c r="AJ49" i="13" s="1"/>
  <c r="AK48" i="13" s="1"/>
  <c r="AK49" i="13" s="1"/>
  <c r="AL48" i="13" s="1"/>
  <c r="AL49" i="13" s="1"/>
  <c r="AM48" i="13"/>
  <c r="AM49" i="13" s="1"/>
  <c r="CO78" i="12"/>
  <c r="CU77" i="12"/>
  <c r="CU20" i="12"/>
  <c r="CP81" i="11"/>
  <c r="CP64" i="11"/>
  <c r="CP73" i="11"/>
  <c r="CO83" i="12"/>
  <c r="CK82" i="11"/>
  <c r="CF22" i="11"/>
  <c r="CF76" i="11"/>
  <c r="CF82" i="11"/>
  <c r="CF72" i="11"/>
  <c r="CL76" i="11"/>
  <c r="CL55" i="13"/>
  <c r="CL82" i="11"/>
  <c r="CL28" i="11"/>
  <c r="CL30" i="11" s="1"/>
  <c r="CL32" i="11"/>
  <c r="CL89" i="11"/>
  <c r="CK22" i="11"/>
  <c r="CK76" i="11"/>
  <c r="CM20" i="11"/>
  <c r="CM22" i="11" s="1"/>
  <c r="CJ83" i="11"/>
  <c r="CJ90" i="11"/>
  <c r="CI90" i="11"/>
  <c r="CI83" i="11"/>
  <c r="CR82" i="11" l="1"/>
  <c r="CM32" i="11"/>
  <c r="CL35" i="11"/>
  <c r="CQ83" i="11"/>
  <c r="CL24" i="11"/>
  <c r="CL26" i="11" s="1"/>
  <c r="CL90" i="11"/>
  <c r="DJ12" i="12"/>
  <c r="DM12" i="12" s="1"/>
  <c r="DN12" i="12" s="1"/>
  <c r="DO12" i="12" s="1"/>
  <c r="DP12" i="12" s="1"/>
  <c r="DQ12" i="12" s="1"/>
  <c r="DR12" i="12" s="1"/>
  <c r="DS12" i="12" s="1"/>
  <c r="DT12" i="12" s="1"/>
  <c r="AN48" i="13"/>
  <c r="AN49" i="13" s="1"/>
  <c r="AO48" i="13" s="1"/>
  <c r="AO49" i="13" s="1"/>
  <c r="AP48" i="13" s="1"/>
  <c r="AP49" i="13" s="1"/>
  <c r="AQ48" i="13" s="1"/>
  <c r="AQ49" i="13" s="1"/>
  <c r="AR48" i="13"/>
  <c r="AR49" i="13" s="1"/>
  <c r="CP83" i="12"/>
  <c r="CP78" i="12"/>
  <c r="CQ56" i="12"/>
  <c r="CP72" i="11"/>
  <c r="CK83" i="11"/>
  <c r="CF83" i="11"/>
  <c r="CL55" i="11"/>
  <c r="CL83" i="11"/>
  <c r="CM28" i="11"/>
  <c r="CM30" i="11" s="1"/>
  <c r="CM55" i="13"/>
  <c r="CM76" i="11"/>
  <c r="CM89" i="11"/>
  <c r="CM82" i="11"/>
  <c r="CM24" i="11"/>
  <c r="CM26" i="11" s="1"/>
  <c r="CM38" i="11" l="1"/>
  <c r="CM46" i="11" s="1"/>
  <c r="CL38" i="11"/>
  <c r="CL46" i="11" s="1"/>
  <c r="CL48" i="11"/>
  <c r="CM35" i="11"/>
  <c r="CR83" i="11"/>
  <c r="DU12" i="12"/>
  <c r="DV12" i="12" s="1"/>
  <c r="AW48" i="13"/>
  <c r="AW49" i="13" s="1"/>
  <c r="AS48" i="13"/>
  <c r="AS49" i="13" s="1"/>
  <c r="AT48" i="13" s="1"/>
  <c r="AT49" i="13" s="1"/>
  <c r="AU48" i="13" s="1"/>
  <c r="AU49" i="13" s="1"/>
  <c r="AV48" i="13" s="1"/>
  <c r="AV49" i="13" s="1"/>
  <c r="CQ60" i="12"/>
  <c r="CQ83" i="12" s="1"/>
  <c r="CQ57" i="12"/>
  <c r="CQ66" i="12"/>
  <c r="CQ81" i="12"/>
  <c r="CQ71" i="12"/>
  <c r="CK40" i="12"/>
  <c r="CK42" i="12"/>
  <c r="CK44" i="12"/>
  <c r="CM90" i="11"/>
  <c r="CM55" i="11"/>
  <c r="CM83" i="11"/>
  <c r="AX48" i="13" l="1"/>
  <c r="AX49" i="13" s="1"/>
  <c r="AY48" i="13" s="1"/>
  <c r="AY49" i="13" s="1"/>
  <c r="AZ48" i="13" s="1"/>
  <c r="AZ49" i="13" s="1"/>
  <c r="BA48" i="13" s="1"/>
  <c r="BA49" i="13" s="1"/>
  <c r="CR83" i="12"/>
  <c r="CQ82" i="12"/>
  <c r="CR71" i="12"/>
  <c r="CR81" i="12"/>
  <c r="CQ78" i="12"/>
  <c r="CM44" i="12"/>
  <c r="CK45" i="12"/>
  <c r="CS83" i="12" l="1"/>
  <c r="CS81" i="12"/>
  <c r="CS71" i="12"/>
  <c r="CU14" i="12"/>
  <c r="CR82" i="12"/>
  <c r="CM45" i="12"/>
  <c r="DJ29" i="12" l="1"/>
  <c r="DF29" i="11"/>
  <c r="DF36" i="13"/>
  <c r="CU81" i="12"/>
  <c r="CU71" i="12"/>
  <c r="CS82" i="12"/>
  <c r="CT83" i="12"/>
  <c r="CT71" i="12"/>
  <c r="CT81" i="12"/>
  <c r="CS78" i="12"/>
  <c r="CU83" i="12" l="1"/>
  <c r="CQ86" i="12"/>
  <c r="CQ55" i="13"/>
  <c r="CT78" i="12"/>
  <c r="CU22" i="12"/>
  <c r="CV78" i="12" l="1"/>
  <c r="CZ78" i="12"/>
  <c r="DH59" i="12"/>
  <c r="DI51" i="11"/>
  <c r="DJ8" i="12"/>
  <c r="DE217" i="1"/>
  <c r="DE216" i="1" s="1"/>
  <c r="CV81" i="12"/>
  <c r="CV83" i="12"/>
  <c r="CS86" i="12"/>
  <c r="CR55" i="13"/>
  <c r="CR86" i="12"/>
  <c r="CU78" i="12"/>
  <c r="DF216" i="1" l="1"/>
  <c r="DJ216" i="1"/>
  <c r="DJ32" i="12"/>
  <c r="DM29" i="12"/>
  <c r="DM24" i="13" s="1"/>
  <c r="DJ51" i="11"/>
  <c r="DI59" i="12"/>
  <c r="DF65" i="12"/>
  <c r="DI29" i="11"/>
  <c r="DJ217" i="1"/>
  <c r="CW81" i="12"/>
  <c r="CV82" i="12"/>
  <c r="CW83" i="12"/>
  <c r="CS55" i="13"/>
  <c r="DG216" i="1" l="1"/>
  <c r="DF215" i="1"/>
  <c r="DO216" i="1"/>
  <c r="DK216" i="1"/>
  <c r="DJ215" i="1"/>
  <c r="DN29" i="12"/>
  <c r="DO29" i="12" s="1"/>
  <c r="DJ29" i="11"/>
  <c r="CX83" i="12"/>
  <c r="CW82" i="12"/>
  <c r="CX81" i="12"/>
  <c r="DP29" i="12" l="1"/>
  <c r="DP24" i="13" s="1"/>
  <c r="DH216" i="1"/>
  <c r="DG215" i="1"/>
  <c r="DL216" i="1"/>
  <c r="DK215" i="1"/>
  <c r="DT216" i="1"/>
  <c r="DO215" i="1"/>
  <c r="DN24" i="13"/>
  <c r="DO24" i="13" s="1"/>
  <c r="DL59" i="12"/>
  <c r="DJ59" i="12"/>
  <c r="DM8" i="12"/>
  <c r="DM36" i="13"/>
  <c r="DO59" i="12"/>
  <c r="DH65" i="12"/>
  <c r="CX82" i="12"/>
  <c r="CY81" i="12"/>
  <c r="CV55" i="13"/>
  <c r="CV86" i="12"/>
  <c r="CY83" i="12"/>
  <c r="CN82" i="11"/>
  <c r="CN32" i="11"/>
  <c r="CN55" i="13"/>
  <c r="CN89" i="11"/>
  <c r="CN76" i="11"/>
  <c r="CN28" i="11"/>
  <c r="CN30" i="11" s="1"/>
  <c r="DQ29" i="12" l="1"/>
  <c r="DQ24" i="13" s="1"/>
  <c r="DM216" i="1"/>
  <c r="DL215" i="1"/>
  <c r="DM32" i="12"/>
  <c r="DH215" i="1"/>
  <c r="DI216" i="1"/>
  <c r="DU216" i="1"/>
  <c r="DV216" i="1" s="1"/>
  <c r="DV215" i="1" s="1"/>
  <c r="DT215" i="1"/>
  <c r="DN8" i="12"/>
  <c r="DN36" i="13"/>
  <c r="DM59" i="12"/>
  <c r="CN35" i="11"/>
  <c r="CS83" i="11"/>
  <c r="DI65" i="12"/>
  <c r="DA81" i="12"/>
  <c r="DA83" i="12"/>
  <c r="CZ82" i="12"/>
  <c r="CY82" i="12"/>
  <c r="CZ81" i="12"/>
  <c r="CN55" i="11"/>
  <c r="CN83" i="11"/>
  <c r="CN90" i="11"/>
  <c r="DR29" i="12" l="1"/>
  <c r="DR24" i="13" s="1"/>
  <c r="DU215" i="1"/>
  <c r="DN32" i="12"/>
  <c r="DO8" i="12"/>
  <c r="DP8" i="12" s="1"/>
  <c r="DQ8" i="12" s="1"/>
  <c r="DN216" i="1"/>
  <c r="DM215" i="1"/>
  <c r="DI215" i="1"/>
  <c r="DU36" i="13"/>
  <c r="DL65" i="12"/>
  <c r="DN59" i="12"/>
  <c r="DU59" i="12"/>
  <c r="DJ65" i="12"/>
  <c r="DB83" i="12"/>
  <c r="DB81" i="12"/>
  <c r="DA82" i="12"/>
  <c r="CZ83" i="12"/>
  <c r="CW86" i="12"/>
  <c r="CW55" i="13"/>
  <c r="CQ48" i="13"/>
  <c r="CQ49" i="13" s="1"/>
  <c r="CR48" i="13" s="1"/>
  <c r="CR49" i="13" s="1"/>
  <c r="CS48" i="13" s="1"/>
  <c r="CS49" i="13" s="1"/>
  <c r="CT48" i="13" s="1"/>
  <c r="CT49" i="13" s="1"/>
  <c r="CU48" i="13"/>
  <c r="CU49" i="13" s="1"/>
  <c r="CV48" i="13" s="1"/>
  <c r="CV49" i="13" s="1"/>
  <c r="CW48" i="13" s="1"/>
  <c r="CW49" i="13" s="1"/>
  <c r="CX48" i="13" s="1"/>
  <c r="CX49" i="13" s="1"/>
  <c r="CY48" i="13" s="1"/>
  <c r="CY49" i="13" s="1"/>
  <c r="CP19" i="13"/>
  <c r="DR8" i="12" l="1"/>
  <c r="DS29" i="12"/>
  <c r="DT29" i="12" s="1"/>
  <c r="DO32" i="12"/>
  <c r="DN215" i="1"/>
  <c r="DM65" i="12"/>
  <c r="DO65" i="12"/>
  <c r="DB82" i="12"/>
  <c r="DC83" i="12"/>
  <c r="DC81" i="12"/>
  <c r="CZ48" i="13"/>
  <c r="CZ49" i="13" s="1"/>
  <c r="CX55" i="13"/>
  <c r="CX86" i="12"/>
  <c r="DS24" i="13" l="1"/>
  <c r="DT24" i="13" s="1"/>
  <c r="DP32" i="12"/>
  <c r="DU29" i="12"/>
  <c r="DV29" i="12" s="1"/>
  <c r="DV24" i="13" s="1"/>
  <c r="DU24" i="13"/>
  <c r="DS8" i="12"/>
  <c r="DN65" i="12"/>
  <c r="DC82" i="12"/>
  <c r="DD83" i="12"/>
  <c r="DE48" i="13"/>
  <c r="DE49" i="13" s="1"/>
  <c r="DJ48" i="13" s="1"/>
  <c r="DJ49" i="13" s="1"/>
  <c r="DK48" i="13" s="1"/>
  <c r="DK49" i="13" s="1"/>
  <c r="DL48" i="13" s="1"/>
  <c r="DL49" i="13" s="1"/>
  <c r="DA48" i="13"/>
  <c r="DA49" i="13" s="1"/>
  <c r="DB48" i="13" s="1"/>
  <c r="DB49" i="13" s="1"/>
  <c r="DC48" i="13" s="1"/>
  <c r="DC49" i="13" s="1"/>
  <c r="DD48" i="13" s="1"/>
  <c r="DD49" i="13" s="1"/>
  <c r="DD81" i="12"/>
  <c r="CY55" i="13"/>
  <c r="CY86" i="12"/>
  <c r="DT8" i="12" l="1"/>
  <c r="DU8" i="12" s="1"/>
  <c r="DV8" i="12" s="1"/>
  <c r="DQ32" i="12"/>
  <c r="DJ20" i="12"/>
  <c r="DU65" i="12"/>
  <c r="DF48" i="13"/>
  <c r="DD82" i="12"/>
  <c r="DE83" i="12"/>
  <c r="DE81" i="12"/>
  <c r="DA55" i="13"/>
  <c r="DA86" i="12"/>
  <c r="CZ86" i="12"/>
  <c r="CZ55" i="13"/>
  <c r="DR32" i="12" l="1"/>
  <c r="DB55" i="13"/>
  <c r="DB86" i="12"/>
  <c r="DE82" i="12"/>
  <c r="CQ58" i="12"/>
  <c r="DS32" i="12" l="1"/>
  <c r="DM20" i="12"/>
  <c r="DC86" i="12"/>
  <c r="DC55" i="13"/>
  <c r="CQ61" i="12"/>
  <c r="CQ62" i="12"/>
  <c r="CQ64" i="12"/>
  <c r="DT32" i="12" l="1"/>
  <c r="DN20" i="12"/>
  <c r="DD55" i="13"/>
  <c r="DD86" i="12"/>
  <c r="DE55" i="13"/>
  <c r="DE86" i="12"/>
  <c r="CU40" i="12"/>
  <c r="CQ67" i="12"/>
  <c r="CQ68" i="12"/>
  <c r="CQ89" i="12"/>
  <c r="CQ88" i="12"/>
  <c r="CP87" i="12"/>
  <c r="DU32" i="12" l="1"/>
  <c r="DO20" i="12"/>
  <c r="CU44" i="12"/>
  <c r="CU42" i="12"/>
  <c r="CU45" i="12"/>
  <c r="CR89" i="12"/>
  <c r="CR88" i="12"/>
  <c r="DP20" i="12" l="1"/>
  <c r="DV32" i="12"/>
  <c r="CU58" i="12"/>
  <c r="CS88" i="12"/>
  <c r="CS89" i="12"/>
  <c r="DQ20" i="12" l="1"/>
  <c r="CU64" i="12"/>
  <c r="CU61" i="12"/>
  <c r="CU62" i="12"/>
  <c r="DR20" i="12" l="1"/>
  <c r="CU67" i="12"/>
  <c r="CU68" i="12"/>
  <c r="CW89" i="12"/>
  <c r="CW88" i="12"/>
  <c r="CV88" i="12"/>
  <c r="CV89" i="12"/>
  <c r="CU87" i="12"/>
  <c r="DS20" i="12" l="1"/>
  <c r="CX88" i="12"/>
  <c r="CX89" i="12"/>
  <c r="DT20" i="12" l="1"/>
  <c r="DA88" i="12"/>
  <c r="DA89" i="12"/>
  <c r="CY88" i="12"/>
  <c r="CY89" i="12"/>
  <c r="CZ88" i="12"/>
  <c r="CZ87" i="12"/>
  <c r="CZ89" i="12"/>
  <c r="DU20" i="12" l="1"/>
  <c r="DB88" i="12"/>
  <c r="DB89" i="12"/>
  <c r="DV20" i="12" l="1"/>
  <c r="DC88" i="12"/>
  <c r="DC89" i="12"/>
  <c r="DD89" i="12" l="1"/>
  <c r="DD88" i="12"/>
  <c r="DE89" i="12" l="1"/>
  <c r="DE88" i="12"/>
  <c r="DE87" i="12"/>
  <c r="DO103" i="16" l="1"/>
  <c r="DO104" i="16"/>
  <c r="BQ100" i="39" l="1"/>
  <c r="BX100" i="39"/>
  <c r="BT100" i="39"/>
  <c r="BX93" i="39"/>
  <c r="BX90" i="39"/>
  <c r="CC102" i="39"/>
  <c r="BX102" i="39"/>
  <c r="BW100" i="39"/>
  <c r="CI101" i="39"/>
  <c r="CD94" i="39"/>
  <c r="BS100" i="39"/>
  <c r="BY100" i="39"/>
  <c r="BV100" i="39"/>
  <c r="CA100" i="39"/>
  <c r="BS97" i="39"/>
  <c r="BS102" i="39"/>
  <c r="CE93" i="39"/>
  <c r="CE102" i="39"/>
  <c r="CJ102" i="39"/>
  <c r="CE90" i="39"/>
  <c r="BW90" i="39"/>
  <c r="BW102" i="39"/>
  <c r="BW93" i="39"/>
  <c r="BV102" i="39"/>
  <c r="BY93" i="39"/>
  <c r="BY90" i="39"/>
  <c r="BY102" i="39"/>
  <c r="CE94" i="39"/>
  <c r="CJ101" i="39"/>
  <c r="BY94" i="39"/>
  <c r="BU102" i="39"/>
  <c r="BV97" i="39"/>
  <c r="CA97" i="39"/>
  <c r="BR102" i="39"/>
  <c r="CC101" i="39"/>
  <c r="BX94" i="39"/>
  <c r="BW97" i="39"/>
  <c r="CD102" i="39"/>
  <c r="CI102" i="39"/>
  <c r="CD90" i="39"/>
  <c r="CD101" i="39"/>
  <c r="CD93" i="39"/>
  <c r="CG101" i="39"/>
  <c r="CB93" i="39"/>
  <c r="CG102" i="39"/>
  <c r="CB102" i="39"/>
  <c r="CB90" i="39"/>
  <c r="BZ93" i="39"/>
  <c r="BZ90" i="39"/>
  <c r="BZ102" i="39"/>
  <c r="BT97" i="39"/>
  <c r="BT102" i="39"/>
  <c r="CF102" i="39"/>
  <c r="CF93" i="39"/>
  <c r="CF90" i="39"/>
  <c r="CB94" i="39"/>
  <c r="CF94" i="39"/>
  <c r="CK102" i="39"/>
  <c r="CA90" i="39"/>
  <c r="CA93" i="39"/>
  <c r="BW101" i="39"/>
  <c r="CA102" i="39"/>
  <c r="BU100" i="39"/>
  <c r="BU97" i="39"/>
  <c r="BZ100" i="39"/>
  <c r="BQ97" i="39"/>
  <c r="BQ102" i="39"/>
  <c r="BR97" i="39"/>
  <c r="BY101" i="39" l="1"/>
  <c r="BZ101" i="39"/>
  <c r="BY97" i="39"/>
  <c r="CA94" i="39"/>
  <c r="BQ101" i="39"/>
  <c r="BZ94" i="39"/>
  <c r="CK101" i="39"/>
  <c r="BX97" i="39"/>
  <c r="BW94" i="39"/>
  <c r="BT101" i="39"/>
  <c r="CF101" i="39"/>
  <c r="BR100" i="39"/>
  <c r="CB101" i="39"/>
  <c r="CE101" i="39"/>
  <c r="BZ97" i="39"/>
  <c r="BU101" i="39"/>
  <c r="BS101" i="39" l="1"/>
  <c r="BX101" i="39"/>
  <c r="BR101" i="39"/>
  <c r="BV101" i="39" l="1"/>
  <c r="CA101" i="39"/>
  <c r="CT21" i="1" l="1"/>
  <c r="CT16" i="11" s="1"/>
  <c r="CU23" i="1"/>
  <c r="CT20" i="1"/>
  <c r="CT15" i="11" s="1"/>
  <c r="CT22" i="1"/>
  <c r="CT17" i="11" s="1"/>
  <c r="CT71" i="11" l="1"/>
  <c r="CU16" i="11"/>
  <c r="CT70" i="11"/>
  <c r="CU17" i="11"/>
  <c r="CU71" i="11" s="1"/>
  <c r="CU15" i="11"/>
  <c r="CT18" i="11"/>
  <c r="CT23" i="1"/>
  <c r="CU70" i="11" l="1"/>
  <c r="CU82" i="12"/>
  <c r="CU18" i="11"/>
  <c r="CU57" i="11"/>
  <c r="CT82" i="12"/>
  <c r="CU25" i="1" l="1"/>
  <c r="CU27" i="1" s="1"/>
  <c r="CU29" i="1" s="1"/>
  <c r="CT24" i="1"/>
  <c r="CT25" i="1" l="1"/>
  <c r="CT27" i="1" s="1"/>
  <c r="CT29" i="1" s="1"/>
  <c r="CT31" i="1" s="1"/>
  <c r="CT39" i="1" s="1"/>
  <c r="CT41" i="1" s="1"/>
  <c r="CT19" i="11"/>
  <c r="CU31" i="1"/>
  <c r="CU33" i="1" s="1"/>
  <c r="CT33" i="1" s="1"/>
  <c r="CU40" i="1"/>
  <c r="CU36" i="1"/>
  <c r="CT35" i="1" l="1"/>
  <c r="CT37" i="1" s="1"/>
  <c r="CU19" i="11"/>
  <c r="CT75" i="11"/>
  <c r="CT20" i="11"/>
  <c r="CV89" i="11" s="1"/>
  <c r="CU35" i="1"/>
  <c r="CU37" i="1" s="1"/>
  <c r="CU39" i="1"/>
  <c r="CU41" i="1" s="1"/>
  <c r="CT86" i="12" l="1"/>
  <c r="CT22" i="11"/>
  <c r="CT24" i="11" s="1"/>
  <c r="CY82" i="11"/>
  <c r="CT28" i="11"/>
  <c r="CT30" i="11" s="1"/>
  <c r="CT89" i="11"/>
  <c r="CT76" i="11"/>
  <c r="CT32" i="11"/>
  <c r="CV90" i="11" s="1"/>
  <c r="CT88" i="12"/>
  <c r="CT89" i="12"/>
  <c r="CU75" i="11"/>
  <c r="CU20" i="11"/>
  <c r="CU88" i="12" s="1"/>
  <c r="CT55" i="13"/>
  <c r="CU58" i="11" l="1"/>
  <c r="CY83" i="11"/>
  <c r="CT90" i="11"/>
  <c r="CT55" i="11"/>
  <c r="CT35" i="11"/>
  <c r="CU76" i="11"/>
  <c r="CZ82" i="11"/>
  <c r="CU32" i="11"/>
  <c r="CU22" i="11"/>
  <c r="CU24" i="11" s="1"/>
  <c r="CU26" i="11" s="1"/>
  <c r="CU28" i="11"/>
  <c r="CU30" i="11" s="1"/>
  <c r="CU89" i="12"/>
  <c r="CU55" i="13"/>
  <c r="CU86" i="12"/>
  <c r="CT26" i="11" l="1"/>
  <c r="CU38" i="11"/>
  <c r="CZ83" i="11"/>
  <c r="CU35" i="11"/>
  <c r="CU55" i="11"/>
  <c r="CO22" i="1"/>
  <c r="CO17" i="11" s="1"/>
  <c r="CO71" i="11" s="1"/>
  <c r="CP23" i="1"/>
  <c r="CO20" i="1"/>
  <c r="CO15" i="11" s="1"/>
  <c r="CO21" i="1"/>
  <c r="CO16" i="11" s="1"/>
  <c r="CO82" i="12" l="1"/>
  <c r="CP16" i="11"/>
  <c r="CO70" i="11"/>
  <c r="CT38" i="11"/>
  <c r="CT47" i="11" s="1"/>
  <c r="CU47" i="11"/>
  <c r="CP57" i="11"/>
  <c r="CO23" i="1"/>
  <c r="CP15" i="11"/>
  <c r="CO18" i="11"/>
  <c r="CP17" i="11"/>
  <c r="CU48" i="11" l="1"/>
  <c r="CT48" i="11"/>
  <c r="CP70" i="11"/>
  <c r="CP71" i="11"/>
  <c r="CP18" i="11"/>
  <c r="CP82" i="12"/>
  <c r="CP25" i="1" l="1"/>
  <c r="CP27" i="1" s="1"/>
  <c r="CP29" i="1" s="1"/>
  <c r="CO24" i="1"/>
  <c r="CO25" i="1" s="1"/>
  <c r="CO27" i="1" s="1"/>
  <c r="CO29" i="1" s="1"/>
  <c r="CO31" i="1" s="1"/>
  <c r="CO19" i="11" l="1"/>
  <c r="CO35" i="1"/>
  <c r="CO37" i="1" s="1"/>
  <c r="CO39" i="1"/>
  <c r="CO41" i="1" s="1"/>
  <c r="CP40" i="1"/>
  <c r="CP31" i="1"/>
  <c r="CP33" i="1" s="1"/>
  <c r="CO33" i="1" s="1"/>
  <c r="CP39" i="1" l="1"/>
  <c r="CP41" i="1" s="1"/>
  <c r="CP35" i="1"/>
  <c r="CP37" i="1" s="1"/>
  <c r="CO75" i="11"/>
  <c r="CO20" i="11"/>
  <c r="CP19" i="11"/>
  <c r="CO22" i="11" l="1"/>
  <c r="CO24" i="11" s="1"/>
  <c r="CQ89" i="11"/>
  <c r="CT82" i="11"/>
  <c r="CP75" i="11"/>
  <c r="CP20" i="11"/>
  <c r="CO55" i="13"/>
  <c r="CO89" i="11"/>
  <c r="CO32" i="11"/>
  <c r="CQ90" i="11" s="1"/>
  <c r="CO86" i="12"/>
  <c r="CO89" i="12"/>
  <c r="CO76" i="11"/>
  <c r="CO28" i="11"/>
  <c r="CO30" i="11" s="1"/>
  <c r="CO88" i="12"/>
  <c r="CO82" i="11"/>
  <c r="CU82" i="11" l="1"/>
  <c r="CP32" i="11"/>
  <c r="CP35" i="11" s="1"/>
  <c r="CP28" i="11"/>
  <c r="CP30" i="11" s="1"/>
  <c r="CP58" i="11"/>
  <c r="CO35" i="11"/>
  <c r="CT83" i="11"/>
  <c r="CP89" i="12"/>
  <c r="CP55" i="13"/>
  <c r="CP86" i="12"/>
  <c r="CP76" i="11"/>
  <c r="CP82" i="11"/>
  <c r="CP88" i="12"/>
  <c r="CP22" i="11"/>
  <c r="CO83" i="11"/>
  <c r="CO90" i="11"/>
  <c r="CO55" i="11"/>
  <c r="CU83" i="11" l="1"/>
  <c r="CP24" i="11"/>
  <c r="CP26" i="11" s="1"/>
  <c r="CP55" i="11"/>
  <c r="CP83" i="11"/>
  <c r="CO26" i="11" l="1"/>
  <c r="CO38" i="11" l="1"/>
  <c r="DK96" i="16"/>
  <c r="DF96" i="16"/>
  <c r="CO46" i="11" l="1"/>
  <c r="CP38" i="11"/>
  <c r="CP46" i="11" s="1"/>
  <c r="DL96" i="16"/>
  <c r="DG96" i="16"/>
  <c r="DM96" i="16" l="1"/>
  <c r="DH96" i="16"/>
  <c r="DN96" i="16" l="1"/>
  <c r="DI96" i="16"/>
  <c r="DJ96" i="16"/>
  <c r="DO96" i="16" l="1"/>
  <c r="DJ27" i="12" l="1"/>
  <c r="DM27" i="12" l="1"/>
  <c r="DM23" i="13" l="1"/>
  <c r="DN27" i="12"/>
  <c r="DO27" i="12" l="1"/>
  <c r="DN23" i="13"/>
  <c r="DP27" i="12" l="1"/>
  <c r="DP23" i="13" s="1"/>
  <c r="DO23" i="13"/>
  <c r="DQ27" i="12" l="1"/>
  <c r="DR27" i="12" l="1"/>
  <c r="DR23" i="13" s="1"/>
  <c r="DR18" i="13" s="1"/>
  <c r="DQ30" i="12"/>
  <c r="DQ23" i="13"/>
  <c r="DG53" i="16"/>
  <c r="DF95" i="16"/>
  <c r="DK95" i="16"/>
  <c r="DQ36" i="12" l="1"/>
  <c r="DS27" i="12"/>
  <c r="DS23" i="13"/>
  <c r="DS18" i="13" s="1"/>
  <c r="DR30" i="12"/>
  <c r="DO95" i="16"/>
  <c r="DJ95" i="16"/>
  <c r="DT27" i="12" l="1"/>
  <c r="DS30" i="12"/>
  <c r="DR36" i="12"/>
  <c r="DT23" i="13"/>
  <c r="DF40" i="16"/>
  <c r="DS36" i="12" l="1"/>
  <c r="DT30" i="12"/>
  <c r="DT36" i="12" s="1"/>
  <c r="DU27" i="12"/>
  <c r="DU23" i="13"/>
  <c r="DK74" i="39"/>
  <c r="DF42" i="16"/>
  <c r="DF7" i="39"/>
  <c r="DK40" i="16"/>
  <c r="DF46" i="16"/>
  <c r="DF36" i="16"/>
  <c r="DF45" i="16"/>
  <c r="DO8" i="16"/>
  <c r="DF88" i="16"/>
  <c r="DV27" i="12" l="1"/>
  <c r="DV23" i="13"/>
  <c r="DK100" i="39"/>
  <c r="DK81" i="39"/>
  <c r="DK90" i="39" s="1"/>
  <c r="DO11" i="16"/>
  <c r="DO74" i="39"/>
  <c r="DK58" i="16"/>
  <c r="DF48" i="16"/>
  <c r="DK46" i="16"/>
  <c r="DK7" i="39"/>
  <c r="DK45" i="16"/>
  <c r="DK42" i="16"/>
  <c r="DO64" i="16"/>
  <c r="DK67" i="16"/>
  <c r="DL111" i="16"/>
  <c r="DN58" i="16"/>
  <c r="DL58" i="16"/>
  <c r="DM58" i="16"/>
  <c r="DF105" i="16"/>
  <c r="DF97" i="16"/>
  <c r="DF71" i="16"/>
  <c r="DF62" i="11" s="1"/>
  <c r="DF88" i="11" s="1"/>
  <c r="DL114" i="16" l="1"/>
  <c r="DK71" i="16"/>
  <c r="DO85" i="16"/>
  <c r="DK93" i="39"/>
  <c r="DK94" i="39" s="1"/>
  <c r="DO81" i="39"/>
  <c r="DO93" i="39" s="1"/>
  <c r="DK48" i="16"/>
  <c r="DK60" i="16"/>
  <c r="DO7" i="39"/>
  <c r="DF26" i="39"/>
  <c r="DF38" i="39"/>
  <c r="DF37" i="39"/>
  <c r="DF142" i="39"/>
  <c r="DF36" i="39"/>
  <c r="DF35" i="39"/>
  <c r="DF30" i="39"/>
  <c r="DF39" i="39"/>
  <c r="DF79" i="16"/>
  <c r="DF89" i="16"/>
  <c r="DF20" i="39" s="1"/>
  <c r="DF9" i="39" s="1"/>
  <c r="DK105" i="16"/>
  <c r="DK88" i="16"/>
  <c r="DO46" i="16"/>
  <c r="DN60" i="16"/>
  <c r="DM60" i="16"/>
  <c r="DL60" i="16"/>
  <c r="DO45" i="16"/>
  <c r="DO56" i="13"/>
  <c r="DK97" i="16"/>
  <c r="DO17" i="11"/>
  <c r="DF98" i="16"/>
  <c r="DF81" i="16"/>
  <c r="DF107" i="16"/>
  <c r="DF80" i="16"/>
  <c r="DF78" i="16"/>
  <c r="DF116" i="16"/>
  <c r="DF77" i="16"/>
  <c r="DT15" i="39" l="1"/>
  <c r="DT16" i="39"/>
  <c r="DO90" i="39"/>
  <c r="DO94" i="39" s="1"/>
  <c r="DF11" i="39"/>
  <c r="DF8" i="39"/>
  <c r="DF143" i="39"/>
  <c r="DO13" i="11"/>
  <c r="DO12" i="11"/>
  <c r="DK26" i="39"/>
  <c r="DK38" i="39"/>
  <c r="DK37" i="39"/>
  <c r="DL30" i="39"/>
  <c r="DK139" i="39"/>
  <c r="DK142" i="39" s="1"/>
  <c r="DK35" i="39"/>
  <c r="DK36" i="39"/>
  <c r="DK39" i="39"/>
  <c r="DF148" i="39"/>
  <c r="DO48" i="16"/>
  <c r="DF27" i="39"/>
  <c r="DF31" i="39"/>
  <c r="DK143" i="39" l="1"/>
  <c r="DP143" i="39" s="1"/>
  <c r="DP142" i="39"/>
  <c r="DK148" i="39"/>
  <c r="DO139" i="39"/>
  <c r="DO26" i="39"/>
  <c r="DO36" i="39"/>
  <c r="DO38" i="39"/>
  <c r="DO39" i="39"/>
  <c r="DO35" i="39"/>
  <c r="DO37" i="39"/>
  <c r="DF147" i="39"/>
  <c r="DF146" i="39"/>
  <c r="DK147" i="39" l="1"/>
  <c r="DK146" i="39"/>
  <c r="DH40" i="16" l="1"/>
  <c r="DM40" i="16"/>
  <c r="DH52" i="16"/>
  <c r="DN40" i="16"/>
  <c r="DI52" i="16"/>
  <c r="DI40" i="16"/>
  <c r="DL40" i="16"/>
  <c r="DG40" i="16"/>
  <c r="DG52" i="16"/>
  <c r="DJ8" i="16"/>
  <c r="DJ74" i="39" s="1"/>
  <c r="DI67" i="16" l="1"/>
  <c r="DJ100" i="39"/>
  <c r="DO100" i="39"/>
  <c r="DM102" i="16"/>
  <c r="DO34" i="16"/>
  <c r="DI7" i="39"/>
  <c r="DI88" i="16"/>
  <c r="DG58" i="16"/>
  <c r="DH67" i="16"/>
  <c r="DH114" i="16" s="1"/>
  <c r="DN36" i="16"/>
  <c r="DG94" i="16"/>
  <c r="DL102" i="16"/>
  <c r="DG102" i="16"/>
  <c r="DL94" i="16"/>
  <c r="DI111" i="16"/>
  <c r="DI102" i="16"/>
  <c r="DN102" i="16"/>
  <c r="DN94" i="16"/>
  <c r="DK111" i="16"/>
  <c r="DI94" i="16"/>
  <c r="DI97" i="16"/>
  <c r="DI71" i="16"/>
  <c r="DN105" i="16"/>
  <c r="DI45" i="16"/>
  <c r="DI46" i="16"/>
  <c r="DH111" i="16"/>
  <c r="DN42" i="16"/>
  <c r="DI42" i="16"/>
  <c r="DF58" i="16"/>
  <c r="DJ40" i="16"/>
  <c r="DJ34" i="16"/>
  <c r="DI58" i="16"/>
  <c r="DH58" i="16"/>
  <c r="DO40" i="16"/>
  <c r="DH102" i="16"/>
  <c r="DM94" i="16"/>
  <c r="DH94" i="16"/>
  <c r="DI114" i="16" l="1"/>
  <c r="DK114" i="16"/>
  <c r="DM105" i="16"/>
  <c r="DN97" i="16"/>
  <c r="DI89" i="16"/>
  <c r="DI20" i="39" s="1"/>
  <c r="DI9" i="39" s="1"/>
  <c r="DI11" i="39" s="1"/>
  <c r="DI62" i="11"/>
  <c r="DI105" i="16"/>
  <c r="DI35" i="39"/>
  <c r="DI48" i="16"/>
  <c r="DI107" i="16"/>
  <c r="DI78" i="16"/>
  <c r="DG105" i="16"/>
  <c r="DI80" i="16"/>
  <c r="DL105" i="16"/>
  <c r="DH105" i="16"/>
  <c r="DK30" i="39"/>
  <c r="DI39" i="39"/>
  <c r="DL148" i="39"/>
  <c r="DN26" i="39"/>
  <c r="DG71" i="16"/>
  <c r="DG62" i="11" s="1"/>
  <c r="DI76" i="16"/>
  <c r="DI77" i="16"/>
  <c r="DI37" i="39"/>
  <c r="DI26" i="39"/>
  <c r="DI98" i="16"/>
  <c r="DI38" i="39"/>
  <c r="DI79" i="16"/>
  <c r="DI72" i="16"/>
  <c r="DI90" i="16" s="1"/>
  <c r="DI75" i="16"/>
  <c r="DI36" i="39"/>
  <c r="DI81" i="16"/>
  <c r="DI73" i="11" l="1"/>
  <c r="DI81" i="11"/>
  <c r="DJ13" i="11"/>
  <c r="DG79" i="16"/>
  <c r="DI8" i="39"/>
  <c r="DG75" i="16"/>
  <c r="DG80" i="16"/>
  <c r="DG116" i="16"/>
  <c r="DG78" i="16"/>
  <c r="DG77" i="16"/>
  <c r="DG76" i="16"/>
  <c r="DG107" i="16"/>
  <c r="DG81" i="16"/>
  <c r="DG148" i="39"/>
  <c r="DJ9" i="12"/>
  <c r="DK72" i="12" s="1"/>
  <c r="DJ11" i="12"/>
  <c r="DJ12" i="11"/>
  <c r="DI27" i="39"/>
  <c r="DJ17" i="11"/>
  <c r="DK73" i="12" l="1"/>
  <c r="DI64" i="11"/>
  <c r="DI72" i="11" l="1"/>
  <c r="DG81" i="11"/>
  <c r="DG73" i="11"/>
  <c r="DG64" i="11"/>
  <c r="DJ10" i="12"/>
  <c r="DJ26" i="12"/>
  <c r="DK74" i="12" s="1"/>
  <c r="DK75" i="12" l="1"/>
  <c r="DK76" i="12" s="1"/>
  <c r="DK77" i="12" s="1"/>
  <c r="DG72" i="11"/>
  <c r="DJ30" i="12"/>
  <c r="DJ36" i="12" l="1"/>
  <c r="DO67" i="16" l="1"/>
  <c r="DO88" i="16" l="1"/>
  <c r="DF45" i="13" l="1"/>
  <c r="DF47" i="13" l="1"/>
  <c r="DF49" i="13" l="1"/>
  <c r="DG48" i="13" s="1"/>
  <c r="DG49" i="13" s="1"/>
  <c r="DH48" i="13" s="1"/>
  <c r="DH49" i="13" s="1"/>
  <c r="DI48" i="13" s="1"/>
  <c r="DI49" i="13" s="1"/>
  <c r="DF56" i="12" l="1"/>
  <c r="DF60" i="12" s="1"/>
  <c r="DF66" i="12" l="1"/>
  <c r="DF57" i="12"/>
  <c r="DJ54" i="11" l="1"/>
  <c r="DM54" i="11" l="1"/>
  <c r="DN54" i="11" s="1"/>
  <c r="DP54" i="11" s="1"/>
  <c r="DP42" i="13" l="1"/>
  <c r="DQ54" i="11"/>
  <c r="DQ42" i="13" l="1"/>
  <c r="DR54" i="11"/>
  <c r="DP45" i="13"/>
  <c r="DO54" i="11"/>
  <c r="DP47" i="13" l="1"/>
  <c r="DR42" i="13"/>
  <c r="DS54" i="11"/>
  <c r="DQ45" i="13"/>
  <c r="DO48" i="13"/>
  <c r="DH56" i="12"/>
  <c r="DS42" i="13" l="1"/>
  <c r="DT42" i="13" s="1"/>
  <c r="DQ47" i="13"/>
  <c r="DR45" i="13"/>
  <c r="DT54" i="11"/>
  <c r="DU54" i="11" s="1"/>
  <c r="DV54" i="11" s="1"/>
  <c r="DH60" i="12"/>
  <c r="DH57" i="12"/>
  <c r="DH66" i="12"/>
  <c r="DI56" i="12"/>
  <c r="DJ7" i="12"/>
  <c r="DT45" i="13" l="1"/>
  <c r="DT47" i="13" s="1"/>
  <c r="DR47" i="13"/>
  <c r="DS45" i="13"/>
  <c r="DJ14" i="12"/>
  <c r="DJ56" i="12"/>
  <c r="DI66" i="12"/>
  <c r="DI57" i="12"/>
  <c r="DI60" i="12"/>
  <c r="DI81" i="12"/>
  <c r="DI82" i="12"/>
  <c r="DJ15" i="11"/>
  <c r="DS47" i="13" l="1"/>
  <c r="DG55" i="11"/>
  <c r="DJ60" i="12"/>
  <c r="DJ66" i="12"/>
  <c r="DJ57" i="12"/>
  <c r="DJ22" i="12"/>
  <c r="DJ71" i="12"/>
  <c r="DJ81" i="12"/>
  <c r="DK78" i="12" l="1"/>
  <c r="DK86" i="12"/>
  <c r="DK38" i="11" l="1"/>
  <c r="DK47" i="11" s="1"/>
  <c r="DJ64" i="16" l="1"/>
  <c r="DF75" i="16"/>
  <c r="DF110" i="16"/>
  <c r="DG110" i="16"/>
  <c r="DF101" i="16"/>
  <c r="DF93" i="16"/>
  <c r="DK93" i="16"/>
  <c r="DF84" i="16"/>
  <c r="DK101" i="16"/>
  <c r="DG111" i="16"/>
  <c r="DF76" i="16"/>
  <c r="DK102" i="16"/>
  <c r="DK94" i="16"/>
  <c r="DF102" i="16"/>
  <c r="DF94" i="16"/>
  <c r="DF85" i="16"/>
  <c r="DF111" i="16"/>
  <c r="DO94" i="16" l="1"/>
  <c r="DO93" i="16"/>
  <c r="DJ102" i="16"/>
  <c r="DJ94" i="16"/>
  <c r="DO102" i="16"/>
  <c r="DJ93" i="16"/>
  <c r="DJ101" i="16"/>
  <c r="DO101" i="16"/>
  <c r="DJ67" i="16"/>
  <c r="DJ84" i="16"/>
  <c r="DJ85" i="16"/>
  <c r="DJ105" i="16" l="1"/>
  <c r="DO105" i="16"/>
  <c r="DJ7" i="11" l="1"/>
  <c r="DF9" i="11"/>
  <c r="DF86" i="11" s="1"/>
  <c r="DG86" i="11" l="1"/>
  <c r="DF11" i="11"/>
  <c r="DF72" i="12"/>
  <c r="DF77" i="12" s="1"/>
  <c r="DF71" i="11"/>
  <c r="DF69" i="11"/>
  <c r="DF73" i="12"/>
  <c r="DF70" i="11"/>
  <c r="DF68" i="11"/>
  <c r="DF14" i="11" l="1"/>
  <c r="DF67" i="11"/>
  <c r="DF81" i="12"/>
  <c r="DF22" i="12"/>
  <c r="DF72" i="16" l="1"/>
  <c r="DF90" i="16" s="1"/>
  <c r="DG78" i="12"/>
  <c r="DG86" i="12"/>
  <c r="DF18" i="11"/>
  <c r="DF82" i="12"/>
  <c r="DG88" i="11"/>
  <c r="DF78" i="12"/>
  <c r="DF73" i="11" l="1"/>
  <c r="DF64" i="11"/>
  <c r="DF87" i="11" s="1"/>
  <c r="DF81" i="11"/>
  <c r="DF20" i="11"/>
  <c r="DF75" i="11"/>
  <c r="DF89" i="11" l="1"/>
  <c r="DK82" i="11"/>
  <c r="DG89" i="11"/>
  <c r="DF22" i="11"/>
  <c r="DF24" i="11" s="1"/>
  <c r="DF26" i="11" s="1"/>
  <c r="DG87" i="11"/>
  <c r="DG83" i="12"/>
  <c r="DF72" i="11"/>
  <c r="DF83" i="12"/>
  <c r="DF32" i="11"/>
  <c r="DF90" i="11" s="1"/>
  <c r="DF76" i="11"/>
  <c r="DF82" i="11"/>
  <c r="DF28" i="11"/>
  <c r="DF30" i="11" s="1"/>
  <c r="DF86" i="12"/>
  <c r="DF45" i="12"/>
  <c r="DF58" i="12"/>
  <c r="DG90" i="11" l="1"/>
  <c r="DF35" i="11"/>
  <c r="DF83" i="11"/>
  <c r="DF55" i="11"/>
  <c r="DF38" i="11"/>
  <c r="DF61" i="12"/>
  <c r="DF62" i="12"/>
  <c r="DF64" i="12"/>
  <c r="DG89" i="12" l="1"/>
  <c r="DG88" i="12"/>
  <c r="DF47" i="11"/>
  <c r="DF67" i="12"/>
  <c r="DF68" i="12"/>
  <c r="DF88" i="12"/>
  <c r="DF89" i="12"/>
  <c r="DF48" i="11" l="1"/>
  <c r="DF71" i="39" l="1"/>
  <c r="DK97" i="39" s="1"/>
  <c r="DF81" i="39" l="1"/>
  <c r="DF90" i="39" s="1"/>
  <c r="DF97" i="39"/>
  <c r="DF91" i="39"/>
  <c r="DF92" i="39"/>
  <c r="DF102" i="39" l="1"/>
  <c r="DF14" i="39" s="1"/>
  <c r="DK102" i="39"/>
  <c r="DF93" i="39"/>
  <c r="DF94" i="39" s="1"/>
  <c r="DF17" i="39" l="1"/>
  <c r="DK14" i="39"/>
  <c r="DK17" i="39" l="1"/>
  <c r="DF57" i="13" l="1"/>
  <c r="DF55" i="13"/>
  <c r="DG57" i="13"/>
  <c r="DG55" i="13"/>
  <c r="DG147" i="39" l="1"/>
  <c r="DG146" i="39"/>
  <c r="DQ142" i="39" l="1"/>
  <c r="DQ143" i="39"/>
  <c r="DQ7" i="11" l="1"/>
  <c r="DQ138" i="39"/>
  <c r="DT138" i="39" s="1"/>
  <c r="DQ6" i="11"/>
  <c r="DQ137" i="39"/>
  <c r="DT137" i="39" s="1"/>
  <c r="DQ147" i="39" l="1"/>
  <c r="DQ146" i="39"/>
  <c r="DO137" i="39"/>
  <c r="DT146" i="39" s="1"/>
  <c r="DL146" i="39"/>
  <c r="DO138" i="39"/>
  <c r="DT147" i="39" s="1"/>
  <c r="DL147" i="39"/>
  <c r="DN147" i="39" l="1"/>
  <c r="DH148" i="39"/>
  <c r="DM148" i="39"/>
  <c r="DH146" i="39"/>
  <c r="DN148" i="39"/>
  <c r="DJ138" i="39" l="1"/>
  <c r="DM147" i="39"/>
  <c r="DH147" i="39"/>
  <c r="DN146" i="39"/>
  <c r="DJ137" i="39"/>
  <c r="DM146" i="39"/>
  <c r="DJ147" i="39" l="1"/>
  <c r="DO147" i="39"/>
  <c r="DO146" i="39"/>
  <c r="DJ146" i="39"/>
  <c r="CL78" i="16" l="1"/>
  <c r="CL75" i="16"/>
  <c r="CL106" i="16"/>
  <c r="CL115" i="16"/>
  <c r="CM115" i="16"/>
  <c r="CL89" i="16"/>
  <c r="CQ106" i="16"/>
  <c r="CQ107" i="16" l="1"/>
  <c r="CL107" i="16"/>
  <c r="CQ98" i="16"/>
  <c r="CL77" i="16"/>
  <c r="CL98" i="16"/>
  <c r="CL76" i="16"/>
  <c r="CL81" i="16"/>
  <c r="CL80" i="16"/>
  <c r="CM116" i="16"/>
  <c r="CL79" i="16"/>
  <c r="CL116" i="16"/>
  <c r="DH71" i="16"/>
  <c r="DH106" i="16"/>
  <c r="DH75" i="16" l="1"/>
  <c r="DH62" i="11"/>
  <c r="DH107" i="16"/>
  <c r="DH77" i="16"/>
  <c r="DH81" i="16"/>
  <c r="DH116" i="16"/>
  <c r="DH76" i="16"/>
  <c r="DH78" i="16"/>
  <c r="DH80" i="16"/>
  <c r="DH79" i="16"/>
  <c r="DI116" i="16"/>
  <c r="DJ62" i="11" l="1"/>
  <c r="DI88" i="11"/>
  <c r="DJ106" i="16"/>
  <c r="DJ71" i="16"/>
  <c r="DJ78" i="16" l="1"/>
  <c r="DJ80" i="16"/>
  <c r="DJ81" i="16"/>
  <c r="DJ76" i="16"/>
  <c r="DJ79" i="16"/>
  <c r="DJ75" i="16"/>
  <c r="DJ107" i="16"/>
  <c r="DJ77" i="16"/>
  <c r="DJ10" i="11"/>
  <c r="DJ75" i="12" l="1"/>
  <c r="DJ76" i="12" s="1"/>
  <c r="DJ74" i="12"/>
  <c r="DN106" i="16" l="1"/>
  <c r="DN71" i="16"/>
  <c r="DO69" i="16"/>
  <c r="DL71" i="16"/>
  <c r="DQ98" i="16" l="1"/>
  <c r="DQ107" i="16"/>
  <c r="DS98" i="16"/>
  <c r="DS107" i="16"/>
  <c r="DL78" i="16"/>
  <c r="DL62" i="11"/>
  <c r="DN79" i="16"/>
  <c r="DN62" i="11"/>
  <c r="DS81" i="11" s="1"/>
  <c r="DN81" i="16"/>
  <c r="DL77" i="16"/>
  <c r="DN77" i="16"/>
  <c r="DO68" i="16"/>
  <c r="DO70" i="16" s="1"/>
  <c r="DT106" i="16" s="1"/>
  <c r="DL81" i="16"/>
  <c r="DN98" i="16"/>
  <c r="DL89" i="16"/>
  <c r="DL20" i="39" s="1"/>
  <c r="DL9" i="39" s="1"/>
  <c r="DQ27" i="39" s="1"/>
  <c r="DN14" i="11"/>
  <c r="DL76" i="16"/>
  <c r="DN78" i="16"/>
  <c r="DN89" i="16"/>
  <c r="DN20" i="39" s="1"/>
  <c r="DN9" i="39" s="1"/>
  <c r="DS27" i="39" s="1"/>
  <c r="DN107" i="16"/>
  <c r="DL107" i="16"/>
  <c r="DL106" i="16"/>
  <c r="DL80" i="16"/>
  <c r="DM71" i="16"/>
  <c r="DN80" i="16"/>
  <c r="DM106" i="16"/>
  <c r="DL79" i="16"/>
  <c r="DN76" i="16"/>
  <c r="DN75" i="16"/>
  <c r="DK106" i="16"/>
  <c r="DL75" i="16"/>
  <c r="DQ81" i="11" l="1"/>
  <c r="DL73" i="11"/>
  <c r="DL81" i="11"/>
  <c r="DR107" i="16"/>
  <c r="DR98" i="16"/>
  <c r="DK76" i="16"/>
  <c r="DK62" i="11"/>
  <c r="DL88" i="11" s="1"/>
  <c r="DN116" i="16"/>
  <c r="DM62" i="11"/>
  <c r="DR81" i="11" s="1"/>
  <c r="DL72" i="16"/>
  <c r="DL90" i="16" s="1"/>
  <c r="DK80" i="16"/>
  <c r="DK98" i="16"/>
  <c r="DK89" i="16"/>
  <c r="DK20" i="39" s="1"/>
  <c r="DK9" i="39" s="1"/>
  <c r="DK31" i="39" s="1"/>
  <c r="DK107" i="16"/>
  <c r="DK116" i="16"/>
  <c r="DL116" i="16"/>
  <c r="DK75" i="16"/>
  <c r="DK77" i="16"/>
  <c r="DK81" i="16"/>
  <c r="DK79" i="16"/>
  <c r="DO71" i="16"/>
  <c r="DO106" i="16"/>
  <c r="DK78" i="16"/>
  <c r="DL8" i="39"/>
  <c r="DL11" i="39"/>
  <c r="DN72" i="16"/>
  <c r="DN90" i="16" s="1"/>
  <c r="DN11" i="11"/>
  <c r="DN27" i="39"/>
  <c r="DN8" i="39"/>
  <c r="DN11" i="39"/>
  <c r="DM77" i="16"/>
  <c r="DM76" i="16"/>
  <c r="DM79" i="16"/>
  <c r="DM14" i="11"/>
  <c r="DM78" i="16"/>
  <c r="DM89" i="16"/>
  <c r="DM20" i="39" s="1"/>
  <c r="DM9" i="39" s="1"/>
  <c r="DR27" i="39" s="1"/>
  <c r="DM116" i="16"/>
  <c r="DM75" i="16"/>
  <c r="DM81" i="16"/>
  <c r="DM107" i="16"/>
  <c r="DM80" i="16"/>
  <c r="DK88" i="11" l="1"/>
  <c r="DK81" i="11"/>
  <c r="DK73" i="11"/>
  <c r="DO62" i="11"/>
  <c r="DL64" i="11"/>
  <c r="DL31" i="39"/>
  <c r="DK11" i="39"/>
  <c r="DO80" i="16"/>
  <c r="DO76" i="16"/>
  <c r="DO81" i="16"/>
  <c r="DO89" i="16"/>
  <c r="DO20" i="39" s="1"/>
  <c r="DO107" i="16"/>
  <c r="DO78" i="16"/>
  <c r="DO79" i="16"/>
  <c r="DO75" i="16"/>
  <c r="DO77" i="16"/>
  <c r="DO9" i="39"/>
  <c r="DK27" i="39"/>
  <c r="DK8" i="39"/>
  <c r="DN10" i="11"/>
  <c r="DN67" i="11"/>
  <c r="DN73" i="11"/>
  <c r="DN64" i="11"/>
  <c r="DN81" i="11"/>
  <c r="DN31" i="39"/>
  <c r="DM31" i="39"/>
  <c r="DM11" i="39"/>
  <c r="DM8" i="39"/>
  <c r="DM72" i="16"/>
  <c r="DM90" i="16" s="1"/>
  <c r="DM11" i="11"/>
  <c r="DL72" i="11" l="1"/>
  <c r="DK64" i="11"/>
  <c r="DL87" i="11" s="1"/>
  <c r="DO11" i="39"/>
  <c r="DO8" i="39"/>
  <c r="DO27" i="39"/>
  <c r="DN10" i="12"/>
  <c r="DN26" i="12"/>
  <c r="DM73" i="11"/>
  <c r="DM64" i="11"/>
  <c r="DM88" i="11"/>
  <c r="DN88" i="11"/>
  <c r="DM67" i="11"/>
  <c r="DM10" i="11"/>
  <c r="DN72" i="11"/>
  <c r="DN87" i="11" l="1"/>
  <c r="DK87" i="11"/>
  <c r="DK72" i="11"/>
  <c r="DO10" i="11"/>
  <c r="DO26" i="12"/>
  <c r="DN30" i="12"/>
  <c r="DO10" i="12"/>
  <c r="DM10" i="12"/>
  <c r="DM26" i="12"/>
  <c r="DM72" i="11"/>
  <c r="DM87" i="11"/>
  <c r="DM30" i="12" l="1"/>
  <c r="DN22" i="13"/>
  <c r="DM22" i="13"/>
  <c r="DN36" i="12"/>
  <c r="DN20" i="13"/>
  <c r="DM20" i="13"/>
  <c r="DO30" i="12"/>
  <c r="DO74" i="12"/>
  <c r="DO75" i="12"/>
  <c r="DO76" i="12" s="1"/>
  <c r="DO20" i="13" l="1"/>
  <c r="DO22" i="13"/>
  <c r="DM18" i="13"/>
  <c r="DO36" i="12"/>
  <c r="DN18" i="13"/>
  <c r="DM36" i="12"/>
  <c r="DO64" i="11" l="1"/>
  <c r="DE166" i="1" l="1"/>
  <c r="DE167" i="1" s="1"/>
  <c r="DG10" i="16" l="1"/>
  <c r="DG11" i="16" l="1"/>
  <c r="DG97" i="16" s="1"/>
  <c r="DG87" i="16"/>
  <c r="DG7" i="39" l="1"/>
  <c r="DG38" i="39" s="1"/>
  <c r="DL36" i="16"/>
  <c r="DL98" i="16"/>
  <c r="DG42" i="16"/>
  <c r="DG88" i="16"/>
  <c r="DL97" i="16"/>
  <c r="DG89" i="16"/>
  <c r="DG20" i="39" s="1"/>
  <c r="DG9" i="39" s="1"/>
  <c r="DG46" i="16"/>
  <c r="DG48" i="16" s="1"/>
  <c r="DG90" i="16"/>
  <c r="DG45" i="16"/>
  <c r="DG54" i="16"/>
  <c r="DG36" i="16"/>
  <c r="DL42" i="16"/>
  <c r="DG98" i="16"/>
  <c r="DL26" i="39"/>
  <c r="DG30" i="39"/>
  <c r="DG39" i="39"/>
  <c r="DG37" i="39"/>
  <c r="DG26" i="39"/>
  <c r="DG35" i="39"/>
  <c r="DG36" i="39" l="1"/>
  <c r="DG31" i="39"/>
  <c r="DG27" i="39"/>
  <c r="DG8" i="39"/>
  <c r="DG11" i="39"/>
  <c r="DL27" i="39"/>
  <c r="DH156" i="1" l="1"/>
  <c r="DJ6" i="11"/>
  <c r="DJ9" i="11" s="1"/>
  <c r="DH9" i="11"/>
  <c r="DI86" i="11" s="1"/>
  <c r="DH75" i="39" l="1"/>
  <c r="DH10" i="16"/>
  <c r="DJ156" i="1"/>
  <c r="DJ157" i="1" s="1"/>
  <c r="DH78" i="12"/>
  <c r="DH73" i="12"/>
  <c r="DH72" i="12"/>
  <c r="DH77" i="12" s="1"/>
  <c r="DJ11" i="11"/>
  <c r="DJ14" i="11" s="1"/>
  <c r="DJ69" i="11"/>
  <c r="DH69" i="11"/>
  <c r="DH86" i="11"/>
  <c r="DH68" i="11"/>
  <c r="DH70" i="11"/>
  <c r="DH71" i="11"/>
  <c r="DJ73" i="12"/>
  <c r="DJ72" i="12"/>
  <c r="DJ77" i="12" s="1"/>
  <c r="DJ68" i="11"/>
  <c r="DJ78" i="12"/>
  <c r="DH11" i="11"/>
  <c r="DH67" i="11" s="1"/>
  <c r="DH11" i="16" l="1"/>
  <c r="DJ10" i="16"/>
  <c r="DM101" i="39"/>
  <c r="DH101" i="39"/>
  <c r="DH81" i="39"/>
  <c r="DJ67" i="11"/>
  <c r="DJ70" i="11"/>
  <c r="DH14" i="11"/>
  <c r="DH82" i="12" s="1"/>
  <c r="DJ82" i="12"/>
  <c r="DH90" i="39" l="1"/>
  <c r="DH93" i="39"/>
  <c r="DH102" i="39"/>
  <c r="DH14" i="39" s="1"/>
  <c r="DM102" i="39"/>
  <c r="DM14" i="39" s="1"/>
  <c r="DJ75" i="39"/>
  <c r="DJ11" i="16"/>
  <c r="DH60" i="16" s="1"/>
  <c r="DH7" i="39"/>
  <c r="DH42" i="16"/>
  <c r="DH46" i="16"/>
  <c r="DM36" i="16"/>
  <c r="DM42" i="16"/>
  <c r="DI54" i="16"/>
  <c r="DH45" i="16"/>
  <c r="DH36" i="16"/>
  <c r="DH97" i="16"/>
  <c r="DM97" i="16"/>
  <c r="DH88" i="16"/>
  <c r="DH98" i="16"/>
  <c r="DH89" i="16"/>
  <c r="DH20" i="39" s="1"/>
  <c r="DM98" i="16"/>
  <c r="DH54" i="16"/>
  <c r="DJ16" i="11"/>
  <c r="DJ73" i="11"/>
  <c r="DJ81" i="11"/>
  <c r="DO81" i="11"/>
  <c r="DJ64" i="11"/>
  <c r="DH18" i="11"/>
  <c r="DH75" i="11" s="1"/>
  <c r="DH72" i="16"/>
  <c r="DH9" i="39" l="1"/>
  <c r="DI31" i="39" s="1"/>
  <c r="DH94" i="39"/>
  <c r="DM17" i="39"/>
  <c r="DF60" i="16"/>
  <c r="DO98" i="16"/>
  <c r="DJ88" i="16"/>
  <c r="DJ97" i="16"/>
  <c r="DJ98" i="16"/>
  <c r="DI60" i="16"/>
  <c r="DJ36" i="16"/>
  <c r="DJ56" i="13"/>
  <c r="DJ46" i="16"/>
  <c r="DG60" i="16"/>
  <c r="DJ89" i="16"/>
  <c r="DO97" i="16"/>
  <c r="DJ7" i="39"/>
  <c r="DO16" i="39" s="1"/>
  <c r="DO36" i="16"/>
  <c r="DJ42" i="16"/>
  <c r="DJ45" i="16"/>
  <c r="DO42" i="16"/>
  <c r="DJ81" i="39"/>
  <c r="DO101" i="39"/>
  <c r="DJ101" i="39"/>
  <c r="DH17" i="39"/>
  <c r="DJ14" i="39"/>
  <c r="DJ17" i="39" s="1"/>
  <c r="DH27" i="39"/>
  <c r="DH11" i="39"/>
  <c r="DJ11" i="39" s="1"/>
  <c r="DM27" i="39"/>
  <c r="DJ9" i="39"/>
  <c r="DH31" i="39"/>
  <c r="DH48" i="16"/>
  <c r="DH37" i="39"/>
  <c r="DI30" i="39"/>
  <c r="DH39" i="39"/>
  <c r="DH36" i="39"/>
  <c r="DH38" i="39"/>
  <c r="DH26" i="39"/>
  <c r="DH35" i="39"/>
  <c r="DM26" i="39"/>
  <c r="DH8" i="39"/>
  <c r="DH30" i="39"/>
  <c r="DH88" i="11"/>
  <c r="DH81" i="11"/>
  <c r="DH73" i="11"/>
  <c r="DJ18" i="11"/>
  <c r="DJ72" i="11"/>
  <c r="DJ83" i="12"/>
  <c r="DM81" i="11"/>
  <c r="DH64" i="11"/>
  <c r="DK83" i="12" s="1"/>
  <c r="DH90" i="16"/>
  <c r="DJ72" i="16"/>
  <c r="DJ90" i="16" s="1"/>
  <c r="DH20" i="11"/>
  <c r="DI89" i="11" s="1"/>
  <c r="DO15" i="39" l="1"/>
  <c r="DJ36" i="39"/>
  <c r="DJ139" i="39"/>
  <c r="DJ35" i="39"/>
  <c r="DJ38" i="39"/>
  <c r="DJ39" i="39"/>
  <c r="DJ26" i="39"/>
  <c r="DJ37" i="39"/>
  <c r="DJ90" i="39"/>
  <c r="DJ102" i="39"/>
  <c r="DO102" i="39"/>
  <c r="DJ93" i="39"/>
  <c r="DO14" i="39"/>
  <c r="DJ8" i="39"/>
  <c r="DJ20" i="39"/>
  <c r="DJ27" i="39"/>
  <c r="DJ48" i="16"/>
  <c r="DH83" i="12"/>
  <c r="DI87" i="11"/>
  <c r="DI86" i="12"/>
  <c r="DH22" i="11"/>
  <c r="DH55" i="13"/>
  <c r="DH76" i="11"/>
  <c r="DH89" i="11"/>
  <c r="DH82" i="11"/>
  <c r="DI28" i="11"/>
  <c r="DI30" i="11" s="1"/>
  <c r="DI32" i="11"/>
  <c r="DI22" i="11"/>
  <c r="DI24" i="11" s="1"/>
  <c r="DI26" i="11" s="1"/>
  <c r="DI38" i="11" s="1"/>
  <c r="DI47" i="11" s="1"/>
  <c r="DH87" i="11"/>
  <c r="DH72" i="11"/>
  <c r="DM16" i="11"/>
  <c r="DJ19" i="11"/>
  <c r="DI83" i="12"/>
  <c r="DH28" i="11"/>
  <c r="DH30" i="11" s="1"/>
  <c r="DH86" i="12"/>
  <c r="DO17" i="39" l="1"/>
  <c r="DJ142" i="39"/>
  <c r="DO142" i="39" s="1"/>
  <c r="DT142" i="39" s="1"/>
  <c r="DJ143" i="39"/>
  <c r="DO143" i="39" s="1"/>
  <c r="DT143" i="39" s="1"/>
  <c r="DJ94" i="39"/>
  <c r="DO148" i="39"/>
  <c r="DJ148" i="39"/>
  <c r="DI35" i="11"/>
  <c r="DI83" i="11"/>
  <c r="DI55" i="13"/>
  <c r="DJ75" i="11"/>
  <c r="DI55" i="11"/>
  <c r="DI48" i="11"/>
  <c r="DJ20" i="11"/>
  <c r="DO70" i="11"/>
  <c r="DN16" i="11"/>
  <c r="DH24" i="11"/>
  <c r="DH26" i="11" s="1"/>
  <c r="DU143" i="39" l="1"/>
  <c r="DU142" i="39"/>
  <c r="DH38" i="11"/>
  <c r="DH32" i="11"/>
  <c r="DO16" i="11"/>
  <c r="DU70" i="11"/>
  <c r="DJ82" i="11"/>
  <c r="DJ55" i="13"/>
  <c r="DJ76" i="11"/>
  <c r="DJ28" i="11"/>
  <c r="DJ30" i="11" s="1"/>
  <c r="DJ86" i="12"/>
  <c r="DJ22" i="11"/>
  <c r="DJ32" i="11"/>
  <c r="DV142" i="39" l="1"/>
  <c r="DV143" i="39"/>
  <c r="DH35" i="11"/>
  <c r="DI90" i="11"/>
  <c r="DJ35" i="11"/>
  <c r="DJ24" i="11"/>
  <c r="DJ26" i="11" s="1"/>
  <c r="DH90" i="11"/>
  <c r="DH83" i="11"/>
  <c r="DH55" i="11"/>
  <c r="DJ55" i="11"/>
  <c r="DJ83" i="11"/>
  <c r="DH47" i="11"/>
  <c r="DJ38" i="11"/>
  <c r="DV70" i="11"/>
  <c r="DJ47" i="11" l="1"/>
  <c r="DH48" i="11"/>
  <c r="DH58" i="12"/>
  <c r="DJ40" i="12"/>
  <c r="DJ42" i="12"/>
  <c r="DJ48" i="11" l="1"/>
  <c r="DJ44" i="12"/>
  <c r="DH64" i="12"/>
  <c r="DH62" i="12"/>
  <c r="DH61" i="12"/>
  <c r="DI58" i="12" l="1"/>
  <c r="DI61" i="12" s="1"/>
  <c r="DH67" i="12"/>
  <c r="DH68" i="12"/>
  <c r="DH88" i="12"/>
  <c r="DH89" i="12"/>
  <c r="DJ58" i="12"/>
  <c r="DJ45" i="12"/>
  <c r="DI64" i="12" l="1"/>
  <c r="DI67" i="12" s="1"/>
  <c r="DI62" i="12"/>
  <c r="DJ62" i="12"/>
  <c r="DJ61" i="12"/>
  <c r="DJ64" i="12"/>
  <c r="DK89" i="12" l="1"/>
  <c r="DK88" i="12"/>
  <c r="DI89" i="12"/>
  <c r="DI68" i="12"/>
  <c r="DI88" i="12"/>
  <c r="DJ68" i="12"/>
  <c r="DJ67" i="12"/>
  <c r="DJ88" i="12"/>
  <c r="DJ87" i="12"/>
  <c r="DJ89" i="12"/>
  <c r="DO7" i="11" l="1"/>
  <c r="DK72" i="16"/>
  <c r="DK90" i="16" s="1"/>
  <c r="DO6" i="11"/>
  <c r="DO21" i="13" l="1"/>
  <c r="DO9" i="11"/>
  <c r="DO72" i="11" l="1"/>
  <c r="DO73" i="11"/>
  <c r="DO68" i="11"/>
  <c r="DO72" i="12"/>
  <c r="DO77" i="12" s="1"/>
  <c r="DO11" i="11"/>
  <c r="DO69" i="11"/>
  <c r="DO73" i="12"/>
  <c r="DO19" i="13"/>
  <c r="DO14" i="11" l="1"/>
  <c r="DO67" i="11"/>
  <c r="DO18" i="13"/>
  <c r="DO72" i="16" l="1"/>
  <c r="DO90" i="16" s="1"/>
  <c r="DK48" i="11"/>
  <c r="DK32" i="11"/>
  <c r="DL90" i="11" s="1"/>
  <c r="DK34" i="11"/>
  <c r="DK33" i="11"/>
  <c r="DK28" i="11"/>
  <c r="DK83" i="11" l="1"/>
  <c r="DK90" i="11"/>
  <c r="DN42" i="13"/>
  <c r="DK29" i="11"/>
  <c r="DK30" i="11" s="1"/>
  <c r="DK35" i="11"/>
  <c r="DK55" i="11"/>
  <c r="DM34" i="11" l="1"/>
  <c r="DM57" i="13"/>
  <c r="DM42" i="13"/>
  <c r="DM45" i="13" s="1"/>
  <c r="DM51" i="11"/>
  <c r="DN33" i="11"/>
  <c r="DN34" i="11"/>
  <c r="DN45" i="13"/>
  <c r="DM33" i="11"/>
  <c r="DN57" i="13"/>
  <c r="DO52" i="11"/>
  <c r="DO57" i="13" s="1"/>
  <c r="DM29" i="11" l="1"/>
  <c r="DU52" i="11"/>
  <c r="DN51" i="11"/>
  <c r="DO51" i="11" s="1"/>
  <c r="DP51" i="11" s="1"/>
  <c r="DO42" i="13"/>
  <c r="DN47" i="13"/>
  <c r="DO34" i="11"/>
  <c r="DO33" i="11"/>
  <c r="DM47" i="13"/>
  <c r="DP29" i="11" l="1"/>
  <c r="DQ51" i="11"/>
  <c r="DN29" i="11"/>
  <c r="DO45" i="13"/>
  <c r="DO29" i="11"/>
  <c r="DM48" i="13"/>
  <c r="DM49" i="13" s="1"/>
  <c r="DN48" i="13" s="1"/>
  <c r="DN49" i="13" s="1"/>
  <c r="DU34" i="11"/>
  <c r="DU57" i="13"/>
  <c r="DV52" i="11"/>
  <c r="DU33" i="11"/>
  <c r="DU42" i="13"/>
  <c r="DQ29" i="11" l="1"/>
  <c r="DR51" i="11"/>
  <c r="DO47" i="13"/>
  <c r="DO49" i="13" s="1"/>
  <c r="DP48" i="13" s="1"/>
  <c r="DP49" i="13" s="1"/>
  <c r="DU45" i="13"/>
  <c r="DL56" i="12"/>
  <c r="DV57" i="13"/>
  <c r="DV33" i="11"/>
  <c r="DV42" i="13"/>
  <c r="DV34" i="11"/>
  <c r="DM7" i="12"/>
  <c r="DM15" i="11" l="1"/>
  <c r="DS51" i="11"/>
  <c r="DT51" i="11" s="1"/>
  <c r="DR29" i="11"/>
  <c r="DT48" i="13"/>
  <c r="DT49" i="13" s="1"/>
  <c r="DU48" i="13" s="1"/>
  <c r="DQ48" i="13"/>
  <c r="DQ49" i="13" s="1"/>
  <c r="DR48" i="13" s="1"/>
  <c r="DR49" i="13" s="1"/>
  <c r="DS48" i="13" s="1"/>
  <c r="DS49" i="13" s="1"/>
  <c r="DV45" i="13"/>
  <c r="DM56" i="12"/>
  <c r="DM14" i="12"/>
  <c r="DN7" i="12"/>
  <c r="DL66" i="12"/>
  <c r="DL60" i="12"/>
  <c r="DL83" i="12" s="1"/>
  <c r="DL57" i="12"/>
  <c r="DU47" i="13"/>
  <c r="DN15" i="11" l="1"/>
  <c r="DT29" i="11"/>
  <c r="DU51" i="11"/>
  <c r="DS29" i="11"/>
  <c r="DM18" i="11"/>
  <c r="DM82" i="12"/>
  <c r="DV47" i="13"/>
  <c r="DU49" i="13"/>
  <c r="DV48" i="13" s="1"/>
  <c r="DM66" i="12"/>
  <c r="DM57" i="12"/>
  <c r="DM60" i="12"/>
  <c r="DN56" i="12"/>
  <c r="DN14" i="12"/>
  <c r="DO7" i="12"/>
  <c r="DP7" i="12" s="1"/>
  <c r="DM71" i="12"/>
  <c r="DM22" i="12"/>
  <c r="DM81" i="12"/>
  <c r="DP15" i="11" l="1"/>
  <c r="DU29" i="11"/>
  <c r="DV51" i="11"/>
  <c r="DQ7" i="12"/>
  <c r="DP56" i="12"/>
  <c r="DN66" i="12"/>
  <c r="DN60" i="12"/>
  <c r="DN57" i="12"/>
  <c r="DO56" i="12"/>
  <c r="DO14" i="12"/>
  <c r="DM83" i="12"/>
  <c r="DN22" i="12"/>
  <c r="DN71" i="12"/>
  <c r="DN81" i="12"/>
  <c r="DM78" i="12"/>
  <c r="DN18" i="11"/>
  <c r="DN82" i="12"/>
  <c r="DV49" i="13"/>
  <c r="DM19" i="11"/>
  <c r="DO15" i="11"/>
  <c r="DQ15" i="11" l="1"/>
  <c r="DL38" i="11"/>
  <c r="DL55" i="11"/>
  <c r="DV29" i="11"/>
  <c r="DP66" i="12"/>
  <c r="DP57" i="12"/>
  <c r="DP60" i="12"/>
  <c r="DR7" i="12"/>
  <c r="DQ56" i="12"/>
  <c r="DQ14" i="12"/>
  <c r="DL47" i="11"/>
  <c r="DN19" i="11"/>
  <c r="DN78" i="12"/>
  <c r="DO81" i="12"/>
  <c r="DO71" i="12"/>
  <c r="DO22" i="12"/>
  <c r="DO60" i="12"/>
  <c r="DO57" i="12"/>
  <c r="DO66" i="12"/>
  <c r="DO18" i="11"/>
  <c r="DO82" i="12"/>
  <c r="DN83" i="12"/>
  <c r="DM20" i="11"/>
  <c r="DR15" i="11" l="1"/>
  <c r="DS7" i="12"/>
  <c r="DR56" i="12"/>
  <c r="DR14" i="12"/>
  <c r="DQ22" i="12"/>
  <c r="DQ81" i="12"/>
  <c r="DQ71" i="12"/>
  <c r="DQ18" i="11"/>
  <c r="DQ82" i="12"/>
  <c r="DQ60" i="12"/>
  <c r="DQ66" i="12"/>
  <c r="DQ57" i="12"/>
  <c r="DN20" i="11"/>
  <c r="DO78" i="12"/>
  <c r="DL48" i="11"/>
  <c r="DO83" i="12"/>
  <c r="DO19" i="11"/>
  <c r="DO20" i="11" s="1"/>
  <c r="DM38" i="11"/>
  <c r="DM76" i="11"/>
  <c r="DM82" i="11"/>
  <c r="DM32" i="11"/>
  <c r="DM28" i="11"/>
  <c r="DM30" i="11" s="1"/>
  <c r="DM55" i="13"/>
  <c r="DM86" i="12"/>
  <c r="DM22" i="11"/>
  <c r="DM89" i="11"/>
  <c r="DS15" i="11" l="1"/>
  <c r="DT7" i="12"/>
  <c r="DS56" i="12"/>
  <c r="DS14" i="12"/>
  <c r="DQ19" i="11"/>
  <c r="DR66" i="12"/>
  <c r="DR60" i="12"/>
  <c r="DR83" i="12" s="1"/>
  <c r="DR57" i="12"/>
  <c r="DR22" i="12"/>
  <c r="DR81" i="12"/>
  <c r="DR71" i="12"/>
  <c r="DR18" i="11"/>
  <c r="DR19" i="11" s="1"/>
  <c r="DR82" i="12"/>
  <c r="DN55" i="13"/>
  <c r="DN82" i="11"/>
  <c r="DN76" i="11"/>
  <c r="DN38" i="11"/>
  <c r="DN47" i="11" s="1"/>
  <c r="DN28" i="11"/>
  <c r="DN30" i="11" s="1"/>
  <c r="DN22" i="11"/>
  <c r="DN24" i="11" s="1"/>
  <c r="DN26" i="11" s="1"/>
  <c r="DN89" i="11"/>
  <c r="DN32" i="11"/>
  <c r="DN86" i="12"/>
  <c r="DM47" i="11"/>
  <c r="DO75" i="11"/>
  <c r="DM83" i="11"/>
  <c r="DM35" i="11"/>
  <c r="DM55" i="11"/>
  <c r="DM90" i="11"/>
  <c r="DO22" i="11"/>
  <c r="DO86" i="12"/>
  <c r="DO76" i="11"/>
  <c r="DO28" i="11"/>
  <c r="DO30" i="11" s="1"/>
  <c r="DO82" i="11"/>
  <c r="DO32" i="11"/>
  <c r="DO55" i="13"/>
  <c r="DM24" i="11"/>
  <c r="DM26" i="11" s="1"/>
  <c r="DM6" i="13"/>
  <c r="DQ20" i="11" l="1"/>
  <c r="DQ28" i="11" s="1"/>
  <c r="DQ30" i="11" s="1"/>
  <c r="DR78" i="12"/>
  <c r="DR20" i="11"/>
  <c r="DR38" i="11" s="1"/>
  <c r="DR47" i="11" s="1"/>
  <c r="DT56" i="12"/>
  <c r="DT14" i="12"/>
  <c r="DU7" i="12"/>
  <c r="DU15" i="11" s="1"/>
  <c r="DS18" i="11"/>
  <c r="DS82" i="12"/>
  <c r="DT15" i="11"/>
  <c r="DS22" i="12"/>
  <c r="DS71" i="12"/>
  <c r="DS81" i="12"/>
  <c r="DS57" i="12"/>
  <c r="DS60" i="12"/>
  <c r="DS66" i="12"/>
  <c r="DN48" i="11"/>
  <c r="DN35" i="11"/>
  <c r="DN6" i="13"/>
  <c r="DO38" i="11"/>
  <c r="DN55" i="11"/>
  <c r="DN90" i="11"/>
  <c r="DN83" i="11"/>
  <c r="DL58" i="12"/>
  <c r="DM17" i="13"/>
  <c r="DM40" i="12"/>
  <c r="DO35" i="11"/>
  <c r="DO55" i="11"/>
  <c r="DO83" i="11"/>
  <c r="DO6" i="13"/>
  <c r="DO24" i="11"/>
  <c r="DO26" i="11" s="1"/>
  <c r="DM48" i="11"/>
  <c r="DO47" i="11"/>
  <c r="DQ22" i="11" l="1"/>
  <c r="DQ24" i="11" s="1"/>
  <c r="DQ26" i="11" s="1"/>
  <c r="DQ55" i="13"/>
  <c r="DQ32" i="11"/>
  <c r="DQ55" i="11" s="1"/>
  <c r="DQ76" i="11"/>
  <c r="DQ38" i="11"/>
  <c r="DQ47" i="11" s="1"/>
  <c r="DQ82" i="11"/>
  <c r="DR55" i="13"/>
  <c r="DR89" i="11"/>
  <c r="DR28" i="11"/>
  <c r="DR30" i="11" s="1"/>
  <c r="DR48" i="11"/>
  <c r="DR82" i="11"/>
  <c r="DR32" i="11"/>
  <c r="DR35" i="11" s="1"/>
  <c r="DS78" i="12"/>
  <c r="DR76" i="11"/>
  <c r="DR22" i="11"/>
  <c r="DR6" i="13" s="1"/>
  <c r="DR86" i="12"/>
  <c r="DT57" i="12"/>
  <c r="DT60" i="12"/>
  <c r="DT66" i="12"/>
  <c r="DS19" i="11"/>
  <c r="DT71" i="12"/>
  <c r="DT81" i="12"/>
  <c r="DT22" i="12"/>
  <c r="DV7" i="12"/>
  <c r="DV15" i="11" s="1"/>
  <c r="DU56" i="12"/>
  <c r="DN17" i="13"/>
  <c r="DN40" i="12"/>
  <c r="DN42" i="12" s="1"/>
  <c r="DO42" i="12" s="1"/>
  <c r="DO48" i="11"/>
  <c r="DM42" i="12"/>
  <c r="DL61" i="12"/>
  <c r="DL64" i="12"/>
  <c r="DL62" i="12"/>
  <c r="DQ6" i="13" l="1"/>
  <c r="DL89" i="12"/>
  <c r="DL88" i="12"/>
  <c r="DQ83" i="11"/>
  <c r="DQ35" i="11"/>
  <c r="DR83" i="11"/>
  <c r="DR24" i="11"/>
  <c r="DR26" i="11" s="1"/>
  <c r="DR90" i="11"/>
  <c r="DO40" i="12"/>
  <c r="DO44" i="12" s="1"/>
  <c r="DR55" i="11"/>
  <c r="DR17" i="13"/>
  <c r="DO17" i="13"/>
  <c r="DV56" i="12"/>
  <c r="DQ48" i="11"/>
  <c r="DU60" i="12"/>
  <c r="DU57" i="12"/>
  <c r="DU66" i="12"/>
  <c r="DS20" i="11"/>
  <c r="DM44" i="12"/>
  <c r="DM45" i="12" s="1"/>
  <c r="DN44" i="12"/>
  <c r="DN45" i="12" s="1"/>
  <c r="DL67" i="12"/>
  <c r="DL68" i="12"/>
  <c r="DS32" i="11" l="1"/>
  <c r="DS55" i="13"/>
  <c r="DS28" i="11"/>
  <c r="DS30" i="11" s="1"/>
  <c r="DS38" i="11"/>
  <c r="DS89" i="11"/>
  <c r="DS22" i="11"/>
  <c r="DS76" i="11"/>
  <c r="DS86" i="12"/>
  <c r="DS82" i="11"/>
  <c r="DV66" i="12"/>
  <c r="DV57" i="12"/>
  <c r="DV60" i="12"/>
  <c r="DM58" i="12"/>
  <c r="DM62" i="12" s="1"/>
  <c r="DN58" i="12"/>
  <c r="DN61" i="12" s="1"/>
  <c r="DO45" i="12"/>
  <c r="DO58" i="12"/>
  <c r="DS24" i="11" l="1"/>
  <c r="DS26" i="11" s="1"/>
  <c r="DS6" i="13"/>
  <c r="DS47" i="11"/>
  <c r="DS55" i="11"/>
  <c r="DS90" i="11"/>
  <c r="DS35" i="11"/>
  <c r="DS83" i="11"/>
  <c r="DM61" i="12"/>
  <c r="DM64" i="12"/>
  <c r="DM68" i="12" s="1"/>
  <c r="DN64" i="12"/>
  <c r="DN62" i="12"/>
  <c r="DO64" i="12"/>
  <c r="DO61" i="12"/>
  <c r="DO62" i="12"/>
  <c r="DN88" i="12" l="1"/>
  <c r="DS48" i="11"/>
  <c r="DS17" i="13"/>
  <c r="DM67" i="12"/>
  <c r="DM88" i="12"/>
  <c r="DM89" i="12"/>
  <c r="DN89" i="12"/>
  <c r="DN68" i="12"/>
  <c r="DN67" i="12"/>
  <c r="DO87" i="12"/>
  <c r="DO67" i="12"/>
  <c r="DO68" i="12"/>
  <c r="DO88" i="12"/>
  <c r="DO89" i="12"/>
  <c r="DP76" i="12" l="1"/>
  <c r="DP77" i="12" l="1"/>
  <c r="DP8" i="16" l="1"/>
  <c r="DP7" i="16"/>
  <c r="DP39" i="16" l="1"/>
  <c r="DP51" i="16"/>
  <c r="DQ51" i="16"/>
  <c r="DP52" i="16"/>
  <c r="DQ52" i="16"/>
  <c r="DP71" i="39"/>
  <c r="DP74" i="39"/>
  <c r="DP100" i="39" s="1"/>
  <c r="DT8" i="16"/>
  <c r="DP11" i="16"/>
  <c r="DP9" i="11" s="1"/>
  <c r="DT7" i="16"/>
  <c r="DP57" i="16" s="1"/>
  <c r="DP40" i="16"/>
  <c r="DP12" i="11" l="1"/>
  <c r="DP6" i="11"/>
  <c r="DT6" i="11" s="1"/>
  <c r="DP16" i="11"/>
  <c r="DP17" i="11"/>
  <c r="DT17" i="11" s="1"/>
  <c r="DP7" i="11"/>
  <c r="DT7" i="11" s="1"/>
  <c r="DP13" i="11"/>
  <c r="DP86" i="11"/>
  <c r="DQ86" i="11"/>
  <c r="DP11" i="12"/>
  <c r="DP9" i="12"/>
  <c r="DP54" i="16"/>
  <c r="DQ54" i="16"/>
  <c r="DQ57" i="16"/>
  <c r="DT33" i="16"/>
  <c r="DT11" i="16"/>
  <c r="DP60" i="16" s="1"/>
  <c r="DU7" i="16"/>
  <c r="DT39" i="16"/>
  <c r="DT71" i="39"/>
  <c r="DS57" i="16"/>
  <c r="DR57" i="16"/>
  <c r="DT74" i="39"/>
  <c r="DT34" i="16"/>
  <c r="DU8" i="16"/>
  <c r="DT40" i="16"/>
  <c r="DR58" i="16"/>
  <c r="DQ58" i="16"/>
  <c r="DP58" i="16"/>
  <c r="DS58" i="16"/>
  <c r="DP42" i="16"/>
  <c r="DP46" i="16"/>
  <c r="DP36" i="16"/>
  <c r="DP7" i="39"/>
  <c r="DP45" i="16"/>
  <c r="DP97" i="39"/>
  <c r="DP81" i="39"/>
  <c r="DP102" i="39" s="1"/>
  <c r="DP14" i="39" s="1"/>
  <c r="DT12" i="11" l="1"/>
  <c r="DT16" i="11"/>
  <c r="DT13" i="11"/>
  <c r="DQ19" i="13"/>
  <c r="DP19" i="13"/>
  <c r="DQ21" i="13"/>
  <c r="DP21" i="13"/>
  <c r="DT9" i="11"/>
  <c r="DT45" i="16"/>
  <c r="DT46" i="16"/>
  <c r="DP37" i="39"/>
  <c r="DP30" i="39"/>
  <c r="DP35" i="39"/>
  <c r="DP36" i="39"/>
  <c r="DP26" i="39"/>
  <c r="DP39" i="39"/>
  <c r="DP38" i="39"/>
  <c r="DQ30" i="39"/>
  <c r="DP139" i="39"/>
  <c r="DP148" i="39" s="1"/>
  <c r="DS60" i="16"/>
  <c r="DT36" i="16"/>
  <c r="DT42" i="16"/>
  <c r="DR60" i="16"/>
  <c r="DT56" i="13"/>
  <c r="DT7" i="39"/>
  <c r="DQ60" i="16"/>
  <c r="DT92" i="39"/>
  <c r="DT91" i="39"/>
  <c r="DT97" i="39"/>
  <c r="DT81" i="39"/>
  <c r="DT102" i="39" s="1"/>
  <c r="DV8" i="16"/>
  <c r="DU74" i="39"/>
  <c r="DU64" i="16"/>
  <c r="DU40" i="16"/>
  <c r="DP17" i="39"/>
  <c r="DT14" i="39"/>
  <c r="DT17" i="39" s="1"/>
  <c r="DT100" i="39"/>
  <c r="DP48" i="16"/>
  <c r="DU39" i="16"/>
  <c r="DV7" i="16"/>
  <c r="DU71" i="39"/>
  <c r="DU11" i="16"/>
  <c r="DU46" i="16" s="1"/>
  <c r="DU63" i="16"/>
  <c r="DT48" i="16" l="1"/>
  <c r="DT19" i="13"/>
  <c r="DT72" i="12"/>
  <c r="DT73" i="12"/>
  <c r="DT78" i="12"/>
  <c r="DT69" i="11"/>
  <c r="DT68" i="11"/>
  <c r="DT21" i="13"/>
  <c r="DU45" i="16"/>
  <c r="DU48" i="16" s="1"/>
  <c r="DU100" i="39"/>
  <c r="DV74" i="39"/>
  <c r="DV40" i="16"/>
  <c r="DV64" i="16"/>
  <c r="DT90" i="39"/>
  <c r="DT93" i="39"/>
  <c r="DU42" i="16"/>
  <c r="DU36" i="16"/>
  <c r="DU7" i="39"/>
  <c r="DU9" i="11"/>
  <c r="DU56" i="13"/>
  <c r="DT39" i="39"/>
  <c r="DT139" i="39"/>
  <c r="DT148" i="39" s="1"/>
  <c r="DT26" i="39"/>
  <c r="DT36" i="39"/>
  <c r="DT38" i="39"/>
  <c r="DT35" i="39"/>
  <c r="DT37" i="39"/>
  <c r="DV71" i="39"/>
  <c r="DV39" i="16"/>
  <c r="DV63" i="16"/>
  <c r="DV11" i="16"/>
  <c r="DU67" i="16"/>
  <c r="DU91" i="39"/>
  <c r="DU97" i="39"/>
  <c r="DU81" i="39"/>
  <c r="DU102" i="39" s="1"/>
  <c r="DU14" i="39" s="1"/>
  <c r="DU17" i="39" s="1"/>
  <c r="DU92" i="39"/>
  <c r="DV46" i="16" l="1"/>
  <c r="DT94" i="39"/>
  <c r="DU90" i="39"/>
  <c r="DV93" i="16"/>
  <c r="DV67" i="16"/>
  <c r="DV101" i="16"/>
  <c r="DV100" i="39"/>
  <c r="DV91" i="39"/>
  <c r="DV81" i="39"/>
  <c r="DV102" i="39" s="1"/>
  <c r="DV14" i="39" s="1"/>
  <c r="DV17" i="39" s="1"/>
  <c r="DV92" i="39"/>
  <c r="DV97" i="39"/>
  <c r="DU7" i="11"/>
  <c r="DU11" i="12"/>
  <c r="DU12" i="11"/>
  <c r="DU13" i="11"/>
  <c r="DU17" i="11"/>
  <c r="DU9" i="12"/>
  <c r="DU6" i="11"/>
  <c r="DU16" i="11"/>
  <c r="DV94" i="16"/>
  <c r="DV102" i="16"/>
  <c r="DU88" i="16"/>
  <c r="DU71" i="16"/>
  <c r="DU79" i="16" s="1"/>
  <c r="DV56" i="13"/>
  <c r="DV42" i="16"/>
  <c r="DV9" i="11"/>
  <c r="DV36" i="16"/>
  <c r="DV7" i="39"/>
  <c r="DV45" i="16"/>
  <c r="DU39" i="39"/>
  <c r="DU26" i="39"/>
  <c r="DU38" i="39"/>
  <c r="DU139" i="39"/>
  <c r="DU36" i="39"/>
  <c r="DU35" i="39"/>
  <c r="DU37" i="39"/>
  <c r="DU93" i="39"/>
  <c r="DV48" i="16" l="1"/>
  <c r="DV90" i="39"/>
  <c r="DV93" i="39"/>
  <c r="DV16" i="11"/>
  <c r="DV13" i="11"/>
  <c r="DV17" i="11"/>
  <c r="DV12" i="11"/>
  <c r="DV11" i="12"/>
  <c r="DV7" i="11"/>
  <c r="DV6" i="11"/>
  <c r="DV9" i="12"/>
  <c r="DU19" i="13"/>
  <c r="DU148" i="39"/>
  <c r="DU138" i="39"/>
  <c r="DU147" i="39" s="1"/>
  <c r="DU137" i="39"/>
  <c r="DU146" i="39" s="1"/>
  <c r="DU21" i="13"/>
  <c r="DV105" i="16"/>
  <c r="DV88" i="16"/>
  <c r="DV97" i="16"/>
  <c r="DV71" i="16"/>
  <c r="DU78" i="16"/>
  <c r="DU62" i="11"/>
  <c r="DU80" i="16"/>
  <c r="DU81" i="16"/>
  <c r="DU14" i="11"/>
  <c r="DU89" i="16"/>
  <c r="DU20" i="39" s="1"/>
  <c r="DU9" i="39" s="1"/>
  <c r="DU77" i="16"/>
  <c r="DU76" i="16"/>
  <c r="DU75" i="16"/>
  <c r="DV38" i="39"/>
  <c r="DV37" i="39"/>
  <c r="DV39" i="39"/>
  <c r="DV35" i="39"/>
  <c r="DV36" i="39"/>
  <c r="DV139" i="39"/>
  <c r="DV26" i="39"/>
  <c r="DU94" i="39"/>
  <c r="DV94" i="39" l="1"/>
  <c r="DV21" i="13"/>
  <c r="DU73" i="11"/>
  <c r="DU64" i="11"/>
  <c r="DV137" i="39"/>
  <c r="DV146" i="39" s="1"/>
  <c r="DV148" i="39"/>
  <c r="DV138" i="39"/>
  <c r="DV147" i="39" s="1"/>
  <c r="DV81" i="16"/>
  <c r="DV62" i="11"/>
  <c r="DV77" i="16"/>
  <c r="DV98" i="16"/>
  <c r="DV107" i="16"/>
  <c r="DV89" i="16"/>
  <c r="DV20" i="39" s="1"/>
  <c r="DV9" i="39" s="1"/>
  <c r="DV80" i="16"/>
  <c r="DV78" i="16"/>
  <c r="DV14" i="11"/>
  <c r="DV76" i="16"/>
  <c r="DV75" i="16"/>
  <c r="DU11" i="39"/>
  <c r="DU27" i="39"/>
  <c r="DU8" i="39"/>
  <c r="DV79" i="16"/>
  <c r="DU72" i="16"/>
  <c r="DU90" i="16" s="1"/>
  <c r="DU18" i="11"/>
  <c r="DU11" i="11"/>
  <c r="DU82" i="12"/>
  <c r="DV19" i="13"/>
  <c r="DV64" i="11" l="1"/>
  <c r="DV81" i="11"/>
  <c r="DV73" i="11"/>
  <c r="DV11" i="39"/>
  <c r="DV27" i="39"/>
  <c r="DV8" i="39"/>
  <c r="DU83" i="12"/>
  <c r="DU72" i="11"/>
  <c r="DU19" i="11"/>
  <c r="DU10" i="11"/>
  <c r="DU67" i="11"/>
  <c r="DV11" i="11"/>
  <c r="DV82" i="12"/>
  <c r="DV72" i="16"/>
  <c r="DV90" i="16" s="1"/>
  <c r="DV18" i="11"/>
  <c r="DU20" i="11" l="1"/>
  <c r="DV10" i="11"/>
  <c r="DV67" i="11"/>
  <c r="DV19" i="11"/>
  <c r="DU26" i="12"/>
  <c r="DU10" i="12"/>
  <c r="DV72" i="11"/>
  <c r="DV83" i="12"/>
  <c r="DV20" i="11" l="1"/>
  <c r="DU20" i="13"/>
  <c r="DU14" i="12"/>
  <c r="DV26" i="12"/>
  <c r="DV22" i="13" s="1"/>
  <c r="DV10" i="12"/>
  <c r="DV20" i="13" s="1"/>
  <c r="DU22" i="13"/>
  <c r="DU30" i="12"/>
  <c r="DU32" i="11"/>
  <c r="DU22" i="11"/>
  <c r="DU76" i="11"/>
  <c r="DU55" i="13"/>
  <c r="DU38" i="11"/>
  <c r="DU47" i="11" s="1"/>
  <c r="DU28" i="11"/>
  <c r="DU30" i="11" s="1"/>
  <c r="DV18" i="13" l="1"/>
  <c r="DU24" i="11"/>
  <c r="DU26" i="11" s="1"/>
  <c r="DU6" i="13"/>
  <c r="DU18" i="13"/>
  <c r="DV14" i="12"/>
  <c r="DU55" i="11"/>
  <c r="DU35" i="11"/>
  <c r="DV76" i="11"/>
  <c r="DV32" i="11"/>
  <c r="DV22" i="11"/>
  <c r="DV55" i="13"/>
  <c r="DV28" i="11"/>
  <c r="DV30" i="11" s="1"/>
  <c r="DV38" i="11"/>
  <c r="DV47" i="11" s="1"/>
  <c r="DV82" i="11"/>
  <c r="DV30" i="12"/>
  <c r="DU48" i="11"/>
  <c r="DU36" i="12"/>
  <c r="DU81" i="12"/>
  <c r="DU22" i="12"/>
  <c r="DU71" i="12"/>
  <c r="DV48" i="11" l="1"/>
  <c r="DV35" i="11"/>
  <c r="DV83" i="11"/>
  <c r="DV55" i="11"/>
  <c r="DV22" i="12"/>
  <c r="DV78" i="12" s="1"/>
  <c r="DV71" i="12"/>
  <c r="DV81" i="12"/>
  <c r="DV36" i="12"/>
  <c r="DU78" i="12"/>
  <c r="DU86" i="12"/>
  <c r="DV6" i="13"/>
  <c r="DV24" i="11"/>
  <c r="DV26" i="11" s="1"/>
  <c r="DU17" i="13"/>
  <c r="DV86" i="12" l="1"/>
  <c r="DV17" i="13"/>
  <c r="DP63" i="16" l="1"/>
  <c r="DP101" i="16" s="1"/>
  <c r="DP64" i="16"/>
  <c r="DT64" i="16" s="1"/>
  <c r="DU102" i="16" l="1"/>
  <c r="DU94" i="16"/>
  <c r="DT85" i="16"/>
  <c r="DT94" i="16"/>
  <c r="DT102" i="16"/>
  <c r="DQ111" i="16"/>
  <c r="DQ110" i="16"/>
  <c r="DT63" i="16"/>
  <c r="DP67" i="16"/>
  <c r="DP110" i="16"/>
  <c r="DP111" i="16"/>
  <c r="DP102" i="16"/>
  <c r="DP94" i="16"/>
  <c r="DP93" i="16"/>
  <c r="DP114" i="16" l="1"/>
  <c r="DQ114" i="16"/>
  <c r="DP71" i="16"/>
  <c r="DP88" i="16"/>
  <c r="DP97" i="16"/>
  <c r="DP105" i="16"/>
  <c r="DT93" i="16"/>
  <c r="DT67" i="16"/>
  <c r="DT84" i="16"/>
  <c r="DT101" i="16"/>
  <c r="DU93" i="16"/>
  <c r="DU101" i="16"/>
  <c r="DP14" i="11" l="1"/>
  <c r="DP62" i="11"/>
  <c r="DU105" i="16"/>
  <c r="DT88" i="16"/>
  <c r="DT105" i="16"/>
  <c r="DU97" i="16"/>
  <c r="DT97" i="16"/>
  <c r="DT71" i="16"/>
  <c r="DT79" i="16" s="1"/>
  <c r="DP81" i="16"/>
  <c r="DP78" i="16"/>
  <c r="DP77" i="16"/>
  <c r="DP80" i="16"/>
  <c r="DP89" i="16"/>
  <c r="DP20" i="39" s="1"/>
  <c r="DP9" i="39" s="1"/>
  <c r="DP116" i="16"/>
  <c r="DQ116" i="16"/>
  <c r="DP98" i="16"/>
  <c r="DP107" i="16"/>
  <c r="DP76" i="16"/>
  <c r="DP75" i="16"/>
  <c r="DP79" i="16"/>
  <c r="DP64" i="11" l="1"/>
  <c r="DP73" i="11"/>
  <c r="DP72" i="16"/>
  <c r="DP90" i="16" s="1"/>
  <c r="DP18" i="11"/>
  <c r="DP19" i="11" s="1"/>
  <c r="DP82" i="12"/>
  <c r="DP11" i="11"/>
  <c r="DP81" i="11"/>
  <c r="DQ88" i="11"/>
  <c r="DT62" i="11"/>
  <c r="DP88" i="11"/>
  <c r="DP8" i="39"/>
  <c r="DQ31" i="39"/>
  <c r="DP27" i="39"/>
  <c r="DP11" i="39"/>
  <c r="DT11" i="39" s="1"/>
  <c r="DP31" i="39"/>
  <c r="DT9" i="39"/>
  <c r="DT78" i="16"/>
  <c r="DT80" i="16"/>
  <c r="DT107" i="16"/>
  <c r="DT81" i="16"/>
  <c r="DU98" i="16"/>
  <c r="DT77" i="16"/>
  <c r="DT89" i="16"/>
  <c r="DT20" i="39" s="1"/>
  <c r="DU107" i="16"/>
  <c r="DT98" i="16"/>
  <c r="DT76" i="16"/>
  <c r="DT75" i="16"/>
  <c r="DP72" i="11" l="1"/>
  <c r="DP67" i="11"/>
  <c r="DP10" i="11"/>
  <c r="DP20" i="11"/>
  <c r="DT19" i="11"/>
  <c r="DS83" i="12"/>
  <c r="DQ87" i="11"/>
  <c r="DP87" i="11"/>
  <c r="DQ83" i="12"/>
  <c r="DP83" i="12"/>
  <c r="DT8" i="39"/>
  <c r="DT27" i="39"/>
  <c r="DU81" i="11"/>
  <c r="DT64" i="11"/>
  <c r="DT81" i="11"/>
  <c r="DT73" i="11"/>
  <c r="DP28" i="11" l="1"/>
  <c r="DP30" i="11" s="1"/>
  <c r="DP76" i="11"/>
  <c r="DP32" i="11"/>
  <c r="DP22" i="11"/>
  <c r="DP55" i="13"/>
  <c r="DP82" i="11"/>
  <c r="DP38" i="11"/>
  <c r="DP89" i="11"/>
  <c r="DQ89" i="11"/>
  <c r="DT10" i="11"/>
  <c r="DP26" i="12"/>
  <c r="DP10" i="12"/>
  <c r="DT72" i="11"/>
  <c r="DT83" i="12"/>
  <c r="DP24" i="11" l="1"/>
  <c r="DP26" i="11" s="1"/>
  <c r="DP6" i="13"/>
  <c r="DQ20" i="13"/>
  <c r="DP20" i="13"/>
  <c r="DP14" i="12"/>
  <c r="DP35" i="11"/>
  <c r="DP55" i="11"/>
  <c r="DP83" i="11"/>
  <c r="DP90" i="11"/>
  <c r="DQ90" i="11"/>
  <c r="DP22" i="13"/>
  <c r="DP30" i="12"/>
  <c r="DQ22" i="13"/>
  <c r="DT11" i="11"/>
  <c r="DT74" i="12"/>
  <c r="DT75" i="12"/>
  <c r="DT76" i="12" s="1"/>
  <c r="DP47" i="11"/>
  <c r="DT38" i="11"/>
  <c r="DT77" i="12" l="1"/>
  <c r="DT22" i="13"/>
  <c r="DP36" i="12"/>
  <c r="DQ18" i="13"/>
  <c r="DT20" i="13"/>
  <c r="DP18" i="13"/>
  <c r="DT14" i="11"/>
  <c r="DT67" i="11"/>
  <c r="DP40" i="12"/>
  <c r="DP81" i="12"/>
  <c r="DP22" i="12"/>
  <c r="DP71" i="12"/>
  <c r="DP48" i="11"/>
  <c r="DT47" i="11"/>
  <c r="DT18" i="13" l="1"/>
  <c r="DQ40" i="12"/>
  <c r="DQ42" i="12" s="1"/>
  <c r="DQ44" i="12" s="1"/>
  <c r="DQ17" i="13"/>
  <c r="DP42" i="12"/>
  <c r="DP44" i="12" s="1"/>
  <c r="DQ86" i="12"/>
  <c r="DQ78" i="12"/>
  <c r="DP78" i="12"/>
  <c r="DP86" i="12"/>
  <c r="DT48" i="11"/>
  <c r="DT72" i="16"/>
  <c r="DT90" i="16" s="1"/>
  <c r="DT18" i="11"/>
  <c r="DT82" i="12"/>
  <c r="DP17" i="13"/>
  <c r="DR40" i="12" l="1"/>
  <c r="DS40" i="12" s="1"/>
  <c r="DT17" i="13"/>
  <c r="DT20" i="11"/>
  <c r="DT75" i="11"/>
  <c r="DQ45" i="12"/>
  <c r="DQ58" i="12"/>
  <c r="DP58" i="12"/>
  <c r="DP45" i="12"/>
  <c r="DR42" i="12" l="1"/>
  <c r="DR44" i="12" s="1"/>
  <c r="DT40" i="12"/>
  <c r="DS42" i="12"/>
  <c r="DT42" i="12" s="1"/>
  <c r="DQ64" i="12"/>
  <c r="DQ62" i="12"/>
  <c r="DQ61" i="12"/>
  <c r="DP61" i="12"/>
  <c r="DP62" i="12"/>
  <c r="DP64" i="12"/>
  <c r="DT86" i="12"/>
  <c r="DT32" i="11"/>
  <c r="DT55" i="13"/>
  <c r="DT22" i="11"/>
  <c r="DT76" i="11"/>
  <c r="DT82" i="11"/>
  <c r="DT28" i="11"/>
  <c r="DT30" i="11" s="1"/>
  <c r="DU82" i="11"/>
  <c r="DR58" i="12" l="1"/>
  <c r="DR64" i="12" s="1"/>
  <c r="DR45" i="12"/>
  <c r="DP67" i="12"/>
  <c r="DP68" i="12"/>
  <c r="DP88" i="12"/>
  <c r="DP89" i="12"/>
  <c r="DT24" i="11"/>
  <c r="DT26" i="11" s="1"/>
  <c r="DT6" i="13"/>
  <c r="DS44" i="12"/>
  <c r="DQ68" i="12"/>
  <c r="DQ67" i="12"/>
  <c r="DQ88" i="12"/>
  <c r="DQ89" i="12"/>
  <c r="DT35" i="11"/>
  <c r="DT55" i="11"/>
  <c r="DT83" i="11"/>
  <c r="DU83" i="11"/>
  <c r="DT44" i="12"/>
  <c r="DU40" i="12"/>
  <c r="DR62" i="12" l="1"/>
  <c r="DR61" i="12"/>
  <c r="DU42" i="12"/>
  <c r="DU44" i="12" s="1"/>
  <c r="DV40" i="12"/>
  <c r="DT58" i="12"/>
  <c r="DT45" i="12"/>
  <c r="DR68" i="12"/>
  <c r="DR89" i="12"/>
  <c r="DR88" i="12"/>
  <c r="DR67" i="12"/>
  <c r="DS58" i="12"/>
  <c r="DS45" i="12"/>
  <c r="DS62" i="12" l="1"/>
  <c r="DS64" i="12"/>
  <c r="DS61" i="12"/>
  <c r="DT62" i="12"/>
  <c r="DT61" i="12"/>
  <c r="DT64" i="12"/>
  <c r="DV42" i="12"/>
  <c r="DV44" i="12" s="1"/>
  <c r="DU58" i="12"/>
  <c r="DU45" i="12"/>
  <c r="DT68" i="12" l="1"/>
  <c r="DT67" i="12"/>
  <c r="DT87" i="12"/>
  <c r="DT88" i="12"/>
  <c r="DT89" i="12"/>
  <c r="DV58" i="12"/>
  <c r="DV45" i="12"/>
  <c r="DU61" i="12"/>
  <c r="DU62" i="12"/>
  <c r="DU64" i="12"/>
  <c r="DS68" i="12"/>
  <c r="DS67" i="12"/>
  <c r="DS89" i="12"/>
  <c r="DS88" i="12"/>
  <c r="DU67" i="12" l="1"/>
  <c r="DU89" i="12"/>
  <c r="DU88" i="12"/>
  <c r="DU68" i="12"/>
  <c r="DU87" i="12"/>
  <c r="DV61" i="12"/>
  <c r="DV62" i="12"/>
  <c r="DV64" i="12"/>
  <c r="DV68" i="12" l="1"/>
  <c r="DV67" i="12"/>
  <c r="DV87" i="12"/>
  <c r="DV89" i="12"/>
  <c r="DV8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Person0881, Person0405 </author>
    <author>Author2</author>
    <author>Person0143, Person1222 </author>
    <author>Person1168, Person0812 J </author>
    <author>Person0306, Person0247 H </author>
    <author>Author6</author>
  </authors>
  <commentList>
    <comment ref="BQ3" authorId="0" shapeId="0" xr:uid="{00000000-0006-0000-0200-000001000000}">
      <text>
        <r>
          <rPr>
            <b/>
            <sz val="9"/>
            <color indexed="81"/>
            <rFont val="Tahoma"/>
            <family val="2"/>
          </rPr>
          <t>Author:</t>
        </r>
        <r>
          <rPr>
            <sz val="9"/>
            <color indexed="81"/>
            <rFont val="Tahoma"/>
            <family val="2"/>
          </rPr>
          <t xml:space="preserve">
Restated to exclude IS&amp;Ticker0015</t>
        </r>
      </text>
    </comment>
    <comment ref="AR4" authorId="1" shapeId="0" xr:uid="{00000000-0006-0000-0200-000002000000}">
      <text>
        <r>
          <rPr>
            <b/>
            <sz val="8"/>
            <color indexed="81"/>
            <rFont val="Tahoma"/>
            <family val="2"/>
          </rPr>
          <t>Author:</t>
        </r>
        <r>
          <rPr>
            <sz val="8"/>
            <color indexed="81"/>
            <rFont val="Tahoma"/>
            <family val="2"/>
          </rPr>
          <t xml:space="preserve">
10-K doesn’t match quarterly statements b/c of restated IS&amp;Ticker0015 for divestures</t>
        </r>
      </text>
    </comment>
    <comment ref="CT7" authorId="2" shapeId="0" xr:uid="{F61A979D-A332-45D3-A32B-D12BBF22A51E}">
      <text>
        <r>
          <rPr>
            <b/>
            <sz val="9"/>
            <color indexed="81"/>
            <rFont val="Tahoma"/>
            <family val="2"/>
          </rPr>
          <t>Author:</t>
        </r>
        <r>
          <rPr>
            <sz val="9"/>
            <color indexed="81"/>
            <rFont val="Tahoma"/>
            <family val="2"/>
          </rPr>
          <t xml:space="preserve">
Resegmented to sales of equipment</t>
        </r>
      </text>
    </comment>
    <comment ref="CT10" authorId="2" shapeId="0" xr:uid="{91538459-27B5-4B0F-9DCC-2ECAA847D31E}">
      <text>
        <r>
          <rPr>
            <b/>
            <sz val="9"/>
            <color indexed="81"/>
            <rFont val="Tahoma"/>
            <family val="2"/>
          </rPr>
          <t>Author:</t>
        </r>
        <r>
          <rPr>
            <sz val="9"/>
            <color indexed="81"/>
            <rFont val="Tahoma"/>
            <family val="2"/>
          </rPr>
          <t xml:space="preserve">
Resegmented to Insurance revenues</t>
        </r>
      </text>
    </comment>
    <comment ref="CV17" authorId="2" shapeId="0" xr:uid="{0D315A23-EB2B-49CA-A10A-A1DFD93BD127}">
      <text>
        <r>
          <rPr>
            <b/>
            <sz val="9"/>
            <color indexed="81"/>
            <rFont val="Tahoma"/>
            <family val="2"/>
          </rPr>
          <t>Author:</t>
        </r>
        <r>
          <rPr>
            <sz val="9"/>
            <color indexed="81"/>
            <rFont val="Tahoma"/>
            <family val="2"/>
          </rPr>
          <t xml:space="preserve">
Including seperation costs here</t>
        </r>
      </text>
    </comment>
    <comment ref="DG22" authorId="3" shapeId="0" xr:uid="{4949B6D0-FAF2-432C-96C2-738CB50A5779}">
      <text>
        <r>
          <rPr>
            <b/>
            <sz val="9"/>
            <color indexed="81"/>
            <rFont val="Tahoma"/>
            <family val="2"/>
          </rPr>
          <t>Author:</t>
        </r>
        <r>
          <rPr>
            <sz val="9"/>
            <color indexed="81"/>
            <rFont val="Tahoma"/>
            <family val="2"/>
          </rPr>
          <t xml:space="preserve">
+2 to match 10-Q</t>
        </r>
      </text>
    </comment>
    <comment ref="DK44" authorId="4" shapeId="0" xr:uid="{10EE0633-905B-4A27-A875-5CFD146FEB02}">
      <text>
        <r>
          <rPr>
            <b/>
            <sz val="9"/>
            <color indexed="81"/>
            <rFont val="Tahoma"/>
            <family val="2"/>
          </rPr>
          <t>Author:</t>
        </r>
        <r>
          <rPr>
            <sz val="9"/>
            <color indexed="81"/>
            <rFont val="Tahoma"/>
            <family val="2"/>
          </rPr>
          <t xml:space="preserve">
page 5 of PR, in equity section</t>
        </r>
      </text>
    </comment>
    <comment ref="J47" authorId="5" shapeId="0" xr:uid="{00000000-0006-0000-0200-000007000000}">
      <text>
        <r>
          <rPr>
            <b/>
            <sz val="8"/>
            <color indexed="81"/>
            <rFont val="Tahoma"/>
            <family val="2"/>
          </rPr>
          <t>Author:</t>
        </r>
        <r>
          <rPr>
            <sz val="8"/>
            <color indexed="81"/>
            <rFont val="Tahoma"/>
            <family val="2"/>
          </rPr>
          <t xml:space="preserve">
round off  error
</t>
        </r>
      </text>
    </comment>
    <comment ref="L47" authorId="5" shapeId="0" xr:uid="{00000000-0006-0000-0200-000008000000}">
      <text>
        <r>
          <rPr>
            <b/>
            <sz val="8"/>
            <color indexed="81"/>
            <rFont val="Tahoma"/>
            <family val="2"/>
          </rPr>
          <t>Author:</t>
        </r>
        <r>
          <rPr>
            <sz val="8"/>
            <color indexed="81"/>
            <rFont val="Tahoma"/>
            <family val="2"/>
          </rPr>
          <t xml:space="preserve">
round off  error
</t>
        </r>
      </text>
    </comment>
    <comment ref="DG57" authorId="3" shapeId="0" xr:uid="{39A3F434-D27B-4594-B3F6-7DFDC1EA97EB}">
      <text>
        <r>
          <rPr>
            <b/>
            <sz val="9"/>
            <color indexed="81"/>
            <rFont val="Tahoma"/>
            <family val="2"/>
          </rPr>
          <t>Author:</t>
        </r>
        <r>
          <rPr>
            <sz val="9"/>
            <color indexed="81"/>
            <rFont val="Tahoma"/>
            <family val="2"/>
          </rPr>
          <t xml:space="preserve">
+2 rounding</t>
        </r>
      </text>
    </comment>
    <comment ref="DL57" authorId="4" shapeId="0" xr:uid="{1BAEBD06-B559-4268-B439-6628D283ED6E}">
      <text>
        <r>
          <rPr>
            <b/>
            <sz val="9"/>
            <color indexed="81"/>
            <rFont val="Tahoma"/>
            <family val="2"/>
          </rPr>
          <t>Author:</t>
        </r>
        <r>
          <rPr>
            <sz val="9"/>
            <color indexed="81"/>
            <rFont val="Tahoma"/>
            <family val="2"/>
          </rPr>
          <t xml:space="preserve">
+1 to match reported</t>
        </r>
      </text>
    </comment>
    <comment ref="DL67" authorId="4" shapeId="0" xr:uid="{D2A37C5D-18F2-4960-BCA0-8EB956286DB4}">
      <text>
        <r>
          <rPr>
            <b/>
            <sz val="9"/>
            <color indexed="81"/>
            <rFont val="Tahoma"/>
            <family val="2"/>
          </rPr>
          <t>Author:</t>
        </r>
        <r>
          <rPr>
            <sz val="9"/>
            <color indexed="81"/>
            <rFont val="Tahoma"/>
            <family val="2"/>
          </rPr>
          <t xml:space="preserve">
+1 to match reported</t>
        </r>
      </text>
    </comment>
    <comment ref="DG74" authorId="3" shapeId="0" xr:uid="{02450526-B4C7-424F-A8AD-4D6E78B5C0E1}">
      <text>
        <r>
          <rPr>
            <b/>
            <sz val="9"/>
            <color indexed="81"/>
            <rFont val="Tahoma"/>
            <family val="2"/>
          </rPr>
          <t>Author:</t>
        </r>
        <r>
          <rPr>
            <sz val="9"/>
            <color indexed="81"/>
            <rFont val="Tahoma"/>
            <family val="2"/>
          </rPr>
          <t xml:space="preserve">
+1 rounding</t>
        </r>
      </text>
    </comment>
    <comment ref="DH110" authorId="3" shapeId="0" xr:uid="{3B2182E8-95BD-44E3-88B6-D821F1F9AB87}">
      <text>
        <r>
          <rPr>
            <b/>
            <sz val="9"/>
            <color indexed="81"/>
            <rFont val="Tahoma"/>
            <family val="2"/>
          </rPr>
          <t>Author:</t>
        </r>
        <r>
          <rPr>
            <sz val="9"/>
            <color indexed="81"/>
            <rFont val="Tahoma"/>
            <family val="2"/>
          </rPr>
          <t xml:space="preserve">
-2 to match 10-Q</t>
        </r>
      </text>
    </comment>
    <comment ref="DI110" authorId="4" shapeId="0" xr:uid="{65879AF2-7BAD-4B4A-BC57-A82D18F10216}">
      <text>
        <r>
          <rPr>
            <b/>
            <sz val="9"/>
            <color indexed="81"/>
            <rFont val="Tahoma"/>
            <family val="2"/>
          </rPr>
          <t>Author:</t>
        </r>
        <r>
          <rPr>
            <sz val="9"/>
            <color indexed="81"/>
            <rFont val="Tahoma"/>
            <family val="2"/>
          </rPr>
          <t xml:space="preserve">
+1 to match reported</t>
        </r>
      </text>
    </comment>
    <comment ref="DI138" authorId="4" shapeId="0" xr:uid="{4C706694-728D-49A7-9776-474C07AEBAB6}">
      <text>
        <r>
          <rPr>
            <b/>
            <sz val="9"/>
            <color indexed="81"/>
            <rFont val="Tahoma"/>
            <family val="2"/>
          </rPr>
          <t>Author:</t>
        </r>
        <r>
          <rPr>
            <sz val="9"/>
            <color indexed="81"/>
            <rFont val="Tahoma"/>
            <family val="2"/>
          </rPr>
          <t xml:space="preserve">
+1 to match reported</t>
        </r>
      </text>
    </comment>
    <comment ref="CL153" authorId="2" shapeId="0" xr:uid="{7682AC35-368C-4487-A184-FC88E2B863EF}">
      <text>
        <r>
          <rPr>
            <b/>
            <sz val="9"/>
            <color indexed="81"/>
            <rFont val="Tahoma"/>
            <family val="2"/>
          </rPr>
          <t>Author:</t>
        </r>
        <r>
          <rPr>
            <sz val="9"/>
            <color indexed="81"/>
            <rFont val="Tahoma"/>
            <family val="2"/>
          </rPr>
          <t xml:space="preserve">
in 10-Q</t>
        </r>
      </text>
    </comment>
    <comment ref="DA153" authorId="2" shapeId="0" xr:uid="{943C1F7E-BE1A-4128-B8F7-50DE1A4DACB6}">
      <text>
        <r>
          <rPr>
            <b/>
            <sz val="9"/>
            <color indexed="81"/>
            <rFont val="Tahoma"/>
            <family val="2"/>
          </rPr>
          <t>Author:</t>
        </r>
        <r>
          <rPr>
            <sz val="9"/>
            <color indexed="81"/>
            <rFont val="Tahoma"/>
            <family val="2"/>
          </rPr>
          <t xml:space="preserve">
plugged to tag to FY23 pro forma numbers given at investor day</t>
        </r>
      </text>
    </comment>
    <comment ref="DE153" authorId="2" shapeId="0" xr:uid="{6944A696-6510-427E-84C0-CBE32787EA0B}">
      <text>
        <r>
          <rPr>
            <b/>
            <sz val="9"/>
            <color indexed="81"/>
            <rFont val="Tahoma"/>
            <family val="2"/>
          </rPr>
          <t>Author:</t>
        </r>
        <r>
          <rPr>
            <sz val="9"/>
            <color indexed="81"/>
            <rFont val="Tahoma"/>
            <family val="2"/>
          </rPr>
          <t xml:space="preserve">
Investor day: 23.9</t>
        </r>
      </text>
    </comment>
    <comment ref="DK153" authorId="4" shapeId="0" xr:uid="{12414656-79F0-4A0A-8DA2-C3BC85558271}">
      <text>
        <r>
          <rPr>
            <b/>
            <sz val="9"/>
            <color indexed="81"/>
            <rFont val="Tahoma"/>
            <family val="2"/>
          </rPr>
          <t>Author:</t>
        </r>
        <r>
          <rPr>
            <sz val="9"/>
            <color indexed="81"/>
            <rFont val="Tahoma"/>
            <family val="2"/>
          </rPr>
          <t xml:space="preserve">
page 3 of PR, top section</t>
        </r>
      </text>
    </comment>
    <comment ref="DE154" authorId="2" shapeId="0" xr:uid="{27E26C8B-53D2-44BF-BDDE-535AE5896005}">
      <text>
        <r>
          <rPr>
            <b/>
            <sz val="9"/>
            <color indexed="81"/>
            <rFont val="Tahoma"/>
            <family val="2"/>
          </rPr>
          <t>Author:</t>
        </r>
        <r>
          <rPr>
            <sz val="9"/>
            <color indexed="81"/>
            <rFont val="Tahoma"/>
            <family val="2"/>
          </rPr>
          <t xml:space="preserve">
Investor Day: 9,000</t>
        </r>
      </text>
    </comment>
    <comment ref="DK154" authorId="4" shapeId="0" xr:uid="{A37680D9-6F47-410A-BC1E-66EF80BF7EAA}">
      <text>
        <r>
          <rPr>
            <b/>
            <sz val="9"/>
            <color indexed="81"/>
            <rFont val="Tahoma"/>
            <family val="2"/>
          </rPr>
          <t>Author:</t>
        </r>
        <r>
          <rPr>
            <sz val="9"/>
            <color indexed="81"/>
            <rFont val="Tahoma"/>
            <family val="2"/>
          </rPr>
          <t xml:space="preserve">
page 3 of PR, bottom section</t>
        </r>
      </text>
    </comment>
    <comment ref="DA155" authorId="2" shapeId="0" xr:uid="{55D1C25E-629B-4EAE-A10A-DBC8630C268F}">
      <text>
        <r>
          <rPr>
            <b/>
            <sz val="9"/>
            <color indexed="81"/>
            <rFont val="Tahoma"/>
            <family val="2"/>
          </rPr>
          <t>Author:</t>
        </r>
        <r>
          <rPr>
            <sz val="9"/>
            <color indexed="81"/>
            <rFont val="Tahoma"/>
            <family val="2"/>
          </rPr>
          <t xml:space="preserve">
plugged to tag to FY23 pro forma numbers given at investor day</t>
        </r>
      </text>
    </comment>
    <comment ref="DK157" authorId="4" shapeId="0" xr:uid="{CDB7CCC3-2DDA-448D-B480-8C5DEBB6A5F7}">
      <text>
        <r>
          <rPr>
            <b/>
            <sz val="9"/>
            <color indexed="81"/>
            <rFont val="Tahoma"/>
            <family val="2"/>
          </rPr>
          <t>Author:</t>
        </r>
        <r>
          <rPr>
            <sz val="9"/>
            <color indexed="81"/>
            <rFont val="Tahoma"/>
            <family val="2"/>
          </rPr>
          <t xml:space="preserve">
"adjusted revenue"
under non-gaap metrics on page 2 of the PR</t>
        </r>
      </text>
    </comment>
    <comment ref="DK161" authorId="4" shapeId="0" xr:uid="{08AC4D1F-5B32-48C1-AB3B-A8C5C527A666}">
      <text>
        <r>
          <rPr>
            <b/>
            <sz val="9"/>
            <color indexed="81"/>
            <rFont val="Tahoma"/>
            <family val="2"/>
          </rPr>
          <t>Author:</t>
        </r>
        <r>
          <rPr>
            <sz val="9"/>
            <color indexed="81"/>
            <rFont val="Tahoma"/>
            <family val="2"/>
          </rPr>
          <t xml:space="preserve">
page 3 of PR, top section</t>
        </r>
      </text>
    </comment>
    <comment ref="DK162" authorId="4" shapeId="0" xr:uid="{A7A998FC-1F9D-461E-88B2-D1EFB3BD0F1A}">
      <text>
        <r>
          <rPr>
            <b/>
            <sz val="9"/>
            <color indexed="81"/>
            <rFont val="Tahoma"/>
            <family val="2"/>
          </rPr>
          <t>Author:</t>
        </r>
        <r>
          <rPr>
            <sz val="9"/>
            <color indexed="81"/>
            <rFont val="Tahoma"/>
            <family val="2"/>
          </rPr>
          <t xml:space="preserve">
page 3 of PR, bottom section</t>
        </r>
      </text>
    </comment>
    <comment ref="DJ166" authorId="4" shapeId="0" xr:uid="{7088A2D3-3C08-494B-89F2-7E31CBB2AF84}">
      <text>
        <r>
          <rPr>
            <b/>
            <sz val="9"/>
            <color indexed="81"/>
            <rFont val="Tahoma"/>
            <family val="2"/>
          </rPr>
          <t>Author:</t>
        </r>
        <r>
          <rPr>
            <sz val="9"/>
            <color indexed="81"/>
            <rFont val="Tahoma"/>
            <family val="2"/>
          </rPr>
          <t xml:space="preserve">
-1 to match reported</t>
        </r>
      </text>
    </comment>
    <comment ref="DK167" authorId="4" shapeId="0" xr:uid="{641A5916-15A8-49FD-865B-5596F9A1375A}">
      <text>
        <r>
          <rPr>
            <b/>
            <sz val="9"/>
            <color indexed="81"/>
            <rFont val="Tahoma"/>
            <family val="2"/>
          </rPr>
          <t>Author:</t>
        </r>
        <r>
          <rPr>
            <sz val="9"/>
            <color indexed="81"/>
            <rFont val="Tahoma"/>
            <family val="2"/>
          </rPr>
          <t xml:space="preserve">
"operating profit"
under non-gaap metrics on page 2 of the PR</t>
        </r>
      </text>
    </comment>
    <comment ref="DD202" authorId="3" shapeId="0" xr:uid="{0770604B-D63E-4E66-A6F4-4D0B66810F3D}">
      <text>
        <r>
          <rPr>
            <b/>
            <sz val="9"/>
            <color indexed="81"/>
            <rFont val="Tahoma"/>
            <family val="2"/>
          </rPr>
          <t>Author:</t>
        </r>
        <r>
          <rPr>
            <sz val="9"/>
            <color indexed="81"/>
            <rFont val="Tahoma"/>
            <family val="2"/>
          </rPr>
          <t xml:space="preserve">
Company website &gt; stock &gt; div history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Person0143, Person1222 </author>
    <author>Person1168, Person0812 J </author>
    <author>Person0306, Person0247 H </author>
  </authors>
  <commentList>
    <comment ref="CL7" authorId="0" shapeId="0" xr:uid="{05B5227E-917C-45F4-818B-AAE808C75997}">
      <text>
        <r>
          <rPr>
            <b/>
            <sz val="9"/>
            <color indexed="81"/>
            <rFont val="Tahoma"/>
            <family val="2"/>
          </rPr>
          <t>Author:</t>
        </r>
        <r>
          <rPr>
            <sz val="9"/>
            <color indexed="81"/>
            <rFont val="Tahoma"/>
            <family val="2"/>
          </rPr>
          <t xml:space="preserve">
PR</t>
        </r>
      </text>
    </comment>
    <comment ref="DD7" authorId="1" shapeId="0" xr:uid="{BB0EBB87-42D3-4481-A885-5A9F12BF22A7}">
      <text>
        <r>
          <rPr>
            <b/>
            <sz val="9"/>
            <color indexed="81"/>
            <rFont val="Tahoma"/>
            <family val="2"/>
          </rPr>
          <t>Author:</t>
        </r>
        <r>
          <rPr>
            <sz val="9"/>
            <color indexed="81"/>
            <rFont val="Tahoma"/>
            <family val="2"/>
          </rPr>
          <t xml:space="preserve">
PR</t>
        </r>
      </text>
    </comment>
    <comment ref="CL14" authorId="0" shapeId="0" xr:uid="{B12CBF37-0B14-44B2-8D19-1032530954CB}">
      <text>
        <r>
          <rPr>
            <b/>
            <sz val="9"/>
            <color indexed="81"/>
            <rFont val="Tahoma"/>
            <family val="2"/>
          </rPr>
          <t>Author:</t>
        </r>
        <r>
          <rPr>
            <sz val="9"/>
            <color indexed="81"/>
            <rFont val="Tahoma"/>
            <family val="2"/>
          </rPr>
          <t xml:space="preserve">
PR</t>
        </r>
      </text>
    </comment>
    <comment ref="DD14" authorId="1" shapeId="0" xr:uid="{CB539AE5-1B21-40B2-833F-F4308EE28AFB}">
      <text>
        <r>
          <rPr>
            <b/>
            <sz val="9"/>
            <color indexed="81"/>
            <rFont val="Tahoma"/>
            <family val="2"/>
          </rPr>
          <t>Author:</t>
        </r>
        <r>
          <rPr>
            <sz val="9"/>
            <color indexed="81"/>
            <rFont val="Tahoma"/>
            <family val="2"/>
          </rPr>
          <t xml:space="preserve">
PR</t>
        </r>
      </text>
    </comment>
    <comment ref="CZ42" authorId="1" shapeId="0" xr:uid="{01C543A6-7435-494F-BEC6-96FA12C7185D}">
      <text>
        <r>
          <rPr>
            <b/>
            <sz val="9"/>
            <color indexed="81"/>
            <rFont val="Tahoma"/>
            <family val="2"/>
          </rPr>
          <t>Author:</t>
        </r>
        <r>
          <rPr>
            <sz val="9"/>
            <color indexed="81"/>
            <rFont val="Tahoma"/>
            <family val="2"/>
          </rPr>
          <t xml:space="preserve">
10-K</t>
        </r>
      </text>
    </comment>
    <comment ref="DE42" authorId="1" shapeId="0" xr:uid="{EB9ABED5-C900-4174-A71B-473EC6FC2A47}">
      <text>
        <r>
          <rPr>
            <b/>
            <sz val="9"/>
            <color indexed="81"/>
            <rFont val="Tahoma"/>
            <family val="2"/>
          </rPr>
          <t>Author:</t>
        </r>
        <r>
          <rPr>
            <sz val="9"/>
            <color indexed="81"/>
            <rFont val="Tahoma"/>
            <family val="2"/>
          </rPr>
          <t xml:space="preserve">
10-K</t>
        </r>
      </text>
    </comment>
    <comment ref="CL51" authorId="0" shapeId="0" xr:uid="{AE9EF0C9-6D64-4259-B5C7-B0C9D10ACD9B}">
      <text>
        <r>
          <rPr>
            <b/>
            <sz val="9"/>
            <color indexed="81"/>
            <rFont val="Tahoma"/>
            <family val="2"/>
          </rPr>
          <t>Author:</t>
        </r>
        <r>
          <rPr>
            <sz val="9"/>
            <color indexed="81"/>
            <rFont val="Tahoma"/>
            <family val="2"/>
          </rPr>
          <t xml:space="preserve">
10-Q</t>
        </r>
      </text>
    </comment>
    <comment ref="CR51" authorId="0" shapeId="0" xr:uid="{B9DAD418-6910-496B-AF71-6594932CC601}">
      <text>
        <r>
          <rPr>
            <b/>
            <sz val="9"/>
            <color indexed="81"/>
            <rFont val="Tahoma"/>
            <family val="2"/>
          </rPr>
          <t>Author:</t>
        </r>
        <r>
          <rPr>
            <sz val="9"/>
            <color indexed="81"/>
            <rFont val="Tahoma"/>
            <family val="2"/>
          </rPr>
          <t xml:space="preserve">
Deck - supplemental info</t>
        </r>
      </text>
    </comment>
    <comment ref="DD51" authorId="1" shapeId="0" xr:uid="{1D6081A4-257F-40E8-8BFF-BC28EDB43429}">
      <text>
        <r>
          <rPr>
            <b/>
            <sz val="9"/>
            <color indexed="81"/>
            <rFont val="Tahoma"/>
            <family val="2"/>
          </rPr>
          <t>Author:</t>
        </r>
        <r>
          <rPr>
            <sz val="9"/>
            <color indexed="81"/>
            <rFont val="Tahoma"/>
            <family val="2"/>
          </rPr>
          <t xml:space="preserve">
Deck</t>
        </r>
      </text>
    </comment>
    <comment ref="CL55" authorId="0" shapeId="0" xr:uid="{0835CA89-EBFA-47DB-A1F3-365AB67EDC49}">
      <text>
        <r>
          <rPr>
            <b/>
            <sz val="9"/>
            <color indexed="81"/>
            <rFont val="Tahoma"/>
            <family val="2"/>
          </rPr>
          <t>Author:</t>
        </r>
        <r>
          <rPr>
            <sz val="9"/>
            <color indexed="81"/>
            <rFont val="Tahoma"/>
            <family val="2"/>
          </rPr>
          <t xml:space="preserve">
10-Q</t>
        </r>
      </text>
    </comment>
    <comment ref="CL71" authorId="0" shapeId="0" xr:uid="{305B15AC-DDE9-4AC3-9C76-BFE51F815902}">
      <text>
        <r>
          <rPr>
            <b/>
            <sz val="9"/>
            <color indexed="81"/>
            <rFont val="Tahoma"/>
            <family val="2"/>
          </rPr>
          <t>Author:</t>
        </r>
        <r>
          <rPr>
            <sz val="9"/>
            <color indexed="81"/>
            <rFont val="Tahoma"/>
            <family val="2"/>
          </rPr>
          <t xml:space="preserve">
10-Q</t>
        </r>
      </text>
    </comment>
    <comment ref="CX71" authorId="1" shapeId="0" xr:uid="{851DB74F-7763-417C-BCFF-8B069AF5291E}">
      <text>
        <r>
          <rPr>
            <b/>
            <sz val="9"/>
            <color indexed="81"/>
            <rFont val="Tahoma"/>
            <family val="2"/>
          </rPr>
          <t>Author:</t>
        </r>
        <r>
          <rPr>
            <sz val="9"/>
            <color indexed="81"/>
            <rFont val="Tahoma"/>
            <family val="2"/>
          </rPr>
          <t xml:space="preserve">
10-Q</t>
        </r>
      </text>
    </comment>
    <comment ref="CZ71" authorId="1" shapeId="0" xr:uid="{03777A48-3F71-41D8-91A4-C7366B81F7E1}">
      <text>
        <r>
          <rPr>
            <b/>
            <sz val="9"/>
            <color indexed="81"/>
            <rFont val="Tahoma"/>
            <family val="2"/>
          </rPr>
          <t>Author:</t>
        </r>
        <r>
          <rPr>
            <sz val="9"/>
            <color indexed="81"/>
            <rFont val="Tahoma"/>
            <family val="2"/>
          </rPr>
          <t xml:space="preserve">
10-K</t>
        </r>
      </text>
    </comment>
    <comment ref="CL72" authorId="0" shapeId="0" xr:uid="{E9FAAA46-7B20-47A1-8E27-88E3D6E6B4CA}">
      <text>
        <r>
          <rPr>
            <b/>
            <sz val="9"/>
            <color indexed="81"/>
            <rFont val="Tahoma"/>
            <family val="2"/>
          </rPr>
          <t>Author:</t>
        </r>
        <r>
          <rPr>
            <sz val="9"/>
            <color indexed="81"/>
            <rFont val="Tahoma"/>
            <family val="2"/>
          </rPr>
          <t xml:space="preserve">
Found in Deck</t>
        </r>
      </text>
    </comment>
    <comment ref="CQ72" authorId="0" shapeId="0" xr:uid="{9DC0580F-3327-4FBA-943A-774E03C12101}">
      <text>
        <r>
          <rPr>
            <b/>
            <sz val="9"/>
            <color indexed="81"/>
            <rFont val="Tahoma"/>
            <family val="2"/>
          </rPr>
          <t>Author:</t>
        </r>
        <r>
          <rPr>
            <sz val="9"/>
            <color indexed="81"/>
            <rFont val="Tahoma"/>
            <family val="2"/>
          </rPr>
          <t xml:space="preserve">
These are in Deck</t>
        </r>
      </text>
    </comment>
    <comment ref="DD72" authorId="1" shapeId="0" xr:uid="{F2FF3CBC-6419-44DD-BE6F-57D27B51A962}">
      <text>
        <r>
          <rPr>
            <b/>
            <sz val="9"/>
            <color indexed="81"/>
            <rFont val="Tahoma"/>
            <family val="2"/>
          </rPr>
          <t>Author:</t>
        </r>
        <r>
          <rPr>
            <sz val="9"/>
            <color indexed="81"/>
            <rFont val="Tahoma"/>
            <family val="2"/>
          </rPr>
          <t xml:space="preserve">
Deck</t>
        </r>
      </text>
    </comment>
    <comment ref="CL73" authorId="0" shapeId="0" xr:uid="{33D08862-00D0-49FA-936E-3E5D454E49C0}">
      <text>
        <r>
          <rPr>
            <b/>
            <sz val="9"/>
            <color indexed="81"/>
            <rFont val="Tahoma"/>
            <family val="2"/>
          </rPr>
          <t>Author:</t>
        </r>
        <r>
          <rPr>
            <sz val="9"/>
            <color indexed="81"/>
            <rFont val="Tahoma"/>
            <family val="2"/>
          </rPr>
          <t xml:space="preserve">
Found in deck</t>
        </r>
      </text>
    </comment>
    <comment ref="CQ73" authorId="0" shapeId="0" xr:uid="{56D00168-F3D7-4C7F-B606-99A2FE05F8FF}">
      <text>
        <r>
          <rPr>
            <b/>
            <sz val="9"/>
            <color indexed="81"/>
            <rFont val="Tahoma"/>
            <family val="2"/>
          </rPr>
          <t>Author:</t>
        </r>
        <r>
          <rPr>
            <sz val="9"/>
            <color indexed="81"/>
            <rFont val="Tahoma"/>
            <family val="2"/>
          </rPr>
          <t xml:space="preserve">
Found in deck</t>
        </r>
      </text>
    </comment>
    <comment ref="DD73" authorId="1" shapeId="0" xr:uid="{E02F00DC-5E4D-4102-B9C5-4FB6E319611B}">
      <text>
        <r>
          <rPr>
            <b/>
            <sz val="9"/>
            <color indexed="81"/>
            <rFont val="Tahoma"/>
            <family val="2"/>
          </rPr>
          <t>Author:</t>
        </r>
        <r>
          <rPr>
            <sz val="9"/>
            <color indexed="81"/>
            <rFont val="Tahoma"/>
            <family val="2"/>
          </rPr>
          <t xml:space="preserve">
Deck</t>
        </r>
      </text>
    </comment>
    <comment ref="CY74" authorId="1" shapeId="0" xr:uid="{1BD0E11C-EF34-40FA-910F-CA984AE915AC}">
      <text>
        <r>
          <rPr>
            <b/>
            <sz val="9"/>
            <color indexed="81"/>
            <rFont val="Tahoma"/>
            <family val="2"/>
          </rPr>
          <t>Author:</t>
        </r>
        <r>
          <rPr>
            <sz val="9"/>
            <color indexed="81"/>
            <rFont val="Tahoma"/>
            <family val="2"/>
          </rPr>
          <t xml:space="preserve">
Deck</t>
        </r>
      </text>
    </comment>
    <comment ref="CX75" authorId="1" shapeId="0" xr:uid="{5564B67F-4323-471B-ABE7-3420973A47A3}">
      <text>
        <r>
          <rPr>
            <b/>
            <sz val="9"/>
            <color indexed="81"/>
            <rFont val="Tahoma"/>
            <family val="2"/>
          </rPr>
          <t>Author:</t>
        </r>
        <r>
          <rPr>
            <sz val="9"/>
            <color indexed="81"/>
            <rFont val="Tahoma"/>
            <family val="2"/>
          </rPr>
          <t xml:space="preserve">
10-Q</t>
        </r>
      </text>
    </comment>
    <comment ref="CZ75" authorId="1" shapeId="0" xr:uid="{E396F244-85CD-47CA-B380-A462515A4B3A}">
      <text>
        <r>
          <rPr>
            <b/>
            <sz val="9"/>
            <color indexed="81"/>
            <rFont val="Tahoma"/>
            <family val="2"/>
          </rPr>
          <t>Author:</t>
        </r>
        <r>
          <rPr>
            <sz val="9"/>
            <color indexed="81"/>
            <rFont val="Tahoma"/>
            <family val="2"/>
          </rPr>
          <t xml:space="preserve">
10-K</t>
        </r>
      </text>
    </comment>
    <comment ref="CL84" authorId="0" shapeId="0" xr:uid="{5407839E-F81A-4004-B833-C722C128CC1C}">
      <text>
        <r>
          <rPr>
            <b/>
            <sz val="9"/>
            <color indexed="81"/>
            <rFont val="Tahoma"/>
            <family val="2"/>
          </rPr>
          <t>Author:</t>
        </r>
        <r>
          <rPr>
            <sz val="9"/>
            <color indexed="81"/>
            <rFont val="Tahoma"/>
            <family val="2"/>
          </rPr>
          <t xml:space="preserve">
10-Q</t>
        </r>
      </text>
    </comment>
    <comment ref="CR84" authorId="0" shapeId="0" xr:uid="{0722CE71-75CF-47FF-B113-F36E9AAF7BD9}">
      <text>
        <r>
          <rPr>
            <b/>
            <sz val="9"/>
            <color indexed="81"/>
            <rFont val="Tahoma"/>
            <family val="2"/>
          </rPr>
          <t>Author:</t>
        </r>
        <r>
          <rPr>
            <sz val="9"/>
            <color indexed="81"/>
            <rFont val="Tahoma"/>
            <family val="2"/>
          </rPr>
          <t xml:space="preserve">
Deck supplemental informaiton</t>
        </r>
      </text>
    </comment>
    <comment ref="DD84" authorId="1" shapeId="0" xr:uid="{956443BC-B6CA-4ADA-9701-EC6D86FF2F1E}">
      <text>
        <r>
          <rPr>
            <b/>
            <sz val="9"/>
            <color indexed="81"/>
            <rFont val="Tahoma"/>
            <family val="2"/>
          </rPr>
          <t>Author:</t>
        </r>
        <r>
          <rPr>
            <sz val="9"/>
            <color indexed="81"/>
            <rFont val="Tahoma"/>
            <family val="2"/>
          </rPr>
          <t xml:space="preserve">
Deck</t>
        </r>
      </text>
    </comment>
    <comment ref="DF84" authorId="1" shapeId="0" xr:uid="{A071E5CE-774D-4867-8CFA-BD542DF5D389}">
      <text>
        <r>
          <rPr>
            <b/>
            <sz val="9"/>
            <color indexed="81"/>
            <rFont val="Tahoma"/>
            <family val="2"/>
          </rPr>
          <t>Author:</t>
        </r>
        <r>
          <rPr>
            <sz val="9"/>
            <color indexed="81"/>
            <rFont val="Tahoma"/>
            <family val="2"/>
          </rPr>
          <t xml:space="preserve">
PR</t>
        </r>
      </text>
    </comment>
    <comment ref="CL85" authorId="0" shapeId="0" xr:uid="{75F998A8-06E0-4B38-9AC9-A3BC4F3EEEFB}">
      <text>
        <r>
          <rPr>
            <b/>
            <sz val="9"/>
            <color indexed="81"/>
            <rFont val="Tahoma"/>
            <family val="2"/>
          </rPr>
          <t>Author:</t>
        </r>
        <r>
          <rPr>
            <sz val="9"/>
            <color indexed="81"/>
            <rFont val="Tahoma"/>
            <family val="2"/>
          </rPr>
          <t xml:space="preserve">
10-Q
</t>
        </r>
      </text>
    </comment>
    <comment ref="CM86" authorId="0" shapeId="0" xr:uid="{24D3B1F1-4752-4672-83E5-1C1D9EA95F4F}">
      <text>
        <r>
          <rPr>
            <b/>
            <sz val="9"/>
            <color indexed="81"/>
            <rFont val="Tahoma"/>
            <family val="2"/>
          </rPr>
          <t>Author:</t>
        </r>
        <r>
          <rPr>
            <sz val="9"/>
            <color indexed="81"/>
            <rFont val="Tahoma"/>
            <family val="2"/>
          </rPr>
          <t xml:space="preserve">
PR</t>
        </r>
      </text>
    </comment>
    <comment ref="CR86" authorId="0" shapeId="0" xr:uid="{CEC1D0A6-59C4-4685-8A10-41C5FE2327D3}">
      <text>
        <r>
          <rPr>
            <b/>
            <sz val="9"/>
            <color indexed="81"/>
            <rFont val="Tahoma"/>
            <family val="2"/>
          </rPr>
          <t>Author:</t>
        </r>
        <r>
          <rPr>
            <sz val="9"/>
            <color indexed="81"/>
            <rFont val="Tahoma"/>
            <family val="2"/>
          </rPr>
          <t xml:space="preserve">
PR</t>
        </r>
      </text>
    </comment>
    <comment ref="DD86" authorId="1" shapeId="0" xr:uid="{7D6CFCEA-C8B1-4424-9DD5-E6AFC6CED451}">
      <text>
        <r>
          <rPr>
            <b/>
            <sz val="9"/>
            <color indexed="81"/>
            <rFont val="Tahoma"/>
            <family val="2"/>
          </rPr>
          <t>Author:</t>
        </r>
        <r>
          <rPr>
            <sz val="9"/>
            <color indexed="81"/>
            <rFont val="Tahoma"/>
            <family val="2"/>
          </rPr>
          <t xml:space="preserve">
PR</t>
        </r>
      </text>
    </comment>
    <comment ref="CL106" authorId="0" shapeId="0" xr:uid="{5B8669DA-EF8E-4C0F-8845-0DDB4376EC74}">
      <text>
        <r>
          <rPr>
            <b/>
            <sz val="9"/>
            <color indexed="81"/>
            <rFont val="Tahoma"/>
            <family val="2"/>
          </rPr>
          <t>Author:</t>
        </r>
        <r>
          <rPr>
            <sz val="9"/>
            <color indexed="81"/>
            <rFont val="Tahoma"/>
            <family val="2"/>
          </rPr>
          <t xml:space="preserve">
10-Q</t>
        </r>
      </text>
    </comment>
    <comment ref="DC106" authorId="1" shapeId="0" xr:uid="{AF580B82-CA13-4DA0-AEE3-6581C9C8D051}">
      <text>
        <r>
          <rPr>
            <b/>
            <sz val="9"/>
            <color indexed="81"/>
            <rFont val="Tahoma"/>
            <family val="2"/>
          </rPr>
          <t>Author:</t>
        </r>
        <r>
          <rPr>
            <sz val="9"/>
            <color indexed="81"/>
            <rFont val="Tahoma"/>
            <family val="2"/>
          </rPr>
          <t xml:space="preserve">
10-Q</t>
        </r>
      </text>
    </comment>
    <comment ref="DD106" authorId="1" shapeId="0" xr:uid="{EF0176D1-F6F9-4800-85B0-A1B1603C09E8}">
      <text>
        <r>
          <rPr>
            <b/>
            <sz val="9"/>
            <color indexed="81"/>
            <rFont val="Tahoma"/>
            <family val="2"/>
          </rPr>
          <t>Author:</t>
        </r>
        <r>
          <rPr>
            <sz val="9"/>
            <color indexed="81"/>
            <rFont val="Tahoma"/>
            <family val="2"/>
          </rPr>
          <t xml:space="preserve">
Deck</t>
        </r>
      </text>
    </comment>
    <comment ref="DF106" authorId="1" shapeId="0" xr:uid="{A121A493-125F-4B09-AB4A-EF6968E9492A}">
      <text>
        <r>
          <rPr>
            <b/>
            <sz val="9"/>
            <color indexed="81"/>
            <rFont val="Tahoma"/>
            <family val="2"/>
          </rPr>
          <t>Author:</t>
        </r>
        <r>
          <rPr>
            <sz val="9"/>
            <color indexed="81"/>
            <rFont val="Tahoma"/>
            <family val="2"/>
          </rPr>
          <t xml:space="preserve">
10-Q</t>
        </r>
      </text>
    </comment>
    <comment ref="DK106" authorId="2" shapeId="0" xr:uid="{AC057D89-B3C9-4596-BE48-CCB6F06BC8B3}">
      <text>
        <r>
          <rPr>
            <b/>
            <sz val="9"/>
            <color indexed="81"/>
            <rFont val="Tahoma"/>
            <family val="2"/>
          </rPr>
          <t>Author:</t>
        </r>
        <r>
          <rPr>
            <sz val="9"/>
            <color indexed="81"/>
            <rFont val="Tahoma"/>
            <family val="2"/>
          </rPr>
          <t xml:space="preserve">
10-Q
"sales in units"</t>
        </r>
      </text>
    </comment>
    <comment ref="CL108" authorId="0" shapeId="0" xr:uid="{5321C19D-B443-4F60-BB89-F47A1AD52BC4}">
      <text>
        <r>
          <rPr>
            <b/>
            <sz val="9"/>
            <color indexed="81"/>
            <rFont val="Tahoma"/>
            <family val="2"/>
          </rPr>
          <t>Author:</t>
        </r>
        <r>
          <rPr>
            <sz val="9"/>
            <color indexed="81"/>
            <rFont val="Tahoma"/>
            <family val="2"/>
          </rPr>
          <t xml:space="preserve">
10-Q</t>
        </r>
      </text>
    </comment>
    <comment ref="CL114" authorId="0" shapeId="0" xr:uid="{5C6D3817-0476-4823-9D53-6863B1735A78}">
      <text>
        <r>
          <rPr>
            <b/>
            <sz val="9"/>
            <color indexed="81"/>
            <rFont val="Tahoma"/>
            <family val="2"/>
          </rPr>
          <t>Author:</t>
        </r>
        <r>
          <rPr>
            <sz val="9"/>
            <color indexed="81"/>
            <rFont val="Tahoma"/>
            <family val="2"/>
          </rPr>
          <t xml:space="preserve">
10-Q</t>
        </r>
      </text>
    </comment>
    <comment ref="DF114" authorId="1" shapeId="0" xr:uid="{5DDE993B-E7BD-4416-A66C-9BD8C6DDE916}">
      <text>
        <r>
          <rPr>
            <b/>
            <sz val="9"/>
            <color indexed="81"/>
            <rFont val="Tahoma"/>
            <family val="2"/>
          </rPr>
          <t>Author:</t>
        </r>
        <r>
          <rPr>
            <sz val="9"/>
            <color indexed="81"/>
            <rFont val="Tahoma"/>
            <family val="2"/>
          </rPr>
          <t xml:space="preserve">
stopped disclosing</t>
        </r>
      </text>
    </comment>
    <comment ref="CL137" authorId="0" shapeId="0" xr:uid="{EAACF731-7B18-4AA4-8D10-1FACE3F82BA4}">
      <text>
        <r>
          <rPr>
            <b/>
            <sz val="9"/>
            <color indexed="81"/>
            <rFont val="Tahoma"/>
            <family val="2"/>
          </rPr>
          <t>Author:</t>
        </r>
        <r>
          <rPr>
            <sz val="9"/>
            <color indexed="81"/>
            <rFont val="Tahoma"/>
            <family val="2"/>
          </rPr>
          <t xml:space="preserve">
10-Q</t>
        </r>
      </text>
    </comment>
    <comment ref="DD137" authorId="1" shapeId="0" xr:uid="{3F265F3F-1F9C-464B-9C0D-A163B24CB01B}">
      <text>
        <r>
          <rPr>
            <b/>
            <sz val="9"/>
            <color indexed="81"/>
            <rFont val="Tahoma"/>
            <family val="2"/>
          </rPr>
          <t>Author:</t>
        </r>
        <r>
          <rPr>
            <sz val="9"/>
            <color indexed="81"/>
            <rFont val="Tahoma"/>
            <family val="2"/>
          </rPr>
          <t xml:space="preserve">
Deck</t>
        </r>
      </text>
    </comment>
    <comment ref="CL157" authorId="0" shapeId="0" xr:uid="{86005E29-6D0E-4CA8-955B-7B1A37B5599B}">
      <text>
        <r>
          <rPr>
            <b/>
            <sz val="9"/>
            <color indexed="81"/>
            <rFont val="Tahoma"/>
            <family val="2"/>
          </rPr>
          <t>Author:</t>
        </r>
        <r>
          <rPr>
            <sz val="9"/>
            <color indexed="81"/>
            <rFont val="Tahoma"/>
            <family val="2"/>
          </rPr>
          <t xml:space="preserve">
10-Q</t>
        </r>
      </text>
    </comment>
    <comment ref="CY157" authorId="1" shapeId="0" xr:uid="{09A86D3B-03F1-466F-8A55-156295F6FFFA}">
      <text>
        <r>
          <rPr>
            <b/>
            <sz val="9"/>
            <color indexed="81"/>
            <rFont val="Tahoma"/>
            <family val="2"/>
          </rPr>
          <t>Author:</t>
        </r>
        <r>
          <rPr>
            <sz val="9"/>
            <color indexed="81"/>
            <rFont val="Tahoma"/>
            <family val="2"/>
          </rPr>
          <t xml:space="preserve">
Deck</t>
        </r>
      </text>
    </comment>
    <comment ref="DC168" authorId="1" shapeId="0" xr:uid="{75F987BE-E828-4225-815B-154F6D7993E4}">
      <text>
        <r>
          <rPr>
            <b/>
            <sz val="9"/>
            <color indexed="81"/>
            <rFont val="Tahoma"/>
            <family val="2"/>
          </rPr>
          <t>Author:</t>
        </r>
        <r>
          <rPr>
            <sz val="9"/>
            <color indexed="81"/>
            <rFont val="Tahoma"/>
            <family val="2"/>
          </rPr>
          <t xml:space="preserve">
10-Q</t>
        </r>
      </text>
    </comment>
    <comment ref="DD168" authorId="1" shapeId="0" xr:uid="{7B895232-0F4D-46AC-8EA8-A357C08116BD}">
      <text>
        <r>
          <rPr>
            <b/>
            <sz val="9"/>
            <color indexed="81"/>
            <rFont val="Tahoma"/>
            <family val="2"/>
          </rPr>
          <t>Author:</t>
        </r>
        <r>
          <rPr>
            <sz val="9"/>
            <color indexed="81"/>
            <rFont val="Tahoma"/>
            <family val="2"/>
          </rPr>
          <t xml:space="preserve">
10-K / Deck (rounded)</t>
        </r>
      </text>
    </comment>
    <comment ref="DK170" authorId="2" shapeId="0" xr:uid="{395363C2-069F-45C2-AC22-0D709E9BB076}">
      <text>
        <r>
          <rPr>
            <b/>
            <sz val="9"/>
            <color indexed="81"/>
            <rFont val="Tahoma"/>
            <family val="2"/>
          </rPr>
          <t>Author:</t>
        </r>
        <r>
          <rPr>
            <sz val="9"/>
            <color indexed="81"/>
            <rFont val="Tahoma"/>
            <family val="2"/>
          </rPr>
          <t xml:space="preserve">
10-Q
"Total RPO"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Person0143, Person1222 </author>
    <author>Person1147, Person0085 </author>
    <author>Person0306, Person0247 H </author>
  </authors>
  <commentList>
    <comment ref="O36" authorId="0" shapeId="0" xr:uid="{D3ABF41F-3BD3-4267-BF09-89DA03884BE9}">
      <text>
        <r>
          <rPr>
            <b/>
            <sz val="9"/>
            <color indexed="81"/>
            <rFont val="Tahoma"/>
            <family val="2"/>
          </rPr>
          <t>Author:</t>
        </r>
        <r>
          <rPr>
            <sz val="9"/>
            <color indexed="81"/>
            <rFont val="Tahoma"/>
            <family val="2"/>
          </rPr>
          <t xml:space="preserve">
50/50</t>
        </r>
      </text>
    </comment>
    <comment ref="O37" authorId="1" shapeId="0" xr:uid="{75C5078C-E1E5-4827-A0B4-870946EB51C5}">
      <text>
        <r>
          <rPr>
            <b/>
            <sz val="9"/>
            <color indexed="81"/>
            <rFont val="Tahoma"/>
            <family val="2"/>
          </rPr>
          <t>Author:</t>
        </r>
        <r>
          <rPr>
            <sz val="9"/>
            <color indexed="81"/>
            <rFont val="Tahoma"/>
            <family val="2"/>
          </rPr>
          <t xml:space="preserve">
saf 24%</t>
        </r>
      </text>
    </comment>
    <comment ref="O38" authorId="1" shapeId="0" xr:uid="{B39CE37E-26AC-4684-A57A-864BC4B2EAD0}">
      <text>
        <r>
          <rPr>
            <b/>
            <sz val="9"/>
            <color indexed="81"/>
            <rFont val="Tahoma"/>
            <family val="2"/>
          </rPr>
          <t>Author:</t>
        </r>
        <r>
          <rPr>
            <sz val="9"/>
            <color indexed="81"/>
            <rFont val="Tahoma"/>
            <family val="2"/>
          </rPr>
          <t xml:space="preserve">
google says Ticker0009 aviation</t>
        </r>
      </text>
    </comment>
    <comment ref="O39" authorId="1" shapeId="0" xr:uid="{43CBE0CF-5ADF-4889-92B7-9CB5732A550B}">
      <text>
        <r>
          <rPr>
            <b/>
            <sz val="9"/>
            <color indexed="81"/>
            <rFont val="Tahoma"/>
            <family val="2"/>
          </rPr>
          <t>Author:</t>
        </r>
        <r>
          <rPr>
            <sz val="9"/>
            <color indexed="81"/>
            <rFont val="Tahoma"/>
            <family val="2"/>
          </rPr>
          <t xml:space="preserve">
50/50 Ticker0009 and Company2172</t>
        </r>
      </text>
    </comment>
    <comment ref="O40" authorId="1" shapeId="0" xr:uid="{01939E2D-FEA0-493B-A943-6250E21DD42E}">
      <text>
        <r>
          <rPr>
            <b/>
            <sz val="9"/>
            <color indexed="81"/>
            <rFont val="Tahoma"/>
            <family val="2"/>
          </rPr>
          <t>Author:</t>
        </r>
        <r>
          <rPr>
            <sz val="9"/>
            <color indexed="81"/>
            <rFont val="Tahoma"/>
            <family val="2"/>
          </rPr>
          <t xml:space="preserve">
SAF 8%</t>
        </r>
      </text>
    </comment>
    <comment ref="AA62" authorId="1" shapeId="0" xr:uid="{0A74EEFE-CF94-4AD7-9747-9CB0972A263B}">
      <text>
        <r>
          <rPr>
            <b/>
            <sz val="9"/>
            <color indexed="81"/>
            <rFont val="Tahoma"/>
            <family val="2"/>
          </rPr>
          <t>Author:</t>
        </r>
        <r>
          <rPr>
            <sz val="9"/>
            <color indexed="81"/>
            <rFont val="Tahoma"/>
            <family val="2"/>
          </rPr>
          <t xml:space="preserve">
mar 24: high teens %
1q24:high teens %; Product0211 output in range of 10-15%; but overall same
2q24:+HSD to +LDD; Product0211 output flat to up 5%  yoy
3q24: Product0211 output down about 10%  yoy; better sequential growth in 4q24, implied &gt;(6.6%) yoy growth in 2024</t>
        </r>
      </text>
    </comment>
    <comment ref="AB62" authorId="1" shapeId="0" xr:uid="{B9AA7FB3-5B1B-49D7-A9E2-9436DE8CB747}">
      <text>
        <r>
          <rPr>
            <b/>
            <sz val="9"/>
            <color indexed="81"/>
            <rFont val="Tahoma"/>
            <family val="2"/>
          </rPr>
          <t>Author:</t>
        </r>
        <r>
          <rPr>
            <sz val="9"/>
            <color indexed="81"/>
            <rFont val="Tahoma"/>
            <family val="2"/>
          </rPr>
          <t xml:space="preserve">
mar 24: more than svcs</t>
        </r>
      </text>
    </comment>
    <comment ref="AA66" authorId="1" shapeId="0" xr:uid="{9B6D5F03-2BD0-48DD-8F85-232D7198CAB2}">
      <text>
        <r>
          <rPr>
            <b/>
            <sz val="9"/>
            <color indexed="81"/>
            <rFont val="Tahoma"/>
            <family val="2"/>
          </rPr>
          <t>Author:</t>
        </r>
        <r>
          <rPr>
            <sz val="9"/>
            <color indexed="81"/>
            <rFont val="Tahoma"/>
            <family val="2"/>
          </rPr>
          <t xml:space="preserve">
mar 24: +20-25% yoy
1q24: + about 10-15% yoy
2q24: flat to up 5% yoy
3q24: down about 10% yoy</t>
        </r>
      </text>
    </comment>
    <comment ref="AB73" authorId="1" shapeId="0" xr:uid="{6431869B-994A-4453-A5E1-38326BAC67C8}">
      <text>
        <r>
          <rPr>
            <b/>
            <sz val="9"/>
            <color indexed="81"/>
            <rFont val="Tahoma"/>
            <family val="2"/>
          </rPr>
          <t>Author:</t>
        </r>
        <r>
          <rPr>
            <sz val="9"/>
            <color indexed="81"/>
            <rFont val="Tahoma"/>
            <family val="2"/>
          </rPr>
          <t xml:space="preserve">
Mar 24: MSD%</t>
        </r>
      </text>
    </comment>
    <comment ref="Y75" authorId="0" shapeId="0" xr:uid="{437F15DB-4EE4-4235-9CE9-0D18D2576503}">
      <text>
        <r>
          <rPr>
            <b/>
            <sz val="9"/>
            <color indexed="81"/>
            <rFont val="Tahoma"/>
            <family val="2"/>
          </rPr>
          <t xml:space="preserve">Author:
</t>
        </r>
        <r>
          <rPr>
            <sz val="9"/>
            <color indexed="81"/>
            <rFont val="Tahoma"/>
            <family val="2"/>
          </rPr>
          <t>DD gross</t>
        </r>
      </text>
    </comment>
    <comment ref="Z75" authorId="0" shapeId="0" xr:uid="{E4EDDDC8-E7CF-43C2-9D17-24ABEF8AF183}">
      <text>
        <r>
          <rPr>
            <b/>
            <sz val="9"/>
            <color indexed="81"/>
            <rFont val="Tahoma"/>
            <family val="2"/>
          </rPr>
          <t>Author:</t>
        </r>
        <r>
          <rPr>
            <sz val="9"/>
            <color indexed="81"/>
            <rFont val="Tahoma"/>
            <family val="2"/>
          </rPr>
          <t xml:space="preserve">
HSD Gross</t>
        </r>
      </text>
    </comment>
    <comment ref="Z85" authorId="1" shapeId="0" xr:uid="{8E3A497E-ADA4-48BD-BC46-EF938E10A28B}">
      <text>
        <r>
          <rPr>
            <b/>
            <sz val="9"/>
            <color indexed="81"/>
            <rFont val="Tahoma"/>
            <family val="2"/>
          </rPr>
          <t>Author:</t>
        </r>
        <r>
          <rPr>
            <sz val="9"/>
            <color indexed="81"/>
            <rFont val="Tahoma"/>
            <family val="2"/>
          </rPr>
          <t xml:space="preserve">
Mar 24: ~2K implied total shop visits for Product0086</t>
        </r>
      </text>
    </comment>
    <comment ref="AA85" authorId="1" shapeId="0" xr:uid="{7333B8E2-337E-4B13-8DE9-6246D0908CAB}">
      <text>
        <r>
          <rPr>
            <b/>
            <sz val="9"/>
            <color indexed="81"/>
            <rFont val="Tahoma"/>
            <family val="2"/>
          </rPr>
          <t>Author:</t>
        </r>
        <r>
          <rPr>
            <sz val="9"/>
            <color indexed="81"/>
            <rFont val="Tahoma"/>
            <family val="2"/>
          </rPr>
          <t xml:space="preserve">
Mar 24: ~2.25K implied total shop visits for Product0086</t>
        </r>
      </text>
    </comment>
    <comment ref="AB85" authorId="1" shapeId="0" xr:uid="{685CE5DB-632B-432D-9FFB-5E9296C8754D}">
      <text>
        <r>
          <rPr>
            <b/>
            <sz val="9"/>
            <color indexed="81"/>
            <rFont val="Tahoma"/>
            <family val="2"/>
          </rPr>
          <t>Author:</t>
        </r>
        <r>
          <rPr>
            <sz val="9"/>
            <color indexed="81"/>
            <rFont val="Tahoma"/>
            <family val="2"/>
          </rPr>
          <t xml:space="preserve">
Mar 24: ~1.9K implied total shop visits for Product0086</t>
        </r>
      </text>
    </comment>
    <comment ref="AE85" authorId="2" shapeId="0" xr:uid="{844D6C57-B37C-4B23-B3A8-CA5991B241CC}">
      <text>
        <r>
          <rPr>
            <b/>
            <sz val="9"/>
            <color indexed="81"/>
            <rFont val="Tahoma"/>
            <family val="2"/>
          </rPr>
          <t>Author:</t>
        </r>
        <r>
          <rPr>
            <sz val="9"/>
            <color indexed="81"/>
            <rFont val="Tahoma"/>
            <family val="2"/>
          </rPr>
          <t xml:space="preserve">
2q25 / Inv Day '25: +600 additional shop visits expected through 2028 vs prior</t>
        </r>
      </text>
    </comment>
    <comment ref="AE99" authorId="2" shapeId="0" xr:uid="{B8DAE73A-1EF0-4E5D-9AB1-3945D3E7DD30}">
      <text>
        <r>
          <rPr>
            <b/>
            <sz val="9"/>
            <color indexed="81"/>
            <rFont val="Tahoma"/>
            <family val="2"/>
          </rPr>
          <t>Author:</t>
        </r>
        <r>
          <rPr>
            <sz val="9"/>
            <color indexed="81"/>
            <rFont val="Tahoma"/>
            <family val="2"/>
          </rPr>
          <t xml:space="preserve">
2q25 / Inv Day '25: Post 2027, pricing and workscope support stable revenue through end of decade</t>
        </r>
      </text>
    </comment>
    <comment ref="AF99" authorId="2" shapeId="0" xr:uid="{1E323F7B-B6F3-4FF0-902C-B09E63848C3C}">
      <text>
        <r>
          <rPr>
            <b/>
            <sz val="9"/>
            <color indexed="81"/>
            <rFont val="Tahoma"/>
            <family val="2"/>
          </rPr>
          <t>Author:</t>
        </r>
        <r>
          <rPr>
            <sz val="9"/>
            <color indexed="81"/>
            <rFont val="Tahoma"/>
            <family val="2"/>
          </rPr>
          <t xml:space="preserve">
2q25 / Inv Day '25: Post 2027, pricing and workscope support stable revenue through end of decade</t>
        </r>
      </text>
    </comment>
    <comment ref="AG99" authorId="2" shapeId="0" xr:uid="{046C328B-0A6D-4100-84F9-31C7262BF5E2}">
      <text>
        <r>
          <rPr>
            <b/>
            <sz val="9"/>
            <color indexed="81"/>
            <rFont val="Tahoma"/>
            <family val="2"/>
          </rPr>
          <t>Author:</t>
        </r>
        <r>
          <rPr>
            <sz val="9"/>
            <color indexed="81"/>
            <rFont val="Tahoma"/>
            <family val="2"/>
          </rPr>
          <t xml:space="preserve">
2q25 / Inv Day '25: Post 2027, pricing and workscope support stable revenue through end of decade</t>
        </r>
      </text>
    </comment>
    <comment ref="AA102" authorId="2" shapeId="0" xr:uid="{5F53755E-84BC-4E7C-8EC8-613DA2D08ACA}">
      <text>
        <r>
          <rPr>
            <b/>
            <sz val="9"/>
            <color indexed="81"/>
            <rFont val="Tahoma"/>
            <family val="2"/>
          </rPr>
          <t>Author:</t>
        </r>
        <r>
          <rPr>
            <sz val="9"/>
            <color indexed="81"/>
            <rFont val="Tahoma"/>
            <family val="2"/>
          </rPr>
          <t xml:space="preserve">
2q25 / Inv Day '25: External shop visits ~10% of total in '24</t>
        </r>
      </text>
    </comment>
    <comment ref="AG102" authorId="2" shapeId="0" xr:uid="{FA413040-7BF8-4892-8224-1D2FE62520F2}">
      <text>
        <r>
          <rPr>
            <b/>
            <sz val="9"/>
            <color indexed="81"/>
            <rFont val="Tahoma"/>
            <family val="2"/>
          </rPr>
          <t>Author:</t>
        </r>
        <r>
          <rPr>
            <sz val="9"/>
            <color indexed="81"/>
            <rFont val="Tahoma"/>
            <family val="2"/>
          </rPr>
          <t xml:space="preserve">
2q25 / Inv Day '25: External shop visits growing from ~10% of total in '24 to ~30% by end of decade</t>
        </r>
      </text>
    </comment>
    <comment ref="AG103" authorId="2" shapeId="0" xr:uid="{F11254F7-EF12-4478-A8C0-55E9FC70A7BC}">
      <text>
        <r>
          <rPr>
            <b/>
            <sz val="9"/>
            <color indexed="81"/>
            <rFont val="Tahoma"/>
            <family val="2"/>
          </rPr>
          <t>Author:</t>
        </r>
        <r>
          <rPr>
            <sz val="9"/>
            <color indexed="81"/>
            <rFont val="Tahoma"/>
            <family val="2"/>
          </rPr>
          <t xml:space="preserve">
2q25 / Inv Day '25: Product0211 installed base and internal shop visits growing ~3x by end of decade (vs. 2024)</t>
        </r>
      </text>
    </comment>
    <comment ref="AE121" authorId="2" shapeId="0" xr:uid="{23C7F8A1-9FD1-4EB7-BCD1-A4886132075A}">
      <text>
        <r>
          <rPr>
            <b/>
            <sz val="9"/>
            <color indexed="81"/>
            <rFont val="Tahoma"/>
            <family val="2"/>
          </rPr>
          <t>Author:</t>
        </r>
        <r>
          <rPr>
            <sz val="9"/>
            <color indexed="81"/>
            <rFont val="Tahoma"/>
            <family val="2"/>
          </rPr>
          <t xml:space="preserve">
2q25 / Inv Day '25: +100 additional shop visits expected through 2028 vs prior</t>
        </r>
      </text>
    </comment>
    <comment ref="AB125" authorId="2" shapeId="0" xr:uid="{818FCA8A-1DEF-41F1-91B6-E8BD3946132E}">
      <text>
        <r>
          <rPr>
            <b/>
            <sz val="9"/>
            <color indexed="81"/>
            <rFont val="Tahoma"/>
            <family val="2"/>
          </rPr>
          <t>Author:</t>
        </r>
        <r>
          <rPr>
            <sz val="9"/>
            <color indexed="81"/>
            <rFont val="Tahoma"/>
            <family val="2"/>
          </rPr>
          <t xml:space="preserve">
2q25 / Inv Day '25: Workscope +30% over '23-'25 and continuing to increase</t>
        </r>
      </text>
    </comment>
    <comment ref="AB126" authorId="2" shapeId="0" xr:uid="{280A83E3-1B34-42CD-9633-68B4929051BC}">
      <text>
        <r>
          <rPr>
            <b/>
            <sz val="9"/>
            <color indexed="81"/>
            <rFont val="Tahoma"/>
            <family val="2"/>
          </rPr>
          <t>Author:</t>
        </r>
        <r>
          <rPr>
            <sz val="9"/>
            <color indexed="81"/>
            <rFont val="Tahoma"/>
            <family val="2"/>
          </rPr>
          <t xml:space="preserve">
2q25 / Inv Day '25: Workscope +30% over '23-'25 and continuing to increase</t>
        </r>
      </text>
    </comment>
    <comment ref="AB127" authorId="2" shapeId="0" xr:uid="{173E917A-B015-4542-AB47-90A97B504298}">
      <text>
        <r>
          <rPr>
            <b/>
            <sz val="9"/>
            <color indexed="81"/>
            <rFont val="Tahoma"/>
            <family val="2"/>
          </rPr>
          <t>Author:</t>
        </r>
        <r>
          <rPr>
            <sz val="9"/>
            <color indexed="81"/>
            <rFont val="Tahoma"/>
            <family val="2"/>
          </rPr>
          <t xml:space="preserve">
2q25 / Inv Day '25: Workscope +30% over '23-'25 and continuing to increase</t>
        </r>
      </text>
    </comment>
    <comment ref="AB132" authorId="2" shapeId="0" xr:uid="{C67EBBD4-DD15-4ED7-A80B-15FE6C77F6E7}">
      <text>
        <r>
          <rPr>
            <b/>
            <sz val="9"/>
            <color indexed="81"/>
            <rFont val="Tahoma"/>
            <family val="2"/>
          </rPr>
          <t>Author:</t>
        </r>
        <r>
          <rPr>
            <sz val="9"/>
            <color indexed="81"/>
            <rFont val="Tahoma"/>
            <family val="2"/>
          </rPr>
          <t xml:space="preserve">
2q25 / Inv Day '25: 70% of fleet has not had 2nd shop visit</t>
        </r>
      </text>
    </comment>
    <comment ref="AA210" authorId="0" shapeId="0" xr:uid="{9D02311A-50B1-4F2E-88AC-B00674CEB6E4}">
      <text>
        <r>
          <rPr>
            <b/>
            <sz val="9"/>
            <color indexed="81"/>
            <rFont val="Tahoma"/>
            <family val="2"/>
          </rPr>
          <t>Author:</t>
        </r>
        <r>
          <rPr>
            <sz val="9"/>
            <color indexed="81"/>
            <rFont val="Tahoma"/>
            <family val="2"/>
          </rPr>
          <t xml:space="preserve">
1q24: ~200 incremental visits from lower retirements</t>
        </r>
      </text>
    </comment>
    <comment ref="AA211" authorId="0" shapeId="0" xr:uid="{8E6A9C95-9E6C-42FD-A413-EE0539CE4692}">
      <text>
        <r>
          <rPr>
            <b/>
            <sz val="9"/>
            <color indexed="81"/>
            <rFont val="Tahoma"/>
            <family val="2"/>
          </rPr>
          <t>Author:</t>
        </r>
        <r>
          <rPr>
            <sz val="9"/>
            <color indexed="81"/>
            <rFont val="Tahoma"/>
            <family val="2"/>
          </rPr>
          <t xml:space="preserve">
1q24: low to mid teens
2q24:  9% internal shop visit growth in 1H24 and guidance of low to mid-teens implying that shop visits will be closer to high-teens in the second half of the year on a year-over-year basis.
3q24: lower than prior estimate; up 5% in 9 month end 3Q24; down 1% yoy in 3q24</t>
        </r>
      </text>
    </comment>
    <comment ref="AA223" authorId="1" shapeId="0" xr:uid="{D8F9FB28-E281-4887-A8BB-1C1776C686B2}">
      <text>
        <r>
          <rPr>
            <b/>
            <sz val="9"/>
            <color indexed="81"/>
            <rFont val="Tahoma"/>
            <family val="2"/>
          </rPr>
          <t>Author:</t>
        </r>
        <r>
          <rPr>
            <sz val="9"/>
            <color indexed="81"/>
            <rFont val="Tahoma"/>
            <family val="2"/>
          </rPr>
          <t xml:space="preserve">
mar 24: mid teens %
2q24:  same
3q24: 15%</t>
        </r>
      </text>
    </comment>
    <comment ref="AB223" authorId="1" shapeId="0" xr:uid="{C54485DF-8D61-452D-8592-6759BCD62BFA}">
      <text>
        <r>
          <rPr>
            <b/>
            <sz val="9"/>
            <color indexed="81"/>
            <rFont val="Tahoma"/>
            <family val="2"/>
          </rPr>
          <t>Author:</t>
        </r>
        <r>
          <rPr>
            <sz val="9"/>
            <color indexed="81"/>
            <rFont val="Tahoma"/>
            <family val="2"/>
          </rPr>
          <t xml:space="preserve">
mar 24: less than OE
1q25: LDD/mid-teens %
2q25 / Inv Day '25: high-teens</t>
        </r>
      </text>
    </comment>
    <comment ref="Z227" authorId="1" shapeId="0" xr:uid="{4D9E4DBC-5B66-4881-B293-1C9801AEBE96}">
      <text>
        <r>
          <rPr>
            <b/>
            <sz val="9"/>
            <color indexed="81"/>
            <rFont val="Tahoma"/>
            <family val="2"/>
          </rPr>
          <t>Author:</t>
        </r>
        <r>
          <rPr>
            <sz val="9"/>
            <color indexed="81"/>
            <rFont val="Tahoma"/>
            <family val="2"/>
          </rPr>
          <t xml:space="preserve">
mar 24: 23.9 adj</t>
        </r>
      </text>
    </comment>
    <comment ref="AA228" authorId="1" shapeId="0" xr:uid="{30AA70C9-570D-4B5D-96A9-451E8911925F}">
      <text>
        <r>
          <rPr>
            <b/>
            <sz val="9"/>
            <color indexed="81"/>
            <rFont val="Tahoma"/>
            <family val="2"/>
          </rPr>
          <t>Author:</t>
        </r>
        <r>
          <rPr>
            <sz val="9"/>
            <color indexed="81"/>
            <rFont val="Tahoma"/>
            <family val="2"/>
          </rPr>
          <t xml:space="preserve">
mar 24: mid to high teens %
2q24: LDD-mid-teens
3q24: same</t>
        </r>
      </text>
    </comment>
    <comment ref="AB228" authorId="1" shapeId="0" xr:uid="{9590ABC7-B6EA-4B59-BD42-2A4107F9FF3B}">
      <text>
        <r>
          <rPr>
            <b/>
            <sz val="9"/>
            <color indexed="81"/>
            <rFont val="Tahoma"/>
            <family val="2"/>
          </rPr>
          <t>Author:</t>
        </r>
        <r>
          <rPr>
            <sz val="9"/>
            <color indexed="81"/>
            <rFont val="Tahoma"/>
            <family val="2"/>
          </rPr>
          <t xml:space="preserve">
mar 24: LDD-mid teens% (OE &gt; Services)
1q25: mid-teens
2q25 / Inv Day '25: high-teens</t>
        </r>
      </text>
    </comment>
    <comment ref="AA235" authorId="1" shapeId="0" xr:uid="{F37D717D-C9E4-4EAD-90DB-D813B6751CF5}">
      <text>
        <r>
          <rPr>
            <b/>
            <sz val="9"/>
            <color indexed="81"/>
            <rFont val="Tahoma"/>
            <family val="2"/>
          </rPr>
          <t>Author:</t>
        </r>
        <r>
          <rPr>
            <sz val="9"/>
            <color indexed="81"/>
            <rFont val="Tahoma"/>
            <family val="2"/>
          </rPr>
          <t xml:space="preserve">
mar 24: 21.8-22.2% implied
2q24: 23.0-24.5% implied
3q24: about 25.0-25.5% implied</t>
        </r>
      </text>
    </comment>
    <comment ref="AD239" authorId="2" shapeId="0" xr:uid="{99147737-5A5C-4149-8374-293F1E416EF5}">
      <text>
        <r>
          <rPr>
            <b/>
            <sz val="9"/>
            <color indexed="81"/>
            <rFont val="Tahoma"/>
            <family val="2"/>
          </rPr>
          <t>Author:</t>
        </r>
        <r>
          <rPr>
            <sz val="9"/>
            <color indexed="81"/>
            <rFont val="Tahoma"/>
            <family val="2"/>
          </rPr>
          <t xml:space="preserve">
2q25 / Inv Day '25: Profit increasing &gt; 50% over 2024 … (NB &gt;70%, WB &gt;40%)</t>
        </r>
      </text>
    </comment>
    <comment ref="AA240" authorId="0" shapeId="0" xr:uid="{DEBD10FE-3C83-45AB-BD89-BE052AB19FEC}">
      <text>
        <r>
          <rPr>
            <b/>
            <sz val="9"/>
            <color indexed="81"/>
            <rFont val="Tahoma"/>
            <family val="2"/>
          </rPr>
          <t>Author:</t>
        </r>
        <r>
          <rPr>
            <sz val="9"/>
            <color indexed="81"/>
            <rFont val="Tahoma"/>
            <family val="2"/>
          </rPr>
          <t xml:space="preserve">
Investor Day 2024: 6.0-6.3
1q24: 6.1-6.4
2q24: 6.3-6.5
3q24: 6.6-6.8</t>
        </r>
      </text>
    </comment>
    <comment ref="AB240" authorId="2" shapeId="0" xr:uid="{65DBE80F-C00F-4568-B736-566B0C459CAB}">
      <text>
        <r>
          <rPr>
            <b/>
            <sz val="9"/>
            <color indexed="81"/>
            <rFont val="Tahoma"/>
            <family val="2"/>
          </rPr>
          <t>Author:</t>
        </r>
        <r>
          <rPr>
            <sz val="9"/>
            <color indexed="81"/>
            <rFont val="Tahoma"/>
            <family val="2"/>
          </rPr>
          <t xml:space="preserve">
1q25: 7,600-7,900
2q25 / Inv Day '25: 8,000-8,200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Person0143, Person1222 </author>
    <author>Person1168, Person0812 J </author>
  </authors>
  <commentList>
    <comment ref="DE7" authorId="0" shapeId="0" xr:uid="{122734DB-09DE-48DA-80C5-A33A7A0080BE}">
      <text>
        <r>
          <rPr>
            <b/>
            <sz val="9"/>
            <color indexed="81"/>
            <rFont val="Tahoma"/>
            <family val="2"/>
          </rPr>
          <t>Author:</t>
        </r>
        <r>
          <rPr>
            <sz val="9"/>
            <color indexed="81"/>
            <rFont val="Tahoma"/>
            <family val="2"/>
          </rPr>
          <t xml:space="preserve">
23.9 in Investor Day deck</t>
        </r>
      </text>
    </comment>
    <comment ref="DE8" authorId="0" shapeId="0" xr:uid="{4C200B79-6633-401E-A576-22B7BC5EA9BC}">
      <text>
        <r>
          <rPr>
            <b/>
            <sz val="9"/>
            <color indexed="81"/>
            <rFont val="Tahoma"/>
            <family val="2"/>
          </rPr>
          <t>Author:</t>
        </r>
        <r>
          <rPr>
            <sz val="9"/>
            <color indexed="81"/>
            <rFont val="Tahoma"/>
            <family val="2"/>
          </rPr>
          <t xml:space="preserve">
9.0m in Investor Day deck</t>
        </r>
      </text>
    </comment>
    <comment ref="DF33" authorId="0" shapeId="0" xr:uid="{ECC77A9E-7AD8-4F57-904C-8CF719D9812D}">
      <text>
        <r>
          <rPr>
            <b/>
            <sz val="9"/>
            <color indexed="81"/>
            <rFont val="Tahoma"/>
            <family val="2"/>
          </rPr>
          <t>Author:</t>
        </r>
        <r>
          <rPr>
            <sz val="9"/>
            <color indexed="81"/>
            <rFont val="Tahoma"/>
            <family val="2"/>
          </rPr>
          <t xml:space="preserve">
1q24: low DD volume, remaining is price</t>
        </r>
      </text>
    </comment>
    <comment ref="DJ33" authorId="0" shapeId="0" xr:uid="{02743F26-6DA6-44B8-87AE-9ACC7E97FD8E}">
      <text>
        <r>
          <rPr>
            <b/>
            <sz val="9"/>
            <color indexed="81"/>
            <rFont val="Tahoma"/>
            <family val="2"/>
          </rPr>
          <t>Author:</t>
        </r>
        <r>
          <rPr>
            <sz val="9"/>
            <color indexed="81"/>
            <rFont val="Tahoma"/>
            <family val="2"/>
          </rPr>
          <t xml:space="preserve">
Investor Day 2024: Mid-high teens
1q24: mid-teens
2q24: LDD-mid-teens
3q24: same</t>
        </r>
      </text>
    </comment>
    <comment ref="DO33" authorId="0" shapeId="0" xr:uid="{73E4480B-57FE-4B45-AFC1-48B26C4883F1}">
      <text>
        <r>
          <rPr>
            <b/>
            <sz val="9"/>
            <color indexed="81"/>
            <rFont val="Tahoma"/>
            <family val="2"/>
          </rPr>
          <t>Author:</t>
        </r>
        <r>
          <rPr>
            <sz val="9"/>
            <color indexed="81"/>
            <rFont val="Tahoma"/>
            <family val="2"/>
          </rPr>
          <t xml:space="preserve">
Investor Day: LDD-mid-teens
4q24: +Mid-teen
1q25: same
2q25 / Inv Day '25: high teens</t>
        </r>
      </text>
    </comment>
    <comment ref="DJ34" authorId="0" shapeId="0" xr:uid="{8D243548-1DE3-4835-9C0C-BA2023052DA7}">
      <text>
        <r>
          <rPr>
            <b/>
            <sz val="9"/>
            <color indexed="81"/>
            <rFont val="Tahoma"/>
            <family val="2"/>
          </rPr>
          <t>Author:</t>
        </r>
        <r>
          <rPr>
            <sz val="9"/>
            <color indexed="81"/>
            <rFont val="Tahoma"/>
            <family val="2"/>
          </rPr>
          <t xml:space="preserve">
Investor Day 2024: MSD-HSD
1q24: same
2q24: same
3q24: same</t>
        </r>
      </text>
    </comment>
    <comment ref="DO34" authorId="0" shapeId="0" xr:uid="{A1296F36-C8BE-4CEF-8A73-F59969DAED71}">
      <text>
        <r>
          <rPr>
            <b/>
            <sz val="9"/>
            <color indexed="81"/>
            <rFont val="Tahoma"/>
            <family val="2"/>
          </rPr>
          <t>Author:</t>
        </r>
        <r>
          <rPr>
            <sz val="9"/>
            <color indexed="81"/>
            <rFont val="Tahoma"/>
            <family val="2"/>
          </rPr>
          <t xml:space="preserve">
Investor Day: MSD-HSD
3q24: same
4q24: same
1q25: same
2q25 / Inv Day '25: same</t>
        </r>
      </text>
    </comment>
    <comment ref="DJ36" authorId="0" shapeId="0" xr:uid="{46C15442-09DE-4196-82BF-DAEA2F04CB8B}">
      <text>
        <r>
          <rPr>
            <b/>
            <sz val="9"/>
            <color indexed="81"/>
            <rFont val="Tahoma"/>
            <family val="2"/>
          </rPr>
          <t>Author:</t>
        </r>
        <r>
          <rPr>
            <sz val="9"/>
            <color indexed="81"/>
            <rFont val="Tahoma"/>
            <family val="2"/>
          </rPr>
          <t xml:space="preserve">
Investor Day 2024: LDD+
1q24: same
2q24: HSD
3q24: same</t>
        </r>
      </text>
    </comment>
    <comment ref="DO36" authorId="1" shapeId="0" xr:uid="{327383CE-DD92-4D5B-8D56-7BC1306BE4B5}">
      <text>
        <r>
          <rPr>
            <b/>
            <sz val="9"/>
            <color indexed="81"/>
            <rFont val="Tahoma"/>
            <family val="2"/>
          </rPr>
          <t>Author:</t>
        </r>
        <r>
          <rPr>
            <sz val="9"/>
            <color indexed="81"/>
            <rFont val="Tahoma"/>
            <family val="2"/>
          </rPr>
          <t xml:space="preserve">
4q24: +LDD
1q25: same
2q25 / Inv Day '25: mid teens</t>
        </r>
      </text>
    </comment>
    <comment ref="DF63" authorId="0" shapeId="0" xr:uid="{C2B2C10C-A9C0-402D-9664-9FA16C403259}">
      <text>
        <r>
          <rPr>
            <b/>
            <sz val="9"/>
            <color indexed="81"/>
            <rFont val="Tahoma"/>
            <family val="2"/>
          </rPr>
          <t>Author:</t>
        </r>
        <r>
          <rPr>
            <sz val="9"/>
            <color indexed="81"/>
            <rFont val="Tahoma"/>
            <family val="2"/>
          </rPr>
          <t xml:space="preserve">
1q24: 162mn net unfavorable change in estimate contract profitability (not adjusted out)</t>
        </r>
      </text>
    </comment>
    <comment ref="DJ63" authorId="0" shapeId="0" xr:uid="{84D7ECB7-7605-430F-A4B4-DD45824D5545}">
      <text>
        <r>
          <rPr>
            <b/>
            <sz val="9"/>
            <color indexed="81"/>
            <rFont val="Tahoma"/>
            <family val="2"/>
          </rPr>
          <t>Author:</t>
        </r>
        <r>
          <rPr>
            <sz val="9"/>
            <color indexed="81"/>
            <rFont val="Tahoma"/>
            <family val="2"/>
          </rPr>
          <t xml:space="preserve">
Investor Day 2024: 6.0-6.3
1q24: 6.1-6.4
2q24: 6.3-6.5
3q24: 6.6-6.8</t>
        </r>
      </text>
    </comment>
    <comment ref="DO63" authorId="1" shapeId="0" xr:uid="{FC4A2023-F727-49A2-B346-405F069C9743}">
      <text>
        <r>
          <rPr>
            <b/>
            <sz val="9"/>
            <color indexed="81"/>
            <rFont val="Tahoma"/>
            <family val="2"/>
          </rPr>
          <t>Author:</t>
        </r>
        <r>
          <rPr>
            <sz val="9"/>
            <color indexed="81"/>
            <rFont val="Tahoma"/>
            <family val="2"/>
          </rPr>
          <t xml:space="preserve">
4q24: 7,600-7,900
1q25: same
2q25 / Inv Day: 8,000-8,200</t>
        </r>
      </text>
    </comment>
    <comment ref="DJ64" authorId="0" shapeId="0" xr:uid="{A3F543DE-7281-40C1-AB19-0F3B4ECE2BC3}">
      <text>
        <r>
          <rPr>
            <b/>
            <sz val="9"/>
            <color indexed="81"/>
            <rFont val="Tahoma"/>
            <family val="2"/>
          </rPr>
          <t>Author:</t>
        </r>
        <r>
          <rPr>
            <sz val="9"/>
            <color indexed="81"/>
            <rFont val="Tahoma"/>
            <family val="2"/>
          </rPr>
          <t xml:space="preserve">
Investor Day 2024: 1.0-1.3
1q24: same
2q24: same
3q24: low end of range</t>
        </r>
      </text>
    </comment>
    <comment ref="DO64" authorId="1" shapeId="0" xr:uid="{E5D8E97B-6956-4704-ABD3-57E834E28DF9}">
      <text>
        <r>
          <rPr>
            <b/>
            <sz val="9"/>
            <color indexed="81"/>
            <rFont val="Tahoma"/>
            <family val="2"/>
          </rPr>
          <t>Author:</t>
        </r>
        <r>
          <rPr>
            <sz val="9"/>
            <color indexed="81"/>
            <rFont val="Tahoma"/>
            <family val="2"/>
          </rPr>
          <t xml:space="preserve">
4q24: 1,100-1,300
1q25: same
2q25 / Inv Day '25: same</t>
        </r>
      </text>
    </comment>
    <comment ref="DJ70" authorId="0" shapeId="0" xr:uid="{17F824E2-C195-47CE-9914-6D12E30B4F03}">
      <text>
        <r>
          <rPr>
            <b/>
            <sz val="9"/>
            <color indexed="81"/>
            <rFont val="Tahoma"/>
            <family val="2"/>
          </rPr>
          <t>Author:</t>
        </r>
        <r>
          <rPr>
            <sz val="9"/>
            <color indexed="81"/>
            <rFont val="Tahoma"/>
            <family val="2"/>
          </rPr>
          <t xml:space="preserve">
1q24: ~(1,000); 600mn corporate and 400mn elims
2q24: &lt;900
3q24: ~850</t>
        </r>
      </text>
    </comment>
    <comment ref="DO70" authorId="1" shapeId="0" xr:uid="{748732EC-CF53-4D8A-A04D-FFB51AF0E953}">
      <text>
        <r>
          <rPr>
            <b/>
            <sz val="9"/>
            <color indexed="81"/>
            <rFont val="Tahoma"/>
            <family val="2"/>
          </rPr>
          <t>Author:</t>
        </r>
        <r>
          <rPr>
            <sz val="9"/>
            <color indexed="81"/>
            <rFont val="Tahoma"/>
            <family val="2"/>
          </rPr>
          <t xml:space="preserve">
4q24: &lt;(1,000)
1q25: same
2q25 / Inv Day: same</t>
        </r>
      </text>
    </comment>
    <comment ref="DE71" authorId="0" shapeId="0" xr:uid="{2CAC70FF-406E-4C84-84AD-0236C27FDD93}">
      <text>
        <r>
          <rPr>
            <b/>
            <sz val="9"/>
            <color indexed="81"/>
            <rFont val="Tahoma"/>
            <family val="2"/>
          </rPr>
          <t>Author:</t>
        </r>
        <r>
          <rPr>
            <sz val="9"/>
            <color indexed="81"/>
            <rFont val="Tahoma"/>
            <family val="2"/>
          </rPr>
          <t xml:space="preserve">
5.6m in Investor Day deck</t>
        </r>
      </text>
    </comment>
    <comment ref="DJ71" authorId="0" shapeId="0" xr:uid="{814A494F-68C6-4AF0-9653-640100A42F65}">
      <text>
        <r>
          <rPr>
            <b/>
            <sz val="9"/>
            <color indexed="81"/>
            <rFont val="Tahoma"/>
            <family val="2"/>
          </rPr>
          <t>Author:</t>
        </r>
        <r>
          <rPr>
            <sz val="9"/>
            <color indexed="81"/>
            <rFont val="Tahoma"/>
            <family val="2"/>
          </rPr>
          <t xml:space="preserve">
Investor Day 2024: 6.0-6.5
1q24: 6.2-6.6
2q24: 6.5-6.8
3q24: 6.7-6.9</t>
        </r>
      </text>
    </comment>
    <comment ref="DO71" authorId="0" shapeId="0" xr:uid="{66B58A37-D88F-4975-A965-43CA8A828AAD}">
      <text>
        <r>
          <rPr>
            <b/>
            <sz val="9"/>
            <color indexed="81"/>
            <rFont val="Tahoma"/>
            <family val="2"/>
          </rPr>
          <t>Author:</t>
        </r>
        <r>
          <rPr>
            <sz val="9"/>
            <color indexed="81"/>
            <rFont val="Tahoma"/>
            <family val="2"/>
          </rPr>
          <t xml:space="preserve">
Investor Day 2024: 7.1-7.5
4q24: 7,800-8,200
1q25: same
2q25 / Inv Day '25: 8,200-8,500</t>
        </r>
      </text>
    </comment>
    <comment ref="DV71" authorId="0" shapeId="0" xr:uid="{AB5D489B-D4F2-4B02-8B80-5BB480740D99}">
      <text>
        <r>
          <rPr>
            <b/>
            <sz val="9"/>
            <color indexed="81"/>
            <rFont val="Tahoma"/>
            <family val="2"/>
          </rPr>
          <t>Author:</t>
        </r>
        <r>
          <rPr>
            <sz val="9"/>
            <color indexed="81"/>
            <rFont val="Tahoma"/>
            <family val="2"/>
          </rPr>
          <t xml:space="preserve">
Investor Day 2024: 10bn
Inv Day / 2q25: 11.5bn</t>
        </r>
      </text>
    </comment>
    <comment ref="DF84" authorId="1" shapeId="0" xr:uid="{ABF7A42B-2ACA-4248-8DF1-63AC213EB5C5}">
      <text>
        <r>
          <rPr>
            <b/>
            <sz val="9"/>
            <color indexed="81"/>
            <rFont val="Tahoma"/>
            <family val="2"/>
          </rPr>
          <t>Author:</t>
        </r>
        <r>
          <rPr>
            <sz val="9"/>
            <color indexed="81"/>
            <rFont val="Tahoma"/>
            <family val="2"/>
          </rPr>
          <t xml:space="preserve">
1Q24 presentation shows 23.3% margin</t>
        </r>
      </text>
    </comment>
    <comment ref="DF85" authorId="1" shapeId="0" xr:uid="{1771FC0B-09EF-438F-99B8-98E7F8C5D985}">
      <text>
        <r>
          <rPr>
            <b/>
            <sz val="9"/>
            <color indexed="81"/>
            <rFont val="Tahoma"/>
            <family val="2"/>
          </rPr>
          <t>Author:</t>
        </r>
        <r>
          <rPr>
            <sz val="9"/>
            <color indexed="81"/>
            <rFont val="Tahoma"/>
            <family val="2"/>
          </rPr>
          <t xml:space="preserve">
1Q24 presentation shows 11.0% margin</t>
        </r>
      </text>
    </comment>
    <comment ref="DJ89" authorId="0" shapeId="0" xr:uid="{CAD5E92A-08C0-413C-BDA2-415A0C30ACFC}">
      <text>
        <r>
          <rPr>
            <b/>
            <sz val="9"/>
            <color indexed="81"/>
            <rFont val="Tahoma"/>
            <family val="2"/>
          </rPr>
          <t>Author:</t>
        </r>
        <r>
          <rPr>
            <sz val="9"/>
            <color indexed="81"/>
            <rFont val="Tahoma"/>
            <family val="2"/>
          </rPr>
          <t xml:space="preserve">
1q24: +50bps YoY</t>
        </r>
      </text>
    </comment>
    <comment ref="DF90" authorId="0" shapeId="0" xr:uid="{B27B5317-1DE0-4D20-9484-6EEA654E5D1E}">
      <text>
        <r>
          <rPr>
            <b/>
            <sz val="9"/>
            <color indexed="81"/>
            <rFont val="Tahoma"/>
            <family val="2"/>
          </rPr>
          <t>Author:</t>
        </r>
        <r>
          <rPr>
            <sz val="9"/>
            <color indexed="81"/>
            <rFont val="Tahoma"/>
            <family val="2"/>
          </rPr>
          <t xml:space="preserve">
1q24: Consolidated Ticker0009</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Author2</author>
    <author>Author8</author>
    <author>Person0143, Person1222 </author>
    <author>Person1168, Person0812 J </author>
    <author>Person0306, Person0247 H </author>
  </authors>
  <commentList>
    <comment ref="X9" authorId="0" shapeId="0" xr:uid="{00000000-0006-0000-0400-000001000000}">
      <text>
        <r>
          <rPr>
            <b/>
            <sz val="8"/>
            <color indexed="81"/>
            <rFont val="Tahoma"/>
            <family val="2"/>
          </rPr>
          <t>Author:</t>
        </r>
        <r>
          <rPr>
            <sz val="8"/>
            <color indexed="81"/>
            <rFont val="Tahoma"/>
            <family val="2"/>
          </rPr>
          <t xml:space="preserve">
4q05: 38.0-39.5
1q06: same
2q06: 38.5-39.5
3q06: 39.0-39.5</t>
        </r>
      </text>
    </comment>
    <comment ref="AC9" authorId="0" shapeId="0" xr:uid="{00000000-0006-0000-0400-000002000000}">
      <text>
        <r>
          <rPr>
            <b/>
            <sz val="8"/>
            <color indexed="81"/>
            <rFont val="Tahoma"/>
            <family val="2"/>
          </rPr>
          <t>Author:</t>
        </r>
        <r>
          <rPr>
            <sz val="8"/>
            <color indexed="81"/>
            <rFont val="Tahoma"/>
            <family val="2"/>
          </rPr>
          <t xml:space="preserve">
3q06: 41.0-42.0
4q06: 40.25-41.25
1q07: 40.35-41.35
2q07: 41.00-41.75
3q07: same</t>
        </r>
      </text>
    </comment>
    <comment ref="AH9" authorId="0" shapeId="0" xr:uid="{00000000-0006-0000-0400-000003000000}">
      <text>
        <r>
          <rPr>
            <b/>
            <sz val="8"/>
            <color indexed="81"/>
            <rFont val="Tahoma"/>
            <family val="2"/>
          </rPr>
          <t>Author:</t>
        </r>
        <r>
          <rPr>
            <sz val="8"/>
            <color indexed="81"/>
            <rFont val="Tahoma"/>
            <family val="2"/>
          </rPr>
          <t xml:space="preserve">
3q07: 41.25-42.75
4q07: 41.80-42.80
1q08: same
2q08: 41.90-42.90
3q08: same</t>
        </r>
      </text>
    </comment>
    <comment ref="AM9" authorId="0" shapeId="0" xr:uid="{00000000-0006-0000-0400-000004000000}">
      <text>
        <r>
          <rPr>
            <b/>
            <sz val="8"/>
            <color indexed="81"/>
            <rFont val="Tahoma"/>
            <family val="2"/>
          </rPr>
          <t>Author:</t>
        </r>
        <r>
          <rPr>
            <sz val="8"/>
            <color indexed="81"/>
            <rFont val="Tahoma"/>
            <family val="2"/>
          </rPr>
          <t xml:space="preserve">
3q08: 44.25-45.25
4q08: 44.7-45.7
1q09: same
2q09: same
3q09: same</t>
        </r>
      </text>
    </comment>
    <comment ref="AR9" authorId="0" shapeId="0" xr:uid="{00000000-0006-0000-0400-000005000000}">
      <text>
        <r>
          <rPr>
            <b/>
            <sz val="8"/>
            <color indexed="81"/>
            <rFont val="Tahoma"/>
            <family val="2"/>
          </rPr>
          <t>Author:</t>
        </r>
        <r>
          <rPr>
            <sz val="8"/>
            <color indexed="81"/>
            <rFont val="Tahoma"/>
            <family val="2"/>
          </rPr>
          <t xml:space="preserve">
3q09: 46.25-47.25
4q09: same
1q10: same
2q10: 45.50-46.50
3q10: 44.90-45.90</t>
        </r>
      </text>
    </comment>
    <comment ref="AW9" authorId="0" shapeId="0" xr:uid="{00000000-0006-0000-0400-000006000000}">
      <text>
        <r>
          <rPr>
            <b/>
            <sz val="8"/>
            <color indexed="81"/>
            <rFont val="Tahoma"/>
            <family val="2"/>
          </rPr>
          <t>Author:</t>
        </r>
        <r>
          <rPr>
            <sz val="8"/>
            <color indexed="81"/>
            <rFont val="Tahoma"/>
            <family val="2"/>
          </rPr>
          <t xml:space="preserve">
4q10: 45,750-47,250
1q11: same
2q11: 46,000-47,000
3q11: same</t>
        </r>
      </text>
    </comment>
    <comment ref="X14" authorId="1" shapeId="0" xr:uid="{00000000-0006-0000-0400-000016000000}">
      <text>
        <r>
          <rPr>
            <b/>
            <sz val="8"/>
            <color indexed="81"/>
            <rFont val="Tahoma"/>
            <family val="2"/>
          </rPr>
          <t>Author:</t>
        </r>
        <r>
          <rPr>
            <sz val="8"/>
            <color indexed="81"/>
            <rFont val="Tahoma"/>
            <family val="2"/>
          </rPr>
          <t xml:space="preserve">
4q05: 3275-3425
1q06: 3395-3520
2q06: 3625-3750
3q06: 3735-3825</t>
        </r>
      </text>
    </comment>
    <comment ref="AC14" authorId="1" shapeId="0" xr:uid="{00000000-0006-0000-0400-000017000000}">
      <text>
        <r>
          <rPr>
            <b/>
            <sz val="8"/>
            <color indexed="81"/>
            <rFont val="Tahoma"/>
            <family val="2"/>
          </rPr>
          <t>Author:</t>
        </r>
        <r>
          <rPr>
            <sz val="8"/>
            <color indexed="81"/>
            <rFont val="Tahoma"/>
            <family val="2"/>
          </rPr>
          <t xml:space="preserve">
3q06: 3940-4065
4q06: 4055-4180
1q07: 4210-4310
2q07: 4435-4535
3q07: 4465-4565</t>
        </r>
      </text>
    </comment>
    <comment ref="AH14" authorId="1" shapeId="0" xr:uid="{00000000-0006-0000-0400-000018000000}">
      <text>
        <r>
          <rPr>
            <b/>
            <sz val="8"/>
            <color indexed="81"/>
            <rFont val="Tahoma"/>
            <family val="2"/>
          </rPr>
          <t>Author:</t>
        </r>
        <r>
          <rPr>
            <sz val="8"/>
            <color indexed="81"/>
            <rFont val="Tahoma"/>
            <family val="2"/>
          </rPr>
          <t xml:space="preserve">
3q07: 4,465 - 4,590
4q07: 4,605 - 4,730
1q08: 4,695 - 4,820
2q08: 4,855 - 4,955
3q08: 4,900 - 5,000</t>
        </r>
      </text>
    </comment>
    <comment ref="AM14" authorId="1" shapeId="0" xr:uid="{00000000-0006-0000-0400-000019000000}">
      <text>
        <r>
          <rPr>
            <b/>
            <sz val="8"/>
            <color indexed="81"/>
            <rFont val="Tahoma"/>
            <family val="2"/>
          </rPr>
          <t>Author:</t>
        </r>
        <r>
          <rPr>
            <sz val="8"/>
            <color indexed="81"/>
            <rFont val="Tahoma"/>
            <family val="2"/>
          </rPr>
          <t xml:space="preserve">
4q08: 4465-4565
2q09: 4355-4455
3q09: same</t>
        </r>
      </text>
    </comment>
    <comment ref="AR14" authorId="1" shapeId="0" xr:uid="{00000000-0006-0000-0400-00001A000000}">
      <text>
        <r>
          <rPr>
            <b/>
            <sz val="8"/>
            <color indexed="81"/>
            <rFont val="Tahoma"/>
            <family val="2"/>
          </rPr>
          <t>Author:</t>
        </r>
        <r>
          <rPr>
            <sz val="8"/>
            <color indexed="81"/>
            <rFont val="Tahoma"/>
            <family val="2"/>
          </rPr>
          <t xml:space="preserve">
4q06: 100bps of improvement, and 5bn of EBIT by "end of decade"
3q09: 4,250 - 4,350
4q09: 4,305 - 4,405
1q10: 4,295 - 4,395
2q10: 4,315 - 4,415
3q10: 4,055 - 4,155</t>
        </r>
      </text>
    </comment>
    <comment ref="AW14" authorId="1" shapeId="0" xr:uid="{00000000-0006-0000-0400-00001B000000}">
      <text>
        <r>
          <rPr>
            <b/>
            <sz val="8"/>
            <color indexed="81"/>
            <rFont val="Tahoma"/>
            <family val="2"/>
          </rPr>
          <t>Author:</t>
        </r>
        <r>
          <rPr>
            <sz val="8"/>
            <color indexed="81"/>
            <rFont val="Tahoma"/>
            <family val="2"/>
          </rPr>
          <t xml:space="preserve">
4q06: 100bps of improvement, and 5bn of EBIT by "end of decade"
4q10: 3,700 - 3,850
1q11: same
2q11: 3,750 - 3,850
3q11: 3,800 - 3,900
</t>
        </r>
      </text>
    </comment>
    <comment ref="DJ14" authorId="2" shapeId="0" xr:uid="{6DFE3006-A5FC-4895-A9A9-C56F0366B9E9}">
      <text>
        <r>
          <rPr>
            <b/>
            <sz val="9"/>
            <color indexed="81"/>
            <rFont val="Tahoma"/>
            <family val="2"/>
          </rPr>
          <t>Author:</t>
        </r>
        <r>
          <rPr>
            <sz val="9"/>
            <color indexed="81"/>
            <rFont val="Tahoma"/>
            <family val="2"/>
          </rPr>
          <t xml:space="preserve">
Investor Day 2024: 6.0-6.5
1q24: 6.2-6.6
2q24: 6.5-6.8
3q24: 6.7-6.9</t>
        </r>
      </text>
    </comment>
    <comment ref="DO14" authorId="2" shapeId="0" xr:uid="{ED447762-95FC-4233-B581-FE6F5C666FAF}">
      <text>
        <r>
          <rPr>
            <b/>
            <sz val="9"/>
            <color indexed="81"/>
            <rFont val="Tahoma"/>
            <family val="2"/>
          </rPr>
          <t>Author:</t>
        </r>
        <r>
          <rPr>
            <sz val="9"/>
            <color indexed="81"/>
            <rFont val="Tahoma"/>
            <family val="2"/>
          </rPr>
          <t xml:space="preserve">
Investor Day 2024: 7.1-7.5
1q25: 7,800 - 8,200
2q25 / Inv Day '25: 8,200-8,500</t>
        </r>
      </text>
    </comment>
    <comment ref="DV14" authorId="2" shapeId="0" xr:uid="{E801DA87-2D32-485E-95E1-A2DE8929EDC5}">
      <text>
        <r>
          <rPr>
            <b/>
            <sz val="9"/>
            <color indexed="81"/>
            <rFont val="Tahoma"/>
            <family val="2"/>
          </rPr>
          <t>Author:</t>
        </r>
        <r>
          <rPr>
            <sz val="9"/>
            <color indexed="81"/>
            <rFont val="Tahoma"/>
            <family val="2"/>
          </rPr>
          <t xml:space="preserve">
Investor Day 2024: 10,000
2q25 / Inv Day '25: 11,500</t>
        </r>
      </text>
    </comment>
    <comment ref="X15" authorId="1" shapeId="0" xr:uid="{00000000-0006-0000-0400-000026000000}">
      <text>
        <r>
          <rPr>
            <b/>
            <sz val="8"/>
            <color indexed="81"/>
            <rFont val="Tahoma"/>
            <family val="2"/>
          </rPr>
          <t>Author:</t>
        </r>
        <r>
          <rPr>
            <sz val="8"/>
            <color indexed="81"/>
            <rFont val="Tahoma"/>
            <family val="2"/>
          </rPr>
          <t xml:space="preserve">
4q05: 360-370
1q06: 365-375
2q06: 370
3q06: 360</t>
        </r>
      </text>
    </comment>
    <comment ref="AC15" authorId="1" shapeId="0" xr:uid="{00000000-0006-0000-0400-000027000000}">
      <text>
        <r>
          <rPr>
            <b/>
            <sz val="8"/>
            <color indexed="81"/>
            <rFont val="Tahoma"/>
            <family val="2"/>
          </rPr>
          <t>Author:</t>
        </r>
        <r>
          <rPr>
            <sz val="8"/>
            <color indexed="81"/>
            <rFont val="Tahoma"/>
            <family val="2"/>
          </rPr>
          <t xml:space="preserve">
4q06: 345
1q07: 355
2q07: same</t>
        </r>
      </text>
    </comment>
    <comment ref="AH15" authorId="1" shapeId="0" xr:uid="{00000000-0006-0000-0400-000028000000}">
      <text>
        <r>
          <rPr>
            <b/>
            <sz val="8"/>
            <color indexed="81"/>
            <rFont val="Tahoma"/>
            <family val="2"/>
          </rPr>
          <t>Author:</t>
        </r>
        <r>
          <rPr>
            <sz val="8"/>
            <color indexed="81"/>
            <rFont val="Tahoma"/>
            <family val="2"/>
          </rPr>
          <t xml:space="preserve">
3q07: 345
4q07: same
1q08: 360
2q08: 345
3q08: 340</t>
        </r>
      </text>
    </comment>
    <comment ref="AM15" authorId="1" shapeId="0" xr:uid="{00000000-0006-0000-0400-000029000000}">
      <text>
        <r>
          <rPr>
            <b/>
            <sz val="8"/>
            <color indexed="81"/>
            <rFont val="Tahoma"/>
            <family val="2"/>
          </rPr>
          <t>Author:</t>
        </r>
        <r>
          <rPr>
            <sz val="8"/>
            <color indexed="81"/>
            <rFont val="Tahoma"/>
            <family val="2"/>
          </rPr>
          <t xml:space="preserve">
3q08: 305
4q08: same
1q09: same
2q09: same
3q09: same</t>
        </r>
      </text>
    </comment>
    <comment ref="AR15" authorId="0" shapeId="0" xr:uid="{00000000-0006-0000-0400-00002A000000}">
      <text>
        <r>
          <rPr>
            <b/>
            <sz val="8"/>
            <color indexed="81"/>
            <rFont val="Tahoma"/>
            <family val="2"/>
          </rPr>
          <t>Author:</t>
        </r>
        <r>
          <rPr>
            <sz val="8"/>
            <color indexed="81"/>
            <rFont val="Tahoma"/>
            <family val="2"/>
          </rPr>
          <t xml:space="preserve">
3q09: (275)
4q09: (350)
1q10: same
2q10: same
3q10: same</t>
        </r>
      </text>
    </comment>
    <comment ref="DJ15" authorId="2" shapeId="0" xr:uid="{D8D680D7-56C0-4E78-9F21-53E58DE4A94F}">
      <text>
        <r>
          <rPr>
            <b/>
            <sz val="9"/>
            <color indexed="81"/>
            <rFont val="Tahoma"/>
            <family val="2"/>
          </rPr>
          <t>Author:</t>
        </r>
        <r>
          <rPr>
            <sz val="9"/>
            <color indexed="81"/>
            <rFont val="Tahoma"/>
            <family val="2"/>
          </rPr>
          <t xml:space="preserve">
Investor Day: ~1,000
1q24: slightly below 1,000
3q24: same</t>
        </r>
      </text>
    </comment>
    <comment ref="DO15" authorId="3" shapeId="0" xr:uid="{9EFAEF5C-A7C7-4D84-A00A-97F648E0D5F0}">
      <text>
        <r>
          <rPr>
            <b/>
            <sz val="9"/>
            <color indexed="81"/>
            <rFont val="Tahoma"/>
            <family val="2"/>
          </rPr>
          <t>Author:</t>
        </r>
        <r>
          <rPr>
            <sz val="9"/>
            <color indexed="81"/>
            <rFont val="Tahoma"/>
            <family val="2"/>
          </rPr>
          <t xml:space="preserve">
4q24: ~flat
1q25: same
2q25 / Inv Day '25: same</t>
        </r>
      </text>
    </comment>
    <comment ref="AH17" authorId="0" shapeId="0" xr:uid="{00000000-0006-0000-0400-00002E000000}">
      <text>
        <r>
          <rPr>
            <b/>
            <sz val="8"/>
            <color indexed="81"/>
            <rFont val="Tahoma"/>
            <family val="2"/>
          </rPr>
          <t xml:space="preserve">Author:
</t>
        </r>
        <r>
          <rPr>
            <sz val="8"/>
            <color indexed="81"/>
            <rFont val="Tahoma"/>
            <family val="2"/>
          </rPr>
          <t>3q07: 180
4q07: 145
1q08: 45
2q08: 45
3q08: (50) (int inc is 80, trust is negative 30)</t>
        </r>
      </text>
    </comment>
    <comment ref="AM17" authorId="0" shapeId="0" xr:uid="{00000000-0006-0000-0400-00002F000000}">
      <text>
        <r>
          <rPr>
            <b/>
            <sz val="8"/>
            <color indexed="81"/>
            <rFont val="Tahoma"/>
            <family val="2"/>
          </rPr>
          <t>Author:</t>
        </r>
        <r>
          <rPr>
            <sz val="8"/>
            <color indexed="81"/>
            <rFont val="Tahoma"/>
            <family val="2"/>
          </rPr>
          <t xml:space="preserve">
3q08: 35 (less int inc, zero debt exchange and zero mark to mkt)
4q08: 0
1q09: (5)
2q09: 45
3q09: 100</t>
        </r>
      </text>
    </comment>
    <comment ref="AQ17" authorId="0" shapeId="0" xr:uid="{00000000-0006-0000-0400-000030000000}">
      <text>
        <r>
          <rPr>
            <b/>
            <sz val="8"/>
            <color indexed="81"/>
            <rFont val="Tahoma"/>
            <family val="2"/>
          </rPr>
          <t>Author:</t>
        </r>
        <r>
          <rPr>
            <sz val="8"/>
            <color indexed="81"/>
            <rFont val="Tahoma"/>
            <family val="2"/>
          </rPr>
          <t xml:space="preserve">
Dec 17 2010: 10.3mn settlement</t>
        </r>
      </text>
    </comment>
    <comment ref="AR17" authorId="0" shapeId="0" xr:uid="{00000000-0006-0000-0400-000031000000}">
      <text>
        <r>
          <rPr>
            <b/>
            <sz val="8"/>
            <color indexed="81"/>
            <rFont val="Tahoma"/>
            <family val="2"/>
          </rPr>
          <t>Author:</t>
        </r>
        <r>
          <rPr>
            <sz val="8"/>
            <color indexed="81"/>
            <rFont val="Tahoma"/>
            <family val="2"/>
          </rPr>
          <t xml:space="preserve">
3q09: 0
4q09: same
1q10: 30
2q10: 10
3q10: 45</t>
        </r>
      </text>
    </comment>
    <comment ref="AH18" authorId="1" shapeId="0" xr:uid="{00000000-0006-0000-0400-000039000000}">
      <text>
        <r>
          <rPr>
            <b/>
            <sz val="8"/>
            <color indexed="81"/>
            <rFont val="Tahoma"/>
            <family val="2"/>
          </rPr>
          <t>Author:</t>
        </r>
        <r>
          <rPr>
            <sz val="8"/>
            <color indexed="81"/>
            <rFont val="Tahoma"/>
            <family val="2"/>
          </rPr>
          <t xml:space="preserve">
3q07: 4,300 -4,425
4q07: 4,405 - 4,530
1q08: 4,380 - 4,505
2q08: 4,555 - 4,655
3q08: 4,510 - 4,610</t>
        </r>
      </text>
    </comment>
    <comment ref="AM18" authorId="1" shapeId="0" xr:uid="{00000000-0006-0000-0400-00003A000000}">
      <text>
        <r>
          <rPr>
            <b/>
            <sz val="8"/>
            <color indexed="81"/>
            <rFont val="Tahoma"/>
            <family val="2"/>
          </rPr>
          <t>Author:</t>
        </r>
        <r>
          <rPr>
            <sz val="8"/>
            <color indexed="81"/>
            <rFont val="Tahoma"/>
            <family val="2"/>
          </rPr>
          <t xml:space="preserve">
3q08: 4530-4680
4q08: 4160-4260
1q09: 4165-4265
2q09: 4095-4195
3q09: 4150-4250</t>
        </r>
      </text>
    </comment>
    <comment ref="AR18" authorId="0" shapeId="0" xr:uid="{00000000-0006-0000-0400-00003B000000}">
      <text>
        <r>
          <rPr>
            <b/>
            <sz val="8"/>
            <color indexed="81"/>
            <rFont val="Tahoma"/>
            <family val="2"/>
          </rPr>
          <t>Author:</t>
        </r>
        <r>
          <rPr>
            <sz val="8"/>
            <color indexed="81"/>
            <rFont val="Tahoma"/>
            <family val="2"/>
          </rPr>
          <t xml:space="preserve">
3q09: 3,975 - 4,075
4q09: 3,955 - 4,055
1q10: 3,975 - 4,075
2q10: same
3q10: 3,750 - 3,850</t>
        </r>
      </text>
    </comment>
    <comment ref="AN19" authorId="0" shapeId="0" xr:uid="{00000000-0006-0000-0400-00003D000000}">
      <text>
        <r>
          <rPr>
            <b/>
            <sz val="8"/>
            <color indexed="81"/>
            <rFont val="Tahoma"/>
            <family val="2"/>
          </rPr>
          <t>Author:</t>
        </r>
        <r>
          <rPr>
            <sz val="8"/>
            <color indexed="81"/>
            <rFont val="Tahoma"/>
            <family val="2"/>
          </rPr>
          <t xml:space="preserve">
96mn of healthcare charge</t>
        </r>
      </text>
    </comment>
    <comment ref="AT19" authorId="0" shapeId="0" xr:uid="{00000000-0006-0000-0400-00003E000000}">
      <text>
        <r>
          <rPr>
            <b/>
            <sz val="8"/>
            <color indexed="81"/>
            <rFont val="Tahoma"/>
            <family val="2"/>
          </rPr>
          <t>Author:</t>
        </r>
        <r>
          <rPr>
            <sz val="8"/>
            <color indexed="81"/>
            <rFont val="Tahoma"/>
            <family val="2"/>
          </rPr>
          <t xml:space="preserve">
1q11: (90) tax reduction</t>
        </r>
      </text>
    </comment>
    <comment ref="AO21" authorId="0" shapeId="0" xr:uid="{00000000-0006-0000-0400-00003F000000}">
      <text>
        <r>
          <rPr>
            <b/>
            <sz val="8"/>
            <color indexed="81"/>
            <rFont val="Tahoma"/>
            <family val="2"/>
          </rPr>
          <t>Author:</t>
        </r>
        <r>
          <rPr>
            <sz val="8"/>
            <color indexed="81"/>
            <rFont val="Tahoma"/>
            <family val="2"/>
          </rPr>
          <t xml:space="preserve">
2q10a: 96mn tax benefit on recognition of deferred tax asset for Company2030 book and tax differences</t>
        </r>
      </text>
    </comment>
    <comment ref="X32" authorId="1" shapeId="0" xr:uid="{00000000-0006-0000-0400-000040000000}">
      <text>
        <r>
          <rPr>
            <b/>
            <sz val="8"/>
            <color indexed="81"/>
            <rFont val="Tahoma"/>
            <family val="2"/>
          </rPr>
          <t>Author:</t>
        </r>
        <r>
          <rPr>
            <sz val="8"/>
            <color indexed="81"/>
            <rFont val="Tahoma"/>
            <family val="2"/>
          </rPr>
          <t xml:space="preserve">
4q05: 4.50-4.75
1q06: 4.65-4.85
2q06: 5.10-5.30
3q06: 5.45-5.60</t>
        </r>
      </text>
    </comment>
    <comment ref="AC32" authorId="1" shapeId="0" xr:uid="{00000000-0006-0000-0400-000041000000}">
      <text>
        <r>
          <rPr>
            <b/>
            <sz val="8"/>
            <color indexed="81"/>
            <rFont val="Tahoma"/>
            <family val="2"/>
          </rPr>
          <t>Author:</t>
        </r>
        <r>
          <rPr>
            <sz val="8"/>
            <color indexed="81"/>
            <rFont val="Tahoma"/>
            <family val="2"/>
          </rPr>
          <t xml:space="preserve">
3q06: 5.60-5.80
4q06: 5.80-6.00
1q07: 6.20-6.35
2q07: 6.65-6.80
3q07: 6.70-6.85</t>
        </r>
      </text>
    </comment>
    <comment ref="AH32" authorId="1" shapeId="0" xr:uid="{00000000-0006-0000-0400-000042000000}">
      <text>
        <r>
          <rPr>
            <b/>
            <sz val="8"/>
            <color indexed="81"/>
            <rFont val="Tahoma"/>
            <family val="2"/>
          </rPr>
          <t>Author:</t>
        </r>
        <r>
          <rPr>
            <sz val="8"/>
            <color indexed="81"/>
            <rFont val="Tahoma"/>
            <family val="2"/>
          </rPr>
          <t xml:space="preserve">
3q07: $6.95 - $7.15
4q07: $7.05 - $7.25
1q08: $7.15  - $7.35
2q08: $7.45 - $7.60
3q08: $7.55 - $7.70</t>
        </r>
      </text>
    </comment>
    <comment ref="AM32" authorId="1" shapeId="0" xr:uid="{00000000-0006-0000-0400-000043000000}">
      <text>
        <r>
          <rPr>
            <b/>
            <sz val="8"/>
            <color indexed="81"/>
            <rFont val="Tahoma"/>
            <family val="2"/>
          </rPr>
          <t>Author:</t>
        </r>
        <r>
          <rPr>
            <sz val="8"/>
            <color indexed="81"/>
            <rFont val="Tahoma"/>
            <family val="2"/>
          </rPr>
          <t xml:space="preserve">
3q08: $7.65 - $7.90
4q08: $7.05 - $7.25
1q09: $7.15 - $7.35
2q09: same
3q09: $7.40 - $7.60</t>
        </r>
      </text>
    </comment>
    <comment ref="AR32" authorId="0" shapeId="0" xr:uid="{00000000-0006-0000-0400-000044000000}">
      <text>
        <r>
          <rPr>
            <b/>
            <sz val="8"/>
            <color indexed="81"/>
            <rFont val="Tahoma"/>
            <family val="2"/>
          </rPr>
          <t>Author:</t>
        </r>
        <r>
          <rPr>
            <sz val="8"/>
            <color indexed="81"/>
            <rFont val="Tahoma"/>
            <family val="2"/>
          </rPr>
          <t xml:space="preserve">
3q09: $7.05 - $7.25 (ex. HC charge)
4q09: $7.15- $7.35 (ex. HC charge)
1q10: $7.00$- $7.20 (inc. HC charge)
2q10: $7.15 - $7.35
3q10: $6.75 - $6.95</t>
        </r>
      </text>
    </comment>
    <comment ref="AW32" authorId="0" shapeId="0" xr:uid="{00000000-0006-0000-0400-000045000000}">
      <text>
        <r>
          <rPr>
            <b/>
            <sz val="8"/>
            <color indexed="81"/>
            <rFont val="Tahoma"/>
            <family val="2"/>
          </rPr>
          <t>Author:</t>
        </r>
        <r>
          <rPr>
            <sz val="8"/>
            <color indexed="81"/>
            <rFont val="Tahoma"/>
            <family val="2"/>
          </rPr>
          <t xml:space="preserve">
4q10: $6.70 - $7.00
1q11: $6.95 - $7.25
2q11: $7.35 - $7.55
3q11: $7.40 - $7.60</t>
        </r>
      </text>
    </comment>
    <comment ref="AR33" authorId="0" shapeId="0" xr:uid="{00000000-0006-0000-0400-000054000000}">
      <text>
        <r>
          <rPr>
            <b/>
            <sz val="8"/>
            <color indexed="81"/>
            <rFont val="Tahoma"/>
            <family val="2"/>
          </rPr>
          <t>Author:</t>
        </r>
        <r>
          <rPr>
            <sz val="8"/>
            <color indexed="81"/>
            <rFont val="Tahoma"/>
            <family val="2"/>
          </rPr>
          <t xml:space="preserve">
2q10: $0.30</t>
        </r>
      </text>
    </comment>
    <comment ref="DC38" authorId="3" shapeId="0" xr:uid="{9EF1C04C-A158-4746-8AFC-694A2F06E029}">
      <text>
        <r>
          <rPr>
            <b/>
            <sz val="9"/>
            <color indexed="81"/>
            <rFont val="Tahoma"/>
            <family val="2"/>
          </rPr>
          <t>Author:</t>
        </r>
        <r>
          <rPr>
            <sz val="9"/>
            <color indexed="81"/>
            <rFont val="Tahoma"/>
            <family val="2"/>
          </rPr>
          <t xml:space="preserve">
PR</t>
        </r>
      </text>
    </comment>
    <comment ref="DJ39" authorId="2" shapeId="0" xr:uid="{B3916C0E-ECE2-4D10-8AAE-8B01B3913C75}">
      <text>
        <r>
          <rPr>
            <b/>
            <sz val="9"/>
            <color indexed="81"/>
            <rFont val="Tahoma"/>
            <family val="2"/>
          </rPr>
          <t>Author:</t>
        </r>
        <r>
          <rPr>
            <sz val="9"/>
            <color indexed="81"/>
            <rFont val="Tahoma"/>
            <family val="2"/>
          </rPr>
          <t xml:space="preserve">
1q24: improvement YoY</t>
        </r>
      </text>
    </comment>
    <comment ref="DJ43" authorId="2" shapeId="0" xr:uid="{9E82D297-C3C1-4415-94B9-F217659A29CE}">
      <text>
        <r>
          <rPr>
            <b/>
            <sz val="9"/>
            <color indexed="81"/>
            <rFont val="Tahoma"/>
            <family val="2"/>
          </rPr>
          <t>Author:</t>
        </r>
        <r>
          <rPr>
            <sz val="9"/>
            <color indexed="81"/>
            <rFont val="Tahoma"/>
            <family val="2"/>
          </rPr>
          <t xml:space="preserve">
1q24: 200; Majority in 2024
3q24: Expecting ~100 remaining over next couple of years (pre tax)
</t>
        </r>
      </text>
    </comment>
    <comment ref="DO43" authorId="2" shapeId="0" xr:uid="{F6D80CF2-C478-4F8A-86CA-230894AD49F0}">
      <text>
        <r>
          <rPr>
            <b/>
            <sz val="9"/>
            <color indexed="81"/>
            <rFont val="Tahoma"/>
            <family val="2"/>
          </rPr>
          <t>Author:</t>
        </r>
        <r>
          <rPr>
            <sz val="9"/>
            <color indexed="81"/>
            <rFont val="Tahoma"/>
            <family val="2"/>
          </rPr>
          <t xml:space="preserve">
3q24: Expecting ~100 remaining (pre tax; ~80 post tax @ 20% rate)
4q24: ~100
2q25 / Inv Day '25: 104mn, &lt;75mn remaining</t>
        </r>
      </text>
    </comment>
    <comment ref="DJ44" authorId="2" shapeId="0" xr:uid="{A0B111EF-3184-43EE-B9E4-00B4CABFBBD9}">
      <text>
        <r>
          <rPr>
            <b/>
            <sz val="9"/>
            <color indexed="81"/>
            <rFont val="Tahoma"/>
            <family val="2"/>
          </rPr>
          <t>Author:</t>
        </r>
        <r>
          <rPr>
            <sz val="9"/>
            <color indexed="81"/>
            <rFont val="Tahoma"/>
            <family val="2"/>
          </rPr>
          <t xml:space="preserve">
1q24: 400 over next few years
3q24: Expecting ~250 remaining over next couple of years (pre tax)
</t>
        </r>
      </text>
    </comment>
    <comment ref="DO44" authorId="2" shapeId="0" xr:uid="{11243FFD-18BA-4E11-AC8C-291BA8D4F6B5}">
      <text>
        <r>
          <rPr>
            <b/>
            <sz val="9"/>
            <color indexed="81"/>
            <rFont val="Tahoma"/>
            <family val="2"/>
          </rPr>
          <t>Author:</t>
        </r>
        <r>
          <rPr>
            <sz val="9"/>
            <color indexed="81"/>
            <rFont val="Tahoma"/>
            <family val="2"/>
          </rPr>
          <t xml:space="preserve">
3q24: Expecting ~250 remaining over next couple of years (pre tax)
4q24: ~170
2q25 / Inv Day '25: 330 total post spin spend, ~75 remaining</t>
        </r>
      </text>
    </comment>
    <comment ref="DT44" authorId="2" shapeId="0" xr:uid="{EDAEFC2A-129B-4B0C-A962-03A8F252E0F0}">
      <text>
        <r>
          <rPr>
            <b/>
            <sz val="9"/>
            <color indexed="81"/>
            <rFont val="Tahoma"/>
            <family val="2"/>
          </rPr>
          <t>Author:</t>
        </r>
        <r>
          <rPr>
            <sz val="9"/>
            <color indexed="81"/>
            <rFont val="Tahoma"/>
            <family val="2"/>
          </rPr>
          <t xml:space="preserve">
3q24: Expecting ~250 remaining over next couple of years (pre tax)
</t>
        </r>
      </text>
    </comment>
    <comment ref="DJ48" authorId="2" shapeId="0" xr:uid="{87821601-D816-484D-B4F2-0A4EC68C157A}">
      <text>
        <r>
          <rPr>
            <b/>
            <sz val="9"/>
            <color indexed="81"/>
            <rFont val="Tahoma"/>
            <family val="2"/>
          </rPr>
          <t>Author:</t>
        </r>
        <r>
          <rPr>
            <sz val="9"/>
            <color indexed="81"/>
            <rFont val="Tahoma"/>
            <family val="2"/>
          </rPr>
          <t xml:space="preserve">
1q24: 3.80-4.05
2q24: 3.95-4.20
3q24: 4.20-4.35</t>
        </r>
      </text>
    </comment>
    <comment ref="DK48" authorId="3" shapeId="0" xr:uid="{8F8073D2-63A5-413F-9082-31D139939B33}">
      <text>
        <r>
          <rPr>
            <b/>
            <sz val="9"/>
            <color indexed="81"/>
            <rFont val="Tahoma"/>
            <family val="2"/>
          </rPr>
          <t>Author:</t>
        </r>
        <r>
          <rPr>
            <sz val="9"/>
            <color indexed="81"/>
            <rFont val="Tahoma"/>
            <family val="2"/>
          </rPr>
          <t xml:space="preserve">
4q24: flat to down sequentially</t>
        </r>
      </text>
    </comment>
    <comment ref="DO48" authorId="3" shapeId="0" xr:uid="{D3DE2872-8A32-48CB-AAAD-420B4D7EBA89}">
      <text>
        <r>
          <rPr>
            <b/>
            <sz val="9"/>
            <color indexed="81"/>
            <rFont val="Tahoma"/>
            <family val="2"/>
          </rPr>
          <t>Author:</t>
        </r>
        <r>
          <rPr>
            <sz val="9"/>
            <color indexed="81"/>
            <rFont val="Tahoma"/>
            <family val="2"/>
          </rPr>
          <t xml:space="preserve">
4q24: 5.10-5.45
1q25: same
2q25 / Inv Day '25: 5.60-5.80</t>
        </r>
      </text>
    </comment>
    <comment ref="DV48" authorId="4" shapeId="0" xr:uid="{4340DD1A-D38B-4F7C-8B0D-B2854B782AD2}">
      <text>
        <r>
          <rPr>
            <b/>
            <sz val="9"/>
            <color indexed="81"/>
            <rFont val="Tahoma"/>
            <family val="2"/>
          </rPr>
          <t>Author:</t>
        </r>
        <r>
          <rPr>
            <sz val="9"/>
            <color indexed="81"/>
            <rFont val="Tahoma"/>
            <family val="2"/>
          </rPr>
          <t xml:space="preserve">
2q25 / Inv Day '25: $8.40</t>
        </r>
      </text>
    </comment>
    <comment ref="X52" authorId="1" shapeId="0" xr:uid="{00000000-0006-0000-0400-000056000000}">
      <text>
        <r>
          <rPr>
            <b/>
            <sz val="8"/>
            <color indexed="81"/>
            <rFont val="Tahoma"/>
            <family val="2"/>
          </rPr>
          <t>Author:</t>
        </r>
        <r>
          <rPr>
            <sz val="8"/>
            <color indexed="81"/>
            <rFont val="Tahoma"/>
            <family val="2"/>
          </rPr>
          <t xml:space="preserve">
1q06: ~440 (5 lower than FY05)</t>
        </r>
      </text>
    </comment>
    <comment ref="DO52" authorId="3" shapeId="0" xr:uid="{16F2C76E-210C-4F06-B9B0-F08D8EC2AB89}">
      <text>
        <r>
          <rPr>
            <b/>
            <sz val="9"/>
            <color indexed="81"/>
            <rFont val="Tahoma"/>
            <family val="2"/>
          </rPr>
          <t>Author:</t>
        </r>
        <r>
          <rPr>
            <sz val="9"/>
            <color indexed="81"/>
            <rFont val="Tahoma"/>
            <family val="2"/>
          </rPr>
          <t xml:space="preserve">
4q24: ~1,070
1q25: same
2q25 / Inv Day '25: same</t>
        </r>
      </text>
    </comment>
    <comment ref="DO54" authorId="3" shapeId="0" xr:uid="{0E971AB9-32E9-4CB6-8E1D-A02284AB2EFB}">
      <text>
        <r>
          <rPr>
            <b/>
            <sz val="9"/>
            <color indexed="81"/>
            <rFont val="Tahoma"/>
            <family val="2"/>
          </rPr>
          <t>Author:</t>
        </r>
        <r>
          <rPr>
            <sz val="9"/>
            <color indexed="81"/>
            <rFont val="Tahoma"/>
            <family val="2"/>
          </rPr>
          <t xml:space="preserve">
4q:24 +30% subject to approval
1q25: same
2q25 / Inv Day '25: +30% yoy</t>
        </r>
      </text>
    </comment>
    <comment ref="DJ55" authorId="2" shapeId="0" xr:uid="{8562F486-D1D6-452B-B9A0-4B6EB2F8C702}">
      <text>
        <r>
          <rPr>
            <b/>
            <sz val="9"/>
            <color indexed="81"/>
            <rFont val="Tahoma"/>
            <family val="2"/>
          </rPr>
          <t>Author:</t>
        </r>
        <r>
          <rPr>
            <sz val="9"/>
            <color indexed="81"/>
            <rFont val="Tahoma"/>
            <family val="2"/>
          </rPr>
          <t xml:space="preserve">
Investor Day 2024: initial dividend 30% of net income (sub to BOD approval)</t>
        </r>
      </text>
    </comment>
    <comment ref="AR57" authorId="0" shapeId="0" xr:uid="{00000000-0006-0000-0400-00005B000000}">
      <text>
        <r>
          <rPr>
            <b/>
            <sz val="8"/>
            <color indexed="81"/>
            <rFont val="Tahoma"/>
            <family val="2"/>
          </rPr>
          <t>Author:</t>
        </r>
        <r>
          <rPr>
            <sz val="8"/>
            <color indexed="81"/>
            <rFont val="Tahoma"/>
            <family val="2"/>
          </rPr>
          <t xml:space="preserve">
3q09: (495)
4q09: (440)
1q10: same
2q10: same
3q10: same</t>
        </r>
      </text>
    </comment>
    <comment ref="AW57" authorId="0" shapeId="0" xr:uid="{00000000-0006-0000-0400-00005C000000}">
      <text>
        <r>
          <rPr>
            <b/>
            <sz val="8"/>
            <color indexed="81"/>
            <rFont val="Tahoma"/>
            <family val="2"/>
          </rPr>
          <t>Author:</t>
        </r>
        <r>
          <rPr>
            <sz val="8"/>
            <color indexed="81"/>
            <rFont val="Tahoma"/>
            <family val="2"/>
          </rPr>
          <t xml:space="preserve">
4q09: Increase "significantly", by a couple hundred million.
3q10: 1.2bn if assume 5% DR and no CAS harmonization
4q10: (925)
3q11: same</t>
        </r>
      </text>
    </comment>
    <comment ref="DJ69" authorId="3" shapeId="0" xr:uid="{6F1D6041-5EA7-4C37-A783-A65B163DDCE6}">
      <text>
        <r>
          <rPr>
            <b/>
            <sz val="9"/>
            <color indexed="81"/>
            <rFont val="Tahoma"/>
            <family val="2"/>
          </rPr>
          <t>Author:</t>
        </r>
        <r>
          <rPr>
            <sz val="9"/>
            <color indexed="81"/>
            <rFont val="Tahoma"/>
            <family val="2"/>
          </rPr>
          <t xml:space="preserve">
Investor Day 2024: 6%-8%</t>
        </r>
      </text>
    </comment>
    <comment ref="DO69" authorId="3" shapeId="0" xr:uid="{B95D4351-5BCF-4C8A-9A59-5F1CD8FD1499}">
      <text>
        <r>
          <rPr>
            <b/>
            <sz val="9"/>
            <color indexed="81"/>
            <rFont val="Tahoma"/>
            <family val="2"/>
          </rPr>
          <t>Author:</t>
        </r>
        <r>
          <rPr>
            <sz val="9"/>
            <color indexed="81"/>
            <rFont val="Tahoma"/>
            <family val="2"/>
          </rPr>
          <t xml:space="preserve">
Investor Day 2024: 24-26 6%-8%</t>
        </r>
      </text>
    </comment>
    <comment ref="DT69" authorId="3" shapeId="0" xr:uid="{B4E4B857-F412-4A38-9D70-D7FE40C0020F}">
      <text>
        <r>
          <rPr>
            <b/>
            <sz val="9"/>
            <color indexed="81"/>
            <rFont val="Tahoma"/>
            <family val="2"/>
          </rPr>
          <t>Author:</t>
        </r>
        <r>
          <rPr>
            <sz val="9"/>
            <color indexed="81"/>
            <rFont val="Tahoma"/>
            <family val="2"/>
          </rPr>
          <t xml:space="preserve">
Investor Day 2024: 24-26 6%-8%</t>
        </r>
      </text>
    </comment>
    <comment ref="AH75" authorId="1" shapeId="0" xr:uid="{00000000-0006-0000-0400-00006A000000}">
      <text>
        <r>
          <rPr>
            <b/>
            <sz val="8"/>
            <color indexed="81"/>
            <rFont val="Tahoma"/>
            <family val="2"/>
          </rPr>
          <t>Author:</t>
        </r>
        <r>
          <rPr>
            <sz val="8"/>
            <color indexed="81"/>
            <rFont val="Tahoma"/>
            <family val="2"/>
          </rPr>
          <t xml:space="preserve">
4q07: a little below 33%</t>
        </r>
      </text>
    </comment>
    <comment ref="AP75" authorId="0" shapeId="0" xr:uid="{00000000-0006-0000-0400-00006B000000}">
      <text>
        <r>
          <rPr>
            <b/>
            <sz val="8"/>
            <color indexed="81"/>
            <rFont val="Tahoma"/>
            <family val="2"/>
          </rPr>
          <t>Author:</t>
        </r>
        <r>
          <rPr>
            <sz val="8"/>
            <color indexed="81"/>
            <rFont val="Tahoma"/>
            <family val="2"/>
          </rPr>
          <t xml:space="preserve">
Oct 10: 32%</t>
        </r>
      </text>
    </comment>
    <comment ref="AW75" authorId="0" shapeId="0" xr:uid="{00000000-0006-0000-0400-00006C000000}">
      <text>
        <r>
          <rPr>
            <b/>
            <sz val="8"/>
            <color indexed="81"/>
            <rFont val="Tahoma"/>
            <family val="2"/>
          </rPr>
          <t>Author:</t>
        </r>
        <r>
          <rPr>
            <sz val="8"/>
            <color indexed="81"/>
            <rFont val="Tahoma"/>
            <family val="2"/>
          </rPr>
          <t xml:space="preserve">
4q10: 30%</t>
        </r>
      </text>
    </comment>
    <comment ref="DJ75" authorId="2" shapeId="0" xr:uid="{7F6D61FC-C377-4103-B300-6E7FC9A77A59}">
      <text>
        <r>
          <rPr>
            <b/>
            <sz val="9"/>
            <color indexed="81"/>
            <rFont val="Tahoma"/>
            <family val="2"/>
          </rPr>
          <t>Author:</t>
        </r>
        <r>
          <rPr>
            <sz val="9"/>
            <color indexed="81"/>
            <rFont val="Tahoma"/>
            <family val="2"/>
          </rPr>
          <t xml:space="preserve">
Investor Day: Low 20s
1q24: low 20s
3q24: ~20%</t>
        </r>
      </text>
    </comment>
    <comment ref="DO75" authorId="3" shapeId="0" xr:uid="{C3BBB3FB-C35C-4BF2-8E82-3B3FCBA29231}">
      <text>
        <r>
          <rPr>
            <b/>
            <sz val="9"/>
            <color indexed="81"/>
            <rFont val="Tahoma"/>
            <family val="2"/>
          </rPr>
          <t>Author:</t>
        </r>
        <r>
          <rPr>
            <sz val="9"/>
            <color indexed="81"/>
            <rFont val="Tahoma"/>
            <family val="2"/>
          </rPr>
          <t xml:space="preserve">
4q24: &lt;20% adjusted</t>
        </r>
      </text>
    </comment>
    <comment ref="AN79" authorId="0" shapeId="0" xr:uid="{00000000-0006-0000-0400-000074000000}">
      <text>
        <r>
          <rPr>
            <b/>
            <sz val="8"/>
            <color indexed="81"/>
            <rFont val="Tahoma"/>
            <family val="2"/>
          </rPr>
          <t>Author:</t>
        </r>
        <r>
          <rPr>
            <sz val="8"/>
            <color indexed="81"/>
            <rFont val="Tahoma"/>
            <family val="2"/>
          </rPr>
          <t xml:space="preserve">
4q09: 1-2% growth</t>
        </r>
      </text>
    </comment>
    <comment ref="AO79" authorId="0" shapeId="0" xr:uid="{00000000-0006-0000-0400-000075000000}">
      <text>
        <r>
          <rPr>
            <b/>
            <sz val="8"/>
            <color indexed="81"/>
            <rFont val="Tahoma"/>
            <family val="2"/>
          </rPr>
          <t>Author:</t>
        </r>
        <r>
          <rPr>
            <sz val="8"/>
            <color indexed="81"/>
            <rFont val="Tahoma"/>
            <family val="2"/>
          </rPr>
          <t xml:space="preserve">
1q10: similar growth to 1q</t>
        </r>
      </text>
    </comment>
    <comment ref="AP79" authorId="0" shapeId="0" xr:uid="{00000000-0006-0000-0400-000076000000}">
      <text>
        <r>
          <rPr>
            <b/>
            <sz val="8"/>
            <color indexed="81"/>
            <rFont val="Tahoma"/>
            <family val="2"/>
          </rPr>
          <t>Author:</t>
        </r>
        <r>
          <rPr>
            <sz val="8"/>
            <color indexed="81"/>
            <rFont val="Tahoma"/>
            <family val="2"/>
          </rPr>
          <t xml:space="preserve">
1q10: 2H growth &gt; 1H. 3Q growth &gt; 4Q</t>
        </r>
      </text>
    </comment>
    <comment ref="AQ79" authorId="0" shapeId="0" xr:uid="{00000000-0006-0000-0400-000077000000}">
      <text>
        <r>
          <rPr>
            <b/>
            <sz val="8"/>
            <color indexed="81"/>
            <rFont val="Tahoma"/>
            <family val="2"/>
          </rPr>
          <t>Author:</t>
        </r>
        <r>
          <rPr>
            <sz val="8"/>
            <color indexed="81"/>
            <rFont val="Tahoma"/>
            <family val="2"/>
          </rPr>
          <t xml:space="preserve">
1q10: 2H growth &gt; 1H. 3Q growth &gt; 4Q</t>
        </r>
      </text>
    </comment>
    <comment ref="AR79" authorId="0" shapeId="0" xr:uid="{00000000-0006-0000-0400-000078000000}">
      <text>
        <r>
          <rPr>
            <b/>
            <sz val="8"/>
            <color indexed="81"/>
            <rFont val="Tahoma"/>
            <family val="2"/>
          </rPr>
          <t>Author:</t>
        </r>
        <r>
          <rPr>
            <sz val="8"/>
            <color indexed="81"/>
            <rFont val="Tahoma"/>
            <family val="2"/>
          </rPr>
          <t xml:space="preserve">
4q09: 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Person1168, Person0812 J </author>
    <author>Author9</author>
  </authors>
  <commentList>
    <comment ref="DG6" authorId="0" shapeId="0" xr:uid="{B7972D7D-D32C-41F3-B32F-AC4CC1FA587C}">
      <text>
        <r>
          <rPr>
            <b/>
            <sz val="9"/>
            <color indexed="81"/>
            <rFont val="Tahoma"/>
            <family val="2"/>
          </rPr>
          <t>Author:</t>
        </r>
        <r>
          <rPr>
            <sz val="9"/>
            <color indexed="81"/>
            <rFont val="Tahoma"/>
            <family val="2"/>
          </rPr>
          <t xml:space="preserve">
Quarter now w/ Company1069 separation
"In connection with the Separation, the historical results of Company1069 and certain assets and liabilities included in the Separation will be reported in the Company's consolidated financial statements as discontinued operations beginning in the second quarter of 2024."</t>
        </r>
      </text>
    </comment>
    <comment ref="I12" authorId="1" shapeId="0" xr:uid="{00000000-0006-0000-0500-000002000000}">
      <text>
        <r>
          <rPr>
            <b/>
            <sz val="8"/>
            <color indexed="81"/>
            <rFont val="Tahoma"/>
            <family val="2"/>
          </rPr>
          <t xml:space="preserve">includes 240 of short term investments plus 1764 other current assets
</t>
        </r>
      </text>
    </comment>
    <comment ref="DG16" authorId="0" shapeId="0" xr:uid="{C6DDDBDC-CA90-4AD5-96C6-31983CEE956D}">
      <text>
        <r>
          <rPr>
            <b/>
            <sz val="9"/>
            <color indexed="81"/>
            <rFont val="Tahoma"/>
            <family val="2"/>
          </rPr>
          <t>Author:</t>
        </r>
        <r>
          <rPr>
            <sz val="9"/>
            <color indexed="81"/>
            <rFont val="Tahoma"/>
            <family val="2"/>
          </rPr>
          <t xml:space="preserve">
Company1069 separation shows Ticker0009 Aero PP&amp;E decrease by 5.2bn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Person1168, Person0812 J </author>
    <author>Person0306, Person0247 H </author>
    <author>Person0850, Person1274 </author>
    <author>Person0143, Person1222 </author>
  </authors>
  <commentList>
    <comment ref="B17" authorId="0" shapeId="0" xr:uid="{086EAAC7-19E7-4331-A008-9912FA0EFAE3}">
      <text>
        <r>
          <rPr>
            <b/>
            <sz val="9"/>
            <color indexed="81"/>
            <rFont val="Tahoma"/>
            <family val="2"/>
          </rPr>
          <t>Author:</t>
        </r>
        <r>
          <rPr>
            <sz val="9"/>
            <color indexed="81"/>
            <rFont val="Tahoma"/>
            <family val="2"/>
          </rPr>
          <t xml:space="preserve">
includes adjustment to match BS cash numbers</t>
        </r>
      </text>
    </comment>
    <comment ref="DH30" authorId="0" shapeId="0" xr:uid="{C16EA084-C08E-4D77-A231-8BFBD77D80A9}">
      <text>
        <r>
          <rPr>
            <b/>
            <sz val="9"/>
            <color indexed="81"/>
            <rFont val="Tahoma"/>
            <family val="2"/>
          </rPr>
          <t>Author:</t>
        </r>
        <r>
          <rPr>
            <sz val="9"/>
            <color indexed="81"/>
            <rFont val="Tahoma"/>
            <family val="2"/>
          </rPr>
          <t xml:space="preserve">
2q24: sale of electric insurance for $700mn</t>
        </r>
      </text>
    </comment>
    <comment ref="DG35" authorId="0" shapeId="0" xr:uid="{0D83EB09-4CC4-4FC4-A1CC-39680AA8C29C}">
      <text>
        <r>
          <rPr>
            <b/>
            <sz val="9"/>
            <color indexed="81"/>
            <rFont val="Tahoma"/>
            <family val="2"/>
          </rPr>
          <t>Author:</t>
        </r>
        <r>
          <rPr>
            <sz val="9"/>
            <color indexed="81"/>
            <rFont val="Tahoma"/>
            <family val="2"/>
          </rPr>
          <t xml:space="preserve">
Company1069 seperation includes (3.5)bn reduction in cash</t>
        </r>
      </text>
    </comment>
    <comment ref="DO39" authorId="1" shapeId="0" xr:uid="{4D9CC808-0F38-4ECD-94F7-AC5A6927431D}">
      <text>
        <r>
          <rPr>
            <b/>
            <sz val="9"/>
            <color indexed="81"/>
            <rFont val="Tahoma"/>
            <family val="2"/>
          </rPr>
          <t>Author:</t>
        </r>
        <r>
          <rPr>
            <sz val="9"/>
            <color indexed="81"/>
            <rFont val="Tahoma"/>
            <family val="2"/>
          </rPr>
          <t xml:space="preserve">
2q25 / Inv Day '25: No planned debt repayment, plan to refinance '25 maturities</t>
        </r>
      </text>
    </comment>
    <comment ref="DO41" authorId="0" shapeId="0" xr:uid="{9ABB76E7-A35C-4D5F-AD3B-4C4E151E0F41}">
      <text>
        <r>
          <rPr>
            <b/>
            <sz val="9"/>
            <color indexed="81"/>
            <rFont val="Tahoma"/>
            <family val="2"/>
          </rPr>
          <t>Author:</t>
        </r>
        <r>
          <rPr>
            <sz val="9"/>
            <color indexed="81"/>
            <rFont val="Tahoma"/>
            <family val="2"/>
          </rPr>
          <t xml:space="preserve">
4q24: 7,000
1q25: same
2q25 / Inv Day '25: same</t>
        </r>
      </text>
    </comment>
    <comment ref="DO42" authorId="1" shapeId="0" xr:uid="{1784F147-1CDC-41F4-9A92-8C6CC995E048}">
      <text>
        <r>
          <rPr>
            <b/>
            <sz val="9"/>
            <color indexed="81"/>
            <rFont val="Tahoma"/>
            <family val="2"/>
          </rPr>
          <t>Author:</t>
        </r>
        <r>
          <rPr>
            <sz val="9"/>
            <color indexed="81"/>
            <rFont val="Tahoma"/>
            <family val="2"/>
          </rPr>
          <t xml:space="preserve">
2q25 / Inv Day '25: +30% yoy</t>
        </r>
      </text>
    </comment>
    <comment ref="DL43" authorId="2" shapeId="0" xr:uid="{FBFC8659-2E0B-4FB9-9724-A751D3A47FBD}">
      <text>
        <r>
          <rPr>
            <b/>
            <sz val="9"/>
            <color indexed="81"/>
            <rFont val="Tahoma"/>
            <family val="2"/>
          </rPr>
          <t>Author:</t>
        </r>
        <r>
          <rPr>
            <sz val="9"/>
            <color indexed="81"/>
            <rFont val="Tahoma"/>
            <family val="2"/>
          </rPr>
          <t xml:space="preserve">
2Q25 cash flow statement not provided</t>
        </r>
      </text>
    </comment>
    <comment ref="DK46" authorId="1" shapeId="0" xr:uid="{05A94D45-1D64-4936-B39A-8D9BC35B5AB2}">
      <text>
        <r>
          <rPr>
            <b/>
            <sz val="9"/>
            <color indexed="81"/>
            <rFont val="Tahoma"/>
            <family val="2"/>
          </rPr>
          <t>Author:</t>
        </r>
        <r>
          <rPr>
            <sz val="9"/>
            <color indexed="81"/>
            <rFont val="Tahoma"/>
            <family val="2"/>
          </rPr>
          <t xml:space="preserve">
Restricted cash adjustment</t>
        </r>
      </text>
    </comment>
    <comment ref="DL46" authorId="1" shapeId="0" xr:uid="{2821F4C5-AA92-46E9-966A-3CBD20C88484}">
      <text>
        <r>
          <rPr>
            <b/>
            <sz val="9"/>
            <color indexed="81"/>
            <rFont val="Tahoma"/>
            <family val="2"/>
          </rPr>
          <t>Author:</t>
        </r>
        <r>
          <rPr>
            <sz val="9"/>
            <color indexed="81"/>
            <rFont val="Tahoma"/>
            <family val="2"/>
          </rPr>
          <t xml:space="preserve">
Restricted cash adjustment</t>
        </r>
      </text>
    </comment>
    <comment ref="DF53" authorId="0" shapeId="0" xr:uid="{B3D5D28F-1B50-4D1D-B3B9-4F5592AB0FB4}">
      <text>
        <r>
          <rPr>
            <b/>
            <sz val="9"/>
            <color indexed="81"/>
            <rFont val="Tahoma"/>
            <family val="2"/>
          </rPr>
          <t>Author:</t>
        </r>
        <r>
          <rPr>
            <sz val="9"/>
            <color indexed="81"/>
            <rFont val="Tahoma"/>
            <family val="2"/>
          </rPr>
          <t xml:space="preserve">
2q24 10q </t>
        </r>
      </text>
    </comment>
    <comment ref="DG53" authorId="0" shapeId="0" xr:uid="{6025AAD7-4B63-42E6-A9CE-28D707E7D01B}">
      <text>
        <r>
          <rPr>
            <b/>
            <sz val="9"/>
            <color indexed="81"/>
            <rFont val="Tahoma"/>
            <family val="2"/>
          </rPr>
          <t>Author:</t>
        </r>
        <r>
          <rPr>
            <sz val="9"/>
            <color indexed="81"/>
            <rFont val="Tahoma"/>
            <family val="2"/>
          </rPr>
          <t xml:space="preserve">
2q24 10q </t>
        </r>
      </text>
    </comment>
    <comment ref="DE54" authorId="3" shapeId="0" xr:uid="{9AFADE4C-9632-410F-9F53-B8BB4F5DAE77}">
      <text>
        <r>
          <rPr>
            <b/>
            <sz val="9"/>
            <color indexed="81"/>
            <rFont val="Tahoma"/>
            <family val="2"/>
          </rPr>
          <t>Author:</t>
        </r>
        <r>
          <rPr>
            <sz val="9"/>
            <color indexed="81"/>
            <rFont val="Tahoma"/>
            <family val="2"/>
          </rPr>
          <t xml:space="preserve">
4.7m Aero FCF in Investor Day deck</t>
        </r>
      </text>
    </comment>
    <comment ref="DF54" authorId="3" shapeId="0" xr:uid="{A878E827-B8E0-41E5-BEDF-D1D794097067}">
      <text>
        <r>
          <rPr>
            <b/>
            <sz val="9"/>
            <color indexed="81"/>
            <rFont val="Tahoma"/>
            <family val="2"/>
          </rPr>
          <t>Author:</t>
        </r>
        <r>
          <rPr>
            <sz val="9"/>
            <color indexed="81"/>
            <rFont val="Tahoma"/>
            <family val="2"/>
          </rPr>
          <t xml:space="preserve">
1q24: adjusted Ticker0009 Aero FCF</t>
        </r>
      </text>
    </comment>
    <comment ref="DG54" authorId="3" shapeId="0" xr:uid="{38123EF5-7947-4153-A4EF-B90F279BA6B7}">
      <text>
        <r>
          <rPr>
            <b/>
            <sz val="9"/>
            <color indexed="81"/>
            <rFont val="Tahoma"/>
            <family val="2"/>
          </rPr>
          <t>Author:</t>
        </r>
        <r>
          <rPr>
            <sz val="9"/>
            <color indexed="81"/>
            <rFont val="Tahoma"/>
            <family val="2"/>
          </rPr>
          <t xml:space="preserve">
1q24: 1H24 FCF roughly 1/2 of total 2024 FCF</t>
        </r>
      </text>
    </comment>
    <comment ref="DJ54" authorId="3" shapeId="0" xr:uid="{D0AC751B-F127-48F9-923B-C75248A796A9}">
      <text>
        <r>
          <rPr>
            <b/>
            <sz val="9"/>
            <color indexed="81"/>
            <rFont val="Tahoma"/>
            <family val="2"/>
          </rPr>
          <t>Author:</t>
        </r>
        <r>
          <rPr>
            <sz val="9"/>
            <color indexed="81"/>
            <rFont val="Tahoma"/>
            <family val="2"/>
          </rPr>
          <t xml:space="preserve">
Investor Day 2024: &gt;5,000
1q24: same
2q24: 5,300-5,600
3q24: 5,600-5,800</t>
        </r>
      </text>
    </comment>
    <comment ref="DO54" authorId="0" shapeId="0" xr:uid="{0D3D8F79-ED5F-4CB7-AB7A-D1313ADE5330}">
      <text>
        <r>
          <rPr>
            <b/>
            <sz val="9"/>
            <color indexed="81"/>
            <rFont val="Tahoma"/>
            <family val="2"/>
          </rPr>
          <t>Author:</t>
        </r>
        <r>
          <rPr>
            <sz val="9"/>
            <color indexed="81"/>
            <rFont val="Tahoma"/>
            <family val="2"/>
          </rPr>
          <t xml:space="preserve">
4q24: 6,300-6,800
1q25: same
2q25 / Inv Day '25: 6,500-6,900</t>
        </r>
      </text>
    </comment>
    <comment ref="DV54" authorId="1" shapeId="0" xr:uid="{6347BAAF-5656-48C2-B4AB-CFE3B7CB4ED0}">
      <text>
        <r>
          <rPr>
            <b/>
            <sz val="9"/>
            <color indexed="81"/>
            <rFont val="Tahoma"/>
            <family val="2"/>
          </rPr>
          <t>Author:</t>
        </r>
        <r>
          <rPr>
            <sz val="9"/>
            <color indexed="81"/>
            <rFont val="Tahoma"/>
            <family val="2"/>
          </rPr>
          <t xml:space="preserve">
2q25 / Inv Day '25: 8,500</t>
        </r>
      </text>
    </comment>
    <comment ref="DJ55" authorId="3" shapeId="0" xr:uid="{AB18997E-477A-48E0-960B-07ED5CB85206}">
      <text>
        <r>
          <rPr>
            <b/>
            <sz val="9"/>
            <color indexed="81"/>
            <rFont val="Tahoma"/>
            <family val="2"/>
          </rPr>
          <t>Author:</t>
        </r>
        <r>
          <rPr>
            <sz val="9"/>
            <color indexed="81"/>
            <rFont val="Tahoma"/>
            <family val="2"/>
          </rPr>
          <t xml:space="preserve">
Investor Day 2024: &gt;100%
1q24: same; "Well above 100%"
2q24: same
3q24: same</t>
        </r>
      </text>
    </comment>
    <comment ref="DO55" authorId="3" shapeId="0" xr:uid="{358A1B48-136E-4488-A004-13880710436E}">
      <text>
        <r>
          <rPr>
            <b/>
            <sz val="9"/>
            <color indexed="81"/>
            <rFont val="Tahoma"/>
            <family val="2"/>
          </rPr>
          <t>Author:</t>
        </r>
        <r>
          <rPr>
            <sz val="9"/>
            <color indexed="81"/>
            <rFont val="Tahoma"/>
            <family val="2"/>
          </rPr>
          <t xml:space="preserve">
Investor Day 2024: &gt;100%
3q24: same
4q24: same
1q25: same
2q25 / Inv Day '25: same</t>
        </r>
      </text>
    </comment>
    <comment ref="DV55" authorId="3" shapeId="0" xr:uid="{D080A0FA-FC76-4CAC-9086-97858EEF041C}">
      <text>
        <r>
          <rPr>
            <b/>
            <sz val="9"/>
            <color indexed="81"/>
            <rFont val="Tahoma"/>
            <family val="2"/>
          </rPr>
          <t>Author:</t>
        </r>
        <r>
          <rPr>
            <sz val="9"/>
            <color indexed="81"/>
            <rFont val="Tahoma"/>
            <family val="2"/>
          </rPr>
          <t xml:space="preserve">
Investor Day 2024: ~100%
Investor Day 2025:
same</t>
        </r>
      </text>
    </comment>
  </commentList>
</comments>
</file>

<file path=xl/sharedStrings.xml><?xml version="1.0" encoding="utf-8"?>
<sst xmlns="http://schemas.openxmlformats.org/spreadsheetml/2006/main" count="1848" uniqueCount="660">
  <si>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</si>
  <si>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</si>
  <si>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</si>
  <si>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</si>
  <si>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</si>
  <si>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</si>
  <si>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</si>
  <si>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</si>
  <si>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</si>
  <si>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</si>
  <si>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</si>
  <si>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</si>
  <si>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</si>
  <si>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</si>
  <si>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</si>
  <si>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</si>
  <si>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</si>
  <si>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</si>
  <si>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</si>
  <si>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</si>
  <si>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</si>
  <si>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</si>
  <si>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</si>
  <si>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Products</t>
  </si>
  <si>
    <t>Services</t>
  </si>
  <si>
    <t>Net Sales</t>
  </si>
  <si>
    <t>Unallocated Corporate Costs</t>
  </si>
  <si>
    <t>Cost of sales</t>
  </si>
  <si>
    <t>EBIT</t>
  </si>
  <si>
    <t>EBT</t>
  </si>
  <si>
    <t>Income tax expense</t>
  </si>
  <si>
    <t>Interest expense</t>
  </si>
  <si>
    <t>Other non-operating income (expense), net</t>
  </si>
  <si>
    <t>Net earnings</t>
  </si>
  <si>
    <t>Net income, continuing ops.</t>
  </si>
  <si>
    <t>Discontinued ops. &amp; non recurring items</t>
  </si>
  <si>
    <t>Net income reported</t>
  </si>
  <si>
    <t>Basic EPS, continuing ops.</t>
  </si>
  <si>
    <t>Basic EPS, reported</t>
  </si>
  <si>
    <t>Diluted EPS, continuing ops.</t>
  </si>
  <si>
    <t>Diluted EPS, reported</t>
  </si>
  <si>
    <t>Basic</t>
  </si>
  <si>
    <t>Diluted</t>
  </si>
  <si>
    <t>Assets</t>
  </si>
  <si>
    <t>Cash and Cash Equivalents</t>
  </si>
  <si>
    <t>Receivables</t>
  </si>
  <si>
    <t>Inventories</t>
  </si>
  <si>
    <t>Deferred Income Taxes</t>
  </si>
  <si>
    <t>Other Current Assets</t>
  </si>
  <si>
    <t>Total Current Assets</t>
  </si>
  <si>
    <t>Property, Plant and Equipment, Net</t>
  </si>
  <si>
    <t>Goodwill</t>
  </si>
  <si>
    <t>Other Assets</t>
  </si>
  <si>
    <t>Liabilities and Stockholders' Equity</t>
  </si>
  <si>
    <t>Accounts Payable</t>
  </si>
  <si>
    <t>Other Current Liabilities</t>
  </si>
  <si>
    <t>Total Current Liabilities</t>
  </si>
  <si>
    <t>Other Liabilities</t>
  </si>
  <si>
    <t>Total Liabilities</t>
  </si>
  <si>
    <t>Retained Earnings</t>
  </si>
  <si>
    <t>Accumulated Other Comprehensive Income (Loss)</t>
  </si>
  <si>
    <t>Total Stockholders' Equity</t>
  </si>
  <si>
    <t>Operating Activities</t>
  </si>
  <si>
    <t>Changes in operating assets and liabilities:</t>
  </si>
  <si>
    <t>Accounts payable</t>
  </si>
  <si>
    <t>Other</t>
  </si>
  <si>
    <t>Repurchases of common stock</t>
  </si>
  <si>
    <t>Common stock dividends</t>
  </si>
  <si>
    <t>Gross Profit</t>
  </si>
  <si>
    <t>Total Liabilities and Shareholder's Equity</t>
  </si>
  <si>
    <t>Total</t>
  </si>
  <si>
    <t>Revenue</t>
  </si>
  <si>
    <t>Total business segments</t>
  </si>
  <si>
    <t>Operating Income</t>
  </si>
  <si>
    <t>Unallocated corporate income (expenses) net</t>
  </si>
  <si>
    <t>Operating Profit</t>
  </si>
  <si>
    <t>Backlog</t>
  </si>
  <si>
    <t>Total Backlog</t>
  </si>
  <si>
    <t>Funded Backlog</t>
  </si>
  <si>
    <t>Corporate and others</t>
  </si>
  <si>
    <t>Segment Data</t>
  </si>
  <si>
    <t>($ mn)</t>
  </si>
  <si>
    <t>Acquisitions</t>
  </si>
  <si>
    <t>Acquired Revenue</t>
  </si>
  <si>
    <t>Divested Revenue</t>
  </si>
  <si>
    <t>Revenue Mix</t>
  </si>
  <si>
    <t>Organic Revenue Y/Y Growth</t>
  </si>
  <si>
    <t>Revenue Y/Y Growth</t>
  </si>
  <si>
    <t>Revenue Q/Q growth</t>
  </si>
  <si>
    <t>Operating Income Mix</t>
  </si>
  <si>
    <t>Operating Income Y/Y Growth</t>
  </si>
  <si>
    <t>Operating Income Q/Q growth</t>
  </si>
  <si>
    <t>Implied bookings</t>
  </si>
  <si>
    <t>Income Statement</t>
  </si>
  <si>
    <t>($ mn, except per share data)</t>
  </si>
  <si>
    <t>Calculation of EBITDA</t>
  </si>
  <si>
    <t>D&amp;A</t>
  </si>
  <si>
    <t>EBITDA</t>
  </si>
  <si>
    <t>Gross margin</t>
  </si>
  <si>
    <t>EBITDA margin</t>
  </si>
  <si>
    <t>EBIT margin</t>
  </si>
  <si>
    <t>Effective tax rate</t>
  </si>
  <si>
    <t>Net margin</t>
  </si>
  <si>
    <t>Y/Y growth</t>
  </si>
  <si>
    <t>Net income</t>
  </si>
  <si>
    <t>Diluted EPS, continuing</t>
  </si>
  <si>
    <t>Q/Q growth</t>
  </si>
  <si>
    <t>Book to Bill</t>
  </si>
  <si>
    <t>Balance Sheet</t>
  </si>
  <si>
    <t>Liabilities and Stockholder's Equity</t>
  </si>
  <si>
    <t>Capital structure</t>
  </si>
  <si>
    <t>Cash</t>
  </si>
  <si>
    <t>Cash per share</t>
  </si>
  <si>
    <t>Equity</t>
  </si>
  <si>
    <t>Debt</t>
  </si>
  <si>
    <t>Net debt</t>
  </si>
  <si>
    <t>Debt/capital</t>
  </si>
  <si>
    <t>Net debt/capital</t>
  </si>
  <si>
    <t>Working capital analysis</t>
  </si>
  <si>
    <t>Working capital</t>
  </si>
  <si>
    <t>Days sales outstanding (DSO)</t>
  </si>
  <si>
    <t>Days payable outstanding (DPO)</t>
  </si>
  <si>
    <t>Inventory turnover</t>
  </si>
  <si>
    <t>Days inventory</t>
  </si>
  <si>
    <t>Cash conversion (days)</t>
  </si>
  <si>
    <t>Asset turnover</t>
  </si>
  <si>
    <t>Liquidity</t>
  </si>
  <si>
    <t>Current ratio</t>
  </si>
  <si>
    <t>Interest coverage ratio</t>
  </si>
  <si>
    <t>Net debt/EBITDA</t>
  </si>
  <si>
    <t>Cash from operations</t>
  </si>
  <si>
    <t>Capex</t>
  </si>
  <si>
    <t>Free cash flow</t>
  </si>
  <si>
    <t>FCF/NI</t>
  </si>
  <si>
    <t>Accumulated amortization</t>
  </si>
  <si>
    <t>Total Assets</t>
  </si>
  <si>
    <t>Increase in cash and cash equivalents</t>
  </si>
  <si>
    <t>Cash and cash equivalents - beginning of period</t>
  </si>
  <si>
    <t>Cash and cash equivalents - end of period</t>
  </si>
  <si>
    <t>1Q10</t>
  </si>
  <si>
    <t>Profitability</t>
  </si>
  <si>
    <t>Return on assets (ROA)</t>
  </si>
  <si>
    <t>CROCI</t>
  </si>
  <si>
    <t>Return on invested capital (ROIC)</t>
  </si>
  <si>
    <t>Return on equity (ROE)</t>
  </si>
  <si>
    <t>Check</t>
  </si>
  <si>
    <t>Dividends</t>
  </si>
  <si>
    <t>Geographical Breakdown</t>
  </si>
  <si>
    <t>Sales - % United States</t>
  </si>
  <si>
    <t>Sales - % Others</t>
  </si>
  <si>
    <t>Sales -% Industry (I)</t>
  </si>
  <si>
    <t>Sales -% Government (G)</t>
  </si>
  <si>
    <t>Dividend/share</t>
  </si>
  <si>
    <t>$</t>
  </si>
  <si>
    <t>Shares</t>
  </si>
  <si>
    <t>Avg price</t>
  </si>
  <si>
    <t>Previous remaining authority</t>
  </si>
  <si>
    <t>Expired authority</t>
  </si>
  <si>
    <t>Added authority</t>
  </si>
  <si>
    <t>New remaining authority</t>
  </si>
  <si>
    <t>Pension</t>
  </si>
  <si>
    <t>FAS pension expense</t>
  </si>
  <si>
    <t>Less: CAS cost</t>
  </si>
  <si>
    <t>FAS/CAS pension income (expense)</t>
  </si>
  <si>
    <t>Cash Flow YTD</t>
  </si>
  <si>
    <t>Seasonality</t>
  </si>
  <si>
    <t>Incremental Margin</t>
  </si>
  <si>
    <t>Effect of exchange rate changes on cash</t>
  </si>
  <si>
    <t>Cash Dividend/Share</t>
  </si>
  <si>
    <t>Dividend payout ratio</t>
  </si>
  <si>
    <t>Total acquired revenue</t>
  </si>
  <si>
    <t>Total divested revenue</t>
  </si>
  <si>
    <t>Total bookings</t>
  </si>
  <si>
    <t>Total book to bill</t>
  </si>
  <si>
    <t>LTM Book to Bill</t>
  </si>
  <si>
    <t>--</t>
  </si>
  <si>
    <t>LTM total book to bill</t>
  </si>
  <si>
    <t>Margin Analysis</t>
  </si>
  <si>
    <t>Common shares outstanding</t>
  </si>
  <si>
    <t>4Q09</t>
  </si>
  <si>
    <t>2Q10</t>
  </si>
  <si>
    <t>3Q10</t>
  </si>
  <si>
    <t>4Q10</t>
  </si>
  <si>
    <t>1Q11</t>
  </si>
  <si>
    <t>2Q11</t>
  </si>
  <si>
    <t>3Q11</t>
  </si>
  <si>
    <t>4Q11</t>
  </si>
  <si>
    <t>Depreciation and amortization of PP&amp;E</t>
  </si>
  <si>
    <t>Benefit obligation</t>
  </si>
  <si>
    <t>Fair value of plan assets</t>
  </si>
  <si>
    <t>Unfunded Pension status</t>
  </si>
  <si>
    <t>Benefit plan adjustments to equity</t>
  </si>
  <si>
    <t>Pension-adjusted Equity</t>
  </si>
  <si>
    <t>Pension-adjusted Debt</t>
  </si>
  <si>
    <t>Accumulated depreciation</t>
  </si>
  <si>
    <t>Net PP&amp;E</t>
  </si>
  <si>
    <t>Divestitures</t>
  </si>
  <si>
    <t>Sales -% Consumer (C)</t>
  </si>
  <si>
    <t>`</t>
  </si>
  <si>
    <t>ESO Expense</t>
  </si>
  <si>
    <t>Adjustment to equity (Comprehensive Other Inc.)</t>
  </si>
  <si>
    <t>Pension expense/Share</t>
  </si>
  <si>
    <t>FAS/CAS Expense</t>
  </si>
  <si>
    <t>Cash from Operations</t>
  </si>
  <si>
    <t>Cash from Investments</t>
  </si>
  <si>
    <t>Cash from Financing</t>
  </si>
  <si>
    <t>Gross fixed assets</t>
  </si>
  <si>
    <t>Employees</t>
  </si>
  <si>
    <t>FCF/share</t>
  </si>
  <si>
    <t>Sales (%) SMB</t>
  </si>
  <si>
    <t>1Q12</t>
  </si>
  <si>
    <t>2Q12</t>
  </si>
  <si>
    <t>3Q12</t>
  </si>
  <si>
    <t>4Q12</t>
  </si>
  <si>
    <t>Share buy back ($ value plan)</t>
  </si>
  <si>
    <t>Sales - % from Captive Financing Business</t>
  </si>
  <si>
    <t>Operating Earnings - % from Captive Financing Business</t>
  </si>
  <si>
    <t>1Q13</t>
  </si>
  <si>
    <t>2Q13</t>
  </si>
  <si>
    <t>3Q13</t>
  </si>
  <si>
    <t>4Q13</t>
  </si>
  <si>
    <t>1Q14</t>
  </si>
  <si>
    <t>2Q14</t>
  </si>
  <si>
    <t>3Q14</t>
  </si>
  <si>
    <t>4Q14</t>
  </si>
  <si>
    <t>Commodities Exposure - Sales</t>
  </si>
  <si>
    <t>Commodities Exposure - Expense</t>
  </si>
  <si>
    <t>FX Exposure - Sales</t>
  </si>
  <si>
    <t>Sales - % Other commodity</t>
  </si>
  <si>
    <t>Expense - % Oil/Petrol/Fuel</t>
  </si>
  <si>
    <t>Sales - % FX: British Pounds/Pence</t>
  </si>
  <si>
    <t>Sales - % FX: Euro</t>
  </si>
  <si>
    <t>Sales - % FX: New Russian Ruble</t>
  </si>
  <si>
    <t>Sales - % FX: U.S. Dollar</t>
  </si>
  <si>
    <t>Sales - % FX: Brazilian Real</t>
  </si>
  <si>
    <t>Sales - % FX: Japanese Yen</t>
  </si>
  <si>
    <t>Sales - % FX: Chinese Renminbi</t>
  </si>
  <si>
    <t>Sales - % FX: Indian Rupee</t>
  </si>
  <si>
    <t>Sales - % FX: Canadian Dollar</t>
  </si>
  <si>
    <t>Sales - % FX: Mexican Peso</t>
  </si>
  <si>
    <t>Sales - % FX: Colombian Peso</t>
  </si>
  <si>
    <t>Sales - % FX: Argentine Peso</t>
  </si>
  <si>
    <t>Sales - % FX: Chilean Peso</t>
  </si>
  <si>
    <t>Sales - % FX: Venezuelan bolivar</t>
  </si>
  <si>
    <t>Sales - % FX: Other Currency</t>
  </si>
  <si>
    <t>Sales - % Other (Non-Commodity) sales sources</t>
  </si>
  <si>
    <t>Expense - % Oil derivatives/NGLs/plastics</t>
  </si>
  <si>
    <t>Expense - % Nat Gas</t>
  </si>
  <si>
    <t>Expense - % Gold</t>
  </si>
  <si>
    <t>Expense - % Copper</t>
  </si>
  <si>
    <t>Expense - % Silver</t>
  </si>
  <si>
    <t>Expense - % Platinum</t>
  </si>
  <si>
    <t>Expense - % Palladium</t>
  </si>
  <si>
    <t>Expense - % Aluminium</t>
  </si>
  <si>
    <t>Expense - % Nickel</t>
  </si>
  <si>
    <t>Expense - % Zinc</t>
  </si>
  <si>
    <t>Expense - % Steel</t>
  </si>
  <si>
    <t>Expense - % Glass</t>
  </si>
  <si>
    <t>Expense - % Rubber</t>
  </si>
  <si>
    <t>Expense - % Water</t>
  </si>
  <si>
    <t>Expense - % Other commodity</t>
  </si>
  <si>
    <t>Expense - % Other (Non-Commodity) cost</t>
  </si>
  <si>
    <t>Sales - % Industry Sub-Segment: Financial Services</t>
  </si>
  <si>
    <t>Other Exposure - Sales</t>
  </si>
  <si>
    <t>Sales - % US Government</t>
  </si>
  <si>
    <t>1Q15</t>
  </si>
  <si>
    <t>2Q15</t>
  </si>
  <si>
    <t>3Q15</t>
  </si>
  <si>
    <t>4Q15</t>
  </si>
  <si>
    <t>1Q16</t>
  </si>
  <si>
    <t>2Q16</t>
  </si>
  <si>
    <t>3Q16</t>
  </si>
  <si>
    <t>4Q16</t>
  </si>
  <si>
    <t>1Q17</t>
  </si>
  <si>
    <t>2Q17</t>
  </si>
  <si>
    <t>3Q17</t>
  </si>
  <si>
    <t>4Q17</t>
  </si>
  <si>
    <t>International Exposure - Sales, detailed</t>
  </si>
  <si>
    <t xml:space="preserve">   Canada</t>
  </si>
  <si>
    <t xml:space="preserve">   US</t>
  </si>
  <si>
    <t xml:space="preserve">   Other N.America</t>
  </si>
  <si>
    <t xml:space="preserve">   Argentina</t>
  </si>
  <si>
    <t xml:space="preserve">   Brazil</t>
  </si>
  <si>
    <t xml:space="preserve">   Chile</t>
  </si>
  <si>
    <t xml:space="preserve">   Colombia</t>
  </si>
  <si>
    <t xml:space="preserve">   Mexico</t>
  </si>
  <si>
    <t xml:space="preserve">   Venezuela</t>
  </si>
  <si>
    <t xml:space="preserve">   Other S.Americas</t>
  </si>
  <si>
    <t xml:space="preserve">   Austria</t>
  </si>
  <si>
    <t xml:space="preserve">   Belgium</t>
  </si>
  <si>
    <t xml:space="preserve">   France</t>
  </si>
  <si>
    <t xml:space="preserve">   Germany</t>
  </si>
  <si>
    <t xml:space="preserve">   Greece</t>
  </si>
  <si>
    <t xml:space="preserve">   Ireland</t>
  </si>
  <si>
    <t xml:space="preserve">   Italy</t>
  </si>
  <si>
    <t xml:space="preserve">   Netherlands</t>
  </si>
  <si>
    <t xml:space="preserve">   Norway</t>
  </si>
  <si>
    <t xml:space="preserve">   Portugal</t>
  </si>
  <si>
    <t xml:space="preserve">   Spain</t>
  </si>
  <si>
    <t xml:space="preserve">   Sweden</t>
  </si>
  <si>
    <t xml:space="preserve">   Switzerland</t>
  </si>
  <si>
    <t xml:space="preserve">   UK</t>
  </si>
  <si>
    <t xml:space="preserve">   Other W.Europe</t>
  </si>
  <si>
    <t xml:space="preserve">   Poland</t>
  </si>
  <si>
    <t xml:space="preserve">   Russia</t>
  </si>
  <si>
    <t xml:space="preserve">   Turkey</t>
  </si>
  <si>
    <t xml:space="preserve">   Other CEE</t>
  </si>
  <si>
    <t xml:space="preserve">   Saudi Arabia</t>
  </si>
  <si>
    <t xml:space="preserve">   UAE</t>
  </si>
  <si>
    <t xml:space="preserve">   Other Middle East</t>
  </si>
  <si>
    <t xml:space="preserve">   Nigeria</t>
  </si>
  <si>
    <t xml:space="preserve">   South Africa</t>
  </si>
  <si>
    <t xml:space="preserve">   Other Africa</t>
  </si>
  <si>
    <t xml:space="preserve">   Hong Kong</t>
  </si>
  <si>
    <t xml:space="preserve">   Japan</t>
  </si>
  <si>
    <t xml:space="preserve">   Singapore</t>
  </si>
  <si>
    <t xml:space="preserve">   South Korea</t>
  </si>
  <si>
    <t xml:space="preserve">   Taiwan</t>
  </si>
  <si>
    <t xml:space="preserve">   Other Developed Asia</t>
  </si>
  <si>
    <t xml:space="preserve">   China</t>
  </si>
  <si>
    <t xml:space="preserve">   India</t>
  </si>
  <si>
    <t xml:space="preserve">   Indonesia</t>
  </si>
  <si>
    <t xml:space="preserve">   Thailand</t>
  </si>
  <si>
    <t xml:space="preserve">   Other Emerging Asia</t>
  </si>
  <si>
    <t xml:space="preserve">   Australia</t>
  </si>
  <si>
    <t xml:space="preserve">   N.Zealand</t>
  </si>
  <si>
    <t>Sales - % Industry sub-segment: Oil &amp; Gas End Market</t>
  </si>
  <si>
    <t>1Q18</t>
  </si>
  <si>
    <t>2Q18</t>
  </si>
  <si>
    <t>3Q18</t>
  </si>
  <si>
    <t>4Q18</t>
  </si>
  <si>
    <t>International Exposure - Expenses</t>
  </si>
  <si>
    <t>COGS, % from US</t>
  </si>
  <si>
    <t>COGS, % from Non-US</t>
  </si>
  <si>
    <t>SG&amp;A, % from US</t>
  </si>
  <si>
    <t>SG&amp;A, % from Non-US</t>
  </si>
  <si>
    <t>Debt - Geographical and Fixed / Floating exposure</t>
  </si>
  <si>
    <t>% of local currency debt with floating interest</t>
  </si>
  <si>
    <t>% of local currency floating debt with hedged rate</t>
  </si>
  <si>
    <t>Contract assets</t>
  </si>
  <si>
    <t>Contract Assets</t>
  </si>
  <si>
    <t>1Q19</t>
  </si>
  <si>
    <t>2Q19</t>
  </si>
  <si>
    <t>3Q19</t>
  </si>
  <si>
    <t>4Q19</t>
  </si>
  <si>
    <t>Segment</t>
  </si>
  <si>
    <t>1Q20</t>
  </si>
  <si>
    <t>2Q20</t>
  </si>
  <si>
    <t>3Q20</t>
  </si>
  <si>
    <t>4Q20</t>
  </si>
  <si>
    <t>Days contract asset (sales) outstanding (DCSO)</t>
  </si>
  <si>
    <t>Person0823, CFA</t>
  </si>
  <si>
    <t>(212) 357-0954</t>
  </si>
  <si>
    <t>person@example.com</t>
  </si>
  <si>
    <t>(212) 357-6166</t>
  </si>
  <si>
    <t>1Q21</t>
  </si>
  <si>
    <t>2Q21</t>
  </si>
  <si>
    <t>3Q21</t>
  </si>
  <si>
    <t>4Q21</t>
  </si>
  <si>
    <t>(212) 934-0385</t>
  </si>
  <si>
    <t>person@example.com</t>
  </si>
  <si>
    <t>FCF margin</t>
  </si>
  <si>
    <t>2024E</t>
  </si>
  <si>
    <t>2025E</t>
  </si>
  <si>
    <t>1Q22</t>
  </si>
  <si>
    <t>2Q22</t>
  </si>
  <si>
    <t>3Q22</t>
  </si>
  <si>
    <t>4Q22</t>
  </si>
  <si>
    <t>1Q23</t>
  </si>
  <si>
    <t>2Q23</t>
  </si>
  <si>
    <t>3Q23</t>
  </si>
  <si>
    <t>4Q23</t>
  </si>
  <si>
    <t>Person0086, CFA</t>
  </si>
  <si>
    <t>1Q24</t>
  </si>
  <si>
    <t>2Q24</t>
  </si>
  <si>
    <t>3Q24</t>
  </si>
  <si>
    <t>4Q24</t>
  </si>
  <si>
    <t>Ticker0009 Segment Data</t>
  </si>
  <si>
    <t>Ticker0009 Income Statement</t>
  </si>
  <si>
    <t>Ticker0009 Balance Sheet</t>
  </si>
  <si>
    <t>Ticker0009 Cash Flow</t>
  </si>
  <si>
    <t>Commercial Engines &amp; Services</t>
  </si>
  <si>
    <t>Systems &amp; Other</t>
  </si>
  <si>
    <t>Legacy Ticker0009</t>
  </si>
  <si>
    <t>Ticker0009 Revenue Build</t>
  </si>
  <si>
    <t>EBIT (GAAP)</t>
  </si>
  <si>
    <t>Non-recurring (charges) / gains</t>
  </si>
  <si>
    <t>EBIT-adjusted</t>
  </si>
  <si>
    <t>Organic</t>
  </si>
  <si>
    <t>Acquisitions/ divestitures</t>
  </si>
  <si>
    <t>Currency</t>
  </si>
  <si>
    <t>Operating margin</t>
  </si>
  <si>
    <t>Yr/Yr Growth Rates</t>
  </si>
  <si>
    <t>Qtr/Qtr Growth Rates</t>
  </si>
  <si>
    <t>Op margin now includes restructuring expense</t>
  </si>
  <si>
    <t>Orders</t>
  </si>
  <si>
    <t>Orders (units)</t>
  </si>
  <si>
    <t>Commercial Engines</t>
  </si>
  <si>
    <t>Product0163 Engines</t>
  </si>
  <si>
    <t>Product0211 Engines</t>
  </si>
  <si>
    <t>Military Engines</t>
  </si>
  <si>
    <t>Orders (units) y/y % chg</t>
  </si>
  <si>
    <t>Equipment</t>
  </si>
  <si>
    <t>Orders y/y % chg</t>
  </si>
  <si>
    <t>-</t>
  </si>
  <si>
    <t>Sales</t>
  </si>
  <si>
    <t>Sales by sub-segment ($bn)</t>
  </si>
  <si>
    <t>Commercial OEM</t>
  </si>
  <si>
    <t>Commercial AM</t>
  </si>
  <si>
    <t>Company0296 Integrated Systems</t>
  </si>
  <si>
    <t>Company0267 Aero</t>
  </si>
  <si>
    <t>Avionics &amp; Digital Systems</t>
  </si>
  <si>
    <t>Additive &amp; Other</t>
  </si>
  <si>
    <t>Aviation Systems</t>
  </si>
  <si>
    <t>Sales by sub-segment % of total</t>
  </si>
  <si>
    <t>Sales by sub-segment y/y % chg</t>
  </si>
  <si>
    <t>Total Sales growth</t>
  </si>
  <si>
    <t>Engine Builds</t>
  </si>
  <si>
    <t>Sales (units)</t>
  </si>
  <si>
    <t>Product0163 Engines (WB)</t>
  </si>
  <si>
    <t>Product0211 Engines (NB)</t>
  </si>
  <si>
    <t>Product0086 (NB), disclosed by SAF</t>
  </si>
  <si>
    <t>Commercial + Military</t>
  </si>
  <si>
    <t>Spares Rate</t>
  </si>
  <si>
    <t>Narrowbody</t>
  </si>
  <si>
    <t>Widebody</t>
  </si>
  <si>
    <t>Sales (units) y/y % chg</t>
  </si>
  <si>
    <t>Spares parts rate</t>
  </si>
  <si>
    <t>Sales (units) % of total Engines</t>
  </si>
  <si>
    <t>Sales by segment ($bn)</t>
  </si>
  <si>
    <t>Total segment revenue</t>
  </si>
  <si>
    <t>Sales by segment % of total</t>
  </si>
  <si>
    <t>Sales by segment y/y % chg</t>
  </si>
  <si>
    <t>Shop visits</t>
  </si>
  <si>
    <t>Shop visits y/y</t>
  </si>
  <si>
    <t>Backlog total</t>
  </si>
  <si>
    <t>Backlog y/y % chg</t>
  </si>
  <si>
    <t>RPO</t>
  </si>
  <si>
    <t>RPO total</t>
  </si>
  <si>
    <t>Total RPO</t>
  </si>
  <si>
    <t>RPO y/y % chg</t>
  </si>
  <si>
    <t>not given anymore</t>
  </si>
  <si>
    <t>Revenues</t>
  </si>
  <si>
    <t>Operating expenses</t>
  </si>
  <si>
    <t>Regional Sales Exposure</t>
  </si>
  <si>
    <t>US</t>
  </si>
  <si>
    <t>Europe</t>
  </si>
  <si>
    <t>Asia</t>
  </si>
  <si>
    <t>Other Americas</t>
  </si>
  <si>
    <t>MEA</t>
  </si>
  <si>
    <t>%</t>
  </si>
  <si>
    <t>Segment revenues</t>
  </si>
  <si>
    <t>Growth rates</t>
  </si>
  <si>
    <t>Revenue growth factors</t>
  </si>
  <si>
    <t>Operating income</t>
  </si>
  <si>
    <t>2026E</t>
  </si>
  <si>
    <t>2027E</t>
  </si>
  <si>
    <t>Defense &amp; Propulsion Technology</t>
  </si>
  <si>
    <t>Non-operating benefit income</t>
  </si>
  <si>
    <t>Selling, general and andministrative expenses</t>
  </si>
  <si>
    <t>Research and development expenses</t>
  </si>
  <si>
    <t>1Q25</t>
  </si>
  <si>
    <t>2Q25</t>
  </si>
  <si>
    <t>3Q25</t>
  </si>
  <si>
    <t>4Q25</t>
  </si>
  <si>
    <t>Sales of goods</t>
  </si>
  <si>
    <t>Sales of services</t>
  </si>
  <si>
    <t>Company1067 Raw Data</t>
  </si>
  <si>
    <t>Cost of goods</t>
  </si>
  <si>
    <t>Cost of services</t>
  </si>
  <si>
    <t>Earnings (loss) from discontinued ops.</t>
  </si>
  <si>
    <t>Net income (loss)</t>
  </si>
  <si>
    <t>Preferred stock dividends</t>
  </si>
  <si>
    <t>Net income (loss) attributable to noncontrolling interests</t>
  </si>
  <si>
    <t>Net income (loss) attributable to Ticker0009 common shareholders</t>
  </si>
  <si>
    <t>Cash, Cash Equivalents, and restricted cash</t>
  </si>
  <si>
    <t>Investment securities</t>
  </si>
  <si>
    <t>Current Receivables</t>
  </si>
  <si>
    <t>Inventories, including deferred inventory costs</t>
  </si>
  <si>
    <t>Financing Receivables, net</t>
  </si>
  <si>
    <t>Current Contract assets</t>
  </si>
  <si>
    <t>All other Current assets</t>
  </si>
  <si>
    <t xml:space="preserve">Assets of discontinued ops. </t>
  </si>
  <si>
    <t>Other Intangible assets, Net</t>
  </si>
  <si>
    <t>Contract and other deferred assets</t>
  </si>
  <si>
    <t>All other assets</t>
  </si>
  <si>
    <t>Short-term borrowings</t>
  </si>
  <si>
    <t>Accounts Payable and equipment project accruals</t>
  </si>
  <si>
    <t>Progress collections and deferred income</t>
  </si>
  <si>
    <t>All other current liabilities</t>
  </si>
  <si>
    <t xml:space="preserve">Liabilities of discontinued ops. </t>
  </si>
  <si>
    <t>Deferred income</t>
  </si>
  <si>
    <t>Long-term borrowings</t>
  </si>
  <si>
    <t>Insurance liabilities and annuity benefits</t>
  </si>
  <si>
    <t>Non-current compensation and benefits</t>
  </si>
  <si>
    <t>All other liabilities</t>
  </si>
  <si>
    <t>Preferred stock</t>
  </si>
  <si>
    <t>Common Stock</t>
  </si>
  <si>
    <t>Other capital</t>
  </si>
  <si>
    <t>Less common stock held in treasury</t>
  </si>
  <si>
    <t>Total Ticker0009 Stockholders' Equity</t>
  </si>
  <si>
    <t>Noncontrolling interests</t>
  </si>
  <si>
    <t>Total equity</t>
  </si>
  <si>
    <t>Amortization of intangible assets</t>
  </si>
  <si>
    <t>(Gains) losses on equity securities</t>
  </si>
  <si>
    <t>(Gains) losses on purchase and sales of business interests</t>
  </si>
  <si>
    <t>Principal pension plan cost</t>
  </si>
  <si>
    <t>Principal pension plans employer contributions</t>
  </si>
  <si>
    <t>Other postretirement benefit plans (net)</t>
  </si>
  <si>
    <t>Provision (benefit) for income taxes</t>
  </si>
  <si>
    <t>Cash recovered (paid) during the year for income taxes</t>
  </si>
  <si>
    <t>Progress collections and current deferred income</t>
  </si>
  <si>
    <t>Additions to property, plant and equipment</t>
  </si>
  <si>
    <t>Dispositions of PP&amp;E</t>
  </si>
  <si>
    <t>Additions to internal-use software</t>
  </si>
  <si>
    <t>Net decrease (increase) in financing receivables</t>
  </si>
  <si>
    <t>Proceeds from principal business dispositions</t>
  </si>
  <si>
    <t>Net cash from (payments for) principal businesses purchased</t>
  </si>
  <si>
    <t>Sales of retained ownership interests</t>
  </si>
  <si>
    <t>Net (purchases) dispositions of Ticker0009 Capital investment securities</t>
  </si>
  <si>
    <t>All other investing activities</t>
  </si>
  <si>
    <t>(Earnings) loss from discontinued ops.</t>
  </si>
  <si>
    <t>Newly issued debt (longer than 90 days)</t>
  </si>
  <si>
    <t>Repayments and other debt reductions (longer than 90 days)</t>
  </si>
  <si>
    <t>All other financing activties</t>
  </si>
  <si>
    <t>All other operating activities</t>
  </si>
  <si>
    <t>Cash from Operations - Continuing ops.</t>
  </si>
  <si>
    <t xml:space="preserve">Cash from (used for) Operations - disc. Ops. </t>
  </si>
  <si>
    <t xml:space="preserve">Cash from (used for) Operations </t>
  </si>
  <si>
    <t>Cash from (used for) investing - disc. ops.</t>
  </si>
  <si>
    <t xml:space="preserve">Cash from (used for) investing  </t>
  </si>
  <si>
    <t>Cash from (used for) financing - disc. ops.</t>
  </si>
  <si>
    <t xml:space="preserve">Cash from (used for) financing </t>
  </si>
  <si>
    <t>Less cash and cash equivalents of discontinued ops.</t>
  </si>
  <si>
    <t xml:space="preserve">Cash, cash equibalents and restricted cash from continuing ops. </t>
  </si>
  <si>
    <t>Sales of equipment and services</t>
  </si>
  <si>
    <t>Net increase (decrease) in borrowings (maturities of 90 days or less)</t>
  </si>
  <si>
    <t>Assets of discontinued ops. / held for sale</t>
  </si>
  <si>
    <t>Liabilities of discontinued ops. / held for sale</t>
  </si>
  <si>
    <t>Redemption of Ticker0009 preferred stock</t>
  </si>
  <si>
    <t>Discontinued ops. &amp; noncontrolling interests</t>
  </si>
  <si>
    <t>Treasury stock</t>
  </si>
  <si>
    <t>2Q25E</t>
  </si>
  <si>
    <t>3Q25E</t>
  </si>
  <si>
    <t>4Q25E</t>
  </si>
  <si>
    <t>SG&amp;A</t>
  </si>
  <si>
    <t>R&amp;D</t>
  </si>
  <si>
    <t>Net income attributable to the company</t>
  </si>
  <si>
    <t xml:space="preserve">Adjusted net income </t>
  </si>
  <si>
    <t>Adjusted Diluted EPS, continuing ops.</t>
  </si>
  <si>
    <t>Separation costs</t>
  </si>
  <si>
    <t>Adjustments (net of tax)</t>
  </si>
  <si>
    <t>Insurance earnings (loss)</t>
  </si>
  <si>
    <t>Non-operating benefit (cost) income</t>
  </si>
  <si>
    <t>Gains (losses) on purchases and sales of business interests</t>
  </si>
  <si>
    <t>Gains (losses) on retained and sold ownership interests and other equity securities</t>
  </si>
  <si>
    <t>Restructuring &amp; other</t>
  </si>
  <si>
    <t>Earnings (loss) from discontinued ops. attributable to Ticker0009 common shareholders</t>
  </si>
  <si>
    <t>Corporate &amp; Eliminations</t>
  </si>
  <si>
    <t>2028E</t>
  </si>
  <si>
    <t>Defense</t>
  </si>
  <si>
    <t>Defense (Military Engines)</t>
  </si>
  <si>
    <t>Operating Margin</t>
  </si>
  <si>
    <t>Earnings (loss) from discontinued operations attributable to Ticker0009 common shareholders</t>
  </si>
  <si>
    <t>ROU operating lease assets</t>
  </si>
  <si>
    <t>Operating lease liabilities (non-current)</t>
  </si>
  <si>
    <t>Ticker0009 Commercial Aero Build</t>
  </si>
  <si>
    <t>Engine OE build</t>
  </si>
  <si>
    <t>Deliveries:</t>
  </si>
  <si>
    <t>NB</t>
  </si>
  <si>
    <t>Product0086</t>
  </si>
  <si>
    <t>Product0211</t>
  </si>
  <si>
    <t>WB</t>
  </si>
  <si>
    <t>GE90</t>
  </si>
  <si>
    <t>CF6-80</t>
  </si>
  <si>
    <t>Product0165</t>
  </si>
  <si>
    <t>Product0163</t>
  </si>
  <si>
    <t>Product0162</t>
  </si>
  <si>
    <t>Price per engine</t>
  </si>
  <si>
    <t>Pricing discount</t>
  </si>
  <si>
    <t>Ticker0009 share</t>
  </si>
  <si>
    <t>Spares as % of total deliveries</t>
  </si>
  <si>
    <t>Revenue by Engine</t>
  </si>
  <si>
    <t>Ticker0009 Engine OE Revenue</t>
  </si>
  <si>
    <t>yoy % growth</t>
  </si>
  <si>
    <t>Deliveries growth</t>
  </si>
  <si>
    <t>Price per engine growth</t>
  </si>
  <si>
    <t>Engine Aftermarket Build</t>
  </si>
  <si>
    <t>Shop Visit 1</t>
  </si>
  <si>
    <t>Shop Visit 2</t>
  </si>
  <si>
    <t>Shop Visit 3</t>
  </si>
  <si>
    <t>Price of Shop Visit 1</t>
  </si>
  <si>
    <t>Price of Shop Visit 2</t>
  </si>
  <si>
    <t>Price of Shop Visit 3</t>
  </si>
  <si>
    <t>Ticker0009 share %</t>
  </si>
  <si>
    <t>Shop Visit 1 Revenue</t>
  </si>
  <si>
    <t>Shop Visit 2 Revenue</t>
  </si>
  <si>
    <t>Shop Visit 3 Revenue</t>
  </si>
  <si>
    <t>Spare Revenue</t>
  </si>
  <si>
    <t>Total Product0086 AM Revenue</t>
  </si>
  <si>
    <t>Price increase</t>
  </si>
  <si>
    <t>Spare revenue</t>
  </si>
  <si>
    <t>Total Product0211 AM Revenue</t>
  </si>
  <si>
    <t>Total GE90 AM Revenue</t>
  </si>
  <si>
    <t>Total CF6-80 AM Revenue</t>
  </si>
  <si>
    <t>Total Product0165 AM Revenue</t>
  </si>
  <si>
    <t>Total Product0163 AM Revenue</t>
  </si>
  <si>
    <t>GE9x</t>
  </si>
  <si>
    <t>Total GE9x AM Revenue</t>
  </si>
  <si>
    <t>Total shop visits</t>
  </si>
  <si>
    <t>AM revenue</t>
  </si>
  <si>
    <t>Total Commercial Aero AM revenue</t>
  </si>
  <si>
    <t>Commercial OE revenue</t>
  </si>
  <si>
    <t>Commercial AM revenue</t>
  </si>
  <si>
    <t>Commercial Engines &amp; Services Revenue</t>
  </si>
  <si>
    <t>Margin</t>
  </si>
  <si>
    <t>OE</t>
  </si>
  <si>
    <t>AM</t>
  </si>
  <si>
    <t>Commercial Engines &amp; Services seg margin</t>
  </si>
  <si>
    <t>2029E</t>
  </si>
  <si>
    <t>2030E</t>
  </si>
  <si>
    <t>2040E</t>
  </si>
  <si>
    <t>2031E</t>
  </si>
  <si>
    <t>2032E</t>
  </si>
  <si>
    <t>2033E</t>
  </si>
  <si>
    <t>2034E</t>
  </si>
  <si>
    <t>2035E</t>
  </si>
  <si>
    <t>2036E</t>
  </si>
  <si>
    <t>20370E</t>
  </si>
  <si>
    <t>2038E</t>
  </si>
  <si>
    <t>2039E</t>
  </si>
  <si>
    <t>Company1067 Model</t>
  </si>
  <si>
    <t xml:space="preserve">Adjustments </t>
  </si>
  <si>
    <t>Eliminations and Other</t>
  </si>
  <si>
    <t>Person0248</t>
  </si>
  <si>
    <t>person@example.com</t>
  </si>
  <si>
    <t>Adjusted Operating Profit</t>
  </si>
  <si>
    <t>Insurance</t>
  </si>
  <si>
    <t>Insurance revenues</t>
  </si>
  <si>
    <t>Adjusted Corporate &amp; Other</t>
  </si>
  <si>
    <t>Adjusted Operating Income</t>
  </si>
  <si>
    <t>Corporate &amp; Other costs</t>
  </si>
  <si>
    <t>Eliminations</t>
  </si>
  <si>
    <t>Total adjusted business segments</t>
  </si>
  <si>
    <t xml:space="preserve">Insurance </t>
  </si>
  <si>
    <t>Total adjusted revenue</t>
  </si>
  <si>
    <t xml:space="preserve">Asset sale impairment </t>
  </si>
  <si>
    <t>Adjusted EBIT</t>
  </si>
  <si>
    <t>Adjusted EBITDA</t>
  </si>
  <si>
    <t>1Q26E</t>
  </si>
  <si>
    <t>2Q26E</t>
  </si>
  <si>
    <t>3Q26E</t>
  </si>
  <si>
    <t>4Q26E</t>
  </si>
  <si>
    <t>1Q26</t>
  </si>
  <si>
    <t>2Q26</t>
  </si>
  <si>
    <t>3Q26</t>
  </si>
  <si>
    <t>4Q26</t>
  </si>
  <si>
    <t>Person1182</t>
  </si>
  <si>
    <t>(801) 744-0681</t>
  </si>
  <si>
    <t>person@example.com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</si>
</sst>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1">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409]mmm\-yy;@"/>
    <numFmt numFmtId="165" formatCode="0.0_);\(0.0\)"/>
    <numFmt numFmtId="166" formatCode="#,##0.0_);\(#,##0.0\)"/>
    <numFmt numFmtId="167" formatCode="_(* #,##0.0_);_(* \(#,##0.0\);_(* &quot;-&quot;??_);_(@_)"/>
    <numFmt numFmtId="168" formatCode="0.0%"/>
    <numFmt numFmtId="169" formatCode="_(* #,##0_);_(* \(#,##0\);_(* &quot;-&quot;??_);_(@_)"/>
    <numFmt numFmtId="170" formatCode="#,##0.0"/>
    <numFmt numFmtId="171" formatCode="0.00\x"/>
    <numFmt numFmtId="172" formatCode="0.0000"/>
    <numFmt numFmtId="173" formatCode="#,##0.0000_);\(#,##0.0000\)"/>
    <numFmt numFmtId="174" formatCode="0_);\(0\)"/>
    <numFmt numFmtId="175" formatCode="#,##0_);\(#,##0\);_(&quot;&quot;_)"/>
    <numFmt numFmtId="176" formatCode="0.0\x"/>
    <numFmt numFmtId="177" formatCode="0.0\x_);\(0.0\)"/>
    <numFmt numFmtId="178" formatCode="#,##0\x_);\(#,##0\x\)"/>
    <numFmt numFmtId="179" formatCode="#,##0.0\x_);\(#,##0.0\x\)"/>
    <numFmt numFmtId="180" formatCode="#,##0.00\x_);\(#,##0.00\x\)"/>
    <numFmt numFmtId="181" formatCode="#,##0.000_);\(#,##0.000\)"/>
    <numFmt numFmtId="182" formatCode="_(#,##0_);_$\(#,##0\);_(&quot;-&quot;_);_(@_)"/>
    <numFmt numFmtId="183" formatCode="#,##0_);\(#,##0\);_(&quot;-&quot;_)"/>
    <numFmt numFmtId="184" formatCode="&quot;$&quot;#,##0.00"/>
    <numFmt numFmtId="185" formatCode="0.0"/>
    <numFmt numFmtId="186" formatCode="0.0_)\%;\(0.0\)\%;0.0_)\%;@_)_%"/>
    <numFmt numFmtId="187" formatCode="#,##0.0_)_%;\(#,##0.0\)_%;0.0_)_%;@_)_%"/>
    <numFmt numFmtId="188" formatCode="#,##0.0_);\(#,##0.0\);#,##0.0_);@_)"/>
    <numFmt numFmtId="189" formatCode="&quot;$&quot;_(#,##0.00_);&quot;$&quot;\(#,##0.00\)"/>
    <numFmt numFmtId="190" formatCode="&quot;$&quot;_(#,##0.00_);&quot;$&quot;\(#,##0.00\);&quot;$&quot;_(0.00_);@_)"/>
    <numFmt numFmtId="191" formatCode="#,##0.00_);\(#,##0.00\);0.00_);@_)"/>
    <numFmt numFmtId="192" formatCode="\€_(#,##0.00_);\€\(#,##0.00\);\€_(0.00_);@_)"/>
    <numFmt numFmtId="193" formatCode="#,##0.0_)\x;\(#,##0.0\)\x"/>
    <numFmt numFmtId="194" formatCode="#,##0_)\x;\(#,##0\)\x;0_)\x;@_)_x"/>
    <numFmt numFmtId="195" formatCode="#,##0.0_)\x;\(#,##0.0\)\x;0.0_)\x;@_)_x"/>
    <numFmt numFmtId="196" formatCode="#,##0.0_)_x;\(#,##0.0\)_x"/>
    <numFmt numFmtId="197" formatCode="#,##0_)_x;\(#,##0\)_x;0_)_x;@_)_x"/>
    <numFmt numFmtId="198" formatCode="#,##0.0_)_x;\(#,##0.0\)_x;0.0_)_x;@_)_x"/>
    <numFmt numFmtId="199" formatCode="0.0_)\%;\(0.0\)\%"/>
    <numFmt numFmtId="200" formatCode="#,##0.0_)_%;\(#,##0.0\)_%"/>
    <numFmt numFmtId="201" formatCode="#,##0;\(#,##0\)"/>
    <numFmt numFmtId="202" formatCode="0\A"/>
    <numFmt numFmtId="203" formatCode="0.00_)"/>
    <numFmt numFmtId="204" formatCode="0\p"/>
    <numFmt numFmtId="205" formatCode="\$0.00;\(\$0.00\)"/>
    <numFmt numFmtId="206" formatCode="0.0&quot;  &quot;"/>
    <numFmt numFmtId="207" formatCode="_-* #,##0_-;\(#,##0\);_-* &quot;–&quot;_-;_-@_-"/>
    <numFmt numFmtId="208" formatCode="#,##0.00;;;[White]General"/>
    <numFmt numFmtId="209" formatCode="_(* #,##0.00000_);_(* \(#,##0.00000\);_(* &quot;-&quot;??_);_(@_)"/>
    <numFmt numFmtId="210" formatCode="#,##0.000_);[Red]\(#,##0.000\)"/>
    <numFmt numFmtId="211" formatCode="&quot;$&quot;0.0"/>
    <numFmt numFmtId="212" formatCode="#,##0;\(#,##0\);\–;@"/>
    <numFmt numFmtId="213" formatCode="_(&quot;CHF&quot;* #,##0.0_);_(&quot;CHF&quot;* \(#,##0.0\);_(&quot;CHF&quot;* &quot;-&quot;??_);_(@_)"/>
    <numFmt numFmtId="214" formatCode="#,##0.00\x_);\(#,##0.00\x\);_(&quot;-&quot;_)"/>
    <numFmt numFmtId="215" formatCode="&quot;$&quot;#,##0.0_);\(&quot;$&quot;#,##0.0\)"/>
    <numFmt numFmtId="216" formatCode="&quot;$&quot;#,##0.000_);\(&quot;$&quot;#,##0.000\)"/>
    <numFmt numFmtId="217" formatCode="0.000"/>
    <numFmt numFmtId="218" formatCode="#,##0.000"/>
    <numFmt numFmtId="219" formatCode="yyyy"/>
    <numFmt numFmtId="220" formatCode="&quot;$&quot;#,##0.0_);[Red]\(&quot;$&quot;#,##0.0\)"/>
    <numFmt numFmtId="221" formatCode="#,##0.0_);[Red]\(#,##0.0\)"/>
    <numFmt numFmtId="222" formatCode="&quot;$&quot;#\ ??/??"/>
    <numFmt numFmtId="223" formatCode="0.000_)"/>
    <numFmt numFmtId="224" formatCode="\¥#,##0.00_);\(\¥#,##0.00\)"/>
    <numFmt numFmtId="225" formatCode="\£#,##0.00_);\(\£#,##0.00\)"/>
    <numFmt numFmtId="226" formatCode="\A\ &quot;$&quot;#,##0.00\ ;\(\A\ &quot;$&quot;#,##0.00\)"/>
    <numFmt numFmtId="227" formatCode="\F\F\r\ \ #,##0.00_);\F\F\r\ \ \(#,##0.00\)"/>
    <numFmt numFmtId="228" formatCode="&quot;$&quot;#,##0.000\ ;\(&quot;$&quot;#,##0.000\)"/>
    <numFmt numFmtId="229" formatCode="#,##0.0\x"/>
    <numFmt numFmtId="230" formatCode="#,##0.0\A"/>
    <numFmt numFmtId="231" formatCode="_(* #,##0_);_(* \(#,##0\);_(* &quot;----&quot;_);_(@_)"/>
    <numFmt numFmtId="232" formatCode="_(* #,##0.00_);_(* \(#,##0.00\);_(* &quot;-----&quot;_);_(@_)"/>
    <numFmt numFmtId="233" formatCode="_(* #,##0.00_);_(* \(#,##0.00\);_(* &quot;---&quot;_);_(@_)"/>
    <numFmt numFmtId="234" formatCode="_(* #,##0.0_);_(* \(#,##0.0\);_(* &quot;----&quot;_);_(@_)"/>
    <numFmt numFmtId="235" formatCode="0.0\x_)_);&quot;NM&quot;_x_)_);0.0\x_)_);@_%_)"/>
    <numFmt numFmtId="236" formatCode="0.00%;\(0.00%\)"/>
    <numFmt numFmtId="237" formatCode="0.0%_);[Red]\(0.0%\)"/>
    <numFmt numFmtId="238" formatCode="_([$€-2]* #,##0.00_);_([$€-2]* \(#,##0.00\);_([$€-2]* &quot;-&quot;??_)"/>
    <numFmt numFmtId="239" formatCode="0.0%_);\(0.0%\)"/>
    <numFmt numFmtId="240" formatCode="&quot;$&quot;#,##0.00&quot;A&quot;;[Red]\(&quot;$&quot;#,##0.00\)&quot;A&quot;"/>
    <numFmt numFmtId="241" formatCode="&quot;$&quot;#,##0.00&quot;E&quot;;[Red]\(&quot;$&quot;#,##0.00\)&quot;E&quot;"/>
    <numFmt numFmtId="242" formatCode="#,##0.0;[Red]\(#,##0.0\)"/>
    <numFmt numFmtId="243" formatCode="#,##0.0___);\(#,##0.0__\)"/>
    <numFmt numFmtId="244" formatCode="#,##0;[Red]\(#,##0\);&quot;-&quot;"/>
    <numFmt numFmtId="245" formatCode="#,##0.0;\(#,##0.0\);&quot;-&quot;"/>
    <numFmt numFmtId="246" formatCode="#,##0.00;\(#,##0.00\);&quot;-&quot;"/>
    <numFmt numFmtId="247" formatCode="#,##0.000;\(#,##0.000\);&quot;-&quot;"/>
    <numFmt numFmtId="248" formatCode="&quot;$&quot;#,##0;[Red]\ &quot;$&quot;\(#,##0\);&quot;-&quot;"/>
    <numFmt numFmtId="249" formatCode="&quot;$&quot;#,##0.0;\(&quot;$&quot;#,##0.0\);&quot;-&quot;"/>
    <numFmt numFmtId="250" formatCode="&quot;$&quot;#,##0.00;\(&quot;$&quot;#,##0.00\);&quot;-&quot;"/>
    <numFmt numFmtId="251" formatCode="&quot;$&quot;#,##0.00_)\ \ ;\(&quot;$&quot;#,##0.00\)\ \ "/>
    <numFmt numFmtId="252" formatCode="#,##0.0&quot; days&quot;;[Red]\(#,##0.0&quot; days&quot;\);&quot;-&quot;"/>
    <numFmt numFmtId="253" formatCode="0&quot;E&quot;"/>
    <numFmt numFmtId="254" formatCode="#,##0;[Red]\(#,##0\)"/>
    <numFmt numFmtId="255" formatCode="&quot;$&quot;#,##0.0_%_);\(&quot;$&quot;#,##0.0\)_%"/>
    <numFmt numFmtId="256" formatCode="&quot;$&quot;#,##0.00_%_);\(&quot;$&quot;#,##0.00\)_%"/>
    <numFmt numFmtId="257" formatCode="0.0\x_)_);&quot;NM    &quot;;0.0\x_)_)"/>
    <numFmt numFmtId="258" formatCode="&quot;$&quot;#,##0.0_)\ \ ;\(&quot;$&quot;#,##0.0\)\ \ "/>
    <numFmt numFmtId="259" formatCode="#,##0.00_);\(&quot;$&quot;#,##0.00\)"/>
    <numFmt numFmtId="260" formatCode="0.0\ \x\ \ \ \ ;&quot;NM      &quot;;\ 0.0\ \x\ \ \ \ "/>
    <numFmt numFmtId="261" formatCode="0.0%_)\ \ ;\(0.0%\)\ \ "/>
    <numFmt numFmtId="262" formatCode="#,##0\ &quot;DM&quot;;\-#,##0\ &quot;DM&quot;"/>
    <numFmt numFmtId="263" formatCode="#,##0\ &quot;DM&quot;;[Red]\-#,##0\ &quot;DM&quot;"/>
    <numFmt numFmtId="264" formatCode="#,##0.0\x;[Red]\(#,##0.0\x\);&quot;-&quot;"/>
    <numFmt numFmtId="265" formatCode="#,##0.0___);\(#,##0.0\)__\)"/>
    <numFmt numFmtId="266" formatCode="#,##0.00_)\ \ ;\(#,##0.00\)\ \ "/>
    <numFmt numFmtId="267" formatCode="#,##0.0%;\(#,##0.0%\)"/>
    <numFmt numFmtId="268" formatCode="#,##0.000%;[Red]\(#,##0.000%\);&quot;-&quot;"/>
    <numFmt numFmtId="269" formatCode="#,##0.0_)\ \ ;\(#,##0.0\)\ \ "/>
    <numFmt numFmtId="270" formatCode="#,##0.0_%_);\(#,##0.0\)_%"/>
    <numFmt numFmtId="271" formatCode="#,##0.000;[Red]\(#,##0.000\)"/>
    <numFmt numFmtId="272" formatCode="0.0\ \ \ ;\(0.0\)\ \ \ "/>
    <numFmt numFmtId="273" formatCode="0.0%;[Red]\-0.0%"/>
    <numFmt numFmtId="274" formatCode="#,##0.0&quot; years &quot;;\(#,##0.0&quot; years &quot;\);&quot;-&quot;"/>
    <numFmt numFmtId="275" formatCode="#,##0.0\ ;\(#,##0.0\)"/>
    <numFmt numFmtId="276" formatCode="0.0_)"/>
    <numFmt numFmtId="277" formatCode="\C&quot;$&quot;\ #,##0.00_);\C&quot;$&quot;\ \(#,##0.00\);\C&quot;$&quot;\ 0.00_)"/>
    <numFmt numFmtId="278" formatCode="0.0\x_);[Red]\(0.0\x\)"/>
    <numFmt numFmtId="279" formatCode="&quot;$&quot;#,##0\ ;\(&quot;$&quot;#,##0\)"/>
    <numFmt numFmtId="280" formatCode="#,##0.0\%_);\(#,##0.0\%\);#,##0.0\%_);@_)"/>
    <numFmt numFmtId="281" formatCode="_(* #,##0.0%;_(* #,##0.0%"/>
    <numFmt numFmtId="282" formatCode="#,##0.00&quot; F&quot;_);[Red]\(#,##0.00&quot; F&quot;\)"/>
    <numFmt numFmtId="283" formatCode="#,##0;[Red]#,##0"/>
    <numFmt numFmtId="284" formatCode="yyyy&quot;-&quot;m&quot;-&quot;d"/>
    <numFmt numFmtId="285" formatCode="yy&quot;/&quot;m&quot;/&quot;d"/>
    <numFmt numFmtId="286" formatCode="yyyy&quot;년&quot;\ m&quot;월&quot;"/>
    <numFmt numFmtId="287" formatCode="_(* #,##0.00_);_(* &quot;?&quot;&quot;?&quot;&quot;?&quot;&quot;?&quot;&quot;?&quot;&quot;?&quot;&quot;?&quot;&quot;?&quot;\(#,##0.00&quot;?&quot;&quot;?&quot;&quot;?&quot;&quot;?&quot;&quot;?&quot;&quot;?&quot;&quot;?&quot;&quot;?&quot;\);_(* &quot;-&quot;??_);_(@_)"/>
    <numFmt numFmtId="288" formatCode="_-&quot;?* #,##0_-;&quot;&quot;?&quot;&quot;?&quot;&quot;?&quot;&quot;?&quot;&quot;?&quot;&quot;?&quot;&quot;?&quot;\-&quot;?* #,##0_-;_-&quot;&quot;?&quot;* &quot;-&quot;_-;_-@_-"/>
    <numFmt numFmtId="289" formatCode="_-&quot;?* #,##0.00_-;&quot;&quot;?&quot;&quot;?&quot;&quot;?&quot;&quot;?&quot;&quot;?&quot;&quot;?&quot;&quot;?&quot;\-&quot;?* #,##0.00_-;_-&quot;&quot;?&quot;* &quot;-&quot;??_-;_-@_-"/>
    <numFmt numFmtId="290" formatCode="#,##0.0_);&quot;?&quot;&quot;?&quot;&quot;?&quot;&quot;?&quot;&quot;?&quot;&quot;?&quot;&quot;?&quot;&quot;?&quot;\(#,##0.0&quot;?&quot;&quot;?&quot;&quot;?&quot;&quot;?&quot;&quot;?&quot;&quot;?&quot;&quot;?&quot;&quot;?&quot;\)"/>
    <numFmt numFmtId="291" formatCode="#,###,##0"/>
    <numFmt numFmtId="292" formatCode="_(&quot;$&quot;#,##0_)&quot;millions&quot;;\(&quot;$&quot;#,##0\)&quot; millions&quot;"/>
    <numFmt numFmtId="293" formatCode="&quot;$&quot;#,##0.00_)\ \ \ ;\(&quot;$&quot;#,##0.00\)\ \ \ "/>
    <numFmt numFmtId="294" formatCode="&quot;$&quot;#,##0.00&quot;*&quot;\ \ ;\(&quot;$&quot;#,##0.00\)&quot;*&quot;\ \ "/>
    <numFmt numFmtId="295" formatCode="&quot;$&quot;#,##0.00\A_)\ ;\(&quot;$&quot;#,##0.00\A\)\ \ "/>
    <numFmt numFmtId="296" formatCode="@\ \ \ \ \ "/>
    <numFmt numFmtId="297" formatCode="&quot;$&quot;#,##0.00\A\ \ \ \ ;\(&quot;$&quot;#,##0.00\A\)\ \ \ \ "/>
    <numFmt numFmtId="298" formatCode="&quot;$&quot;#,##0.00&quot;E&quot;\ \ \ \ ;\(&quot;$&quot;#,##0.00&quot;E&quot;\)\ \ \ \ "/>
    <numFmt numFmtId="299" formatCode="#,##0.00\A\ \ \ \ ;\(#,##0.00\A\)\ \ \ \ "/>
    <numFmt numFmtId="300" formatCode="#,##0.00&quot;E&quot;\ \ \ \ ;\(#,##0.00&quot;E&quot;\)\ \ \ \ "/>
    <numFmt numFmtId="301" formatCode="&quot;$&quot;#,##0.00_)\ \ \ \ \ ;\(&quot;$&quot;#,##0.00\)\ \ \ \ \ "/>
    <numFmt numFmtId="302" formatCode="0%\ \ \ \ \ \ \ "/>
    <numFmt numFmtId="303" formatCode="&quot;$&quot;#,##0\ &quot;MM&quot;;\(&quot;$&quot;#,##0.00\ &quot;MM&quot;\)"/>
    <numFmt numFmtId="304" formatCode="_(&quot;$&quot;* #,##0_)\ &quot;millions&quot;;_(&quot;$&quot;* \(#,##0\)&quot; millions&quot;"/>
    <numFmt numFmtId="305" formatCode="0.0\ "/>
    <numFmt numFmtId="306" formatCode="0.0%\ \ \ \ \ "/>
    <numFmt numFmtId="307" formatCode="0.00\ \ \ \ "/>
    <numFmt numFmtId="308" formatCode="@\ "/>
    <numFmt numFmtId="309" formatCode="&quot;$&quot;@"/>
    <numFmt numFmtId="310" formatCode="&quot;£&quot;_(#,##0.00_);&quot;£&quot;\(#,##0.00\);&quot;£&quot;_(0.00_);@_)"/>
    <numFmt numFmtId="311" formatCode="0.0;\(0.0\)"/>
    <numFmt numFmtId="312" formatCode="#,##0.00000;\(#,##0.00000\)"/>
    <numFmt numFmtId="313" formatCode="&quot;£&quot;0.00\b\n"/>
    <numFmt numFmtId="314" formatCode="#,##0.0;\-#,##0.0"/>
    <numFmt numFmtId="315" formatCode="0.00;\(0.00\)"/>
    <numFmt numFmtId="316" formatCode="_-* #,##0.000_-;\-* #,##0.000_-;_-* &quot;-&quot;??_-;_-@_-"/>
    <numFmt numFmtId="317" formatCode="0\ &quot;bps&quot;"/>
    <numFmt numFmtId="318" formatCode="&quot;$&quot;#,##0.0\ \ \ ;\(&quot;$&quot;#,##0.0\)\ \ "/>
    <numFmt numFmtId="319" formatCode="#,##0.0\ \ \ ;\(#,##0.0\)\ \ "/>
    <numFmt numFmtId="320" formatCode="_([$$-409]* #,##0.00_);_([$$-409]* \(#,##0.00\);_([$$-409]* &quot;-&quot;??_);_(@_)"/>
    <numFmt numFmtId="321" formatCode="#,##0&quot; bp&quot;;\(#,##0&quot; bp&quot;\)"/>
    <numFmt numFmtId="322" formatCode="&quot;$&quot;#,##0.0"/>
    <numFmt numFmtId="323" formatCode="0.00000"/>
    <numFmt numFmtId="324" formatCode="_(* #,##0_);_(* \(#,##0\);_(* &quot;-&quot;?_);_(@_)"/>
    <numFmt numFmtId="325" formatCode="&quot;$&quot;#,##0"/>
    <numFmt numFmtId="326" formatCode="0.0%_);\(0.0%\);0.0%_);@_)"/>
    <numFmt numFmtId="327" formatCode="0%_);\(0%\);0%_);@_)"/>
  </numFmts>
  <fonts count="265">
    <font>
      <sz val="9"/>
      <name val="Arial"/>
    </font>
    <font>
      <sz val="9"/>
      <color theme="1"/>
      <name val="Arial"/>
      <family val="2"/>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0"/>
      <name val="Arial"/>
      <family val="2"/>
    </font>
    <font>
      <b/>
      <sz val="10"/>
      <name val="Arial"/>
      <family val="2"/>
    </font>
    <font>
      <i/>
      <sz val="10"/>
      <name val="Arial"/>
      <family val="2"/>
    </font>
    <font>
      <sz val="8"/>
      <name val="Arial"/>
      <family val="2"/>
    </font>
    <font>
      <sz val="8"/>
      <color indexed="81"/>
      <name val="Tahoma"/>
      <family val="2"/>
    </font>
    <font>
      <b/>
      <sz val="8"/>
      <color indexed="81"/>
      <name val="Tahoma"/>
      <family val="2"/>
    </font>
    <font>
      <b/>
      <sz val="12"/>
      <color indexed="9"/>
      <name val="Arial"/>
      <family val="2"/>
    </font>
    <font>
      <i/>
      <sz val="10"/>
      <color indexed="9"/>
      <name val="Arial"/>
      <family val="2"/>
    </font>
    <font>
      <b/>
      <sz val="10"/>
      <name val="Arial"/>
      <family val="2"/>
    </font>
    <font>
      <sz val="8"/>
      <name val="Helvetica"/>
      <family val="2"/>
    </font>
    <font>
      <b/>
      <sz val="8"/>
      <name val="Arial"/>
      <family val="2"/>
    </font>
    <font>
      <b/>
      <sz val="12"/>
      <name val="Arial"/>
      <family val="2"/>
    </font>
    <font>
      <sz val="10"/>
      <name val="Helvetica"/>
      <family val="2"/>
    </font>
    <font>
      <b/>
      <sz val="10"/>
      <color indexed="9"/>
      <name val="Arial"/>
      <family val="2"/>
    </font>
    <font>
      <i/>
      <sz val="8"/>
      <name val="Arial"/>
      <family val="2"/>
    </font>
    <font>
      <b/>
      <sz val="10"/>
      <color indexed="8"/>
      <name val="Arial"/>
      <family val="2"/>
    </font>
    <font>
      <i/>
      <sz val="10"/>
      <color indexed="8"/>
      <name val="Arial"/>
      <family val="2"/>
    </font>
    <font>
      <sz val="10"/>
      <name val="Arial"/>
      <family val="2"/>
    </font>
    <font>
      <b/>
      <sz val="9"/>
      <name val="Helvetica"/>
      <family val="2"/>
    </font>
    <font>
      <sz val="9"/>
      <name val="Arial"/>
      <family val="2"/>
    </font>
    <font>
      <i/>
      <sz val="10"/>
      <name val="Arial"/>
      <family val="2"/>
    </font>
    <font>
      <b/>
      <sz val="9"/>
      <name val="Arial"/>
      <family val="2"/>
    </font>
    <font>
      <sz val="9"/>
      <name val="Arial"/>
      <family val="2"/>
    </font>
    <font>
      <b/>
      <sz val="9"/>
      <name val="Arial"/>
      <family val="2"/>
    </font>
    <font>
      <sz val="10"/>
      <name val="Arial"/>
      <family val="2"/>
    </font>
    <font>
      <sz val="9"/>
      <color indexed="8"/>
      <name val="Arial"/>
      <family val="2"/>
    </font>
    <font>
      <b/>
      <sz val="9"/>
      <color indexed="8"/>
      <name val="Arial"/>
      <family val="2"/>
    </font>
    <font>
      <sz val="9"/>
      <color indexed="12"/>
      <name val="Arial"/>
      <family val="2"/>
    </font>
    <font>
      <sz val="9"/>
      <color indexed="16"/>
      <name val="Arial"/>
      <family val="2"/>
    </font>
    <font>
      <i/>
      <sz val="10"/>
      <color indexed="9"/>
      <name val="Arial"/>
      <family val="2"/>
    </font>
    <font>
      <u/>
      <sz val="9"/>
      <name val="Arial"/>
      <family val="2"/>
    </font>
    <font>
      <sz val="9"/>
      <color indexed="10"/>
      <name val="Arial"/>
      <family val="2"/>
    </font>
    <font>
      <b/>
      <u/>
      <sz val="9"/>
      <name val="Arial"/>
      <family val="2"/>
    </font>
    <font>
      <b/>
      <sz val="9"/>
      <color indexed="10"/>
      <name val="Arial"/>
      <family val="2"/>
    </font>
    <font>
      <b/>
      <sz val="9"/>
      <color indexed="16"/>
      <name val="Arial"/>
      <family val="2"/>
    </font>
    <font>
      <u/>
      <sz val="9"/>
      <name val="Arial"/>
      <family val="2"/>
    </font>
    <font>
      <u/>
      <sz val="9"/>
      <color indexed="12"/>
      <name val="Arial"/>
      <family val="2"/>
    </font>
    <font>
      <sz val="9"/>
      <color indexed="16"/>
      <name val="Arial"/>
      <family val="2"/>
    </font>
    <font>
      <u/>
      <sz val="9"/>
      <color indexed="12"/>
      <name val="Arial"/>
      <family val="2"/>
    </font>
    <font>
      <sz val="9"/>
      <name val="Helvetica"/>
      <family val="2"/>
    </font>
    <font>
      <b/>
      <sz val="9"/>
      <color indexed="12"/>
      <name val="Arial"/>
      <family val="2"/>
    </font>
    <font>
      <b/>
      <sz val="12"/>
      <color indexed="9"/>
      <name val="Arial"/>
      <family val="2"/>
    </font>
    <font>
      <sz val="9"/>
      <color indexed="12"/>
      <name val="Arial"/>
      <family val="2"/>
    </font>
    <font>
      <sz val="9"/>
      <name val="Arial"/>
      <family val="2"/>
    </font>
    <font>
      <u/>
      <sz val="9"/>
      <color indexed="8"/>
      <name val="Arial"/>
      <family val="2"/>
    </font>
    <font>
      <u/>
      <sz val="9"/>
      <color indexed="16"/>
      <name val="Arial"/>
      <family val="2"/>
    </font>
    <font>
      <i/>
      <sz val="9"/>
      <name val="Arial"/>
      <family val="2"/>
    </font>
    <font>
      <u/>
      <sz val="9"/>
      <color rgb="FF800000"/>
      <name val="Arial"/>
      <family val="2"/>
    </font>
    <font>
      <sz val="9"/>
      <color rgb="FF800000"/>
      <name val="Arial"/>
      <family val="2"/>
    </font>
    <font>
      <sz val="9"/>
      <color rgb="FF0000FF"/>
      <name val="Arial"/>
      <family val="2"/>
    </font>
    <font>
      <sz val="10"/>
      <name val="GS TheSans"/>
      <family val="2"/>
    </font>
    <font>
      <sz val="8"/>
      <name val="Tahoma"/>
      <family val="2"/>
    </font>
    <font>
      <b/>
      <sz val="10"/>
      <name val="MS Sans Serif"/>
      <family val="2"/>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sz val="9"/>
      <color indexed="8"/>
      <name val="Times New Roman"/>
      <family val="1"/>
    </font>
    <font>
      <b/>
      <sz val="10"/>
      <color indexed="8"/>
      <name val="Times New Roman"/>
      <family val="1"/>
    </font>
    <font>
      <sz val="8"/>
      <name val="Times"/>
      <family val="1"/>
    </font>
    <font>
      <b/>
      <sz val="12"/>
      <name val="Tms Rmn"/>
    </font>
    <font>
      <sz val="9"/>
      <color indexed="9"/>
      <name val="Times New Roman"/>
      <family val="1"/>
    </font>
    <font>
      <sz val="8"/>
      <color indexed="12"/>
      <name val="Tms Rmn"/>
    </font>
    <font>
      <b/>
      <i/>
      <sz val="8"/>
      <name val="Arial"/>
      <family val="2"/>
    </font>
    <font>
      <b/>
      <sz val="10"/>
      <name val="Bookman"/>
      <family val="1"/>
    </font>
    <font>
      <b/>
      <sz val="24"/>
      <name val="Times New Roman"/>
      <family val="1"/>
    </font>
    <font>
      <b/>
      <sz val="14"/>
      <name val="Book Antiqua"/>
      <family val="1"/>
    </font>
    <font>
      <sz val="11"/>
      <color indexed="12"/>
      <name val="Book Antiqua"/>
      <family val="1"/>
    </font>
    <font>
      <b/>
      <u/>
      <sz val="7"/>
      <name val="Helvetica"/>
      <family val="2"/>
    </font>
    <font>
      <sz val="9"/>
      <name val="Times New Roman"/>
      <family val="1"/>
    </font>
    <font>
      <sz val="10"/>
      <name val="Book Antiqua"/>
      <family val="1"/>
    </font>
    <font>
      <sz val="7"/>
      <name val="Arial"/>
      <family val="2"/>
    </font>
    <font>
      <b/>
      <sz val="8.5"/>
      <color indexed="17"/>
      <name val="Arial"/>
      <family val="2"/>
    </font>
    <font>
      <b/>
      <sz val="7"/>
      <color indexed="17"/>
      <name val="Arial"/>
      <family val="2"/>
    </font>
    <font>
      <sz val="8.5"/>
      <color indexed="8"/>
      <name val="Arial"/>
      <family val="2"/>
    </font>
    <font>
      <b/>
      <sz val="8"/>
      <name val="Book Antiqua"/>
      <family val="1"/>
    </font>
    <font>
      <sz val="10"/>
      <name val="MS Sans Serif"/>
      <family val="2"/>
    </font>
    <font>
      <b/>
      <sz val="10"/>
      <name val="Palatino"/>
      <family val="1"/>
    </font>
    <font>
      <b/>
      <sz val="14"/>
      <name val="Arial"/>
      <family val="2"/>
    </font>
    <font>
      <sz val="8"/>
      <name val="Book Antiqua"/>
      <family val="1"/>
    </font>
    <font>
      <i/>
      <sz val="7"/>
      <name val="Book Antiqua"/>
      <family val="1"/>
    </font>
    <font>
      <sz val="8"/>
      <color indexed="9"/>
      <name val="Arial"/>
      <family val="2"/>
    </font>
    <font>
      <b/>
      <i/>
      <sz val="16"/>
      <name val="Helv"/>
    </font>
    <font>
      <sz val="10"/>
      <color indexed="72"/>
      <name val="System"/>
      <family val="2"/>
    </font>
    <font>
      <b/>
      <sz val="14"/>
      <name val="Times New Roman"/>
      <family val="1"/>
    </font>
    <font>
      <sz val="10"/>
      <name val="Palatino"/>
      <family val="1"/>
    </font>
    <font>
      <sz val="8"/>
      <name val="Helv"/>
      <family val="2"/>
    </font>
    <font>
      <sz val="10"/>
      <name val="Times New Roman"/>
      <family val="1"/>
    </font>
    <font>
      <sz val="8"/>
      <name val="Helv"/>
    </font>
    <font>
      <sz val="12"/>
      <name val="Helvetica"/>
      <family val="2"/>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14"/>
      <name val="Book Antiqua"/>
      <family val="1"/>
    </font>
    <font>
      <b/>
      <sz val="10"/>
      <name val="Book Antiqua"/>
      <family val="1"/>
    </font>
    <font>
      <b/>
      <sz val="7"/>
      <name val="Arial"/>
      <family val="2"/>
    </font>
    <font>
      <b/>
      <sz val="10"/>
      <name val="Times New Roman"/>
      <family val="1"/>
    </font>
    <font>
      <u/>
      <sz val="9"/>
      <color theme="10"/>
      <name val="Arial"/>
      <family val="2"/>
    </font>
    <font>
      <sz val="9"/>
      <color indexed="81"/>
      <name val="Tahoma"/>
      <family val="2"/>
    </font>
    <font>
      <b/>
      <sz val="9"/>
      <color indexed="81"/>
      <name val="Tahoma"/>
      <family val="2"/>
    </font>
    <font>
      <sz val="9"/>
      <name val="Arial"/>
      <family val="2"/>
    </font>
    <font>
      <b/>
      <i/>
      <sz val="9"/>
      <name val="Arial"/>
      <family val="2"/>
    </font>
    <font>
      <sz val="9"/>
      <color rgb="FFFF000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52"/>
      <name val="Calibri"/>
      <family val="2"/>
    </font>
    <font>
      <sz val="11"/>
      <color indexed="60"/>
      <name val="Calibri"/>
      <family val="2"/>
    </font>
    <font>
      <sz val="11"/>
      <color indexed="10"/>
      <name val="Calibri"/>
      <family val="2"/>
    </font>
    <font>
      <sz val="10"/>
      <color indexed="8"/>
      <name val="Arial"/>
      <family val="2"/>
    </font>
    <font>
      <sz val="10"/>
      <color indexed="10"/>
      <name val="Times New Roman"/>
      <family val="1"/>
    </font>
    <font>
      <sz val="8"/>
      <name val="Times New Roman"/>
      <family val="1"/>
    </font>
    <font>
      <sz val="10"/>
      <color indexed="8"/>
      <name val="MS Sans Serif"/>
      <family val="2"/>
    </font>
    <font>
      <b/>
      <sz val="10"/>
      <name val="GS TheSans"/>
      <family val="2"/>
    </font>
    <font>
      <i/>
      <sz val="10"/>
      <name val="Times New Roman"/>
      <family val="1"/>
    </font>
    <font>
      <b/>
      <sz val="8"/>
      <color indexed="8"/>
      <name val="Arial"/>
      <family val="2"/>
    </font>
    <font>
      <sz val="8"/>
      <color indexed="49"/>
      <name val="Times New Roman"/>
      <family val="1"/>
    </font>
    <font>
      <sz val="10"/>
      <name val="Times"/>
      <family val="1"/>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b/>
      <sz val="8"/>
      <name val="TimesNewRomanPS"/>
      <family val="1"/>
    </font>
    <font>
      <sz val="8"/>
      <color indexed="12"/>
      <name val="Helv"/>
      <family val="2"/>
    </font>
    <font>
      <sz val="8.5"/>
      <name val="Arial Narrow"/>
      <family val="2"/>
    </font>
    <font>
      <sz val="8"/>
      <color indexed="12"/>
      <name val="Arial Narrow"/>
      <family val="2"/>
    </font>
    <font>
      <sz val="8.5"/>
      <color indexed="49"/>
      <name val="Arial Narrow"/>
      <family val="2"/>
    </font>
    <font>
      <sz val="10"/>
      <name val="System"/>
      <family val="2"/>
    </font>
    <font>
      <sz val="14"/>
      <name val="Palatino"/>
      <family val="1"/>
    </font>
    <font>
      <sz val="16"/>
      <name val="Palatino"/>
      <family val="1"/>
    </font>
    <font>
      <sz val="32"/>
      <name val="Helvetica-Black"/>
    </font>
    <font>
      <b/>
      <i/>
      <u/>
      <sz val="8.5"/>
      <color indexed="12"/>
      <name val="Arial Narrow"/>
      <family val="2"/>
    </font>
    <font>
      <sz val="8.5"/>
      <color indexed="12"/>
      <name val="Arial Narrow"/>
      <family val="2"/>
    </font>
    <font>
      <b/>
      <sz val="8.5"/>
      <name val="Arial Narrow"/>
      <family val="2"/>
    </font>
    <font>
      <sz val="8"/>
      <name val="Palatino"/>
      <family val="1"/>
    </font>
    <font>
      <b/>
      <sz val="8"/>
      <name val="Times New Roman"/>
      <family val="1"/>
    </font>
    <font>
      <sz val="8"/>
      <color indexed="14"/>
      <name val="Arial Narrow"/>
      <family val="2"/>
    </font>
    <font>
      <b/>
      <sz val="9.5"/>
      <color indexed="10"/>
      <name val="MS Sans Serif"/>
      <family val="2"/>
    </font>
    <font>
      <sz val="6"/>
      <color indexed="23"/>
      <name val="Helvetica-Black"/>
    </font>
    <font>
      <sz val="9.5"/>
      <color indexed="23"/>
      <name val="Helvetica-Black"/>
    </font>
    <font>
      <sz val="7"/>
      <name val="Palatino"/>
      <family val="1"/>
    </font>
    <font>
      <i/>
      <sz val="8"/>
      <color indexed="17"/>
      <name val="Times New Roman"/>
      <family val="1"/>
    </font>
    <font>
      <sz val="8"/>
      <color indexed="21"/>
      <name val="Arial"/>
      <family val="2"/>
    </font>
    <font>
      <sz val="6"/>
      <name val="Palatino"/>
      <family val="1"/>
    </font>
    <font>
      <sz val="28"/>
      <name val="Helvetica-Black"/>
    </font>
    <font>
      <sz val="10"/>
      <name val="Helvetica-Black"/>
    </font>
    <font>
      <sz val="18"/>
      <name val="Helvetica-Black"/>
    </font>
    <font>
      <sz val="18"/>
      <name val="Palatino"/>
      <family val="1"/>
    </font>
    <font>
      <i/>
      <sz val="14"/>
      <name val="Palatino"/>
      <family val="1"/>
    </font>
    <font>
      <sz val="8"/>
      <color indexed="16"/>
      <name val="Palatino"/>
      <family val="1"/>
    </font>
    <font>
      <sz val="8"/>
      <color indexed="12"/>
      <name val="Palatino"/>
      <family val="1"/>
    </font>
    <font>
      <i/>
      <sz val="8"/>
      <name val="Tms Rmn"/>
    </font>
    <font>
      <sz val="8"/>
      <color indexed="10"/>
      <name val="Times New Roman"/>
      <family val="1"/>
    </font>
    <font>
      <sz val="8"/>
      <color indexed="18"/>
      <name val="Times New Roman"/>
      <family val="1"/>
    </font>
    <font>
      <b/>
      <sz val="8"/>
      <color indexed="12"/>
      <name val="Arial Narrow"/>
      <family val="2"/>
    </font>
    <font>
      <sz val="8"/>
      <name val="GS TheSans"/>
      <family val="2"/>
    </font>
    <font>
      <b/>
      <sz val="9"/>
      <color indexed="8"/>
      <name val="Helvetica 65"/>
      <family val="2"/>
    </font>
    <font>
      <sz val="9"/>
      <color indexed="8"/>
      <name val="Helvetica 45"/>
      <family val="2"/>
    </font>
    <font>
      <b/>
      <sz val="8"/>
      <color indexed="8"/>
      <name val="Helvetica 65"/>
    </font>
    <font>
      <sz val="8"/>
      <name val="Helvetica 65"/>
      <family val="2"/>
    </font>
    <font>
      <b/>
      <sz val="26"/>
      <name val="Times New Roman"/>
      <family val="1"/>
    </font>
    <font>
      <b/>
      <sz val="18"/>
      <name val="Times New Roman"/>
      <family val="1"/>
    </font>
    <font>
      <sz val="10"/>
      <color indexed="16"/>
      <name val="Helvetica-Black"/>
    </font>
    <font>
      <b/>
      <sz val="8"/>
      <name val="Arial Narrow"/>
      <family val="2"/>
    </font>
    <font>
      <sz val="9"/>
      <color indexed="21"/>
      <name val="Helvetica-Black"/>
    </font>
    <font>
      <b/>
      <sz val="9"/>
      <name val="Palatino"/>
      <family val="1"/>
    </font>
    <font>
      <sz val="9"/>
      <name val="Palatino"/>
      <family val="1"/>
    </font>
    <font>
      <sz val="9"/>
      <name val="Helvetica-Black"/>
    </font>
    <font>
      <b/>
      <sz val="14"/>
      <color indexed="8"/>
      <name val="Times New Roman"/>
      <family val="1"/>
    </font>
    <font>
      <sz val="8"/>
      <name val="Helvetica-Narrow"/>
      <family val="2"/>
    </font>
    <font>
      <b/>
      <sz val="7"/>
      <name val="Helvetica-Narrow"/>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b/>
      <sz val="10"/>
      <color indexed="16"/>
      <name val="Times New Roman"/>
      <family val="1"/>
    </font>
    <font>
      <b/>
      <sz val="8"/>
      <color indexed="18"/>
      <name val="Times New Roman"/>
      <family val="1"/>
    </font>
    <font>
      <b/>
      <sz val="8"/>
      <name val="Palatino"/>
      <family val="1"/>
    </font>
    <font>
      <u val="double"/>
      <sz val="8"/>
      <color indexed="8"/>
      <name val="Arial"/>
      <family val="2"/>
    </font>
    <font>
      <u/>
      <sz val="8"/>
      <name val="Tms Rmn"/>
    </font>
    <font>
      <sz val="8"/>
      <color indexed="12"/>
      <name val="Times New Roman"/>
      <family val="1"/>
    </font>
    <font>
      <sz val="8.5"/>
      <color indexed="14"/>
      <name val="Arial Narrow"/>
      <family val="2"/>
    </font>
    <font>
      <sz val="12"/>
      <name val="宋体"/>
      <charset val="134"/>
    </font>
    <font>
      <sz val="10"/>
      <name val="Helv"/>
    </font>
    <font>
      <sz val="12"/>
      <name val="바탕체"/>
      <family val="1"/>
      <charset val="129"/>
    </font>
    <font>
      <sz val="11"/>
      <name val="돋움"/>
      <family val="3"/>
      <charset val="129"/>
    </font>
    <font>
      <sz val="10"/>
      <name val="GillSans"/>
      <family val="2"/>
    </font>
    <font>
      <sz val="10"/>
      <name val="Tms Rmn"/>
    </font>
    <font>
      <sz val="9"/>
      <name val="Helv"/>
    </font>
    <font>
      <sz val="10"/>
      <name val="Courier"/>
      <family val="3"/>
    </font>
    <font>
      <sz val="11"/>
      <name val="Tms Rmn"/>
    </font>
    <font>
      <sz val="10"/>
      <color indexed="12"/>
      <name val="Book Antiqua"/>
      <family val="1"/>
    </font>
    <font>
      <b/>
      <sz val="11"/>
      <name val="Book Antiqua"/>
      <family val="1"/>
    </font>
    <font>
      <b/>
      <sz val="11"/>
      <color indexed="56"/>
      <name val="Calibri"/>
      <family val="2"/>
    </font>
    <font>
      <b/>
      <sz val="9"/>
      <name val="Helv"/>
    </font>
    <font>
      <b/>
      <sz val="6"/>
      <color indexed="18"/>
      <name val="Arial"/>
      <family val="2"/>
    </font>
    <font>
      <i/>
      <sz val="9"/>
      <color indexed="8"/>
      <name val="Arial"/>
      <family val="2"/>
    </font>
    <font>
      <b/>
      <sz val="11"/>
      <color indexed="63"/>
      <name val="Calibri"/>
      <family val="2"/>
    </font>
    <font>
      <b/>
      <sz val="20"/>
      <color indexed="8"/>
      <name val="Helvetica"/>
      <family val="2"/>
    </font>
    <font>
      <u/>
      <sz val="10"/>
      <name val="GillSans"/>
      <family val="2"/>
    </font>
    <font>
      <sz val="10"/>
      <name val="GillSans Light"/>
      <family val="2"/>
    </font>
    <font>
      <b/>
      <sz val="14"/>
      <color indexed="9"/>
      <name val="Arial"/>
      <family val="2"/>
    </font>
    <font>
      <b/>
      <i/>
      <sz val="8"/>
      <color indexed="9"/>
      <name val="Arial"/>
      <family val="2"/>
    </font>
    <font>
      <sz val="7"/>
      <color indexed="17"/>
      <name val="Times New Roman"/>
      <family val="1"/>
    </font>
    <font>
      <sz val="7"/>
      <color indexed="18"/>
      <name val="Times New Roman"/>
      <family val="1"/>
    </font>
    <font>
      <b/>
      <sz val="12"/>
      <name val="GillSans"/>
      <family val="2"/>
    </font>
    <font>
      <sz val="9"/>
      <name val="Book Antiqua"/>
      <family val="1"/>
    </font>
    <font>
      <i/>
      <sz val="8"/>
      <name val="Times New Roman"/>
      <family val="1"/>
    </font>
    <font>
      <b/>
      <sz val="10"/>
      <color indexed="37"/>
      <name val="Arial"/>
      <family val="2"/>
    </font>
    <font>
      <b/>
      <sz val="12"/>
      <color indexed="8"/>
      <name val="Arial"/>
      <family val="2"/>
    </font>
    <font>
      <b/>
      <i/>
      <sz val="12"/>
      <color indexed="10"/>
      <name val="Arial"/>
      <family val="2"/>
    </font>
    <font>
      <u/>
      <sz val="11"/>
      <name val="GillSans"/>
      <family val="2"/>
    </font>
    <font>
      <b/>
      <u/>
      <sz val="10"/>
      <color indexed="9"/>
      <name val="Arial"/>
      <family val="2"/>
    </font>
    <font>
      <b/>
      <i/>
      <sz val="10"/>
      <color indexed="18"/>
      <name val="Arial"/>
      <family val="2"/>
    </font>
    <font>
      <b/>
      <i/>
      <sz val="10"/>
      <color indexed="8"/>
      <name val="Arial"/>
      <family val="2"/>
    </font>
    <font>
      <u/>
      <sz val="10"/>
      <name val="Helv"/>
    </font>
    <font>
      <b/>
      <u/>
      <sz val="10"/>
      <name val="Times"/>
      <family val="1"/>
    </font>
    <font>
      <u/>
      <sz val="10"/>
      <color theme="10"/>
      <name val="Arial"/>
      <family val="2"/>
    </font>
    <font>
      <sz val="10"/>
      <color rgb="FF000000"/>
      <name val="Arial"/>
      <family val="2"/>
    </font>
    <font>
      <sz val="9"/>
      <color theme="0" tint="-0.14999847407452621"/>
      <name val="Arial"/>
      <family val="2"/>
    </font>
    <font>
      <u/>
      <sz val="9"/>
      <color theme="0" tint="-0.14999847407452621"/>
      <name val="Arial"/>
      <family val="2"/>
    </font>
    <font>
      <b/>
      <sz val="9"/>
      <color theme="0" tint="-0.14999847407452621"/>
      <name val="Arial"/>
      <family val="2"/>
    </font>
    <font>
      <sz val="9"/>
      <color theme="1"/>
      <name val="Times New Roman"/>
      <family val="2"/>
    </font>
    <font>
      <sz val="10"/>
      <name val="Univers LT Std 65 Bold"/>
      <family val="2"/>
    </font>
    <font>
      <u/>
      <sz val="11"/>
      <color theme="10"/>
      <name val="Calibri"/>
      <family val="2"/>
    </font>
    <font>
      <i/>
      <sz val="10"/>
      <name val="Helv"/>
    </font>
    <font>
      <sz val="9"/>
      <name val="Arial"/>
      <family val="2"/>
    </font>
    <font>
      <sz val="9"/>
      <color theme="0" tint="-0.499984740745262"/>
      <name val="Arial"/>
      <family val="2"/>
    </font>
    <font>
      <u/>
      <sz val="9"/>
      <color theme="0" tint="-0.499984740745262"/>
      <name val="Arial"/>
      <family val="2"/>
    </font>
    <font>
      <b/>
      <sz val="9"/>
      <color theme="0" tint="-0.499984740745262"/>
      <name val="Arial"/>
      <family val="2"/>
    </font>
    <font>
      <i/>
      <sz val="9"/>
      <color rgb="FF0000FF"/>
      <name val="Arial"/>
      <family val="2"/>
    </font>
    <font>
      <b/>
      <sz val="9"/>
      <color rgb="FF0000FF"/>
      <name val="Arial"/>
      <family val="2"/>
    </font>
    <font>
      <sz val="9"/>
      <color theme="1"/>
      <name val="Arial"/>
      <family val="2"/>
    </font>
    <font>
      <sz val="10"/>
      <color theme="0"/>
      <name val="Arial"/>
      <family val="2"/>
    </font>
    <font>
      <b/>
      <sz val="9"/>
      <color theme="1"/>
      <name val="Arial"/>
      <family val="2"/>
    </font>
    <font>
      <sz val="9"/>
      <color theme="0"/>
      <name val="Arial"/>
      <family val="2"/>
    </font>
    <font>
      <i/>
      <sz val="9"/>
      <color rgb="FFFF0000"/>
      <name val="Arial"/>
      <family val="2"/>
    </font>
    <font>
      <i/>
      <sz val="10"/>
      <color rgb="FF0000FF"/>
      <name val="Arial"/>
      <family val="2"/>
    </font>
    <font>
      <u/>
      <sz val="9"/>
      <color rgb="FF0000FF"/>
      <name val="Arial"/>
      <family val="2"/>
    </font>
    <font>
      <b/>
      <sz val="11"/>
      <color theme="0"/>
      <name val="Arial"/>
      <family val="2"/>
    </font>
    <font>
      <b/>
      <u/>
      <sz val="9"/>
      <color theme="1"/>
      <name val="Arial"/>
      <family val="2"/>
    </font>
    <font>
      <i/>
      <sz val="9"/>
      <color theme="1"/>
      <name val="Arial"/>
      <family val="2"/>
    </font>
    <font>
      <b/>
      <sz val="9"/>
      <color theme="0"/>
      <name val="Arial"/>
      <family val="2"/>
    </font>
    <font>
      <b/>
      <sz val="10"/>
      <color rgb="FF000000"/>
      <name val="Arial"/>
      <family val="2"/>
    </font>
  </fonts>
  <fills count="64">
    <fill>
      <patternFill patternType="none"/>
    </fill>
    <fill>
      <patternFill patternType="gray125"/>
    </fill>
    <fill>
      <patternFill patternType="solid">
        <fgColor indexed="28"/>
        <bgColor indexed="64"/>
      </patternFill>
    </fill>
    <fill>
      <patternFill patternType="solid">
        <fgColor indexed="30"/>
        <bgColor indexed="64"/>
      </patternFill>
    </fill>
    <fill>
      <patternFill patternType="solid">
        <fgColor indexed="9"/>
        <bgColor indexed="64"/>
      </patternFill>
    </fill>
    <fill>
      <patternFill patternType="solid">
        <fgColor indexed="24"/>
        <bgColor indexed="64"/>
      </patternFill>
    </fill>
    <fill>
      <patternFill patternType="solid">
        <fgColor indexed="13"/>
        <bgColor indexed="64"/>
      </patternFill>
    </fill>
    <fill>
      <patternFill patternType="solid">
        <fgColor theme="0"/>
        <bgColor indexed="64"/>
      </patternFill>
    </fill>
    <fill>
      <patternFill patternType="solid">
        <fgColor indexed="43"/>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solid">
        <fgColor indexed="8"/>
        <bgColor indexed="64"/>
      </patternFill>
    </fill>
    <fill>
      <patternFill patternType="solid">
        <fgColor indexed="10"/>
      </patternFill>
    </fill>
    <fill>
      <patternFill patternType="lightGray">
        <fgColor indexed="22"/>
        <bgColor indexed="9"/>
      </patternFill>
    </fill>
    <fill>
      <patternFill patternType="solid">
        <fgColor rgb="FFFFFFFF"/>
        <bgColor indexed="64"/>
      </patternFill>
    </fill>
    <fill>
      <patternFill patternType="solid">
        <fgColor indexed="22"/>
        <bgColor indexed="64"/>
      </patternFill>
    </fill>
    <fill>
      <patternFill patternType="solid">
        <fgColor indexed="65"/>
        <bgColor indexed="64"/>
      </patternFill>
    </fill>
    <fill>
      <patternFill patternType="solid">
        <fgColor indexed="30"/>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mediumGray">
        <fgColor indexed="22"/>
      </patternFill>
    </fill>
    <fill>
      <patternFill patternType="solid">
        <fgColor indexed="47"/>
        <bgColor indexed="64"/>
      </patternFill>
    </fill>
    <fill>
      <patternFill patternType="solid">
        <fgColor indexed="11"/>
        <bgColor indexed="64"/>
      </patternFill>
    </fill>
    <fill>
      <patternFill patternType="lightGray">
        <fgColor indexed="9"/>
      </patternFill>
    </fill>
    <fill>
      <patternFill patternType="gray0625">
        <fgColor indexed="13"/>
        <bgColor indexed="9"/>
      </patternFill>
    </fill>
    <fill>
      <patternFill patternType="solid">
        <fgColor indexed="15"/>
        <bgColor indexed="64"/>
      </patternFill>
    </fill>
    <fill>
      <patternFill patternType="solid">
        <fgColor indexed="26"/>
        <bgColor indexed="64"/>
      </patternFill>
    </fill>
    <fill>
      <patternFill patternType="gray0625">
        <fgColor indexed="9"/>
      </patternFill>
    </fill>
    <fill>
      <patternFill patternType="gray0625">
        <fgColor indexed="9"/>
        <bgColor indexed="9"/>
      </patternFill>
    </fill>
    <fill>
      <patternFill patternType="solid">
        <fgColor indexed="13"/>
      </patternFill>
    </fill>
    <fill>
      <patternFill patternType="solid">
        <fgColor indexed="63"/>
        <bgColor indexed="64"/>
      </patternFill>
    </fill>
    <fill>
      <patternFill patternType="solid">
        <fgColor indexed="34"/>
        <bgColor indexed="64"/>
      </patternFill>
    </fill>
    <fill>
      <patternFill patternType="solid">
        <fgColor indexed="16"/>
        <bgColor indexed="64"/>
      </patternFill>
    </fill>
    <fill>
      <patternFill patternType="lightGray">
        <fgColor indexed="13"/>
      </patternFill>
    </fill>
    <fill>
      <patternFill patternType="solid">
        <fgColor indexed="9"/>
        <bgColor indexed="9"/>
      </patternFill>
    </fill>
    <fill>
      <patternFill patternType="lightGray">
        <fgColor indexed="9"/>
        <bgColor indexed="9"/>
      </patternFill>
    </fill>
    <fill>
      <patternFill patternType="lightGray">
        <fgColor indexed="22"/>
      </patternFill>
    </fill>
    <fill>
      <patternFill patternType="solid">
        <fgColor indexed="27"/>
        <bgColor indexed="64"/>
      </patternFill>
    </fill>
    <fill>
      <patternFill patternType="solid">
        <fgColor theme="8"/>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3"/>
        <bgColor indexed="64"/>
      </patternFill>
    </fill>
    <fill>
      <patternFill patternType="solid">
        <fgColor theme="4"/>
        <bgColor indexed="64"/>
      </patternFill>
    </fill>
  </fills>
  <borders count="62">
    <border>
      <left/>
      <right/>
      <top/>
      <bottom/>
      <diagonal/>
    </border>
    <border>
      <left style="medium">
        <color indexed="64"/>
      </left>
      <right style="medium">
        <color indexed="64"/>
      </right>
      <top/>
      <bottom/>
      <diagonal/>
    </border>
    <border>
      <left/>
      <right style="medium">
        <color indexed="64"/>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style="hair">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top/>
      <bottom style="hair">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top style="medium">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dotted">
        <color indexed="64"/>
      </bottom>
      <diagonal/>
    </border>
    <border>
      <left style="medium">
        <color indexed="64"/>
      </left>
      <right style="medium">
        <color indexed="64"/>
      </right>
      <top style="thin">
        <color indexed="64"/>
      </top>
      <bottom style="medium">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right/>
      <top style="thin">
        <color indexed="64"/>
      </top>
      <bottom style="medium">
        <color indexed="64"/>
      </bottom>
      <diagonal/>
    </border>
    <border>
      <left/>
      <right/>
      <top/>
      <bottom style="thin">
        <color indexed="8"/>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right/>
      <top style="medium">
        <color indexed="64"/>
      </top>
      <bottom style="medium">
        <color indexed="64"/>
      </bottom>
      <diagonal/>
    </border>
    <border>
      <left/>
      <right/>
      <top/>
      <bottom style="double">
        <color indexed="52"/>
      </bottom>
      <diagonal/>
    </border>
    <border>
      <left style="medium">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23"/>
      </top>
      <bottom style="medium">
        <color indexed="23"/>
      </bottom>
      <diagonal/>
    </border>
    <border>
      <left/>
      <right/>
      <top/>
      <bottom style="thick">
        <color indexed="18"/>
      </bottom>
      <diagonal/>
    </border>
    <border>
      <left style="medium">
        <color indexed="9"/>
      </left>
      <right style="medium">
        <color indexed="49"/>
      </right>
      <top/>
      <bottom/>
      <diagonal/>
    </border>
    <border>
      <left style="thick">
        <color indexed="64"/>
      </left>
      <right style="thin">
        <color indexed="64"/>
      </right>
      <top/>
      <bottom/>
      <diagonal/>
    </border>
    <border>
      <left/>
      <right/>
      <top style="thin">
        <color auto="1"/>
      </top>
      <bottom/>
      <diagonal/>
    </border>
    <border>
      <left style="thin">
        <color auto="1"/>
      </left>
      <right/>
      <top/>
      <bottom/>
      <diagonal/>
    </border>
    <border>
      <left style="medium">
        <color indexed="64"/>
      </left>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s>
  <cellStyleXfs count="3700">
    <xf numFmtId="37" fontId="0" fillId="0" borderId="0" applyFill="0" applyBorder="0"/>
    <xf numFmtId="41" fontId="30" fillId="0" borderId="0" applyFill="0" applyBorder="0" applyProtection="0"/>
    <xf numFmtId="7" fontId="31" fillId="0" borderId="1" applyFont="0" applyFill="0" applyBorder="0" applyProtection="0"/>
    <xf numFmtId="180" fontId="30" fillId="0" borderId="0" applyFill="0" applyBorder="0" applyProtection="0">
      <alignment horizontal="right"/>
    </xf>
    <xf numFmtId="183" fontId="27" fillId="0" borderId="1" applyFont="0" applyFill="0" applyBorder="0" applyAlignment="0" applyProtection="0"/>
    <xf numFmtId="37" fontId="27" fillId="0" borderId="0" applyFill="0" applyBorder="0"/>
    <xf numFmtId="9" fontId="30" fillId="0" borderId="0" applyFont="0" applyFill="0" applyBorder="0" applyProtection="0"/>
    <xf numFmtId="0" fontId="7" fillId="0" borderId="0"/>
    <xf numFmtId="186" fontId="58" fillId="0" borderId="0" applyFont="0" applyFill="0" applyBorder="0" applyAlignment="0" applyProtection="0"/>
    <xf numFmtId="187" fontId="58" fillId="0" borderId="0" applyFont="0" applyFill="0" applyBorder="0" applyAlignment="0" applyProtection="0"/>
    <xf numFmtId="188" fontId="5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58" fillId="0" borderId="0" applyFont="0" applyFill="0" applyBorder="0" applyAlignment="0" applyProtection="0"/>
    <xf numFmtId="188" fontId="58" fillId="0" borderId="0" applyFont="0" applyFill="0" applyBorder="0" applyAlignment="0" applyProtection="0"/>
    <xf numFmtId="188" fontId="58" fillId="0" borderId="0" applyFont="0" applyFill="0" applyBorder="0" applyAlignment="0" applyProtection="0"/>
    <xf numFmtId="188" fontId="59"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8" fillId="0" borderId="0" applyFont="0" applyFill="0" applyBorder="0" applyAlignment="0" applyProtection="0"/>
    <xf numFmtId="188" fontId="60"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5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5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5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5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59"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60"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58" fillId="0" borderId="0" applyFont="0" applyFill="0" applyBorder="0" applyAlignment="0" applyProtection="0"/>
    <xf numFmtId="190" fontId="5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59"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60"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58" fillId="0" borderId="0" applyFont="0" applyFill="0" applyBorder="0" applyAlignment="0" applyProtection="0"/>
    <xf numFmtId="191" fontId="5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89" fontId="8" fillId="0" borderId="0" applyFont="0" applyFill="0" applyBorder="0" applyAlignment="0" applyProtection="0"/>
    <xf numFmtId="192" fontId="58"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58" fillId="8" borderId="0" applyNumberFormat="0" applyFont="0" applyAlignment="0" applyProtection="0"/>
    <xf numFmtId="193"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59"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4" fontId="60" fillId="0" borderId="0" applyFont="0" applyFill="0" applyBorder="0" applyAlignment="0" applyProtection="0"/>
    <xf numFmtId="195" fontId="8" fillId="0" borderId="0" applyFont="0" applyFill="0" applyBorder="0" applyAlignment="0" applyProtection="0"/>
    <xf numFmtId="195" fontId="8" fillId="0" borderId="0" applyFont="0" applyFill="0" applyBorder="0" applyAlignment="0" applyProtection="0"/>
    <xf numFmtId="195"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58" fillId="0" borderId="0" applyFont="0" applyFill="0" applyBorder="0" applyAlignment="0" applyProtection="0"/>
    <xf numFmtId="194" fontId="5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197" fontId="59"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197" fontId="8" fillId="0" borderId="0" applyFont="0" applyFill="0" applyBorder="0" applyProtection="0">
      <alignment horizontal="right"/>
    </xf>
    <xf numFmtId="197" fontId="60" fillId="0" borderId="0" applyFont="0" applyFill="0" applyBorder="0" applyProtection="0">
      <alignment horizontal="right"/>
    </xf>
    <xf numFmtId="198" fontId="8" fillId="0" borderId="0" applyFont="0" applyFill="0" applyBorder="0" applyAlignment="0" applyProtection="0"/>
    <xf numFmtId="198" fontId="8" fillId="0" borderId="0" applyFont="0" applyFill="0" applyBorder="0" applyAlignment="0" applyProtection="0"/>
    <xf numFmtId="198"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7" fontId="58"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58" fillId="0" borderId="0" applyFont="0" applyFill="0" applyBorder="0" applyProtection="0">
      <alignment horizontal="right"/>
    </xf>
    <xf numFmtId="197" fontId="58" fillId="0" borderId="0" applyFont="0" applyFill="0" applyBorder="0" applyProtection="0">
      <alignment horizontal="right"/>
    </xf>
    <xf numFmtId="197" fontId="58" fillId="0" borderId="0" applyFont="0" applyFill="0" applyBorder="0" applyProtection="0">
      <alignment horizontal="right"/>
    </xf>
    <xf numFmtId="196" fontId="8" fillId="0" borderId="0" applyFont="0" applyFill="0" applyBorder="0" applyAlignment="0" applyProtection="0"/>
    <xf numFmtId="197" fontId="58" fillId="0" borderId="0" applyFont="0" applyFill="0" applyBorder="0" applyProtection="0">
      <alignment horizontal="right"/>
    </xf>
    <xf numFmtId="196" fontId="8" fillId="0" borderId="0" applyFont="0" applyFill="0" applyBorder="0" applyAlignment="0" applyProtection="0"/>
    <xf numFmtId="197" fontId="58"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9" fontId="8" fillId="0" borderId="0" applyFont="0" applyFill="0" applyBorder="0" applyAlignment="0" applyProtection="0"/>
    <xf numFmtId="186" fontId="8" fillId="0" borderId="0" applyFont="0" applyFill="0" applyBorder="0" applyProtection="0">
      <alignment horizontal="right"/>
    </xf>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200" fontId="8" fillId="0" borderId="0" applyFont="0" applyFill="0" applyBorder="0" applyAlignment="0" applyProtection="0"/>
    <xf numFmtId="187" fontId="8" fillId="0" borderId="0" applyFont="0" applyFill="0" applyBorder="0" applyProtection="0">
      <alignment horizontal="right"/>
    </xf>
    <xf numFmtId="187" fontId="8" fillId="0" borderId="0" applyFont="0" applyFill="0" applyBorder="0" applyProtection="0">
      <alignment horizontal="right"/>
    </xf>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Alignment="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33" fillId="0" borderId="29" applyNumberFormat="0" applyFill="0" applyAlignment="0" applyProtection="0"/>
    <xf numFmtId="0" fontId="33" fillId="0" borderId="29" applyNumberFormat="0" applyFill="0" applyAlignment="0" applyProtection="0"/>
    <xf numFmtId="0" fontId="33" fillId="0" borderId="30" applyNumberFormat="0" applyFill="0" applyAlignment="0" applyProtection="0"/>
    <xf numFmtId="0" fontId="33" fillId="0" borderId="29" applyNumberFormat="0" applyFill="0" applyAlignment="0" applyProtection="0"/>
    <xf numFmtId="0" fontId="33" fillId="0" borderId="29" applyNumberFormat="0" applyFill="0" applyAlignment="0" applyProtection="0"/>
    <xf numFmtId="0" fontId="63" fillId="0" borderId="31" applyNumberFormat="0" applyFill="0" applyProtection="0">
      <alignment horizontal="center"/>
    </xf>
    <xf numFmtId="0" fontId="63" fillId="0" borderId="0" applyNumberFormat="0" applyFill="0" applyBorder="0" applyProtection="0">
      <alignment horizontal="left"/>
    </xf>
    <xf numFmtId="0" fontId="64" fillId="0" borderId="0" applyNumberFormat="0" applyFill="0" applyBorder="0" applyProtection="0">
      <alignment horizontal="centerContinuous"/>
    </xf>
    <xf numFmtId="0" fontId="64" fillId="0" borderId="0" applyNumberFormat="0" applyFill="0" applyBorder="0" applyProtection="0">
      <alignment horizontal="centerContinuous"/>
    </xf>
    <xf numFmtId="0" fontId="64" fillId="0" borderId="0" applyNumberFormat="0" applyFill="0" applyProtection="0">
      <alignment horizontal="centerContinuous"/>
    </xf>
    <xf numFmtId="0" fontId="64" fillId="0" borderId="0" applyNumberFormat="0" applyFill="0" applyBorder="0" applyProtection="0">
      <alignment horizontal="centerContinuous"/>
    </xf>
    <xf numFmtId="0" fontId="64" fillId="0" borderId="0" applyNumberFormat="0" applyFill="0" applyBorder="0" applyProtection="0">
      <alignment horizontal="centerContinuous"/>
    </xf>
    <xf numFmtId="201" fontId="65" fillId="9" borderId="0" applyNumberFormat="0" applyFont="0" applyBorder="0" applyAlignment="0">
      <alignment horizontal="right"/>
    </xf>
    <xf numFmtId="202" fontId="66" fillId="9" borderId="3" applyFont="0">
      <alignment horizontal="right"/>
    </xf>
    <xf numFmtId="0" fontId="11" fillId="0" borderId="0" applyNumberFormat="0" applyFill="0" applyBorder="0" applyAlignment="0" applyProtection="0"/>
    <xf numFmtId="0" fontId="67" fillId="0" borderId="0"/>
    <xf numFmtId="2" fontId="17" fillId="0" borderId="0" applyNumberFormat="0" applyBorder="0" applyAlignment="0"/>
    <xf numFmtId="170" fontId="68" fillId="0" borderId="0"/>
    <xf numFmtId="0" fontId="69" fillId="0" borderId="0" applyNumberFormat="0" applyFill="0" applyBorder="0" applyAlignment="0"/>
    <xf numFmtId="0" fontId="70" fillId="0" borderId="0" applyNumberFormat="0" applyFill="0" applyBorder="0" applyAlignment="0" applyProtection="0"/>
    <xf numFmtId="0" fontId="21" fillId="10" borderId="32">
      <alignment horizontal="center"/>
    </xf>
    <xf numFmtId="2" fontId="11" fillId="11" borderId="0" applyNumberFormat="0" applyFont="0" applyBorder="0" applyAlignment="0" applyProtection="0"/>
    <xf numFmtId="203" fontId="11" fillId="12" borderId="0" applyNumberFormat="0" applyFont="0" applyBorder="0" applyAlignment="0">
      <protection locked="0"/>
    </xf>
    <xf numFmtId="0" fontId="11" fillId="0" borderId="0" applyNumberFormat="0" applyFill="0" applyBorder="0" applyAlignment="0" applyProtection="0"/>
    <xf numFmtId="0" fontId="71" fillId="0" borderId="0" applyNumberFormat="0" applyFill="0" applyBorder="0" applyAlignment="0" applyProtection="0"/>
    <xf numFmtId="0" fontId="11" fillId="0" borderId="0" applyNumberFormat="0" applyFill="0" applyBorder="0" applyAlignment="0" applyProtection="0"/>
    <xf numFmtId="203" fontId="72" fillId="0" borderId="0" applyNumberFormat="0" applyFill="0" applyBorder="0" applyProtection="0">
      <alignment horizontal="right"/>
    </xf>
    <xf numFmtId="204" fontId="8" fillId="0" borderId="0">
      <protection locked="0"/>
    </xf>
    <xf numFmtId="0" fontId="73" fillId="0" borderId="0" applyNumberFormat="0" applyFill="0" applyBorder="0">
      <alignment horizontal="right"/>
    </xf>
    <xf numFmtId="38" fontId="74" fillId="0" borderId="0" applyNumberFormat="0" applyFill="0" applyBorder="0">
      <alignment vertical="center"/>
    </xf>
    <xf numFmtId="8" fontId="75" fillId="0" borderId="33">
      <protection locked="0"/>
    </xf>
    <xf numFmtId="204" fontId="8" fillId="0" borderId="0">
      <protection locked="0"/>
    </xf>
    <xf numFmtId="14" fontId="76" fillId="0" borderId="0">
      <alignment horizontal="right"/>
    </xf>
    <xf numFmtId="0" fontId="27" fillId="0" borderId="0"/>
    <xf numFmtId="205" fontId="77" fillId="0" borderId="0" applyFont="0" applyFill="0" applyBorder="0" applyAlignment="0" applyProtection="0">
      <alignment horizontal="right"/>
    </xf>
    <xf numFmtId="0" fontId="17" fillId="0" borderId="0" applyNumberFormat="0" applyAlignment="0"/>
    <xf numFmtId="206" fontId="11" fillId="13" borderId="14" applyNumberFormat="0" applyFont="0" applyBorder="0" applyAlignment="0" applyProtection="0">
      <alignment horizontal="right"/>
    </xf>
    <xf numFmtId="168" fontId="78" fillId="0" borderId="0" applyNumberFormat="0" applyFont="0" applyAlignment="0">
      <alignment vertical="center"/>
    </xf>
    <xf numFmtId="204" fontId="8" fillId="0" borderId="0">
      <protection locked="0"/>
    </xf>
    <xf numFmtId="0" fontId="79" fillId="0" borderId="0" applyNumberFormat="0" applyFill="0" applyBorder="0" applyAlignment="0" applyProtection="0"/>
    <xf numFmtId="1" fontId="11" fillId="0" borderId="0" applyNumberFormat="0" applyBorder="0" applyAlignment="0" applyProtection="0"/>
    <xf numFmtId="207" fontId="80" fillId="0" borderId="0">
      <alignment vertical="center"/>
    </xf>
    <xf numFmtId="49" fontId="79" fillId="0" borderId="0">
      <alignment horizontal="right"/>
    </xf>
    <xf numFmtId="49" fontId="81" fillId="0" borderId="0">
      <alignment horizontal="right"/>
    </xf>
    <xf numFmtId="207" fontId="82" fillId="0" borderId="0">
      <alignment vertical="center"/>
    </xf>
    <xf numFmtId="168" fontId="83" fillId="0" borderId="0" applyNumberFormat="0" applyFill="0" applyBorder="0">
      <alignment horizontal="left" vertical="center"/>
    </xf>
    <xf numFmtId="0" fontId="19" fillId="0" borderId="0"/>
    <xf numFmtId="0" fontId="84" fillId="14" borderId="0" applyNumberFormat="0" applyFont="0" applyBorder="0" applyAlignment="0" applyProtection="0"/>
    <xf numFmtId="208" fontId="8" fillId="0" borderId="0" applyNumberFormat="0" applyFill="0" applyBorder="0" applyAlignment="0" applyProtection="0"/>
    <xf numFmtId="0" fontId="85" fillId="0" borderId="0"/>
    <xf numFmtId="0" fontId="86" fillId="0" borderId="0"/>
    <xf numFmtId="38" fontId="87" fillId="0" borderId="0" applyNumberFormat="0" applyFill="0" applyBorder="0">
      <alignment horizontal="left" vertical="center"/>
    </xf>
    <xf numFmtId="168" fontId="88" fillId="0" borderId="0" applyFill="0" applyBorder="0">
      <alignment vertical="center"/>
    </xf>
    <xf numFmtId="0" fontId="89" fillId="15" borderId="0"/>
    <xf numFmtId="209" fontId="8" fillId="0" borderId="0" applyFont="0" applyFill="0" applyBorder="0" applyAlignment="0" applyProtection="0"/>
    <xf numFmtId="203" fontId="90" fillId="0" borderId="0"/>
    <xf numFmtId="2" fontId="84" fillId="0" borderId="0" applyBorder="0" applyProtection="0"/>
    <xf numFmtId="0" fontId="8" fillId="0" borderId="0"/>
    <xf numFmtId="0" fontId="11" fillId="0" borderId="0" applyNumberFormat="0" applyFill="0" applyBorder="0" applyAlignment="0" applyProtection="0"/>
    <xf numFmtId="0" fontId="18" fillId="0" borderId="0" applyNumberFormat="0" applyFill="0" applyBorder="0" applyAlignment="0" applyProtection="0"/>
    <xf numFmtId="208" fontId="8" fillId="0" borderId="0" applyNumberFormat="0" applyFill="0" applyBorder="0" applyAlignment="0" applyProtection="0"/>
    <xf numFmtId="0" fontId="18" fillId="0" borderId="0" applyNumberFormat="0" applyFill="0" applyBorder="0" applyAlignment="0" applyProtection="0"/>
    <xf numFmtId="0" fontId="87" fillId="0" borderId="0" applyNumberFormat="0" applyFill="0" applyBorder="0" applyAlignment="0" applyProtection="0"/>
    <xf numFmtId="0" fontId="11" fillId="0" borderId="0" applyNumberFormat="0" applyFill="0" applyBorder="0" applyAlignment="0" applyProtection="0"/>
    <xf numFmtId="0" fontId="91" fillId="0" borderId="0">
      <alignment horizontal="left" vertical="top"/>
      <protection locked="0"/>
    </xf>
    <xf numFmtId="210" fontId="8" fillId="0" borderId="0" applyFill="0">
      <alignment horizontal="center" vertical="center"/>
    </xf>
    <xf numFmtId="0" fontId="92" fillId="0" borderId="0" applyNumberFormat="0" applyFill="0" applyBorder="0">
      <alignment horizontal="left"/>
    </xf>
    <xf numFmtId="211" fontId="8" fillId="0" borderId="0"/>
    <xf numFmtId="7" fontId="93" fillId="0" borderId="0" applyFont="0" applyFill="0" applyBorder="0" applyAlignment="0" applyProtection="0"/>
    <xf numFmtId="0" fontId="94" fillId="0" borderId="0" applyNumberFormat="0" applyAlignment="0"/>
    <xf numFmtId="170" fontId="8" fillId="0" borderId="0" applyFill="0" applyBorder="0" applyAlignment="0" applyProtection="0"/>
    <xf numFmtId="166" fontId="95" fillId="0" borderId="0">
      <alignment vertical="top"/>
    </xf>
    <xf numFmtId="185" fontId="84" fillId="16" borderId="22" applyNumberFormat="0" applyFont="0" applyBorder="0" applyAlignment="0" applyProtection="0">
      <alignment horizontal="center"/>
    </xf>
    <xf numFmtId="37" fontId="96" fillId="1" borderId="0">
      <alignment horizontal="right"/>
    </xf>
    <xf numFmtId="1" fontId="97" fillId="17" borderId="0" applyNumberFormat="0" applyFont="0" applyBorder="0" applyAlignment="0">
      <alignment horizontal="left"/>
    </xf>
    <xf numFmtId="2" fontId="98" fillId="0" borderId="0"/>
    <xf numFmtId="1" fontId="8" fillId="0" borderId="0"/>
    <xf numFmtId="0" fontId="8" fillId="0" borderId="0" applyFont="0" applyFill="0" applyBorder="0" applyAlignment="0" applyProtection="0"/>
    <xf numFmtId="0" fontId="8" fillId="0" borderId="0">
      <alignment vertical="top"/>
    </xf>
    <xf numFmtId="0" fontId="8" fillId="0" borderId="0">
      <alignment vertical="top"/>
    </xf>
    <xf numFmtId="212" fontId="99" fillId="0" borderId="0" applyNumberFormat="0" applyFill="0" applyBorder="0" applyAlignment="0" applyProtection="0">
      <alignment horizontal="right" vertical="center" wrapText="1"/>
    </xf>
    <xf numFmtId="0" fontId="100" fillId="0" borderId="0" applyNumberFormat="0" applyFill="0" applyBorder="0" applyAlignment="0" applyProtection="0"/>
    <xf numFmtId="0" fontId="101" fillId="0" borderId="0" applyNumberFormat="0" applyFill="0" applyBorder="0" applyAlignment="0" applyProtection="0">
      <protection locked="0"/>
    </xf>
    <xf numFmtId="0" fontId="102" fillId="0" borderId="14" applyNumberFormat="0" applyFill="0" applyProtection="0">
      <alignment horizontal="right"/>
    </xf>
    <xf numFmtId="6" fontId="87" fillId="0" borderId="34" applyFill="0">
      <alignment vertical="center"/>
    </xf>
    <xf numFmtId="213" fontId="11" fillId="0" borderId="0"/>
    <xf numFmtId="39" fontId="9" fillId="0" borderId="3" applyNumberFormat="0" applyBorder="0">
      <alignment horizontal="right"/>
    </xf>
    <xf numFmtId="0" fontId="102" fillId="0" borderId="35" applyNumberFormat="0" applyProtection="0">
      <alignment horizontal="right"/>
    </xf>
    <xf numFmtId="0" fontId="103" fillId="0" borderId="13" applyNumberFormat="0" applyFill="0" applyProtection="0"/>
    <xf numFmtId="0" fontId="104" fillId="0" borderId="0">
      <alignment vertical="center"/>
    </xf>
    <xf numFmtId="0" fontId="80" fillId="0" borderId="0">
      <alignment vertical="center"/>
    </xf>
    <xf numFmtId="0" fontId="82" fillId="0" borderId="0">
      <alignment vertical="center"/>
    </xf>
    <xf numFmtId="0" fontId="105" fillId="0" borderId="0" applyNumberFormat="0">
      <alignment horizontal="left"/>
    </xf>
    <xf numFmtId="0" fontId="106" fillId="0" borderId="0" applyFill="0" applyBorder="0" applyProtection="0">
      <alignment horizontal="left" vertical="top"/>
    </xf>
    <xf numFmtId="14" fontId="8" fillId="0" borderId="0" applyFill="0" applyBorder="0">
      <alignment vertical="center"/>
    </xf>
    <xf numFmtId="0" fontId="19" fillId="0" borderId="0" applyNumberFormat="0" applyFill="0" applyBorder="0" applyAlignment="0" applyProtection="0"/>
    <xf numFmtId="0" fontId="40" fillId="0" borderId="0" applyNumberFormat="0" applyFill="0" applyBorder="0" applyAlignment="0" applyProtection="0"/>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0" fontId="109" fillId="0" borderId="0" applyNumberFormat="0" applyFill="0" applyBorder="0" applyAlignment="0" applyProtection="0"/>
    <xf numFmtId="0" fontId="29" fillId="0" borderId="0" applyNumberFormat="0" applyFill="0" applyBorder="0" applyAlignment="0" applyProtection="0"/>
    <xf numFmtId="185" fontId="17" fillId="0" borderId="0" applyNumberFormat="0" applyBorder="0" applyAlignment="0"/>
    <xf numFmtId="1" fontId="110" fillId="0" borderId="3" applyFill="0" applyProtection="0">
      <alignment horizontal="right"/>
    </xf>
    <xf numFmtId="184" fontId="8" fillId="0" borderId="0" applyFill="0" applyBorder="0">
      <alignment vertical="center"/>
    </xf>
    <xf numFmtId="37" fontId="111" fillId="0" borderId="0" applyNumberFormat="0" applyFill="0" applyBorder="0" applyAlignment="0" applyProtection="0"/>
    <xf numFmtId="43" fontId="114" fillId="0" borderId="0" applyFont="0" applyFill="0" applyBorder="0" applyAlignment="0" applyProtection="0"/>
    <xf numFmtId="37" fontId="27" fillId="0" borderId="0" applyFill="0" applyBorder="0" applyProtection="0"/>
    <xf numFmtId="0" fontId="20" fillId="0" borderId="0"/>
    <xf numFmtId="275" fontId="27" fillId="0" borderId="0"/>
    <xf numFmtId="0"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0" fontId="207" fillId="0" borderId="0"/>
    <xf numFmtId="275" fontId="27" fillId="0" borderId="0"/>
    <xf numFmtId="277" fontId="129" fillId="0" borderId="0"/>
    <xf numFmtId="0" fontId="208" fillId="0" borderId="0"/>
    <xf numFmtId="277" fontId="129" fillId="0" borderId="0"/>
    <xf numFmtId="277" fontId="129" fillId="0" borderId="0"/>
    <xf numFmtId="8" fontId="67" fillId="0" borderId="0"/>
    <xf numFmtId="221" fontId="27" fillId="0" borderId="0"/>
    <xf numFmtId="0" fontId="27" fillId="0" borderId="0"/>
    <xf numFmtId="228" fontId="96" fillId="0" borderId="0"/>
    <xf numFmtId="0" fontId="96" fillId="0" borderId="0"/>
    <xf numFmtId="0" fontId="35" fillId="0" borderId="0"/>
    <xf numFmtId="292" fontId="207" fillId="0" borderId="0">
      <alignment horizontal="right"/>
    </xf>
    <xf numFmtId="293" fontId="207" fillId="19" borderId="0"/>
    <xf numFmtId="294" fontId="207" fillId="19" borderId="0"/>
    <xf numFmtId="295" fontId="207" fillId="19" borderId="0"/>
    <xf numFmtId="0" fontId="207" fillId="19" borderId="0">
      <alignment horizontal="right"/>
    </xf>
    <xf numFmtId="239" fontId="134" fillId="0" borderId="0" applyFont="0" applyFill="0" applyBorder="0" applyAlignment="0" applyProtection="0"/>
    <xf numFmtId="0" fontId="134" fillId="0" borderId="0" applyFont="0" applyFill="0" applyBorder="0" applyAlignment="0" applyProtection="0"/>
    <xf numFmtId="281" fontId="8" fillId="20" borderId="20" applyFont="0" applyFill="0" applyBorder="0" applyAlignment="0" applyProtection="0"/>
    <xf numFmtId="281" fontId="8" fillId="20" borderId="2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0" fontId="27" fillId="0" borderId="0" applyFont="0" applyFill="0" applyBorder="0" applyAlignment="0" applyProtection="0">
      <alignment horizontal="centerContinuous"/>
    </xf>
    <xf numFmtId="37" fontId="20" fillId="0" borderId="0"/>
    <xf numFmtId="0" fontId="20" fillId="0" borderId="0"/>
    <xf numFmtId="0" fontId="130" fillId="0" borderId="0" applyNumberFormat="0" applyFont="0" applyFill="0" applyBorder="0" applyAlignment="0" applyProtection="0"/>
    <xf numFmtId="0" fontId="130" fillId="0" borderId="0" applyNumberFormat="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3" fontId="27" fillId="0" borderId="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3" fontId="27" fillId="0" borderId="0"/>
    <xf numFmtId="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39"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3"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 fillId="0" borderId="0" applyFont="0" applyFill="0" applyBorder="0" applyAlignment="0" applyProtection="0"/>
    <xf numFmtId="0" fontId="20" fillId="0" borderId="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8" borderId="0" applyNumberFormat="0" applyFont="0" applyAlignment="0" applyProtection="0"/>
    <xf numFmtId="0" fontId="8" fillId="8" borderId="0" applyNumberFormat="0" applyFont="0" applyAlignment="0" applyProtection="0"/>
    <xf numFmtId="3" fontId="27" fillId="0" borderId="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203" fontId="8" fillId="0" borderId="0" applyFont="0" applyFill="0" applyBorder="0" applyAlignment="0" applyProtection="0"/>
    <xf numFmtId="0"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221" fontId="8" fillId="0" borderId="0" applyFont="0" applyFill="0" applyBorder="0" applyAlignment="0" applyProtection="0"/>
    <xf numFmtId="0"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Protection="0">
      <alignment horizontal="right"/>
    </xf>
    <xf numFmtId="196" fontId="8" fillId="0" borderId="0" applyFont="0" applyFill="0" applyBorder="0" applyAlignment="0" applyProtection="0"/>
    <xf numFmtId="0"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0" fontId="8" fillId="0" borderId="0" applyFont="0" applyFill="0" applyBorder="0" applyProtection="0">
      <alignment horizontal="right"/>
    </xf>
    <xf numFmtId="221" fontId="8" fillId="0" borderId="0" applyFont="0" applyFill="0" applyBorder="0" applyAlignment="0" applyProtection="0"/>
    <xf numFmtId="221"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220" fontId="8" fillId="0" borderId="0" applyFont="0" applyFill="0" applyBorder="0" applyAlignment="0" applyProtection="0"/>
    <xf numFmtId="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6" applyNumberFormat="0" applyFont="0" applyFill="0" applyAlignment="0" applyProtection="0"/>
    <xf numFmtId="0" fontId="8" fillId="0" borderId="36" applyNumberFormat="0" applyFont="0" applyFill="0" applyAlignment="0" applyProtection="0"/>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33" fillId="0" borderId="0" applyNumberFormat="0" applyFill="0" applyBorder="0" applyAlignment="0" applyProtection="0"/>
    <xf numFmtId="169" fontId="129" fillId="0" borderId="0"/>
    <xf numFmtId="0" fontId="129" fillId="0" borderId="0"/>
    <xf numFmtId="169" fontId="129" fillId="0" borderId="0"/>
    <xf numFmtId="169" fontId="129" fillId="0" borderId="0"/>
    <xf numFmtId="9" fontId="96" fillId="0" borderId="0" applyFont="0" applyFill="0" applyBorder="0" applyAlignment="0" applyProtection="0"/>
    <xf numFmtId="221" fontId="135" fillId="0" borderId="0"/>
    <xf numFmtId="0" fontId="135" fillId="0" borderId="0"/>
    <xf numFmtId="0" fontId="96" fillId="0" borderId="0" applyFont="0" applyFill="0" applyBorder="0" applyAlignment="0" applyProtection="0"/>
    <xf numFmtId="221" fontId="135" fillId="0" borderId="0"/>
    <xf numFmtId="40" fontId="135" fillId="0" borderId="0"/>
    <xf numFmtId="10" fontId="96" fillId="0" borderId="0" applyFont="0" applyFill="0" applyBorder="0" applyAlignment="0" applyProtection="0"/>
    <xf numFmtId="277" fontId="129" fillId="0" borderId="0"/>
    <xf numFmtId="0" fontId="208" fillId="0" borderId="0"/>
    <xf numFmtId="277" fontId="129" fillId="0" borderId="0"/>
    <xf numFmtId="277" fontId="129" fillId="0" borderId="0"/>
    <xf numFmtId="0" fontId="96" fillId="0" borderId="0" applyFont="0" applyFill="0" applyBorder="0" applyAlignment="0" applyProtection="0"/>
    <xf numFmtId="3" fontId="20" fillId="0" borderId="0"/>
    <xf numFmtId="0" fontId="8" fillId="0" borderId="0" applyBorder="0"/>
    <xf numFmtId="39" fontId="210" fillId="0" borderId="0" applyFont="0" applyFill="0" applyBorder="0" applyAlignment="0" applyProtection="0"/>
    <xf numFmtId="0" fontId="117" fillId="22" borderId="0" applyNumberFormat="0" applyBorder="0" applyAlignment="0" applyProtection="0"/>
    <xf numFmtId="0" fontId="117" fillId="22" borderId="0" applyNumberFormat="0" applyBorder="0" applyAlignment="0" applyProtection="0"/>
    <xf numFmtId="0" fontId="117" fillId="24" borderId="0" applyNumberFormat="0" applyBorder="0" applyAlignment="0" applyProtection="0"/>
    <xf numFmtId="0" fontId="117" fillId="24" borderId="0" applyNumberFormat="0" applyBorder="0" applyAlignment="0" applyProtection="0"/>
    <xf numFmtId="0" fontId="117" fillId="25" borderId="0" applyNumberFormat="0" applyBorder="0" applyAlignment="0" applyProtection="0"/>
    <xf numFmtId="0" fontId="117" fillId="25" borderId="0" applyNumberFormat="0" applyBorder="0" applyAlignment="0" applyProtection="0"/>
    <xf numFmtId="0" fontId="117" fillId="26" borderId="0" applyNumberFormat="0" applyBorder="0" applyAlignment="0" applyProtection="0"/>
    <xf numFmtId="0" fontId="117" fillId="26" borderId="0" applyNumberFormat="0" applyBorder="0" applyAlignment="0" applyProtection="0"/>
    <xf numFmtId="0" fontId="117" fillId="27" borderId="0" applyNumberFormat="0" applyBorder="0" applyAlignment="0" applyProtection="0"/>
    <xf numFmtId="0" fontId="117" fillId="27" borderId="0" applyNumberFormat="0" applyBorder="0" applyAlignment="0" applyProtection="0"/>
    <xf numFmtId="0" fontId="117" fillId="23" borderId="0" applyNumberFormat="0" applyBorder="0" applyAlignment="0" applyProtection="0"/>
    <xf numFmtId="0" fontId="117" fillId="23" borderId="0" applyNumberFormat="0" applyBorder="0" applyAlignment="0" applyProtection="0"/>
    <xf numFmtId="0" fontId="210" fillId="0" borderId="0" applyFont="0" applyFill="0" applyBorder="0" applyAlignment="0" applyProtection="0"/>
    <xf numFmtId="0" fontId="117" fillId="28" borderId="0" applyNumberFormat="0" applyBorder="0" applyAlignment="0" applyProtection="0"/>
    <xf numFmtId="0" fontId="117" fillId="28" borderId="0" applyNumberFormat="0" applyBorder="0" applyAlignment="0" applyProtection="0"/>
    <xf numFmtId="0" fontId="117" fillId="29" borderId="0" applyNumberFormat="0" applyBorder="0" applyAlignment="0" applyProtection="0"/>
    <xf numFmtId="0" fontId="117" fillId="29" borderId="0" applyNumberFormat="0" applyBorder="0" applyAlignment="0" applyProtection="0"/>
    <xf numFmtId="0" fontId="117" fillId="30" borderId="0" applyNumberFormat="0" applyBorder="0" applyAlignment="0" applyProtection="0"/>
    <xf numFmtId="0" fontId="117" fillId="30" borderId="0" applyNumberFormat="0" applyBorder="0" applyAlignment="0" applyProtection="0"/>
    <xf numFmtId="0" fontId="117" fillId="26" borderId="0" applyNumberFormat="0" applyBorder="0" applyAlignment="0" applyProtection="0"/>
    <xf numFmtId="0" fontId="117" fillId="26" borderId="0" applyNumberFormat="0" applyBorder="0" applyAlignment="0" applyProtection="0"/>
    <xf numFmtId="0" fontId="117" fillId="28" borderId="0" applyNumberFormat="0" applyBorder="0" applyAlignment="0" applyProtection="0"/>
    <xf numFmtId="0" fontId="117" fillId="28" borderId="0" applyNumberFormat="0" applyBorder="0" applyAlignment="0" applyProtection="0"/>
    <xf numFmtId="0" fontId="117" fillId="31" borderId="0" applyNumberFormat="0" applyBorder="0" applyAlignment="0" applyProtection="0"/>
    <xf numFmtId="0" fontId="117" fillId="31" borderId="0" applyNumberFormat="0" applyBorder="0" applyAlignment="0" applyProtection="0"/>
    <xf numFmtId="0" fontId="118" fillId="21" borderId="0" applyNumberFormat="0" applyBorder="0" applyAlignment="0" applyProtection="0"/>
    <xf numFmtId="0" fontId="118" fillId="21" borderId="0" applyNumberFormat="0" applyBorder="0" applyAlignment="0" applyProtection="0"/>
    <xf numFmtId="0" fontId="118" fillId="29" borderId="0" applyNumberFormat="0" applyBorder="0" applyAlignment="0" applyProtection="0"/>
    <xf numFmtId="0" fontId="118" fillId="29" borderId="0" applyNumberFormat="0" applyBorder="0" applyAlignment="0" applyProtection="0"/>
    <xf numFmtId="0" fontId="118" fillId="30" borderId="0" applyNumberFormat="0" applyBorder="0" applyAlignment="0" applyProtection="0"/>
    <xf numFmtId="0" fontId="118" fillId="30" borderId="0" applyNumberFormat="0" applyBorder="0" applyAlignment="0" applyProtection="0"/>
    <xf numFmtId="0" fontId="118" fillId="33" borderId="0" applyNumberFormat="0" applyBorder="0" applyAlignment="0" applyProtection="0"/>
    <xf numFmtId="0" fontId="118" fillId="33" borderId="0" applyNumberFormat="0" applyBorder="0" applyAlignment="0" applyProtection="0"/>
    <xf numFmtId="0" fontId="118" fillId="34" borderId="0" applyNumberFormat="0" applyBorder="0" applyAlignment="0" applyProtection="0"/>
    <xf numFmtId="0" fontId="118" fillId="34" borderId="0" applyNumberFormat="0" applyBorder="0" applyAlignment="0" applyProtection="0"/>
    <xf numFmtId="0" fontId="118" fillId="35" borderId="0" applyNumberFormat="0" applyBorder="0" applyAlignment="0" applyProtection="0"/>
    <xf numFmtId="0" fontId="118" fillId="35" borderId="0" applyNumberFormat="0" applyBorder="0" applyAlignment="0" applyProtection="0"/>
    <xf numFmtId="226" fontId="136" fillId="0" borderId="0"/>
    <xf numFmtId="0" fontId="136" fillId="0" borderId="0"/>
    <xf numFmtId="167" fontId="129" fillId="0" borderId="0"/>
    <xf numFmtId="0" fontId="129" fillId="0" borderId="0"/>
    <xf numFmtId="167" fontId="129" fillId="0" borderId="0"/>
    <xf numFmtId="167" fontId="129" fillId="0" borderId="0"/>
    <xf numFmtId="41" fontId="27" fillId="0" borderId="0" applyFill="0" applyBorder="0" applyProtection="0"/>
    <xf numFmtId="0" fontId="118" fillId="36" borderId="0" applyNumberFormat="0" applyBorder="0" applyAlignment="0" applyProtection="0"/>
    <xf numFmtId="0" fontId="118" fillId="36" borderId="0" applyNumberFormat="0" applyBorder="0" applyAlignment="0" applyProtection="0"/>
    <xf numFmtId="0" fontId="118" fillId="16" borderId="0" applyNumberFormat="0" applyBorder="0" applyAlignment="0" applyProtection="0"/>
    <xf numFmtId="0" fontId="118" fillId="16" borderId="0" applyNumberFormat="0" applyBorder="0" applyAlignment="0" applyProtection="0"/>
    <xf numFmtId="0" fontId="118" fillId="37" borderId="0" applyNumberFormat="0" applyBorder="0" applyAlignment="0" applyProtection="0"/>
    <xf numFmtId="0" fontId="118" fillId="37" borderId="0" applyNumberFormat="0" applyBorder="0" applyAlignment="0" applyProtection="0"/>
    <xf numFmtId="0" fontId="118" fillId="33" borderId="0" applyNumberFormat="0" applyBorder="0" applyAlignment="0" applyProtection="0"/>
    <xf numFmtId="0" fontId="118" fillId="33" borderId="0" applyNumberFormat="0" applyBorder="0" applyAlignment="0" applyProtection="0"/>
    <xf numFmtId="0" fontId="118" fillId="34" borderId="0" applyNumberFormat="0" applyBorder="0" applyAlignment="0" applyProtection="0"/>
    <xf numFmtId="0" fontId="118" fillId="34" borderId="0" applyNumberFormat="0" applyBorder="0" applyAlignment="0" applyProtection="0"/>
    <xf numFmtId="0" fontId="118" fillId="38" borderId="0" applyNumberFormat="0" applyBorder="0" applyAlignment="0" applyProtection="0"/>
    <xf numFmtId="0" fontId="118" fillId="38" borderId="0" applyNumberFormat="0" applyBorder="0" applyAlignment="0" applyProtection="0"/>
    <xf numFmtId="0" fontId="65" fillId="9" borderId="0" applyNumberFormat="0" applyFont="0" applyBorder="0" applyAlignment="0">
      <alignment horizontal="right"/>
    </xf>
    <xf numFmtId="0" fontId="66" fillId="9" borderId="3" applyFont="0">
      <alignment horizontal="right"/>
    </xf>
    <xf numFmtId="0" fontId="137" fillId="0" borderId="0" applyNumberFormat="0" applyAlignment="0"/>
    <xf numFmtId="0" fontId="138" fillId="0" borderId="0" applyNumberFormat="0" applyAlignment="0"/>
    <xf numFmtId="0" fontId="139" fillId="0" borderId="0" applyNumberFormat="0" applyAlignment="0"/>
    <xf numFmtId="0" fontId="140" fillId="0" borderId="0" applyNumberFormat="0" applyAlignment="0"/>
    <xf numFmtId="0" fontId="8" fillId="0" borderId="0"/>
    <xf numFmtId="0" fontId="8" fillId="0" borderId="0"/>
    <xf numFmtId="5" fontId="141" fillId="0" borderId="8">
      <alignment horizontal="right"/>
    </xf>
    <xf numFmtId="0" fontId="119" fillId="24" borderId="0" applyNumberFormat="0" applyBorder="0" applyAlignment="0" applyProtection="0"/>
    <xf numFmtId="0" fontId="119" fillId="24" borderId="0" applyNumberFormat="0" applyBorder="0" applyAlignment="0" applyProtection="0"/>
    <xf numFmtId="0" fontId="129" fillId="0" borderId="0" applyFont="0" applyFill="0" applyBorder="0" applyAlignment="0" applyProtection="0"/>
    <xf numFmtId="210" fontId="129" fillId="0" borderId="0" applyFill="0" applyBorder="0" applyAlignment="0" applyProtection="0">
      <protection locked="0"/>
    </xf>
    <xf numFmtId="0" fontId="129" fillId="0" borderId="0" applyFill="0" applyBorder="0" applyAlignment="0" applyProtection="0">
      <protection locked="0"/>
    </xf>
    <xf numFmtId="210" fontId="129" fillId="0" borderId="0" applyFill="0" applyBorder="0" applyAlignment="0" applyProtection="0">
      <protection locked="0"/>
    </xf>
    <xf numFmtId="210" fontId="129" fillId="0" borderId="0" applyFill="0" applyBorder="0" applyAlignment="0" applyProtection="0">
      <protection locked="0"/>
    </xf>
    <xf numFmtId="3" fontId="141" fillId="0" borderId="0" applyFont="0" applyBorder="0" applyAlignment="0" applyProtection="0"/>
    <xf numFmtId="0" fontId="18" fillId="0" borderId="0"/>
    <xf numFmtId="0" fontId="129" fillId="0" borderId="8" applyNumberFormat="0" applyFont="0" applyFill="0" applyAlignment="0" applyProtection="0"/>
    <xf numFmtId="0" fontId="129" fillId="0" borderId="37" applyNumberFormat="0" applyFont="0" applyFill="0" applyAlignment="0" applyProtection="0"/>
    <xf numFmtId="0" fontId="142" fillId="0" borderId="0"/>
    <xf numFmtId="0" fontId="8" fillId="0" borderId="0" applyFill="0" applyBorder="0" applyAlignment="0"/>
    <xf numFmtId="0" fontId="8" fillId="0" borderId="0" applyFill="0" applyBorder="0" applyAlignment="0"/>
    <xf numFmtId="283" fontId="205" fillId="0" borderId="0" applyFill="0" applyBorder="0" applyAlignment="0"/>
    <xf numFmtId="284" fontId="205" fillId="0" borderId="0" applyFill="0" applyBorder="0" applyAlignment="0"/>
    <xf numFmtId="285" fontId="205" fillId="0" borderId="0" applyFill="0" applyBorder="0" applyAlignment="0"/>
    <xf numFmtId="286"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0" fontId="120" fillId="39" borderId="38" applyNumberFormat="0" applyAlignment="0" applyProtection="0"/>
    <xf numFmtId="0" fontId="120" fillId="39" borderId="38" applyNumberFormat="0" applyAlignment="0" applyProtection="0"/>
    <xf numFmtId="210" fontId="129" fillId="0" borderId="0" applyFont="0" applyFill="0" applyBorder="0" applyAlignment="0" applyProtection="0">
      <protection locked="0"/>
    </xf>
    <xf numFmtId="0" fontId="129" fillId="0" borderId="0" applyFont="0" applyFill="0" applyBorder="0" applyAlignment="0" applyProtection="0">
      <protection locked="0"/>
    </xf>
    <xf numFmtId="210" fontId="129" fillId="0" borderId="0" applyFont="0" applyFill="0" applyBorder="0" applyAlignment="0" applyProtection="0">
      <protection locked="0"/>
    </xf>
    <xf numFmtId="0" fontId="129" fillId="0" borderId="39" applyFont="0" applyFill="0" applyAlignment="0" applyProtection="0"/>
    <xf numFmtId="0" fontId="121" fillId="40" borderId="40" applyNumberFormat="0" applyAlignment="0" applyProtection="0"/>
    <xf numFmtId="0" fontId="121" fillId="40" borderId="40" applyNumberFormat="0" applyAlignment="0" applyProtection="0"/>
    <xf numFmtId="0" fontId="18" fillId="41" borderId="41" applyFont="0" applyFill="0" applyBorder="0"/>
    <xf numFmtId="0" fontId="11" fillId="0" borderId="19"/>
    <xf numFmtId="43" fontId="8" fillId="0" borderId="0" applyFont="0" applyFill="0" applyBorder="0" applyAlignment="0" applyProtection="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242" fontId="129" fillId="0" borderId="0"/>
    <xf numFmtId="0" fontId="129" fillId="0" borderId="0"/>
    <xf numFmtId="242" fontId="129" fillId="0" borderId="0"/>
    <xf numFmtId="242" fontId="129" fillId="0" borderId="0"/>
    <xf numFmtId="38" fontId="84" fillId="0" borderId="0" applyFont="0" applyFill="0" applyBorder="0" applyAlignment="0" applyProtection="0"/>
    <xf numFmtId="290" fontId="205" fillId="0" borderId="0" applyFont="0" applyFill="0" applyBorder="0" applyAlignment="0" applyProtection="0"/>
    <xf numFmtId="38" fontId="143" fillId="0" borderId="0">
      <alignment horizontal="center"/>
      <protection locked="0"/>
    </xf>
    <xf numFmtId="229" fontId="95" fillId="0" borderId="0" applyFont="0" applyFill="0" applyBorder="0" applyAlignment="0" applyProtection="0">
      <alignment horizontal="right"/>
    </xf>
    <xf numFmtId="0" fontId="95" fillId="0" borderId="0" applyFont="0" applyFill="0" applyBorder="0" applyAlignment="0" applyProtection="0">
      <alignment horizontal="right"/>
    </xf>
    <xf numFmtId="229" fontId="95" fillId="0" borderId="0" applyFont="0" applyFill="0" applyBorder="0" applyAlignment="0" applyProtection="0">
      <alignment horizontal="right"/>
    </xf>
    <xf numFmtId="243" fontId="17" fillId="0" borderId="0" applyFont="0" applyFill="0" applyBorder="0" applyAlignment="0" applyProtection="0"/>
    <xf numFmtId="0" fontId="17" fillId="0" borderId="0" applyFont="0" applyFill="0" applyBorder="0" applyAlignment="0" applyProtection="0"/>
    <xf numFmtId="266" fontId="17" fillId="0" borderId="0" applyFill="0" applyBorder="0" applyProtection="0"/>
    <xf numFmtId="166" fontId="84" fillId="0" borderId="0" applyFont="0" applyFill="0" applyBorder="0" applyAlignment="0" applyProtection="0"/>
    <xf numFmtId="0" fontId="8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7" fillId="0" borderId="0" applyFont="0" applyFill="0" applyBorder="0" applyAlignment="0" applyProtection="0"/>
    <xf numFmtId="43" fontId="117" fillId="0" borderId="0" applyFont="0" applyFill="0" applyBorder="0" applyAlignment="0" applyProtection="0"/>
    <xf numFmtId="43" fontId="117" fillId="0" borderId="0" applyFont="0" applyFill="0" applyBorder="0" applyAlignment="0" applyProtection="0"/>
    <xf numFmtId="230" fontId="95" fillId="0" borderId="0" applyFont="0" applyFill="0" applyBorder="0" applyAlignment="0" applyProtection="0">
      <alignment horizontal="right"/>
    </xf>
    <xf numFmtId="0" fontId="95" fillId="0" borderId="0" applyFont="0" applyFill="0" applyBorder="0" applyAlignment="0" applyProtection="0">
      <alignment horizontal="right"/>
    </xf>
    <xf numFmtId="230" fontId="95" fillId="0" borderId="0" applyFont="0" applyFill="0" applyBorder="0" applyAlignment="0" applyProtection="0">
      <alignment horizontal="right"/>
    </xf>
    <xf numFmtId="181" fontId="47" fillId="0" borderId="0" applyFont="0" applyFill="0" applyBorder="0" applyAlignment="0" applyProtection="0"/>
    <xf numFmtId="0" fontId="4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39"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44" fontId="144" fillId="0" borderId="0" applyFont="0" applyFill="0" applyBorder="0">
      <alignment horizontal="right"/>
    </xf>
    <xf numFmtId="0" fontId="144" fillId="0" borderId="0" applyFont="0" applyFill="0" applyBorder="0">
      <alignment horizontal="right"/>
    </xf>
    <xf numFmtId="245" fontId="145" fillId="0" borderId="0" applyFont="0" applyFill="0" applyBorder="0" applyAlignment="0"/>
    <xf numFmtId="0" fontId="145" fillId="0" borderId="0" applyFont="0" applyFill="0" applyBorder="0" applyAlignment="0"/>
    <xf numFmtId="246" fontId="144" fillId="0" borderId="0" applyFont="0" applyFill="0" applyBorder="0" applyAlignment="0"/>
    <xf numFmtId="0" fontId="144" fillId="0" borderId="0" applyFont="0" applyFill="0" applyBorder="0" applyAlignment="0"/>
    <xf numFmtId="247" fontId="146" fillId="42" borderId="14" applyFont="0" applyFill="0" applyBorder="0" applyAlignment="0"/>
    <xf numFmtId="0" fontId="146" fillId="42" borderId="14" applyFont="0" applyFill="0" applyBorder="0" applyAlignment="0"/>
    <xf numFmtId="0" fontId="146" fillId="42" borderId="14" applyFont="0" applyFill="0" applyBorder="0" applyAlignment="0"/>
    <xf numFmtId="247" fontId="146" fillId="42" borderId="14" applyFont="0" applyFill="0" applyBorder="0" applyAlignment="0"/>
    <xf numFmtId="3" fontId="147" fillId="0" borderId="0" applyFont="0" applyFill="0" applyBorder="0" applyAlignment="0" applyProtection="0"/>
    <xf numFmtId="0" fontId="8" fillId="0" borderId="0" applyNumberFormat="0" applyAlignment="0">
      <alignment horizontal="left"/>
    </xf>
    <xf numFmtId="0" fontId="8" fillId="0" borderId="0" applyNumberFormat="0" applyAlignment="0">
      <alignment horizontal="left"/>
    </xf>
    <xf numFmtId="0" fontId="148" fillId="0" borderId="0">
      <alignment horizontal="left"/>
    </xf>
    <xf numFmtId="0" fontId="149" fillId="0" borderId="0"/>
    <xf numFmtId="0" fontId="150" fillId="0" borderId="0">
      <alignment horizontal="left"/>
    </xf>
    <xf numFmtId="221" fontId="27" fillId="0" borderId="0"/>
    <xf numFmtId="0" fontId="27" fillId="0" borderId="0"/>
    <xf numFmtId="283" fontId="205" fillId="0" borderId="0" applyFont="0" applyFill="0" applyBorder="0" applyAlignment="0" applyProtection="0"/>
    <xf numFmtId="231" fontId="95" fillId="0" borderId="0" applyFont="0" applyFill="0" applyBorder="0" applyAlignment="0" applyProtection="0">
      <alignment horizontal="right"/>
    </xf>
    <xf numFmtId="0" fontId="95" fillId="0" borderId="0" applyFont="0" applyFill="0" applyBorder="0" applyAlignment="0" applyProtection="0">
      <alignment horizontal="right"/>
    </xf>
    <xf numFmtId="231" fontId="95" fillId="0" borderId="0" applyFont="0" applyFill="0" applyBorder="0" applyAlignment="0" applyProtection="0">
      <alignment horizontal="right"/>
    </xf>
    <xf numFmtId="215" fontId="47" fillId="0" borderId="0" applyFont="0" applyFill="0" applyBorder="0" applyAlignment="0" applyProtection="0"/>
    <xf numFmtId="0" fontId="4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0" fontId="95" fillId="0" borderId="0" applyFont="0" applyFill="0" applyBorder="0" applyAlignment="0" applyProtection="0">
      <alignment horizontal="right"/>
    </xf>
    <xf numFmtId="0" fontId="95" fillId="0" borderId="0" applyFont="0" applyFill="0" applyBorder="0" applyAlignment="0" applyProtection="0">
      <alignment horizontal="right"/>
    </xf>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216" fontId="47" fillId="0" borderId="0" applyFont="0" applyFill="0" applyBorder="0" applyAlignment="0" applyProtection="0"/>
    <xf numFmtId="0" fontId="4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248" fontId="151" fillId="0" borderId="0" applyFont="0" applyFill="0" applyBorder="0"/>
    <xf numFmtId="0" fontId="151" fillId="0" borderId="0" applyFont="0" applyFill="0" applyBorder="0"/>
    <xf numFmtId="249" fontId="152" fillId="0" borderId="0" applyFont="0" applyFill="0" applyBorder="0" applyAlignment="0"/>
    <xf numFmtId="0" fontId="152" fillId="0" borderId="0" applyFont="0" applyFill="0" applyBorder="0" applyAlignment="0"/>
    <xf numFmtId="250" fontId="153" fillId="0" borderId="13" applyFont="0" applyFill="0" applyBorder="0" applyAlignment="0"/>
    <xf numFmtId="0" fontId="153" fillId="0" borderId="13" applyFont="0" applyFill="0" applyBorder="0" applyAlignment="0"/>
    <xf numFmtId="0" fontId="153" fillId="0" borderId="13" applyFont="0" applyFill="0" applyBorder="0" applyAlignment="0"/>
    <xf numFmtId="250" fontId="153" fillId="0" borderId="13" applyFont="0" applyFill="0" applyBorder="0" applyAlignment="0"/>
    <xf numFmtId="279" fontId="147" fillId="0" borderId="0" applyFont="0" applyFill="0" applyBorder="0" applyAlignment="0" applyProtection="0"/>
    <xf numFmtId="0" fontId="147" fillId="0" borderId="0" applyFont="0" applyFill="0" applyBorder="0" applyAlignment="0" applyProtection="0"/>
    <xf numFmtId="251" fontId="154" fillId="0" borderId="0" applyFill="0" applyBorder="0" applyProtection="0">
      <alignment vertical="center"/>
    </xf>
    <xf numFmtId="0" fontId="154" fillId="0" borderId="0" applyFill="0" applyBorder="0" applyProtection="0">
      <alignment vertical="center"/>
    </xf>
    <xf numFmtId="0" fontId="8" fillId="19" borderId="0" applyFont="0" applyBorder="0"/>
    <xf numFmtId="0" fontId="8" fillId="19" borderId="0" applyFont="0" applyBorder="0"/>
    <xf numFmtId="296" fontId="207" fillId="19" borderId="23">
      <alignment horizontal="right"/>
    </xf>
    <xf numFmtId="0" fontId="154" fillId="0" borderId="0" applyNumberFormat="0">
      <alignment horizontal="right"/>
    </xf>
    <xf numFmtId="14" fontId="135" fillId="0" borderId="0"/>
    <xf numFmtId="17" fontId="18" fillId="0" borderId="0" applyFill="0" applyBorder="0">
      <alignment horizontal="right"/>
    </xf>
    <xf numFmtId="17" fontId="18" fillId="0" borderId="0" applyFill="0" applyBorder="0">
      <alignment horizontal="right"/>
    </xf>
    <xf numFmtId="17" fontId="18" fillId="0" borderId="0" applyFill="0" applyBorder="0">
      <alignment horizontal="right"/>
    </xf>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232" fontId="95" fillId="0" borderId="0" applyFont="0" applyFill="0" applyBorder="0" applyAlignment="0" applyProtection="0"/>
    <xf numFmtId="0" fontId="95" fillId="0" borderId="0" applyFont="0" applyFill="0" applyBorder="0" applyAlignment="0" applyProtection="0"/>
    <xf numFmtId="232" fontId="95" fillId="0" borderId="0" applyFont="0" applyFill="0" applyBorder="0" applyAlignment="0" applyProtection="0"/>
    <xf numFmtId="14" fontId="127" fillId="0" borderId="0" applyFill="0" applyBorder="0" applyAlignment="0"/>
    <xf numFmtId="14" fontId="135" fillId="0" borderId="0"/>
    <xf numFmtId="14" fontId="155" fillId="0" borderId="0" applyFont="0" applyFill="0" applyBorder="0" applyAlignment="0" applyProtection="0">
      <alignment horizontal="center"/>
    </xf>
    <xf numFmtId="14" fontId="155" fillId="0" borderId="0" applyFont="0" applyFill="0" applyBorder="0" applyAlignment="0" applyProtection="0">
      <alignment horizontal="center"/>
    </xf>
    <xf numFmtId="219" fontId="155" fillId="0" borderId="0" applyFont="0" applyFill="0" applyBorder="0" applyAlignment="0" applyProtection="0">
      <alignment horizontal="center"/>
    </xf>
    <xf numFmtId="0" fontId="155" fillId="0" borderId="0" applyFont="0" applyFill="0" applyBorder="0" applyAlignment="0" applyProtection="0">
      <alignment horizontal="center"/>
    </xf>
    <xf numFmtId="219" fontId="155" fillId="0" borderId="0" applyFont="0" applyFill="0" applyBorder="0" applyAlignment="0" applyProtection="0">
      <alignment horizontal="center"/>
    </xf>
    <xf numFmtId="252" fontId="156" fillId="42" borderId="0" applyFont="0" applyFill="0">
      <alignment horizontal="right"/>
    </xf>
    <xf numFmtId="0" fontId="156" fillId="42" borderId="0" applyFont="0" applyFill="0">
      <alignment horizontal="right"/>
    </xf>
    <xf numFmtId="1" fontId="95" fillId="0" borderId="0" applyFont="0" applyFill="0" applyBorder="0" applyAlignment="0" applyProtection="0">
      <alignment horizontal="right"/>
    </xf>
    <xf numFmtId="2" fontId="133" fillId="43" borderId="0">
      <alignment horizontal="left"/>
      <protection hidden="1"/>
    </xf>
    <xf numFmtId="291" fontId="127" fillId="44" borderId="0" applyNumberFormat="0" applyBorder="0">
      <protection locked="0"/>
    </xf>
    <xf numFmtId="0" fontId="77" fillId="0" borderId="0" applyFont="0" applyFill="0" applyBorder="0" applyAlignment="0" applyProtection="0">
      <alignment horizontal="right"/>
    </xf>
    <xf numFmtId="205" fontId="77" fillId="0" borderId="0" applyFont="0" applyFill="0" applyBorder="0" applyAlignment="0" applyProtection="0">
      <alignment horizontal="right"/>
    </xf>
    <xf numFmtId="6" fontId="129" fillId="0" borderId="0" applyFont="0" applyFill="0" applyBorder="0" applyAlignment="0" applyProtection="0">
      <alignment horizontal="right"/>
    </xf>
    <xf numFmtId="6" fontId="129" fillId="0" borderId="0" applyFont="0" applyFill="0" applyBorder="0" applyAlignment="0" applyProtection="0">
      <alignment horizontal="right"/>
    </xf>
    <xf numFmtId="6" fontId="129" fillId="0" borderId="0" applyFont="0" applyFill="0" applyBorder="0" applyAlignment="0" applyProtection="0"/>
    <xf numFmtId="6" fontId="129" fillId="0" borderId="0" applyFont="0" applyFill="0" applyBorder="0" applyAlignment="0" applyProtection="0"/>
    <xf numFmtId="233" fontId="95" fillId="0" borderId="27" applyNumberFormat="0" applyFont="0" applyFill="0" applyAlignment="0" applyProtection="0"/>
    <xf numFmtId="0" fontId="95" fillId="0" borderId="27" applyNumberFormat="0" applyFont="0" applyFill="0" applyAlignment="0" applyProtection="0"/>
    <xf numFmtId="233" fontId="95" fillId="0" borderId="27" applyNumberFormat="0" applyFont="0" applyFill="0" applyAlignment="0" applyProtection="0"/>
    <xf numFmtId="1" fontId="129" fillId="0" borderId="0"/>
    <xf numFmtId="1" fontId="129" fillId="0" borderId="0"/>
    <xf numFmtId="1" fontId="129" fillId="0" borderId="0"/>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90" fontId="205" fillId="0" borderId="0" applyFill="0" applyBorder="0" applyAlignment="0"/>
    <xf numFmtId="283"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0" fontId="8" fillId="0" borderId="0" applyNumberFormat="0" applyAlignment="0">
      <alignment horizontal="left"/>
    </xf>
    <xf numFmtId="0" fontId="8" fillId="0" borderId="0" applyNumberFormat="0" applyAlignment="0">
      <alignment horizontal="left"/>
    </xf>
    <xf numFmtId="9" fontId="157" fillId="0" borderId="26" applyNumberFormat="0" applyBorder="0" applyAlignment="0">
      <protection locked="0"/>
    </xf>
    <xf numFmtId="0" fontId="129" fillId="45" borderId="42" applyNumberFormat="0" applyFont="0" applyAlignment="0">
      <protection locked="0"/>
    </xf>
    <xf numFmtId="7" fontId="27" fillId="0" borderId="0" applyFill="0" applyBorder="0" applyProtection="0"/>
    <xf numFmtId="8" fontId="129" fillId="0" borderId="0" applyFont="0" applyFill="0" applyBorder="0" applyAlignment="0" applyProtection="0">
      <alignment horizontal="right"/>
    </xf>
    <xf numFmtId="8" fontId="129" fillId="0" borderId="0" applyFont="0" applyFill="0" applyBorder="0" applyAlignment="0" applyProtection="0">
      <alignment horizontal="right"/>
    </xf>
    <xf numFmtId="7" fontId="27" fillId="0" borderId="0" applyFill="0" applyBorder="0" applyProtection="0"/>
    <xf numFmtId="7" fontId="27" fillId="0" borderId="0" applyFill="0" applyBorder="0" applyProtection="0"/>
    <xf numFmtId="0" fontId="212" fillId="0" borderId="0"/>
    <xf numFmtId="7" fontId="207" fillId="46" borderId="0" applyBorder="0"/>
    <xf numFmtId="297" fontId="207" fillId="0" borderId="0"/>
    <xf numFmtId="298" fontId="207" fillId="0" borderId="0"/>
    <xf numFmtId="39" fontId="207" fillId="46" borderId="0"/>
    <xf numFmtId="299" fontId="207" fillId="0" borderId="0"/>
    <xf numFmtId="240" fontId="95" fillId="0" borderId="0" applyFont="0" applyFill="0" applyBorder="0" applyProtection="0">
      <alignment horizontal="left"/>
      <protection locked="0"/>
    </xf>
    <xf numFmtId="0" fontId="95" fillId="0" borderId="0" applyFont="0" applyFill="0" applyBorder="0" applyProtection="0">
      <alignment horizontal="left"/>
      <protection locked="0"/>
    </xf>
    <xf numFmtId="300" fontId="207" fillId="0" borderId="0"/>
    <xf numFmtId="241" fontId="95" fillId="0" borderId="0" applyFont="0" applyFill="0" applyBorder="0" applyProtection="0">
      <alignment horizontal="left"/>
      <protection locked="0"/>
    </xf>
    <xf numFmtId="0" fontId="95" fillId="0" borderId="0" applyFont="0" applyFill="0" applyBorder="0" applyProtection="0">
      <alignment horizontal="left"/>
      <protection locked="0"/>
    </xf>
    <xf numFmtId="238" fontId="8" fillId="0" borderId="0" applyFont="0" applyFill="0" applyBorder="0" applyAlignment="0" applyProtection="0"/>
    <xf numFmtId="0" fontId="8" fillId="0" borderId="0" applyFont="0" applyFill="0" applyBorder="0" applyAlignment="0" applyProtection="0"/>
    <xf numFmtId="238" fontId="8" fillId="0" borderId="0" applyFont="0" applyFill="0" applyBorder="0" applyAlignment="0" applyProtection="0"/>
    <xf numFmtId="217" fontId="95" fillId="0" borderId="0" applyFont="0" applyFill="0" applyBorder="0" applyAlignment="0" applyProtection="0"/>
    <xf numFmtId="0" fontId="95" fillId="0" borderId="0" applyFont="0" applyFill="0" applyBorder="0" applyAlignment="0" applyProtection="0"/>
    <xf numFmtId="217" fontId="95" fillId="0" borderId="0" applyFont="0" applyFill="0" applyBorder="0" applyAlignment="0" applyProtection="0"/>
    <xf numFmtId="0" fontId="122" fillId="0" borderId="0" applyNumberFormat="0" applyFill="0" applyBorder="0" applyAlignment="0" applyProtection="0"/>
    <xf numFmtId="0" fontId="122" fillId="0" borderId="0" applyNumberFormat="0" applyFill="0" applyBorder="0" applyAlignment="0" applyProtection="0"/>
    <xf numFmtId="0" fontId="11" fillId="13" borderId="14" applyNumberFormat="0" applyFont="0" applyBorder="0" applyAlignment="0" applyProtection="0">
      <alignment horizontal="right"/>
    </xf>
    <xf numFmtId="0" fontId="11" fillId="13" borderId="14" applyNumberFormat="0" applyFont="0" applyBorder="0" applyAlignment="0" applyProtection="0">
      <alignment horizontal="right"/>
    </xf>
    <xf numFmtId="206" fontId="11" fillId="13" borderId="14" applyNumberFormat="0" applyFont="0" applyBorder="0" applyAlignment="0" applyProtection="0">
      <alignment horizontal="right"/>
    </xf>
    <xf numFmtId="227" fontId="136" fillId="0" borderId="0">
      <alignment horizontal="right"/>
    </xf>
    <xf numFmtId="0" fontId="136" fillId="0" borderId="0">
      <alignment horizontal="right"/>
    </xf>
    <xf numFmtId="166" fontId="95" fillId="0" borderId="0" applyFont="0" applyFill="0" applyBorder="0" applyAlignment="0" applyProtection="0">
      <alignment horizontal="right"/>
    </xf>
    <xf numFmtId="0" fontId="95" fillId="0" borderId="0" applyFont="0" applyFill="0" applyBorder="0" applyAlignment="0" applyProtection="0">
      <alignment horizontal="right"/>
    </xf>
    <xf numFmtId="166" fontId="95" fillId="0" borderId="0" applyFont="0" applyFill="0" applyBorder="0" applyAlignment="0" applyProtection="0">
      <alignment horizontal="right"/>
    </xf>
    <xf numFmtId="0" fontId="29" fillId="0" borderId="3" applyFont="0" applyFill="0" applyBorder="0" applyAlignment="0" applyProtection="0">
      <alignment horizontal="center"/>
    </xf>
    <xf numFmtId="2" fontId="147" fillId="0" borderId="0" applyFont="0" applyFill="0" applyBorder="0" applyAlignment="0" applyProtection="0"/>
    <xf numFmtId="0" fontId="158" fillId="0" borderId="0">
      <alignment horizontal="left"/>
    </xf>
    <xf numFmtId="0" fontId="159" fillId="0" borderId="0">
      <alignment horizontal="left"/>
    </xf>
    <xf numFmtId="0" fontId="160" fillId="0" borderId="0" applyFill="0" applyBorder="0" applyProtection="0">
      <alignment horizontal="left"/>
    </xf>
    <xf numFmtId="0" fontId="160" fillId="0" borderId="0" applyNumberFormat="0" applyFill="0" applyBorder="0" applyProtection="0">
      <alignment horizontal="left"/>
    </xf>
    <xf numFmtId="0" fontId="160" fillId="0" borderId="0" applyFill="0" applyBorder="0" applyProtection="0">
      <alignment vertical="center"/>
    </xf>
    <xf numFmtId="301" fontId="207" fillId="0" borderId="43"/>
    <xf numFmtId="0" fontId="207" fillId="19" borderId="23">
      <alignment horizontal="right"/>
    </xf>
    <xf numFmtId="302" fontId="207" fillId="19" borderId="23">
      <alignment horizontal="right"/>
    </xf>
    <xf numFmtId="221" fontId="129" fillId="0" borderId="0" applyFill="0" applyBorder="0" applyAlignment="0" applyProtection="0">
      <protection locked="0"/>
    </xf>
    <xf numFmtId="0" fontId="129" fillId="0" borderId="0" applyFill="0" applyBorder="0" applyAlignment="0" applyProtection="0">
      <protection locked="0"/>
    </xf>
    <xf numFmtId="221" fontId="129" fillId="0" borderId="0" applyFill="0" applyBorder="0" applyAlignment="0" applyProtection="0">
      <protection locked="0"/>
    </xf>
    <xf numFmtId="221" fontId="129" fillId="0" borderId="0" applyFill="0" applyBorder="0" applyAlignment="0" applyProtection="0">
      <protection locked="0"/>
    </xf>
    <xf numFmtId="0" fontId="123" fillId="25" borderId="0" applyNumberFormat="0" applyBorder="0" applyAlignment="0" applyProtection="0"/>
    <xf numFmtId="0" fontId="123" fillId="25" borderId="0" applyNumberFormat="0" applyBorder="0" applyAlignment="0" applyProtection="0"/>
    <xf numFmtId="38" fontId="11" fillId="19" borderId="0" applyNumberFormat="0" applyBorder="0" applyAlignment="0" applyProtection="0"/>
    <xf numFmtId="38" fontId="11" fillId="19" borderId="0" applyNumberFormat="0" applyBorder="0" applyAlignment="0" applyProtection="0"/>
    <xf numFmtId="38" fontId="11" fillId="19" borderId="0" applyNumberFormat="0" applyBorder="0" applyAlignment="0" applyProtection="0"/>
    <xf numFmtId="237" fontId="161" fillId="0" borderId="0" applyFill="0" applyBorder="0" applyAlignment="0" applyProtection="0"/>
    <xf numFmtId="0" fontId="161" fillId="0" borderId="0" applyFill="0" applyBorder="0" applyAlignment="0" applyProtection="0"/>
    <xf numFmtId="237" fontId="162" fillId="0" borderId="0" applyAlignment="0">
      <alignment horizontal="left"/>
      <protection locked="0"/>
    </xf>
    <xf numFmtId="0" fontId="162" fillId="0" borderId="0" applyAlignment="0">
      <alignment horizontal="left"/>
      <protection locked="0"/>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236" fontId="18" fillId="47" borderId="26" applyNumberFormat="0" applyFont="0" applyAlignment="0"/>
    <xf numFmtId="0" fontId="18" fillId="47" borderId="26" applyNumberFormat="0" applyFont="0" applyAlignment="0"/>
    <xf numFmtId="234" fontId="95" fillId="0" borderId="0" applyFont="0" applyFill="0" applyBorder="0" applyAlignment="0" applyProtection="0">
      <alignment horizontal="right"/>
    </xf>
    <xf numFmtId="0" fontId="95" fillId="0" borderId="0" applyFont="0" applyFill="0" applyBorder="0" applyAlignment="0" applyProtection="0">
      <alignment horizontal="right"/>
    </xf>
    <xf numFmtId="234" fontId="95" fillId="0" borderId="0" applyFont="0" applyFill="0" applyBorder="0" applyAlignment="0" applyProtection="0">
      <alignment horizontal="right"/>
    </xf>
    <xf numFmtId="223" fontId="9" fillId="0" borderId="0" applyNumberFormat="0" applyFill="0" applyBorder="0" applyAlignment="0" applyProtection="0"/>
    <xf numFmtId="0" fontId="9" fillId="0" borderId="0" applyNumberFormat="0" applyFill="0" applyBorder="0" applyAlignment="0" applyProtection="0"/>
    <xf numFmtId="0" fontId="163" fillId="0" borderId="0">
      <alignment horizontal="left"/>
    </xf>
    <xf numFmtId="223" fontId="131" fillId="0" borderId="0" applyNumberFormat="0" applyFill="0" applyBorder="0" applyAlignment="0" applyProtection="0"/>
    <xf numFmtId="0" fontId="19" fillId="0" borderId="44" applyNumberFormat="0" applyAlignment="0" applyProtection="0">
      <alignment horizontal="left" vertical="center"/>
    </xf>
    <xf numFmtId="0" fontId="19" fillId="0" borderId="3">
      <alignment horizontal="left" vertical="center"/>
    </xf>
    <xf numFmtId="0" fontId="198" fillId="0" borderId="0">
      <alignment horizontal="center"/>
    </xf>
    <xf numFmtId="0" fontId="213" fillId="39" borderId="26">
      <alignment horizontal="centerContinuous"/>
    </xf>
    <xf numFmtId="0" fontId="164" fillId="0" borderId="20">
      <alignment horizontal="left" vertical="top"/>
    </xf>
    <xf numFmtId="0" fontId="165" fillId="0" borderId="0">
      <alignment horizontal="left"/>
    </xf>
    <xf numFmtId="0" fontId="164" fillId="0" borderId="20">
      <alignment horizontal="left" vertical="top"/>
    </xf>
    <xf numFmtId="0" fontId="166" fillId="0" borderId="0" applyProtection="0">
      <alignment horizontal="left"/>
    </xf>
    <xf numFmtId="0" fontId="93" fillId="0" borderId="0">
      <alignment horizontal="left"/>
    </xf>
    <xf numFmtId="0" fontId="167" fillId="0" borderId="20">
      <alignment horizontal="left" vertical="top"/>
    </xf>
    <xf numFmtId="0" fontId="168" fillId="0" borderId="0" applyProtection="0">
      <alignment horizontal="left"/>
    </xf>
    <xf numFmtId="0" fontId="168" fillId="0" borderId="0">
      <alignment horizontal="left"/>
    </xf>
    <xf numFmtId="0" fontId="214" fillId="0" borderId="0" applyNumberFormat="0" applyFill="0" applyBorder="0" applyAlignment="0" applyProtection="0"/>
    <xf numFmtId="0" fontId="214" fillId="0" borderId="0" applyNumberFormat="0" applyFill="0" applyBorder="0" applyAlignment="0" applyProtection="0"/>
    <xf numFmtId="0" fontId="215" fillId="0" borderId="0" applyNumberFormat="0" applyFont="0" applyFill="0" applyBorder="0" applyAlignment="0">
      <alignment horizontal="left"/>
    </xf>
    <xf numFmtId="0" fontId="111" fillId="0" borderId="0" applyNumberFormat="0" applyFill="0" applyBorder="0" applyAlignment="0" applyProtection="0">
      <alignment vertical="top"/>
      <protection locked="0"/>
    </xf>
    <xf numFmtId="0" fontId="238" fillId="0" borderId="0" applyNumberFormat="0" applyFill="0" applyBorder="0" applyAlignment="0" applyProtection="0">
      <alignment vertical="top"/>
      <protection locked="0"/>
    </xf>
    <xf numFmtId="291" fontId="216" fillId="48" borderId="0" applyNumberFormat="0" applyBorder="0">
      <alignment horizontal="left"/>
      <protection locked="0"/>
    </xf>
    <xf numFmtId="0" fontId="129" fillId="0" borderId="0" applyFont="0" applyFill="0" applyBorder="0" applyAlignment="0" applyProtection="0"/>
    <xf numFmtId="221" fontId="129" fillId="0" borderId="0" applyFill="0" applyBorder="0" applyAlignment="0" applyProtection="0">
      <alignment horizontal="right"/>
      <protection locked="0"/>
    </xf>
    <xf numFmtId="0" fontId="129" fillId="0" borderId="0" applyFill="0" applyBorder="0" applyAlignment="0" applyProtection="0">
      <alignment horizontal="right"/>
      <protection locked="0"/>
    </xf>
    <xf numFmtId="221" fontId="129" fillId="0" borderId="0" applyFill="0" applyBorder="0" applyAlignment="0" applyProtection="0">
      <alignment horizontal="right"/>
      <protection locked="0"/>
    </xf>
    <xf numFmtId="221" fontId="129" fillId="0" borderId="0" applyFill="0" applyBorder="0" applyAlignment="0" applyProtection="0">
      <alignment horizontal="right"/>
      <protection locked="0"/>
    </xf>
    <xf numFmtId="40" fontId="129" fillId="0" borderId="0" applyFont="0" applyFill="0" applyBorder="0" applyAlignment="0" applyProtection="0">
      <alignment horizontal="right"/>
    </xf>
    <xf numFmtId="254" fontId="79" fillId="0" borderId="0" applyBorder="0" applyAlignment="0"/>
    <xf numFmtId="10" fontId="11" fillId="47" borderId="26" applyNumberFormat="0" applyBorder="0" applyAlignment="0" applyProtection="0"/>
    <xf numFmtId="10" fontId="11" fillId="47" borderId="26" applyNumberFormat="0" applyBorder="0" applyAlignment="0" applyProtection="0"/>
    <xf numFmtId="10" fontId="11" fillId="47" borderId="26" applyNumberFormat="0" applyBorder="0" applyAlignment="0" applyProtection="0"/>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255" fontId="169" fillId="0" borderId="0" applyFill="0" applyBorder="0" applyProtection="0"/>
    <xf numFmtId="256" fontId="169" fillId="0" borderId="0" applyFill="0" applyBorder="0" applyProtection="0"/>
    <xf numFmtId="0" fontId="169" fillId="0" borderId="0" applyFill="0" applyBorder="0" applyProtection="0"/>
    <xf numFmtId="0" fontId="169" fillId="0" borderId="0" applyFill="0" applyBorder="0" applyProtection="0"/>
    <xf numFmtId="255" fontId="169" fillId="0" borderId="0" applyFill="0" applyBorder="0" applyProtection="0"/>
    <xf numFmtId="257" fontId="169" fillId="0" borderId="0" applyFill="0" applyBorder="0" applyProtection="0"/>
    <xf numFmtId="0" fontId="169" fillId="0" borderId="0" applyFill="0" applyBorder="0" applyProtection="0"/>
    <xf numFmtId="239" fontId="169" fillId="0" borderId="0" applyFill="0" applyBorder="0" applyProtection="0"/>
    <xf numFmtId="0" fontId="169" fillId="0" borderId="0" applyFill="0" applyBorder="0" applyProtection="0"/>
    <xf numFmtId="258" fontId="170" fillId="0" borderId="0" applyFill="0" applyBorder="0" applyProtection="0">
      <alignment vertical="center"/>
    </xf>
    <xf numFmtId="0" fontId="170" fillId="0" borderId="0" applyFill="0" applyBorder="0" applyProtection="0">
      <alignment vertical="center"/>
    </xf>
    <xf numFmtId="251" fontId="170" fillId="0" borderId="0" applyFill="0" applyBorder="0" applyProtection="0">
      <alignment vertical="center"/>
    </xf>
    <xf numFmtId="0" fontId="170" fillId="0" borderId="0" applyFill="0" applyBorder="0" applyProtection="0">
      <alignment vertical="center"/>
    </xf>
    <xf numFmtId="259" fontId="17" fillId="0" borderId="0" applyFont="0" applyFill="0" applyBorder="0" applyAlignment="0">
      <protection locked="0"/>
    </xf>
    <xf numFmtId="0" fontId="17" fillId="0" borderId="0" applyFont="0" applyFill="0" applyBorder="0" applyAlignment="0">
      <protection locked="0"/>
    </xf>
    <xf numFmtId="239" fontId="17" fillId="0" borderId="0" applyFont="0" applyFill="0" applyBorder="0" applyAlignment="0">
      <protection locked="0"/>
    </xf>
    <xf numFmtId="0" fontId="17" fillId="0" borderId="0" applyFont="0" applyFill="0" applyBorder="0" applyAlignment="0">
      <protection locked="0"/>
    </xf>
    <xf numFmtId="260" fontId="170" fillId="0" borderId="0" applyFill="0" applyBorder="0" applyProtection="0">
      <alignment vertical="center"/>
    </xf>
    <xf numFmtId="0" fontId="170" fillId="0" borderId="0" applyFill="0" applyBorder="0" applyProtection="0">
      <alignment vertical="center"/>
    </xf>
    <xf numFmtId="261" fontId="170" fillId="0" borderId="0" applyFill="0" applyBorder="0" applyProtection="0">
      <alignment vertical="center"/>
    </xf>
    <xf numFmtId="0" fontId="170" fillId="0" borderId="0" applyFill="0" applyBorder="0" applyProtection="0">
      <alignment vertical="center"/>
    </xf>
    <xf numFmtId="176" fontId="17" fillId="0" borderId="13" applyFill="0"/>
    <xf numFmtId="0" fontId="17" fillId="0" borderId="13" applyFill="0"/>
    <xf numFmtId="0" fontId="17" fillId="0" borderId="13" applyFill="0"/>
    <xf numFmtId="176" fontId="17" fillId="0" borderId="13" applyFill="0"/>
    <xf numFmtId="0" fontId="171" fillId="0" borderId="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223" fontId="18" fillId="0" borderId="0" applyNumberFormat="0" applyFill="0" applyBorder="0" applyAlignment="0" applyProtection="0"/>
    <xf numFmtId="0" fontId="18" fillId="0" borderId="0" applyNumberFormat="0" applyFill="0" applyBorder="0" applyAlignment="0" applyProtection="0"/>
    <xf numFmtId="291" fontId="127" fillId="49" borderId="0" applyNumberFormat="0" applyBorder="0">
      <alignment horizontal="right"/>
      <protection locked="0"/>
    </xf>
    <xf numFmtId="290" fontId="205" fillId="0" borderId="0" applyFill="0" applyBorder="0" applyAlignment="0"/>
    <xf numFmtId="283"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0" fontId="124" fillId="0" borderId="45" applyNumberFormat="0" applyFill="0" applyAlignment="0" applyProtection="0"/>
    <xf numFmtId="0" fontId="124" fillId="0" borderId="45" applyNumberFormat="0" applyFill="0" applyAlignment="0" applyProtection="0"/>
    <xf numFmtId="168" fontId="129" fillId="0" borderId="0" applyFont="0" applyFill="0" applyBorder="0" applyAlignment="0" applyProtection="0">
      <alignment horizontal="right"/>
    </xf>
    <xf numFmtId="0" fontId="129" fillId="0" borderId="0" applyFont="0" applyFill="0" applyBorder="0" applyAlignment="0" applyProtection="0">
      <alignment horizontal="right"/>
    </xf>
    <xf numFmtId="168" fontId="129" fillId="0" borderId="0" applyFont="0" applyFill="0" applyBorder="0" applyAlignment="0" applyProtection="0">
      <alignment horizontal="right"/>
    </xf>
    <xf numFmtId="0" fontId="207" fillId="0" borderId="0">
      <alignment horizontal="right"/>
    </xf>
    <xf numFmtId="303" fontId="207" fillId="0" borderId="0">
      <alignment horizontal="right"/>
    </xf>
    <xf numFmtId="304" fontId="207" fillId="0" borderId="0">
      <alignment horizontal="right"/>
    </xf>
    <xf numFmtId="0" fontId="204" fillId="0" borderId="0"/>
    <xf numFmtId="1" fontId="172" fillId="0" borderId="0"/>
    <xf numFmtId="1" fontId="172" fillId="0" borderId="0"/>
    <xf numFmtId="1" fontId="172" fillId="0" borderId="0"/>
    <xf numFmtId="239" fontId="173" fillId="0" borderId="0" applyFill="0" applyBorder="0" applyAlignment="0" applyProtection="0">
      <alignment horizontal="right"/>
    </xf>
    <xf numFmtId="0" fontId="173" fillId="0" borderId="0" applyFill="0" applyBorder="0" applyAlignment="0" applyProtection="0">
      <alignment horizontal="right"/>
    </xf>
    <xf numFmtId="239" fontId="173" fillId="0" borderId="0" applyFill="0" applyBorder="0" applyAlignment="0" applyProtection="0"/>
    <xf numFmtId="0" fontId="173" fillId="0" borderId="0" applyFill="0" applyBorder="0" applyAlignment="0" applyProtection="0"/>
    <xf numFmtId="291" fontId="133" fillId="49" borderId="0" applyNumberFormat="0" applyBorder="0">
      <alignment horizontal="right"/>
      <protection locked="0"/>
    </xf>
    <xf numFmtId="291" fontId="217" fillId="49" borderId="0" applyNumberFormat="0" applyBorder="0">
      <alignment horizontal="right"/>
      <protection locked="0"/>
    </xf>
    <xf numFmtId="262" fontId="8" fillId="0" borderId="0" applyFont="0" applyFill="0" applyBorder="0" applyAlignment="0" applyProtection="0"/>
    <xf numFmtId="263" fontId="8" fillId="0" borderId="0" applyFont="0" applyFill="0" applyBorder="0" applyAlignment="0" applyProtection="0"/>
    <xf numFmtId="0" fontId="207" fillId="19" borderId="23">
      <alignment horizontal="right"/>
    </xf>
    <xf numFmtId="264" fontId="174" fillId="6" borderId="46" applyFont="0" applyFill="0" applyBorder="0" applyAlignment="0">
      <alignment horizontal="center"/>
    </xf>
    <xf numFmtId="0" fontId="174" fillId="6" borderId="46" applyFont="0" applyFill="0" applyBorder="0" applyAlignment="0">
      <alignment horizontal="center"/>
    </xf>
    <xf numFmtId="214" fontId="27" fillId="0" borderId="0" applyFill="0" applyBorder="0" applyProtection="0"/>
    <xf numFmtId="0" fontId="154" fillId="0" borderId="0" applyFont="0" applyFill="0" applyBorder="0" applyAlignment="0" applyProtection="0">
      <alignment horizontal="right"/>
    </xf>
    <xf numFmtId="235" fontId="154" fillId="0" borderId="0" applyFont="0" applyFill="0" applyBorder="0" applyAlignment="0" applyProtection="0">
      <alignment horizontal="right"/>
    </xf>
    <xf numFmtId="214" fontId="27" fillId="0" borderId="0" applyFill="0" applyBorder="0" applyProtection="0"/>
    <xf numFmtId="214" fontId="27" fillId="0" borderId="0" applyFill="0" applyBorder="0" applyProtection="0"/>
    <xf numFmtId="214" fontId="27" fillId="0" borderId="0" applyFill="0" applyBorder="0" applyProtection="0"/>
    <xf numFmtId="260" fontId="154" fillId="0" borderId="0" applyFill="0" applyBorder="0" applyProtection="0">
      <alignment vertical="center"/>
    </xf>
    <xf numFmtId="0" fontId="154" fillId="0" borderId="0" applyFill="0" applyBorder="0" applyProtection="0">
      <alignment vertical="center"/>
    </xf>
    <xf numFmtId="180" fontId="27" fillId="0" borderId="0" applyFill="0" applyBorder="0" applyProtection="0">
      <alignment horizontal="right"/>
    </xf>
    <xf numFmtId="265" fontId="17" fillId="0" borderId="0" applyFont="0" applyFill="0" applyBorder="0" applyAlignment="0" applyProtection="0">
      <alignment horizontal="right"/>
    </xf>
    <xf numFmtId="0" fontId="17" fillId="0" borderId="0" applyFont="0" applyFill="0" applyBorder="0" applyAlignment="0" applyProtection="0">
      <alignment horizontal="right"/>
    </xf>
    <xf numFmtId="0" fontId="125" fillId="8" borderId="0" applyNumberFormat="0" applyBorder="0" applyAlignment="0" applyProtection="0"/>
    <xf numFmtId="0" fontId="125" fillId="8" borderId="0" applyNumberFormat="0" applyBorder="0" applyAlignment="0" applyProtection="0"/>
    <xf numFmtId="37" fontId="8" fillId="0" borderId="0"/>
    <xf numFmtId="37" fontId="8" fillId="0" borderId="0"/>
    <xf numFmtId="0" fontId="8" fillId="0" borderId="0" applyFont="0" applyFill="0" applyBorder="0" applyAlignment="0" applyProtection="0"/>
    <xf numFmtId="183" fontId="27" fillId="0" borderId="0" applyFill="0" applyBorder="0" applyProtection="0"/>
    <xf numFmtId="0" fontId="8" fillId="0" borderId="0"/>
    <xf numFmtId="0" fontId="8"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7" fontId="27" fillId="0" borderId="0" applyFill="0" applyBorder="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0" fontId="239" fillId="0" borderId="0"/>
    <xf numFmtId="183" fontId="27" fillId="0" borderId="0" applyFill="0" applyBorder="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39" fillId="0" borderId="0"/>
    <xf numFmtId="0" fontId="8" fillId="0" borderId="0"/>
    <xf numFmtId="0" fontId="8" fillId="0" borderId="0"/>
    <xf numFmtId="0" fontId="8" fillId="0" borderId="0"/>
    <xf numFmtId="0" fontId="8" fillId="0" borderId="0"/>
    <xf numFmtId="0" fontId="23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223" fontId="175" fillId="0" borderId="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0" fontId="8" fillId="0" borderId="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1"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0" fontId="8" fillId="0" borderId="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8" fillId="0" borderId="0" applyFont="0" applyFill="0" applyBorder="0" applyAlignment="0" applyProtection="0"/>
    <xf numFmtId="183" fontId="27" fillId="0" borderId="0" applyFill="0" applyBorder="0" applyProtection="0"/>
    <xf numFmtId="37" fontId="27" fillId="0" borderId="0" applyFill="0" applyBorder="0" applyProtection="0"/>
    <xf numFmtId="0" fontId="8"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37" fontId="27" fillId="0" borderId="0" applyFill="0" applyBorder="0" applyProtection="0"/>
    <xf numFmtId="0" fontId="8" fillId="0" borderId="0"/>
    <xf numFmtId="0" fontId="8" fillId="0" borderId="0"/>
    <xf numFmtId="0" fontId="8" fillId="0" borderId="0"/>
    <xf numFmtId="183" fontId="27" fillId="0" borderId="0" applyFill="0" applyBorder="0" applyProtection="0"/>
    <xf numFmtId="0" fontId="8" fillId="0" borderId="0"/>
    <xf numFmtId="0" fontId="8" fillId="0" borderId="0"/>
    <xf numFmtId="0" fontId="8" fillId="0" borderId="0"/>
    <xf numFmtId="0" fontId="6" fillId="0" borderId="0"/>
    <xf numFmtId="0" fontId="6" fillId="0" borderId="0"/>
    <xf numFmtId="0" fontId="6" fillId="0" borderId="0"/>
    <xf numFmtId="0" fontId="8" fillId="0" borderId="0"/>
    <xf numFmtId="0" fontId="8" fillId="0" borderId="0"/>
    <xf numFmtId="0" fontId="8" fillId="0" borderId="0"/>
    <xf numFmtId="0" fontId="6" fillId="0" borderId="0"/>
    <xf numFmtId="266" fontId="154" fillId="0" borderId="0" applyFill="0" applyBorder="0" applyProtection="0">
      <alignment vertical="center"/>
    </xf>
    <xf numFmtId="0" fontId="154" fillId="0" borderId="0" applyFill="0" applyBorder="0" applyProtection="0">
      <alignment vertical="center"/>
    </xf>
    <xf numFmtId="0" fontId="8" fillId="0" borderId="0"/>
    <xf numFmtId="0" fontId="93" fillId="0" borderId="0"/>
    <xf numFmtId="0" fontId="93" fillId="0" borderId="0"/>
    <xf numFmtId="0" fontId="93" fillId="0" borderId="0"/>
    <xf numFmtId="0" fontId="8" fillId="32" borderId="47" applyNumberFormat="0" applyFont="0" applyAlignment="0" applyProtection="0"/>
    <xf numFmtId="0" fontId="8" fillId="32" borderId="47" applyNumberFormat="0" applyFont="0" applyAlignment="0" applyProtection="0"/>
    <xf numFmtId="37" fontId="136" fillId="0" borderId="0"/>
    <xf numFmtId="39" fontId="136" fillId="0" borderId="0"/>
    <xf numFmtId="0" fontId="78" fillId="0" borderId="0" applyNumberFormat="0" applyFill="0" applyBorder="0" applyAlignment="0" applyProtection="0"/>
    <xf numFmtId="0" fontId="176" fillId="0" borderId="0" applyNumberFormat="0" applyAlignment="0"/>
    <xf numFmtId="0" fontId="177" fillId="0" borderId="0" applyNumberFormat="0" applyAlignment="0"/>
    <xf numFmtId="0" fontId="178" fillId="0" borderId="0" applyNumberFormat="0" applyAlignment="0"/>
    <xf numFmtId="0" fontId="179" fillId="0" borderId="0"/>
    <xf numFmtId="0" fontId="218" fillId="39" borderId="48" applyNumberFormat="0" applyAlignment="0" applyProtection="0"/>
    <xf numFmtId="0" fontId="218" fillId="39" borderId="48" applyNumberFormat="0" applyAlignment="0" applyProtection="0"/>
    <xf numFmtId="278" fontId="129" fillId="0" borderId="0" applyFont="0" applyFill="0" applyBorder="0" applyAlignment="0" applyProtection="0">
      <alignment horizontal="right"/>
    </xf>
    <xf numFmtId="0" fontId="129" fillId="0" borderId="0" applyFont="0" applyFill="0" applyBorder="0" applyAlignment="0" applyProtection="0">
      <alignment horizontal="right"/>
    </xf>
    <xf numFmtId="278" fontId="129" fillId="0" borderId="0" applyFont="0" applyFill="0" applyBorder="0" applyAlignment="0" applyProtection="0">
      <alignment horizontal="right"/>
    </xf>
    <xf numFmtId="0" fontId="180" fillId="0" borderId="0" applyFill="0" applyBorder="0" applyProtection="0">
      <alignment horizontal="left"/>
    </xf>
    <xf numFmtId="0" fontId="181" fillId="0" borderId="0" applyFill="0" applyBorder="0" applyProtection="0">
      <alignment horizontal="left"/>
    </xf>
    <xf numFmtId="1" fontId="182" fillId="0" borderId="0" applyProtection="0">
      <alignment horizontal="right" vertical="center"/>
    </xf>
    <xf numFmtId="0" fontId="93" fillId="0" borderId="0" applyNumberFormat="0" applyFill="0" applyBorder="0" applyAlignment="0" applyProtection="0"/>
    <xf numFmtId="305" fontId="207" fillId="46" borderId="0"/>
    <xf numFmtId="176" fontId="129" fillId="0" borderId="0" applyFont="0" applyFill="0" applyBorder="0" applyAlignment="0" applyProtection="0">
      <alignment horizontal="right"/>
    </xf>
    <xf numFmtId="0" fontId="129" fillId="0" borderId="0" applyFont="0" applyFill="0" applyBorder="0" applyAlignment="0" applyProtection="0">
      <alignment horizontal="right"/>
    </xf>
    <xf numFmtId="176" fontId="129" fillId="0" borderId="0" applyFont="0" applyFill="0" applyBorder="0" applyAlignment="0" applyProtection="0">
      <alignment horizontal="right"/>
    </xf>
    <xf numFmtId="9" fontId="129" fillId="0" borderId="0" applyFont="0" applyFill="0" applyBorder="0" applyAlignment="0" applyProtection="0">
      <alignment horizontal="right"/>
    </xf>
    <xf numFmtId="9" fontId="129" fillId="0" borderId="0" applyFont="0" applyFill="0" applyBorder="0" applyAlignment="0" applyProtection="0">
      <alignment horizontal="right"/>
    </xf>
    <xf numFmtId="306" fontId="207" fillId="0" borderId="0"/>
    <xf numFmtId="2" fontId="129" fillId="0" borderId="0"/>
    <xf numFmtId="2" fontId="129" fillId="0" borderId="0"/>
    <xf numFmtId="2" fontId="129" fillId="0" borderId="0"/>
    <xf numFmtId="9" fontId="27" fillId="0" borderId="0" applyFill="0" applyBorder="0" applyProtection="0"/>
    <xf numFmtId="286" fontId="205" fillId="0" borderId="0" applyFont="0" applyFill="0" applyBorder="0" applyAlignment="0" applyProtection="0"/>
    <xf numFmtId="282" fontId="205" fillId="0" borderId="0" applyFont="0" applyFill="0" applyBorder="0" applyAlignment="0" applyProtection="0"/>
    <xf numFmtId="237" fontId="8" fillId="0" borderId="0" applyFont="0" applyFill="0" applyBorder="0" applyAlignment="0" applyProtection="0"/>
    <xf numFmtId="0" fontId="8" fillId="0" borderId="0" applyFont="0" applyFill="0" applyBorder="0" applyAlignment="0" applyProtection="0"/>
    <xf numFmtId="237"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27" fillId="0" borderId="0" applyFont="0" applyFill="0" applyBorder="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7" fillId="4" borderId="0" applyFont="0" applyFill="0" applyBorder="0" applyAlignment="0" applyProtection="0"/>
    <xf numFmtId="9" fontId="27" fillId="0" borderId="0" applyFill="0" applyBorder="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168" fontId="11" fillId="0" borderId="0" applyFont="0" applyFill="0" applyBorder="0" applyAlignment="0" applyProtection="0"/>
    <xf numFmtId="168" fontId="11"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27" fillId="0" borderId="0" applyFill="0" applyBorder="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280" fontId="129" fillId="0" borderId="0" applyFont="0" applyFill="0" applyBorder="0" applyProtection="0">
      <alignment horizontal="right"/>
    </xf>
    <xf numFmtId="280" fontId="129" fillId="0" borderId="0" applyFont="0" applyFill="0" applyBorder="0" applyProtection="0">
      <alignment horizontal="right"/>
    </xf>
    <xf numFmtId="267" fontId="183" fillId="0" borderId="13" applyFont="0" applyFill="0" applyBorder="0" applyAlignment="0">
      <alignment horizontal="right"/>
    </xf>
    <xf numFmtId="0" fontId="183" fillId="0" borderId="13" applyFont="0" applyFill="0" applyBorder="0" applyAlignment="0">
      <alignment horizontal="right"/>
    </xf>
    <xf numFmtId="0" fontId="183" fillId="0" borderId="13" applyFont="0" applyFill="0" applyBorder="0" applyAlignment="0">
      <alignment horizontal="right"/>
    </xf>
    <xf numFmtId="267" fontId="183" fillId="0" borderId="13" applyFont="0" applyFill="0" applyBorder="0" applyAlignment="0">
      <alignment horizontal="right"/>
    </xf>
    <xf numFmtId="268" fontId="144" fillId="0" borderId="0" applyFont="0" applyFill="0" applyBorder="0"/>
    <xf numFmtId="0" fontId="144" fillId="0" borderId="0" applyFont="0" applyFill="0" applyBorder="0"/>
    <xf numFmtId="261" fontId="154" fillId="0" borderId="0" applyFill="0" applyBorder="0" applyProtection="0">
      <alignment vertical="center"/>
    </xf>
    <xf numFmtId="0" fontId="154" fillId="0" borderId="0" applyFill="0" applyBorder="0" applyProtection="0">
      <alignment vertical="center"/>
    </xf>
    <xf numFmtId="268" fontId="144" fillId="0" borderId="0" applyFont="0" applyFill="0"/>
    <xf numFmtId="0" fontId="144" fillId="0" borderId="0" applyFont="0" applyFill="0"/>
    <xf numFmtId="0" fontId="78" fillId="0" borderId="0"/>
    <xf numFmtId="237" fontId="129" fillId="0" borderId="0" applyFont="0" applyFill="0" applyBorder="0" applyAlignment="0" applyProtection="0"/>
    <xf numFmtId="0" fontId="129" fillId="0" borderId="0" applyFont="0" applyFill="0" applyBorder="0" applyAlignment="0" applyProtection="0"/>
    <xf numFmtId="237" fontId="129" fillId="0" borderId="0" applyFont="0" applyFill="0" applyBorder="0" applyAlignment="0" applyProtection="0"/>
    <xf numFmtId="8" fontId="129" fillId="0" borderId="0" applyFont="0" applyFill="0" applyBorder="0" applyAlignment="0" applyProtection="0"/>
    <xf numFmtId="8" fontId="129" fillId="0" borderId="0" applyFont="0" applyFill="0" applyBorder="0" applyAlignment="0" applyProtection="0"/>
    <xf numFmtId="221" fontId="129" fillId="0" borderId="0" applyFont="0" applyFill="0" applyBorder="0" applyAlignment="0" applyProtection="0">
      <protection locked="0"/>
    </xf>
    <xf numFmtId="0" fontId="129" fillId="0" borderId="0" applyFont="0" applyFill="0" applyBorder="0" applyAlignment="0" applyProtection="0">
      <protection locked="0"/>
    </xf>
    <xf numFmtId="221" fontId="129" fillId="0" borderId="0" applyFont="0" applyFill="0" applyBorder="0" applyAlignment="0" applyProtection="0">
      <protection locked="0"/>
    </xf>
    <xf numFmtId="225" fontId="11" fillId="0" borderId="0" applyFill="0" applyBorder="0" applyAlignment="0" applyProtection="0"/>
    <xf numFmtId="0" fontId="11" fillId="0" borderId="0" applyFill="0" applyBorder="0" applyAlignment="0" applyProtection="0"/>
    <xf numFmtId="225" fontId="11" fillId="0" borderId="0" applyFill="0" applyBorder="0" applyAlignment="0" applyProtection="0"/>
    <xf numFmtId="225" fontId="11" fillId="0" borderId="0" applyFill="0" applyBorder="0" applyAlignment="0" applyProtection="0"/>
    <xf numFmtId="185" fontId="29" fillId="3" borderId="0">
      <alignment horizontal="center"/>
    </xf>
    <xf numFmtId="290" fontId="205" fillId="0" borderId="0" applyFill="0" applyBorder="0" applyAlignment="0"/>
    <xf numFmtId="283"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221" fontId="129" fillId="0" borderId="0" applyFill="0" applyBorder="0" applyAlignment="0" applyProtection="0"/>
    <xf numFmtId="0" fontId="129" fillId="0" borderId="0" applyFill="0" applyBorder="0" applyAlignment="0" applyProtection="0"/>
    <xf numFmtId="221" fontId="129" fillId="0" borderId="0" applyFill="0" applyBorder="0" applyAlignment="0" applyProtection="0"/>
    <xf numFmtId="221" fontId="129" fillId="0" borderId="0" applyFill="0" applyBorder="0" applyAlignment="0" applyProtection="0"/>
    <xf numFmtId="38" fontId="129" fillId="0" borderId="0" applyFont="0" applyFill="0" applyBorder="0" applyAlignment="0" applyProtection="0"/>
    <xf numFmtId="38" fontId="129" fillId="0" borderId="0" applyFont="0" applyFill="0" applyBorder="0" applyAlignment="0" applyProtection="0"/>
    <xf numFmtId="0" fontId="97" fillId="0" borderId="0"/>
    <xf numFmtId="0" fontId="129" fillId="0" borderId="0" applyFont="0" applyFill="0" applyBorder="0" applyAlignment="0" applyProtection="0">
      <alignment horizontal="right"/>
    </xf>
    <xf numFmtId="10" fontId="129" fillId="0" borderId="0"/>
    <xf numFmtId="10" fontId="129" fillId="0" borderId="0"/>
    <xf numFmtId="10" fontId="129" fillId="50" borderId="0"/>
    <xf numFmtId="10" fontId="129" fillId="50" borderId="0"/>
    <xf numFmtId="10" fontId="129" fillId="50" borderId="0"/>
    <xf numFmtId="9" fontId="129" fillId="0" borderId="0" applyFont="0" applyFill="0" applyBorder="0" applyAlignment="0" applyProtection="0"/>
    <xf numFmtId="0" fontId="84" fillId="0" borderId="0" applyNumberFormat="0" applyFont="0" applyFill="0" applyBorder="0" applyAlignment="0" applyProtection="0">
      <alignment horizontal="left"/>
    </xf>
    <xf numFmtId="15" fontId="84" fillId="0" borderId="0" applyFont="0" applyFill="0" applyBorder="0" applyAlignment="0" applyProtection="0"/>
    <xf numFmtId="4" fontId="84" fillId="0" borderId="0" applyFont="0" applyFill="0" applyBorder="0" applyAlignment="0" applyProtection="0"/>
    <xf numFmtId="0" fontId="60" fillId="0" borderId="8">
      <alignment horizontal="center"/>
    </xf>
    <xf numFmtId="3" fontId="84" fillId="0" borderId="0" applyFont="0" applyFill="0" applyBorder="0" applyAlignment="0" applyProtection="0"/>
    <xf numFmtId="0" fontId="84" fillId="41" borderId="0" applyNumberFormat="0" applyFont="0" applyBorder="0" applyAlignment="0" applyProtection="0"/>
    <xf numFmtId="0" fontId="219" fillId="0" borderId="0"/>
    <xf numFmtId="307" fontId="207" fillId="19" borderId="0"/>
    <xf numFmtId="0" fontId="220" fillId="0" borderId="0">
      <alignment horizontal="center"/>
    </xf>
    <xf numFmtId="0" fontId="207" fillId="0" borderId="13">
      <alignment horizontal="centerContinuous"/>
    </xf>
    <xf numFmtId="0" fontId="207" fillId="0" borderId="13">
      <alignment horizontal="centerContinuous"/>
    </xf>
    <xf numFmtId="308" fontId="207" fillId="19" borderId="0">
      <alignment horizontal="right"/>
    </xf>
    <xf numFmtId="0" fontId="95" fillId="0" borderId="0">
      <alignment vertical="top"/>
    </xf>
    <xf numFmtId="0" fontId="95" fillId="0" borderId="0">
      <alignment vertical="top"/>
    </xf>
    <xf numFmtId="0" fontId="95" fillId="0" borderId="0">
      <alignment vertical="top"/>
    </xf>
    <xf numFmtId="309" fontId="207" fillId="19" borderId="23">
      <alignment horizontal="right"/>
    </xf>
    <xf numFmtId="0" fontId="204" fillId="0" borderId="0"/>
    <xf numFmtId="221" fontId="155" fillId="0" borderId="0" applyFont="0" applyFill="0" applyBorder="0" applyAlignment="0" applyProtection="0"/>
    <xf numFmtId="0" fontId="155" fillId="0" borderId="0" applyFont="0" applyFill="0" applyBorder="0" applyAlignment="0" applyProtection="0"/>
    <xf numFmtId="221" fontId="155" fillId="0" borderId="0" applyFont="0" applyFill="0" applyBorder="0" applyAlignment="0" applyProtection="0"/>
    <xf numFmtId="0" fontId="130" fillId="0" borderId="23" applyNumberFormat="0" applyBorder="0" applyAlignment="0"/>
    <xf numFmtId="0" fontId="130" fillId="0" borderId="23" applyNumberFormat="0" applyBorder="0" applyAlignment="0"/>
    <xf numFmtId="0" fontId="130" fillId="0" borderId="23" applyNumberFormat="0" applyBorder="0" applyAlignment="0"/>
    <xf numFmtId="0" fontId="84" fillId="16" borderId="22" applyNumberFormat="0" applyFont="0" applyBorder="0" applyAlignment="0" applyProtection="0">
      <alignment horizontal="center"/>
    </xf>
    <xf numFmtId="14" fontId="96" fillId="0" borderId="0" applyNumberFormat="0" applyFill="0" applyBorder="0" applyAlignment="0" applyProtection="0">
      <alignment horizontal="left"/>
    </xf>
    <xf numFmtId="0" fontId="221" fillId="0" borderId="0" applyNumberFormat="0" applyFill="0" applyBorder="0" applyProtection="0">
      <alignment horizontal="right" vertical="center"/>
    </xf>
    <xf numFmtId="0" fontId="159" fillId="0" borderId="49">
      <alignment vertical="center"/>
    </xf>
    <xf numFmtId="0" fontId="8" fillId="15" borderId="0">
      <alignment horizontal="right"/>
    </xf>
    <xf numFmtId="0" fontId="8" fillId="15" borderId="0">
      <alignment horizontal="right"/>
    </xf>
    <xf numFmtId="0" fontId="95" fillId="51" borderId="0" applyNumberFormat="0" applyFont="0" applyBorder="0" applyAlignment="0" applyProtection="0"/>
    <xf numFmtId="170" fontId="95" fillId="0" borderId="13" applyFont="0" applyFill="0" applyBorder="0" applyAlignment="0" applyProtection="0">
      <alignment horizontal="right"/>
    </xf>
    <xf numFmtId="0" fontId="95" fillId="0" borderId="13" applyFont="0" applyFill="0" applyBorder="0" applyAlignment="0" applyProtection="0">
      <alignment horizontal="right"/>
    </xf>
    <xf numFmtId="0" fontId="95" fillId="0" borderId="13" applyFont="0" applyFill="0" applyBorder="0" applyAlignment="0" applyProtection="0">
      <alignment horizontal="right"/>
    </xf>
    <xf numFmtId="170" fontId="95" fillId="0" borderId="13" applyFont="0" applyFill="0" applyBorder="0" applyAlignment="0" applyProtection="0">
      <alignment horizontal="right"/>
    </xf>
    <xf numFmtId="170" fontId="95" fillId="0" borderId="13" applyFont="0" applyFill="0" applyBorder="0" applyAlignment="0" applyProtection="0">
      <alignment horizontal="right"/>
    </xf>
    <xf numFmtId="170" fontId="95" fillId="0" borderId="13" applyFont="0" applyFill="0" applyBorder="0" applyAlignment="0" applyProtection="0">
      <alignment horizontal="right"/>
    </xf>
    <xf numFmtId="210" fontId="129" fillId="0" borderId="0" applyFill="0" applyBorder="0" applyAlignment="0" applyProtection="0">
      <protection locked="0"/>
    </xf>
    <xf numFmtId="0" fontId="129" fillId="0" borderId="0" applyFill="0" applyBorder="0" applyAlignment="0" applyProtection="0">
      <protection locked="0"/>
    </xf>
    <xf numFmtId="210" fontId="129" fillId="0" borderId="0" applyFill="0" applyBorder="0" applyAlignment="0" applyProtection="0">
      <protection locked="0"/>
    </xf>
    <xf numFmtId="210" fontId="129" fillId="0" borderId="0" applyFill="0" applyBorder="0" applyAlignment="0" applyProtection="0">
      <protection locked="0"/>
    </xf>
    <xf numFmtId="0" fontId="132" fillId="0" borderId="0" applyNumberFormat="0" applyFill="0" applyBorder="0" applyAlignment="0" applyProtection="0"/>
    <xf numFmtId="0" fontId="140" fillId="0" borderId="0" applyNumberFormat="0" applyAlignment="0"/>
    <xf numFmtId="218" fontId="95" fillId="0" borderId="0" applyFill="0" applyBorder="0" applyProtection="0">
      <alignment horizontal="right"/>
    </xf>
    <xf numFmtId="0" fontId="95" fillId="0" borderId="0" applyFill="0" applyBorder="0" applyProtection="0">
      <alignment horizontal="right"/>
    </xf>
    <xf numFmtId="0" fontId="129" fillId="0" borderId="0"/>
    <xf numFmtId="222" fontId="11" fillId="0" borderId="0" applyFill="0" applyBorder="0" applyAlignment="0" applyProtection="0"/>
    <xf numFmtId="0" fontId="11" fillId="0" borderId="0" applyFill="0" applyBorder="0" applyAlignment="0" applyProtection="0"/>
    <xf numFmtId="222" fontId="11" fillId="0" borderId="0" applyFill="0" applyBorder="0" applyAlignment="0" applyProtection="0"/>
    <xf numFmtId="222" fontId="11" fillId="0" borderId="0" applyFill="0" applyBorder="0" applyAlignment="0" applyProtection="0"/>
    <xf numFmtId="0" fontId="155" fillId="0" borderId="0" applyFont="0" applyFill="0" applyBorder="0" applyAlignment="0" applyProtection="0">
      <alignment horizontal="right"/>
    </xf>
    <xf numFmtId="0" fontId="8" fillId="0" borderId="0" applyFont="0" applyFill="0" applyBorder="0" applyAlignment="0" applyProtection="0"/>
    <xf numFmtId="0" fontId="8" fillId="0" borderId="0">
      <alignment vertical="top"/>
    </xf>
    <xf numFmtId="0" fontId="222" fillId="51" borderId="0" applyNumberFormat="0" applyBorder="0" applyAlignment="0" applyProtection="0"/>
    <xf numFmtId="0" fontId="86" fillId="0" borderId="0" applyNumberFormat="0" applyFill="0" applyBorder="0" applyAlignment="0" applyProtection="0"/>
    <xf numFmtId="0" fontId="14" fillId="51" borderId="0" applyNumberFormat="0" applyBorder="0" applyAlignment="0" applyProtection="0"/>
    <xf numFmtId="0" fontId="19" fillId="0" borderId="0" applyNumberFormat="0" applyFill="0" applyBorder="0" applyAlignment="0" applyProtection="0"/>
    <xf numFmtId="0" fontId="9" fillId="0" borderId="0" applyNumberFormat="0" applyFill="0" applyBorder="0" applyAlignment="0" applyProtection="0"/>
    <xf numFmtId="0" fontId="21" fillId="15" borderId="0" applyNumberFormat="0" applyBorder="0" applyAlignment="0" applyProtection="0"/>
    <xf numFmtId="0" fontId="223" fillId="15" borderId="0" applyNumberFormat="0" applyBorder="0" applyAlignment="0" applyProtection="0"/>
    <xf numFmtId="0" fontId="8" fillId="0" borderId="0" applyNumberFormat="0" applyFont="0" applyFill="0" applyBorder="0" applyProtection="0">
      <alignment horizontal="right"/>
    </xf>
    <xf numFmtId="0" fontId="8" fillId="0" borderId="0" applyNumberFormat="0" applyFont="0" applyFill="0" applyBorder="0" applyProtection="0">
      <alignment horizontal="left"/>
    </xf>
    <xf numFmtId="0" fontId="8" fillId="0" borderId="0">
      <alignment vertical="top"/>
    </xf>
    <xf numFmtId="0" fontId="11" fillId="0" borderId="0" applyNumberFormat="0" applyFill="0" applyBorder="0" applyAlignment="0" applyProtection="0"/>
    <xf numFmtId="0" fontId="18" fillId="0" borderId="0" applyNumberFormat="0" applyFill="0" applyBorder="0" applyAlignment="0" applyProtection="0"/>
    <xf numFmtId="0" fontId="8" fillId="52" borderId="0" applyNumberFormat="0" applyFont="0" applyBorder="0" applyAlignment="0" applyProtection="0"/>
    <xf numFmtId="0" fontId="8" fillId="0" borderId="0" applyFont="0" applyFill="0" applyBorder="0" applyAlignment="0" applyProtection="0"/>
    <xf numFmtId="2" fontId="8" fillId="0" borderId="0" applyFont="0" applyFill="0" applyBorder="0" applyAlignment="0" applyProtection="0"/>
    <xf numFmtId="0" fontId="8" fillId="0" borderId="0" applyFont="0" applyFill="0" applyBorder="0" applyAlignment="0" applyProtection="0"/>
    <xf numFmtId="0" fontId="8" fillId="0" borderId="0" applyNumberFormat="0" applyFill="0" applyBorder="0" applyProtection="0">
      <alignment wrapText="1"/>
    </xf>
    <xf numFmtId="0" fontId="8" fillId="0" borderId="8" applyNumberFormat="0" applyFont="0" applyFill="0" applyAlignment="0" applyProtection="0"/>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99" fillId="0" borderId="0" applyNumberFormat="0" applyFill="0" applyBorder="0" applyAlignment="0" applyProtection="0">
      <alignment horizontal="right" vertical="center" wrapText="1"/>
    </xf>
    <xf numFmtId="0" fontId="102" fillId="0" borderId="14" applyNumberFormat="0" applyFill="0" applyProtection="0">
      <alignment horizontal="right"/>
    </xf>
    <xf numFmtId="0" fontId="106" fillId="0" borderId="0" applyFill="0" applyBorder="0" applyAlignment="0" applyProtection="0"/>
    <xf numFmtId="0" fontId="224" fillId="0" borderId="0" applyFill="0" applyBorder="0" applyAlignment="0" applyProtection="0">
      <alignment horizontal="left"/>
      <protection locked="0"/>
    </xf>
    <xf numFmtId="0" fontId="224" fillId="0" borderId="0" applyFill="0" applyBorder="0" applyAlignment="0" applyProtection="0"/>
    <xf numFmtId="0" fontId="225" fillId="0" borderId="0" applyFill="0" applyBorder="0" applyAlignment="0" applyProtection="0">
      <alignment horizontal="left"/>
      <protection locked="0"/>
    </xf>
    <xf numFmtId="0" fontId="225" fillId="0" borderId="0" applyFill="0" applyBorder="0" applyAlignment="0" applyProtection="0">
      <protection locked="0"/>
    </xf>
    <xf numFmtId="0" fontId="129" fillId="0" borderId="0" applyFill="0" applyBorder="0" applyAlignment="0" applyProtection="0">
      <protection locked="0"/>
    </xf>
    <xf numFmtId="40" fontId="8" fillId="0" borderId="0" applyBorder="0">
      <alignment horizontal="right"/>
    </xf>
    <xf numFmtId="40" fontId="8" fillId="0" borderId="0" applyBorder="0">
      <alignment horizontal="right"/>
    </xf>
    <xf numFmtId="0" fontId="106" fillId="0" borderId="0" applyFill="0" applyBorder="0" applyAlignment="0" applyProtection="0"/>
    <xf numFmtId="0" fontId="8" fillId="0" borderId="20" applyBorder="0">
      <alignment horizontal="center"/>
    </xf>
    <xf numFmtId="0" fontId="8" fillId="0" borderId="20" applyBorder="0">
      <alignment horizontal="center"/>
    </xf>
    <xf numFmtId="37" fontId="18" fillId="0" borderId="0" applyNumberFormat="0" applyFont="0" applyBorder="0" applyAlignment="0">
      <alignment horizontal="center"/>
    </xf>
    <xf numFmtId="0" fontId="29" fillId="0" borderId="0" applyFill="0" applyBorder="0" applyProtection="0">
      <alignment horizontal="center" vertical="center"/>
    </xf>
    <xf numFmtId="0" fontId="103" fillId="0" borderId="13" applyNumberFormat="0" applyFill="0" applyProtection="0"/>
    <xf numFmtId="233" fontId="95" fillId="0" borderId="13" applyBorder="0" applyProtection="0">
      <alignment horizontal="right" vertical="center"/>
    </xf>
    <xf numFmtId="0" fontId="95" fillId="0" borderId="13" applyBorder="0" applyProtection="0">
      <alignment horizontal="right" vertical="center"/>
    </xf>
    <xf numFmtId="0" fontId="95" fillId="0" borderId="13" applyBorder="0" applyProtection="0">
      <alignment horizontal="right" vertical="center"/>
    </xf>
    <xf numFmtId="233" fontId="95" fillId="0" borderId="13" applyBorder="0" applyProtection="0">
      <alignment horizontal="right" vertical="center"/>
    </xf>
    <xf numFmtId="233" fontId="95" fillId="0" borderId="13" applyBorder="0" applyProtection="0">
      <alignment horizontal="right" vertical="center"/>
    </xf>
    <xf numFmtId="233" fontId="95" fillId="0" borderId="13" applyBorder="0" applyProtection="0">
      <alignment horizontal="right" vertical="center"/>
    </xf>
    <xf numFmtId="233" fontId="95" fillId="0" borderId="13" applyBorder="0" applyProtection="0">
      <alignment horizontal="right" vertical="center"/>
    </xf>
    <xf numFmtId="0" fontId="184" fillId="53" borderId="0" applyBorder="0" applyProtection="0">
      <alignment horizontal="centerContinuous" vertical="center"/>
    </xf>
    <xf numFmtId="0" fontId="184" fillId="15" borderId="13" applyBorder="0" applyProtection="0">
      <alignment horizontal="centerContinuous" vertical="center"/>
    </xf>
    <xf numFmtId="0" fontId="184" fillId="15" borderId="13" applyBorder="0" applyProtection="0">
      <alignment horizontal="centerContinuous" vertical="center"/>
    </xf>
    <xf numFmtId="0" fontId="185" fillId="0" borderId="0" applyBorder="0" applyProtection="0">
      <alignment vertical="center"/>
    </xf>
    <xf numFmtId="0" fontId="160" fillId="0" borderId="0" applyNumberFormat="0" applyFill="0" applyBorder="0" applyProtection="0">
      <alignment horizontal="left"/>
    </xf>
    <xf numFmtId="0" fontId="29" fillId="0" borderId="0" applyFill="0" applyBorder="0" applyProtection="0"/>
    <xf numFmtId="0" fontId="186" fillId="0" borderId="0" applyFill="0" applyBorder="0" applyProtection="0">
      <alignment vertical="center"/>
    </xf>
    <xf numFmtId="0" fontId="80" fillId="0" borderId="0">
      <alignment vertical="center"/>
    </xf>
    <xf numFmtId="0" fontId="80" fillId="0" borderId="0">
      <alignment vertical="center"/>
    </xf>
    <xf numFmtId="0" fontId="104" fillId="0" borderId="0">
      <alignment vertical="center"/>
    </xf>
    <xf numFmtId="0" fontId="187" fillId="0" borderId="0" applyFill="0" applyBorder="0" applyProtection="0">
      <alignment horizontal="left"/>
    </xf>
    <xf numFmtId="0" fontId="160" fillId="0" borderId="20" applyFill="0" applyBorder="0" applyProtection="0">
      <alignment horizontal="left" vertical="top"/>
    </xf>
    <xf numFmtId="0" fontId="188" fillId="0" borderId="0"/>
    <xf numFmtId="203" fontId="189" fillId="0" borderId="0" applyNumberFormat="0" applyFill="0" applyBorder="0">
      <alignment horizontal="left"/>
    </xf>
    <xf numFmtId="0" fontId="189" fillId="0" borderId="0" applyNumberFormat="0" applyFill="0" applyBorder="0">
      <alignment horizontal="left"/>
    </xf>
    <xf numFmtId="203" fontId="189" fillId="0" borderId="0" applyNumberFormat="0" applyFill="0" applyBorder="0">
      <alignment horizontal="right"/>
    </xf>
    <xf numFmtId="0" fontId="189" fillId="0" borderId="0" applyNumberFormat="0" applyFill="0" applyBorder="0">
      <alignment horizontal="right"/>
    </xf>
    <xf numFmtId="203" fontId="190" fillId="0" borderId="0" applyNumberFormat="0" applyFill="0" applyBorder="0">
      <alignment horizontal="right"/>
    </xf>
    <xf numFmtId="0" fontId="190" fillId="0" borderId="0" applyNumberFormat="0" applyFill="0" applyBorder="0">
      <alignment horizontal="right"/>
    </xf>
    <xf numFmtId="49" fontId="226" fillId="0" borderId="0"/>
    <xf numFmtId="0" fontId="191" fillId="0" borderId="20" applyFill="0" applyBorder="0" applyProtection="0"/>
    <xf numFmtId="0" fontId="191" fillId="0" borderId="0"/>
    <xf numFmtId="0" fontId="192" fillId="0" borderId="0" applyNumberFormat="0" applyFill="0" applyBorder="0" applyProtection="0"/>
    <xf numFmtId="0" fontId="193" fillId="0" borderId="0" applyFill="0" applyBorder="0" applyProtection="0"/>
    <xf numFmtId="0" fontId="194" fillId="0" borderId="0"/>
    <xf numFmtId="0" fontId="193" fillId="0" borderId="0" applyNumberFormat="0" applyFill="0" applyBorder="0" applyProtection="0"/>
    <xf numFmtId="0" fontId="195" fillId="0" borderId="0" applyFill="0" applyBorder="0" applyProtection="0"/>
    <xf numFmtId="0" fontId="192" fillId="0" borderId="0" applyNumberFormat="0" applyFill="0" applyBorder="0" applyProtection="0"/>
    <xf numFmtId="0" fontId="192" fillId="0" borderId="0"/>
    <xf numFmtId="49" fontId="127" fillId="0" borderId="0" applyFill="0" applyBorder="0" applyAlignment="0"/>
    <xf numFmtId="288" fontId="205" fillId="0" borderId="0" applyFill="0" applyBorder="0" applyAlignment="0"/>
    <xf numFmtId="289" fontId="205" fillId="0" borderId="0" applyFill="0" applyBorder="0" applyAlignment="0"/>
    <xf numFmtId="0" fontId="87" fillId="0" borderId="0" applyNumberFormat="0" applyFill="0" applyBorder="0"/>
    <xf numFmtId="11" fontId="129" fillId="0" borderId="0" applyFont="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0" fontId="155" fillId="0" borderId="0" applyFill="0" applyBorder="0" applyAlignment="0" applyProtection="0"/>
    <xf numFmtId="0"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0" fontId="227" fillId="0" borderId="0">
      <alignment horizontal="center"/>
    </xf>
    <xf numFmtId="221" fontId="196" fillId="0" borderId="50"/>
    <xf numFmtId="0" fontId="196" fillId="0" borderId="50"/>
    <xf numFmtId="221" fontId="197" fillId="0" borderId="0" applyNumberFormat="0" applyFill="0" applyBorder="0" applyAlignment="0" applyProtection="0"/>
    <xf numFmtId="0" fontId="19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38" fontId="228" fillId="0" borderId="0" applyFill="0" applyBorder="0" applyAlignment="0" applyProtection="0">
      <alignment horizontal="left"/>
    </xf>
    <xf numFmtId="291" fontId="229" fillId="54" borderId="0" applyNumberFormat="0" applyBorder="0">
      <alignment horizontal="center"/>
      <protection locked="0"/>
    </xf>
    <xf numFmtId="291" fontId="23" fillId="49" borderId="0" applyNumberFormat="0" applyBorder="0">
      <alignment horizontal="left"/>
      <protection locked="0"/>
    </xf>
    <xf numFmtId="291" fontId="230" fillId="44" borderId="0" applyNumberFormat="0" applyBorder="0">
      <alignment horizontal="center"/>
      <protection locked="0"/>
    </xf>
    <xf numFmtId="291" fontId="230" fillId="49" borderId="0" applyNumberFormat="0" applyBorder="0">
      <alignment horizontal="left"/>
      <protection locked="0"/>
    </xf>
    <xf numFmtId="291" fontId="63" fillId="44" borderId="0" applyNumberFormat="0" applyBorder="0">
      <protection locked="0"/>
    </xf>
    <xf numFmtId="291" fontId="23" fillId="55" borderId="0" applyNumberFormat="0" applyBorder="0">
      <alignment horizontal="left"/>
      <protection locked="0"/>
    </xf>
    <xf numFmtId="291" fontId="231" fillId="44" borderId="0" applyNumberFormat="0" applyBorder="0">
      <protection locked="0"/>
    </xf>
    <xf numFmtId="0" fontId="232" fillId="0" borderId="0"/>
    <xf numFmtId="0" fontId="193" fillId="0" borderId="0"/>
    <xf numFmtId="0" fontId="192" fillId="0" borderId="0"/>
    <xf numFmtId="0" fontId="198" fillId="0" borderId="0" applyFill="0" applyBorder="0" applyProtection="0">
      <alignment vertical="center"/>
    </xf>
    <xf numFmtId="0" fontId="198" fillId="0" borderId="0" applyFill="0" applyBorder="0" applyProtection="0">
      <alignment vertical="center"/>
    </xf>
    <xf numFmtId="269" fontId="198" fillId="0" borderId="0" applyFill="0" applyBorder="0" applyProtection="0">
      <alignment vertical="center"/>
    </xf>
    <xf numFmtId="255" fontId="198" fillId="0" borderId="0" applyFill="0" applyBorder="0" applyProtection="0"/>
    <xf numFmtId="0" fontId="198" fillId="0" borderId="0" applyFill="0" applyBorder="0" applyProtection="0"/>
    <xf numFmtId="291" fontId="23" fillId="48" borderId="0" applyNumberFormat="0" applyBorder="0">
      <protection locked="0"/>
    </xf>
    <xf numFmtId="291" fontId="233" fillId="56" borderId="0" applyNumberFormat="0" applyBorder="0">
      <protection locked="0"/>
    </xf>
    <xf numFmtId="291" fontId="234" fillId="56" borderId="0" applyNumberFormat="0" applyBorder="0">
      <protection locked="0"/>
    </xf>
    <xf numFmtId="291" fontId="23" fillId="49" borderId="0" applyNumberFormat="0" applyBorder="0">
      <protection locked="0"/>
    </xf>
    <xf numFmtId="291" fontId="23" fillId="49" borderId="0" applyNumberFormat="0" applyBorder="0">
      <protection locked="0"/>
    </xf>
    <xf numFmtId="291" fontId="23" fillId="49" borderId="0" applyNumberFormat="0" applyBorder="0">
      <protection locked="0"/>
    </xf>
    <xf numFmtId="270" fontId="198" fillId="0" borderId="0" applyFill="0" applyBorder="0" applyProtection="0"/>
    <xf numFmtId="0" fontId="198" fillId="0" borderId="0" applyFill="0" applyBorder="0" applyProtection="0"/>
    <xf numFmtId="291" fontId="235" fillId="57" borderId="0" applyNumberFormat="0" applyBorder="0">
      <protection locked="0"/>
    </xf>
    <xf numFmtId="258" fontId="198" fillId="0" borderId="27" applyFill="0" applyBorder="0" applyProtection="0">
      <alignment vertical="center"/>
    </xf>
    <xf numFmtId="0" fontId="198" fillId="0" borderId="27" applyFill="0" applyBorder="0" applyProtection="0">
      <alignment vertical="center"/>
    </xf>
    <xf numFmtId="0" fontId="8" fillId="0" borderId="26">
      <protection locked="0"/>
    </xf>
    <xf numFmtId="0" fontId="8" fillId="0" borderId="26">
      <protection locked="0"/>
    </xf>
    <xf numFmtId="185" fontId="8" fillId="0" borderId="26">
      <alignment horizontal="right"/>
      <protection locked="0"/>
    </xf>
    <xf numFmtId="0" fontId="8" fillId="0" borderId="26">
      <alignment horizontal="right"/>
      <protection locked="0"/>
    </xf>
    <xf numFmtId="185" fontId="8" fillId="0" borderId="26">
      <alignment horizontal="right"/>
      <protection locked="0"/>
    </xf>
    <xf numFmtId="40" fontId="204" fillId="0" borderId="0"/>
    <xf numFmtId="0" fontId="27" fillId="0" borderId="0"/>
    <xf numFmtId="0" fontId="236" fillId="0" borderId="0"/>
    <xf numFmtId="38" fontId="236" fillId="0" borderId="0"/>
    <xf numFmtId="0" fontId="199" fillId="0" borderId="0">
      <alignment horizontal="fill"/>
    </xf>
    <xf numFmtId="37" fontId="200" fillId="0" borderId="0"/>
    <xf numFmtId="221" fontId="11" fillId="47" borderId="42">
      <alignment horizontal="right"/>
    </xf>
    <xf numFmtId="221" fontId="18" fillId="47" borderId="42"/>
    <xf numFmtId="0" fontId="10" fillId="58" borderId="51">
      <alignment horizontal="left"/>
    </xf>
    <xf numFmtId="0" fontId="10" fillId="58" borderId="51">
      <alignment horizontal="left"/>
    </xf>
    <xf numFmtId="0" fontId="10" fillId="58" borderId="51">
      <alignment horizontal="left"/>
    </xf>
    <xf numFmtId="271" fontId="8" fillId="0" borderId="0" applyFont="0" applyFill="0" applyBorder="0" applyAlignment="0" applyProtection="0"/>
    <xf numFmtId="263" fontId="8" fillId="0" borderId="0" applyFon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272" fontId="17" fillId="0" borderId="0"/>
    <xf numFmtId="0" fontId="17" fillId="0" borderId="0"/>
    <xf numFmtId="1" fontId="129" fillId="0" borderId="0" applyFont="0" applyFill="0" applyBorder="0" applyAlignment="0" applyProtection="0"/>
    <xf numFmtId="1" fontId="129" fillId="0" borderId="0" applyFont="0" applyFill="0" applyBorder="0" applyAlignment="0" applyProtection="0"/>
    <xf numFmtId="0" fontId="201" fillId="0" borderId="0"/>
    <xf numFmtId="1" fontId="201" fillId="0" borderId="0"/>
    <xf numFmtId="203" fontId="27" fillId="0" borderId="0"/>
    <xf numFmtId="0"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1" fontId="110" fillId="0" borderId="3" applyFill="0" applyProtection="0">
      <alignment horizontal="right"/>
    </xf>
    <xf numFmtId="273" fontId="8" fillId="0" borderId="0"/>
    <xf numFmtId="0" fontId="8" fillId="0" borderId="0"/>
    <xf numFmtId="273" fontId="8" fillId="0" borderId="0"/>
    <xf numFmtId="1" fontId="237" fillId="0" borderId="0">
      <alignment horizontal="right"/>
    </xf>
    <xf numFmtId="274" fontId="202" fillId="0" borderId="0" applyFont="0" applyFill="0" applyBorder="0">
      <alignment horizontal="right"/>
    </xf>
    <xf numFmtId="0" fontId="202" fillId="0" borderId="0" applyFont="0" applyFill="0" applyBorder="0">
      <alignment horizontal="right"/>
    </xf>
    <xf numFmtId="0" fontId="87" fillId="54" borderId="52" applyNumberFormat="0" applyFont="0" applyBorder="0" applyAlignment="0" applyProtection="0">
      <alignment horizontal="right"/>
    </xf>
    <xf numFmtId="224" fontId="11" fillId="0" borderId="0" applyFill="0" applyBorder="0" applyAlignment="0" applyProtection="0"/>
    <xf numFmtId="0" fontId="11" fillId="0" borderId="0" applyFill="0" applyBorder="0" applyAlignment="0" applyProtection="0"/>
    <xf numFmtId="224" fontId="11" fillId="0" borderId="0" applyFill="0" applyBorder="0" applyAlignment="0" applyProtection="0"/>
    <xf numFmtId="224" fontId="11" fillId="0" borderId="0" applyFill="0" applyBorder="0" applyAlignment="0" applyProtection="0"/>
    <xf numFmtId="9" fontId="205"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0" fontId="206" fillId="0" borderId="0"/>
    <xf numFmtId="0" fontId="203" fillId="0" borderId="0"/>
    <xf numFmtId="0" fontId="8" fillId="0" borderId="0"/>
    <xf numFmtId="0" fontId="6" fillId="0" borderId="0"/>
    <xf numFmtId="37" fontId="27" fillId="0" borderId="0" applyFill="0" applyBorder="0"/>
    <xf numFmtId="7" fontId="29" fillId="0" borderId="1" applyFont="0" applyFill="0" applyBorder="0" applyProtection="0"/>
    <xf numFmtId="9" fontId="27" fillId="0" borderId="0" applyFont="0" applyFill="0" applyBorder="0" applyProtection="0"/>
    <xf numFmtId="0" fontId="5" fillId="0" borderId="0"/>
    <xf numFmtId="43" fontId="2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9" fontId="4" fillId="0" borderId="0" applyFont="0" applyFill="0" applyBorder="0" applyAlignment="0" applyProtection="0"/>
    <xf numFmtId="0" fontId="4" fillId="0" borderId="0"/>
    <xf numFmtId="0" fontId="243" fillId="0" borderId="0"/>
    <xf numFmtId="9" fontId="243" fillId="0" borderId="0" applyFont="0" applyFill="0" applyBorder="0" applyAlignment="0" applyProtection="0"/>
    <xf numFmtId="0" fontId="8" fillId="0" borderId="0" applyNumberFormat="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2" fontId="8" fillId="0" borderId="0" applyFont="0" applyFill="0" applyBorder="0" applyAlignment="0" applyProtection="0"/>
    <xf numFmtId="0" fontId="8" fillId="8" borderId="0" applyNumberFormat="0" applyFont="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311" fontId="8" fillId="9" borderId="3" applyFont="0">
      <alignment horizontal="right"/>
    </xf>
    <xf numFmtId="311" fontId="8" fillId="9" borderId="3" applyFont="0">
      <alignment horizontal="right"/>
    </xf>
    <xf numFmtId="311" fontId="8" fillId="9" borderId="3" applyFont="0">
      <alignment horizontal="right"/>
    </xf>
    <xf numFmtId="311" fontId="8" fillId="9" borderId="3" applyFont="0">
      <alignment horizontal="right"/>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9" fillId="0" borderId="0" applyNumberFormat="0" applyBorder="0">
      <alignment vertical="center"/>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3" fontId="8" fillId="13" borderId="14" applyNumberFormat="0" applyFont="0" applyBorder="0" applyAlignment="0" applyProtection="0">
      <alignment horizontal="right"/>
    </xf>
    <xf numFmtId="313" fontId="8" fillId="13" borderId="14" applyNumberFormat="0" applyFont="0" applyBorder="0" applyAlignment="0" applyProtection="0">
      <alignment horizontal="right"/>
    </xf>
    <xf numFmtId="313" fontId="8" fillId="13" borderId="14" applyNumberFormat="0" applyFont="0" applyBorder="0" applyAlignment="0" applyProtection="0">
      <alignment horizontal="right"/>
    </xf>
    <xf numFmtId="313" fontId="8" fillId="13" borderId="14" applyNumberFormat="0" applyFont="0" applyBorder="0" applyAlignment="0" applyProtection="0">
      <alignment horizontal="right"/>
    </xf>
    <xf numFmtId="0" fontId="244" fillId="0" borderId="0" applyNumberFormat="0" applyFill="0" applyBorder="0" applyAlignment="0" applyProtection="0"/>
    <xf numFmtId="0" fontId="245" fillId="0" borderId="0" applyNumberFormat="0" applyFill="0" applyBorder="0" applyAlignment="0" applyProtection="0">
      <alignment vertical="top"/>
      <protection locked="0"/>
    </xf>
    <xf numFmtId="314" fontId="8"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246" fillId="0" borderId="19"/>
    <xf numFmtId="9" fontId="8" fillId="0" borderId="0" applyFont="0" applyFill="0" applyBorder="0" applyAlignment="0" applyProtection="0"/>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316" fontId="210" fillId="0" borderId="0"/>
    <xf numFmtId="37" fontId="27" fillId="0" borderId="0" applyFill="0" applyBorder="0" applyProtection="0"/>
    <xf numFmtId="0" fontId="130" fillId="0" borderId="0" applyNumberFormat="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83" fontId="27" fillId="0" borderId="0" applyFill="0" applyBorder="0" applyProtection="0"/>
    <xf numFmtId="196"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0" fontId="213" fillId="39" borderId="26">
      <alignment horizontal="centerContinuous"/>
    </xf>
    <xf numFmtId="202" fontId="66" fillId="9" borderId="3" applyFont="0">
      <alignment horizontal="right"/>
    </xf>
    <xf numFmtId="0" fontId="66" fillId="9" borderId="3" applyFont="0">
      <alignment horizontal="right"/>
    </xf>
    <xf numFmtId="230" fontId="95" fillId="0" borderId="0" applyFont="0" applyFill="0" applyBorder="0" applyAlignment="0" applyProtection="0">
      <alignment horizontal="right"/>
    </xf>
    <xf numFmtId="181" fontId="47" fillId="0" borderId="0" applyFont="0" applyFill="0" applyBorder="0" applyAlignment="0" applyProtection="0"/>
    <xf numFmtId="39" fontId="11" fillId="0" borderId="0" applyFont="0" applyFill="0" applyBorder="0" applyAlignment="0" applyProtection="0"/>
    <xf numFmtId="14" fontId="135" fillId="0" borderId="0"/>
    <xf numFmtId="205" fontId="77" fillId="0" borderId="0" applyFont="0" applyFill="0" applyBorder="0" applyAlignment="0" applyProtection="0">
      <alignment horizontal="right"/>
    </xf>
    <xf numFmtId="0" fontId="77" fillId="0" borderId="0" applyFont="0" applyFill="0" applyBorder="0" applyAlignment="0" applyProtection="0">
      <alignment horizontal="right"/>
    </xf>
    <xf numFmtId="205" fontId="77" fillId="0" borderId="0" applyFont="0" applyFill="0" applyBorder="0" applyAlignment="0" applyProtection="0">
      <alignment horizontal="right"/>
    </xf>
    <xf numFmtId="206" fontId="11" fillId="13" borderId="14" applyNumberFormat="0" applyFont="0" applyBorder="0" applyAlignment="0" applyProtection="0">
      <alignment horizontal="right"/>
    </xf>
    <xf numFmtId="0" fontId="11" fillId="13" borderId="14" applyNumberFormat="0" applyFont="0" applyBorder="0" applyAlignment="0" applyProtection="0">
      <alignment horizontal="right"/>
    </xf>
    <xf numFmtId="206" fontId="11" fillId="13" borderId="14" applyNumberFormat="0" applyFont="0" applyBorder="0" applyAlignment="0" applyProtection="0">
      <alignment horizontal="right"/>
    </xf>
    <xf numFmtId="0" fontId="213" fillId="39" borderId="26">
      <alignment horizontal="centerContinuous"/>
    </xf>
    <xf numFmtId="188" fontId="8" fillId="0" borderId="0" applyFont="0" applyFill="0" applyBorder="0" applyAlignment="0" applyProtection="0"/>
    <xf numFmtId="0" fontId="238" fillId="0" borderId="0" applyNumberFormat="0" applyFill="0" applyBorder="0" applyAlignment="0" applyProtection="0">
      <alignment vertical="top"/>
      <protection locked="0"/>
    </xf>
    <xf numFmtId="239" fontId="173" fillId="0" borderId="0" applyFill="0" applyBorder="0" applyAlignment="0" applyProtection="0">
      <alignment horizontal="right"/>
    </xf>
    <xf numFmtId="183" fontId="27" fillId="0" borderId="0" applyFill="0" applyBorder="0" applyProtection="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9" fillId="0" borderId="0"/>
    <xf numFmtId="0" fontId="8" fillId="0" borderId="0"/>
    <xf numFmtId="223" fontId="175" fillId="0" borderId="0"/>
    <xf numFmtId="0" fontId="8"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6" fontId="58" fillId="0" borderId="0" applyFont="0" applyFill="0" applyBorder="0" applyAlignment="0" applyProtection="0"/>
    <xf numFmtId="9" fontId="27" fillId="0" borderId="0" applyFill="0" applyBorder="0" applyProtection="0"/>
    <xf numFmtId="168" fontId="11" fillId="0" borderId="0" applyFont="0" applyFill="0" applyBorder="0" applyAlignment="0" applyProtection="0"/>
    <xf numFmtId="9" fontId="27" fillId="4" borderId="0" applyFont="0" applyFill="0" applyBorder="0" applyAlignment="0" applyProtection="0"/>
    <xf numFmtId="212" fontId="99" fillId="0" borderId="0" applyNumberFormat="0" applyFill="0" applyBorder="0" applyAlignment="0" applyProtection="0">
      <alignment horizontal="right" vertical="center" wrapText="1"/>
    </xf>
    <xf numFmtId="0" fontId="99" fillId="0" borderId="0" applyNumberFormat="0" applyFill="0" applyBorder="0" applyAlignment="0" applyProtection="0">
      <alignment horizontal="right" vertical="center" wrapText="1"/>
    </xf>
    <xf numFmtId="37" fontId="27" fillId="0" borderId="0" applyFill="0" applyBorder="0" applyProtection="0"/>
    <xf numFmtId="183" fontId="27" fillId="0" borderId="1" applyFill="0" applyBorder="0" applyProtection="0"/>
    <xf numFmtId="37" fontId="27" fillId="0" borderId="0" applyFill="0" applyBorder="0" applyProtection="0"/>
    <xf numFmtId="183" fontId="27" fillId="0" borderId="1" applyFill="0" applyBorder="0" applyProtection="0"/>
    <xf numFmtId="37" fontId="27" fillId="0" borderId="0" applyFill="0" applyBorder="0" applyProtection="0"/>
    <xf numFmtId="183" fontId="27" fillId="0" borderId="1" applyFill="0" applyBorder="0" applyProtection="0"/>
    <xf numFmtId="7" fontId="27" fillId="0" borderId="13" applyFont="0" applyFill="0" applyBorder="0" applyProtection="0"/>
    <xf numFmtId="7" fontId="27" fillId="0" borderId="13" applyFont="0" applyFill="0" applyBorder="0" applyProtection="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314" fontId="8" fillId="0" borderId="0"/>
    <xf numFmtId="0" fontId="29" fillId="0" borderId="0" applyNumberFormat="0" applyBorder="0">
      <alignment vertical="center"/>
    </xf>
    <xf numFmtId="317" fontId="11" fillId="4" borderId="23" applyFill="0" applyBorder="0" applyProtection="0">
      <alignment horizontal="right"/>
    </xf>
    <xf numFmtId="0" fontId="236" fillId="0" borderId="0"/>
    <xf numFmtId="37" fontId="27" fillId="0" borderId="0" applyFill="0" applyBorder="0" applyProtection="0"/>
    <xf numFmtId="0" fontId="243" fillId="0" borderId="0"/>
    <xf numFmtId="0" fontId="4" fillId="0" borderId="0"/>
    <xf numFmtId="9" fontId="4" fillId="0" borderId="0" applyFont="0" applyFill="0" applyBorder="0" applyAlignment="0" applyProtection="0"/>
    <xf numFmtId="0" fontId="4" fillId="0" borderId="0"/>
    <xf numFmtId="187" fontId="58"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243" fillId="0" borderId="0"/>
    <xf numFmtId="9" fontId="243" fillId="0" borderId="0" applyFont="0" applyFill="0" applyBorder="0" applyAlignment="0" applyProtection="0"/>
    <xf numFmtId="0" fontId="8" fillId="0" borderId="0" applyNumberFormat="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2"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6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314" fontId="8" fillId="0" borderId="0"/>
    <xf numFmtId="311" fontId="8" fillId="9" borderId="3" applyFont="0">
      <alignment horizontal="right"/>
    </xf>
    <xf numFmtId="311" fontId="8" fillId="9" borderId="3" applyFont="0">
      <alignment horizontal="right"/>
    </xf>
    <xf numFmtId="0" fontId="8" fillId="0" borderId="0"/>
    <xf numFmtId="0" fontId="4" fillId="0" borderId="0"/>
    <xf numFmtId="43" fontId="8" fillId="0" borderId="0" applyFont="0" applyFill="0" applyBorder="0" applyAlignment="0" applyProtection="0"/>
    <xf numFmtId="43" fontId="8" fillId="0" borderId="0" applyFont="0" applyFill="0" applyBorder="0" applyAlignment="0" applyProtection="0"/>
    <xf numFmtId="0" fontId="4" fillId="0" borderId="0"/>
    <xf numFmtId="43" fontId="8" fillId="0" borderId="0" applyFont="0" applyFill="0" applyBorder="0" applyAlignment="0" applyProtection="0"/>
    <xf numFmtId="0" fontId="29" fillId="0" borderId="0" applyNumberFormat="0" applyBorder="0">
      <alignment vertical="center"/>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3" fontId="8" fillId="13" borderId="53" applyNumberFormat="0" applyFont="0" applyBorder="0" applyAlignment="0" applyProtection="0">
      <alignment horizontal="right"/>
    </xf>
    <xf numFmtId="313" fontId="8" fillId="13" borderId="53" applyNumberFormat="0" applyFont="0" applyBorder="0" applyAlignment="0" applyProtection="0">
      <alignment horizontal="right"/>
    </xf>
    <xf numFmtId="313" fontId="8" fillId="13" borderId="53" applyNumberFormat="0" applyFont="0" applyBorder="0" applyAlignment="0" applyProtection="0">
      <alignment horizontal="right"/>
    </xf>
    <xf numFmtId="313" fontId="8" fillId="13" borderId="53" applyNumberFormat="0" applyFont="0" applyBorder="0" applyAlignment="0" applyProtection="0">
      <alignment horizontal="right"/>
    </xf>
    <xf numFmtId="0" fontId="4" fillId="0" borderId="0"/>
    <xf numFmtId="0" fontId="4" fillId="0" borderId="0"/>
    <xf numFmtId="0" fontId="245" fillId="0" borderId="0" applyNumberFormat="0" applyFill="0" applyBorder="0" applyAlignment="0" applyProtection="0">
      <alignment vertical="top"/>
      <protection locked="0"/>
    </xf>
    <xf numFmtId="314" fontId="8" fillId="0" borderId="0"/>
    <xf numFmtId="0" fontId="4" fillId="0" borderId="0"/>
    <xf numFmtId="0" fontId="8" fillId="0" borderId="0"/>
    <xf numFmtId="0" fontId="4" fillId="0" borderId="0"/>
    <xf numFmtId="0" fontId="4" fillId="0" borderId="0"/>
    <xf numFmtId="0" fontId="4" fillId="0" borderId="0"/>
    <xf numFmtId="0" fontId="4" fillId="0" borderId="0"/>
    <xf numFmtId="188" fontId="58" fillId="0" borderId="0" applyFont="0" applyFill="0" applyBorder="0" applyAlignment="0" applyProtection="0"/>
    <xf numFmtId="9" fontId="8" fillId="0" borderId="0" applyFont="0" applyFill="0" applyBorder="0" applyAlignment="0" applyProtection="0"/>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9" fontId="27" fillId="4" borderId="0" applyFont="0" applyFill="0" applyBorder="0" applyAlignment="0" applyProtection="0"/>
    <xf numFmtId="183" fontId="27" fillId="0" borderId="1" applyFill="0" applyBorder="0" applyProtection="0"/>
    <xf numFmtId="0" fontId="243" fillId="0" borderId="0"/>
    <xf numFmtId="0" fontId="102" fillId="0" borderId="53" applyNumberFormat="0" applyFill="0" applyProtection="0">
      <alignment horizontal="right"/>
    </xf>
    <xf numFmtId="0" fontId="4" fillId="0" borderId="0"/>
    <xf numFmtId="9" fontId="4" fillId="0" borderId="0" applyFont="0" applyFill="0" applyBorder="0" applyAlignment="0" applyProtection="0"/>
    <xf numFmtId="0" fontId="4" fillId="0" borderId="0"/>
    <xf numFmtId="316" fontId="210" fillId="0" borderId="0"/>
    <xf numFmtId="0" fontId="29" fillId="0" borderId="0" applyNumberFormat="0" applyBorder="0">
      <alignment vertical="center"/>
    </xf>
    <xf numFmtId="0" fontId="29" fillId="0" borderId="0" applyNumberFormat="0" applyBorder="0">
      <alignment vertical="center"/>
    </xf>
    <xf numFmtId="314" fontId="8" fillId="0" borderId="0"/>
    <xf numFmtId="0" fontId="8" fillId="0" borderId="0"/>
    <xf numFmtId="0" fontId="4" fillId="0" borderId="0"/>
    <xf numFmtId="0" fontId="4" fillId="0" borderId="0"/>
    <xf numFmtId="0" fontId="4" fillId="0" borderId="0"/>
    <xf numFmtId="0" fontId="4" fillId="0" borderId="0"/>
    <xf numFmtId="0" fontId="243"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243"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8" fillId="0" borderId="0"/>
    <xf numFmtId="314" fontId="8" fillId="0" borderId="0"/>
    <xf numFmtId="314" fontId="8" fillId="0" borderId="0"/>
    <xf numFmtId="0" fontId="29" fillId="0" borderId="0" applyNumberFormat="0" applyBorder="0">
      <alignment vertical="center"/>
    </xf>
    <xf numFmtId="0" fontId="29" fillId="0" borderId="0" applyNumberFormat="0" applyBorder="0">
      <alignment vertical="center"/>
    </xf>
    <xf numFmtId="0" fontId="29" fillId="0" borderId="0" applyNumberFormat="0" applyBorder="0">
      <alignment vertical="center"/>
    </xf>
    <xf numFmtId="0" fontId="29" fillId="0" borderId="0" applyNumberFormat="0" applyBorder="0">
      <alignment vertical="center"/>
    </xf>
    <xf numFmtId="314" fontId="8" fillId="0" borderId="0"/>
    <xf numFmtId="314" fontId="8" fillId="0" borderId="0"/>
    <xf numFmtId="0" fontId="4" fillId="0" borderId="0"/>
    <xf numFmtId="0" fontId="8"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3" fillId="0" borderId="0"/>
    <xf numFmtId="0" fontId="4" fillId="0" borderId="0"/>
    <xf numFmtId="9" fontId="4" fillId="0" borderId="0" applyFont="0" applyFill="0" applyBorder="0" applyAlignment="0" applyProtection="0"/>
    <xf numFmtId="0" fontId="4" fillId="0" borderId="0"/>
    <xf numFmtId="0" fontId="243" fillId="0" borderId="0"/>
    <xf numFmtId="0" fontId="4" fillId="0" borderId="0"/>
    <xf numFmtId="9" fontId="4" fillId="0" borderId="0" applyFont="0" applyFill="0" applyBorder="0" applyAlignment="0" applyProtection="0"/>
    <xf numFmtId="0" fontId="4" fillId="0" borderId="0"/>
    <xf numFmtId="0" fontId="243" fillId="0" borderId="0"/>
    <xf numFmtId="0" fontId="4" fillId="0" borderId="0"/>
    <xf numFmtId="9" fontId="4" fillId="0" borderId="0" applyFont="0" applyFill="0" applyBorder="0" applyAlignment="0" applyProtection="0"/>
    <xf numFmtId="0" fontId="4" fillId="0" borderId="0"/>
    <xf numFmtId="189"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192" fontId="58" fillId="0" borderId="0" applyFont="0" applyFill="0" applyBorder="0" applyAlignment="0" applyProtection="0"/>
    <xf numFmtId="0" fontId="58" fillId="8" borderId="0" applyNumberFormat="0" applyFont="0" applyAlignment="0" applyProtection="0"/>
    <xf numFmtId="194" fontId="8" fillId="0" borderId="0" applyFont="0" applyFill="0" applyBorder="0" applyAlignment="0" applyProtection="0"/>
    <xf numFmtId="193" fontId="8" fillId="0" borderId="0" applyFont="0" applyFill="0" applyBorder="0" applyAlignment="0" applyProtection="0"/>
    <xf numFmtId="197" fontId="8" fillId="0" borderId="0" applyFont="0" applyFill="0" applyBorder="0" applyProtection="0">
      <alignment horizontal="right"/>
    </xf>
    <xf numFmtId="196" fontId="8" fillId="0" borderId="0" applyFont="0" applyFill="0" applyBorder="0" applyAlignment="0" applyProtection="0"/>
    <xf numFmtId="0" fontId="33" fillId="0" borderId="30" applyNumberFormat="0" applyFill="0" applyAlignment="0" applyProtection="0"/>
    <xf numFmtId="0" fontId="67" fillId="0" borderId="0"/>
    <xf numFmtId="204" fontId="8" fillId="0" borderId="0">
      <protection locked="0"/>
    </xf>
    <xf numFmtId="8" fontId="75" fillId="0" borderId="33">
      <protection locked="0"/>
    </xf>
    <xf numFmtId="204" fontId="8" fillId="0" borderId="0">
      <protection locked="0"/>
    </xf>
    <xf numFmtId="14" fontId="76" fillId="0" borderId="0">
      <alignment horizontal="right"/>
    </xf>
    <xf numFmtId="206" fontId="11" fillId="13" borderId="53" applyNumberFormat="0" applyFont="0" applyBorder="0" applyAlignment="0" applyProtection="0">
      <alignment horizontal="right"/>
    </xf>
    <xf numFmtId="204" fontId="8" fillId="0" borderId="0">
      <protection locked="0"/>
    </xf>
    <xf numFmtId="168" fontId="83" fillId="0" borderId="0" applyNumberFormat="0" applyFill="0" applyBorder="0">
      <alignment horizontal="left" vertical="center"/>
    </xf>
    <xf numFmtId="209" fontId="8" fillId="0" borderId="0" applyFont="0" applyFill="0" applyBorder="0" applyAlignment="0" applyProtection="0"/>
    <xf numFmtId="203" fontId="90" fillId="0" borderId="0"/>
    <xf numFmtId="0" fontId="8" fillId="0" borderId="0"/>
    <xf numFmtId="208" fontId="8" fillId="0" borderId="0" applyNumberFormat="0" applyFill="0" applyBorder="0" applyAlignment="0" applyProtection="0"/>
    <xf numFmtId="211" fontId="8" fillId="0" borderId="0"/>
    <xf numFmtId="7" fontId="93" fillId="0" borderId="0" applyFont="0" applyFill="0" applyBorder="0" applyAlignment="0" applyProtection="0"/>
    <xf numFmtId="166" fontId="95" fillId="0" borderId="0">
      <alignment vertical="top"/>
    </xf>
    <xf numFmtId="39" fontId="9" fillId="0" borderId="3" applyNumberFormat="0" applyBorder="0">
      <alignment horizontal="right"/>
    </xf>
    <xf numFmtId="0" fontId="105" fillId="0" borderId="0" applyNumberFormat="0">
      <alignment horizontal="left"/>
    </xf>
    <xf numFmtId="0" fontId="106" fillId="0" borderId="0" applyFill="0" applyBorder="0" applyProtection="0">
      <alignment horizontal="left" vertical="top"/>
    </xf>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184" fontId="8" fillId="0" borderId="0" applyFill="0" applyBorder="0">
      <alignment vertical="center"/>
    </xf>
    <xf numFmtId="37" fontId="111" fillId="0" borderId="0" applyNumberFormat="0" applyFill="0" applyBorder="0" applyAlignment="0" applyProtection="0"/>
    <xf numFmtId="44" fontId="27" fillId="0" borderId="0" applyFont="0" applyFill="0" applyBorder="0" applyAlignment="0" applyProtection="0"/>
    <xf numFmtId="43" fontId="27" fillId="0" borderId="0" applyFont="0" applyFill="0" applyBorder="0" applyAlignment="0" applyProtection="0"/>
    <xf numFmtId="37" fontId="27" fillId="0" borderId="0" applyFill="0" applyBorder="0" applyProtection="0"/>
    <xf numFmtId="183" fontId="27" fillId="0" borderId="1" applyFill="0" applyBorder="0" applyProtection="0"/>
    <xf numFmtId="44" fontId="27" fillId="0" borderId="0" applyFont="0" applyFill="0" applyBorder="0" applyAlignment="0" applyProtection="0"/>
    <xf numFmtId="37" fontId="27" fillId="0" borderId="0" applyFill="0" applyBorder="0" applyProtection="0"/>
    <xf numFmtId="183" fontId="27" fillId="0" borderId="1" applyFill="0" applyBorder="0" applyProtection="0"/>
    <xf numFmtId="44" fontId="27" fillId="0" borderId="0" applyFont="0" applyFill="0" applyBorder="0" applyAlignment="0" applyProtection="0"/>
    <xf numFmtId="43" fontId="27" fillId="0" borderId="0" applyFont="0" applyFill="0" applyBorder="0" applyAlignment="0" applyProtection="0"/>
    <xf numFmtId="0" fontId="4" fillId="0" borderId="0"/>
    <xf numFmtId="0" fontId="4" fillId="0" borderId="0"/>
    <xf numFmtId="0" fontId="243" fillId="0" borderId="0"/>
    <xf numFmtId="186" fontId="8" fillId="0" borderId="0" applyFont="0" applyFill="0" applyBorder="0" applyAlignment="0" applyProtection="0"/>
    <xf numFmtId="187" fontId="8" fillId="0" borderId="0" applyFont="0" applyFill="0" applyBorder="0" applyAlignment="0" applyProtection="0"/>
    <xf numFmtId="192" fontId="8" fillId="0" borderId="0" applyFont="0" applyFill="0" applyBorder="0" applyAlignment="0" applyProtection="0"/>
    <xf numFmtId="0" fontId="8" fillId="8" borderId="0" applyNumberFormat="0" applyFont="0" applyAlignment="0" applyProtection="0"/>
    <xf numFmtId="43" fontId="8" fillId="0" borderId="0" applyFont="0" applyFill="0" applyBorder="0" applyAlignment="0" applyProtection="0"/>
    <xf numFmtId="0" fontId="29" fillId="0" borderId="0" applyNumberFormat="0" applyBorder="0">
      <alignment vertical="center"/>
    </xf>
    <xf numFmtId="0" fontId="8" fillId="0" borderId="0"/>
    <xf numFmtId="0" fontId="4" fillId="0" borderId="0"/>
    <xf numFmtId="9" fontId="4" fillId="0" borderId="0" applyFont="0" applyFill="0" applyBorder="0" applyAlignment="0" applyProtection="0"/>
    <xf numFmtId="0" fontId="4" fillId="0" borderId="0"/>
    <xf numFmtId="0" fontId="243" fillId="0" borderId="0"/>
    <xf numFmtId="0" fontId="4" fillId="0" borderId="0"/>
    <xf numFmtId="0" fontId="8" fillId="0" borderId="0"/>
    <xf numFmtId="0" fontId="4" fillId="0" borderId="0"/>
    <xf numFmtId="0" fontId="4" fillId="0" borderId="0"/>
    <xf numFmtId="0" fontId="4" fillId="0" borderId="0"/>
    <xf numFmtId="0" fontId="8" fillId="0" borderId="0"/>
    <xf numFmtId="0" fontId="4" fillId="0" borderId="0"/>
    <xf numFmtId="0" fontId="4" fillId="0" borderId="0"/>
    <xf numFmtId="37" fontId="27" fillId="0" borderId="0" applyFill="0" applyBorder="0" applyProtection="0"/>
    <xf numFmtId="0" fontId="120" fillId="39" borderId="38" applyNumberFormat="0" applyAlignment="0" applyProtection="0"/>
    <xf numFmtId="0" fontId="120" fillId="39" borderId="38" applyNumberFormat="0" applyAlignment="0" applyProtection="0"/>
    <xf numFmtId="0" fontId="95" fillId="0" borderId="0" applyFont="0" applyFill="0" applyBorder="0" applyAlignment="0" applyProtection="0">
      <alignment horizontal="right"/>
    </xf>
    <xf numFmtId="247" fontId="146" fillId="42" borderId="53" applyFont="0" applyFill="0" applyBorder="0" applyAlignment="0"/>
    <xf numFmtId="0" fontId="146" fillId="42" borderId="53" applyFont="0" applyFill="0" applyBorder="0" applyAlignment="0"/>
    <xf numFmtId="0" fontId="146" fillId="42" borderId="53" applyFont="0" applyFill="0" applyBorder="0" applyAlignment="0"/>
    <xf numFmtId="247" fontId="146" fillId="42" borderId="53" applyFont="0" applyFill="0" applyBorder="0" applyAlignment="0"/>
    <xf numFmtId="0" fontId="95" fillId="0" borderId="0" applyFont="0" applyFill="0" applyBorder="0" applyAlignment="0" applyProtection="0">
      <alignment horizontal="right"/>
    </xf>
    <xf numFmtId="216" fontId="47" fillId="0" borderId="0" applyFont="0" applyFill="0" applyBorder="0" applyAlignment="0" applyProtection="0"/>
    <xf numFmtId="14" fontId="135" fillId="0" borderId="0"/>
    <xf numFmtId="8" fontId="129" fillId="0" borderId="0" applyFont="0" applyFill="0" applyBorder="0" applyAlignment="0" applyProtection="0">
      <alignment horizontal="right"/>
    </xf>
    <xf numFmtId="206" fontId="11" fillId="13" borderId="53" applyNumberFormat="0" applyFont="0" applyBorder="0" applyAlignment="0" applyProtection="0">
      <alignment horizontal="right"/>
    </xf>
    <xf numFmtId="0" fontId="11" fillId="13" borderId="53" applyNumberFormat="0" applyFont="0" applyBorder="0" applyAlignment="0" applyProtection="0">
      <alignment horizontal="right"/>
    </xf>
    <xf numFmtId="0" fontId="11" fillId="13" borderId="53" applyNumberFormat="0" applyFont="0" applyBorder="0" applyAlignment="0" applyProtection="0">
      <alignment horizontal="right"/>
    </xf>
    <xf numFmtId="206" fontId="11" fillId="13" borderId="53" applyNumberFormat="0" applyFont="0" applyBorder="0" applyAlignment="0" applyProtection="0">
      <alignment horizontal="right"/>
    </xf>
    <xf numFmtId="183" fontId="27" fillId="0" borderId="0" applyFill="0" applyBorder="0" applyProtection="0"/>
    <xf numFmtId="0" fontId="239" fillId="0" borderId="0"/>
    <xf numFmtId="183" fontId="27" fillId="0" borderId="0" applyFill="0" applyBorder="0" applyProtection="0"/>
    <xf numFmtId="183" fontId="27" fillId="0" borderId="0" applyFill="0" applyBorder="0" applyProtection="0"/>
    <xf numFmtId="183" fontId="27" fillId="0" borderId="0" applyFill="0" applyBorder="0" applyProtection="0"/>
    <xf numFmtId="183" fontId="27" fillId="0" borderId="0" applyFill="0" applyBorder="0" applyProtection="0"/>
    <xf numFmtId="0" fontId="8" fillId="0" borderId="0"/>
    <xf numFmtId="0" fontId="8" fillId="32" borderId="47" applyNumberFormat="0" applyFont="0" applyAlignment="0" applyProtection="0"/>
    <xf numFmtId="0" fontId="8" fillId="32" borderId="47" applyNumberFormat="0" applyFont="0" applyAlignment="0" applyProtection="0"/>
    <xf numFmtId="0" fontId="218" fillId="39" borderId="48" applyNumberFormat="0" applyAlignment="0" applyProtection="0"/>
    <xf numFmtId="0" fontId="218" fillId="39" borderId="48" applyNumberFormat="0" applyAlignment="0" applyProtection="0"/>
    <xf numFmtId="0" fontId="102" fillId="0" borderId="53" applyNumberFormat="0" applyFill="0" applyProtection="0">
      <alignment horizontal="right"/>
    </xf>
    <xf numFmtId="0" fontId="4" fillId="0" borderId="0"/>
    <xf numFmtId="0" fontId="4" fillId="0" borderId="0"/>
    <xf numFmtId="313" fontId="8" fillId="13" borderId="53" applyNumberFormat="0" applyFont="0" applyBorder="0" applyAlignment="0" applyProtection="0">
      <alignment horizontal="right"/>
    </xf>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8" fillId="0" borderId="0"/>
    <xf numFmtId="37" fontId="27" fillId="0" borderId="0" applyFill="0" applyBorder="0" applyProtection="0"/>
    <xf numFmtId="214" fontId="9" fillId="0" borderId="1" applyFont="0" applyFill="0" applyBorder="0" applyProtection="0"/>
    <xf numFmtId="183" fontId="27" fillId="0" borderId="0" applyFill="0" applyBorder="0" applyProtection="0"/>
    <xf numFmtId="37" fontId="27" fillId="0" borderId="0" applyFill="0" applyBorder="0"/>
    <xf numFmtId="9" fontId="27" fillId="0" borderId="1" applyFont="0" applyFill="0" applyBorder="0" applyProtection="0"/>
    <xf numFmtId="14" fontId="135" fillId="0" borderId="0"/>
    <xf numFmtId="318" fontId="96" fillId="0" borderId="0"/>
    <xf numFmtId="319" fontId="96" fillId="0" borderId="0"/>
    <xf numFmtId="0" fontId="3" fillId="0" borderId="0"/>
    <xf numFmtId="44" fontId="27" fillId="0" borderId="0" applyFont="0" applyFill="0" applyBorder="0" applyAlignment="0" applyProtection="0"/>
    <xf numFmtId="43" fontId="27" fillId="0" borderId="0" applyFont="0" applyFill="0" applyBorder="0" applyAlignment="0" applyProtection="0"/>
    <xf numFmtId="37" fontId="27" fillId="0" borderId="0" applyFill="0" applyBorder="0" applyProtection="0"/>
    <xf numFmtId="7" fontId="27" fillId="0" borderId="0" applyFill="0" applyBorder="0" applyProtection="0"/>
    <xf numFmtId="37" fontId="27" fillId="0" borderId="0" applyFill="0" applyBorder="0"/>
    <xf numFmtId="9" fontId="27" fillId="0" borderId="1" applyFont="0" applyFill="0" applyBorder="0" applyProtection="0"/>
    <xf numFmtId="9" fontId="27" fillId="0" borderId="1" applyFont="0" applyFill="0" applyBorder="0" applyProtection="0"/>
    <xf numFmtId="37" fontId="27" fillId="0" borderId="0" applyFill="0" applyBorder="0"/>
    <xf numFmtId="37" fontId="27" fillId="0" borderId="0" applyFill="0" applyBorder="0" applyProtection="0"/>
    <xf numFmtId="0" fontId="3" fillId="0" borderId="0"/>
    <xf numFmtId="44" fontId="27" fillId="0" borderId="0" applyFont="0" applyFill="0" applyBorder="0" applyAlignment="0" applyProtection="0"/>
    <xf numFmtId="43" fontId="27" fillId="0" borderId="0" applyFont="0" applyFill="0" applyBorder="0" applyAlignment="0" applyProtection="0"/>
    <xf numFmtId="44" fontId="27" fillId="0" borderId="0" applyFont="0" applyFill="0" applyBorder="0" applyAlignment="0" applyProtection="0"/>
    <xf numFmtId="43" fontId="27"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61" fillId="0" borderId="0" applyNumberFormat="0" applyFill="0" applyBorder="0" applyAlignment="0" applyProtection="0"/>
    <xf numFmtId="0" fontId="62" fillId="0" borderId="0" applyNumberFormat="0" applyFill="0" applyBorder="0" applyProtection="0">
      <alignment vertical="top"/>
    </xf>
    <xf numFmtId="0" fontId="33" fillId="0" borderId="29" applyNumberFormat="0" applyFill="0" applyAlignment="0" applyProtection="0"/>
    <xf numFmtId="0" fontId="63" fillId="0" borderId="31" applyNumberFormat="0" applyFill="0" applyProtection="0">
      <alignment horizontal="center"/>
    </xf>
    <xf numFmtId="0" fontId="63" fillId="0" borderId="0" applyNumberFormat="0" applyFill="0" applyBorder="0" applyProtection="0">
      <alignment horizontal="left"/>
    </xf>
    <xf numFmtId="0" fontId="64" fillId="0" borderId="0" applyNumberFormat="0" applyFill="0" applyBorder="0" applyProtection="0">
      <alignment horizontal="centerContinuous"/>
    </xf>
    <xf numFmtId="43" fontId="8" fillId="0" borderId="0" applyFont="0" applyFill="0" applyBorder="0" applyAlignment="0" applyProtection="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8" fontId="129" fillId="0" borderId="0" applyFont="0" applyFill="0" applyBorder="0" applyAlignment="0" applyProtection="0">
      <alignment horizontal="right"/>
    </xf>
    <xf numFmtId="214" fontId="27" fillId="0" borderId="0" applyFill="0" applyBorder="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7" fontId="136" fillId="0" borderId="0"/>
    <xf numFmtId="0" fontId="78" fillId="0" borderId="0" applyNumberFormat="0" applyFill="0" applyBorder="0" applyAlignment="0" applyProtection="0"/>
    <xf numFmtId="0" fontId="78" fillId="0" borderId="0"/>
    <xf numFmtId="0" fontId="95" fillId="0" borderId="0">
      <alignment vertical="top"/>
    </xf>
    <xf numFmtId="37" fontId="18" fillId="0" borderId="0" applyNumberFormat="0" applyFont="0" applyBorder="0" applyAlignment="0">
      <alignment horizontal="center"/>
    </xf>
    <xf numFmtId="0" fontId="227" fillId="0" borderId="0">
      <alignment horizontal="center"/>
    </xf>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44" fontId="24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cellStyleXfs>
  <cellXfs count="1107">
    <xf numFmtId="37" fontId="0" fillId="0" borderId="0" xfId="0"/>
    <xf numFmtId="37" fontId="26" fillId="2" borderId="0" xfId="0" applyFont="1" applyFill="1" applyBorder="1"/>
    <xf numFmtId="165" fontId="29" fillId="2" borderId="0" xfId="0" applyNumberFormat="1" applyFont="1" applyFill="1" applyBorder="1"/>
    <xf numFmtId="166" fontId="51" fillId="0" borderId="0" xfId="0" applyNumberFormat="1" applyFont="1"/>
    <xf numFmtId="166" fontId="51" fillId="0" borderId="1" xfId="0" applyNumberFormat="1" applyFont="1" applyBorder="1"/>
    <xf numFmtId="179" fontId="51" fillId="0" borderId="0" xfId="0" applyNumberFormat="1" applyFont="1"/>
    <xf numFmtId="179" fontId="51" fillId="0" borderId="1" xfId="0" applyNumberFormat="1" applyFont="1" applyBorder="1"/>
    <xf numFmtId="177" fontId="51" fillId="0" borderId="0" xfId="0" applyNumberFormat="1" applyFont="1" applyBorder="1"/>
    <xf numFmtId="177" fontId="51" fillId="0" borderId="1" xfId="0" applyNumberFormat="1" applyFont="1" applyBorder="1"/>
    <xf numFmtId="174" fontId="51" fillId="0" borderId="0" xfId="0" applyNumberFormat="1" applyFont="1" applyBorder="1"/>
    <xf numFmtId="178" fontId="51" fillId="0" borderId="0" xfId="0" applyNumberFormat="1" applyFont="1" applyBorder="1"/>
    <xf numFmtId="178" fontId="51" fillId="0" borderId="1" xfId="0" applyNumberFormat="1" applyFont="1" applyBorder="1"/>
    <xf numFmtId="37" fontId="51" fillId="0" borderId="0" xfId="0" applyFont="1" applyBorder="1"/>
    <xf numFmtId="174" fontId="51" fillId="0" borderId="1" xfId="0" applyNumberFormat="1" applyFont="1" applyBorder="1"/>
    <xf numFmtId="169" fontId="51" fillId="0" borderId="2" xfId="0" applyNumberFormat="1" applyFont="1" applyBorder="1"/>
    <xf numFmtId="37" fontId="51" fillId="0" borderId="0" xfId="0" applyFont="1"/>
    <xf numFmtId="37" fontId="51" fillId="0" borderId="1" xfId="0" applyFont="1" applyBorder="1"/>
    <xf numFmtId="7" fontId="35" fillId="0" borderId="1" xfId="2" applyFont="1" applyBorder="1"/>
    <xf numFmtId="7" fontId="35" fillId="0" borderId="0" xfId="2" applyFont="1" applyBorder="1"/>
    <xf numFmtId="7" fontId="29" fillId="3" borderId="3" xfId="2" applyFont="1" applyFill="1" applyBorder="1"/>
    <xf numFmtId="7" fontId="29" fillId="3" borderId="4" xfId="2" applyFont="1" applyFill="1" applyBorder="1"/>
    <xf numFmtId="7" fontId="43" fillId="0" borderId="0" xfId="2" applyFont="1" applyBorder="1"/>
    <xf numFmtId="7" fontId="43" fillId="0" borderId="1" xfId="2" applyFont="1" applyBorder="1"/>
    <xf numFmtId="7" fontId="27" fillId="0" borderId="0" xfId="2" applyFont="1" applyBorder="1"/>
    <xf numFmtId="7" fontId="27" fillId="0" borderId="1" xfId="2" applyFont="1" applyBorder="1"/>
    <xf numFmtId="7" fontId="51" fillId="0" borderId="0" xfId="2" applyFont="1" applyBorder="1"/>
    <xf numFmtId="9" fontId="38" fillId="0" borderId="0" xfId="6" applyFont="1" applyBorder="1"/>
    <xf numFmtId="9" fontId="38" fillId="4" borderId="0" xfId="6" applyFont="1" applyFill="1" applyBorder="1"/>
    <xf numFmtId="9" fontId="38" fillId="4" borderId="1" xfId="6" applyFont="1" applyFill="1" applyBorder="1"/>
    <xf numFmtId="9" fontId="38" fillId="0" borderId="1" xfId="6" applyFont="1" applyBorder="1"/>
    <xf numFmtId="9" fontId="51" fillId="4" borderId="0" xfId="6" applyFont="1" applyFill="1" applyBorder="1"/>
    <xf numFmtId="9" fontId="51" fillId="4" borderId="1" xfId="6" applyFont="1" applyFill="1" applyBorder="1"/>
    <xf numFmtId="7" fontId="51" fillId="0" borderId="2" xfId="2" applyFont="1" applyBorder="1"/>
    <xf numFmtId="7" fontId="38" fillId="0" borderId="0" xfId="2" applyFont="1" applyBorder="1"/>
    <xf numFmtId="7" fontId="38" fillId="0" borderId="2" xfId="2" applyFont="1" applyBorder="1"/>
    <xf numFmtId="7" fontId="51" fillId="0" borderId="1" xfId="2" applyFont="1" applyBorder="1"/>
    <xf numFmtId="7" fontId="38" fillId="0" borderId="1" xfId="2" applyFont="1" applyBorder="1"/>
    <xf numFmtId="7" fontId="31" fillId="0" borderId="2" xfId="2" applyFont="1" applyBorder="1"/>
    <xf numFmtId="7" fontId="31" fillId="0" borderId="1" xfId="2" applyFont="1" applyBorder="1"/>
    <xf numFmtId="173" fontId="51" fillId="0" borderId="0" xfId="0" applyNumberFormat="1" applyFont="1" applyBorder="1"/>
    <xf numFmtId="37" fontId="31" fillId="0" borderId="0" xfId="0" applyFont="1" applyBorder="1"/>
    <xf numFmtId="167" fontId="51" fillId="4" borderId="0" xfId="0" applyNumberFormat="1" applyFont="1" applyFill="1" applyBorder="1"/>
    <xf numFmtId="167" fontId="51" fillId="0" borderId="0" xfId="0" applyNumberFormat="1" applyFont="1" applyBorder="1"/>
    <xf numFmtId="37" fontId="51" fillId="0" borderId="5" xfId="0" applyFont="1" applyBorder="1"/>
    <xf numFmtId="169" fontId="51" fillId="0" borderId="6" xfId="0" applyNumberFormat="1" applyFont="1" applyBorder="1"/>
    <xf numFmtId="37" fontId="51" fillId="0" borderId="7" xfId="0" applyFont="1" applyBorder="1"/>
    <xf numFmtId="37" fontId="51" fillId="0" borderId="2" xfId="0" applyFont="1" applyBorder="1" applyAlignment="1">
      <alignment horizontal="left" indent="1"/>
    </xf>
    <xf numFmtId="37" fontId="51" fillId="0" borderId="2" xfId="0" applyFont="1" applyBorder="1" applyAlignment="1">
      <alignment horizontal="left"/>
    </xf>
    <xf numFmtId="37" fontId="31" fillId="2" borderId="2" xfId="0" applyFont="1" applyFill="1" applyBorder="1"/>
    <xf numFmtId="37" fontId="51" fillId="0" borderId="0" xfId="0" applyFont="1" applyFill="1" applyBorder="1"/>
    <xf numFmtId="167" fontId="51" fillId="0" borderId="0" xfId="0" applyNumberFormat="1" applyFont="1"/>
    <xf numFmtId="167" fontId="51" fillId="0" borderId="2" xfId="0" applyNumberFormat="1" applyFont="1" applyBorder="1"/>
    <xf numFmtId="37" fontId="51" fillId="0" borderId="8" xfId="0" applyFont="1" applyBorder="1"/>
    <xf numFmtId="37" fontId="51" fillId="0" borderId="9" xfId="0" applyFont="1" applyBorder="1"/>
    <xf numFmtId="180" fontId="31" fillId="0" borderId="3" xfId="3" applyFont="1" applyBorder="1">
      <alignment horizontal="right"/>
    </xf>
    <xf numFmtId="180" fontId="31" fillId="0" borderId="4" xfId="3" applyFont="1" applyBorder="1">
      <alignment horizontal="right"/>
    </xf>
    <xf numFmtId="180" fontId="51" fillId="0" borderId="6" xfId="3" applyFont="1" applyBorder="1">
      <alignment horizontal="right"/>
    </xf>
    <xf numFmtId="180" fontId="51" fillId="0" borderId="0" xfId="3" applyFont="1" applyBorder="1">
      <alignment horizontal="right"/>
    </xf>
    <xf numFmtId="180" fontId="51" fillId="0" borderId="1" xfId="3" applyFont="1" applyBorder="1">
      <alignment horizontal="right"/>
    </xf>
    <xf numFmtId="180" fontId="51" fillId="0" borderId="0" xfId="3" applyFont="1">
      <alignment horizontal="right"/>
    </xf>
    <xf numFmtId="37" fontId="51" fillId="0" borderId="2" xfId="0" applyFont="1" applyBorder="1"/>
    <xf numFmtId="37" fontId="51" fillId="0" borderId="6" xfId="0" applyFont="1" applyBorder="1"/>
    <xf numFmtId="41" fontId="51" fillId="0" borderId="6" xfId="1" applyFont="1" applyBorder="1"/>
    <xf numFmtId="41" fontId="31" fillId="0" borderId="11" xfId="1" applyFont="1" applyBorder="1"/>
    <xf numFmtId="41" fontId="31" fillId="0" borderId="12" xfId="1" applyFont="1" applyBorder="1"/>
    <xf numFmtId="41" fontId="31" fillId="0" borderId="3" xfId="1" applyFont="1" applyBorder="1"/>
    <xf numFmtId="41" fontId="31" fillId="0" borderId="4" xfId="1" applyFont="1" applyBorder="1"/>
    <xf numFmtId="41" fontId="51" fillId="0" borderId="0" xfId="1" applyFont="1"/>
    <xf numFmtId="41" fontId="51" fillId="0" borderId="0" xfId="1" applyFont="1" applyBorder="1"/>
    <xf numFmtId="41" fontId="51" fillId="0" borderId="1" xfId="1" applyFont="1" applyBorder="1"/>
    <xf numFmtId="168" fontId="51" fillId="0" borderId="3" xfId="6" quotePrefix="1" applyNumberFormat="1" applyFont="1" applyBorder="1"/>
    <xf numFmtId="168" fontId="51" fillId="0" borderId="3" xfId="6" applyNumberFormat="1" applyFont="1" applyBorder="1"/>
    <xf numFmtId="168" fontId="51" fillId="0" borderId="4" xfId="6" applyNumberFormat="1" applyFont="1" applyBorder="1"/>
    <xf numFmtId="168" fontId="51" fillId="0" borderId="0" xfId="6" applyNumberFormat="1" applyFont="1"/>
    <xf numFmtId="168" fontId="51" fillId="0" borderId="0" xfId="6" applyNumberFormat="1" applyFont="1" applyBorder="1"/>
    <xf numFmtId="168" fontId="51" fillId="0" borderId="1" xfId="6" applyNumberFormat="1" applyFont="1" applyBorder="1"/>
    <xf numFmtId="168" fontId="51" fillId="0" borderId="3" xfId="0" applyNumberFormat="1" applyFont="1" applyBorder="1"/>
    <xf numFmtId="168" fontId="51" fillId="0" borderId="4" xfId="0" applyNumberFormat="1" applyFont="1" applyBorder="1"/>
    <xf numFmtId="168" fontId="51" fillId="0" borderId="0" xfId="0" applyNumberFormat="1" applyFont="1" applyBorder="1"/>
    <xf numFmtId="168" fontId="51" fillId="0" borderId="1" xfId="0" applyNumberFormat="1" applyFont="1" applyBorder="1"/>
    <xf numFmtId="9" fontId="51" fillId="0" borderId="13" xfId="0" applyNumberFormat="1" applyFont="1" applyBorder="1"/>
    <xf numFmtId="9" fontId="51" fillId="0" borderId="5" xfId="0" applyNumberFormat="1" applyFont="1" applyBorder="1"/>
    <xf numFmtId="37" fontId="51" fillId="0" borderId="13" xfId="0" applyFont="1" applyBorder="1"/>
    <xf numFmtId="9" fontId="51" fillId="0" borderId="14" xfId="0" applyNumberFormat="1" applyFont="1" applyBorder="1"/>
    <xf numFmtId="9" fontId="51" fillId="0" borderId="15" xfId="0" applyNumberFormat="1" applyFont="1" applyBorder="1"/>
    <xf numFmtId="37" fontId="51" fillId="0" borderId="14" xfId="0" applyFont="1" applyBorder="1"/>
    <xf numFmtId="169" fontId="51" fillId="0" borderId="3" xfId="0" applyNumberFormat="1" applyFont="1" applyBorder="1"/>
    <xf numFmtId="169" fontId="51" fillId="0" borderId="4" xfId="0" applyNumberFormat="1" applyFont="1" applyBorder="1"/>
    <xf numFmtId="37" fontId="51" fillId="0" borderId="10" xfId="0" applyFont="1" applyBorder="1"/>
    <xf numFmtId="9" fontId="51" fillId="0" borderId="1" xfId="6" applyFont="1" applyBorder="1"/>
    <xf numFmtId="9" fontId="51" fillId="0" borderId="0" xfId="6" applyFont="1"/>
    <xf numFmtId="9" fontId="51" fillId="0" borderId="0" xfId="6" applyFont="1" applyBorder="1"/>
    <xf numFmtId="9" fontId="51" fillId="0" borderId="4" xfId="0" applyNumberFormat="1" applyFont="1" applyBorder="1"/>
    <xf numFmtId="168" fontId="51" fillId="0" borderId="0" xfId="0" applyNumberFormat="1" applyFont="1"/>
    <xf numFmtId="9" fontId="51" fillId="0" borderId="0" xfId="0" applyNumberFormat="1" applyFont="1"/>
    <xf numFmtId="9" fontId="51" fillId="0" borderId="0" xfId="0" applyNumberFormat="1" applyFont="1" applyBorder="1"/>
    <xf numFmtId="9" fontId="51" fillId="0" borderId="1" xfId="0" applyNumberFormat="1" applyFont="1" applyBorder="1"/>
    <xf numFmtId="37" fontId="51" fillId="0" borderId="3" xfId="0" applyFont="1" applyBorder="1"/>
    <xf numFmtId="37" fontId="51" fillId="0" borderId="4" xfId="0" applyFont="1" applyBorder="1"/>
    <xf numFmtId="169" fontId="51" fillId="0" borderId="0" xfId="0" applyNumberFormat="1" applyFont="1"/>
    <xf numFmtId="169" fontId="51" fillId="0" borderId="0" xfId="0" applyNumberFormat="1" applyFont="1" applyBorder="1"/>
    <xf numFmtId="37" fontId="51" fillId="0" borderId="0" xfId="0" applyFont="1" applyAlignment="1">
      <alignment horizontal="left"/>
    </xf>
    <xf numFmtId="169" fontId="51" fillId="0" borderId="1" xfId="0" applyNumberFormat="1" applyFont="1" applyBorder="1"/>
    <xf numFmtId="167" fontId="51" fillId="0" borderId="1" xfId="0" applyNumberFormat="1" applyFont="1" applyBorder="1"/>
    <xf numFmtId="5" fontId="51" fillId="0" borderId="1" xfId="0" applyNumberFormat="1" applyFont="1" applyBorder="1"/>
    <xf numFmtId="5" fontId="51" fillId="0" borderId="0" xfId="0" applyNumberFormat="1" applyFont="1"/>
    <xf numFmtId="37" fontId="51" fillId="0" borderId="0" xfId="0" applyFont="1" applyAlignment="1">
      <alignment horizontal="left" indent="1"/>
    </xf>
    <xf numFmtId="37" fontId="51" fillId="4" borderId="0" xfId="0" applyFont="1" applyFill="1" applyBorder="1"/>
    <xf numFmtId="37" fontId="51" fillId="4" borderId="0" xfId="0" applyFont="1" applyFill="1"/>
    <xf numFmtId="39" fontId="51" fillId="0" borderId="0" xfId="0" applyNumberFormat="1" applyFont="1"/>
    <xf numFmtId="37" fontId="31" fillId="2" borderId="0" xfId="0" applyFont="1" applyFill="1"/>
    <xf numFmtId="168" fontId="33" fillId="0" borderId="1" xfId="6" applyNumberFormat="1" applyFont="1" applyBorder="1"/>
    <xf numFmtId="9" fontId="31" fillId="0" borderId="4" xfId="6" applyFont="1" applyBorder="1"/>
    <xf numFmtId="9" fontId="34" fillId="0" borderId="4" xfId="6" applyFont="1" applyBorder="1"/>
    <xf numFmtId="9" fontId="31" fillId="0" borderId="3" xfId="6" applyFont="1" applyBorder="1"/>
    <xf numFmtId="9" fontId="33" fillId="0" borderId="1" xfId="6" applyFont="1" applyBorder="1"/>
    <xf numFmtId="37" fontId="25" fillId="0" borderId="0" xfId="0" applyFont="1"/>
    <xf numFmtId="37" fontId="0" fillId="0" borderId="16" xfId="0" applyBorder="1"/>
    <xf numFmtId="37" fontId="9" fillId="2" borderId="0" xfId="0" applyFont="1" applyFill="1" applyAlignment="1">
      <alignment horizontal="center"/>
    </xf>
    <xf numFmtId="164" fontId="10" fillId="3" borderId="1" xfId="0" applyNumberFormat="1" applyFont="1" applyFill="1" applyBorder="1" applyAlignment="1">
      <alignment horizontal="center"/>
    </xf>
    <xf numFmtId="37" fontId="14" fillId="5" borderId="17" xfId="0" applyFont="1" applyFill="1" applyBorder="1" applyAlignment="1">
      <alignment horizontal="left"/>
    </xf>
    <xf numFmtId="37" fontId="9" fillId="2" borderId="0" xfId="0" applyFont="1" applyFill="1" applyBorder="1" applyAlignment="1">
      <alignment horizontal="center"/>
    </xf>
    <xf numFmtId="37" fontId="15" fillId="5" borderId="18" xfId="0" applyFont="1" applyFill="1" applyBorder="1" applyAlignment="1">
      <alignment horizontal="left"/>
    </xf>
    <xf numFmtId="164" fontId="10" fillId="3" borderId="0" xfId="0" applyNumberFormat="1" applyFont="1" applyFill="1" applyBorder="1" applyAlignment="1">
      <alignment horizontal="center"/>
    </xf>
    <xf numFmtId="167" fontId="0" fillId="0" borderId="0" xfId="0" applyNumberFormat="1"/>
    <xf numFmtId="164" fontId="24" fillId="3" borderId="1" xfId="0" applyNumberFormat="1" applyFont="1" applyFill="1" applyBorder="1" applyAlignment="1">
      <alignment horizontal="center"/>
    </xf>
    <xf numFmtId="37" fontId="8" fillId="0" borderId="0" xfId="0" applyFont="1"/>
    <xf numFmtId="37" fontId="0" fillId="4" borderId="0" xfId="0" applyFill="1"/>
    <xf numFmtId="37" fontId="30" fillId="0" borderId="0" xfId="0" applyFont="1" applyBorder="1"/>
    <xf numFmtId="37" fontId="30" fillId="0" borderId="16" xfId="0" applyFont="1" applyBorder="1"/>
    <xf numFmtId="37" fontId="31" fillId="0" borderId="1" xfId="0" applyFont="1" applyBorder="1"/>
    <xf numFmtId="37" fontId="30" fillId="0" borderId="0" xfId="0" applyFont="1"/>
    <xf numFmtId="37" fontId="33" fillId="0" borderId="0" xfId="0" applyFont="1"/>
    <xf numFmtId="37" fontId="30" fillId="0" borderId="21" xfId="0" applyFont="1" applyBorder="1"/>
    <xf numFmtId="37" fontId="33" fillId="0" borderId="16" xfId="0" applyFont="1" applyBorder="1"/>
    <xf numFmtId="37" fontId="30" fillId="0" borderId="1" xfId="0" applyFont="1" applyBorder="1"/>
    <xf numFmtId="37" fontId="33" fillId="0" borderId="1" xfId="0" applyFont="1" applyBorder="1"/>
    <xf numFmtId="37" fontId="31" fillId="4" borderId="0" xfId="0" applyFont="1" applyFill="1"/>
    <xf numFmtId="169" fontId="35" fillId="0" borderId="0" xfId="0" applyNumberFormat="1" applyFont="1"/>
    <xf numFmtId="37" fontId="30" fillId="0" borderId="0" xfId="0" applyFont="1" applyAlignment="1">
      <alignment horizontal="left" indent="1"/>
    </xf>
    <xf numFmtId="167" fontId="35" fillId="0" borderId="1" xfId="0" applyNumberFormat="1" applyFont="1" applyBorder="1"/>
    <xf numFmtId="169" fontId="35" fillId="0" borderId="1" xfId="0" applyNumberFormat="1" applyFont="1" applyBorder="1"/>
    <xf numFmtId="169" fontId="35" fillId="0" borderId="0" xfId="0" applyNumberFormat="1" applyFont="1" applyBorder="1"/>
    <xf numFmtId="169" fontId="33" fillId="0" borderId="1" xfId="0" applyNumberFormat="1" applyFont="1" applyBorder="1"/>
    <xf numFmtId="167" fontId="35" fillId="0" borderId="0" xfId="0" applyNumberFormat="1" applyFont="1"/>
    <xf numFmtId="165" fontId="35" fillId="0" borderId="0" xfId="0" applyNumberFormat="1" applyFont="1"/>
    <xf numFmtId="167" fontId="33" fillId="0" borderId="1" xfId="0" applyNumberFormat="1" applyFont="1" applyBorder="1"/>
    <xf numFmtId="2" fontId="33" fillId="0" borderId="0" xfId="0" applyNumberFormat="1" applyFont="1" applyBorder="1" applyAlignment="1">
      <alignment horizontal="left"/>
    </xf>
    <xf numFmtId="5" fontId="30" fillId="0" borderId="0" xfId="0" applyNumberFormat="1" applyFont="1"/>
    <xf numFmtId="5" fontId="36" fillId="0" borderId="0" xfId="0" applyNumberFormat="1" applyFont="1"/>
    <xf numFmtId="5" fontId="30" fillId="0" borderId="1" xfId="0" applyNumberFormat="1" applyFont="1" applyBorder="1"/>
    <xf numFmtId="5" fontId="36" fillId="0" borderId="1" xfId="0" applyNumberFormat="1" applyFont="1" applyBorder="1"/>
    <xf numFmtId="37" fontId="36" fillId="0" borderId="1" xfId="0" applyFont="1" applyBorder="1"/>
    <xf numFmtId="169" fontId="36" fillId="0" borderId="0" xfId="0" applyNumberFormat="1" applyFont="1"/>
    <xf numFmtId="169" fontId="36" fillId="0" borderId="1" xfId="0" applyNumberFormat="1" applyFont="1" applyBorder="1"/>
    <xf numFmtId="169" fontId="30" fillId="0" borderId="1" xfId="0" applyNumberFormat="1" applyFont="1" applyBorder="1"/>
    <xf numFmtId="37" fontId="30" fillId="0" borderId="0" xfId="0" applyFont="1" applyAlignment="1">
      <alignment horizontal="left"/>
    </xf>
    <xf numFmtId="169" fontId="30" fillId="0" borderId="0" xfId="0" applyNumberFormat="1" applyFont="1"/>
    <xf numFmtId="169" fontId="31" fillId="0" borderId="4" xfId="0" applyNumberFormat="1" applyFont="1" applyBorder="1"/>
    <xf numFmtId="169" fontId="31" fillId="0" borderId="3" xfId="0" applyNumberFormat="1" applyFont="1" applyBorder="1"/>
    <xf numFmtId="2" fontId="33" fillId="0" borderId="0" xfId="0" applyNumberFormat="1" applyFont="1" applyFill="1" applyBorder="1" applyAlignment="1">
      <alignment horizontal="left"/>
    </xf>
    <xf numFmtId="2" fontId="33" fillId="0" borderId="3" xfId="0" applyNumberFormat="1" applyFont="1" applyFill="1" applyBorder="1" applyAlignment="1">
      <alignment horizontal="left"/>
    </xf>
    <xf numFmtId="9" fontId="33" fillId="0" borderId="1" xfId="0" applyNumberFormat="1" applyFont="1" applyBorder="1"/>
    <xf numFmtId="9" fontId="35" fillId="0" borderId="0" xfId="0" applyNumberFormat="1" applyFont="1"/>
    <xf numFmtId="9" fontId="35" fillId="0" borderId="1" xfId="0" applyNumberFormat="1" applyFont="1" applyBorder="1"/>
    <xf numFmtId="2" fontId="34" fillId="0" borderId="3" xfId="0" applyNumberFormat="1" applyFont="1" applyBorder="1" applyAlignment="1">
      <alignment horizontal="left"/>
    </xf>
    <xf numFmtId="9" fontId="31" fillId="0" borderId="4" xfId="0" applyNumberFormat="1" applyFont="1" applyBorder="1"/>
    <xf numFmtId="9" fontId="31" fillId="0" borderId="3" xfId="0" applyNumberFormat="1" applyFont="1" applyBorder="1"/>
    <xf numFmtId="9" fontId="34" fillId="0" borderId="4" xfId="0" applyNumberFormat="1" applyFont="1" applyBorder="1"/>
    <xf numFmtId="168" fontId="34" fillId="0" borderId="3" xfId="0" applyNumberFormat="1" applyFont="1" applyBorder="1" applyAlignment="1">
      <alignment horizontal="left"/>
    </xf>
    <xf numFmtId="9" fontId="33" fillId="0" borderId="4" xfId="0" applyNumberFormat="1" applyFont="1" applyBorder="1"/>
    <xf numFmtId="37" fontId="31" fillId="0" borderId="3" xfId="0" applyFont="1" applyBorder="1"/>
    <xf numFmtId="169" fontId="33" fillId="0" borderId="4" xfId="0" applyNumberFormat="1" applyFont="1" applyBorder="1"/>
    <xf numFmtId="168" fontId="35" fillId="0" borderId="0" xfId="0" applyNumberFormat="1" applyFont="1"/>
    <xf numFmtId="168" fontId="35" fillId="0" borderId="1" xfId="0" applyNumberFormat="1" applyFont="1" applyBorder="1"/>
    <xf numFmtId="168" fontId="31" fillId="0" borderId="3" xfId="0" applyNumberFormat="1" applyFont="1" applyBorder="1"/>
    <xf numFmtId="168" fontId="31" fillId="0" borderId="4" xfId="0" applyNumberFormat="1" applyFont="1" applyBorder="1"/>
    <xf numFmtId="168" fontId="34" fillId="0" borderId="4" xfId="0" applyNumberFormat="1" applyFont="1" applyBorder="1"/>
    <xf numFmtId="37" fontId="31" fillId="0" borderId="4" xfId="0" applyFont="1" applyBorder="1"/>
    <xf numFmtId="37" fontId="30" fillId="0" borderId="9" xfId="0" applyFont="1" applyBorder="1"/>
    <xf numFmtId="37" fontId="33" fillId="0" borderId="9" xfId="0" applyFont="1" applyBorder="1"/>
    <xf numFmtId="168" fontId="33" fillId="0" borderId="4" xfId="0" applyNumberFormat="1" applyFont="1" applyBorder="1"/>
    <xf numFmtId="37" fontId="31" fillId="4" borderId="2" xfId="0" applyFont="1" applyFill="1" applyBorder="1"/>
    <xf numFmtId="37" fontId="16" fillId="2" borderId="0" xfId="0" applyFont="1" applyFill="1" applyBorder="1" applyAlignment="1">
      <alignment horizontal="center"/>
    </xf>
    <xf numFmtId="37" fontId="37" fillId="5" borderId="18" xfId="0" applyFont="1" applyFill="1" applyBorder="1" applyAlignment="1">
      <alignment horizontal="left"/>
    </xf>
    <xf numFmtId="164" fontId="28" fillId="3" borderId="1" xfId="0" applyNumberFormat="1" applyFont="1" applyFill="1" applyBorder="1" applyAlignment="1">
      <alignment horizontal="center"/>
    </xf>
    <xf numFmtId="164" fontId="28" fillId="3" borderId="0" xfId="0" applyNumberFormat="1" applyFont="1" applyFill="1" applyBorder="1" applyAlignment="1">
      <alignment horizontal="center"/>
    </xf>
    <xf numFmtId="37" fontId="32" fillId="0" borderId="0" xfId="0" applyFont="1"/>
    <xf numFmtId="37" fontId="31" fillId="0" borderId="0" xfId="0" applyFont="1" applyFill="1" applyBorder="1"/>
    <xf numFmtId="37" fontId="31" fillId="0" borderId="0" xfId="0" applyFont="1"/>
    <xf numFmtId="37" fontId="38" fillId="0" borderId="2" xfId="0" applyFont="1" applyBorder="1"/>
    <xf numFmtId="37" fontId="38" fillId="0" borderId="0" xfId="0" applyFont="1"/>
    <xf numFmtId="37" fontId="39" fillId="0" borderId="1" xfId="0" applyFont="1" applyBorder="1" applyAlignment="1">
      <alignment horizontal="center"/>
    </xf>
    <xf numFmtId="37" fontId="39" fillId="0" borderId="0" xfId="0" applyFont="1" applyBorder="1" applyAlignment="1">
      <alignment horizontal="center"/>
    </xf>
    <xf numFmtId="2" fontId="34" fillId="0" borderId="0" xfId="0" applyNumberFormat="1" applyFont="1" applyBorder="1" applyAlignment="1">
      <alignment horizontal="left"/>
    </xf>
    <xf numFmtId="172" fontId="33" fillId="0" borderId="0" xfId="0" applyNumberFormat="1" applyFont="1" applyBorder="1" applyAlignment="1">
      <alignment horizontal="left"/>
    </xf>
    <xf numFmtId="37" fontId="38" fillId="0" borderId="0" xfId="0" applyFont="1" applyFill="1" applyBorder="1"/>
    <xf numFmtId="37" fontId="40" fillId="0" borderId="1" xfId="0" applyFont="1" applyBorder="1"/>
    <xf numFmtId="37" fontId="40" fillId="0" borderId="0" xfId="0" applyFont="1"/>
    <xf numFmtId="2" fontId="34" fillId="0" borderId="0" xfId="0" applyNumberFormat="1" applyFont="1" applyFill="1" applyBorder="1" applyAlignment="1">
      <alignment horizontal="left"/>
    </xf>
    <xf numFmtId="2" fontId="34" fillId="0" borderId="3" xfId="0" applyNumberFormat="1" applyFont="1" applyFill="1" applyBorder="1" applyAlignment="1">
      <alignment horizontal="left"/>
    </xf>
    <xf numFmtId="167" fontId="31" fillId="0" borderId="4" xfId="0" applyNumberFormat="1" applyFont="1" applyBorder="1"/>
    <xf numFmtId="167" fontId="31" fillId="0" borderId="3" xfId="0" applyNumberFormat="1" applyFont="1" applyBorder="1"/>
    <xf numFmtId="167" fontId="41" fillId="0" borderId="1" xfId="0" applyNumberFormat="1" applyFont="1" applyBorder="1" applyAlignment="1">
      <alignment horizontal="center"/>
    </xf>
    <xf numFmtId="167" fontId="41" fillId="0" borderId="0" xfId="0" applyNumberFormat="1" applyFont="1" applyBorder="1" applyAlignment="1">
      <alignment horizontal="center"/>
    </xf>
    <xf numFmtId="167" fontId="31" fillId="0" borderId="1" xfId="0" applyNumberFormat="1" applyFont="1" applyBorder="1"/>
    <xf numFmtId="167" fontId="31" fillId="0" borderId="0" xfId="0" applyNumberFormat="1" applyFont="1"/>
    <xf numFmtId="37" fontId="39" fillId="0" borderId="0" xfId="0" applyFont="1" applyAlignment="1">
      <alignment horizontal="center"/>
    </xf>
    <xf numFmtId="37" fontId="39" fillId="0" borderId="1" xfId="0" applyFont="1" applyBorder="1"/>
    <xf numFmtId="2" fontId="33" fillId="0" borderId="13" xfId="0" applyNumberFormat="1" applyFont="1" applyFill="1" applyBorder="1" applyAlignment="1">
      <alignment horizontal="left"/>
    </xf>
    <xf numFmtId="37" fontId="16" fillId="2" borderId="0" xfId="0" applyFont="1" applyFill="1" applyAlignment="1">
      <alignment horizontal="center"/>
    </xf>
    <xf numFmtId="164" fontId="28" fillId="3" borderId="0" xfId="0" applyNumberFormat="1" applyFont="1" applyFill="1" applyAlignment="1">
      <alignment horizontal="center"/>
    </xf>
    <xf numFmtId="17" fontId="28" fillId="3" borderId="0" xfId="0" applyNumberFormat="1" applyFont="1" applyFill="1" applyAlignment="1">
      <alignment horizontal="center"/>
    </xf>
    <xf numFmtId="175" fontId="30" fillId="0" borderId="1" xfId="0" applyNumberFormat="1" applyFont="1" applyBorder="1"/>
    <xf numFmtId="175" fontId="30" fillId="0" borderId="0" xfId="0" applyNumberFormat="1" applyFont="1"/>
    <xf numFmtId="37" fontId="38" fillId="0" borderId="1" xfId="0" applyFont="1" applyBorder="1"/>
    <xf numFmtId="37" fontId="29" fillId="0" borderId="0" xfId="0" applyFont="1"/>
    <xf numFmtId="5" fontId="29" fillId="0" borderId="1" xfId="0" applyNumberFormat="1" applyFont="1" applyBorder="1"/>
    <xf numFmtId="5" fontId="29" fillId="0" borderId="0" xfId="0" applyNumberFormat="1" applyFont="1"/>
    <xf numFmtId="5" fontId="42" fillId="0" borderId="0" xfId="0" applyNumberFormat="1" applyFont="1"/>
    <xf numFmtId="5" fontId="42" fillId="0" borderId="1" xfId="0" applyNumberFormat="1" applyFont="1" applyBorder="1"/>
    <xf numFmtId="37" fontId="27" fillId="0" borderId="0" xfId="0" applyFont="1"/>
    <xf numFmtId="37" fontId="27" fillId="0" borderId="1" xfId="0" applyFont="1" applyBorder="1"/>
    <xf numFmtId="37" fontId="43" fillId="0" borderId="0" xfId="0" applyFont="1"/>
    <xf numFmtId="37" fontId="43" fillId="0" borderId="1" xfId="0" applyFont="1" applyBorder="1"/>
    <xf numFmtId="37" fontId="29" fillId="0" borderId="1" xfId="0" applyFont="1" applyBorder="1"/>
    <xf numFmtId="37" fontId="44" fillId="0" borderId="0" xfId="0" applyFont="1"/>
    <xf numFmtId="37" fontId="44" fillId="0" borderId="1" xfId="0" applyFont="1" applyBorder="1"/>
    <xf numFmtId="37" fontId="42" fillId="0" borderId="0" xfId="0" applyFont="1"/>
    <xf numFmtId="37" fontId="42" fillId="0" borderId="1" xfId="0" applyFont="1" applyBorder="1"/>
    <xf numFmtId="37" fontId="45" fillId="0" borderId="0" xfId="0" applyFont="1"/>
    <xf numFmtId="37" fontId="45" fillId="0" borderId="1" xfId="0" applyFont="1" applyBorder="1"/>
    <xf numFmtId="37" fontId="46" fillId="0" borderId="0" xfId="0" applyFont="1"/>
    <xf numFmtId="37" fontId="46" fillId="0" borderId="1" xfId="0" applyFont="1" applyBorder="1"/>
    <xf numFmtId="37" fontId="29" fillId="3" borderId="3" xfId="0" applyFont="1" applyFill="1" applyBorder="1"/>
    <xf numFmtId="169" fontId="29" fillId="3" borderId="4" xfId="0" applyNumberFormat="1" applyFont="1" applyFill="1" applyBorder="1"/>
    <xf numFmtId="37" fontId="29" fillId="3" borderId="4" xfId="0" applyFont="1" applyFill="1" applyBorder="1"/>
    <xf numFmtId="37" fontId="29" fillId="3" borderId="12" xfId="0" applyFont="1" applyFill="1" applyBorder="1"/>
    <xf numFmtId="169" fontId="27" fillId="0" borderId="1" xfId="0" applyNumberFormat="1" applyFont="1" applyBorder="1"/>
    <xf numFmtId="166" fontId="30" fillId="0" borderId="1" xfId="0" applyNumberFormat="1" applyFont="1" applyBorder="1"/>
    <xf numFmtId="166" fontId="30" fillId="0" borderId="0" xfId="0" applyNumberFormat="1" applyFont="1"/>
    <xf numFmtId="166" fontId="35" fillId="0" borderId="0" xfId="0" applyNumberFormat="1" applyFont="1"/>
    <xf numFmtId="166" fontId="35" fillId="0" borderId="1" xfId="0" applyNumberFormat="1" applyFont="1" applyBorder="1"/>
    <xf numFmtId="169" fontId="29" fillId="3" borderId="3" xfId="0" applyNumberFormat="1" applyFont="1" applyFill="1" applyBorder="1"/>
    <xf numFmtId="37" fontId="47" fillId="4" borderId="0" xfId="0" applyFont="1" applyFill="1" applyBorder="1"/>
    <xf numFmtId="166" fontId="47" fillId="4" borderId="0" xfId="0" applyNumberFormat="1" applyFont="1" applyFill="1" applyBorder="1"/>
    <xf numFmtId="37" fontId="35" fillId="0" borderId="0" xfId="0" applyFont="1"/>
    <xf numFmtId="37" fontId="35" fillId="0" borderId="1" xfId="0" applyFont="1" applyBorder="1"/>
    <xf numFmtId="37" fontId="36" fillId="0" borderId="0" xfId="0" applyFont="1"/>
    <xf numFmtId="37" fontId="31" fillId="3" borderId="3" xfId="0" applyFont="1" applyFill="1" applyBorder="1"/>
    <xf numFmtId="37" fontId="31" fillId="3" borderId="4" xfId="0" applyFont="1" applyFill="1" applyBorder="1"/>
    <xf numFmtId="37" fontId="33" fillId="0" borderId="0" xfId="0" applyFont="1" applyBorder="1"/>
    <xf numFmtId="37" fontId="35" fillId="0" borderId="0" xfId="0" applyFont="1" applyBorder="1"/>
    <xf numFmtId="174" fontId="33" fillId="0" borderId="0" xfId="0" applyNumberFormat="1" applyFont="1" applyBorder="1"/>
    <xf numFmtId="37" fontId="48" fillId="3" borderId="3" xfId="0" applyFont="1" applyFill="1" applyBorder="1"/>
    <xf numFmtId="37" fontId="31" fillId="0" borderId="2" xfId="0" applyFont="1" applyBorder="1"/>
    <xf numFmtId="37" fontId="50" fillId="0" borderId="0" xfId="0" applyFont="1"/>
    <xf numFmtId="177" fontId="33" fillId="0" borderId="0" xfId="0" applyNumberFormat="1" applyFont="1" applyBorder="1"/>
    <xf numFmtId="178" fontId="33" fillId="0" borderId="0" xfId="0" applyNumberFormat="1" applyFont="1" applyBorder="1"/>
    <xf numFmtId="178" fontId="35" fillId="0" borderId="0" xfId="0" applyNumberFormat="1" applyFont="1" applyBorder="1"/>
    <xf numFmtId="37" fontId="27" fillId="0" borderId="5" xfId="0" applyFont="1" applyBorder="1"/>
    <xf numFmtId="37" fontId="50" fillId="0" borderId="1" xfId="0" applyFont="1" applyBorder="1"/>
    <xf numFmtId="178" fontId="35" fillId="0" borderId="1" xfId="0" applyNumberFormat="1" applyFont="1" applyBorder="1"/>
    <xf numFmtId="2" fontId="34" fillId="0" borderId="2" xfId="0" applyNumberFormat="1" applyFont="1" applyFill="1" applyBorder="1" applyAlignment="1">
      <alignment horizontal="left"/>
    </xf>
    <xf numFmtId="37" fontId="38" fillId="0" borderId="0" xfId="0" applyFont="1" applyBorder="1"/>
    <xf numFmtId="9" fontId="33" fillId="0" borderId="15" xfId="0" applyNumberFormat="1" applyFont="1" applyBorder="1"/>
    <xf numFmtId="9" fontId="33" fillId="0" borderId="5" xfId="0" applyNumberFormat="1" applyFont="1" applyBorder="1"/>
    <xf numFmtId="37" fontId="47" fillId="4" borderId="13" xfId="0" applyFont="1" applyFill="1" applyBorder="1"/>
    <xf numFmtId="168" fontId="51" fillId="0" borderId="5" xfId="0" applyNumberFormat="1" applyFont="1" applyBorder="1"/>
    <xf numFmtId="168" fontId="51" fillId="0" borderId="13" xfId="0" applyNumberFormat="1" applyFont="1" applyBorder="1"/>
    <xf numFmtId="37" fontId="29" fillId="0" borderId="3" xfId="0" applyFont="1" applyBorder="1"/>
    <xf numFmtId="171" fontId="29" fillId="0" borderId="4" xfId="0" applyNumberFormat="1" applyFont="1" applyBorder="1"/>
    <xf numFmtId="171" fontId="29" fillId="0" borderId="3" xfId="0" applyNumberFormat="1" applyFont="1" applyBorder="1"/>
    <xf numFmtId="180" fontId="29" fillId="0" borderId="4" xfId="3" applyFont="1" applyBorder="1">
      <alignment horizontal="right"/>
    </xf>
    <xf numFmtId="180" fontId="29" fillId="0" borderId="3" xfId="3" applyFont="1" applyBorder="1">
      <alignment horizontal="right"/>
    </xf>
    <xf numFmtId="41" fontId="29" fillId="0" borderId="4" xfId="1" applyFont="1" applyBorder="1"/>
    <xf numFmtId="41" fontId="29" fillId="0" borderId="12" xfId="1" applyFont="1" applyBorder="1"/>
    <xf numFmtId="41" fontId="29" fillId="0" borderId="11" xfId="1" applyFont="1" applyBorder="1"/>
    <xf numFmtId="41" fontId="29" fillId="0" borderId="3" xfId="1" applyFont="1" applyBorder="1"/>
    <xf numFmtId="182" fontId="38" fillId="0" borderId="1" xfId="0" applyNumberFormat="1" applyFont="1" applyBorder="1"/>
    <xf numFmtId="182" fontId="38" fillId="0" borderId="0" xfId="0" applyNumberFormat="1" applyFont="1" applyBorder="1"/>
    <xf numFmtId="182" fontId="52" fillId="0" borderId="1" xfId="0" applyNumberFormat="1" applyFont="1" applyBorder="1"/>
    <xf numFmtId="182" fontId="38" fillId="0" borderId="0" xfId="0" applyNumberFormat="1" applyFont="1"/>
    <xf numFmtId="37" fontId="25" fillId="4" borderId="0" xfId="0" applyFont="1" applyFill="1"/>
    <xf numFmtId="37" fontId="37" fillId="4" borderId="0" xfId="0" applyFont="1" applyFill="1" applyBorder="1" applyAlignment="1">
      <alignment horizontal="left"/>
    </xf>
    <xf numFmtId="164" fontId="28" fillId="4" borderId="1" xfId="0" applyNumberFormat="1" applyFont="1" applyFill="1" applyBorder="1" applyAlignment="1">
      <alignment horizontal="center"/>
    </xf>
    <xf numFmtId="164" fontId="28" fillId="4" borderId="2" xfId="0" applyNumberFormat="1" applyFont="1" applyFill="1" applyBorder="1" applyAlignment="1">
      <alignment horizontal="center"/>
    </xf>
    <xf numFmtId="164" fontId="28" fillId="4" borderId="0" xfId="0" applyNumberFormat="1" applyFont="1" applyFill="1" applyAlignment="1">
      <alignment horizontal="center"/>
    </xf>
    <xf numFmtId="17" fontId="28" fillId="4" borderId="0" xfId="0" applyNumberFormat="1" applyFont="1" applyFill="1" applyAlignment="1">
      <alignment horizontal="center"/>
    </xf>
    <xf numFmtId="37" fontId="32" fillId="4" borderId="0" xfId="0" applyFont="1" applyFill="1"/>
    <xf numFmtId="9" fontId="44" fillId="4" borderId="1" xfId="6" applyFont="1" applyFill="1" applyBorder="1"/>
    <xf numFmtId="9" fontId="44" fillId="4" borderId="0" xfId="6" applyFont="1" applyFill="1" applyBorder="1"/>
    <xf numFmtId="9" fontId="35" fillId="0" borderId="1" xfId="6" applyFont="1" applyBorder="1"/>
    <xf numFmtId="37" fontId="53" fillId="0" borderId="1" xfId="0" applyFont="1" applyBorder="1"/>
    <xf numFmtId="37" fontId="53" fillId="0" borderId="0" xfId="0" applyFont="1"/>
    <xf numFmtId="9" fontId="30" fillId="0" borderId="0" xfId="6" applyFont="1"/>
    <xf numFmtId="37" fontId="49" fillId="4" borderId="0" xfId="0" applyFont="1" applyFill="1"/>
    <xf numFmtId="37" fontId="49" fillId="4" borderId="2" xfId="0" applyFont="1" applyFill="1" applyBorder="1"/>
    <xf numFmtId="9" fontId="30" fillId="0" borderId="1" xfId="6" applyFont="1" applyBorder="1"/>
    <xf numFmtId="39" fontId="51" fillId="0" borderId="1" xfId="0" applyNumberFormat="1" applyFont="1" applyBorder="1"/>
    <xf numFmtId="168" fontId="30" fillId="0" borderId="0" xfId="0" applyNumberFormat="1" applyFont="1"/>
    <xf numFmtId="37" fontId="27" fillId="0" borderId="0" xfId="0" applyFont="1" applyBorder="1"/>
    <xf numFmtId="166" fontId="27" fillId="0" borderId="0" xfId="0" applyNumberFormat="1" applyFont="1"/>
    <xf numFmtId="171" fontId="31" fillId="0" borderId="3" xfId="0" applyNumberFormat="1" applyFont="1" applyBorder="1"/>
    <xf numFmtId="168" fontId="51" fillId="0" borderId="0" xfId="6" applyNumberFormat="1" applyFont="1" applyAlignment="1">
      <alignment horizontal="right"/>
    </xf>
    <xf numFmtId="172" fontId="51" fillId="0" borderId="0" xfId="6" applyNumberFormat="1" applyFont="1"/>
    <xf numFmtId="37" fontId="51" fillId="7" borderId="0" xfId="0" applyFont="1" applyFill="1"/>
    <xf numFmtId="37" fontId="31" fillId="7" borderId="0" xfId="0" applyFont="1" applyFill="1"/>
    <xf numFmtId="37" fontId="51" fillId="7" borderId="1" xfId="0" applyFont="1" applyFill="1" applyBorder="1"/>
    <xf numFmtId="37" fontId="38" fillId="7" borderId="1" xfId="0" applyFont="1" applyFill="1" applyBorder="1"/>
    <xf numFmtId="37" fontId="38" fillId="7" borderId="0" xfId="0" applyFont="1" applyFill="1"/>
    <xf numFmtId="37" fontId="55" fillId="7" borderId="1" xfId="0" applyFont="1" applyFill="1" applyBorder="1"/>
    <xf numFmtId="37" fontId="29" fillId="0" borderId="0" xfId="0" applyFont="1" applyBorder="1"/>
    <xf numFmtId="37" fontId="27" fillId="0" borderId="0" xfId="0" applyFont="1" applyFill="1" applyBorder="1"/>
    <xf numFmtId="37" fontId="27" fillId="0" borderId="2" xfId="0" applyFont="1" applyBorder="1"/>
    <xf numFmtId="37" fontId="51" fillId="7" borderId="0" xfId="0" applyFont="1" applyFill="1" applyBorder="1"/>
    <xf numFmtId="37" fontId="33" fillId="7" borderId="1" xfId="0" applyFont="1" applyFill="1" applyBorder="1"/>
    <xf numFmtId="37" fontId="27" fillId="7" borderId="0" xfId="0" applyFont="1" applyFill="1"/>
    <xf numFmtId="37" fontId="27" fillId="0" borderId="0" xfId="0" applyFont="1" applyAlignment="1">
      <alignment horizontal="left" indent="1"/>
    </xf>
    <xf numFmtId="37" fontId="33" fillId="0" borderId="7" xfId="0" applyFont="1" applyBorder="1"/>
    <xf numFmtId="5" fontId="33" fillId="7" borderId="1" xfId="0" applyNumberFormat="1" applyFont="1" applyFill="1" applyBorder="1"/>
    <xf numFmtId="5" fontId="56" fillId="7" borderId="1" xfId="0" applyNumberFormat="1" applyFont="1" applyFill="1" applyBorder="1"/>
    <xf numFmtId="9" fontId="51" fillId="7" borderId="0" xfId="6" applyFont="1" applyFill="1"/>
    <xf numFmtId="43" fontId="51" fillId="0" borderId="0" xfId="0" applyNumberFormat="1" applyFont="1" applyBorder="1"/>
    <xf numFmtId="168" fontId="57" fillId="0" borderId="0" xfId="6" applyNumberFormat="1" applyFont="1"/>
    <xf numFmtId="168" fontId="57" fillId="0" borderId="1" xfId="6" applyNumberFormat="1" applyFont="1" applyBorder="1"/>
    <xf numFmtId="168" fontId="51" fillId="0" borderId="0" xfId="6" quotePrefix="1" applyNumberFormat="1" applyFont="1" applyAlignment="1">
      <alignment horizontal="right"/>
    </xf>
    <xf numFmtId="168" fontId="27" fillId="0" borderId="0" xfId="6" quotePrefix="1" applyNumberFormat="1" applyFont="1" applyAlignment="1">
      <alignment horizontal="right"/>
    </xf>
    <xf numFmtId="37" fontId="30" fillId="0" borderId="14" xfId="0" applyFont="1" applyBorder="1"/>
    <xf numFmtId="37" fontId="30" fillId="0" borderId="28" xfId="0" applyFont="1" applyBorder="1"/>
    <xf numFmtId="7" fontId="29" fillId="0" borderId="4" xfId="0" applyNumberFormat="1" applyFont="1" applyBorder="1"/>
    <xf numFmtId="7" fontId="29" fillId="0" borderId="3" xfId="0" applyNumberFormat="1" applyFont="1" applyBorder="1"/>
    <xf numFmtId="7" fontId="31" fillId="0" borderId="3" xfId="0" applyNumberFormat="1" applyFont="1" applyBorder="1"/>
    <xf numFmtId="9" fontId="35" fillId="0" borderId="0" xfId="6" applyFont="1"/>
    <xf numFmtId="168" fontId="27" fillId="0" borderId="0" xfId="6" applyNumberFormat="1" applyFont="1"/>
    <xf numFmtId="2" fontId="52" fillId="0" borderId="0" xfId="0" applyNumberFormat="1" applyFont="1" applyFill="1" applyBorder="1" applyAlignment="1">
      <alignment horizontal="left"/>
    </xf>
    <xf numFmtId="167" fontId="27" fillId="0" borderId="0" xfId="0" applyNumberFormat="1" applyFont="1" applyBorder="1"/>
    <xf numFmtId="7" fontId="51" fillId="0" borderId="0" xfId="2" applyFont="1" applyBorder="1" applyAlignment="1">
      <alignment horizontal="right"/>
    </xf>
    <xf numFmtId="168" fontId="51" fillId="0" borderId="1" xfId="6" applyNumberFormat="1" applyFont="1" applyBorder="1" applyAlignment="1">
      <alignment horizontal="right"/>
    </xf>
    <xf numFmtId="37" fontId="29" fillId="2" borderId="0" xfId="0" applyFont="1" applyFill="1"/>
    <xf numFmtId="37" fontId="29" fillId="7" borderId="0" xfId="0" applyFont="1" applyFill="1" applyBorder="1"/>
    <xf numFmtId="37" fontId="27" fillId="0" borderId="0" xfId="2" applyNumberFormat="1" applyFont="1" applyBorder="1"/>
    <xf numFmtId="8" fontId="27" fillId="0" borderId="0" xfId="0" applyNumberFormat="1" applyFont="1" applyBorder="1"/>
    <xf numFmtId="5" fontId="27" fillId="0" borderId="0" xfId="0" applyNumberFormat="1" applyFont="1"/>
    <xf numFmtId="169" fontId="27" fillId="0" borderId="0" xfId="0" applyNumberFormat="1" applyFont="1" applyBorder="1"/>
    <xf numFmtId="169" fontId="27" fillId="0" borderId="0" xfId="0" applyNumberFormat="1" applyFont="1"/>
    <xf numFmtId="9" fontId="27" fillId="0" borderId="0" xfId="0" applyNumberFormat="1" applyFont="1"/>
    <xf numFmtId="166" fontId="27" fillId="0" borderId="1" xfId="0" applyNumberFormat="1" applyFont="1" applyBorder="1"/>
    <xf numFmtId="166" fontId="27" fillId="0" borderId="0" xfId="2" applyNumberFormat="1" applyFont="1" applyBorder="1"/>
    <xf numFmtId="166" fontId="51" fillId="0" borderId="0" xfId="0" applyNumberFormat="1" applyFont="1" applyBorder="1"/>
    <xf numFmtId="166" fontId="27" fillId="0" borderId="1" xfId="2" applyNumberFormat="1" applyFont="1" applyBorder="1"/>
    <xf numFmtId="168" fontId="27" fillId="0" borderId="0" xfId="0" applyNumberFormat="1" applyFont="1"/>
    <xf numFmtId="168" fontId="27" fillId="0" borderId="1" xfId="6" applyNumberFormat="1" applyFont="1" applyBorder="1"/>
    <xf numFmtId="9" fontId="27" fillId="0" borderId="1" xfId="0" applyNumberFormat="1" applyFont="1" applyBorder="1"/>
    <xf numFmtId="9" fontId="27" fillId="0" borderId="1" xfId="6" applyFont="1" applyBorder="1"/>
    <xf numFmtId="9" fontId="27" fillId="7" borderId="0" xfId="6" applyFont="1" applyFill="1" applyBorder="1"/>
    <xf numFmtId="9" fontId="51" fillId="7" borderId="0" xfId="6" applyFont="1" applyFill="1" applyBorder="1"/>
    <xf numFmtId="37" fontId="31" fillId="7" borderId="0" xfId="0" applyFont="1" applyFill="1" applyBorder="1"/>
    <xf numFmtId="37" fontId="27" fillId="7" borderId="0" xfId="0" applyFont="1" applyFill="1" applyBorder="1"/>
    <xf numFmtId="178" fontId="27" fillId="0" borderId="0" xfId="0" applyNumberFormat="1" applyFont="1" applyBorder="1"/>
    <xf numFmtId="168" fontId="30" fillId="0" borderId="0" xfId="6" applyNumberFormat="1" applyFont="1"/>
    <xf numFmtId="41" fontId="27" fillId="0" borderId="1" xfId="1" applyFont="1" applyBorder="1"/>
    <xf numFmtId="9" fontId="27" fillId="0" borderId="0" xfId="6" applyFont="1" applyBorder="1"/>
    <xf numFmtId="37" fontId="27" fillId="0" borderId="2" xfId="0" applyFont="1" applyBorder="1" applyAlignment="1">
      <alignment horizontal="left" indent="1"/>
    </xf>
    <xf numFmtId="174" fontId="27" fillId="0" borderId="0" xfId="0" applyNumberFormat="1" applyFont="1" applyBorder="1"/>
    <xf numFmtId="177" fontId="27" fillId="0" borderId="0" xfId="0" applyNumberFormat="1" applyFont="1" applyBorder="1"/>
    <xf numFmtId="167" fontId="27" fillId="0" borderId="0" xfId="322" applyNumberFormat="1" applyFont="1" applyBorder="1"/>
    <xf numFmtId="39" fontId="30" fillId="0" borderId="0" xfId="0" applyNumberFormat="1" applyFont="1"/>
    <xf numFmtId="0" fontId="16" fillId="2" borderId="1" xfId="0" applyNumberFormat="1" applyFont="1" applyFill="1" applyBorder="1" applyAlignment="1">
      <alignment horizontal="center"/>
    </xf>
    <xf numFmtId="0" fontId="9" fillId="2" borderId="1" xfId="0" applyNumberFormat="1" applyFont="1" applyFill="1" applyBorder="1" applyAlignment="1">
      <alignment horizontal="center"/>
    </xf>
    <xf numFmtId="0" fontId="23" fillId="2" borderId="1" xfId="0" applyNumberFormat="1" applyFont="1" applyFill="1" applyBorder="1" applyAlignment="1">
      <alignment horizontal="center"/>
    </xf>
    <xf numFmtId="8" fontId="27" fillId="0" borderId="0" xfId="0" applyNumberFormat="1" applyFont="1" applyFill="1" applyBorder="1"/>
    <xf numFmtId="37" fontId="27" fillId="0" borderId="1" xfId="4" applyNumberFormat="1" applyFont="1" applyBorder="1"/>
    <xf numFmtId="164" fontId="10" fillId="3" borderId="0" xfId="0" applyNumberFormat="1" applyFont="1" applyFill="1" applyAlignment="1">
      <alignment horizontal="center"/>
    </xf>
    <xf numFmtId="164" fontId="10" fillId="4" borderId="0" xfId="0" applyNumberFormat="1" applyFont="1" applyFill="1" applyAlignment="1">
      <alignment horizontal="center"/>
    </xf>
    <xf numFmtId="37" fontId="27" fillId="0" borderId="3" xfId="0" applyFont="1" applyBorder="1"/>
    <xf numFmtId="37" fontId="27" fillId="0" borderId="14" xfId="0" applyFont="1" applyBorder="1"/>
    <xf numFmtId="37" fontId="27" fillId="7" borderId="10" xfId="0" applyFont="1" applyFill="1" applyBorder="1"/>
    <xf numFmtId="37" fontId="29" fillId="7" borderId="0" xfId="0" applyFont="1" applyFill="1"/>
    <xf numFmtId="37" fontId="27" fillId="7" borderId="13" xfId="0" applyFont="1" applyFill="1" applyBorder="1"/>
    <xf numFmtId="37" fontId="27" fillId="7" borderId="3" xfId="0" applyFont="1" applyFill="1" applyBorder="1"/>
    <xf numFmtId="167" fontId="51" fillId="7" borderId="0" xfId="0" applyNumberFormat="1" applyFont="1" applyFill="1"/>
    <xf numFmtId="7" fontId="51" fillId="7" borderId="0" xfId="2" applyFont="1" applyFill="1" applyBorder="1"/>
    <xf numFmtId="167" fontId="27" fillId="7" borderId="0" xfId="0" applyNumberFormat="1" applyFont="1" applyFill="1"/>
    <xf numFmtId="37" fontId="38" fillId="7" borderId="0" xfId="0" applyFont="1" applyFill="1" applyBorder="1"/>
    <xf numFmtId="37" fontId="39" fillId="7" borderId="0" xfId="0" applyFont="1" applyFill="1" applyBorder="1" applyAlignment="1">
      <alignment horizontal="center"/>
    </xf>
    <xf numFmtId="37" fontId="39" fillId="7" borderId="0" xfId="0" applyFont="1" applyFill="1" applyAlignment="1">
      <alignment horizontal="center"/>
    </xf>
    <xf numFmtId="9" fontId="44" fillId="7" borderId="0" xfId="6" applyFont="1" applyFill="1" applyBorder="1"/>
    <xf numFmtId="9" fontId="38" fillId="7" borderId="0" xfId="6" applyFont="1" applyFill="1" applyBorder="1"/>
    <xf numFmtId="37" fontId="35" fillId="7" borderId="0" xfId="0" applyFont="1" applyFill="1" applyBorder="1"/>
    <xf numFmtId="37" fontId="51" fillId="7" borderId="3" xfId="0" applyFont="1" applyFill="1" applyBorder="1"/>
    <xf numFmtId="168" fontId="35" fillId="0" borderId="0" xfId="6" applyNumberFormat="1" applyFont="1"/>
    <xf numFmtId="37" fontId="38" fillId="0" borderId="0" xfId="0" applyFont="1" applyFill="1"/>
    <xf numFmtId="37" fontId="29" fillId="0" borderId="0" xfId="0" applyFont="1" applyFill="1"/>
    <xf numFmtId="37" fontId="27" fillId="0" borderId="0" xfId="0" applyFont="1" applyFill="1"/>
    <xf numFmtId="37" fontId="29" fillId="0" borderId="0" xfId="0" applyFont="1" applyFill="1" applyBorder="1"/>
    <xf numFmtId="9" fontId="27" fillId="0" borderId="0" xfId="2516"/>
    <xf numFmtId="37" fontId="27" fillId="0" borderId="0" xfId="0" applyFont="1" applyAlignment="1">
      <alignment horizontal="left"/>
    </xf>
    <xf numFmtId="7" fontId="51" fillId="0" borderId="0" xfId="2" applyFont="1" applyFill="1" applyBorder="1"/>
    <xf numFmtId="37" fontId="35" fillId="0" borderId="0" xfId="0" applyFont="1" applyFill="1" applyBorder="1"/>
    <xf numFmtId="9" fontId="27" fillId="0" borderId="1" xfId="2" applyNumberFormat="1" applyFont="1" applyBorder="1"/>
    <xf numFmtId="9" fontId="27" fillId="0" borderId="0" xfId="2947" applyNumberFormat="1"/>
    <xf numFmtId="9" fontId="29" fillId="0" borderId="3" xfId="0" applyNumberFormat="1" applyFont="1" applyBorder="1"/>
    <xf numFmtId="167" fontId="27" fillId="0" borderId="0" xfId="322" applyNumberFormat="1" applyFont="1" applyFill="1" applyBorder="1"/>
    <xf numFmtId="166" fontId="27" fillId="7" borderId="0" xfId="0" applyNumberFormat="1" applyFont="1" applyFill="1"/>
    <xf numFmtId="168" fontId="27" fillId="0" borderId="0" xfId="6" quotePrefix="1" applyNumberFormat="1" applyFont="1" applyBorder="1" applyAlignment="1">
      <alignment horizontal="right"/>
    </xf>
    <xf numFmtId="168" fontId="51" fillId="0" borderId="0" xfId="6" applyNumberFormat="1" applyFont="1" applyBorder="1" applyAlignment="1">
      <alignment horizontal="right"/>
    </xf>
    <xf numFmtId="37" fontId="240" fillId="7" borderId="0" xfId="0" applyFont="1" applyFill="1" applyBorder="1"/>
    <xf numFmtId="37" fontId="240" fillId="0" borderId="0" xfId="0" applyFont="1"/>
    <xf numFmtId="37" fontId="241" fillId="0" borderId="0" xfId="0" applyFont="1"/>
    <xf numFmtId="37" fontId="242" fillId="7" borderId="0" xfId="0" applyFont="1" applyFill="1"/>
    <xf numFmtId="37" fontId="241" fillId="0" borderId="0" xfId="0" applyFont="1" applyFill="1" applyBorder="1"/>
    <xf numFmtId="37" fontId="29" fillId="59" borderId="0" xfId="0" applyFont="1" applyFill="1" applyBorder="1"/>
    <xf numFmtId="9" fontId="27" fillId="0" borderId="1" xfId="2516" applyBorder="1"/>
    <xf numFmtId="0" fontId="22" fillId="0" borderId="0" xfId="3034" applyFont="1"/>
    <xf numFmtId="0" fontId="11" fillId="0" borderId="0" xfId="3034" applyFont="1"/>
    <xf numFmtId="169" fontId="27" fillId="0" borderId="0" xfId="3251" applyNumberFormat="1" applyBorder="1"/>
    <xf numFmtId="37" fontId="30" fillId="0" borderId="0" xfId="0" applyFont="1" applyFill="1"/>
    <xf numFmtId="37" fontId="36" fillId="0" borderId="0" xfId="0" applyFont="1" applyFill="1"/>
    <xf numFmtId="37" fontId="31" fillId="0" borderId="0" xfId="0" applyFont="1" applyFill="1"/>
    <xf numFmtId="7" fontId="38" fillId="0" borderId="0" xfId="2" applyFont="1" applyFill="1" applyBorder="1"/>
    <xf numFmtId="37" fontId="27" fillId="0" borderId="3" xfId="0" applyFont="1" applyFill="1" applyBorder="1"/>
    <xf numFmtId="37" fontId="39" fillId="0" borderId="0" xfId="0" applyFont="1" applyFill="1" applyBorder="1" applyAlignment="1">
      <alignment horizontal="center"/>
    </xf>
    <xf numFmtId="37" fontId="39" fillId="0" borderId="0" xfId="0" applyFont="1" applyFill="1" applyAlignment="1">
      <alignment horizontal="center"/>
    </xf>
    <xf numFmtId="9" fontId="27" fillId="0" borderId="0" xfId="6" applyFont="1" applyFill="1" applyBorder="1"/>
    <xf numFmtId="5" fontId="27" fillId="0" borderId="1" xfId="0" applyNumberFormat="1" applyFont="1" applyBorder="1"/>
    <xf numFmtId="164" fontId="10" fillId="0" borderId="0" xfId="0" applyNumberFormat="1" applyFont="1" applyFill="1" applyAlignment="1">
      <alignment horizontal="center"/>
    </xf>
    <xf numFmtId="37" fontId="51" fillId="0" borderId="0" xfId="0" applyFont="1" applyFill="1"/>
    <xf numFmtId="9" fontId="44" fillId="0" borderId="0" xfId="6" applyFont="1" applyFill="1" applyBorder="1"/>
    <xf numFmtId="9" fontId="38" fillId="0" borderId="0" xfId="6" applyFont="1" applyFill="1" applyBorder="1"/>
    <xf numFmtId="9" fontId="27" fillId="0" borderId="0" xfId="2516" applyFill="1"/>
    <xf numFmtId="37" fontId="27" fillId="0" borderId="14" xfId="0" applyFont="1" applyFill="1" applyBorder="1"/>
    <xf numFmtId="44" fontId="116" fillId="0" borderId="0" xfId="3694" applyFont="1"/>
    <xf numFmtId="44" fontId="116" fillId="0" borderId="1" xfId="3694" applyFont="1" applyBorder="1"/>
    <xf numFmtId="183" fontId="27" fillId="0" borderId="1" xfId="4" applyFont="1" applyBorder="1"/>
    <xf numFmtId="37" fontId="248" fillId="0" borderId="0" xfId="0" applyFont="1" applyFill="1" applyBorder="1"/>
    <xf numFmtId="37" fontId="249" fillId="0" borderId="0" xfId="0" applyFont="1"/>
    <xf numFmtId="37" fontId="249" fillId="0" borderId="0" xfId="0" applyFont="1" applyFill="1"/>
    <xf numFmtId="166" fontId="27" fillId="0" borderId="0" xfId="0" applyNumberFormat="1" applyFont="1" applyFill="1" applyBorder="1"/>
    <xf numFmtId="37" fontId="27" fillId="0" borderId="0" xfId="0" applyFont="1" applyFill="1" applyAlignment="1">
      <alignment horizontal="left"/>
    </xf>
    <xf numFmtId="37" fontId="51" fillId="0" borderId="1" xfId="0" applyFont="1" applyFill="1" applyBorder="1"/>
    <xf numFmtId="37" fontId="35" fillId="0" borderId="1" xfId="0" applyFont="1" applyFill="1" applyBorder="1"/>
    <xf numFmtId="172" fontId="33" fillId="0" borderId="0" xfId="0" applyNumberFormat="1" applyFont="1" applyFill="1" applyBorder="1" applyAlignment="1">
      <alignment horizontal="left"/>
    </xf>
    <xf numFmtId="37" fontId="240" fillId="0" borderId="0" xfId="0" applyFont="1" applyFill="1" applyBorder="1"/>
    <xf numFmtId="37" fontId="45" fillId="0" borderId="1" xfId="4" applyNumberFormat="1" applyFont="1" applyFill="1" applyBorder="1"/>
    <xf numFmtId="169" fontId="51" fillId="0" borderId="6" xfId="0" applyNumberFormat="1" applyFont="1" applyFill="1" applyBorder="1"/>
    <xf numFmtId="37" fontId="248" fillId="7" borderId="0" xfId="0" applyFont="1" applyFill="1" applyBorder="1"/>
    <xf numFmtId="37" fontId="248" fillId="7" borderId="0" xfId="0" applyFont="1" applyFill="1"/>
    <xf numFmtId="37" fontId="248" fillId="0" borderId="0" xfId="0" applyFont="1"/>
    <xf numFmtId="37" fontId="249" fillId="7" borderId="0" xfId="0" applyFont="1" applyFill="1"/>
    <xf numFmtId="37" fontId="248" fillId="0" borderId="0" xfId="0" applyFont="1" applyFill="1"/>
    <xf numFmtId="37" fontId="249" fillId="0" borderId="0" xfId="0" applyFont="1" applyFill="1" applyBorder="1"/>
    <xf numFmtId="37" fontId="249" fillId="7" borderId="0" xfId="0" applyFont="1" applyFill="1" applyBorder="1"/>
    <xf numFmtId="37" fontId="250" fillId="7" borderId="0" xfId="0" applyFont="1" applyFill="1"/>
    <xf numFmtId="37" fontId="250" fillId="0" borderId="0" xfId="0" applyFont="1" applyFill="1"/>
    <xf numFmtId="167" fontId="250" fillId="0" borderId="3" xfId="0" applyNumberFormat="1" applyFont="1" applyBorder="1"/>
    <xf numFmtId="37" fontId="248" fillId="0" borderId="3" xfId="0" applyFont="1" applyFill="1" applyBorder="1"/>
    <xf numFmtId="37" fontId="248" fillId="0" borderId="3" xfId="0" applyFont="1" applyBorder="1"/>
    <xf numFmtId="37" fontId="248" fillId="7" borderId="3" xfId="0" applyFont="1" applyFill="1" applyBorder="1"/>
    <xf numFmtId="167" fontId="250" fillId="0" borderId="0" xfId="0" applyNumberFormat="1" applyFont="1" applyBorder="1" applyAlignment="1">
      <alignment horizontal="center"/>
    </xf>
    <xf numFmtId="37" fontId="248" fillId="0" borderId="0" xfId="0" applyFont="1" applyFill="1" applyBorder="1" applyAlignment="1">
      <alignment horizontal="center"/>
    </xf>
    <xf numFmtId="37" fontId="248" fillId="0" borderId="0" xfId="0" applyFont="1" applyBorder="1" applyAlignment="1">
      <alignment horizontal="center"/>
    </xf>
    <xf numFmtId="37" fontId="248" fillId="7" borderId="0" xfId="0" applyFont="1" applyFill="1" applyBorder="1" applyAlignment="1">
      <alignment horizontal="center"/>
    </xf>
    <xf numFmtId="167" fontId="250" fillId="0" borderId="0" xfId="0" applyNumberFormat="1" applyFont="1"/>
    <xf numFmtId="183" fontId="50" fillId="0" borderId="1" xfId="4" applyFont="1" applyFill="1" applyBorder="1"/>
    <xf numFmtId="37" fontId="27" fillId="0" borderId="1" xfId="0" applyFont="1" applyFill="1" applyBorder="1"/>
    <xf numFmtId="37" fontId="27" fillId="0" borderId="4" xfId="0" applyFont="1" applyBorder="1"/>
    <xf numFmtId="178" fontId="27" fillId="0" borderId="1" xfId="0" applyNumberFormat="1" applyFont="1" applyBorder="1"/>
    <xf numFmtId="174" fontId="27" fillId="0" borderId="1" xfId="0" applyNumberFormat="1" applyFont="1" applyBorder="1"/>
    <xf numFmtId="177" fontId="27" fillId="0" borderId="1" xfId="0" applyNumberFormat="1" applyFont="1" applyBorder="1"/>
    <xf numFmtId="179" fontId="27" fillId="0" borderId="1" xfId="0" applyNumberFormat="1" applyFont="1" applyBorder="1"/>
    <xf numFmtId="168" fontId="27" fillId="0" borderId="1" xfId="0" applyNumberFormat="1" applyFont="1" applyBorder="1"/>
    <xf numFmtId="168" fontId="27" fillId="0" borderId="5" xfId="0" applyNumberFormat="1" applyFont="1" applyBorder="1"/>
    <xf numFmtId="37" fontId="27" fillId="0" borderId="9" xfId="0" applyFont="1" applyBorder="1"/>
    <xf numFmtId="9" fontId="27" fillId="0" borderId="1" xfId="0" applyNumberFormat="1" applyFont="1" applyFill="1" applyBorder="1"/>
    <xf numFmtId="9" fontId="31" fillId="0" borderId="4" xfId="0" applyNumberFormat="1" applyFont="1" applyFill="1" applyBorder="1"/>
    <xf numFmtId="9" fontId="33" fillId="0" borderId="1" xfId="0" applyNumberFormat="1" applyFont="1" applyFill="1" applyBorder="1"/>
    <xf numFmtId="9" fontId="34" fillId="0" borderId="4" xfId="0" applyNumberFormat="1" applyFont="1" applyFill="1" applyBorder="1"/>
    <xf numFmtId="167" fontId="35" fillId="0" borderId="1" xfId="0" applyNumberFormat="1" applyFont="1" applyFill="1" applyBorder="1"/>
    <xf numFmtId="9" fontId="51" fillId="0" borderId="1" xfId="0" applyNumberFormat="1" applyFont="1" applyFill="1" applyBorder="1"/>
    <xf numFmtId="9" fontId="51" fillId="0" borderId="4" xfId="0" applyNumberFormat="1" applyFont="1" applyFill="1" applyBorder="1"/>
    <xf numFmtId="9" fontId="51" fillId="0" borderId="1" xfId="6" applyFont="1" applyFill="1" applyBorder="1"/>
    <xf numFmtId="9" fontId="31" fillId="0" borderId="4" xfId="6" applyFont="1" applyFill="1" applyBorder="1"/>
    <xf numFmtId="169" fontId="27" fillId="0" borderId="1" xfId="0" applyNumberFormat="1" applyFont="1" applyFill="1" applyBorder="1"/>
    <xf numFmtId="37" fontId="38" fillId="0" borderId="1" xfId="0" applyFont="1" applyFill="1" applyBorder="1"/>
    <xf numFmtId="37" fontId="27" fillId="0" borderId="1" xfId="4" applyNumberFormat="1" applyFont="1" applyFill="1" applyBorder="1"/>
    <xf numFmtId="37" fontId="29" fillId="0" borderId="0" xfId="2292" applyFont="1"/>
    <xf numFmtId="37" fontId="27" fillId="0" borderId="0" xfId="2292"/>
    <xf numFmtId="37" fontId="111" fillId="0" borderId="0" xfId="3410"/>
    <xf numFmtId="0" fontId="29" fillId="0" borderId="0" xfId="2234" applyFont="1"/>
    <xf numFmtId="37" fontId="111" fillId="0" borderId="0" xfId="321"/>
    <xf numFmtId="9" fontId="29" fillId="0" borderId="3" xfId="6" applyFont="1" applyBorder="1"/>
    <xf numFmtId="9" fontId="29" fillId="0" borderId="4" xfId="6" applyFont="1" applyBorder="1"/>
    <xf numFmtId="168" fontId="54" fillId="0" borderId="0" xfId="6" applyNumberFormat="1" applyFont="1"/>
    <xf numFmtId="169" fontId="30" fillId="0" borderId="0" xfId="0" applyNumberFormat="1" applyFont="1" applyFill="1"/>
    <xf numFmtId="168" fontId="54" fillId="0" borderId="1" xfId="6" applyNumberFormat="1" applyFont="1" applyFill="1" applyBorder="1"/>
    <xf numFmtId="168" fontId="54" fillId="0" borderId="1" xfId="6" applyNumberFormat="1" applyFont="1" applyBorder="1"/>
    <xf numFmtId="183" fontId="27" fillId="0" borderId="1" xfId="4" applyFont="1" applyFill="1" applyBorder="1"/>
    <xf numFmtId="182" fontId="38" fillId="0" borderId="1" xfId="0" applyNumberFormat="1" applyFont="1" applyFill="1" applyBorder="1"/>
    <xf numFmtId="167" fontId="27" fillId="0" borderId="0" xfId="3412" applyNumberFormat="1" applyFont="1" applyBorder="1"/>
    <xf numFmtId="37" fontId="51" fillId="60" borderId="0" xfId="0" applyFont="1" applyFill="1"/>
    <xf numFmtId="168" fontId="51" fillId="0" borderId="0" xfId="1" applyNumberFormat="1" applyFont="1"/>
    <xf numFmtId="9" fontId="116" fillId="0" borderId="0" xfId="6" applyFont="1"/>
    <xf numFmtId="168" fontId="27" fillId="0" borderId="4" xfId="0" applyNumberFormat="1" applyFont="1" applyBorder="1"/>
    <xf numFmtId="168" fontId="29" fillId="0" borderId="4" xfId="0" applyNumberFormat="1" applyFont="1" applyBorder="1"/>
    <xf numFmtId="169" fontId="27" fillId="0" borderId="4" xfId="0" applyNumberFormat="1" applyFont="1" applyBorder="1"/>
    <xf numFmtId="169" fontId="29" fillId="0" borderId="4" xfId="0" applyNumberFormat="1" applyFont="1" applyBorder="1"/>
    <xf numFmtId="167" fontId="27" fillId="0" borderId="1" xfId="0" applyNumberFormat="1" applyFont="1" applyBorder="1"/>
    <xf numFmtId="9" fontId="29" fillId="0" borderId="4" xfId="0" applyNumberFormat="1" applyFont="1" applyBorder="1"/>
    <xf numFmtId="44" fontId="27" fillId="0" borderId="1" xfId="3694" applyFont="1" applyBorder="1"/>
    <xf numFmtId="2" fontId="31" fillId="0" borderId="0" xfId="0" applyNumberFormat="1" applyFont="1" applyBorder="1" applyAlignment="1">
      <alignment horizontal="left"/>
    </xf>
    <xf numFmtId="169" fontId="31" fillId="0" borderId="1" xfId="0" applyNumberFormat="1" applyFont="1" applyBorder="1"/>
    <xf numFmtId="169" fontId="31" fillId="0" borderId="0" xfId="0" applyNumberFormat="1" applyFont="1" applyBorder="1"/>
    <xf numFmtId="169" fontId="29" fillId="0" borderId="1" xfId="0" applyNumberFormat="1" applyFont="1" applyBorder="1"/>
    <xf numFmtId="2" fontId="27" fillId="0" borderId="0" xfId="0" applyNumberFormat="1" applyFont="1" applyBorder="1" applyAlignment="1">
      <alignment horizontal="left"/>
    </xf>
    <xf numFmtId="2" fontId="40" fillId="0" borderId="0" xfId="0" applyNumberFormat="1" applyFont="1" applyBorder="1" applyAlignment="1">
      <alignment horizontal="left"/>
    </xf>
    <xf numFmtId="0" fontId="8" fillId="0" borderId="0" xfId="2233"/>
    <xf numFmtId="0" fontId="10" fillId="0" borderId="0" xfId="2233" applyFont="1"/>
    <xf numFmtId="3" fontId="8" fillId="0" borderId="0" xfId="2233" applyNumberFormat="1"/>
    <xf numFmtId="3" fontId="8" fillId="0" borderId="0" xfId="2233" applyNumberFormat="1" applyAlignment="1">
      <alignment horizontal="left" indent="6"/>
    </xf>
    <xf numFmtId="3" fontId="8" fillId="0" borderId="0" xfId="2233" applyNumberFormat="1" applyAlignment="1">
      <alignment horizontal="right"/>
    </xf>
    <xf numFmtId="168" fontId="9" fillId="0" borderId="0" xfId="3695" applyNumberFormat="1" applyFont="1" applyFill="1" applyBorder="1"/>
    <xf numFmtId="37" fontId="49" fillId="4" borderId="0" xfId="0" applyFont="1" applyFill="1" applyBorder="1"/>
    <xf numFmtId="0" fontId="254" fillId="0" borderId="1" xfId="2233" applyFont="1" applyBorder="1" applyAlignment="1">
      <alignment horizontal="right"/>
    </xf>
    <xf numFmtId="0" fontId="254" fillId="0" borderId="0" xfId="2233" applyFont="1" applyAlignment="1">
      <alignment horizontal="center"/>
    </xf>
    <xf numFmtId="0" fontId="254" fillId="0" borderId="23" xfId="2233" applyFont="1" applyBorder="1" applyAlignment="1">
      <alignment horizontal="center"/>
    </xf>
    <xf numFmtId="2" fontId="29" fillId="62" borderId="0" xfId="2233" applyNumberFormat="1" applyFont="1" applyFill="1"/>
    <xf numFmtId="0" fontId="29" fillId="7" borderId="0" xfId="2233" applyFont="1" applyFill="1"/>
    <xf numFmtId="3" fontId="29" fillId="7" borderId="0" xfId="2233" applyNumberFormat="1" applyFont="1" applyFill="1"/>
    <xf numFmtId="3" fontId="29" fillId="7" borderId="1" xfId="2233" applyNumberFormat="1" applyFont="1" applyFill="1" applyBorder="1"/>
    <xf numFmtId="3" fontId="29" fillId="7" borderId="0" xfId="2233" applyNumberFormat="1" applyFont="1" applyFill="1" applyAlignment="1">
      <alignment horizontal="right"/>
    </xf>
    <xf numFmtId="3" fontId="29" fillId="0" borderId="0" xfId="2233" applyNumberFormat="1" applyFont="1"/>
    <xf numFmtId="0" fontId="27" fillId="0" borderId="0" xfId="2233" applyFont="1"/>
    <xf numFmtId="3" fontId="27" fillId="0" borderId="13" xfId="2233" applyNumberFormat="1" applyFont="1" applyBorder="1"/>
    <xf numFmtId="3" fontId="27" fillId="0" borderId="5" xfId="2233" applyNumberFormat="1" applyFont="1" applyBorder="1"/>
    <xf numFmtId="3" fontId="27" fillId="0" borderId="13" xfId="2233" applyNumberFormat="1" applyFont="1" applyBorder="1" applyAlignment="1">
      <alignment horizontal="right"/>
    </xf>
    <xf numFmtId="3" fontId="27" fillId="0" borderId="13" xfId="3695" applyNumberFormat="1" applyFont="1" applyFill="1" applyBorder="1" applyAlignment="1">
      <alignment horizontal="right"/>
    </xf>
    <xf numFmtId="37" fontId="29" fillId="0" borderId="0" xfId="2233" applyNumberFormat="1" applyFont="1"/>
    <xf numFmtId="3" fontId="29" fillId="0" borderId="1" xfId="2233" applyNumberFormat="1" applyFont="1" applyBorder="1"/>
    <xf numFmtId="3" fontId="29" fillId="0" borderId="0" xfId="2233" applyNumberFormat="1" applyFont="1" applyAlignment="1">
      <alignment horizontal="right"/>
    </xf>
    <xf numFmtId="3" fontId="27" fillId="0" borderId="0" xfId="2233" applyNumberFormat="1" applyFont="1"/>
    <xf numFmtId="3" fontId="27" fillId="0" borderId="1" xfId="1683" applyNumberFormat="1" applyFont="1" applyFill="1" applyBorder="1" applyAlignment="1">
      <alignment horizontal="right"/>
    </xf>
    <xf numFmtId="3" fontId="27" fillId="0" borderId="0" xfId="1683" applyNumberFormat="1" applyFont="1" applyFill="1" applyBorder="1" applyAlignment="1">
      <alignment horizontal="right"/>
    </xf>
    <xf numFmtId="3" fontId="27" fillId="0" borderId="23" xfId="1683" applyNumberFormat="1" applyFont="1" applyFill="1" applyBorder="1" applyAlignment="1">
      <alignment horizontal="right"/>
    </xf>
    <xf numFmtId="3" fontId="57" fillId="0" borderId="0" xfId="2233" applyNumberFormat="1" applyFont="1" applyAlignment="1">
      <alignment horizontal="right"/>
    </xf>
    <xf numFmtId="3" fontId="27" fillId="0" borderId="0" xfId="2233" applyNumberFormat="1" applyFont="1" applyAlignment="1">
      <alignment horizontal="right"/>
    </xf>
    <xf numFmtId="3" fontId="252" fillId="0" borderId="13" xfId="2233" applyNumberFormat="1" applyFont="1" applyBorder="1"/>
    <xf numFmtId="0" fontId="29" fillId="0" borderId="0" xfId="2233" applyFont="1"/>
    <xf numFmtId="3" fontId="29" fillId="7" borderId="14" xfId="2233" applyNumberFormat="1" applyFont="1" applyFill="1" applyBorder="1"/>
    <xf numFmtId="3" fontId="29" fillId="0" borderId="15" xfId="1683" applyNumberFormat="1" applyFont="1" applyFill="1" applyBorder="1" applyAlignment="1">
      <alignment horizontal="right"/>
    </xf>
    <xf numFmtId="3" fontId="255" fillId="7" borderId="14" xfId="1683" applyNumberFormat="1" applyFont="1" applyFill="1" applyBorder="1" applyAlignment="1">
      <alignment horizontal="right"/>
    </xf>
    <xf numFmtId="3" fontId="29" fillId="0" borderId="14" xfId="1683" applyNumberFormat="1" applyFont="1" applyFill="1" applyBorder="1" applyAlignment="1">
      <alignment horizontal="right"/>
    </xf>
    <xf numFmtId="3" fontId="29" fillId="0" borderId="25" xfId="1683" applyNumberFormat="1" applyFont="1" applyFill="1" applyBorder="1" applyAlignment="1">
      <alignment horizontal="right"/>
    </xf>
    <xf numFmtId="3" fontId="255" fillId="7" borderId="25" xfId="1683" applyNumberFormat="1" applyFont="1" applyFill="1" applyBorder="1" applyAlignment="1">
      <alignment horizontal="right"/>
    </xf>
    <xf numFmtId="3" fontId="255" fillId="7" borderId="14" xfId="2233" applyNumberFormat="1" applyFont="1" applyFill="1" applyBorder="1" applyAlignment="1">
      <alignment horizontal="right"/>
    </xf>
    <xf numFmtId="3" fontId="255" fillId="0" borderId="14" xfId="2233" applyNumberFormat="1" applyFont="1" applyBorder="1" applyAlignment="1">
      <alignment horizontal="right"/>
    </xf>
    <xf numFmtId="0" fontId="27" fillId="0" borderId="1" xfId="2233" applyFont="1" applyBorder="1"/>
    <xf numFmtId="168" fontId="27" fillId="0" borderId="0" xfId="2233" applyNumberFormat="1" applyFont="1"/>
    <xf numFmtId="184" fontId="27" fillId="0" borderId="0" xfId="2233" applyNumberFormat="1" applyFont="1"/>
    <xf numFmtId="168" fontId="252" fillId="0" borderId="0" xfId="2233" applyNumberFormat="1" applyFont="1"/>
    <xf numFmtId="184" fontId="252" fillId="0" borderId="0" xfId="2233" applyNumberFormat="1" applyFont="1"/>
    <xf numFmtId="3" fontId="116" fillId="0" borderId="0" xfId="2233" applyNumberFormat="1" applyFont="1"/>
    <xf numFmtId="168" fontId="29" fillId="0" borderId="0" xfId="3695" applyNumberFormat="1" applyFont="1" applyFill="1"/>
    <xf numFmtId="168" fontId="27" fillId="0" borderId="0" xfId="3695" applyNumberFormat="1" applyFont="1"/>
    <xf numFmtId="168" fontId="27" fillId="0" borderId="0" xfId="3695" applyNumberFormat="1" applyFont="1" applyBorder="1" applyAlignment="1">
      <alignment horizontal="left" indent="2"/>
    </xf>
    <xf numFmtId="168" fontId="29" fillId="0" borderId="1" xfId="3695" applyNumberFormat="1" applyFont="1" applyBorder="1"/>
    <xf numFmtId="168" fontId="253" fillId="0" borderId="0" xfId="3695" applyNumberFormat="1" applyFont="1"/>
    <xf numFmtId="168" fontId="27" fillId="0" borderId="0" xfId="3695" applyNumberFormat="1" applyFont="1" applyFill="1"/>
    <xf numFmtId="168" fontId="253" fillId="0" borderId="0" xfId="3695" applyNumberFormat="1" applyFont="1" applyFill="1"/>
    <xf numFmtId="168" fontId="27" fillId="0" borderId="0" xfId="3695" applyNumberFormat="1" applyFont="1" applyFill="1" applyBorder="1"/>
    <xf numFmtId="168" fontId="252" fillId="0" borderId="0" xfId="3695" applyNumberFormat="1" applyFont="1"/>
    <xf numFmtId="168" fontId="27" fillId="0" borderId="13" xfId="3695" applyNumberFormat="1" applyFont="1" applyBorder="1" applyAlignment="1">
      <alignment horizontal="left" indent="2"/>
    </xf>
    <xf numFmtId="168" fontId="29" fillId="0" borderId="5" xfId="3695" applyNumberFormat="1" applyFont="1" applyBorder="1"/>
    <xf numFmtId="168" fontId="27" fillId="0" borderId="13" xfId="3695" applyNumberFormat="1" applyFont="1" applyBorder="1"/>
    <xf numFmtId="168" fontId="27" fillId="0" borderId="13" xfId="3695" applyNumberFormat="1" applyFont="1" applyFill="1" applyBorder="1"/>
    <xf numFmtId="168" fontId="253" fillId="0" borderId="13" xfId="3695" applyNumberFormat="1" applyFont="1" applyFill="1" applyBorder="1"/>
    <xf numFmtId="168" fontId="29" fillId="0" borderId="0" xfId="3695" applyNumberFormat="1" applyFont="1" applyBorder="1" applyAlignment="1">
      <alignment horizontal="left" indent="2"/>
    </xf>
    <xf numFmtId="168" fontId="29" fillId="0" borderId="0" xfId="3695" applyNumberFormat="1" applyFont="1" applyBorder="1"/>
    <xf numFmtId="168" fontId="29" fillId="0" borderId="14" xfId="3695" applyNumberFormat="1" applyFont="1" applyBorder="1"/>
    <xf numFmtId="168" fontId="29" fillId="0" borderId="0" xfId="3695" applyNumberFormat="1" applyFont="1" applyFill="1" applyBorder="1"/>
    <xf numFmtId="168" fontId="252" fillId="0" borderId="0" xfId="3695" applyNumberFormat="1" applyFont="1" applyAlignment="1">
      <alignment horizontal="right"/>
    </xf>
    <xf numFmtId="168" fontId="29" fillId="0" borderId="0" xfId="3695" applyNumberFormat="1" applyFont="1"/>
    <xf numFmtId="0" fontId="27" fillId="0" borderId="0" xfId="2233" applyFont="1" applyAlignment="1">
      <alignment horizontal="left" indent="2"/>
    </xf>
    <xf numFmtId="321" fontId="27" fillId="0" borderId="1" xfId="3696" applyNumberFormat="1" applyFont="1" applyBorder="1" applyAlignment="1">
      <alignment horizontal="right"/>
    </xf>
    <xf numFmtId="321" fontId="33" fillId="0" borderId="0" xfId="3695" applyNumberFormat="1" applyFont="1"/>
    <xf numFmtId="321" fontId="33" fillId="0" borderId="0" xfId="3695" applyNumberFormat="1" applyFont="1" applyFill="1"/>
    <xf numFmtId="321" fontId="27" fillId="0" borderId="0" xfId="3695" applyNumberFormat="1" applyFont="1" applyFill="1"/>
    <xf numFmtId="321" fontId="252" fillId="0" borderId="0" xfId="3695" applyNumberFormat="1" applyFont="1" applyFill="1" applyAlignment="1">
      <alignment horizontal="right"/>
    </xf>
    <xf numFmtId="168" fontId="27" fillId="0" borderId="0" xfId="3695" applyNumberFormat="1" applyFont="1" applyFill="1" applyBorder="1" applyAlignment="1">
      <alignment horizontal="left" indent="2"/>
    </xf>
    <xf numFmtId="168" fontId="33" fillId="0" borderId="1" xfId="3695" applyNumberFormat="1" applyFont="1" applyBorder="1"/>
    <xf numFmtId="168" fontId="33" fillId="0" borderId="0" xfId="3695" applyNumberFormat="1" applyFont="1"/>
    <xf numFmtId="168" fontId="116" fillId="0" borderId="54" xfId="2233" applyNumberFormat="1" applyFont="1" applyBorder="1"/>
    <xf numFmtId="168" fontId="116" fillId="0" borderId="0" xfId="2233" applyNumberFormat="1" applyFont="1"/>
    <xf numFmtId="168" fontId="116" fillId="0" borderId="23" xfId="2233" applyNumberFormat="1" applyFont="1" applyBorder="1"/>
    <xf numFmtId="9" fontId="27" fillId="0" borderId="0" xfId="3695" applyFont="1" applyFill="1"/>
    <xf numFmtId="9" fontId="27" fillId="0" borderId="0" xfId="3695" applyFont="1" applyFill="1" applyBorder="1" applyAlignment="1">
      <alignment horizontal="left" indent="2"/>
    </xf>
    <xf numFmtId="168" fontId="27" fillId="0" borderId="1" xfId="3695" applyNumberFormat="1" applyFont="1" applyBorder="1"/>
    <xf numFmtId="168" fontId="27" fillId="0" borderId="1" xfId="2233" applyNumberFormat="1" applyFont="1" applyBorder="1"/>
    <xf numFmtId="9" fontId="27" fillId="0" borderId="1" xfId="3695" applyFont="1" applyBorder="1"/>
    <xf numFmtId="9" fontId="27" fillId="0" borderId="0" xfId="3695" applyFont="1" applyFill="1" applyAlignment="1">
      <alignment horizontal="right"/>
    </xf>
    <xf numFmtId="0" fontId="27" fillId="7" borderId="0" xfId="2233" applyFont="1" applyFill="1" applyAlignment="1">
      <alignment horizontal="left" indent="1"/>
    </xf>
    <xf numFmtId="0" fontId="27" fillId="0" borderId="1" xfId="2233" applyFont="1" applyBorder="1" applyAlignment="1">
      <alignment horizontal="right"/>
    </xf>
    <xf numFmtId="0" fontId="27" fillId="0" borderId="0" xfId="2233" applyFont="1" applyAlignment="1">
      <alignment horizontal="center"/>
    </xf>
    <xf numFmtId="167" fontId="27" fillId="0" borderId="1" xfId="322" applyNumberFormat="1" applyFont="1" applyBorder="1" applyAlignment="1">
      <alignment horizontal="right"/>
    </xf>
    <xf numFmtId="167" fontId="27" fillId="0" borderId="0" xfId="322" applyNumberFormat="1" applyFont="1" applyAlignment="1">
      <alignment horizontal="center"/>
    </xf>
    <xf numFmtId="167" fontId="27" fillId="0" borderId="0" xfId="322" applyNumberFormat="1" applyFont="1"/>
    <xf numFmtId="0" fontId="256" fillId="0" borderId="1" xfId="2233" applyFont="1" applyBorder="1" applyAlignment="1">
      <alignment horizontal="right"/>
    </xf>
    <xf numFmtId="0" fontId="256" fillId="0" borderId="0" xfId="2233" applyFont="1" applyAlignment="1">
      <alignment horizontal="center"/>
    </xf>
    <xf numFmtId="9" fontId="27" fillId="7" borderId="0" xfId="3695" applyFont="1" applyFill="1" applyBorder="1" applyAlignment="1">
      <alignment horizontal="left" indent="1"/>
    </xf>
    <xf numFmtId="9" fontId="27" fillId="0" borderId="0" xfId="3695" applyFont="1"/>
    <xf numFmtId="9" fontId="252" fillId="0" borderId="0" xfId="3695" applyFont="1"/>
    <xf numFmtId="1" fontId="29" fillId="0" borderId="0" xfId="2233" applyNumberFormat="1" applyFont="1"/>
    <xf numFmtId="1" fontId="27" fillId="0" borderId="0" xfId="2233" applyNumberFormat="1" applyFont="1"/>
    <xf numFmtId="9" fontId="27" fillId="7" borderId="13" xfId="3695" applyFont="1" applyFill="1" applyBorder="1" applyAlignment="1">
      <alignment horizontal="left" indent="1"/>
    </xf>
    <xf numFmtId="9" fontId="27" fillId="0" borderId="5" xfId="3695" applyFont="1" applyBorder="1"/>
    <xf numFmtId="9" fontId="27" fillId="0" borderId="13" xfId="3695" applyFont="1" applyBorder="1"/>
    <xf numFmtId="9" fontId="27" fillId="0" borderId="13" xfId="3695" applyFont="1" applyFill="1" applyBorder="1"/>
    <xf numFmtId="9" fontId="252" fillId="0" borderId="13" xfId="3695" applyFont="1" applyBorder="1"/>
    <xf numFmtId="9" fontId="27" fillId="0" borderId="1" xfId="2233" applyNumberFormat="1" applyFont="1" applyBorder="1"/>
    <xf numFmtId="9" fontId="27" fillId="0" borderId="0" xfId="2233" applyNumberFormat="1" applyFont="1"/>
    <xf numFmtId="9" fontId="27" fillId="7" borderId="0" xfId="2233" applyNumberFormat="1" applyFont="1" applyFill="1"/>
    <xf numFmtId="9" fontId="27" fillId="0" borderId="0" xfId="3695" applyFont="1" applyBorder="1"/>
    <xf numFmtId="166" fontId="29" fillId="7" borderId="0" xfId="2233" applyNumberFormat="1" applyFont="1" applyFill="1"/>
    <xf numFmtId="3" fontId="29" fillId="0" borderId="0" xfId="2233" applyNumberFormat="1" applyFont="1" applyAlignment="1">
      <alignment horizontal="left" indent="1"/>
    </xf>
    <xf numFmtId="3" fontId="34" fillId="0" borderId="0" xfId="2233" applyNumberFormat="1" applyFont="1"/>
    <xf numFmtId="3" fontId="27" fillId="61" borderId="0" xfId="2233" applyNumberFormat="1" applyFont="1" applyFill="1" applyAlignment="1">
      <alignment horizontal="left" indent="2"/>
    </xf>
    <xf numFmtId="3" fontId="27" fillId="61" borderId="1" xfId="2233" applyNumberFormat="1" applyFont="1" applyFill="1" applyBorder="1"/>
    <xf numFmtId="3" fontId="33" fillId="61" borderId="0" xfId="2233" applyNumberFormat="1" applyFont="1" applyFill="1"/>
    <xf numFmtId="3" fontId="33" fillId="61" borderId="0" xfId="2233" quotePrefix="1" applyNumberFormat="1" applyFont="1" applyFill="1" applyAlignment="1">
      <alignment horizontal="right"/>
    </xf>
    <xf numFmtId="3" fontId="33" fillId="61" borderId="0" xfId="2233" applyNumberFormat="1" applyFont="1" applyFill="1" applyAlignment="1">
      <alignment horizontal="right"/>
    </xf>
    <xf numFmtId="0" fontId="38" fillId="0" borderId="0" xfId="2233" applyFont="1"/>
    <xf numFmtId="0" fontId="27" fillId="0" borderId="0" xfId="2233" applyFont="1" applyAlignment="1">
      <alignment horizontal="left"/>
    </xf>
    <xf numFmtId="166" fontId="27" fillId="0" borderId="1" xfId="2233" applyNumberFormat="1" applyFont="1" applyBorder="1"/>
    <xf numFmtId="166" fontId="33" fillId="0" borderId="0" xfId="2233" applyNumberFormat="1" applyFont="1"/>
    <xf numFmtId="166" fontId="29" fillId="0" borderId="0" xfId="2233" applyNumberFormat="1" applyFont="1"/>
    <xf numFmtId="1" fontId="29" fillId="0" borderId="0" xfId="2233" applyNumberFormat="1" applyFont="1" applyAlignment="1">
      <alignment horizontal="left" indent="1"/>
    </xf>
    <xf numFmtId="1" fontId="29" fillId="0" borderId="1" xfId="2233" applyNumberFormat="1" applyFont="1" applyBorder="1"/>
    <xf numFmtId="1" fontId="34" fillId="0" borderId="0" xfId="2233" applyNumberFormat="1" applyFont="1"/>
    <xf numFmtId="9" fontId="34" fillId="0" borderId="0" xfId="3695" applyFont="1" applyFill="1"/>
    <xf numFmtId="9" fontId="34" fillId="0" borderId="0" xfId="3695" applyFont="1" applyFill="1" applyAlignment="1">
      <alignment horizontal="right"/>
    </xf>
    <xf numFmtId="1" fontId="27" fillId="0" borderId="0" xfId="2233" applyNumberFormat="1" applyFont="1" applyAlignment="1">
      <alignment horizontal="left" indent="2"/>
    </xf>
    <xf numFmtId="1" fontId="27" fillId="0" borderId="1" xfId="2233" applyNumberFormat="1" applyFont="1" applyBorder="1"/>
    <xf numFmtId="1" fontId="33" fillId="0" borderId="0" xfId="2233" applyNumberFormat="1" applyFont="1"/>
    <xf numFmtId="9" fontId="33" fillId="0" borderId="0" xfId="3695" applyFont="1" applyFill="1"/>
    <xf numFmtId="9" fontId="33" fillId="0" borderId="0" xfId="3695" quotePrefix="1" applyFont="1" applyFill="1" applyAlignment="1">
      <alignment horizontal="right"/>
    </xf>
    <xf numFmtId="9" fontId="33" fillId="0" borderId="0" xfId="3695" applyFont="1" applyFill="1" applyAlignment="1">
      <alignment horizontal="right"/>
    </xf>
    <xf numFmtId="1" fontId="29" fillId="0" borderId="0" xfId="2233" applyNumberFormat="1" applyFont="1" applyAlignment="1">
      <alignment horizontal="left"/>
    </xf>
    <xf numFmtId="170" fontId="27" fillId="0" borderId="0" xfId="2233" applyNumberFormat="1" applyFont="1" applyAlignment="1">
      <alignment horizontal="left" indent="1"/>
    </xf>
    <xf numFmtId="170" fontId="27" fillId="0" borderId="1" xfId="2233" applyNumberFormat="1" applyFont="1" applyBorder="1"/>
    <xf numFmtId="170" fontId="27" fillId="0" borderId="0" xfId="2233" applyNumberFormat="1" applyFont="1"/>
    <xf numFmtId="170" fontId="27" fillId="0" borderId="0" xfId="3695" applyNumberFormat="1" applyFont="1" applyFill="1"/>
    <xf numFmtId="185" fontId="27" fillId="0" borderId="0" xfId="2233" applyNumberFormat="1" applyFont="1"/>
    <xf numFmtId="170" fontId="27" fillId="0" borderId="13" xfId="2233" applyNumberFormat="1" applyFont="1" applyBorder="1" applyAlignment="1">
      <alignment horizontal="left" indent="1"/>
    </xf>
    <xf numFmtId="170" fontId="27" fillId="0" borderId="5" xfId="2233" applyNumberFormat="1" applyFont="1" applyBorder="1"/>
    <xf numFmtId="170" fontId="27" fillId="0" borderId="13" xfId="2233" applyNumberFormat="1" applyFont="1" applyBorder="1"/>
    <xf numFmtId="170" fontId="27" fillId="0" borderId="13" xfId="3695" applyNumberFormat="1" applyFont="1" applyFill="1" applyBorder="1"/>
    <xf numFmtId="185" fontId="27" fillId="0" borderId="13" xfId="2233" applyNumberFormat="1" applyFont="1" applyBorder="1"/>
    <xf numFmtId="170" fontId="29" fillId="0" borderId="0" xfId="2233" applyNumberFormat="1" applyFont="1" applyAlignment="1">
      <alignment horizontal="left" indent="1"/>
    </xf>
    <xf numFmtId="170" fontId="29" fillId="0" borderId="1" xfId="2233" applyNumberFormat="1" applyFont="1" applyBorder="1"/>
    <xf numFmtId="170" fontId="29" fillId="0" borderId="0" xfId="2233" applyNumberFormat="1" applyFont="1"/>
    <xf numFmtId="185" fontId="29" fillId="0" borderId="0" xfId="2233" applyNumberFormat="1" applyFont="1"/>
    <xf numFmtId="168" fontId="34" fillId="0" borderId="0" xfId="3695" applyNumberFormat="1" applyFont="1" applyFill="1"/>
    <xf numFmtId="3" fontId="115" fillId="0" borderId="0" xfId="2233" applyNumberFormat="1" applyFont="1"/>
    <xf numFmtId="185" fontId="27" fillId="0" borderId="0" xfId="2233" applyNumberFormat="1" applyFont="1" applyAlignment="1">
      <alignment horizontal="left" indent="1"/>
    </xf>
    <xf numFmtId="185" fontId="27" fillId="0" borderId="1" xfId="2233" applyNumberFormat="1" applyFont="1" applyBorder="1"/>
    <xf numFmtId="3" fontId="54" fillId="0" borderId="0" xfId="2233" applyNumberFormat="1" applyFont="1"/>
    <xf numFmtId="185" fontId="27" fillId="0" borderId="13" xfId="2233" applyNumberFormat="1" applyFont="1" applyBorder="1" applyAlignment="1">
      <alignment horizontal="left" indent="1"/>
    </xf>
    <xf numFmtId="185" fontId="27" fillId="0" borderId="5" xfId="2233" applyNumberFormat="1" applyFont="1" applyBorder="1"/>
    <xf numFmtId="185" fontId="29" fillId="0" borderId="0" xfId="2233" applyNumberFormat="1" applyFont="1" applyAlignment="1">
      <alignment horizontal="left" indent="1"/>
    </xf>
    <xf numFmtId="0" fontId="29" fillId="0" borderId="1" xfId="2233" applyFont="1" applyBorder="1"/>
    <xf numFmtId="9" fontId="29" fillId="0" borderId="0" xfId="3695" applyFont="1" applyFill="1"/>
    <xf numFmtId="1" fontId="27" fillId="0" borderId="0" xfId="2233" applyNumberFormat="1" applyFont="1" applyAlignment="1">
      <alignment horizontal="left"/>
    </xf>
    <xf numFmtId="168" fontId="33" fillId="0" borderId="0" xfId="3695" applyNumberFormat="1" applyFont="1" applyFill="1"/>
    <xf numFmtId="185" fontId="27" fillId="0" borderId="0" xfId="3695" applyNumberFormat="1" applyFont="1" applyFill="1"/>
    <xf numFmtId="185" fontId="27" fillId="61" borderId="0" xfId="2233" applyNumberFormat="1" applyFont="1" applyFill="1" applyAlignment="1">
      <alignment horizontal="left" indent="2"/>
    </xf>
    <xf numFmtId="185" fontId="27" fillId="61" borderId="1" xfId="2233" applyNumberFormat="1" applyFont="1" applyFill="1" applyBorder="1"/>
    <xf numFmtId="185" fontId="27" fillId="61" borderId="0" xfId="2233" applyNumberFormat="1" applyFont="1" applyFill="1"/>
    <xf numFmtId="185" fontId="38" fillId="0" borderId="0" xfId="2233" applyNumberFormat="1" applyFont="1"/>
    <xf numFmtId="185" fontId="54" fillId="0" borderId="0" xfId="2233" applyNumberFormat="1" applyFont="1"/>
    <xf numFmtId="185" fontId="54" fillId="61" borderId="0" xfId="2233" applyNumberFormat="1" applyFont="1" applyFill="1" applyAlignment="1">
      <alignment horizontal="left" indent="3"/>
    </xf>
    <xf numFmtId="185" fontId="54" fillId="61" borderId="1" xfId="2233" applyNumberFormat="1" applyFont="1" applyFill="1" applyBorder="1"/>
    <xf numFmtId="185" fontId="54" fillId="61" borderId="0" xfId="2233" applyNumberFormat="1" applyFont="1" applyFill="1"/>
    <xf numFmtId="185" fontId="54" fillId="61" borderId="0" xfId="3695" applyNumberFormat="1" applyFont="1" applyFill="1"/>
    <xf numFmtId="9" fontId="54" fillId="61" borderId="0" xfId="3695" applyFont="1" applyFill="1"/>
    <xf numFmtId="9" fontId="54" fillId="61" borderId="23" xfId="3695" applyFont="1" applyFill="1" applyBorder="1"/>
    <xf numFmtId="185" fontId="54" fillId="61" borderId="13" xfId="2233" applyNumberFormat="1" applyFont="1" applyFill="1" applyBorder="1" applyAlignment="1">
      <alignment horizontal="left" indent="3"/>
    </xf>
    <xf numFmtId="185" fontId="54" fillId="61" borderId="5" xfId="2233" applyNumberFormat="1" applyFont="1" applyFill="1" applyBorder="1"/>
    <xf numFmtId="185" fontId="54" fillId="61" borderId="13" xfId="2233" applyNumberFormat="1" applyFont="1" applyFill="1" applyBorder="1"/>
    <xf numFmtId="185" fontId="54" fillId="61" borderId="13" xfId="3695" applyNumberFormat="1" applyFont="1" applyFill="1" applyBorder="1"/>
    <xf numFmtId="9" fontId="54" fillId="61" borderId="13" xfId="3695" applyFont="1" applyFill="1" applyBorder="1"/>
    <xf numFmtId="9" fontId="54" fillId="61" borderId="24" xfId="3695" applyFont="1" applyFill="1" applyBorder="1"/>
    <xf numFmtId="185" fontId="29" fillId="0" borderId="1" xfId="2233" applyNumberFormat="1" applyFont="1" applyBorder="1"/>
    <xf numFmtId="185" fontId="29" fillId="0" borderId="0" xfId="3695" applyNumberFormat="1" applyFont="1" applyFill="1"/>
    <xf numFmtId="172" fontId="29" fillId="0" borderId="0" xfId="2233" applyNumberFormat="1" applyFont="1"/>
    <xf numFmtId="217" fontId="29" fillId="0" borderId="0" xfId="2233" applyNumberFormat="1" applyFont="1"/>
    <xf numFmtId="9" fontId="27" fillId="0" borderId="0" xfId="3695" applyFont="1" applyFill="1" applyBorder="1" applyAlignment="1">
      <alignment horizontal="left" indent="1"/>
    </xf>
    <xf numFmtId="9" fontId="27" fillId="0" borderId="1" xfId="3695" applyFont="1" applyFill="1" applyBorder="1"/>
    <xf numFmtId="9" fontId="27" fillId="61" borderId="0" xfId="2233" applyNumberFormat="1" applyFont="1" applyFill="1" applyAlignment="1">
      <alignment horizontal="left" indent="2"/>
    </xf>
    <xf numFmtId="9" fontId="27" fillId="61" borderId="1" xfId="2233" applyNumberFormat="1" applyFont="1" applyFill="1" applyBorder="1"/>
    <xf numFmtId="9" fontId="27" fillId="61" borderId="0" xfId="2233" applyNumberFormat="1" applyFont="1" applyFill="1"/>
    <xf numFmtId="9" fontId="57" fillId="61" borderId="0" xfId="3695" applyFont="1" applyFill="1"/>
    <xf numFmtId="9" fontId="27" fillId="61" borderId="0" xfId="3695" applyFont="1" applyFill="1" applyBorder="1"/>
    <xf numFmtId="9" fontId="27" fillId="61" borderId="0" xfId="3695" applyFont="1" applyFill="1"/>
    <xf numFmtId="168" fontId="252" fillId="61" borderId="0" xfId="3695" applyNumberFormat="1" applyFont="1" applyFill="1" applyBorder="1" applyAlignment="1">
      <alignment horizontal="right"/>
    </xf>
    <xf numFmtId="166" fontId="27" fillId="0" borderId="0" xfId="2233" applyNumberFormat="1" applyFont="1"/>
    <xf numFmtId="0" fontId="29" fillId="0" borderId="0" xfId="2233" applyFont="1" applyAlignment="1">
      <alignment horizontal="left" indent="1"/>
    </xf>
    <xf numFmtId="168" fontId="27" fillId="0" borderId="0" xfId="3695" applyNumberFormat="1" applyFont="1" applyBorder="1"/>
    <xf numFmtId="3" fontId="33" fillId="0" borderId="0" xfId="2233" applyNumberFormat="1" applyFont="1"/>
    <xf numFmtId="3" fontId="27" fillId="61" borderId="0" xfId="2233" quotePrefix="1" applyNumberFormat="1" applyFont="1" applyFill="1" applyAlignment="1">
      <alignment horizontal="right"/>
    </xf>
    <xf numFmtId="3" fontId="27" fillId="61" borderId="0" xfId="2233" applyNumberFormat="1" applyFont="1" applyFill="1"/>
    <xf numFmtId="3" fontId="252" fillId="61" borderId="0" xfId="2233" applyNumberFormat="1" applyFont="1" applyFill="1"/>
    <xf numFmtId="3" fontId="27" fillId="61" borderId="0" xfId="2233" applyNumberFormat="1" applyFont="1" applyFill="1" applyAlignment="1">
      <alignment horizontal="left" indent="3"/>
    </xf>
    <xf numFmtId="3" fontId="29" fillId="0" borderId="13" xfId="2233" applyNumberFormat="1" applyFont="1" applyBorder="1" applyAlignment="1">
      <alignment horizontal="left" indent="1"/>
    </xf>
    <xf numFmtId="3" fontId="29" fillId="0" borderId="5" xfId="2233" applyNumberFormat="1" applyFont="1" applyBorder="1"/>
    <xf numFmtId="3" fontId="34" fillId="0" borderId="13" xfId="2233" applyNumberFormat="1" applyFont="1" applyBorder="1"/>
    <xf numFmtId="3" fontId="33" fillId="0" borderId="13" xfId="2233" applyNumberFormat="1" applyFont="1" applyBorder="1"/>
    <xf numFmtId="322" fontId="29" fillId="0" borderId="0" xfId="2233" applyNumberFormat="1" applyFont="1" applyAlignment="1">
      <alignment horizontal="left" indent="1"/>
    </xf>
    <xf numFmtId="322" fontId="29" fillId="0" borderId="1" xfId="2233" applyNumberFormat="1" applyFont="1" applyBorder="1"/>
    <xf numFmtId="322" fontId="29" fillId="0" borderId="0" xfId="2233" applyNumberFormat="1" applyFont="1"/>
    <xf numFmtId="322" fontId="27" fillId="0" borderId="0" xfId="2233" applyNumberFormat="1" applyFont="1"/>
    <xf numFmtId="322" fontId="33" fillId="0" borderId="0" xfId="2233" applyNumberFormat="1" applyFont="1"/>
    <xf numFmtId="185" fontId="27" fillId="0" borderId="0" xfId="2233" applyNumberFormat="1" applyFont="1" applyAlignment="1">
      <alignment horizontal="right"/>
    </xf>
    <xf numFmtId="9" fontId="27" fillId="0" borderId="0" xfId="3695" applyFont="1" applyFill="1" applyBorder="1" applyAlignment="1">
      <alignment horizontal="left"/>
    </xf>
    <xf numFmtId="9" fontId="27" fillId="0" borderId="1" xfId="3695" applyFont="1" applyFill="1" applyBorder="1" applyAlignment="1">
      <alignment horizontal="right"/>
    </xf>
    <xf numFmtId="168" fontId="29" fillId="0" borderId="0" xfId="2233" applyNumberFormat="1" applyFont="1" applyAlignment="1">
      <alignment horizontal="left" indent="1"/>
    </xf>
    <xf numFmtId="168" fontId="29" fillId="0" borderId="1" xfId="2233" applyNumberFormat="1" applyFont="1" applyBorder="1"/>
    <xf numFmtId="168" fontId="34" fillId="0" borderId="0" xfId="2233" applyNumberFormat="1" applyFont="1"/>
    <xf numFmtId="168" fontId="33" fillId="0" borderId="0" xfId="3695" applyNumberFormat="1" applyFont="1" applyFill="1" applyAlignment="1">
      <alignment horizontal="right"/>
    </xf>
    <xf numFmtId="168" fontId="27" fillId="61" borderId="0" xfId="2233" applyNumberFormat="1" applyFont="1" applyFill="1" applyAlignment="1">
      <alignment horizontal="left" indent="2"/>
    </xf>
    <xf numFmtId="168" fontId="27" fillId="61" borderId="1" xfId="2233" applyNumberFormat="1" applyFont="1" applyFill="1" applyBorder="1"/>
    <xf numFmtId="168" fontId="33" fillId="61" borderId="0" xfId="2233" applyNumberFormat="1" applyFont="1" applyFill="1"/>
    <xf numFmtId="168" fontId="33" fillId="61" borderId="0" xfId="3695" applyNumberFormat="1" applyFont="1" applyFill="1"/>
    <xf numFmtId="168" fontId="33" fillId="61" borderId="0" xfId="3695" quotePrefix="1" applyNumberFormat="1" applyFont="1" applyFill="1" applyAlignment="1">
      <alignment horizontal="right"/>
    </xf>
    <xf numFmtId="168" fontId="33" fillId="61" borderId="0" xfId="3695" applyNumberFormat="1" applyFont="1" applyFill="1" applyAlignment="1">
      <alignment horizontal="right"/>
    </xf>
    <xf numFmtId="168" fontId="29" fillId="0" borderId="13" xfId="2233" applyNumberFormat="1" applyFont="1" applyBorder="1" applyAlignment="1">
      <alignment horizontal="left" indent="1"/>
    </xf>
    <xf numFmtId="168" fontId="29" fillId="0" borderId="5" xfId="2233" applyNumberFormat="1" applyFont="1" applyBorder="1"/>
    <xf numFmtId="168" fontId="34" fillId="0" borderId="13" xfId="2233" applyNumberFormat="1" applyFont="1" applyBorder="1"/>
    <xf numFmtId="168" fontId="33" fillId="0" borderId="13" xfId="3695" applyNumberFormat="1" applyFont="1" applyFill="1" applyBorder="1"/>
    <xf numFmtId="168" fontId="33" fillId="0" borderId="13" xfId="3695" applyNumberFormat="1" applyFont="1" applyFill="1" applyBorder="1" applyAlignment="1">
      <alignment horizontal="right"/>
    </xf>
    <xf numFmtId="168" fontId="34" fillId="0" borderId="0" xfId="3695" applyNumberFormat="1" applyFont="1" applyFill="1" applyAlignment="1">
      <alignment horizontal="right"/>
    </xf>
    <xf numFmtId="1" fontId="116" fillId="0" borderId="0" xfId="3695" applyNumberFormat="1" applyFont="1" applyFill="1" applyAlignment="1">
      <alignment horizontal="right"/>
    </xf>
    <xf numFmtId="9" fontId="27" fillId="0" borderId="23" xfId="3695" applyFont="1" applyFill="1" applyBorder="1" applyAlignment="1">
      <alignment horizontal="right"/>
    </xf>
    <xf numFmtId="9" fontId="27" fillId="61" borderId="1" xfId="3695" applyFont="1" applyFill="1" applyBorder="1"/>
    <xf numFmtId="9" fontId="27" fillId="61" borderId="0" xfId="3695" applyFont="1" applyFill="1" applyAlignment="1">
      <alignment horizontal="right"/>
    </xf>
    <xf numFmtId="9" fontId="27" fillId="61" borderId="0" xfId="3695" quotePrefix="1" applyFont="1" applyFill="1" applyAlignment="1">
      <alignment horizontal="right"/>
    </xf>
    <xf numFmtId="1" fontId="27" fillId="61" borderId="0" xfId="2233" applyNumberFormat="1" applyFont="1" applyFill="1" applyAlignment="1">
      <alignment horizontal="left" indent="2"/>
    </xf>
    <xf numFmtId="217" fontId="27" fillId="0" borderId="0" xfId="2233" applyNumberFormat="1" applyFont="1" applyAlignment="1">
      <alignment horizontal="left" indent="1"/>
    </xf>
    <xf numFmtId="217" fontId="27" fillId="0" borderId="1" xfId="2233" applyNumberFormat="1" applyFont="1" applyBorder="1"/>
    <xf numFmtId="217" fontId="27" fillId="0" borderId="0" xfId="2233" applyNumberFormat="1" applyFont="1"/>
    <xf numFmtId="217" fontId="33" fillId="0" borderId="0" xfId="2233" applyNumberFormat="1" applyFont="1"/>
    <xf numFmtId="217" fontId="27" fillId="0" borderId="13" xfId="2233" applyNumberFormat="1" applyFont="1" applyBorder="1" applyAlignment="1">
      <alignment horizontal="left" indent="1"/>
    </xf>
    <xf numFmtId="217" fontId="27" fillId="0" borderId="5" xfId="2233" applyNumberFormat="1" applyFont="1" applyBorder="1"/>
    <xf numFmtId="217" fontId="27" fillId="0" borderId="13" xfId="2233" applyNumberFormat="1" applyFont="1" applyBorder="1"/>
    <xf numFmtId="217" fontId="27" fillId="0" borderId="24" xfId="2233" applyNumberFormat="1" applyFont="1" applyBorder="1"/>
    <xf numFmtId="217" fontId="33" fillId="0" borderId="13" xfId="2233" applyNumberFormat="1" applyFont="1" applyBorder="1"/>
    <xf numFmtId="217" fontId="29" fillId="0" borderId="0" xfId="2233" applyNumberFormat="1" applyFont="1" applyAlignment="1">
      <alignment horizontal="left" indent="1"/>
    </xf>
    <xf numFmtId="217" fontId="29" fillId="0" borderId="1" xfId="2233" applyNumberFormat="1" applyFont="1" applyBorder="1"/>
    <xf numFmtId="217" fontId="29" fillId="0" borderId="0" xfId="3695" applyNumberFormat="1" applyFont="1" applyFill="1"/>
    <xf numFmtId="323" fontId="29" fillId="0" borderId="0" xfId="2233" applyNumberFormat="1" applyFont="1"/>
    <xf numFmtId="9" fontId="27" fillId="0" borderId="13" xfId="3695" applyFont="1" applyFill="1" applyBorder="1" applyAlignment="1">
      <alignment horizontal="left" indent="1"/>
    </xf>
    <xf numFmtId="9" fontId="27" fillId="0" borderId="5" xfId="3695" applyFont="1" applyFill="1" applyBorder="1"/>
    <xf numFmtId="0" fontId="27" fillId="0" borderId="0" xfId="2233" applyFont="1" applyAlignment="1">
      <alignment horizontal="left" indent="1"/>
    </xf>
    <xf numFmtId="3" fontId="27" fillId="0" borderId="0" xfId="2233" applyNumberFormat="1" applyFont="1" applyAlignment="1">
      <alignment horizontal="left" indent="1"/>
    </xf>
    <xf numFmtId="3" fontId="27" fillId="0" borderId="1" xfId="2233" applyNumberFormat="1" applyFont="1" applyBorder="1"/>
    <xf numFmtId="3" fontId="27" fillId="0" borderId="0" xfId="3695" applyNumberFormat="1" applyFont="1" applyFill="1"/>
    <xf numFmtId="3" fontId="29" fillId="0" borderId="0" xfId="3695" applyNumberFormat="1" applyFont="1" applyFill="1" applyBorder="1"/>
    <xf numFmtId="0" fontId="54" fillId="0" borderId="0" xfId="2233" applyFont="1"/>
    <xf numFmtId="185" fontId="27" fillId="0" borderId="13" xfId="3695" applyNumberFormat="1" applyFont="1" applyFill="1" applyBorder="1"/>
    <xf numFmtId="0" fontId="115" fillId="0" borderId="0" xfId="2233" applyFont="1"/>
    <xf numFmtId="185" fontId="29" fillId="0" borderId="23" xfId="2233" applyNumberFormat="1" applyFont="1" applyBorder="1"/>
    <xf numFmtId="185" fontId="29" fillId="0" borderId="14" xfId="2233" applyNumberFormat="1" applyFont="1" applyBorder="1" applyAlignment="1">
      <alignment horizontal="left" indent="1"/>
    </xf>
    <xf numFmtId="185" fontId="29" fillId="0" borderId="15" xfId="2233" applyNumberFormat="1" applyFont="1" applyBorder="1"/>
    <xf numFmtId="185" fontId="29" fillId="0" borderId="14" xfId="2233" applyNumberFormat="1" applyFont="1" applyBorder="1"/>
    <xf numFmtId="9" fontId="29" fillId="0" borderId="14" xfId="3695" applyFont="1" applyFill="1" applyBorder="1"/>
    <xf numFmtId="168" fontId="29" fillId="0" borderId="14" xfId="3695" applyNumberFormat="1" applyFont="1" applyFill="1" applyBorder="1"/>
    <xf numFmtId="168" fontId="29" fillId="0" borderId="25" xfId="3695" applyNumberFormat="1" applyFont="1" applyFill="1" applyBorder="1"/>
    <xf numFmtId="185" fontId="27" fillId="0" borderId="0" xfId="3695" applyNumberFormat="1" applyFont="1" applyFill="1" applyBorder="1"/>
    <xf numFmtId="9" fontId="34" fillId="0" borderId="0" xfId="3695" applyFont="1" applyFill="1" applyBorder="1"/>
    <xf numFmtId="168" fontId="27" fillId="0" borderId="0" xfId="3695" applyNumberFormat="1" applyFont="1" applyFill="1" applyBorder="1" applyAlignment="1">
      <alignment horizontal="left" indent="1"/>
    </xf>
    <xf numFmtId="168" fontId="27" fillId="0" borderId="1" xfId="3695" applyNumberFormat="1" applyFont="1" applyFill="1" applyBorder="1"/>
    <xf numFmtId="168" fontId="27" fillId="0" borderId="13" xfId="3695" applyNumberFormat="1" applyFont="1" applyFill="1" applyBorder="1" applyAlignment="1">
      <alignment horizontal="left" indent="1"/>
    </xf>
    <xf numFmtId="168" fontId="27" fillId="0" borderId="5" xfId="3695" applyNumberFormat="1" applyFont="1" applyFill="1" applyBorder="1"/>
    <xf numFmtId="168" fontId="29" fillId="0" borderId="13" xfId="3695" applyNumberFormat="1" applyFont="1" applyFill="1" applyBorder="1" applyAlignment="1">
      <alignment horizontal="left" indent="1"/>
    </xf>
    <xf numFmtId="168" fontId="29" fillId="0" borderId="5" xfId="3695" applyNumberFormat="1" applyFont="1" applyFill="1" applyBorder="1"/>
    <xf numFmtId="168" fontId="29" fillId="0" borderId="13" xfId="3695" applyNumberFormat="1" applyFont="1" applyFill="1" applyBorder="1"/>
    <xf numFmtId="168" fontId="29" fillId="0" borderId="24" xfId="3695" applyNumberFormat="1" applyFont="1" applyFill="1" applyBorder="1"/>
    <xf numFmtId="0" fontId="40" fillId="0" borderId="0" xfId="2233" applyFont="1"/>
    <xf numFmtId="0" fontId="27" fillId="0" borderId="0" xfId="2233" quotePrefix="1" applyFont="1"/>
    <xf numFmtId="0" fontId="27" fillId="0" borderId="9" xfId="2233" applyFont="1" applyBorder="1"/>
    <xf numFmtId="185" fontId="29" fillId="0" borderId="1" xfId="2233" applyNumberFormat="1" applyFont="1" applyBorder="1" applyAlignment="1">
      <alignment horizontal="right"/>
    </xf>
    <xf numFmtId="185" fontId="34" fillId="0" borderId="0" xfId="2233" applyNumberFormat="1" applyFont="1" applyAlignment="1">
      <alignment horizontal="center"/>
    </xf>
    <xf numFmtId="185" fontId="217" fillId="0" borderId="0" xfId="2233" applyNumberFormat="1" applyFont="1" applyAlignment="1">
      <alignment horizontal="left"/>
    </xf>
    <xf numFmtId="168" fontId="34" fillId="0" borderId="0" xfId="3695" applyNumberFormat="1" applyFont="1" applyFill="1" applyBorder="1" applyAlignment="1" applyProtection="1">
      <alignment horizontal="center"/>
    </xf>
    <xf numFmtId="185" fontId="217" fillId="0" borderId="0" xfId="2233" applyNumberFormat="1" applyFont="1" applyAlignment="1">
      <alignment horizontal="center"/>
    </xf>
    <xf numFmtId="9" fontId="34" fillId="0" borderId="0" xfId="3695" applyFont="1" applyFill="1" applyBorder="1" applyAlignment="1" applyProtection="1">
      <alignment horizontal="center"/>
    </xf>
    <xf numFmtId="168" fontId="257" fillId="0" borderId="0" xfId="3695" applyNumberFormat="1" applyFont="1" applyFill="1" applyBorder="1" applyAlignment="1" applyProtection="1">
      <alignment horizontal="right"/>
    </xf>
    <xf numFmtId="9" fontId="27" fillId="0" borderId="0" xfId="2233" applyNumberFormat="1" applyFont="1" applyAlignment="1">
      <alignment horizontal="left" indent="1"/>
    </xf>
    <xf numFmtId="185" fontId="27" fillId="0" borderId="0" xfId="2233" applyNumberFormat="1" applyFont="1" applyAlignment="1">
      <alignment horizontal="center"/>
    </xf>
    <xf numFmtId="185" fontId="115" fillId="0" borderId="0" xfId="2233" applyNumberFormat="1" applyFont="1"/>
    <xf numFmtId="9" fontId="29" fillId="0" borderId="1" xfId="6" applyFont="1" applyBorder="1"/>
    <xf numFmtId="9" fontId="29" fillId="0" borderId="0" xfId="6" applyFont="1" applyFill="1"/>
    <xf numFmtId="9" fontId="27" fillId="0" borderId="0" xfId="6" applyFont="1" applyFill="1"/>
    <xf numFmtId="9" fontId="27" fillId="0" borderId="5" xfId="6" applyFont="1" applyBorder="1"/>
    <xf numFmtId="9" fontId="27" fillId="0" borderId="13" xfId="6" applyFont="1" applyFill="1" applyBorder="1"/>
    <xf numFmtId="168" fontId="27" fillId="0" borderId="0" xfId="6" applyNumberFormat="1" applyFont="1" applyFill="1"/>
    <xf numFmtId="168" fontId="27" fillId="61" borderId="1" xfId="6" applyNumberFormat="1" applyFont="1" applyFill="1" applyBorder="1"/>
    <xf numFmtId="168" fontId="27" fillId="61" borderId="0" xfId="6" applyNumberFormat="1" applyFont="1" applyFill="1"/>
    <xf numFmtId="168" fontId="27" fillId="61" borderId="0" xfId="6" quotePrefix="1" applyNumberFormat="1" applyFont="1" applyFill="1"/>
    <xf numFmtId="168" fontId="27" fillId="61" borderId="0" xfId="6" applyNumberFormat="1" applyFont="1" applyFill="1" applyBorder="1"/>
    <xf numFmtId="168" fontId="27" fillId="0" borderId="5" xfId="6" applyNumberFormat="1" applyFont="1" applyBorder="1"/>
    <xf numFmtId="168" fontId="27" fillId="0" borderId="13" xfId="6" applyNumberFormat="1" applyFont="1" applyFill="1" applyBorder="1"/>
    <xf numFmtId="168" fontId="29" fillId="0" borderId="1" xfId="6" applyNumberFormat="1" applyFont="1" applyBorder="1"/>
    <xf numFmtId="168" fontId="29" fillId="0" borderId="0" xfId="6" applyNumberFormat="1" applyFont="1" applyFill="1"/>
    <xf numFmtId="168" fontId="29" fillId="0" borderId="0" xfId="3695" applyNumberFormat="1" applyFont="1" applyFill="1" applyBorder="1" applyAlignment="1">
      <alignment horizontal="left"/>
    </xf>
    <xf numFmtId="9" fontId="33" fillId="0" borderId="0" xfId="3695" quotePrefix="1" applyFont="1" applyFill="1" applyAlignment="1">
      <alignment horizontal="center"/>
    </xf>
    <xf numFmtId="9" fontId="33" fillId="0" borderId="0" xfId="3695" applyFont="1" applyFill="1" applyAlignment="1">
      <alignment horizontal="center"/>
    </xf>
    <xf numFmtId="1" fontId="27" fillId="0" borderId="1" xfId="2233" applyNumberFormat="1" applyFont="1" applyBorder="1" applyAlignment="1">
      <alignment horizontal="center"/>
    </xf>
    <xf numFmtId="0" fontId="8" fillId="0" borderId="0" xfId="2233" applyAlignment="1">
      <alignment horizontal="center"/>
    </xf>
    <xf numFmtId="3" fontId="252" fillId="0" borderId="0" xfId="2233" applyNumberFormat="1" applyFont="1"/>
    <xf numFmtId="3" fontId="57" fillId="61" borderId="0" xfId="2233" applyNumberFormat="1" applyFont="1" applyFill="1"/>
    <xf numFmtId="185" fontId="57" fillId="0" borderId="0" xfId="2233" applyNumberFormat="1" applyFont="1"/>
    <xf numFmtId="3" fontId="253" fillId="61" borderId="0" xfId="2233" quotePrefix="1" applyNumberFormat="1" applyFont="1" applyFill="1" applyAlignment="1">
      <alignment horizontal="right"/>
    </xf>
    <xf numFmtId="170" fontId="57" fillId="7" borderId="0" xfId="2233" applyNumberFormat="1" applyFont="1" applyFill="1"/>
    <xf numFmtId="170" fontId="57" fillId="7" borderId="13" xfId="2233" applyNumberFormat="1" applyFont="1" applyFill="1" applyBorder="1"/>
    <xf numFmtId="185" fontId="57" fillId="7" borderId="0" xfId="2233" applyNumberFormat="1" applyFont="1" applyFill="1"/>
    <xf numFmtId="185" fontId="57" fillId="7" borderId="13" xfId="2233" applyNumberFormat="1" applyFont="1" applyFill="1" applyBorder="1"/>
    <xf numFmtId="3" fontId="57" fillId="0" borderId="0" xfId="2233" applyNumberFormat="1" applyFont="1"/>
    <xf numFmtId="3" fontId="57" fillId="0" borderId="13" xfId="2233" applyNumberFormat="1" applyFont="1" applyBorder="1"/>
    <xf numFmtId="322" fontId="57" fillId="0" borderId="0" xfId="2233" applyNumberFormat="1" applyFont="1"/>
    <xf numFmtId="217" fontId="57" fillId="0" borderId="0" xfId="2233" applyNumberFormat="1" applyFont="1"/>
    <xf numFmtId="185" fontId="57" fillId="0" borderId="13" xfId="2233" applyNumberFormat="1" applyFont="1" applyBorder="1"/>
    <xf numFmtId="3" fontId="252" fillId="7" borderId="0" xfId="2233" applyNumberFormat="1" applyFont="1" applyFill="1"/>
    <xf numFmtId="3" fontId="252" fillId="0" borderId="0" xfId="2233" applyNumberFormat="1" applyFont="1" applyAlignment="1">
      <alignment horizontal="right"/>
    </xf>
    <xf numFmtId="3" fontId="27" fillId="60" borderId="18" xfId="2233" applyNumberFormat="1" applyFont="1" applyFill="1" applyBorder="1" applyAlignment="1">
      <alignment horizontal="right"/>
    </xf>
    <xf numFmtId="168" fontId="27" fillId="60" borderId="0" xfId="3695" applyNumberFormat="1" applyFont="1" applyFill="1"/>
    <xf numFmtId="168" fontId="27" fillId="60" borderId="0" xfId="3695" applyNumberFormat="1" applyFont="1" applyFill="1" applyBorder="1"/>
    <xf numFmtId="168" fontId="27" fillId="60" borderId="13" xfId="3695" applyNumberFormat="1" applyFont="1" applyFill="1" applyBorder="1"/>
    <xf numFmtId="168" fontId="57" fillId="0" borderId="0" xfId="3695" applyNumberFormat="1" applyFont="1" applyFill="1"/>
    <xf numFmtId="168" fontId="57" fillId="0" borderId="0" xfId="3695" applyNumberFormat="1" applyFont="1" applyFill="1" applyBorder="1"/>
    <xf numFmtId="168" fontId="57" fillId="0" borderId="13" xfId="3695" applyNumberFormat="1" applyFont="1" applyFill="1" applyBorder="1"/>
    <xf numFmtId="9" fontId="57" fillId="0" borderId="1" xfId="3695" applyFont="1" applyBorder="1"/>
    <xf numFmtId="9" fontId="57" fillId="0" borderId="5" xfId="3695" applyFont="1" applyBorder="1"/>
    <xf numFmtId="185" fontId="57" fillId="61" borderId="0" xfId="2233" applyNumberFormat="1" applyFont="1" applyFill="1"/>
    <xf numFmtId="1" fontId="57" fillId="61" borderId="0" xfId="2233" applyNumberFormat="1" applyFont="1" applyFill="1"/>
    <xf numFmtId="37" fontId="38" fillId="18" borderId="0" xfId="0" applyFont="1" applyFill="1" applyBorder="1"/>
    <xf numFmtId="37" fontId="27" fillId="0" borderId="2" xfId="0" applyFont="1" applyBorder="1" applyAlignment="1">
      <alignment horizontal="left"/>
    </xf>
    <xf numFmtId="37" fontId="29" fillId="0" borderId="2" xfId="0" applyFont="1" applyBorder="1"/>
    <xf numFmtId="37" fontId="27" fillId="0" borderId="13" xfId="0" applyFont="1" applyBorder="1"/>
    <xf numFmtId="37" fontId="27" fillId="60" borderId="0" xfId="0" applyFont="1" applyFill="1" applyBorder="1"/>
    <xf numFmtId="3" fontId="27" fillId="60" borderId="13" xfId="2233" applyNumberFormat="1" applyFont="1" applyFill="1" applyBorder="1" applyAlignment="1">
      <alignment horizontal="right"/>
    </xf>
    <xf numFmtId="3" fontId="33" fillId="60" borderId="0" xfId="2233" applyNumberFormat="1" applyFont="1" applyFill="1"/>
    <xf numFmtId="3" fontId="29" fillId="60" borderId="0" xfId="2233" applyNumberFormat="1" applyFont="1" applyFill="1"/>
    <xf numFmtId="170" fontId="252" fillId="0" borderId="0" xfId="2233" applyNumberFormat="1" applyFont="1"/>
    <xf numFmtId="170" fontId="57" fillId="0" borderId="0" xfId="2233" applyNumberFormat="1" applyFont="1"/>
    <xf numFmtId="170" fontId="57" fillId="0" borderId="13" xfId="2233" applyNumberFormat="1" applyFont="1" applyBorder="1"/>
    <xf numFmtId="3" fontId="27" fillId="60" borderId="24" xfId="2233" applyNumberFormat="1" applyFont="1" applyFill="1" applyBorder="1" applyAlignment="1">
      <alignment horizontal="right"/>
    </xf>
    <xf numFmtId="3" fontId="57" fillId="61" borderId="0" xfId="2233" quotePrefix="1" applyNumberFormat="1" applyFont="1" applyFill="1" applyAlignment="1">
      <alignment horizontal="right"/>
    </xf>
    <xf numFmtId="3" fontId="57" fillId="61" borderId="0" xfId="2233" applyNumberFormat="1" applyFont="1" applyFill="1" applyAlignment="1">
      <alignment horizontal="right"/>
    </xf>
    <xf numFmtId="217" fontId="57" fillId="0" borderId="13" xfId="2233" applyNumberFormat="1" applyFont="1" applyBorder="1"/>
    <xf numFmtId="185" fontId="252" fillId="0" borderId="0" xfId="2233" applyNumberFormat="1" applyFont="1"/>
    <xf numFmtId="185" fontId="57" fillId="0" borderId="1" xfId="2233" applyNumberFormat="1" applyFont="1" applyBorder="1"/>
    <xf numFmtId="167" fontId="27" fillId="60" borderId="0" xfId="0" applyNumberFormat="1" applyFont="1" applyFill="1"/>
    <xf numFmtId="7" fontId="51" fillId="7" borderId="1" xfId="2" applyFont="1" applyFill="1" applyBorder="1"/>
    <xf numFmtId="7" fontId="38" fillId="7" borderId="1" xfId="2" applyFont="1" applyFill="1" applyBorder="1"/>
    <xf numFmtId="37" fontId="27" fillId="0" borderId="16" xfId="0" applyFont="1" applyBorder="1"/>
    <xf numFmtId="164" fontId="10" fillId="4" borderId="1" xfId="0" applyNumberFormat="1" applyFont="1" applyFill="1" applyBorder="1" applyAlignment="1">
      <alignment horizontal="center"/>
    </xf>
    <xf numFmtId="10" fontId="252" fillId="0" borderId="0" xfId="2233" applyNumberFormat="1" applyFont="1"/>
    <xf numFmtId="167" fontId="27" fillId="0" borderId="0" xfId="3412" applyNumberFormat="1" applyFont="1"/>
    <xf numFmtId="167" fontId="27" fillId="0" borderId="1" xfId="3412" applyNumberFormat="1" applyFont="1" applyBorder="1" applyAlignment="1">
      <alignment horizontal="right"/>
    </xf>
    <xf numFmtId="9" fontId="27" fillId="0" borderId="55" xfId="3695" applyFont="1" applyBorder="1"/>
    <xf numFmtId="3" fontId="27" fillId="61" borderId="1" xfId="2233" applyNumberFormat="1" applyFont="1" applyFill="1" applyBorder="1" applyAlignment="1">
      <alignment horizontal="right"/>
    </xf>
    <xf numFmtId="9" fontId="29" fillId="0" borderId="1" xfId="2233" applyNumberFormat="1" applyFont="1" applyBorder="1"/>
    <xf numFmtId="9" fontId="27" fillId="0" borderId="0" xfId="2533" applyFont="1" applyFill="1"/>
    <xf numFmtId="9" fontId="27" fillId="0" borderId="1" xfId="2533" applyFont="1" applyBorder="1"/>
    <xf numFmtId="9" fontId="27" fillId="0" borderId="13" xfId="2533" applyFont="1" applyFill="1" applyBorder="1"/>
    <xf numFmtId="9" fontId="27" fillId="0" borderId="5" xfId="2533" applyFont="1" applyBorder="1"/>
    <xf numFmtId="9" fontId="29" fillId="0" borderId="0" xfId="2533" applyFont="1" applyFill="1"/>
    <xf numFmtId="9" fontId="29" fillId="0" borderId="1" xfId="2533" applyFont="1" applyBorder="1"/>
    <xf numFmtId="217" fontId="34" fillId="0" borderId="0" xfId="2233" applyNumberFormat="1" applyFont="1" applyAlignment="1">
      <alignment horizontal="center"/>
    </xf>
    <xf numFmtId="185" fontId="34" fillId="0" borderId="0" xfId="2233" applyNumberFormat="1" applyFont="1"/>
    <xf numFmtId="2" fontId="34" fillId="0" borderId="0" xfId="2233" applyNumberFormat="1" applyFont="1"/>
    <xf numFmtId="168" fontId="27" fillId="0" borderId="0" xfId="2533" applyNumberFormat="1" applyFont="1" applyFill="1"/>
    <xf numFmtId="168" fontId="27" fillId="0" borderId="1" xfId="2533" applyNumberFormat="1" applyFont="1" applyBorder="1"/>
    <xf numFmtId="168" fontId="27" fillId="61" borderId="0" xfId="2533" applyNumberFormat="1" applyFont="1" applyFill="1"/>
    <xf numFmtId="168" fontId="27" fillId="61" borderId="1" xfId="2533" applyNumberFormat="1" applyFont="1" applyFill="1" applyBorder="1"/>
    <xf numFmtId="168" fontId="27" fillId="0" borderId="13" xfId="2533" applyNumberFormat="1" applyFont="1" applyFill="1" applyBorder="1"/>
    <xf numFmtId="168" fontId="27" fillId="0" borderId="5" xfId="2533" applyNumberFormat="1" applyFont="1" applyBorder="1"/>
    <xf numFmtId="168" fontId="29" fillId="0" borderId="0" xfId="2533" applyNumberFormat="1" applyFont="1" applyFill="1"/>
    <xf numFmtId="168" fontId="29" fillId="0" borderId="1" xfId="2533" applyNumberFormat="1" applyFont="1" applyBorder="1"/>
    <xf numFmtId="168" fontId="27" fillId="61" borderId="1" xfId="2233" applyNumberFormat="1" applyFont="1" applyFill="1" applyBorder="1" applyAlignment="1">
      <alignment horizontal="right"/>
    </xf>
    <xf numFmtId="9" fontId="27" fillId="61" borderId="1" xfId="3695" applyFont="1" applyFill="1" applyBorder="1" applyAlignment="1">
      <alignment horizontal="right"/>
    </xf>
    <xf numFmtId="168" fontId="27" fillId="0" borderId="5" xfId="2233" applyNumberFormat="1" applyFont="1" applyBorder="1"/>
    <xf numFmtId="185" fontId="29" fillId="0" borderId="53" xfId="2233" applyNumberFormat="1" applyFont="1" applyBorder="1"/>
    <xf numFmtId="168" fontId="29" fillId="0" borderId="53" xfId="3695" applyNumberFormat="1" applyFont="1" applyFill="1" applyBorder="1"/>
    <xf numFmtId="168" fontId="29" fillId="0" borderId="15" xfId="2233" applyNumberFormat="1" applyFont="1" applyBorder="1"/>
    <xf numFmtId="1" fontId="27" fillId="0" borderId="1" xfId="2233" applyNumberFormat="1" applyFont="1" applyBorder="1" applyAlignment="1">
      <alignment horizontal="right"/>
    </xf>
    <xf numFmtId="9" fontId="27" fillId="0" borderId="1" xfId="2233" applyNumberFormat="1" applyFont="1" applyBorder="1" applyAlignment="1">
      <alignment horizontal="right"/>
    </xf>
    <xf numFmtId="37" fontId="36" fillId="60" borderId="0" xfId="0" applyFont="1" applyFill="1"/>
    <xf numFmtId="37" fontId="53" fillId="60" borderId="0" xfId="0" applyFont="1" applyFill="1"/>
    <xf numFmtId="5" fontId="57" fillId="0" borderId="0" xfId="0" applyNumberFormat="1" applyFont="1"/>
    <xf numFmtId="168" fontId="252" fillId="61" borderId="1" xfId="2533" applyNumberFormat="1" applyFont="1" applyFill="1" applyBorder="1"/>
    <xf numFmtId="9" fontId="252" fillId="0" borderId="1" xfId="3695" applyFont="1" applyBorder="1"/>
    <xf numFmtId="9" fontId="252" fillId="0" borderId="5" xfId="3695" applyFont="1" applyBorder="1"/>
    <xf numFmtId="9" fontId="57" fillId="0" borderId="0" xfId="3695" applyFont="1" applyFill="1"/>
    <xf numFmtId="9" fontId="57" fillId="0" borderId="1" xfId="2233" applyNumberFormat="1" applyFont="1" applyBorder="1"/>
    <xf numFmtId="37" fontId="57" fillId="0" borderId="0" xfId="0" applyFont="1"/>
    <xf numFmtId="37" fontId="259" fillId="0" borderId="0" xfId="0" applyFont="1"/>
    <xf numFmtId="168" fontId="57" fillId="0" borderId="0" xfId="0" applyNumberFormat="1" applyFont="1"/>
    <xf numFmtId="37" fontId="57" fillId="0" borderId="1" xfId="0" applyFont="1" applyBorder="1"/>
    <xf numFmtId="37" fontId="259" fillId="0" borderId="1" xfId="0" applyFont="1" applyBorder="1"/>
    <xf numFmtId="169" fontId="29" fillId="7" borderId="0" xfId="0" applyNumberFormat="1" applyFont="1" applyFill="1"/>
    <xf numFmtId="188" fontId="116" fillId="0" borderId="0" xfId="6" applyNumberFormat="1" applyFont="1"/>
    <xf numFmtId="37" fontId="53" fillId="0" borderId="0" xfId="0" applyFont="1" applyFill="1"/>
    <xf numFmtId="37" fontId="252" fillId="3" borderId="4" xfId="0" applyFont="1" applyFill="1" applyBorder="1"/>
    <xf numFmtId="9" fontId="57" fillId="0" borderId="1" xfId="0" applyNumberFormat="1" applyFont="1" applyBorder="1"/>
    <xf numFmtId="37" fontId="31" fillId="0" borderId="53" xfId="0" applyFont="1" applyBorder="1"/>
    <xf numFmtId="169" fontId="31" fillId="0" borderId="15" xfId="0" applyNumberFormat="1" applyFont="1" applyBorder="1"/>
    <xf numFmtId="169" fontId="31" fillId="0" borderId="53" xfId="0" applyNumberFormat="1" applyFont="1" applyBorder="1"/>
    <xf numFmtId="169" fontId="34" fillId="0" borderId="15" xfId="0" applyNumberFormat="1" applyFont="1" applyBorder="1"/>
    <xf numFmtId="169" fontId="29" fillId="0" borderId="15" xfId="0" applyNumberFormat="1" applyFont="1" applyBorder="1"/>
    <xf numFmtId="169" fontId="31" fillId="0" borderId="15" xfId="0" applyNumberFormat="1" applyFont="1" applyFill="1" applyBorder="1"/>
    <xf numFmtId="37" fontId="27" fillId="7" borderId="0" xfId="0" applyFont="1" applyFill="1" applyAlignment="1">
      <alignment horizontal="left" indent="1"/>
    </xf>
    <xf numFmtId="168" fontId="255" fillId="0" borderId="0" xfId="3695" applyNumberFormat="1" applyFont="1" applyFill="1"/>
    <xf numFmtId="168" fontId="255" fillId="0" borderId="1" xfId="3695" applyNumberFormat="1" applyFont="1" applyBorder="1"/>
    <xf numFmtId="168" fontId="255" fillId="0" borderId="0" xfId="3695" applyNumberFormat="1" applyFont="1"/>
    <xf numFmtId="168" fontId="255" fillId="0" borderId="13" xfId="3695" applyNumberFormat="1" applyFont="1" applyBorder="1"/>
    <xf numFmtId="168" fontId="255" fillId="0" borderId="5" xfId="3695" applyNumberFormat="1" applyFont="1" applyBorder="1"/>
    <xf numFmtId="168" fontId="31" fillId="0" borderId="0" xfId="0" applyNumberFormat="1" applyFont="1" applyBorder="1"/>
    <xf numFmtId="168" fontId="31" fillId="0" borderId="1" xfId="0" applyNumberFormat="1" applyFont="1" applyBorder="1"/>
    <xf numFmtId="9" fontId="31" fillId="0" borderId="0" xfId="0" applyNumberFormat="1" applyFont="1" applyBorder="1"/>
    <xf numFmtId="9" fontId="34" fillId="0" borderId="1" xfId="0" applyNumberFormat="1" applyFont="1" applyBorder="1"/>
    <xf numFmtId="37" fontId="29" fillId="0" borderId="53" xfId="0" applyFont="1" applyBorder="1"/>
    <xf numFmtId="169" fontId="29" fillId="0" borderId="53" xfId="0" applyNumberFormat="1" applyFont="1" applyBorder="1"/>
    <xf numFmtId="169" fontId="29" fillId="0" borderId="15" xfId="0" applyNumberFormat="1" applyFont="1" applyFill="1" applyBorder="1"/>
    <xf numFmtId="168" fontId="29" fillId="0" borderId="3" xfId="0" applyNumberFormat="1" applyFont="1" applyBorder="1"/>
    <xf numFmtId="168" fontId="9" fillId="7" borderId="0" xfId="3695" applyNumberFormat="1" applyFont="1" applyFill="1" applyBorder="1" applyAlignment="1">
      <alignment horizontal="right" indent="1"/>
    </xf>
    <xf numFmtId="3" fontId="8" fillId="7" borderId="0" xfId="2233" applyNumberFormat="1" applyFill="1"/>
    <xf numFmtId="0" fontId="10" fillId="7" borderId="0" xfId="2233" applyFont="1" applyFill="1"/>
    <xf numFmtId="0" fontId="258" fillId="7" borderId="0" xfId="2233" applyFont="1" applyFill="1"/>
    <xf numFmtId="185" fontId="27" fillId="7" borderId="0" xfId="2233" applyNumberFormat="1" applyFont="1" applyFill="1"/>
    <xf numFmtId="3" fontId="27" fillId="7" borderId="1" xfId="2233" applyNumberFormat="1" applyFont="1" applyFill="1" applyBorder="1"/>
    <xf numFmtId="3" fontId="27" fillId="7" borderId="0" xfId="3695" applyNumberFormat="1" applyFont="1" applyFill="1"/>
    <xf numFmtId="3" fontId="27" fillId="7" borderId="0" xfId="2233" applyNumberFormat="1" applyFont="1" applyFill="1"/>
    <xf numFmtId="37" fontId="30" fillId="7" borderId="0" xfId="0" applyFont="1" applyFill="1"/>
    <xf numFmtId="37" fontId="27" fillId="7" borderId="1" xfId="4" applyNumberFormat="1" applyFont="1" applyFill="1" applyBorder="1"/>
    <xf numFmtId="37" fontId="36" fillId="7" borderId="0" xfId="0" applyFont="1" applyFill="1"/>
    <xf numFmtId="7" fontId="27" fillId="7" borderId="1" xfId="2" applyFont="1" applyFill="1" applyBorder="1"/>
    <xf numFmtId="168" fontId="27" fillId="7" borderId="0" xfId="0" applyNumberFormat="1" applyFont="1" applyFill="1"/>
    <xf numFmtId="5" fontId="27" fillId="0" borderId="1" xfId="2" applyNumberFormat="1" applyFont="1" applyBorder="1"/>
    <xf numFmtId="5" fontId="51" fillId="0" borderId="0" xfId="2" applyNumberFormat="1" applyFont="1" applyBorder="1"/>
    <xf numFmtId="173" fontId="27" fillId="0" borderId="1" xfId="0" applyNumberFormat="1" applyFont="1" applyBorder="1"/>
    <xf numFmtId="37" fontId="27" fillId="4" borderId="0" xfId="0" applyFont="1" applyFill="1"/>
    <xf numFmtId="0" fontId="253" fillId="0" borderId="0" xfId="3697" applyFont="1"/>
    <xf numFmtId="0" fontId="253" fillId="60" borderId="0" xfId="3697" applyFont="1" applyFill="1"/>
    <xf numFmtId="0" fontId="253" fillId="7" borderId="0" xfId="3697" applyFont="1" applyFill="1"/>
    <xf numFmtId="0" fontId="256" fillId="0" borderId="0" xfId="3697" applyFont="1"/>
    <xf numFmtId="0" fontId="253" fillId="0" borderId="16" xfId="3697" applyFont="1" applyBorder="1"/>
    <xf numFmtId="0" fontId="253" fillId="0" borderId="56" xfId="3697" applyFont="1" applyBorder="1"/>
    <xf numFmtId="0" fontId="261" fillId="0" borderId="0" xfId="3697" applyFont="1"/>
    <xf numFmtId="0" fontId="255" fillId="0" borderId="1" xfId="3697" applyFont="1" applyBorder="1" applyAlignment="1">
      <alignment horizontal="center"/>
    </xf>
    <xf numFmtId="0" fontId="255" fillId="0" borderId="2" xfId="3697" applyFont="1" applyBorder="1" applyAlignment="1">
      <alignment horizontal="center"/>
    </xf>
    <xf numFmtId="0" fontId="255" fillId="0" borderId="0" xfId="3697" applyFont="1"/>
    <xf numFmtId="9" fontId="255" fillId="0" borderId="1" xfId="3698" applyFont="1" applyFill="1" applyBorder="1" applyAlignment="1">
      <alignment horizontal="center"/>
    </xf>
    <xf numFmtId="0" fontId="253" fillId="60" borderId="1" xfId="3697" applyFont="1" applyFill="1" applyBorder="1"/>
    <xf numFmtId="169" fontId="27" fillId="0" borderId="1" xfId="3699" applyNumberFormat="1" applyFont="1" applyBorder="1"/>
    <xf numFmtId="169" fontId="27" fillId="0" borderId="2" xfId="3699" applyNumberFormat="1" applyFont="1" applyBorder="1"/>
    <xf numFmtId="169" fontId="57" fillId="0" borderId="1" xfId="3699" applyNumberFormat="1" applyFont="1" applyBorder="1"/>
    <xf numFmtId="0" fontId="253" fillId="0" borderId="1" xfId="3697" applyFont="1" applyBorder="1"/>
    <xf numFmtId="0" fontId="253" fillId="0" borderId="2" xfId="3697" applyFont="1" applyBorder="1"/>
    <xf numFmtId="320" fontId="253" fillId="0" borderId="1" xfId="3699" applyNumberFormat="1" applyFont="1" applyBorder="1"/>
    <xf numFmtId="9" fontId="57" fillId="0" borderId="1" xfId="3698" applyFont="1" applyBorder="1"/>
    <xf numFmtId="9" fontId="57" fillId="60" borderId="1" xfId="3698" applyFont="1" applyFill="1" applyBorder="1"/>
    <xf numFmtId="169" fontId="255" fillId="0" borderId="1" xfId="3699" applyNumberFormat="1" applyFont="1" applyBorder="1"/>
    <xf numFmtId="9" fontId="57" fillId="0" borderId="1" xfId="3698" applyFont="1" applyFill="1" applyBorder="1"/>
    <xf numFmtId="0" fontId="255" fillId="0" borderId="1" xfId="3697" applyFont="1" applyBorder="1"/>
    <xf numFmtId="0" fontId="255" fillId="0" borderId="2" xfId="3697" applyFont="1" applyBorder="1"/>
    <xf numFmtId="169" fontId="253" fillId="0" borderId="1" xfId="3699" applyNumberFormat="1" applyFont="1" applyBorder="1"/>
    <xf numFmtId="169" fontId="253" fillId="60" borderId="1" xfId="3699" applyNumberFormat="1" applyFont="1" applyFill="1" applyBorder="1"/>
    <xf numFmtId="0" fontId="255" fillId="0" borderId="4" xfId="3697" applyFont="1" applyBorder="1"/>
    <xf numFmtId="0" fontId="255" fillId="0" borderId="11" xfId="3697" applyFont="1" applyBorder="1"/>
    <xf numFmtId="169" fontId="255" fillId="0" borderId="4" xfId="3699" applyNumberFormat="1" applyFont="1" applyBorder="1"/>
    <xf numFmtId="0" fontId="262" fillId="0" borderId="0" xfId="3697" applyFont="1"/>
    <xf numFmtId="0" fontId="262" fillId="0" borderId="1" xfId="3697" applyFont="1" applyBorder="1"/>
    <xf numFmtId="0" fontId="262" fillId="0" borderId="2" xfId="3697" applyFont="1" applyBorder="1"/>
    <xf numFmtId="168" fontId="54" fillId="0" borderId="1" xfId="3698" applyNumberFormat="1" applyFont="1" applyBorder="1"/>
    <xf numFmtId="9" fontId="262" fillId="0" borderId="1" xfId="3698" applyFont="1" applyBorder="1"/>
    <xf numFmtId="9" fontId="262" fillId="0" borderId="2" xfId="3698" applyFont="1" applyBorder="1"/>
    <xf numFmtId="168" fontId="251" fillId="0" borderId="1" xfId="3698" applyNumberFormat="1" applyFont="1" applyBorder="1"/>
    <xf numFmtId="169" fontId="253" fillId="0" borderId="2" xfId="3699" applyNumberFormat="1" applyFont="1" applyBorder="1"/>
    <xf numFmtId="320" fontId="27" fillId="0" borderId="1" xfId="3697" applyNumberFormat="1" applyFont="1" applyBorder="1"/>
    <xf numFmtId="320" fontId="57" fillId="60" borderId="1" xfId="3697" applyNumberFormat="1" applyFont="1" applyFill="1" applyBorder="1"/>
    <xf numFmtId="320" fontId="57" fillId="0" borderId="1" xfId="3697" applyNumberFormat="1" applyFont="1" applyBorder="1"/>
    <xf numFmtId="9" fontId="54" fillId="0" borderId="1" xfId="3698" applyFont="1" applyFill="1" applyBorder="1"/>
    <xf numFmtId="168" fontId="57" fillId="0" borderId="1" xfId="3698" applyNumberFormat="1" applyFont="1" applyBorder="1"/>
    <xf numFmtId="169" fontId="253" fillId="0" borderId="1" xfId="3697" applyNumberFormat="1" applyFont="1" applyBorder="1"/>
    <xf numFmtId="320" fontId="27" fillId="0" borderId="1" xfId="3697" applyNumberFormat="1" applyFont="1" applyBorder="1" applyAlignment="1">
      <alignment horizontal="center"/>
    </xf>
    <xf numFmtId="169" fontId="253" fillId="60" borderId="1" xfId="3697" applyNumberFormat="1" applyFont="1" applyFill="1" applyBorder="1"/>
    <xf numFmtId="169" fontId="255" fillId="0" borderId="4" xfId="3697" applyNumberFormat="1" applyFont="1" applyBorder="1"/>
    <xf numFmtId="168" fontId="253" fillId="0" borderId="1" xfId="3698" applyNumberFormat="1" applyFont="1" applyBorder="1"/>
    <xf numFmtId="168" fontId="255" fillId="0" borderId="4" xfId="3698" applyNumberFormat="1" applyFont="1" applyBorder="1"/>
    <xf numFmtId="324" fontId="253" fillId="0" borderId="1" xfId="3697" applyNumberFormat="1" applyFont="1" applyBorder="1"/>
    <xf numFmtId="324" fontId="255" fillId="0" borderId="4" xfId="3697" applyNumberFormat="1" applyFont="1" applyBorder="1"/>
    <xf numFmtId="0" fontId="253" fillId="0" borderId="9" xfId="3697" applyFont="1" applyBorder="1"/>
    <xf numFmtId="0" fontId="253" fillId="0" borderId="57" xfId="3697" applyFont="1" applyBorder="1"/>
    <xf numFmtId="0" fontId="260" fillId="63" borderId="0" xfId="3697" applyFont="1" applyFill="1"/>
    <xf numFmtId="0" fontId="255" fillId="63" borderId="4" xfId="3697" applyFont="1" applyFill="1" applyBorder="1" applyAlignment="1">
      <alignment horizontal="center"/>
    </xf>
    <xf numFmtId="0" fontId="255" fillId="63" borderId="11" xfId="3697" applyFont="1" applyFill="1" applyBorder="1" applyAlignment="1">
      <alignment horizontal="center"/>
    </xf>
    <xf numFmtId="0" fontId="255" fillId="62" borderId="0" xfId="3697" applyFont="1" applyFill="1"/>
    <xf numFmtId="320" fontId="57" fillId="0" borderId="1" xfId="3699" applyNumberFormat="1" applyFont="1" applyFill="1" applyBorder="1"/>
    <xf numFmtId="320" fontId="253" fillId="0" borderId="1" xfId="3699" applyNumberFormat="1" applyFont="1" applyFill="1" applyBorder="1"/>
    <xf numFmtId="7" fontId="51" fillId="0" borderId="1" xfId="2" applyFont="1" applyFill="1" applyBorder="1"/>
    <xf numFmtId="0" fontId="263" fillId="63" borderId="4" xfId="3697" applyFont="1" applyFill="1" applyBorder="1" applyAlignment="1">
      <alignment horizontal="center"/>
    </xf>
    <xf numFmtId="0" fontId="255" fillId="7" borderId="1" xfId="3697" applyFont="1" applyFill="1" applyBorder="1" applyAlignment="1">
      <alignment horizontal="center"/>
    </xf>
    <xf numFmtId="0" fontId="255" fillId="7" borderId="2" xfId="3697" applyFont="1" applyFill="1" applyBorder="1" applyAlignment="1">
      <alignment horizontal="center"/>
    </xf>
    <xf numFmtId="0" fontId="263" fillId="7" borderId="1" xfId="3697" applyFont="1" applyFill="1" applyBorder="1" applyAlignment="1">
      <alignment horizontal="center"/>
    </xf>
    <xf numFmtId="0" fontId="253" fillId="62" borderId="1" xfId="3697" applyFont="1" applyFill="1" applyBorder="1"/>
    <xf numFmtId="0" fontId="253" fillId="62" borderId="2" xfId="3697" applyFont="1" applyFill="1" applyBorder="1"/>
    <xf numFmtId="169" fontId="253" fillId="62" borderId="1" xfId="3697" applyNumberFormat="1" applyFont="1" applyFill="1" applyBorder="1"/>
    <xf numFmtId="168" fontId="57" fillId="62" borderId="1" xfId="3698" applyNumberFormat="1" applyFont="1" applyFill="1" applyBorder="1"/>
    <xf numFmtId="0" fontId="260" fillId="63" borderId="58" xfId="3697" applyFont="1" applyFill="1" applyBorder="1"/>
    <xf numFmtId="0" fontId="255" fillId="63" borderId="59" xfId="3697" applyFont="1" applyFill="1" applyBorder="1" applyAlignment="1">
      <alignment horizontal="center"/>
    </xf>
    <xf numFmtId="0" fontId="255" fillId="63" borderId="60" xfId="3697" applyFont="1" applyFill="1" applyBorder="1" applyAlignment="1">
      <alignment horizontal="center"/>
    </xf>
    <xf numFmtId="0" fontId="263" fillId="63" borderId="59" xfId="3697" applyFont="1" applyFill="1" applyBorder="1" applyAlignment="1">
      <alignment horizontal="center"/>
    </xf>
    <xf numFmtId="0" fontId="260" fillId="7" borderId="6" xfId="3697" applyFont="1" applyFill="1" applyBorder="1"/>
    <xf numFmtId="0" fontId="255" fillId="62" borderId="6" xfId="3697" applyFont="1" applyFill="1" applyBorder="1"/>
    <xf numFmtId="0" fontId="253" fillId="0" borderId="6" xfId="3697" applyFont="1" applyBorder="1"/>
    <xf numFmtId="0" fontId="262" fillId="0" borderId="6" xfId="3697" applyFont="1" applyBorder="1"/>
    <xf numFmtId="0" fontId="255" fillId="0" borderId="12" xfId="3697" applyFont="1" applyBorder="1"/>
    <xf numFmtId="0" fontId="262" fillId="0" borderId="61" xfId="3697" applyFont="1" applyBorder="1"/>
    <xf numFmtId="0" fontId="262" fillId="0" borderId="9" xfId="3697" applyFont="1" applyBorder="1"/>
    <xf numFmtId="0" fontId="262" fillId="0" borderId="57" xfId="3697" applyFont="1" applyBorder="1"/>
    <xf numFmtId="168" fontId="54" fillId="0" borderId="9" xfId="3698" applyNumberFormat="1" applyFont="1" applyBorder="1"/>
    <xf numFmtId="0" fontId="253" fillId="0" borderId="58" xfId="3697" applyFont="1" applyBorder="1"/>
    <xf numFmtId="168" fontId="57" fillId="0" borderId="16" xfId="3698" applyNumberFormat="1" applyFont="1" applyBorder="1"/>
    <xf numFmtId="0" fontId="255" fillId="0" borderId="6" xfId="3697" applyFont="1" applyBorder="1"/>
    <xf numFmtId="0" fontId="253" fillId="0" borderId="61" xfId="3697" applyFont="1" applyBorder="1"/>
    <xf numFmtId="0" fontId="253" fillId="7" borderId="6" xfId="3697" applyFont="1" applyFill="1" applyBorder="1"/>
    <xf numFmtId="0" fontId="253" fillId="7" borderId="1" xfId="3697" applyFont="1" applyFill="1" applyBorder="1"/>
    <xf numFmtId="0" fontId="253" fillId="7" borderId="2" xfId="3697" applyFont="1" applyFill="1" applyBorder="1"/>
    <xf numFmtId="169" fontId="253" fillId="7" borderId="1" xfId="3697" applyNumberFormat="1" applyFont="1" applyFill="1" applyBorder="1"/>
    <xf numFmtId="37" fontId="264" fillId="0" borderId="0" xfId="0" applyFont="1"/>
    <xf numFmtId="14" fontId="9" fillId="0" borderId="0" xfId="2292" applyNumberFormat="1" applyFont="1" applyAlignment="1">
      <alignment horizontal="left"/>
    </xf>
    <xf numFmtId="3" fontId="36" fillId="0" borderId="0" xfId="0" applyNumberFormat="1" applyFont="1"/>
    <xf numFmtId="3" fontId="36" fillId="0" borderId="1" xfId="0" applyNumberFormat="1" applyFont="1" applyBorder="1"/>
    <xf numFmtId="325" fontId="36" fillId="0" borderId="0" xfId="0" applyNumberFormat="1" applyFont="1"/>
    <xf numFmtId="325" fontId="27" fillId="7" borderId="1" xfId="0" applyNumberFormat="1" applyFont="1" applyFill="1" applyBorder="1"/>
    <xf numFmtId="325" fontId="36" fillId="0" borderId="1" xfId="0" applyNumberFormat="1" applyFont="1" applyBorder="1"/>
    <xf numFmtId="325" fontId="33" fillId="7" borderId="1" xfId="0" applyNumberFormat="1" applyFont="1" applyFill="1" applyBorder="1"/>
    <xf numFmtId="3" fontId="253" fillId="0" borderId="1" xfId="0" applyNumberFormat="1" applyFont="1" applyBorder="1"/>
    <xf numFmtId="5" fontId="253" fillId="0" borderId="0" xfId="0" applyNumberFormat="1" applyFont="1"/>
    <xf numFmtId="5" fontId="253" fillId="7" borderId="1" xfId="0" applyNumberFormat="1" applyFont="1" applyFill="1" applyBorder="1"/>
    <xf numFmtId="180" fontId="57" fillId="0" borderId="0" xfId="3" applyFont="1" applyBorder="1">
      <alignment horizontal="right"/>
    </xf>
    <xf numFmtId="169" fontId="255" fillId="0" borderId="53" xfId="0" applyNumberFormat="1" applyFont="1" applyBorder="1"/>
    <xf numFmtId="37" fontId="27" fillId="7" borderId="0" xfId="0" applyFont="1" applyFill="1" applyAlignment="1">
      <alignment horizontal="left"/>
    </xf>
    <xf numFmtId="7" fontId="27" fillId="0" borderId="0" xfId="2" applyFont="1" applyFill="1" applyBorder="1"/>
    <xf numFmtId="7" fontId="27" fillId="7" borderId="0" xfId="2" applyFont="1" applyFill="1" applyBorder="1"/>
    <xf numFmtId="326" fontId="30" fillId="0" borderId="0" xfId="0" applyNumberFormat="1" applyFont="1"/>
    <xf numFmtId="326" fontId="116" fillId="0" borderId="0" xfId="3694" applyNumberFormat="1" applyFont="1"/>
    <xf numFmtId="185" fontId="29" fillId="0" borderId="6" xfId="2233" applyNumberFormat="1" applyFont="1" applyBorder="1"/>
    <xf numFmtId="182" fontId="44" fillId="0" borderId="0" xfId="0" applyNumberFormat="1" applyFont="1" applyFill="1"/>
    <xf numFmtId="5" fontId="253" fillId="0" borderId="0" xfId="0" applyNumberFormat="1" applyFont="1" applyFill="1"/>
    <xf numFmtId="5" fontId="57" fillId="7" borderId="1" xfId="0" applyNumberFormat="1" applyFont="1" applyFill="1" applyBorder="1"/>
    <xf numFmtId="326" fontId="51" fillId="0" borderId="0" xfId="0" applyNumberFormat="1" applyFont="1"/>
    <xf numFmtId="37" fontId="29" fillId="2" borderId="0" xfId="0" applyFont="1" applyFill="1" applyBorder="1"/>
    <xf numFmtId="2" fontId="29" fillId="0" borderId="3" xfId="0" applyNumberFormat="1" applyFont="1" applyBorder="1" applyAlignment="1">
      <alignment horizontal="left"/>
    </xf>
    <xf numFmtId="182" fontId="27" fillId="7" borderId="1" xfId="0" applyNumberFormat="1" applyFont="1" applyFill="1" applyBorder="1"/>
    <xf numFmtId="183" fontId="44" fillId="0" borderId="1" xfId="4" applyFont="1" applyFill="1" applyBorder="1"/>
    <xf numFmtId="168" fontId="27" fillId="0" borderId="5" xfId="2533" applyNumberFormat="1" applyFont="1" applyFill="1" applyBorder="1"/>
    <xf numFmtId="169" fontId="27" fillId="0" borderId="0" xfId="0" applyNumberFormat="1" applyFont="1" applyFill="1"/>
    <xf numFmtId="182" fontId="38" fillId="0" borderId="0" xfId="0" applyNumberFormat="1" applyFont="1" applyFill="1"/>
    <xf numFmtId="169" fontId="51" fillId="0" borderId="0" xfId="0" applyNumberFormat="1" applyFont="1" applyFill="1"/>
    <xf numFmtId="37" fontId="240" fillId="7" borderId="0" xfId="0" applyFont="1" applyFill="1"/>
    <xf numFmtId="168" fontId="27" fillId="0" borderId="0" xfId="2533" applyNumberFormat="1" applyFont="1" applyFill="1" applyBorder="1"/>
    <xf numFmtId="168" fontId="27" fillId="0" borderId="1" xfId="2533" applyNumberFormat="1" applyFont="1" applyFill="1" applyBorder="1"/>
    <xf numFmtId="326" fontId="27" fillId="0" borderId="0" xfId="2233" applyNumberFormat="1" applyFont="1"/>
    <xf numFmtId="327" fontId="27" fillId="0" borderId="0" xfId="2233" applyNumberFormat="1" applyFont="1"/>
    <xf numFmtId="169" fontId="57" fillId="0" borderId="0" xfId="0" applyNumberFormat="1" applyFont="1" applyFill="1"/>
    <xf numFmtId="182" fontId="259" fillId="0" borderId="0" xfId="0" applyNumberFormat="1" applyFont="1" applyFill="1"/>
    <xf numFmtId="37" fontId="57" fillId="0" borderId="0" xfId="0" applyFont="1" applyFill="1" applyBorder="1"/>
    <xf numFmtId="37" fontId="57" fillId="7" borderId="0" xfId="0" applyFont="1" applyFill="1" applyBorder="1"/>
    <xf numFmtId="37" fontId="57" fillId="7" borderId="0" xfId="0" applyFont="1" applyFill="1"/>
    <xf numFmtId="37" fontId="259" fillId="7" borderId="0" xfId="0" applyFont="1" applyFill="1"/>
    <xf numFmtId="37" fontId="252" fillId="0" borderId="0" xfId="0" applyFont="1" applyFill="1"/>
    <xf numFmtId="167" fontId="57" fillId="7" borderId="0" xfId="0" applyNumberFormat="1" applyFont="1" applyFill="1"/>
    <xf numFmtId="37" fontId="259" fillId="7" borderId="0" xfId="0" applyFont="1" applyFill="1" applyBorder="1"/>
    <xf numFmtId="37" fontId="252" fillId="7" borderId="0" xfId="0" applyFont="1" applyFill="1"/>
    <xf numFmtId="167" fontId="27" fillId="0" borderId="0" xfId="0" applyNumberFormat="1" applyFont="1"/>
    <xf numFmtId="37" fontId="57" fillId="0" borderId="0" xfId="0" applyFont="1" applyFill="1"/>
    <xf numFmtId="7" fontId="29" fillId="0" borderId="0" xfId="2" applyFont="1" applyFill="1" applyBorder="1"/>
    <xf numFmtId="37" fontId="1" fillId="0" borderId="0" xfId="0" applyFont="1"/>
    <xf numFmtId="37" fontId="27" fillId="7" borderId="1" xfId="0" applyFont="1" applyFill="1" applyBorder="1"/>
    <xf numFmtId="37" fontId="27" fillId="7" borderId="1" xfId="0" applyFont="1" applyFill="1" applyBorder="1" applyAlignment="1">
      <alignment horizontal="center"/>
    </xf>
    <xf numFmtId="37" fontId="29" fillId="7" borderId="1" xfId="0" applyFont="1" applyFill="1" applyBorder="1"/>
    <xf numFmtId="37" fontId="39" fillId="7" borderId="1" xfId="0" applyFont="1" applyFill="1" applyBorder="1"/>
    <xf numFmtId="320" fontId="57" fillId="7" borderId="1" xfId="3699" applyNumberFormat="1" applyFont="1" applyFill="1" applyBorder="1"/>
    <xf numFmtId="9" fontId="57" fillId="7" borderId="1" xfId="3698" applyFont="1" applyFill="1" applyBorder="1"/>
    <xf numFmtId="0" fontId="255" fillId="7" borderId="1" xfId="3697" applyFont="1" applyFill="1" applyBorder="1"/>
    <xf numFmtId="0" fontId="255" fillId="7" borderId="2" xfId="3697" applyFont="1" applyFill="1" applyBorder="1"/>
    <xf numFmtId="169" fontId="253" fillId="7" borderId="1" xfId="3699" applyNumberFormat="1" applyFont="1" applyFill="1" applyBorder="1"/>
    <xf numFmtId="0" fontId="255" fillId="7" borderId="3" xfId="3697" applyFont="1" applyFill="1" applyBorder="1"/>
    <xf numFmtId="0" fontId="255" fillId="7" borderId="4" xfId="3697" applyFont="1" applyFill="1" applyBorder="1"/>
    <xf numFmtId="0" fontId="255" fillId="7" borderId="11" xfId="3697" applyFont="1" applyFill="1" applyBorder="1"/>
    <xf numFmtId="169" fontId="255" fillId="7" borderId="4" xfId="3699" applyNumberFormat="1" applyFont="1" applyFill="1" applyBorder="1"/>
    <xf numFmtId="0" fontId="262" fillId="7" borderId="0" xfId="3697" applyFont="1" applyFill="1"/>
    <xf numFmtId="0" fontId="262" fillId="7" borderId="1" xfId="3697" applyFont="1" applyFill="1" applyBorder="1"/>
    <xf numFmtId="0" fontId="262" fillId="7" borderId="2" xfId="3697" applyFont="1" applyFill="1" applyBorder="1"/>
    <xf numFmtId="168" fontId="54" fillId="7" borderId="1" xfId="3698" applyNumberFormat="1" applyFont="1" applyFill="1" applyBorder="1"/>
  </cellXfs>
  <cellStyles count="3700">
    <cellStyle name="—" xfId="324" xr:uid="{00000000-0005-0000-0000-000000000000}"/>
    <cellStyle name="$" xfId="325" xr:uid="{00000000-0005-0000-0000-000001000000}"/>
    <cellStyle name="$ 2" xfId="326" xr:uid="{00000000-0005-0000-0000-000002000000}"/>
    <cellStyle name="$_AG" xfId="327" xr:uid="{00000000-0005-0000-0000-000003000000}"/>
    <cellStyle name="$_CNH" xfId="328" xr:uid="{00000000-0005-0000-0000-000004000000}"/>
    <cellStyle name="$_Company0750" xfId="329" xr:uid="{00000000-0005-0000-0000-000005000000}"/>
    <cellStyle name="$_Company0886" xfId="330" xr:uid="{00000000-0005-0000-0000-000006000000}"/>
    <cellStyle name="$_Company1003" xfId="331" xr:uid="{00000000-0005-0000-0000-000007000000}"/>
    <cellStyle name="$_Hist Summary" xfId="332" xr:uid="{00000000-0005-0000-0000-000008000000}"/>
    <cellStyle name="$_Company1415" xfId="333" xr:uid="{00000000-0005-0000-0000-000009000000}"/>
    <cellStyle name="$_Machinery group valuation" xfId="334" xr:uid="{00000000-0005-0000-0000-00000A000000}"/>
    <cellStyle name="$_Company1718" xfId="335" xr:uid="{00000000-0005-0000-0000-00000B000000}"/>
    <cellStyle name="$_NAV" xfId="336" xr:uid="{00000000-0005-0000-0000-00000C000000}"/>
    <cellStyle name="$_Company1995" xfId="337" xr:uid="{00000000-0005-0000-0000-00000D000000}"/>
    <cellStyle name="$_PCAR" xfId="338" xr:uid="{00000000-0005-0000-0000-00000E000000}"/>
    <cellStyle name="$_PCP" xfId="339" xr:uid="{00000000-0005-0000-0000-00000F000000}"/>
    <cellStyle name="$_PH" xfId="340" xr:uid="{00000000-0005-0000-0000-000010000000}"/>
    <cellStyle name="$0.0" xfId="341" xr:uid="{00000000-0005-0000-0000-000011000000}"/>
    <cellStyle name="$0.0 2" xfId="342" xr:uid="{00000000-0005-0000-0000-000012000000}"/>
    <cellStyle name="$0.0 3" xfId="343" xr:uid="{00000000-0005-0000-0000-000013000000}"/>
    <cellStyle name="$0.0_Company2094 working 21" xfId="344" xr:uid="{00000000-0005-0000-0000-000014000000}"/>
    <cellStyle name="$0.00" xfId="345" xr:uid="{00000000-0005-0000-0000-000015000000}"/>
    <cellStyle name="$0.000" xfId="346" xr:uid="{00000000-0005-0000-0000-000016000000}"/>
    <cellStyle name="$0.000 2" xfId="347" xr:uid="{00000000-0005-0000-0000-000017000000}"/>
    <cellStyle name="$3places" xfId="348" xr:uid="{00000000-0005-0000-0000-000018000000}"/>
    <cellStyle name="$3places 2" xfId="349" xr:uid="{00000000-0005-0000-0000-000019000000}"/>
    <cellStyle name="$currency" xfId="350" xr:uid="{00000000-0005-0000-0000-00001A000000}"/>
    <cellStyle name="$m" xfId="351" xr:uid="{00000000-0005-0000-0000-00001B000000}"/>
    <cellStyle name="$q" xfId="352" xr:uid="{00000000-0005-0000-0000-00001C000000}"/>
    <cellStyle name="$q*" xfId="353" xr:uid="{00000000-0005-0000-0000-00001D000000}"/>
    <cellStyle name="$qA" xfId="354" xr:uid="{00000000-0005-0000-0000-00001E000000}"/>
    <cellStyle name="$qRange" xfId="355" xr:uid="{00000000-0005-0000-0000-00001F000000}"/>
    <cellStyle name="%" xfId="356" xr:uid="{00000000-0005-0000-0000-000020000000}"/>
    <cellStyle name="% 2" xfId="357" xr:uid="{00000000-0005-0000-0000-000021000000}"/>
    <cellStyle name="% Underline" xfId="358" xr:uid="{00000000-0005-0000-0000-000022000000}"/>
    <cellStyle name="% Underline 2" xfId="359" xr:uid="{00000000-0005-0000-0000-000023000000}"/>
    <cellStyle name="%_AG" xfId="360" xr:uid="{00000000-0005-0000-0000-000024000000}"/>
    <cellStyle name="%_CNH" xfId="361" xr:uid="{00000000-0005-0000-0000-000025000000}"/>
    <cellStyle name="%_Company0750" xfId="362" xr:uid="{00000000-0005-0000-0000-000026000000}"/>
    <cellStyle name="%_Company0886" xfId="363" xr:uid="{00000000-0005-0000-0000-000027000000}"/>
    <cellStyle name="%_Company1003" xfId="364" xr:uid="{00000000-0005-0000-0000-000028000000}"/>
    <cellStyle name="%_Hist Summary" xfId="365" xr:uid="{00000000-0005-0000-0000-000029000000}"/>
    <cellStyle name="%_Company1415" xfId="366" xr:uid="{00000000-0005-0000-0000-00002A000000}"/>
    <cellStyle name="%_Machinery group valuation" xfId="367" xr:uid="{00000000-0005-0000-0000-00002B000000}"/>
    <cellStyle name="%_Company1718" xfId="368" xr:uid="{00000000-0005-0000-0000-00002C000000}"/>
    <cellStyle name="%_NAV" xfId="369" xr:uid="{00000000-0005-0000-0000-00002D000000}"/>
    <cellStyle name="%_Company1995" xfId="370" xr:uid="{00000000-0005-0000-0000-00002E000000}"/>
    <cellStyle name="%_PCAR" xfId="371" xr:uid="{00000000-0005-0000-0000-00002F000000}"/>
    <cellStyle name="%_PH" xfId="372" xr:uid="{00000000-0005-0000-0000-000030000000}"/>
    <cellStyle name="%_Utility" xfId="373" xr:uid="{00000000-0005-0000-0000-000031000000}"/>
    <cellStyle name="(1,000)" xfId="374" xr:uid="{00000000-0005-0000-0000-000032000000}"/>
    <cellStyle name="(1,000)x" xfId="375" xr:uid="{00000000-0005-0000-0000-000033000000}"/>
    <cellStyle name="******************************************" xfId="376" xr:uid="{00000000-0005-0000-0000-000034000000}"/>
    <cellStyle name="****************************************** 2" xfId="377" xr:uid="{00000000-0005-0000-0000-000035000000}"/>
    <cellStyle name="****************************************** 2 2" xfId="3264" xr:uid="{00000000-0005-0000-0000-000036000000}"/>
    <cellStyle name="****************************************** 2 3" xfId="3099" xr:uid="{00000000-0005-0000-0000-000037000000}"/>
    <cellStyle name="****************************************** 2 4" xfId="3040" xr:uid="{00000000-0005-0000-0000-000038000000}"/>
    <cellStyle name="_%(SignOnly)" xfId="8" xr:uid="{00000000-0005-0000-0000-000039000000}"/>
    <cellStyle name="_%(SignOnly) 2" xfId="379" xr:uid="{00000000-0005-0000-0000-00003A000000}"/>
    <cellStyle name="_%(SignOnly) 2 2" xfId="3265" xr:uid="{00000000-0005-0000-0000-00003B000000}"/>
    <cellStyle name="_%(SignOnly) 2 3" xfId="3100" xr:uid="{00000000-0005-0000-0000-00003C000000}"/>
    <cellStyle name="_%(SignOnly) 2 4" xfId="3041" xr:uid="{00000000-0005-0000-0000-00003D000000}"/>
    <cellStyle name="_%(SignOnly) 3" xfId="380" xr:uid="{00000000-0005-0000-0000-00003E000000}"/>
    <cellStyle name="_%(SignOnly) 4" xfId="378" xr:uid="{00000000-0005-0000-0000-00003F000000}"/>
    <cellStyle name="_%(SignOnly) 5" xfId="3423" xr:uid="{00000000-0005-0000-0000-000040000000}"/>
    <cellStyle name="_%(SignOnly) 6" xfId="3226" xr:uid="{00000000-0005-0000-0000-000041000000}"/>
    <cellStyle name="_%(SignOnly)_AG" xfId="381" xr:uid="{00000000-0005-0000-0000-000042000000}"/>
    <cellStyle name="_%(SignOnly)_CNH" xfId="382" xr:uid="{00000000-0005-0000-0000-000043000000}"/>
    <cellStyle name="_%(SignOnly)_Company0750" xfId="383" xr:uid="{00000000-0005-0000-0000-000044000000}"/>
    <cellStyle name="_%(SignOnly)_Company0886" xfId="384" xr:uid="{00000000-0005-0000-0000-000045000000}"/>
    <cellStyle name="_%(SignOnly)_Company1003" xfId="385" xr:uid="{00000000-0005-0000-0000-000046000000}"/>
    <cellStyle name="_%(SignOnly)_Company1415" xfId="386" xr:uid="{00000000-0005-0000-0000-000047000000}"/>
    <cellStyle name="_%(SignOnly)_Company1718" xfId="387" xr:uid="{00000000-0005-0000-0000-000048000000}"/>
    <cellStyle name="_%(SignOnly)_NAV" xfId="388" xr:uid="{00000000-0005-0000-0000-000049000000}"/>
    <cellStyle name="_%(SignOnly)_Company1995" xfId="389" xr:uid="{00000000-0005-0000-0000-00004A000000}"/>
    <cellStyle name="_%(SignOnly)_PCAR" xfId="390" xr:uid="{00000000-0005-0000-0000-00004B000000}"/>
    <cellStyle name="_%(SignOnly)_PH" xfId="391" xr:uid="{00000000-0005-0000-0000-00004C000000}"/>
    <cellStyle name="_%(SignSpaceOnly)" xfId="9" xr:uid="{00000000-0005-0000-0000-00004D000000}"/>
    <cellStyle name="_%(SignSpaceOnly) 2" xfId="393" xr:uid="{00000000-0005-0000-0000-00004E000000}"/>
    <cellStyle name="_%(SignSpaceOnly) 2 2" xfId="3266" xr:uid="{00000000-0005-0000-0000-00004F000000}"/>
    <cellStyle name="_%(SignSpaceOnly) 2 3" xfId="3102" xr:uid="{00000000-0005-0000-0000-000050000000}"/>
    <cellStyle name="_%(SignSpaceOnly) 2 4" xfId="3042" xr:uid="{00000000-0005-0000-0000-000051000000}"/>
    <cellStyle name="_%(SignSpaceOnly) 3" xfId="394" xr:uid="{00000000-0005-0000-0000-000052000000}"/>
    <cellStyle name="_%(SignSpaceOnly) 4" xfId="392" xr:uid="{00000000-0005-0000-0000-000053000000}"/>
    <cellStyle name="_%(SignSpaceOnly) 5" xfId="3424" xr:uid="{00000000-0005-0000-0000-000054000000}"/>
    <cellStyle name="_%(SignSpaceOnly) 6" xfId="3256" xr:uid="{00000000-0005-0000-0000-000055000000}"/>
    <cellStyle name="_%(SignSpaceOnly)_AG" xfId="395" xr:uid="{00000000-0005-0000-0000-000056000000}"/>
    <cellStyle name="_%(SignSpaceOnly)_CNH" xfId="396" xr:uid="{00000000-0005-0000-0000-000057000000}"/>
    <cellStyle name="_%(SignSpaceOnly)_Company0750" xfId="397" xr:uid="{00000000-0005-0000-0000-000058000000}"/>
    <cellStyle name="_%(SignSpaceOnly)_Company0886" xfId="398" xr:uid="{00000000-0005-0000-0000-000059000000}"/>
    <cellStyle name="_%(SignSpaceOnly)_Company1003" xfId="399" xr:uid="{00000000-0005-0000-0000-00005A000000}"/>
    <cellStyle name="_%(SignSpaceOnly)_Company1415" xfId="400" xr:uid="{00000000-0005-0000-0000-00005B000000}"/>
    <cellStyle name="_%(SignSpaceOnly)_Company1718" xfId="401" xr:uid="{00000000-0005-0000-0000-00005C000000}"/>
    <cellStyle name="_%(SignSpaceOnly)_NAV" xfId="402" xr:uid="{00000000-0005-0000-0000-00005D000000}"/>
    <cellStyle name="_%(SignSpaceOnly)_Company1995" xfId="403" xr:uid="{00000000-0005-0000-0000-00005E000000}"/>
    <cellStyle name="_%(SignSpaceOnly)_PCAR" xfId="404" xr:uid="{00000000-0005-0000-0000-00005F000000}"/>
    <cellStyle name="_%(SignSpaceOnly)_PH" xfId="405" xr:uid="{00000000-0005-0000-0000-000060000000}"/>
    <cellStyle name="_Company0457 Accretion - Dilution" xfId="406" xr:uid="{00000000-0005-0000-0000-000061000000}"/>
    <cellStyle name="_Comma" xfId="10" xr:uid="{00000000-0005-0000-0000-000062000000}"/>
    <cellStyle name="_Comma 2" xfId="408" xr:uid="{00000000-0005-0000-0000-000063000000}"/>
    <cellStyle name="_Comma 2 2" xfId="3268" xr:uid="{00000000-0005-0000-0000-000064000000}"/>
    <cellStyle name="_Comma 2 3" xfId="3104" xr:uid="{00000000-0005-0000-0000-000065000000}"/>
    <cellStyle name="_Comma 2 4" xfId="3044" xr:uid="{00000000-0005-0000-0000-000066000000}"/>
    <cellStyle name="_Comma 3" xfId="409" xr:uid="{00000000-0005-0000-0000-000067000000}"/>
    <cellStyle name="_Comma 3 2" xfId="3269" xr:uid="{00000000-0005-0000-0000-000068000000}"/>
    <cellStyle name="_Comma 3 3" xfId="3105" xr:uid="{00000000-0005-0000-0000-000069000000}"/>
    <cellStyle name="_Comma 3 4" xfId="3045" xr:uid="{00000000-0005-0000-0000-00006A000000}"/>
    <cellStyle name="_Comma 4" xfId="407" xr:uid="{00000000-0005-0000-0000-00006B000000}"/>
    <cellStyle name="_Comma 4 2" xfId="3046" xr:uid="{00000000-0005-0000-0000-00006C000000}"/>
    <cellStyle name="_Comma 5" xfId="3267" xr:uid="{00000000-0005-0000-0000-00006D000000}"/>
    <cellStyle name="_Comma 6" xfId="3103" xr:uid="{00000000-0005-0000-0000-00006E000000}"/>
    <cellStyle name="_Comma 7" xfId="3310" xr:uid="{00000000-0005-0000-0000-00006F000000}"/>
    <cellStyle name="_Comma 8" xfId="3043" xr:uid="{00000000-0005-0000-0000-000070000000}"/>
    <cellStyle name="_Comma_01 adj for merger plan" xfId="11" xr:uid="{00000000-0005-0000-0000-000071000000}"/>
    <cellStyle name="_Comma_Ability to Pay Analysis" xfId="12" xr:uid="{00000000-0005-0000-0000-000072000000}"/>
    <cellStyle name="_Comma_AFL" xfId="13" xr:uid="{00000000-0005-0000-0000-000073000000}"/>
    <cellStyle name="_Comma_AG" xfId="410" xr:uid="{00000000-0005-0000-0000-000074000000}"/>
    <cellStyle name="_Comma_Company0064" xfId="14" xr:uid="{00000000-0005-0000-0000-000075000000}"/>
    <cellStyle name="_Comma_AIZ04-Quantum2" xfId="15" xr:uid="{00000000-0005-0000-0000-000076000000}"/>
    <cellStyle name="_Comma_AMP" xfId="16" xr:uid="{00000000-0005-0000-0000-000077000000}"/>
    <cellStyle name="_Comma_bls roic" xfId="411" xr:uid="{00000000-0005-0000-0000-000078000000}"/>
    <cellStyle name="_Comma_bls roic 2" xfId="412" xr:uid="{00000000-0005-0000-0000-000079000000}"/>
    <cellStyle name="_Comma_bls roic 3" xfId="413" xr:uid="{00000000-0005-0000-0000-00007A000000}"/>
    <cellStyle name="_Comma_bls roic_AG" xfId="414" xr:uid="{00000000-0005-0000-0000-00007B000000}"/>
    <cellStyle name="_Comma_bls roic_CNH" xfId="415" xr:uid="{00000000-0005-0000-0000-00007C000000}"/>
    <cellStyle name="_Comma_bls roic_Company0750" xfId="416" xr:uid="{00000000-0005-0000-0000-00007D000000}"/>
    <cellStyle name="_Comma_bls roic_Company0886" xfId="417" xr:uid="{00000000-0005-0000-0000-00007E000000}"/>
    <cellStyle name="_Comma_bls roic_Company1003" xfId="418" xr:uid="{00000000-0005-0000-0000-00007F000000}"/>
    <cellStyle name="_Comma_bls roic_Company1415" xfId="419" xr:uid="{00000000-0005-0000-0000-000080000000}"/>
    <cellStyle name="_Comma_bls roic_Company1718" xfId="420" xr:uid="{00000000-0005-0000-0000-000081000000}"/>
    <cellStyle name="_Comma_bls roic_NAV" xfId="421" xr:uid="{00000000-0005-0000-0000-000082000000}"/>
    <cellStyle name="_Comma_bls roic_Company1995" xfId="422" xr:uid="{00000000-0005-0000-0000-000083000000}"/>
    <cellStyle name="_Comma_bls roic_PCAR" xfId="423" xr:uid="{00000000-0005-0000-0000-000084000000}"/>
    <cellStyle name="_Comma_bls roic_PH" xfId="424" xr:uid="{00000000-0005-0000-0000-000085000000}"/>
    <cellStyle name="_Comma_Book1" xfId="17" xr:uid="{00000000-0005-0000-0000-000086000000}"/>
    <cellStyle name="_Comma_Book3" xfId="18" xr:uid="{00000000-0005-0000-0000-000087000000}"/>
    <cellStyle name="_Comma_Book3 2" xfId="425" xr:uid="{00000000-0005-0000-0000-000088000000}"/>
    <cellStyle name="_Comma_Book3 3" xfId="3133" xr:uid="{00000000-0005-0000-0000-000089000000}"/>
    <cellStyle name="_Comma_Book3 4" xfId="3522" xr:uid="{00000000-0005-0000-0000-00008A000000}"/>
    <cellStyle name="_Comma_Broadcasting" xfId="426" xr:uid="{00000000-0005-0000-0000-00008B000000}"/>
    <cellStyle name="_Comma_capital expenditures 6-18-02" xfId="427" xr:uid="{00000000-0005-0000-0000-00008C000000}"/>
    <cellStyle name="_Comma_capital expenditures 6-18-02 2" xfId="428" xr:uid="{00000000-0005-0000-0000-00008D000000}"/>
    <cellStyle name="_Comma_capital expenditures 6-18-02 3" xfId="429" xr:uid="{00000000-0005-0000-0000-00008E000000}"/>
    <cellStyle name="_Comma_capital expenditures 6-18-02_AG" xfId="430" xr:uid="{00000000-0005-0000-0000-00008F000000}"/>
    <cellStyle name="_Comma_capital expenditures 6-18-02_CNH" xfId="431" xr:uid="{00000000-0005-0000-0000-000090000000}"/>
    <cellStyle name="_Comma_capital expenditures 6-18-02_Company0750" xfId="432" xr:uid="{00000000-0005-0000-0000-000091000000}"/>
    <cellStyle name="_Comma_capital expenditures 6-18-02_Company0886" xfId="433" xr:uid="{00000000-0005-0000-0000-000092000000}"/>
    <cellStyle name="_Comma_capital expenditures 6-18-02_Company1003" xfId="434" xr:uid="{00000000-0005-0000-0000-000093000000}"/>
    <cellStyle name="_Comma_capital expenditures 6-18-02_Company1415" xfId="435" xr:uid="{00000000-0005-0000-0000-000094000000}"/>
    <cellStyle name="_Comma_capital expenditures 6-18-02_Company1718" xfId="436" xr:uid="{00000000-0005-0000-0000-000095000000}"/>
    <cellStyle name="_Comma_capital expenditures 6-18-02_NAV" xfId="437" xr:uid="{00000000-0005-0000-0000-000096000000}"/>
    <cellStyle name="_Comma_capital expenditures 6-18-02_Company1995" xfId="438" xr:uid="{00000000-0005-0000-0000-000097000000}"/>
    <cellStyle name="_Comma_capital expenditures 6-18-02_PCAR" xfId="439" xr:uid="{00000000-0005-0000-0000-000098000000}"/>
    <cellStyle name="_Comma_capital expenditures 6-18-02_PH" xfId="440" xr:uid="{00000000-0005-0000-0000-000099000000}"/>
    <cellStyle name="_Comma_CNH" xfId="441" xr:uid="{00000000-0005-0000-0000-00009A000000}"/>
    <cellStyle name="_Comma_Company0529" xfId="19" xr:uid="{00000000-0005-0000-0000-00009B000000}"/>
    <cellStyle name="_Comma_CNO04" xfId="20" xr:uid="{00000000-0005-0000-0000-00009C000000}"/>
    <cellStyle name="_Comma_Company0689" xfId="442" xr:uid="{00000000-0005-0000-0000-00009D000000}"/>
    <cellStyle name="_Comma_CRO 3Q group metrics 12-22-03 for reports" xfId="443" xr:uid="{00000000-0005-0000-0000-00009E000000}"/>
    <cellStyle name="_Comma_CRO comp metrics 4Q03 2-18-04 send out" xfId="444" xr:uid="{00000000-0005-0000-0000-00009F000000}"/>
    <cellStyle name="_Comma_Data" xfId="445" xr:uid="{00000000-0005-0000-0000-0000A0000000}"/>
    <cellStyle name="_Comma_DCF Alexander Person0382" xfId="21" xr:uid="{00000000-0005-0000-0000-0000A1000000}"/>
    <cellStyle name="_Comma_dcf_1" xfId="446" xr:uid="{00000000-0005-0000-0000-0000A2000000}"/>
    <cellStyle name="_Comma_Company0750" xfId="447" xr:uid="{00000000-0005-0000-0000-0000A3000000}"/>
    <cellStyle name="_Comma_Company0764" xfId="448" xr:uid="{00000000-0005-0000-0000-0000A4000000}"/>
    <cellStyle name="_Comma_ED 2005.08.01" xfId="449" xr:uid="{00000000-0005-0000-0000-0000A5000000}"/>
    <cellStyle name="_Comma_Company0886" xfId="450" xr:uid="{00000000-0005-0000-0000-0000A6000000}"/>
    <cellStyle name="_Comma_fmbi counties" xfId="22" xr:uid="{00000000-0005-0000-0000-0000A7000000}"/>
    <cellStyle name="_Comma_FMBI MBHI Graphs" xfId="23" xr:uid="{00000000-0005-0000-0000-0000A8000000}"/>
    <cellStyle name="_Comma_FMBI MBHI Graphs 07102001" xfId="24" xr:uid="{00000000-0005-0000-0000-0000A9000000}"/>
    <cellStyle name="_Comma_FMBI MBHI Graphs_7601" xfId="25" xr:uid="{00000000-0005-0000-0000-0000AA000000}"/>
    <cellStyle name="_Comma_Company1003" xfId="451" xr:uid="{00000000-0005-0000-0000-0000AB000000}"/>
    <cellStyle name="_Comma_genworth model" xfId="26" xr:uid="{00000000-0005-0000-0000-0000AC000000}"/>
    <cellStyle name="_Comma_Hist Summary" xfId="452" xr:uid="{00000000-0005-0000-0000-0000AD000000}"/>
    <cellStyle name="_Comma_Insurance Brokerage CSC_1Q2002" xfId="27" xr:uid="{00000000-0005-0000-0000-0000AE000000}"/>
    <cellStyle name="_Comma_Company1415" xfId="453" xr:uid="{00000000-0005-0000-0000-0000AF000000}"/>
    <cellStyle name="_Comma_JP_Company1563_spread_monitor (2)" xfId="28" xr:uid="{00000000-0005-0000-0000-0000B0000000}"/>
    <cellStyle name="_Comma_Person0607" xfId="454" xr:uid="{00000000-0005-0000-0000-0000B1000000}"/>
    <cellStyle name="_Comma_Machinery group valuation" xfId="455" xr:uid="{00000000-0005-0000-0000-0000B2000000}"/>
    <cellStyle name="_Comma_MHS" xfId="456" xr:uid="{00000000-0005-0000-0000-0000B3000000}"/>
    <cellStyle name="_Comma_Company1718" xfId="457" xr:uid="{00000000-0005-0000-0000-0000B4000000}"/>
    <cellStyle name="_Comma_MLP Val-Client-10_02_06" xfId="458" xr:uid="{00000000-0005-0000-0000-0000B5000000}"/>
    <cellStyle name="_Comma_NAV" xfId="459" xr:uid="{00000000-0005-0000-0000-0000B6000000}"/>
    <cellStyle name="_Comma_NFP" xfId="29" xr:uid="{00000000-0005-0000-0000-0000B7000000}"/>
    <cellStyle name="_Comma_Company1874" xfId="30" xr:uid="{00000000-0005-0000-0000-0000B8000000}"/>
    <cellStyle name="_Comma_Company1897 2005.07.22" xfId="460" xr:uid="{00000000-0005-0000-0000-0000B9000000}"/>
    <cellStyle name="_Comma_Company1995" xfId="461" xr:uid="{00000000-0005-0000-0000-0000BA000000}"/>
    <cellStyle name="_Comma_Overview3" xfId="31" xr:uid="{00000000-0005-0000-0000-0000BB000000}"/>
    <cellStyle name="_Comma_PCAR" xfId="462" xr:uid="{00000000-0005-0000-0000-0000BC000000}"/>
    <cellStyle name="_Comma_PH" xfId="463" xr:uid="{00000000-0005-0000-0000-0000BD000000}"/>
    <cellStyle name="_Comma_phil data" xfId="32" xr:uid="{00000000-0005-0000-0000-0000BE000000}"/>
    <cellStyle name="_Comma_Price Performance Charts" xfId="33" xr:uid="{00000000-0005-0000-0000-0000BF000000}"/>
    <cellStyle name="_Comma_Quarterly Review by Company" xfId="34" xr:uid="{00000000-0005-0000-0000-0000C0000000}"/>
    <cellStyle name="_Comma_RBOC historicals" xfId="464" xr:uid="{00000000-0005-0000-0000-0000C1000000}"/>
    <cellStyle name="_Comma_RBOC historicals 2" xfId="465" xr:uid="{00000000-0005-0000-0000-0000C2000000}"/>
    <cellStyle name="_Comma_RBOC historicals 3" xfId="466" xr:uid="{00000000-0005-0000-0000-0000C3000000}"/>
    <cellStyle name="_Comma_RBOC historicals_AG" xfId="467" xr:uid="{00000000-0005-0000-0000-0000C4000000}"/>
    <cellStyle name="_Comma_RBOC historicals_CNH" xfId="468" xr:uid="{00000000-0005-0000-0000-0000C5000000}"/>
    <cellStyle name="_Comma_RBOC historicals_Company0750" xfId="469" xr:uid="{00000000-0005-0000-0000-0000C6000000}"/>
    <cellStyle name="_Comma_RBOC historicals_Company0886" xfId="470" xr:uid="{00000000-0005-0000-0000-0000C7000000}"/>
    <cellStyle name="_Comma_RBOC historicals_Company1003" xfId="471" xr:uid="{00000000-0005-0000-0000-0000C8000000}"/>
    <cellStyle name="_Comma_RBOC historicals_Company1415" xfId="472" xr:uid="{00000000-0005-0000-0000-0000C9000000}"/>
    <cellStyle name="_Comma_RBOC historicals_Company1718" xfId="473" xr:uid="{00000000-0005-0000-0000-0000CA000000}"/>
    <cellStyle name="_Comma_RBOC historicals_NAV" xfId="474" xr:uid="{00000000-0005-0000-0000-0000CB000000}"/>
    <cellStyle name="_Comma_RBOC historicals_Company1995" xfId="475" xr:uid="{00000000-0005-0000-0000-0000CC000000}"/>
    <cellStyle name="_Comma_RBOC historicals_PCAR" xfId="476" xr:uid="{00000000-0005-0000-0000-0000CD000000}"/>
    <cellStyle name="_Comma_RBOC historicals_PH" xfId="477" xr:uid="{00000000-0005-0000-0000-0000CE000000}"/>
    <cellStyle name="_Comma_SFG Data File" xfId="35" xr:uid="{00000000-0005-0000-0000-0000CF000000}"/>
    <cellStyle name="_Comma_Sheet1" xfId="36" xr:uid="{00000000-0005-0000-0000-0000D0000000}"/>
    <cellStyle name="_Comma_Sheet1 2" xfId="478" xr:uid="{00000000-0005-0000-0000-0000D1000000}"/>
    <cellStyle name="_Comma_Sheet1 3" xfId="3279" xr:uid="{00000000-0005-0000-0000-0000D2000000}"/>
    <cellStyle name="_Comma_Sheet1 4" xfId="3523" xr:uid="{00000000-0005-0000-0000-0000D3000000}"/>
    <cellStyle name="_Comma_SOP" xfId="479" xr:uid="{00000000-0005-0000-0000-0000D4000000}"/>
    <cellStyle name="_Comma_SRE" xfId="480" xr:uid="{00000000-0005-0000-0000-0000D5000000}"/>
    <cellStyle name="_Comma_SRE Working" xfId="481" xr:uid="{00000000-0005-0000-0000-0000D6000000}"/>
    <cellStyle name="_Comma_Stock-QTR1 FDS" xfId="37" xr:uid="{00000000-0005-0000-0000-0000D7000000}"/>
    <cellStyle name="_Comma_T - new" xfId="482" xr:uid="{00000000-0005-0000-0000-0000D8000000}"/>
    <cellStyle name="_Comma_T - new 2" xfId="483" xr:uid="{00000000-0005-0000-0000-0000D9000000}"/>
    <cellStyle name="_Comma_T - new 3" xfId="484" xr:uid="{00000000-0005-0000-0000-0000DA000000}"/>
    <cellStyle name="_Comma_T - new_AG" xfId="485" xr:uid="{00000000-0005-0000-0000-0000DB000000}"/>
    <cellStyle name="_Comma_T - new_CNH" xfId="486" xr:uid="{00000000-0005-0000-0000-0000DC000000}"/>
    <cellStyle name="_Comma_T - new_Company0750" xfId="487" xr:uid="{00000000-0005-0000-0000-0000DD000000}"/>
    <cellStyle name="_Comma_T - new_Company0886" xfId="488" xr:uid="{00000000-0005-0000-0000-0000DE000000}"/>
    <cellStyle name="_Comma_T - new_Company1003" xfId="489" xr:uid="{00000000-0005-0000-0000-0000DF000000}"/>
    <cellStyle name="_Comma_T - new_Company1415" xfId="490" xr:uid="{00000000-0005-0000-0000-0000E0000000}"/>
    <cellStyle name="_Comma_T - new_Company1718" xfId="491" xr:uid="{00000000-0005-0000-0000-0000E1000000}"/>
    <cellStyle name="_Comma_T - new_NAV" xfId="492" xr:uid="{00000000-0005-0000-0000-0000E2000000}"/>
    <cellStyle name="_Comma_T - new_Company1995" xfId="493" xr:uid="{00000000-0005-0000-0000-0000E3000000}"/>
    <cellStyle name="_Comma_T - new_PCAR" xfId="494" xr:uid="{00000000-0005-0000-0000-0000E4000000}"/>
    <cellStyle name="_Comma_T - new_PH" xfId="495" xr:uid="{00000000-0005-0000-0000-0000E5000000}"/>
    <cellStyle name="_Comma_Updated Valuation Changes" xfId="38" xr:uid="{00000000-0005-0000-0000-0000E6000000}"/>
    <cellStyle name="_Comma_Val Sheets" xfId="496" xr:uid="{00000000-0005-0000-0000-0000E7000000}"/>
    <cellStyle name="_Comma_Valuation Graphs" xfId="39" xr:uid="{00000000-0005-0000-0000-0000E8000000}"/>
    <cellStyle name="_Comma_xratio - historical mkt val" xfId="40" xr:uid="{00000000-0005-0000-0000-0000E9000000}"/>
    <cellStyle name="_Company0689" xfId="497" xr:uid="{00000000-0005-0000-0000-0000EA000000}"/>
    <cellStyle name="_Currency" xfId="41" xr:uid="{00000000-0005-0000-0000-0000EB000000}"/>
    <cellStyle name="_Currency 2" xfId="498" xr:uid="{00000000-0005-0000-0000-0000EC000000}"/>
    <cellStyle name="_Currency 2 2" xfId="3271" xr:uid="{00000000-0005-0000-0000-0000ED000000}"/>
    <cellStyle name="_Currency 2 3" xfId="3107" xr:uid="{00000000-0005-0000-0000-0000EE000000}"/>
    <cellStyle name="_Currency 2 4" xfId="3048" xr:uid="{00000000-0005-0000-0000-0000EF000000}"/>
    <cellStyle name="_Currency 3" xfId="499" xr:uid="{00000000-0005-0000-0000-0000F0000000}"/>
    <cellStyle name="_Currency 3 2" xfId="3272" xr:uid="{00000000-0005-0000-0000-0000F1000000}"/>
    <cellStyle name="_Currency 3 3" xfId="3108" xr:uid="{00000000-0005-0000-0000-0000F2000000}"/>
    <cellStyle name="_Currency 3 4" xfId="3049" xr:uid="{00000000-0005-0000-0000-0000F3000000}"/>
    <cellStyle name="_Currency 4" xfId="3050" xr:uid="{00000000-0005-0000-0000-0000F4000000}"/>
    <cellStyle name="_Currency 5" xfId="3270" xr:uid="{00000000-0005-0000-0000-0000F5000000}"/>
    <cellStyle name="_Currency 6" xfId="3106" xr:uid="{00000000-0005-0000-0000-0000F6000000}"/>
    <cellStyle name="_Currency 7" xfId="3047" xr:uid="{00000000-0005-0000-0000-0000F7000000}"/>
    <cellStyle name="_Currency_01 adj for merger plan" xfId="42" xr:uid="{00000000-0005-0000-0000-0000F8000000}"/>
    <cellStyle name="_Currency_Ability to Pay Analysis" xfId="43" xr:uid="{00000000-0005-0000-0000-0000F9000000}"/>
    <cellStyle name="_Currency_AFL" xfId="44" xr:uid="{00000000-0005-0000-0000-0000FA000000}"/>
    <cellStyle name="_Currency_AG" xfId="500" xr:uid="{00000000-0005-0000-0000-0000FB000000}"/>
    <cellStyle name="_Currency_Company0064" xfId="45" xr:uid="{00000000-0005-0000-0000-0000FC000000}"/>
    <cellStyle name="_Currency_AMP" xfId="46" xr:uid="{00000000-0005-0000-0000-0000FD000000}"/>
    <cellStyle name="_Currency_AT" xfId="501" xr:uid="{00000000-0005-0000-0000-0000FE000000}"/>
    <cellStyle name="_Currency_AT 2" xfId="502" xr:uid="{00000000-0005-0000-0000-0000FF000000}"/>
    <cellStyle name="_Currency_AT 3" xfId="503" xr:uid="{00000000-0005-0000-0000-000000010000}"/>
    <cellStyle name="_Currency_AT_AG" xfId="504" xr:uid="{00000000-0005-0000-0000-000001010000}"/>
    <cellStyle name="_Currency_AT_CNH" xfId="505" xr:uid="{00000000-0005-0000-0000-000002010000}"/>
    <cellStyle name="_Currency_AT_Company0750" xfId="506" xr:uid="{00000000-0005-0000-0000-000003010000}"/>
    <cellStyle name="_Currency_AT_Company0886" xfId="507" xr:uid="{00000000-0005-0000-0000-000004010000}"/>
    <cellStyle name="_Currency_AT_Company1003" xfId="508" xr:uid="{00000000-0005-0000-0000-000005010000}"/>
    <cellStyle name="_Currency_AT_Company1415" xfId="509" xr:uid="{00000000-0005-0000-0000-000006010000}"/>
    <cellStyle name="_Currency_AT_Company1718" xfId="510" xr:uid="{00000000-0005-0000-0000-000007010000}"/>
    <cellStyle name="_Currency_AT_NAV" xfId="511" xr:uid="{00000000-0005-0000-0000-000008010000}"/>
    <cellStyle name="_Currency_AT_Company1995" xfId="512" xr:uid="{00000000-0005-0000-0000-000009010000}"/>
    <cellStyle name="_Currency_AT_PCAR" xfId="513" xr:uid="{00000000-0005-0000-0000-00000A010000}"/>
    <cellStyle name="_Currency_AT_PH" xfId="514" xr:uid="{00000000-0005-0000-0000-00000B010000}"/>
    <cellStyle name="_Currency_AWE" xfId="515" xr:uid="{00000000-0005-0000-0000-00000C010000}"/>
    <cellStyle name="_Currency_AWE 2" xfId="516" xr:uid="{00000000-0005-0000-0000-00000D010000}"/>
    <cellStyle name="_Currency_AWE 3" xfId="517" xr:uid="{00000000-0005-0000-0000-00000E010000}"/>
    <cellStyle name="_Currency_AWE_AG" xfId="518" xr:uid="{00000000-0005-0000-0000-00000F010000}"/>
    <cellStyle name="_Currency_AWE_CNH" xfId="519" xr:uid="{00000000-0005-0000-0000-000010010000}"/>
    <cellStyle name="_Currency_AWE_Company0750" xfId="520" xr:uid="{00000000-0005-0000-0000-000011010000}"/>
    <cellStyle name="_Currency_AWE_Company0886" xfId="521" xr:uid="{00000000-0005-0000-0000-000012010000}"/>
    <cellStyle name="_Currency_AWE_Company1003" xfId="522" xr:uid="{00000000-0005-0000-0000-000013010000}"/>
    <cellStyle name="_Currency_AWE_Company1415" xfId="523" xr:uid="{00000000-0005-0000-0000-000014010000}"/>
    <cellStyle name="_Currency_AWE_Company1718" xfId="524" xr:uid="{00000000-0005-0000-0000-000015010000}"/>
    <cellStyle name="_Currency_AWE_NAV" xfId="525" xr:uid="{00000000-0005-0000-0000-000016010000}"/>
    <cellStyle name="_Currency_AWE_Company1995" xfId="526" xr:uid="{00000000-0005-0000-0000-000017010000}"/>
    <cellStyle name="_Currency_AWE_PCAR" xfId="527" xr:uid="{00000000-0005-0000-0000-000018010000}"/>
    <cellStyle name="_Currency_AWE_PH" xfId="528" xr:uid="{00000000-0005-0000-0000-000019010000}"/>
    <cellStyle name="_Currency_Balance Sheet" xfId="47" xr:uid="{00000000-0005-0000-0000-00001A010000}"/>
    <cellStyle name="_Currency_BHI" xfId="529" xr:uid="{00000000-0005-0000-0000-00001B010000}"/>
    <cellStyle name="_Currency_BHI 2" xfId="530" xr:uid="{00000000-0005-0000-0000-00001C010000}"/>
    <cellStyle name="_Currency_BHI 3" xfId="531" xr:uid="{00000000-0005-0000-0000-00001D010000}"/>
    <cellStyle name="_Currency_BHI_AG" xfId="532" xr:uid="{00000000-0005-0000-0000-00001E010000}"/>
    <cellStyle name="_Currency_BHI_CNH" xfId="533" xr:uid="{00000000-0005-0000-0000-00001F010000}"/>
    <cellStyle name="_Currency_BHI_Company0750" xfId="534" xr:uid="{00000000-0005-0000-0000-000020010000}"/>
    <cellStyle name="_Currency_BHI_Company0886" xfId="535" xr:uid="{00000000-0005-0000-0000-000021010000}"/>
    <cellStyle name="_Currency_BHI_Company1003" xfId="536" xr:uid="{00000000-0005-0000-0000-000022010000}"/>
    <cellStyle name="_Currency_BHI_Company1415" xfId="537" xr:uid="{00000000-0005-0000-0000-000023010000}"/>
    <cellStyle name="_Currency_BHI_Company1718" xfId="538" xr:uid="{00000000-0005-0000-0000-000024010000}"/>
    <cellStyle name="_Currency_BHI_NAV" xfId="539" xr:uid="{00000000-0005-0000-0000-000025010000}"/>
    <cellStyle name="_Currency_BHI_Company1995" xfId="540" xr:uid="{00000000-0005-0000-0000-000026010000}"/>
    <cellStyle name="_Currency_BHI_PCAR" xfId="541" xr:uid="{00000000-0005-0000-0000-000027010000}"/>
    <cellStyle name="_Currency_BHI_PH" xfId="542" xr:uid="{00000000-0005-0000-0000-000028010000}"/>
    <cellStyle name="_Currency_BLS" xfId="543" xr:uid="{00000000-0005-0000-0000-000029010000}"/>
    <cellStyle name="_Currency_BLS 2" xfId="544" xr:uid="{00000000-0005-0000-0000-00002A010000}"/>
    <cellStyle name="_Currency_BLS 3" xfId="545" xr:uid="{00000000-0005-0000-0000-00002B010000}"/>
    <cellStyle name="_Currency_bls roic" xfId="546" xr:uid="{00000000-0005-0000-0000-00002C010000}"/>
    <cellStyle name="_Currency_bls roic 2" xfId="547" xr:uid="{00000000-0005-0000-0000-00002D010000}"/>
    <cellStyle name="_Currency_bls roic 3" xfId="548" xr:uid="{00000000-0005-0000-0000-00002E010000}"/>
    <cellStyle name="_Currency_bls roic_AG" xfId="549" xr:uid="{00000000-0005-0000-0000-00002F010000}"/>
    <cellStyle name="_Currency_bls roic_CNH" xfId="550" xr:uid="{00000000-0005-0000-0000-000030010000}"/>
    <cellStyle name="_Currency_bls roic_Company0750" xfId="551" xr:uid="{00000000-0005-0000-0000-000031010000}"/>
    <cellStyle name="_Currency_bls roic_Company0886" xfId="552" xr:uid="{00000000-0005-0000-0000-000032010000}"/>
    <cellStyle name="_Currency_bls roic_Company1003" xfId="553" xr:uid="{00000000-0005-0000-0000-000033010000}"/>
    <cellStyle name="_Currency_bls roic_Company1415" xfId="554" xr:uid="{00000000-0005-0000-0000-000034010000}"/>
    <cellStyle name="_Currency_bls roic_Company1718" xfId="555" xr:uid="{00000000-0005-0000-0000-000035010000}"/>
    <cellStyle name="_Currency_bls roic_NAV" xfId="556" xr:uid="{00000000-0005-0000-0000-000036010000}"/>
    <cellStyle name="_Currency_bls roic_Company1995" xfId="557" xr:uid="{00000000-0005-0000-0000-000037010000}"/>
    <cellStyle name="_Currency_bls roic_PCAR" xfId="558" xr:uid="{00000000-0005-0000-0000-000038010000}"/>
    <cellStyle name="_Currency_bls roic_PH" xfId="559" xr:uid="{00000000-0005-0000-0000-000039010000}"/>
    <cellStyle name="_Currency_BLS_AG" xfId="560" xr:uid="{00000000-0005-0000-0000-00003A010000}"/>
    <cellStyle name="_Currency_BLS_CNH" xfId="561" xr:uid="{00000000-0005-0000-0000-00003B010000}"/>
    <cellStyle name="_Currency_BLS_Company0750" xfId="562" xr:uid="{00000000-0005-0000-0000-00003C010000}"/>
    <cellStyle name="_Currency_BLS_Company0886" xfId="563" xr:uid="{00000000-0005-0000-0000-00003D010000}"/>
    <cellStyle name="_Currency_BLS_Company1003" xfId="564" xr:uid="{00000000-0005-0000-0000-00003E010000}"/>
    <cellStyle name="_Currency_BLS_Company1415" xfId="565" xr:uid="{00000000-0005-0000-0000-00003F010000}"/>
    <cellStyle name="_Currency_BLS_Company1718" xfId="566" xr:uid="{00000000-0005-0000-0000-000040010000}"/>
    <cellStyle name="_Currency_BLS_NAV" xfId="567" xr:uid="{00000000-0005-0000-0000-000041010000}"/>
    <cellStyle name="_Currency_BLS_Company1995" xfId="568" xr:uid="{00000000-0005-0000-0000-000042010000}"/>
    <cellStyle name="_Currency_BLS_PCAR" xfId="569" xr:uid="{00000000-0005-0000-0000-000043010000}"/>
    <cellStyle name="_Currency_BLS_PH" xfId="570" xr:uid="{00000000-0005-0000-0000-000044010000}"/>
    <cellStyle name="_Currency_Book1" xfId="48" xr:uid="{00000000-0005-0000-0000-000045010000}"/>
    <cellStyle name="_Currency_Book2" xfId="571" xr:uid="{00000000-0005-0000-0000-000046010000}"/>
    <cellStyle name="_Currency_Book2 2" xfId="572" xr:uid="{00000000-0005-0000-0000-000047010000}"/>
    <cellStyle name="_Currency_Book2 3" xfId="573" xr:uid="{00000000-0005-0000-0000-000048010000}"/>
    <cellStyle name="_Currency_Book2_AG" xfId="574" xr:uid="{00000000-0005-0000-0000-000049010000}"/>
    <cellStyle name="_Currency_Book2_CNH" xfId="575" xr:uid="{00000000-0005-0000-0000-00004A010000}"/>
    <cellStyle name="_Currency_Book2_Company0750" xfId="576" xr:uid="{00000000-0005-0000-0000-00004B010000}"/>
    <cellStyle name="_Currency_Book2_Company0886" xfId="577" xr:uid="{00000000-0005-0000-0000-00004C010000}"/>
    <cellStyle name="_Currency_Book2_Company1003" xfId="578" xr:uid="{00000000-0005-0000-0000-00004D010000}"/>
    <cellStyle name="_Currency_Book2_Company1415" xfId="579" xr:uid="{00000000-0005-0000-0000-00004E010000}"/>
    <cellStyle name="_Currency_Book2_Company1718" xfId="580" xr:uid="{00000000-0005-0000-0000-00004F010000}"/>
    <cellStyle name="_Currency_Book2_NAV" xfId="581" xr:uid="{00000000-0005-0000-0000-000050010000}"/>
    <cellStyle name="_Currency_Book2_Company1995" xfId="582" xr:uid="{00000000-0005-0000-0000-000051010000}"/>
    <cellStyle name="_Currency_Book2_PCAR" xfId="583" xr:uid="{00000000-0005-0000-0000-000052010000}"/>
    <cellStyle name="_Currency_Book2_PH" xfId="584" xr:uid="{00000000-0005-0000-0000-000053010000}"/>
    <cellStyle name="_Currency_Book29" xfId="49" xr:uid="{00000000-0005-0000-0000-000054010000}"/>
    <cellStyle name="_Currency_Book3" xfId="50" xr:uid="{00000000-0005-0000-0000-000055010000}"/>
    <cellStyle name="_Currency_Book3 2" xfId="585" xr:uid="{00000000-0005-0000-0000-000056010000}"/>
    <cellStyle name="_Currency_Book3 3" xfId="3101" xr:uid="{00000000-0005-0000-0000-000057010000}"/>
    <cellStyle name="_Currency_Book3 4" xfId="3524" xr:uid="{00000000-0005-0000-0000-000058010000}"/>
    <cellStyle name="_Currency_Book3_1" xfId="51" xr:uid="{00000000-0005-0000-0000-000059010000}"/>
    <cellStyle name="_Currency_Book32" xfId="586" xr:uid="{00000000-0005-0000-0000-00005A010000}"/>
    <cellStyle name="_Currency_Book32 2" xfId="587" xr:uid="{00000000-0005-0000-0000-00005B010000}"/>
    <cellStyle name="_Currency_Book32 3" xfId="588" xr:uid="{00000000-0005-0000-0000-00005C010000}"/>
    <cellStyle name="_Currency_Book32_AG" xfId="589" xr:uid="{00000000-0005-0000-0000-00005D010000}"/>
    <cellStyle name="_Currency_Book32_CNH" xfId="590" xr:uid="{00000000-0005-0000-0000-00005E010000}"/>
    <cellStyle name="_Currency_Book32_Company0750" xfId="591" xr:uid="{00000000-0005-0000-0000-00005F010000}"/>
    <cellStyle name="_Currency_Book32_Company0886" xfId="592" xr:uid="{00000000-0005-0000-0000-000060010000}"/>
    <cellStyle name="_Currency_Book32_Company1003" xfId="593" xr:uid="{00000000-0005-0000-0000-000061010000}"/>
    <cellStyle name="_Currency_Book32_Company1415" xfId="594" xr:uid="{00000000-0005-0000-0000-000062010000}"/>
    <cellStyle name="_Currency_Book32_Company1718" xfId="595" xr:uid="{00000000-0005-0000-0000-000063010000}"/>
    <cellStyle name="_Currency_Book32_NAV" xfId="596" xr:uid="{00000000-0005-0000-0000-000064010000}"/>
    <cellStyle name="_Currency_Book32_Company1995" xfId="597" xr:uid="{00000000-0005-0000-0000-000065010000}"/>
    <cellStyle name="_Currency_Book32_PCAR" xfId="598" xr:uid="{00000000-0005-0000-0000-000066010000}"/>
    <cellStyle name="_Currency_Book32_PH" xfId="599" xr:uid="{00000000-0005-0000-0000-000067010000}"/>
    <cellStyle name="_Currency_Broadcasting" xfId="600" xr:uid="{00000000-0005-0000-0000-000068010000}"/>
    <cellStyle name="_Currency_capital expenditures 6-18-02" xfId="601" xr:uid="{00000000-0005-0000-0000-000069010000}"/>
    <cellStyle name="_Currency_capital expenditures 6-18-02 2" xfId="602" xr:uid="{00000000-0005-0000-0000-00006A010000}"/>
    <cellStyle name="_Currency_capital expenditures 6-18-02 3" xfId="603" xr:uid="{00000000-0005-0000-0000-00006B010000}"/>
    <cellStyle name="_Currency_capital expenditures 6-18-02_AG" xfId="604" xr:uid="{00000000-0005-0000-0000-00006C010000}"/>
    <cellStyle name="_Currency_capital expenditures 6-18-02_CNH" xfId="605" xr:uid="{00000000-0005-0000-0000-00006D010000}"/>
    <cellStyle name="_Currency_capital expenditures 6-18-02_Company0750" xfId="606" xr:uid="{00000000-0005-0000-0000-00006E010000}"/>
    <cellStyle name="_Currency_capital expenditures 6-18-02_Company0886" xfId="607" xr:uid="{00000000-0005-0000-0000-00006F010000}"/>
    <cellStyle name="_Currency_capital expenditures 6-18-02_Company1003" xfId="608" xr:uid="{00000000-0005-0000-0000-000070010000}"/>
    <cellStyle name="_Currency_capital expenditures 6-18-02_Company1415" xfId="609" xr:uid="{00000000-0005-0000-0000-000071010000}"/>
    <cellStyle name="_Currency_capital expenditures 6-18-02_Company1718" xfId="610" xr:uid="{00000000-0005-0000-0000-000072010000}"/>
    <cellStyle name="_Currency_capital expenditures 6-18-02_NAV" xfId="611" xr:uid="{00000000-0005-0000-0000-000073010000}"/>
    <cellStyle name="_Currency_capital expenditures 6-18-02_Company1995" xfId="612" xr:uid="{00000000-0005-0000-0000-000074010000}"/>
    <cellStyle name="_Currency_capital expenditures 6-18-02_PCAR" xfId="613" xr:uid="{00000000-0005-0000-0000-000075010000}"/>
    <cellStyle name="_Currency_capital expenditures 6-18-02_PH" xfId="614" xr:uid="{00000000-0005-0000-0000-000076010000}"/>
    <cellStyle name="_Currency_Cingular" xfId="615" xr:uid="{00000000-0005-0000-0000-000077010000}"/>
    <cellStyle name="_Currency_Cingular 2" xfId="616" xr:uid="{00000000-0005-0000-0000-000078010000}"/>
    <cellStyle name="_Currency_Cingular 3" xfId="617" xr:uid="{00000000-0005-0000-0000-000079010000}"/>
    <cellStyle name="_Currency_Cingular_AG" xfId="618" xr:uid="{00000000-0005-0000-0000-00007A010000}"/>
    <cellStyle name="_Currency_Cingular_CNH" xfId="619" xr:uid="{00000000-0005-0000-0000-00007B010000}"/>
    <cellStyle name="_Currency_Cingular_Company0750" xfId="620" xr:uid="{00000000-0005-0000-0000-00007C010000}"/>
    <cellStyle name="_Currency_Cingular_Company0886" xfId="621" xr:uid="{00000000-0005-0000-0000-00007D010000}"/>
    <cellStyle name="_Currency_Cingular_Company1003" xfId="622" xr:uid="{00000000-0005-0000-0000-00007E010000}"/>
    <cellStyle name="_Currency_Cingular_Company1415" xfId="623" xr:uid="{00000000-0005-0000-0000-00007F010000}"/>
    <cellStyle name="_Currency_Cingular_Company1718" xfId="624" xr:uid="{00000000-0005-0000-0000-000080010000}"/>
    <cellStyle name="_Currency_Cingular_NAV" xfId="625" xr:uid="{00000000-0005-0000-0000-000081010000}"/>
    <cellStyle name="_Currency_Cingular_Company1995" xfId="626" xr:uid="{00000000-0005-0000-0000-000082010000}"/>
    <cellStyle name="_Currency_Cingular_PCAR" xfId="627" xr:uid="{00000000-0005-0000-0000-000083010000}"/>
    <cellStyle name="_Currency_Cingular_PH" xfId="628" xr:uid="{00000000-0005-0000-0000-000084010000}"/>
    <cellStyle name="_Currency_CNH" xfId="629" xr:uid="{00000000-0005-0000-0000-000085010000}"/>
    <cellStyle name="_Currency_Company0529" xfId="52" xr:uid="{00000000-0005-0000-0000-000086010000}"/>
    <cellStyle name="_Currency_Company0689" xfId="630" xr:uid="{00000000-0005-0000-0000-000087010000}"/>
    <cellStyle name="_Currency_CRO 3Q group metrics 12-22-03 for reports" xfId="631" xr:uid="{00000000-0005-0000-0000-000088010000}"/>
    <cellStyle name="_Currency_CRO comp metrics 4Q03 2-18-04 send out" xfId="632" xr:uid="{00000000-0005-0000-0000-000089010000}"/>
    <cellStyle name="_Currency_Data" xfId="633" xr:uid="{00000000-0005-0000-0000-00008A010000}"/>
    <cellStyle name="_Currency_DCF Alexander Person0382" xfId="53" xr:uid="{00000000-0005-0000-0000-00008B010000}"/>
    <cellStyle name="_Currency_dcf_1" xfId="634" xr:uid="{00000000-0005-0000-0000-00008C010000}"/>
    <cellStyle name="_Currency_Company0750" xfId="635" xr:uid="{00000000-0005-0000-0000-00008D010000}"/>
    <cellStyle name="_Currency_Company0764" xfId="636" xr:uid="{00000000-0005-0000-0000-00008E010000}"/>
    <cellStyle name="_Currency_ED 2005.08.01" xfId="637" xr:uid="{00000000-0005-0000-0000-00008F010000}"/>
    <cellStyle name="_Currency_Company0886" xfId="638" xr:uid="{00000000-0005-0000-0000-000090010000}"/>
    <cellStyle name="_Currency_fmbi counties" xfId="54" xr:uid="{00000000-0005-0000-0000-000091010000}"/>
    <cellStyle name="_Currency_FMBI MBHI Graphs" xfId="55" xr:uid="{00000000-0005-0000-0000-000092010000}"/>
    <cellStyle name="_Currency_FMBI MBHI Graphs 07102001" xfId="56" xr:uid="{00000000-0005-0000-0000-000093010000}"/>
    <cellStyle name="_Currency_FMBI MBHI Graphs_7601" xfId="57" xr:uid="{00000000-0005-0000-0000-000094010000}"/>
    <cellStyle name="_Currency_FON" xfId="639" xr:uid="{00000000-0005-0000-0000-000095010000}"/>
    <cellStyle name="_Currency_FON 2" xfId="640" xr:uid="{00000000-0005-0000-0000-000096010000}"/>
    <cellStyle name="_Currency_FON 3" xfId="641" xr:uid="{00000000-0005-0000-0000-000097010000}"/>
    <cellStyle name="_Currency_FON_AG" xfId="642" xr:uid="{00000000-0005-0000-0000-000098010000}"/>
    <cellStyle name="_Currency_FON_CNH" xfId="643" xr:uid="{00000000-0005-0000-0000-000099010000}"/>
    <cellStyle name="_Currency_FON_Company0750" xfId="644" xr:uid="{00000000-0005-0000-0000-00009A010000}"/>
    <cellStyle name="_Currency_FON_Company0886" xfId="645" xr:uid="{00000000-0005-0000-0000-00009B010000}"/>
    <cellStyle name="_Currency_FON_Company1003" xfId="646" xr:uid="{00000000-0005-0000-0000-00009C010000}"/>
    <cellStyle name="_Currency_FON_Company1415" xfId="647" xr:uid="{00000000-0005-0000-0000-00009D010000}"/>
    <cellStyle name="_Currency_FON_Company1718" xfId="648" xr:uid="{00000000-0005-0000-0000-00009E010000}"/>
    <cellStyle name="_Currency_FON_NAV" xfId="649" xr:uid="{00000000-0005-0000-0000-00009F010000}"/>
    <cellStyle name="_Currency_FON_Company1995" xfId="650" xr:uid="{00000000-0005-0000-0000-0000A0010000}"/>
    <cellStyle name="_Currency_FON_PCAR" xfId="651" xr:uid="{00000000-0005-0000-0000-0000A1010000}"/>
    <cellStyle name="_Currency_FON_PH" xfId="652" xr:uid="{00000000-0005-0000-0000-0000A2010000}"/>
    <cellStyle name="_Currency_Company1003" xfId="653" xr:uid="{00000000-0005-0000-0000-0000A3010000}"/>
    <cellStyle name="_Currency_Company1093" xfId="58" xr:uid="{00000000-0005-0000-0000-0000A4010000}"/>
    <cellStyle name="_Currency_Ticker0015_Person0155_Company0610_mod (Working)" xfId="654" xr:uid="{00000000-0005-0000-0000-0000A5010000}"/>
    <cellStyle name="_Currency_Ticker0015_Person0114_MOTMOD" xfId="655" xr:uid="{00000000-0005-0000-0000-0000A6010000}"/>
    <cellStyle name="_Currency_gs_scur_internal " xfId="656" xr:uid="{00000000-0005-0000-0000-0000A7010000}"/>
    <cellStyle name="_Currency_gs_scur_internal  2" xfId="657" xr:uid="{00000000-0005-0000-0000-0000A8010000}"/>
    <cellStyle name="_Currency_Hist Summary" xfId="658" xr:uid="{00000000-0005-0000-0000-0000A9010000}"/>
    <cellStyle name="_Currency_Insurance Brokerage CSC_1Q2002" xfId="59" xr:uid="{00000000-0005-0000-0000-0000AA010000}"/>
    <cellStyle name="_Currency_Company1415" xfId="659" xr:uid="{00000000-0005-0000-0000-0000AB010000}"/>
    <cellStyle name="_Currency_JP" xfId="60" xr:uid="{00000000-0005-0000-0000-0000AC010000}"/>
    <cellStyle name="_Currency_Person0607" xfId="660" xr:uid="{00000000-0005-0000-0000-0000AD010000}"/>
    <cellStyle name="_Currency_Company1563" xfId="61" xr:uid="{00000000-0005-0000-0000-0000AE010000}"/>
    <cellStyle name="_Currency_Machinery group valuation" xfId="661" xr:uid="{00000000-0005-0000-0000-0000AF010000}"/>
    <cellStyle name="_Currency_MET" xfId="62" xr:uid="{00000000-0005-0000-0000-0000B0010000}"/>
    <cellStyle name="_Currency_MET04" xfId="63" xr:uid="{00000000-0005-0000-0000-0000B1010000}"/>
    <cellStyle name="_Currency_MHS" xfId="662" xr:uid="{00000000-0005-0000-0000-0000B2010000}"/>
    <cellStyle name="_Currency_Company1718" xfId="663" xr:uid="{00000000-0005-0000-0000-0000B3010000}"/>
    <cellStyle name="_Currency_MLP Val-Client-10_02_06" xfId="664" xr:uid="{00000000-0005-0000-0000-0000B4010000}"/>
    <cellStyle name="_Currency_NAV" xfId="665" xr:uid="{00000000-0005-0000-0000-0000B5010000}"/>
    <cellStyle name="_Currency_Company1874" xfId="64" xr:uid="{00000000-0005-0000-0000-0000B6010000}"/>
    <cellStyle name="_Currency_Company1897 2005.07.22" xfId="666" xr:uid="{00000000-0005-0000-0000-0000B7010000}"/>
    <cellStyle name="_Currency_Company1920" xfId="667" xr:uid="{00000000-0005-0000-0000-0000B8010000}"/>
    <cellStyle name="_Currency_Company1920 2" xfId="668" xr:uid="{00000000-0005-0000-0000-0000B9010000}"/>
    <cellStyle name="_Currency_Company1920 3" xfId="669" xr:uid="{00000000-0005-0000-0000-0000BA010000}"/>
    <cellStyle name="_Currency_Company1920_AG" xfId="670" xr:uid="{00000000-0005-0000-0000-0000BB010000}"/>
    <cellStyle name="_Currency_Company1920_CNH" xfId="671" xr:uid="{00000000-0005-0000-0000-0000BC010000}"/>
    <cellStyle name="_Currency_Company1920_Company0750" xfId="672" xr:uid="{00000000-0005-0000-0000-0000BD010000}"/>
    <cellStyle name="_Currency_Company1920_Company0886" xfId="673" xr:uid="{00000000-0005-0000-0000-0000BE010000}"/>
    <cellStyle name="_Currency_Company1920_Company1003" xfId="674" xr:uid="{00000000-0005-0000-0000-0000BF010000}"/>
    <cellStyle name="_Currency_Company1920_Company1415" xfId="675" xr:uid="{00000000-0005-0000-0000-0000C0010000}"/>
    <cellStyle name="_Currency_Company1920_Company1718" xfId="676" xr:uid="{00000000-0005-0000-0000-0000C1010000}"/>
    <cellStyle name="_Currency_Company1920_NAV" xfId="677" xr:uid="{00000000-0005-0000-0000-0000C2010000}"/>
    <cellStyle name="_Currency_Company1920_Company1995" xfId="678" xr:uid="{00000000-0005-0000-0000-0000C3010000}"/>
    <cellStyle name="_Currency_Company1920_PCAR" xfId="679" xr:uid="{00000000-0005-0000-0000-0000C4010000}"/>
    <cellStyle name="_Currency_Company1920_PH" xfId="680" xr:uid="{00000000-0005-0000-0000-0000C5010000}"/>
    <cellStyle name="_Currency_Company1995" xfId="681" xr:uid="{00000000-0005-0000-0000-0000C6010000}"/>
    <cellStyle name="_Currency_Overview3" xfId="65" xr:uid="{00000000-0005-0000-0000-0000C7010000}"/>
    <cellStyle name="_Currency_PCAR" xfId="682" xr:uid="{00000000-0005-0000-0000-0000C8010000}"/>
    <cellStyle name="_Currency_PCS" xfId="683" xr:uid="{00000000-0005-0000-0000-0000C9010000}"/>
    <cellStyle name="_Currency_PCS 2" xfId="684" xr:uid="{00000000-0005-0000-0000-0000CA010000}"/>
    <cellStyle name="_Currency_PCS 3" xfId="685" xr:uid="{00000000-0005-0000-0000-0000CB010000}"/>
    <cellStyle name="_Currency_PCS_AG" xfId="686" xr:uid="{00000000-0005-0000-0000-0000CC010000}"/>
    <cellStyle name="_Currency_PCS_CNH" xfId="687" xr:uid="{00000000-0005-0000-0000-0000CD010000}"/>
    <cellStyle name="_Currency_PCS_Company0750" xfId="688" xr:uid="{00000000-0005-0000-0000-0000CE010000}"/>
    <cellStyle name="_Currency_PCS_Company0886" xfId="689" xr:uid="{00000000-0005-0000-0000-0000CF010000}"/>
    <cellStyle name="_Currency_PCS_Company1003" xfId="690" xr:uid="{00000000-0005-0000-0000-0000D0010000}"/>
    <cellStyle name="_Currency_PCS_Company1415" xfId="691" xr:uid="{00000000-0005-0000-0000-0000D1010000}"/>
    <cellStyle name="_Currency_PCS_Company1718" xfId="692" xr:uid="{00000000-0005-0000-0000-0000D2010000}"/>
    <cellStyle name="_Currency_PCS_NAV" xfId="693" xr:uid="{00000000-0005-0000-0000-0000D3010000}"/>
    <cellStyle name="_Currency_PCS_Company1995" xfId="694" xr:uid="{00000000-0005-0000-0000-0000D4010000}"/>
    <cellStyle name="_Currency_PCS_PCAR" xfId="695" xr:uid="{00000000-0005-0000-0000-0000D5010000}"/>
    <cellStyle name="_Currency_PCS_PH" xfId="696" xr:uid="{00000000-0005-0000-0000-0000D6010000}"/>
    <cellStyle name="_Currency_PH" xfId="697" xr:uid="{00000000-0005-0000-0000-0000D7010000}"/>
    <cellStyle name="_Currency_phil data" xfId="66" xr:uid="{00000000-0005-0000-0000-0000D8010000}"/>
    <cellStyle name="_Currency_Price Performance Charts" xfId="67" xr:uid="{00000000-0005-0000-0000-0000D9010000}"/>
    <cellStyle name="_Currency_Company2120" xfId="68" xr:uid="{00000000-0005-0000-0000-0000DA010000}"/>
    <cellStyle name="_Currency_PRU04" xfId="69" xr:uid="{00000000-0005-0000-0000-0000DB010000}"/>
    <cellStyle name="_Currency_RBOC historicals" xfId="698" xr:uid="{00000000-0005-0000-0000-0000DC010000}"/>
    <cellStyle name="_Currency_RBOC historicals 2" xfId="699" xr:uid="{00000000-0005-0000-0000-0000DD010000}"/>
    <cellStyle name="_Currency_RBOC historicals 3" xfId="700" xr:uid="{00000000-0005-0000-0000-0000DE010000}"/>
    <cellStyle name="_Currency_RBOC historicals_AG" xfId="701" xr:uid="{00000000-0005-0000-0000-0000DF010000}"/>
    <cellStyle name="_Currency_RBOC historicals_CNH" xfId="702" xr:uid="{00000000-0005-0000-0000-0000E0010000}"/>
    <cellStyle name="_Currency_RBOC historicals_Company0750" xfId="703" xr:uid="{00000000-0005-0000-0000-0000E1010000}"/>
    <cellStyle name="_Currency_RBOC historicals_Company0886" xfId="704" xr:uid="{00000000-0005-0000-0000-0000E2010000}"/>
    <cellStyle name="_Currency_RBOC historicals_Company1003" xfId="705" xr:uid="{00000000-0005-0000-0000-0000E3010000}"/>
    <cellStyle name="_Currency_RBOC historicals_Company1415" xfId="706" xr:uid="{00000000-0005-0000-0000-0000E4010000}"/>
    <cellStyle name="_Currency_RBOC historicals_Company1718" xfId="707" xr:uid="{00000000-0005-0000-0000-0000E5010000}"/>
    <cellStyle name="_Currency_RBOC historicals_NAV" xfId="708" xr:uid="{00000000-0005-0000-0000-0000E6010000}"/>
    <cellStyle name="_Currency_RBOC historicals_Company1995" xfId="709" xr:uid="{00000000-0005-0000-0000-0000E7010000}"/>
    <cellStyle name="_Currency_RBOC historicals_PCAR" xfId="710" xr:uid="{00000000-0005-0000-0000-0000E8010000}"/>
    <cellStyle name="_Currency_RBOC historicals_PH" xfId="711" xr:uid="{00000000-0005-0000-0000-0000E9010000}"/>
    <cellStyle name="_Currency_RiskReward" xfId="70" xr:uid="{00000000-0005-0000-0000-0000EA010000}"/>
    <cellStyle name="_Currency_SFG" xfId="71" xr:uid="{00000000-0005-0000-0000-0000EB010000}"/>
    <cellStyle name="_Currency_Sheet1" xfId="72" xr:uid="{00000000-0005-0000-0000-0000EC010000}"/>
    <cellStyle name="_Currency_Sheet1 2" xfId="712" xr:uid="{00000000-0005-0000-0000-0000ED010000}"/>
    <cellStyle name="_Currency_Sheet1 3" xfId="3379" xr:uid="{00000000-0005-0000-0000-0000EE010000}"/>
    <cellStyle name="_Currency_Sheet1 4" xfId="3525" xr:uid="{00000000-0005-0000-0000-0000EF010000}"/>
    <cellStyle name="_Currency_SOP" xfId="713" xr:uid="{00000000-0005-0000-0000-0000F0010000}"/>
    <cellStyle name="_Currency_SRE" xfId="714" xr:uid="{00000000-0005-0000-0000-0000F1010000}"/>
    <cellStyle name="_Currency_SRE Working" xfId="715" xr:uid="{00000000-0005-0000-0000-0000F2010000}"/>
    <cellStyle name="_Currency_Stock-QTR1 FDS" xfId="73" xr:uid="{00000000-0005-0000-0000-0000F3010000}"/>
    <cellStyle name="_Currency_symcqtis" xfId="716" xr:uid="{00000000-0005-0000-0000-0000F4010000}"/>
    <cellStyle name="_Currency_T - new" xfId="717" xr:uid="{00000000-0005-0000-0000-0000F5010000}"/>
    <cellStyle name="_Currency_T - new 2" xfId="718" xr:uid="{00000000-0005-0000-0000-0000F6010000}"/>
    <cellStyle name="_Currency_T - new 3" xfId="719" xr:uid="{00000000-0005-0000-0000-0000F7010000}"/>
    <cellStyle name="_Currency_T - new_AG" xfId="720" xr:uid="{00000000-0005-0000-0000-0000F8010000}"/>
    <cellStyle name="_Currency_T - new_CNH" xfId="721" xr:uid="{00000000-0005-0000-0000-0000F9010000}"/>
    <cellStyle name="_Currency_T - new_Company0750" xfId="722" xr:uid="{00000000-0005-0000-0000-0000FA010000}"/>
    <cellStyle name="_Currency_T - new_Company0886" xfId="723" xr:uid="{00000000-0005-0000-0000-0000FB010000}"/>
    <cellStyle name="_Currency_T - new_Company1003" xfId="724" xr:uid="{00000000-0005-0000-0000-0000FC010000}"/>
    <cellStyle name="_Currency_T - new_Company1415" xfId="725" xr:uid="{00000000-0005-0000-0000-0000FD010000}"/>
    <cellStyle name="_Currency_T - new_Company1718" xfId="726" xr:uid="{00000000-0005-0000-0000-0000FE010000}"/>
    <cellStyle name="_Currency_T - new_NAV" xfId="727" xr:uid="{00000000-0005-0000-0000-0000FF010000}"/>
    <cellStyle name="_Currency_T - new_Company1995" xfId="728" xr:uid="{00000000-0005-0000-0000-000000020000}"/>
    <cellStyle name="_Currency_T - new_PCAR" xfId="729" xr:uid="{00000000-0005-0000-0000-000001020000}"/>
    <cellStyle name="_Currency_T - new_PH" xfId="730" xr:uid="{00000000-0005-0000-0000-000002020000}"/>
    <cellStyle name="_Currency_Company2661" xfId="74" xr:uid="{00000000-0005-0000-0000-000003020000}"/>
    <cellStyle name="_Currency_Updated Valuation Changes" xfId="75" xr:uid="{00000000-0005-0000-0000-000004020000}"/>
    <cellStyle name="_Currency_Val Sheets" xfId="731" xr:uid="{00000000-0005-0000-0000-000005020000}"/>
    <cellStyle name="_Currency_Valuation Graphs" xfId="76" xr:uid="{00000000-0005-0000-0000-000006020000}"/>
    <cellStyle name="_Currency_VZ" xfId="732" xr:uid="{00000000-0005-0000-0000-000007020000}"/>
    <cellStyle name="_Currency_VZ 2" xfId="733" xr:uid="{00000000-0005-0000-0000-000008020000}"/>
    <cellStyle name="_Currency_VZ 3" xfId="734" xr:uid="{00000000-0005-0000-0000-000009020000}"/>
    <cellStyle name="_Currency_VZ_AG" xfId="735" xr:uid="{00000000-0005-0000-0000-00000A020000}"/>
    <cellStyle name="_Currency_VZ_CNH" xfId="736" xr:uid="{00000000-0005-0000-0000-00000B020000}"/>
    <cellStyle name="_Currency_VZ_Company0750" xfId="737" xr:uid="{00000000-0005-0000-0000-00000C020000}"/>
    <cellStyle name="_Currency_VZ_Company0886" xfId="738" xr:uid="{00000000-0005-0000-0000-00000D020000}"/>
    <cellStyle name="_Currency_VZ_Company1003" xfId="739" xr:uid="{00000000-0005-0000-0000-00000E020000}"/>
    <cellStyle name="_Currency_VZ_Company1415" xfId="740" xr:uid="{00000000-0005-0000-0000-00000F020000}"/>
    <cellStyle name="_Currency_VZ_Company1718" xfId="741" xr:uid="{00000000-0005-0000-0000-000010020000}"/>
    <cellStyle name="_Currency_VZ_NAV" xfId="742" xr:uid="{00000000-0005-0000-0000-000011020000}"/>
    <cellStyle name="_Currency_VZ_Company1995" xfId="743" xr:uid="{00000000-0005-0000-0000-000012020000}"/>
    <cellStyle name="_Currency_VZ_PCAR" xfId="744" xr:uid="{00000000-0005-0000-0000-000013020000}"/>
    <cellStyle name="_Currency_VZ_PH" xfId="745" xr:uid="{00000000-0005-0000-0000-000014020000}"/>
    <cellStyle name="_Currency_Company2891" xfId="746" xr:uid="{00000000-0005-0000-0000-000015020000}"/>
    <cellStyle name="_Currency_Company2891 2" xfId="747" xr:uid="{00000000-0005-0000-0000-000016020000}"/>
    <cellStyle name="_Currency_Company2891 3" xfId="748" xr:uid="{00000000-0005-0000-0000-000017020000}"/>
    <cellStyle name="_Currency_Company2891_AG" xfId="749" xr:uid="{00000000-0005-0000-0000-000018020000}"/>
    <cellStyle name="_Currency_Company2891_CNH" xfId="750" xr:uid="{00000000-0005-0000-0000-000019020000}"/>
    <cellStyle name="_Currency_Company2891_Company0750" xfId="751" xr:uid="{00000000-0005-0000-0000-00001A020000}"/>
    <cellStyle name="_Currency_Company2891_Company0886" xfId="752" xr:uid="{00000000-0005-0000-0000-00001B020000}"/>
    <cellStyle name="_Currency_Company2891_Company1003" xfId="753" xr:uid="{00000000-0005-0000-0000-00001C020000}"/>
    <cellStyle name="_Currency_Company2891_Company1415" xfId="754" xr:uid="{00000000-0005-0000-0000-00001D020000}"/>
    <cellStyle name="_Currency_Company2891_Company1718" xfId="755" xr:uid="{00000000-0005-0000-0000-00001E020000}"/>
    <cellStyle name="_Currency_Company2891_NAV" xfId="756" xr:uid="{00000000-0005-0000-0000-00001F020000}"/>
    <cellStyle name="_Currency_Company2891_Company1995" xfId="757" xr:uid="{00000000-0005-0000-0000-000020020000}"/>
    <cellStyle name="_Currency_Company2891_PCAR" xfId="758" xr:uid="{00000000-0005-0000-0000-000021020000}"/>
    <cellStyle name="_Currency_Company2891_PH" xfId="759" xr:uid="{00000000-0005-0000-0000-000022020000}"/>
    <cellStyle name="_Currency_WFT published 1-30-07 Client version (2)" xfId="760" xr:uid="{00000000-0005-0000-0000-000023020000}"/>
    <cellStyle name="_Currency_WFT published 1-30-07 Client version (2) 2" xfId="761" xr:uid="{00000000-0005-0000-0000-000024020000}"/>
    <cellStyle name="_Currency_xratio - historical mkt val" xfId="77" xr:uid="{00000000-0005-0000-0000-000025020000}"/>
    <cellStyle name="_CurrencySpace" xfId="78" xr:uid="{00000000-0005-0000-0000-000026020000}"/>
    <cellStyle name="_CurrencySpace 2" xfId="762" xr:uid="{00000000-0005-0000-0000-000027020000}"/>
    <cellStyle name="_CurrencySpace 2 2" xfId="3274" xr:uid="{00000000-0005-0000-0000-000028020000}"/>
    <cellStyle name="_CurrencySpace 2 3" xfId="3110" xr:uid="{00000000-0005-0000-0000-000029020000}"/>
    <cellStyle name="_CurrencySpace 2 4" xfId="3052" xr:uid="{00000000-0005-0000-0000-00002A020000}"/>
    <cellStyle name="_CurrencySpace 3" xfId="3053" xr:uid="{00000000-0005-0000-0000-00002B020000}"/>
    <cellStyle name="_CurrencySpace 4" xfId="3054" xr:uid="{00000000-0005-0000-0000-00002C020000}"/>
    <cellStyle name="_CurrencySpace 5" xfId="3273" xr:uid="{00000000-0005-0000-0000-00002D020000}"/>
    <cellStyle name="_CurrencySpace 6" xfId="3109" xr:uid="{00000000-0005-0000-0000-00002E020000}"/>
    <cellStyle name="_CurrencySpace 7" xfId="3051" xr:uid="{00000000-0005-0000-0000-00002F020000}"/>
    <cellStyle name="_CurrencySpace_01 adj for merger plan" xfId="79" xr:uid="{00000000-0005-0000-0000-000030020000}"/>
    <cellStyle name="_CurrencySpace_Ability to Pay Analysis" xfId="80" xr:uid="{00000000-0005-0000-0000-000031020000}"/>
    <cellStyle name="_CurrencySpace_AFL" xfId="81" xr:uid="{00000000-0005-0000-0000-000032020000}"/>
    <cellStyle name="_CurrencySpace_Company0064" xfId="82" xr:uid="{00000000-0005-0000-0000-000033020000}"/>
    <cellStyle name="_CurrencySpace_AMP" xfId="83" xr:uid="{00000000-0005-0000-0000-000034020000}"/>
    <cellStyle name="_CurrencySpace_Balance Sheet" xfId="84" xr:uid="{00000000-0005-0000-0000-000035020000}"/>
    <cellStyle name="_CurrencySpace_BHI" xfId="763" xr:uid="{00000000-0005-0000-0000-000036020000}"/>
    <cellStyle name="_CurrencySpace_BHI 2" xfId="764" xr:uid="{00000000-0005-0000-0000-000037020000}"/>
    <cellStyle name="_CurrencySpace_BHI 3" xfId="765" xr:uid="{00000000-0005-0000-0000-000038020000}"/>
    <cellStyle name="_CurrencySpace_BHI_AG" xfId="766" xr:uid="{00000000-0005-0000-0000-000039020000}"/>
    <cellStyle name="_CurrencySpace_BHI_CNH" xfId="767" xr:uid="{00000000-0005-0000-0000-00003A020000}"/>
    <cellStyle name="_CurrencySpace_BHI_Company0750" xfId="768" xr:uid="{00000000-0005-0000-0000-00003B020000}"/>
    <cellStyle name="_CurrencySpace_BHI_Company0886" xfId="769" xr:uid="{00000000-0005-0000-0000-00003C020000}"/>
    <cellStyle name="_CurrencySpace_BHI_Company1003" xfId="770" xr:uid="{00000000-0005-0000-0000-00003D020000}"/>
    <cellStyle name="_CurrencySpace_BHI_Company1415" xfId="771" xr:uid="{00000000-0005-0000-0000-00003E020000}"/>
    <cellStyle name="_CurrencySpace_BHI_Company1718" xfId="772" xr:uid="{00000000-0005-0000-0000-00003F020000}"/>
    <cellStyle name="_CurrencySpace_BHI_NAV" xfId="773" xr:uid="{00000000-0005-0000-0000-000040020000}"/>
    <cellStyle name="_CurrencySpace_BHI_Company1995" xfId="774" xr:uid="{00000000-0005-0000-0000-000041020000}"/>
    <cellStyle name="_CurrencySpace_BHI_PCAR" xfId="775" xr:uid="{00000000-0005-0000-0000-000042020000}"/>
    <cellStyle name="_CurrencySpace_BHI_PH" xfId="776" xr:uid="{00000000-0005-0000-0000-000043020000}"/>
    <cellStyle name="_CurrencySpace_bls roic" xfId="777" xr:uid="{00000000-0005-0000-0000-000044020000}"/>
    <cellStyle name="_CurrencySpace_bls roic 2" xfId="778" xr:uid="{00000000-0005-0000-0000-000045020000}"/>
    <cellStyle name="_CurrencySpace_bls roic 3" xfId="779" xr:uid="{00000000-0005-0000-0000-000046020000}"/>
    <cellStyle name="_CurrencySpace_bls roic_AG" xfId="780" xr:uid="{00000000-0005-0000-0000-000047020000}"/>
    <cellStyle name="_CurrencySpace_bls roic_CNH" xfId="781" xr:uid="{00000000-0005-0000-0000-000048020000}"/>
    <cellStyle name="_CurrencySpace_bls roic_Company0750" xfId="782" xr:uid="{00000000-0005-0000-0000-000049020000}"/>
    <cellStyle name="_CurrencySpace_bls roic_Company0886" xfId="783" xr:uid="{00000000-0005-0000-0000-00004A020000}"/>
    <cellStyle name="_CurrencySpace_bls roic_Company1003" xfId="784" xr:uid="{00000000-0005-0000-0000-00004B020000}"/>
    <cellStyle name="_CurrencySpace_bls roic_Company1415" xfId="785" xr:uid="{00000000-0005-0000-0000-00004C020000}"/>
    <cellStyle name="_CurrencySpace_bls roic_Company1718" xfId="786" xr:uid="{00000000-0005-0000-0000-00004D020000}"/>
    <cellStyle name="_CurrencySpace_bls roic_NAV" xfId="787" xr:uid="{00000000-0005-0000-0000-00004E020000}"/>
    <cellStyle name="_CurrencySpace_bls roic_Company1995" xfId="788" xr:uid="{00000000-0005-0000-0000-00004F020000}"/>
    <cellStyle name="_CurrencySpace_bls roic_PCAR" xfId="789" xr:uid="{00000000-0005-0000-0000-000050020000}"/>
    <cellStyle name="_CurrencySpace_bls roic_PH" xfId="790" xr:uid="{00000000-0005-0000-0000-000051020000}"/>
    <cellStyle name="_CurrencySpace_Book1" xfId="85" xr:uid="{00000000-0005-0000-0000-000052020000}"/>
    <cellStyle name="_CurrencySpace_Book29" xfId="86" xr:uid="{00000000-0005-0000-0000-000053020000}"/>
    <cellStyle name="_CurrencySpace_Book3" xfId="87" xr:uid="{00000000-0005-0000-0000-000054020000}"/>
    <cellStyle name="_CurrencySpace_Book3 2" xfId="791" xr:uid="{00000000-0005-0000-0000-000055020000}"/>
    <cellStyle name="_CurrencySpace_Book3 3" xfId="3380" xr:uid="{00000000-0005-0000-0000-000056020000}"/>
    <cellStyle name="_CurrencySpace_Book3 4" xfId="3526" xr:uid="{00000000-0005-0000-0000-000057020000}"/>
    <cellStyle name="_CurrencySpace_Book3_1" xfId="88" xr:uid="{00000000-0005-0000-0000-000058020000}"/>
    <cellStyle name="_CurrencySpace_Broadcasting" xfId="792" xr:uid="{00000000-0005-0000-0000-000059020000}"/>
    <cellStyle name="_CurrencySpace_capital expenditures 6-18-02" xfId="793" xr:uid="{00000000-0005-0000-0000-00005A020000}"/>
    <cellStyle name="_CurrencySpace_capital expenditures 6-18-02 2" xfId="794" xr:uid="{00000000-0005-0000-0000-00005B020000}"/>
    <cellStyle name="_CurrencySpace_capital expenditures 6-18-02 3" xfId="795" xr:uid="{00000000-0005-0000-0000-00005C020000}"/>
    <cellStyle name="_CurrencySpace_capital expenditures 6-18-02_AG" xfId="796" xr:uid="{00000000-0005-0000-0000-00005D020000}"/>
    <cellStyle name="_CurrencySpace_capital expenditures 6-18-02_CNH" xfId="797" xr:uid="{00000000-0005-0000-0000-00005E020000}"/>
    <cellStyle name="_CurrencySpace_capital expenditures 6-18-02_Company0750" xfId="798" xr:uid="{00000000-0005-0000-0000-00005F020000}"/>
    <cellStyle name="_CurrencySpace_capital expenditures 6-18-02_Company0886" xfId="799" xr:uid="{00000000-0005-0000-0000-000060020000}"/>
    <cellStyle name="_CurrencySpace_capital expenditures 6-18-02_Company1003" xfId="800" xr:uid="{00000000-0005-0000-0000-000061020000}"/>
    <cellStyle name="_CurrencySpace_capital expenditures 6-18-02_Company1415" xfId="801" xr:uid="{00000000-0005-0000-0000-000062020000}"/>
    <cellStyle name="_CurrencySpace_capital expenditures 6-18-02_Company1718" xfId="802" xr:uid="{00000000-0005-0000-0000-000063020000}"/>
    <cellStyle name="_CurrencySpace_capital expenditures 6-18-02_NAV" xfId="803" xr:uid="{00000000-0005-0000-0000-000064020000}"/>
    <cellStyle name="_CurrencySpace_capital expenditures 6-18-02_Company1995" xfId="804" xr:uid="{00000000-0005-0000-0000-000065020000}"/>
    <cellStyle name="_CurrencySpace_capital expenditures 6-18-02_PCAR" xfId="805" xr:uid="{00000000-0005-0000-0000-000066020000}"/>
    <cellStyle name="_CurrencySpace_capital expenditures 6-18-02_PH" xfId="806" xr:uid="{00000000-0005-0000-0000-000067020000}"/>
    <cellStyle name="_CurrencySpace_Company0529" xfId="89" xr:uid="{00000000-0005-0000-0000-000068020000}"/>
    <cellStyle name="_CurrencySpace_Company0689" xfId="807" xr:uid="{00000000-0005-0000-0000-000069020000}"/>
    <cellStyle name="_CurrencySpace_CRO 3Q group metrics 12-22-03 for reports" xfId="808" xr:uid="{00000000-0005-0000-0000-00006A020000}"/>
    <cellStyle name="_CurrencySpace_CRO comp metrics 4Q03 2-18-04 send out" xfId="809" xr:uid="{00000000-0005-0000-0000-00006B020000}"/>
    <cellStyle name="_CurrencySpace_Data" xfId="810" xr:uid="{00000000-0005-0000-0000-00006C020000}"/>
    <cellStyle name="_CurrencySpace_DCF Alexander Person0382" xfId="90" xr:uid="{00000000-0005-0000-0000-00006D020000}"/>
    <cellStyle name="_CurrencySpace_dcf_1" xfId="811" xr:uid="{00000000-0005-0000-0000-00006E020000}"/>
    <cellStyle name="_CurrencySpace_Company0764" xfId="812" xr:uid="{00000000-0005-0000-0000-00006F020000}"/>
    <cellStyle name="_CurrencySpace_ED 2005.08.01" xfId="813" xr:uid="{00000000-0005-0000-0000-000070020000}"/>
    <cellStyle name="_CurrencySpace_fmbi counties" xfId="91" xr:uid="{00000000-0005-0000-0000-000071020000}"/>
    <cellStyle name="_CurrencySpace_FMBI MBHI Graphs" xfId="92" xr:uid="{00000000-0005-0000-0000-000072020000}"/>
    <cellStyle name="_CurrencySpace_FMBI MBHI Graphs 07102001" xfId="93" xr:uid="{00000000-0005-0000-0000-000073020000}"/>
    <cellStyle name="_CurrencySpace_FMBI MBHI Graphs_7601" xfId="94" xr:uid="{00000000-0005-0000-0000-000074020000}"/>
    <cellStyle name="_CurrencySpace_Company1093" xfId="95" xr:uid="{00000000-0005-0000-0000-000075020000}"/>
    <cellStyle name="_CurrencySpace_Insurance Brokerage CSC_1Q2002" xfId="96" xr:uid="{00000000-0005-0000-0000-000076020000}"/>
    <cellStyle name="_CurrencySpace_JP" xfId="97" xr:uid="{00000000-0005-0000-0000-000077020000}"/>
    <cellStyle name="_CurrencySpace_Person0607" xfId="814" xr:uid="{00000000-0005-0000-0000-000078020000}"/>
    <cellStyle name="_CurrencySpace_Company1563" xfId="98" xr:uid="{00000000-0005-0000-0000-000079020000}"/>
    <cellStyle name="_CurrencySpace_MET" xfId="99" xr:uid="{00000000-0005-0000-0000-00007A020000}"/>
    <cellStyle name="_CurrencySpace_MET04" xfId="100" xr:uid="{00000000-0005-0000-0000-00007B020000}"/>
    <cellStyle name="_CurrencySpace_MHS" xfId="815" xr:uid="{00000000-0005-0000-0000-00007C020000}"/>
    <cellStyle name="_CurrencySpace_MLP Val-Client-10_02_06" xfId="816" xr:uid="{00000000-0005-0000-0000-00007D020000}"/>
    <cellStyle name="_CurrencySpace_Company1874" xfId="101" xr:uid="{00000000-0005-0000-0000-00007E020000}"/>
    <cellStyle name="_CurrencySpace_Company1897 2005.07.22" xfId="817" xr:uid="{00000000-0005-0000-0000-00007F020000}"/>
    <cellStyle name="_CurrencySpace_Overview3" xfId="102" xr:uid="{00000000-0005-0000-0000-000080020000}"/>
    <cellStyle name="_CurrencySpace_phil data" xfId="103" xr:uid="{00000000-0005-0000-0000-000081020000}"/>
    <cellStyle name="_CurrencySpace_Price Performance Charts" xfId="104" xr:uid="{00000000-0005-0000-0000-000082020000}"/>
    <cellStyle name="_CurrencySpace_Company2120" xfId="105" xr:uid="{00000000-0005-0000-0000-000083020000}"/>
    <cellStyle name="_CurrencySpace_PRU04" xfId="106" xr:uid="{00000000-0005-0000-0000-000084020000}"/>
    <cellStyle name="_CurrencySpace_RATLqtis" xfId="818" xr:uid="{00000000-0005-0000-0000-000085020000}"/>
    <cellStyle name="_CurrencySpace_RBOC historicals" xfId="819" xr:uid="{00000000-0005-0000-0000-000086020000}"/>
    <cellStyle name="_CurrencySpace_RBOC historicals 2" xfId="820" xr:uid="{00000000-0005-0000-0000-000087020000}"/>
    <cellStyle name="_CurrencySpace_RBOC historicals 3" xfId="821" xr:uid="{00000000-0005-0000-0000-000088020000}"/>
    <cellStyle name="_CurrencySpace_RBOC historicals_AG" xfId="822" xr:uid="{00000000-0005-0000-0000-000089020000}"/>
    <cellStyle name="_CurrencySpace_RBOC historicals_CNH" xfId="823" xr:uid="{00000000-0005-0000-0000-00008A020000}"/>
    <cellStyle name="_CurrencySpace_RBOC historicals_Company0750" xfId="824" xr:uid="{00000000-0005-0000-0000-00008B020000}"/>
    <cellStyle name="_CurrencySpace_RBOC historicals_Company0886" xfId="825" xr:uid="{00000000-0005-0000-0000-00008C020000}"/>
    <cellStyle name="_CurrencySpace_RBOC historicals_Company1003" xfId="826" xr:uid="{00000000-0005-0000-0000-00008D020000}"/>
    <cellStyle name="_CurrencySpace_RBOC historicals_Company1415" xfId="827" xr:uid="{00000000-0005-0000-0000-00008E020000}"/>
    <cellStyle name="_CurrencySpace_RBOC historicals_Company1718" xfId="828" xr:uid="{00000000-0005-0000-0000-00008F020000}"/>
    <cellStyle name="_CurrencySpace_RBOC historicals_NAV" xfId="829" xr:uid="{00000000-0005-0000-0000-000090020000}"/>
    <cellStyle name="_CurrencySpace_RBOC historicals_Company1995" xfId="830" xr:uid="{00000000-0005-0000-0000-000091020000}"/>
    <cellStyle name="_CurrencySpace_RBOC historicals_PCAR" xfId="831" xr:uid="{00000000-0005-0000-0000-000092020000}"/>
    <cellStyle name="_CurrencySpace_RBOC historicals_PH" xfId="832" xr:uid="{00000000-0005-0000-0000-000093020000}"/>
    <cellStyle name="_CurrencySpace_RiskReward" xfId="107" xr:uid="{00000000-0005-0000-0000-000094020000}"/>
    <cellStyle name="_CurrencySpace_SFG" xfId="108" xr:uid="{00000000-0005-0000-0000-000095020000}"/>
    <cellStyle name="_CurrencySpace_Sheet1" xfId="109" xr:uid="{00000000-0005-0000-0000-000096020000}"/>
    <cellStyle name="_CurrencySpace_Sheet1 2" xfId="833" xr:uid="{00000000-0005-0000-0000-000097020000}"/>
    <cellStyle name="_CurrencySpace_Sheet1 3" xfId="3381" xr:uid="{00000000-0005-0000-0000-000098020000}"/>
    <cellStyle name="_CurrencySpace_Sheet1 4" xfId="3527" xr:uid="{00000000-0005-0000-0000-000099020000}"/>
    <cellStyle name="_CurrencySpace_SOP" xfId="834" xr:uid="{00000000-0005-0000-0000-00009A020000}"/>
    <cellStyle name="_CurrencySpace_SRE" xfId="835" xr:uid="{00000000-0005-0000-0000-00009B020000}"/>
    <cellStyle name="_CurrencySpace_SRE Working" xfId="836" xr:uid="{00000000-0005-0000-0000-00009C020000}"/>
    <cellStyle name="_CurrencySpace_Stock-QTR1 FDS" xfId="110" xr:uid="{00000000-0005-0000-0000-00009D020000}"/>
    <cellStyle name="_CurrencySpace_T - new" xfId="837" xr:uid="{00000000-0005-0000-0000-00009E020000}"/>
    <cellStyle name="_CurrencySpace_T - new 2" xfId="838" xr:uid="{00000000-0005-0000-0000-00009F020000}"/>
    <cellStyle name="_CurrencySpace_T - new 3" xfId="839" xr:uid="{00000000-0005-0000-0000-0000A0020000}"/>
    <cellStyle name="_CurrencySpace_T - new_AG" xfId="840" xr:uid="{00000000-0005-0000-0000-0000A1020000}"/>
    <cellStyle name="_CurrencySpace_T - new_CNH" xfId="841" xr:uid="{00000000-0005-0000-0000-0000A2020000}"/>
    <cellStyle name="_CurrencySpace_T - new_Company0750" xfId="842" xr:uid="{00000000-0005-0000-0000-0000A3020000}"/>
    <cellStyle name="_CurrencySpace_T - new_Company0886" xfId="843" xr:uid="{00000000-0005-0000-0000-0000A4020000}"/>
    <cellStyle name="_CurrencySpace_T - new_Company1003" xfId="844" xr:uid="{00000000-0005-0000-0000-0000A5020000}"/>
    <cellStyle name="_CurrencySpace_T - new_Company1415" xfId="845" xr:uid="{00000000-0005-0000-0000-0000A6020000}"/>
    <cellStyle name="_CurrencySpace_T - new_Company1718" xfId="846" xr:uid="{00000000-0005-0000-0000-0000A7020000}"/>
    <cellStyle name="_CurrencySpace_T - new_NAV" xfId="847" xr:uid="{00000000-0005-0000-0000-0000A8020000}"/>
    <cellStyle name="_CurrencySpace_T - new_Company1995" xfId="848" xr:uid="{00000000-0005-0000-0000-0000A9020000}"/>
    <cellStyle name="_CurrencySpace_T - new_PCAR" xfId="849" xr:uid="{00000000-0005-0000-0000-0000AA020000}"/>
    <cellStyle name="_CurrencySpace_T - new_PH" xfId="850" xr:uid="{00000000-0005-0000-0000-0000AB020000}"/>
    <cellStyle name="_CurrencySpace_Company2661" xfId="111" xr:uid="{00000000-0005-0000-0000-0000AC020000}"/>
    <cellStyle name="_CurrencySpace_Updated Valuation Changes" xfId="112" xr:uid="{00000000-0005-0000-0000-0000AD020000}"/>
    <cellStyle name="_CurrencySpace_Val Sheets" xfId="851" xr:uid="{00000000-0005-0000-0000-0000AE020000}"/>
    <cellStyle name="_CurrencySpace_Valuation Graphs" xfId="113" xr:uid="{00000000-0005-0000-0000-0000AF020000}"/>
    <cellStyle name="_CurrencySpace_WFT published 1-30-07 Client version (2)" xfId="852" xr:uid="{00000000-0005-0000-0000-0000B0020000}"/>
    <cellStyle name="_CurrencySpace_WFT published 1-30-07 Client version (2) 2" xfId="853" xr:uid="{00000000-0005-0000-0000-0000B1020000}"/>
    <cellStyle name="_CurrencySpace_xratio - historical mkt val" xfId="114" xr:uid="{00000000-0005-0000-0000-0000B2020000}"/>
    <cellStyle name="_DCF" xfId="854" xr:uid="{00000000-0005-0000-0000-0000B3020000}"/>
    <cellStyle name="_Dollar" xfId="115" xr:uid="{00000000-0005-0000-0000-0000B4020000}"/>
    <cellStyle name="—_EM-HTI" xfId="855" xr:uid="{00000000-0005-0000-0000-0000B5020000}"/>
    <cellStyle name="—_EM-HTI_Company0063_EROCE" xfId="856" xr:uid="{00000000-0005-0000-0000-0000B6020000}"/>
    <cellStyle name="—_EM-HTI_Company2047_EROCE" xfId="857" xr:uid="{00000000-0005-0000-0000-0000B7020000}"/>
    <cellStyle name="—_Company0854" xfId="858" xr:uid="{00000000-0005-0000-0000-0000B8020000}"/>
    <cellStyle name="—_Company0855_old" xfId="859" xr:uid="{00000000-0005-0000-0000-0000B9020000}"/>
    <cellStyle name="—_Company0855_old_EM-HTI" xfId="860" xr:uid="{00000000-0005-0000-0000-0000BA020000}"/>
    <cellStyle name="—_Company0855_old_EM-HTI_Company0063_EROCE" xfId="861" xr:uid="{00000000-0005-0000-0000-0000BB020000}"/>
    <cellStyle name="—_Company0855_old_EM-HTI_Company2047_EROCE" xfId="862" xr:uid="{00000000-0005-0000-0000-0000BC020000}"/>
    <cellStyle name="_Euro" xfId="116" xr:uid="{00000000-0005-0000-0000-0000BD020000}"/>
    <cellStyle name="_Euro 2" xfId="864" xr:uid="{00000000-0005-0000-0000-0000BE020000}"/>
    <cellStyle name="_Euro 2 2" xfId="3275" xr:uid="{00000000-0005-0000-0000-0000BF020000}"/>
    <cellStyle name="_Euro 2 3" xfId="3111" xr:uid="{00000000-0005-0000-0000-0000C0020000}"/>
    <cellStyle name="_Euro 2 4" xfId="3055" xr:uid="{00000000-0005-0000-0000-0000C1020000}"/>
    <cellStyle name="_Euro 3" xfId="865" xr:uid="{00000000-0005-0000-0000-0000C2020000}"/>
    <cellStyle name="_Euro 4" xfId="863" xr:uid="{00000000-0005-0000-0000-0000C3020000}"/>
    <cellStyle name="_Euro 5" xfId="3425" xr:uid="{00000000-0005-0000-0000-0000C4020000}"/>
    <cellStyle name="_Euro 6" xfId="3382" xr:uid="{00000000-0005-0000-0000-0000C5020000}"/>
    <cellStyle name="_Euro_AG" xfId="866" xr:uid="{00000000-0005-0000-0000-0000C6020000}"/>
    <cellStyle name="_Euro_CNH" xfId="867" xr:uid="{00000000-0005-0000-0000-0000C7020000}"/>
    <cellStyle name="_Euro_Company0689" xfId="868" xr:uid="{00000000-0005-0000-0000-0000C8020000}"/>
    <cellStyle name="_Euro_Company0750" xfId="869" xr:uid="{00000000-0005-0000-0000-0000C9020000}"/>
    <cellStyle name="_Euro_Company0886" xfId="870" xr:uid="{00000000-0005-0000-0000-0000CA020000}"/>
    <cellStyle name="_Euro_Company1003" xfId="871" xr:uid="{00000000-0005-0000-0000-0000CB020000}"/>
    <cellStyle name="_Euro_Company1415" xfId="872" xr:uid="{00000000-0005-0000-0000-0000CC020000}"/>
    <cellStyle name="_Euro_Company1718" xfId="873" xr:uid="{00000000-0005-0000-0000-0000CD020000}"/>
    <cellStyle name="_Euro_NAV" xfId="874" xr:uid="{00000000-0005-0000-0000-0000CE020000}"/>
    <cellStyle name="_Euro_Company1995" xfId="875" xr:uid="{00000000-0005-0000-0000-0000CF020000}"/>
    <cellStyle name="_Euro_PCAR" xfId="876" xr:uid="{00000000-0005-0000-0000-0000D0020000}"/>
    <cellStyle name="_Euro_PH" xfId="877" xr:uid="{00000000-0005-0000-0000-0000D1020000}"/>
    <cellStyle name="_Euro_Request Template" xfId="878" xr:uid="{00000000-0005-0000-0000-0000D2020000}"/>
    <cellStyle name="_Euro_Request Template 2" xfId="879" xr:uid="{00000000-0005-0000-0000-0000D3020000}"/>
    <cellStyle name="—_Ticker0015 Assumptions-F" xfId="880" xr:uid="{00000000-0005-0000-0000-0000D4020000}"/>
    <cellStyle name="—_Ticker0015_Balance" xfId="881" xr:uid="{00000000-0005-0000-0000-0000D5020000}"/>
    <cellStyle name="—_Ticker0015_Cash " xfId="882" xr:uid="{00000000-0005-0000-0000-0000D6020000}"/>
    <cellStyle name="—_Ticker0015_Cash  (2)" xfId="883" xr:uid="{00000000-0005-0000-0000-0000D7020000}"/>
    <cellStyle name="—_Ticker0015_Cash _MMM nxp 33" xfId="884" xr:uid="{00000000-0005-0000-0000-0000D8020000}"/>
    <cellStyle name="—_Ticker0015_DCF" xfId="885" xr:uid="{00000000-0005-0000-0000-0000D9020000}"/>
    <cellStyle name="_gs_nscn_internal" xfId="886" xr:uid="{00000000-0005-0000-0000-0000DA020000}"/>
    <cellStyle name="—_Ticker0015_PNL" xfId="887" xr:uid="{00000000-0005-0000-0000-0000DB020000}"/>
    <cellStyle name="_Heading" xfId="117" xr:uid="{00000000-0005-0000-0000-0000DC020000}"/>
    <cellStyle name="_Heading 2" xfId="889" xr:uid="{00000000-0005-0000-0000-0000DD020000}"/>
    <cellStyle name="_Heading 3" xfId="890" xr:uid="{00000000-0005-0000-0000-0000DE020000}"/>
    <cellStyle name="_Heading 4" xfId="888" xr:uid="{00000000-0005-0000-0000-0000DF020000}"/>
    <cellStyle name="_Heading 5" xfId="3506" xr:uid="{00000000-0005-0000-0000-0000E0020000}"/>
    <cellStyle name="_Heading_AG" xfId="891" xr:uid="{00000000-0005-0000-0000-0000E1020000}"/>
    <cellStyle name="_Heading_BLS" xfId="892" xr:uid="{00000000-0005-0000-0000-0000E2020000}"/>
    <cellStyle name="_Heading_BLS 2" xfId="893" xr:uid="{00000000-0005-0000-0000-0000E3020000}"/>
    <cellStyle name="_Heading_bls roic" xfId="894" xr:uid="{00000000-0005-0000-0000-0000E4020000}"/>
    <cellStyle name="_Heading_BLS_MLP Val-Client-10_02_06" xfId="895" xr:uid="{00000000-0005-0000-0000-0000E5020000}"/>
    <cellStyle name="_Heading_Book9" xfId="896" xr:uid="{00000000-0005-0000-0000-0000E6020000}"/>
    <cellStyle name="_Heading_Book9 2" xfId="897" xr:uid="{00000000-0005-0000-0000-0000E7020000}"/>
    <cellStyle name="_Heading_Book9_MLP Val-Client-10_02_06" xfId="898" xr:uid="{00000000-0005-0000-0000-0000E8020000}"/>
    <cellStyle name="_Heading_Broadband Comps" xfId="899" xr:uid="{00000000-0005-0000-0000-0000E9020000}"/>
    <cellStyle name="_Heading_Broadband Comps 2" xfId="900" xr:uid="{00000000-0005-0000-0000-0000EA020000}"/>
    <cellStyle name="_Heading_Broadband Comps_MLP Val-Client-10_02_06" xfId="901" xr:uid="{00000000-0005-0000-0000-0000EB020000}"/>
    <cellStyle name="_Heading_capital expenditures 6-18-02" xfId="902" xr:uid="{00000000-0005-0000-0000-0000EC020000}"/>
    <cellStyle name="_Heading_CAT" xfId="903" xr:uid="{00000000-0005-0000-0000-0000ED020000}"/>
    <cellStyle name="_Heading_CNH" xfId="904" xr:uid="{00000000-0005-0000-0000-0000EE020000}"/>
    <cellStyle name="_Heading_Company0689" xfId="905" xr:uid="{00000000-0005-0000-0000-0000EF020000}"/>
    <cellStyle name="_Heading_Company0619" xfId="906" xr:uid="{00000000-0005-0000-0000-0000F0020000}"/>
    <cellStyle name="_Heading_Company0619 2" xfId="907" xr:uid="{00000000-0005-0000-0000-0000F1020000}"/>
    <cellStyle name="_Heading_Company0619_MLP Val-Client-10_02_06" xfId="908" xr:uid="{00000000-0005-0000-0000-0000F2020000}"/>
    <cellStyle name="_Heading_DE-working" xfId="909" xr:uid="{00000000-0005-0000-0000-0000F3020000}"/>
    <cellStyle name="_Heading_Company0750" xfId="910" xr:uid="{00000000-0005-0000-0000-0000F4020000}"/>
    <cellStyle name="_Heading_Company0886" xfId="911" xr:uid="{00000000-0005-0000-0000-0000F5020000}"/>
    <cellStyle name="_Heading_Company1003" xfId="912" xr:uid="{00000000-0005-0000-0000-0000F6020000}"/>
    <cellStyle name="_Heading_Company1415" xfId="913" xr:uid="{00000000-0005-0000-0000-0000F7020000}"/>
    <cellStyle name="_Heading_Person0607" xfId="914" xr:uid="{00000000-0005-0000-0000-0000F8020000}"/>
    <cellStyle name="_Heading_Company1718" xfId="915" xr:uid="{00000000-0005-0000-0000-0000F9020000}"/>
    <cellStyle name="_Heading_NAV" xfId="916" xr:uid="{00000000-0005-0000-0000-0000FA020000}"/>
    <cellStyle name="_Heading_Company1995" xfId="917" xr:uid="{00000000-0005-0000-0000-0000FB020000}"/>
    <cellStyle name="_Heading_PCAR" xfId="918" xr:uid="{00000000-0005-0000-0000-0000FC020000}"/>
    <cellStyle name="_Heading_PH" xfId="919" xr:uid="{00000000-0005-0000-0000-0000FD020000}"/>
    <cellStyle name="_Heading_prestemp" xfId="118" xr:uid="{00000000-0005-0000-0000-0000FE020000}"/>
    <cellStyle name="_Heading_Q" xfId="920" xr:uid="{00000000-0005-0000-0000-0000FF020000}"/>
    <cellStyle name="_Heading_q - new guidance" xfId="921" xr:uid="{00000000-0005-0000-0000-000000030000}"/>
    <cellStyle name="_Heading_q - new guidance 2" xfId="922" xr:uid="{00000000-0005-0000-0000-000001030000}"/>
    <cellStyle name="_Heading_q - new guidance_MLP Val-Client-10_02_06" xfId="923" xr:uid="{00000000-0005-0000-0000-000002030000}"/>
    <cellStyle name="_Heading_q - valuation" xfId="924" xr:uid="{00000000-0005-0000-0000-000003030000}"/>
    <cellStyle name="_Heading_q - valuation 2" xfId="925" xr:uid="{00000000-0005-0000-0000-000004030000}"/>
    <cellStyle name="_Heading_q - valuation_MLP Val-Client-10_02_06" xfId="926" xr:uid="{00000000-0005-0000-0000-000005030000}"/>
    <cellStyle name="_Heading_Q 2" xfId="927" xr:uid="{00000000-0005-0000-0000-000006030000}"/>
    <cellStyle name="_Heading_Q model_041802" xfId="928" xr:uid="{00000000-0005-0000-0000-000007030000}"/>
    <cellStyle name="_Heading_Q model_041802 2" xfId="929" xr:uid="{00000000-0005-0000-0000-000008030000}"/>
    <cellStyle name="_Heading_Q model_041802_MLP Val-Client-10_02_06" xfId="930" xr:uid="{00000000-0005-0000-0000-000009030000}"/>
    <cellStyle name="_Heading_Q_MLP Val-Client-10_02_06" xfId="931" xr:uid="{00000000-0005-0000-0000-00000A030000}"/>
    <cellStyle name="_Heading_Q_update" xfId="932" xr:uid="{00000000-0005-0000-0000-00000B030000}"/>
    <cellStyle name="_Heading_Q_update 2" xfId="933" xr:uid="{00000000-0005-0000-0000-00000C030000}"/>
    <cellStyle name="_Heading_Q_update_MLP Val-Client-10_02_06" xfId="934" xr:uid="{00000000-0005-0000-0000-00000D030000}"/>
    <cellStyle name="_Heading_Company2209 Analysis" xfId="935" xr:uid="{00000000-0005-0000-0000-00000E030000}"/>
    <cellStyle name="_Heading_Company2209 Analysis 2" xfId="936" xr:uid="{00000000-0005-0000-0000-00000F030000}"/>
    <cellStyle name="_Heading_Company2209 Analysis_MLP Val-Client-10_02_06" xfId="937" xr:uid="{00000000-0005-0000-0000-000010030000}"/>
    <cellStyle name="_Heading_RBOC historicals" xfId="938" xr:uid="{00000000-0005-0000-0000-000011030000}"/>
    <cellStyle name="_Heading_Sheet1" xfId="939" xr:uid="{00000000-0005-0000-0000-000012030000}"/>
    <cellStyle name="_Heading_T - new" xfId="940" xr:uid="{00000000-0005-0000-0000-000013030000}"/>
    <cellStyle name="_Heading_Valuation vals" xfId="941" xr:uid="{00000000-0005-0000-0000-000014030000}"/>
    <cellStyle name="_Heading_VZ" xfId="942" xr:uid="{00000000-0005-0000-0000-000015030000}"/>
    <cellStyle name="_Heading_VZ 2" xfId="943" xr:uid="{00000000-0005-0000-0000-000016030000}"/>
    <cellStyle name="_Heading_VZ_MLP Val-Client-10_02_06" xfId="944" xr:uid="{00000000-0005-0000-0000-000017030000}"/>
    <cellStyle name="_Headline" xfId="945" xr:uid="{00000000-0005-0000-0000-000018030000}"/>
    <cellStyle name="_Highlight" xfId="119" xr:uid="{00000000-0005-0000-0000-000019030000}"/>
    <cellStyle name="_Highlight 2" xfId="947" xr:uid="{00000000-0005-0000-0000-00001A030000}"/>
    <cellStyle name="_Highlight 3" xfId="946" xr:uid="{00000000-0005-0000-0000-00001B030000}"/>
    <cellStyle name="_Highlight 4" xfId="3056" xr:uid="{00000000-0005-0000-0000-00001C030000}"/>
    <cellStyle name="_Highlight 5" xfId="3426" xr:uid="{00000000-0005-0000-0000-00001D030000}"/>
    <cellStyle name="_Highlight 6" xfId="3383" xr:uid="{00000000-0005-0000-0000-00001E030000}"/>
    <cellStyle name="_msft-dcf" xfId="948" xr:uid="{00000000-0005-0000-0000-00001F030000}"/>
    <cellStyle name="_Multiple" xfId="120" xr:uid="{00000000-0005-0000-0000-000020030000}"/>
    <cellStyle name="_Multiple 2" xfId="949" xr:uid="{00000000-0005-0000-0000-000021030000}"/>
    <cellStyle name="_Multiple 2 2" xfId="3277" xr:uid="{00000000-0005-0000-0000-000022030000}"/>
    <cellStyle name="_Multiple 2 3" xfId="3113" xr:uid="{00000000-0005-0000-0000-000023030000}"/>
    <cellStyle name="_Multiple 2 4" xfId="3058" xr:uid="{00000000-0005-0000-0000-000024030000}"/>
    <cellStyle name="_Multiple 3" xfId="950" xr:uid="{00000000-0005-0000-0000-000025030000}"/>
    <cellStyle name="_Multiple 3 2" xfId="3278" xr:uid="{00000000-0005-0000-0000-000026030000}"/>
    <cellStyle name="_Multiple 3 3" xfId="3114" xr:uid="{00000000-0005-0000-0000-000027030000}"/>
    <cellStyle name="_Multiple 3 4" xfId="3059" xr:uid="{00000000-0005-0000-0000-000028030000}"/>
    <cellStyle name="_Multiple 4" xfId="3060" xr:uid="{00000000-0005-0000-0000-000029030000}"/>
    <cellStyle name="_Multiple 5" xfId="3276" xr:uid="{00000000-0005-0000-0000-00002A030000}"/>
    <cellStyle name="_Multiple 6" xfId="3112" xr:uid="{00000000-0005-0000-0000-00002B030000}"/>
    <cellStyle name="_Multiple 7" xfId="3057" xr:uid="{00000000-0005-0000-0000-00002C030000}"/>
    <cellStyle name="_Multiple_01 adj for merger plan" xfId="121" xr:uid="{00000000-0005-0000-0000-00002D030000}"/>
    <cellStyle name="_Multiple_Ability to Pay Analysis" xfId="122" xr:uid="{00000000-0005-0000-0000-00002E030000}"/>
    <cellStyle name="_Multiple_AFL" xfId="123" xr:uid="{00000000-0005-0000-0000-00002F030000}"/>
    <cellStyle name="_Multiple_AG" xfId="951" xr:uid="{00000000-0005-0000-0000-000030030000}"/>
    <cellStyle name="_Multiple_Company0064" xfId="124" xr:uid="{00000000-0005-0000-0000-000031030000}"/>
    <cellStyle name="_Multiple_AMP" xfId="125" xr:uid="{00000000-0005-0000-0000-000032030000}"/>
    <cellStyle name="_Multiple_AMX1" xfId="952" xr:uid="{00000000-0005-0000-0000-000033030000}"/>
    <cellStyle name="_Multiple_Balance Sheet" xfId="126" xr:uid="{00000000-0005-0000-0000-000034030000}"/>
    <cellStyle name="_Multiple_BHI" xfId="953" xr:uid="{00000000-0005-0000-0000-000035030000}"/>
    <cellStyle name="_Multiple_BHI 2" xfId="954" xr:uid="{00000000-0005-0000-0000-000036030000}"/>
    <cellStyle name="_Multiple_BHI 3" xfId="955" xr:uid="{00000000-0005-0000-0000-000037030000}"/>
    <cellStyle name="_Multiple_BHI_AG" xfId="956" xr:uid="{00000000-0005-0000-0000-000038030000}"/>
    <cellStyle name="_Multiple_BHI_CNH" xfId="957" xr:uid="{00000000-0005-0000-0000-000039030000}"/>
    <cellStyle name="_Multiple_BHI_Company0750" xfId="958" xr:uid="{00000000-0005-0000-0000-00003A030000}"/>
    <cellStyle name="_Multiple_BHI_Company0886" xfId="959" xr:uid="{00000000-0005-0000-0000-00003B030000}"/>
    <cellStyle name="_Multiple_BHI_Company1003" xfId="960" xr:uid="{00000000-0005-0000-0000-00003C030000}"/>
    <cellStyle name="_Multiple_BHI_Company1415" xfId="961" xr:uid="{00000000-0005-0000-0000-00003D030000}"/>
    <cellStyle name="_Multiple_BHI_Company1718" xfId="962" xr:uid="{00000000-0005-0000-0000-00003E030000}"/>
    <cellStyle name="_Multiple_BHI_NAV" xfId="963" xr:uid="{00000000-0005-0000-0000-00003F030000}"/>
    <cellStyle name="_Multiple_BHI_Company1995" xfId="964" xr:uid="{00000000-0005-0000-0000-000040030000}"/>
    <cellStyle name="_Multiple_BHI_PCAR" xfId="965" xr:uid="{00000000-0005-0000-0000-000041030000}"/>
    <cellStyle name="_Multiple_BHI_PH" xfId="966" xr:uid="{00000000-0005-0000-0000-000042030000}"/>
    <cellStyle name="_Multiple_bls roic" xfId="967" xr:uid="{00000000-0005-0000-0000-000043030000}"/>
    <cellStyle name="_Multiple_bls roic 2" xfId="968" xr:uid="{00000000-0005-0000-0000-000044030000}"/>
    <cellStyle name="_Multiple_bls roic 3" xfId="969" xr:uid="{00000000-0005-0000-0000-000045030000}"/>
    <cellStyle name="_Multiple_bls roic_AG" xfId="970" xr:uid="{00000000-0005-0000-0000-000046030000}"/>
    <cellStyle name="_Multiple_bls roic_CNH" xfId="971" xr:uid="{00000000-0005-0000-0000-000047030000}"/>
    <cellStyle name="_Multiple_bls roic_Company0750" xfId="972" xr:uid="{00000000-0005-0000-0000-000048030000}"/>
    <cellStyle name="_Multiple_bls roic_Company0886" xfId="973" xr:uid="{00000000-0005-0000-0000-000049030000}"/>
    <cellStyle name="_Multiple_bls roic_Company1003" xfId="974" xr:uid="{00000000-0005-0000-0000-00004A030000}"/>
    <cellStyle name="_Multiple_bls roic_Company1415" xfId="975" xr:uid="{00000000-0005-0000-0000-00004B030000}"/>
    <cellStyle name="_Multiple_bls roic_Company1718" xfId="976" xr:uid="{00000000-0005-0000-0000-00004C030000}"/>
    <cellStyle name="_Multiple_bls roic_NAV" xfId="977" xr:uid="{00000000-0005-0000-0000-00004D030000}"/>
    <cellStyle name="_Multiple_bls roic_Company1995" xfId="978" xr:uid="{00000000-0005-0000-0000-00004E030000}"/>
    <cellStyle name="_Multiple_bls roic_PCAR" xfId="979" xr:uid="{00000000-0005-0000-0000-00004F030000}"/>
    <cellStyle name="_Multiple_bls roic_PH" xfId="980" xr:uid="{00000000-0005-0000-0000-000050030000}"/>
    <cellStyle name="_Multiple_Book1" xfId="127" xr:uid="{00000000-0005-0000-0000-000051030000}"/>
    <cellStyle name="_Multiple_Book29" xfId="128" xr:uid="{00000000-0005-0000-0000-000052030000}"/>
    <cellStyle name="_Multiple_Book3" xfId="129" xr:uid="{00000000-0005-0000-0000-000053030000}"/>
    <cellStyle name="_Multiple_Book3 2" xfId="981" xr:uid="{00000000-0005-0000-0000-000054030000}"/>
    <cellStyle name="_Multiple_Book3 3" xfId="3384" xr:uid="{00000000-0005-0000-0000-000055030000}"/>
    <cellStyle name="_Multiple_Book3 4" xfId="3528" xr:uid="{00000000-0005-0000-0000-000056030000}"/>
    <cellStyle name="_Multiple_Book3_1" xfId="130" xr:uid="{00000000-0005-0000-0000-000057030000}"/>
    <cellStyle name="_Multiple_Broadcasting" xfId="982" xr:uid="{00000000-0005-0000-0000-000058030000}"/>
    <cellStyle name="_Multiple_capital expenditures 6-18-02" xfId="983" xr:uid="{00000000-0005-0000-0000-000059030000}"/>
    <cellStyle name="_Multiple_capital expenditures 6-18-02 2" xfId="984" xr:uid="{00000000-0005-0000-0000-00005A030000}"/>
    <cellStyle name="_Multiple_capital expenditures 6-18-02 3" xfId="985" xr:uid="{00000000-0005-0000-0000-00005B030000}"/>
    <cellStyle name="_Multiple_capital expenditures 6-18-02_AG" xfId="986" xr:uid="{00000000-0005-0000-0000-00005C030000}"/>
    <cellStyle name="_Multiple_capital expenditures 6-18-02_CNH" xfId="987" xr:uid="{00000000-0005-0000-0000-00005D030000}"/>
    <cellStyle name="_Multiple_capital expenditures 6-18-02_Company0750" xfId="988" xr:uid="{00000000-0005-0000-0000-00005E030000}"/>
    <cellStyle name="_Multiple_capital expenditures 6-18-02_Company0886" xfId="989" xr:uid="{00000000-0005-0000-0000-00005F030000}"/>
    <cellStyle name="_Multiple_capital expenditures 6-18-02_Company1003" xfId="990" xr:uid="{00000000-0005-0000-0000-000060030000}"/>
    <cellStyle name="_Multiple_capital expenditures 6-18-02_Company1415" xfId="991" xr:uid="{00000000-0005-0000-0000-000061030000}"/>
    <cellStyle name="_Multiple_capital expenditures 6-18-02_Company1718" xfId="992" xr:uid="{00000000-0005-0000-0000-000062030000}"/>
    <cellStyle name="_Multiple_capital expenditures 6-18-02_NAV" xfId="993" xr:uid="{00000000-0005-0000-0000-000063030000}"/>
    <cellStyle name="_Multiple_capital expenditures 6-18-02_Company1995" xfId="994" xr:uid="{00000000-0005-0000-0000-000064030000}"/>
    <cellStyle name="_Multiple_capital expenditures 6-18-02_PCAR" xfId="995" xr:uid="{00000000-0005-0000-0000-000065030000}"/>
    <cellStyle name="_Multiple_capital expenditures 6-18-02_PH" xfId="996" xr:uid="{00000000-0005-0000-0000-000066030000}"/>
    <cellStyle name="_Multiple_CNH" xfId="997" xr:uid="{00000000-0005-0000-0000-000067030000}"/>
    <cellStyle name="_Multiple_Company0529" xfId="131" xr:uid="{00000000-0005-0000-0000-000068030000}"/>
    <cellStyle name="_Multiple_Company0689" xfId="998" xr:uid="{00000000-0005-0000-0000-000069030000}"/>
    <cellStyle name="_Multiple_CRO 3Q group metrics 12-22-03 for reports" xfId="999" xr:uid="{00000000-0005-0000-0000-00006A030000}"/>
    <cellStyle name="_Multiple_CRO comp metrics 4Q03 2-18-04 send out" xfId="1000" xr:uid="{00000000-0005-0000-0000-00006B030000}"/>
    <cellStyle name="_Multiple_csc" xfId="1001" xr:uid="{00000000-0005-0000-0000-00006C030000}"/>
    <cellStyle name="_Multiple_Data" xfId="1002" xr:uid="{00000000-0005-0000-0000-00006D030000}"/>
    <cellStyle name="_Multiple_DCF Alexander Person0382" xfId="132" xr:uid="{00000000-0005-0000-0000-00006E030000}"/>
    <cellStyle name="_Multiple_dcf_1" xfId="1003" xr:uid="{00000000-0005-0000-0000-00006F030000}"/>
    <cellStyle name="_Multiple_Company0750" xfId="1004" xr:uid="{00000000-0005-0000-0000-000070030000}"/>
    <cellStyle name="_Multiple_Company0764" xfId="1005" xr:uid="{00000000-0005-0000-0000-000071030000}"/>
    <cellStyle name="_Multiple_ED 2005.08.01" xfId="1006" xr:uid="{00000000-0005-0000-0000-000072030000}"/>
    <cellStyle name="_Multiple_Company0886" xfId="1007" xr:uid="{00000000-0005-0000-0000-000073030000}"/>
    <cellStyle name="_Multiple_fmbi counties" xfId="133" xr:uid="{00000000-0005-0000-0000-000074030000}"/>
    <cellStyle name="_Multiple_FMBI MBHI Graphs" xfId="134" xr:uid="{00000000-0005-0000-0000-000075030000}"/>
    <cellStyle name="_Multiple_FMBI MBHI Graphs 07102001" xfId="135" xr:uid="{00000000-0005-0000-0000-000076030000}"/>
    <cellStyle name="_Multiple_FMBI MBHI Graphs_7601" xfId="136" xr:uid="{00000000-0005-0000-0000-000077030000}"/>
    <cellStyle name="_Multiple_Company1003" xfId="1008" xr:uid="{00000000-0005-0000-0000-000078030000}"/>
    <cellStyle name="_Multiple_Company1093" xfId="137" xr:uid="{00000000-0005-0000-0000-000079030000}"/>
    <cellStyle name="_Multiple_gs_scur_internal " xfId="1009" xr:uid="{00000000-0005-0000-0000-00007A030000}"/>
    <cellStyle name="_Multiple_gs_scur_internal  2" xfId="1010" xr:uid="{00000000-0005-0000-0000-00007B030000}"/>
    <cellStyle name="_Multiple_Hist Summary" xfId="1011" xr:uid="{00000000-0005-0000-0000-00007C030000}"/>
    <cellStyle name="_Multiple_Insurance Brokerage CSC_1Q2002" xfId="138" xr:uid="{00000000-0005-0000-0000-00007D030000}"/>
    <cellStyle name="_Multiple_Company1415" xfId="1012" xr:uid="{00000000-0005-0000-0000-00007E030000}"/>
    <cellStyle name="_Multiple_JP" xfId="139" xr:uid="{00000000-0005-0000-0000-00007F030000}"/>
    <cellStyle name="_Multiple_Person0607" xfId="1013" xr:uid="{00000000-0005-0000-0000-000080030000}"/>
    <cellStyle name="_Multiple_Company1563" xfId="140" xr:uid="{00000000-0005-0000-0000-000081030000}"/>
    <cellStyle name="_Multiple_Machinery group valuation" xfId="1014" xr:uid="{00000000-0005-0000-0000-000082030000}"/>
    <cellStyle name="_Multiple_MET" xfId="141" xr:uid="{00000000-0005-0000-0000-000083030000}"/>
    <cellStyle name="_Multiple_MET04" xfId="142" xr:uid="{00000000-0005-0000-0000-000084030000}"/>
    <cellStyle name="_Multiple_MHS" xfId="1015" xr:uid="{00000000-0005-0000-0000-000085030000}"/>
    <cellStyle name="_Multiple_Company1718" xfId="1016" xr:uid="{00000000-0005-0000-0000-000086030000}"/>
    <cellStyle name="_Multiple_MLP Val-Client-10_02_06" xfId="1017" xr:uid="{00000000-0005-0000-0000-000087030000}"/>
    <cellStyle name="_Multiple_NAV" xfId="1018" xr:uid="{00000000-0005-0000-0000-000088030000}"/>
    <cellStyle name="_Multiple_Company1874" xfId="143" xr:uid="{00000000-0005-0000-0000-000089030000}"/>
    <cellStyle name="_Multiple_Company1897 2005.07.22" xfId="1019" xr:uid="{00000000-0005-0000-0000-00008A030000}"/>
    <cellStyle name="_Multiple_Company1995" xfId="1020" xr:uid="{00000000-0005-0000-0000-00008B030000}"/>
    <cellStyle name="_Multiple_Overview3" xfId="144" xr:uid="{00000000-0005-0000-0000-00008C030000}"/>
    <cellStyle name="_Multiple_PCAR" xfId="1021" xr:uid="{00000000-0005-0000-0000-00008D030000}"/>
    <cellStyle name="_Multiple_PH" xfId="1022" xr:uid="{00000000-0005-0000-0000-00008E030000}"/>
    <cellStyle name="_Multiple_phil data" xfId="145" xr:uid="{00000000-0005-0000-0000-00008F030000}"/>
    <cellStyle name="_Multiple_Price Performance Charts" xfId="146" xr:uid="{00000000-0005-0000-0000-000090030000}"/>
    <cellStyle name="_Multiple_Company2120" xfId="147" xr:uid="{00000000-0005-0000-0000-000091030000}"/>
    <cellStyle name="_Multiple_PRU04" xfId="148" xr:uid="{00000000-0005-0000-0000-000092030000}"/>
    <cellStyle name="_Multiple_RBOC historicals" xfId="1023" xr:uid="{00000000-0005-0000-0000-000093030000}"/>
    <cellStyle name="_Multiple_RBOC historicals 2" xfId="1024" xr:uid="{00000000-0005-0000-0000-000094030000}"/>
    <cellStyle name="_Multiple_RBOC historicals 3" xfId="1025" xr:uid="{00000000-0005-0000-0000-000095030000}"/>
    <cellStyle name="_Multiple_RBOC historicals_AG" xfId="1026" xr:uid="{00000000-0005-0000-0000-000096030000}"/>
    <cellStyle name="_Multiple_RBOC historicals_CNH" xfId="1027" xr:uid="{00000000-0005-0000-0000-000097030000}"/>
    <cellStyle name="_Multiple_RBOC historicals_Company0750" xfId="1028" xr:uid="{00000000-0005-0000-0000-000098030000}"/>
    <cellStyle name="_Multiple_RBOC historicals_Company0886" xfId="1029" xr:uid="{00000000-0005-0000-0000-000099030000}"/>
    <cellStyle name="_Multiple_RBOC historicals_Company1003" xfId="1030" xr:uid="{00000000-0005-0000-0000-00009A030000}"/>
    <cellStyle name="_Multiple_RBOC historicals_Company1415" xfId="1031" xr:uid="{00000000-0005-0000-0000-00009B030000}"/>
    <cellStyle name="_Multiple_RBOC historicals_Company1718" xfId="1032" xr:uid="{00000000-0005-0000-0000-00009C030000}"/>
    <cellStyle name="_Multiple_RBOC historicals_NAV" xfId="1033" xr:uid="{00000000-0005-0000-0000-00009D030000}"/>
    <cellStyle name="_Multiple_RBOC historicals_Company1995" xfId="1034" xr:uid="{00000000-0005-0000-0000-00009E030000}"/>
    <cellStyle name="_Multiple_RBOC historicals_PCAR" xfId="1035" xr:uid="{00000000-0005-0000-0000-00009F030000}"/>
    <cellStyle name="_Multiple_RBOC historicals_PH" xfId="1036" xr:uid="{00000000-0005-0000-0000-0000A0030000}"/>
    <cellStyle name="_Multiple_RiskReward" xfId="149" xr:uid="{00000000-0005-0000-0000-0000A1030000}"/>
    <cellStyle name="_Multiple_SFG" xfId="150" xr:uid="{00000000-0005-0000-0000-0000A2030000}"/>
    <cellStyle name="_Multiple_Sheet1" xfId="151" xr:uid="{00000000-0005-0000-0000-0000A3030000}"/>
    <cellStyle name="_Multiple_Sheet1 2" xfId="1037" xr:uid="{00000000-0005-0000-0000-0000A4030000}"/>
    <cellStyle name="_Multiple_Sheet1 3" xfId="3385" xr:uid="{00000000-0005-0000-0000-0000A5030000}"/>
    <cellStyle name="_Multiple_Sheet1 4" xfId="3529" xr:uid="{00000000-0005-0000-0000-0000A6030000}"/>
    <cellStyle name="_Multiple_SOP" xfId="1038" xr:uid="{00000000-0005-0000-0000-0000A7030000}"/>
    <cellStyle name="_Multiple_SRE" xfId="1039" xr:uid="{00000000-0005-0000-0000-0000A8030000}"/>
    <cellStyle name="_Multiple_SRE Working" xfId="1040" xr:uid="{00000000-0005-0000-0000-0000A9030000}"/>
    <cellStyle name="_Multiple_Stock-QTR1 FDS" xfId="152" xr:uid="{00000000-0005-0000-0000-0000AA030000}"/>
    <cellStyle name="_Multiple_symcqtis" xfId="1041" xr:uid="{00000000-0005-0000-0000-0000AB030000}"/>
    <cellStyle name="_Multiple_T - new" xfId="1042" xr:uid="{00000000-0005-0000-0000-0000AC030000}"/>
    <cellStyle name="_Multiple_T - new 2" xfId="1043" xr:uid="{00000000-0005-0000-0000-0000AD030000}"/>
    <cellStyle name="_Multiple_T - new 3" xfId="1044" xr:uid="{00000000-0005-0000-0000-0000AE030000}"/>
    <cellStyle name="_Multiple_T - new_AG" xfId="1045" xr:uid="{00000000-0005-0000-0000-0000AF030000}"/>
    <cellStyle name="_Multiple_T - new_CNH" xfId="1046" xr:uid="{00000000-0005-0000-0000-0000B0030000}"/>
    <cellStyle name="_Multiple_T - new_Company0750" xfId="1047" xr:uid="{00000000-0005-0000-0000-0000B1030000}"/>
    <cellStyle name="_Multiple_T - new_Company0886" xfId="1048" xr:uid="{00000000-0005-0000-0000-0000B2030000}"/>
    <cellStyle name="_Multiple_T - new_Company1003" xfId="1049" xr:uid="{00000000-0005-0000-0000-0000B3030000}"/>
    <cellStyle name="_Multiple_T - new_Company1415" xfId="1050" xr:uid="{00000000-0005-0000-0000-0000B4030000}"/>
    <cellStyle name="_Multiple_T - new_Company1718" xfId="1051" xr:uid="{00000000-0005-0000-0000-0000B5030000}"/>
    <cellStyle name="_Multiple_T - new_NAV" xfId="1052" xr:uid="{00000000-0005-0000-0000-0000B6030000}"/>
    <cellStyle name="_Multiple_T - new_Company1995" xfId="1053" xr:uid="{00000000-0005-0000-0000-0000B7030000}"/>
    <cellStyle name="_Multiple_T - new_PCAR" xfId="1054" xr:uid="{00000000-0005-0000-0000-0000B8030000}"/>
    <cellStyle name="_Multiple_T - new_PH" xfId="1055" xr:uid="{00000000-0005-0000-0000-0000B9030000}"/>
    <cellStyle name="_Multiple_Company2661" xfId="153" xr:uid="{00000000-0005-0000-0000-0000BA030000}"/>
    <cellStyle name="_Multiple_Updated Valuation Changes" xfId="154" xr:uid="{00000000-0005-0000-0000-0000BB030000}"/>
    <cellStyle name="_Multiple_Val Sheets" xfId="1056" xr:uid="{00000000-0005-0000-0000-0000BC030000}"/>
    <cellStyle name="_Multiple_Valuation Graphs" xfId="155" xr:uid="{00000000-0005-0000-0000-0000BD030000}"/>
    <cellStyle name="_Multiple_WFT published 1-30-07 Client version (2)" xfId="1057" xr:uid="{00000000-0005-0000-0000-0000BE030000}"/>
    <cellStyle name="_Multiple_WFT published 1-30-07 Client version (2) 2" xfId="1058" xr:uid="{00000000-0005-0000-0000-0000BF030000}"/>
    <cellStyle name="_Multiple_xratio - historical mkt val" xfId="156" xr:uid="{00000000-0005-0000-0000-0000C0030000}"/>
    <cellStyle name="_MultipleSpace" xfId="157" xr:uid="{00000000-0005-0000-0000-0000C1030000}"/>
    <cellStyle name="_MultipleSpace 2" xfId="1059" xr:uid="{00000000-0005-0000-0000-0000C2030000}"/>
    <cellStyle name="_MultipleSpace 2 2" xfId="3281" xr:uid="{00000000-0005-0000-0000-0000C3030000}"/>
    <cellStyle name="_MultipleSpace 2 3" xfId="3117" xr:uid="{00000000-0005-0000-0000-0000C4030000}"/>
    <cellStyle name="_MultipleSpace 2 4" xfId="3062" xr:uid="{00000000-0005-0000-0000-0000C5030000}"/>
    <cellStyle name="_MultipleSpace 3" xfId="1060" xr:uid="{00000000-0005-0000-0000-0000C6030000}"/>
    <cellStyle name="_MultipleSpace 3 2" xfId="3282" xr:uid="{00000000-0005-0000-0000-0000C7030000}"/>
    <cellStyle name="_MultipleSpace 3 3" xfId="3118" xr:uid="{00000000-0005-0000-0000-0000C8030000}"/>
    <cellStyle name="_MultipleSpace 3 4" xfId="3063" xr:uid="{00000000-0005-0000-0000-0000C9030000}"/>
    <cellStyle name="_MultipleSpace 4" xfId="3064" xr:uid="{00000000-0005-0000-0000-0000CA030000}"/>
    <cellStyle name="_MultipleSpace 5" xfId="3280" xr:uid="{00000000-0005-0000-0000-0000CB030000}"/>
    <cellStyle name="_MultipleSpace 6" xfId="3116" xr:uid="{00000000-0005-0000-0000-0000CC030000}"/>
    <cellStyle name="_MultipleSpace 7" xfId="3061" xr:uid="{00000000-0005-0000-0000-0000CD030000}"/>
    <cellStyle name="_MultipleSpace_01 adj for merger plan" xfId="158" xr:uid="{00000000-0005-0000-0000-0000CE030000}"/>
    <cellStyle name="_MultipleSpace_Ability to Pay Analysis" xfId="159" xr:uid="{00000000-0005-0000-0000-0000CF030000}"/>
    <cellStyle name="_MultipleSpace_AFL" xfId="160" xr:uid="{00000000-0005-0000-0000-0000D0030000}"/>
    <cellStyle name="_MultipleSpace_AG" xfId="1061" xr:uid="{00000000-0005-0000-0000-0000D1030000}"/>
    <cellStyle name="_MultipleSpace_Company0064" xfId="161" xr:uid="{00000000-0005-0000-0000-0000D2030000}"/>
    <cellStyle name="_MultipleSpace_AMP" xfId="162" xr:uid="{00000000-0005-0000-0000-0000D3030000}"/>
    <cellStyle name="_MultipleSpace_Balance Sheet" xfId="163" xr:uid="{00000000-0005-0000-0000-0000D4030000}"/>
    <cellStyle name="_MultipleSpace_BHI" xfId="1062" xr:uid="{00000000-0005-0000-0000-0000D5030000}"/>
    <cellStyle name="_MultipleSpace_BHI 2" xfId="1063" xr:uid="{00000000-0005-0000-0000-0000D6030000}"/>
    <cellStyle name="_MultipleSpace_BHI 3" xfId="1064" xr:uid="{00000000-0005-0000-0000-0000D7030000}"/>
    <cellStyle name="_MultipleSpace_BHI_AG" xfId="1065" xr:uid="{00000000-0005-0000-0000-0000D8030000}"/>
    <cellStyle name="_MultipleSpace_BHI_CNH" xfId="1066" xr:uid="{00000000-0005-0000-0000-0000D9030000}"/>
    <cellStyle name="_MultipleSpace_BHI_Company0750" xfId="1067" xr:uid="{00000000-0005-0000-0000-0000DA030000}"/>
    <cellStyle name="_MultipleSpace_BHI_Company0886" xfId="1068" xr:uid="{00000000-0005-0000-0000-0000DB030000}"/>
    <cellStyle name="_MultipleSpace_BHI_Company1003" xfId="1069" xr:uid="{00000000-0005-0000-0000-0000DC030000}"/>
    <cellStyle name="_MultipleSpace_BHI_Company1415" xfId="1070" xr:uid="{00000000-0005-0000-0000-0000DD030000}"/>
    <cellStyle name="_MultipleSpace_BHI_Company1718" xfId="1071" xr:uid="{00000000-0005-0000-0000-0000DE030000}"/>
    <cellStyle name="_MultipleSpace_BHI_NAV" xfId="1072" xr:uid="{00000000-0005-0000-0000-0000DF030000}"/>
    <cellStyle name="_MultipleSpace_BHI_Company1995" xfId="1073" xr:uid="{00000000-0005-0000-0000-0000E0030000}"/>
    <cellStyle name="_MultipleSpace_BHI_PCAR" xfId="1074" xr:uid="{00000000-0005-0000-0000-0000E1030000}"/>
    <cellStyle name="_MultipleSpace_BHI_PH" xfId="1075" xr:uid="{00000000-0005-0000-0000-0000E2030000}"/>
    <cellStyle name="_MultipleSpace_bls roic" xfId="1076" xr:uid="{00000000-0005-0000-0000-0000E3030000}"/>
    <cellStyle name="_MultipleSpace_bls roic 2" xfId="1077" xr:uid="{00000000-0005-0000-0000-0000E4030000}"/>
    <cellStyle name="_MultipleSpace_bls roic 3" xfId="1078" xr:uid="{00000000-0005-0000-0000-0000E5030000}"/>
    <cellStyle name="_MultipleSpace_bls roic_AG" xfId="1079" xr:uid="{00000000-0005-0000-0000-0000E6030000}"/>
    <cellStyle name="_MultipleSpace_bls roic_CNH" xfId="1080" xr:uid="{00000000-0005-0000-0000-0000E7030000}"/>
    <cellStyle name="_MultipleSpace_bls roic_Company0750" xfId="1081" xr:uid="{00000000-0005-0000-0000-0000E8030000}"/>
    <cellStyle name="_MultipleSpace_bls roic_Company0886" xfId="1082" xr:uid="{00000000-0005-0000-0000-0000E9030000}"/>
    <cellStyle name="_MultipleSpace_bls roic_Company1003" xfId="1083" xr:uid="{00000000-0005-0000-0000-0000EA030000}"/>
    <cellStyle name="_MultipleSpace_bls roic_Company1415" xfId="1084" xr:uid="{00000000-0005-0000-0000-0000EB030000}"/>
    <cellStyle name="_MultipleSpace_bls roic_Company1718" xfId="1085" xr:uid="{00000000-0005-0000-0000-0000EC030000}"/>
    <cellStyle name="_MultipleSpace_bls roic_NAV" xfId="1086" xr:uid="{00000000-0005-0000-0000-0000ED030000}"/>
    <cellStyle name="_MultipleSpace_bls roic_Company1995" xfId="1087" xr:uid="{00000000-0005-0000-0000-0000EE030000}"/>
    <cellStyle name="_MultipleSpace_bls roic_PCAR" xfId="1088" xr:uid="{00000000-0005-0000-0000-0000EF030000}"/>
    <cellStyle name="_MultipleSpace_bls roic_PH" xfId="1089" xr:uid="{00000000-0005-0000-0000-0000F0030000}"/>
    <cellStyle name="_MultipleSpace_Book1" xfId="164" xr:uid="{00000000-0005-0000-0000-0000F1030000}"/>
    <cellStyle name="_MultipleSpace_Book29" xfId="165" xr:uid="{00000000-0005-0000-0000-0000F2030000}"/>
    <cellStyle name="_MultipleSpace_Book3" xfId="166" xr:uid="{00000000-0005-0000-0000-0000F3030000}"/>
    <cellStyle name="_MultipleSpace_Book3 2" xfId="1090" xr:uid="{00000000-0005-0000-0000-0000F4030000}"/>
    <cellStyle name="_MultipleSpace_Book3 3" xfId="3386" xr:uid="{00000000-0005-0000-0000-0000F5030000}"/>
    <cellStyle name="_MultipleSpace_Book3 4" xfId="3530" xr:uid="{00000000-0005-0000-0000-0000F6030000}"/>
    <cellStyle name="_MultipleSpace_Book3_1" xfId="167" xr:uid="{00000000-0005-0000-0000-0000F7030000}"/>
    <cellStyle name="_MultipleSpace_Broadcasting" xfId="1091" xr:uid="{00000000-0005-0000-0000-0000F8030000}"/>
    <cellStyle name="_MultipleSpace_capital expenditures 6-18-02" xfId="1092" xr:uid="{00000000-0005-0000-0000-0000F9030000}"/>
    <cellStyle name="_MultipleSpace_capital expenditures 6-18-02 2" xfId="1093" xr:uid="{00000000-0005-0000-0000-0000FA030000}"/>
    <cellStyle name="_MultipleSpace_capital expenditures 6-18-02 3" xfId="1094" xr:uid="{00000000-0005-0000-0000-0000FB030000}"/>
    <cellStyle name="_MultipleSpace_capital expenditures 6-18-02_AG" xfId="1095" xr:uid="{00000000-0005-0000-0000-0000FC030000}"/>
    <cellStyle name="_MultipleSpace_capital expenditures 6-18-02_CNH" xfId="1096" xr:uid="{00000000-0005-0000-0000-0000FD030000}"/>
    <cellStyle name="_MultipleSpace_capital expenditures 6-18-02_Company0750" xfId="1097" xr:uid="{00000000-0005-0000-0000-0000FE030000}"/>
    <cellStyle name="_MultipleSpace_capital expenditures 6-18-02_Company0886" xfId="1098" xr:uid="{00000000-0005-0000-0000-0000FF030000}"/>
    <cellStyle name="_MultipleSpace_capital expenditures 6-18-02_Company1003" xfId="1099" xr:uid="{00000000-0005-0000-0000-000000040000}"/>
    <cellStyle name="_MultipleSpace_capital expenditures 6-18-02_Company1415" xfId="1100" xr:uid="{00000000-0005-0000-0000-000001040000}"/>
    <cellStyle name="_MultipleSpace_capital expenditures 6-18-02_Company1718" xfId="1101" xr:uid="{00000000-0005-0000-0000-000002040000}"/>
    <cellStyle name="_MultipleSpace_capital expenditures 6-18-02_NAV" xfId="1102" xr:uid="{00000000-0005-0000-0000-000003040000}"/>
    <cellStyle name="_MultipleSpace_capital expenditures 6-18-02_Company1995" xfId="1103" xr:uid="{00000000-0005-0000-0000-000004040000}"/>
    <cellStyle name="_MultipleSpace_capital expenditures 6-18-02_PCAR" xfId="1104" xr:uid="{00000000-0005-0000-0000-000005040000}"/>
    <cellStyle name="_MultipleSpace_capital expenditures 6-18-02_PH" xfId="1105" xr:uid="{00000000-0005-0000-0000-000006040000}"/>
    <cellStyle name="_MultipleSpace_CNH" xfId="1106" xr:uid="{00000000-0005-0000-0000-000007040000}"/>
    <cellStyle name="_MultipleSpace_Company0529" xfId="168" xr:uid="{00000000-0005-0000-0000-000008040000}"/>
    <cellStyle name="_MultipleSpace_Company0689" xfId="1107" xr:uid="{00000000-0005-0000-0000-000009040000}"/>
    <cellStyle name="_MultipleSpace_CRO 3Q group metrics 12-22-03 for reports" xfId="1108" xr:uid="{00000000-0005-0000-0000-00000A040000}"/>
    <cellStyle name="_MultipleSpace_CRO comp metrics 4Q03 2-18-04 send out" xfId="1109" xr:uid="{00000000-0005-0000-0000-00000B040000}"/>
    <cellStyle name="_MultipleSpace_csc" xfId="1110" xr:uid="{00000000-0005-0000-0000-00000C040000}"/>
    <cellStyle name="_MultipleSpace_Data" xfId="1111" xr:uid="{00000000-0005-0000-0000-00000D040000}"/>
    <cellStyle name="_MultipleSpace_DCF Alexander Person0382" xfId="169" xr:uid="{00000000-0005-0000-0000-00000E040000}"/>
    <cellStyle name="_MultipleSpace_Company0750" xfId="1112" xr:uid="{00000000-0005-0000-0000-00000F040000}"/>
    <cellStyle name="_MultipleSpace_Company0764" xfId="1113" xr:uid="{00000000-0005-0000-0000-000010040000}"/>
    <cellStyle name="_MultipleSpace_ED 2005.08.01" xfId="1114" xr:uid="{00000000-0005-0000-0000-000011040000}"/>
    <cellStyle name="_MultipleSpace_Company0886" xfId="1115" xr:uid="{00000000-0005-0000-0000-000012040000}"/>
    <cellStyle name="_MultipleSpace_fmbi counties" xfId="170" xr:uid="{00000000-0005-0000-0000-000013040000}"/>
    <cellStyle name="_MultipleSpace_FMBI MBHI Graphs" xfId="171" xr:uid="{00000000-0005-0000-0000-000014040000}"/>
    <cellStyle name="_MultipleSpace_FMBI MBHI Graphs 07102001" xfId="172" xr:uid="{00000000-0005-0000-0000-000015040000}"/>
    <cellStyle name="_MultipleSpace_FMBI MBHI Graphs_7601" xfId="173" xr:uid="{00000000-0005-0000-0000-000016040000}"/>
    <cellStyle name="_MultipleSpace_Company1003" xfId="1116" xr:uid="{00000000-0005-0000-0000-000017040000}"/>
    <cellStyle name="_MultipleSpace_Company1093" xfId="174" xr:uid="{00000000-0005-0000-0000-000018040000}"/>
    <cellStyle name="_MultipleSpace_Ticker0015_Person0155_Company0610_mod (Working)" xfId="1117" xr:uid="{00000000-0005-0000-0000-000019040000}"/>
    <cellStyle name="_MultipleSpace_Ticker0015_Person0114_MOTMOD" xfId="1118" xr:uid="{00000000-0005-0000-0000-00001A040000}"/>
    <cellStyle name="_MultipleSpace_gs_scur_internal " xfId="1119" xr:uid="{00000000-0005-0000-0000-00001B040000}"/>
    <cellStyle name="_MultipleSpace_gs_scur_internal  2" xfId="1120" xr:uid="{00000000-0005-0000-0000-00001C040000}"/>
    <cellStyle name="_MultipleSpace_Hist Summary" xfId="1121" xr:uid="{00000000-0005-0000-0000-00001D040000}"/>
    <cellStyle name="_MultipleSpace_Insurance Brokerage CSC_1Q2002" xfId="175" xr:uid="{00000000-0005-0000-0000-00001E040000}"/>
    <cellStyle name="_MultipleSpace_Company1415" xfId="1122" xr:uid="{00000000-0005-0000-0000-00001F040000}"/>
    <cellStyle name="_MultipleSpace_JP" xfId="176" xr:uid="{00000000-0005-0000-0000-000020040000}"/>
    <cellStyle name="_MultipleSpace_Person0607" xfId="1123" xr:uid="{00000000-0005-0000-0000-000021040000}"/>
    <cellStyle name="_MultipleSpace_Company1563" xfId="177" xr:uid="{00000000-0005-0000-0000-000022040000}"/>
    <cellStyle name="_MultipleSpace_Machinery group valuation" xfId="1124" xr:uid="{00000000-0005-0000-0000-000023040000}"/>
    <cellStyle name="_MultipleSpace_MET" xfId="178" xr:uid="{00000000-0005-0000-0000-000024040000}"/>
    <cellStyle name="_MultipleSpace_MET04" xfId="179" xr:uid="{00000000-0005-0000-0000-000025040000}"/>
    <cellStyle name="_MultipleSpace_MHS" xfId="1125" xr:uid="{00000000-0005-0000-0000-000026040000}"/>
    <cellStyle name="_MultipleSpace_Company1718" xfId="1126" xr:uid="{00000000-0005-0000-0000-000027040000}"/>
    <cellStyle name="_MultipleSpace_MLP Val-Client-10_02_06" xfId="1127" xr:uid="{00000000-0005-0000-0000-000028040000}"/>
    <cellStyle name="_MultipleSpace_NAV" xfId="1128" xr:uid="{00000000-0005-0000-0000-000029040000}"/>
    <cellStyle name="_MultipleSpace_Company1874" xfId="180" xr:uid="{00000000-0005-0000-0000-00002A040000}"/>
    <cellStyle name="_MultipleSpace_Company1897 2005.07.22" xfId="1129" xr:uid="{00000000-0005-0000-0000-00002B040000}"/>
    <cellStyle name="_MultipleSpace_Company1995" xfId="1130" xr:uid="{00000000-0005-0000-0000-00002C040000}"/>
    <cellStyle name="_MultipleSpace_Overview3" xfId="181" xr:uid="{00000000-0005-0000-0000-00002D040000}"/>
    <cellStyle name="_MultipleSpace_PCAR" xfId="1131" xr:uid="{00000000-0005-0000-0000-00002E040000}"/>
    <cellStyle name="_MultipleSpace_PH" xfId="1132" xr:uid="{00000000-0005-0000-0000-00002F040000}"/>
    <cellStyle name="_MultipleSpace_phil data" xfId="182" xr:uid="{00000000-0005-0000-0000-000030040000}"/>
    <cellStyle name="_MultipleSpace_Price Performance Charts" xfId="183" xr:uid="{00000000-0005-0000-0000-000031040000}"/>
    <cellStyle name="_MultipleSpace_Company2120" xfId="184" xr:uid="{00000000-0005-0000-0000-000032040000}"/>
    <cellStyle name="_MultipleSpace_PRU04" xfId="185" xr:uid="{00000000-0005-0000-0000-000033040000}"/>
    <cellStyle name="_MultipleSpace_RBOC historicals" xfId="1133" xr:uid="{00000000-0005-0000-0000-000034040000}"/>
    <cellStyle name="_MultipleSpace_RBOC historicals 2" xfId="1134" xr:uid="{00000000-0005-0000-0000-000035040000}"/>
    <cellStyle name="_MultipleSpace_RBOC historicals 3" xfId="1135" xr:uid="{00000000-0005-0000-0000-000036040000}"/>
    <cellStyle name="_MultipleSpace_RBOC historicals_AG" xfId="1136" xr:uid="{00000000-0005-0000-0000-000037040000}"/>
    <cellStyle name="_MultipleSpace_RBOC historicals_CNH" xfId="1137" xr:uid="{00000000-0005-0000-0000-000038040000}"/>
    <cellStyle name="_MultipleSpace_RBOC historicals_Company0750" xfId="1138" xr:uid="{00000000-0005-0000-0000-000039040000}"/>
    <cellStyle name="_MultipleSpace_RBOC historicals_Company0886" xfId="1139" xr:uid="{00000000-0005-0000-0000-00003A040000}"/>
    <cellStyle name="_MultipleSpace_RBOC historicals_Company1003" xfId="1140" xr:uid="{00000000-0005-0000-0000-00003B040000}"/>
    <cellStyle name="_MultipleSpace_RBOC historicals_Company1415" xfId="1141" xr:uid="{00000000-0005-0000-0000-00003C040000}"/>
    <cellStyle name="_MultipleSpace_RBOC historicals_Company1718" xfId="1142" xr:uid="{00000000-0005-0000-0000-00003D040000}"/>
    <cellStyle name="_MultipleSpace_RBOC historicals_NAV" xfId="1143" xr:uid="{00000000-0005-0000-0000-00003E040000}"/>
    <cellStyle name="_MultipleSpace_RBOC historicals_Company1995" xfId="1144" xr:uid="{00000000-0005-0000-0000-00003F040000}"/>
    <cellStyle name="_MultipleSpace_RBOC historicals_PCAR" xfId="1145" xr:uid="{00000000-0005-0000-0000-000040040000}"/>
    <cellStyle name="_MultipleSpace_RBOC historicals_PH" xfId="1146" xr:uid="{00000000-0005-0000-0000-000041040000}"/>
    <cellStyle name="_MultipleSpace_RiskReward" xfId="186" xr:uid="{00000000-0005-0000-0000-000042040000}"/>
    <cellStyle name="_MultipleSpace_SFG" xfId="187" xr:uid="{00000000-0005-0000-0000-000043040000}"/>
    <cellStyle name="_MultipleSpace_Sheet1" xfId="188" xr:uid="{00000000-0005-0000-0000-000044040000}"/>
    <cellStyle name="_MultipleSpace_Sheet1 2" xfId="1147" xr:uid="{00000000-0005-0000-0000-000045040000}"/>
    <cellStyle name="_MultipleSpace_Sheet1 3" xfId="3387" xr:uid="{00000000-0005-0000-0000-000046040000}"/>
    <cellStyle name="_MultipleSpace_Sheet1 4" xfId="3531" xr:uid="{00000000-0005-0000-0000-000047040000}"/>
    <cellStyle name="_MultipleSpace_SOP" xfId="1148" xr:uid="{00000000-0005-0000-0000-000048040000}"/>
    <cellStyle name="_MultipleSpace_SRE" xfId="1149" xr:uid="{00000000-0005-0000-0000-000049040000}"/>
    <cellStyle name="_MultipleSpace_SRE Working" xfId="1150" xr:uid="{00000000-0005-0000-0000-00004A040000}"/>
    <cellStyle name="_MultipleSpace_Stock-QTR1 FDS" xfId="189" xr:uid="{00000000-0005-0000-0000-00004B040000}"/>
    <cellStyle name="_MultipleSpace_symcqtis" xfId="1151" xr:uid="{00000000-0005-0000-0000-00004C040000}"/>
    <cellStyle name="_MultipleSpace_T - new" xfId="1152" xr:uid="{00000000-0005-0000-0000-00004D040000}"/>
    <cellStyle name="_MultipleSpace_T - new 2" xfId="1153" xr:uid="{00000000-0005-0000-0000-00004E040000}"/>
    <cellStyle name="_MultipleSpace_T - new 3" xfId="1154" xr:uid="{00000000-0005-0000-0000-00004F040000}"/>
    <cellStyle name="_MultipleSpace_T - new_AG" xfId="1155" xr:uid="{00000000-0005-0000-0000-000050040000}"/>
    <cellStyle name="_MultipleSpace_T - new_CNH" xfId="1156" xr:uid="{00000000-0005-0000-0000-000051040000}"/>
    <cellStyle name="_MultipleSpace_T - new_Company0750" xfId="1157" xr:uid="{00000000-0005-0000-0000-000052040000}"/>
    <cellStyle name="_MultipleSpace_T - new_Company0886" xfId="1158" xr:uid="{00000000-0005-0000-0000-000053040000}"/>
    <cellStyle name="_MultipleSpace_T - new_Company1003" xfId="1159" xr:uid="{00000000-0005-0000-0000-000054040000}"/>
    <cellStyle name="_MultipleSpace_T - new_Company1415" xfId="1160" xr:uid="{00000000-0005-0000-0000-000055040000}"/>
    <cellStyle name="_MultipleSpace_T - new_Company1718" xfId="1161" xr:uid="{00000000-0005-0000-0000-000056040000}"/>
    <cellStyle name="_MultipleSpace_T - new_NAV" xfId="1162" xr:uid="{00000000-0005-0000-0000-000057040000}"/>
    <cellStyle name="_MultipleSpace_T - new_Company1995" xfId="1163" xr:uid="{00000000-0005-0000-0000-000058040000}"/>
    <cellStyle name="_MultipleSpace_T - new_PCAR" xfId="1164" xr:uid="{00000000-0005-0000-0000-000059040000}"/>
    <cellStyle name="_MultipleSpace_T - new_PH" xfId="1165" xr:uid="{00000000-0005-0000-0000-00005A040000}"/>
    <cellStyle name="_MultipleSpace_Company2661" xfId="190" xr:uid="{00000000-0005-0000-0000-00005B040000}"/>
    <cellStyle name="_MultipleSpace_Updated Valuation Changes" xfId="191" xr:uid="{00000000-0005-0000-0000-00005C040000}"/>
    <cellStyle name="_MultipleSpace_Val Sheets" xfId="1166" xr:uid="{00000000-0005-0000-0000-00005D040000}"/>
    <cellStyle name="_MultipleSpace_Valuation Graphs" xfId="192" xr:uid="{00000000-0005-0000-0000-00005E040000}"/>
    <cellStyle name="_MultipleSpace_WFT published 1-30-07 Client version (2)" xfId="1167" xr:uid="{00000000-0005-0000-0000-00005F040000}"/>
    <cellStyle name="_MultipleSpace_WFT published 1-30-07 Client version (2) 2" xfId="1168" xr:uid="{00000000-0005-0000-0000-000060040000}"/>
    <cellStyle name="_MultipleSpace_xratio - historical mkt val" xfId="193" xr:uid="{00000000-0005-0000-0000-000061040000}"/>
    <cellStyle name="_Percent" xfId="194" xr:uid="{00000000-0005-0000-0000-000062040000}"/>
    <cellStyle name="_Percent 2" xfId="1169" xr:uid="{00000000-0005-0000-0000-000063040000}"/>
    <cellStyle name="_Percent 3" xfId="1170" xr:uid="{00000000-0005-0000-0000-000064040000}"/>
    <cellStyle name="_Percent_AG" xfId="1171" xr:uid="{00000000-0005-0000-0000-000065040000}"/>
    <cellStyle name="_Percent_BHI" xfId="1172" xr:uid="{00000000-0005-0000-0000-000066040000}"/>
    <cellStyle name="_Percent_BHI 2" xfId="1173" xr:uid="{00000000-0005-0000-0000-000067040000}"/>
    <cellStyle name="_Percent_BHI 3" xfId="1174" xr:uid="{00000000-0005-0000-0000-000068040000}"/>
    <cellStyle name="_Percent_BHI_AG" xfId="1175" xr:uid="{00000000-0005-0000-0000-000069040000}"/>
    <cellStyle name="_Percent_BHI_CNH" xfId="1176" xr:uid="{00000000-0005-0000-0000-00006A040000}"/>
    <cellStyle name="_Percent_BHI_Company0750" xfId="1177" xr:uid="{00000000-0005-0000-0000-00006B040000}"/>
    <cellStyle name="_Percent_BHI_Company0886" xfId="1178" xr:uid="{00000000-0005-0000-0000-00006C040000}"/>
    <cellStyle name="_Percent_BHI_Company1003" xfId="1179" xr:uid="{00000000-0005-0000-0000-00006D040000}"/>
    <cellStyle name="_Percent_BHI_Company1415" xfId="1180" xr:uid="{00000000-0005-0000-0000-00006E040000}"/>
    <cellStyle name="_Percent_BHI_Company1718" xfId="1181" xr:uid="{00000000-0005-0000-0000-00006F040000}"/>
    <cellStyle name="_Percent_BHI_NAV" xfId="1182" xr:uid="{00000000-0005-0000-0000-000070040000}"/>
    <cellStyle name="_Percent_BHI_Company1995" xfId="1183" xr:uid="{00000000-0005-0000-0000-000071040000}"/>
    <cellStyle name="_Percent_BHI_PCAR" xfId="1184" xr:uid="{00000000-0005-0000-0000-000072040000}"/>
    <cellStyle name="_Percent_BHI_PH" xfId="1185" xr:uid="{00000000-0005-0000-0000-000073040000}"/>
    <cellStyle name="_Percent_Broadcasting" xfId="1186" xr:uid="{00000000-0005-0000-0000-000074040000}"/>
    <cellStyle name="_Percent_CNH" xfId="1187" xr:uid="{00000000-0005-0000-0000-000075040000}"/>
    <cellStyle name="_Percent_Company0689" xfId="1188" xr:uid="{00000000-0005-0000-0000-000076040000}"/>
    <cellStyle name="_Percent_DCF Alexander Person0382" xfId="195" xr:uid="{00000000-0005-0000-0000-000077040000}"/>
    <cellStyle name="_Percent_Company0750" xfId="1189" xr:uid="{00000000-0005-0000-0000-000078040000}"/>
    <cellStyle name="_Percent_Company0886" xfId="1190" xr:uid="{00000000-0005-0000-0000-000079040000}"/>
    <cellStyle name="_Percent_FMBI MBHI Graphs" xfId="196" xr:uid="{00000000-0005-0000-0000-00007A040000}"/>
    <cellStyle name="_Percent_FMBI MBHI Graphs 07102001" xfId="197" xr:uid="{00000000-0005-0000-0000-00007B040000}"/>
    <cellStyle name="_Percent_FMBI MBHI Graphs_7601" xfId="198" xr:uid="{00000000-0005-0000-0000-00007C040000}"/>
    <cellStyle name="_Percent_Company1003" xfId="1191" xr:uid="{00000000-0005-0000-0000-00007D040000}"/>
    <cellStyle name="_Percent_Ticker0015_Person0155_Company0610_mod (Working)" xfId="1192" xr:uid="{00000000-0005-0000-0000-00007E040000}"/>
    <cellStyle name="_Percent_Ticker0015_Person0114_MOTMOD" xfId="1193" xr:uid="{00000000-0005-0000-0000-00007F040000}"/>
    <cellStyle name="_Percent_gs_scur_internal " xfId="1194" xr:uid="{00000000-0005-0000-0000-000080040000}"/>
    <cellStyle name="_Percent_gs_scur_internal  2" xfId="1195" xr:uid="{00000000-0005-0000-0000-000081040000}"/>
    <cellStyle name="_Percent_Hist Summary" xfId="1196" xr:uid="{00000000-0005-0000-0000-000082040000}"/>
    <cellStyle name="_Percent_Company1415" xfId="1197" xr:uid="{00000000-0005-0000-0000-000083040000}"/>
    <cellStyle name="_Percent_Person0607" xfId="1198" xr:uid="{00000000-0005-0000-0000-000084040000}"/>
    <cellStyle name="_Percent_Machinery group valuation" xfId="1199" xr:uid="{00000000-0005-0000-0000-000085040000}"/>
    <cellStyle name="_Percent_Company1718" xfId="1200" xr:uid="{00000000-0005-0000-0000-000086040000}"/>
    <cellStyle name="_Percent_MLP Val-Client-10_02_06" xfId="1201" xr:uid="{00000000-0005-0000-0000-000087040000}"/>
    <cellStyle name="_Percent_NAV" xfId="1202" xr:uid="{00000000-0005-0000-0000-000088040000}"/>
    <cellStyle name="_Percent_Company1995" xfId="1203" xr:uid="{00000000-0005-0000-0000-000089040000}"/>
    <cellStyle name="_Percent_PCAR" xfId="1204" xr:uid="{00000000-0005-0000-0000-00008A040000}"/>
    <cellStyle name="_Percent_PH" xfId="1205" xr:uid="{00000000-0005-0000-0000-00008B040000}"/>
    <cellStyle name="_Percent_Sheet1" xfId="1206" xr:uid="{00000000-0005-0000-0000-00008C040000}"/>
    <cellStyle name="_Percent_symcqtis" xfId="1207" xr:uid="{00000000-0005-0000-0000-00008D040000}"/>
    <cellStyle name="_Percent_Utility" xfId="1208" xr:uid="{00000000-0005-0000-0000-00008E040000}"/>
    <cellStyle name="_Percent_WFT published 1-30-07 Client version (2)" xfId="1209" xr:uid="{00000000-0005-0000-0000-00008F040000}"/>
    <cellStyle name="_Percent_WFT published 1-30-07 Client version (2) 2" xfId="1210" xr:uid="{00000000-0005-0000-0000-000090040000}"/>
    <cellStyle name="_PercentSpace" xfId="199" xr:uid="{00000000-0005-0000-0000-000091040000}"/>
    <cellStyle name="_PercentSpace 2" xfId="1211" xr:uid="{00000000-0005-0000-0000-000092040000}"/>
    <cellStyle name="_PercentSpace 3" xfId="1212" xr:uid="{00000000-0005-0000-0000-000093040000}"/>
    <cellStyle name="_PercentSpace_01 adj for merger plan" xfId="200" xr:uid="{00000000-0005-0000-0000-000094040000}"/>
    <cellStyle name="_PercentSpace_AG" xfId="1213" xr:uid="{00000000-0005-0000-0000-000095040000}"/>
    <cellStyle name="_PercentSpace_BHI" xfId="1214" xr:uid="{00000000-0005-0000-0000-000096040000}"/>
    <cellStyle name="_PercentSpace_BHI 2" xfId="1215" xr:uid="{00000000-0005-0000-0000-000097040000}"/>
    <cellStyle name="_PercentSpace_BHI 3" xfId="1216" xr:uid="{00000000-0005-0000-0000-000098040000}"/>
    <cellStyle name="_PercentSpace_BHI_AG" xfId="1217" xr:uid="{00000000-0005-0000-0000-000099040000}"/>
    <cellStyle name="_PercentSpace_BHI_CNH" xfId="1218" xr:uid="{00000000-0005-0000-0000-00009A040000}"/>
    <cellStyle name="_PercentSpace_BHI_Company0750" xfId="1219" xr:uid="{00000000-0005-0000-0000-00009B040000}"/>
    <cellStyle name="_PercentSpace_BHI_Company0886" xfId="1220" xr:uid="{00000000-0005-0000-0000-00009C040000}"/>
    <cellStyle name="_PercentSpace_BHI_Company1003" xfId="1221" xr:uid="{00000000-0005-0000-0000-00009D040000}"/>
    <cellStyle name="_PercentSpace_BHI_Company1415" xfId="1222" xr:uid="{00000000-0005-0000-0000-00009E040000}"/>
    <cellStyle name="_PercentSpace_BHI_Company1718" xfId="1223" xr:uid="{00000000-0005-0000-0000-00009F040000}"/>
    <cellStyle name="_PercentSpace_BHI_NAV" xfId="1224" xr:uid="{00000000-0005-0000-0000-0000A0040000}"/>
    <cellStyle name="_PercentSpace_BHI_Company1995" xfId="1225" xr:uid="{00000000-0005-0000-0000-0000A1040000}"/>
    <cellStyle name="_PercentSpace_BHI_PCAR" xfId="1226" xr:uid="{00000000-0005-0000-0000-0000A2040000}"/>
    <cellStyle name="_PercentSpace_BHI_PH" xfId="1227" xr:uid="{00000000-0005-0000-0000-0000A3040000}"/>
    <cellStyle name="_PercentSpace_Broadcasting" xfId="1228" xr:uid="{00000000-0005-0000-0000-0000A4040000}"/>
    <cellStyle name="_PercentSpace_CNH" xfId="1229" xr:uid="{00000000-0005-0000-0000-0000A5040000}"/>
    <cellStyle name="_PercentSpace_Company0689" xfId="1230" xr:uid="{00000000-0005-0000-0000-0000A6040000}"/>
    <cellStyle name="_PercentSpace_DCF Alexander Person0382" xfId="201" xr:uid="{00000000-0005-0000-0000-0000A7040000}"/>
    <cellStyle name="_PercentSpace_Company0750" xfId="1231" xr:uid="{00000000-0005-0000-0000-0000A8040000}"/>
    <cellStyle name="_PercentSpace_Company0886" xfId="1232" xr:uid="{00000000-0005-0000-0000-0000A9040000}"/>
    <cellStyle name="_PercentSpace_FMBI MBHI Graphs" xfId="202" xr:uid="{00000000-0005-0000-0000-0000AA040000}"/>
    <cellStyle name="_PercentSpace_FMBI MBHI Graphs 07102001" xfId="203" xr:uid="{00000000-0005-0000-0000-0000AB040000}"/>
    <cellStyle name="_PercentSpace_FMBI MBHI Graphs_7601" xfId="204" xr:uid="{00000000-0005-0000-0000-0000AC040000}"/>
    <cellStyle name="_PercentSpace_Company1003" xfId="1233" xr:uid="{00000000-0005-0000-0000-0000AD040000}"/>
    <cellStyle name="_PercentSpace_Ticker0015_Person0155_Company0610_mod (Working)" xfId="1234" xr:uid="{00000000-0005-0000-0000-0000AE040000}"/>
    <cellStyle name="_PercentSpace_Ticker0015_Person0114_MOTMOD" xfId="1235" xr:uid="{00000000-0005-0000-0000-0000AF040000}"/>
    <cellStyle name="_PercentSpace_gs_scur_internal " xfId="1236" xr:uid="{00000000-0005-0000-0000-0000B0040000}"/>
    <cellStyle name="_PercentSpace_gs_scur_internal  2" xfId="1237" xr:uid="{00000000-0005-0000-0000-0000B1040000}"/>
    <cellStyle name="_PercentSpace_Hist Summary" xfId="1238" xr:uid="{00000000-0005-0000-0000-0000B2040000}"/>
    <cellStyle name="_PercentSpace_Company1415" xfId="1239" xr:uid="{00000000-0005-0000-0000-0000B3040000}"/>
    <cellStyle name="_PercentSpace_Person0607" xfId="1240" xr:uid="{00000000-0005-0000-0000-0000B4040000}"/>
    <cellStyle name="_PercentSpace_Machinery group valuation" xfId="1241" xr:uid="{00000000-0005-0000-0000-0000B5040000}"/>
    <cellStyle name="_PercentSpace_Company1718" xfId="1242" xr:uid="{00000000-0005-0000-0000-0000B6040000}"/>
    <cellStyle name="_PercentSpace_MLP Val-Client-10_02_06" xfId="1243" xr:uid="{00000000-0005-0000-0000-0000B7040000}"/>
    <cellStyle name="_PercentSpace_NAV" xfId="1244" xr:uid="{00000000-0005-0000-0000-0000B8040000}"/>
    <cellStyle name="_PercentSpace_Company1995" xfId="1245" xr:uid="{00000000-0005-0000-0000-0000B9040000}"/>
    <cellStyle name="_PercentSpace_PCAR" xfId="1246" xr:uid="{00000000-0005-0000-0000-0000BA040000}"/>
    <cellStyle name="_PercentSpace_PH" xfId="1247" xr:uid="{00000000-0005-0000-0000-0000BB040000}"/>
    <cellStyle name="_PercentSpace_Sheet1" xfId="1248" xr:uid="{00000000-0005-0000-0000-0000BC040000}"/>
    <cellStyle name="_PercentSpace_symcqtis" xfId="1249" xr:uid="{00000000-0005-0000-0000-0000BD040000}"/>
    <cellStyle name="_PercentSpace_Utility" xfId="1250" xr:uid="{00000000-0005-0000-0000-0000BE040000}"/>
    <cellStyle name="_PercentSpace_WFT published 1-30-07 Client version (2)" xfId="1251" xr:uid="{00000000-0005-0000-0000-0000BF040000}"/>
    <cellStyle name="_PercentSpace_WFT published 1-30-07 Client version (2) 2" xfId="1252" xr:uid="{00000000-0005-0000-0000-0000C0040000}"/>
    <cellStyle name="_SubHeading" xfId="205" xr:uid="{00000000-0005-0000-0000-0000C1040000}"/>
    <cellStyle name="_SubHeading 2" xfId="1254" xr:uid="{00000000-0005-0000-0000-0000C2040000}"/>
    <cellStyle name="_SubHeading 3" xfId="1255" xr:uid="{00000000-0005-0000-0000-0000C3040000}"/>
    <cellStyle name="_SubHeading 4" xfId="1253" xr:uid="{00000000-0005-0000-0000-0000C4040000}"/>
    <cellStyle name="_SubHeading 5" xfId="3507" xr:uid="{00000000-0005-0000-0000-0000C5040000}"/>
    <cellStyle name="_SubHeading_Ability to Pay Analysis" xfId="206" xr:uid="{00000000-0005-0000-0000-0000C6040000}"/>
    <cellStyle name="_SubHeading_AG" xfId="1256" xr:uid="{00000000-0005-0000-0000-0000C7040000}"/>
    <cellStyle name="_SubHeading_Company0358 Model" xfId="207" xr:uid="{00000000-0005-0000-0000-0000C8040000}"/>
    <cellStyle name="_SubHeading_BLS" xfId="1257" xr:uid="{00000000-0005-0000-0000-0000C9040000}"/>
    <cellStyle name="_SubHeading_BLS 2" xfId="1258" xr:uid="{00000000-0005-0000-0000-0000CA040000}"/>
    <cellStyle name="_SubHeading_bls roic" xfId="1259" xr:uid="{00000000-0005-0000-0000-0000CB040000}"/>
    <cellStyle name="_SubHeading_BLS_MLP Val-Client-10_02_06" xfId="1260" xr:uid="{00000000-0005-0000-0000-0000CC040000}"/>
    <cellStyle name="_SubHeading_Book9" xfId="1261" xr:uid="{00000000-0005-0000-0000-0000CD040000}"/>
    <cellStyle name="_SubHeading_Book9 2" xfId="1262" xr:uid="{00000000-0005-0000-0000-0000CE040000}"/>
    <cellStyle name="_SubHeading_Book9_MLP Val-Client-10_02_06" xfId="1263" xr:uid="{00000000-0005-0000-0000-0000CF040000}"/>
    <cellStyle name="_SubHeading_Broadband Comps" xfId="1264" xr:uid="{00000000-0005-0000-0000-0000D0040000}"/>
    <cellStyle name="_SubHeading_Broadband Comps 2" xfId="1265" xr:uid="{00000000-0005-0000-0000-0000D1040000}"/>
    <cellStyle name="_SubHeading_Broadband Comps_MLP Val-Client-10_02_06" xfId="1266" xr:uid="{00000000-0005-0000-0000-0000D2040000}"/>
    <cellStyle name="_SubHeading_capital expenditures 6-18-02" xfId="1267" xr:uid="{00000000-0005-0000-0000-0000D3040000}"/>
    <cellStyle name="_SubHeading_CAT" xfId="1268" xr:uid="{00000000-0005-0000-0000-0000D4040000}"/>
    <cellStyle name="_SubHeading_CNH" xfId="1269" xr:uid="{00000000-0005-0000-0000-0000D5040000}"/>
    <cellStyle name="_SubHeading_Company0689" xfId="1270" xr:uid="{00000000-0005-0000-0000-0000D6040000}"/>
    <cellStyle name="_SubHeading_Company0619" xfId="1271" xr:uid="{00000000-0005-0000-0000-0000D7040000}"/>
    <cellStyle name="_SubHeading_Company0619 2" xfId="1272" xr:uid="{00000000-0005-0000-0000-0000D8040000}"/>
    <cellStyle name="_SubHeading_Company0619_MLP Val-Client-10_02_06" xfId="1273" xr:uid="{00000000-0005-0000-0000-0000D9040000}"/>
    <cellStyle name="_SubHeading_DE-working" xfId="1274" xr:uid="{00000000-0005-0000-0000-0000DA040000}"/>
    <cellStyle name="_SubHeading_Company0750" xfId="1275" xr:uid="{00000000-0005-0000-0000-0000DB040000}"/>
    <cellStyle name="_SubHeading_Company0886" xfId="1276" xr:uid="{00000000-0005-0000-0000-0000DC040000}"/>
    <cellStyle name="_SubHeading_fmbi counties" xfId="208" xr:uid="{00000000-0005-0000-0000-0000DD040000}"/>
    <cellStyle name="_SubHeading_FMBI MBHI Graphs" xfId="209" xr:uid="{00000000-0005-0000-0000-0000DE040000}"/>
    <cellStyle name="_SubHeading_FMBI MBHI Graphs 07102001" xfId="210" xr:uid="{00000000-0005-0000-0000-0000DF040000}"/>
    <cellStyle name="_SubHeading_FMBI MBHI Graphs_7601" xfId="211" xr:uid="{00000000-0005-0000-0000-0000E0040000}"/>
    <cellStyle name="_SubHeading_Company1003" xfId="1277" xr:uid="{00000000-0005-0000-0000-0000E1040000}"/>
    <cellStyle name="_SubHeading_Company1415" xfId="1278" xr:uid="{00000000-0005-0000-0000-0000E2040000}"/>
    <cellStyle name="_SubHeading_Person0607" xfId="1279" xr:uid="{00000000-0005-0000-0000-0000E3040000}"/>
    <cellStyle name="_SubHeading_Company1718" xfId="1280" xr:uid="{00000000-0005-0000-0000-0000E4040000}"/>
    <cellStyle name="_SubHeading_NAV" xfId="1281" xr:uid="{00000000-0005-0000-0000-0000E5040000}"/>
    <cellStyle name="_SubHeading_Company1995" xfId="1282" xr:uid="{00000000-0005-0000-0000-0000E6040000}"/>
    <cellStyle name="_SubHeading_PCAR" xfId="1283" xr:uid="{00000000-0005-0000-0000-0000E7040000}"/>
    <cellStyle name="_SubHeading_PH" xfId="1284" xr:uid="{00000000-0005-0000-0000-0000E8040000}"/>
    <cellStyle name="_SubHeading_prestemp" xfId="212" xr:uid="{00000000-0005-0000-0000-0000E9040000}"/>
    <cellStyle name="_SubHeading_prestemp_Insurance Brokerage CSC_1Q2002" xfId="213" xr:uid="{00000000-0005-0000-0000-0000EA040000}"/>
    <cellStyle name="_SubHeading_prestemp_Overview3" xfId="214" xr:uid="{00000000-0005-0000-0000-0000EB040000}"/>
    <cellStyle name="_SubHeading_prestemp_Updated Valuation Changes" xfId="215" xr:uid="{00000000-0005-0000-0000-0000EC040000}"/>
    <cellStyle name="_SubHeading_Q" xfId="1285" xr:uid="{00000000-0005-0000-0000-0000ED040000}"/>
    <cellStyle name="_SubHeading_q - new guidance" xfId="1286" xr:uid="{00000000-0005-0000-0000-0000EE040000}"/>
    <cellStyle name="_SubHeading_q - new guidance 2" xfId="1287" xr:uid="{00000000-0005-0000-0000-0000EF040000}"/>
    <cellStyle name="_SubHeading_q - new guidance_MLP Val-Client-10_02_06" xfId="1288" xr:uid="{00000000-0005-0000-0000-0000F0040000}"/>
    <cellStyle name="_SubHeading_q - valuation" xfId="1289" xr:uid="{00000000-0005-0000-0000-0000F1040000}"/>
    <cellStyle name="_SubHeading_q - valuation 2" xfId="1290" xr:uid="{00000000-0005-0000-0000-0000F2040000}"/>
    <cellStyle name="_SubHeading_q - valuation_MLP Val-Client-10_02_06" xfId="1291" xr:uid="{00000000-0005-0000-0000-0000F3040000}"/>
    <cellStyle name="_SubHeading_Q 2" xfId="1292" xr:uid="{00000000-0005-0000-0000-0000F4040000}"/>
    <cellStyle name="_SubHeading_Q model_041802" xfId="1293" xr:uid="{00000000-0005-0000-0000-0000F5040000}"/>
    <cellStyle name="_SubHeading_Q model_041802 2" xfId="1294" xr:uid="{00000000-0005-0000-0000-0000F6040000}"/>
    <cellStyle name="_SubHeading_Q model_041802_MLP Val-Client-10_02_06" xfId="1295" xr:uid="{00000000-0005-0000-0000-0000F7040000}"/>
    <cellStyle name="_SubHeading_Q_MLP Val-Client-10_02_06" xfId="1296" xr:uid="{00000000-0005-0000-0000-0000F8040000}"/>
    <cellStyle name="_SubHeading_Q_update" xfId="1297" xr:uid="{00000000-0005-0000-0000-0000F9040000}"/>
    <cellStyle name="_SubHeading_Q_update 2" xfId="1298" xr:uid="{00000000-0005-0000-0000-0000FA040000}"/>
    <cellStyle name="_SubHeading_Q_update_MLP Val-Client-10_02_06" xfId="1299" xr:uid="{00000000-0005-0000-0000-0000FB040000}"/>
    <cellStyle name="_SubHeading_Company2209 Analysis" xfId="1300" xr:uid="{00000000-0005-0000-0000-0000FC040000}"/>
    <cellStyle name="_SubHeading_Company2209 Analysis 2" xfId="1301" xr:uid="{00000000-0005-0000-0000-0000FD040000}"/>
    <cellStyle name="_SubHeading_Company2209 Analysis_MLP Val-Client-10_02_06" xfId="1302" xr:uid="{00000000-0005-0000-0000-0000FE040000}"/>
    <cellStyle name="_SubHeading_RBOC historicals" xfId="1303" xr:uid="{00000000-0005-0000-0000-0000FF040000}"/>
    <cellStyle name="_SubHeading_Sheet1" xfId="1304" xr:uid="{00000000-0005-0000-0000-000000050000}"/>
    <cellStyle name="_SubHeading_T - new" xfId="1305" xr:uid="{00000000-0005-0000-0000-000001050000}"/>
    <cellStyle name="_SubHeading_Valuation vals" xfId="1306" xr:uid="{00000000-0005-0000-0000-000002050000}"/>
    <cellStyle name="_SubHeading_VZ" xfId="1307" xr:uid="{00000000-0005-0000-0000-000003050000}"/>
    <cellStyle name="_SubHeading_VZ 2" xfId="1308" xr:uid="{00000000-0005-0000-0000-000004050000}"/>
    <cellStyle name="_SubHeading_VZ_MLP Val-Client-10_02_06" xfId="1309" xr:uid="{00000000-0005-0000-0000-000005050000}"/>
    <cellStyle name="_SubHeading_xratio - historical mkt val" xfId="216" xr:uid="{00000000-0005-0000-0000-000006050000}"/>
    <cellStyle name="_Table" xfId="217" xr:uid="{00000000-0005-0000-0000-000007050000}"/>
    <cellStyle name="_Table 2" xfId="1311" xr:uid="{00000000-0005-0000-0000-000008050000}"/>
    <cellStyle name="_Table 3" xfId="1312" xr:uid="{00000000-0005-0000-0000-000009050000}"/>
    <cellStyle name="_Table 4" xfId="1310" xr:uid="{00000000-0005-0000-0000-00000A050000}"/>
    <cellStyle name="_Table 5" xfId="3508" xr:uid="{00000000-0005-0000-0000-00000B050000}"/>
    <cellStyle name="_Table_Ability to Pay Analysis" xfId="218" xr:uid="{00000000-0005-0000-0000-00000C050000}"/>
    <cellStyle name="_Table_AG" xfId="1313" xr:uid="{00000000-0005-0000-0000-00000D050000}"/>
    <cellStyle name="_Table_Company0358 Model" xfId="219" xr:uid="{00000000-0005-0000-0000-00000E050000}"/>
    <cellStyle name="_Table_Company0358 Model 2" xfId="3388" xr:uid="{00000000-0005-0000-0000-00000F050000}"/>
    <cellStyle name="_Table_BLS" xfId="1314" xr:uid="{00000000-0005-0000-0000-000010050000}"/>
    <cellStyle name="_Table_BLS 2" xfId="1315" xr:uid="{00000000-0005-0000-0000-000011050000}"/>
    <cellStyle name="_Table_bls roic" xfId="1316" xr:uid="{00000000-0005-0000-0000-000012050000}"/>
    <cellStyle name="_Table_BLS_MLP Val-Client-10_02_06" xfId="1317" xr:uid="{00000000-0005-0000-0000-000013050000}"/>
    <cellStyle name="_Table_Book9" xfId="1318" xr:uid="{00000000-0005-0000-0000-000014050000}"/>
    <cellStyle name="_Table_Book9 2" xfId="1319" xr:uid="{00000000-0005-0000-0000-000015050000}"/>
    <cellStyle name="_Table_Book9_MLP Val-Client-10_02_06" xfId="1320" xr:uid="{00000000-0005-0000-0000-000016050000}"/>
    <cellStyle name="_Table_Broadband Comps" xfId="1321" xr:uid="{00000000-0005-0000-0000-000017050000}"/>
    <cellStyle name="_Table_Broadband Comps 2" xfId="1322" xr:uid="{00000000-0005-0000-0000-000018050000}"/>
    <cellStyle name="_Table_Broadband Comps_MLP Val-Client-10_02_06" xfId="1323" xr:uid="{00000000-0005-0000-0000-000019050000}"/>
    <cellStyle name="_Table_capital expenditures 6-18-02" xfId="1324" xr:uid="{00000000-0005-0000-0000-00001A050000}"/>
    <cellStyle name="_Table_CAT" xfId="1325" xr:uid="{00000000-0005-0000-0000-00001B050000}"/>
    <cellStyle name="_Table_CNH" xfId="1326" xr:uid="{00000000-0005-0000-0000-00001C050000}"/>
    <cellStyle name="_Table_Company0689" xfId="1327" xr:uid="{00000000-0005-0000-0000-00001D050000}"/>
    <cellStyle name="_Table_Company0619" xfId="1328" xr:uid="{00000000-0005-0000-0000-00001E050000}"/>
    <cellStyle name="_Table_Company0619 2" xfId="1329" xr:uid="{00000000-0005-0000-0000-00001F050000}"/>
    <cellStyle name="_Table_Company0619_MLP Val-Client-10_02_06" xfId="1330" xr:uid="{00000000-0005-0000-0000-000020050000}"/>
    <cellStyle name="_Table_DE-working" xfId="1331" xr:uid="{00000000-0005-0000-0000-000021050000}"/>
    <cellStyle name="_Table_Company0750" xfId="1332" xr:uid="{00000000-0005-0000-0000-000022050000}"/>
    <cellStyle name="_Table_Company0886" xfId="1333" xr:uid="{00000000-0005-0000-0000-000023050000}"/>
    <cellStyle name="_Table_fmbi counties" xfId="220" xr:uid="{00000000-0005-0000-0000-000024050000}"/>
    <cellStyle name="_Table_Company1003" xfId="1334" xr:uid="{00000000-0005-0000-0000-000025050000}"/>
    <cellStyle name="_Table_Company1415" xfId="1335" xr:uid="{00000000-0005-0000-0000-000026050000}"/>
    <cellStyle name="_Table_Person0607" xfId="1336" xr:uid="{00000000-0005-0000-0000-000027050000}"/>
    <cellStyle name="_Table_Company1718" xfId="1337" xr:uid="{00000000-0005-0000-0000-000028050000}"/>
    <cellStyle name="_Table_NAV" xfId="1338" xr:uid="{00000000-0005-0000-0000-000029050000}"/>
    <cellStyle name="_Table_Company1995" xfId="1339" xr:uid="{00000000-0005-0000-0000-00002A050000}"/>
    <cellStyle name="_Table_PCAR" xfId="1340" xr:uid="{00000000-0005-0000-0000-00002B050000}"/>
    <cellStyle name="_Table_PH" xfId="1341" xr:uid="{00000000-0005-0000-0000-00002C050000}"/>
    <cellStyle name="_Table_Q" xfId="1342" xr:uid="{00000000-0005-0000-0000-00002D050000}"/>
    <cellStyle name="_Table_q - new guidance" xfId="1343" xr:uid="{00000000-0005-0000-0000-00002E050000}"/>
    <cellStyle name="_Table_q - new guidance 2" xfId="1344" xr:uid="{00000000-0005-0000-0000-00002F050000}"/>
    <cellStyle name="_Table_q - new guidance_MLP Val-Client-10_02_06" xfId="1345" xr:uid="{00000000-0005-0000-0000-000030050000}"/>
    <cellStyle name="_Table_q - valuation" xfId="1346" xr:uid="{00000000-0005-0000-0000-000031050000}"/>
    <cellStyle name="_Table_q - valuation 2" xfId="1347" xr:uid="{00000000-0005-0000-0000-000032050000}"/>
    <cellStyle name="_Table_q - valuation_MLP Val-Client-10_02_06" xfId="1348" xr:uid="{00000000-0005-0000-0000-000033050000}"/>
    <cellStyle name="_Table_Q 2" xfId="1349" xr:uid="{00000000-0005-0000-0000-000034050000}"/>
    <cellStyle name="_Table_Q model_041802" xfId="1350" xr:uid="{00000000-0005-0000-0000-000035050000}"/>
    <cellStyle name="_Table_Q model_041802 2" xfId="1351" xr:uid="{00000000-0005-0000-0000-000036050000}"/>
    <cellStyle name="_Table_Q model_041802_MLP Val-Client-10_02_06" xfId="1352" xr:uid="{00000000-0005-0000-0000-000037050000}"/>
    <cellStyle name="_Table_Q_MLP Val-Client-10_02_06" xfId="1353" xr:uid="{00000000-0005-0000-0000-000038050000}"/>
    <cellStyle name="_Table_Q_update" xfId="1354" xr:uid="{00000000-0005-0000-0000-000039050000}"/>
    <cellStyle name="_Table_Q_update 2" xfId="1355" xr:uid="{00000000-0005-0000-0000-00003A050000}"/>
    <cellStyle name="_Table_Q_update_MLP Val-Client-10_02_06" xfId="1356" xr:uid="{00000000-0005-0000-0000-00003B050000}"/>
    <cellStyle name="_Table_Company2209 Analysis" xfId="1357" xr:uid="{00000000-0005-0000-0000-00003C050000}"/>
    <cellStyle name="_Table_Company2209 Analysis 2" xfId="1358" xr:uid="{00000000-0005-0000-0000-00003D050000}"/>
    <cellStyle name="_Table_Company2209 Analysis_MLP Val-Client-10_02_06" xfId="1359" xr:uid="{00000000-0005-0000-0000-00003E050000}"/>
    <cellStyle name="_Table_RBOC historicals" xfId="1360" xr:uid="{00000000-0005-0000-0000-00003F050000}"/>
    <cellStyle name="_Table_Sheet1" xfId="1361" xr:uid="{00000000-0005-0000-0000-000040050000}"/>
    <cellStyle name="_Table_T - new" xfId="1362" xr:uid="{00000000-0005-0000-0000-000041050000}"/>
    <cellStyle name="_Table_Valuation vals" xfId="1363" xr:uid="{00000000-0005-0000-0000-000042050000}"/>
    <cellStyle name="_Table_VZ" xfId="1364" xr:uid="{00000000-0005-0000-0000-000043050000}"/>
    <cellStyle name="_Table_VZ 2" xfId="1365" xr:uid="{00000000-0005-0000-0000-000044050000}"/>
    <cellStyle name="_Table_VZ_MLP Val-Client-10_02_06" xfId="1366" xr:uid="{00000000-0005-0000-0000-000045050000}"/>
    <cellStyle name="_Table_xratio - historical mkt val" xfId="221" xr:uid="{00000000-0005-0000-0000-000046050000}"/>
    <cellStyle name="_TableHead" xfId="222" xr:uid="{00000000-0005-0000-0000-000047050000}"/>
    <cellStyle name="_TableHead 2" xfId="1368" xr:uid="{00000000-0005-0000-0000-000048050000}"/>
    <cellStyle name="_TableHead 3" xfId="1369" xr:uid="{00000000-0005-0000-0000-000049050000}"/>
    <cellStyle name="_TableHead 4" xfId="1367" xr:uid="{00000000-0005-0000-0000-00004A050000}"/>
    <cellStyle name="_TableHead 5" xfId="3509" xr:uid="{00000000-0005-0000-0000-00004B050000}"/>
    <cellStyle name="_TableHead_AG" xfId="1370" xr:uid="{00000000-0005-0000-0000-00004C050000}"/>
    <cellStyle name="_TableHead_BLS" xfId="1371" xr:uid="{00000000-0005-0000-0000-00004D050000}"/>
    <cellStyle name="_TableHead_BLS 2" xfId="1372" xr:uid="{00000000-0005-0000-0000-00004E050000}"/>
    <cellStyle name="_TableHead_bls roic" xfId="1373" xr:uid="{00000000-0005-0000-0000-00004F050000}"/>
    <cellStyle name="_TableHead_BLS_MLP Val-Client-10_02_06" xfId="1374" xr:uid="{00000000-0005-0000-0000-000050050000}"/>
    <cellStyle name="_TableHead_Book9" xfId="1375" xr:uid="{00000000-0005-0000-0000-000051050000}"/>
    <cellStyle name="_TableHead_Book9 2" xfId="1376" xr:uid="{00000000-0005-0000-0000-000052050000}"/>
    <cellStyle name="_TableHead_Book9_MLP Val-Client-10_02_06" xfId="1377" xr:uid="{00000000-0005-0000-0000-000053050000}"/>
    <cellStyle name="_TableHead_Broadband Comps" xfId="1378" xr:uid="{00000000-0005-0000-0000-000054050000}"/>
    <cellStyle name="_TableHead_Broadband Comps 2" xfId="1379" xr:uid="{00000000-0005-0000-0000-000055050000}"/>
    <cellStyle name="_TableHead_Broadband Comps_MLP Val-Client-10_02_06" xfId="1380" xr:uid="{00000000-0005-0000-0000-000056050000}"/>
    <cellStyle name="_TableHead_capital expenditures 6-18-02" xfId="1381" xr:uid="{00000000-0005-0000-0000-000057050000}"/>
    <cellStyle name="_TableHead_CAT" xfId="1382" xr:uid="{00000000-0005-0000-0000-000058050000}"/>
    <cellStyle name="_TableHead_CNH" xfId="1383" xr:uid="{00000000-0005-0000-0000-000059050000}"/>
    <cellStyle name="_TableHead_Company0689" xfId="1384" xr:uid="{00000000-0005-0000-0000-00005A050000}"/>
    <cellStyle name="_TableHead_Company0619" xfId="1385" xr:uid="{00000000-0005-0000-0000-00005B050000}"/>
    <cellStyle name="_TableHead_Company0619 2" xfId="1386" xr:uid="{00000000-0005-0000-0000-00005C050000}"/>
    <cellStyle name="_TableHead_Company0619_MLP Val-Client-10_02_06" xfId="1387" xr:uid="{00000000-0005-0000-0000-00005D050000}"/>
    <cellStyle name="_TableHead_DE-working" xfId="1388" xr:uid="{00000000-0005-0000-0000-00005E050000}"/>
    <cellStyle name="_TableHead_Company0750" xfId="1389" xr:uid="{00000000-0005-0000-0000-00005F050000}"/>
    <cellStyle name="_TableHead_Company0886" xfId="1390" xr:uid="{00000000-0005-0000-0000-000060050000}"/>
    <cellStyle name="_TableHead_Company1003" xfId="1391" xr:uid="{00000000-0005-0000-0000-000061050000}"/>
    <cellStyle name="_TableHead_Company1415" xfId="1392" xr:uid="{00000000-0005-0000-0000-000062050000}"/>
    <cellStyle name="_TableHead_Person0607" xfId="1393" xr:uid="{00000000-0005-0000-0000-000063050000}"/>
    <cellStyle name="_TableHead_Company1718" xfId="1394" xr:uid="{00000000-0005-0000-0000-000064050000}"/>
    <cellStyle name="_TableHead_NAV" xfId="1395" xr:uid="{00000000-0005-0000-0000-000065050000}"/>
    <cellStyle name="_TableHead_Company1995" xfId="1396" xr:uid="{00000000-0005-0000-0000-000066050000}"/>
    <cellStyle name="_TableHead_PCAR" xfId="1397" xr:uid="{00000000-0005-0000-0000-000067050000}"/>
    <cellStyle name="_TableHead_PH" xfId="1398" xr:uid="{00000000-0005-0000-0000-000068050000}"/>
    <cellStyle name="_TableHead_Q" xfId="1399" xr:uid="{00000000-0005-0000-0000-000069050000}"/>
    <cellStyle name="_TableHead_q - new guidance" xfId="1400" xr:uid="{00000000-0005-0000-0000-00006A050000}"/>
    <cellStyle name="_TableHead_q - new guidance 2" xfId="1401" xr:uid="{00000000-0005-0000-0000-00006B050000}"/>
    <cellStyle name="_TableHead_q - new guidance_MLP Val-Client-10_02_06" xfId="1402" xr:uid="{00000000-0005-0000-0000-00006C050000}"/>
    <cellStyle name="_TableHead_q - valuation" xfId="1403" xr:uid="{00000000-0005-0000-0000-00006D050000}"/>
    <cellStyle name="_TableHead_q - valuation 2" xfId="1404" xr:uid="{00000000-0005-0000-0000-00006E050000}"/>
    <cellStyle name="_TableHead_q - valuation_MLP Val-Client-10_02_06" xfId="1405" xr:uid="{00000000-0005-0000-0000-00006F050000}"/>
    <cellStyle name="_TableHead_Q 2" xfId="1406" xr:uid="{00000000-0005-0000-0000-000070050000}"/>
    <cellStyle name="_TableHead_Q model_041802" xfId="1407" xr:uid="{00000000-0005-0000-0000-000071050000}"/>
    <cellStyle name="_TableHead_Q model_041802 2" xfId="1408" xr:uid="{00000000-0005-0000-0000-000072050000}"/>
    <cellStyle name="_TableHead_Q model_041802_MLP Val-Client-10_02_06" xfId="1409" xr:uid="{00000000-0005-0000-0000-000073050000}"/>
    <cellStyle name="_TableHead_Q_MLP Val-Client-10_02_06" xfId="1410" xr:uid="{00000000-0005-0000-0000-000074050000}"/>
    <cellStyle name="_TableHead_Q_update" xfId="1411" xr:uid="{00000000-0005-0000-0000-000075050000}"/>
    <cellStyle name="_TableHead_Q_update 2" xfId="1412" xr:uid="{00000000-0005-0000-0000-000076050000}"/>
    <cellStyle name="_TableHead_Q_update_MLP Val-Client-10_02_06" xfId="1413" xr:uid="{00000000-0005-0000-0000-000077050000}"/>
    <cellStyle name="_TableHead_QP_XXX" xfId="1414" xr:uid="{00000000-0005-0000-0000-000078050000}"/>
    <cellStyle name="_TableHead_Company2209 Analysis" xfId="1415" xr:uid="{00000000-0005-0000-0000-000079050000}"/>
    <cellStyle name="_TableHead_Company2209 Analysis 2" xfId="1416" xr:uid="{00000000-0005-0000-0000-00007A050000}"/>
    <cellStyle name="_TableHead_Company2209 Analysis_MLP Val-Client-10_02_06" xfId="1417" xr:uid="{00000000-0005-0000-0000-00007B050000}"/>
    <cellStyle name="_TableHead_RBOC historicals" xfId="1418" xr:uid="{00000000-0005-0000-0000-00007C050000}"/>
    <cellStyle name="_TableHead_Sheet1" xfId="1419" xr:uid="{00000000-0005-0000-0000-00007D050000}"/>
    <cellStyle name="_TableHead_T - new" xfId="1420" xr:uid="{00000000-0005-0000-0000-00007E050000}"/>
    <cellStyle name="_TableHead_Valuation vals" xfId="1421" xr:uid="{00000000-0005-0000-0000-00007F050000}"/>
    <cellStyle name="_TableHead_VZ" xfId="1422" xr:uid="{00000000-0005-0000-0000-000080050000}"/>
    <cellStyle name="_TableHead_VZ 2" xfId="1423" xr:uid="{00000000-0005-0000-0000-000081050000}"/>
    <cellStyle name="_TableHead_VZ_MLP Val-Client-10_02_06" xfId="1424" xr:uid="{00000000-0005-0000-0000-000082050000}"/>
    <cellStyle name="_TableHeading" xfId="1425" xr:uid="{00000000-0005-0000-0000-000083050000}"/>
    <cellStyle name="_TableRowBorder" xfId="1426" xr:uid="{00000000-0005-0000-0000-000084050000}"/>
    <cellStyle name="_TableRowBorder 2" xfId="1427" xr:uid="{00000000-0005-0000-0000-000085050000}"/>
    <cellStyle name="_TableRowHead" xfId="223" xr:uid="{00000000-0005-0000-0000-000086050000}"/>
    <cellStyle name="_TableRowHead 2" xfId="1429" xr:uid="{00000000-0005-0000-0000-000087050000}"/>
    <cellStyle name="_TableRowHead 3" xfId="1430" xr:uid="{00000000-0005-0000-0000-000088050000}"/>
    <cellStyle name="_TableRowHead 4" xfId="1428" xr:uid="{00000000-0005-0000-0000-000089050000}"/>
    <cellStyle name="_TableRowHead 5" xfId="3510" xr:uid="{00000000-0005-0000-0000-00008A050000}"/>
    <cellStyle name="_TableRowHead_AG" xfId="1431" xr:uid="{00000000-0005-0000-0000-00008B050000}"/>
    <cellStyle name="_TableRowHead_BLS" xfId="1432" xr:uid="{00000000-0005-0000-0000-00008C050000}"/>
    <cellStyle name="_TableRowHead_BLS 2" xfId="1433" xr:uid="{00000000-0005-0000-0000-00008D050000}"/>
    <cellStyle name="_TableRowHead_bls roic" xfId="1434" xr:uid="{00000000-0005-0000-0000-00008E050000}"/>
    <cellStyle name="_TableRowHead_BLS_MLP Val-Client-10_02_06" xfId="1435" xr:uid="{00000000-0005-0000-0000-00008F050000}"/>
    <cellStyle name="_TableRowHead_Book9" xfId="1436" xr:uid="{00000000-0005-0000-0000-000090050000}"/>
    <cellStyle name="_TableRowHead_Book9 2" xfId="1437" xr:uid="{00000000-0005-0000-0000-000091050000}"/>
    <cellStyle name="_TableRowHead_Book9_MLP Val-Client-10_02_06" xfId="1438" xr:uid="{00000000-0005-0000-0000-000092050000}"/>
    <cellStyle name="_TableRowHead_Broadband Comps" xfId="1439" xr:uid="{00000000-0005-0000-0000-000093050000}"/>
    <cellStyle name="_TableRowHead_Broadband Comps 2" xfId="1440" xr:uid="{00000000-0005-0000-0000-000094050000}"/>
    <cellStyle name="_TableRowHead_Broadband Comps_MLP Val-Client-10_02_06" xfId="1441" xr:uid="{00000000-0005-0000-0000-000095050000}"/>
    <cellStyle name="_TableRowHead_capital expenditures 6-18-02" xfId="1442" xr:uid="{00000000-0005-0000-0000-000096050000}"/>
    <cellStyle name="_TableRowHead_CAT" xfId="1443" xr:uid="{00000000-0005-0000-0000-000097050000}"/>
    <cellStyle name="_TableRowHead_CNH" xfId="1444" xr:uid="{00000000-0005-0000-0000-000098050000}"/>
    <cellStyle name="_TableRowHead_Company0689" xfId="1445" xr:uid="{00000000-0005-0000-0000-000099050000}"/>
    <cellStyle name="_TableRowHead_Company0619" xfId="1446" xr:uid="{00000000-0005-0000-0000-00009A050000}"/>
    <cellStyle name="_TableRowHead_Company0619 2" xfId="1447" xr:uid="{00000000-0005-0000-0000-00009B050000}"/>
    <cellStyle name="_TableRowHead_Company0619_MLP Val-Client-10_02_06" xfId="1448" xr:uid="{00000000-0005-0000-0000-00009C050000}"/>
    <cellStyle name="_TableRowHead_DE-working" xfId="1449" xr:uid="{00000000-0005-0000-0000-00009D050000}"/>
    <cellStyle name="_TableRowHead_Company0750" xfId="1450" xr:uid="{00000000-0005-0000-0000-00009E050000}"/>
    <cellStyle name="_TableRowHead_Company0886" xfId="1451" xr:uid="{00000000-0005-0000-0000-00009F050000}"/>
    <cellStyle name="_TableRowHead_Company1415" xfId="1452" xr:uid="{00000000-0005-0000-0000-0000A0050000}"/>
    <cellStyle name="_TableRowHead_Person0607" xfId="1453" xr:uid="{00000000-0005-0000-0000-0000A1050000}"/>
    <cellStyle name="_TableRowHead_Company1718" xfId="1454" xr:uid="{00000000-0005-0000-0000-0000A2050000}"/>
    <cellStyle name="_TableRowHead_NAV" xfId="1455" xr:uid="{00000000-0005-0000-0000-0000A3050000}"/>
    <cellStyle name="_TableRowHead_Company1995" xfId="1456" xr:uid="{00000000-0005-0000-0000-0000A4050000}"/>
    <cellStyle name="_TableRowHead_PCAR" xfId="1457" xr:uid="{00000000-0005-0000-0000-0000A5050000}"/>
    <cellStyle name="_TableRowHead_PH" xfId="1458" xr:uid="{00000000-0005-0000-0000-0000A6050000}"/>
    <cellStyle name="_TableRowHead_Q" xfId="1459" xr:uid="{00000000-0005-0000-0000-0000A7050000}"/>
    <cellStyle name="_TableRowHead_q - new guidance" xfId="1460" xr:uid="{00000000-0005-0000-0000-0000A8050000}"/>
    <cellStyle name="_TableRowHead_q - new guidance 2" xfId="1461" xr:uid="{00000000-0005-0000-0000-0000A9050000}"/>
    <cellStyle name="_TableRowHead_q - new guidance_MLP Val-Client-10_02_06" xfId="1462" xr:uid="{00000000-0005-0000-0000-0000AA050000}"/>
    <cellStyle name="_TableRowHead_q - valuation" xfId="1463" xr:uid="{00000000-0005-0000-0000-0000AB050000}"/>
    <cellStyle name="_TableRowHead_q - valuation 2" xfId="1464" xr:uid="{00000000-0005-0000-0000-0000AC050000}"/>
    <cellStyle name="_TableRowHead_q - valuation_MLP Val-Client-10_02_06" xfId="1465" xr:uid="{00000000-0005-0000-0000-0000AD050000}"/>
    <cellStyle name="_TableRowHead_Q 2" xfId="1466" xr:uid="{00000000-0005-0000-0000-0000AE050000}"/>
    <cellStyle name="_TableRowHead_Q model_041802" xfId="1467" xr:uid="{00000000-0005-0000-0000-0000AF050000}"/>
    <cellStyle name="_TableRowHead_Q model_041802 2" xfId="1468" xr:uid="{00000000-0005-0000-0000-0000B0050000}"/>
    <cellStyle name="_TableRowHead_Q model_041802_MLP Val-Client-10_02_06" xfId="1469" xr:uid="{00000000-0005-0000-0000-0000B1050000}"/>
    <cellStyle name="_TableRowHead_Q_MLP Val-Client-10_02_06" xfId="1470" xr:uid="{00000000-0005-0000-0000-0000B2050000}"/>
    <cellStyle name="_TableRowHead_Q_update" xfId="1471" xr:uid="{00000000-0005-0000-0000-0000B3050000}"/>
    <cellStyle name="_TableRowHead_Q_update 2" xfId="1472" xr:uid="{00000000-0005-0000-0000-0000B4050000}"/>
    <cellStyle name="_TableRowHead_Q_update_MLP Val-Client-10_02_06" xfId="1473" xr:uid="{00000000-0005-0000-0000-0000B5050000}"/>
    <cellStyle name="_TableRowHead_QP_XXX" xfId="1474" xr:uid="{00000000-0005-0000-0000-0000B6050000}"/>
    <cellStyle name="_TableRowHead_Company2209 Analysis" xfId="1475" xr:uid="{00000000-0005-0000-0000-0000B7050000}"/>
    <cellStyle name="_TableRowHead_Company2209 Analysis 2" xfId="1476" xr:uid="{00000000-0005-0000-0000-0000B8050000}"/>
    <cellStyle name="_TableRowHead_Company2209 Analysis_MLP Val-Client-10_02_06" xfId="1477" xr:uid="{00000000-0005-0000-0000-0000B9050000}"/>
    <cellStyle name="_TableRowHead_RBOC historicals" xfId="1478" xr:uid="{00000000-0005-0000-0000-0000BA050000}"/>
    <cellStyle name="_TableRowHead_Sheet1" xfId="1479" xr:uid="{00000000-0005-0000-0000-0000BB050000}"/>
    <cellStyle name="_TableRowHead_T - new" xfId="1480" xr:uid="{00000000-0005-0000-0000-0000BC050000}"/>
    <cellStyle name="_TableRowHead_Valuation vals" xfId="1481" xr:uid="{00000000-0005-0000-0000-0000BD050000}"/>
    <cellStyle name="_TableRowHead_VZ" xfId="1482" xr:uid="{00000000-0005-0000-0000-0000BE050000}"/>
    <cellStyle name="_TableRowHead_VZ 2" xfId="1483" xr:uid="{00000000-0005-0000-0000-0000BF050000}"/>
    <cellStyle name="_TableRowHead_VZ_MLP Val-Client-10_02_06" xfId="1484" xr:uid="{00000000-0005-0000-0000-0000C0050000}"/>
    <cellStyle name="_TableRowHeading" xfId="1485" xr:uid="{00000000-0005-0000-0000-0000C1050000}"/>
    <cellStyle name="_TableSuperHead" xfId="224" xr:uid="{00000000-0005-0000-0000-0000C2050000}"/>
    <cellStyle name="_TableSuperHead 2" xfId="1487" xr:uid="{00000000-0005-0000-0000-0000C3050000}"/>
    <cellStyle name="_TableSuperHead 3" xfId="1488" xr:uid="{00000000-0005-0000-0000-0000C4050000}"/>
    <cellStyle name="_TableSuperHead 4" xfId="1486" xr:uid="{00000000-0005-0000-0000-0000C5050000}"/>
    <cellStyle name="_TableSuperHead 5" xfId="3511" xr:uid="{00000000-0005-0000-0000-0000C6050000}"/>
    <cellStyle name="_TableSuperHead_Ability to Pay Analysis" xfId="225" xr:uid="{00000000-0005-0000-0000-0000C7050000}"/>
    <cellStyle name="_TableSuperHead_AG" xfId="1489" xr:uid="{00000000-0005-0000-0000-0000C8050000}"/>
    <cellStyle name="_TableSuperHead_Company0358 Model" xfId="226" xr:uid="{00000000-0005-0000-0000-0000C9050000}"/>
    <cellStyle name="_TableSuperHead_BLS" xfId="1490" xr:uid="{00000000-0005-0000-0000-0000CA050000}"/>
    <cellStyle name="_TableSuperHead_BLS 2" xfId="1491" xr:uid="{00000000-0005-0000-0000-0000CB050000}"/>
    <cellStyle name="_TableSuperHead_bls roic" xfId="1492" xr:uid="{00000000-0005-0000-0000-0000CC050000}"/>
    <cellStyle name="_TableSuperHead_BLS_MLP Val-Client-10_02_06" xfId="1493" xr:uid="{00000000-0005-0000-0000-0000CD050000}"/>
    <cellStyle name="_TableSuperHead_Book9" xfId="1494" xr:uid="{00000000-0005-0000-0000-0000CE050000}"/>
    <cellStyle name="_TableSuperHead_Book9 2" xfId="1495" xr:uid="{00000000-0005-0000-0000-0000CF050000}"/>
    <cellStyle name="_TableSuperHead_Book9_MLP Val-Client-10_02_06" xfId="1496" xr:uid="{00000000-0005-0000-0000-0000D0050000}"/>
    <cellStyle name="_TableSuperHead_Broadband Comps" xfId="1497" xr:uid="{00000000-0005-0000-0000-0000D1050000}"/>
    <cellStyle name="_TableSuperHead_Broadband Comps 2" xfId="1498" xr:uid="{00000000-0005-0000-0000-0000D2050000}"/>
    <cellStyle name="_TableSuperHead_Broadband Comps_MLP Val-Client-10_02_06" xfId="1499" xr:uid="{00000000-0005-0000-0000-0000D3050000}"/>
    <cellStyle name="_TableSuperHead_capital expenditures 6-18-02" xfId="1500" xr:uid="{00000000-0005-0000-0000-0000D4050000}"/>
    <cellStyle name="_TableSuperHead_CAT" xfId="1501" xr:uid="{00000000-0005-0000-0000-0000D5050000}"/>
    <cellStyle name="_TableSuperHead_CNH" xfId="1502" xr:uid="{00000000-0005-0000-0000-0000D6050000}"/>
    <cellStyle name="_TableSuperHead_Company0689" xfId="1503" xr:uid="{00000000-0005-0000-0000-0000D7050000}"/>
    <cellStyle name="_TableSuperHead_Company0619" xfId="1504" xr:uid="{00000000-0005-0000-0000-0000D8050000}"/>
    <cellStyle name="_TableSuperHead_Company0619 2" xfId="1505" xr:uid="{00000000-0005-0000-0000-0000D9050000}"/>
    <cellStyle name="_TableSuperHead_Company0619_MLP Val-Client-10_02_06" xfId="1506" xr:uid="{00000000-0005-0000-0000-0000DA050000}"/>
    <cellStyle name="_TableSuperHead_DE-working" xfId="1507" xr:uid="{00000000-0005-0000-0000-0000DB050000}"/>
    <cellStyle name="_TableSuperHead_Company0750" xfId="1508" xr:uid="{00000000-0005-0000-0000-0000DC050000}"/>
    <cellStyle name="_TableSuperHead_Company0886" xfId="1509" xr:uid="{00000000-0005-0000-0000-0000DD050000}"/>
    <cellStyle name="_TableSuperHead_fmbi counties" xfId="227" xr:uid="{00000000-0005-0000-0000-0000DE050000}"/>
    <cellStyle name="_TableSuperHead_Company1415" xfId="1510" xr:uid="{00000000-0005-0000-0000-0000DF050000}"/>
    <cellStyle name="_TableSuperHead_Person0607" xfId="1511" xr:uid="{00000000-0005-0000-0000-0000E0050000}"/>
    <cellStyle name="_TableSuperHead_Company1718" xfId="1512" xr:uid="{00000000-0005-0000-0000-0000E1050000}"/>
    <cellStyle name="_TableSuperHead_NAV" xfId="1513" xr:uid="{00000000-0005-0000-0000-0000E2050000}"/>
    <cellStyle name="_TableSuperHead_Company1995" xfId="1514" xr:uid="{00000000-0005-0000-0000-0000E3050000}"/>
    <cellStyle name="_TableSuperHead_PCAR" xfId="1515" xr:uid="{00000000-0005-0000-0000-0000E4050000}"/>
    <cellStyle name="_TableSuperHead_PH" xfId="1516" xr:uid="{00000000-0005-0000-0000-0000E5050000}"/>
    <cellStyle name="_TableSuperHead_Q" xfId="1517" xr:uid="{00000000-0005-0000-0000-0000E6050000}"/>
    <cellStyle name="_TableSuperHead_q - new guidance" xfId="1518" xr:uid="{00000000-0005-0000-0000-0000E7050000}"/>
    <cellStyle name="_TableSuperHead_q - new guidance 2" xfId="1519" xr:uid="{00000000-0005-0000-0000-0000E8050000}"/>
    <cellStyle name="_TableSuperHead_q - new guidance_MLP Val-Client-10_02_06" xfId="1520" xr:uid="{00000000-0005-0000-0000-0000E9050000}"/>
    <cellStyle name="_TableSuperHead_q - valuation" xfId="1521" xr:uid="{00000000-0005-0000-0000-0000EA050000}"/>
    <cellStyle name="_TableSuperHead_q - valuation 2" xfId="1522" xr:uid="{00000000-0005-0000-0000-0000EB050000}"/>
    <cellStyle name="_TableSuperHead_q - valuation_MLP Val-Client-10_02_06" xfId="1523" xr:uid="{00000000-0005-0000-0000-0000EC050000}"/>
    <cellStyle name="_TableSuperHead_Q 2" xfId="1524" xr:uid="{00000000-0005-0000-0000-0000ED050000}"/>
    <cellStyle name="_TableSuperHead_Q model_041802" xfId="1525" xr:uid="{00000000-0005-0000-0000-0000EE050000}"/>
    <cellStyle name="_TableSuperHead_Q model_041802 2" xfId="1526" xr:uid="{00000000-0005-0000-0000-0000EF050000}"/>
    <cellStyle name="_TableSuperHead_Q model_041802_MLP Val-Client-10_02_06" xfId="1527" xr:uid="{00000000-0005-0000-0000-0000F0050000}"/>
    <cellStyle name="_TableSuperHead_Q_MLP Val-Client-10_02_06" xfId="1528" xr:uid="{00000000-0005-0000-0000-0000F1050000}"/>
    <cellStyle name="_TableSuperHead_Q_update" xfId="1529" xr:uid="{00000000-0005-0000-0000-0000F2050000}"/>
    <cellStyle name="_TableSuperHead_Q_update 2" xfId="1530" xr:uid="{00000000-0005-0000-0000-0000F3050000}"/>
    <cellStyle name="_TableSuperHead_Q_update_MLP Val-Client-10_02_06" xfId="1531" xr:uid="{00000000-0005-0000-0000-0000F4050000}"/>
    <cellStyle name="_TableSuperHead_Company2209 Analysis" xfId="1532" xr:uid="{00000000-0005-0000-0000-0000F5050000}"/>
    <cellStyle name="_TableSuperHead_Company2209 Analysis 2" xfId="1533" xr:uid="{00000000-0005-0000-0000-0000F6050000}"/>
    <cellStyle name="_TableSuperHead_Company2209 Analysis_MLP Val-Client-10_02_06" xfId="1534" xr:uid="{00000000-0005-0000-0000-0000F7050000}"/>
    <cellStyle name="_TableSuperHead_RBOC historicals" xfId="1535" xr:uid="{00000000-0005-0000-0000-0000F8050000}"/>
    <cellStyle name="_TableSuperHead_Sheet1" xfId="1536" xr:uid="{00000000-0005-0000-0000-0000F9050000}"/>
    <cellStyle name="_TableSuperHead_T - new" xfId="1537" xr:uid="{00000000-0005-0000-0000-0000FA050000}"/>
    <cellStyle name="_TableSuperHead_Valuation vals" xfId="1538" xr:uid="{00000000-0005-0000-0000-0000FB050000}"/>
    <cellStyle name="_TableSuperHead_VZ" xfId="1539" xr:uid="{00000000-0005-0000-0000-0000FC050000}"/>
    <cellStyle name="_TableSuperHead_VZ 2" xfId="1540" xr:uid="{00000000-0005-0000-0000-0000FD050000}"/>
    <cellStyle name="_TableSuperHead_VZ_MLP Val-Client-10_02_06" xfId="1541" xr:uid="{00000000-0005-0000-0000-0000FE050000}"/>
    <cellStyle name="_TableSuperHead_xratio - historical mkt val" xfId="228" xr:uid="{00000000-0005-0000-0000-0000FF050000}"/>
    <cellStyle name="_TableSuperHeading" xfId="1542" xr:uid="{00000000-0005-0000-0000-000000060000}"/>
    <cellStyle name="_TableText" xfId="1543" xr:uid="{00000000-0005-0000-0000-000001060000}"/>
    <cellStyle name="£3places" xfId="1544" xr:uid="{00000000-0005-0000-0000-000002060000}"/>
    <cellStyle name="£3places 2" xfId="1545" xr:uid="{00000000-0005-0000-0000-000003060000}"/>
    <cellStyle name="£3places 3" xfId="1546" xr:uid="{00000000-0005-0000-0000-000004060000}"/>
    <cellStyle name="£3places_Company2094 working 21" xfId="1547" xr:uid="{00000000-0005-0000-0000-000005060000}"/>
    <cellStyle name="0%" xfId="1548" xr:uid="{00000000-0005-0000-0000-000006060000}"/>
    <cellStyle name="0.0" xfId="1549" xr:uid="{00000000-0005-0000-0000-000007060000}"/>
    <cellStyle name="0.0 2" xfId="1550" xr:uid="{00000000-0005-0000-0000-000008060000}"/>
    <cellStyle name="0.0%" xfId="1551" xr:uid="{00000000-0005-0000-0000-000009060000}"/>
    <cellStyle name="0.0_AG" xfId="1552" xr:uid="{00000000-0005-0000-0000-00000A060000}"/>
    <cellStyle name="0.00" xfId="1553" xr:uid="{00000000-0005-0000-0000-00000B060000}"/>
    <cellStyle name="0.00%" xfId="1554" xr:uid="{00000000-0005-0000-0000-00000C060000}"/>
    <cellStyle name="0.000" xfId="1555" xr:uid="{00000000-0005-0000-0000-00000D060000}"/>
    <cellStyle name="0.000 2" xfId="1556" xr:uid="{00000000-0005-0000-0000-00000E060000}"/>
    <cellStyle name="0.000 3" xfId="1557" xr:uid="{00000000-0005-0000-0000-00000F060000}"/>
    <cellStyle name="0.000_Company2094 working 21" xfId="1558" xr:uid="{00000000-0005-0000-0000-000010060000}"/>
    <cellStyle name="1 Decimal" xfId="1559" xr:uid="{00000000-0005-0000-0000-000011060000}"/>
    <cellStyle name="1,000" xfId="1560" xr:uid="{00000000-0005-0000-0000-000012060000}"/>
    <cellStyle name="1,000x" xfId="1561" xr:uid="{00000000-0005-0000-0000-000013060000}"/>
    <cellStyle name="2 Decimals" xfId="1562" xr:uid="{00000000-0005-0000-0000-000014060000}"/>
    <cellStyle name="20% - Accent1 2" xfId="1563" xr:uid="{00000000-0005-0000-0000-000015060000}"/>
    <cellStyle name="20% - Accent1 2 2" xfId="1564" xr:uid="{00000000-0005-0000-0000-000016060000}"/>
    <cellStyle name="20% - Accent2 2" xfId="1565" xr:uid="{00000000-0005-0000-0000-000017060000}"/>
    <cellStyle name="20% - Accent2 2 2" xfId="1566" xr:uid="{00000000-0005-0000-0000-000018060000}"/>
    <cellStyle name="20% - Accent3 2" xfId="1567" xr:uid="{00000000-0005-0000-0000-000019060000}"/>
    <cellStyle name="20% - Accent3 2 2" xfId="1568" xr:uid="{00000000-0005-0000-0000-00001A060000}"/>
    <cellStyle name="20% - Accent4 2" xfId="1569" xr:uid="{00000000-0005-0000-0000-00001B060000}"/>
    <cellStyle name="20% - Accent4 2 2" xfId="1570" xr:uid="{00000000-0005-0000-0000-00001C060000}"/>
    <cellStyle name="20% - Accent5 2" xfId="1571" xr:uid="{00000000-0005-0000-0000-00001D060000}"/>
    <cellStyle name="20% - Accent5 2 2" xfId="1572" xr:uid="{00000000-0005-0000-0000-00001E060000}"/>
    <cellStyle name="20% - Accent6 2" xfId="1573" xr:uid="{00000000-0005-0000-0000-00001F060000}"/>
    <cellStyle name="20% - Accent6 2 2" xfId="1574" xr:uid="{00000000-0005-0000-0000-000020060000}"/>
    <cellStyle name="3 Decimals" xfId="1575" xr:uid="{00000000-0005-0000-0000-000021060000}"/>
    <cellStyle name="40% - Accent1 2" xfId="1576" xr:uid="{00000000-0005-0000-0000-000022060000}"/>
    <cellStyle name="40% - Accent1 2 2" xfId="1577" xr:uid="{00000000-0005-0000-0000-000023060000}"/>
    <cellStyle name="40% - Accent2 2" xfId="1578" xr:uid="{00000000-0005-0000-0000-000024060000}"/>
    <cellStyle name="40% - Accent2 2 2" xfId="1579" xr:uid="{00000000-0005-0000-0000-000025060000}"/>
    <cellStyle name="40% - Accent3 2" xfId="1580" xr:uid="{00000000-0005-0000-0000-000026060000}"/>
    <cellStyle name="40% - Accent3 2 2" xfId="1581" xr:uid="{00000000-0005-0000-0000-000027060000}"/>
    <cellStyle name="40% - Accent4 2" xfId="1582" xr:uid="{00000000-0005-0000-0000-000028060000}"/>
    <cellStyle name="40% - Accent4 2 2" xfId="1583" xr:uid="{00000000-0005-0000-0000-000029060000}"/>
    <cellStyle name="40% - Accent5 2" xfId="1584" xr:uid="{00000000-0005-0000-0000-00002A060000}"/>
    <cellStyle name="40% - Accent5 2 2" xfId="1585" xr:uid="{00000000-0005-0000-0000-00002B060000}"/>
    <cellStyle name="40% - Accent6 2" xfId="1586" xr:uid="{00000000-0005-0000-0000-00002C060000}"/>
    <cellStyle name="40% - Accent6 2 2" xfId="1587" xr:uid="{00000000-0005-0000-0000-00002D060000}"/>
    <cellStyle name="60% - Accent1 2" xfId="1588" xr:uid="{00000000-0005-0000-0000-00002E060000}"/>
    <cellStyle name="60% - Accent1 2 2" xfId="1589" xr:uid="{00000000-0005-0000-0000-00002F060000}"/>
    <cellStyle name="60% - Accent2 2" xfId="1590" xr:uid="{00000000-0005-0000-0000-000030060000}"/>
    <cellStyle name="60% - Accent2 2 2" xfId="1591" xr:uid="{00000000-0005-0000-0000-000031060000}"/>
    <cellStyle name="60% - Accent3 2" xfId="1592" xr:uid="{00000000-0005-0000-0000-000032060000}"/>
    <cellStyle name="60% - Accent3 2 2" xfId="1593" xr:uid="{00000000-0005-0000-0000-000033060000}"/>
    <cellStyle name="60% - Accent4 2" xfId="1594" xr:uid="{00000000-0005-0000-0000-000034060000}"/>
    <cellStyle name="60% - Accent4 2 2" xfId="1595" xr:uid="{00000000-0005-0000-0000-000035060000}"/>
    <cellStyle name="60% - Accent5 2" xfId="1596" xr:uid="{00000000-0005-0000-0000-000036060000}"/>
    <cellStyle name="60% - Accent5 2 2" xfId="1597" xr:uid="{00000000-0005-0000-0000-000037060000}"/>
    <cellStyle name="60% - Accent6 2" xfId="1598" xr:uid="{00000000-0005-0000-0000-000038060000}"/>
    <cellStyle name="60% - Accent6 2 2" xfId="1599" xr:uid="{00000000-0005-0000-0000-000039060000}"/>
    <cellStyle name="A$2places" xfId="1600" xr:uid="{00000000-0005-0000-0000-00003A060000}"/>
    <cellStyle name="A$2places 2" xfId="1601" xr:uid="{00000000-0005-0000-0000-00003B060000}"/>
    <cellStyle name="A$3places" xfId="1602" xr:uid="{00000000-0005-0000-0000-00003C060000}"/>
    <cellStyle name="A$3places 2" xfId="1603" xr:uid="{00000000-0005-0000-0000-00003D060000}"/>
    <cellStyle name="A$3places 3" xfId="1604" xr:uid="{00000000-0005-0000-0000-00003E060000}"/>
    <cellStyle name="A$3places_Company2094 working 21" xfId="1605" xr:uid="{00000000-0005-0000-0000-00003F060000}"/>
    <cellStyle name="Acc" xfId="1" xr:uid="{00000000-0005-0000-0000-000040060000}"/>
    <cellStyle name="Acc 2" xfId="1606" xr:uid="{00000000-0005-0000-0000-000041060000}"/>
    <cellStyle name="Accent1 2" xfId="1607" xr:uid="{00000000-0005-0000-0000-000042060000}"/>
    <cellStyle name="Accent1 2 2" xfId="1608" xr:uid="{00000000-0005-0000-0000-000043060000}"/>
    <cellStyle name="Accent2 2" xfId="1609" xr:uid="{00000000-0005-0000-0000-000044060000}"/>
    <cellStyle name="Accent2 2 2" xfId="1610" xr:uid="{00000000-0005-0000-0000-000045060000}"/>
    <cellStyle name="Accent3 2" xfId="1611" xr:uid="{00000000-0005-0000-0000-000046060000}"/>
    <cellStyle name="Accent3 2 2" xfId="1612" xr:uid="{00000000-0005-0000-0000-000047060000}"/>
    <cellStyle name="Accent4 2" xfId="1613" xr:uid="{00000000-0005-0000-0000-000048060000}"/>
    <cellStyle name="Accent4 2 2" xfId="1614" xr:uid="{00000000-0005-0000-0000-000049060000}"/>
    <cellStyle name="Accent5 2" xfId="1615" xr:uid="{00000000-0005-0000-0000-00004A060000}"/>
    <cellStyle name="Accent5 2 2" xfId="1616" xr:uid="{00000000-0005-0000-0000-00004B060000}"/>
    <cellStyle name="Accent6 2" xfId="1617" xr:uid="{00000000-0005-0000-0000-00004C060000}"/>
    <cellStyle name="Accent6 2 2" xfId="1618" xr:uid="{00000000-0005-0000-0000-00004D060000}"/>
    <cellStyle name="Actual data" xfId="229" xr:uid="{00000000-0005-0000-0000-00004E060000}"/>
    <cellStyle name="Actual data 2" xfId="1619" xr:uid="{00000000-0005-0000-0000-00004F060000}"/>
    <cellStyle name="Actual year" xfId="230" xr:uid="{00000000-0005-0000-0000-000050060000}"/>
    <cellStyle name="Actual year 2" xfId="1620" xr:uid="{00000000-0005-0000-0000-000051060000}"/>
    <cellStyle name="Actual year 2 2" xfId="3285" xr:uid="{00000000-0005-0000-0000-000052060000}"/>
    <cellStyle name="Actual year 2 3" xfId="3121" xr:uid="{00000000-0005-0000-0000-000053060000}"/>
    <cellStyle name="Actual year 2 4" xfId="3066" xr:uid="{00000000-0005-0000-0000-000054060000}"/>
    <cellStyle name="Actual year 3" xfId="3067" xr:uid="{00000000-0005-0000-0000-000055060000}"/>
    <cellStyle name="Actual year 4" xfId="3068" xr:uid="{00000000-0005-0000-0000-000056060000}"/>
    <cellStyle name="Actual year 5" xfId="3284" xr:uid="{00000000-0005-0000-0000-000057060000}"/>
    <cellStyle name="Actual year 6" xfId="3120" xr:uid="{00000000-0005-0000-0000-000058060000}"/>
    <cellStyle name="Actual year 7" xfId="3065" xr:uid="{00000000-0005-0000-0000-000059060000}"/>
    <cellStyle name="Actuals Cells" xfId="231" xr:uid="{00000000-0005-0000-0000-00005A060000}"/>
    <cellStyle name="Adj L1" xfId="1621" xr:uid="{00000000-0005-0000-0000-00005B060000}"/>
    <cellStyle name="Adj L2" xfId="1622" xr:uid="{00000000-0005-0000-0000-00005C060000}"/>
    <cellStyle name="Adj L3" xfId="1623" xr:uid="{00000000-0005-0000-0000-00005D060000}"/>
    <cellStyle name="Adj Space" xfId="1624" xr:uid="{00000000-0005-0000-0000-00005E060000}"/>
    <cellStyle name="AFE" xfId="232" xr:uid="{00000000-0005-0000-0000-00005F060000}"/>
    <cellStyle name="AFE 2" xfId="1626" xr:uid="{00000000-0005-0000-0000-000060060000}"/>
    <cellStyle name="AFE 3" xfId="1625" xr:uid="{00000000-0005-0000-0000-000061060000}"/>
    <cellStyle name="AFE 4" xfId="3389" xr:uid="{00000000-0005-0000-0000-000062060000}"/>
    <cellStyle name="afl" xfId="233" xr:uid="{00000000-0005-0000-0000-000063060000}"/>
    <cellStyle name="Person0075 Title" xfId="234" xr:uid="{00000000-0005-0000-0000-000064060000}"/>
    <cellStyle name="Arial" xfId="1627" xr:uid="{00000000-0005-0000-0000-000065060000}"/>
    <cellStyle name="Bad 2" xfId="1628" xr:uid="{00000000-0005-0000-0000-000067060000}"/>
    <cellStyle name="Bad 2 2" xfId="1629" xr:uid="{00000000-0005-0000-0000-000068060000}"/>
    <cellStyle name="Balance" xfId="1630" xr:uid="{00000000-0005-0000-0000-000069060000}"/>
    <cellStyle name="BalanceSheet" xfId="1631" xr:uid="{00000000-0005-0000-0000-00006A060000}"/>
    <cellStyle name="BalanceSheet 2" xfId="1632" xr:uid="{00000000-0005-0000-0000-00006B060000}"/>
    <cellStyle name="BalanceSheet 3" xfId="1633" xr:uid="{00000000-0005-0000-0000-00006C060000}"/>
    <cellStyle name="BalanceSheet_Company2094 working 21" xfId="1634" xr:uid="{00000000-0005-0000-0000-00006D060000}"/>
    <cellStyle name="Bank1" xfId="1635" xr:uid="{00000000-0005-0000-0000-00006E060000}"/>
    <cellStyle name="Blank" xfId="235" xr:uid="{00000000-0005-0000-0000-00006F060000}"/>
    <cellStyle name="Blue" xfId="236" xr:uid="{00000000-0005-0000-0000-000070060000}"/>
    <cellStyle name="Blue Title" xfId="237" xr:uid="{00000000-0005-0000-0000-000071060000}"/>
    <cellStyle name="Bold" xfId="1636" xr:uid="{00000000-0005-0000-0000-000072060000}"/>
    <cellStyle name="Border Heavy" xfId="1637" xr:uid="{00000000-0005-0000-0000-000073060000}"/>
    <cellStyle name="Border Thin" xfId="1638" xr:uid="{00000000-0005-0000-0000-000074060000}"/>
    <cellStyle name="bps" xfId="3249" xr:uid="{00000000-0005-0000-0000-000075060000}"/>
    <cellStyle name="c" xfId="1639" xr:uid="{00000000-0005-0000-0000-000076060000}"/>
    <cellStyle name="Calc Cells" xfId="238" xr:uid="{00000000-0005-0000-0000-000077060000}"/>
    <cellStyle name="Calc Currency (0)" xfId="1640" xr:uid="{00000000-0005-0000-0000-000078060000}"/>
    <cellStyle name="Calc Currency (0) 2" xfId="1641" xr:uid="{00000000-0005-0000-0000-000079060000}"/>
    <cellStyle name="Calc Currency (2)" xfId="1642" xr:uid="{00000000-0005-0000-0000-00007A060000}"/>
    <cellStyle name="Calc Percent (0)" xfId="1643" xr:uid="{00000000-0005-0000-0000-00007B060000}"/>
    <cellStyle name="Calc Percent (1)" xfId="1644" xr:uid="{00000000-0005-0000-0000-00007C060000}"/>
    <cellStyle name="Calc Percent (2)" xfId="1645" xr:uid="{00000000-0005-0000-0000-00007D060000}"/>
    <cellStyle name="Calc Units (0)" xfId="1646" xr:uid="{00000000-0005-0000-0000-00007E060000}"/>
    <cellStyle name="Calc Units (1)" xfId="1647" xr:uid="{00000000-0005-0000-0000-00007F060000}"/>
    <cellStyle name="Calc Units (2)" xfId="1648" xr:uid="{00000000-0005-0000-0000-000080060000}"/>
    <cellStyle name="Calculation 2" xfId="1649" xr:uid="{00000000-0005-0000-0000-000081060000}"/>
    <cellStyle name="Calculation 2 2" xfId="1650" xr:uid="{00000000-0005-0000-0000-000082060000}"/>
    <cellStyle name="Calculation 2 2 2" xfId="3444" xr:uid="{00000000-0005-0000-0000-000083060000}"/>
    <cellStyle name="Calculation 2 3" xfId="3443" xr:uid="{00000000-0005-0000-0000-000084060000}"/>
    <cellStyle name="Case" xfId="239" xr:uid="{00000000-0005-0000-0000-000085060000}"/>
    <cellStyle name="CashFlow" xfId="1651" xr:uid="{00000000-0005-0000-0000-000086060000}"/>
    <cellStyle name="CashFlow 2" xfId="1652" xr:uid="{00000000-0005-0000-0000-000087060000}"/>
    <cellStyle name="CashFlow 3" xfId="1653" xr:uid="{00000000-0005-0000-0000-000088060000}"/>
    <cellStyle name="Check" xfId="1654" xr:uid="{00000000-0005-0000-0000-000089060000}"/>
    <cellStyle name="Check Cell 2" xfId="1655" xr:uid="{00000000-0005-0000-0000-00008A060000}"/>
    <cellStyle name="Check Cell 2 2" xfId="1656" xr:uid="{00000000-0005-0000-0000-00008B060000}"/>
    <cellStyle name="Co. Names" xfId="240" xr:uid="{00000000-0005-0000-0000-00008C060000}"/>
    <cellStyle name="Co. Names - Bold" xfId="241" xr:uid="{00000000-0005-0000-0000-00008D060000}"/>
    <cellStyle name="Co. Names_Blend" xfId="242" xr:uid="{00000000-0005-0000-0000-00008E060000}"/>
    <cellStyle name="Code" xfId="1657" xr:uid="{00000000-0005-0000-0000-00008F060000}"/>
    <cellStyle name="Code Section" xfId="1658" xr:uid="{00000000-0005-0000-0000-000090060000}"/>
    <cellStyle name="Col Head" xfId="243" xr:uid="{00000000-0005-0000-0000-000091060000}"/>
    <cellStyle name="Comma" xfId="322" builtinId="3"/>
    <cellStyle name="Comma  - Style1" xfId="1660" xr:uid="{00000000-0005-0000-0000-000093060000}"/>
    <cellStyle name="Comma  - Style2" xfId="1661" xr:uid="{00000000-0005-0000-0000-000094060000}"/>
    <cellStyle name="Comma  - Style3" xfId="1662" xr:uid="{00000000-0005-0000-0000-000095060000}"/>
    <cellStyle name="Comma  - Style4" xfId="1663" xr:uid="{00000000-0005-0000-0000-000096060000}"/>
    <cellStyle name="Comma  - Style5" xfId="1664" xr:uid="{00000000-0005-0000-0000-000097060000}"/>
    <cellStyle name="Comma  - Style6" xfId="1665" xr:uid="{00000000-0005-0000-0000-000098060000}"/>
    <cellStyle name="Comma  - Style7" xfId="1666" xr:uid="{00000000-0005-0000-0000-000099060000}"/>
    <cellStyle name="Comma  - Style8" xfId="1667" xr:uid="{00000000-0005-0000-0000-00009A060000}"/>
    <cellStyle name="comma (1)" xfId="1668" xr:uid="{00000000-0005-0000-0000-00009B060000}"/>
    <cellStyle name="comma (1) 2" xfId="1669" xr:uid="{00000000-0005-0000-0000-00009C060000}"/>
    <cellStyle name="comma (1) 3" xfId="1670" xr:uid="{00000000-0005-0000-0000-00009D060000}"/>
    <cellStyle name="comma (1)_Company2094 working 21" xfId="1671" xr:uid="{00000000-0005-0000-0000-00009E060000}"/>
    <cellStyle name="Comma [_x0001_]_SHEET" xfId="1672" xr:uid="{00000000-0005-0000-0000-00009F060000}"/>
    <cellStyle name="Comma [00]" xfId="1673" xr:uid="{00000000-0005-0000-0000-0000A0060000}"/>
    <cellStyle name="Comma [1]" xfId="1674" xr:uid="{00000000-0005-0000-0000-0000A1060000}"/>
    <cellStyle name="Comma 0" xfId="1675" xr:uid="{00000000-0005-0000-0000-0000A2060000}"/>
    <cellStyle name="Comma 0 2" xfId="1676" xr:uid="{00000000-0005-0000-0000-0000A3060000}"/>
    <cellStyle name="Comma 0 3" xfId="1677" xr:uid="{00000000-0005-0000-0000-0000A4060000}"/>
    <cellStyle name="Comma 0*" xfId="1678" xr:uid="{00000000-0005-0000-0000-0000A5060000}"/>
    <cellStyle name="Comma 0* 2" xfId="1679" xr:uid="{00000000-0005-0000-0000-0000A6060000}"/>
    <cellStyle name="Comma 0_ACCC" xfId="1680" xr:uid="{00000000-0005-0000-0000-0000A7060000}"/>
    <cellStyle name="Comma 1" xfId="1681" xr:uid="{00000000-0005-0000-0000-0000A8060000}"/>
    <cellStyle name="Comma 1 2" xfId="1682" xr:uid="{00000000-0005-0000-0000-0000A9060000}"/>
    <cellStyle name="Comma 10" xfId="1683" xr:uid="{00000000-0005-0000-0000-0000AA060000}"/>
    <cellStyle name="Comma 11" xfId="1684" xr:uid="{00000000-0005-0000-0000-0000AB060000}"/>
    <cellStyle name="Comma 12" xfId="1685" xr:uid="{00000000-0005-0000-0000-0000AC060000}"/>
    <cellStyle name="Comma 13" xfId="1686" xr:uid="{00000000-0005-0000-0000-0000AD060000}"/>
    <cellStyle name="Comma 14" xfId="1687" xr:uid="{00000000-0005-0000-0000-0000AE060000}"/>
    <cellStyle name="Comma 15" xfId="1688" xr:uid="{00000000-0005-0000-0000-0000AF060000}"/>
    <cellStyle name="Comma 16" xfId="1689" xr:uid="{00000000-0005-0000-0000-0000B0060000}"/>
    <cellStyle name="Comma 17" xfId="1690" xr:uid="{00000000-0005-0000-0000-0000B1060000}"/>
    <cellStyle name="Comma 18" xfId="1691" xr:uid="{00000000-0005-0000-0000-0000B2060000}"/>
    <cellStyle name="Comma 19" xfId="1659" xr:uid="{00000000-0005-0000-0000-0000B3060000}"/>
    <cellStyle name="Comma 19 2" xfId="3412" xr:uid="{00000000-0005-0000-0000-0000B4060000}"/>
    <cellStyle name="Comma 2" xfId="1692" xr:uid="{00000000-0005-0000-0000-0000B5060000}"/>
    <cellStyle name="Comma 2 2" xfId="1693" xr:uid="{00000000-0005-0000-0000-0000B6060000}"/>
    <cellStyle name="Comma 2 2 2" xfId="3445" xr:uid="{00000000-0005-0000-0000-0000B7060000}"/>
    <cellStyle name="Comma 2 2 3" xfId="3427" xr:uid="{00000000-0005-0000-0000-0000B8060000}"/>
    <cellStyle name="Comma 2 3" xfId="1694" xr:uid="{00000000-0005-0000-0000-0000B9060000}"/>
    <cellStyle name="Comma 2 4" xfId="3288" xr:uid="{00000000-0005-0000-0000-0000BA060000}"/>
    <cellStyle name="Comma 2 5" xfId="3122" xr:uid="{00000000-0005-0000-0000-0000BB060000}"/>
    <cellStyle name="Comma 2 6" xfId="3419" xr:uid="{00000000-0005-0000-0000-0000BC060000}"/>
    <cellStyle name="Comma 2 7" xfId="3069" xr:uid="{00000000-0005-0000-0000-0000BD060000}"/>
    <cellStyle name="Comma 20" xfId="2951" xr:uid="{00000000-0005-0000-0000-0000BE060000}"/>
    <cellStyle name="Comma 21" xfId="3489" xr:uid="{00000000-0005-0000-0000-0000BF060000}"/>
    <cellStyle name="Comma 22" xfId="3699" xr:uid="{64E889D1-E5DA-4EF3-9C6A-C985BFB9D29B}"/>
    <cellStyle name="Comma 3" xfId="1695" xr:uid="{00000000-0005-0000-0000-0000C0060000}"/>
    <cellStyle name="Comma 3 2" xfId="1696" xr:uid="{00000000-0005-0000-0000-0000C1060000}"/>
    <cellStyle name="Comma 3 3" xfId="3289" xr:uid="{00000000-0005-0000-0000-0000C2060000}"/>
    <cellStyle name="Comma 3 4" xfId="3123" xr:uid="{00000000-0005-0000-0000-0000C3060000}"/>
    <cellStyle name="Comma 3 5" xfId="3070" xr:uid="{00000000-0005-0000-0000-0000C4060000}"/>
    <cellStyle name="Comma 4" xfId="1697" xr:uid="{00000000-0005-0000-0000-0000C5060000}"/>
    <cellStyle name="Comma 4 2" xfId="1698" xr:uid="{00000000-0005-0000-0000-0000C6060000}"/>
    <cellStyle name="Comma 4 3" xfId="3512" xr:uid="{00000000-0005-0000-0000-0000C7060000}"/>
    <cellStyle name="Comma 4 4" xfId="3499" xr:uid="{00000000-0005-0000-0000-0000C8060000}"/>
    <cellStyle name="Comma 5" xfId="1699" xr:uid="{00000000-0005-0000-0000-0000C9060000}"/>
    <cellStyle name="Comma 5 2" xfId="3291" xr:uid="{00000000-0005-0000-0000-0000CA060000}"/>
    <cellStyle name="Comma 5 3" xfId="3124" xr:uid="{00000000-0005-0000-0000-0000CB060000}"/>
    <cellStyle name="Comma 5 4" xfId="3071" xr:uid="{00000000-0005-0000-0000-0000CC060000}"/>
    <cellStyle name="Comma 5 5" xfId="3501" xr:uid="{00000000-0005-0000-0000-0000CD060000}"/>
    <cellStyle name="Comma 6" xfId="1700" xr:uid="{00000000-0005-0000-0000-0000CE060000}"/>
    <cellStyle name="Comma 7" xfId="1701" xr:uid="{00000000-0005-0000-0000-0000CF060000}"/>
    <cellStyle name="Comma 8" xfId="1702" xr:uid="{00000000-0005-0000-0000-0000D0060000}"/>
    <cellStyle name="Comma 9" xfId="1703" xr:uid="{00000000-0005-0000-0000-0000D1060000}"/>
    <cellStyle name="Comma(0)" xfId="1704" xr:uid="{00000000-0005-0000-0000-0000D2060000}"/>
    <cellStyle name="Comma(0) 2" xfId="1705" xr:uid="{00000000-0005-0000-0000-0000D3060000}"/>
    <cellStyle name="Comma(1)" xfId="1706" xr:uid="{00000000-0005-0000-0000-0000D4060000}"/>
    <cellStyle name="Comma(1) 2" xfId="1707" xr:uid="{00000000-0005-0000-0000-0000D5060000}"/>
    <cellStyle name="comma(2)" xfId="1708" xr:uid="{00000000-0005-0000-0000-0000D6060000}"/>
    <cellStyle name="comma(2) 2" xfId="1709" xr:uid="{00000000-0005-0000-0000-0000D7060000}"/>
    <cellStyle name="Comma(3)" xfId="1710" xr:uid="{00000000-0005-0000-0000-0000D8060000}"/>
    <cellStyle name="Comma(3) 2" xfId="1711" xr:uid="{00000000-0005-0000-0000-0000D9060000}"/>
    <cellStyle name="Comma(3) 2 2" xfId="1712" xr:uid="{00000000-0005-0000-0000-0000DA060000}"/>
    <cellStyle name="Comma(3) 2 2 2" xfId="3448" xr:uid="{00000000-0005-0000-0000-0000DB060000}"/>
    <cellStyle name="Comma(3) 2 3" xfId="3447" xr:uid="{00000000-0005-0000-0000-0000DC060000}"/>
    <cellStyle name="Comma(3) 3" xfId="1713" xr:uid="{00000000-0005-0000-0000-0000DD060000}"/>
    <cellStyle name="Comma(3) 3 2" xfId="3449" xr:uid="{00000000-0005-0000-0000-0000DE060000}"/>
    <cellStyle name="Comma(3) 4" xfId="3446" xr:uid="{00000000-0005-0000-0000-0000DF060000}"/>
    <cellStyle name="Comma0" xfId="244" xr:uid="{00000000-0005-0000-0000-0000E0060000}"/>
    <cellStyle name="Comma0 2" xfId="1714" xr:uid="{00000000-0005-0000-0000-0000E1060000}"/>
    <cellStyle name="Comma0 3" xfId="3390" xr:uid="{00000000-0005-0000-0000-0000E2060000}"/>
    <cellStyle name="Company name" xfId="245" xr:uid="{00000000-0005-0000-0000-0000E3060000}"/>
    <cellStyle name="CompanyTitle" xfId="246" xr:uid="{00000000-0005-0000-0000-0000E4060000}"/>
    <cellStyle name="Copied" xfId="1715" xr:uid="{00000000-0005-0000-0000-0000E5060000}"/>
    <cellStyle name="Copied 2" xfId="1716" xr:uid="{00000000-0005-0000-0000-0000E6060000}"/>
    <cellStyle name="Cover Date" xfId="1717" xr:uid="{00000000-0005-0000-0000-0000E7060000}"/>
    <cellStyle name="Cover Subtitle" xfId="1718" xr:uid="{00000000-0005-0000-0000-0000E8060000}"/>
    <cellStyle name="Cover Title" xfId="1719" xr:uid="{00000000-0005-0000-0000-0000E9060000}"/>
    <cellStyle name="Currency" xfId="3694" builtinId="4"/>
    <cellStyle name="Currency (3)" xfId="1720" xr:uid="{00000000-0005-0000-0000-0000EB060000}"/>
    <cellStyle name="Currency (3) 2" xfId="1721" xr:uid="{00000000-0005-0000-0000-0000EC060000}"/>
    <cellStyle name="Currency [00]" xfId="1722" xr:uid="{00000000-0005-0000-0000-0000ED060000}"/>
    <cellStyle name="Currency [2]" xfId="247" xr:uid="{00000000-0005-0000-0000-0000EE060000}"/>
    <cellStyle name="Currency [2] 2" xfId="3391" xr:uid="{00000000-0005-0000-0000-0000EF060000}"/>
    <cellStyle name="Currency 0" xfId="1723" xr:uid="{00000000-0005-0000-0000-0000F0060000}"/>
    <cellStyle name="Currency 0 2" xfId="1724" xr:uid="{00000000-0005-0000-0000-0000F1060000}"/>
    <cellStyle name="Currency 0 3" xfId="1725" xr:uid="{00000000-0005-0000-0000-0000F2060000}"/>
    <cellStyle name="Currency 1" xfId="1726" xr:uid="{00000000-0005-0000-0000-0000F3060000}"/>
    <cellStyle name="Currency 1 2" xfId="1727" xr:uid="{00000000-0005-0000-0000-0000F4060000}"/>
    <cellStyle name="Currency 10" xfId="1728" xr:uid="{00000000-0005-0000-0000-0000F5060000}"/>
    <cellStyle name="Currency 11" xfId="1729" xr:uid="{00000000-0005-0000-0000-0000F6060000}"/>
    <cellStyle name="Currency 12" xfId="1730" xr:uid="{00000000-0005-0000-0000-0000F7060000}"/>
    <cellStyle name="Currency 13" xfId="1731" xr:uid="{00000000-0005-0000-0000-0000F8060000}"/>
    <cellStyle name="Currency 14" xfId="1732" xr:uid="{00000000-0005-0000-0000-0000F9060000}"/>
    <cellStyle name="Currency 15" xfId="1733" xr:uid="{00000000-0005-0000-0000-0000FA060000}"/>
    <cellStyle name="Currency 16" xfId="1734" xr:uid="{00000000-0005-0000-0000-0000FB060000}"/>
    <cellStyle name="Currency 17" xfId="1735" xr:uid="{00000000-0005-0000-0000-0000FC060000}"/>
    <cellStyle name="Currency 18" xfId="1736" xr:uid="{00000000-0005-0000-0000-0000FD060000}"/>
    <cellStyle name="Currency 19" xfId="1737" xr:uid="{00000000-0005-0000-0000-0000FE060000}"/>
    <cellStyle name="Currency 2" xfId="1738" xr:uid="{00000000-0005-0000-0000-0000FF060000}"/>
    <cellStyle name="Currency 2 2" xfId="1739" xr:uid="{00000000-0005-0000-0000-000000070000}"/>
    <cellStyle name="Currency 2 3" xfId="3450" xr:uid="{00000000-0005-0000-0000-000001070000}"/>
    <cellStyle name="Currency 2 4" xfId="3415" xr:uid="{00000000-0005-0000-0000-000002070000}"/>
    <cellStyle name="Currency 20" xfId="1740" xr:uid="{00000000-0005-0000-0000-000003070000}"/>
    <cellStyle name="Currency 21" xfId="1741" xr:uid="{00000000-0005-0000-0000-000004070000}"/>
    <cellStyle name="Currency 22" xfId="1742" xr:uid="{00000000-0005-0000-0000-000005070000}"/>
    <cellStyle name="Currency 23" xfId="1743" xr:uid="{00000000-0005-0000-0000-000006070000}"/>
    <cellStyle name="Currency 24" xfId="1744" xr:uid="{00000000-0005-0000-0000-000007070000}"/>
    <cellStyle name="Currency 25" xfId="1745" xr:uid="{00000000-0005-0000-0000-000008070000}"/>
    <cellStyle name="Currency 26" xfId="1746" xr:uid="{00000000-0005-0000-0000-000009070000}"/>
    <cellStyle name="Currency 27" xfId="1747" xr:uid="{00000000-0005-0000-0000-00000A070000}"/>
    <cellStyle name="Currency 28" xfId="1748" xr:uid="{00000000-0005-0000-0000-00000B070000}"/>
    <cellStyle name="Currency 29" xfId="1749" xr:uid="{00000000-0005-0000-0000-00000C070000}"/>
    <cellStyle name="Currency 3" xfId="1750" xr:uid="{00000000-0005-0000-0000-00000D070000}"/>
    <cellStyle name="Currency 3 2" xfId="1751" xr:uid="{00000000-0005-0000-0000-00000E070000}"/>
    <cellStyle name="Currency 3 3" xfId="3451" xr:uid="{00000000-0005-0000-0000-00000F070000}"/>
    <cellStyle name="Currency 3 4" xfId="3418" xr:uid="{00000000-0005-0000-0000-000010070000}"/>
    <cellStyle name="Currency 30" xfId="1752" xr:uid="{00000000-0005-0000-0000-000011070000}"/>
    <cellStyle name="Currency 31" xfId="1753" xr:uid="{00000000-0005-0000-0000-000012070000}"/>
    <cellStyle name="Currency 32" xfId="1754" xr:uid="{00000000-0005-0000-0000-000013070000}"/>
    <cellStyle name="Currency 33" xfId="1755" xr:uid="{00000000-0005-0000-0000-000014070000}"/>
    <cellStyle name="Currency 34" xfId="1756" xr:uid="{00000000-0005-0000-0000-000015070000}"/>
    <cellStyle name="Currency 35" xfId="1757" xr:uid="{00000000-0005-0000-0000-000016070000}"/>
    <cellStyle name="Currency 36" xfId="1758" xr:uid="{00000000-0005-0000-0000-000017070000}"/>
    <cellStyle name="Currency 37" xfId="1759" xr:uid="{00000000-0005-0000-0000-000018070000}"/>
    <cellStyle name="Currency 38" xfId="1760" xr:uid="{00000000-0005-0000-0000-000019070000}"/>
    <cellStyle name="Currency 39" xfId="1761" xr:uid="{00000000-0005-0000-0000-00001A070000}"/>
    <cellStyle name="Currency 4" xfId="1762" xr:uid="{00000000-0005-0000-0000-00001B070000}"/>
    <cellStyle name="Currency 4 2" xfId="1763" xr:uid="{00000000-0005-0000-0000-00001C070000}"/>
    <cellStyle name="Currency 4 3" xfId="3532" xr:uid="{00000000-0005-0000-0000-00001D070000}"/>
    <cellStyle name="Currency 4 4" xfId="3498" xr:uid="{00000000-0005-0000-0000-00001E070000}"/>
    <cellStyle name="Currency 40" xfId="1764" xr:uid="{00000000-0005-0000-0000-00001F070000}"/>
    <cellStyle name="Currency 41" xfId="1765" xr:uid="{00000000-0005-0000-0000-000020070000}"/>
    <cellStyle name="Currency 42" xfId="1766" xr:uid="{00000000-0005-0000-0000-000021070000}"/>
    <cellStyle name="Currency 43" xfId="1767" xr:uid="{00000000-0005-0000-0000-000022070000}"/>
    <cellStyle name="Currency 44" xfId="1768" xr:uid="{00000000-0005-0000-0000-000023070000}"/>
    <cellStyle name="Currency 45" xfId="1769" xr:uid="{00000000-0005-0000-0000-000024070000}"/>
    <cellStyle name="Currency 46" xfId="1770" xr:uid="{00000000-0005-0000-0000-000025070000}"/>
    <cellStyle name="Currency 47" xfId="3411" xr:uid="{00000000-0005-0000-0000-000026070000}"/>
    <cellStyle name="Currency 48" xfId="3488" xr:uid="{00000000-0005-0000-0000-000027070000}"/>
    <cellStyle name="Currency 5" xfId="1771" xr:uid="{00000000-0005-0000-0000-000028070000}"/>
    <cellStyle name="Currency 5 2" xfId="3533" xr:uid="{00000000-0005-0000-0000-000029070000}"/>
    <cellStyle name="Currency 5 3" xfId="3500" xr:uid="{00000000-0005-0000-0000-00002A070000}"/>
    <cellStyle name="Currency 6" xfId="1772" xr:uid="{00000000-0005-0000-0000-00002B070000}"/>
    <cellStyle name="Currency 7" xfId="1773" xr:uid="{00000000-0005-0000-0000-00002C070000}"/>
    <cellStyle name="Currency 8" xfId="1774" xr:uid="{00000000-0005-0000-0000-00002D070000}"/>
    <cellStyle name="Currency 9" xfId="1775" xr:uid="{00000000-0005-0000-0000-00002E070000}"/>
    <cellStyle name="currency(0)" xfId="1776" xr:uid="{00000000-0005-0000-0000-00002F070000}"/>
    <cellStyle name="currency(0) 2" xfId="1777" xr:uid="{00000000-0005-0000-0000-000030070000}"/>
    <cellStyle name="Currency(1)" xfId="1778" xr:uid="{00000000-0005-0000-0000-000031070000}"/>
    <cellStyle name="Currency(1) 2" xfId="1779" xr:uid="{00000000-0005-0000-0000-000032070000}"/>
    <cellStyle name="Currency(2)" xfId="1780" xr:uid="{00000000-0005-0000-0000-000033070000}"/>
    <cellStyle name="Currency(2) 2" xfId="1781" xr:uid="{00000000-0005-0000-0000-000034070000}"/>
    <cellStyle name="Currency(2) 2 2" xfId="1782" xr:uid="{00000000-0005-0000-0000-000035070000}"/>
    <cellStyle name="Currency(2) 3" xfId="1783" xr:uid="{00000000-0005-0000-0000-000036070000}"/>
    <cellStyle name="Currency0" xfId="248" xr:uid="{00000000-0005-0000-0000-000037070000}"/>
    <cellStyle name="Currency0 2" xfId="1785" xr:uid="{00000000-0005-0000-0000-000038070000}"/>
    <cellStyle name="Currency0 3" xfId="1784" xr:uid="{00000000-0005-0000-0000-000039070000}"/>
    <cellStyle name="Currency0 4" xfId="3392" xr:uid="{00000000-0005-0000-0000-00003A070000}"/>
    <cellStyle name="Currency2" xfId="1786" xr:uid="{00000000-0005-0000-0000-00003B070000}"/>
    <cellStyle name="Currency2 2" xfId="1787" xr:uid="{00000000-0005-0000-0000-00003C070000}"/>
    <cellStyle name="custom" xfId="1788" xr:uid="{00000000-0005-0000-0000-00003D070000}"/>
    <cellStyle name="custom 2" xfId="1789" xr:uid="{00000000-0005-0000-0000-00003E070000}"/>
    <cellStyle name="d_yield" xfId="1790" xr:uid="{00000000-0005-0000-0000-00003F070000}"/>
    <cellStyle name="data" xfId="1791" xr:uid="{00000000-0005-0000-0000-000040070000}"/>
    <cellStyle name="date" xfId="249" xr:uid="{00000000-0005-0000-0000-000041070000}"/>
    <cellStyle name="Date [mmm-yy]" xfId="1793" xr:uid="{00000000-0005-0000-0000-000042070000}"/>
    <cellStyle name="Date [mmm-yy] 2" xfId="1794" xr:uid="{00000000-0005-0000-0000-000043070000}"/>
    <cellStyle name="Date [mmm-yy]_Company2094 working 21" xfId="1795" xr:uid="{00000000-0005-0000-0000-000044070000}"/>
    <cellStyle name="Date 10" xfId="1796" xr:uid="{00000000-0005-0000-0000-000045070000}"/>
    <cellStyle name="Date 11" xfId="1797" xr:uid="{00000000-0005-0000-0000-000046070000}"/>
    <cellStyle name="Date 12" xfId="1798" xr:uid="{00000000-0005-0000-0000-000047070000}"/>
    <cellStyle name="Date 13" xfId="1792" xr:uid="{00000000-0005-0000-0000-000048070000}"/>
    <cellStyle name="Date 13 2" xfId="3292" xr:uid="{00000000-0005-0000-0000-000049070000}"/>
    <cellStyle name="Date 14" xfId="3323" xr:uid="{00000000-0005-0000-0000-00004A070000}"/>
    <cellStyle name="Date 15" xfId="3322" xr:uid="{00000000-0005-0000-0000-00004B070000}"/>
    <cellStyle name="Date 16" xfId="3351" xr:uid="{00000000-0005-0000-0000-00004C070000}"/>
    <cellStyle name="Date 17" xfId="3349" xr:uid="{00000000-0005-0000-0000-00004D070000}"/>
    <cellStyle name="Date 18" xfId="3350" xr:uid="{00000000-0005-0000-0000-00004E070000}"/>
    <cellStyle name="Date 19" xfId="3348" xr:uid="{00000000-0005-0000-0000-00004F070000}"/>
    <cellStyle name="Date 2" xfId="1799" xr:uid="{00000000-0005-0000-0000-000050070000}"/>
    <cellStyle name="Date 2 2" xfId="3452" xr:uid="{00000000-0005-0000-0000-000051070000}"/>
    <cellStyle name="Date 2 3" xfId="3428" xr:uid="{00000000-0005-0000-0000-000052070000}"/>
    <cellStyle name="Date 20" xfId="3125" xr:uid="{00000000-0005-0000-0000-000053070000}"/>
    <cellStyle name="date 21" xfId="3393" xr:uid="{00000000-0005-0000-0000-000054070000}"/>
    <cellStyle name="Date 22" xfId="3072" xr:uid="{00000000-0005-0000-0000-000055070000}"/>
    <cellStyle name="Date 23" xfId="3248" xr:uid="{00000000-0005-0000-0000-000056070000}"/>
    <cellStyle name="Date 24" xfId="3484" xr:uid="{00000000-0005-0000-0000-000057070000}"/>
    <cellStyle name="Date 3" xfId="1800" xr:uid="{00000000-0005-0000-0000-000058070000}"/>
    <cellStyle name="Date 4" xfId="1801" xr:uid="{00000000-0005-0000-0000-000059070000}"/>
    <cellStyle name="Date 5" xfId="1802" xr:uid="{00000000-0005-0000-0000-00005A070000}"/>
    <cellStyle name="Date 6" xfId="1803" xr:uid="{00000000-0005-0000-0000-00005B070000}"/>
    <cellStyle name="Date 7" xfId="1804" xr:uid="{00000000-0005-0000-0000-00005C070000}"/>
    <cellStyle name="Date 8" xfId="1805" xr:uid="{00000000-0005-0000-0000-00005D070000}"/>
    <cellStyle name="Date 9" xfId="1806" xr:uid="{00000000-0005-0000-0000-00005E070000}"/>
    <cellStyle name="Date Aligned" xfId="1807" xr:uid="{00000000-0005-0000-0000-00005F070000}"/>
    <cellStyle name="Date Aligned 2" xfId="1808" xr:uid="{00000000-0005-0000-0000-000060070000}"/>
    <cellStyle name="Date Aligned 3" xfId="1809" xr:uid="{00000000-0005-0000-0000-000061070000}"/>
    <cellStyle name="Date Short" xfId="1810" xr:uid="{00000000-0005-0000-0000-000062070000}"/>
    <cellStyle name="Date_AG-working 107" xfId="1811" xr:uid="{00000000-0005-0000-0000-000063070000}"/>
    <cellStyle name="Dates" xfId="1812" xr:uid="{00000000-0005-0000-0000-000064070000}"/>
    <cellStyle name="Dates 2" xfId="1813" xr:uid="{00000000-0005-0000-0000-000065070000}"/>
    <cellStyle name="DateYear" xfId="1814" xr:uid="{00000000-0005-0000-0000-000066070000}"/>
    <cellStyle name="DateYear 2" xfId="1815" xr:uid="{00000000-0005-0000-0000-000067070000}"/>
    <cellStyle name="DateYear 3" xfId="1816" xr:uid="{00000000-0005-0000-0000-000068070000}"/>
    <cellStyle name="days" xfId="1817" xr:uid="{00000000-0005-0000-0000-000069070000}"/>
    <cellStyle name="days 2" xfId="1818" xr:uid="{00000000-0005-0000-0000-00006A070000}"/>
    <cellStyle name="Dec_0" xfId="1819" xr:uid="{00000000-0005-0000-0000-00006B070000}"/>
    <cellStyle name="default" xfId="250" xr:uid="{00000000-0005-0000-0000-00006C070000}"/>
    <cellStyle name="Derive" xfId="1820" xr:uid="{00000000-0005-0000-0000-00006D070000}"/>
    <cellStyle name="Detail ligne" xfId="1821" xr:uid="{00000000-0005-0000-0000-00006E070000}"/>
    <cellStyle name="Dollar" xfId="251" xr:uid="{00000000-0005-0000-0000-00006F070000}"/>
    <cellStyle name="Dollar 2" xfId="1822" xr:uid="{00000000-0005-0000-0000-000070070000}"/>
    <cellStyle name="Dollar 2 2" xfId="3294" xr:uid="{00000000-0005-0000-0000-000071070000}"/>
    <cellStyle name="Dollar 2 3" xfId="3127" xr:uid="{00000000-0005-0000-0000-000072070000}"/>
    <cellStyle name="Dollar 2 4" xfId="3074" xr:uid="{00000000-0005-0000-0000-000073070000}"/>
    <cellStyle name="Dollar 3" xfId="1823" xr:uid="{00000000-0005-0000-0000-000074070000}"/>
    <cellStyle name="Dollar 3 2" xfId="3295" xr:uid="{00000000-0005-0000-0000-000075070000}"/>
    <cellStyle name="Dollar 3 3" xfId="3128" xr:uid="{00000000-0005-0000-0000-000076070000}"/>
    <cellStyle name="Dollar 3 4" xfId="3075" xr:uid="{00000000-0005-0000-0000-000077070000}"/>
    <cellStyle name="Dollar 4" xfId="3076" xr:uid="{00000000-0005-0000-0000-000078070000}"/>
    <cellStyle name="Dollar 5" xfId="3293" xr:uid="{00000000-0005-0000-0000-000079070000}"/>
    <cellStyle name="Dollar 6" xfId="3126" xr:uid="{00000000-0005-0000-0000-00007A070000}"/>
    <cellStyle name="Dollar 7" xfId="3073" xr:uid="{00000000-0005-0000-0000-00007B070000}"/>
    <cellStyle name="Dollar 8" xfId="3485" xr:uid="{00000000-0005-0000-0000-00007C070000}"/>
    <cellStyle name="Dollars" xfId="1824" xr:uid="{00000000-0005-0000-0000-00007D070000}"/>
    <cellStyle name="Dollars 2" xfId="1825" xr:uid="{00000000-0005-0000-0000-00007E070000}"/>
    <cellStyle name="DollarWhole" xfId="1826" xr:uid="{00000000-0005-0000-0000-00007F070000}"/>
    <cellStyle name="DollarWhole 2" xfId="1827" xr:uid="{00000000-0005-0000-0000-000080070000}"/>
    <cellStyle name="Dotted Line" xfId="1828" xr:uid="{00000000-0005-0000-0000-000081070000}"/>
    <cellStyle name="Dotted Line 2" xfId="1829" xr:uid="{00000000-0005-0000-0000-000082070000}"/>
    <cellStyle name="Dotted Line 3" xfId="1830" xr:uid="{00000000-0005-0000-0000-000083070000}"/>
    <cellStyle name="Duizenden" xfId="1831" xr:uid="{00000000-0005-0000-0000-000084070000}"/>
    <cellStyle name="Duizenden 2" xfId="1832" xr:uid="{00000000-0005-0000-0000-000085070000}"/>
    <cellStyle name="Duizenden_Company2094 working 21" xfId="1833" xr:uid="{00000000-0005-0000-0000-000086070000}"/>
    <cellStyle name="E" xfId="1834" xr:uid="{00000000-0005-0000-0000-000087070000}"/>
    <cellStyle name="E 2" xfId="1835" xr:uid="{00000000-0005-0000-0000-000088070000}"/>
    <cellStyle name="E 2 2" xfId="1836" xr:uid="{00000000-0005-0000-0000-000089070000}"/>
    <cellStyle name="E 3" xfId="1837" xr:uid="{00000000-0005-0000-0000-00008A070000}"/>
    <cellStyle name="E_AG" xfId="1838" xr:uid="{00000000-0005-0000-0000-00008B070000}"/>
    <cellStyle name="E_AG 2" xfId="1839" xr:uid="{00000000-0005-0000-0000-00008C070000}"/>
    <cellStyle name="E_CNH" xfId="1840" xr:uid="{00000000-0005-0000-0000-00008D070000}"/>
    <cellStyle name="E_CNH 2" xfId="1841" xr:uid="{00000000-0005-0000-0000-00008E070000}"/>
    <cellStyle name="E_Company0750" xfId="1842" xr:uid="{00000000-0005-0000-0000-00008F070000}"/>
    <cellStyle name="E_Company0750 2" xfId="1843" xr:uid="{00000000-0005-0000-0000-000090070000}"/>
    <cellStyle name="E_Company0886" xfId="1844" xr:uid="{00000000-0005-0000-0000-000091070000}"/>
    <cellStyle name="E_Company0886 2" xfId="1845" xr:uid="{00000000-0005-0000-0000-000092070000}"/>
    <cellStyle name="E_Hist Summary" xfId="1846" xr:uid="{00000000-0005-0000-0000-000093070000}"/>
    <cellStyle name="E_Hist Summary 2" xfId="1847" xr:uid="{00000000-0005-0000-0000-000094070000}"/>
    <cellStyle name="E_Company1415" xfId="1848" xr:uid="{00000000-0005-0000-0000-000095070000}"/>
    <cellStyle name="E_Company1415 2" xfId="1849" xr:uid="{00000000-0005-0000-0000-000096070000}"/>
    <cellStyle name="E_Machinery group valuation" xfId="1850" xr:uid="{00000000-0005-0000-0000-000097070000}"/>
    <cellStyle name="E_Machinery group valuation 2" xfId="1851" xr:uid="{00000000-0005-0000-0000-000098070000}"/>
    <cellStyle name="E_Company1718" xfId="1852" xr:uid="{00000000-0005-0000-0000-000099070000}"/>
    <cellStyle name="E_Company1718 2" xfId="1853" xr:uid="{00000000-0005-0000-0000-00009A070000}"/>
    <cellStyle name="E_NAV" xfId="1854" xr:uid="{00000000-0005-0000-0000-00009B070000}"/>
    <cellStyle name="E_NAV 2" xfId="1855" xr:uid="{00000000-0005-0000-0000-00009C070000}"/>
    <cellStyle name="E_Company1995" xfId="1856" xr:uid="{00000000-0005-0000-0000-00009D070000}"/>
    <cellStyle name="E_Company1995 2" xfId="1857" xr:uid="{00000000-0005-0000-0000-00009E070000}"/>
    <cellStyle name="E_PCAR" xfId="1858" xr:uid="{00000000-0005-0000-0000-00009F070000}"/>
    <cellStyle name="E_PCAR 2" xfId="1859" xr:uid="{00000000-0005-0000-0000-0000A0070000}"/>
    <cellStyle name="E_PH" xfId="1860" xr:uid="{00000000-0005-0000-0000-0000A1070000}"/>
    <cellStyle name="E_PH 2" xfId="1861" xr:uid="{00000000-0005-0000-0000-0000A2070000}"/>
    <cellStyle name="emp" xfId="252" xr:uid="{00000000-0005-0000-0000-0000A3070000}"/>
    <cellStyle name="Enter Currency (0)" xfId="1862" xr:uid="{00000000-0005-0000-0000-0000A4070000}"/>
    <cellStyle name="Enter Currency (2)" xfId="1863" xr:uid="{00000000-0005-0000-0000-0000A5070000}"/>
    <cellStyle name="Enter Units (0)" xfId="1864" xr:uid="{00000000-0005-0000-0000-0000A6070000}"/>
    <cellStyle name="Enter Units (1)" xfId="1865" xr:uid="{00000000-0005-0000-0000-0000A7070000}"/>
    <cellStyle name="Enter Units (2)" xfId="1866" xr:uid="{00000000-0005-0000-0000-0000A8070000}"/>
    <cellStyle name="Entered" xfId="1867" xr:uid="{00000000-0005-0000-0000-0000A9070000}"/>
    <cellStyle name="Entered 2" xfId="1868" xr:uid="{00000000-0005-0000-0000-0000AA070000}"/>
    <cellStyle name="Entries" xfId="1869" xr:uid="{00000000-0005-0000-0000-0000AB070000}"/>
    <cellStyle name="Entry" xfId="1870" xr:uid="{00000000-0005-0000-0000-0000AC070000}"/>
    <cellStyle name="EPS" xfId="2" xr:uid="{00000000-0005-0000-0000-0000AD070000}"/>
    <cellStyle name="EPS 2" xfId="1872" xr:uid="{00000000-0005-0000-0000-0000AE070000}"/>
    <cellStyle name="EPS 2 2" xfId="3453" xr:uid="{00000000-0005-0000-0000-0000AF070000}"/>
    <cellStyle name="EPS 2 3" xfId="3238" xr:uid="{00000000-0005-0000-0000-0000B0070000}"/>
    <cellStyle name="EPS 2 4" xfId="3534" xr:uid="{00000000-0005-0000-0000-0000B1070000}"/>
    <cellStyle name="EPS 2 5" xfId="3491" xr:uid="{00000000-0005-0000-0000-0000B2070000}"/>
    <cellStyle name="EPS 3" xfId="1873" xr:uid="{00000000-0005-0000-0000-0000B3070000}"/>
    <cellStyle name="EPS 4" xfId="1874" xr:uid="{00000000-0005-0000-0000-0000B4070000}"/>
    <cellStyle name="EPS 5" xfId="1875" xr:uid="{00000000-0005-0000-0000-0000B5070000}"/>
    <cellStyle name="EPS 6" xfId="1871" xr:uid="{00000000-0005-0000-0000-0000B6070000}"/>
    <cellStyle name="EPS 7" xfId="2948" xr:uid="{00000000-0005-0000-0000-0000B7070000}"/>
    <cellStyle name="EPS 7 2" xfId="3239" xr:uid="{00000000-0005-0000-0000-0000B8070000}"/>
    <cellStyle name="EPS Input" xfId="1876" xr:uid="{00000000-0005-0000-0000-0000B9070000}"/>
    <cellStyle name="eps$" xfId="1877" xr:uid="{00000000-0005-0000-0000-0000BA070000}"/>
    <cellStyle name="eps$A" xfId="1878" xr:uid="{00000000-0005-0000-0000-0000BB070000}"/>
    <cellStyle name="eps$E" xfId="1879" xr:uid="{00000000-0005-0000-0000-0000BC070000}"/>
    <cellStyle name="eps_Company0112 Model Master" xfId="1880" xr:uid="{00000000-0005-0000-0000-0000BD070000}"/>
    <cellStyle name="epsA" xfId="1881" xr:uid="{00000000-0005-0000-0000-0000BE070000}"/>
    <cellStyle name="EPSActual" xfId="1882" xr:uid="{00000000-0005-0000-0000-0000BF070000}"/>
    <cellStyle name="EPSActual 2" xfId="1883" xr:uid="{00000000-0005-0000-0000-0000C0070000}"/>
    <cellStyle name="epsE" xfId="1884" xr:uid="{00000000-0005-0000-0000-0000C1070000}"/>
    <cellStyle name="EPSEstimate" xfId="1885" xr:uid="{00000000-0005-0000-0000-0000C2070000}"/>
    <cellStyle name="EPSEstimate 2" xfId="1886" xr:uid="{00000000-0005-0000-0000-0000C3070000}"/>
    <cellStyle name="Euro" xfId="1887" xr:uid="{00000000-0005-0000-0000-0000C4070000}"/>
    <cellStyle name="Euro 2" xfId="1888" xr:uid="{00000000-0005-0000-0000-0000C5070000}"/>
    <cellStyle name="Euro 3" xfId="1889" xr:uid="{00000000-0005-0000-0000-0000C6070000}"/>
    <cellStyle name="ExchRate" xfId="1890" xr:uid="{00000000-0005-0000-0000-0000C7070000}"/>
    <cellStyle name="ExchRate 2" xfId="1891" xr:uid="{00000000-0005-0000-0000-0000C8070000}"/>
    <cellStyle name="ExchRate 3" xfId="1892" xr:uid="{00000000-0005-0000-0000-0000C9070000}"/>
    <cellStyle name="Explanatory Text 2" xfId="1893" xr:uid="{00000000-0005-0000-0000-0000CA070000}"/>
    <cellStyle name="Explanatory Text 2 2" xfId="1894" xr:uid="{00000000-0005-0000-0000-0000CB070000}"/>
    <cellStyle name="External File Cells" xfId="253" xr:uid="{00000000-0005-0000-0000-0000CC070000}"/>
    <cellStyle name="External File Cells 2" xfId="1895" xr:uid="{00000000-0005-0000-0000-0000CD070000}"/>
    <cellStyle name="External File Cells 2 2" xfId="1896" xr:uid="{00000000-0005-0000-0000-0000CE070000}"/>
    <cellStyle name="External File Cells 2 2 2" xfId="3456" xr:uid="{00000000-0005-0000-0000-0000CF070000}"/>
    <cellStyle name="External File Cells 2 3" xfId="3297" xr:uid="{00000000-0005-0000-0000-0000D0070000}"/>
    <cellStyle name="External File Cells 2 4" xfId="3130" xr:uid="{00000000-0005-0000-0000-0000D1070000}"/>
    <cellStyle name="External File Cells 2 4 2" xfId="3455" xr:uid="{00000000-0005-0000-0000-0000D2070000}"/>
    <cellStyle name="External File Cells 2 5" xfId="3078" xr:uid="{00000000-0005-0000-0000-0000D3070000}"/>
    <cellStyle name="External File Cells 3" xfId="1897" xr:uid="{00000000-0005-0000-0000-0000D4070000}"/>
    <cellStyle name="External File Cells 3 2" xfId="3298" xr:uid="{00000000-0005-0000-0000-0000D5070000}"/>
    <cellStyle name="External File Cells 3 3" xfId="3131" xr:uid="{00000000-0005-0000-0000-0000D6070000}"/>
    <cellStyle name="External File Cells 3 3 2" xfId="3457" xr:uid="{00000000-0005-0000-0000-0000D7070000}"/>
    <cellStyle name="External File Cells 3 4" xfId="3079" xr:uid="{00000000-0005-0000-0000-0000D8070000}"/>
    <cellStyle name="External File Cells 4" xfId="3080" xr:uid="{00000000-0005-0000-0000-0000D9070000}"/>
    <cellStyle name="External File Cells 4 2" xfId="3299" xr:uid="{00000000-0005-0000-0000-0000DA070000}"/>
    <cellStyle name="External File Cells 5" xfId="3296" xr:uid="{00000000-0005-0000-0000-0000DB070000}"/>
    <cellStyle name="External File Cells 5 2" xfId="3472" xr:uid="{00000000-0005-0000-0000-0000DC070000}"/>
    <cellStyle name="External File Cells 6" xfId="3129" xr:uid="{00000000-0005-0000-0000-0000DD070000}"/>
    <cellStyle name="External File Cells 6 2" xfId="3454" xr:uid="{00000000-0005-0000-0000-0000DE070000}"/>
    <cellStyle name="External File Cells 7" xfId="3394" xr:uid="{00000000-0005-0000-0000-0000DF070000}"/>
    <cellStyle name="External File Cells 8" xfId="3077" xr:uid="{00000000-0005-0000-0000-0000E0070000}"/>
    <cellStyle name="FF" xfId="1898" xr:uid="{00000000-0005-0000-0000-0000E1070000}"/>
    <cellStyle name="FF 2" xfId="1899" xr:uid="{00000000-0005-0000-0000-0000E2070000}"/>
    <cellStyle name="Financial" xfId="1900" xr:uid="{00000000-0005-0000-0000-0000E3070000}"/>
    <cellStyle name="Financial 2" xfId="1901" xr:uid="{00000000-0005-0000-0000-0000E4070000}"/>
    <cellStyle name="Financial 3" xfId="1902" xr:uid="{00000000-0005-0000-0000-0000E5070000}"/>
    <cellStyle name="Fit" xfId="254" xr:uid="{00000000-0005-0000-0000-0000E6070000}"/>
    <cellStyle name="Fixed" xfId="255" xr:uid="{00000000-0005-0000-0000-0000E7070000}"/>
    <cellStyle name="Fixed 2" xfId="1904" xr:uid="{00000000-0005-0000-0000-0000E8070000}"/>
    <cellStyle name="Fixed 3" xfId="1903" xr:uid="{00000000-0005-0000-0000-0000E9070000}"/>
    <cellStyle name="Fixed 4" xfId="3395" xr:uid="{00000000-0005-0000-0000-0000EA070000}"/>
    <cellStyle name="Footer SBILogo1" xfId="1905" xr:uid="{00000000-0005-0000-0000-0000EB070000}"/>
    <cellStyle name="Footer SBILogo2" xfId="1906" xr:uid="{00000000-0005-0000-0000-0000EC070000}"/>
    <cellStyle name="Footnote" xfId="1907" xr:uid="{00000000-0005-0000-0000-0000ED070000}"/>
    <cellStyle name="Footnote Reference" xfId="1908" xr:uid="{00000000-0005-0000-0000-0000EE070000}"/>
    <cellStyle name="Footnote_ACCC" xfId="1909" xr:uid="{00000000-0005-0000-0000-0000EF070000}"/>
    <cellStyle name="Footnotes" xfId="256" xr:uid="{00000000-0005-0000-0000-0000F0070000}"/>
    <cellStyle name="Forecast Cells" xfId="257" xr:uid="{00000000-0005-0000-0000-0000F1070000}"/>
    <cellStyle name="fy_eps$" xfId="1910" xr:uid="{00000000-0005-0000-0000-0000F2070000}"/>
    <cellStyle name="g_rate" xfId="1911" xr:uid="{00000000-0005-0000-0000-0000F3070000}"/>
    <cellStyle name="g_rate_Company0112_Model_Master" xfId="1912" xr:uid="{00000000-0005-0000-0000-0000F4070000}"/>
    <cellStyle name="G1_1999 figures" xfId="258" xr:uid="{00000000-0005-0000-0000-0000F5070000}"/>
    <cellStyle name="General" xfId="1913" xr:uid="{00000000-0005-0000-0000-0000F6070000}"/>
    <cellStyle name="General 2" xfId="1914" xr:uid="{00000000-0005-0000-0000-0000F7070000}"/>
    <cellStyle name="General 3" xfId="1915" xr:uid="{00000000-0005-0000-0000-0000F8070000}"/>
    <cellStyle name="General_Company2094 working 21" xfId="1916" xr:uid="{00000000-0005-0000-0000-0000F9070000}"/>
    <cellStyle name="GIRExhibit-Bold" xfId="3081" xr:uid="{00000000-0005-0000-0000-0000FA070000}"/>
    <cellStyle name="Good 2" xfId="1917" xr:uid="{00000000-0005-0000-0000-0000FC070000}"/>
    <cellStyle name="Good 2 2" xfId="1918" xr:uid="{00000000-0005-0000-0000-0000FD070000}"/>
    <cellStyle name="Grey" xfId="1919" xr:uid="{00000000-0005-0000-0000-0000FE070000}"/>
    <cellStyle name="Grey 2" xfId="1920" xr:uid="{00000000-0005-0000-0000-0000FF070000}"/>
    <cellStyle name="Grey_Company2094 working 21" xfId="1921" xr:uid="{00000000-0005-0000-0000-000000080000}"/>
    <cellStyle name="GrowthRate" xfId="1922" xr:uid="{00000000-0005-0000-0000-000001080000}"/>
    <cellStyle name="GrowthRate 2" xfId="1923" xr:uid="{00000000-0005-0000-0000-000002080000}"/>
    <cellStyle name="GrowthSeq" xfId="1924" xr:uid="{00000000-0005-0000-0000-000003080000}"/>
    <cellStyle name="GrowthSeq 2" xfId="1925" xr:uid="{00000000-0005-0000-0000-000004080000}"/>
    <cellStyle name="H_1998_col_head" xfId="259" xr:uid="{00000000-0005-0000-0000-000005080000}"/>
    <cellStyle name="H_1998_col_head_BHI" xfId="1926" xr:uid="{00000000-0005-0000-0000-000006080000}"/>
    <cellStyle name="H_1998_col_head_BHI 2" xfId="1927" xr:uid="{00000000-0005-0000-0000-000007080000}"/>
    <cellStyle name="H_1998_col_head_BHI_IR-working 238" xfId="1928" xr:uid="{00000000-0005-0000-0000-000008080000}"/>
    <cellStyle name="H_1998_col_head_BHI_MMM working 31" xfId="1929" xr:uid="{00000000-0005-0000-0000-000009080000}"/>
    <cellStyle name="H_1998_col_head_BHI_MMM working 32" xfId="1930" xr:uid="{00000000-0005-0000-0000-00000A080000}"/>
    <cellStyle name="H_1998_col_head_BHI_Company2094 working 21" xfId="1931" xr:uid="{00000000-0005-0000-0000-00000B080000}"/>
    <cellStyle name="H_1998_col_head_BHI_Company2834 working 32" xfId="1932" xr:uid="{00000000-0005-0000-0000-00000C080000}"/>
    <cellStyle name="H_1998_col_head_BHI_working7" xfId="1933" xr:uid="{00000000-0005-0000-0000-00000D080000}"/>
    <cellStyle name="H_1998_col_head_BHI_working7_IR nxp 238" xfId="1934" xr:uid="{00000000-0005-0000-0000-00000E080000}"/>
    <cellStyle name="H_1998_col_head_BHI_working7_MMM nxp 33" xfId="1935" xr:uid="{00000000-0005-0000-0000-00000F080000}"/>
    <cellStyle name="H_1998_col_head_Company0298-07132004-IH" xfId="1936" xr:uid="{00000000-0005-0000-0000-000010080000}"/>
    <cellStyle name="H_1998_col_head_Company0298-07132004-IH_IR nxp 238" xfId="1937" xr:uid="{00000000-0005-0000-0000-000011080000}"/>
    <cellStyle name="H_1998_col_head_Company0298-07132004-IH_MMM nxp 33" xfId="1938" xr:uid="{00000000-0005-0000-0000-000012080000}"/>
    <cellStyle name="H_1998_col_head_Company0309" xfId="1939" xr:uid="{00000000-0005-0000-0000-000013080000}"/>
    <cellStyle name="H_1998_col_head_Company0309 2" xfId="1940" xr:uid="{00000000-0005-0000-0000-000014080000}"/>
    <cellStyle name="H_1998_col_head_Company0309_IR-working 238" xfId="1941" xr:uid="{00000000-0005-0000-0000-000015080000}"/>
    <cellStyle name="H_1998_col_head_Company0309_MMM working 31" xfId="1942" xr:uid="{00000000-0005-0000-0000-000016080000}"/>
    <cellStyle name="H_1998_col_head_Company0309_MMM working 32" xfId="1943" xr:uid="{00000000-0005-0000-0000-000017080000}"/>
    <cellStyle name="H_1998_col_head_Company0309_Company2094 working 21" xfId="1944" xr:uid="{00000000-0005-0000-0000-000018080000}"/>
    <cellStyle name="H_1998_col_head_Company0309_Company2834 working 32" xfId="1945" xr:uid="{00000000-0005-0000-0000-000019080000}"/>
    <cellStyle name="H_1998_col_head_bjs-working9" xfId="1946" xr:uid="{00000000-0005-0000-0000-00001A080000}"/>
    <cellStyle name="H_1998_col_head_bjs-working9_IR nxp 238" xfId="1947" xr:uid="{00000000-0005-0000-0000-00001B080000}"/>
    <cellStyle name="H_1998_col_head_bjs-working9_MMM nxp 33" xfId="1948" xr:uid="{00000000-0005-0000-0000-00001C080000}"/>
    <cellStyle name="H_1998_col_head_Company0431-07282004-JS" xfId="1949" xr:uid="{00000000-0005-0000-0000-00001D080000}"/>
    <cellStyle name="H_1998_col_head_Company0431-07282004-JS_IR nxp 238" xfId="1950" xr:uid="{00000000-0005-0000-0000-00001E080000}"/>
    <cellStyle name="H_1998_col_head_Company0431-07282004-JS_MMM nxp 33" xfId="1951" xr:uid="{00000000-0005-0000-0000-00001F080000}"/>
    <cellStyle name="H_1998_col_head_Completion&amp;Production Systems" xfId="1952" xr:uid="{00000000-0005-0000-0000-000020080000}"/>
    <cellStyle name="H_1998_col_head_Completion&amp;Production Systems_IR nxp 238" xfId="1953" xr:uid="{00000000-0005-0000-0000-000021080000}"/>
    <cellStyle name="H_1998_col_head_Completion&amp;Production Systems_MMM nxp 33" xfId="1954" xr:uid="{00000000-0005-0000-0000-000022080000}"/>
    <cellStyle name="H_1998_col_head_Company0694 Person0199 Valves" xfId="1955" xr:uid="{00000000-0005-0000-0000-000023080000}"/>
    <cellStyle name="H_1998_col_head_Company0694 Person0199 Valves_IR nxp 238" xfId="1956" xr:uid="{00000000-0005-0000-0000-000024080000}"/>
    <cellStyle name="H_1998_col_head_Company0694 Person0199 Valves_MMM nxp 33" xfId="1957" xr:uid="{00000000-0005-0000-0000-000025080000}"/>
    <cellStyle name="H_1998_col_head_DIAMND-PUBLISHED57.2 (b)" xfId="1958" xr:uid="{00000000-0005-0000-0000-000026080000}"/>
    <cellStyle name="H_1998_col_head_DIAMND-PUBLISHED57.2 (b)_IR nxp 238" xfId="1959" xr:uid="{00000000-0005-0000-0000-000027080000}"/>
    <cellStyle name="H_1998_col_head_DIAMND-PUBLISHED57.2 (b)_MMM nxp 33" xfId="1960" xr:uid="{00000000-0005-0000-0000-000028080000}"/>
    <cellStyle name="H_1998_col_head_EVA" xfId="1961" xr:uid="{00000000-0005-0000-0000-000029080000}"/>
    <cellStyle name="H_1998_col_head_EVA_IR nxp 238" xfId="1962" xr:uid="{00000000-0005-0000-0000-00002A080000}"/>
    <cellStyle name="H_1998_col_head_EVA_MMM nxp 33" xfId="1963" xr:uid="{00000000-0005-0000-0000-00002B080000}"/>
    <cellStyle name="H_1998_col_head_HAL" xfId="1964" xr:uid="{00000000-0005-0000-0000-00002C080000}"/>
    <cellStyle name="H_1998_col_head_HAL - 7" xfId="1965" xr:uid="{00000000-0005-0000-0000-00002D080000}"/>
    <cellStyle name="H_1998_col_head_HAL - 7 2" xfId="1966" xr:uid="{00000000-0005-0000-0000-00002E080000}"/>
    <cellStyle name="H_1998_col_head_HAL - 7_IR-working 238" xfId="1967" xr:uid="{00000000-0005-0000-0000-00002F080000}"/>
    <cellStyle name="H_1998_col_head_HAL - 7_MMM working 31" xfId="1968" xr:uid="{00000000-0005-0000-0000-000030080000}"/>
    <cellStyle name="H_1998_col_head_HAL - 7_MMM working 32" xfId="1969" xr:uid="{00000000-0005-0000-0000-000031080000}"/>
    <cellStyle name="H_1998_col_head_HAL - 7_Company2094 working 21" xfId="1970" xr:uid="{00000000-0005-0000-0000-000032080000}"/>
    <cellStyle name="H_1998_col_head_HAL - 7_Company2834 working 32" xfId="1971" xr:uid="{00000000-0005-0000-0000-000033080000}"/>
    <cellStyle name="H_1998_col_head_HAL 10" xfId="1972" xr:uid="{00000000-0005-0000-0000-000034080000}"/>
    <cellStyle name="H_1998_col_head_HAL 11" xfId="1973" xr:uid="{00000000-0005-0000-0000-000035080000}"/>
    <cellStyle name="H_1998_col_head_HAL 12" xfId="1974" xr:uid="{00000000-0005-0000-0000-000036080000}"/>
    <cellStyle name="H_1998_col_head_HAL 2" xfId="1975" xr:uid="{00000000-0005-0000-0000-000037080000}"/>
    <cellStyle name="H_1998_col_head_HAL 3" xfId="1976" xr:uid="{00000000-0005-0000-0000-000038080000}"/>
    <cellStyle name="H_1998_col_head_HAL 4" xfId="1977" xr:uid="{00000000-0005-0000-0000-000039080000}"/>
    <cellStyle name="H_1998_col_head_HAL 5" xfId="1978" xr:uid="{00000000-0005-0000-0000-00003A080000}"/>
    <cellStyle name="H_1998_col_head_HAL 6" xfId="1979" xr:uid="{00000000-0005-0000-0000-00003B080000}"/>
    <cellStyle name="H_1998_col_head_HAL 7" xfId="1980" xr:uid="{00000000-0005-0000-0000-00003C080000}"/>
    <cellStyle name="H_1998_col_head_HAL 8" xfId="1981" xr:uid="{00000000-0005-0000-0000-00003D080000}"/>
    <cellStyle name="H_1998_col_head_HAL 9" xfId="1982" xr:uid="{00000000-0005-0000-0000-00003E080000}"/>
    <cellStyle name="H_1998_col_head_HAL_IR-working 238" xfId="1983" xr:uid="{00000000-0005-0000-0000-00003F080000}"/>
    <cellStyle name="H_1998_col_head_HAL_MMM working 31" xfId="1984" xr:uid="{00000000-0005-0000-0000-000040080000}"/>
    <cellStyle name="H_1998_col_head_HAL_MMM working 32" xfId="1985" xr:uid="{00000000-0005-0000-0000-000041080000}"/>
    <cellStyle name="H_1998_col_head_HAL_Company2094 working 21" xfId="1986" xr:uid="{00000000-0005-0000-0000-000042080000}"/>
    <cellStyle name="H_1998_col_head_HAL_Company2834 working 32" xfId="1987" xr:uid="{00000000-0005-0000-0000-000043080000}"/>
    <cellStyle name="H_1998_col_head_Company1173-07282004-IH" xfId="1988" xr:uid="{00000000-0005-0000-0000-000044080000}"/>
    <cellStyle name="H_1998_col_head_Company1173-07282004-IH_IR nxp 238" xfId="1989" xr:uid="{00000000-0005-0000-0000-000045080000}"/>
    <cellStyle name="H_1998_col_head_Company1173-07282004-IH_MMM nxp 33" xfId="1990" xr:uid="{00000000-0005-0000-0000-000046080000}"/>
    <cellStyle name="H_1998_col_head_Company1174_working13" xfId="1991" xr:uid="{00000000-0005-0000-0000-000047080000}"/>
    <cellStyle name="H_1998_col_head_Company1174_working13_IR nxp 238" xfId="1992" xr:uid="{00000000-0005-0000-0000-000048080000}"/>
    <cellStyle name="H_1998_col_head_Company1174_working13_MMM nxp 33" xfId="1993" xr:uid="{00000000-0005-0000-0000-000049080000}"/>
    <cellStyle name="H_1998_col_head_Company1174_working15" xfId="1994" xr:uid="{00000000-0005-0000-0000-00004A080000}"/>
    <cellStyle name="H_1998_col_head_Company1174_working15_IR nxp 238" xfId="1995" xr:uid="{00000000-0005-0000-0000-00004B080000}"/>
    <cellStyle name="H_1998_col_head_Company1174_working15_MMM nxp 33" xfId="1996" xr:uid="{00000000-0005-0000-0000-00004C080000}"/>
    <cellStyle name="H_1998_col_head_IR nxp 238" xfId="1997" xr:uid="{00000000-0005-0000-0000-00004D080000}"/>
    <cellStyle name="H_1998_col_head_IS" xfId="1998" xr:uid="{00000000-0005-0000-0000-00004E080000}"/>
    <cellStyle name="H_1998_col_head_IS - Driver" xfId="1999" xr:uid="{00000000-0005-0000-0000-00004F080000}"/>
    <cellStyle name="H_1998_col_head_IS - Driver_IR nxp 238" xfId="2000" xr:uid="{00000000-0005-0000-0000-000050080000}"/>
    <cellStyle name="H_1998_col_head_IS - Driver_MMM nxp 33" xfId="2001" xr:uid="{00000000-0005-0000-0000-000051080000}"/>
    <cellStyle name="H_1998_col_head_IS - Rptd" xfId="2002" xr:uid="{00000000-0005-0000-0000-000052080000}"/>
    <cellStyle name="H_1998_col_head_IS - Rptd_1" xfId="2003" xr:uid="{00000000-0005-0000-0000-000053080000}"/>
    <cellStyle name="H_1998_col_head_IS - Rptd_1 2" xfId="2004" xr:uid="{00000000-0005-0000-0000-000054080000}"/>
    <cellStyle name="H_1998_col_head_IS - Rptd_1_IR-working 238" xfId="2005" xr:uid="{00000000-0005-0000-0000-000055080000}"/>
    <cellStyle name="H_1998_col_head_IS - Rptd_1_MMM working 31" xfId="2006" xr:uid="{00000000-0005-0000-0000-000056080000}"/>
    <cellStyle name="H_1998_col_head_IS - Rptd_1_MMM working 32" xfId="2007" xr:uid="{00000000-0005-0000-0000-000057080000}"/>
    <cellStyle name="H_1998_col_head_IS - Rptd_1_Company2094 working 21" xfId="2008" xr:uid="{00000000-0005-0000-0000-000058080000}"/>
    <cellStyle name="H_1998_col_head_IS - Rptd_1_Company2834 working 32" xfId="2009" xr:uid="{00000000-0005-0000-0000-000059080000}"/>
    <cellStyle name="H_1998_col_head_IS - Rptd_IR nxp 238" xfId="2010" xr:uid="{00000000-0005-0000-0000-00005A080000}"/>
    <cellStyle name="H_1998_col_head_IS - Rptd_MMM nxp 33" xfId="2011" xr:uid="{00000000-0005-0000-0000-00005B080000}"/>
    <cellStyle name="H_1998_col_head_IS 10" xfId="2012" xr:uid="{00000000-0005-0000-0000-00005C080000}"/>
    <cellStyle name="H_1998_col_head_IS 11" xfId="2013" xr:uid="{00000000-0005-0000-0000-00005D080000}"/>
    <cellStyle name="H_1998_col_head_IS 12" xfId="2014" xr:uid="{00000000-0005-0000-0000-00005E080000}"/>
    <cellStyle name="H_1998_col_head_IS 2" xfId="2015" xr:uid="{00000000-0005-0000-0000-00005F080000}"/>
    <cellStyle name="H_1998_col_head_IS 3" xfId="2016" xr:uid="{00000000-0005-0000-0000-000060080000}"/>
    <cellStyle name="H_1998_col_head_IS 4" xfId="2017" xr:uid="{00000000-0005-0000-0000-000061080000}"/>
    <cellStyle name="H_1998_col_head_IS 5" xfId="2018" xr:uid="{00000000-0005-0000-0000-000062080000}"/>
    <cellStyle name="H_1998_col_head_IS 6" xfId="2019" xr:uid="{00000000-0005-0000-0000-000063080000}"/>
    <cellStyle name="H_1998_col_head_IS 7" xfId="2020" xr:uid="{00000000-0005-0000-0000-000064080000}"/>
    <cellStyle name="H_1998_col_head_IS 8" xfId="2021" xr:uid="{00000000-0005-0000-0000-000065080000}"/>
    <cellStyle name="H_1998_col_head_IS 9" xfId="2022" xr:uid="{00000000-0005-0000-0000-000066080000}"/>
    <cellStyle name="H_1998_col_head_IS_IR-working 238" xfId="2023" xr:uid="{00000000-0005-0000-0000-000067080000}"/>
    <cellStyle name="H_1998_col_head_IS_MMM working 31" xfId="2024" xr:uid="{00000000-0005-0000-0000-000068080000}"/>
    <cellStyle name="H_1998_col_head_IS_MMM working 32" xfId="2025" xr:uid="{00000000-0005-0000-0000-000069080000}"/>
    <cellStyle name="H_1998_col_head_IS_Company2094 working 21" xfId="2026" xr:uid="{00000000-0005-0000-0000-00006A080000}"/>
    <cellStyle name="H_1998_col_head_IS_Company2834 working 32" xfId="2027" xr:uid="{00000000-0005-0000-0000-00006B080000}"/>
    <cellStyle name="H_1998_col_head_LoneStar-working" xfId="2028" xr:uid="{00000000-0005-0000-0000-00006C080000}"/>
    <cellStyle name="H_1998_col_head_LoneStar-working 4" xfId="2029" xr:uid="{00000000-0005-0000-0000-00006D080000}"/>
    <cellStyle name="H_1998_col_head_LoneStar-working 4_IR nxp 238" xfId="2030" xr:uid="{00000000-0005-0000-0000-00006E080000}"/>
    <cellStyle name="H_1998_col_head_LoneStar-working 4_MMM nxp 33" xfId="2031" xr:uid="{00000000-0005-0000-0000-00006F080000}"/>
    <cellStyle name="H_1998_col_head_LoneStar-working_IR nxp 238" xfId="2032" xr:uid="{00000000-0005-0000-0000-000070080000}"/>
    <cellStyle name="H_1998_col_head_LoneStar-working_MMM nxp 33" xfId="2033" xr:uid="{00000000-0005-0000-0000-000071080000}"/>
    <cellStyle name="H_1998_col_head_LSS" xfId="2034" xr:uid="{00000000-0005-0000-0000-000072080000}"/>
    <cellStyle name="H_1998_col_head_LSS 2" xfId="2035" xr:uid="{00000000-0005-0000-0000-000073080000}"/>
    <cellStyle name="H_1998_col_head_LSS_IR-working 238" xfId="2036" xr:uid="{00000000-0005-0000-0000-000074080000}"/>
    <cellStyle name="H_1998_col_head_LSS_MMM working 31" xfId="2037" xr:uid="{00000000-0005-0000-0000-000075080000}"/>
    <cellStyle name="H_1998_col_head_LSS_MMM working 32" xfId="2038" xr:uid="{00000000-0005-0000-0000-000076080000}"/>
    <cellStyle name="H_1998_col_head_LSS_Company2094 working 21" xfId="2039" xr:uid="{00000000-0005-0000-0000-000077080000}"/>
    <cellStyle name="H_1998_col_head_LSS_Company2834 working 32" xfId="2040" xr:uid="{00000000-0005-0000-0000-000078080000}"/>
    <cellStyle name="H_1998_col_head_MMM nxp 33" xfId="2041" xr:uid="{00000000-0005-0000-0000-000079080000}"/>
    <cellStyle name="H_1998_col_head_Multiples Tab" xfId="2042" xr:uid="{00000000-0005-0000-0000-00007A080000}"/>
    <cellStyle name="H_1998_col_head_Multiples Tab 2" xfId="2043" xr:uid="{00000000-0005-0000-0000-00007B080000}"/>
    <cellStyle name="H_1998_col_head_Multiples Tab_IR-working 238" xfId="2044" xr:uid="{00000000-0005-0000-0000-00007C080000}"/>
    <cellStyle name="H_1998_col_head_Multiples Tab_MMM working 31" xfId="2045" xr:uid="{00000000-0005-0000-0000-00007D080000}"/>
    <cellStyle name="H_1998_col_head_Multiples Tab_MMM working 32" xfId="2046" xr:uid="{00000000-0005-0000-0000-00007E080000}"/>
    <cellStyle name="H_1998_col_head_Multiples Tab_Company2094 working 21" xfId="2047" xr:uid="{00000000-0005-0000-0000-00007F080000}"/>
    <cellStyle name="H_1998_col_head_Multiples Tab_Company2834 working 32" xfId="2048" xr:uid="{00000000-0005-0000-0000-000080080000}"/>
    <cellStyle name="H_1998_col_head_Offshore Products" xfId="2049" xr:uid="{00000000-0005-0000-0000-000081080000}"/>
    <cellStyle name="H_1998_col_head_Offshore Products_IR nxp 238" xfId="2050" xr:uid="{00000000-0005-0000-0000-000082080000}"/>
    <cellStyle name="H_1998_col_head_Offshore Products_MMM nxp 33" xfId="2051" xr:uid="{00000000-0005-0000-0000-000083080000}"/>
    <cellStyle name="H_1998_col_head_Oilfield" xfId="2052" xr:uid="{00000000-0005-0000-0000-000084080000}"/>
    <cellStyle name="H_1998_col_head_Oilfield_IR nxp 238" xfId="2053" xr:uid="{00000000-0005-0000-0000-000085080000}"/>
    <cellStyle name="H_1998_col_head_Oilfield_MMM nxp 33" xfId="2054" xr:uid="{00000000-0005-0000-0000-000086080000}"/>
    <cellStyle name="H_1998_col_head_RONq-working13" xfId="2055" xr:uid="{00000000-0005-0000-0000-000087080000}"/>
    <cellStyle name="H_1998_col_head_RONq-working13_IR nxp 238" xfId="2056" xr:uid="{00000000-0005-0000-0000-000088080000}"/>
    <cellStyle name="H_1998_col_head_RONq-working13_MMM nxp 33" xfId="2057" xr:uid="{00000000-0005-0000-0000-000089080000}"/>
    <cellStyle name="H_1998_col_head_RONq-working14" xfId="2058" xr:uid="{00000000-0005-0000-0000-00008A080000}"/>
    <cellStyle name="H_1998_col_head_RONq-working14_IR nxp 238" xfId="2059" xr:uid="{00000000-0005-0000-0000-00008B080000}"/>
    <cellStyle name="H_1998_col_head_RONq-working14_MMM nxp 33" xfId="2060" xr:uid="{00000000-0005-0000-0000-00008C080000}"/>
    <cellStyle name="H_1998_col_head_Sheet1" xfId="2061" xr:uid="{00000000-0005-0000-0000-00008D080000}"/>
    <cellStyle name="H_1998_col_head_Sheet1_IR nxp 238" xfId="2062" xr:uid="{00000000-0005-0000-0000-00008E080000}"/>
    <cellStyle name="H_1998_col_head_Sheet1_MMM nxp 33" xfId="2063" xr:uid="{00000000-0005-0000-0000-00008F080000}"/>
    <cellStyle name="H_1998_col_head_SII" xfId="2064" xr:uid="{00000000-0005-0000-0000-000090080000}"/>
    <cellStyle name="H_1998_col_head_SII_IR nxp 238" xfId="2065" xr:uid="{00000000-0005-0000-0000-000091080000}"/>
    <cellStyle name="H_1998_col_head_SII_MMM nxp 33" xfId="2066" xr:uid="{00000000-0005-0000-0000-000092080000}"/>
    <cellStyle name="H_1998_col_head_SII-Post 3Q05 v4" xfId="2067" xr:uid="{00000000-0005-0000-0000-000093080000}"/>
    <cellStyle name="H_1998_col_head_SII-Post 3Q05 v4_IR nxp 238" xfId="2068" xr:uid="{00000000-0005-0000-0000-000094080000}"/>
    <cellStyle name="H_1998_col_head_SII-Post 3Q05 v4_MMM nxp 33" xfId="2069" xr:uid="{00000000-0005-0000-0000-000095080000}"/>
    <cellStyle name="H_1998_col_head_Company2416" xfId="2070" xr:uid="{00000000-0005-0000-0000-000096080000}"/>
    <cellStyle name="H_1998_col_head_Company2416 2" xfId="2071" xr:uid="{00000000-0005-0000-0000-000097080000}"/>
    <cellStyle name="H_1998_col_head_Company2416_IR-working 238" xfId="2072" xr:uid="{00000000-0005-0000-0000-000098080000}"/>
    <cellStyle name="H_1998_col_head_Company2416_MMM working 31" xfId="2073" xr:uid="{00000000-0005-0000-0000-000099080000}"/>
    <cellStyle name="H_1998_col_head_Company2416_MMM working 32" xfId="2074" xr:uid="{00000000-0005-0000-0000-00009A080000}"/>
    <cellStyle name="H_1998_col_head_Company2416_Company2094 working 21" xfId="2075" xr:uid="{00000000-0005-0000-0000-00009B080000}"/>
    <cellStyle name="H_1998_col_head_Company2416_Company2834 working 32" xfId="2076" xr:uid="{00000000-0005-0000-0000-00009C080000}"/>
    <cellStyle name="H_1998_col_head_Company2417-07302004-LM" xfId="2077" xr:uid="{00000000-0005-0000-0000-00009D080000}"/>
    <cellStyle name="H_1998_col_head_Company2417-07302004-LM_IR nxp 238" xfId="2078" xr:uid="{00000000-0005-0000-0000-00009E080000}"/>
    <cellStyle name="H_1998_col_head_Company2417-07302004-LM_MMM nxp 33" xfId="2079" xr:uid="{00000000-0005-0000-0000-00009F080000}"/>
    <cellStyle name="H_1998_col_head_Company2416-working7" xfId="2080" xr:uid="{00000000-0005-0000-0000-0000A0080000}"/>
    <cellStyle name="H_1998_col_head_Company2416-working7_IR nxp 238" xfId="2081" xr:uid="{00000000-0005-0000-0000-0000A1080000}"/>
    <cellStyle name="H_1998_col_head_Company2416-working7_MMM nxp 33" xfId="2082" xr:uid="{00000000-0005-0000-0000-0000A2080000}"/>
    <cellStyle name="H_1998_col_head_Company2416-working9" xfId="2083" xr:uid="{00000000-0005-0000-0000-0000A3080000}"/>
    <cellStyle name="H_1998_col_head_Company2416-working9_IR nxp 238" xfId="2084" xr:uid="{00000000-0005-0000-0000-0000A4080000}"/>
    <cellStyle name="H_1998_col_head_Company2416-working9_MMM nxp 33" xfId="2085" xr:uid="{00000000-0005-0000-0000-0000A5080000}"/>
    <cellStyle name="H_1998_col_head_Tubulars" xfId="2086" xr:uid="{00000000-0005-0000-0000-0000A6080000}"/>
    <cellStyle name="H_1998_col_head_Tubulars_IR nxp 238" xfId="2087" xr:uid="{00000000-0005-0000-0000-0000A7080000}"/>
    <cellStyle name="H_1998_col_head_Tubulars_MMM nxp 33" xfId="2088" xr:uid="{00000000-0005-0000-0000-0000A8080000}"/>
    <cellStyle name="H_1998_col_head_Well Site Srvs" xfId="2089" xr:uid="{00000000-0005-0000-0000-0000A9080000}"/>
    <cellStyle name="H_1998_col_head_Well Site Srvs_IR nxp 238" xfId="2090" xr:uid="{00000000-0005-0000-0000-0000AA080000}"/>
    <cellStyle name="H_1998_col_head_Well Site Srvs_MMM nxp 33" xfId="2091" xr:uid="{00000000-0005-0000-0000-0000AB080000}"/>
    <cellStyle name="H_1998_col_head_WFT published 1-30-07 Client version (2)" xfId="2092" xr:uid="{00000000-0005-0000-0000-0000AC080000}"/>
    <cellStyle name="H_1998_col_head_WFT published 1-30-07 Client version (2) 2" xfId="2093" xr:uid="{00000000-0005-0000-0000-0000AD080000}"/>
    <cellStyle name="H_1998_col_head_WFT published 1-30-07 Client version (2)_IR-working 238" xfId="2094" xr:uid="{00000000-0005-0000-0000-0000AE080000}"/>
    <cellStyle name="H_1998_col_head_WFT published 1-30-07 Client version (2)_MMM working 31" xfId="2095" xr:uid="{00000000-0005-0000-0000-0000AF080000}"/>
    <cellStyle name="H_1998_col_head_WFT published 1-30-07 Client version (2)_MMM working 32" xfId="2096" xr:uid="{00000000-0005-0000-0000-0000B0080000}"/>
    <cellStyle name="H_1998_col_head_WFT published 1-30-07 Client version (2)_Company2094 working 21" xfId="2097" xr:uid="{00000000-0005-0000-0000-0000B1080000}"/>
    <cellStyle name="H_1998_col_head_WFT published 1-30-07 Client version (2)_Company2834 working 32" xfId="2098" xr:uid="{00000000-0005-0000-0000-0000B2080000}"/>
    <cellStyle name="H_1998_col_head_Company2943-08102004-AG" xfId="2099" xr:uid="{00000000-0005-0000-0000-0000B3080000}"/>
    <cellStyle name="H_1998_col_head_Company2943-08102004-AG_IR nxp 238" xfId="2100" xr:uid="{00000000-0005-0000-0000-0000B4080000}"/>
    <cellStyle name="H_1998_col_head_Company2943-08102004-AG_MMM nxp 33" xfId="2101" xr:uid="{00000000-0005-0000-0000-0000B5080000}"/>
    <cellStyle name="H_1998_col_head_WFTworking9" xfId="2102" xr:uid="{00000000-0005-0000-0000-0000B6080000}"/>
    <cellStyle name="H_1998_col_head_WFTworking9_IR nxp 238" xfId="2103" xr:uid="{00000000-0005-0000-0000-0000B7080000}"/>
    <cellStyle name="H_1998_col_head_WFTworking9_MMM nxp 33" xfId="2104" xr:uid="{00000000-0005-0000-0000-0000B8080000}"/>
    <cellStyle name="H_1999_col_head" xfId="260" xr:uid="{00000000-0005-0000-0000-0000B9080000}"/>
    <cellStyle name="H1_1998 figures" xfId="261" xr:uid="{00000000-0005-0000-0000-0000BA080000}"/>
    <cellStyle name="hard no." xfId="2105" xr:uid="{00000000-0005-0000-0000-0000BB080000}"/>
    <cellStyle name="hard no. 2" xfId="2106" xr:uid="{00000000-0005-0000-0000-0000BC080000}"/>
    <cellStyle name="Hard Percent" xfId="2107" xr:uid="{00000000-0005-0000-0000-0000BD080000}"/>
    <cellStyle name="Hard Percent 2" xfId="2108" xr:uid="{00000000-0005-0000-0000-0000BE080000}"/>
    <cellStyle name="Hard Percent 3" xfId="2109" xr:uid="{00000000-0005-0000-0000-0000BF080000}"/>
    <cellStyle name="header" xfId="2110" xr:uid="{00000000-0005-0000-0000-0000C0080000}"/>
    <cellStyle name="header 2" xfId="2111" xr:uid="{00000000-0005-0000-0000-0000C1080000}"/>
    <cellStyle name="Header Draft Stamp" xfId="2112" xr:uid="{00000000-0005-0000-0000-0000C2080000}"/>
    <cellStyle name="header_1124 ETNlink September 20" xfId="2113" xr:uid="{00000000-0005-0000-0000-0000C3080000}"/>
    <cellStyle name="Header1" xfId="2114" xr:uid="{00000000-0005-0000-0000-0000C4080000}"/>
    <cellStyle name="Header2" xfId="2115" xr:uid="{00000000-0005-0000-0000-0000C5080000}"/>
    <cellStyle name="headers" xfId="2116" xr:uid="{00000000-0005-0000-0000-0000C6080000}"/>
    <cellStyle name="Heading" xfId="262" xr:uid="{00000000-0005-0000-0000-0000C7080000}"/>
    <cellStyle name="Heading 1 2" xfId="2118" xr:uid="{00000000-0005-0000-0000-0000C8080000}"/>
    <cellStyle name="Heading 1 Above" xfId="2119" xr:uid="{00000000-0005-0000-0000-0000C9080000}"/>
    <cellStyle name="Heading 1+" xfId="2120" xr:uid="{00000000-0005-0000-0000-0000CA080000}"/>
    <cellStyle name="Heading 2 2" xfId="2121" xr:uid="{00000000-0005-0000-0000-0000CB080000}"/>
    <cellStyle name="Heading 2 Below" xfId="2122" xr:uid="{00000000-0005-0000-0000-0000CC080000}"/>
    <cellStyle name="Heading 2+" xfId="2123" xr:uid="{00000000-0005-0000-0000-0000CD080000}"/>
    <cellStyle name="Heading 3 2" xfId="2124" xr:uid="{00000000-0005-0000-0000-0000CE080000}"/>
    <cellStyle name="Heading 3+" xfId="2125" xr:uid="{00000000-0005-0000-0000-0000CF080000}"/>
    <cellStyle name="Heading 4 2" xfId="2126" xr:uid="{00000000-0005-0000-0000-0000D0080000}"/>
    <cellStyle name="Heading 4 2 2" xfId="2127" xr:uid="{00000000-0005-0000-0000-0000D1080000}"/>
    <cellStyle name="Heading 5" xfId="2117" xr:uid="{00000000-0005-0000-0000-0000D2080000}"/>
    <cellStyle name="Heading 6" xfId="3396" xr:uid="{00000000-0005-0000-0000-0000D3080000}"/>
    <cellStyle name="Heading 7" xfId="3132" xr:uid="{00000000-0005-0000-0000-0000D4080000}"/>
    <cellStyle name="Heading 8" xfId="3119" xr:uid="{00000000-0005-0000-0000-0000D5080000}"/>
    <cellStyle name="Heading1" xfId="263" xr:uid="{00000000-0005-0000-0000-0000D6080000}"/>
    <cellStyle name="Helv" xfId="2128" xr:uid="{00000000-0005-0000-0000-0000D7080000}"/>
    <cellStyle name="Hyperlink" xfId="321" builtinId="8"/>
    <cellStyle name="Hyperlink 2" xfId="2130" xr:uid="{00000000-0005-0000-0000-0000D9080000}"/>
    <cellStyle name="Hyperlink 2 2" xfId="3302" xr:uid="{00000000-0005-0000-0000-0000DA080000}"/>
    <cellStyle name="Hyperlink 2 3" xfId="3134" xr:uid="{00000000-0005-0000-0000-0000DB080000}"/>
    <cellStyle name="Hyperlink 2 4" xfId="3082" xr:uid="{00000000-0005-0000-0000-0000DC080000}"/>
    <cellStyle name="Hyperlink 3" xfId="2129" xr:uid="{00000000-0005-0000-0000-0000DD080000}"/>
    <cellStyle name="Hyperlink 4" xfId="3410" xr:uid="{00000000-0005-0000-0000-0000DE080000}"/>
    <cellStyle name="Identification requete" xfId="2131" xr:uid="{00000000-0005-0000-0000-0000DF080000}"/>
    <cellStyle name="Income" xfId="2132" xr:uid="{00000000-0005-0000-0000-0000E0080000}"/>
    <cellStyle name="IncomeStatement" xfId="2133" xr:uid="{00000000-0005-0000-0000-0000E1080000}"/>
    <cellStyle name="IncomeStatement 2" xfId="2134" xr:uid="{00000000-0005-0000-0000-0000E2080000}"/>
    <cellStyle name="IncomeStatement 3" xfId="2135" xr:uid="{00000000-0005-0000-0000-0000E3080000}"/>
    <cellStyle name="IncomeStatement_Company2094 working 21" xfId="2136" xr:uid="{00000000-0005-0000-0000-0000E4080000}"/>
    <cellStyle name="Index" xfId="2137" xr:uid="{00000000-0005-0000-0000-0000E5080000}"/>
    <cellStyle name="Info_Main" xfId="2138" xr:uid="{00000000-0005-0000-0000-0000E6080000}"/>
    <cellStyle name="Input [yellow]" xfId="2139" xr:uid="{00000000-0005-0000-0000-0000E7080000}"/>
    <cellStyle name="Input [yellow] 2" xfId="2140" xr:uid="{00000000-0005-0000-0000-0000E8080000}"/>
    <cellStyle name="Input [yellow]_Company2094 working 21" xfId="2141" xr:uid="{00000000-0005-0000-0000-0000E9080000}"/>
    <cellStyle name="Input 10" xfId="2142" xr:uid="{00000000-0005-0000-0000-0000EA080000}"/>
    <cellStyle name="Input 11" xfId="2143" xr:uid="{00000000-0005-0000-0000-0000EB080000}"/>
    <cellStyle name="Input 12" xfId="2144" xr:uid="{00000000-0005-0000-0000-0000EC080000}"/>
    <cellStyle name="Input 13" xfId="2145" xr:uid="{00000000-0005-0000-0000-0000ED080000}"/>
    <cellStyle name="Input 14" xfId="2146" xr:uid="{00000000-0005-0000-0000-0000EE080000}"/>
    <cellStyle name="Input 2" xfId="2147" xr:uid="{00000000-0005-0000-0000-0000EF080000}"/>
    <cellStyle name="Input 3" xfId="2148" xr:uid="{00000000-0005-0000-0000-0000F0080000}"/>
    <cellStyle name="Input 4" xfId="2149" xr:uid="{00000000-0005-0000-0000-0000F1080000}"/>
    <cellStyle name="Input 5" xfId="2150" xr:uid="{00000000-0005-0000-0000-0000F2080000}"/>
    <cellStyle name="Input 6" xfId="2151" xr:uid="{00000000-0005-0000-0000-0000F3080000}"/>
    <cellStyle name="Input 7" xfId="2152" xr:uid="{00000000-0005-0000-0000-0000F4080000}"/>
    <cellStyle name="Input 8" xfId="2153" xr:uid="{00000000-0005-0000-0000-0000F5080000}"/>
    <cellStyle name="Input 9" xfId="2154" xr:uid="{00000000-0005-0000-0000-0000F6080000}"/>
    <cellStyle name="Input Cells" xfId="264" xr:uid="{00000000-0005-0000-0000-0000F7080000}"/>
    <cellStyle name="Input Currency" xfId="2155" xr:uid="{00000000-0005-0000-0000-0000F8080000}"/>
    <cellStyle name="Input Currency 2" xfId="2156" xr:uid="{00000000-0005-0000-0000-0000F9080000}"/>
    <cellStyle name="Input Currency 2 2" xfId="2157" xr:uid="{00000000-0005-0000-0000-0000FA080000}"/>
    <cellStyle name="Input Currency 3" xfId="2158" xr:uid="{00000000-0005-0000-0000-0000FB080000}"/>
    <cellStyle name="Input Currency_AG" xfId="2159" xr:uid="{00000000-0005-0000-0000-0000FC080000}"/>
    <cellStyle name="Input Multiple" xfId="2160" xr:uid="{00000000-0005-0000-0000-0000FD080000}"/>
    <cellStyle name="Input Multiple 2" xfId="2161" xr:uid="{00000000-0005-0000-0000-0000FE080000}"/>
    <cellStyle name="Input Percent" xfId="2162" xr:uid="{00000000-0005-0000-0000-0000FF080000}"/>
    <cellStyle name="Input Percent 2" xfId="2163" xr:uid="{00000000-0005-0000-0000-000000090000}"/>
    <cellStyle name="InputCurrency" xfId="2164" xr:uid="{00000000-0005-0000-0000-000001090000}"/>
    <cellStyle name="InputCurrency 2" xfId="2165" xr:uid="{00000000-0005-0000-0000-000002090000}"/>
    <cellStyle name="InputCurrency2" xfId="2166" xr:uid="{00000000-0005-0000-0000-000003090000}"/>
    <cellStyle name="InputCurrency2 2" xfId="2167" xr:uid="{00000000-0005-0000-0000-000004090000}"/>
    <cellStyle name="InputDateDMth" xfId="2168" xr:uid="{00000000-0005-0000-0000-000005090000}"/>
    <cellStyle name="InputDateDMth 2" xfId="2169" xr:uid="{00000000-0005-0000-0000-000006090000}"/>
    <cellStyle name="InputDateNorm" xfId="2170" xr:uid="{00000000-0005-0000-0000-000007090000}"/>
    <cellStyle name="InputDateNorm 2" xfId="2171" xr:uid="{00000000-0005-0000-0000-000008090000}"/>
    <cellStyle name="InputMultiple1" xfId="2172" xr:uid="{00000000-0005-0000-0000-000009090000}"/>
    <cellStyle name="InputMultiple1 2" xfId="2173" xr:uid="{00000000-0005-0000-0000-00000A090000}"/>
    <cellStyle name="InputPercent1" xfId="2174" xr:uid="{00000000-0005-0000-0000-00000B090000}"/>
    <cellStyle name="InputPercent1 2" xfId="2175" xr:uid="{00000000-0005-0000-0000-00000C090000}"/>
    <cellStyle name="InputUlineNumeric" xfId="2176" xr:uid="{00000000-0005-0000-0000-00000D090000}"/>
    <cellStyle name="InputUlineNumeric 2" xfId="2177" xr:uid="{00000000-0005-0000-0000-00000E090000}"/>
    <cellStyle name="InputUlineNumeric 2 2" xfId="2178" xr:uid="{00000000-0005-0000-0000-00000F090000}"/>
    <cellStyle name="InputUlineNumeric 3" xfId="2179" xr:uid="{00000000-0005-0000-0000-000010090000}"/>
    <cellStyle name="Italics" xfId="2180" xr:uid="{00000000-0005-0000-0000-000011090000}"/>
    <cellStyle name="Item Descriptions" xfId="265" xr:uid="{00000000-0005-0000-0000-000012090000}"/>
    <cellStyle name="Jason" xfId="2181" xr:uid="{00000000-0005-0000-0000-000013090000}"/>
    <cellStyle name="Jason 2" xfId="2182" xr:uid="{00000000-0005-0000-0000-000014090000}"/>
    <cellStyle name="Jason 3" xfId="2183" xr:uid="{00000000-0005-0000-0000-000015090000}"/>
    <cellStyle name="lead" xfId="2184" xr:uid="{00000000-0005-0000-0000-000016090000}"/>
    <cellStyle name="lead 2" xfId="2185" xr:uid="{00000000-0005-0000-0000-000017090000}"/>
    <cellStyle name="Ligne détail" xfId="2186" xr:uid="{00000000-0005-0000-0000-000018090000}"/>
    <cellStyle name="Line" xfId="266" xr:uid="{00000000-0005-0000-0000-000019090000}"/>
    <cellStyle name="Link Currency (0)" xfId="2187" xr:uid="{00000000-0005-0000-0000-00001A090000}"/>
    <cellStyle name="Link Currency (2)" xfId="2188" xr:uid="{00000000-0005-0000-0000-00001B090000}"/>
    <cellStyle name="Link Units (0)" xfId="2189" xr:uid="{00000000-0005-0000-0000-00001C090000}"/>
    <cellStyle name="Link Units (1)" xfId="2190" xr:uid="{00000000-0005-0000-0000-00001D090000}"/>
    <cellStyle name="Link Units (2)" xfId="2191" xr:uid="{00000000-0005-0000-0000-00001E090000}"/>
    <cellStyle name="Linked Cell 2" xfId="2192" xr:uid="{00000000-0005-0000-0000-00001F090000}"/>
    <cellStyle name="Linked Cell 2 2" xfId="2193" xr:uid="{00000000-0005-0000-0000-000020090000}"/>
    <cellStyle name="LTGR" xfId="2194" xr:uid="{00000000-0005-0000-0000-000021090000}"/>
    <cellStyle name="LTGR 2" xfId="2195" xr:uid="{00000000-0005-0000-0000-000022090000}"/>
    <cellStyle name="LTGR 3" xfId="2196" xr:uid="{00000000-0005-0000-0000-000023090000}"/>
    <cellStyle name="m" xfId="2197" xr:uid="{00000000-0005-0000-0000-000024090000}"/>
    <cellStyle name="m$" xfId="2198" xr:uid="{00000000-0005-0000-0000-000025090000}"/>
    <cellStyle name="m_Company0112_Model_Master" xfId="2199" xr:uid="{00000000-0005-0000-0000-000026090000}"/>
    <cellStyle name="mag" xfId="2200" xr:uid="{00000000-0005-0000-0000-000027090000}"/>
    <cellStyle name="Mainhead" xfId="267" xr:uid="{00000000-0005-0000-0000-000028090000}"/>
    <cellStyle name="Major item" xfId="2201" xr:uid="{00000000-0005-0000-0000-000029090000}"/>
    <cellStyle name="Major item 2" xfId="2202" xr:uid="{00000000-0005-0000-0000-00002A090000}"/>
    <cellStyle name="Major item_Company2094 working 21" xfId="2203" xr:uid="{00000000-0005-0000-0000-00002B090000}"/>
    <cellStyle name="Margin" xfId="2204" xr:uid="{00000000-0005-0000-0000-00002C090000}"/>
    <cellStyle name="Margin 10" xfId="3135" xr:uid="{00000000-0005-0000-0000-00002D090000}"/>
    <cellStyle name="margin 11" xfId="3083" xr:uid="{00000000-0005-0000-0000-00002E090000}"/>
    <cellStyle name="margin 12" xfId="3247" xr:uid="{00000000-0005-0000-0000-00002F090000}"/>
    <cellStyle name="Margin 2" xfId="2205" xr:uid="{00000000-0005-0000-0000-000030090000}"/>
    <cellStyle name="margin 3" xfId="3303" xr:uid="{00000000-0005-0000-0000-000031090000}"/>
    <cellStyle name="margin 4" xfId="3324" xr:uid="{00000000-0005-0000-0000-000032090000}"/>
    <cellStyle name="margin 5" xfId="3283" xr:uid="{00000000-0005-0000-0000-000033090000}"/>
    <cellStyle name="margin 6" xfId="3353" xr:uid="{00000000-0005-0000-0000-000034090000}"/>
    <cellStyle name="margin 7" xfId="3347" xr:uid="{00000000-0005-0000-0000-000035090000}"/>
    <cellStyle name="margin 8" xfId="3352" xr:uid="{00000000-0005-0000-0000-000036090000}"/>
    <cellStyle name="margin 9" xfId="3346" xr:uid="{00000000-0005-0000-0000-000037090000}"/>
    <cellStyle name="Margins" xfId="2206" xr:uid="{00000000-0005-0000-0000-000038090000}"/>
    <cellStyle name="Margins 2" xfId="2207" xr:uid="{00000000-0005-0000-0000-000039090000}"/>
    <cellStyle name="Company1806" xfId="268" xr:uid="{00000000-0005-0000-0000-00003A090000}"/>
    <cellStyle name="MEV1" xfId="2208" xr:uid="{00000000-0005-0000-0000-00003B090000}"/>
    <cellStyle name="MEV2" xfId="2209" xr:uid="{00000000-0005-0000-0000-00003C090000}"/>
    <cellStyle name="Migliaia (0)_Bourse" xfId="2210" xr:uid="{00000000-0005-0000-0000-00003D090000}"/>
    <cellStyle name="Migliaia_Bourse" xfId="2211" xr:uid="{00000000-0005-0000-0000-00003E090000}"/>
    <cellStyle name="Mix" xfId="269" xr:uid="{00000000-0005-0000-0000-00003F090000}"/>
    <cellStyle name="mm" xfId="2212" xr:uid="{00000000-0005-0000-0000-000040090000}"/>
    <cellStyle name="Monitor" xfId="270" xr:uid="{00000000-0005-0000-0000-000041090000}"/>
    <cellStyle name="muiltiple" xfId="2213" xr:uid="{00000000-0005-0000-0000-000042090000}"/>
    <cellStyle name="muiltiple 2" xfId="2214" xr:uid="{00000000-0005-0000-0000-000043090000}"/>
    <cellStyle name="Multiple" xfId="271" xr:uid="{00000000-0005-0000-0000-000044090000}"/>
    <cellStyle name="Multiple 10" xfId="3480" xr:uid="{00000000-0005-0000-0000-000045090000}"/>
    <cellStyle name="Multiple 2" xfId="2216" xr:uid="{00000000-0005-0000-0000-000046090000}"/>
    <cellStyle name="Multiple 3" xfId="2217" xr:uid="{00000000-0005-0000-0000-000047090000}"/>
    <cellStyle name="Multiple 4" xfId="2218" xr:uid="{00000000-0005-0000-0000-000048090000}"/>
    <cellStyle name="Multiple 5" xfId="2219" xr:uid="{00000000-0005-0000-0000-000049090000}"/>
    <cellStyle name="Multiple 6" xfId="2220" xr:uid="{00000000-0005-0000-0000-00004A090000}"/>
    <cellStyle name="Multiple 7" xfId="2215" xr:uid="{00000000-0005-0000-0000-00004B090000}"/>
    <cellStyle name="Multiple 8" xfId="3397" xr:uid="{00000000-0005-0000-0000-00004C090000}"/>
    <cellStyle name="Multiple 9" xfId="3535" xr:uid="{00000000-0005-0000-0000-00004D090000}"/>
    <cellStyle name="Multiple1" xfId="2221" xr:uid="{00000000-0005-0000-0000-00004E090000}"/>
    <cellStyle name="Multiple1 2" xfId="2222" xr:uid="{00000000-0005-0000-0000-00004F090000}"/>
    <cellStyle name="Multiple2" xfId="3" xr:uid="{00000000-0005-0000-0000-000050090000}"/>
    <cellStyle name="Multiple2 2" xfId="2223" xr:uid="{00000000-0005-0000-0000-000051090000}"/>
    <cellStyle name="MultipleBelow" xfId="2224" xr:uid="{00000000-0005-0000-0000-000052090000}"/>
    <cellStyle name="MultipleBelow 2" xfId="2225" xr:uid="{00000000-0005-0000-0000-000053090000}"/>
    <cellStyle name="Neutral 2" xfId="2226" xr:uid="{00000000-0005-0000-0000-000055090000}"/>
    <cellStyle name="Neutral 2 2" xfId="2227" xr:uid="{00000000-0005-0000-0000-000056090000}"/>
    <cellStyle name="no dec" xfId="2228" xr:uid="{00000000-0005-0000-0000-000057090000}"/>
    <cellStyle name="no dec 2" xfId="2229" xr:uid="{00000000-0005-0000-0000-000058090000}"/>
    <cellStyle name="No Decimal" xfId="2230" xr:uid="{00000000-0005-0000-0000-000059090000}"/>
    <cellStyle name="Normal" xfId="0" builtinId="0"/>
    <cellStyle name="Normal-" xfId="4" xr:uid="{00000000-0005-0000-0000-00005B090000}"/>
    <cellStyle name="Normal - Style1" xfId="272" xr:uid="{00000000-0005-0000-0000-00005C090000}"/>
    <cellStyle name="Normal - Style1 2" xfId="2233" xr:uid="{00000000-0005-0000-0000-00005D090000}"/>
    <cellStyle name="Normal - Style1 3" xfId="2232" xr:uid="{00000000-0005-0000-0000-00005E090000}"/>
    <cellStyle name="Normal - Style1 4" xfId="3398" xr:uid="{00000000-0005-0000-0000-00005F090000}"/>
    <cellStyle name="Normal 10" xfId="2234" xr:uid="{00000000-0005-0000-0000-000060090000}"/>
    <cellStyle name="Normal- 10" xfId="2235" xr:uid="{00000000-0005-0000-0000-000061090000}"/>
    <cellStyle name="Normal 10 10" xfId="3432" xr:uid="{00000000-0005-0000-0000-000062090000}"/>
    <cellStyle name="Normal 10 10 2" xfId="3680" xr:uid="{00000000-0005-0000-0000-000063090000}"/>
    <cellStyle name="Normal 10 11" xfId="3037" xr:uid="{00000000-0005-0000-0000-000064090000}"/>
    <cellStyle name="Normal 10 12" xfId="3253" xr:uid="{00000000-0005-0000-0000-000065090000}"/>
    <cellStyle name="Normal 10 13" xfId="3505" xr:uid="{00000000-0005-0000-0000-000066090000}"/>
    <cellStyle name="Normal 10 2" xfId="3261" xr:uid="{00000000-0005-0000-0000-000067090000}"/>
    <cellStyle name="Normal 10 2 2" xfId="3470" xr:uid="{00000000-0005-0000-0000-000068090000}"/>
    <cellStyle name="Normal 10 2 2 2" xfId="3687" xr:uid="{00000000-0005-0000-0000-000069090000}"/>
    <cellStyle name="Normal 10 2 3" xfId="3626" xr:uid="{00000000-0005-0000-0000-00006A090000}"/>
    <cellStyle name="Normal 10 3" xfId="3318" xr:uid="{00000000-0005-0000-0000-00006B090000}"/>
    <cellStyle name="Normal 10 3 2" xfId="3637" xr:uid="{00000000-0005-0000-0000-00006C090000}"/>
    <cellStyle name="Normal 10 4" xfId="3331" xr:uid="{00000000-0005-0000-0000-00006D090000}"/>
    <cellStyle name="Normal 10 4 2" xfId="3644" xr:uid="{00000000-0005-0000-0000-00006E090000}"/>
    <cellStyle name="Normal 10 5" xfId="3034" xr:uid="{00000000-0005-0000-0000-00006F090000}"/>
    <cellStyle name="Normal 10 5 2" xfId="3502" xr:uid="{00000000-0005-0000-0000-000070090000}"/>
    <cellStyle name="Normal 10 6" xfId="3368" xr:uid="{00000000-0005-0000-0000-000071090000}"/>
    <cellStyle name="Normal 10 6 2" xfId="3667" xr:uid="{00000000-0005-0000-0000-000072090000}"/>
    <cellStyle name="Normal 10 7" xfId="3372" xr:uid="{00000000-0005-0000-0000-000073090000}"/>
    <cellStyle name="Normal 10 7 2" xfId="3670" xr:uid="{00000000-0005-0000-0000-000074090000}"/>
    <cellStyle name="Normal 10 8" xfId="3376" xr:uid="{00000000-0005-0000-0000-000075090000}"/>
    <cellStyle name="Normal 10 8 2" xfId="3673" xr:uid="{00000000-0005-0000-0000-000076090000}"/>
    <cellStyle name="Normal 10 9" xfId="3137" xr:uid="{00000000-0005-0000-0000-000077090000}"/>
    <cellStyle name="Normal 100" xfId="2236" xr:uid="{00000000-0005-0000-0000-000078090000}"/>
    <cellStyle name="Normal 100 2" xfId="2952" xr:uid="{00000000-0005-0000-0000-000079090000}"/>
    <cellStyle name="Normal 100 3" xfId="3138" xr:uid="{00000000-0005-0000-0000-00007A090000}"/>
    <cellStyle name="Normal 100 4" xfId="3536" xr:uid="{00000000-0005-0000-0000-00007B090000}"/>
    <cellStyle name="Normal 101" xfId="2237" xr:uid="{00000000-0005-0000-0000-00007C090000}"/>
    <cellStyle name="Normal 101 2" xfId="2953" xr:uid="{00000000-0005-0000-0000-00007D090000}"/>
    <cellStyle name="Normal 101 3" xfId="3139" xr:uid="{00000000-0005-0000-0000-00007E090000}"/>
    <cellStyle name="Normal 101 4" xfId="3537" xr:uid="{00000000-0005-0000-0000-00007F090000}"/>
    <cellStyle name="Normal 102" xfId="2238" xr:uid="{00000000-0005-0000-0000-000080090000}"/>
    <cellStyle name="Normal 102 2" xfId="2954" xr:uid="{00000000-0005-0000-0000-000081090000}"/>
    <cellStyle name="Normal 102 3" xfId="3140" xr:uid="{00000000-0005-0000-0000-000082090000}"/>
    <cellStyle name="Normal 102 4" xfId="3538" xr:uid="{00000000-0005-0000-0000-000083090000}"/>
    <cellStyle name="Normal 103" xfId="2239" xr:uid="{00000000-0005-0000-0000-000084090000}"/>
    <cellStyle name="Normal 103 2" xfId="2955" xr:uid="{00000000-0005-0000-0000-000085090000}"/>
    <cellStyle name="Normal 103 3" xfId="3141" xr:uid="{00000000-0005-0000-0000-000086090000}"/>
    <cellStyle name="Normal 103 4" xfId="3539" xr:uid="{00000000-0005-0000-0000-000087090000}"/>
    <cellStyle name="Normal 104" xfId="2240" xr:uid="{00000000-0005-0000-0000-000088090000}"/>
    <cellStyle name="Normal 104 2" xfId="2956" xr:uid="{00000000-0005-0000-0000-000089090000}"/>
    <cellStyle name="Normal 104 3" xfId="3142" xr:uid="{00000000-0005-0000-0000-00008A090000}"/>
    <cellStyle name="Normal 104 4" xfId="3540" xr:uid="{00000000-0005-0000-0000-00008B090000}"/>
    <cellStyle name="Normal 105" xfId="2241" xr:uid="{00000000-0005-0000-0000-00008C090000}"/>
    <cellStyle name="Normal 105 2" xfId="2957" xr:uid="{00000000-0005-0000-0000-00008D090000}"/>
    <cellStyle name="Normal 105 3" xfId="3143" xr:uid="{00000000-0005-0000-0000-00008E090000}"/>
    <cellStyle name="Normal 105 4" xfId="3541" xr:uid="{00000000-0005-0000-0000-00008F090000}"/>
    <cellStyle name="Normal 106" xfId="2242" xr:uid="{00000000-0005-0000-0000-000090090000}"/>
    <cellStyle name="Normal 106 2" xfId="2958" xr:uid="{00000000-0005-0000-0000-000091090000}"/>
    <cellStyle name="Normal 106 3" xfId="3144" xr:uid="{00000000-0005-0000-0000-000092090000}"/>
    <cellStyle name="Normal 106 4" xfId="3542" xr:uid="{00000000-0005-0000-0000-000093090000}"/>
    <cellStyle name="Normal 107" xfId="2243" xr:uid="{00000000-0005-0000-0000-000094090000}"/>
    <cellStyle name="Normal 107 2" xfId="2959" xr:uid="{00000000-0005-0000-0000-000095090000}"/>
    <cellStyle name="Normal 107 3" xfId="3145" xr:uid="{00000000-0005-0000-0000-000096090000}"/>
    <cellStyle name="Normal 107 4" xfId="3543" xr:uid="{00000000-0005-0000-0000-000097090000}"/>
    <cellStyle name="Normal 108" xfId="2244" xr:uid="{00000000-0005-0000-0000-000098090000}"/>
    <cellStyle name="Normal 108 2" xfId="2960" xr:uid="{00000000-0005-0000-0000-000099090000}"/>
    <cellStyle name="Normal 108 3" xfId="3146" xr:uid="{00000000-0005-0000-0000-00009A090000}"/>
    <cellStyle name="Normal 108 4" xfId="3544" xr:uid="{00000000-0005-0000-0000-00009B090000}"/>
    <cellStyle name="Normal 109" xfId="2245" xr:uid="{00000000-0005-0000-0000-00009C090000}"/>
    <cellStyle name="Normal 109 2" xfId="2961" xr:uid="{00000000-0005-0000-0000-00009D090000}"/>
    <cellStyle name="Normal 109 3" xfId="3147" xr:uid="{00000000-0005-0000-0000-00009E090000}"/>
    <cellStyle name="Normal 109 4" xfId="3545" xr:uid="{00000000-0005-0000-0000-00009F090000}"/>
    <cellStyle name="Normal 11" xfId="2246" xr:uid="{00000000-0005-0000-0000-0000A0090000}"/>
    <cellStyle name="Normal- 11" xfId="2247" xr:uid="{00000000-0005-0000-0000-0000A1090000}"/>
    <cellStyle name="Normal 110" xfId="2248" xr:uid="{00000000-0005-0000-0000-0000A2090000}"/>
    <cellStyle name="Normal 110 2" xfId="2962" xr:uid="{00000000-0005-0000-0000-0000A3090000}"/>
    <cellStyle name="Normal 110 3" xfId="3148" xr:uid="{00000000-0005-0000-0000-0000A4090000}"/>
    <cellStyle name="Normal 110 4" xfId="3546" xr:uid="{00000000-0005-0000-0000-0000A5090000}"/>
    <cellStyle name="Normal 111" xfId="2249" xr:uid="{00000000-0005-0000-0000-0000A6090000}"/>
    <cellStyle name="Normal 111 2" xfId="2963" xr:uid="{00000000-0005-0000-0000-0000A7090000}"/>
    <cellStyle name="Normal 111 3" xfId="3149" xr:uid="{00000000-0005-0000-0000-0000A8090000}"/>
    <cellStyle name="Normal 111 4" xfId="3547" xr:uid="{00000000-0005-0000-0000-0000A9090000}"/>
    <cellStyle name="Normal 112" xfId="2250" xr:uid="{00000000-0005-0000-0000-0000AA090000}"/>
    <cellStyle name="Normal 112 2" xfId="2964" xr:uid="{00000000-0005-0000-0000-0000AB090000}"/>
    <cellStyle name="Normal 112 3" xfId="3150" xr:uid="{00000000-0005-0000-0000-0000AC090000}"/>
    <cellStyle name="Normal 112 4" xfId="3548" xr:uid="{00000000-0005-0000-0000-0000AD090000}"/>
    <cellStyle name="Normal 113" xfId="2251" xr:uid="{00000000-0005-0000-0000-0000AE090000}"/>
    <cellStyle name="Normal 113 2" xfId="2965" xr:uid="{00000000-0005-0000-0000-0000AF090000}"/>
    <cellStyle name="Normal 113 3" xfId="3151" xr:uid="{00000000-0005-0000-0000-0000B0090000}"/>
    <cellStyle name="Normal 113 4" xfId="3549" xr:uid="{00000000-0005-0000-0000-0000B1090000}"/>
    <cellStyle name="Normal 114" xfId="2252" xr:uid="{00000000-0005-0000-0000-0000B2090000}"/>
    <cellStyle name="Normal 114 2" xfId="2966" xr:uid="{00000000-0005-0000-0000-0000B3090000}"/>
    <cellStyle name="Normal 114 3" xfId="3152" xr:uid="{00000000-0005-0000-0000-0000B4090000}"/>
    <cellStyle name="Normal 114 4" xfId="3550" xr:uid="{00000000-0005-0000-0000-0000B5090000}"/>
    <cellStyle name="Normal 115" xfId="2253" xr:uid="{00000000-0005-0000-0000-0000B6090000}"/>
    <cellStyle name="Normal 115 2" xfId="2967" xr:uid="{00000000-0005-0000-0000-0000B7090000}"/>
    <cellStyle name="Normal 115 3" xfId="3153" xr:uid="{00000000-0005-0000-0000-0000B8090000}"/>
    <cellStyle name="Normal 115 4" xfId="3551" xr:uid="{00000000-0005-0000-0000-0000B9090000}"/>
    <cellStyle name="Normal 116" xfId="2254" xr:uid="{00000000-0005-0000-0000-0000BA090000}"/>
    <cellStyle name="Normal 116 2" xfId="2968" xr:uid="{00000000-0005-0000-0000-0000BB090000}"/>
    <cellStyle name="Normal 116 3" xfId="3154" xr:uid="{00000000-0005-0000-0000-0000BC090000}"/>
    <cellStyle name="Normal 116 4" xfId="3552" xr:uid="{00000000-0005-0000-0000-0000BD090000}"/>
    <cellStyle name="Normal 117" xfId="2255" xr:uid="{00000000-0005-0000-0000-0000BE090000}"/>
    <cellStyle name="Normal 117 2" xfId="2969" xr:uid="{00000000-0005-0000-0000-0000BF090000}"/>
    <cellStyle name="Normal 117 3" xfId="3155" xr:uid="{00000000-0005-0000-0000-0000C0090000}"/>
    <cellStyle name="Normal 117 4" xfId="3553" xr:uid="{00000000-0005-0000-0000-0000C1090000}"/>
    <cellStyle name="Normal 118" xfId="2256" xr:uid="{00000000-0005-0000-0000-0000C2090000}"/>
    <cellStyle name="Normal 118 2" xfId="2970" xr:uid="{00000000-0005-0000-0000-0000C3090000}"/>
    <cellStyle name="Normal 118 3" xfId="3156" xr:uid="{00000000-0005-0000-0000-0000C4090000}"/>
    <cellStyle name="Normal 118 4" xfId="3554" xr:uid="{00000000-0005-0000-0000-0000C5090000}"/>
    <cellStyle name="Normal 119" xfId="2257" xr:uid="{00000000-0005-0000-0000-0000C6090000}"/>
    <cellStyle name="Normal 119 2" xfId="2971" xr:uid="{00000000-0005-0000-0000-0000C7090000}"/>
    <cellStyle name="Normal 119 3" xfId="3157" xr:uid="{00000000-0005-0000-0000-0000C8090000}"/>
    <cellStyle name="Normal 119 4" xfId="3555" xr:uid="{00000000-0005-0000-0000-0000C9090000}"/>
    <cellStyle name="Normal 12" xfId="2258" xr:uid="{00000000-0005-0000-0000-0000CA090000}"/>
    <cellStyle name="Normal- 12" xfId="2259" xr:uid="{00000000-0005-0000-0000-0000CB090000}"/>
    <cellStyle name="Normal 120" xfId="2260" xr:uid="{00000000-0005-0000-0000-0000CC090000}"/>
    <cellStyle name="Normal 120 2" xfId="2972" xr:uid="{00000000-0005-0000-0000-0000CD090000}"/>
    <cellStyle name="Normal 120 3" xfId="3158" xr:uid="{00000000-0005-0000-0000-0000CE090000}"/>
    <cellStyle name="Normal 120 4" xfId="3556" xr:uid="{00000000-0005-0000-0000-0000CF090000}"/>
    <cellStyle name="Normal 121" xfId="2261" xr:uid="{00000000-0005-0000-0000-0000D0090000}"/>
    <cellStyle name="Normal 121 2" xfId="2973" xr:uid="{00000000-0005-0000-0000-0000D1090000}"/>
    <cellStyle name="Normal 121 3" xfId="3159" xr:uid="{00000000-0005-0000-0000-0000D2090000}"/>
    <cellStyle name="Normal 121 4" xfId="3557" xr:uid="{00000000-0005-0000-0000-0000D3090000}"/>
    <cellStyle name="Normal 122" xfId="2262" xr:uid="{00000000-0005-0000-0000-0000D4090000}"/>
    <cellStyle name="Normal 122 2" xfId="2974" xr:uid="{00000000-0005-0000-0000-0000D5090000}"/>
    <cellStyle name="Normal 122 3" xfId="3160" xr:uid="{00000000-0005-0000-0000-0000D6090000}"/>
    <cellStyle name="Normal 122 4" xfId="3558" xr:uid="{00000000-0005-0000-0000-0000D7090000}"/>
    <cellStyle name="Normal 123" xfId="2263" xr:uid="{00000000-0005-0000-0000-0000D8090000}"/>
    <cellStyle name="Normal 123 2" xfId="2975" xr:uid="{00000000-0005-0000-0000-0000D9090000}"/>
    <cellStyle name="Normal 123 3" xfId="3161" xr:uid="{00000000-0005-0000-0000-0000DA090000}"/>
    <cellStyle name="Normal 123 4" xfId="3559" xr:uid="{00000000-0005-0000-0000-0000DB090000}"/>
    <cellStyle name="Normal 124" xfId="2264" xr:uid="{00000000-0005-0000-0000-0000DC090000}"/>
    <cellStyle name="Normal 124 2" xfId="2976" xr:uid="{00000000-0005-0000-0000-0000DD090000}"/>
    <cellStyle name="Normal 124 3" xfId="3162" xr:uid="{00000000-0005-0000-0000-0000DE090000}"/>
    <cellStyle name="Normal 124 4" xfId="3560" xr:uid="{00000000-0005-0000-0000-0000DF090000}"/>
    <cellStyle name="Normal 125" xfId="2265" xr:uid="{00000000-0005-0000-0000-0000E0090000}"/>
    <cellStyle name="Normal 125 2" xfId="2977" xr:uid="{00000000-0005-0000-0000-0000E1090000}"/>
    <cellStyle name="Normal 125 3" xfId="3163" xr:uid="{00000000-0005-0000-0000-0000E2090000}"/>
    <cellStyle name="Normal 125 4" xfId="3561" xr:uid="{00000000-0005-0000-0000-0000E3090000}"/>
    <cellStyle name="Normal 126" xfId="2266" xr:uid="{00000000-0005-0000-0000-0000E4090000}"/>
    <cellStyle name="Normal 126 2" xfId="2978" xr:uid="{00000000-0005-0000-0000-0000E5090000}"/>
    <cellStyle name="Normal 126 3" xfId="3164" xr:uid="{00000000-0005-0000-0000-0000E6090000}"/>
    <cellStyle name="Normal 126 4" xfId="3562" xr:uid="{00000000-0005-0000-0000-0000E7090000}"/>
    <cellStyle name="Normal 127" xfId="2267" xr:uid="{00000000-0005-0000-0000-0000E8090000}"/>
    <cellStyle name="Normal 127 2" xfId="2979" xr:uid="{00000000-0005-0000-0000-0000E9090000}"/>
    <cellStyle name="Normal 127 3" xfId="3165" xr:uid="{00000000-0005-0000-0000-0000EA090000}"/>
    <cellStyle name="Normal 127 4" xfId="3563" xr:uid="{00000000-0005-0000-0000-0000EB090000}"/>
    <cellStyle name="Normal 128" xfId="2268" xr:uid="{00000000-0005-0000-0000-0000EC090000}"/>
    <cellStyle name="Normal 128 2" xfId="2980" xr:uid="{00000000-0005-0000-0000-0000ED090000}"/>
    <cellStyle name="Normal 128 3" xfId="3166" xr:uid="{00000000-0005-0000-0000-0000EE090000}"/>
    <cellStyle name="Normal 128 4" xfId="3564" xr:uid="{00000000-0005-0000-0000-0000EF090000}"/>
    <cellStyle name="Normal 129" xfId="2269" xr:uid="{00000000-0005-0000-0000-0000F0090000}"/>
    <cellStyle name="Normal 129 2" xfId="2981" xr:uid="{00000000-0005-0000-0000-0000F1090000}"/>
    <cellStyle name="Normal 129 3" xfId="3167" xr:uid="{00000000-0005-0000-0000-0000F2090000}"/>
    <cellStyle name="Normal 129 4" xfId="3565" xr:uid="{00000000-0005-0000-0000-0000F3090000}"/>
    <cellStyle name="Normal 13" xfId="2270" xr:uid="{00000000-0005-0000-0000-0000F4090000}"/>
    <cellStyle name="Normal- 13" xfId="2271" xr:uid="{00000000-0005-0000-0000-0000F5090000}"/>
    <cellStyle name="Normal 130" xfId="2272" xr:uid="{00000000-0005-0000-0000-0000F6090000}"/>
    <cellStyle name="Normal 130 2" xfId="2982" xr:uid="{00000000-0005-0000-0000-0000F7090000}"/>
    <cellStyle name="Normal 130 3" xfId="3168" xr:uid="{00000000-0005-0000-0000-0000F8090000}"/>
    <cellStyle name="Normal 130 4" xfId="3566" xr:uid="{00000000-0005-0000-0000-0000F9090000}"/>
    <cellStyle name="Normal 131" xfId="2273" xr:uid="{00000000-0005-0000-0000-0000FA090000}"/>
    <cellStyle name="Normal 131 2" xfId="2983" xr:uid="{00000000-0005-0000-0000-0000FB090000}"/>
    <cellStyle name="Normal 131 3" xfId="3169" xr:uid="{00000000-0005-0000-0000-0000FC090000}"/>
    <cellStyle name="Normal 131 4" xfId="3567" xr:uid="{00000000-0005-0000-0000-0000FD090000}"/>
    <cellStyle name="Normal 132" xfId="2274" xr:uid="{00000000-0005-0000-0000-0000FE090000}"/>
    <cellStyle name="Normal 132 2" xfId="2984" xr:uid="{00000000-0005-0000-0000-0000FF090000}"/>
    <cellStyle name="Normal 132 3" xfId="3170" xr:uid="{00000000-0005-0000-0000-0000000A0000}"/>
    <cellStyle name="Normal 132 4" xfId="3568" xr:uid="{00000000-0005-0000-0000-0000010A0000}"/>
    <cellStyle name="Normal 133" xfId="2275" xr:uid="{00000000-0005-0000-0000-0000020A0000}"/>
    <cellStyle name="Normal 133 2" xfId="2985" xr:uid="{00000000-0005-0000-0000-0000030A0000}"/>
    <cellStyle name="Normal 133 3" xfId="3171" xr:uid="{00000000-0005-0000-0000-0000040A0000}"/>
    <cellStyle name="Normal 133 4" xfId="3569" xr:uid="{00000000-0005-0000-0000-0000050A0000}"/>
    <cellStyle name="Normal 134" xfId="2276" xr:uid="{00000000-0005-0000-0000-0000060A0000}"/>
    <cellStyle name="Normal 134 2" xfId="2986" xr:uid="{00000000-0005-0000-0000-0000070A0000}"/>
    <cellStyle name="Normal 134 3" xfId="3172" xr:uid="{00000000-0005-0000-0000-0000080A0000}"/>
    <cellStyle name="Normal 134 4" xfId="3570" xr:uid="{00000000-0005-0000-0000-0000090A0000}"/>
    <cellStyle name="Normal 135" xfId="2277" xr:uid="{00000000-0005-0000-0000-00000A0A0000}"/>
    <cellStyle name="Normal 135 2" xfId="2987" xr:uid="{00000000-0005-0000-0000-00000B0A0000}"/>
    <cellStyle name="Normal 135 3" xfId="3173" xr:uid="{00000000-0005-0000-0000-00000C0A0000}"/>
    <cellStyle name="Normal 135 4" xfId="3571" xr:uid="{00000000-0005-0000-0000-00000D0A0000}"/>
    <cellStyle name="Normal 136" xfId="2278" xr:uid="{00000000-0005-0000-0000-00000E0A0000}"/>
    <cellStyle name="Normal 136 2" xfId="2988" xr:uid="{00000000-0005-0000-0000-00000F0A0000}"/>
    <cellStyle name="Normal 136 3" xfId="3174" xr:uid="{00000000-0005-0000-0000-0000100A0000}"/>
    <cellStyle name="Normal 136 4" xfId="3572" xr:uid="{00000000-0005-0000-0000-0000110A0000}"/>
    <cellStyle name="Normal 137" xfId="2279" xr:uid="{00000000-0005-0000-0000-0000120A0000}"/>
    <cellStyle name="Normal 137 2" xfId="2989" xr:uid="{00000000-0005-0000-0000-0000130A0000}"/>
    <cellStyle name="Normal 137 3" xfId="3175" xr:uid="{00000000-0005-0000-0000-0000140A0000}"/>
    <cellStyle name="Normal 137 4" xfId="3573" xr:uid="{00000000-0005-0000-0000-0000150A0000}"/>
    <cellStyle name="Normal 138" xfId="2280" xr:uid="{00000000-0005-0000-0000-0000160A0000}"/>
    <cellStyle name="Normal 138 2" xfId="2990" xr:uid="{00000000-0005-0000-0000-0000170A0000}"/>
    <cellStyle name="Normal 138 3" xfId="3176" xr:uid="{00000000-0005-0000-0000-0000180A0000}"/>
    <cellStyle name="Normal 138 4" xfId="3574" xr:uid="{00000000-0005-0000-0000-0000190A0000}"/>
    <cellStyle name="Normal 139" xfId="2281" xr:uid="{00000000-0005-0000-0000-00001A0A0000}"/>
    <cellStyle name="Normal 139 2" xfId="2991" xr:uid="{00000000-0005-0000-0000-00001B0A0000}"/>
    <cellStyle name="Normal 139 3" xfId="3177" xr:uid="{00000000-0005-0000-0000-00001C0A0000}"/>
    <cellStyle name="Normal 139 4" xfId="3575" xr:uid="{00000000-0005-0000-0000-00001D0A0000}"/>
    <cellStyle name="Normal 14" xfId="2282" xr:uid="{00000000-0005-0000-0000-00001E0A0000}"/>
    <cellStyle name="Normal- 14" xfId="2283" xr:uid="{00000000-0005-0000-0000-00001F0A0000}"/>
    <cellStyle name="Normal 140" xfId="2284" xr:uid="{00000000-0005-0000-0000-0000200A0000}"/>
    <cellStyle name="Normal 140 2" xfId="2992" xr:uid="{00000000-0005-0000-0000-0000210A0000}"/>
    <cellStyle name="Normal 140 3" xfId="3178" xr:uid="{00000000-0005-0000-0000-0000220A0000}"/>
    <cellStyle name="Normal 140 4" xfId="3576" xr:uid="{00000000-0005-0000-0000-0000230A0000}"/>
    <cellStyle name="Normal 141" xfId="2285" xr:uid="{00000000-0005-0000-0000-0000240A0000}"/>
    <cellStyle name="Normal 141 2" xfId="2993" xr:uid="{00000000-0005-0000-0000-0000250A0000}"/>
    <cellStyle name="Normal 141 3" xfId="3179" xr:uid="{00000000-0005-0000-0000-0000260A0000}"/>
    <cellStyle name="Normal 141 4" xfId="3577" xr:uid="{00000000-0005-0000-0000-0000270A0000}"/>
    <cellStyle name="Normal 142" xfId="2286" xr:uid="{00000000-0005-0000-0000-0000280A0000}"/>
    <cellStyle name="Normal 142 2" xfId="2994" xr:uid="{00000000-0005-0000-0000-0000290A0000}"/>
    <cellStyle name="Normal 142 3" xfId="3180" xr:uid="{00000000-0005-0000-0000-00002A0A0000}"/>
    <cellStyle name="Normal 142 4" xfId="3578" xr:uid="{00000000-0005-0000-0000-00002B0A0000}"/>
    <cellStyle name="Normal 143" xfId="2287" xr:uid="{00000000-0005-0000-0000-00002C0A0000}"/>
    <cellStyle name="Normal 143 2" xfId="2995" xr:uid="{00000000-0005-0000-0000-00002D0A0000}"/>
    <cellStyle name="Normal 143 3" xfId="3181" xr:uid="{00000000-0005-0000-0000-00002E0A0000}"/>
    <cellStyle name="Normal 143 4" xfId="3579" xr:uid="{00000000-0005-0000-0000-00002F0A0000}"/>
    <cellStyle name="Normal 144" xfId="2288" xr:uid="{00000000-0005-0000-0000-0000300A0000}"/>
    <cellStyle name="Normal 144 2" xfId="2996" xr:uid="{00000000-0005-0000-0000-0000310A0000}"/>
    <cellStyle name="Normal 144 3" xfId="3182" xr:uid="{00000000-0005-0000-0000-0000320A0000}"/>
    <cellStyle name="Normal 144 4" xfId="3580" xr:uid="{00000000-0005-0000-0000-0000330A0000}"/>
    <cellStyle name="Normal 145" xfId="2289" xr:uid="{00000000-0005-0000-0000-0000340A0000}"/>
    <cellStyle name="Normal 145 2" xfId="2997" xr:uid="{00000000-0005-0000-0000-0000350A0000}"/>
    <cellStyle name="Normal 145 3" xfId="3183" xr:uid="{00000000-0005-0000-0000-0000360A0000}"/>
    <cellStyle name="Normal 145 4" xfId="3581" xr:uid="{00000000-0005-0000-0000-0000370A0000}"/>
    <cellStyle name="Normal 146" xfId="2290" xr:uid="{00000000-0005-0000-0000-0000380A0000}"/>
    <cellStyle name="Normal 146 2" xfId="2998" xr:uid="{00000000-0005-0000-0000-0000390A0000}"/>
    <cellStyle name="Normal 146 3" xfId="3184" xr:uid="{00000000-0005-0000-0000-00003A0A0000}"/>
    <cellStyle name="Normal 146 4" xfId="3582" xr:uid="{00000000-0005-0000-0000-00003B0A0000}"/>
    <cellStyle name="Normal 147" xfId="2291" xr:uid="{00000000-0005-0000-0000-00003C0A0000}"/>
    <cellStyle name="Normal 147 2" xfId="2999" xr:uid="{00000000-0005-0000-0000-00003D0A0000}"/>
    <cellStyle name="Normal 147 3" xfId="3185" xr:uid="{00000000-0005-0000-0000-00003E0A0000}"/>
    <cellStyle name="Normal 147 4" xfId="3583" xr:uid="{00000000-0005-0000-0000-00003F0A0000}"/>
    <cellStyle name="Normal 148" xfId="2292" xr:uid="{00000000-0005-0000-0000-0000400A0000}"/>
    <cellStyle name="Normal 149" xfId="2946" xr:uid="{00000000-0005-0000-0000-0000410A0000}"/>
    <cellStyle name="Normal 149 2" xfId="3033" xr:uid="{00000000-0005-0000-0000-0000420A0000}"/>
    <cellStyle name="Normal 149 3" xfId="3257" xr:uid="{00000000-0005-0000-0000-0000430A0000}"/>
    <cellStyle name="Normal 149 4" xfId="3623" xr:uid="{00000000-0005-0000-0000-0000440A0000}"/>
    <cellStyle name="Normal 15" xfId="2293" xr:uid="{00000000-0005-0000-0000-0000450A0000}"/>
    <cellStyle name="Normal- 15" xfId="2294" xr:uid="{00000000-0005-0000-0000-0000460A0000}"/>
    <cellStyle name="Normal 150" xfId="323" xr:uid="{00000000-0005-0000-0000-0000470A0000}"/>
    <cellStyle name="Normal 150 2" xfId="3259" xr:uid="{00000000-0005-0000-0000-0000480A0000}"/>
    <cellStyle name="Normal 150 3" xfId="3624" xr:uid="{00000000-0005-0000-0000-0000490A0000}"/>
    <cellStyle name="Normal 151" xfId="2947" xr:uid="{00000000-0005-0000-0000-00004A0A0000}"/>
    <cellStyle name="Normal 151 2" xfId="3320" xr:uid="{00000000-0005-0000-0000-00004B0A0000}"/>
    <cellStyle name="Normal 151 3" xfId="3639" xr:uid="{00000000-0005-0000-0000-00004C0A0000}"/>
    <cellStyle name="Normal 152" xfId="3333" xr:uid="{00000000-0005-0000-0000-00004D0A0000}"/>
    <cellStyle name="Normal 152 2" xfId="3646" xr:uid="{00000000-0005-0000-0000-00004E0A0000}"/>
    <cellStyle name="Normal 153" xfId="3334" xr:uid="{00000000-0005-0000-0000-00004F0A0000}"/>
    <cellStyle name="Normal 153 2" xfId="3647" xr:uid="{00000000-0005-0000-0000-0000500A0000}"/>
    <cellStyle name="Normal 154" xfId="3370" xr:uid="{00000000-0005-0000-0000-0000510A0000}"/>
    <cellStyle name="Normal 154 2" xfId="3669" xr:uid="{00000000-0005-0000-0000-0000520A0000}"/>
    <cellStyle name="Normal 155" xfId="3374" xr:uid="{00000000-0005-0000-0000-0000530A0000}"/>
    <cellStyle name="Normal 155 2" xfId="3672" xr:uid="{00000000-0005-0000-0000-0000540A0000}"/>
    <cellStyle name="Normal 156" xfId="3378" xr:uid="{00000000-0005-0000-0000-0000550A0000}"/>
    <cellStyle name="Normal 156 2" xfId="3675" xr:uid="{00000000-0005-0000-0000-0000560A0000}"/>
    <cellStyle name="Normal 157" xfId="3098" xr:uid="{00000000-0005-0000-0000-0000570A0000}"/>
    <cellStyle name="Normal 157 2" xfId="3442" xr:uid="{00000000-0005-0000-0000-0000580A0000}"/>
    <cellStyle name="Normal 158" xfId="3430" xr:uid="{00000000-0005-0000-0000-0000590A0000}"/>
    <cellStyle name="Normal 158 2" xfId="3678" xr:uid="{00000000-0005-0000-0000-00005A0A0000}"/>
    <cellStyle name="Normal 159" xfId="3251" xr:uid="{00000000-0005-0000-0000-00005B0A0000}"/>
    <cellStyle name="Normal 16" xfId="2295" xr:uid="{00000000-0005-0000-0000-00005C0A0000}"/>
    <cellStyle name="Normal- 16" xfId="2296" xr:uid="{00000000-0005-0000-0000-00005D0A0000}"/>
    <cellStyle name="Normal 160" xfId="3035" xr:uid="{00000000-0005-0000-0000-00005E0A0000}"/>
    <cellStyle name="Normal 160 2" xfId="3503" xr:uid="{00000000-0005-0000-0000-00005F0A0000}"/>
    <cellStyle name="Normal 161" xfId="3255" xr:uid="{00000000-0005-0000-0000-0000600A0000}"/>
    <cellStyle name="Normal 162" xfId="3479" xr:uid="{00000000-0005-0000-0000-0000610A0000}"/>
    <cellStyle name="Normal 163" xfId="3697" xr:uid="{A6A9376C-69E3-4CB4-9A90-74E8028DBEB7}"/>
    <cellStyle name="Normal 17" xfId="2297" xr:uid="{00000000-0005-0000-0000-0000620A0000}"/>
    <cellStyle name="Normal- 17" xfId="2298" xr:uid="{00000000-0005-0000-0000-0000630A0000}"/>
    <cellStyle name="Normal 18" xfId="2299" xr:uid="{00000000-0005-0000-0000-0000640A0000}"/>
    <cellStyle name="Normal- 18" xfId="2300" xr:uid="{00000000-0005-0000-0000-0000650A0000}"/>
    <cellStyle name="Normal 19" xfId="2301" xr:uid="{00000000-0005-0000-0000-0000660A0000}"/>
    <cellStyle name="Normal- 19" xfId="2302" xr:uid="{00000000-0005-0000-0000-0000670A0000}"/>
    <cellStyle name="Normal 2" xfId="5" xr:uid="{00000000-0005-0000-0000-0000680A0000}"/>
    <cellStyle name="Normal- 2" xfId="2304" xr:uid="{00000000-0005-0000-0000-0000690A0000}"/>
    <cellStyle name="Normal 2 10" xfId="2305" xr:uid="{00000000-0005-0000-0000-00006A0A0000}"/>
    <cellStyle name="Normal 2 11" xfId="2306" xr:uid="{00000000-0005-0000-0000-00006B0A0000}"/>
    <cellStyle name="Normal 2 12" xfId="2307" xr:uid="{00000000-0005-0000-0000-00006C0A0000}"/>
    <cellStyle name="Normal 2 13" xfId="2308" xr:uid="{00000000-0005-0000-0000-00006D0A0000}"/>
    <cellStyle name="Normal 2 14" xfId="2309" xr:uid="{00000000-0005-0000-0000-00006E0A0000}"/>
    <cellStyle name="Normal 2 15" xfId="2310" xr:uid="{00000000-0005-0000-0000-00006F0A0000}"/>
    <cellStyle name="Normal 2 16" xfId="2311" xr:uid="{00000000-0005-0000-0000-0000700A0000}"/>
    <cellStyle name="Normal 2 17" xfId="2312" xr:uid="{00000000-0005-0000-0000-0000710A0000}"/>
    <cellStyle name="Normal 2 18" xfId="2313" xr:uid="{00000000-0005-0000-0000-0000720A0000}"/>
    <cellStyle name="Normal 2 19" xfId="2314" xr:uid="{00000000-0005-0000-0000-0000730A0000}"/>
    <cellStyle name="Normal 2 2" xfId="2315" xr:uid="{00000000-0005-0000-0000-0000740A0000}"/>
    <cellStyle name="Normal- 2 2" xfId="3458" xr:uid="{00000000-0005-0000-0000-0000750A0000}"/>
    <cellStyle name="Normal 2 2 2" xfId="3513" xr:uid="{00000000-0005-0000-0000-0000760A0000}"/>
    <cellStyle name="Normal 2 2 3" xfId="3492" xr:uid="{00000000-0005-0000-0000-0000770A0000}"/>
    <cellStyle name="Normal 2 20" xfId="2316" xr:uid="{00000000-0005-0000-0000-0000780A0000}"/>
    <cellStyle name="Normal 2 21" xfId="2317" xr:uid="{00000000-0005-0000-0000-0000790A0000}"/>
    <cellStyle name="Normal 2 22" xfId="2318" xr:uid="{00000000-0005-0000-0000-00007A0A0000}"/>
    <cellStyle name="Normal 2 23" xfId="2319" xr:uid="{00000000-0005-0000-0000-00007B0A0000}"/>
    <cellStyle name="Normal 2 24" xfId="2320" xr:uid="{00000000-0005-0000-0000-00007C0A0000}"/>
    <cellStyle name="Normal 2 25" xfId="2321" xr:uid="{00000000-0005-0000-0000-00007D0A0000}"/>
    <cellStyle name="Normal 2 26" xfId="2322" xr:uid="{00000000-0005-0000-0000-00007E0A0000}"/>
    <cellStyle name="Normal 2 27" xfId="2323" xr:uid="{00000000-0005-0000-0000-00007F0A0000}"/>
    <cellStyle name="Normal 2 28" xfId="2324" xr:uid="{00000000-0005-0000-0000-0000800A0000}"/>
    <cellStyle name="Normal 2 29" xfId="2325" xr:uid="{00000000-0005-0000-0000-0000810A0000}"/>
    <cellStyle name="Normal 2 3" xfId="2326" xr:uid="{00000000-0005-0000-0000-0000820A0000}"/>
    <cellStyle name="Normal- 2 3" xfId="3235" xr:uid="{00000000-0005-0000-0000-0000830A0000}"/>
    <cellStyle name="Normal 2 3 2" xfId="3304" xr:uid="{00000000-0005-0000-0000-0000840A0000}"/>
    <cellStyle name="Normal 2 3 2 2" xfId="3631" xr:uid="{00000000-0005-0000-0000-0000850A0000}"/>
    <cellStyle name="Normal 2 3 3" xfId="3354" xr:uid="{00000000-0005-0000-0000-0000860A0000}"/>
    <cellStyle name="Normal 2 3 3 2" xfId="3656" xr:uid="{00000000-0005-0000-0000-0000870A0000}"/>
    <cellStyle name="Normal 2 3 4" xfId="3187" xr:uid="{00000000-0005-0000-0000-0000880A0000}"/>
    <cellStyle name="Normal 2 3 5" xfId="3434" xr:uid="{00000000-0005-0000-0000-0000890A0000}"/>
    <cellStyle name="Normal 2 3 5 2" xfId="3681" xr:uid="{00000000-0005-0000-0000-00008A0A0000}"/>
    <cellStyle name="Normal 2 3 6" xfId="3084" xr:uid="{00000000-0005-0000-0000-00008B0A0000}"/>
    <cellStyle name="Normal 2 3 6 2" xfId="3514" xr:uid="{00000000-0005-0000-0000-00008C0A0000}"/>
    <cellStyle name="Normal 2 3 7" xfId="3246" xr:uid="{00000000-0005-0000-0000-00008D0A0000}"/>
    <cellStyle name="Normal 2 3 8" xfId="3495" xr:uid="{00000000-0005-0000-0000-00008E0A0000}"/>
    <cellStyle name="Normal 2 30" xfId="2327" xr:uid="{00000000-0005-0000-0000-00008F0A0000}"/>
    <cellStyle name="Normal 2 31" xfId="2328" xr:uid="{00000000-0005-0000-0000-0000900A0000}"/>
    <cellStyle name="Normal 2 32" xfId="2329" xr:uid="{00000000-0005-0000-0000-0000910A0000}"/>
    <cellStyle name="Normal 2 33" xfId="2330" xr:uid="{00000000-0005-0000-0000-0000920A0000}"/>
    <cellStyle name="Normal 2 34" xfId="2331" xr:uid="{00000000-0005-0000-0000-0000930A0000}"/>
    <cellStyle name="Normal 2 35" xfId="2332" xr:uid="{00000000-0005-0000-0000-0000940A0000}"/>
    <cellStyle name="Normal 2 35 2" xfId="2333" xr:uid="{00000000-0005-0000-0000-0000950A0000}"/>
    <cellStyle name="Normal 2 36" xfId="2334" xr:uid="{00000000-0005-0000-0000-0000960A0000}"/>
    <cellStyle name="Normal 2 37" xfId="2335" xr:uid="{00000000-0005-0000-0000-0000970A0000}"/>
    <cellStyle name="Normal 2 38" xfId="2336" xr:uid="{00000000-0005-0000-0000-0000980A0000}"/>
    <cellStyle name="Normal 2 39" xfId="2337" xr:uid="{00000000-0005-0000-0000-0000990A0000}"/>
    <cellStyle name="Normal 2 4" xfId="2338" xr:uid="{00000000-0005-0000-0000-00009A0A0000}"/>
    <cellStyle name="Normal 2 4 2" xfId="3459" xr:uid="{00000000-0005-0000-0000-00009B0A0000}"/>
    <cellStyle name="Normal 2 4 3" xfId="3422" xr:uid="{00000000-0005-0000-0000-00009C0A0000}"/>
    <cellStyle name="Normal 2 40" xfId="2339" xr:uid="{00000000-0005-0000-0000-00009D0A0000}"/>
    <cellStyle name="Normal 2 41" xfId="2340" xr:uid="{00000000-0005-0000-0000-00009E0A0000}"/>
    <cellStyle name="Normal 2 42" xfId="2341" xr:uid="{00000000-0005-0000-0000-00009F0A0000}"/>
    <cellStyle name="Normal 2 43" xfId="2342" xr:uid="{00000000-0005-0000-0000-0000A00A0000}"/>
    <cellStyle name="Normal 2 44" xfId="2343" xr:uid="{00000000-0005-0000-0000-0000A10A0000}"/>
    <cellStyle name="Normal 2 45" xfId="2344" xr:uid="{00000000-0005-0000-0000-0000A20A0000}"/>
    <cellStyle name="Normal 2 46" xfId="2345" xr:uid="{00000000-0005-0000-0000-0000A30A0000}"/>
    <cellStyle name="Normal 2 47" xfId="2303" xr:uid="{00000000-0005-0000-0000-0000A40A0000}"/>
    <cellStyle name="Normal 2 47 2" xfId="3262" xr:uid="{00000000-0005-0000-0000-0000A50A0000}"/>
    <cellStyle name="Normal 2 48" xfId="3316" xr:uid="{00000000-0005-0000-0000-0000A60A0000}"/>
    <cellStyle name="Normal 2 49" xfId="3330" xr:uid="{00000000-0005-0000-0000-0000A70A0000}"/>
    <cellStyle name="Normal 2 5" xfId="2346" xr:uid="{00000000-0005-0000-0000-0000A80A0000}"/>
    <cellStyle name="Normal 2 50" xfId="3336" xr:uid="{00000000-0005-0000-0000-0000A90A0000}"/>
    <cellStyle name="Normal 2 51" xfId="3367" xr:uid="{00000000-0005-0000-0000-0000AA0A0000}"/>
    <cellStyle name="Normal 2 52" xfId="3371" xr:uid="{00000000-0005-0000-0000-0000AB0A0000}"/>
    <cellStyle name="Normal 2 53" xfId="3375" xr:uid="{00000000-0005-0000-0000-0000AC0A0000}"/>
    <cellStyle name="Normal 2 54" xfId="3186" xr:uid="{00000000-0005-0000-0000-0000AD0A0000}"/>
    <cellStyle name="Normal 2 55" xfId="3433" xr:uid="{00000000-0005-0000-0000-0000AE0A0000}"/>
    <cellStyle name="Normal 2 56" xfId="3236" xr:uid="{00000000-0005-0000-0000-0000AF0A0000}"/>
    <cellStyle name="Normal 2 57" xfId="3038" xr:uid="{00000000-0005-0000-0000-0000B00A0000}"/>
    <cellStyle name="Normal 2 58" xfId="3252" xr:uid="{00000000-0005-0000-0000-0000B10A0000}"/>
    <cellStyle name="Normal 2 6" xfId="2347" xr:uid="{00000000-0005-0000-0000-0000B20A0000}"/>
    <cellStyle name="Normal 2 7" xfId="2348" xr:uid="{00000000-0005-0000-0000-0000B30A0000}"/>
    <cellStyle name="Normal 2 8" xfId="2349" xr:uid="{00000000-0005-0000-0000-0000B40A0000}"/>
    <cellStyle name="Normal 2 9" xfId="2350" xr:uid="{00000000-0005-0000-0000-0000B50A0000}"/>
    <cellStyle name="Normal 20" xfId="2351" xr:uid="{00000000-0005-0000-0000-0000B60A0000}"/>
    <cellStyle name="Normal- 20" xfId="2352" xr:uid="{00000000-0005-0000-0000-0000B70A0000}"/>
    <cellStyle name="Normal 21" xfId="2353" xr:uid="{00000000-0005-0000-0000-0000B80A0000}"/>
    <cellStyle name="Normal- 21" xfId="2354" xr:uid="{00000000-0005-0000-0000-0000B90A0000}"/>
    <cellStyle name="Normal 22" xfId="2355" xr:uid="{00000000-0005-0000-0000-0000BA0A0000}"/>
    <cellStyle name="Normal- 22" xfId="2356" xr:uid="{00000000-0005-0000-0000-0000BB0A0000}"/>
    <cellStyle name="Normal 23" xfId="2357" xr:uid="{00000000-0005-0000-0000-0000BC0A0000}"/>
    <cellStyle name="Normal- 23" xfId="2358" xr:uid="{00000000-0005-0000-0000-0000BD0A0000}"/>
    <cellStyle name="Normal 24" xfId="2359" xr:uid="{00000000-0005-0000-0000-0000BE0A0000}"/>
    <cellStyle name="Normal- 24" xfId="2360" xr:uid="{00000000-0005-0000-0000-0000BF0A0000}"/>
    <cellStyle name="Normal 25" xfId="2361" xr:uid="{00000000-0005-0000-0000-0000C00A0000}"/>
    <cellStyle name="Normal- 25" xfId="2362" xr:uid="{00000000-0005-0000-0000-0000C10A0000}"/>
    <cellStyle name="Normal 26" xfId="2363" xr:uid="{00000000-0005-0000-0000-0000C20A0000}"/>
    <cellStyle name="Normal- 26" xfId="2364" xr:uid="{00000000-0005-0000-0000-0000C30A0000}"/>
    <cellStyle name="Normal 27" xfId="2365" xr:uid="{00000000-0005-0000-0000-0000C40A0000}"/>
    <cellStyle name="Normal- 27" xfId="2366" xr:uid="{00000000-0005-0000-0000-0000C50A0000}"/>
    <cellStyle name="Normal 28" xfId="2367" xr:uid="{00000000-0005-0000-0000-0000C60A0000}"/>
    <cellStyle name="Normal- 28" xfId="2368" xr:uid="{00000000-0005-0000-0000-0000C70A0000}"/>
    <cellStyle name="Normal 29" xfId="2369" xr:uid="{00000000-0005-0000-0000-0000C80A0000}"/>
    <cellStyle name="Normal- 29" xfId="2370" xr:uid="{00000000-0005-0000-0000-0000C90A0000}"/>
    <cellStyle name="Normal 3" xfId="7" xr:uid="{00000000-0005-0000-0000-0000CA0A0000}"/>
    <cellStyle name="Normal- 3" xfId="2372" xr:uid="{00000000-0005-0000-0000-0000CB0A0000}"/>
    <cellStyle name="Normal 3 10" xfId="3188" xr:uid="{00000000-0005-0000-0000-0000CC0A0000}"/>
    <cellStyle name="Normal 3 11" xfId="3435" xr:uid="{00000000-0005-0000-0000-0000CD0A0000}"/>
    <cellStyle name="Normal 3 12" xfId="3234" xr:uid="{00000000-0005-0000-0000-0000CE0A0000}"/>
    <cellStyle name="Normal 3 13" xfId="3085" xr:uid="{00000000-0005-0000-0000-0000CF0A0000}"/>
    <cellStyle name="Normal 3 14" xfId="3245" xr:uid="{00000000-0005-0000-0000-0000D00A0000}"/>
    <cellStyle name="Normal 3 15" xfId="3482" xr:uid="{00000000-0005-0000-0000-0000D10A0000}"/>
    <cellStyle name="Normal 3 2" xfId="2371" xr:uid="{00000000-0005-0000-0000-0000D20A0000}"/>
    <cellStyle name="Normal- 3 2" xfId="3460" xr:uid="{00000000-0005-0000-0000-0000D30A0000}"/>
    <cellStyle name="Normal 3 2 2" xfId="3356" xr:uid="{00000000-0005-0000-0000-0000D40A0000}"/>
    <cellStyle name="Normal 3 2 2 2" xfId="3657" xr:uid="{00000000-0005-0000-0000-0000D50A0000}"/>
    <cellStyle name="Normal 3 2 3" xfId="3436" xr:uid="{00000000-0005-0000-0000-0000D60A0000}"/>
    <cellStyle name="Normal 3 2 3 2" xfId="3682" xr:uid="{00000000-0005-0000-0000-0000D70A0000}"/>
    <cellStyle name="Normal 3 2 4" xfId="3086" xr:uid="{00000000-0005-0000-0000-0000D80A0000}"/>
    <cellStyle name="Normal 3 2 5" xfId="3244" xr:uid="{00000000-0005-0000-0000-0000D90A0000}"/>
    <cellStyle name="Normal 3 2 6" xfId="3515" xr:uid="{00000000-0005-0000-0000-0000DA0A0000}"/>
    <cellStyle name="Normal 3 3" xfId="2950" xr:uid="{00000000-0005-0000-0000-0000DB0A0000}"/>
    <cellStyle name="Normal- 3 3" xfId="3233" xr:uid="{00000000-0005-0000-0000-0000DC0A0000}"/>
    <cellStyle name="Normal 3 3 2" xfId="3305" xr:uid="{00000000-0005-0000-0000-0000DD0A0000}"/>
    <cellStyle name="Normal 3 3 3" xfId="3478" xr:uid="{00000000-0005-0000-0000-0000DE0A0000}"/>
    <cellStyle name="Normal 3 3 4" xfId="3632" xr:uid="{00000000-0005-0000-0000-0000DF0A0000}"/>
    <cellStyle name="Normal 3 4" xfId="3325" xr:uid="{00000000-0005-0000-0000-0000E00A0000}"/>
    <cellStyle name="Normal 3 5" xfId="3286" xr:uid="{00000000-0005-0000-0000-0000E10A0000}"/>
    <cellStyle name="Normal 3 6" xfId="3355" xr:uid="{00000000-0005-0000-0000-0000E20A0000}"/>
    <cellStyle name="Normal 3 7" xfId="3345" xr:uid="{00000000-0005-0000-0000-0000E30A0000}"/>
    <cellStyle name="Normal 3 8" xfId="3359" xr:uid="{00000000-0005-0000-0000-0000E40A0000}"/>
    <cellStyle name="Normal 3 9" xfId="3340" xr:uid="{00000000-0005-0000-0000-0000E50A0000}"/>
    <cellStyle name="Normal 30" xfId="2373" xr:uid="{00000000-0005-0000-0000-0000E60A0000}"/>
    <cellStyle name="Normal- 30" xfId="2374" xr:uid="{00000000-0005-0000-0000-0000E70A0000}"/>
    <cellStyle name="Normal 31" xfId="2375" xr:uid="{00000000-0005-0000-0000-0000E80A0000}"/>
    <cellStyle name="Normal- 31" xfId="2376" xr:uid="{00000000-0005-0000-0000-0000E90A0000}"/>
    <cellStyle name="Normal 32" xfId="2377" xr:uid="{00000000-0005-0000-0000-0000EA0A0000}"/>
    <cellStyle name="Normal- 32" xfId="2378" xr:uid="{00000000-0005-0000-0000-0000EB0A0000}"/>
    <cellStyle name="Normal 33" xfId="2379" xr:uid="{00000000-0005-0000-0000-0000EC0A0000}"/>
    <cellStyle name="Normal- 33" xfId="2380" xr:uid="{00000000-0005-0000-0000-0000ED0A0000}"/>
    <cellStyle name="Normal 34" xfId="2381" xr:uid="{00000000-0005-0000-0000-0000EE0A0000}"/>
    <cellStyle name="Normal- 34" xfId="2382" xr:uid="{00000000-0005-0000-0000-0000EF0A0000}"/>
    <cellStyle name="Normal 35" xfId="2383" xr:uid="{00000000-0005-0000-0000-0000F00A0000}"/>
    <cellStyle name="Normal- 35" xfId="2384" xr:uid="{00000000-0005-0000-0000-0000F10A0000}"/>
    <cellStyle name="Normal 36" xfId="2385" xr:uid="{00000000-0005-0000-0000-0000F20A0000}"/>
    <cellStyle name="Normal- 36" xfId="2386" xr:uid="{00000000-0005-0000-0000-0000F30A0000}"/>
    <cellStyle name="Normal 37" xfId="2387" xr:uid="{00000000-0005-0000-0000-0000F40A0000}"/>
    <cellStyle name="Normal- 37" xfId="2388" xr:uid="{00000000-0005-0000-0000-0000F50A0000}"/>
    <cellStyle name="Normal 38" xfId="2389" xr:uid="{00000000-0005-0000-0000-0000F60A0000}"/>
    <cellStyle name="Normal- 38" xfId="2390" xr:uid="{00000000-0005-0000-0000-0000F70A0000}"/>
    <cellStyle name="Normal 39" xfId="2391" xr:uid="{00000000-0005-0000-0000-0000F80A0000}"/>
    <cellStyle name="Normal- 39" xfId="2392" xr:uid="{00000000-0005-0000-0000-0000F90A0000}"/>
    <cellStyle name="Normal 4" xfId="2393" xr:uid="{00000000-0005-0000-0000-0000FA0A0000}"/>
    <cellStyle name="Normal- 4" xfId="2394" xr:uid="{00000000-0005-0000-0000-0000FB0A0000}"/>
    <cellStyle name="Normal 4 10" xfId="3437" xr:uid="{00000000-0005-0000-0000-0000FC0A0000}"/>
    <cellStyle name="Normal 4 10 2" xfId="3683" xr:uid="{00000000-0005-0000-0000-0000FD0A0000}"/>
    <cellStyle name="Normal 4 11" xfId="3232" xr:uid="{00000000-0005-0000-0000-0000FE0A0000}"/>
    <cellStyle name="Normal 4 12" xfId="3087" xr:uid="{00000000-0005-0000-0000-0000FF0A0000}"/>
    <cellStyle name="Normal 4 12 2" xfId="3516" xr:uid="{00000000-0005-0000-0000-0000000B0000}"/>
    <cellStyle name="Normal 4 13" xfId="3243" xr:uid="{00000000-0005-0000-0000-0000010B0000}"/>
    <cellStyle name="Normal 4 2" xfId="3306" xr:uid="{00000000-0005-0000-0000-0000020B0000}"/>
    <cellStyle name="Normal- 4 2" xfId="3461" xr:uid="{00000000-0005-0000-0000-0000030B0000}"/>
    <cellStyle name="Normal 4 2 2" xfId="3473" xr:uid="{00000000-0005-0000-0000-0000040B0000}"/>
    <cellStyle name="Normal 4 2 2 2" xfId="3689" xr:uid="{00000000-0005-0000-0000-0000050B0000}"/>
    <cellStyle name="Normal 4 2 3" xfId="3633" xr:uid="{00000000-0005-0000-0000-0000060B0000}"/>
    <cellStyle name="Normal 4 3" xfId="3326" xr:uid="{00000000-0005-0000-0000-0000070B0000}"/>
    <cellStyle name="Normal- 4 3" xfId="3315" xr:uid="{00000000-0005-0000-0000-0000080B0000}"/>
    <cellStyle name="Normal 4 3 2" xfId="3640" xr:uid="{00000000-0005-0000-0000-0000090B0000}"/>
    <cellStyle name="Normal 4 4" xfId="3287" xr:uid="{00000000-0005-0000-0000-00000A0B0000}"/>
    <cellStyle name="Normal 4 4 2" xfId="3627" xr:uid="{00000000-0005-0000-0000-00000B0B0000}"/>
    <cellStyle name="Normal 4 5" xfId="3357" xr:uid="{00000000-0005-0000-0000-00000C0B0000}"/>
    <cellStyle name="Normal 4 5 2" xfId="3658" xr:uid="{00000000-0005-0000-0000-00000D0B0000}"/>
    <cellStyle name="Normal 4 6" xfId="3344" xr:uid="{00000000-0005-0000-0000-00000E0B0000}"/>
    <cellStyle name="Normal 4 6 2" xfId="3655" xr:uid="{00000000-0005-0000-0000-00000F0B0000}"/>
    <cellStyle name="Normal 4 7" xfId="3362" xr:uid="{00000000-0005-0000-0000-0000100B0000}"/>
    <cellStyle name="Normal 4 7 2" xfId="3662" xr:uid="{00000000-0005-0000-0000-0000110B0000}"/>
    <cellStyle name="Normal 4 8" xfId="3339" xr:uid="{00000000-0005-0000-0000-0000120B0000}"/>
    <cellStyle name="Normal 4 8 2" xfId="3651" xr:uid="{00000000-0005-0000-0000-0000130B0000}"/>
    <cellStyle name="Normal 4 9" xfId="3189" xr:uid="{00000000-0005-0000-0000-0000140B0000}"/>
    <cellStyle name="Normal 40" xfId="2395" xr:uid="{00000000-0005-0000-0000-0000150B0000}"/>
    <cellStyle name="Normal- 40" xfId="2396" xr:uid="{00000000-0005-0000-0000-0000160B0000}"/>
    <cellStyle name="Normal 41" xfId="2397" xr:uid="{00000000-0005-0000-0000-0000170B0000}"/>
    <cellStyle name="Normal- 41" xfId="2398" xr:uid="{00000000-0005-0000-0000-0000180B0000}"/>
    <cellStyle name="Normal 42" xfId="2399" xr:uid="{00000000-0005-0000-0000-0000190B0000}"/>
    <cellStyle name="Normal- 42" xfId="2400" xr:uid="{00000000-0005-0000-0000-00001A0B0000}"/>
    <cellStyle name="Normal 43" xfId="2401" xr:uid="{00000000-0005-0000-0000-00001B0B0000}"/>
    <cellStyle name="Normal- 43" xfId="2402" xr:uid="{00000000-0005-0000-0000-00001C0B0000}"/>
    <cellStyle name="Normal 44" xfId="2403" xr:uid="{00000000-0005-0000-0000-00001D0B0000}"/>
    <cellStyle name="Normal- 44" xfId="2404" xr:uid="{00000000-0005-0000-0000-00001E0B0000}"/>
    <cellStyle name="Normal 45" xfId="2405" xr:uid="{00000000-0005-0000-0000-00001F0B0000}"/>
    <cellStyle name="Normal- 45" xfId="2406" xr:uid="{00000000-0005-0000-0000-0000200B0000}"/>
    <cellStyle name="Normal 46" xfId="2407" xr:uid="{00000000-0005-0000-0000-0000210B0000}"/>
    <cellStyle name="Normal- 46" xfId="2408" xr:uid="{00000000-0005-0000-0000-0000220B0000}"/>
    <cellStyle name="Normal 47" xfId="2409" xr:uid="{00000000-0005-0000-0000-0000230B0000}"/>
    <cellStyle name="Normal- 47" xfId="2410" xr:uid="{00000000-0005-0000-0000-0000240B0000}"/>
    <cellStyle name="Normal 48" xfId="2411" xr:uid="{00000000-0005-0000-0000-0000250B0000}"/>
    <cellStyle name="Normal- 48" xfId="2412" xr:uid="{00000000-0005-0000-0000-0000260B0000}"/>
    <cellStyle name="Normal 49" xfId="2413" xr:uid="{00000000-0005-0000-0000-0000270B0000}"/>
    <cellStyle name="Normal- 49" xfId="2414" xr:uid="{00000000-0005-0000-0000-0000280B0000}"/>
    <cellStyle name="Normal 5" xfId="2415" xr:uid="{00000000-0005-0000-0000-0000290B0000}"/>
    <cellStyle name="Normal- 5" xfId="2416" xr:uid="{00000000-0005-0000-0000-00002A0B0000}"/>
    <cellStyle name="Normal 5 10" xfId="3438" xr:uid="{00000000-0005-0000-0000-00002B0B0000}"/>
    <cellStyle name="Normal 5 10 2" xfId="3684" xr:uid="{00000000-0005-0000-0000-00002C0B0000}"/>
    <cellStyle name="Normal 5 11" xfId="3088" xr:uid="{00000000-0005-0000-0000-00002D0B0000}"/>
    <cellStyle name="Normal 5 11 2" xfId="3517" xr:uid="{00000000-0005-0000-0000-00002E0B0000}"/>
    <cellStyle name="Normal 5 12" xfId="3242" xr:uid="{00000000-0005-0000-0000-00002F0B0000}"/>
    <cellStyle name="Normal 5 13" xfId="3487" xr:uid="{00000000-0005-0000-0000-0000300B0000}"/>
    <cellStyle name="Normal 5 2" xfId="3307" xr:uid="{00000000-0005-0000-0000-0000310B0000}"/>
    <cellStyle name="Normal- 5 2" xfId="3462" xr:uid="{00000000-0005-0000-0000-0000320B0000}"/>
    <cellStyle name="Normal 5 2 2" xfId="3420" xr:uid="{00000000-0005-0000-0000-0000330B0000}"/>
    <cellStyle name="Normal 5 2 2 2" xfId="3676" xr:uid="{00000000-0005-0000-0000-0000340B0000}"/>
    <cellStyle name="Normal 5 2 3" xfId="3474" xr:uid="{00000000-0005-0000-0000-0000350B0000}"/>
    <cellStyle name="Normal 5 2 3 2" xfId="3690" xr:uid="{00000000-0005-0000-0000-0000360B0000}"/>
    <cellStyle name="Normal 5 2 4" xfId="3634" xr:uid="{00000000-0005-0000-0000-0000370B0000}"/>
    <cellStyle name="Normal 5 2 5" xfId="3497" xr:uid="{00000000-0005-0000-0000-0000380B0000}"/>
    <cellStyle name="Normal 5 3" xfId="3327" xr:uid="{00000000-0005-0000-0000-0000390B0000}"/>
    <cellStyle name="Normal- 5 3" xfId="3414" xr:uid="{00000000-0005-0000-0000-00003A0B0000}"/>
    <cellStyle name="Normal 5 3 2" xfId="3476" xr:uid="{00000000-0005-0000-0000-00003B0B0000}"/>
    <cellStyle name="Normal 5 3 2 2" xfId="3692" xr:uid="{00000000-0005-0000-0000-00003C0B0000}"/>
    <cellStyle name="Normal 5 3 3" xfId="3641" xr:uid="{00000000-0005-0000-0000-00003D0B0000}"/>
    <cellStyle name="Normal 5 4" xfId="3290" xr:uid="{00000000-0005-0000-0000-00003E0B0000}"/>
    <cellStyle name="Normal 5 4 2" xfId="3471" xr:uid="{00000000-0005-0000-0000-00003F0B0000}"/>
    <cellStyle name="Normal 5 4 2 2" xfId="3688" xr:uid="{00000000-0005-0000-0000-0000400B0000}"/>
    <cellStyle name="Normal 5 4 3" xfId="3628" xr:uid="{00000000-0005-0000-0000-0000410B0000}"/>
    <cellStyle name="Normal 5 5" xfId="3358" xr:uid="{00000000-0005-0000-0000-0000420B0000}"/>
    <cellStyle name="Normal 5 5 2" xfId="3659" xr:uid="{00000000-0005-0000-0000-0000430B0000}"/>
    <cellStyle name="Normal 5 6" xfId="3343" xr:uid="{00000000-0005-0000-0000-0000440B0000}"/>
    <cellStyle name="Normal 5 6 2" xfId="3654" xr:uid="{00000000-0005-0000-0000-0000450B0000}"/>
    <cellStyle name="Normal 5 7" xfId="3363" xr:uid="{00000000-0005-0000-0000-0000460B0000}"/>
    <cellStyle name="Normal 5 7 2" xfId="3663" xr:uid="{00000000-0005-0000-0000-0000470B0000}"/>
    <cellStyle name="Normal 5 8" xfId="3366" xr:uid="{00000000-0005-0000-0000-0000480B0000}"/>
    <cellStyle name="Normal 5 8 2" xfId="3666" xr:uid="{00000000-0005-0000-0000-0000490B0000}"/>
    <cellStyle name="Normal 5 9" xfId="3190" xr:uid="{00000000-0005-0000-0000-00004A0B0000}"/>
    <cellStyle name="Normal 50" xfId="2417" xr:uid="{00000000-0005-0000-0000-00004B0B0000}"/>
    <cellStyle name="Normal- 50" xfId="2418" xr:uid="{00000000-0005-0000-0000-00004C0B0000}"/>
    <cellStyle name="Normal 51" xfId="2419" xr:uid="{00000000-0005-0000-0000-00004D0B0000}"/>
    <cellStyle name="Normal- 51" xfId="2420" xr:uid="{00000000-0005-0000-0000-00004E0B0000}"/>
    <cellStyle name="Normal 52" xfId="2421" xr:uid="{00000000-0005-0000-0000-00004F0B0000}"/>
    <cellStyle name="Normal- 52" xfId="2422" xr:uid="{00000000-0005-0000-0000-0000500B0000}"/>
    <cellStyle name="Normal 53" xfId="2423" xr:uid="{00000000-0005-0000-0000-0000510B0000}"/>
    <cellStyle name="Normal- 53" xfId="2424" xr:uid="{00000000-0005-0000-0000-0000520B0000}"/>
    <cellStyle name="Normal 54" xfId="2425" xr:uid="{00000000-0005-0000-0000-0000530B0000}"/>
    <cellStyle name="Normal- 54" xfId="2426" xr:uid="{00000000-0005-0000-0000-0000540B0000}"/>
    <cellStyle name="Normal 55" xfId="2427" xr:uid="{00000000-0005-0000-0000-0000550B0000}"/>
    <cellStyle name="Normal- 55" xfId="2428" xr:uid="{00000000-0005-0000-0000-0000560B0000}"/>
    <cellStyle name="Normal 56" xfId="2429" xr:uid="{00000000-0005-0000-0000-0000570B0000}"/>
    <cellStyle name="Normal- 56" xfId="2231" xr:uid="{00000000-0005-0000-0000-0000580B0000}"/>
    <cellStyle name="Normal 57" xfId="2430" xr:uid="{00000000-0005-0000-0000-0000590B0000}"/>
    <cellStyle name="Normal- 57" xfId="3237" xr:uid="{00000000-0005-0000-0000-00005A0B0000}"/>
    <cellStyle name="Normal 58" xfId="2431" xr:uid="{00000000-0005-0000-0000-00005B0B0000}"/>
    <cellStyle name="Normal- 58" xfId="3136" xr:uid="{00000000-0005-0000-0000-00005C0B0000}"/>
    <cellStyle name="Normal 58 2" xfId="3000" xr:uid="{00000000-0005-0000-0000-00005D0B0000}"/>
    <cellStyle name="Normal 58 3" xfId="3191" xr:uid="{00000000-0005-0000-0000-00005E0B0000}"/>
    <cellStyle name="Normal 58 4" xfId="3258" xr:uid="{00000000-0005-0000-0000-00005F0B0000}"/>
    <cellStyle name="Normal 58 5" xfId="3584" xr:uid="{00000000-0005-0000-0000-0000600B0000}"/>
    <cellStyle name="Normal 59" xfId="2432" xr:uid="{00000000-0005-0000-0000-0000610B0000}"/>
    <cellStyle name="Normal- 59" xfId="3115" xr:uid="{00000000-0005-0000-0000-0000620B0000}"/>
    <cellStyle name="Normal 59 2" xfId="3001" xr:uid="{00000000-0005-0000-0000-0000630B0000}"/>
    <cellStyle name="Normal 59 3" xfId="3192" xr:uid="{00000000-0005-0000-0000-0000640B0000}"/>
    <cellStyle name="Normal 59 4" xfId="3585" xr:uid="{00000000-0005-0000-0000-0000650B0000}"/>
    <cellStyle name="Normal 6" xfId="2433" xr:uid="{00000000-0005-0000-0000-0000660B0000}"/>
    <cellStyle name="Normal- 6" xfId="2434" xr:uid="{00000000-0005-0000-0000-0000670B0000}"/>
    <cellStyle name="Normal 6 2" xfId="3429" xr:uid="{00000000-0005-0000-0000-0000680B0000}"/>
    <cellStyle name="Normal- 6 2" xfId="3463" xr:uid="{00000000-0005-0000-0000-0000690B0000}"/>
    <cellStyle name="Normal 6 3" xfId="3439" xr:uid="{00000000-0005-0000-0000-00006A0B0000}"/>
    <cellStyle name="Normal- 6 3" xfId="3417" xr:uid="{00000000-0005-0000-0000-00006B0B0000}"/>
    <cellStyle name="Normal 6 4" xfId="3413" xr:uid="{00000000-0005-0000-0000-00006C0B0000}"/>
    <cellStyle name="Normal 6 5" xfId="3518" xr:uid="{00000000-0005-0000-0000-00006D0B0000}"/>
    <cellStyle name="Normal 6 6" xfId="3490" xr:uid="{00000000-0005-0000-0000-00006E0B0000}"/>
    <cellStyle name="Normal 60" xfId="2435" xr:uid="{00000000-0005-0000-0000-00006F0B0000}"/>
    <cellStyle name="Normal- 60" xfId="3481" xr:uid="{00000000-0005-0000-0000-0000700B0000}"/>
    <cellStyle name="Normal 60 2" xfId="3002" xr:uid="{00000000-0005-0000-0000-0000710B0000}"/>
    <cellStyle name="Normal 60 3" xfId="3193" xr:uid="{00000000-0005-0000-0000-0000720B0000}"/>
    <cellStyle name="Normal 60 4" xfId="3586" xr:uid="{00000000-0005-0000-0000-0000730B0000}"/>
    <cellStyle name="Normal 61" xfId="2436" xr:uid="{00000000-0005-0000-0000-0000740B0000}"/>
    <cellStyle name="Normal 61 2" xfId="3003" xr:uid="{00000000-0005-0000-0000-0000750B0000}"/>
    <cellStyle name="Normal 61 3" xfId="3194" xr:uid="{00000000-0005-0000-0000-0000760B0000}"/>
    <cellStyle name="Normal 61 4" xfId="3587" xr:uid="{00000000-0005-0000-0000-0000770B0000}"/>
    <cellStyle name="Normal 62" xfId="2437" xr:uid="{00000000-0005-0000-0000-0000780B0000}"/>
    <cellStyle name="Normal 62 2" xfId="3004" xr:uid="{00000000-0005-0000-0000-0000790B0000}"/>
    <cellStyle name="Normal 62 3" xfId="3195" xr:uid="{00000000-0005-0000-0000-00007A0B0000}"/>
    <cellStyle name="Normal 62 4" xfId="3588" xr:uid="{00000000-0005-0000-0000-00007B0B0000}"/>
    <cellStyle name="Normal 63" xfId="2438" xr:uid="{00000000-0005-0000-0000-00007C0B0000}"/>
    <cellStyle name="Normal 63 2" xfId="3005" xr:uid="{00000000-0005-0000-0000-00007D0B0000}"/>
    <cellStyle name="Normal 63 3" xfId="3196" xr:uid="{00000000-0005-0000-0000-00007E0B0000}"/>
    <cellStyle name="Normal 63 4" xfId="3589" xr:uid="{00000000-0005-0000-0000-00007F0B0000}"/>
    <cellStyle name="Normal 64" xfId="2439" xr:uid="{00000000-0005-0000-0000-0000800B0000}"/>
    <cellStyle name="Normal 64 2" xfId="3006" xr:uid="{00000000-0005-0000-0000-0000810B0000}"/>
    <cellStyle name="Normal 64 3" xfId="3197" xr:uid="{00000000-0005-0000-0000-0000820B0000}"/>
    <cellStyle name="Normal 64 4" xfId="3590" xr:uid="{00000000-0005-0000-0000-0000830B0000}"/>
    <cellStyle name="Normal 65" xfId="2440" xr:uid="{00000000-0005-0000-0000-0000840B0000}"/>
    <cellStyle name="Normal 65 2" xfId="3007" xr:uid="{00000000-0005-0000-0000-0000850B0000}"/>
    <cellStyle name="Normal 65 3" xfId="3198" xr:uid="{00000000-0005-0000-0000-0000860B0000}"/>
    <cellStyle name="Normal 65 4" xfId="3591" xr:uid="{00000000-0005-0000-0000-0000870B0000}"/>
    <cellStyle name="Normal 66" xfId="2441" xr:uid="{00000000-0005-0000-0000-0000880B0000}"/>
    <cellStyle name="Normal 66 2" xfId="3008" xr:uid="{00000000-0005-0000-0000-0000890B0000}"/>
    <cellStyle name="Normal 66 3" xfId="3199" xr:uid="{00000000-0005-0000-0000-00008A0B0000}"/>
    <cellStyle name="Normal 66 4" xfId="3592" xr:uid="{00000000-0005-0000-0000-00008B0B0000}"/>
    <cellStyle name="Normal 67" xfId="2442" xr:uid="{00000000-0005-0000-0000-00008C0B0000}"/>
    <cellStyle name="Normal 67 2" xfId="3009" xr:uid="{00000000-0005-0000-0000-00008D0B0000}"/>
    <cellStyle name="Normal 67 3" xfId="3200" xr:uid="{00000000-0005-0000-0000-00008E0B0000}"/>
    <cellStyle name="Normal 67 4" xfId="3593" xr:uid="{00000000-0005-0000-0000-00008F0B0000}"/>
    <cellStyle name="Normal 68" xfId="2443" xr:uid="{00000000-0005-0000-0000-0000900B0000}"/>
    <cellStyle name="Normal 68 2" xfId="3010" xr:uid="{00000000-0005-0000-0000-0000910B0000}"/>
    <cellStyle name="Normal 68 3" xfId="3201" xr:uid="{00000000-0005-0000-0000-0000920B0000}"/>
    <cellStyle name="Normal 68 4" xfId="3594" xr:uid="{00000000-0005-0000-0000-0000930B0000}"/>
    <cellStyle name="Normal 69" xfId="2444" xr:uid="{00000000-0005-0000-0000-0000940B0000}"/>
    <cellStyle name="Normal 69 2" xfId="3011" xr:uid="{00000000-0005-0000-0000-0000950B0000}"/>
    <cellStyle name="Normal 69 3" xfId="3202" xr:uid="{00000000-0005-0000-0000-0000960B0000}"/>
    <cellStyle name="Normal 69 4" xfId="3595" xr:uid="{00000000-0005-0000-0000-0000970B0000}"/>
    <cellStyle name="Normal 7" xfId="2445" xr:uid="{00000000-0005-0000-0000-0000980B0000}"/>
    <cellStyle name="Normal- 7" xfId="2446" xr:uid="{00000000-0005-0000-0000-0000990B0000}"/>
    <cellStyle name="Normal 7 10" xfId="3440" xr:uid="{00000000-0005-0000-0000-00009A0B0000}"/>
    <cellStyle name="Normal 7 10 2" xfId="3685" xr:uid="{00000000-0005-0000-0000-00009B0B0000}"/>
    <cellStyle name="Normal 7 11" xfId="3416" xr:uid="{00000000-0005-0000-0000-00009C0B0000}"/>
    <cellStyle name="Normal 7 12" xfId="3089" xr:uid="{00000000-0005-0000-0000-00009D0B0000}"/>
    <cellStyle name="Normal 7 12 2" xfId="3519" xr:uid="{00000000-0005-0000-0000-00009E0B0000}"/>
    <cellStyle name="Normal 7 13" xfId="3241" xr:uid="{00000000-0005-0000-0000-00009F0B0000}"/>
    <cellStyle name="Normal 7 14" xfId="3496" xr:uid="{00000000-0005-0000-0000-0000A00B0000}"/>
    <cellStyle name="Normal 7 2" xfId="3308" xr:uid="{00000000-0005-0000-0000-0000A10B0000}"/>
    <cellStyle name="Normal 7 2 2" xfId="3475" xr:uid="{00000000-0005-0000-0000-0000A20B0000}"/>
    <cellStyle name="Normal 7 2 2 2" xfId="3691" xr:uid="{00000000-0005-0000-0000-0000A30B0000}"/>
    <cellStyle name="Normal 7 2 3" xfId="3635" xr:uid="{00000000-0005-0000-0000-0000A40B0000}"/>
    <cellStyle name="Normal 7 3" xfId="3328" xr:uid="{00000000-0005-0000-0000-0000A50B0000}"/>
    <cellStyle name="Normal 7 3 2" xfId="3642" xr:uid="{00000000-0005-0000-0000-0000A60B0000}"/>
    <cellStyle name="Normal 7 4" xfId="3300" xr:uid="{00000000-0005-0000-0000-0000A70B0000}"/>
    <cellStyle name="Normal 7 4 2" xfId="3629" xr:uid="{00000000-0005-0000-0000-0000A80B0000}"/>
    <cellStyle name="Normal 7 5" xfId="3360" xr:uid="{00000000-0005-0000-0000-0000A90B0000}"/>
    <cellStyle name="Normal 7 5 2" xfId="3660" xr:uid="{00000000-0005-0000-0000-0000AA0B0000}"/>
    <cellStyle name="Normal 7 6" xfId="3342" xr:uid="{00000000-0005-0000-0000-0000AB0B0000}"/>
    <cellStyle name="Normal 7 6 2" xfId="3653" xr:uid="{00000000-0005-0000-0000-0000AC0B0000}"/>
    <cellStyle name="Normal 7 7" xfId="3364" xr:uid="{00000000-0005-0000-0000-0000AD0B0000}"/>
    <cellStyle name="Normal 7 7 2" xfId="3664" xr:uid="{00000000-0005-0000-0000-0000AE0B0000}"/>
    <cellStyle name="Normal 7 8" xfId="3338" xr:uid="{00000000-0005-0000-0000-0000AF0B0000}"/>
    <cellStyle name="Normal 7 8 2" xfId="3650" xr:uid="{00000000-0005-0000-0000-0000B00B0000}"/>
    <cellStyle name="Normal 7 9" xfId="3203" xr:uid="{00000000-0005-0000-0000-0000B10B0000}"/>
    <cellStyle name="Normal 70" xfId="2447" xr:uid="{00000000-0005-0000-0000-0000B20B0000}"/>
    <cellStyle name="Normal 70 2" xfId="3012" xr:uid="{00000000-0005-0000-0000-0000B30B0000}"/>
    <cellStyle name="Normal 70 3" xfId="3204" xr:uid="{00000000-0005-0000-0000-0000B40B0000}"/>
    <cellStyle name="Normal 70 4" xfId="3596" xr:uid="{00000000-0005-0000-0000-0000B50B0000}"/>
    <cellStyle name="Normal 71" xfId="2448" xr:uid="{00000000-0005-0000-0000-0000B60B0000}"/>
    <cellStyle name="Normal 71 2" xfId="3013" xr:uid="{00000000-0005-0000-0000-0000B70B0000}"/>
    <cellStyle name="Normal 71 3" xfId="3205" xr:uid="{00000000-0005-0000-0000-0000B80B0000}"/>
    <cellStyle name="Normal 71 4" xfId="3597" xr:uid="{00000000-0005-0000-0000-0000B90B0000}"/>
    <cellStyle name="Normal 72" xfId="2449" xr:uid="{00000000-0005-0000-0000-0000BA0B0000}"/>
    <cellStyle name="Normal 72 2" xfId="3014" xr:uid="{00000000-0005-0000-0000-0000BB0B0000}"/>
    <cellStyle name="Normal 72 3" xfId="3206" xr:uid="{00000000-0005-0000-0000-0000BC0B0000}"/>
    <cellStyle name="Normal 72 4" xfId="3598" xr:uid="{00000000-0005-0000-0000-0000BD0B0000}"/>
    <cellStyle name="Normal 73" xfId="2450" xr:uid="{00000000-0005-0000-0000-0000BE0B0000}"/>
    <cellStyle name="Normal 73 2" xfId="3015" xr:uid="{00000000-0005-0000-0000-0000BF0B0000}"/>
    <cellStyle name="Normal 73 3" xfId="3207" xr:uid="{00000000-0005-0000-0000-0000C00B0000}"/>
    <cellStyle name="Normal 73 4" xfId="3599" xr:uid="{00000000-0005-0000-0000-0000C10B0000}"/>
    <cellStyle name="Normal 74" xfId="2451" xr:uid="{00000000-0005-0000-0000-0000C20B0000}"/>
    <cellStyle name="Normal 74 2" xfId="3016" xr:uid="{00000000-0005-0000-0000-0000C30B0000}"/>
    <cellStyle name="Normal 74 3" xfId="3208" xr:uid="{00000000-0005-0000-0000-0000C40B0000}"/>
    <cellStyle name="Normal 74 4" xfId="3600" xr:uid="{00000000-0005-0000-0000-0000C50B0000}"/>
    <cellStyle name="Normal 75" xfId="2452" xr:uid="{00000000-0005-0000-0000-0000C60B0000}"/>
    <cellStyle name="Normal 75 2" xfId="3017" xr:uid="{00000000-0005-0000-0000-0000C70B0000}"/>
    <cellStyle name="Normal 75 3" xfId="3209" xr:uid="{00000000-0005-0000-0000-0000C80B0000}"/>
    <cellStyle name="Normal 75 4" xfId="3601" xr:uid="{00000000-0005-0000-0000-0000C90B0000}"/>
    <cellStyle name="Normal 76" xfId="2453" xr:uid="{00000000-0005-0000-0000-0000CA0B0000}"/>
    <cellStyle name="Normal 76 2" xfId="3018" xr:uid="{00000000-0005-0000-0000-0000CB0B0000}"/>
    <cellStyle name="Normal 76 3" xfId="3210" xr:uid="{00000000-0005-0000-0000-0000CC0B0000}"/>
    <cellStyle name="Normal 76 4" xfId="3602" xr:uid="{00000000-0005-0000-0000-0000CD0B0000}"/>
    <cellStyle name="Normal 77" xfId="2454" xr:uid="{00000000-0005-0000-0000-0000CE0B0000}"/>
    <cellStyle name="Normal 77 2" xfId="3019" xr:uid="{00000000-0005-0000-0000-0000CF0B0000}"/>
    <cellStyle name="Normal 77 3" xfId="3211" xr:uid="{00000000-0005-0000-0000-0000D00B0000}"/>
    <cellStyle name="Normal 77 4" xfId="3603" xr:uid="{00000000-0005-0000-0000-0000D10B0000}"/>
    <cellStyle name="Normal 78" xfId="2455" xr:uid="{00000000-0005-0000-0000-0000D20B0000}"/>
    <cellStyle name="Normal 78 2" xfId="3020" xr:uid="{00000000-0005-0000-0000-0000D30B0000}"/>
    <cellStyle name="Normal 78 3" xfId="3212" xr:uid="{00000000-0005-0000-0000-0000D40B0000}"/>
    <cellStyle name="Normal 78 4" xfId="3604" xr:uid="{00000000-0005-0000-0000-0000D50B0000}"/>
    <cellStyle name="Normal 79" xfId="2456" xr:uid="{00000000-0005-0000-0000-0000D60B0000}"/>
    <cellStyle name="Normal 79 2" xfId="3021" xr:uid="{00000000-0005-0000-0000-0000D70B0000}"/>
    <cellStyle name="Normal 79 3" xfId="3213" xr:uid="{00000000-0005-0000-0000-0000D80B0000}"/>
    <cellStyle name="Normal 79 4" xfId="3605" xr:uid="{00000000-0005-0000-0000-0000D90B0000}"/>
    <cellStyle name="Normal 8" xfId="2457" xr:uid="{00000000-0005-0000-0000-0000DA0B0000}"/>
    <cellStyle name="Normal- 8" xfId="2458" xr:uid="{00000000-0005-0000-0000-0000DB0B0000}"/>
    <cellStyle name="Normal 8 10" xfId="3441" xr:uid="{00000000-0005-0000-0000-0000DC0B0000}"/>
    <cellStyle name="Normal 8 10 2" xfId="3686" xr:uid="{00000000-0005-0000-0000-0000DD0B0000}"/>
    <cellStyle name="Normal 8 11" xfId="3090" xr:uid="{00000000-0005-0000-0000-0000DE0B0000}"/>
    <cellStyle name="Normal 8 12" xfId="3240" xr:uid="{00000000-0005-0000-0000-0000DF0B0000}"/>
    <cellStyle name="Normal 8 13" xfId="3520" xr:uid="{00000000-0005-0000-0000-0000E00B0000}"/>
    <cellStyle name="Normal 8 2" xfId="3309" xr:uid="{00000000-0005-0000-0000-0000E10B0000}"/>
    <cellStyle name="Normal 8 2 2" xfId="3636" xr:uid="{00000000-0005-0000-0000-0000E20B0000}"/>
    <cellStyle name="Normal 8 3" xfId="3329" xr:uid="{00000000-0005-0000-0000-0000E30B0000}"/>
    <cellStyle name="Normal 8 3 2" xfId="3643" xr:uid="{00000000-0005-0000-0000-0000E40B0000}"/>
    <cellStyle name="Normal 8 4" xfId="3301" xr:uid="{00000000-0005-0000-0000-0000E50B0000}"/>
    <cellStyle name="Normal 8 4 2" xfId="3630" xr:uid="{00000000-0005-0000-0000-0000E60B0000}"/>
    <cellStyle name="Normal 8 5" xfId="3361" xr:uid="{00000000-0005-0000-0000-0000E70B0000}"/>
    <cellStyle name="Normal 8 5 2" xfId="3661" xr:uid="{00000000-0005-0000-0000-0000E80B0000}"/>
    <cellStyle name="Normal 8 6" xfId="3341" xr:uid="{00000000-0005-0000-0000-0000E90B0000}"/>
    <cellStyle name="Normal 8 6 2" xfId="3652" xr:uid="{00000000-0005-0000-0000-0000EA0B0000}"/>
    <cellStyle name="Normal 8 7" xfId="3365" xr:uid="{00000000-0005-0000-0000-0000EB0B0000}"/>
    <cellStyle name="Normal 8 7 2" xfId="3665" xr:uid="{00000000-0005-0000-0000-0000EC0B0000}"/>
    <cellStyle name="Normal 8 8" xfId="3337" xr:uid="{00000000-0005-0000-0000-0000ED0B0000}"/>
    <cellStyle name="Normal 8 8 2" xfId="3649" xr:uid="{00000000-0005-0000-0000-0000EE0B0000}"/>
    <cellStyle name="Normal 8 9" xfId="3214" xr:uid="{00000000-0005-0000-0000-0000EF0B0000}"/>
    <cellStyle name="Normal 80" xfId="2459" xr:uid="{00000000-0005-0000-0000-0000F00B0000}"/>
    <cellStyle name="Normal 80 2" xfId="3022" xr:uid="{00000000-0005-0000-0000-0000F10B0000}"/>
    <cellStyle name="Normal 80 3" xfId="3215" xr:uid="{00000000-0005-0000-0000-0000F20B0000}"/>
    <cellStyle name="Normal 80 4" xfId="3606" xr:uid="{00000000-0005-0000-0000-0000F30B0000}"/>
    <cellStyle name="Normal 81" xfId="2460" xr:uid="{00000000-0005-0000-0000-0000F40B0000}"/>
    <cellStyle name="Normal 81 2" xfId="3023" xr:uid="{00000000-0005-0000-0000-0000F50B0000}"/>
    <cellStyle name="Normal 81 3" xfId="3216" xr:uid="{00000000-0005-0000-0000-0000F60B0000}"/>
    <cellStyle name="Normal 81 4" xfId="3607" xr:uid="{00000000-0005-0000-0000-0000F70B0000}"/>
    <cellStyle name="Normal 82" xfId="2461" xr:uid="{00000000-0005-0000-0000-0000F80B0000}"/>
    <cellStyle name="Normal 82 2" xfId="3024" xr:uid="{00000000-0005-0000-0000-0000F90B0000}"/>
    <cellStyle name="Normal 82 3" xfId="3217" xr:uid="{00000000-0005-0000-0000-0000FA0B0000}"/>
    <cellStyle name="Normal 82 4" xfId="3608" xr:uid="{00000000-0005-0000-0000-0000FB0B0000}"/>
    <cellStyle name="Normal 83" xfId="2462" xr:uid="{00000000-0005-0000-0000-0000FC0B0000}"/>
    <cellStyle name="Normal 83 2" xfId="3025" xr:uid="{00000000-0005-0000-0000-0000FD0B0000}"/>
    <cellStyle name="Normal 83 3" xfId="3218" xr:uid="{00000000-0005-0000-0000-0000FE0B0000}"/>
    <cellStyle name="Normal 83 4" xfId="3609" xr:uid="{00000000-0005-0000-0000-0000FF0B0000}"/>
    <cellStyle name="Normal 84" xfId="2463" xr:uid="{00000000-0005-0000-0000-0000000C0000}"/>
    <cellStyle name="Normal 84 2" xfId="3026" xr:uid="{00000000-0005-0000-0000-0000010C0000}"/>
    <cellStyle name="Normal 84 3" xfId="3219" xr:uid="{00000000-0005-0000-0000-0000020C0000}"/>
    <cellStyle name="Normal 84 4" xfId="3610" xr:uid="{00000000-0005-0000-0000-0000030C0000}"/>
    <cellStyle name="Normal 85" xfId="2464" xr:uid="{00000000-0005-0000-0000-0000040C0000}"/>
    <cellStyle name="Normal 85 2" xfId="3027" xr:uid="{00000000-0005-0000-0000-0000050C0000}"/>
    <cellStyle name="Normal 85 3" xfId="3220" xr:uid="{00000000-0005-0000-0000-0000060C0000}"/>
    <cellStyle name="Normal 85 4" xfId="3611" xr:uid="{00000000-0005-0000-0000-0000070C0000}"/>
    <cellStyle name="Normal 86" xfId="2465" xr:uid="{00000000-0005-0000-0000-0000080C0000}"/>
    <cellStyle name="Normal 86 2" xfId="3028" xr:uid="{00000000-0005-0000-0000-0000090C0000}"/>
    <cellStyle name="Normal 86 3" xfId="3221" xr:uid="{00000000-0005-0000-0000-00000A0C0000}"/>
    <cellStyle name="Normal 86 4" xfId="3612" xr:uid="{00000000-0005-0000-0000-00000B0C0000}"/>
    <cellStyle name="Normal 87" xfId="2466" xr:uid="{00000000-0005-0000-0000-00000C0C0000}"/>
    <cellStyle name="Normal 87 2" xfId="2467" xr:uid="{00000000-0005-0000-0000-00000D0C0000}"/>
    <cellStyle name="Normal 88" xfId="2468" xr:uid="{00000000-0005-0000-0000-00000E0C0000}"/>
    <cellStyle name="Normal 89" xfId="2469" xr:uid="{00000000-0005-0000-0000-00000F0C0000}"/>
    <cellStyle name="Normal 9" xfId="2470" xr:uid="{00000000-0005-0000-0000-0000100C0000}"/>
    <cellStyle name="Normal- 9" xfId="2471" xr:uid="{00000000-0005-0000-0000-0000110C0000}"/>
    <cellStyle name="Normal 9 2" xfId="3464" xr:uid="{00000000-0005-0000-0000-0000120C0000}"/>
    <cellStyle name="Normal 9 3" xfId="3421" xr:uid="{00000000-0005-0000-0000-0000130C0000}"/>
    <cellStyle name="Normal 9 3 2" xfId="3677" xr:uid="{00000000-0005-0000-0000-0000140C0000}"/>
    <cellStyle name="Normal 90" xfId="2472" xr:uid="{00000000-0005-0000-0000-0000150C0000}"/>
    <cellStyle name="Normal 91" xfId="2473" xr:uid="{00000000-0005-0000-0000-0000160C0000}"/>
    <cellStyle name="Normal 92" xfId="2474" xr:uid="{00000000-0005-0000-0000-0000170C0000}"/>
    <cellStyle name="Normal 93" xfId="2475" xr:uid="{00000000-0005-0000-0000-0000180C0000}"/>
    <cellStyle name="Normal 93 2" xfId="3029" xr:uid="{00000000-0005-0000-0000-0000190C0000}"/>
    <cellStyle name="Normal 93 3" xfId="3222" xr:uid="{00000000-0005-0000-0000-00001A0C0000}"/>
    <cellStyle name="Normal 93 4" xfId="3613" xr:uid="{00000000-0005-0000-0000-00001B0C0000}"/>
    <cellStyle name="Normal 94" xfId="2476" xr:uid="{00000000-0005-0000-0000-00001C0C0000}"/>
    <cellStyle name="Normal 94 2" xfId="3030" xr:uid="{00000000-0005-0000-0000-00001D0C0000}"/>
    <cellStyle name="Normal 94 3" xfId="3223" xr:uid="{00000000-0005-0000-0000-00001E0C0000}"/>
    <cellStyle name="Normal 94 4" xfId="3614" xr:uid="{00000000-0005-0000-0000-00001F0C0000}"/>
    <cellStyle name="Normal 95" xfId="2477" xr:uid="{00000000-0005-0000-0000-0000200C0000}"/>
    <cellStyle name="Normal 95 2" xfId="3031" xr:uid="{00000000-0005-0000-0000-0000210C0000}"/>
    <cellStyle name="Normal 95 3" xfId="3224" xr:uid="{00000000-0005-0000-0000-0000220C0000}"/>
    <cellStyle name="Normal 95 4" xfId="3615" xr:uid="{00000000-0005-0000-0000-0000230C0000}"/>
    <cellStyle name="Normal 96" xfId="2478" xr:uid="{00000000-0005-0000-0000-0000240C0000}"/>
    <cellStyle name="Normal 97" xfId="2479" xr:uid="{00000000-0005-0000-0000-0000250C0000}"/>
    <cellStyle name="Normal 98" xfId="2480" xr:uid="{00000000-0005-0000-0000-0000260C0000}"/>
    <cellStyle name="Normal 99" xfId="2481" xr:uid="{00000000-0005-0000-0000-0000270C0000}"/>
    <cellStyle name="Normal 99 2" xfId="3032" xr:uid="{00000000-0005-0000-0000-0000280C0000}"/>
    <cellStyle name="Normal 99 3" xfId="3225" xr:uid="{00000000-0005-0000-0000-0000290C0000}"/>
    <cellStyle name="Normal 99 4" xfId="3616" xr:uid="{00000000-0005-0000-0000-00002A0C0000}"/>
    <cellStyle name="Normal Cells" xfId="273" xr:uid="{00000000-0005-0000-0000-00002B0C0000}"/>
    <cellStyle name="Normal2" xfId="2482" xr:uid="{00000000-0005-0000-0000-00002C0C0000}"/>
    <cellStyle name="Normal2 2" xfId="2483" xr:uid="{00000000-0005-0000-0000-00002D0C0000}"/>
    <cellStyle name="Normale_Bourse" xfId="2484" xr:uid="{00000000-0005-0000-0000-00002E0C0000}"/>
    <cellStyle name="NormalGB" xfId="2485" xr:uid="{00000000-0005-0000-0000-00002F0C0000}"/>
    <cellStyle name="NormalGB 2" xfId="2486" xr:uid="{00000000-0005-0000-0000-0000300C0000}"/>
    <cellStyle name="NormalGB_Company2094 working 21" xfId="2487" xr:uid="{00000000-0005-0000-0000-0000310C0000}"/>
    <cellStyle name="Note 2" xfId="2488" xr:uid="{00000000-0005-0000-0000-0000320C0000}"/>
    <cellStyle name="Note 2 2" xfId="2489" xr:uid="{00000000-0005-0000-0000-0000330C0000}"/>
    <cellStyle name="Note 2 2 2" xfId="3466" xr:uid="{00000000-0005-0000-0000-0000340C0000}"/>
    <cellStyle name="Note 2 3" xfId="3465" xr:uid="{00000000-0005-0000-0000-0000350C0000}"/>
    <cellStyle name="Notes" xfId="3091" xr:uid="{00000000-0005-0000-0000-0000360C0000}"/>
    <cellStyle name="Number" xfId="274" xr:uid="{00000000-0005-0000-0000-0000370C0000}"/>
    <cellStyle name="number 2" xfId="2490" xr:uid="{00000000-0005-0000-0000-0000380C0000}"/>
    <cellStyle name="Number 3" xfId="3399" xr:uid="{00000000-0005-0000-0000-0000390C0000}"/>
    <cellStyle name="number 4" xfId="3617" xr:uid="{00000000-0005-0000-0000-00003A0C0000}"/>
    <cellStyle name="Number 5" xfId="3486" xr:uid="{00000000-0005-0000-0000-00003B0C0000}"/>
    <cellStyle name="number2" xfId="2491" xr:uid="{00000000-0005-0000-0000-00003C0C0000}"/>
    <cellStyle name="Numbers" xfId="275" xr:uid="{00000000-0005-0000-0000-00003D0C0000}"/>
    <cellStyle name="Numbers - Bold" xfId="276" xr:uid="{00000000-0005-0000-0000-00003E0C0000}"/>
    <cellStyle name="Numbers - Bold - Italic" xfId="277" xr:uid="{00000000-0005-0000-0000-00003F0C0000}"/>
    <cellStyle name="Numbers - Bold - Italic 2" xfId="2492" xr:uid="{00000000-0005-0000-0000-0000400C0000}"/>
    <cellStyle name="Numbers - Bold - Italic 3" xfId="3400" xr:uid="{00000000-0005-0000-0000-0000410C0000}"/>
    <cellStyle name="Numbers - Bold - Italic 4" xfId="3618" xr:uid="{00000000-0005-0000-0000-0000420C0000}"/>
    <cellStyle name="Numbers - Bold_Blend" xfId="278" xr:uid="{00000000-0005-0000-0000-0000430C0000}"/>
    <cellStyle name="Numbers - Large" xfId="279" xr:uid="{00000000-0005-0000-0000-0000440C0000}"/>
    <cellStyle name="Numbers_Comps" xfId="280" xr:uid="{00000000-0005-0000-0000-0000450C0000}"/>
    <cellStyle name="Original L1" xfId="2493" xr:uid="{00000000-0005-0000-0000-0000460C0000}"/>
    <cellStyle name="Original L2" xfId="2494" xr:uid="{00000000-0005-0000-0000-0000470C0000}"/>
    <cellStyle name="Original L3" xfId="2495" xr:uid="{00000000-0005-0000-0000-0000480C0000}"/>
    <cellStyle name="Original Space" xfId="2496" xr:uid="{00000000-0005-0000-0000-0000490C0000}"/>
    <cellStyle name="OSW_ColumnLabels" xfId="281" xr:uid="{00000000-0005-0000-0000-00004A0C0000}"/>
    <cellStyle name="Output 2" xfId="2497" xr:uid="{00000000-0005-0000-0000-00004C0C0000}"/>
    <cellStyle name="Output 2 2" xfId="2498" xr:uid="{00000000-0005-0000-0000-00004D0C0000}"/>
    <cellStyle name="Output 2 2 2" xfId="3468" xr:uid="{00000000-0005-0000-0000-00004E0C0000}"/>
    <cellStyle name="Output 2 3" xfId="3467" xr:uid="{00000000-0005-0000-0000-00004F0C0000}"/>
    <cellStyle name="P/E" xfId="2499" xr:uid="{00000000-0005-0000-0000-0000500C0000}"/>
    <cellStyle name="P/E 2" xfId="2500" xr:uid="{00000000-0005-0000-0000-0000510C0000}"/>
    <cellStyle name="P/E 3" xfId="2501" xr:uid="{00000000-0005-0000-0000-0000520C0000}"/>
    <cellStyle name="Page" xfId="282" xr:uid="{00000000-0005-0000-0000-0000530C0000}"/>
    <cellStyle name="Page header" xfId="283" xr:uid="{00000000-0005-0000-0000-0000540C0000}"/>
    <cellStyle name="Page Heading Large" xfId="2502" xr:uid="{00000000-0005-0000-0000-0000550C0000}"/>
    <cellStyle name="Page Heading Small" xfId="2503" xr:uid="{00000000-0005-0000-0000-0000560C0000}"/>
    <cellStyle name="Page Number" xfId="2504" xr:uid="{00000000-0005-0000-0000-0000570C0000}"/>
    <cellStyle name="Palatino" xfId="2505" xr:uid="{00000000-0005-0000-0000-0000580C0000}"/>
    <cellStyle name="pe" xfId="2506" xr:uid="{00000000-0005-0000-0000-0000590C0000}"/>
    <cellStyle name="PE Multiple" xfId="2507" xr:uid="{00000000-0005-0000-0000-00005A0C0000}"/>
    <cellStyle name="PE Multiple 2" xfId="2508" xr:uid="{00000000-0005-0000-0000-00005B0C0000}"/>
    <cellStyle name="PE Multiple 3" xfId="2509" xr:uid="{00000000-0005-0000-0000-00005C0C0000}"/>
    <cellStyle name="PE/LTGR" xfId="2510" xr:uid="{00000000-0005-0000-0000-00005D0C0000}"/>
    <cellStyle name="PE/LTGR 2" xfId="2511" xr:uid="{00000000-0005-0000-0000-00005E0C0000}"/>
    <cellStyle name="PEG" xfId="2512" xr:uid="{00000000-0005-0000-0000-00005F0C0000}"/>
    <cellStyle name="Per aandeel" xfId="2513" xr:uid="{00000000-0005-0000-0000-0000600C0000}"/>
    <cellStyle name="Per aandeel 2" xfId="2514" xr:uid="{00000000-0005-0000-0000-0000610C0000}"/>
    <cellStyle name="Per aandeel_Company2094 working 21" xfId="2515" xr:uid="{00000000-0005-0000-0000-0000620C0000}"/>
    <cellStyle name="Percent" xfId="6" builtinId="5"/>
    <cellStyle name="Percent [0]" xfId="2517" xr:uid="{00000000-0005-0000-0000-0000640C0000}"/>
    <cellStyle name="Percent [00]" xfId="2518" xr:uid="{00000000-0005-0000-0000-0000650C0000}"/>
    <cellStyle name="Percent [1]" xfId="2519" xr:uid="{00000000-0005-0000-0000-0000660C0000}"/>
    <cellStyle name="Percent [1] 2" xfId="2520" xr:uid="{00000000-0005-0000-0000-0000670C0000}"/>
    <cellStyle name="Percent [1] 3" xfId="2521" xr:uid="{00000000-0005-0000-0000-0000680C0000}"/>
    <cellStyle name="Percent [2]" xfId="2522" xr:uid="{00000000-0005-0000-0000-0000690C0000}"/>
    <cellStyle name="Percent [2] 2" xfId="2523" xr:uid="{00000000-0005-0000-0000-00006A0C0000}"/>
    <cellStyle name="Percent 10" xfId="2524" xr:uid="{00000000-0005-0000-0000-00006B0C0000}"/>
    <cellStyle name="Percent 10 2" xfId="3695" xr:uid="{B75CD14E-5988-4BD9-922B-C28904156C95}"/>
    <cellStyle name="Percent 100" xfId="2525" xr:uid="{00000000-0005-0000-0000-00006C0C0000}"/>
    <cellStyle name="Percent 101" xfId="2526" xr:uid="{00000000-0005-0000-0000-00006D0C0000}"/>
    <cellStyle name="Percent 102" xfId="2527" xr:uid="{00000000-0005-0000-0000-00006E0C0000}"/>
    <cellStyle name="Percent 103" xfId="2528" xr:uid="{00000000-0005-0000-0000-00006F0C0000}"/>
    <cellStyle name="Percent 104" xfId="2529" xr:uid="{00000000-0005-0000-0000-0000700C0000}"/>
    <cellStyle name="Percent 105" xfId="2530" xr:uid="{00000000-0005-0000-0000-0000710C0000}"/>
    <cellStyle name="Percent 106" xfId="2531" xr:uid="{00000000-0005-0000-0000-0000720C0000}"/>
    <cellStyle name="Percent 107" xfId="2532" xr:uid="{00000000-0005-0000-0000-0000730C0000}"/>
    <cellStyle name="Percent 108" xfId="2533" xr:uid="{00000000-0005-0000-0000-0000740C0000}"/>
    <cellStyle name="Percent 109" xfId="2516" xr:uid="{00000000-0005-0000-0000-0000750C0000}"/>
    <cellStyle name="Percent 109 2" xfId="3260" xr:uid="{00000000-0005-0000-0000-0000760C0000}"/>
    <cellStyle name="Percent 109 3" xfId="3625" xr:uid="{00000000-0005-0000-0000-0000770C0000}"/>
    <cellStyle name="Percent 11" xfId="2534" xr:uid="{00000000-0005-0000-0000-0000780C0000}"/>
    <cellStyle name="Percent 110" xfId="2949" xr:uid="{00000000-0005-0000-0000-0000790C0000}"/>
    <cellStyle name="Percent 110 2" xfId="3319" xr:uid="{00000000-0005-0000-0000-00007A0C0000}"/>
    <cellStyle name="Percent 110 3" xfId="3638" xr:uid="{00000000-0005-0000-0000-00007B0C0000}"/>
    <cellStyle name="Percent 111" xfId="3332" xr:uid="{00000000-0005-0000-0000-00007C0C0000}"/>
    <cellStyle name="Percent 111 2" xfId="3477" xr:uid="{00000000-0005-0000-0000-00007D0C0000}"/>
    <cellStyle name="Percent 111 2 2" xfId="3693" xr:uid="{00000000-0005-0000-0000-00007E0C0000}"/>
    <cellStyle name="Percent 111 3" xfId="3645" xr:uid="{00000000-0005-0000-0000-00007F0C0000}"/>
    <cellStyle name="Percent 112" xfId="3335" xr:uid="{00000000-0005-0000-0000-0000800C0000}"/>
    <cellStyle name="Percent 112 2" xfId="3648" xr:uid="{00000000-0005-0000-0000-0000810C0000}"/>
    <cellStyle name="Percent 113" xfId="3369" xr:uid="{00000000-0005-0000-0000-0000820C0000}"/>
    <cellStyle name="Percent 113 2" xfId="3668" xr:uid="{00000000-0005-0000-0000-0000830C0000}"/>
    <cellStyle name="Percent 114" xfId="3373" xr:uid="{00000000-0005-0000-0000-0000840C0000}"/>
    <cellStyle name="Percent 114 2" xfId="3671" xr:uid="{00000000-0005-0000-0000-0000850C0000}"/>
    <cellStyle name="Percent 115" xfId="3377" xr:uid="{00000000-0005-0000-0000-0000860C0000}"/>
    <cellStyle name="Percent 115 2" xfId="3674" xr:uid="{00000000-0005-0000-0000-0000870C0000}"/>
    <cellStyle name="Percent 116" xfId="3227" xr:uid="{00000000-0005-0000-0000-0000880C0000}"/>
    <cellStyle name="Percent 117" xfId="3431" xr:uid="{00000000-0005-0000-0000-0000890C0000}"/>
    <cellStyle name="Percent 117 2" xfId="3679" xr:uid="{00000000-0005-0000-0000-00008A0C0000}"/>
    <cellStyle name="Percent 118" xfId="3314" xr:uid="{00000000-0005-0000-0000-00008B0C0000}"/>
    <cellStyle name="Percent 119" xfId="3036" xr:uid="{00000000-0005-0000-0000-00008C0C0000}"/>
    <cellStyle name="Percent 119 2" xfId="3504" xr:uid="{00000000-0005-0000-0000-00008D0C0000}"/>
    <cellStyle name="Percent 12" xfId="2535" xr:uid="{00000000-0005-0000-0000-00008E0C0000}"/>
    <cellStyle name="Percent 120" xfId="3254" xr:uid="{00000000-0005-0000-0000-00008F0C0000}"/>
    <cellStyle name="Percent 121" xfId="3483" xr:uid="{00000000-0005-0000-0000-0000900C0000}"/>
    <cellStyle name="Percent 122" xfId="3698" xr:uid="{77DA3F10-E467-46C4-8821-26FA947C0CEB}"/>
    <cellStyle name="Percent 13" xfId="2536" xr:uid="{00000000-0005-0000-0000-0000910C0000}"/>
    <cellStyle name="Percent 14" xfId="2537" xr:uid="{00000000-0005-0000-0000-0000920C0000}"/>
    <cellStyle name="Percent 15" xfId="2538" xr:uid="{00000000-0005-0000-0000-0000930C0000}"/>
    <cellStyle name="Percent 16" xfId="2539" xr:uid="{00000000-0005-0000-0000-0000940C0000}"/>
    <cellStyle name="Percent 17" xfId="2540" xr:uid="{00000000-0005-0000-0000-0000950C0000}"/>
    <cellStyle name="Percent 18" xfId="2541" xr:uid="{00000000-0005-0000-0000-0000960C0000}"/>
    <cellStyle name="Percent 19" xfId="2542" xr:uid="{00000000-0005-0000-0000-0000970C0000}"/>
    <cellStyle name="Percent 2" xfId="2543" xr:uid="{00000000-0005-0000-0000-0000980C0000}"/>
    <cellStyle name="Percent 2 2" xfId="2544" xr:uid="{00000000-0005-0000-0000-0000990C0000}"/>
    <cellStyle name="Percent 2 2 2" xfId="3696" xr:uid="{983EAEDB-A881-4B07-B5FB-B51667845AB7}"/>
    <cellStyle name="Percent 2 3" xfId="3263" xr:uid="{00000000-0005-0000-0000-00009A0C0000}"/>
    <cellStyle name="Percent 2 4" xfId="3229" xr:uid="{00000000-0005-0000-0000-00009B0C0000}"/>
    <cellStyle name="Percent 2 5" xfId="3039" xr:uid="{00000000-0005-0000-0000-00009C0C0000}"/>
    <cellStyle name="Percent 20" xfId="2545" xr:uid="{00000000-0005-0000-0000-00009D0C0000}"/>
    <cellStyle name="Percent 21" xfId="2546" xr:uid="{00000000-0005-0000-0000-00009E0C0000}"/>
    <cellStyle name="Percent 22" xfId="2547" xr:uid="{00000000-0005-0000-0000-00009F0C0000}"/>
    <cellStyle name="Percent 23" xfId="2548" xr:uid="{00000000-0005-0000-0000-0000A00C0000}"/>
    <cellStyle name="Percent 24" xfId="2549" xr:uid="{00000000-0005-0000-0000-0000A10C0000}"/>
    <cellStyle name="Percent 25" xfId="2550" xr:uid="{00000000-0005-0000-0000-0000A20C0000}"/>
    <cellStyle name="Percent 26" xfId="2551" xr:uid="{00000000-0005-0000-0000-0000A30C0000}"/>
    <cellStyle name="Percent 27" xfId="2552" xr:uid="{00000000-0005-0000-0000-0000A40C0000}"/>
    <cellStyle name="Percent 28" xfId="2553" xr:uid="{00000000-0005-0000-0000-0000A50C0000}"/>
    <cellStyle name="Percent 29" xfId="2554" xr:uid="{00000000-0005-0000-0000-0000A60C0000}"/>
    <cellStyle name="Percent 3" xfId="2555" xr:uid="{00000000-0005-0000-0000-0000A70C0000}"/>
    <cellStyle name="Percent 3 2" xfId="2556" xr:uid="{00000000-0005-0000-0000-0000A80C0000}"/>
    <cellStyle name="Percent 3 3" xfId="3311" xr:uid="{00000000-0005-0000-0000-0000A90C0000}"/>
    <cellStyle name="Percent 3 4" xfId="3228" xr:uid="{00000000-0005-0000-0000-0000AA0C0000}"/>
    <cellStyle name="Percent 3 5" xfId="3092" xr:uid="{00000000-0005-0000-0000-0000AB0C0000}"/>
    <cellStyle name="Percent 3 6" xfId="3493" xr:uid="{00000000-0005-0000-0000-0000AC0C0000}"/>
    <cellStyle name="Percent 30" xfId="2557" xr:uid="{00000000-0005-0000-0000-0000AD0C0000}"/>
    <cellStyle name="Percent 31" xfId="2558" xr:uid="{00000000-0005-0000-0000-0000AE0C0000}"/>
    <cellStyle name="Percent 32" xfId="2559" xr:uid="{00000000-0005-0000-0000-0000AF0C0000}"/>
    <cellStyle name="Percent 33" xfId="2560" xr:uid="{00000000-0005-0000-0000-0000B00C0000}"/>
    <cellStyle name="Percent 34" xfId="2561" xr:uid="{00000000-0005-0000-0000-0000B10C0000}"/>
    <cellStyle name="Percent 35" xfId="2562" xr:uid="{00000000-0005-0000-0000-0000B20C0000}"/>
    <cellStyle name="Percent 36" xfId="2563" xr:uid="{00000000-0005-0000-0000-0000B30C0000}"/>
    <cellStyle name="Percent 37" xfId="2564" xr:uid="{00000000-0005-0000-0000-0000B40C0000}"/>
    <cellStyle name="Percent 38" xfId="2565" xr:uid="{00000000-0005-0000-0000-0000B50C0000}"/>
    <cellStyle name="Percent 39" xfId="2566" xr:uid="{00000000-0005-0000-0000-0000B60C0000}"/>
    <cellStyle name="Percent 4" xfId="2567" xr:uid="{00000000-0005-0000-0000-0000B70C0000}"/>
    <cellStyle name="Percent 4 2" xfId="3521" xr:uid="{00000000-0005-0000-0000-0000B80C0000}"/>
    <cellStyle name="Percent 4 3" xfId="3494" xr:uid="{00000000-0005-0000-0000-0000B90C0000}"/>
    <cellStyle name="Percent 40" xfId="2568" xr:uid="{00000000-0005-0000-0000-0000BA0C0000}"/>
    <cellStyle name="Percent 41" xfId="2569" xr:uid="{00000000-0005-0000-0000-0000BB0C0000}"/>
    <cellStyle name="Percent 42" xfId="2570" xr:uid="{00000000-0005-0000-0000-0000BC0C0000}"/>
    <cellStyle name="Percent 43" xfId="2571" xr:uid="{00000000-0005-0000-0000-0000BD0C0000}"/>
    <cellStyle name="Percent 44" xfId="2572" xr:uid="{00000000-0005-0000-0000-0000BE0C0000}"/>
    <cellStyle name="Percent 45" xfId="2573" xr:uid="{00000000-0005-0000-0000-0000BF0C0000}"/>
    <cellStyle name="Percent 46" xfId="2574" xr:uid="{00000000-0005-0000-0000-0000C00C0000}"/>
    <cellStyle name="Percent 47" xfId="2575" xr:uid="{00000000-0005-0000-0000-0000C10C0000}"/>
    <cellStyle name="Percent 47 2" xfId="2576" xr:uid="{00000000-0005-0000-0000-0000C20C0000}"/>
    <cellStyle name="Percent 48" xfId="2577" xr:uid="{00000000-0005-0000-0000-0000C30C0000}"/>
    <cellStyle name="Percent 49" xfId="2578" xr:uid="{00000000-0005-0000-0000-0000C40C0000}"/>
    <cellStyle name="Percent 5" xfId="2579" xr:uid="{00000000-0005-0000-0000-0000C50C0000}"/>
    <cellStyle name="Percent 50" xfId="2580" xr:uid="{00000000-0005-0000-0000-0000C60C0000}"/>
    <cellStyle name="Percent 51" xfId="2581" xr:uid="{00000000-0005-0000-0000-0000C70C0000}"/>
    <cellStyle name="Percent 52" xfId="2582" xr:uid="{00000000-0005-0000-0000-0000C80C0000}"/>
    <cellStyle name="Percent 53" xfId="2583" xr:uid="{00000000-0005-0000-0000-0000C90C0000}"/>
    <cellStyle name="Percent 54" xfId="2584" xr:uid="{00000000-0005-0000-0000-0000CA0C0000}"/>
    <cellStyle name="Percent 55" xfId="2585" xr:uid="{00000000-0005-0000-0000-0000CB0C0000}"/>
    <cellStyle name="Percent 56" xfId="2586" xr:uid="{00000000-0005-0000-0000-0000CC0C0000}"/>
    <cellStyle name="Percent 57" xfId="2587" xr:uid="{00000000-0005-0000-0000-0000CD0C0000}"/>
    <cellStyle name="Percent 58" xfId="2588" xr:uid="{00000000-0005-0000-0000-0000CE0C0000}"/>
    <cellStyle name="Percent 59" xfId="2589" xr:uid="{00000000-0005-0000-0000-0000CF0C0000}"/>
    <cellStyle name="Percent 6" xfId="2590" xr:uid="{00000000-0005-0000-0000-0000D00C0000}"/>
    <cellStyle name="Percent 60" xfId="2591" xr:uid="{00000000-0005-0000-0000-0000D10C0000}"/>
    <cellStyle name="Percent 61" xfId="2592" xr:uid="{00000000-0005-0000-0000-0000D20C0000}"/>
    <cellStyle name="Percent 62" xfId="2593" xr:uid="{00000000-0005-0000-0000-0000D30C0000}"/>
    <cellStyle name="Percent 63" xfId="2594" xr:uid="{00000000-0005-0000-0000-0000D40C0000}"/>
    <cellStyle name="Percent 64" xfId="2595" xr:uid="{00000000-0005-0000-0000-0000D50C0000}"/>
    <cellStyle name="Percent 65" xfId="2596" xr:uid="{00000000-0005-0000-0000-0000D60C0000}"/>
    <cellStyle name="Percent 66" xfId="2597" xr:uid="{00000000-0005-0000-0000-0000D70C0000}"/>
    <cellStyle name="Percent 67" xfId="2598" xr:uid="{00000000-0005-0000-0000-0000D80C0000}"/>
    <cellStyle name="Percent 68" xfId="2599" xr:uid="{00000000-0005-0000-0000-0000D90C0000}"/>
    <cellStyle name="Percent 69" xfId="2600" xr:uid="{00000000-0005-0000-0000-0000DA0C0000}"/>
    <cellStyle name="Percent 7" xfId="2601" xr:uid="{00000000-0005-0000-0000-0000DB0C0000}"/>
    <cellStyle name="Percent 70" xfId="2602" xr:uid="{00000000-0005-0000-0000-0000DC0C0000}"/>
    <cellStyle name="Percent 71" xfId="2603" xr:uid="{00000000-0005-0000-0000-0000DD0C0000}"/>
    <cellStyle name="Percent 72" xfId="2604" xr:uid="{00000000-0005-0000-0000-0000DE0C0000}"/>
    <cellStyle name="Percent 73" xfId="2605" xr:uid="{00000000-0005-0000-0000-0000DF0C0000}"/>
    <cellStyle name="Percent 74" xfId="2606" xr:uid="{00000000-0005-0000-0000-0000E00C0000}"/>
    <cellStyle name="Percent 75" xfId="2607" xr:uid="{00000000-0005-0000-0000-0000E10C0000}"/>
    <cellStyle name="Percent 76" xfId="2608" xr:uid="{00000000-0005-0000-0000-0000E20C0000}"/>
    <cellStyle name="Percent 77" xfId="2609" xr:uid="{00000000-0005-0000-0000-0000E30C0000}"/>
    <cellStyle name="Percent 78" xfId="2610" xr:uid="{00000000-0005-0000-0000-0000E40C0000}"/>
    <cellStyle name="Percent 79" xfId="2611" xr:uid="{00000000-0005-0000-0000-0000E50C0000}"/>
    <cellStyle name="Percent 8" xfId="2612" xr:uid="{00000000-0005-0000-0000-0000E60C0000}"/>
    <cellStyle name="Percent 80" xfId="2613" xr:uid="{00000000-0005-0000-0000-0000E70C0000}"/>
    <cellStyle name="Percent 81" xfId="2614" xr:uid="{00000000-0005-0000-0000-0000E80C0000}"/>
    <cellStyle name="Percent 82" xfId="2615" xr:uid="{00000000-0005-0000-0000-0000E90C0000}"/>
    <cellStyle name="Percent 83" xfId="2616" xr:uid="{00000000-0005-0000-0000-0000EA0C0000}"/>
    <cellStyle name="Percent 84" xfId="2617" xr:uid="{00000000-0005-0000-0000-0000EB0C0000}"/>
    <cellStyle name="Percent 85" xfId="2618" xr:uid="{00000000-0005-0000-0000-0000EC0C0000}"/>
    <cellStyle name="Percent 86" xfId="2619" xr:uid="{00000000-0005-0000-0000-0000ED0C0000}"/>
    <cellStyle name="Percent 87" xfId="2620" xr:uid="{00000000-0005-0000-0000-0000EE0C0000}"/>
    <cellStyle name="Percent 88" xfId="2621" xr:uid="{00000000-0005-0000-0000-0000EF0C0000}"/>
    <cellStyle name="Percent 89" xfId="2622" xr:uid="{00000000-0005-0000-0000-0000F00C0000}"/>
    <cellStyle name="Percent 9" xfId="2623" xr:uid="{00000000-0005-0000-0000-0000F10C0000}"/>
    <cellStyle name="Percent 90" xfId="2624" xr:uid="{00000000-0005-0000-0000-0000F20C0000}"/>
    <cellStyle name="Percent 91" xfId="2625" xr:uid="{00000000-0005-0000-0000-0000F30C0000}"/>
    <cellStyle name="Percent 92" xfId="2626" xr:uid="{00000000-0005-0000-0000-0000F40C0000}"/>
    <cellStyle name="Percent 93" xfId="2627" xr:uid="{00000000-0005-0000-0000-0000F50C0000}"/>
    <cellStyle name="Percent 94" xfId="2628" xr:uid="{00000000-0005-0000-0000-0000F60C0000}"/>
    <cellStyle name="Percent 95" xfId="2629" xr:uid="{00000000-0005-0000-0000-0000F70C0000}"/>
    <cellStyle name="Percent 96" xfId="2630" xr:uid="{00000000-0005-0000-0000-0000F80C0000}"/>
    <cellStyle name="Percent 97" xfId="2631" xr:uid="{00000000-0005-0000-0000-0000F90C0000}"/>
    <cellStyle name="Percent 98" xfId="2632" xr:uid="{00000000-0005-0000-0000-0000FA0C0000}"/>
    <cellStyle name="Percent 99" xfId="2633" xr:uid="{00000000-0005-0000-0000-0000FB0C0000}"/>
    <cellStyle name="Percent Hard" xfId="2634" xr:uid="{00000000-0005-0000-0000-0000FC0C0000}"/>
    <cellStyle name="Percent Hard 2" xfId="2635" xr:uid="{00000000-0005-0000-0000-0000FD0C0000}"/>
    <cellStyle name="Percent(1)" xfId="2636" xr:uid="{00000000-0005-0000-0000-0000FE0C0000}"/>
    <cellStyle name="Percent(1) 2" xfId="2637" xr:uid="{00000000-0005-0000-0000-0000FF0C0000}"/>
    <cellStyle name="Percent(1) 2 2" xfId="2638" xr:uid="{00000000-0005-0000-0000-0000000D0000}"/>
    <cellStyle name="Percent(1) 3" xfId="2639" xr:uid="{00000000-0005-0000-0000-0000010D0000}"/>
    <cellStyle name="Percent(3)" xfId="2640" xr:uid="{00000000-0005-0000-0000-0000020D0000}"/>
    <cellStyle name="Percent(3) 2" xfId="2641" xr:uid="{00000000-0005-0000-0000-0000030D0000}"/>
    <cellStyle name="Percent1" xfId="2642" xr:uid="{00000000-0005-0000-0000-0000040D0000}"/>
    <cellStyle name="Percent1 2" xfId="2643" xr:uid="{00000000-0005-0000-0000-0000050D0000}"/>
    <cellStyle name="percent3" xfId="2644" xr:uid="{00000000-0005-0000-0000-0000060D0000}"/>
    <cellStyle name="percent3 2" xfId="2645" xr:uid="{00000000-0005-0000-0000-0000070D0000}"/>
    <cellStyle name="Percentage" xfId="284" xr:uid="{00000000-0005-0000-0000-0000080D0000}"/>
    <cellStyle name="Percentage 2" xfId="2646" xr:uid="{00000000-0005-0000-0000-0000090D0000}"/>
    <cellStyle name="Percentage 3" xfId="3401" xr:uid="{00000000-0005-0000-0000-00000A0D0000}"/>
    <cellStyle name="Percentage 4" xfId="3619" xr:uid="{00000000-0005-0000-0000-00000B0D0000}"/>
    <cellStyle name="PercentPresentation" xfId="2647" xr:uid="{00000000-0005-0000-0000-00000C0D0000}"/>
    <cellStyle name="PercentPresentation 2" xfId="2648" xr:uid="{00000000-0005-0000-0000-00000D0D0000}"/>
    <cellStyle name="PercentPresentation 3" xfId="2649" xr:uid="{00000000-0005-0000-0000-00000E0D0000}"/>
    <cellStyle name="PerShare" xfId="2650" xr:uid="{00000000-0005-0000-0000-00000F0D0000}"/>
    <cellStyle name="PerShare 2" xfId="2651" xr:uid="{00000000-0005-0000-0000-0000100D0000}"/>
    <cellStyle name="POPS" xfId="2652" xr:uid="{00000000-0005-0000-0000-0000110D0000}"/>
    <cellStyle name="POPS 2" xfId="2653" xr:uid="{00000000-0005-0000-0000-0000120D0000}"/>
    <cellStyle name="POPS 3" xfId="2654" xr:uid="{00000000-0005-0000-0000-0000130D0000}"/>
    <cellStyle name="pound" xfId="2655" xr:uid="{00000000-0005-0000-0000-0000140D0000}"/>
    <cellStyle name="pound 2" xfId="2656" xr:uid="{00000000-0005-0000-0000-0000150D0000}"/>
    <cellStyle name="pound 3" xfId="2657" xr:uid="{00000000-0005-0000-0000-0000160D0000}"/>
    <cellStyle name="pound_Company2094 working 21" xfId="2658" xr:uid="{00000000-0005-0000-0000-0000170D0000}"/>
    <cellStyle name="Ppefce" xfId="2659" xr:uid="{00000000-0005-0000-0000-0000180D0000}"/>
    <cellStyle name="PrePop Currency (0)" xfId="2660" xr:uid="{00000000-0005-0000-0000-0000190D0000}"/>
    <cellStyle name="PrePop Currency (2)" xfId="2661" xr:uid="{00000000-0005-0000-0000-00001A0D0000}"/>
    <cellStyle name="PrePop Units (0)" xfId="2662" xr:uid="{00000000-0005-0000-0000-00001B0D0000}"/>
    <cellStyle name="PrePop Units (1)" xfId="2663" xr:uid="{00000000-0005-0000-0000-00001C0D0000}"/>
    <cellStyle name="PrePop Units (2)" xfId="2664" xr:uid="{00000000-0005-0000-0000-00001D0D0000}"/>
    <cellStyle name="Presentation" xfId="2665" xr:uid="{00000000-0005-0000-0000-00001E0D0000}"/>
    <cellStyle name="Presentation 2" xfId="2666" xr:uid="{00000000-0005-0000-0000-00001F0D0000}"/>
    <cellStyle name="Presentation 3" xfId="2667" xr:uid="{00000000-0005-0000-0000-0000200D0000}"/>
    <cellStyle name="Presentation_Company2094 working 21" xfId="2668" xr:uid="{00000000-0005-0000-0000-0000210D0000}"/>
    <cellStyle name="PresentationZero" xfId="2669" xr:uid="{00000000-0005-0000-0000-0000220D0000}"/>
    <cellStyle name="PresentationZero 2" xfId="2670" xr:uid="{00000000-0005-0000-0000-0000230D0000}"/>
    <cellStyle name="Price" xfId="285" xr:uid="{00000000-0005-0000-0000-0000240D0000}"/>
    <cellStyle name="Price 2" xfId="2671" xr:uid="{00000000-0005-0000-0000-0000250D0000}"/>
    <cellStyle name="Price 3" xfId="3402" xr:uid="{00000000-0005-0000-0000-0000260D0000}"/>
    <cellStyle name="PriceDecimal" xfId="2672" xr:uid="{00000000-0005-0000-0000-0000270D0000}"/>
    <cellStyle name="Company2176" xfId="2673" xr:uid="{00000000-0005-0000-0000-0000280D0000}"/>
    <cellStyle name="Company2176 2" xfId="2674" xr:uid="{00000000-0005-0000-0000-0000290D0000}"/>
    <cellStyle name="Company2176 estimate" xfId="2675" xr:uid="{00000000-0005-0000-0000-00002A0D0000}"/>
    <cellStyle name="Company2176 estimate 2" xfId="2676" xr:uid="{00000000-0005-0000-0000-00002B0D0000}"/>
    <cellStyle name="Company2176 estimate_Company2094 working 21" xfId="2677" xr:uid="{00000000-0005-0000-0000-00002C0D0000}"/>
    <cellStyle name="Company2176_EMI" xfId="2678" xr:uid="{00000000-0005-0000-0000-00002D0D0000}"/>
    <cellStyle name="prot" xfId="286" xr:uid="{00000000-0005-0000-0000-00002E0D0000}"/>
    <cellStyle name="PSChar" xfId="2679" xr:uid="{00000000-0005-0000-0000-00002F0D0000}"/>
    <cellStyle name="PSDate" xfId="2680" xr:uid="{00000000-0005-0000-0000-0000300D0000}"/>
    <cellStyle name="PSDec" xfId="2681" xr:uid="{00000000-0005-0000-0000-0000310D0000}"/>
    <cellStyle name="PSHeading" xfId="2682" xr:uid="{00000000-0005-0000-0000-0000320D0000}"/>
    <cellStyle name="PSInt" xfId="2683" xr:uid="{00000000-0005-0000-0000-0000330D0000}"/>
    <cellStyle name="PSSpacer" xfId="2684" xr:uid="{00000000-0005-0000-0000-0000340D0000}"/>
    <cellStyle name="Public Market Value of Selected Real Estate Companies" xfId="2685" xr:uid="{00000000-0005-0000-0000-0000350D0000}"/>
    <cellStyle name="Punto" xfId="287" xr:uid="{00000000-0005-0000-0000-0000360D0000}"/>
    <cellStyle name="q" xfId="2686" xr:uid="{00000000-0005-0000-0000-0000370D0000}"/>
    <cellStyle name="QEPS-h" xfId="2687" xr:uid="{00000000-0005-0000-0000-0000380D0000}"/>
    <cellStyle name="QEPS-H1" xfId="2688" xr:uid="{00000000-0005-0000-0000-0000390D0000}"/>
    <cellStyle name="QEPS-H1 2" xfId="2689" xr:uid="{00000000-0005-0000-0000-00003A0D0000}"/>
    <cellStyle name="qRange" xfId="2690" xr:uid="{00000000-0005-0000-0000-00003B0D0000}"/>
    <cellStyle name="r" xfId="288" xr:uid="{00000000-0005-0000-0000-00003C0D0000}"/>
    <cellStyle name="r 2" xfId="2691" xr:uid="{00000000-0005-0000-0000-00003D0D0000}"/>
    <cellStyle name="r 3" xfId="3403" xr:uid="{00000000-0005-0000-0000-00003E0D0000}"/>
    <cellStyle name="r 4" xfId="3620" xr:uid="{00000000-0005-0000-0000-00003F0D0000}"/>
    <cellStyle name="r_newmrgr" xfId="2692" xr:uid="{00000000-0005-0000-0000-0000400D0000}"/>
    <cellStyle name="r_pldt" xfId="2693" xr:uid="{00000000-0005-0000-0000-0000410D0000}"/>
    <cellStyle name="range" xfId="2694" xr:uid="{00000000-0005-0000-0000-0000420D0000}"/>
    <cellStyle name="red" xfId="2695" xr:uid="{00000000-0005-0000-0000-0000430D0000}"/>
    <cellStyle name="Report" xfId="2696" xr:uid="{00000000-0005-0000-0000-0000440D0000}"/>
    <cellStyle name="Report 2" xfId="2697" xr:uid="{00000000-0005-0000-0000-0000450D0000}"/>
    <cellStyle name="Report 3" xfId="2698" xr:uid="{00000000-0005-0000-0000-0000460D0000}"/>
    <cellStyle name="results" xfId="2699" xr:uid="{00000000-0005-0000-0000-0000470D0000}"/>
    <cellStyle name="results 2" xfId="2700" xr:uid="{00000000-0005-0000-0000-0000480D0000}"/>
    <cellStyle name="results_Company2094 working 21" xfId="2701" xr:uid="{00000000-0005-0000-0000-0000490D0000}"/>
    <cellStyle name="Reuters Cells" xfId="289" xr:uid="{00000000-0005-0000-0000-00004A0D0000}"/>
    <cellStyle name="Reuters Cells 2" xfId="2702" xr:uid="{00000000-0005-0000-0000-00004B0D0000}"/>
    <cellStyle name="RevList" xfId="2703" xr:uid="{00000000-0005-0000-0000-00004C0D0000}"/>
    <cellStyle name="Right" xfId="2704" xr:uid="{00000000-0005-0000-0000-00004D0D0000}"/>
    <cellStyle name="s" xfId="290" xr:uid="{00000000-0005-0000-0000-00004E0D0000}"/>
    <cellStyle name="Company2527 Logo" xfId="2705" xr:uid="{00000000-0005-0000-0000-00004F0D0000}"/>
    <cellStyle name="Shade" xfId="2706" xr:uid="{00000000-0005-0000-0000-0000500D0000}"/>
    <cellStyle name="Shade 2" xfId="2707" xr:uid="{00000000-0005-0000-0000-0000510D0000}"/>
    <cellStyle name="Shaded" xfId="2708" xr:uid="{00000000-0005-0000-0000-0000520D0000}"/>
    <cellStyle name="ShadedCells_Database" xfId="291" xr:uid="{00000000-0005-0000-0000-0000530D0000}"/>
    <cellStyle name="Share" xfId="2709" xr:uid="{00000000-0005-0000-0000-0000540D0000}"/>
    <cellStyle name="Share 2" xfId="2710" xr:uid="{00000000-0005-0000-0000-0000550D0000}"/>
    <cellStyle name="Share 2 2" xfId="2711" xr:uid="{00000000-0005-0000-0000-0000560D0000}"/>
    <cellStyle name="Share 3" xfId="2712" xr:uid="{00000000-0005-0000-0000-0000570D0000}"/>
    <cellStyle name="Share 3 2" xfId="2713" xr:uid="{00000000-0005-0000-0000-0000580D0000}"/>
    <cellStyle name="Share 4" xfId="2714" xr:uid="{00000000-0005-0000-0000-0000590D0000}"/>
    <cellStyle name="Shares" xfId="2715" xr:uid="{00000000-0005-0000-0000-00005A0D0000}"/>
    <cellStyle name="Shares 2" xfId="2716" xr:uid="{00000000-0005-0000-0000-00005B0D0000}"/>
    <cellStyle name="Shares 3" xfId="2717" xr:uid="{00000000-0005-0000-0000-00005C0D0000}"/>
    <cellStyle name="Shares_Company2094 working 21" xfId="2718" xr:uid="{00000000-0005-0000-0000-00005D0D0000}"/>
    <cellStyle name="Sheet Title" xfId="292" xr:uid="{00000000-0005-0000-0000-00005E0D0000}"/>
    <cellStyle name="ShOut" xfId="293" xr:uid="{00000000-0005-0000-0000-00005F0D0000}"/>
    <cellStyle name="Source" xfId="2719" xr:uid="{00000000-0005-0000-0000-0000600D0000}"/>
    <cellStyle name="Space" xfId="2720" xr:uid="{00000000-0005-0000-0000-0000610D0000}"/>
    <cellStyle name="SS1000" xfId="2721" xr:uid="{00000000-0005-0000-0000-0000620D0000}"/>
    <cellStyle name="SS1000 2" xfId="2722" xr:uid="{00000000-0005-0000-0000-0000630D0000}"/>
    <cellStyle name="Standard" xfId="2723" xr:uid="{00000000-0005-0000-0000-0000640D0000}"/>
    <cellStyle name="Stock price" xfId="2724" xr:uid="{00000000-0005-0000-0000-0000650D0000}"/>
    <cellStyle name="Stock price 2" xfId="2725" xr:uid="{00000000-0005-0000-0000-0000660D0000}"/>
    <cellStyle name="Stock price 3" xfId="2726" xr:uid="{00000000-0005-0000-0000-0000670D0000}"/>
    <cellStyle name="Stock price_Company2094 working 21" xfId="2727" xr:uid="{00000000-0005-0000-0000-0000680D0000}"/>
    <cellStyle name="StockPrice" xfId="2728" xr:uid="{00000000-0005-0000-0000-0000690D0000}"/>
    <cellStyle name="Style 1" xfId="294" xr:uid="{00000000-0005-0000-0000-00006A0D0000}"/>
    <cellStyle name="Style 1 2" xfId="2729" xr:uid="{00000000-0005-0000-0000-00006B0D0000}"/>
    <cellStyle name="Style 2" xfId="295" xr:uid="{00000000-0005-0000-0000-00006C0D0000}"/>
    <cellStyle name="Style 2 2" xfId="2730" xr:uid="{00000000-0005-0000-0000-00006D0D0000}"/>
    <cellStyle name="Style 21" xfId="2731" xr:uid="{00000000-0005-0000-0000-00006E0D0000}"/>
    <cellStyle name="Style 22" xfId="2732" xr:uid="{00000000-0005-0000-0000-00006F0D0000}"/>
    <cellStyle name="Style 23" xfId="2733" xr:uid="{00000000-0005-0000-0000-0000700D0000}"/>
    <cellStyle name="Style 24" xfId="2734" xr:uid="{00000000-0005-0000-0000-0000710D0000}"/>
    <cellStyle name="Style 25" xfId="2735" xr:uid="{00000000-0005-0000-0000-0000720D0000}"/>
    <cellStyle name="Style 26" xfId="2736" xr:uid="{00000000-0005-0000-0000-0000730D0000}"/>
    <cellStyle name="Style 27" xfId="2737" xr:uid="{00000000-0005-0000-0000-0000740D0000}"/>
    <cellStyle name="Style 28" xfId="2738" xr:uid="{00000000-0005-0000-0000-0000750D0000}"/>
    <cellStyle name="Style 29" xfId="2739" xr:uid="{00000000-0005-0000-0000-0000760D0000}"/>
    <cellStyle name="Style 3" xfId="296" xr:uid="{00000000-0005-0000-0000-0000770D0000}"/>
    <cellStyle name="Style 3 2" xfId="2740" xr:uid="{00000000-0005-0000-0000-0000780D0000}"/>
    <cellStyle name="Style 30" xfId="2741" xr:uid="{00000000-0005-0000-0000-0000790D0000}"/>
    <cellStyle name="Style 31" xfId="2742" xr:uid="{00000000-0005-0000-0000-00007A0D0000}"/>
    <cellStyle name="Style 32" xfId="2743" xr:uid="{00000000-0005-0000-0000-00007B0D0000}"/>
    <cellStyle name="Style 33" xfId="2744" xr:uid="{00000000-0005-0000-0000-00007C0D0000}"/>
    <cellStyle name="Style 34" xfId="2745" xr:uid="{00000000-0005-0000-0000-00007D0D0000}"/>
    <cellStyle name="Style 35" xfId="2746" xr:uid="{00000000-0005-0000-0000-00007E0D0000}"/>
    <cellStyle name="Style 36" xfId="2747" xr:uid="{00000000-0005-0000-0000-00007F0D0000}"/>
    <cellStyle name="Style 37" xfId="2748" xr:uid="{00000000-0005-0000-0000-0000800D0000}"/>
    <cellStyle name="Style 4" xfId="2749" xr:uid="{00000000-0005-0000-0000-0000810D0000}"/>
    <cellStyle name="Style 4 2" xfId="2750" xr:uid="{00000000-0005-0000-0000-0000820D0000}"/>
    <cellStyle name="Style 5" xfId="2751" xr:uid="{00000000-0005-0000-0000-0000830D0000}"/>
    <cellStyle name="Style 5 2" xfId="2752" xr:uid="{00000000-0005-0000-0000-0000840D0000}"/>
    <cellStyle name="Style 6" xfId="2753" xr:uid="{00000000-0005-0000-0000-0000850D0000}"/>
    <cellStyle name="Style 6 2" xfId="2754" xr:uid="{00000000-0005-0000-0000-0000860D0000}"/>
    <cellStyle name="Style 7" xfId="2755" xr:uid="{00000000-0005-0000-0000-0000870D0000}"/>
    <cellStyle name="Style 7 2" xfId="2756" xr:uid="{00000000-0005-0000-0000-0000880D0000}"/>
    <cellStyle name="Style 8" xfId="2757" xr:uid="{00000000-0005-0000-0000-0000890D0000}"/>
    <cellStyle name="Style 8 2" xfId="2758" xr:uid="{00000000-0005-0000-0000-00008A0D0000}"/>
    <cellStyle name="Style 9" xfId="2759" xr:uid="{00000000-0005-0000-0000-00008B0D0000}"/>
    <cellStyle name="Style 9 2" xfId="2760" xr:uid="{00000000-0005-0000-0000-00008C0D0000}"/>
    <cellStyle name="Style D green" xfId="297" xr:uid="{00000000-0005-0000-0000-00008D0D0000}"/>
    <cellStyle name="Style D green 2" xfId="2761" xr:uid="{00000000-0005-0000-0000-00008E0D0000}"/>
    <cellStyle name="Style D green 2 2" xfId="3313" xr:uid="{00000000-0005-0000-0000-00008F0D0000}"/>
    <cellStyle name="Style D green 2 3" xfId="3231" xr:uid="{00000000-0005-0000-0000-0000900D0000}"/>
    <cellStyle name="Style D green 2 4" xfId="3094" xr:uid="{00000000-0005-0000-0000-0000910D0000}"/>
    <cellStyle name="Style D green 3" xfId="3095" xr:uid="{00000000-0005-0000-0000-0000920D0000}"/>
    <cellStyle name="Style D green 4" xfId="3096" xr:uid="{00000000-0005-0000-0000-0000930D0000}"/>
    <cellStyle name="Style D green 5" xfId="3312" xr:uid="{00000000-0005-0000-0000-0000940D0000}"/>
    <cellStyle name="Style D green 6" xfId="3230" xr:uid="{00000000-0005-0000-0000-0000950D0000}"/>
    <cellStyle name="Style D green 7" xfId="3093" xr:uid="{00000000-0005-0000-0000-0000960D0000}"/>
    <cellStyle name="Style E" xfId="298" xr:uid="{00000000-0005-0000-0000-0000970D0000}"/>
    <cellStyle name="Style H" xfId="299" xr:uid="{00000000-0005-0000-0000-0000980D0000}"/>
    <cellStyle name="Sub total" xfId="300" xr:uid="{00000000-0005-0000-0000-0000990D0000}"/>
    <cellStyle name="Sub total 2" xfId="2762" xr:uid="{00000000-0005-0000-0000-00009A0D0000}"/>
    <cellStyle name="Sub total 2 2" xfId="3469" xr:uid="{00000000-0005-0000-0000-00009B0D0000}"/>
    <cellStyle name="Sub total 3" xfId="3317" xr:uid="{00000000-0005-0000-0000-00009C0D0000}"/>
    <cellStyle name="SubDollar" xfId="2763" xr:uid="{00000000-0005-0000-0000-00009D0D0000}"/>
    <cellStyle name="SubGrowth" xfId="2764" xr:uid="{00000000-0005-0000-0000-00009E0D0000}"/>
    <cellStyle name="SubGrowthRate" xfId="2765" xr:uid="{00000000-0005-0000-0000-00009F0D0000}"/>
    <cellStyle name="SubMargins" xfId="2766" xr:uid="{00000000-0005-0000-0000-0000A00D0000}"/>
    <cellStyle name="SubPenetration" xfId="2767" xr:uid="{00000000-0005-0000-0000-0000A10D0000}"/>
    <cellStyle name="Subscribers" xfId="2768" xr:uid="{00000000-0005-0000-0000-0000A20D0000}"/>
    <cellStyle name="Subtotal" xfId="2769" xr:uid="{00000000-0005-0000-0000-0000A30D0000}"/>
    <cellStyle name="Subtotal 2" xfId="2770" xr:uid="{00000000-0005-0000-0000-0000A40D0000}"/>
    <cellStyle name="SubVariable" xfId="2771" xr:uid="{00000000-0005-0000-0000-0000A50D0000}"/>
    <cellStyle name="Sum" xfId="301" xr:uid="{00000000-0005-0000-0000-0000A60D0000}"/>
    <cellStyle name="Swiss" xfId="302" xr:uid="{00000000-0005-0000-0000-0000A70D0000}"/>
    <cellStyle name="Synopsis" xfId="2772" xr:uid="{00000000-0005-0000-0000-0000A80D0000}"/>
    <cellStyle name="Synopsis 2" xfId="2773" xr:uid="{00000000-0005-0000-0000-0000A90D0000}"/>
    <cellStyle name="t" xfId="303" xr:uid="{00000000-0005-0000-0000-0000AA0D0000}"/>
    <cellStyle name="t 2" xfId="2774" xr:uid="{00000000-0005-0000-0000-0000AB0D0000}"/>
    <cellStyle name="t 3" xfId="3404" xr:uid="{00000000-0005-0000-0000-0000AC0D0000}"/>
    <cellStyle name="t 4" xfId="3621" xr:uid="{00000000-0005-0000-0000-0000AD0D0000}"/>
    <cellStyle name="Table Col Head" xfId="2775" xr:uid="{00000000-0005-0000-0000-0000AE0D0000}"/>
    <cellStyle name="Table end" xfId="304" xr:uid="{00000000-0005-0000-0000-0000AF0D0000}"/>
    <cellStyle name="Table head" xfId="305" xr:uid="{00000000-0005-0000-0000-0000B00D0000}"/>
    <cellStyle name="Table head 2" xfId="2776" xr:uid="{00000000-0005-0000-0000-0000B10D0000}"/>
    <cellStyle name="Table Head Aligned" xfId="2777" xr:uid="{00000000-0005-0000-0000-0000B20D0000}"/>
    <cellStyle name="Table Head Aligned 2" xfId="2778" xr:uid="{00000000-0005-0000-0000-0000B30D0000}"/>
    <cellStyle name="Table Head Aligned 2 2" xfId="2779" xr:uid="{00000000-0005-0000-0000-0000B40D0000}"/>
    <cellStyle name="Table Head Aligned 3" xfId="2780" xr:uid="{00000000-0005-0000-0000-0000B50D0000}"/>
    <cellStyle name="Table Head Aligned 3 2" xfId="2781" xr:uid="{00000000-0005-0000-0000-0000B60D0000}"/>
    <cellStyle name="Table Head Aligned 4" xfId="2782" xr:uid="{00000000-0005-0000-0000-0000B70D0000}"/>
    <cellStyle name="Table Head Aligned_Company2094 working 21" xfId="2783" xr:uid="{00000000-0005-0000-0000-0000B80D0000}"/>
    <cellStyle name="Table Head Blue" xfId="2784" xr:uid="{00000000-0005-0000-0000-0000B90D0000}"/>
    <cellStyle name="Table Head Green" xfId="2785" xr:uid="{00000000-0005-0000-0000-0000BA0D0000}"/>
    <cellStyle name="Table Head Green 2" xfId="2786" xr:uid="{00000000-0005-0000-0000-0000BB0D0000}"/>
    <cellStyle name="Table Head_4. Debt Schedule" xfId="2787" xr:uid="{00000000-0005-0000-0000-0000BC0D0000}"/>
    <cellStyle name="Table Source" xfId="2788" xr:uid="{00000000-0005-0000-0000-0000BD0D0000}"/>
    <cellStyle name="Table Sub Head" xfId="2789" xr:uid="{00000000-0005-0000-0000-0000BE0D0000}"/>
    <cellStyle name="Table Text" xfId="2790" xr:uid="{00000000-0005-0000-0000-0000BF0D0000}"/>
    <cellStyle name="table text bold" xfId="306" xr:uid="{00000000-0005-0000-0000-0000C00D0000}"/>
    <cellStyle name="table text bold green" xfId="307" xr:uid="{00000000-0005-0000-0000-0000C10D0000}"/>
    <cellStyle name="table text bold green 2" xfId="2791" xr:uid="{00000000-0005-0000-0000-0000C20D0000}"/>
    <cellStyle name="table text bold green_Company2094 working 21" xfId="2792" xr:uid="{00000000-0005-0000-0000-0000C30D0000}"/>
    <cellStyle name="table text bold_BHI" xfId="2793" xr:uid="{00000000-0005-0000-0000-0000C40D0000}"/>
    <cellStyle name="table text light" xfId="308" xr:uid="{00000000-0005-0000-0000-0000C50D0000}"/>
    <cellStyle name="Table Title" xfId="309" xr:uid="{00000000-0005-0000-0000-0000C60D0000}"/>
    <cellStyle name="Table Title 2" xfId="2794" xr:uid="{00000000-0005-0000-0000-0000C70D0000}"/>
    <cellStyle name="Table Title 3" xfId="3405" xr:uid="{00000000-0005-0000-0000-0000C80D0000}"/>
    <cellStyle name="Table Units" xfId="310" xr:uid="{00000000-0005-0000-0000-0000C90D0000}"/>
    <cellStyle name="Table Units 2" xfId="2795" xr:uid="{00000000-0005-0000-0000-0000CA0D0000}"/>
    <cellStyle name="Table Units 3" xfId="3406" xr:uid="{00000000-0005-0000-0000-0000CB0D0000}"/>
    <cellStyle name="Table_Title" xfId="2796" xr:uid="{00000000-0005-0000-0000-0000CC0D0000}"/>
    <cellStyle name="TableBody" xfId="2797" xr:uid="{00000000-0005-0000-0000-0000CD0D0000}"/>
    <cellStyle name="TableBody 2" xfId="2798" xr:uid="{00000000-0005-0000-0000-0000CE0D0000}"/>
    <cellStyle name="TableBodyR" xfId="2799" xr:uid="{00000000-0005-0000-0000-0000CF0D0000}"/>
    <cellStyle name="TableBodyR 2" xfId="2800" xr:uid="{00000000-0005-0000-0000-0000D00D0000}"/>
    <cellStyle name="TableColHeads" xfId="2801" xr:uid="{00000000-0005-0000-0000-0000D10D0000}"/>
    <cellStyle name="TableColHeads 2" xfId="2802" xr:uid="{00000000-0005-0000-0000-0000D20D0000}"/>
    <cellStyle name="tcn" xfId="2803" xr:uid="{00000000-0005-0000-0000-0000D30D0000}"/>
    <cellStyle name="Text" xfId="2804" xr:uid="{00000000-0005-0000-0000-0000D40D0000}"/>
    <cellStyle name="Text 1" xfId="2805" xr:uid="{00000000-0005-0000-0000-0000D50D0000}"/>
    <cellStyle name="Text 2" xfId="2806" xr:uid="{00000000-0005-0000-0000-0000D60D0000}"/>
    <cellStyle name="Text Head" xfId="2807" xr:uid="{00000000-0005-0000-0000-0000D70D0000}"/>
    <cellStyle name="Text Head 1" xfId="2808" xr:uid="{00000000-0005-0000-0000-0000D80D0000}"/>
    <cellStyle name="Text Head 2" xfId="2809" xr:uid="{00000000-0005-0000-0000-0000D90D0000}"/>
    <cellStyle name="Text Head_BHI" xfId="2810" xr:uid="{00000000-0005-0000-0000-0000DA0D0000}"/>
    <cellStyle name="Text Indent 1" xfId="2811" xr:uid="{00000000-0005-0000-0000-0000DB0D0000}"/>
    <cellStyle name="Text Indent 2" xfId="2812" xr:uid="{00000000-0005-0000-0000-0000DC0D0000}"/>
    <cellStyle name="Text Indent A" xfId="2813" xr:uid="{00000000-0005-0000-0000-0000DD0D0000}"/>
    <cellStyle name="Text Indent B" xfId="2814" xr:uid="{00000000-0005-0000-0000-0000DE0D0000}"/>
    <cellStyle name="Text Indent C" xfId="2815" xr:uid="{00000000-0005-0000-0000-0000DF0D0000}"/>
    <cellStyle name="Text_Company0457 Accretion - Dilution" xfId="2816" xr:uid="{00000000-0005-0000-0000-0000E00D0000}"/>
    <cellStyle name="Ticker" xfId="2817" xr:uid="{00000000-0005-0000-0000-0000E10D0000}"/>
    <cellStyle name="Time" xfId="311" xr:uid="{00000000-0005-0000-0000-0000E20D0000}"/>
    <cellStyle name="Title - PROJECT" xfId="312" xr:uid="{00000000-0005-0000-0000-0000E30D0000}"/>
    <cellStyle name="Title - Underline" xfId="313" xr:uid="{00000000-0005-0000-0000-0000E40D0000}"/>
    <cellStyle name="Title 10" xfId="2818" xr:uid="{00000000-0005-0000-0000-0000E50D0000}"/>
    <cellStyle name="Title 11" xfId="2819" xr:uid="{00000000-0005-0000-0000-0000E60D0000}"/>
    <cellStyle name="Title 12" xfId="2820" xr:uid="{00000000-0005-0000-0000-0000E70D0000}"/>
    <cellStyle name="Title 13" xfId="2821" xr:uid="{00000000-0005-0000-0000-0000E80D0000}"/>
    <cellStyle name="Title 14" xfId="2822" xr:uid="{00000000-0005-0000-0000-0000E90D0000}"/>
    <cellStyle name="Title 15" xfId="2823" xr:uid="{00000000-0005-0000-0000-0000EA0D0000}"/>
    <cellStyle name="Title 16" xfId="2824" xr:uid="{00000000-0005-0000-0000-0000EB0D0000}"/>
    <cellStyle name="Title 17" xfId="2825" xr:uid="{00000000-0005-0000-0000-0000EC0D0000}"/>
    <cellStyle name="Title 18" xfId="2826" xr:uid="{00000000-0005-0000-0000-0000ED0D0000}"/>
    <cellStyle name="Title 19" xfId="2827" xr:uid="{00000000-0005-0000-0000-0000EE0D0000}"/>
    <cellStyle name="Title 2" xfId="2828" xr:uid="{00000000-0005-0000-0000-0000EF0D0000}"/>
    <cellStyle name="Title 2 2" xfId="2829" xr:uid="{00000000-0005-0000-0000-0000F00D0000}"/>
    <cellStyle name="Title 20" xfId="2830" xr:uid="{00000000-0005-0000-0000-0000F10D0000}"/>
    <cellStyle name="Title 21" xfId="2831" xr:uid="{00000000-0005-0000-0000-0000F20D0000}"/>
    <cellStyle name="Title 22" xfId="2832" xr:uid="{00000000-0005-0000-0000-0000F30D0000}"/>
    <cellStyle name="Title 23" xfId="2833" xr:uid="{00000000-0005-0000-0000-0000F40D0000}"/>
    <cellStyle name="Title 24" xfId="2834" xr:uid="{00000000-0005-0000-0000-0000F50D0000}"/>
    <cellStyle name="Title 3" xfId="2835" xr:uid="{00000000-0005-0000-0000-0000F60D0000}"/>
    <cellStyle name="Title 4" xfId="2836" xr:uid="{00000000-0005-0000-0000-0000F70D0000}"/>
    <cellStyle name="Title 5" xfId="2837" xr:uid="{00000000-0005-0000-0000-0000F80D0000}"/>
    <cellStyle name="Title 6" xfId="2838" xr:uid="{00000000-0005-0000-0000-0000F90D0000}"/>
    <cellStyle name="Title 7" xfId="2839" xr:uid="{00000000-0005-0000-0000-0000FA0D0000}"/>
    <cellStyle name="Title 8" xfId="2840" xr:uid="{00000000-0005-0000-0000-0000FB0D0000}"/>
    <cellStyle name="Title 9" xfId="2841" xr:uid="{00000000-0005-0000-0000-0000FC0D0000}"/>
    <cellStyle name="Title1" xfId="314" xr:uid="{00000000-0005-0000-0000-0000FD0D0000}"/>
    <cellStyle name="title1 2" xfId="2842" xr:uid="{00000000-0005-0000-0000-0000FE0D0000}"/>
    <cellStyle name="Title1 3" xfId="3407" xr:uid="{00000000-0005-0000-0000-0000FF0D0000}"/>
    <cellStyle name="title1 4" xfId="3622" xr:uid="{00000000-0005-0000-0000-0000000E0000}"/>
    <cellStyle name="Title2" xfId="315" xr:uid="{00000000-0005-0000-0000-0000010E0000}"/>
    <cellStyle name="Title2 2" xfId="2844" xr:uid="{00000000-0005-0000-0000-0000020E0000}"/>
    <cellStyle name="Title2 3" xfId="2843" xr:uid="{00000000-0005-0000-0000-0000030E0000}"/>
    <cellStyle name="Title2 4" xfId="3408" xr:uid="{00000000-0005-0000-0000-0000040E0000}"/>
    <cellStyle name="TitleII" xfId="2845" xr:uid="{00000000-0005-0000-0000-0000050E0000}"/>
    <cellStyle name="TitleII 2" xfId="2846" xr:uid="{00000000-0005-0000-0000-0000060E0000}"/>
    <cellStyle name="Titles" xfId="2847" xr:uid="{00000000-0005-0000-0000-0000070E0000}"/>
    <cellStyle name="Titles - Col. Headings" xfId="316" xr:uid="{00000000-0005-0000-0000-0000080E0000}"/>
    <cellStyle name="Titles - Other" xfId="317" xr:uid="{00000000-0005-0000-0000-0000090E0000}"/>
    <cellStyle name="Titles 10" xfId="2848" xr:uid="{00000000-0005-0000-0000-00000A0E0000}"/>
    <cellStyle name="Titles 11" xfId="2849" xr:uid="{00000000-0005-0000-0000-00000B0E0000}"/>
    <cellStyle name="Titles 12" xfId="2850" xr:uid="{00000000-0005-0000-0000-00000C0E0000}"/>
    <cellStyle name="Titles 2" xfId="2851" xr:uid="{00000000-0005-0000-0000-00000D0E0000}"/>
    <cellStyle name="Titles 3" xfId="2852" xr:uid="{00000000-0005-0000-0000-00000E0E0000}"/>
    <cellStyle name="Titles 4" xfId="2853" xr:uid="{00000000-0005-0000-0000-00000F0E0000}"/>
    <cellStyle name="Titles 5" xfId="2854" xr:uid="{00000000-0005-0000-0000-0000100E0000}"/>
    <cellStyle name="Titles 6" xfId="2855" xr:uid="{00000000-0005-0000-0000-0000110E0000}"/>
    <cellStyle name="Titles 7" xfId="2856" xr:uid="{00000000-0005-0000-0000-0000120E0000}"/>
    <cellStyle name="Titles 8" xfId="2857" xr:uid="{00000000-0005-0000-0000-0000130E0000}"/>
    <cellStyle name="Titles 9" xfId="2858" xr:uid="{00000000-0005-0000-0000-0000140E0000}"/>
    <cellStyle name="Titles_Company2094 working 21" xfId="2859" xr:uid="{00000000-0005-0000-0000-0000150E0000}"/>
    <cellStyle name="TitleSub" xfId="2860" xr:uid="{00000000-0005-0000-0000-0000160E0000}"/>
    <cellStyle name="Titre colonne" xfId="2861" xr:uid="{00000000-0005-0000-0000-0000170E0000}"/>
    <cellStyle name="Titre colonnes" xfId="2862" xr:uid="{00000000-0005-0000-0000-0000180E0000}"/>
    <cellStyle name="Titre general" xfId="2863" xr:uid="{00000000-0005-0000-0000-0000190E0000}"/>
    <cellStyle name="Titre général" xfId="2864" xr:uid="{00000000-0005-0000-0000-00001A0E0000}"/>
    <cellStyle name="Titre ligne" xfId="2865" xr:uid="{00000000-0005-0000-0000-00001B0E0000}"/>
    <cellStyle name="Titre lignes" xfId="2866" xr:uid="{00000000-0005-0000-0000-00001C0E0000}"/>
    <cellStyle name="Titre tableau" xfId="2867" xr:uid="{00000000-0005-0000-0000-00001D0E0000}"/>
    <cellStyle name="tn" xfId="2868" xr:uid="{00000000-0005-0000-0000-00001E0E0000}"/>
    <cellStyle name="TOC 1" xfId="2869" xr:uid="{00000000-0005-0000-0000-00001F0E0000}"/>
    <cellStyle name="TOC 2" xfId="2870" xr:uid="{00000000-0005-0000-0000-0000200E0000}"/>
    <cellStyle name="Total 2" xfId="2871" xr:uid="{00000000-0005-0000-0000-0000210E0000}"/>
    <cellStyle name="Total 2 2" xfId="2872" xr:uid="{00000000-0005-0000-0000-0000220E0000}"/>
    <cellStyle name="Total 3" xfId="2873" xr:uid="{00000000-0005-0000-0000-0000230E0000}"/>
    <cellStyle name="Total Currency" xfId="2874" xr:uid="{00000000-0005-0000-0000-0000240E0000}"/>
    <cellStyle name="Total Currency 2" xfId="2875" xr:uid="{00000000-0005-0000-0000-0000250E0000}"/>
    <cellStyle name="Total intermediaire" xfId="2876" xr:uid="{00000000-0005-0000-0000-0000260E0000}"/>
    <cellStyle name="Total intermediaire 0" xfId="2877" xr:uid="{00000000-0005-0000-0000-0000270E0000}"/>
    <cellStyle name="Total intermediaire 1" xfId="2878" xr:uid="{00000000-0005-0000-0000-0000280E0000}"/>
    <cellStyle name="Total intermediaire 2" xfId="2879" xr:uid="{00000000-0005-0000-0000-0000290E0000}"/>
    <cellStyle name="Total intermediaire 3" xfId="2880" xr:uid="{00000000-0005-0000-0000-00002A0E0000}"/>
    <cellStyle name="Total intermediaire 4" xfId="2881" xr:uid="{00000000-0005-0000-0000-00002B0E0000}"/>
    <cellStyle name="Total Normal" xfId="2882" xr:uid="{00000000-0005-0000-0000-00002C0E0000}"/>
    <cellStyle name="Total Normal 2" xfId="2883" xr:uid="{00000000-0005-0000-0000-00002D0E0000}"/>
    <cellStyle name="Total tableau" xfId="2884" xr:uid="{00000000-0005-0000-0000-00002E0E0000}"/>
    <cellStyle name="TotalCurrency" xfId="2885" xr:uid="{00000000-0005-0000-0000-00002F0E0000}"/>
    <cellStyle name="TotalCurrency 2" xfId="2886" xr:uid="{00000000-0005-0000-0000-0000300E0000}"/>
    <cellStyle name="TR 8" xfId="2887" xr:uid="{00000000-0005-0000-0000-0000310E0000}"/>
    <cellStyle name="TR 8 2" xfId="2888" xr:uid="{00000000-0005-0000-0000-0000320E0000}"/>
    <cellStyle name="TR 8B" xfId="2889" xr:uid="{00000000-0005-0000-0000-0000330E0000}"/>
    <cellStyle name="TR 8B 2" xfId="2890" xr:uid="{00000000-0005-0000-0000-0000340E0000}"/>
    <cellStyle name="TR 8B 3" xfId="2891" xr:uid="{00000000-0005-0000-0000-0000350E0000}"/>
    <cellStyle name="Twodig" xfId="2892" xr:uid="{00000000-0005-0000-0000-0000360E0000}"/>
    <cellStyle name="u" xfId="2893" xr:uid="{00000000-0005-0000-0000-0000370E0000}"/>
    <cellStyle name="Underline" xfId="2894" xr:uid="{00000000-0005-0000-0000-0000380E0000}"/>
    <cellStyle name="Underline 2" xfId="3321" xr:uid="{00000000-0005-0000-0000-0000390E0000}"/>
    <cellStyle name="Underline 3" xfId="3250" xr:uid="{00000000-0005-0000-0000-00003A0E0000}"/>
    <cellStyle name="Underline 4" xfId="3097" xr:uid="{00000000-0005-0000-0000-00003B0E0000}"/>
    <cellStyle name="Underline(0)" xfId="2895" xr:uid="{00000000-0005-0000-0000-00003C0E0000}"/>
    <cellStyle name="Underline_Double" xfId="2896" xr:uid="{00000000-0005-0000-0000-00003D0E0000}"/>
    <cellStyle name="undernum" xfId="2897" xr:uid="{00000000-0005-0000-0000-00003E0E0000}"/>
    <cellStyle name="unm" xfId="318" xr:uid="{00000000-0005-0000-0000-00003F0E0000}"/>
    <cellStyle name="Use_1dp" xfId="2898" xr:uid="{00000000-0005-0000-0000-0000400E0000}"/>
    <cellStyle name="UseB_1dp" xfId="2899" xr:uid="{00000000-0005-0000-0000-0000410E0000}"/>
    <cellStyle name="Validation" xfId="2900" xr:uid="{00000000-0005-0000-0000-0000420E0000}"/>
    <cellStyle name="Validation 2" xfId="2901" xr:uid="{00000000-0005-0000-0000-0000430E0000}"/>
    <cellStyle name="Validation_Company2094 working 21" xfId="2902" xr:uid="{00000000-0005-0000-0000-0000440E0000}"/>
    <cellStyle name="Valuta (0)_Bourse" xfId="2903" xr:uid="{00000000-0005-0000-0000-0000450E0000}"/>
    <cellStyle name="Valuta_Bourse" xfId="2904" xr:uid="{00000000-0005-0000-0000-0000460E0000}"/>
    <cellStyle name="Warning Text 2" xfId="2905" xr:uid="{00000000-0005-0000-0000-0000470E0000}"/>
    <cellStyle name="Warning Text 2 2" xfId="2906" xr:uid="{00000000-0005-0000-0000-0000480E0000}"/>
    <cellStyle name="WhiteCells" xfId="2907" xr:uid="{00000000-0005-0000-0000-0000490E0000}"/>
    <cellStyle name="WhiteCells 2" xfId="2908" xr:uid="{00000000-0005-0000-0000-00004A0E0000}"/>
    <cellStyle name="WholeNumber" xfId="2909" xr:uid="{00000000-0005-0000-0000-00004B0E0000}"/>
    <cellStyle name="WholeNumber 2" xfId="2910" xr:uid="{00000000-0005-0000-0000-00004C0E0000}"/>
    <cellStyle name="wild guess" xfId="2911" xr:uid="{00000000-0005-0000-0000-00004D0E0000}"/>
    <cellStyle name="Wildguess" xfId="2912" xr:uid="{00000000-0005-0000-0000-00004E0E0000}"/>
    <cellStyle name="x" xfId="2913" xr:uid="{00000000-0005-0000-0000-00004F0E0000}"/>
    <cellStyle name="x 2" xfId="2914" xr:uid="{00000000-0005-0000-0000-0000500E0000}"/>
    <cellStyle name="x_AG" xfId="2915" xr:uid="{00000000-0005-0000-0000-0000510E0000}"/>
    <cellStyle name="x_CNH" xfId="2916" xr:uid="{00000000-0005-0000-0000-0000520E0000}"/>
    <cellStyle name="x_Company0886" xfId="2917" xr:uid="{00000000-0005-0000-0000-0000530E0000}"/>
    <cellStyle name="x_Hist Summary" xfId="2918" xr:uid="{00000000-0005-0000-0000-0000540E0000}"/>
    <cellStyle name="x_Company1415" xfId="2919" xr:uid="{00000000-0005-0000-0000-0000550E0000}"/>
    <cellStyle name="x_Machinery group valuation" xfId="2920" xr:uid="{00000000-0005-0000-0000-0000560E0000}"/>
    <cellStyle name="x_Company1718" xfId="2921" xr:uid="{00000000-0005-0000-0000-0000570E0000}"/>
    <cellStyle name="x_NAV" xfId="2922" xr:uid="{00000000-0005-0000-0000-0000580E0000}"/>
    <cellStyle name="x_Company1995" xfId="2923" xr:uid="{00000000-0005-0000-0000-0000590E0000}"/>
    <cellStyle name="x_PCAR" xfId="2924" xr:uid="{00000000-0005-0000-0000-00005A0E0000}"/>
    <cellStyle name="x_PH" xfId="2925" xr:uid="{00000000-0005-0000-0000-00005B0E0000}"/>
    <cellStyle name="Year" xfId="319" xr:uid="{00000000-0005-0000-0000-00005C0E0000}"/>
    <cellStyle name="Year 2" xfId="2926" xr:uid="{00000000-0005-0000-0000-00005D0E0000}"/>
    <cellStyle name="Year Estimate" xfId="2927" xr:uid="{00000000-0005-0000-0000-00005E0E0000}"/>
    <cellStyle name="Year Estimate 2" xfId="2928" xr:uid="{00000000-0005-0000-0000-00005F0E0000}"/>
    <cellStyle name="Year Estimate 3" xfId="2929" xr:uid="{00000000-0005-0000-0000-0000600E0000}"/>
    <cellStyle name="Year_Backup of IND_Val2" xfId="2930" xr:uid="{00000000-0005-0000-0000-0000610E0000}"/>
    <cellStyle name="Years" xfId="320" xr:uid="{00000000-0005-0000-0000-0000620E0000}"/>
    <cellStyle name="years 2" xfId="2932" xr:uid="{00000000-0005-0000-0000-0000630E0000}"/>
    <cellStyle name="years 3" xfId="2931" xr:uid="{00000000-0005-0000-0000-0000640E0000}"/>
    <cellStyle name="Years 4" xfId="3409" xr:uid="{00000000-0005-0000-0000-0000650E0000}"/>
    <cellStyle name="yellow" xfId="2933" xr:uid="{00000000-0005-0000-0000-0000660E0000}"/>
    <cellStyle name="yen" xfId="2934" xr:uid="{00000000-0005-0000-0000-0000670E0000}"/>
    <cellStyle name="yen 2" xfId="2935" xr:uid="{00000000-0005-0000-0000-0000680E0000}"/>
    <cellStyle name="yen 3" xfId="2936" xr:uid="{00000000-0005-0000-0000-0000690E0000}"/>
    <cellStyle name="yen_Company2094 working 21" xfId="2937" xr:uid="{00000000-0005-0000-0000-00006A0E0000}"/>
    <cellStyle name="백분율_95" xfId="2938" xr:uid="{00000000-0005-0000-0000-00006B0E0000}"/>
    <cellStyle name="콤마 [0]_0120결과(이론)" xfId="2939" xr:uid="{00000000-0005-0000-0000-00006C0E0000}"/>
    <cellStyle name="콤마_0120결과(이론)" xfId="2940" xr:uid="{00000000-0005-0000-0000-00006D0E0000}"/>
    <cellStyle name="통화 [0]_0120결과(이론)" xfId="2941" xr:uid="{00000000-0005-0000-0000-00006E0E0000}"/>
    <cellStyle name="통화_0120결과(이론)" xfId="2942" xr:uid="{00000000-0005-0000-0000-00006F0E0000}"/>
    <cellStyle name="표준_0120결과(이론)" xfId="2943" xr:uid="{00000000-0005-0000-0000-0000700E0000}"/>
    <cellStyle name="常规_全进度数据" xfId="2944" xr:uid="{00000000-0005-0000-0000-0000710E0000}"/>
    <cellStyle name="標準_GQ Industrial Contribution Sheet_format" xfId="2945" xr:uid="{00000000-0005-0000-0000-0000720E0000}"/>
  </cellStyles>
  <dxfs count="0"/>
  <tableStyles count="1" defaultTableStyle="TableStyleMedium9" defaultPivotStyle="PivotStyleLight16">
    <tableStyle name="Invisible" pivot="0" table="0" count="0" xr9:uid="{33E8467D-17EC-4835-82CB-4364703F874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xdr:col>
      <xdr:colOff>95162</xdr:colOff>
      <xdr:row>10</xdr:row>
      <xdr:rowOff>76112</xdr:rowOff>
    </xdr:to>
    <xdr:pic>
      <xdr:nvPicPr>
        <xdr:cNvPr id="6" name="Picture 5">
          <a:extLst>
            <a:ext uri="{FF2B5EF4-FFF2-40B4-BE49-F238E27FC236}">
              <a16:creationId xmlns:a16="http://schemas.microsoft.com/office/drawing/2014/main" id="{63EDD3C0-50FE-41B8-8EF3-51DB83CBD578}"/>
            </a:ext>
          </a:extLst>
        </xdr:cNvPr>
        <xdr:cNvPicPr>
          <a:picLocks noChangeAspect="1"/>
        </xdr:cNvPicPr>
      </xdr:nvPicPr>
      <xdr:blipFill>
        <a:blip xmlns:r="http://schemas.openxmlformats.org/officeDocument/2006/relationships" r:embed="rId1"/>
        <a:stretch>
          <a:fillRect/>
        </a:stretch>
      </xdr:blipFill>
      <xdr:spPr>
        <a:xfrm>
          <a:off x="609600" y="914400"/>
          <a:ext cx="704762" cy="7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73</xdr:col>
      <xdr:colOff>38100</xdr:colOff>
      <xdr:row>78</xdr:row>
      <xdr:rowOff>66675</xdr:rowOff>
    </xdr:from>
    <xdr:to>
      <xdr:col>78</xdr:col>
      <xdr:colOff>609600</xdr:colOff>
      <xdr:row>83</xdr:row>
      <xdr:rowOff>9525</xdr:rowOff>
    </xdr:to>
    <xdr:sp macro="" textlink="">
      <xdr:nvSpPr>
        <xdr:cNvPr id="14362" name="Text Box 26" hidden="1">
          <a:extLst>
            <a:ext uri="{FF2B5EF4-FFF2-40B4-BE49-F238E27FC236}">
              <a16:creationId xmlns:a16="http://schemas.microsoft.com/office/drawing/2014/main" id="{00000000-0008-0000-0300-00001A380000}"/>
            </a:ext>
          </a:extLst>
        </xdr:cNvPr>
        <xdr:cNvSpPr txBox="1">
          <a:spLocks noChangeArrowheads="1"/>
        </xdr:cNvSpPr>
      </xdr:nvSpPr>
      <xdr:spPr bwMode="auto">
        <a:xfrm>
          <a:off x="3581400" y="5991225"/>
          <a:ext cx="1219200" cy="704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GIR Product">
  <a:themeElements>
    <a:clrScheme name="Equity">
      <a:dk1>
        <a:sysClr val="windowText" lastClr="000000"/>
      </a:dk1>
      <a:lt1>
        <a:sysClr val="window" lastClr="FFFFFF"/>
      </a:lt1>
      <a:dk2>
        <a:srgbClr val="AEBAD5"/>
      </a:dk2>
      <a:lt2>
        <a:srgbClr val="DFE4EE"/>
      </a:lt2>
      <a:accent1>
        <a:srgbClr val="5E76AA"/>
      </a:accent1>
      <a:accent2>
        <a:srgbClr val="CFD6E6"/>
      </a:accent2>
      <a:accent3>
        <a:srgbClr val="9EADCC"/>
      </a:accent3>
      <a:accent4>
        <a:srgbClr val="EFF1F6"/>
      </a:accent4>
      <a:accent5>
        <a:srgbClr val="BFC8DD"/>
      </a:accent5>
      <a:accent6>
        <a:srgbClr val="8E9FC4"/>
      </a:accent6>
      <a:hlink>
        <a:srgbClr val="0000FF"/>
      </a:hlink>
      <a:folHlink>
        <a:srgbClr val="800080"/>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example.com/" TargetMode="External"/><Relationship Id="rId7" Type="http://schemas.openxmlformats.org/officeDocument/2006/relationships/customProperty" Target="../customProperty2.bin"/><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customProperty" Target="../customProperty1.bin"/><Relationship Id="rId5" Type="http://schemas.openxmlformats.org/officeDocument/2006/relationships/printerSettings" Target="../printerSettings/printerSettings1.bin"/><Relationship Id="rId4" Type="http://schemas.openxmlformats.org/officeDocument/2006/relationships/hyperlink" Target="https://example.com/" TargetMode="Externa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7.bin"/><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5.bin"/><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6.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7.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8.bin"/><Relationship Id="rId5"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B7:D30"/>
  <sheetViews>
    <sheetView showGridLines="0" zoomScaleNormal="100" workbookViewId="0">
      <selection activeCell="F21" sqref="F21"/>
    </sheetView>
  </sheetViews>
  <sheetFormatPr defaultColWidth="9.125" defaultRowHeight="11.4"/>
  <cols>
    <col min="1" max="2" width="9.125" style="487"/>
    <col min="3" max="3" width="3.375" style="487" customWidth="1"/>
    <col min="4" max="4" width="10.125" style="487" bestFit="1" customWidth="1"/>
    <col min="5" max="16384" width="9.125" style="487"/>
  </cols>
  <sheetData>
    <row r="7" spans="2:4" ht="13.2">
      <c r="D7" s="1040" t="s">
        <v>631</v>
      </c>
    </row>
    <row r="8" spans="2:4" ht="13.2">
      <c r="D8" s="1041">
        <v>45936</v>
      </c>
    </row>
    <row r="16" spans="2:4" ht="12">
      <c r="B16" s="486" t="s">
        <v>351</v>
      </c>
    </row>
    <row r="17" spans="2:2">
      <c r="B17" s="487" t="s">
        <v>352</v>
      </c>
    </row>
    <row r="18" spans="2:2">
      <c r="B18" s="488" t="s">
        <v>353</v>
      </c>
    </row>
    <row r="20" spans="2:2" ht="12">
      <c r="B20" s="489" t="s">
        <v>372</v>
      </c>
    </row>
    <row r="21" spans="2:2">
      <c r="B21" s="221" t="s">
        <v>359</v>
      </c>
    </row>
    <row r="22" spans="2:2">
      <c r="B22" s="490" t="s">
        <v>360</v>
      </c>
    </row>
    <row r="23" spans="2:2">
      <c r="B23" s="488"/>
    </row>
    <row r="24" spans="2:2" ht="12">
      <c r="B24" s="486" t="s">
        <v>634</v>
      </c>
    </row>
    <row r="25" spans="2:2">
      <c r="B25" s="487" t="s">
        <v>354</v>
      </c>
    </row>
    <row r="26" spans="2:2">
      <c r="B26" s="490" t="s">
        <v>635</v>
      </c>
    </row>
    <row r="28" spans="2:2" ht="12">
      <c r="B28" s="486" t="s">
        <v>657</v>
      </c>
    </row>
    <row r="29" spans="2:2">
      <c r="B29" s="487" t="s">
        <v>658</v>
      </c>
    </row>
    <row r="30" spans="2:2">
      <c r="B30" s="490" t="s">
        <v>659</v>
      </c>
    </row>
  </sheetData>
  <hyperlinks>
    <hyperlink ref="B18" r:id="rId1" xr:uid="{00000000-0004-0000-0100-000000000000}"/>
    <hyperlink ref="B22" r:id="rId2" xr:uid="{00000000-0004-0000-0100-000001000000}"/>
    <hyperlink ref="B26" r:id="rId3" xr:uid="{849C030D-AE12-4A31-81B2-C25C60A9F7DE}"/>
    <hyperlink ref="B30" r:id="rId4" xr:uid="{2E63D158-8D10-4959-9AFA-40980C45E8D5}"/>
  </hyperlinks>
  <pageMargins left="0.7" right="0.7" top="0.75" bottom="0.75" header="0.3" footer="0.3"/>
  <pageSetup paperSize="0" orientation="portrait" r:id="rId5"/>
  <customProperties>
    <customPr name="Qube.Worksheet.Visibility" r:id="rId6"/>
    <customPr name="QXL_SHEET_ID" r:id="rId7"/>
  </customProperties>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DV332"/>
  <sheetViews>
    <sheetView showGridLines="0" zoomScaleNormal="100" zoomScaleSheetLayoutView="100" workbookViewId="0">
      <pane xSplit="2" ySplit="4" topLeftCell="C5" activePane="bottomRight" state="frozen"/>
      <selection activeCell="AX4" sqref="AX4"/>
      <selection pane="topRight" activeCell="AX4" sqref="AX4"/>
      <selection pane="bottomLeft" activeCell="AX4" sqref="AX4"/>
      <selection pane="bottomRight" activeCell="CP5" sqref="CP5"/>
    </sheetView>
  </sheetViews>
  <sheetFormatPr defaultColWidth="9.75" defaultRowHeight="11.4" outlineLevelRow="1" outlineLevelCol="1"/>
  <cols>
    <col min="1" max="1" width="1.75" style="131" customWidth="1"/>
    <col min="2" max="2" width="57.375" style="131" bestFit="1" customWidth="1"/>
    <col min="3" max="9" width="9.75" style="131" hidden="1" customWidth="1"/>
    <col min="10" max="13" width="9.75" style="131" hidden="1" customWidth="1" outlineLevel="1"/>
    <col min="14" max="14" width="9.75" style="131" hidden="1" customWidth="1" collapsed="1"/>
    <col min="15" max="18" width="9.75" style="131" hidden="1" customWidth="1" outlineLevel="1"/>
    <col min="19" max="19" width="9.75" style="131" hidden="1" customWidth="1" collapsed="1"/>
    <col min="20" max="23" width="9.75" style="131" hidden="1" customWidth="1" outlineLevel="1"/>
    <col min="24" max="24" width="9.75" style="131" hidden="1" customWidth="1" collapsed="1"/>
    <col min="25" max="28" width="9.75" style="131" hidden="1" customWidth="1" outlineLevel="1"/>
    <col min="29" max="29" width="9.75" style="131" hidden="1" customWidth="1" collapsed="1"/>
    <col min="30" max="33" width="9.75" style="131" hidden="1" customWidth="1" outlineLevel="1"/>
    <col min="34" max="34" width="9.75" style="131" hidden="1" customWidth="1" collapsed="1"/>
    <col min="35" max="38" width="9.75" style="131" hidden="1" customWidth="1" outlineLevel="1"/>
    <col min="39" max="39" width="9.75" style="131" hidden="1" customWidth="1" collapsed="1"/>
    <col min="40" max="43" width="9.75" style="131" hidden="1" customWidth="1" outlineLevel="1"/>
    <col min="44" max="44" width="9.75" style="131" hidden="1" customWidth="1" collapsed="1"/>
    <col min="45" max="48" width="9.75" style="131" hidden="1" customWidth="1" outlineLevel="1"/>
    <col min="49" max="49" width="9.75" style="131" hidden="1" customWidth="1" collapsed="1"/>
    <col min="50" max="53" width="9.75" style="131" hidden="1" customWidth="1" outlineLevel="1"/>
    <col min="54" max="54" width="0" style="131" hidden="1" customWidth="1" collapsed="1"/>
    <col min="55" max="58" width="9.75" style="131" hidden="1" customWidth="1" outlineLevel="1"/>
    <col min="59" max="59" width="0" style="131" hidden="1" customWidth="1" collapsed="1"/>
    <col min="60" max="60" width="9.75" style="131" hidden="1" customWidth="1" outlineLevel="1"/>
    <col min="61" max="61" width="9.75" style="221" hidden="1" customWidth="1" outlineLevel="1"/>
    <col min="62" max="63" width="9.75" style="131" hidden="1" customWidth="1" outlineLevel="1"/>
    <col min="64" max="64" width="0" style="131" hidden="1" customWidth="1" collapsed="1"/>
    <col min="65" max="65" width="9.75" style="131" hidden="1" customWidth="1" outlineLevel="1"/>
    <col min="66" max="66" width="9.75" style="221" hidden="1" customWidth="1" outlineLevel="1"/>
    <col min="67" max="68" width="9.75" style="131" hidden="1" customWidth="1" outlineLevel="1"/>
    <col min="69" max="69" width="0" style="131" hidden="1" customWidth="1" collapsed="1"/>
    <col min="70" max="70" width="9.75" style="131" hidden="1" customWidth="1" outlineLevel="1"/>
    <col min="71" max="71" width="9.75" style="221" hidden="1" customWidth="1" outlineLevel="1"/>
    <col min="72" max="73" width="9.75" style="131" hidden="1" customWidth="1" outlineLevel="1"/>
    <col min="74" max="74" width="0" style="131" hidden="1" customWidth="1" collapsed="1"/>
    <col min="75" max="75" width="9.75" style="131" hidden="1" customWidth="1" outlineLevel="1"/>
    <col min="76" max="76" width="9.75" style="394" hidden="1" customWidth="1" outlineLevel="1"/>
    <col min="77" max="78" width="9.75" style="131" hidden="1" customWidth="1" outlineLevel="1"/>
    <col min="79" max="79" width="0" style="131" hidden="1" customWidth="1" collapsed="1"/>
    <col min="80" max="80" width="9.75" style="131" hidden="1" customWidth="1" outlineLevel="1"/>
    <col min="81" max="81" width="9.75" style="221" hidden="1" customWidth="1" outlineLevel="1"/>
    <col min="82" max="83" width="9.75" style="131" hidden="1" customWidth="1" outlineLevel="1"/>
    <col min="84" max="84" width="0" style="131" hidden="1" customWidth="1" collapsed="1"/>
    <col min="85" max="88" width="9.75" style="221" hidden="1" customWidth="1" outlineLevel="1"/>
    <col min="89" max="89" width="0" style="131" hidden="1" customWidth="1" collapsed="1"/>
    <col min="90" max="93" width="9.75" style="221" hidden="1" customWidth="1" outlineLevel="1"/>
    <col min="94" max="94" width="9.75" style="131" collapsed="1"/>
    <col min="95" max="98" width="9.75" style="131" hidden="1" customWidth="1" outlineLevel="1"/>
    <col min="99" max="99" width="9.75" style="131" collapsed="1"/>
    <col min="100" max="103" width="9.75" style="131" hidden="1" customWidth="1" outlineLevel="1"/>
    <col min="104" max="104" width="9.75" style="131" collapsed="1"/>
    <col min="105" max="108" width="9.75" style="131" hidden="1" customWidth="1" outlineLevel="1"/>
    <col min="109" max="109" width="9.75" style="131" collapsed="1"/>
    <col min="110" max="113" width="9.75" style="131" hidden="1" customWidth="1" outlineLevel="1"/>
    <col min="114" max="114" width="9.75" style="131" collapsed="1"/>
    <col min="115" max="118" width="9.75" style="131" customWidth="1" outlineLevel="1"/>
    <col min="119" max="119" width="9.75" style="131"/>
    <col min="120" max="123" width="0" style="131" hidden="1" customWidth="1" outlineLevel="1"/>
    <col min="124" max="124" width="9.75" style="131" collapsed="1"/>
    <col min="125" max="16384" width="9.75" style="131"/>
  </cols>
  <sheetData>
    <row r="1" spans="1:126" ht="12" customHeight="1" thickBot="1">
      <c r="B1" s="188"/>
      <c r="CL1" s="317"/>
      <c r="CM1" s="317"/>
      <c r="CN1" s="317"/>
      <c r="CO1" s="317"/>
      <c r="CP1" s="943"/>
      <c r="CQ1" s="943"/>
      <c r="CR1" s="943"/>
      <c r="CS1" s="943"/>
      <c r="CT1" s="943"/>
      <c r="CU1" s="943"/>
      <c r="CV1" s="943"/>
      <c r="CW1" s="943"/>
      <c r="CX1" s="943"/>
      <c r="CY1" s="943"/>
      <c r="CZ1" s="943"/>
      <c r="DA1" s="943"/>
      <c r="DB1" s="943"/>
      <c r="DC1" s="943"/>
      <c r="DD1" s="943"/>
    </row>
    <row r="2" spans="1:126" ht="6" customHeight="1">
      <c r="A2" s="296"/>
      <c r="B2" s="297"/>
      <c r="C2" s="129"/>
      <c r="D2" s="129"/>
      <c r="E2" s="129"/>
      <c r="F2" s="129"/>
      <c r="G2" s="129"/>
      <c r="H2" s="129"/>
      <c r="I2" s="129"/>
      <c r="N2" s="129"/>
      <c r="S2" s="129"/>
      <c r="X2" s="129"/>
      <c r="AC2" s="129"/>
      <c r="AH2" s="129"/>
      <c r="AM2" s="129"/>
      <c r="AR2" s="129"/>
      <c r="AW2" s="129"/>
      <c r="BB2" s="129"/>
      <c r="BG2" s="129"/>
      <c r="BL2" s="129"/>
      <c r="BQ2" s="129"/>
      <c r="BV2" s="129"/>
      <c r="CA2" s="129"/>
      <c r="CF2" s="129"/>
      <c r="CK2" s="129"/>
      <c r="CP2" s="129"/>
      <c r="CQ2" s="221"/>
      <c r="CR2" s="221"/>
      <c r="CS2" s="221"/>
      <c r="CT2" s="221"/>
      <c r="CU2" s="129"/>
      <c r="CV2" s="221"/>
      <c r="CW2" s="221"/>
      <c r="CX2" s="221"/>
      <c r="CY2" s="221"/>
      <c r="CZ2" s="129"/>
      <c r="DA2" s="221"/>
      <c r="DB2" s="221"/>
      <c r="DC2" s="221"/>
      <c r="DD2" s="221"/>
      <c r="DE2" s="129"/>
      <c r="DF2" s="221"/>
      <c r="DG2" s="221"/>
      <c r="DH2" s="221"/>
      <c r="DI2" s="221"/>
      <c r="DJ2" s="129"/>
      <c r="DK2" s="221"/>
      <c r="DL2" s="221"/>
      <c r="DM2" s="221"/>
      <c r="DN2" s="221"/>
      <c r="DO2" s="129"/>
      <c r="DP2" s="221"/>
      <c r="DQ2" s="221"/>
      <c r="DR2" s="221"/>
      <c r="DS2" s="221"/>
      <c r="DT2" s="129"/>
      <c r="DU2" s="129"/>
      <c r="DV2" s="129"/>
    </row>
    <row r="3" spans="1:126" s="116" customFormat="1" ht="15.6">
      <c r="A3" s="126"/>
      <c r="B3" s="120" t="s">
        <v>467</v>
      </c>
      <c r="C3" s="368">
        <v>1997</v>
      </c>
      <c r="D3" s="368">
        <v>1998</v>
      </c>
      <c r="E3" s="368">
        <v>1999</v>
      </c>
      <c r="F3" s="368">
        <v>2000</v>
      </c>
      <c r="G3" s="368">
        <v>2001</v>
      </c>
      <c r="H3" s="368">
        <v>2002</v>
      </c>
      <c r="I3" s="368">
        <v>2003</v>
      </c>
      <c r="J3" s="210" t="s">
        <v>0</v>
      </c>
      <c r="K3" s="210" t="s">
        <v>1</v>
      </c>
      <c r="L3" s="210" t="s">
        <v>2</v>
      </c>
      <c r="M3" s="210" t="s">
        <v>3</v>
      </c>
      <c r="N3" s="368">
        <v>2004</v>
      </c>
      <c r="O3" s="210" t="s">
        <v>4</v>
      </c>
      <c r="P3" s="210" t="s">
        <v>5</v>
      </c>
      <c r="Q3" s="210" t="s">
        <v>6</v>
      </c>
      <c r="R3" s="210" t="s">
        <v>7</v>
      </c>
      <c r="S3" s="368">
        <v>2005</v>
      </c>
      <c r="T3" s="210" t="s">
        <v>8</v>
      </c>
      <c r="U3" s="210" t="s">
        <v>9</v>
      </c>
      <c r="V3" s="210" t="s">
        <v>10</v>
      </c>
      <c r="W3" s="210" t="s">
        <v>11</v>
      </c>
      <c r="X3" s="368">
        <v>2006</v>
      </c>
      <c r="Y3" s="210" t="s">
        <v>12</v>
      </c>
      <c r="Z3" s="210" t="s">
        <v>13</v>
      </c>
      <c r="AA3" s="210" t="s">
        <v>14</v>
      </c>
      <c r="AB3" s="210" t="s">
        <v>15</v>
      </c>
      <c r="AC3" s="368">
        <v>2007</v>
      </c>
      <c r="AD3" s="210" t="s">
        <v>16</v>
      </c>
      <c r="AE3" s="210" t="s">
        <v>17</v>
      </c>
      <c r="AF3" s="210" t="s">
        <v>18</v>
      </c>
      <c r="AG3" s="210" t="s">
        <v>19</v>
      </c>
      <c r="AH3" s="368">
        <v>2008</v>
      </c>
      <c r="AI3" s="210" t="s">
        <v>20</v>
      </c>
      <c r="AJ3" s="210" t="s">
        <v>21</v>
      </c>
      <c r="AK3" s="210" t="s">
        <v>22</v>
      </c>
      <c r="AL3" s="210" t="s">
        <v>179</v>
      </c>
      <c r="AM3" s="368">
        <v>2009</v>
      </c>
      <c r="AN3" s="210" t="s">
        <v>139</v>
      </c>
      <c r="AO3" s="118" t="s">
        <v>180</v>
      </c>
      <c r="AP3" s="118" t="s">
        <v>181</v>
      </c>
      <c r="AQ3" s="118" t="s">
        <v>182</v>
      </c>
      <c r="AR3" s="368">
        <v>2010</v>
      </c>
      <c r="AS3" s="118" t="s">
        <v>183</v>
      </c>
      <c r="AT3" s="118" t="s">
        <v>184</v>
      </c>
      <c r="AU3" s="118" t="s">
        <v>185</v>
      </c>
      <c r="AV3" s="118" t="s">
        <v>186</v>
      </c>
      <c r="AW3" s="368">
        <v>2011</v>
      </c>
      <c r="AX3" s="118" t="s">
        <v>210</v>
      </c>
      <c r="AY3" s="118" t="s">
        <v>211</v>
      </c>
      <c r="AZ3" s="118" t="s">
        <v>212</v>
      </c>
      <c r="BA3" s="118" t="s">
        <v>213</v>
      </c>
      <c r="BB3" s="369">
        <v>2012</v>
      </c>
      <c r="BC3" s="118" t="s">
        <v>217</v>
      </c>
      <c r="BD3" s="118" t="s">
        <v>218</v>
      </c>
      <c r="BE3" s="118" t="s">
        <v>219</v>
      </c>
      <c r="BF3" s="118" t="s">
        <v>220</v>
      </c>
      <c r="BG3" s="369">
        <v>2013</v>
      </c>
      <c r="BH3" s="118" t="s">
        <v>221</v>
      </c>
      <c r="BI3" s="118" t="s">
        <v>222</v>
      </c>
      <c r="BJ3" s="118" t="s">
        <v>223</v>
      </c>
      <c r="BK3" s="118" t="s">
        <v>224</v>
      </c>
      <c r="BL3" s="369">
        <v>2014</v>
      </c>
      <c r="BM3" s="118" t="s">
        <v>265</v>
      </c>
      <c r="BN3" s="118" t="s">
        <v>266</v>
      </c>
      <c r="BO3" s="118" t="s">
        <v>267</v>
      </c>
      <c r="BP3" s="118" t="s">
        <v>268</v>
      </c>
      <c r="BQ3" s="369">
        <v>2015</v>
      </c>
      <c r="BR3" s="118" t="s">
        <v>269</v>
      </c>
      <c r="BS3" s="118" t="s">
        <v>270</v>
      </c>
      <c r="BT3" s="118" t="s">
        <v>271</v>
      </c>
      <c r="BU3" s="118" t="s">
        <v>272</v>
      </c>
      <c r="BV3" s="369">
        <v>2016</v>
      </c>
      <c r="BW3" s="118" t="s">
        <v>273</v>
      </c>
      <c r="BX3" s="118" t="s">
        <v>274</v>
      </c>
      <c r="BY3" s="118" t="s">
        <v>275</v>
      </c>
      <c r="BZ3" s="118" t="s">
        <v>276</v>
      </c>
      <c r="CA3" s="369">
        <v>2017</v>
      </c>
      <c r="CB3" s="118" t="s">
        <v>327</v>
      </c>
      <c r="CC3" s="118" t="s">
        <v>328</v>
      </c>
      <c r="CD3" s="118" t="s">
        <v>329</v>
      </c>
      <c r="CE3" s="118" t="s">
        <v>330</v>
      </c>
      <c r="CF3" s="369">
        <v>2018</v>
      </c>
      <c r="CG3" s="118" t="s">
        <v>341</v>
      </c>
      <c r="CH3" s="118" t="s">
        <v>342</v>
      </c>
      <c r="CI3" s="118" t="s">
        <v>343</v>
      </c>
      <c r="CJ3" s="118"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463</v>
      </c>
      <c r="DN3" s="121" t="s">
        <v>464</v>
      </c>
      <c r="DO3" s="369">
        <v>2025</v>
      </c>
      <c r="DP3" s="121" t="s">
        <v>653</v>
      </c>
      <c r="DQ3" s="121" t="s">
        <v>654</v>
      </c>
      <c r="DR3" s="121" t="s">
        <v>655</v>
      </c>
      <c r="DS3" s="121" t="s">
        <v>656</v>
      </c>
      <c r="DT3" s="369">
        <v>2026</v>
      </c>
      <c r="DU3" s="369">
        <v>2027</v>
      </c>
      <c r="DV3" s="369">
        <v>2028</v>
      </c>
    </row>
    <row r="4" spans="1:126" s="187" customFormat="1" ht="13.2">
      <c r="A4" s="116"/>
      <c r="B4" s="184" t="s">
        <v>81</v>
      </c>
      <c r="C4" s="185">
        <v>35795</v>
      </c>
      <c r="D4" s="185">
        <v>36160</v>
      </c>
      <c r="E4" s="185">
        <v>36525</v>
      </c>
      <c r="F4" s="185">
        <v>36891</v>
      </c>
      <c r="G4" s="185">
        <v>37256</v>
      </c>
      <c r="H4" s="185">
        <v>37621</v>
      </c>
      <c r="I4" s="185">
        <v>37986</v>
      </c>
      <c r="J4" s="211">
        <v>38077</v>
      </c>
      <c r="K4" s="211">
        <v>38168</v>
      </c>
      <c r="L4" s="211">
        <v>38260</v>
      </c>
      <c r="M4" s="211">
        <v>38352</v>
      </c>
      <c r="N4" s="185">
        <v>38352</v>
      </c>
      <c r="O4" s="211">
        <v>38442</v>
      </c>
      <c r="P4" s="211">
        <v>38533</v>
      </c>
      <c r="Q4" s="211">
        <v>38625</v>
      </c>
      <c r="R4" s="211">
        <v>38717</v>
      </c>
      <c r="S4" s="185">
        <v>38717</v>
      </c>
      <c r="T4" s="211">
        <v>38807</v>
      </c>
      <c r="U4" s="211">
        <v>38898</v>
      </c>
      <c r="V4" s="211">
        <v>38990</v>
      </c>
      <c r="W4" s="211">
        <v>39082</v>
      </c>
      <c r="X4" s="185">
        <v>39082</v>
      </c>
      <c r="Y4" s="211">
        <v>39172</v>
      </c>
      <c r="Z4" s="211">
        <v>39263</v>
      </c>
      <c r="AA4" s="211">
        <v>39355</v>
      </c>
      <c r="AB4" s="211">
        <v>39447</v>
      </c>
      <c r="AC4" s="185">
        <v>39447</v>
      </c>
      <c r="AD4" s="211">
        <v>39538</v>
      </c>
      <c r="AE4" s="211">
        <v>39629</v>
      </c>
      <c r="AF4" s="211">
        <v>39721</v>
      </c>
      <c r="AG4" s="211">
        <v>39813</v>
      </c>
      <c r="AH4" s="185">
        <v>39813</v>
      </c>
      <c r="AI4" s="211">
        <v>39903</v>
      </c>
      <c r="AJ4" s="211">
        <v>39994</v>
      </c>
      <c r="AK4" s="211">
        <v>40086</v>
      </c>
      <c r="AL4" s="212">
        <v>40178</v>
      </c>
      <c r="AM4" s="185">
        <v>40178</v>
      </c>
      <c r="AN4" s="211">
        <v>40268</v>
      </c>
      <c r="AO4" s="211">
        <v>40359</v>
      </c>
      <c r="AP4" s="211">
        <v>40451</v>
      </c>
      <c r="AQ4" s="212">
        <v>40543</v>
      </c>
      <c r="AR4" s="185">
        <v>40543</v>
      </c>
      <c r="AS4" s="211">
        <v>40633</v>
      </c>
      <c r="AT4" s="211">
        <v>40724</v>
      </c>
      <c r="AU4" s="211">
        <v>40816</v>
      </c>
      <c r="AV4" s="212">
        <v>40908</v>
      </c>
      <c r="AW4" s="185">
        <v>40908</v>
      </c>
      <c r="AX4" s="211">
        <v>40999</v>
      </c>
      <c r="AY4" s="211">
        <v>41090</v>
      </c>
      <c r="AZ4" s="211">
        <v>41182</v>
      </c>
      <c r="BA4" s="212">
        <v>41274</v>
      </c>
      <c r="BB4" s="185">
        <v>41274</v>
      </c>
      <c r="BC4" s="211">
        <v>41364</v>
      </c>
      <c r="BD4" s="211">
        <v>41455</v>
      </c>
      <c r="BE4" s="211">
        <v>41547</v>
      </c>
      <c r="BF4" s="212">
        <v>41639</v>
      </c>
      <c r="BG4" s="185">
        <v>41639</v>
      </c>
      <c r="BH4" s="211">
        <v>41729</v>
      </c>
      <c r="BI4" s="373">
        <v>41820</v>
      </c>
      <c r="BJ4" s="211">
        <v>41912</v>
      </c>
      <c r="BK4" s="212">
        <v>42004</v>
      </c>
      <c r="BL4" s="185">
        <v>42004</v>
      </c>
      <c r="BM4" s="211">
        <v>42094</v>
      </c>
      <c r="BN4" s="373">
        <v>42185</v>
      </c>
      <c r="BO4" s="211">
        <v>42277</v>
      </c>
      <c r="BP4" s="212">
        <v>42369</v>
      </c>
      <c r="BQ4" s="185">
        <v>42369</v>
      </c>
      <c r="BR4" s="211">
        <v>42460</v>
      </c>
      <c r="BS4" s="373">
        <v>42551</v>
      </c>
      <c r="BT4" s="211">
        <v>42643</v>
      </c>
      <c r="BU4" s="212">
        <v>42735</v>
      </c>
      <c r="BV4" s="185">
        <v>42735</v>
      </c>
      <c r="BW4" s="211">
        <v>42825</v>
      </c>
      <c r="BX4" s="211">
        <v>42916</v>
      </c>
      <c r="BY4" s="211">
        <v>43008</v>
      </c>
      <c r="BZ4" s="212">
        <v>43100</v>
      </c>
      <c r="CA4" s="185">
        <v>43100</v>
      </c>
      <c r="CB4" s="211">
        <v>43190</v>
      </c>
      <c r="CC4" s="373">
        <v>43281</v>
      </c>
      <c r="CD4" s="211">
        <v>43373</v>
      </c>
      <c r="CE4" s="212">
        <v>43465</v>
      </c>
      <c r="CF4" s="185">
        <v>43465</v>
      </c>
      <c r="CG4" s="211">
        <v>43555</v>
      </c>
      <c r="CH4" s="373">
        <v>43646</v>
      </c>
      <c r="CI4" s="211">
        <v>43738</v>
      </c>
      <c r="CJ4" s="212">
        <v>43830</v>
      </c>
      <c r="CK4" s="185">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19">
        <v>46752</v>
      </c>
      <c r="DV4" s="119">
        <v>47118</v>
      </c>
    </row>
    <row r="5" spans="1:126" s="289" customFormat="1" ht="13.2">
      <c r="A5" s="283"/>
      <c r="B5" s="284"/>
      <c r="C5" s="285"/>
      <c r="D5" s="286"/>
      <c r="E5" s="285"/>
      <c r="F5" s="285"/>
      <c r="G5" s="285"/>
      <c r="H5" s="285"/>
      <c r="I5" s="285"/>
      <c r="J5" s="287"/>
      <c r="K5" s="287"/>
      <c r="L5" s="287"/>
      <c r="M5" s="287"/>
      <c r="N5" s="285"/>
      <c r="O5" s="287"/>
      <c r="P5" s="287"/>
      <c r="Q5" s="287"/>
      <c r="R5" s="287"/>
      <c r="S5" s="285"/>
      <c r="T5" s="287"/>
      <c r="U5" s="287"/>
      <c r="V5" s="287"/>
      <c r="W5" s="287"/>
      <c r="X5" s="285"/>
      <c r="Y5" s="287"/>
      <c r="Z5" s="287"/>
      <c r="AA5" s="287"/>
      <c r="AB5" s="287"/>
      <c r="AC5" s="285"/>
      <c r="AD5" s="287"/>
      <c r="AE5" s="287"/>
      <c r="AF5" s="287"/>
      <c r="AG5" s="287"/>
      <c r="AH5" s="285"/>
      <c r="AI5" s="287"/>
      <c r="AJ5" s="287"/>
      <c r="AK5" s="287"/>
      <c r="AL5" s="288"/>
      <c r="AM5" s="285"/>
      <c r="AN5" s="287"/>
      <c r="AO5" s="287"/>
      <c r="AP5" s="287"/>
      <c r="AQ5" s="288"/>
      <c r="AR5" s="285"/>
      <c r="AS5" s="287"/>
      <c r="AT5" s="287"/>
      <c r="AU5" s="287"/>
      <c r="AV5" s="288"/>
      <c r="AW5" s="285"/>
      <c r="AX5" s="287"/>
      <c r="AY5" s="287"/>
      <c r="AZ5" s="287"/>
      <c r="BA5" s="288"/>
      <c r="BB5" s="285"/>
      <c r="BC5" s="287"/>
      <c r="BD5" s="287"/>
      <c r="BE5" s="287"/>
      <c r="BF5" s="288"/>
      <c r="BG5" s="285"/>
      <c r="BH5" s="287"/>
      <c r="BI5" s="374"/>
      <c r="BJ5" s="287"/>
      <c r="BK5" s="288"/>
      <c r="BL5" s="285"/>
      <c r="BM5" s="287"/>
      <c r="BN5" s="374"/>
      <c r="BO5" s="287"/>
      <c r="BP5" s="288"/>
      <c r="BQ5" s="285"/>
      <c r="BR5" s="287"/>
      <c r="BS5" s="374"/>
      <c r="BT5" s="287"/>
      <c r="BU5" s="288"/>
      <c r="BV5" s="285"/>
      <c r="BW5" s="287"/>
      <c r="BX5" s="426"/>
      <c r="BY5" s="287"/>
      <c r="BZ5" s="288"/>
      <c r="CA5" s="285"/>
      <c r="CB5" s="287"/>
      <c r="CC5" s="374"/>
      <c r="CD5" s="287"/>
      <c r="CE5" s="288"/>
      <c r="CF5" s="285"/>
      <c r="CG5" s="374"/>
      <c r="CH5" s="374"/>
      <c r="CI5" s="374"/>
      <c r="CJ5" s="374"/>
      <c r="CK5" s="285"/>
      <c r="CL5" s="374"/>
      <c r="CM5" s="374"/>
      <c r="CN5" s="374"/>
      <c r="CO5" s="374"/>
      <c r="CP5" s="285"/>
      <c r="CQ5" s="374"/>
      <c r="CR5" s="374"/>
      <c r="CS5" s="374"/>
      <c r="CT5" s="374"/>
      <c r="CU5" s="285"/>
      <c r="CV5" s="374"/>
      <c r="CW5" s="374"/>
      <c r="CX5" s="374"/>
      <c r="CY5" s="374"/>
      <c r="CZ5" s="285"/>
      <c r="DA5" s="374"/>
      <c r="DB5" s="374"/>
      <c r="DC5" s="374"/>
      <c r="DD5" s="374"/>
      <c r="DE5" s="285"/>
      <c r="DF5" s="374"/>
      <c r="DG5" s="374"/>
      <c r="DH5" s="374"/>
      <c r="DI5" s="374"/>
      <c r="DJ5" s="285"/>
      <c r="DK5" s="374"/>
      <c r="DL5" s="374"/>
      <c r="DM5" s="374"/>
      <c r="DN5" s="374"/>
      <c r="DO5" s="285"/>
      <c r="DP5" s="374"/>
      <c r="DQ5" s="374"/>
      <c r="DR5" s="374"/>
      <c r="DS5" s="374"/>
      <c r="DT5" s="285"/>
      <c r="DU5" s="285"/>
      <c r="DV5" s="285"/>
    </row>
    <row r="6" spans="1:126" s="15" customFormat="1" ht="12">
      <c r="A6" s="131"/>
      <c r="B6" s="110" t="s">
        <v>93</v>
      </c>
      <c r="C6" s="16"/>
      <c r="D6" s="60"/>
      <c r="E6" s="16"/>
      <c r="F6" s="16"/>
      <c r="G6" s="16"/>
      <c r="H6" s="16"/>
      <c r="I6" s="16"/>
      <c r="N6" s="16"/>
      <c r="S6" s="16"/>
      <c r="X6" s="16"/>
      <c r="AC6" s="16"/>
      <c r="AH6" s="16"/>
      <c r="AM6" s="16"/>
      <c r="AR6" s="16"/>
      <c r="AW6" s="16"/>
      <c r="BB6" s="16"/>
      <c r="BG6" s="16"/>
      <c r="BI6" s="221"/>
      <c r="BL6" s="16"/>
      <c r="BN6" s="221"/>
      <c r="BQ6" s="16"/>
      <c r="BS6" s="221"/>
      <c r="BV6" s="16"/>
      <c r="BX6" s="394"/>
      <c r="CA6" s="16"/>
      <c r="CC6" s="221"/>
      <c r="CF6" s="16"/>
      <c r="CG6" s="221"/>
      <c r="CH6" s="221"/>
      <c r="CI6" s="221"/>
      <c r="CJ6" s="221"/>
      <c r="CK6" s="16"/>
      <c r="CL6" s="221"/>
      <c r="CM6" s="221"/>
      <c r="CN6" s="221"/>
      <c r="CO6" s="221"/>
      <c r="CP6" s="16"/>
      <c r="CQ6" s="221"/>
      <c r="CR6" s="221"/>
      <c r="CS6" s="221"/>
      <c r="CT6" s="221"/>
      <c r="CU6" s="16"/>
      <c r="CV6" s="221"/>
      <c r="CW6" s="221"/>
      <c r="CX6" s="221"/>
      <c r="CY6" s="221"/>
      <c r="CZ6" s="16"/>
      <c r="DA6" s="221"/>
      <c r="DB6" s="221"/>
      <c r="DC6" s="221"/>
      <c r="DD6" s="221"/>
      <c r="DE6" s="16"/>
      <c r="DF6" s="221"/>
      <c r="DG6" s="221"/>
      <c r="DH6" s="221"/>
      <c r="DI6" s="221"/>
      <c r="DJ6" s="16"/>
      <c r="DK6" s="221"/>
      <c r="DL6" s="221"/>
      <c r="DM6" s="221"/>
      <c r="DN6" s="221"/>
      <c r="DO6" s="16"/>
      <c r="DP6" s="221"/>
      <c r="DQ6" s="221"/>
      <c r="DR6" s="221"/>
      <c r="DS6" s="221"/>
      <c r="DT6" s="16"/>
      <c r="DU6" s="16"/>
      <c r="DV6" s="16"/>
    </row>
    <row r="7" spans="1:126" s="15" customFormat="1" hidden="1" outlineLevel="1">
      <c r="B7" s="221" t="s">
        <v>465</v>
      </c>
      <c r="C7" s="16"/>
      <c r="D7" s="16"/>
      <c r="E7" s="16"/>
      <c r="F7" s="16"/>
      <c r="G7" s="16"/>
      <c r="H7" s="16"/>
      <c r="I7" s="16"/>
      <c r="J7" s="313"/>
      <c r="K7" s="313"/>
      <c r="L7" s="313"/>
      <c r="M7" s="313"/>
      <c r="N7" s="16"/>
      <c r="O7" s="313"/>
      <c r="P7" s="313"/>
      <c r="Q7" s="313"/>
      <c r="R7" s="313"/>
      <c r="S7" s="16"/>
      <c r="T7" s="313"/>
      <c r="U7" s="313"/>
      <c r="V7" s="313"/>
      <c r="W7" s="313"/>
      <c r="X7" s="16"/>
      <c r="Y7" s="313"/>
      <c r="Z7" s="313"/>
      <c r="AA7" s="313"/>
      <c r="AB7" s="313"/>
      <c r="AC7" s="16"/>
      <c r="AD7" s="313"/>
      <c r="AE7" s="313"/>
      <c r="AF7" s="313"/>
      <c r="AG7" s="313"/>
      <c r="AH7" s="16"/>
      <c r="AI7" s="313"/>
      <c r="AJ7" s="313"/>
      <c r="AK7" s="313"/>
      <c r="AL7" s="313"/>
      <c r="AM7" s="16"/>
      <c r="AN7" s="313"/>
      <c r="AO7" s="313"/>
      <c r="AP7" s="313"/>
      <c r="AQ7" s="313"/>
      <c r="AR7" s="16"/>
      <c r="AS7" s="313"/>
      <c r="AT7" s="313"/>
      <c r="AU7" s="313"/>
      <c r="AV7" s="313"/>
      <c r="AW7" s="16"/>
      <c r="AX7" s="313"/>
      <c r="AY7" s="313"/>
      <c r="AZ7" s="313"/>
      <c r="BA7" s="313"/>
      <c r="BB7" s="16"/>
      <c r="BC7" s="313"/>
      <c r="BD7" s="313"/>
      <c r="BE7" s="313"/>
      <c r="BF7" s="313"/>
      <c r="BG7" s="16"/>
      <c r="BH7" s="313"/>
      <c r="BI7" s="313"/>
      <c r="BJ7" s="313"/>
      <c r="BK7" s="313"/>
      <c r="BL7" s="16"/>
      <c r="BM7" s="313"/>
      <c r="BN7" s="313"/>
      <c r="BO7" s="313"/>
      <c r="BP7" s="313"/>
      <c r="BQ7" s="16"/>
      <c r="BR7" s="313"/>
      <c r="BS7" s="313"/>
      <c r="BT7" s="313"/>
      <c r="BU7" s="313"/>
      <c r="BV7" s="16"/>
      <c r="BW7" s="313"/>
      <c r="BX7" s="313"/>
      <c r="BY7" s="313"/>
      <c r="BZ7" s="313"/>
      <c r="CA7" s="16"/>
      <c r="CB7" s="313"/>
      <c r="CC7" s="313"/>
      <c r="CD7" s="313"/>
      <c r="CE7" s="313"/>
      <c r="CF7" s="16"/>
      <c r="CG7" s="313"/>
      <c r="CH7" s="313"/>
      <c r="CI7" s="313"/>
      <c r="CJ7" s="313"/>
      <c r="CK7" s="16"/>
      <c r="CL7" s="313">
        <v>12339</v>
      </c>
      <c r="CM7" s="313">
        <v>10720</v>
      </c>
      <c r="CN7" s="313">
        <v>12306</v>
      </c>
      <c r="CO7" s="313">
        <f>CP7-SUM(CL7:CN7)</f>
        <v>2219</v>
      </c>
      <c r="CP7" s="16">
        <v>37584</v>
      </c>
      <c r="CQ7" s="313">
        <v>10349</v>
      </c>
      <c r="CR7" s="313">
        <v>11105</v>
      </c>
      <c r="CS7" s="313">
        <v>11530</v>
      </c>
      <c r="CT7" s="313">
        <f>CU7-SUM(CQ7:CS7)</f>
        <v>1216</v>
      </c>
      <c r="CU7" s="16">
        <v>34200</v>
      </c>
      <c r="CV7" s="313">
        <v>4608</v>
      </c>
      <c r="CW7" s="313">
        <v>5266</v>
      </c>
      <c r="CX7" s="313">
        <v>5731</v>
      </c>
      <c r="CY7" s="313">
        <f>CZ7-SUM(CV7:CX7)</f>
        <v>6729</v>
      </c>
      <c r="CZ7" s="16">
        <v>22334</v>
      </c>
      <c r="DA7" s="313">
        <v>5287</v>
      </c>
      <c r="DB7" s="313">
        <v>6688</v>
      </c>
      <c r="DC7" s="313">
        <v>6939</v>
      </c>
      <c r="DD7" s="313">
        <f t="shared" ref="DD7:DD8" si="0">DE7-SUM(DA7:DC7)</f>
        <v>7879</v>
      </c>
      <c r="DE7" s="16">
        <v>26793</v>
      </c>
      <c r="DF7" s="313">
        <v>5935</v>
      </c>
      <c r="DG7" s="313">
        <v>2175</v>
      </c>
      <c r="DH7" s="313">
        <v>2448</v>
      </c>
      <c r="DI7" s="313">
        <v>3230</v>
      </c>
      <c r="DJ7" s="16"/>
      <c r="DK7" s="1078">
        <v>2653</v>
      </c>
      <c r="DL7" s="1078">
        <v>2842</v>
      </c>
      <c r="DM7" s="313"/>
      <c r="DN7" s="313"/>
      <c r="DO7" s="16"/>
      <c r="DP7" s="1078"/>
      <c r="DQ7" s="313"/>
      <c r="DR7" s="313"/>
      <c r="DS7" s="313"/>
      <c r="DT7" s="16"/>
      <c r="DU7" s="16"/>
      <c r="DV7" s="16"/>
    </row>
    <row r="8" spans="1:126" s="15" customFormat="1" hidden="1" outlineLevel="1">
      <c r="B8" s="221" t="s">
        <v>466</v>
      </c>
      <c r="C8" s="16"/>
      <c r="D8" s="215"/>
      <c r="E8" s="215"/>
      <c r="F8" s="215"/>
      <c r="G8" s="215"/>
      <c r="H8" s="215"/>
      <c r="I8" s="215"/>
      <c r="J8" s="191"/>
      <c r="K8" s="191"/>
      <c r="L8" s="191"/>
      <c r="M8" s="191"/>
      <c r="N8" s="215"/>
      <c r="O8" s="191"/>
      <c r="P8" s="191"/>
      <c r="Q8" s="191"/>
      <c r="R8" s="191"/>
      <c r="S8" s="215"/>
      <c r="T8" s="191"/>
      <c r="U8" s="191"/>
      <c r="V8" s="191"/>
      <c r="W8" s="191"/>
      <c r="X8" s="215"/>
      <c r="Y8" s="191"/>
      <c r="Z8" s="191"/>
      <c r="AA8" s="191"/>
      <c r="AB8" s="191"/>
      <c r="AC8" s="215"/>
      <c r="AD8" s="191"/>
      <c r="AE8" s="191"/>
      <c r="AF8" s="191"/>
      <c r="AG8" s="191"/>
      <c r="AH8" s="215"/>
      <c r="AI8" s="191"/>
      <c r="AJ8" s="191"/>
      <c r="AK8" s="191"/>
      <c r="AL8" s="191"/>
      <c r="AM8" s="215"/>
      <c r="AN8" s="191"/>
      <c r="AO8" s="191"/>
      <c r="AP8" s="191"/>
      <c r="AQ8" s="191"/>
      <c r="AR8" s="215"/>
      <c r="AS8" s="191"/>
      <c r="AT8" s="191"/>
      <c r="AU8" s="191"/>
      <c r="AV8" s="191"/>
      <c r="AW8" s="215"/>
      <c r="AX8" s="191"/>
      <c r="AY8" s="191"/>
      <c r="AZ8" s="191"/>
      <c r="BA8" s="191"/>
      <c r="BB8" s="215"/>
      <c r="BC8" s="191"/>
      <c r="BD8" s="191"/>
      <c r="BE8" s="191"/>
      <c r="BF8" s="191"/>
      <c r="BG8" s="215"/>
      <c r="BH8" s="191"/>
      <c r="BI8" s="191"/>
      <c r="BJ8" s="191"/>
      <c r="BK8" s="191"/>
      <c r="BL8" s="215"/>
      <c r="BM8" s="191"/>
      <c r="BN8" s="191"/>
      <c r="BO8" s="191"/>
      <c r="BP8" s="191"/>
      <c r="BQ8" s="215"/>
      <c r="BR8" s="191"/>
      <c r="BS8" s="191"/>
      <c r="BT8" s="191"/>
      <c r="BU8" s="191"/>
      <c r="BV8" s="215"/>
      <c r="BW8" s="191"/>
      <c r="BX8" s="191"/>
      <c r="BY8" s="191"/>
      <c r="BZ8" s="191"/>
      <c r="CA8" s="215"/>
      <c r="CB8" s="191"/>
      <c r="CC8" s="191"/>
      <c r="CD8" s="191"/>
      <c r="CE8" s="191"/>
      <c r="CF8" s="215"/>
      <c r="CG8" s="191"/>
      <c r="CH8" s="191"/>
      <c r="CI8" s="191"/>
      <c r="CJ8" s="191"/>
      <c r="CK8" s="215"/>
      <c r="CL8" s="221">
        <v>6452</v>
      </c>
      <c r="CM8" s="221">
        <v>5329</v>
      </c>
      <c r="CN8" s="221">
        <v>5560</v>
      </c>
      <c r="CO8" s="221">
        <f t="shared" ref="CO8:CO10" si="1">CP8-SUM(CL8:CN8)</f>
        <v>18044</v>
      </c>
      <c r="CP8" s="222">
        <v>35385</v>
      </c>
      <c r="CQ8" s="221">
        <v>5967</v>
      </c>
      <c r="CR8" s="221">
        <v>6365</v>
      </c>
      <c r="CS8" s="221">
        <v>6283</v>
      </c>
      <c r="CT8" s="221">
        <f t="shared" ref="CT8:CT10" si="2">CU8-SUM(CQ8:CS8)</f>
        <v>18275</v>
      </c>
      <c r="CU8" s="222">
        <v>36890</v>
      </c>
      <c r="CV8" s="221">
        <v>7302</v>
      </c>
      <c r="CW8" s="313">
        <v>8096</v>
      </c>
      <c r="CX8" s="221">
        <v>8095</v>
      </c>
      <c r="CY8" s="313">
        <f>CZ8-SUM(CV8:CX8)</f>
        <v>9315</v>
      </c>
      <c r="CZ8" s="215">
        <v>32808</v>
      </c>
      <c r="DA8" s="313">
        <v>8407</v>
      </c>
      <c r="DB8" s="221">
        <v>9163</v>
      </c>
      <c r="DC8" s="221">
        <v>9565</v>
      </c>
      <c r="DD8" s="221">
        <f t="shared" si="0"/>
        <v>10637</v>
      </c>
      <c r="DE8" s="215">
        <v>37772</v>
      </c>
      <c r="DF8" s="221">
        <v>9239</v>
      </c>
      <c r="DG8" s="221">
        <v>6047</v>
      </c>
      <c r="DH8" s="191">
        <v>6495</v>
      </c>
      <c r="DI8" s="191">
        <v>6649</v>
      </c>
      <c r="DJ8" s="215"/>
      <c r="DK8" s="906">
        <v>6347</v>
      </c>
      <c r="DL8" s="905">
        <v>7308</v>
      </c>
      <c r="DM8" s="191"/>
      <c r="DN8" s="191"/>
      <c r="DO8" s="215"/>
      <c r="DP8" s="906"/>
      <c r="DQ8" s="191"/>
      <c r="DR8" s="191"/>
      <c r="DS8" s="191"/>
      <c r="DT8" s="215"/>
      <c r="DU8" s="215"/>
      <c r="DV8" s="215"/>
    </row>
    <row r="9" spans="1:126" s="15" customFormat="1" collapsed="1">
      <c r="B9" s="221" t="s">
        <v>535</v>
      </c>
      <c r="C9" s="16"/>
      <c r="D9" s="215"/>
      <c r="E9" s="215"/>
      <c r="F9" s="215"/>
      <c r="G9" s="215"/>
      <c r="H9" s="215"/>
      <c r="I9" s="215"/>
      <c r="J9" s="191"/>
      <c r="K9" s="191"/>
      <c r="L9" s="191"/>
      <c r="M9" s="191"/>
      <c r="N9" s="215"/>
      <c r="O9" s="191"/>
      <c r="P9" s="191"/>
      <c r="Q9" s="191"/>
      <c r="R9" s="191"/>
      <c r="S9" s="215"/>
      <c r="T9" s="191"/>
      <c r="U9" s="191"/>
      <c r="V9" s="191"/>
      <c r="W9" s="191"/>
      <c r="X9" s="215"/>
      <c r="Y9" s="191"/>
      <c r="Z9" s="191"/>
      <c r="AA9" s="191"/>
      <c r="AB9" s="191"/>
      <c r="AC9" s="215"/>
      <c r="AD9" s="191"/>
      <c r="AE9" s="191"/>
      <c r="AF9" s="191"/>
      <c r="AG9" s="191"/>
      <c r="AH9" s="215"/>
      <c r="AI9" s="191"/>
      <c r="AJ9" s="191"/>
      <c r="AK9" s="191"/>
      <c r="AL9" s="191"/>
      <c r="AM9" s="215"/>
      <c r="AN9" s="191"/>
      <c r="AO9" s="191"/>
      <c r="AP9" s="191"/>
      <c r="AQ9" s="191"/>
      <c r="AR9" s="215"/>
      <c r="AS9" s="191"/>
      <c r="AT9" s="191"/>
      <c r="AU9" s="191"/>
      <c r="AV9" s="191"/>
      <c r="AW9" s="215"/>
      <c r="AX9" s="191"/>
      <c r="AY9" s="191"/>
      <c r="AZ9" s="191"/>
      <c r="BA9" s="191"/>
      <c r="BB9" s="215"/>
      <c r="BC9" s="191"/>
      <c r="BD9" s="191"/>
      <c r="BE9" s="191"/>
      <c r="BF9" s="191"/>
      <c r="BG9" s="215"/>
      <c r="BH9" s="191"/>
      <c r="BI9" s="191"/>
      <c r="BJ9" s="191"/>
      <c r="BK9" s="191"/>
      <c r="BL9" s="215"/>
      <c r="BM9" s="191"/>
      <c r="BN9" s="191"/>
      <c r="BO9" s="191"/>
      <c r="BP9" s="191"/>
      <c r="BQ9" s="215"/>
      <c r="BR9" s="191"/>
      <c r="BS9" s="191"/>
      <c r="BT9" s="191"/>
      <c r="BU9" s="191"/>
      <c r="BV9" s="215"/>
      <c r="BW9" s="191"/>
      <c r="BX9" s="191"/>
      <c r="BY9" s="191"/>
      <c r="BZ9" s="191"/>
      <c r="CA9" s="215"/>
      <c r="CB9" s="191"/>
      <c r="CC9" s="191"/>
      <c r="CD9" s="191"/>
      <c r="CE9" s="191"/>
      <c r="CF9" s="215"/>
      <c r="CG9" s="191"/>
      <c r="CH9" s="191"/>
      <c r="CI9" s="191"/>
      <c r="CJ9" s="191"/>
      <c r="CK9" s="215"/>
      <c r="CL9" s="221">
        <f>SUM(CL7:CL8)</f>
        <v>18791</v>
      </c>
      <c r="CM9" s="221">
        <f t="shared" ref="CM9:DF9" si="3">SUM(CM7:CM8)</f>
        <v>16049</v>
      </c>
      <c r="CN9" s="221">
        <f t="shared" si="3"/>
        <v>17866</v>
      </c>
      <c r="CO9" s="221">
        <f t="shared" si="3"/>
        <v>20263</v>
      </c>
      <c r="CP9" s="222">
        <f t="shared" si="3"/>
        <v>72969</v>
      </c>
      <c r="CQ9" s="221">
        <f t="shared" si="3"/>
        <v>16316</v>
      </c>
      <c r="CR9" s="221">
        <f t="shared" si="3"/>
        <v>17470</v>
      </c>
      <c r="CS9" s="221">
        <f t="shared" si="3"/>
        <v>17813</v>
      </c>
      <c r="CT9" s="221">
        <f t="shared" si="3"/>
        <v>19491</v>
      </c>
      <c r="CU9" s="222">
        <f t="shared" si="3"/>
        <v>71090</v>
      </c>
      <c r="CV9" s="191">
        <f t="shared" si="3"/>
        <v>11910</v>
      </c>
      <c r="CW9" s="191">
        <f t="shared" si="3"/>
        <v>13362</v>
      </c>
      <c r="CX9" s="191">
        <f t="shared" si="3"/>
        <v>13826</v>
      </c>
      <c r="CY9" s="191">
        <f t="shared" si="3"/>
        <v>16044</v>
      </c>
      <c r="CZ9" s="215">
        <f t="shared" si="3"/>
        <v>55142</v>
      </c>
      <c r="DA9" s="191">
        <f t="shared" si="3"/>
        <v>13694</v>
      </c>
      <c r="DB9" s="191">
        <f t="shared" si="3"/>
        <v>15851</v>
      </c>
      <c r="DC9" s="191">
        <f t="shared" si="3"/>
        <v>16504</v>
      </c>
      <c r="DD9" s="191">
        <f t="shared" si="3"/>
        <v>18516</v>
      </c>
      <c r="DE9" s="215">
        <f t="shared" si="3"/>
        <v>64565</v>
      </c>
      <c r="DF9" s="191">
        <f t="shared" si="3"/>
        <v>15174</v>
      </c>
      <c r="DG9" s="191">
        <f t="shared" ref="DG9:DI9" si="4">SUM(DG7:DG8)</f>
        <v>8222</v>
      </c>
      <c r="DH9" s="191">
        <f t="shared" si="4"/>
        <v>8943</v>
      </c>
      <c r="DI9" s="191">
        <f t="shared" si="4"/>
        <v>9879</v>
      </c>
      <c r="DJ9" s="215"/>
      <c r="DK9" s="191">
        <f t="shared" ref="DK9:DL9" si="5">SUM(DK7:DK8)</f>
        <v>9000</v>
      </c>
      <c r="DL9" s="191">
        <f t="shared" si="5"/>
        <v>10150</v>
      </c>
      <c r="DM9" s="191"/>
      <c r="DN9" s="191"/>
      <c r="DO9" s="215"/>
      <c r="DP9" s="191"/>
      <c r="DQ9" s="191"/>
      <c r="DR9" s="191"/>
      <c r="DS9" s="191"/>
      <c r="DT9" s="215"/>
      <c r="DU9" s="215"/>
      <c r="DV9" s="215"/>
    </row>
    <row r="10" spans="1:126" s="15" customFormat="1">
      <c r="B10" s="221" t="s">
        <v>638</v>
      </c>
      <c r="C10" s="16"/>
      <c r="D10" s="215"/>
      <c r="E10" s="215"/>
      <c r="F10" s="215"/>
      <c r="G10" s="215"/>
      <c r="H10" s="215"/>
      <c r="I10" s="215"/>
      <c r="J10" s="191"/>
      <c r="K10" s="191"/>
      <c r="L10" s="191"/>
      <c r="M10" s="191"/>
      <c r="N10" s="215"/>
      <c r="O10" s="191"/>
      <c r="P10" s="191"/>
      <c r="Q10" s="191"/>
      <c r="R10" s="191"/>
      <c r="S10" s="215"/>
      <c r="T10" s="191"/>
      <c r="U10" s="191"/>
      <c r="V10" s="191"/>
      <c r="W10" s="191"/>
      <c r="X10" s="215"/>
      <c r="Y10" s="191"/>
      <c r="Z10" s="191"/>
      <c r="AA10" s="191"/>
      <c r="AB10" s="191"/>
      <c r="AC10" s="215"/>
      <c r="AD10" s="191"/>
      <c r="AE10" s="191"/>
      <c r="AF10" s="191"/>
      <c r="AG10" s="191"/>
      <c r="AH10" s="215"/>
      <c r="AI10" s="191"/>
      <c r="AJ10" s="191"/>
      <c r="AK10" s="191"/>
      <c r="AL10" s="191"/>
      <c r="AM10" s="215"/>
      <c r="AN10" s="191"/>
      <c r="AO10" s="191"/>
      <c r="AP10" s="191"/>
      <c r="AQ10" s="191"/>
      <c r="AR10" s="215"/>
      <c r="AS10" s="191"/>
      <c r="AT10" s="191"/>
      <c r="AU10" s="191"/>
      <c r="AV10" s="191"/>
      <c r="AW10" s="215"/>
      <c r="AX10" s="191"/>
      <c r="AY10" s="191"/>
      <c r="AZ10" s="191"/>
      <c r="BA10" s="191"/>
      <c r="BB10" s="215"/>
      <c r="BC10" s="191"/>
      <c r="BD10" s="191"/>
      <c r="BE10" s="191"/>
      <c r="BF10" s="191"/>
      <c r="BG10" s="215"/>
      <c r="BH10" s="191"/>
      <c r="BI10" s="191"/>
      <c r="BJ10" s="191"/>
      <c r="BK10" s="191"/>
      <c r="BL10" s="215"/>
      <c r="BM10" s="191"/>
      <c r="BN10" s="191"/>
      <c r="BO10" s="191"/>
      <c r="BP10" s="191"/>
      <c r="BQ10" s="215"/>
      <c r="BR10" s="191"/>
      <c r="BS10" s="191"/>
      <c r="BT10" s="191"/>
      <c r="BU10" s="191"/>
      <c r="BV10" s="215"/>
      <c r="BW10" s="191"/>
      <c r="BX10" s="191"/>
      <c r="BY10" s="191"/>
      <c r="BZ10" s="191"/>
      <c r="CA10" s="215"/>
      <c r="CB10" s="191"/>
      <c r="CC10" s="191"/>
      <c r="CD10" s="191"/>
      <c r="CE10" s="191"/>
      <c r="CF10" s="215"/>
      <c r="CG10" s="191"/>
      <c r="CH10" s="191"/>
      <c r="CI10" s="191"/>
      <c r="CJ10" s="191"/>
      <c r="CK10" s="215"/>
      <c r="CL10" s="191">
        <v>699</v>
      </c>
      <c r="CM10" s="191">
        <v>756</v>
      </c>
      <c r="CN10" s="191">
        <v>663</v>
      </c>
      <c r="CO10" s="191">
        <f t="shared" si="1"/>
        <v>747</v>
      </c>
      <c r="CP10" s="215">
        <v>2865</v>
      </c>
      <c r="CQ10" s="191">
        <v>803</v>
      </c>
      <c r="CR10" s="191">
        <v>810</v>
      </c>
      <c r="CS10" s="191">
        <v>616</v>
      </c>
      <c r="CT10" s="191">
        <f t="shared" si="2"/>
        <v>877</v>
      </c>
      <c r="CU10" s="215">
        <v>3106</v>
      </c>
      <c r="CV10" s="191">
        <v>764</v>
      </c>
      <c r="CW10" s="191">
        <v>766</v>
      </c>
      <c r="CX10" s="191">
        <v>645</v>
      </c>
      <c r="CY10" s="313">
        <f>CZ10-SUM(CV10:CX10)</f>
        <v>782</v>
      </c>
      <c r="CZ10" s="215">
        <v>2957</v>
      </c>
      <c r="DA10" s="191">
        <v>791</v>
      </c>
      <c r="DB10" s="191">
        <v>847</v>
      </c>
      <c r="DC10" s="191">
        <v>842</v>
      </c>
      <c r="DD10" s="191">
        <f>DE10-SUM(DA10:DC10)</f>
        <v>909</v>
      </c>
      <c r="DE10" s="215">
        <v>3389</v>
      </c>
      <c r="DF10" s="191">
        <v>879</v>
      </c>
      <c r="DG10" s="191">
        <v>871</v>
      </c>
      <c r="DH10" s="191">
        <v>899</v>
      </c>
      <c r="DI10" s="191">
        <v>933</v>
      </c>
      <c r="DJ10" s="215"/>
      <c r="DK10" s="906">
        <v>934</v>
      </c>
      <c r="DL10" s="906">
        <f>872+1</f>
        <v>873</v>
      </c>
      <c r="DM10" s="191"/>
      <c r="DN10" s="191"/>
      <c r="DO10" s="215"/>
      <c r="DP10" s="906"/>
      <c r="DQ10" s="191"/>
      <c r="DR10" s="191"/>
      <c r="DS10" s="191"/>
      <c r="DT10" s="215"/>
      <c r="DU10" s="215"/>
      <c r="DV10" s="215"/>
    </row>
    <row r="11" spans="1:126" s="15" customFormat="1" ht="12">
      <c r="B11" s="189" t="s">
        <v>25</v>
      </c>
      <c r="C11" s="130"/>
      <c r="D11" s="130"/>
      <c r="E11" s="130"/>
      <c r="F11" s="130"/>
      <c r="G11" s="130"/>
      <c r="H11" s="130"/>
      <c r="I11" s="130"/>
      <c r="J11" s="378">
        <f t="shared" ref="J11:M11" si="6">SUM(J7:J8)</f>
        <v>0</v>
      </c>
      <c r="K11" s="378">
        <f t="shared" si="6"/>
        <v>0</v>
      </c>
      <c r="L11" s="378">
        <f t="shared" si="6"/>
        <v>0</v>
      </c>
      <c r="M11" s="378">
        <f t="shared" si="6"/>
        <v>0</v>
      </c>
      <c r="N11" s="130">
        <f>SUM(N7:N8)</f>
        <v>0</v>
      </c>
      <c r="O11" s="378">
        <f t="shared" ref="O11:R11" si="7">SUM(O7:O8)</f>
        <v>0</v>
      </c>
      <c r="P11" s="378">
        <f t="shared" si="7"/>
        <v>0</v>
      </c>
      <c r="Q11" s="378">
        <f t="shared" si="7"/>
        <v>0</v>
      </c>
      <c r="R11" s="378">
        <f t="shared" si="7"/>
        <v>0</v>
      </c>
      <c r="S11" s="130">
        <f>SUM(S7:S8)</f>
        <v>0</v>
      </c>
      <c r="T11" s="378">
        <f t="shared" ref="T11:W11" si="8">SUM(T7:T8)</f>
        <v>0</v>
      </c>
      <c r="U11" s="378">
        <f t="shared" si="8"/>
        <v>0</v>
      </c>
      <c r="V11" s="378">
        <f t="shared" si="8"/>
        <v>0</v>
      </c>
      <c r="W11" s="378">
        <f t="shared" si="8"/>
        <v>0</v>
      </c>
      <c r="X11" s="130">
        <f>SUM(X7:X8)</f>
        <v>0</v>
      </c>
      <c r="Y11" s="378">
        <f t="shared" ref="Y11:AB11" si="9">SUM(Y7:Y8)</f>
        <v>0</v>
      </c>
      <c r="Z11" s="378">
        <f t="shared" si="9"/>
        <v>0</v>
      </c>
      <c r="AA11" s="378">
        <f t="shared" si="9"/>
        <v>0</v>
      </c>
      <c r="AB11" s="378">
        <f t="shared" si="9"/>
        <v>0</v>
      </c>
      <c r="AC11" s="130">
        <f>SUM(AC7:AC8)</f>
        <v>0</v>
      </c>
      <c r="AD11" s="378">
        <f t="shared" ref="AD11:AG11" si="10">SUM(AD7:AD8)</f>
        <v>0</v>
      </c>
      <c r="AE11" s="378">
        <f t="shared" si="10"/>
        <v>0</v>
      </c>
      <c r="AF11" s="378">
        <f t="shared" si="10"/>
        <v>0</v>
      </c>
      <c r="AG11" s="378">
        <f t="shared" si="10"/>
        <v>0</v>
      </c>
      <c r="AH11" s="130">
        <f>SUM(AH7:AH8)</f>
        <v>0</v>
      </c>
      <c r="AI11" s="378">
        <f t="shared" ref="AI11:AL11" si="11">SUM(AI7:AI8)</f>
        <v>0</v>
      </c>
      <c r="AJ11" s="378">
        <f t="shared" si="11"/>
        <v>0</v>
      </c>
      <c r="AK11" s="378">
        <f t="shared" si="11"/>
        <v>0</v>
      </c>
      <c r="AL11" s="378">
        <f t="shared" si="11"/>
        <v>0</v>
      </c>
      <c r="AM11" s="130">
        <f>SUM(AM7:AM8)</f>
        <v>0</v>
      </c>
      <c r="AN11" s="378">
        <f t="shared" ref="AN11:AQ11" si="12">SUM(AN7:AN8)</f>
        <v>0</v>
      </c>
      <c r="AO11" s="378">
        <f t="shared" si="12"/>
        <v>0</v>
      </c>
      <c r="AP11" s="378">
        <f t="shared" si="12"/>
        <v>0</v>
      </c>
      <c r="AQ11" s="378">
        <f t="shared" si="12"/>
        <v>0</v>
      </c>
      <c r="AR11" s="130">
        <f>SUM(AR7:AR8)</f>
        <v>0</v>
      </c>
      <c r="AS11" s="378">
        <f t="shared" ref="AS11:AV11" si="13">SUM(AS7:AS8)</f>
        <v>0</v>
      </c>
      <c r="AT11" s="378">
        <f t="shared" si="13"/>
        <v>0</v>
      </c>
      <c r="AU11" s="378">
        <f t="shared" si="13"/>
        <v>0</v>
      </c>
      <c r="AV11" s="378">
        <f t="shared" si="13"/>
        <v>0</v>
      </c>
      <c r="AW11" s="130">
        <f>SUM(AW7:AW8)</f>
        <v>0</v>
      </c>
      <c r="AX11" s="378">
        <f t="shared" ref="AX11:BA11" si="14">SUM(AX7:AX8)</f>
        <v>0</v>
      </c>
      <c r="AY11" s="378">
        <f t="shared" si="14"/>
        <v>0</v>
      </c>
      <c r="AZ11" s="378">
        <f t="shared" si="14"/>
        <v>0</v>
      </c>
      <c r="BA11" s="378">
        <f t="shared" si="14"/>
        <v>0</v>
      </c>
      <c r="BB11" s="130">
        <f>SUM(BB7:BB8)</f>
        <v>0</v>
      </c>
      <c r="BC11" s="378">
        <f t="shared" ref="BC11:BF11" si="15">SUM(BC7:BC8)</f>
        <v>0</v>
      </c>
      <c r="BD11" s="378">
        <f t="shared" si="15"/>
        <v>0</v>
      </c>
      <c r="BE11" s="378">
        <f t="shared" si="15"/>
        <v>0</v>
      </c>
      <c r="BF11" s="378">
        <f t="shared" si="15"/>
        <v>0</v>
      </c>
      <c r="BG11" s="130">
        <f>SUM(BG7:BG8)</f>
        <v>0</v>
      </c>
      <c r="BH11" s="378">
        <f t="shared" ref="BH11:BK11" si="16">SUM(BH7:BH8)</f>
        <v>0</v>
      </c>
      <c r="BI11" s="378">
        <f t="shared" si="16"/>
        <v>0</v>
      </c>
      <c r="BJ11" s="378">
        <f t="shared" si="16"/>
        <v>0</v>
      </c>
      <c r="BK11" s="378">
        <f t="shared" si="16"/>
        <v>0</v>
      </c>
      <c r="BL11" s="130">
        <f>SUM(BL7:BL8)</f>
        <v>0</v>
      </c>
      <c r="BM11" s="378">
        <f t="shared" ref="BM11:BP11" si="17">SUM(BM7:BM8)</f>
        <v>0</v>
      </c>
      <c r="BN11" s="378">
        <f t="shared" si="17"/>
        <v>0</v>
      </c>
      <c r="BO11" s="378">
        <f t="shared" si="17"/>
        <v>0</v>
      </c>
      <c r="BP11" s="378">
        <f t="shared" si="17"/>
        <v>0</v>
      </c>
      <c r="BQ11" s="130">
        <f>SUM(BQ7:BQ8)</f>
        <v>0</v>
      </c>
      <c r="BR11" s="378">
        <f t="shared" ref="BR11:BU11" si="18">SUM(BR7:BR8)</f>
        <v>0</v>
      </c>
      <c r="BS11" s="378">
        <f t="shared" si="18"/>
        <v>0</v>
      </c>
      <c r="BT11" s="378">
        <f t="shared" si="18"/>
        <v>0</v>
      </c>
      <c r="BU11" s="378">
        <f t="shared" si="18"/>
        <v>0</v>
      </c>
      <c r="BV11" s="130">
        <f>SUM(BV7:BV8)</f>
        <v>0</v>
      </c>
      <c r="BW11" s="378">
        <f t="shared" ref="BW11:BZ11" si="19">SUM(BW7:BW8)</f>
        <v>0</v>
      </c>
      <c r="BX11" s="378">
        <f t="shared" si="19"/>
        <v>0</v>
      </c>
      <c r="BY11" s="378">
        <f t="shared" si="19"/>
        <v>0</v>
      </c>
      <c r="BZ11" s="378">
        <f t="shared" si="19"/>
        <v>0</v>
      </c>
      <c r="CA11" s="130">
        <f>SUM(CA7:CA8)</f>
        <v>0</v>
      </c>
      <c r="CB11" s="378">
        <f t="shared" ref="CB11:CE11" si="20">SUM(CB7:CB8)</f>
        <v>0</v>
      </c>
      <c r="CC11" s="378">
        <f t="shared" si="20"/>
        <v>0</v>
      </c>
      <c r="CD11" s="378">
        <f t="shared" si="20"/>
        <v>0</v>
      </c>
      <c r="CE11" s="378">
        <f t="shared" si="20"/>
        <v>0</v>
      </c>
      <c r="CF11" s="130">
        <f>SUM(CF7:CF8)</f>
        <v>0</v>
      </c>
      <c r="CG11" s="378">
        <f t="shared" ref="CG11:CJ11" si="21">SUM(CG7:CG8)</f>
        <v>0</v>
      </c>
      <c r="CH11" s="378">
        <f t="shared" si="21"/>
        <v>0</v>
      </c>
      <c r="CI11" s="378">
        <f t="shared" si="21"/>
        <v>0</v>
      </c>
      <c r="CJ11" s="378">
        <f t="shared" si="21"/>
        <v>0</v>
      </c>
      <c r="CK11" s="130">
        <f>SUM(CK7:CK8)</f>
        <v>0</v>
      </c>
      <c r="CL11" s="378">
        <f>SUM(CL9:CL10)</f>
        <v>19490</v>
      </c>
      <c r="CM11" s="378">
        <f t="shared" ref="CM11:DF11" si="22">SUM(CM9:CM10)</f>
        <v>16805</v>
      </c>
      <c r="CN11" s="378">
        <f t="shared" si="22"/>
        <v>18529</v>
      </c>
      <c r="CO11" s="378">
        <f t="shared" si="22"/>
        <v>21010</v>
      </c>
      <c r="CP11" s="130">
        <f t="shared" si="22"/>
        <v>75834</v>
      </c>
      <c r="CQ11" s="378">
        <f t="shared" si="22"/>
        <v>17119</v>
      </c>
      <c r="CR11" s="378">
        <f t="shared" si="22"/>
        <v>18280</v>
      </c>
      <c r="CS11" s="378">
        <f t="shared" si="22"/>
        <v>18429</v>
      </c>
      <c r="CT11" s="378">
        <f t="shared" si="22"/>
        <v>20368</v>
      </c>
      <c r="CU11" s="130">
        <f t="shared" si="22"/>
        <v>74196</v>
      </c>
      <c r="CV11" s="378">
        <f t="shared" si="22"/>
        <v>12674</v>
      </c>
      <c r="CW11" s="378">
        <f t="shared" si="22"/>
        <v>14128</v>
      </c>
      <c r="CX11" s="378">
        <f t="shared" si="22"/>
        <v>14471</v>
      </c>
      <c r="CY11" s="378">
        <f t="shared" si="22"/>
        <v>16826</v>
      </c>
      <c r="CZ11" s="130">
        <f t="shared" si="22"/>
        <v>58099</v>
      </c>
      <c r="DA11" s="378">
        <f t="shared" si="22"/>
        <v>14485</v>
      </c>
      <c r="DB11" s="378">
        <f t="shared" si="22"/>
        <v>16698</v>
      </c>
      <c r="DC11" s="378">
        <f t="shared" si="22"/>
        <v>17346</v>
      </c>
      <c r="DD11" s="378">
        <f t="shared" si="22"/>
        <v>19425</v>
      </c>
      <c r="DE11" s="130">
        <f t="shared" si="22"/>
        <v>67954</v>
      </c>
      <c r="DF11" s="378">
        <f t="shared" si="22"/>
        <v>16053</v>
      </c>
      <c r="DG11" s="378">
        <f t="shared" ref="DG11:DI11" si="23">SUM(DG9:DG10)</f>
        <v>9093</v>
      </c>
      <c r="DH11" s="378">
        <f t="shared" si="23"/>
        <v>9842</v>
      </c>
      <c r="DI11" s="378">
        <f t="shared" si="23"/>
        <v>10812</v>
      </c>
      <c r="DJ11" s="130"/>
      <c r="DK11" s="378">
        <f t="shared" ref="DK11:DL11" si="24">SUM(DK9:DK10)</f>
        <v>9934</v>
      </c>
      <c r="DL11" s="378">
        <f t="shared" si="24"/>
        <v>11023</v>
      </c>
      <c r="DM11" s="378"/>
      <c r="DN11" s="378"/>
      <c r="DO11" s="130"/>
      <c r="DP11" s="378"/>
      <c r="DQ11" s="378"/>
      <c r="DR11" s="378"/>
      <c r="DS11" s="378"/>
      <c r="DT11" s="130"/>
      <c r="DU11" s="130"/>
      <c r="DV11" s="130"/>
    </row>
    <row r="12" spans="1:126" s="15" customFormat="1">
      <c r="B12" s="221" t="s">
        <v>468</v>
      </c>
      <c r="C12" s="16"/>
      <c r="D12" s="16"/>
      <c r="E12" s="16"/>
      <c r="F12" s="16"/>
      <c r="G12" s="16"/>
      <c r="H12" s="16"/>
      <c r="I12" s="16"/>
      <c r="J12" s="358"/>
      <c r="K12" s="358"/>
      <c r="L12" s="358"/>
      <c r="M12" s="358"/>
      <c r="N12" s="16"/>
      <c r="O12" s="358"/>
      <c r="P12" s="358"/>
      <c r="Q12" s="358"/>
      <c r="R12" s="358"/>
      <c r="S12" s="16"/>
      <c r="T12" s="358"/>
      <c r="U12" s="358"/>
      <c r="V12" s="358"/>
      <c r="W12" s="358"/>
      <c r="X12" s="16"/>
      <c r="Y12" s="358"/>
      <c r="Z12" s="358"/>
      <c r="AA12" s="358"/>
      <c r="AB12" s="358"/>
      <c r="AC12" s="16"/>
      <c r="AD12" s="358"/>
      <c r="AE12" s="358"/>
      <c r="AF12" s="358"/>
      <c r="AG12" s="358"/>
      <c r="AH12" s="16"/>
      <c r="AI12" s="358"/>
      <c r="AJ12" s="358"/>
      <c r="AK12" s="358"/>
      <c r="AL12" s="358"/>
      <c r="AM12" s="16"/>
      <c r="AN12" s="358"/>
      <c r="AO12" s="358"/>
      <c r="AP12" s="358"/>
      <c r="AQ12" s="358"/>
      <c r="AR12" s="16"/>
      <c r="AS12" s="358"/>
      <c r="AT12" s="358"/>
      <c r="AU12" s="358"/>
      <c r="AV12" s="358"/>
      <c r="AW12" s="16"/>
      <c r="AX12" s="358"/>
      <c r="AY12" s="358"/>
      <c r="AZ12" s="358"/>
      <c r="BA12" s="358"/>
      <c r="BB12" s="16"/>
      <c r="BC12" s="358"/>
      <c r="BD12" s="358"/>
      <c r="BE12" s="358"/>
      <c r="BF12" s="358"/>
      <c r="BG12" s="16"/>
      <c r="BH12" s="358"/>
      <c r="BI12" s="358"/>
      <c r="BJ12" s="358"/>
      <c r="BK12" s="358"/>
      <c r="BL12" s="16"/>
      <c r="BM12" s="358"/>
      <c r="BN12" s="358"/>
      <c r="BO12" s="358"/>
      <c r="BP12" s="358"/>
      <c r="BQ12" s="16"/>
      <c r="BR12" s="358"/>
      <c r="BS12" s="358"/>
      <c r="BT12" s="358"/>
      <c r="BU12" s="358"/>
      <c r="BV12" s="16"/>
      <c r="BW12" s="358"/>
      <c r="BX12" s="358"/>
      <c r="BY12" s="358"/>
      <c r="BZ12" s="358"/>
      <c r="CA12" s="16"/>
      <c r="CB12" s="358"/>
      <c r="CC12" s="358"/>
      <c r="CD12" s="358"/>
      <c r="CE12" s="358"/>
      <c r="CF12" s="16"/>
      <c r="CG12" s="358"/>
      <c r="CH12" s="358"/>
      <c r="CI12" s="358"/>
      <c r="CJ12" s="358"/>
      <c r="CK12" s="16"/>
      <c r="CL12" s="358">
        <v>-9930</v>
      </c>
      <c r="CM12" s="358">
        <v>-9787</v>
      </c>
      <c r="CN12" s="358">
        <v>-10555</v>
      </c>
      <c r="CO12" s="358">
        <f t="shared" ref="CO12:CO13" si="25">CP12-SUM(CL12:CN12)</f>
        <v>-4970</v>
      </c>
      <c r="CP12" s="16">
        <v>-35242</v>
      </c>
      <c r="CQ12" s="358">
        <v>-8679</v>
      </c>
      <c r="CR12" s="358">
        <v>-9086</v>
      </c>
      <c r="CS12" s="358">
        <v>-9127</v>
      </c>
      <c r="CT12" s="358">
        <f t="shared" ref="CT12:CT13" si="26">CU12-SUM(CQ12:CS12)</f>
        <v>-4507</v>
      </c>
      <c r="CU12" s="16">
        <v>-31399</v>
      </c>
      <c r="CV12" s="358">
        <v>-5148</v>
      </c>
      <c r="CW12" s="358">
        <v>-5529</v>
      </c>
      <c r="CX12" s="358">
        <v>-6488</v>
      </c>
      <c r="CY12" s="313">
        <f t="shared" ref="CY12:CY13" si="27">CZ12-SUM(CV12:CX12)</f>
        <v>-6578</v>
      </c>
      <c r="CZ12" s="16">
        <v>-23743</v>
      </c>
      <c r="DA12" s="358">
        <v>-5605</v>
      </c>
      <c r="DB12" s="358">
        <v>-6940</v>
      </c>
      <c r="DC12" s="358">
        <v>-7065</v>
      </c>
      <c r="DD12" s="358">
        <f t="shared" ref="DD12:DD13" si="28">DE12-SUM(DA12:DC12)</f>
        <v>-8073</v>
      </c>
      <c r="DE12" s="16">
        <v>-27683</v>
      </c>
      <c r="DF12" s="358">
        <v>-6024</v>
      </c>
      <c r="DG12" s="358">
        <v>-2302</v>
      </c>
      <c r="DH12" s="358">
        <v>-2625</v>
      </c>
      <c r="DI12" s="358">
        <v>-2950</v>
      </c>
      <c r="DJ12" s="16"/>
      <c r="DK12" s="1079">
        <v>-2335</v>
      </c>
      <c r="DL12" s="1079">
        <v>-2754</v>
      </c>
      <c r="DM12" s="358"/>
      <c r="DN12" s="358"/>
      <c r="DO12" s="16"/>
      <c r="DP12" s="1079"/>
      <c r="DQ12" s="358"/>
      <c r="DR12" s="358"/>
      <c r="DS12" s="358"/>
      <c r="DT12" s="16"/>
      <c r="DU12" s="16"/>
      <c r="DV12" s="16"/>
    </row>
    <row r="13" spans="1:126" s="15" customFormat="1">
      <c r="B13" s="221" t="s">
        <v>469</v>
      </c>
      <c r="C13" s="16"/>
      <c r="D13" s="16"/>
      <c r="E13" s="16"/>
      <c r="F13" s="16"/>
      <c r="G13" s="16"/>
      <c r="H13" s="16"/>
      <c r="I13" s="16"/>
      <c r="J13" s="317"/>
      <c r="K13" s="317"/>
      <c r="L13" s="317"/>
      <c r="M13" s="317"/>
      <c r="N13" s="16"/>
      <c r="O13" s="317"/>
      <c r="P13" s="317"/>
      <c r="Q13" s="317"/>
      <c r="R13" s="317"/>
      <c r="S13" s="16"/>
      <c r="T13" s="317"/>
      <c r="U13" s="317"/>
      <c r="V13" s="317"/>
      <c r="W13" s="317"/>
      <c r="X13" s="16"/>
      <c r="Y13" s="317"/>
      <c r="Z13" s="317"/>
      <c r="AA13" s="317"/>
      <c r="AB13" s="317"/>
      <c r="AC13" s="16"/>
      <c r="AD13" s="317"/>
      <c r="AE13" s="317"/>
      <c r="AF13" s="317"/>
      <c r="AG13" s="317"/>
      <c r="AH13" s="16"/>
      <c r="AI13" s="317"/>
      <c r="AJ13" s="317"/>
      <c r="AK13" s="317"/>
      <c r="AL13" s="317"/>
      <c r="AM13" s="16"/>
      <c r="AN13" s="317"/>
      <c r="AO13" s="317"/>
      <c r="AP13" s="317"/>
      <c r="AQ13" s="317"/>
      <c r="AR13" s="16"/>
      <c r="AS13" s="317"/>
      <c r="AT13" s="317"/>
      <c r="AU13" s="317"/>
      <c r="AV13" s="317"/>
      <c r="AW13" s="16"/>
      <c r="AX13" s="317"/>
      <c r="AY13" s="317"/>
      <c r="AZ13" s="317"/>
      <c r="BA13" s="317"/>
      <c r="BB13" s="16"/>
      <c r="BC13" s="317"/>
      <c r="BD13" s="317"/>
      <c r="BE13" s="317"/>
      <c r="BF13" s="317"/>
      <c r="BG13" s="16"/>
      <c r="BH13" s="317"/>
      <c r="BI13" s="317"/>
      <c r="BJ13" s="317"/>
      <c r="BK13" s="317"/>
      <c r="BL13" s="16"/>
      <c r="BM13" s="317"/>
      <c r="BN13" s="317"/>
      <c r="BO13" s="317"/>
      <c r="BP13" s="317"/>
      <c r="BQ13" s="16"/>
      <c r="BR13" s="317"/>
      <c r="BS13" s="317"/>
      <c r="BT13" s="317"/>
      <c r="BU13" s="317"/>
      <c r="BV13" s="16"/>
      <c r="BW13" s="317"/>
      <c r="BX13" s="317"/>
      <c r="BY13" s="317"/>
      <c r="BZ13" s="317"/>
      <c r="CA13" s="16"/>
      <c r="CB13" s="317"/>
      <c r="CC13" s="317"/>
      <c r="CD13" s="317"/>
      <c r="CE13" s="317"/>
      <c r="CF13" s="16"/>
      <c r="CG13" s="317"/>
      <c r="CH13" s="317"/>
      <c r="CI13" s="317"/>
      <c r="CJ13" s="317"/>
      <c r="CK13" s="16"/>
      <c r="CL13" s="317">
        <v>-4497</v>
      </c>
      <c r="CM13" s="317">
        <v>-3846</v>
      </c>
      <c r="CN13" s="317">
        <v>-3486</v>
      </c>
      <c r="CO13" s="317">
        <f t="shared" si="25"/>
        <v>-10800</v>
      </c>
      <c r="CP13" s="16">
        <v>-22629</v>
      </c>
      <c r="CQ13" s="317">
        <v>-3859</v>
      </c>
      <c r="CR13" s="317">
        <v>-4532</v>
      </c>
      <c r="CS13" s="317">
        <v>-4275</v>
      </c>
      <c r="CT13" s="317">
        <f t="shared" si="26"/>
        <v>-9831</v>
      </c>
      <c r="CU13" s="16">
        <v>-22497</v>
      </c>
      <c r="CV13" s="317">
        <v>-4626</v>
      </c>
      <c r="CW13" s="317">
        <v>-4996</v>
      </c>
      <c r="CX13" s="317">
        <v>-5046</v>
      </c>
      <c r="CY13" s="313">
        <f t="shared" si="27"/>
        <v>-5861</v>
      </c>
      <c r="CZ13" s="16">
        <v>-20529</v>
      </c>
      <c r="DA13" s="317">
        <v>-5124</v>
      </c>
      <c r="DB13" s="317">
        <v>-5422</v>
      </c>
      <c r="DC13" s="317">
        <v>-5839</v>
      </c>
      <c r="DD13" s="317">
        <f t="shared" si="28"/>
        <v>-6324</v>
      </c>
      <c r="DE13" s="16">
        <v>-22709</v>
      </c>
      <c r="DF13" s="317">
        <v>-5596</v>
      </c>
      <c r="DG13" s="317">
        <v>-3273</v>
      </c>
      <c r="DH13" s="317">
        <v>-3601</v>
      </c>
      <c r="DI13" s="317">
        <v>-3811</v>
      </c>
      <c r="DJ13" s="16"/>
      <c r="DK13" s="1080">
        <v>-3660</v>
      </c>
      <c r="DL13" s="1080">
        <v>-4092</v>
      </c>
      <c r="DM13" s="317"/>
      <c r="DN13" s="317"/>
      <c r="DO13" s="16"/>
      <c r="DP13" s="1080"/>
      <c r="DQ13" s="317"/>
      <c r="DR13" s="317"/>
      <c r="DS13" s="317"/>
      <c r="DT13" s="16"/>
      <c r="DU13" s="16"/>
      <c r="DV13" s="16"/>
    </row>
    <row r="14" spans="1:126" s="15" customFormat="1" hidden="1" outlineLevel="1">
      <c r="B14" s="15" t="s">
        <v>26</v>
      </c>
      <c r="C14" s="215"/>
      <c r="D14" s="215"/>
      <c r="E14" s="215"/>
      <c r="F14" s="215"/>
      <c r="G14" s="215"/>
      <c r="H14" s="215"/>
      <c r="I14" s="215"/>
      <c r="J14" s="317"/>
      <c r="K14" s="310"/>
      <c r="L14" s="310"/>
      <c r="M14" s="317"/>
      <c r="N14" s="215"/>
      <c r="O14" s="317"/>
      <c r="P14" s="310"/>
      <c r="Q14" s="310"/>
      <c r="R14" s="317"/>
      <c r="S14" s="215"/>
      <c r="T14" s="317"/>
      <c r="U14" s="310"/>
      <c r="V14" s="310"/>
      <c r="W14" s="317"/>
      <c r="X14" s="215"/>
      <c r="Y14" s="317"/>
      <c r="Z14" s="310"/>
      <c r="AA14" s="310"/>
      <c r="AB14" s="317"/>
      <c r="AC14" s="215"/>
      <c r="AD14" s="317"/>
      <c r="AE14" s="310"/>
      <c r="AF14" s="310"/>
      <c r="AG14" s="317"/>
      <c r="AH14" s="215"/>
      <c r="AI14" s="317"/>
      <c r="AJ14" s="310"/>
      <c r="AK14" s="310"/>
      <c r="AL14" s="317"/>
      <c r="AM14" s="215"/>
      <c r="AN14" s="317"/>
      <c r="AO14" s="310"/>
      <c r="AP14" s="310"/>
      <c r="AQ14" s="317"/>
      <c r="AR14" s="215"/>
      <c r="AS14" s="317"/>
      <c r="AT14" s="310"/>
      <c r="AU14" s="310"/>
      <c r="AV14" s="317"/>
      <c r="AW14" s="215"/>
      <c r="AX14" s="317"/>
      <c r="AY14" s="310"/>
      <c r="AZ14" s="310"/>
      <c r="BA14" s="317"/>
      <c r="BB14" s="215"/>
      <c r="BC14" s="317"/>
      <c r="BD14" s="310"/>
      <c r="BE14" s="310"/>
      <c r="BF14" s="317"/>
      <c r="BG14" s="215"/>
      <c r="BH14" s="317"/>
      <c r="BI14" s="310"/>
      <c r="BJ14" s="310"/>
      <c r="BK14" s="317"/>
      <c r="BL14" s="215"/>
      <c r="BM14" s="317"/>
      <c r="BN14" s="310"/>
      <c r="BO14" s="310"/>
      <c r="BP14" s="317"/>
      <c r="BQ14" s="215"/>
      <c r="BR14" s="317"/>
      <c r="BS14" s="310"/>
      <c r="BT14" s="310"/>
      <c r="BU14" s="317"/>
      <c r="BV14" s="215"/>
      <c r="BW14" s="317"/>
      <c r="BX14" s="310"/>
      <c r="BY14" s="310"/>
      <c r="BZ14" s="317"/>
      <c r="CA14" s="215"/>
      <c r="CB14" s="317"/>
      <c r="CC14" s="310"/>
      <c r="CD14" s="310"/>
      <c r="CE14" s="317"/>
      <c r="CF14" s="215"/>
      <c r="CG14" s="317"/>
      <c r="CH14" s="310"/>
      <c r="CI14" s="310"/>
      <c r="CJ14" s="317"/>
      <c r="CK14" s="215"/>
      <c r="CL14" s="317"/>
      <c r="CM14" s="310"/>
      <c r="CN14" s="310"/>
      <c r="CO14" s="317"/>
      <c r="CP14" s="215"/>
      <c r="CQ14" s="317"/>
      <c r="CR14" s="310"/>
      <c r="CS14" s="310"/>
      <c r="CT14" s="317"/>
      <c r="CU14" s="215"/>
      <c r="CV14" s="317"/>
      <c r="CW14" s="310"/>
      <c r="CX14" s="310"/>
      <c r="CY14" s="317"/>
      <c r="CZ14" s="215"/>
      <c r="DA14" s="310"/>
      <c r="DB14" s="310"/>
      <c r="DC14" s="310"/>
      <c r="DD14" s="310"/>
      <c r="DE14" s="215"/>
      <c r="DF14" s="310"/>
      <c r="DG14" s="310"/>
      <c r="DH14" s="310"/>
      <c r="DI14" s="310"/>
      <c r="DJ14" s="215"/>
      <c r="DK14" s="310"/>
      <c r="DL14" s="310"/>
      <c r="DM14" s="310"/>
      <c r="DN14" s="310"/>
      <c r="DO14" s="215"/>
      <c r="DP14" s="310"/>
      <c r="DQ14" s="310"/>
      <c r="DR14" s="310"/>
      <c r="DS14" s="310"/>
      <c r="DT14" s="215"/>
      <c r="DU14" s="215"/>
      <c r="DV14" s="215"/>
    </row>
    <row r="15" spans="1:126" s="15" customFormat="1" ht="12" customHeight="1" collapsed="1">
      <c r="B15" s="15" t="s">
        <v>27</v>
      </c>
      <c r="C15" s="215">
        <f t="shared" ref="C15:AH15" si="29">SUM(C12:C13)</f>
        <v>0</v>
      </c>
      <c r="D15" s="215">
        <f t="shared" si="29"/>
        <v>0</v>
      </c>
      <c r="E15" s="215">
        <f t="shared" si="29"/>
        <v>0</v>
      </c>
      <c r="F15" s="215">
        <f t="shared" si="29"/>
        <v>0</v>
      </c>
      <c r="G15" s="215">
        <f t="shared" si="29"/>
        <v>0</v>
      </c>
      <c r="H15" s="215">
        <f t="shared" si="29"/>
        <v>0</v>
      </c>
      <c r="I15" s="215">
        <f t="shared" si="29"/>
        <v>0</v>
      </c>
      <c r="J15" s="310">
        <f t="shared" si="29"/>
        <v>0</v>
      </c>
      <c r="K15" s="384">
        <f t="shared" si="29"/>
        <v>0</v>
      </c>
      <c r="L15" s="310">
        <f t="shared" si="29"/>
        <v>0</v>
      </c>
      <c r="M15" s="310">
        <f t="shared" si="29"/>
        <v>0</v>
      </c>
      <c r="N15" s="215">
        <f t="shared" si="29"/>
        <v>0</v>
      </c>
      <c r="O15" s="310">
        <f t="shared" si="29"/>
        <v>0</v>
      </c>
      <c r="P15" s="384">
        <f t="shared" si="29"/>
        <v>0</v>
      </c>
      <c r="Q15" s="310">
        <f t="shared" si="29"/>
        <v>0</v>
      </c>
      <c r="R15" s="310">
        <f t="shared" si="29"/>
        <v>0</v>
      </c>
      <c r="S15" s="215">
        <f t="shared" si="29"/>
        <v>0</v>
      </c>
      <c r="T15" s="310">
        <f t="shared" si="29"/>
        <v>0</v>
      </c>
      <c r="U15" s="384">
        <f t="shared" si="29"/>
        <v>0</v>
      </c>
      <c r="V15" s="310">
        <f t="shared" si="29"/>
        <v>0</v>
      </c>
      <c r="W15" s="310">
        <f t="shared" si="29"/>
        <v>0</v>
      </c>
      <c r="X15" s="215">
        <f t="shared" si="29"/>
        <v>0</v>
      </c>
      <c r="Y15" s="310">
        <f t="shared" si="29"/>
        <v>0</v>
      </c>
      <c r="Z15" s="384">
        <f t="shared" si="29"/>
        <v>0</v>
      </c>
      <c r="AA15" s="310">
        <f t="shared" si="29"/>
        <v>0</v>
      </c>
      <c r="AB15" s="310">
        <f t="shared" si="29"/>
        <v>0</v>
      </c>
      <c r="AC15" s="215">
        <f t="shared" si="29"/>
        <v>0</v>
      </c>
      <c r="AD15" s="310">
        <f t="shared" si="29"/>
        <v>0</v>
      </c>
      <c r="AE15" s="384">
        <f t="shared" si="29"/>
        <v>0</v>
      </c>
      <c r="AF15" s="310">
        <f t="shared" si="29"/>
        <v>0</v>
      </c>
      <c r="AG15" s="310">
        <f t="shared" si="29"/>
        <v>0</v>
      </c>
      <c r="AH15" s="215">
        <f t="shared" si="29"/>
        <v>0</v>
      </c>
      <c r="AI15" s="310">
        <f t="shared" ref="AI15:BN15" si="30">SUM(AI12:AI13)</f>
        <v>0</v>
      </c>
      <c r="AJ15" s="384">
        <f t="shared" si="30"/>
        <v>0</v>
      </c>
      <c r="AK15" s="310">
        <f t="shared" si="30"/>
        <v>0</v>
      </c>
      <c r="AL15" s="310">
        <f t="shared" si="30"/>
        <v>0</v>
      </c>
      <c r="AM15" s="215">
        <f t="shared" si="30"/>
        <v>0</v>
      </c>
      <c r="AN15" s="310">
        <f t="shared" si="30"/>
        <v>0</v>
      </c>
      <c r="AO15" s="384">
        <f t="shared" si="30"/>
        <v>0</v>
      </c>
      <c r="AP15" s="310">
        <f t="shared" si="30"/>
        <v>0</v>
      </c>
      <c r="AQ15" s="310">
        <f t="shared" si="30"/>
        <v>0</v>
      </c>
      <c r="AR15" s="215">
        <f t="shared" si="30"/>
        <v>0</v>
      </c>
      <c r="AS15" s="310">
        <f t="shared" si="30"/>
        <v>0</v>
      </c>
      <c r="AT15" s="384">
        <f t="shared" si="30"/>
        <v>0</v>
      </c>
      <c r="AU15" s="310">
        <f t="shared" si="30"/>
        <v>0</v>
      </c>
      <c r="AV15" s="310">
        <f t="shared" si="30"/>
        <v>0</v>
      </c>
      <c r="AW15" s="215">
        <f t="shared" si="30"/>
        <v>0</v>
      </c>
      <c r="AX15" s="310">
        <f t="shared" si="30"/>
        <v>0</v>
      </c>
      <c r="AY15" s="384">
        <f t="shared" si="30"/>
        <v>0</v>
      </c>
      <c r="AZ15" s="310">
        <f t="shared" si="30"/>
        <v>0</v>
      </c>
      <c r="BA15" s="310">
        <f t="shared" si="30"/>
        <v>0</v>
      </c>
      <c r="BB15" s="215">
        <f t="shared" si="30"/>
        <v>0</v>
      </c>
      <c r="BC15" s="310">
        <f t="shared" si="30"/>
        <v>0</v>
      </c>
      <c r="BD15" s="384">
        <f t="shared" si="30"/>
        <v>0</v>
      </c>
      <c r="BE15" s="310">
        <f t="shared" si="30"/>
        <v>0</v>
      </c>
      <c r="BF15" s="310">
        <f t="shared" si="30"/>
        <v>0</v>
      </c>
      <c r="BG15" s="215">
        <f t="shared" si="30"/>
        <v>0</v>
      </c>
      <c r="BH15" s="310">
        <f t="shared" si="30"/>
        <v>0</v>
      </c>
      <c r="BI15" s="384">
        <f t="shared" si="30"/>
        <v>0</v>
      </c>
      <c r="BJ15" s="310">
        <f t="shared" si="30"/>
        <v>0</v>
      </c>
      <c r="BK15" s="310">
        <f t="shared" si="30"/>
        <v>0</v>
      </c>
      <c r="BL15" s="215">
        <f t="shared" si="30"/>
        <v>0</v>
      </c>
      <c r="BM15" s="310">
        <f t="shared" si="30"/>
        <v>0</v>
      </c>
      <c r="BN15" s="384">
        <f t="shared" si="30"/>
        <v>0</v>
      </c>
      <c r="BO15" s="310">
        <f t="shared" ref="BO15:CK15" si="31">SUM(BO12:BO13)</f>
        <v>0</v>
      </c>
      <c r="BP15" s="310">
        <f t="shared" si="31"/>
        <v>0</v>
      </c>
      <c r="BQ15" s="215">
        <f t="shared" si="31"/>
        <v>0</v>
      </c>
      <c r="BR15" s="310">
        <f t="shared" si="31"/>
        <v>0</v>
      </c>
      <c r="BS15" s="384">
        <f t="shared" si="31"/>
        <v>0</v>
      </c>
      <c r="BT15" s="310">
        <f t="shared" si="31"/>
        <v>0</v>
      </c>
      <c r="BU15" s="310">
        <f t="shared" si="31"/>
        <v>0</v>
      </c>
      <c r="BV15" s="215">
        <f t="shared" si="31"/>
        <v>0</v>
      </c>
      <c r="BW15" s="310">
        <f t="shared" si="31"/>
        <v>0</v>
      </c>
      <c r="BX15" s="384">
        <f t="shared" si="31"/>
        <v>0</v>
      </c>
      <c r="BY15" s="310">
        <f t="shared" si="31"/>
        <v>0</v>
      </c>
      <c r="BZ15" s="310">
        <f t="shared" si="31"/>
        <v>0</v>
      </c>
      <c r="CA15" s="215">
        <f t="shared" si="31"/>
        <v>0</v>
      </c>
      <c r="CB15" s="310">
        <f t="shared" si="31"/>
        <v>0</v>
      </c>
      <c r="CC15" s="384">
        <f t="shared" si="31"/>
        <v>0</v>
      </c>
      <c r="CD15" s="310">
        <f t="shared" si="31"/>
        <v>0</v>
      </c>
      <c r="CE15" s="310">
        <f t="shared" si="31"/>
        <v>0</v>
      </c>
      <c r="CF15" s="215">
        <f t="shared" si="31"/>
        <v>0</v>
      </c>
      <c r="CG15" s="310">
        <f t="shared" si="31"/>
        <v>0</v>
      </c>
      <c r="CH15" s="384">
        <f t="shared" si="31"/>
        <v>0</v>
      </c>
      <c r="CI15" s="310">
        <f t="shared" si="31"/>
        <v>0</v>
      </c>
      <c r="CJ15" s="310">
        <f t="shared" si="31"/>
        <v>0</v>
      </c>
      <c r="CK15" s="215">
        <f t="shared" si="31"/>
        <v>0</v>
      </c>
      <c r="CL15" s="310">
        <f t="shared" ref="CL15:DE15" si="32">SUM(CL12:CL13)</f>
        <v>-14427</v>
      </c>
      <c r="CM15" s="384">
        <f t="shared" si="32"/>
        <v>-13633</v>
      </c>
      <c r="CN15" s="310">
        <f t="shared" si="32"/>
        <v>-14041</v>
      </c>
      <c r="CO15" s="310">
        <f t="shared" ref="CO15" si="33">SUM(CO12:CO13)</f>
        <v>-15770</v>
      </c>
      <c r="CP15" s="215">
        <f t="shared" si="32"/>
        <v>-57871</v>
      </c>
      <c r="CQ15" s="844">
        <f t="shared" si="32"/>
        <v>-12538</v>
      </c>
      <c r="CR15" s="384">
        <f t="shared" si="32"/>
        <v>-13618</v>
      </c>
      <c r="CS15" s="310">
        <f t="shared" si="32"/>
        <v>-13402</v>
      </c>
      <c r="CT15" s="310">
        <f t="shared" si="32"/>
        <v>-14338</v>
      </c>
      <c r="CU15" s="215">
        <f t="shared" si="32"/>
        <v>-53896</v>
      </c>
      <c r="CV15" s="310">
        <f t="shared" si="32"/>
        <v>-9774</v>
      </c>
      <c r="CW15" s="384">
        <f t="shared" si="32"/>
        <v>-10525</v>
      </c>
      <c r="CX15" s="310">
        <f t="shared" si="32"/>
        <v>-11534</v>
      </c>
      <c r="CY15" s="310">
        <f t="shared" si="32"/>
        <v>-12439</v>
      </c>
      <c r="CZ15" s="215">
        <f t="shared" si="32"/>
        <v>-44272</v>
      </c>
      <c r="DA15" s="384">
        <f t="shared" si="32"/>
        <v>-10729</v>
      </c>
      <c r="DB15" s="384">
        <f t="shared" si="32"/>
        <v>-12362</v>
      </c>
      <c r="DC15" s="384">
        <f t="shared" si="32"/>
        <v>-12904</v>
      </c>
      <c r="DD15" s="384">
        <f t="shared" si="32"/>
        <v>-14397</v>
      </c>
      <c r="DE15" s="215">
        <f t="shared" si="32"/>
        <v>-50392</v>
      </c>
      <c r="DF15" s="384">
        <f>SUM(DF12:DF13)</f>
        <v>-11620</v>
      </c>
      <c r="DG15" s="384">
        <f t="shared" ref="DG15:DI15" si="34">SUM(DG12:DG13)</f>
        <v>-5575</v>
      </c>
      <c r="DH15" s="384">
        <f t="shared" si="34"/>
        <v>-6226</v>
      </c>
      <c r="DI15" s="384">
        <f t="shared" si="34"/>
        <v>-6761</v>
      </c>
      <c r="DJ15" s="215"/>
      <c r="DK15" s="384">
        <f t="shared" ref="DK15:DL15" si="35">SUM(DK12:DK13)</f>
        <v>-5995</v>
      </c>
      <c r="DL15" s="384">
        <f t="shared" si="35"/>
        <v>-6846</v>
      </c>
      <c r="DM15" s="384"/>
      <c r="DN15" s="384"/>
      <c r="DO15" s="215"/>
      <c r="DP15" s="384"/>
      <c r="DQ15" s="384"/>
      <c r="DR15" s="384"/>
      <c r="DS15" s="384"/>
      <c r="DT15" s="215"/>
      <c r="DU15" s="215"/>
      <c r="DV15" s="215"/>
    </row>
    <row r="16" spans="1:126" s="15" customFormat="1" ht="12" customHeight="1">
      <c r="B16" s="189" t="s">
        <v>68</v>
      </c>
      <c r="C16" s="130">
        <f t="shared" ref="C16:AH16" si="36">C11+C15</f>
        <v>0</v>
      </c>
      <c r="D16" s="130">
        <f t="shared" si="36"/>
        <v>0</v>
      </c>
      <c r="E16" s="130">
        <f t="shared" si="36"/>
        <v>0</v>
      </c>
      <c r="F16" s="130">
        <f t="shared" si="36"/>
        <v>0</v>
      </c>
      <c r="G16" s="130">
        <f t="shared" si="36"/>
        <v>0</v>
      </c>
      <c r="H16" s="130">
        <f t="shared" si="36"/>
        <v>0</v>
      </c>
      <c r="I16" s="130">
        <f t="shared" si="36"/>
        <v>0</v>
      </c>
      <c r="J16" s="419">
        <f t="shared" si="36"/>
        <v>0</v>
      </c>
      <c r="K16" s="419">
        <f t="shared" si="36"/>
        <v>0</v>
      </c>
      <c r="L16" s="419">
        <f t="shared" si="36"/>
        <v>0</v>
      </c>
      <c r="M16" s="419">
        <f t="shared" si="36"/>
        <v>0</v>
      </c>
      <c r="N16" s="130">
        <f t="shared" si="36"/>
        <v>0</v>
      </c>
      <c r="O16" s="419">
        <f t="shared" si="36"/>
        <v>0</v>
      </c>
      <c r="P16" s="419">
        <f t="shared" si="36"/>
        <v>0</v>
      </c>
      <c r="Q16" s="419">
        <f t="shared" si="36"/>
        <v>0</v>
      </c>
      <c r="R16" s="419">
        <f t="shared" si="36"/>
        <v>0</v>
      </c>
      <c r="S16" s="130">
        <f t="shared" si="36"/>
        <v>0</v>
      </c>
      <c r="T16" s="419">
        <f t="shared" si="36"/>
        <v>0</v>
      </c>
      <c r="U16" s="419">
        <f t="shared" si="36"/>
        <v>0</v>
      </c>
      <c r="V16" s="419">
        <f t="shared" si="36"/>
        <v>0</v>
      </c>
      <c r="W16" s="419">
        <f t="shared" si="36"/>
        <v>0</v>
      </c>
      <c r="X16" s="130">
        <f t="shared" si="36"/>
        <v>0</v>
      </c>
      <c r="Y16" s="419">
        <f t="shared" si="36"/>
        <v>0</v>
      </c>
      <c r="Z16" s="419">
        <f t="shared" si="36"/>
        <v>0</v>
      </c>
      <c r="AA16" s="419">
        <f t="shared" si="36"/>
        <v>0</v>
      </c>
      <c r="AB16" s="419">
        <f t="shared" si="36"/>
        <v>0</v>
      </c>
      <c r="AC16" s="130">
        <f t="shared" si="36"/>
        <v>0</v>
      </c>
      <c r="AD16" s="419">
        <f t="shared" si="36"/>
        <v>0</v>
      </c>
      <c r="AE16" s="419">
        <f t="shared" si="36"/>
        <v>0</v>
      </c>
      <c r="AF16" s="419">
        <f t="shared" si="36"/>
        <v>0</v>
      </c>
      <c r="AG16" s="419">
        <f t="shared" si="36"/>
        <v>0</v>
      </c>
      <c r="AH16" s="130">
        <f t="shared" si="36"/>
        <v>0</v>
      </c>
      <c r="AI16" s="419">
        <f t="shared" ref="AI16:BN16" si="37">AI11+AI15</f>
        <v>0</v>
      </c>
      <c r="AJ16" s="419">
        <f t="shared" si="37"/>
        <v>0</v>
      </c>
      <c r="AK16" s="419">
        <f t="shared" si="37"/>
        <v>0</v>
      </c>
      <c r="AL16" s="419">
        <f t="shared" si="37"/>
        <v>0</v>
      </c>
      <c r="AM16" s="130">
        <f t="shared" si="37"/>
        <v>0</v>
      </c>
      <c r="AN16" s="419">
        <f t="shared" si="37"/>
        <v>0</v>
      </c>
      <c r="AO16" s="419">
        <f t="shared" si="37"/>
        <v>0</v>
      </c>
      <c r="AP16" s="419">
        <f t="shared" si="37"/>
        <v>0</v>
      </c>
      <c r="AQ16" s="419">
        <f t="shared" si="37"/>
        <v>0</v>
      </c>
      <c r="AR16" s="130">
        <f t="shared" si="37"/>
        <v>0</v>
      </c>
      <c r="AS16" s="419">
        <f t="shared" si="37"/>
        <v>0</v>
      </c>
      <c r="AT16" s="419">
        <f t="shared" si="37"/>
        <v>0</v>
      </c>
      <c r="AU16" s="419">
        <f t="shared" si="37"/>
        <v>0</v>
      </c>
      <c r="AV16" s="419">
        <f t="shared" si="37"/>
        <v>0</v>
      </c>
      <c r="AW16" s="130">
        <f t="shared" si="37"/>
        <v>0</v>
      </c>
      <c r="AX16" s="419">
        <f t="shared" si="37"/>
        <v>0</v>
      </c>
      <c r="AY16" s="419">
        <f t="shared" si="37"/>
        <v>0</v>
      </c>
      <c r="AZ16" s="419">
        <f t="shared" si="37"/>
        <v>0</v>
      </c>
      <c r="BA16" s="419">
        <f t="shared" si="37"/>
        <v>0</v>
      </c>
      <c r="BB16" s="130">
        <f t="shared" si="37"/>
        <v>0</v>
      </c>
      <c r="BC16" s="419">
        <f t="shared" si="37"/>
        <v>0</v>
      </c>
      <c r="BD16" s="419">
        <f t="shared" si="37"/>
        <v>0</v>
      </c>
      <c r="BE16" s="419">
        <f t="shared" si="37"/>
        <v>0</v>
      </c>
      <c r="BF16" s="419">
        <f t="shared" si="37"/>
        <v>0</v>
      </c>
      <c r="BG16" s="130">
        <f t="shared" si="37"/>
        <v>0</v>
      </c>
      <c r="BH16" s="419">
        <f t="shared" si="37"/>
        <v>0</v>
      </c>
      <c r="BI16" s="419">
        <f t="shared" si="37"/>
        <v>0</v>
      </c>
      <c r="BJ16" s="419">
        <f t="shared" si="37"/>
        <v>0</v>
      </c>
      <c r="BK16" s="419">
        <f t="shared" si="37"/>
        <v>0</v>
      </c>
      <c r="BL16" s="130">
        <f t="shared" si="37"/>
        <v>0</v>
      </c>
      <c r="BM16" s="419">
        <f t="shared" si="37"/>
        <v>0</v>
      </c>
      <c r="BN16" s="419">
        <f t="shared" si="37"/>
        <v>0</v>
      </c>
      <c r="BO16" s="419">
        <f t="shared" ref="BO16:CK16" si="38">BO11+BO15</f>
        <v>0</v>
      </c>
      <c r="BP16" s="419">
        <f t="shared" si="38"/>
        <v>0</v>
      </c>
      <c r="BQ16" s="130">
        <f t="shared" si="38"/>
        <v>0</v>
      </c>
      <c r="BR16" s="419">
        <f t="shared" si="38"/>
        <v>0</v>
      </c>
      <c r="BS16" s="419">
        <f t="shared" si="38"/>
        <v>0</v>
      </c>
      <c r="BT16" s="419">
        <f t="shared" si="38"/>
        <v>0</v>
      </c>
      <c r="BU16" s="419">
        <f t="shared" si="38"/>
        <v>0</v>
      </c>
      <c r="BV16" s="130">
        <f t="shared" si="38"/>
        <v>0</v>
      </c>
      <c r="BW16" s="419">
        <f t="shared" si="38"/>
        <v>0</v>
      </c>
      <c r="BX16" s="419">
        <f t="shared" si="38"/>
        <v>0</v>
      </c>
      <c r="BY16" s="419">
        <f t="shared" si="38"/>
        <v>0</v>
      </c>
      <c r="BZ16" s="419">
        <f t="shared" si="38"/>
        <v>0</v>
      </c>
      <c r="CA16" s="130">
        <f t="shared" si="38"/>
        <v>0</v>
      </c>
      <c r="CB16" s="419">
        <f t="shared" si="38"/>
        <v>0</v>
      </c>
      <c r="CC16" s="419">
        <f t="shared" si="38"/>
        <v>0</v>
      </c>
      <c r="CD16" s="419">
        <f t="shared" si="38"/>
        <v>0</v>
      </c>
      <c r="CE16" s="419">
        <f t="shared" si="38"/>
        <v>0</v>
      </c>
      <c r="CF16" s="130">
        <f t="shared" si="38"/>
        <v>0</v>
      </c>
      <c r="CG16" s="419">
        <f t="shared" si="38"/>
        <v>0</v>
      </c>
      <c r="CH16" s="419">
        <f t="shared" si="38"/>
        <v>0</v>
      </c>
      <c r="CI16" s="419">
        <f t="shared" si="38"/>
        <v>0</v>
      </c>
      <c r="CJ16" s="419">
        <f t="shared" si="38"/>
        <v>0</v>
      </c>
      <c r="CK16" s="130">
        <f t="shared" si="38"/>
        <v>0</v>
      </c>
      <c r="CL16" s="419">
        <f>SUM(CL15,CL11)</f>
        <v>5063</v>
      </c>
      <c r="CM16" s="419">
        <f t="shared" ref="CM16:DF16" si="39">SUM(CM15,CM11)</f>
        <v>3172</v>
      </c>
      <c r="CN16" s="419">
        <f t="shared" si="39"/>
        <v>4488</v>
      </c>
      <c r="CO16" s="419">
        <f t="shared" si="39"/>
        <v>5240</v>
      </c>
      <c r="CP16" s="130">
        <f t="shared" si="39"/>
        <v>17963</v>
      </c>
      <c r="CQ16" s="395">
        <f t="shared" si="39"/>
        <v>4581</v>
      </c>
      <c r="CR16" s="419">
        <f t="shared" si="39"/>
        <v>4662</v>
      </c>
      <c r="CS16" s="419">
        <f t="shared" si="39"/>
        <v>5027</v>
      </c>
      <c r="CT16" s="419">
        <f t="shared" si="39"/>
        <v>6030</v>
      </c>
      <c r="CU16" s="130">
        <f t="shared" si="39"/>
        <v>20300</v>
      </c>
      <c r="CV16" s="419">
        <f t="shared" si="39"/>
        <v>2900</v>
      </c>
      <c r="CW16" s="419">
        <f t="shared" si="39"/>
        <v>3603</v>
      </c>
      <c r="CX16" s="419">
        <f t="shared" si="39"/>
        <v>2937</v>
      </c>
      <c r="CY16" s="419">
        <f t="shared" si="39"/>
        <v>4387</v>
      </c>
      <c r="CZ16" s="130">
        <f t="shared" si="39"/>
        <v>13827</v>
      </c>
      <c r="DA16" s="419">
        <f t="shared" si="39"/>
        <v>3756</v>
      </c>
      <c r="DB16" s="419">
        <f t="shared" si="39"/>
        <v>4336</v>
      </c>
      <c r="DC16" s="419">
        <f t="shared" si="39"/>
        <v>4442</v>
      </c>
      <c r="DD16" s="419">
        <f t="shared" si="39"/>
        <v>5028</v>
      </c>
      <c r="DE16" s="130">
        <f t="shared" si="39"/>
        <v>17562</v>
      </c>
      <c r="DF16" s="419">
        <f t="shared" si="39"/>
        <v>4433</v>
      </c>
      <c r="DG16" s="393">
        <f t="shared" ref="DG16:DI16" si="40">SUM(DG15,DG11)</f>
        <v>3518</v>
      </c>
      <c r="DH16" s="393">
        <f t="shared" si="40"/>
        <v>3616</v>
      </c>
      <c r="DI16" s="393">
        <f t="shared" si="40"/>
        <v>4051</v>
      </c>
      <c r="DJ16" s="130"/>
      <c r="DK16" s="393">
        <f t="shared" ref="DK16:DL16" si="41">SUM(DK15,DK11)</f>
        <v>3939</v>
      </c>
      <c r="DL16" s="393">
        <f t="shared" si="41"/>
        <v>4177</v>
      </c>
      <c r="DM16" s="419"/>
      <c r="DN16" s="419"/>
      <c r="DO16" s="130"/>
      <c r="DP16" s="393"/>
      <c r="DQ16" s="419"/>
      <c r="DR16" s="419"/>
      <c r="DS16" s="419"/>
      <c r="DT16" s="130"/>
      <c r="DU16" s="130"/>
      <c r="DV16" s="130"/>
    </row>
    <row r="17" spans="2:126" s="15" customFormat="1">
      <c r="B17" s="221" t="s">
        <v>459</v>
      </c>
      <c r="C17" s="16"/>
      <c r="D17" s="16"/>
      <c r="E17" s="16"/>
      <c r="F17" s="16"/>
      <c r="G17" s="16"/>
      <c r="H17" s="16"/>
      <c r="I17" s="16"/>
      <c r="J17" s="317"/>
      <c r="K17" s="317"/>
      <c r="L17" s="317"/>
      <c r="M17" s="317"/>
      <c r="N17" s="16"/>
      <c r="O17" s="317"/>
      <c r="P17" s="317"/>
      <c r="Q17" s="317"/>
      <c r="R17" s="317"/>
      <c r="S17" s="16"/>
      <c r="T17" s="317"/>
      <c r="U17" s="317"/>
      <c r="V17" s="317"/>
      <c r="W17" s="317"/>
      <c r="X17" s="16"/>
      <c r="Y17" s="317"/>
      <c r="Z17" s="317"/>
      <c r="AA17" s="317"/>
      <c r="AB17" s="317"/>
      <c r="AC17" s="16"/>
      <c r="AD17" s="317"/>
      <c r="AE17" s="317"/>
      <c r="AF17" s="317"/>
      <c r="AG17" s="317"/>
      <c r="AH17" s="16"/>
      <c r="AI17" s="317"/>
      <c r="AJ17" s="317"/>
      <c r="AK17" s="317"/>
      <c r="AL17" s="317"/>
      <c r="AM17" s="16"/>
      <c r="AN17" s="317"/>
      <c r="AO17" s="317"/>
      <c r="AP17" s="317"/>
      <c r="AQ17" s="317"/>
      <c r="AR17" s="16"/>
      <c r="AS17" s="317"/>
      <c r="AT17" s="317"/>
      <c r="AU17" s="317"/>
      <c r="AV17" s="317"/>
      <c r="AW17" s="16"/>
      <c r="AX17" s="317"/>
      <c r="AY17" s="317"/>
      <c r="AZ17" s="317"/>
      <c r="BA17" s="317"/>
      <c r="BB17" s="16"/>
      <c r="BC17" s="317"/>
      <c r="BD17" s="317"/>
      <c r="BE17" s="317"/>
      <c r="BF17" s="317"/>
      <c r="BG17" s="16"/>
      <c r="BH17" s="317"/>
      <c r="BI17" s="317"/>
      <c r="BJ17" s="317"/>
      <c r="BK17" s="317"/>
      <c r="BL17" s="16"/>
      <c r="BM17" s="317"/>
      <c r="BN17" s="317"/>
      <c r="BO17" s="317"/>
      <c r="BP17" s="317"/>
      <c r="BQ17" s="16"/>
      <c r="BR17" s="317"/>
      <c r="BS17" s="317"/>
      <c r="BT17" s="317"/>
      <c r="BU17" s="317"/>
      <c r="BV17" s="16"/>
      <c r="BW17" s="317"/>
      <c r="BX17" s="317"/>
      <c r="BY17" s="317"/>
      <c r="BZ17" s="317"/>
      <c r="CA17" s="16"/>
      <c r="CB17" s="317"/>
      <c r="CC17" s="317"/>
      <c r="CD17" s="317"/>
      <c r="CE17" s="317"/>
      <c r="CF17" s="16"/>
      <c r="CG17" s="317"/>
      <c r="CH17" s="317"/>
      <c r="CI17" s="317"/>
      <c r="CJ17" s="317"/>
      <c r="CK17" s="16"/>
      <c r="CL17" s="317">
        <v>-3061</v>
      </c>
      <c r="CM17" s="317">
        <v>-3068</v>
      </c>
      <c r="CN17" s="317">
        <v>-3215</v>
      </c>
      <c r="CO17" s="317">
        <f t="shared" ref="CO17:CO18" si="42">CP17-SUM(CL17:CN17)</f>
        <v>-3248</v>
      </c>
      <c r="CP17" s="16">
        <v>-12592</v>
      </c>
      <c r="CQ17" s="317">
        <v>-2891</v>
      </c>
      <c r="CR17" s="317">
        <v>-2866</v>
      </c>
      <c r="CS17" s="317">
        <v>-2747</v>
      </c>
      <c r="CT17" s="317">
        <f t="shared" ref="CT17:CT18" si="43">CU17-SUM(CQ17:CS17)</f>
        <v>-3203</v>
      </c>
      <c r="CU17" s="16">
        <v>-11707</v>
      </c>
      <c r="CV17" s="317">
        <f>-2725-99</f>
        <v>-2824</v>
      </c>
      <c r="CW17" s="317">
        <f>-1817-148</f>
        <v>-1965</v>
      </c>
      <c r="CX17" s="317">
        <f>-1966-171</f>
        <v>-2137</v>
      </c>
      <c r="CY17" s="313">
        <f t="shared" ref="CY17:CY18" si="44">CZ17-SUM(CV17:CX17)</f>
        <v>-2962</v>
      </c>
      <c r="CZ17" s="16">
        <f>-9173-715</f>
        <v>-9888</v>
      </c>
      <c r="DA17" s="317">
        <f>-2142-205</f>
        <v>-2347</v>
      </c>
      <c r="DB17" s="317">
        <f>-2358-226</f>
        <v>-2584</v>
      </c>
      <c r="DC17" s="317">
        <f>-2171-227</f>
        <v>-2398</v>
      </c>
      <c r="DD17" s="317">
        <f t="shared" ref="DD17:DD18" si="45">DE17-SUM(DA17:DC17)</f>
        <v>-2844</v>
      </c>
      <c r="DE17" s="16">
        <f>-9195-978</f>
        <v>-10173</v>
      </c>
      <c r="DF17" s="317">
        <v>-2269</v>
      </c>
      <c r="DG17" s="317">
        <v>-924</v>
      </c>
      <c r="DH17" s="317">
        <v>-1330</v>
      </c>
      <c r="DI17" s="317">
        <v>-1157</v>
      </c>
      <c r="DJ17" s="16"/>
      <c r="DK17" s="1080">
        <v>-876</v>
      </c>
      <c r="DL17" s="1080">
        <v>-1020</v>
      </c>
      <c r="DM17" s="317"/>
      <c r="DN17" s="317"/>
      <c r="DO17" s="16"/>
      <c r="DP17" s="1080"/>
      <c r="DQ17" s="317"/>
      <c r="DR17" s="317"/>
      <c r="DS17" s="317"/>
      <c r="DT17" s="16"/>
      <c r="DU17" s="16"/>
      <c r="DV17" s="16"/>
    </row>
    <row r="18" spans="2:126" s="15" customFormat="1">
      <c r="B18" s="221" t="s">
        <v>460</v>
      </c>
      <c r="C18" s="215"/>
      <c r="D18" s="215"/>
      <c r="E18" s="215"/>
      <c r="F18" s="215"/>
      <c r="G18" s="215"/>
      <c r="H18" s="215"/>
      <c r="I18" s="215"/>
      <c r="J18" s="310"/>
      <c r="K18" s="310"/>
      <c r="L18" s="310"/>
      <c r="M18" s="310"/>
      <c r="N18" s="215"/>
      <c r="O18" s="310"/>
      <c r="P18" s="310"/>
      <c r="Q18" s="310"/>
      <c r="R18" s="310"/>
      <c r="S18" s="215"/>
      <c r="T18" s="310"/>
      <c r="U18" s="310"/>
      <c r="V18" s="310"/>
      <c r="W18" s="310"/>
      <c r="X18" s="215"/>
      <c r="Y18" s="310"/>
      <c r="Z18" s="310"/>
      <c r="AA18" s="310"/>
      <c r="AB18" s="310"/>
      <c r="AC18" s="215"/>
      <c r="AD18" s="310"/>
      <c r="AE18" s="310"/>
      <c r="AF18" s="310"/>
      <c r="AG18" s="310"/>
      <c r="AH18" s="215"/>
      <c r="AI18" s="310"/>
      <c r="AJ18" s="310"/>
      <c r="AK18" s="310"/>
      <c r="AL18" s="310"/>
      <c r="AM18" s="215"/>
      <c r="AN18" s="310"/>
      <c r="AO18" s="310"/>
      <c r="AP18" s="310"/>
      <c r="AQ18" s="310"/>
      <c r="AR18" s="215"/>
      <c r="AS18" s="310"/>
      <c r="AT18" s="310"/>
      <c r="AU18" s="310"/>
      <c r="AV18" s="310"/>
      <c r="AW18" s="215"/>
      <c r="AX18" s="310"/>
      <c r="AY18" s="310"/>
      <c r="AZ18" s="310"/>
      <c r="BA18" s="310"/>
      <c r="BB18" s="215"/>
      <c r="BC18" s="310"/>
      <c r="BD18" s="310"/>
      <c r="BE18" s="310"/>
      <c r="BF18" s="310"/>
      <c r="BG18" s="215"/>
      <c r="BH18" s="310"/>
      <c r="BI18" s="310"/>
      <c r="BJ18" s="310"/>
      <c r="BK18" s="310"/>
      <c r="BL18" s="215"/>
      <c r="BM18" s="310"/>
      <c r="BN18" s="310"/>
      <c r="BO18" s="310"/>
      <c r="BP18" s="310"/>
      <c r="BQ18" s="215"/>
      <c r="BR18" s="310"/>
      <c r="BS18" s="310"/>
      <c r="BT18" s="310"/>
      <c r="BU18" s="310"/>
      <c r="BV18" s="215"/>
      <c r="BW18" s="310"/>
      <c r="BX18" s="310"/>
      <c r="BY18" s="310"/>
      <c r="BZ18" s="310"/>
      <c r="CA18" s="215"/>
      <c r="CB18" s="310"/>
      <c r="CC18" s="310"/>
      <c r="CD18" s="310"/>
      <c r="CE18" s="310"/>
      <c r="CF18" s="215"/>
      <c r="CG18" s="310"/>
      <c r="CH18" s="310"/>
      <c r="CI18" s="310"/>
      <c r="CJ18" s="310"/>
      <c r="CK18" s="215"/>
      <c r="CL18" s="310">
        <v>-723</v>
      </c>
      <c r="CM18" s="310">
        <v>-611</v>
      </c>
      <c r="CN18" s="310">
        <v>-595</v>
      </c>
      <c r="CO18" s="310">
        <f t="shared" si="42"/>
        <v>-636</v>
      </c>
      <c r="CP18" s="215">
        <v>-2565</v>
      </c>
      <c r="CQ18" s="310">
        <v>-561</v>
      </c>
      <c r="CR18" s="310">
        <v>-604</v>
      </c>
      <c r="CS18" s="310">
        <v>-627</v>
      </c>
      <c r="CT18" s="310">
        <f t="shared" si="43"/>
        <v>-705</v>
      </c>
      <c r="CU18" s="215">
        <v>-2497</v>
      </c>
      <c r="CV18" s="310">
        <v>-403</v>
      </c>
      <c r="CW18" s="310">
        <v>-439</v>
      </c>
      <c r="CX18" s="310">
        <v>-426</v>
      </c>
      <c r="CY18" s="313">
        <f t="shared" si="44"/>
        <v>-518</v>
      </c>
      <c r="CZ18" s="215">
        <v>-1786</v>
      </c>
      <c r="DA18" s="310">
        <v>-431</v>
      </c>
      <c r="DB18" s="310">
        <v>-455</v>
      </c>
      <c r="DC18" s="310">
        <v>-471</v>
      </c>
      <c r="DD18" s="310">
        <f t="shared" si="45"/>
        <v>-550</v>
      </c>
      <c r="DE18" s="215">
        <v>-1907</v>
      </c>
      <c r="DF18" s="310">
        <v>-507</v>
      </c>
      <c r="DG18" s="310">
        <v>-300</v>
      </c>
      <c r="DH18" s="310">
        <v>-331</v>
      </c>
      <c r="DI18" s="310">
        <v>-385</v>
      </c>
      <c r="DJ18" s="215"/>
      <c r="DK18" s="1081">
        <v>-359</v>
      </c>
      <c r="DL18" s="1081">
        <v>-359</v>
      </c>
      <c r="DM18" s="310"/>
      <c r="DN18" s="310"/>
      <c r="DO18" s="215"/>
      <c r="DP18" s="1081"/>
      <c r="DQ18" s="310"/>
      <c r="DR18" s="310"/>
      <c r="DS18" s="310"/>
      <c r="DT18" s="215"/>
      <c r="DU18" s="215"/>
      <c r="DV18" s="215"/>
    </row>
    <row r="19" spans="2:126" s="15" customFormat="1" ht="12">
      <c r="B19" s="189" t="s">
        <v>28</v>
      </c>
      <c r="C19" s="130">
        <f t="shared" ref="C19:I19" si="46">C16+C18</f>
        <v>0</v>
      </c>
      <c r="D19" s="130">
        <f t="shared" si="46"/>
        <v>0</v>
      </c>
      <c r="E19" s="130">
        <f t="shared" si="46"/>
        <v>0</v>
      </c>
      <c r="F19" s="130">
        <f t="shared" si="46"/>
        <v>0</v>
      </c>
      <c r="G19" s="130">
        <f t="shared" si="46"/>
        <v>0</v>
      </c>
      <c r="H19" s="130">
        <f t="shared" si="46"/>
        <v>0</v>
      </c>
      <c r="I19" s="130">
        <f t="shared" si="46"/>
        <v>0</v>
      </c>
      <c r="J19" s="419">
        <f t="shared" ref="J19:AC19" si="47">J18+J16</f>
        <v>0</v>
      </c>
      <c r="K19" s="419">
        <f t="shared" si="47"/>
        <v>0</v>
      </c>
      <c r="L19" s="419">
        <f t="shared" si="47"/>
        <v>0</v>
      </c>
      <c r="M19" s="419">
        <f t="shared" si="47"/>
        <v>0</v>
      </c>
      <c r="N19" s="130">
        <f t="shared" si="47"/>
        <v>0</v>
      </c>
      <c r="O19" s="419">
        <f t="shared" si="47"/>
        <v>0</v>
      </c>
      <c r="P19" s="419">
        <f t="shared" si="47"/>
        <v>0</v>
      </c>
      <c r="Q19" s="419">
        <f t="shared" si="47"/>
        <v>0</v>
      </c>
      <c r="R19" s="419">
        <f t="shared" si="47"/>
        <v>0</v>
      </c>
      <c r="S19" s="130">
        <f t="shared" si="47"/>
        <v>0</v>
      </c>
      <c r="T19" s="419">
        <f t="shared" si="47"/>
        <v>0</v>
      </c>
      <c r="U19" s="419">
        <f t="shared" si="47"/>
        <v>0</v>
      </c>
      <c r="V19" s="419">
        <f t="shared" si="47"/>
        <v>0</v>
      </c>
      <c r="W19" s="419">
        <f t="shared" si="47"/>
        <v>0</v>
      </c>
      <c r="X19" s="130">
        <f t="shared" si="47"/>
        <v>0</v>
      </c>
      <c r="Y19" s="419">
        <f t="shared" si="47"/>
        <v>0</v>
      </c>
      <c r="Z19" s="419">
        <f t="shared" si="47"/>
        <v>0</v>
      </c>
      <c r="AA19" s="419">
        <f t="shared" si="47"/>
        <v>0</v>
      </c>
      <c r="AB19" s="419">
        <f t="shared" si="47"/>
        <v>0</v>
      </c>
      <c r="AC19" s="130">
        <f t="shared" si="47"/>
        <v>0</v>
      </c>
      <c r="AD19" s="419">
        <f t="shared" ref="AD19:AH19" si="48">AD18+AD16</f>
        <v>0</v>
      </c>
      <c r="AE19" s="419">
        <f t="shared" si="48"/>
        <v>0</v>
      </c>
      <c r="AF19" s="419">
        <f t="shared" si="48"/>
        <v>0</v>
      </c>
      <c r="AG19" s="419">
        <f t="shared" si="48"/>
        <v>0</v>
      </c>
      <c r="AH19" s="130">
        <f t="shared" si="48"/>
        <v>0</v>
      </c>
      <c r="AI19" s="419">
        <f t="shared" ref="AI19:AM19" si="49">AI18+AI16</f>
        <v>0</v>
      </c>
      <c r="AJ19" s="419">
        <f t="shared" si="49"/>
        <v>0</v>
      </c>
      <c r="AK19" s="419">
        <f t="shared" si="49"/>
        <v>0</v>
      </c>
      <c r="AL19" s="419">
        <f t="shared" si="49"/>
        <v>0</v>
      </c>
      <c r="AM19" s="130">
        <f t="shared" si="49"/>
        <v>0</v>
      </c>
      <c r="AN19" s="419">
        <f t="shared" ref="AN19:AR19" si="50">AN18+AN16</f>
        <v>0</v>
      </c>
      <c r="AO19" s="419">
        <f t="shared" si="50"/>
        <v>0</v>
      </c>
      <c r="AP19" s="419">
        <f t="shared" si="50"/>
        <v>0</v>
      </c>
      <c r="AQ19" s="419">
        <f t="shared" si="50"/>
        <v>0</v>
      </c>
      <c r="AR19" s="130">
        <f t="shared" si="50"/>
        <v>0</v>
      </c>
      <c r="AS19" s="419">
        <f t="shared" ref="AS19:AW19" si="51">AS18+AS16</f>
        <v>0</v>
      </c>
      <c r="AT19" s="419">
        <f t="shared" si="51"/>
        <v>0</v>
      </c>
      <c r="AU19" s="419">
        <f t="shared" si="51"/>
        <v>0</v>
      </c>
      <c r="AV19" s="419">
        <f t="shared" si="51"/>
        <v>0</v>
      </c>
      <c r="AW19" s="130">
        <f t="shared" si="51"/>
        <v>0</v>
      </c>
      <c r="AX19" s="419">
        <f t="shared" ref="AX19:BB19" si="52">AX18+AX16</f>
        <v>0</v>
      </c>
      <c r="AY19" s="419">
        <f t="shared" si="52"/>
        <v>0</v>
      </c>
      <c r="AZ19" s="419">
        <f t="shared" si="52"/>
        <v>0</v>
      </c>
      <c r="BA19" s="419">
        <f t="shared" si="52"/>
        <v>0</v>
      </c>
      <c r="BB19" s="130">
        <f t="shared" si="52"/>
        <v>0</v>
      </c>
      <c r="BC19" s="419">
        <f t="shared" ref="BC19:BG19" si="53">BC18+BC16</f>
        <v>0</v>
      </c>
      <c r="BD19" s="419">
        <f t="shared" si="53"/>
        <v>0</v>
      </c>
      <c r="BE19" s="419">
        <f t="shared" si="53"/>
        <v>0</v>
      </c>
      <c r="BF19" s="419">
        <f t="shared" si="53"/>
        <v>0</v>
      </c>
      <c r="BG19" s="130">
        <f t="shared" si="53"/>
        <v>0</v>
      </c>
      <c r="BH19" s="419">
        <f t="shared" ref="BH19:BL19" si="54">BH18+BH16</f>
        <v>0</v>
      </c>
      <c r="BI19" s="419">
        <f t="shared" si="54"/>
        <v>0</v>
      </c>
      <c r="BJ19" s="419">
        <f t="shared" si="54"/>
        <v>0</v>
      </c>
      <c r="BK19" s="419">
        <f t="shared" si="54"/>
        <v>0</v>
      </c>
      <c r="BL19" s="130">
        <f t="shared" si="54"/>
        <v>0</v>
      </c>
      <c r="BM19" s="419">
        <f t="shared" ref="BM19:BQ19" si="55">BM18+BM16</f>
        <v>0</v>
      </c>
      <c r="BN19" s="419">
        <f t="shared" si="55"/>
        <v>0</v>
      </c>
      <c r="BO19" s="419">
        <f t="shared" si="55"/>
        <v>0</v>
      </c>
      <c r="BP19" s="419">
        <f t="shared" si="55"/>
        <v>0</v>
      </c>
      <c r="BQ19" s="130">
        <f t="shared" si="55"/>
        <v>0</v>
      </c>
      <c r="BR19" s="419">
        <f t="shared" ref="BR19:BV19" si="56">BR18+BR16</f>
        <v>0</v>
      </c>
      <c r="BS19" s="419">
        <f t="shared" si="56"/>
        <v>0</v>
      </c>
      <c r="BT19" s="419">
        <f t="shared" si="56"/>
        <v>0</v>
      </c>
      <c r="BU19" s="419">
        <f t="shared" si="56"/>
        <v>0</v>
      </c>
      <c r="BV19" s="130">
        <f t="shared" si="56"/>
        <v>0</v>
      </c>
      <c r="BW19" s="419">
        <f t="shared" ref="BW19:CA19" si="57">BW18+BW16</f>
        <v>0</v>
      </c>
      <c r="BX19" s="419">
        <f t="shared" si="57"/>
        <v>0</v>
      </c>
      <c r="BY19" s="419">
        <f t="shared" si="57"/>
        <v>0</v>
      </c>
      <c r="BZ19" s="419">
        <f t="shared" si="57"/>
        <v>0</v>
      </c>
      <c r="CA19" s="130">
        <f t="shared" si="57"/>
        <v>0</v>
      </c>
      <c r="CB19" s="419">
        <f t="shared" ref="CB19:CF19" si="58">CB18+CB16</f>
        <v>0</v>
      </c>
      <c r="CC19" s="419">
        <f t="shared" si="58"/>
        <v>0</v>
      </c>
      <c r="CD19" s="419">
        <f t="shared" si="58"/>
        <v>0</v>
      </c>
      <c r="CE19" s="419">
        <f t="shared" si="58"/>
        <v>0</v>
      </c>
      <c r="CF19" s="130">
        <f t="shared" si="58"/>
        <v>0</v>
      </c>
      <c r="CG19" s="419">
        <f t="shared" ref="CG19:CK19" si="59">CG18+CG16</f>
        <v>0</v>
      </c>
      <c r="CH19" s="419">
        <f t="shared" si="59"/>
        <v>0</v>
      </c>
      <c r="CI19" s="419">
        <f t="shared" si="59"/>
        <v>0</v>
      </c>
      <c r="CJ19" s="419">
        <f t="shared" si="59"/>
        <v>0</v>
      </c>
      <c r="CK19" s="130">
        <f t="shared" si="59"/>
        <v>0</v>
      </c>
      <c r="CL19" s="419">
        <f>SUM(CL16:CL18)</f>
        <v>1279</v>
      </c>
      <c r="CM19" s="419">
        <f t="shared" ref="CM19:DF19" si="60">SUM(CM16:CM18)</f>
        <v>-507</v>
      </c>
      <c r="CN19" s="419">
        <f t="shared" si="60"/>
        <v>678</v>
      </c>
      <c r="CO19" s="419">
        <f t="shared" si="60"/>
        <v>1356</v>
      </c>
      <c r="CP19" s="130">
        <f t="shared" si="60"/>
        <v>2806</v>
      </c>
      <c r="CQ19" s="419">
        <f t="shared" si="60"/>
        <v>1129</v>
      </c>
      <c r="CR19" s="419">
        <f t="shared" si="60"/>
        <v>1192</v>
      </c>
      <c r="CS19" s="419">
        <f t="shared" si="60"/>
        <v>1653</v>
      </c>
      <c r="CT19" s="419">
        <f t="shared" si="60"/>
        <v>2122</v>
      </c>
      <c r="CU19" s="130">
        <f t="shared" si="60"/>
        <v>6096</v>
      </c>
      <c r="CV19" s="419">
        <f t="shared" si="60"/>
        <v>-327</v>
      </c>
      <c r="CW19" s="419">
        <f t="shared" si="60"/>
        <v>1199</v>
      </c>
      <c r="CX19" s="419">
        <f t="shared" si="60"/>
        <v>374</v>
      </c>
      <c r="CY19" s="419">
        <f t="shared" si="60"/>
        <v>907</v>
      </c>
      <c r="CZ19" s="130">
        <f t="shared" si="60"/>
        <v>2153</v>
      </c>
      <c r="DA19" s="419">
        <f t="shared" si="60"/>
        <v>978</v>
      </c>
      <c r="DB19" s="419">
        <f t="shared" si="60"/>
        <v>1297</v>
      </c>
      <c r="DC19" s="419">
        <f t="shared" si="60"/>
        <v>1573</v>
      </c>
      <c r="DD19" s="419">
        <f t="shared" si="60"/>
        <v>1634</v>
      </c>
      <c r="DE19" s="130">
        <f t="shared" si="60"/>
        <v>5482</v>
      </c>
      <c r="DF19" s="419">
        <f t="shared" si="60"/>
        <v>1657</v>
      </c>
      <c r="DG19" s="393">
        <f t="shared" ref="DG19:DI19" si="61">SUM(DG16:DG18)</f>
        <v>2294</v>
      </c>
      <c r="DH19" s="393">
        <f t="shared" si="61"/>
        <v>1955</v>
      </c>
      <c r="DI19" s="393">
        <f t="shared" si="61"/>
        <v>2509</v>
      </c>
      <c r="DJ19" s="130"/>
      <c r="DK19" s="393">
        <f t="shared" ref="DK19:DL19" si="62">SUM(DK16:DK18)</f>
        <v>2704</v>
      </c>
      <c r="DL19" s="393">
        <f t="shared" si="62"/>
        <v>2798</v>
      </c>
      <c r="DM19" s="419"/>
      <c r="DN19" s="419"/>
      <c r="DO19" s="130"/>
      <c r="DP19" s="393"/>
      <c r="DQ19" s="419"/>
      <c r="DR19" s="419"/>
      <c r="DS19" s="419"/>
      <c r="DT19" s="130"/>
      <c r="DU19" s="130"/>
      <c r="DV19" s="130"/>
    </row>
    <row r="20" spans="2:126" s="15" customFormat="1">
      <c r="B20" s="15" t="s">
        <v>31</v>
      </c>
      <c r="C20" s="16"/>
      <c r="D20" s="16"/>
      <c r="E20" s="16"/>
      <c r="F20" s="16"/>
      <c r="G20" s="16"/>
      <c r="H20" s="16"/>
      <c r="I20" s="16"/>
      <c r="J20" s="358"/>
      <c r="K20" s="358"/>
      <c r="L20" s="358"/>
      <c r="M20" s="358"/>
      <c r="N20" s="16">
        <f>SUM(J20:M20)</f>
        <v>0</v>
      </c>
      <c r="O20" s="358"/>
      <c r="P20" s="358"/>
      <c r="Q20" s="358"/>
      <c r="R20" s="358"/>
      <c r="S20" s="16">
        <f>SUM(O20:R20)</f>
        <v>0</v>
      </c>
      <c r="T20" s="358"/>
      <c r="U20" s="358"/>
      <c r="V20" s="358"/>
      <c r="W20" s="358"/>
      <c r="X20" s="16">
        <f>SUM(T20:W20)</f>
        <v>0</v>
      </c>
      <c r="Y20" s="358"/>
      <c r="Z20" s="358"/>
      <c r="AA20" s="358"/>
      <c r="AB20" s="358"/>
      <c r="AC20" s="16">
        <f>SUM(Y20:AB20)</f>
        <v>0</v>
      </c>
      <c r="AD20" s="358"/>
      <c r="AE20" s="358"/>
      <c r="AF20" s="358"/>
      <c r="AG20" s="358"/>
      <c r="AH20" s="16">
        <f>SUM(AD20:AG20)</f>
        <v>0</v>
      </c>
      <c r="AI20" s="358"/>
      <c r="AJ20" s="358"/>
      <c r="AK20" s="358"/>
      <c r="AL20" s="358"/>
      <c r="AM20" s="16">
        <f>SUM(AI20:AL20)</f>
        <v>0</v>
      </c>
      <c r="AN20" s="358"/>
      <c r="AO20" s="358"/>
      <c r="AP20" s="358"/>
      <c r="AQ20" s="358"/>
      <c r="AR20" s="16">
        <f>SUM(AN20:AQ20)</f>
        <v>0</v>
      </c>
      <c r="AS20" s="358"/>
      <c r="AT20" s="358"/>
      <c r="AU20" s="358"/>
      <c r="AV20" s="358"/>
      <c r="AW20" s="16">
        <f>SUM(AS20:AV20)</f>
        <v>0</v>
      </c>
      <c r="AX20" s="358"/>
      <c r="AY20" s="358"/>
      <c r="AZ20" s="358"/>
      <c r="BA20" s="358"/>
      <c r="BB20" s="16">
        <f>SUM(AX20:BA20)</f>
        <v>0</v>
      </c>
      <c r="BC20" s="358"/>
      <c r="BD20" s="358"/>
      <c r="BE20" s="358"/>
      <c r="BF20" s="358"/>
      <c r="BG20" s="16">
        <f>SUM(BC20:BF20)</f>
        <v>0</v>
      </c>
      <c r="BH20" s="358"/>
      <c r="BI20" s="358"/>
      <c r="BJ20" s="358"/>
      <c r="BK20" s="358"/>
      <c r="BL20" s="16">
        <f>SUM(BH20:BK20)</f>
        <v>0</v>
      </c>
      <c r="BM20" s="358"/>
      <c r="BN20" s="358"/>
      <c r="BO20" s="358"/>
      <c r="BP20" s="358"/>
      <c r="BQ20" s="16">
        <f>SUM(BM20:BP20)</f>
        <v>0</v>
      </c>
      <c r="BR20" s="358"/>
      <c r="BS20" s="358"/>
      <c r="BT20" s="358"/>
      <c r="BU20" s="358"/>
      <c r="BV20" s="16">
        <f>SUM(BR20:BU20)</f>
        <v>0</v>
      </c>
      <c r="BW20" s="358"/>
      <c r="BX20" s="358"/>
      <c r="BY20" s="358"/>
      <c r="BZ20" s="358"/>
      <c r="CA20" s="16">
        <f>SUM(BW20:BZ20)</f>
        <v>0</v>
      </c>
      <c r="CB20" s="358"/>
      <c r="CC20" s="358"/>
      <c r="CD20" s="358"/>
      <c r="CE20" s="358"/>
      <c r="CF20" s="16">
        <f>SUM(CB20:CE20)</f>
        <v>0</v>
      </c>
      <c r="CG20" s="358"/>
      <c r="CH20" s="358"/>
      <c r="CI20" s="358"/>
      <c r="CJ20" s="358"/>
      <c r="CK20" s="16">
        <f>SUM(CG20:CJ20)</f>
        <v>0</v>
      </c>
      <c r="CL20" s="358">
        <v>-561</v>
      </c>
      <c r="CM20" s="358">
        <v>-561</v>
      </c>
      <c r="CN20" s="358">
        <v>-526</v>
      </c>
      <c r="CO20" s="358">
        <f t="shared" ref="CO20:CO30" si="63">CP20-SUM(CL20:CN20)</f>
        <v>-420</v>
      </c>
      <c r="CP20" s="16">
        <v>-2068</v>
      </c>
      <c r="CQ20" s="358">
        <v>-500</v>
      </c>
      <c r="CR20" s="358">
        <v>-488</v>
      </c>
      <c r="CS20" s="358">
        <v>-462</v>
      </c>
      <c r="CT20" s="358">
        <f t="shared" ref="CT20:CT30" si="64">CU20-SUM(CQ20:CS20)</f>
        <v>-426</v>
      </c>
      <c r="CU20" s="16">
        <v>-1876</v>
      </c>
      <c r="CV20" s="358">
        <v>-387</v>
      </c>
      <c r="CW20" s="358">
        <v>-368</v>
      </c>
      <c r="CX20" s="358">
        <v>-374</v>
      </c>
      <c r="CY20" s="313">
        <f t="shared" ref="CY20:CY22" si="65">CZ20-SUM(CV20:CX20)</f>
        <v>-348</v>
      </c>
      <c r="CZ20" s="16">
        <v>-1477</v>
      </c>
      <c r="DA20" s="358">
        <v>-269</v>
      </c>
      <c r="DB20" s="358">
        <v>-267</v>
      </c>
      <c r="DC20" s="358">
        <v>-286</v>
      </c>
      <c r="DD20" s="358">
        <f t="shared" ref="DD20:DD22" si="66">DE20-SUM(DA20:DC20)</f>
        <v>-296</v>
      </c>
      <c r="DE20" s="16">
        <v>-1118</v>
      </c>
      <c r="DF20" s="358">
        <v>-278</v>
      </c>
      <c r="DG20" s="358">
        <v>-248</v>
      </c>
      <c r="DH20" s="358">
        <v>-251</v>
      </c>
      <c r="DI20" s="358">
        <v>-224</v>
      </c>
      <c r="DJ20" s="16"/>
      <c r="DK20" s="1079">
        <v>-210</v>
      </c>
      <c r="DL20" s="1079">
        <v>-158</v>
      </c>
      <c r="DM20" s="358"/>
      <c r="DN20" s="358"/>
      <c r="DO20" s="16"/>
      <c r="DP20" s="1079"/>
      <c r="DQ20" s="358"/>
      <c r="DR20" s="358"/>
      <c r="DS20" s="358"/>
      <c r="DT20" s="16"/>
      <c r="DU20" s="16"/>
      <c r="DV20" s="16"/>
    </row>
    <row r="21" spans="2:126" s="15" customFormat="1">
      <c r="B21" s="221" t="s">
        <v>458</v>
      </c>
      <c r="C21" s="16"/>
      <c r="D21" s="16"/>
      <c r="E21" s="16"/>
      <c r="F21" s="16"/>
      <c r="G21" s="16"/>
      <c r="H21" s="16"/>
      <c r="I21" s="16"/>
      <c r="J21" s="358"/>
      <c r="K21" s="358"/>
      <c r="L21" s="358"/>
      <c r="M21" s="358"/>
      <c r="N21" s="16">
        <f t="shared" ref="N21:N22" si="67">SUM(J21:M21)</f>
        <v>0</v>
      </c>
      <c r="O21" s="358"/>
      <c r="P21" s="358"/>
      <c r="Q21" s="358"/>
      <c r="R21" s="358"/>
      <c r="S21" s="16">
        <f t="shared" ref="S21:S22" si="68">SUM(O21:R21)</f>
        <v>0</v>
      </c>
      <c r="T21" s="358"/>
      <c r="U21" s="358"/>
      <c r="V21" s="358"/>
      <c r="W21" s="358"/>
      <c r="X21" s="16">
        <f t="shared" ref="X21:X22" si="69">SUM(T21:W21)</f>
        <v>0</v>
      </c>
      <c r="Y21" s="358"/>
      <c r="Z21" s="358"/>
      <c r="AA21" s="358"/>
      <c r="AB21" s="358"/>
      <c r="AC21" s="16">
        <f t="shared" ref="AC21:AC22" si="70">SUM(Y21:AB21)</f>
        <v>0</v>
      </c>
      <c r="AD21" s="358"/>
      <c r="AE21" s="358"/>
      <c r="AF21" s="358"/>
      <c r="AG21" s="358"/>
      <c r="AH21" s="16">
        <f t="shared" ref="AH21:AH22" si="71">SUM(AD21:AG21)</f>
        <v>0</v>
      </c>
      <c r="AI21" s="358"/>
      <c r="AJ21" s="358"/>
      <c r="AK21" s="358"/>
      <c r="AL21" s="358"/>
      <c r="AM21" s="16">
        <f t="shared" ref="AM21:AM22" si="72">SUM(AI21:AL21)</f>
        <v>0</v>
      </c>
      <c r="AN21" s="358"/>
      <c r="AO21" s="358"/>
      <c r="AP21" s="358"/>
      <c r="AQ21" s="358"/>
      <c r="AR21" s="16">
        <f t="shared" ref="AR21:AR22" si="73">SUM(AN21:AQ21)</f>
        <v>0</v>
      </c>
      <c r="AS21" s="358"/>
      <c r="AT21" s="358"/>
      <c r="AU21" s="358"/>
      <c r="AV21" s="358"/>
      <c r="AW21" s="16">
        <f t="shared" ref="AW21:AW22" si="74">SUM(AS21:AV21)</f>
        <v>0</v>
      </c>
      <c r="AX21" s="358"/>
      <c r="AY21" s="358"/>
      <c r="AZ21" s="358"/>
      <c r="BA21" s="358"/>
      <c r="BB21" s="16">
        <f t="shared" ref="BB21:BB22" si="75">SUM(AX21:BA21)</f>
        <v>0</v>
      </c>
      <c r="BC21" s="358"/>
      <c r="BD21" s="358"/>
      <c r="BE21" s="358"/>
      <c r="BF21" s="358"/>
      <c r="BG21" s="16">
        <f t="shared" ref="BG21:BG22" si="76">SUM(BC21:BF21)</f>
        <v>0</v>
      </c>
      <c r="BH21" s="358"/>
      <c r="BI21" s="358"/>
      <c r="BJ21" s="358"/>
      <c r="BK21" s="358"/>
      <c r="BL21" s="16">
        <f t="shared" ref="BL21:BL22" si="77">SUM(BH21:BK21)</f>
        <v>0</v>
      </c>
      <c r="BM21" s="358"/>
      <c r="BN21" s="358"/>
      <c r="BO21" s="358"/>
      <c r="BP21" s="358"/>
      <c r="BQ21" s="16">
        <f t="shared" ref="BQ21:BQ22" si="78">SUM(BM21:BP21)</f>
        <v>0</v>
      </c>
      <c r="BR21" s="358"/>
      <c r="BS21" s="358"/>
      <c r="BT21" s="358"/>
      <c r="BU21" s="358"/>
      <c r="BV21" s="16">
        <f t="shared" ref="BV21:BV22" si="79">SUM(BR21:BU21)</f>
        <v>0</v>
      </c>
      <c r="BW21" s="358"/>
      <c r="BX21" s="358"/>
      <c r="BY21" s="358"/>
      <c r="BZ21" s="358"/>
      <c r="CA21" s="16">
        <f t="shared" ref="CA21:CA22" si="80">SUM(BW21:BZ21)</f>
        <v>0</v>
      </c>
      <c r="CB21" s="358"/>
      <c r="CC21" s="358"/>
      <c r="CD21" s="358"/>
      <c r="CE21" s="358"/>
      <c r="CF21" s="16">
        <f t="shared" ref="CF21:CF22" si="81">SUM(CB21:CE21)</f>
        <v>0</v>
      </c>
      <c r="CG21" s="358"/>
      <c r="CH21" s="358"/>
      <c r="CI21" s="358"/>
      <c r="CJ21" s="358"/>
      <c r="CK21" s="16">
        <f t="shared" ref="CK21:CK22" si="82">SUM(CG21:CJ21)</f>
        <v>0</v>
      </c>
      <c r="CL21" s="358">
        <v>-618</v>
      </c>
      <c r="CM21" s="358">
        <v>-598</v>
      </c>
      <c r="CN21" s="358">
        <v>-605</v>
      </c>
      <c r="CO21" s="358">
        <f t="shared" si="63"/>
        <v>-609</v>
      </c>
      <c r="CP21" s="16">
        <f>-2430</f>
        <v>-2430</v>
      </c>
      <c r="CQ21" s="358">
        <v>-430</v>
      </c>
      <c r="CR21" s="358">
        <v>-517</v>
      </c>
      <c r="CS21" s="358">
        <v>-427</v>
      </c>
      <c r="CT21" s="358">
        <f t="shared" si="64"/>
        <v>-408</v>
      </c>
      <c r="CU21" s="16">
        <v>-1782</v>
      </c>
      <c r="CV21" s="358">
        <v>105</v>
      </c>
      <c r="CW21" s="358">
        <v>101</v>
      </c>
      <c r="CX21" s="358">
        <v>96</v>
      </c>
      <c r="CY21" s="313">
        <f t="shared" si="65"/>
        <v>107</v>
      </c>
      <c r="CZ21" s="16">
        <v>409</v>
      </c>
      <c r="DA21" s="358">
        <v>385</v>
      </c>
      <c r="DB21" s="358">
        <v>402</v>
      </c>
      <c r="DC21" s="358">
        <v>396</v>
      </c>
      <c r="DD21" s="358">
        <f t="shared" si="66"/>
        <v>402</v>
      </c>
      <c r="DE21" s="16">
        <v>1585</v>
      </c>
      <c r="DF21" s="358">
        <v>362</v>
      </c>
      <c r="DG21" s="358">
        <v>204</v>
      </c>
      <c r="DH21" s="358">
        <v>207</v>
      </c>
      <c r="DI21" s="358">
        <v>213</v>
      </c>
      <c r="DJ21" s="16"/>
      <c r="DK21" s="1079">
        <v>201</v>
      </c>
      <c r="DL21" s="1079">
        <v>197</v>
      </c>
      <c r="DM21" s="358"/>
      <c r="DN21" s="358"/>
      <c r="DO21" s="16"/>
      <c r="DP21" s="1079"/>
      <c r="DQ21" s="358"/>
      <c r="DR21" s="358"/>
      <c r="DS21" s="358"/>
      <c r="DT21" s="16"/>
      <c r="DU21" s="16"/>
      <c r="DV21" s="16"/>
    </row>
    <row r="22" spans="2:126" s="15" customFormat="1">
      <c r="B22" s="15" t="s">
        <v>32</v>
      </c>
      <c r="C22" s="215"/>
      <c r="D22" s="215"/>
      <c r="E22" s="215"/>
      <c r="F22" s="215"/>
      <c r="G22" s="215"/>
      <c r="H22" s="215"/>
      <c r="I22" s="215"/>
      <c r="J22" s="310"/>
      <c r="K22" s="310"/>
      <c r="L22" s="310"/>
      <c r="M22" s="310"/>
      <c r="N22" s="215">
        <f t="shared" si="67"/>
        <v>0</v>
      </c>
      <c r="O22" s="310"/>
      <c r="P22" s="310"/>
      <c r="Q22" s="310"/>
      <c r="R22" s="310"/>
      <c r="S22" s="215">
        <f t="shared" si="68"/>
        <v>0</v>
      </c>
      <c r="T22" s="310"/>
      <c r="U22" s="310"/>
      <c r="V22" s="310"/>
      <c r="W22" s="310"/>
      <c r="X22" s="215">
        <f t="shared" si="69"/>
        <v>0</v>
      </c>
      <c r="Y22" s="310"/>
      <c r="Z22" s="310"/>
      <c r="AA22" s="310"/>
      <c r="AB22" s="310"/>
      <c r="AC22" s="215">
        <f t="shared" si="70"/>
        <v>0</v>
      </c>
      <c r="AD22" s="310"/>
      <c r="AE22" s="310"/>
      <c r="AF22" s="310"/>
      <c r="AG22" s="310"/>
      <c r="AH22" s="215">
        <f t="shared" si="71"/>
        <v>0</v>
      </c>
      <c r="AI22" s="310"/>
      <c r="AJ22" s="310"/>
      <c r="AK22" s="310"/>
      <c r="AL22" s="310"/>
      <c r="AM22" s="215">
        <f t="shared" si="72"/>
        <v>0</v>
      </c>
      <c r="AN22" s="310"/>
      <c r="AO22" s="310"/>
      <c r="AP22" s="310"/>
      <c r="AQ22" s="310"/>
      <c r="AR22" s="215">
        <f t="shared" si="73"/>
        <v>0</v>
      </c>
      <c r="AS22" s="310"/>
      <c r="AT22" s="310"/>
      <c r="AU22" s="310"/>
      <c r="AV22" s="310"/>
      <c r="AW22" s="215">
        <f t="shared" si="74"/>
        <v>0</v>
      </c>
      <c r="AX22" s="310"/>
      <c r="AY22" s="310"/>
      <c r="AZ22" s="310"/>
      <c r="BA22" s="310"/>
      <c r="BB22" s="215">
        <f t="shared" si="75"/>
        <v>0</v>
      </c>
      <c r="BC22" s="310"/>
      <c r="BD22" s="310"/>
      <c r="BE22" s="310"/>
      <c r="BF22" s="310"/>
      <c r="BG22" s="215">
        <f t="shared" si="76"/>
        <v>0</v>
      </c>
      <c r="BH22" s="310"/>
      <c r="BI22" s="310"/>
      <c r="BJ22" s="310"/>
      <c r="BK22" s="310"/>
      <c r="BL22" s="215">
        <f t="shared" si="77"/>
        <v>0</v>
      </c>
      <c r="BM22" s="310"/>
      <c r="BN22" s="310"/>
      <c r="BO22" s="310"/>
      <c r="BP22" s="310"/>
      <c r="BQ22" s="215">
        <f t="shared" si="78"/>
        <v>0</v>
      </c>
      <c r="BR22" s="310"/>
      <c r="BS22" s="310"/>
      <c r="BT22" s="310"/>
      <c r="BU22" s="310"/>
      <c r="BV22" s="215">
        <f t="shared" si="79"/>
        <v>0</v>
      </c>
      <c r="BW22" s="310"/>
      <c r="BX22" s="310"/>
      <c r="BY22" s="310"/>
      <c r="BZ22" s="310"/>
      <c r="CA22" s="215">
        <f t="shared" si="80"/>
        <v>0</v>
      </c>
      <c r="CB22" s="310"/>
      <c r="CC22" s="310"/>
      <c r="CD22" s="310"/>
      <c r="CE22" s="310"/>
      <c r="CF22" s="215">
        <f t="shared" si="81"/>
        <v>0</v>
      </c>
      <c r="CG22" s="310"/>
      <c r="CH22" s="310"/>
      <c r="CI22" s="310"/>
      <c r="CJ22" s="310"/>
      <c r="CK22" s="215">
        <f t="shared" si="82"/>
        <v>0</v>
      </c>
      <c r="CL22" s="310">
        <f>-636-25+6869</f>
        <v>6208</v>
      </c>
      <c r="CM22" s="310">
        <f>2078-65-877-205-564</f>
        <v>367</v>
      </c>
      <c r="CN22" s="310">
        <f>-624-25-517</f>
        <v>-1166</v>
      </c>
      <c r="CO22" s="310">
        <f t="shared" si="63"/>
        <v>2253</v>
      </c>
      <c r="CP22" s="215">
        <f>-159-301-2397+11396-877</f>
        <v>7662</v>
      </c>
      <c r="CQ22" s="310">
        <f>-555-32+626</f>
        <v>39</v>
      </c>
      <c r="CR22" s="310">
        <f>-1416-30+706-483</f>
        <v>-1223</v>
      </c>
      <c r="CS22" s="310">
        <f>-643-28+491</f>
        <v>-180</v>
      </c>
      <c r="CT22" s="310">
        <f t="shared" si="64"/>
        <v>-4756</v>
      </c>
      <c r="CU22" s="215">
        <f>-136-2283-6524+2823</f>
        <v>-6120</v>
      </c>
      <c r="CV22" s="310">
        <f>49-620</f>
        <v>-571</v>
      </c>
      <c r="CW22" s="310">
        <f>-1227-669</f>
        <v>-1896</v>
      </c>
      <c r="CX22" s="310">
        <f>-504+178</f>
        <v>-326</v>
      </c>
      <c r="CY22" s="313">
        <f t="shared" si="65"/>
        <v>908</v>
      </c>
      <c r="CZ22" s="215">
        <f>1172-2592-465</f>
        <v>-1885</v>
      </c>
      <c r="DA22" s="310">
        <f>-684+6081</f>
        <v>5397</v>
      </c>
      <c r="DB22" s="310">
        <f>692-735</f>
        <v>-43</v>
      </c>
      <c r="DC22" s="310">
        <f>-710-673</f>
        <v>-1383</v>
      </c>
      <c r="DD22" s="310">
        <f t="shared" si="66"/>
        <v>272</v>
      </c>
      <c r="DE22" s="215">
        <f>-2886+7129</f>
        <v>4243</v>
      </c>
      <c r="DF22" s="310">
        <f>-355-627+1109</f>
        <v>127</v>
      </c>
      <c r="DG22" s="310">
        <f>-75-667-63+2</f>
        <v>-803</v>
      </c>
      <c r="DH22" s="310">
        <f>-74-714-251+1021</f>
        <v>-18</v>
      </c>
      <c r="DI22" s="310">
        <f>-84-421+299+1</f>
        <v>-205</v>
      </c>
      <c r="DJ22" s="215"/>
      <c r="DK22" s="1081">
        <f>+-51-701+302</f>
        <v>-450</v>
      </c>
      <c r="DL22" s="1081">
        <f>+-47-698+298-1</f>
        <v>-448</v>
      </c>
      <c r="DM22" s="310"/>
      <c r="DN22" s="310"/>
      <c r="DO22" s="215"/>
      <c r="DP22" s="1081"/>
      <c r="DQ22" s="310"/>
      <c r="DR22" s="310"/>
      <c r="DS22" s="310"/>
      <c r="DT22" s="215"/>
      <c r="DU22" s="215"/>
      <c r="DV22" s="215"/>
    </row>
    <row r="23" spans="2:126" s="15" customFormat="1" ht="12">
      <c r="B23" s="189" t="s">
        <v>29</v>
      </c>
      <c r="C23" s="130">
        <f t="shared" ref="C23:AC23" si="83">SUM(C19:C22)</f>
        <v>0</v>
      </c>
      <c r="D23" s="130">
        <f t="shared" si="83"/>
        <v>0</v>
      </c>
      <c r="E23" s="130">
        <f t="shared" si="83"/>
        <v>0</v>
      </c>
      <c r="F23" s="130">
        <f t="shared" si="83"/>
        <v>0</v>
      </c>
      <c r="G23" s="130">
        <f t="shared" si="83"/>
        <v>0</v>
      </c>
      <c r="H23" s="130">
        <f t="shared" si="83"/>
        <v>0</v>
      </c>
      <c r="I23" s="130">
        <f t="shared" si="83"/>
        <v>0</v>
      </c>
      <c r="J23" s="419">
        <f t="shared" si="83"/>
        <v>0</v>
      </c>
      <c r="K23" s="419">
        <f t="shared" si="83"/>
        <v>0</v>
      </c>
      <c r="L23" s="419">
        <f t="shared" si="83"/>
        <v>0</v>
      </c>
      <c r="M23" s="419">
        <f t="shared" si="83"/>
        <v>0</v>
      </c>
      <c r="N23" s="130">
        <f t="shared" si="83"/>
        <v>0</v>
      </c>
      <c r="O23" s="419">
        <f t="shared" si="83"/>
        <v>0</v>
      </c>
      <c r="P23" s="419">
        <f t="shared" si="83"/>
        <v>0</v>
      </c>
      <c r="Q23" s="419">
        <f t="shared" si="83"/>
        <v>0</v>
      </c>
      <c r="R23" s="419">
        <f t="shared" si="83"/>
        <v>0</v>
      </c>
      <c r="S23" s="130">
        <f t="shared" si="83"/>
        <v>0</v>
      </c>
      <c r="T23" s="419">
        <f t="shared" si="83"/>
        <v>0</v>
      </c>
      <c r="U23" s="419">
        <f t="shared" si="83"/>
        <v>0</v>
      </c>
      <c r="V23" s="419">
        <f t="shared" si="83"/>
        <v>0</v>
      </c>
      <c r="W23" s="419">
        <f t="shared" si="83"/>
        <v>0</v>
      </c>
      <c r="X23" s="130">
        <f t="shared" si="83"/>
        <v>0</v>
      </c>
      <c r="Y23" s="419">
        <f t="shared" si="83"/>
        <v>0</v>
      </c>
      <c r="Z23" s="419">
        <f t="shared" si="83"/>
        <v>0</v>
      </c>
      <c r="AA23" s="419">
        <f t="shared" si="83"/>
        <v>0</v>
      </c>
      <c r="AB23" s="419">
        <f t="shared" si="83"/>
        <v>0</v>
      </c>
      <c r="AC23" s="130">
        <f t="shared" si="83"/>
        <v>0</v>
      </c>
      <c r="AD23" s="419">
        <f t="shared" ref="AD23:AH23" si="84">SUM(AD19:AD22)</f>
        <v>0</v>
      </c>
      <c r="AE23" s="419">
        <f t="shared" si="84"/>
        <v>0</v>
      </c>
      <c r="AF23" s="419">
        <f t="shared" si="84"/>
        <v>0</v>
      </c>
      <c r="AG23" s="419">
        <f t="shared" si="84"/>
        <v>0</v>
      </c>
      <c r="AH23" s="130">
        <f t="shared" si="84"/>
        <v>0</v>
      </c>
      <c r="AI23" s="419">
        <f t="shared" ref="AI23:AR23" si="85">SUM(AI19:AI22)</f>
        <v>0</v>
      </c>
      <c r="AJ23" s="419">
        <f t="shared" si="85"/>
        <v>0</v>
      </c>
      <c r="AK23" s="419">
        <f t="shared" si="85"/>
        <v>0</v>
      </c>
      <c r="AL23" s="419">
        <f t="shared" si="85"/>
        <v>0</v>
      </c>
      <c r="AM23" s="130">
        <f t="shared" si="85"/>
        <v>0</v>
      </c>
      <c r="AN23" s="419">
        <f t="shared" si="85"/>
        <v>0</v>
      </c>
      <c r="AO23" s="419">
        <f t="shared" si="85"/>
        <v>0</v>
      </c>
      <c r="AP23" s="419">
        <f t="shared" si="85"/>
        <v>0</v>
      </c>
      <c r="AQ23" s="419">
        <f t="shared" si="85"/>
        <v>0</v>
      </c>
      <c r="AR23" s="130">
        <f t="shared" si="85"/>
        <v>0</v>
      </c>
      <c r="AS23" s="419">
        <f t="shared" ref="AS23:AW23" si="86">SUM(AS19:AS22)</f>
        <v>0</v>
      </c>
      <c r="AT23" s="419">
        <f t="shared" si="86"/>
        <v>0</v>
      </c>
      <c r="AU23" s="419">
        <f t="shared" si="86"/>
        <v>0</v>
      </c>
      <c r="AV23" s="419">
        <f t="shared" si="86"/>
        <v>0</v>
      </c>
      <c r="AW23" s="130">
        <f t="shared" si="86"/>
        <v>0</v>
      </c>
      <c r="AX23" s="419">
        <f t="shared" ref="AX23:BB23" si="87">SUM(AX19:AX22)</f>
        <v>0</v>
      </c>
      <c r="AY23" s="419">
        <f t="shared" si="87"/>
        <v>0</v>
      </c>
      <c r="AZ23" s="419">
        <f t="shared" si="87"/>
        <v>0</v>
      </c>
      <c r="BA23" s="419">
        <f t="shared" si="87"/>
        <v>0</v>
      </c>
      <c r="BB23" s="130">
        <f t="shared" si="87"/>
        <v>0</v>
      </c>
      <c r="BC23" s="419">
        <f t="shared" ref="BC23:BG23" si="88">SUM(BC19:BC22)</f>
        <v>0</v>
      </c>
      <c r="BD23" s="419">
        <f t="shared" si="88"/>
        <v>0</v>
      </c>
      <c r="BE23" s="419">
        <f t="shared" si="88"/>
        <v>0</v>
      </c>
      <c r="BF23" s="419">
        <f t="shared" si="88"/>
        <v>0</v>
      </c>
      <c r="BG23" s="130">
        <f t="shared" si="88"/>
        <v>0</v>
      </c>
      <c r="BH23" s="419">
        <f t="shared" ref="BH23:BL23" si="89">SUM(BH19:BH22)</f>
        <v>0</v>
      </c>
      <c r="BI23" s="419">
        <f t="shared" si="89"/>
        <v>0</v>
      </c>
      <c r="BJ23" s="419">
        <f t="shared" si="89"/>
        <v>0</v>
      </c>
      <c r="BK23" s="419">
        <f t="shared" si="89"/>
        <v>0</v>
      </c>
      <c r="BL23" s="130">
        <f t="shared" si="89"/>
        <v>0</v>
      </c>
      <c r="BM23" s="419">
        <f t="shared" ref="BM23:BQ23" si="90">SUM(BM19:BM22)</f>
        <v>0</v>
      </c>
      <c r="BN23" s="419">
        <f t="shared" si="90"/>
        <v>0</v>
      </c>
      <c r="BO23" s="419">
        <f t="shared" si="90"/>
        <v>0</v>
      </c>
      <c r="BP23" s="419">
        <f t="shared" si="90"/>
        <v>0</v>
      </c>
      <c r="BQ23" s="130">
        <f t="shared" si="90"/>
        <v>0</v>
      </c>
      <c r="BR23" s="419">
        <f t="shared" ref="BR23:BV23" si="91">SUM(BR19:BR22)</f>
        <v>0</v>
      </c>
      <c r="BS23" s="419">
        <f t="shared" si="91"/>
        <v>0</v>
      </c>
      <c r="BT23" s="419">
        <f t="shared" si="91"/>
        <v>0</v>
      </c>
      <c r="BU23" s="419">
        <f t="shared" si="91"/>
        <v>0</v>
      </c>
      <c r="BV23" s="130">
        <f t="shared" si="91"/>
        <v>0</v>
      </c>
      <c r="BW23" s="419">
        <f t="shared" ref="BW23:CA23" si="92">SUM(BW19:BW22)</f>
        <v>0</v>
      </c>
      <c r="BX23" s="419">
        <f t="shared" si="92"/>
        <v>0</v>
      </c>
      <c r="BY23" s="419">
        <f t="shared" si="92"/>
        <v>0</v>
      </c>
      <c r="BZ23" s="419">
        <f t="shared" si="92"/>
        <v>0</v>
      </c>
      <c r="CA23" s="130">
        <f t="shared" si="92"/>
        <v>0</v>
      </c>
      <c r="CB23" s="419">
        <f t="shared" ref="CB23:CF23" si="93">SUM(CB19:CB22)</f>
        <v>0</v>
      </c>
      <c r="CC23" s="419">
        <f t="shared" si="93"/>
        <v>0</v>
      </c>
      <c r="CD23" s="419">
        <f t="shared" si="93"/>
        <v>0</v>
      </c>
      <c r="CE23" s="419">
        <f t="shared" si="93"/>
        <v>0</v>
      </c>
      <c r="CF23" s="130">
        <f t="shared" si="93"/>
        <v>0</v>
      </c>
      <c r="CG23" s="419">
        <f t="shared" ref="CG23:CK23" si="94">SUM(CG19:CG22)</f>
        <v>0</v>
      </c>
      <c r="CH23" s="419">
        <f t="shared" si="94"/>
        <v>0</v>
      </c>
      <c r="CI23" s="419">
        <f t="shared" si="94"/>
        <v>0</v>
      </c>
      <c r="CJ23" s="419">
        <f t="shared" si="94"/>
        <v>0</v>
      </c>
      <c r="CK23" s="130">
        <f t="shared" si="94"/>
        <v>0</v>
      </c>
      <c r="CL23" s="419">
        <f>SUM(CL19:CL22)</f>
        <v>6308</v>
      </c>
      <c r="CM23" s="419">
        <f t="shared" ref="CM23:DF23" si="95">SUM(CM19:CM22)</f>
        <v>-1299</v>
      </c>
      <c r="CN23" s="419">
        <f t="shared" si="95"/>
        <v>-1619</v>
      </c>
      <c r="CO23" s="419">
        <f t="shared" si="95"/>
        <v>2580</v>
      </c>
      <c r="CP23" s="130">
        <f t="shared" si="95"/>
        <v>5970</v>
      </c>
      <c r="CQ23" s="419">
        <f t="shared" si="95"/>
        <v>238</v>
      </c>
      <c r="CR23" s="419">
        <f t="shared" si="95"/>
        <v>-1036</v>
      </c>
      <c r="CS23" s="419">
        <f t="shared" si="95"/>
        <v>584</v>
      </c>
      <c r="CT23" s="419">
        <f t="shared" si="95"/>
        <v>-3468</v>
      </c>
      <c r="CU23" s="130">
        <f t="shared" si="95"/>
        <v>-3682</v>
      </c>
      <c r="CV23" s="419">
        <f t="shared" si="95"/>
        <v>-1180</v>
      </c>
      <c r="CW23" s="419">
        <f t="shared" si="95"/>
        <v>-964</v>
      </c>
      <c r="CX23" s="419">
        <f t="shared" si="95"/>
        <v>-230</v>
      </c>
      <c r="CY23" s="419">
        <f t="shared" si="95"/>
        <v>1574</v>
      </c>
      <c r="CZ23" s="130">
        <f t="shared" si="95"/>
        <v>-800</v>
      </c>
      <c r="DA23" s="419">
        <f t="shared" si="95"/>
        <v>6491</v>
      </c>
      <c r="DB23" s="419">
        <f t="shared" si="95"/>
        <v>1389</v>
      </c>
      <c r="DC23" s="419">
        <f t="shared" si="95"/>
        <v>300</v>
      </c>
      <c r="DD23" s="419">
        <f t="shared" si="95"/>
        <v>2012</v>
      </c>
      <c r="DE23" s="130">
        <f t="shared" si="95"/>
        <v>10192</v>
      </c>
      <c r="DF23" s="419">
        <f t="shared" si="95"/>
        <v>1868</v>
      </c>
      <c r="DG23" s="393">
        <f t="shared" ref="DG23:DI23" si="96">SUM(DG19:DG22)</f>
        <v>1447</v>
      </c>
      <c r="DH23" s="393">
        <f t="shared" si="96"/>
        <v>1893</v>
      </c>
      <c r="DI23" s="393">
        <f t="shared" si="96"/>
        <v>2293</v>
      </c>
      <c r="DJ23" s="130"/>
      <c r="DK23" s="393">
        <f t="shared" ref="DK23:DL23" si="97">SUM(DK19:DK22)</f>
        <v>2245</v>
      </c>
      <c r="DL23" s="393">
        <f t="shared" si="97"/>
        <v>2389</v>
      </c>
      <c r="DM23" s="419"/>
      <c r="DN23" s="419"/>
      <c r="DO23" s="130"/>
      <c r="DP23" s="393"/>
      <c r="DQ23" s="419"/>
      <c r="DR23" s="419"/>
      <c r="DS23" s="419"/>
      <c r="DT23" s="130"/>
      <c r="DU23" s="130"/>
      <c r="DV23" s="130"/>
    </row>
    <row r="24" spans="2:126" s="15" customFormat="1">
      <c r="B24" s="15" t="s">
        <v>30</v>
      </c>
      <c r="C24" s="215"/>
      <c r="D24" s="215"/>
      <c r="E24" s="215"/>
      <c r="F24" s="215"/>
      <c r="G24" s="215"/>
      <c r="H24" s="215"/>
      <c r="I24" s="215"/>
      <c r="J24" s="310"/>
      <c r="K24" s="310"/>
      <c r="L24" s="310"/>
      <c r="M24" s="310"/>
      <c r="N24" s="215">
        <f t="shared" ref="N24" si="98">SUM(J24:M24)</f>
        <v>0</v>
      </c>
      <c r="O24" s="310"/>
      <c r="P24" s="310"/>
      <c r="Q24" s="310"/>
      <c r="R24" s="310"/>
      <c r="S24" s="215">
        <f t="shared" ref="S24" si="99">SUM(O24:R24)</f>
        <v>0</v>
      </c>
      <c r="T24" s="310"/>
      <c r="U24" s="310"/>
      <c r="V24" s="310"/>
      <c r="W24" s="310"/>
      <c r="X24" s="215">
        <f t="shared" ref="X24" si="100">SUM(T24:W24)</f>
        <v>0</v>
      </c>
      <c r="Y24" s="310"/>
      <c r="Z24" s="310"/>
      <c r="AA24" s="310"/>
      <c r="AB24" s="310"/>
      <c r="AC24" s="215">
        <f t="shared" ref="AC24" si="101">SUM(Y24:AB24)</f>
        <v>0</v>
      </c>
      <c r="AD24" s="310"/>
      <c r="AE24" s="310"/>
      <c r="AF24" s="310"/>
      <c r="AG24" s="310"/>
      <c r="AH24" s="215">
        <f t="shared" ref="AH24" si="102">SUM(AD24:AG24)</f>
        <v>0</v>
      </c>
      <c r="AI24" s="310"/>
      <c r="AJ24" s="310"/>
      <c r="AK24" s="310"/>
      <c r="AL24" s="310"/>
      <c r="AM24" s="215">
        <f t="shared" ref="AM24" si="103">SUM(AI24:AL24)</f>
        <v>0</v>
      </c>
      <c r="AN24" s="310"/>
      <c r="AO24" s="310"/>
      <c r="AP24" s="310"/>
      <c r="AQ24" s="310"/>
      <c r="AR24" s="215">
        <f t="shared" ref="AR24" si="104">SUM(AN24:AQ24)</f>
        <v>0</v>
      </c>
      <c r="AS24" s="310"/>
      <c r="AT24" s="310"/>
      <c r="AU24" s="310"/>
      <c r="AV24" s="310"/>
      <c r="AW24" s="215">
        <f t="shared" ref="AW24" si="105">SUM(AS24:AV24)</f>
        <v>0</v>
      </c>
      <c r="AX24" s="310"/>
      <c r="AY24" s="310"/>
      <c r="AZ24" s="310"/>
      <c r="BA24" s="310"/>
      <c r="BB24" s="215">
        <f t="shared" ref="BB24" si="106">SUM(AX24:BA24)</f>
        <v>0</v>
      </c>
      <c r="BC24" s="310"/>
      <c r="BD24" s="310"/>
      <c r="BE24" s="310"/>
      <c r="BF24" s="310"/>
      <c r="BG24" s="215">
        <f t="shared" ref="BG24" si="107">SUM(BC24:BF24)</f>
        <v>0</v>
      </c>
      <c r="BH24" s="310"/>
      <c r="BI24" s="310"/>
      <c r="BJ24" s="310"/>
      <c r="BK24" s="310"/>
      <c r="BL24" s="215">
        <f t="shared" ref="BL24" si="108">SUM(BH24:BK24)</f>
        <v>0</v>
      </c>
      <c r="BM24" s="310"/>
      <c r="BN24" s="310"/>
      <c r="BO24" s="310"/>
      <c r="BP24" s="310"/>
      <c r="BQ24" s="215">
        <f t="shared" ref="BQ24" si="109">SUM(BM24:BP24)</f>
        <v>0</v>
      </c>
      <c r="BR24" s="310"/>
      <c r="BS24" s="310"/>
      <c r="BT24" s="310"/>
      <c r="BU24" s="310"/>
      <c r="BV24" s="215">
        <f t="shared" ref="BV24" si="110">SUM(BR24:BU24)</f>
        <v>0</v>
      </c>
      <c r="BW24" s="310"/>
      <c r="BX24" s="310"/>
      <c r="BY24" s="310"/>
      <c r="BZ24" s="310"/>
      <c r="CA24" s="215">
        <f t="shared" ref="CA24" si="111">SUM(BW24:BZ24)</f>
        <v>0</v>
      </c>
      <c r="CB24" s="310"/>
      <c r="CC24" s="310"/>
      <c r="CD24" s="310"/>
      <c r="CE24" s="310"/>
      <c r="CF24" s="215">
        <f t="shared" ref="CF24" si="112">SUM(CB24:CE24)</f>
        <v>0</v>
      </c>
      <c r="CG24" s="310"/>
      <c r="CH24" s="310"/>
      <c r="CI24" s="310"/>
      <c r="CJ24" s="310"/>
      <c r="CK24" s="215">
        <f t="shared" ref="CK24" si="113">SUM(CG24:CJ24)</f>
        <v>0</v>
      </c>
      <c r="CL24" s="310">
        <v>-54</v>
      </c>
      <c r="CM24" s="310">
        <v>160</v>
      </c>
      <c r="CN24" s="310">
        <v>483</v>
      </c>
      <c r="CO24" s="310">
        <f t="shared" si="63"/>
        <v>-102</v>
      </c>
      <c r="CP24" s="215">
        <v>487</v>
      </c>
      <c r="CQ24" s="310">
        <v>-142</v>
      </c>
      <c r="CR24" s="310">
        <v>466</v>
      </c>
      <c r="CS24" s="310">
        <v>-2</v>
      </c>
      <c r="CT24" s="310">
        <f t="shared" si="64"/>
        <v>-36</v>
      </c>
      <c r="CU24" s="215">
        <v>286</v>
      </c>
      <c r="CV24" s="310">
        <v>-29</v>
      </c>
      <c r="CW24" s="310">
        <v>-161</v>
      </c>
      <c r="CX24" s="310">
        <v>-13</v>
      </c>
      <c r="CY24" s="313">
        <f>CZ24-SUM(CV24:CX24)</f>
        <v>206</v>
      </c>
      <c r="CZ24" s="215">
        <v>3</v>
      </c>
      <c r="DA24" s="310">
        <v>-271</v>
      </c>
      <c r="DB24" s="310">
        <v>-333</v>
      </c>
      <c r="DC24" s="310">
        <v>-138</v>
      </c>
      <c r="DD24" s="310">
        <f>DE24-SUM(DA24:DC24)</f>
        <v>-420</v>
      </c>
      <c r="DE24" s="215">
        <v>-1162</v>
      </c>
      <c r="DF24" s="310">
        <v>-318</v>
      </c>
      <c r="DG24" s="310">
        <v>-125</v>
      </c>
      <c r="DH24" s="310">
        <v>-198</v>
      </c>
      <c r="DI24" s="310">
        <v>-396</v>
      </c>
      <c r="DJ24" s="215"/>
      <c r="DK24" s="1081">
        <v>-283</v>
      </c>
      <c r="DL24" s="1081">
        <f>+-388-1</f>
        <v>-389</v>
      </c>
      <c r="DM24" s="310"/>
      <c r="DN24" s="310"/>
      <c r="DO24" s="215"/>
      <c r="DP24" s="1081"/>
      <c r="DQ24" s="310"/>
      <c r="DR24" s="310"/>
      <c r="DS24" s="310"/>
      <c r="DT24" s="215"/>
      <c r="DU24" s="215"/>
      <c r="DV24" s="215"/>
    </row>
    <row r="25" spans="2:126" s="15" customFormat="1" ht="12">
      <c r="B25" s="189" t="s">
        <v>34</v>
      </c>
      <c r="C25" s="130">
        <f t="shared" ref="C25:I25" si="114">SUM(C23:C24)</f>
        <v>0</v>
      </c>
      <c r="D25" s="130">
        <f t="shared" si="114"/>
        <v>0</v>
      </c>
      <c r="E25" s="130">
        <f t="shared" si="114"/>
        <v>0</v>
      </c>
      <c r="F25" s="130">
        <f t="shared" si="114"/>
        <v>0</v>
      </c>
      <c r="G25" s="130">
        <f t="shared" si="114"/>
        <v>0</v>
      </c>
      <c r="H25" s="130">
        <f t="shared" si="114"/>
        <v>0</v>
      </c>
      <c r="I25" s="130">
        <f t="shared" si="114"/>
        <v>0</v>
      </c>
      <c r="J25" s="419">
        <f t="shared" ref="J25:AC25" si="115">SUM(J23:J24)</f>
        <v>0</v>
      </c>
      <c r="K25" s="419">
        <f t="shared" si="115"/>
        <v>0</v>
      </c>
      <c r="L25" s="419">
        <f t="shared" si="115"/>
        <v>0</v>
      </c>
      <c r="M25" s="419">
        <f t="shared" si="115"/>
        <v>0</v>
      </c>
      <c r="N25" s="130">
        <f t="shared" si="115"/>
        <v>0</v>
      </c>
      <c r="O25" s="419">
        <f t="shared" si="115"/>
        <v>0</v>
      </c>
      <c r="P25" s="419">
        <f t="shared" si="115"/>
        <v>0</v>
      </c>
      <c r="Q25" s="419">
        <f t="shared" si="115"/>
        <v>0</v>
      </c>
      <c r="R25" s="419">
        <f t="shared" si="115"/>
        <v>0</v>
      </c>
      <c r="S25" s="130">
        <f t="shared" si="115"/>
        <v>0</v>
      </c>
      <c r="T25" s="419">
        <f t="shared" si="115"/>
        <v>0</v>
      </c>
      <c r="U25" s="419">
        <f t="shared" si="115"/>
        <v>0</v>
      </c>
      <c r="V25" s="419">
        <f t="shared" si="115"/>
        <v>0</v>
      </c>
      <c r="W25" s="419">
        <f t="shared" si="115"/>
        <v>0</v>
      </c>
      <c r="X25" s="130">
        <f t="shared" si="115"/>
        <v>0</v>
      </c>
      <c r="Y25" s="419">
        <f t="shared" si="115"/>
        <v>0</v>
      </c>
      <c r="Z25" s="419">
        <f t="shared" si="115"/>
        <v>0</v>
      </c>
      <c r="AA25" s="419">
        <f t="shared" si="115"/>
        <v>0</v>
      </c>
      <c r="AB25" s="419">
        <f t="shared" si="115"/>
        <v>0</v>
      </c>
      <c r="AC25" s="130">
        <f t="shared" si="115"/>
        <v>0</v>
      </c>
      <c r="AD25" s="419">
        <f t="shared" ref="AD25:AH25" si="116">SUM(AD23:AD24)</f>
        <v>0</v>
      </c>
      <c r="AE25" s="419">
        <f t="shared" si="116"/>
        <v>0</v>
      </c>
      <c r="AF25" s="419">
        <f t="shared" si="116"/>
        <v>0</v>
      </c>
      <c r="AG25" s="419">
        <f t="shared" si="116"/>
        <v>0</v>
      </c>
      <c r="AH25" s="130">
        <f t="shared" si="116"/>
        <v>0</v>
      </c>
      <c r="AI25" s="419">
        <f t="shared" ref="AI25:AM25" si="117">SUM(AI23:AI24)</f>
        <v>0</v>
      </c>
      <c r="AJ25" s="419">
        <f t="shared" si="117"/>
        <v>0</v>
      </c>
      <c r="AK25" s="419">
        <f t="shared" si="117"/>
        <v>0</v>
      </c>
      <c r="AL25" s="419">
        <f t="shared" si="117"/>
        <v>0</v>
      </c>
      <c r="AM25" s="130">
        <f t="shared" si="117"/>
        <v>0</v>
      </c>
      <c r="AN25" s="419">
        <f t="shared" ref="AN25:AR25" si="118">SUM(AN23:AN24)</f>
        <v>0</v>
      </c>
      <c r="AO25" s="419">
        <f t="shared" si="118"/>
        <v>0</v>
      </c>
      <c r="AP25" s="419">
        <f t="shared" si="118"/>
        <v>0</v>
      </c>
      <c r="AQ25" s="419">
        <f t="shared" si="118"/>
        <v>0</v>
      </c>
      <c r="AR25" s="130">
        <f t="shared" si="118"/>
        <v>0</v>
      </c>
      <c r="AS25" s="419">
        <f t="shared" ref="AS25:AW25" si="119">SUM(AS23:AS24)</f>
        <v>0</v>
      </c>
      <c r="AT25" s="419">
        <f t="shared" si="119"/>
        <v>0</v>
      </c>
      <c r="AU25" s="419">
        <f t="shared" si="119"/>
        <v>0</v>
      </c>
      <c r="AV25" s="419">
        <f t="shared" si="119"/>
        <v>0</v>
      </c>
      <c r="AW25" s="130">
        <f t="shared" si="119"/>
        <v>0</v>
      </c>
      <c r="AX25" s="419">
        <f t="shared" ref="AX25:BB25" si="120">SUM(AX23:AX24)</f>
        <v>0</v>
      </c>
      <c r="AY25" s="419">
        <f t="shared" si="120"/>
        <v>0</v>
      </c>
      <c r="AZ25" s="419">
        <f t="shared" si="120"/>
        <v>0</v>
      </c>
      <c r="BA25" s="419">
        <f t="shared" si="120"/>
        <v>0</v>
      </c>
      <c r="BB25" s="130">
        <f t="shared" si="120"/>
        <v>0</v>
      </c>
      <c r="BC25" s="419">
        <f t="shared" ref="BC25:BG25" si="121">SUM(BC23:BC24)</f>
        <v>0</v>
      </c>
      <c r="BD25" s="419">
        <f t="shared" si="121"/>
        <v>0</v>
      </c>
      <c r="BE25" s="419">
        <f t="shared" si="121"/>
        <v>0</v>
      </c>
      <c r="BF25" s="419">
        <f t="shared" si="121"/>
        <v>0</v>
      </c>
      <c r="BG25" s="130">
        <f t="shared" si="121"/>
        <v>0</v>
      </c>
      <c r="BH25" s="419">
        <f t="shared" ref="BH25:BL25" si="122">SUM(BH23:BH24)</f>
        <v>0</v>
      </c>
      <c r="BI25" s="419">
        <f t="shared" si="122"/>
        <v>0</v>
      </c>
      <c r="BJ25" s="419">
        <f t="shared" si="122"/>
        <v>0</v>
      </c>
      <c r="BK25" s="419">
        <f t="shared" si="122"/>
        <v>0</v>
      </c>
      <c r="BL25" s="130">
        <f t="shared" si="122"/>
        <v>0</v>
      </c>
      <c r="BM25" s="419">
        <f t="shared" ref="BM25:BQ25" si="123">SUM(BM23:BM24)</f>
        <v>0</v>
      </c>
      <c r="BN25" s="419">
        <f t="shared" si="123"/>
        <v>0</v>
      </c>
      <c r="BO25" s="419">
        <f t="shared" si="123"/>
        <v>0</v>
      </c>
      <c r="BP25" s="419">
        <f t="shared" si="123"/>
        <v>0</v>
      </c>
      <c r="BQ25" s="130">
        <f t="shared" si="123"/>
        <v>0</v>
      </c>
      <c r="BR25" s="419">
        <f t="shared" ref="BR25:BV25" si="124">SUM(BR23:BR24)</f>
        <v>0</v>
      </c>
      <c r="BS25" s="419">
        <f t="shared" si="124"/>
        <v>0</v>
      </c>
      <c r="BT25" s="419">
        <f t="shared" si="124"/>
        <v>0</v>
      </c>
      <c r="BU25" s="419">
        <f t="shared" si="124"/>
        <v>0</v>
      </c>
      <c r="BV25" s="130">
        <f t="shared" si="124"/>
        <v>0</v>
      </c>
      <c r="BW25" s="419">
        <f t="shared" ref="BW25:CA25" si="125">SUM(BW23:BW24)</f>
        <v>0</v>
      </c>
      <c r="BX25" s="419">
        <f t="shared" si="125"/>
        <v>0</v>
      </c>
      <c r="BY25" s="419">
        <f t="shared" si="125"/>
        <v>0</v>
      </c>
      <c r="BZ25" s="419">
        <f t="shared" si="125"/>
        <v>0</v>
      </c>
      <c r="CA25" s="130">
        <f t="shared" si="125"/>
        <v>0</v>
      </c>
      <c r="CB25" s="419">
        <f t="shared" ref="CB25:CF25" si="126">SUM(CB23:CB24)</f>
        <v>0</v>
      </c>
      <c r="CC25" s="419">
        <f t="shared" si="126"/>
        <v>0</v>
      </c>
      <c r="CD25" s="419">
        <f t="shared" si="126"/>
        <v>0</v>
      </c>
      <c r="CE25" s="419">
        <f t="shared" si="126"/>
        <v>0</v>
      </c>
      <c r="CF25" s="130">
        <f t="shared" si="126"/>
        <v>0</v>
      </c>
      <c r="CG25" s="419">
        <f t="shared" ref="CG25:CK25" si="127">SUM(CG23:CG24)</f>
        <v>0</v>
      </c>
      <c r="CH25" s="419">
        <f t="shared" si="127"/>
        <v>0</v>
      </c>
      <c r="CI25" s="419">
        <f t="shared" si="127"/>
        <v>0</v>
      </c>
      <c r="CJ25" s="419">
        <f t="shared" si="127"/>
        <v>0</v>
      </c>
      <c r="CK25" s="130">
        <f t="shared" si="127"/>
        <v>0</v>
      </c>
      <c r="CL25" s="419">
        <f t="shared" ref="CL25:CP25" si="128">SUM(CL23:CL24)</f>
        <v>6254</v>
      </c>
      <c r="CM25" s="419">
        <f t="shared" si="128"/>
        <v>-1139</v>
      </c>
      <c r="CN25" s="419">
        <f t="shared" si="128"/>
        <v>-1136</v>
      </c>
      <c r="CO25" s="419">
        <f t="shared" si="128"/>
        <v>2478</v>
      </c>
      <c r="CP25" s="130">
        <f t="shared" si="128"/>
        <v>6457</v>
      </c>
      <c r="CQ25" s="419">
        <f t="shared" ref="CQ25:CU25" si="129">SUM(CQ23:CQ24)</f>
        <v>96</v>
      </c>
      <c r="CR25" s="419">
        <f t="shared" si="129"/>
        <v>-570</v>
      </c>
      <c r="CS25" s="419">
        <f t="shared" si="129"/>
        <v>582</v>
      </c>
      <c r="CT25" s="419">
        <f t="shared" si="129"/>
        <v>-3504</v>
      </c>
      <c r="CU25" s="130">
        <f t="shared" si="129"/>
        <v>-3396</v>
      </c>
      <c r="CV25" s="419">
        <f t="shared" ref="CV25:CX25" si="130">SUM(CV23:CV24)</f>
        <v>-1209</v>
      </c>
      <c r="CW25" s="419">
        <f t="shared" si="130"/>
        <v>-1125</v>
      </c>
      <c r="CX25" s="419">
        <f t="shared" si="130"/>
        <v>-243</v>
      </c>
      <c r="CY25" s="419">
        <f t="shared" ref="CY25:DB25" si="131">SUM(CY23:CY24)</f>
        <v>1780</v>
      </c>
      <c r="CZ25" s="130">
        <f t="shared" si="131"/>
        <v>-797</v>
      </c>
      <c r="DA25" s="419">
        <f t="shared" si="131"/>
        <v>6220</v>
      </c>
      <c r="DB25" s="419">
        <f t="shared" si="131"/>
        <v>1056</v>
      </c>
      <c r="DC25" s="419">
        <f t="shared" ref="DC25:DI25" si="132">SUM(DC23:DC24)</f>
        <v>162</v>
      </c>
      <c r="DD25" s="419">
        <f t="shared" si="132"/>
        <v>1592</v>
      </c>
      <c r="DE25" s="130">
        <f t="shared" si="132"/>
        <v>9030</v>
      </c>
      <c r="DF25" s="419">
        <f t="shared" si="132"/>
        <v>1550</v>
      </c>
      <c r="DG25" s="393">
        <f t="shared" si="132"/>
        <v>1322</v>
      </c>
      <c r="DH25" s="393">
        <f t="shared" si="132"/>
        <v>1695</v>
      </c>
      <c r="DI25" s="393">
        <f t="shared" si="132"/>
        <v>1897</v>
      </c>
      <c r="DJ25" s="130"/>
      <c r="DK25" s="393">
        <f t="shared" ref="DK25:DL25" si="133">SUM(DK23:DK24)</f>
        <v>1962</v>
      </c>
      <c r="DL25" s="393">
        <f t="shared" si="133"/>
        <v>2000</v>
      </c>
      <c r="DM25" s="419"/>
      <c r="DN25" s="419"/>
      <c r="DO25" s="130"/>
      <c r="DP25" s="393"/>
      <c r="DQ25" s="419"/>
      <c r="DR25" s="419"/>
      <c r="DS25" s="419"/>
      <c r="DT25" s="130"/>
      <c r="DU25" s="130"/>
      <c r="DV25" s="130"/>
    </row>
    <row r="26" spans="2:126" s="15" customFormat="1" ht="12">
      <c r="B26" s="221" t="s">
        <v>470</v>
      </c>
      <c r="C26" s="130"/>
      <c r="D26" s="130"/>
      <c r="E26" s="130"/>
      <c r="F26" s="130"/>
      <c r="G26" s="130"/>
      <c r="H26" s="130"/>
      <c r="I26" s="130"/>
      <c r="J26" s="419"/>
      <c r="K26" s="419"/>
      <c r="L26" s="419"/>
      <c r="M26" s="419"/>
      <c r="N26" s="130"/>
      <c r="O26" s="419"/>
      <c r="P26" s="419"/>
      <c r="Q26" s="419"/>
      <c r="R26" s="419"/>
      <c r="S26" s="130"/>
      <c r="T26" s="419"/>
      <c r="U26" s="419"/>
      <c r="V26" s="419"/>
      <c r="W26" s="419"/>
      <c r="X26" s="130"/>
      <c r="Y26" s="419"/>
      <c r="Z26" s="419"/>
      <c r="AA26" s="419"/>
      <c r="AB26" s="419"/>
      <c r="AC26" s="130"/>
      <c r="AD26" s="419"/>
      <c r="AE26" s="419"/>
      <c r="AF26" s="419"/>
      <c r="AG26" s="419"/>
      <c r="AH26" s="130"/>
      <c r="AI26" s="419"/>
      <c r="AJ26" s="419"/>
      <c r="AK26" s="419"/>
      <c r="AL26" s="419"/>
      <c r="AM26" s="130"/>
      <c r="AN26" s="419"/>
      <c r="AO26" s="419"/>
      <c r="AP26" s="419"/>
      <c r="AQ26" s="419"/>
      <c r="AR26" s="130"/>
      <c r="AS26" s="419"/>
      <c r="AT26" s="419"/>
      <c r="AU26" s="419"/>
      <c r="AV26" s="419"/>
      <c r="AW26" s="130"/>
      <c r="AX26" s="419"/>
      <c r="AY26" s="419"/>
      <c r="AZ26" s="419"/>
      <c r="BA26" s="419"/>
      <c r="BB26" s="130"/>
      <c r="BC26" s="419"/>
      <c r="BD26" s="419"/>
      <c r="BE26" s="419"/>
      <c r="BF26" s="419"/>
      <c r="BG26" s="130"/>
      <c r="BH26" s="419"/>
      <c r="BI26" s="419"/>
      <c r="BJ26" s="419"/>
      <c r="BK26" s="419"/>
      <c r="BL26" s="130"/>
      <c r="BM26" s="419"/>
      <c r="BN26" s="419"/>
      <c r="BO26" s="419"/>
      <c r="BP26" s="419"/>
      <c r="BQ26" s="130"/>
      <c r="BR26" s="419"/>
      <c r="BS26" s="419"/>
      <c r="BT26" s="419"/>
      <c r="BU26" s="419"/>
      <c r="BV26" s="130"/>
      <c r="BW26" s="419"/>
      <c r="BX26" s="419"/>
      <c r="BY26" s="419"/>
      <c r="BZ26" s="419"/>
      <c r="CA26" s="130"/>
      <c r="CB26" s="419"/>
      <c r="CC26" s="419"/>
      <c r="CD26" s="419"/>
      <c r="CE26" s="419"/>
      <c r="CF26" s="130"/>
      <c r="CG26" s="419"/>
      <c r="CH26" s="419"/>
      <c r="CI26" s="419"/>
      <c r="CJ26" s="419"/>
      <c r="CK26" s="130"/>
      <c r="CL26" s="394">
        <v>-21</v>
      </c>
      <c r="CM26" s="419">
        <v>-993</v>
      </c>
      <c r="CN26" s="419">
        <v>-58</v>
      </c>
      <c r="CO26" s="419">
        <f t="shared" si="63"/>
        <v>161</v>
      </c>
      <c r="CP26" s="130">
        <v>-911</v>
      </c>
      <c r="CQ26" s="394">
        <v>-2894</v>
      </c>
      <c r="CR26" s="394">
        <v>-564</v>
      </c>
      <c r="CS26" s="394">
        <v>602</v>
      </c>
      <c r="CT26" s="394">
        <f t="shared" si="64"/>
        <v>-339</v>
      </c>
      <c r="CU26" s="222">
        <v>-3195</v>
      </c>
      <c r="CV26" s="394">
        <v>101</v>
      </c>
      <c r="CW26" s="313">
        <v>264</v>
      </c>
      <c r="CX26" s="313">
        <v>409</v>
      </c>
      <c r="CY26" s="313">
        <f>CZ26-SUM(CV26:CX26)</f>
        <v>428</v>
      </c>
      <c r="CZ26" s="222">
        <v>1202</v>
      </c>
      <c r="DA26" s="313">
        <v>1257</v>
      </c>
      <c r="DB26" s="394">
        <v>-1019</v>
      </c>
      <c r="DC26" s="394">
        <v>173</v>
      </c>
      <c r="DD26" s="394">
        <f>DE26-SUM(DA26:DC26)</f>
        <v>3</v>
      </c>
      <c r="DE26" s="222">
        <v>414</v>
      </c>
      <c r="DF26" s="394">
        <v>14</v>
      </c>
      <c r="DG26" s="394">
        <v>-54</v>
      </c>
      <c r="DH26" s="394">
        <v>147</v>
      </c>
      <c r="DI26" s="419">
        <v>-6</v>
      </c>
      <c r="DJ26" s="130"/>
      <c r="DK26" s="1082">
        <v>10</v>
      </c>
      <c r="DL26" s="1087">
        <v>21</v>
      </c>
      <c r="DM26" s="419"/>
      <c r="DN26" s="419"/>
      <c r="DO26" s="130"/>
      <c r="DP26" s="1082"/>
      <c r="DQ26" s="419"/>
      <c r="DR26" s="419"/>
      <c r="DS26" s="419"/>
      <c r="DT26" s="130"/>
      <c r="DU26" s="130"/>
      <c r="DV26" s="130"/>
    </row>
    <row r="27" spans="2:126" s="15" customFormat="1" ht="12">
      <c r="B27" s="216" t="s">
        <v>471</v>
      </c>
      <c r="C27" s="130"/>
      <c r="D27" s="130"/>
      <c r="E27" s="130"/>
      <c r="F27" s="130"/>
      <c r="G27" s="130"/>
      <c r="H27" s="130"/>
      <c r="I27" s="130"/>
      <c r="J27" s="419"/>
      <c r="K27" s="419"/>
      <c r="L27" s="419"/>
      <c r="M27" s="419"/>
      <c r="N27" s="130"/>
      <c r="O27" s="419"/>
      <c r="P27" s="419"/>
      <c r="Q27" s="419"/>
      <c r="R27" s="419"/>
      <c r="S27" s="130"/>
      <c r="T27" s="419"/>
      <c r="U27" s="419"/>
      <c r="V27" s="419"/>
      <c r="W27" s="419"/>
      <c r="X27" s="130"/>
      <c r="Y27" s="419"/>
      <c r="Z27" s="419"/>
      <c r="AA27" s="419"/>
      <c r="AB27" s="419"/>
      <c r="AC27" s="130"/>
      <c r="AD27" s="419"/>
      <c r="AE27" s="419"/>
      <c r="AF27" s="419"/>
      <c r="AG27" s="419"/>
      <c r="AH27" s="130"/>
      <c r="AI27" s="419"/>
      <c r="AJ27" s="419"/>
      <c r="AK27" s="419"/>
      <c r="AL27" s="419"/>
      <c r="AM27" s="130"/>
      <c r="AN27" s="419"/>
      <c r="AO27" s="419"/>
      <c r="AP27" s="419"/>
      <c r="AQ27" s="419"/>
      <c r="AR27" s="130"/>
      <c r="AS27" s="419"/>
      <c r="AT27" s="419"/>
      <c r="AU27" s="419"/>
      <c r="AV27" s="419"/>
      <c r="AW27" s="130"/>
      <c r="AX27" s="419"/>
      <c r="AY27" s="419"/>
      <c r="AZ27" s="419"/>
      <c r="BA27" s="419"/>
      <c r="BB27" s="130"/>
      <c r="BC27" s="419"/>
      <c r="BD27" s="419"/>
      <c r="BE27" s="419"/>
      <c r="BF27" s="419"/>
      <c r="BG27" s="130"/>
      <c r="BH27" s="419"/>
      <c r="BI27" s="419"/>
      <c r="BJ27" s="419"/>
      <c r="BK27" s="419"/>
      <c r="BL27" s="130"/>
      <c r="BM27" s="419"/>
      <c r="BN27" s="419"/>
      <c r="BO27" s="419"/>
      <c r="BP27" s="419"/>
      <c r="BQ27" s="130"/>
      <c r="BR27" s="419"/>
      <c r="BS27" s="419"/>
      <c r="BT27" s="419"/>
      <c r="BU27" s="419"/>
      <c r="BV27" s="130"/>
      <c r="BW27" s="419"/>
      <c r="BX27" s="419"/>
      <c r="BY27" s="419"/>
      <c r="BZ27" s="419"/>
      <c r="CA27" s="130"/>
      <c r="CB27" s="419"/>
      <c r="CC27" s="419"/>
      <c r="CD27" s="419"/>
      <c r="CE27" s="419"/>
      <c r="CF27" s="130"/>
      <c r="CG27" s="419"/>
      <c r="CH27" s="419"/>
      <c r="CI27" s="419"/>
      <c r="CJ27" s="419"/>
      <c r="CK27" s="130"/>
      <c r="CL27" s="419">
        <f>SUM(CL25:CL26)</f>
        <v>6233</v>
      </c>
      <c r="CM27" s="419">
        <f t="shared" ref="CM27:DU27" si="134">SUM(CM25:CM26)</f>
        <v>-2132</v>
      </c>
      <c r="CN27" s="419">
        <f t="shared" si="134"/>
        <v>-1194</v>
      </c>
      <c r="CO27" s="419">
        <f t="shared" si="134"/>
        <v>2639</v>
      </c>
      <c r="CP27" s="130">
        <f t="shared" si="134"/>
        <v>5546</v>
      </c>
      <c r="CQ27" s="419">
        <f t="shared" si="134"/>
        <v>-2798</v>
      </c>
      <c r="CR27" s="419">
        <f t="shared" si="134"/>
        <v>-1134</v>
      </c>
      <c r="CS27" s="419">
        <f t="shared" si="134"/>
        <v>1184</v>
      </c>
      <c r="CT27" s="419">
        <f t="shared" si="134"/>
        <v>-3843</v>
      </c>
      <c r="CU27" s="130">
        <f t="shared" si="134"/>
        <v>-6591</v>
      </c>
      <c r="CV27" s="419">
        <f t="shared" si="134"/>
        <v>-1108</v>
      </c>
      <c r="CW27" s="419">
        <f t="shared" si="134"/>
        <v>-861</v>
      </c>
      <c r="CX27" s="419">
        <f t="shared" si="134"/>
        <v>166</v>
      </c>
      <c r="CY27" s="419">
        <f t="shared" si="134"/>
        <v>2208</v>
      </c>
      <c r="CZ27" s="130">
        <f t="shared" si="134"/>
        <v>405</v>
      </c>
      <c r="DA27" s="419">
        <f t="shared" si="134"/>
        <v>7477</v>
      </c>
      <c r="DB27" s="419">
        <f t="shared" si="134"/>
        <v>37</v>
      </c>
      <c r="DC27" s="419">
        <f t="shared" si="134"/>
        <v>335</v>
      </c>
      <c r="DD27" s="419">
        <f t="shared" si="134"/>
        <v>1595</v>
      </c>
      <c r="DE27" s="130">
        <f t="shared" si="134"/>
        <v>9444</v>
      </c>
      <c r="DF27" s="419">
        <f t="shared" si="134"/>
        <v>1564</v>
      </c>
      <c r="DG27" s="393">
        <f t="shared" ref="DG27" si="135">SUM(DG25:DG26)</f>
        <v>1268</v>
      </c>
      <c r="DH27" s="419">
        <f t="shared" si="134"/>
        <v>1842</v>
      </c>
      <c r="DI27" s="419">
        <f t="shared" si="134"/>
        <v>1891</v>
      </c>
      <c r="DJ27" s="130">
        <f t="shared" si="134"/>
        <v>0</v>
      </c>
      <c r="DK27" s="419">
        <f t="shared" ref="DK27:DL27" si="136">SUM(DK25:DK26)</f>
        <v>1972</v>
      </c>
      <c r="DL27" s="393">
        <f t="shared" si="136"/>
        <v>2021</v>
      </c>
      <c r="DM27" s="419">
        <f t="shared" si="134"/>
        <v>0</v>
      </c>
      <c r="DN27" s="419">
        <f t="shared" si="134"/>
        <v>0</v>
      </c>
      <c r="DO27" s="130">
        <f t="shared" si="134"/>
        <v>0</v>
      </c>
      <c r="DP27" s="419"/>
      <c r="DQ27" s="419"/>
      <c r="DR27" s="419"/>
      <c r="DS27" s="419"/>
      <c r="DT27" s="130">
        <f t="shared" si="134"/>
        <v>0</v>
      </c>
      <c r="DU27" s="130">
        <f t="shared" si="134"/>
        <v>0</v>
      </c>
      <c r="DV27" s="130">
        <f t="shared" ref="DV27" si="137">SUM(DV25:DV26)</f>
        <v>0</v>
      </c>
    </row>
    <row r="28" spans="2:126" s="15" customFormat="1">
      <c r="B28" s="221" t="s">
        <v>473</v>
      </c>
      <c r="C28" s="215"/>
      <c r="D28" s="215"/>
      <c r="E28" s="215"/>
      <c r="F28" s="215"/>
      <c r="G28" s="215"/>
      <c r="H28" s="215"/>
      <c r="I28" s="215"/>
      <c r="J28" s="310"/>
      <c r="K28" s="310"/>
      <c r="L28" s="310"/>
      <c r="M28" s="310"/>
      <c r="N28" s="215"/>
      <c r="O28" s="310"/>
      <c r="P28" s="310"/>
      <c r="Q28" s="310"/>
      <c r="R28" s="310"/>
      <c r="S28" s="215"/>
      <c r="T28" s="310"/>
      <c r="U28" s="310"/>
      <c r="V28" s="310"/>
      <c r="W28" s="310"/>
      <c r="X28" s="215"/>
      <c r="Y28" s="310"/>
      <c r="Z28" s="310"/>
      <c r="AA28" s="310"/>
      <c r="AB28" s="310"/>
      <c r="AC28" s="215"/>
      <c r="AD28" s="310"/>
      <c r="AE28" s="310"/>
      <c r="AF28" s="310"/>
      <c r="AG28" s="310"/>
      <c r="AH28" s="215"/>
      <c r="AI28" s="310"/>
      <c r="AJ28" s="310"/>
      <c r="AK28" s="310"/>
      <c r="AL28" s="310"/>
      <c r="AM28" s="215"/>
      <c r="AN28" s="310"/>
      <c r="AO28" s="310"/>
      <c r="AP28" s="310"/>
      <c r="AQ28" s="310"/>
      <c r="AR28" s="215"/>
      <c r="AS28" s="310"/>
      <c r="AT28" s="310"/>
      <c r="AU28" s="310"/>
      <c r="AV28" s="310"/>
      <c r="AW28" s="215"/>
      <c r="AX28" s="310"/>
      <c r="AY28" s="310"/>
      <c r="AZ28" s="310"/>
      <c r="BA28" s="310"/>
      <c r="BB28" s="215"/>
      <c r="BC28" s="310"/>
      <c r="BD28" s="310"/>
      <c r="BE28" s="310"/>
      <c r="BF28" s="310"/>
      <c r="BG28" s="215"/>
      <c r="BH28" s="310"/>
      <c r="BI28" s="310"/>
      <c r="BJ28" s="310"/>
      <c r="BK28" s="310"/>
      <c r="BL28" s="215"/>
      <c r="BM28" s="310"/>
      <c r="BN28" s="310"/>
      <c r="BO28" s="310"/>
      <c r="BP28" s="310"/>
      <c r="BQ28" s="215"/>
      <c r="BR28" s="310"/>
      <c r="BS28" s="310"/>
      <c r="BT28" s="310"/>
      <c r="BU28" s="310"/>
      <c r="BV28" s="215"/>
      <c r="BW28" s="310"/>
      <c r="BX28" s="310"/>
      <c r="BY28" s="310"/>
      <c r="BZ28" s="310"/>
      <c r="CA28" s="215"/>
      <c r="CB28" s="310"/>
      <c r="CC28" s="310"/>
      <c r="CD28" s="310"/>
      <c r="CE28" s="310"/>
      <c r="CF28" s="215"/>
      <c r="CG28" s="310"/>
      <c r="CH28" s="310"/>
      <c r="CI28" s="310"/>
      <c r="CJ28" s="310"/>
      <c r="CK28" s="215"/>
      <c r="CL28" s="310">
        <v>-34</v>
      </c>
      <c r="CM28" s="310">
        <v>145</v>
      </c>
      <c r="CN28" s="310">
        <v>51</v>
      </c>
      <c r="CO28" s="310">
        <f t="shared" si="63"/>
        <v>-4</v>
      </c>
      <c r="CP28" s="215">
        <v>158</v>
      </c>
      <c r="CQ28" s="310">
        <v>-5</v>
      </c>
      <c r="CR28" s="310">
        <v>3</v>
      </c>
      <c r="CS28" s="310">
        <v>73</v>
      </c>
      <c r="CT28" s="310">
        <f t="shared" si="64"/>
        <v>0</v>
      </c>
      <c r="CU28" s="215">
        <v>71</v>
      </c>
      <c r="CV28" s="310">
        <v>-28</v>
      </c>
      <c r="CW28" s="310">
        <v>-19</v>
      </c>
      <c r="CX28" s="310">
        <v>-4</v>
      </c>
      <c r="CY28" s="313">
        <f>CZ28-SUM(CV28:CX28)</f>
        <v>-16</v>
      </c>
      <c r="CZ28" s="215">
        <v>-67</v>
      </c>
      <c r="DA28" s="310">
        <v>27</v>
      </c>
      <c r="DB28" s="310">
        <v>-4</v>
      </c>
      <c r="DC28" s="310">
        <v>14</v>
      </c>
      <c r="DD28" s="310">
        <f>DE28-SUM(DA28:DC28)</f>
        <v>0</v>
      </c>
      <c r="DE28" s="215">
        <v>37</v>
      </c>
      <c r="DF28" s="310">
        <v>-27</v>
      </c>
      <c r="DG28" s="310">
        <v>-2</v>
      </c>
      <c r="DH28" s="310">
        <v>10</v>
      </c>
      <c r="DI28" s="310">
        <v>8</v>
      </c>
      <c r="DJ28" s="215"/>
      <c r="DK28" s="1081">
        <v>5</v>
      </c>
      <c r="DL28" s="1081">
        <v>7</v>
      </c>
      <c r="DM28" s="310"/>
      <c r="DN28" s="310"/>
      <c r="DO28" s="215"/>
      <c r="DP28" s="1081"/>
      <c r="DQ28" s="310"/>
      <c r="DR28" s="310"/>
      <c r="DS28" s="310"/>
      <c r="DT28" s="215"/>
      <c r="DU28" s="215"/>
      <c r="DV28" s="215"/>
    </row>
    <row r="29" spans="2:126" s="15" customFormat="1" ht="12">
      <c r="B29" s="216" t="s">
        <v>547</v>
      </c>
      <c r="C29" s="130">
        <f t="shared" ref="C29:AC29" si="138">SUM(C25:C28)</f>
        <v>0</v>
      </c>
      <c r="D29" s="130">
        <f t="shared" si="138"/>
        <v>0</v>
      </c>
      <c r="E29" s="130">
        <f t="shared" si="138"/>
        <v>0</v>
      </c>
      <c r="F29" s="130">
        <f t="shared" si="138"/>
        <v>0</v>
      </c>
      <c r="G29" s="130">
        <f t="shared" si="138"/>
        <v>0</v>
      </c>
      <c r="H29" s="130">
        <f t="shared" si="138"/>
        <v>0</v>
      </c>
      <c r="I29" s="130">
        <f t="shared" si="138"/>
        <v>0</v>
      </c>
      <c r="J29" s="419">
        <f t="shared" si="138"/>
        <v>0</v>
      </c>
      <c r="K29" s="419">
        <f t="shared" si="138"/>
        <v>0</v>
      </c>
      <c r="L29" s="419">
        <f t="shared" si="138"/>
        <v>0</v>
      </c>
      <c r="M29" s="419">
        <f t="shared" si="138"/>
        <v>0</v>
      </c>
      <c r="N29" s="130">
        <f t="shared" si="138"/>
        <v>0</v>
      </c>
      <c r="O29" s="419">
        <f t="shared" si="138"/>
        <v>0</v>
      </c>
      <c r="P29" s="419">
        <f t="shared" si="138"/>
        <v>0</v>
      </c>
      <c r="Q29" s="419">
        <f t="shared" si="138"/>
        <v>0</v>
      </c>
      <c r="R29" s="419">
        <f t="shared" si="138"/>
        <v>0</v>
      </c>
      <c r="S29" s="130">
        <f t="shared" si="138"/>
        <v>0</v>
      </c>
      <c r="T29" s="419">
        <f t="shared" si="138"/>
        <v>0</v>
      </c>
      <c r="U29" s="419">
        <f t="shared" si="138"/>
        <v>0</v>
      </c>
      <c r="V29" s="419">
        <f t="shared" si="138"/>
        <v>0</v>
      </c>
      <c r="W29" s="419">
        <f t="shared" si="138"/>
        <v>0</v>
      </c>
      <c r="X29" s="130">
        <f t="shared" si="138"/>
        <v>0</v>
      </c>
      <c r="Y29" s="419">
        <f t="shared" si="138"/>
        <v>0</v>
      </c>
      <c r="Z29" s="419">
        <f t="shared" si="138"/>
        <v>0</v>
      </c>
      <c r="AA29" s="419">
        <f t="shared" si="138"/>
        <v>0</v>
      </c>
      <c r="AB29" s="419">
        <f t="shared" si="138"/>
        <v>0</v>
      </c>
      <c r="AC29" s="130">
        <f t="shared" si="138"/>
        <v>0</v>
      </c>
      <c r="AD29" s="419">
        <f t="shared" ref="AD29:AH29" si="139">SUM(AD25:AD28)</f>
        <v>0</v>
      </c>
      <c r="AE29" s="419">
        <f t="shared" si="139"/>
        <v>0</v>
      </c>
      <c r="AF29" s="419">
        <f t="shared" si="139"/>
        <v>0</v>
      </c>
      <c r="AG29" s="419">
        <f t="shared" si="139"/>
        <v>0</v>
      </c>
      <c r="AH29" s="130">
        <f t="shared" si="139"/>
        <v>0</v>
      </c>
      <c r="AI29" s="419">
        <f t="shared" ref="AI29:AR29" si="140">SUM(AI25:AI28)</f>
        <v>0</v>
      </c>
      <c r="AJ29" s="419">
        <f t="shared" si="140"/>
        <v>0</v>
      </c>
      <c r="AK29" s="419">
        <f t="shared" si="140"/>
        <v>0</v>
      </c>
      <c r="AL29" s="419">
        <f t="shared" si="140"/>
        <v>0</v>
      </c>
      <c r="AM29" s="130">
        <f t="shared" si="140"/>
        <v>0</v>
      </c>
      <c r="AN29" s="419">
        <f t="shared" si="140"/>
        <v>0</v>
      </c>
      <c r="AO29" s="419">
        <f t="shared" si="140"/>
        <v>0</v>
      </c>
      <c r="AP29" s="419">
        <f t="shared" si="140"/>
        <v>0</v>
      </c>
      <c r="AQ29" s="419">
        <f t="shared" si="140"/>
        <v>0</v>
      </c>
      <c r="AR29" s="130">
        <f t="shared" si="140"/>
        <v>0</v>
      </c>
      <c r="AS29" s="419">
        <f t="shared" ref="AS29:AW29" si="141">SUM(AS25:AS28)</f>
        <v>0</v>
      </c>
      <c r="AT29" s="419">
        <f t="shared" si="141"/>
        <v>0</v>
      </c>
      <c r="AU29" s="419">
        <f t="shared" si="141"/>
        <v>0</v>
      </c>
      <c r="AV29" s="419">
        <f t="shared" si="141"/>
        <v>0</v>
      </c>
      <c r="AW29" s="130">
        <f t="shared" si="141"/>
        <v>0</v>
      </c>
      <c r="AX29" s="419">
        <f t="shared" ref="AX29:BB29" si="142">SUM(AX25:AX28)</f>
        <v>0</v>
      </c>
      <c r="AY29" s="419">
        <f t="shared" si="142"/>
        <v>0</v>
      </c>
      <c r="AZ29" s="419">
        <f t="shared" si="142"/>
        <v>0</v>
      </c>
      <c r="BA29" s="419">
        <f t="shared" si="142"/>
        <v>0</v>
      </c>
      <c r="BB29" s="130">
        <f t="shared" si="142"/>
        <v>0</v>
      </c>
      <c r="BC29" s="419">
        <f t="shared" ref="BC29:BG29" si="143">SUM(BC25:BC28)</f>
        <v>0</v>
      </c>
      <c r="BD29" s="419">
        <f t="shared" si="143"/>
        <v>0</v>
      </c>
      <c r="BE29" s="419">
        <f t="shared" si="143"/>
        <v>0</v>
      </c>
      <c r="BF29" s="419">
        <f t="shared" si="143"/>
        <v>0</v>
      </c>
      <c r="BG29" s="130">
        <f t="shared" si="143"/>
        <v>0</v>
      </c>
      <c r="BH29" s="419">
        <f t="shared" ref="BH29:BL29" si="144">SUM(BH25:BH28)</f>
        <v>0</v>
      </c>
      <c r="BI29" s="419">
        <f t="shared" si="144"/>
        <v>0</v>
      </c>
      <c r="BJ29" s="419">
        <f t="shared" si="144"/>
        <v>0</v>
      </c>
      <c r="BK29" s="419">
        <f t="shared" si="144"/>
        <v>0</v>
      </c>
      <c r="BL29" s="130">
        <f t="shared" si="144"/>
        <v>0</v>
      </c>
      <c r="BM29" s="419">
        <f t="shared" ref="BM29:BQ29" si="145">SUM(BM25:BM28)</f>
        <v>0</v>
      </c>
      <c r="BN29" s="419">
        <f t="shared" si="145"/>
        <v>0</v>
      </c>
      <c r="BO29" s="419">
        <f t="shared" si="145"/>
        <v>0</v>
      </c>
      <c r="BP29" s="419">
        <f t="shared" si="145"/>
        <v>0</v>
      </c>
      <c r="BQ29" s="130">
        <f t="shared" si="145"/>
        <v>0</v>
      </c>
      <c r="BR29" s="419">
        <f t="shared" ref="BR29:BV29" si="146">SUM(BR25:BR28)</f>
        <v>0</v>
      </c>
      <c r="BS29" s="419">
        <f t="shared" si="146"/>
        <v>0</v>
      </c>
      <c r="BT29" s="419">
        <f t="shared" si="146"/>
        <v>0</v>
      </c>
      <c r="BU29" s="419">
        <f t="shared" si="146"/>
        <v>0</v>
      </c>
      <c r="BV29" s="130">
        <f t="shared" si="146"/>
        <v>0</v>
      </c>
      <c r="BW29" s="419">
        <f t="shared" ref="BW29:CA29" si="147">SUM(BW25:BW28)</f>
        <v>0</v>
      </c>
      <c r="BX29" s="419">
        <f t="shared" si="147"/>
        <v>0</v>
      </c>
      <c r="BY29" s="419">
        <f t="shared" si="147"/>
        <v>0</v>
      </c>
      <c r="BZ29" s="419">
        <f t="shared" si="147"/>
        <v>0</v>
      </c>
      <c r="CA29" s="130">
        <f t="shared" si="147"/>
        <v>0</v>
      </c>
      <c r="CB29" s="419">
        <f t="shared" ref="CB29:CF29" si="148">SUM(CB25:CB28)</f>
        <v>0</v>
      </c>
      <c r="CC29" s="419">
        <f t="shared" si="148"/>
        <v>0</v>
      </c>
      <c r="CD29" s="419">
        <f t="shared" si="148"/>
        <v>0</v>
      </c>
      <c r="CE29" s="419">
        <f t="shared" si="148"/>
        <v>0</v>
      </c>
      <c r="CF29" s="130">
        <f t="shared" si="148"/>
        <v>0</v>
      </c>
      <c r="CG29" s="419">
        <f t="shared" ref="CG29:CK29" si="149">SUM(CG25:CG28)</f>
        <v>0</v>
      </c>
      <c r="CH29" s="419">
        <f t="shared" si="149"/>
        <v>0</v>
      </c>
      <c r="CI29" s="419">
        <f t="shared" si="149"/>
        <v>0</v>
      </c>
      <c r="CJ29" s="419">
        <f t="shared" si="149"/>
        <v>0</v>
      </c>
      <c r="CK29" s="130">
        <f t="shared" si="149"/>
        <v>0</v>
      </c>
      <c r="CL29" s="419">
        <f>SUM(CL27:CL28)</f>
        <v>6199</v>
      </c>
      <c r="CM29" s="419">
        <f t="shared" ref="CM29:DF29" si="150">SUM(CM27:CM28)</f>
        <v>-1987</v>
      </c>
      <c r="CN29" s="419">
        <f t="shared" si="150"/>
        <v>-1143</v>
      </c>
      <c r="CO29" s="419">
        <f t="shared" si="150"/>
        <v>2635</v>
      </c>
      <c r="CP29" s="130">
        <f t="shared" si="150"/>
        <v>5704</v>
      </c>
      <c r="CQ29" s="419">
        <f t="shared" si="150"/>
        <v>-2803</v>
      </c>
      <c r="CR29" s="419">
        <f t="shared" si="150"/>
        <v>-1131</v>
      </c>
      <c r="CS29" s="419">
        <f t="shared" si="150"/>
        <v>1257</v>
      </c>
      <c r="CT29" s="419">
        <f t="shared" si="150"/>
        <v>-3843</v>
      </c>
      <c r="CU29" s="130">
        <f t="shared" si="150"/>
        <v>-6520</v>
      </c>
      <c r="CV29" s="419">
        <f t="shared" si="150"/>
        <v>-1136</v>
      </c>
      <c r="CW29" s="419">
        <f t="shared" si="150"/>
        <v>-880</v>
      </c>
      <c r="CX29" s="419">
        <f t="shared" si="150"/>
        <v>162</v>
      </c>
      <c r="CY29" s="419">
        <f t="shared" si="150"/>
        <v>2192</v>
      </c>
      <c r="CZ29" s="130">
        <f t="shared" si="150"/>
        <v>338</v>
      </c>
      <c r="DA29" s="419">
        <f t="shared" si="150"/>
        <v>7504</v>
      </c>
      <c r="DB29" s="419">
        <f t="shared" si="150"/>
        <v>33</v>
      </c>
      <c r="DC29" s="419">
        <f t="shared" si="150"/>
        <v>349</v>
      </c>
      <c r="DD29" s="419">
        <f t="shared" si="150"/>
        <v>1595</v>
      </c>
      <c r="DE29" s="130">
        <f t="shared" si="150"/>
        <v>9481</v>
      </c>
      <c r="DF29" s="419">
        <f t="shared" si="150"/>
        <v>1537</v>
      </c>
      <c r="DG29" s="393">
        <f t="shared" ref="DG29:DI29" si="151">SUM(DG27:DG28)</f>
        <v>1266</v>
      </c>
      <c r="DH29" s="393">
        <f t="shared" si="151"/>
        <v>1852</v>
      </c>
      <c r="DI29" s="393">
        <f t="shared" si="151"/>
        <v>1899</v>
      </c>
      <c r="DJ29" s="130"/>
      <c r="DK29" s="393">
        <f t="shared" ref="DK29:DL29" si="152">SUM(DK27:DK28)</f>
        <v>1977</v>
      </c>
      <c r="DL29" s="393">
        <f t="shared" si="152"/>
        <v>2028</v>
      </c>
      <c r="DM29" s="419"/>
      <c r="DN29" s="419"/>
      <c r="DO29" s="130"/>
      <c r="DP29" s="393"/>
      <c r="DQ29" s="419"/>
      <c r="DR29" s="419"/>
      <c r="DS29" s="419"/>
      <c r="DT29" s="130"/>
      <c r="DU29" s="130"/>
      <c r="DV29" s="130"/>
    </row>
    <row r="30" spans="2:126" s="221" customFormat="1">
      <c r="B30" s="221" t="s">
        <v>472</v>
      </c>
      <c r="C30" s="222"/>
      <c r="D30" s="222"/>
      <c r="E30" s="222"/>
      <c r="F30" s="222"/>
      <c r="G30" s="222"/>
      <c r="H30" s="314"/>
      <c r="I30" s="222"/>
      <c r="J30" s="394"/>
      <c r="K30" s="394"/>
      <c r="L30" s="394"/>
      <c r="M30" s="394"/>
      <c r="N30" s="222"/>
      <c r="O30" s="394"/>
      <c r="P30" s="394"/>
      <c r="Q30" s="394"/>
      <c r="R30" s="394"/>
      <c r="S30" s="222"/>
      <c r="T30" s="394"/>
      <c r="U30" s="394"/>
      <c r="V30" s="394"/>
      <c r="W30" s="394"/>
      <c r="X30" s="222"/>
      <c r="Y30" s="394"/>
      <c r="Z30" s="394"/>
      <c r="AA30" s="394"/>
      <c r="AB30" s="394"/>
      <c r="AC30" s="222"/>
      <c r="AD30" s="394"/>
      <c r="AE30" s="394"/>
      <c r="AF30" s="394"/>
      <c r="AG30" s="394"/>
      <c r="AH30" s="222"/>
      <c r="AI30" s="394"/>
      <c r="AJ30" s="394"/>
      <c r="AK30" s="394"/>
      <c r="AL30" s="394"/>
      <c r="AM30" s="222"/>
      <c r="AN30" s="394"/>
      <c r="AO30" s="394"/>
      <c r="AP30" s="394"/>
      <c r="AQ30" s="394"/>
      <c r="AR30" s="222"/>
      <c r="AS30" s="394"/>
      <c r="AT30" s="394"/>
      <c r="AU30" s="394"/>
      <c r="AV30" s="394"/>
      <c r="AW30" s="222"/>
      <c r="AX30" s="394"/>
      <c r="AY30" s="394"/>
      <c r="AZ30" s="394"/>
      <c r="BA30" s="394"/>
      <c r="BB30" s="222"/>
      <c r="BC30" s="394"/>
      <c r="BD30" s="394"/>
      <c r="BE30" s="394"/>
      <c r="BF30" s="394"/>
      <c r="BG30" s="222"/>
      <c r="BH30" s="394"/>
      <c r="BI30" s="394"/>
      <c r="BJ30" s="394"/>
      <c r="BK30" s="394"/>
      <c r="BL30" s="222"/>
      <c r="BM30" s="394"/>
      <c r="BN30" s="394"/>
      <c r="BO30" s="394"/>
      <c r="BP30" s="394"/>
      <c r="BQ30" s="222"/>
      <c r="BR30" s="394"/>
      <c r="BS30" s="394"/>
      <c r="BT30" s="394"/>
      <c r="BU30" s="394"/>
      <c r="BV30" s="222"/>
      <c r="BW30" s="394"/>
      <c r="BX30" s="394"/>
      <c r="BY30" s="394"/>
      <c r="BZ30" s="394"/>
      <c r="CA30" s="222"/>
      <c r="CB30" s="394"/>
      <c r="CC30" s="394"/>
      <c r="CD30" s="394"/>
      <c r="CE30" s="394"/>
      <c r="CF30" s="222"/>
      <c r="CG30" s="394"/>
      <c r="CH30" s="394"/>
      <c r="CI30" s="394"/>
      <c r="CJ30" s="394"/>
      <c r="CK30" s="222"/>
      <c r="CL30" s="394">
        <v>-43</v>
      </c>
      <c r="CM30" s="394">
        <v>-192</v>
      </c>
      <c r="CN30" s="394">
        <v>-46</v>
      </c>
      <c r="CO30" s="394">
        <f t="shared" si="63"/>
        <v>-193</v>
      </c>
      <c r="CP30" s="222">
        <v>-474</v>
      </c>
      <c r="CQ30" s="394">
        <v>-72</v>
      </c>
      <c r="CR30" s="394">
        <v>-57</v>
      </c>
      <c r="CS30" s="394">
        <v>-52</v>
      </c>
      <c r="CT30" s="394">
        <f t="shared" si="64"/>
        <v>-56</v>
      </c>
      <c r="CU30" s="222">
        <v>-237</v>
      </c>
      <c r="CV30" s="394">
        <v>-52</v>
      </c>
      <c r="CW30" s="394">
        <v>-67</v>
      </c>
      <c r="CX30" s="394">
        <v>-73</v>
      </c>
      <c r="CY30" s="313">
        <f>CZ30-SUM(CV30:CX30)</f>
        <v>-97</v>
      </c>
      <c r="CZ30" s="222">
        <v>-289</v>
      </c>
      <c r="DA30" s="394">
        <v>-145</v>
      </c>
      <c r="DB30" s="394">
        <v>-58</v>
      </c>
      <c r="DC30" s="394">
        <v>-91</v>
      </c>
      <c r="DD30" s="394">
        <f>DE30-SUM(DA30:DC30)</f>
        <v>-1</v>
      </c>
      <c r="DE30" s="222">
        <v>-295</v>
      </c>
      <c r="DF30" s="394">
        <v>0</v>
      </c>
      <c r="DG30" s="394">
        <v>0</v>
      </c>
      <c r="DH30" s="394">
        <v>0</v>
      </c>
      <c r="DI30" s="313">
        <v>0</v>
      </c>
      <c r="DJ30" s="222"/>
      <c r="DK30" s="1078">
        <v>0</v>
      </c>
      <c r="DL30" s="1087">
        <v>0</v>
      </c>
      <c r="DM30" s="394"/>
      <c r="DN30" s="394"/>
      <c r="DO30" s="222"/>
      <c r="DP30" s="1078"/>
      <c r="DQ30" s="394"/>
      <c r="DR30" s="394"/>
      <c r="DS30" s="394"/>
      <c r="DT30" s="222"/>
      <c r="DU30" s="222"/>
      <c r="DV30" s="222"/>
    </row>
    <row r="31" spans="2:126" s="15" customFormat="1" ht="12">
      <c r="B31" s="216" t="s">
        <v>474</v>
      </c>
      <c r="C31" s="130"/>
      <c r="D31" s="130"/>
      <c r="E31" s="130"/>
      <c r="F31" s="130"/>
      <c r="G31" s="130"/>
      <c r="H31" s="255"/>
      <c r="I31" s="130"/>
      <c r="J31" s="419"/>
      <c r="K31" s="419"/>
      <c r="L31" s="419"/>
      <c r="M31" s="419"/>
      <c r="N31" s="130"/>
      <c r="O31" s="419"/>
      <c r="P31" s="419"/>
      <c r="Q31" s="419"/>
      <c r="R31" s="419"/>
      <c r="S31" s="130"/>
      <c r="T31" s="419"/>
      <c r="U31" s="419"/>
      <c r="V31" s="419"/>
      <c r="W31" s="419"/>
      <c r="X31" s="130"/>
      <c r="Y31" s="419"/>
      <c r="Z31" s="419"/>
      <c r="AA31" s="419"/>
      <c r="AB31" s="419"/>
      <c r="AC31" s="130"/>
      <c r="AD31" s="419"/>
      <c r="AE31" s="419"/>
      <c r="AF31" s="419"/>
      <c r="AG31" s="419"/>
      <c r="AH31" s="130"/>
      <c r="AI31" s="419"/>
      <c r="AJ31" s="419"/>
      <c r="AK31" s="419"/>
      <c r="AL31" s="419"/>
      <c r="AM31" s="130"/>
      <c r="AN31" s="419"/>
      <c r="AO31" s="419"/>
      <c r="AP31" s="419"/>
      <c r="AQ31" s="419"/>
      <c r="AR31" s="130"/>
      <c r="AS31" s="419"/>
      <c r="AT31" s="419"/>
      <c r="AU31" s="419"/>
      <c r="AV31" s="419"/>
      <c r="AW31" s="130"/>
      <c r="AX31" s="419"/>
      <c r="AY31" s="419"/>
      <c r="AZ31" s="419"/>
      <c r="BA31" s="419"/>
      <c r="BB31" s="130"/>
      <c r="BC31" s="419"/>
      <c r="BD31" s="419"/>
      <c r="BE31" s="419"/>
      <c r="BF31" s="419"/>
      <c r="BG31" s="130"/>
      <c r="BH31" s="419"/>
      <c r="BI31" s="419"/>
      <c r="BJ31" s="419"/>
      <c r="BK31" s="419"/>
      <c r="BL31" s="130"/>
      <c r="BM31" s="419"/>
      <c r="BN31" s="419"/>
      <c r="BO31" s="419"/>
      <c r="BP31" s="419"/>
      <c r="BQ31" s="130"/>
      <c r="BR31" s="419"/>
      <c r="BS31" s="419"/>
      <c r="BT31" s="419"/>
      <c r="BU31" s="419"/>
      <c r="BV31" s="130"/>
      <c r="BW31" s="419"/>
      <c r="BX31" s="419"/>
      <c r="BY31" s="419"/>
      <c r="BZ31" s="419"/>
      <c r="CA31" s="130"/>
      <c r="CB31" s="419"/>
      <c r="CC31" s="419"/>
      <c r="CD31" s="419"/>
      <c r="CE31" s="419"/>
      <c r="CF31" s="130"/>
      <c r="CG31" s="419"/>
      <c r="CH31" s="419"/>
      <c r="CI31" s="419"/>
      <c r="CJ31" s="419"/>
      <c r="CK31" s="130"/>
      <c r="CL31" s="419">
        <f>SUM(CL29:CL30)</f>
        <v>6156</v>
      </c>
      <c r="CM31" s="419">
        <f t="shared" ref="CM31:DF31" si="153">SUM(CM29:CM30)</f>
        <v>-2179</v>
      </c>
      <c r="CN31" s="419">
        <f t="shared" si="153"/>
        <v>-1189</v>
      </c>
      <c r="CO31" s="419">
        <f t="shared" si="153"/>
        <v>2442</v>
      </c>
      <c r="CP31" s="130">
        <f t="shared" si="153"/>
        <v>5230</v>
      </c>
      <c r="CQ31" s="419">
        <f t="shared" si="153"/>
        <v>-2875</v>
      </c>
      <c r="CR31" s="419">
        <f t="shared" si="153"/>
        <v>-1188</v>
      </c>
      <c r="CS31" s="419">
        <f t="shared" si="153"/>
        <v>1205</v>
      </c>
      <c r="CT31" s="419">
        <f t="shared" si="153"/>
        <v>-3899</v>
      </c>
      <c r="CU31" s="130">
        <f t="shared" si="153"/>
        <v>-6757</v>
      </c>
      <c r="CV31" s="419">
        <f t="shared" si="153"/>
        <v>-1188</v>
      </c>
      <c r="CW31" s="419">
        <f t="shared" si="153"/>
        <v>-947</v>
      </c>
      <c r="CX31" s="419">
        <f t="shared" si="153"/>
        <v>89</v>
      </c>
      <c r="CY31" s="419">
        <f t="shared" si="153"/>
        <v>2095</v>
      </c>
      <c r="CZ31" s="130">
        <f t="shared" si="153"/>
        <v>49</v>
      </c>
      <c r="DA31" s="419">
        <f t="shared" si="153"/>
        <v>7359</v>
      </c>
      <c r="DB31" s="419">
        <f t="shared" si="153"/>
        <v>-25</v>
      </c>
      <c r="DC31" s="419">
        <f t="shared" si="153"/>
        <v>258</v>
      </c>
      <c r="DD31" s="419">
        <f t="shared" si="153"/>
        <v>1594</v>
      </c>
      <c r="DE31" s="130">
        <f t="shared" si="153"/>
        <v>9186</v>
      </c>
      <c r="DF31" s="419">
        <f t="shared" si="153"/>
        <v>1537</v>
      </c>
      <c r="DG31" s="393">
        <f t="shared" ref="DG31:DI31" si="154">SUM(DG29:DG30)</f>
        <v>1266</v>
      </c>
      <c r="DH31" s="393">
        <f t="shared" si="154"/>
        <v>1852</v>
      </c>
      <c r="DI31" s="393">
        <f t="shared" si="154"/>
        <v>1899</v>
      </c>
      <c r="DJ31" s="130"/>
      <c r="DK31" s="393">
        <f t="shared" ref="DK31:DL31" si="155">SUM(DK29:DK30)</f>
        <v>1977</v>
      </c>
      <c r="DL31" s="393">
        <f t="shared" si="155"/>
        <v>2028</v>
      </c>
      <c r="DM31" s="419"/>
      <c r="DN31" s="419"/>
      <c r="DO31" s="130"/>
      <c r="DP31" s="393"/>
      <c r="DQ31" s="419"/>
      <c r="DR31" s="419"/>
      <c r="DS31" s="419"/>
      <c r="DT31" s="130"/>
      <c r="DU31" s="130"/>
      <c r="DV31" s="130"/>
    </row>
    <row r="32" spans="2:126" s="221" customFormat="1">
      <c r="B32" s="221" t="s">
        <v>557</v>
      </c>
      <c r="C32" s="222"/>
      <c r="D32" s="222"/>
      <c r="E32" s="222"/>
      <c r="F32" s="222"/>
      <c r="G32" s="222"/>
      <c r="H32" s="314"/>
      <c r="I32" s="222"/>
      <c r="J32" s="394"/>
      <c r="K32" s="394"/>
      <c r="L32" s="394"/>
      <c r="M32" s="394"/>
      <c r="N32" s="222"/>
      <c r="O32" s="394"/>
      <c r="P32" s="394"/>
      <c r="Q32" s="394"/>
      <c r="R32" s="394"/>
      <c r="S32" s="222"/>
      <c r="T32" s="394"/>
      <c r="U32" s="394"/>
      <c r="V32" s="394"/>
      <c r="W32" s="394"/>
      <c r="X32" s="222"/>
      <c r="Y32" s="394"/>
      <c r="Z32" s="394"/>
      <c r="AA32" s="394"/>
      <c r="AB32" s="394"/>
      <c r="AC32" s="222"/>
      <c r="AD32" s="394"/>
      <c r="AE32" s="394"/>
      <c r="AF32" s="394"/>
      <c r="AG32" s="394"/>
      <c r="AH32" s="222"/>
      <c r="AI32" s="394"/>
      <c r="AJ32" s="394"/>
      <c r="AK32" s="394"/>
      <c r="AL32" s="394"/>
      <c r="AM32" s="222"/>
      <c r="AN32" s="394"/>
      <c r="AO32" s="394"/>
      <c r="AP32" s="394"/>
      <c r="AQ32" s="394"/>
      <c r="AR32" s="222"/>
      <c r="AS32" s="394"/>
      <c r="AT32" s="394"/>
      <c r="AU32" s="394"/>
      <c r="AV32" s="394"/>
      <c r="AW32" s="222"/>
      <c r="AX32" s="394"/>
      <c r="AY32" s="394"/>
      <c r="AZ32" s="394"/>
      <c r="BA32" s="394"/>
      <c r="BB32" s="222"/>
      <c r="BC32" s="394"/>
      <c r="BD32" s="394"/>
      <c r="BE32" s="394"/>
      <c r="BF32" s="394"/>
      <c r="BG32" s="222"/>
      <c r="BH32" s="394"/>
      <c r="BI32" s="394"/>
      <c r="BJ32" s="394"/>
      <c r="BK32" s="394"/>
      <c r="BL32" s="222"/>
      <c r="BM32" s="394"/>
      <c r="BN32" s="394"/>
      <c r="BO32" s="394"/>
      <c r="BP32" s="394"/>
      <c r="BQ32" s="222"/>
      <c r="BR32" s="394"/>
      <c r="BS32" s="394"/>
      <c r="BT32" s="394"/>
      <c r="BU32" s="394"/>
      <c r="BV32" s="222"/>
      <c r="BW32" s="394"/>
      <c r="BX32" s="394"/>
      <c r="BY32" s="394"/>
      <c r="BZ32" s="394"/>
      <c r="CA32" s="222"/>
      <c r="CB32" s="394"/>
      <c r="CC32" s="394"/>
      <c r="CD32" s="394"/>
      <c r="CE32" s="394"/>
      <c r="CF32" s="222"/>
      <c r="CG32" s="394"/>
      <c r="CH32" s="394"/>
      <c r="CI32" s="394"/>
      <c r="CJ32" s="394"/>
      <c r="CK32" s="222"/>
      <c r="CL32" s="394">
        <v>-21</v>
      </c>
      <c r="CM32" s="394">
        <v>-993</v>
      </c>
      <c r="CN32" s="394">
        <v>-58</v>
      </c>
      <c r="CO32" s="394">
        <f>CP32-SUM(CL32:CN32)</f>
        <v>161</v>
      </c>
      <c r="CP32" s="222">
        <v>-911</v>
      </c>
      <c r="CQ32" s="394">
        <v>-2894</v>
      </c>
      <c r="CR32" s="394">
        <v>-564</v>
      </c>
      <c r="CS32" s="394">
        <v>602</v>
      </c>
      <c r="CT32" s="394">
        <f>CU32-SUM(CQ32:CS32)</f>
        <v>-339</v>
      </c>
      <c r="CU32" s="222">
        <v>-3195</v>
      </c>
      <c r="CV32" s="394">
        <v>88</v>
      </c>
      <c r="CW32" s="394">
        <v>252</v>
      </c>
      <c r="CX32" s="394">
        <v>403</v>
      </c>
      <c r="CY32" s="394">
        <f>CZ32-SUM(CV32:CX32)</f>
        <v>408</v>
      </c>
      <c r="CZ32" s="222">
        <v>1151</v>
      </c>
      <c r="DA32" s="394">
        <v>1257</v>
      </c>
      <c r="DB32" s="394">
        <v>-1019</v>
      </c>
      <c r="DC32" s="394">
        <v>173</v>
      </c>
      <c r="DD32" s="394">
        <f>DE32-SUM(DA32:DC32)</f>
        <v>3</v>
      </c>
      <c r="DE32" s="222">
        <v>414</v>
      </c>
      <c r="DF32" s="394">
        <v>14</v>
      </c>
      <c r="DG32" s="394">
        <v>-54</v>
      </c>
      <c r="DH32" s="394">
        <v>147</v>
      </c>
      <c r="DI32" s="313">
        <v>-6</v>
      </c>
      <c r="DJ32" s="222"/>
      <c r="DK32" s="1078">
        <v>-6</v>
      </c>
      <c r="DL32" s="1087">
        <v>0</v>
      </c>
      <c r="DM32" s="394"/>
      <c r="DN32" s="394"/>
      <c r="DO32" s="222"/>
      <c r="DP32" s="1078"/>
      <c r="DQ32" s="394"/>
      <c r="DR32" s="394"/>
      <c r="DS32" s="394"/>
      <c r="DT32" s="222"/>
      <c r="DU32" s="222"/>
      <c r="DV32" s="222"/>
    </row>
    <row r="33" spans="1:126" s="15" customFormat="1" ht="12">
      <c r="B33" s="216" t="s">
        <v>36</v>
      </c>
      <c r="C33" s="103"/>
      <c r="D33" s="103"/>
      <c r="E33" s="103"/>
      <c r="F33" s="103"/>
      <c r="G33" s="103"/>
      <c r="H33" s="51"/>
      <c r="I33" s="103"/>
      <c r="J33" s="381"/>
      <c r="K33" s="381"/>
      <c r="L33" s="381"/>
      <c r="M33" s="381"/>
      <c r="N33" s="16"/>
      <c r="O33" s="381"/>
      <c r="P33" s="381"/>
      <c r="Q33" s="381"/>
      <c r="R33" s="381"/>
      <c r="S33" s="16"/>
      <c r="T33" s="381"/>
      <c r="U33" s="381"/>
      <c r="V33" s="381"/>
      <c r="W33" s="381"/>
      <c r="X33" s="16"/>
      <c r="Y33" s="381"/>
      <c r="Z33" s="381"/>
      <c r="AA33" s="381"/>
      <c r="AB33" s="381"/>
      <c r="AC33" s="16"/>
      <c r="AD33" s="381"/>
      <c r="AE33" s="381"/>
      <c r="AF33" s="381"/>
      <c r="AG33" s="381"/>
      <c r="AH33" s="16"/>
      <c r="AI33" s="381"/>
      <c r="AJ33" s="381"/>
      <c r="AK33" s="381"/>
      <c r="AL33" s="381"/>
      <c r="AM33" s="16"/>
      <c r="AN33" s="381"/>
      <c r="AO33" s="381"/>
      <c r="AP33" s="381"/>
      <c r="AQ33" s="381"/>
      <c r="AR33" s="16"/>
      <c r="AS33" s="381"/>
      <c r="AT33" s="381"/>
      <c r="AU33" s="381"/>
      <c r="AV33" s="381"/>
      <c r="AW33" s="16"/>
      <c r="AX33" s="381"/>
      <c r="AY33" s="381"/>
      <c r="AZ33" s="381"/>
      <c r="BA33" s="381"/>
      <c r="BB33" s="16"/>
      <c r="BC33" s="381"/>
      <c r="BD33" s="381"/>
      <c r="BE33" s="381"/>
      <c r="BF33" s="381"/>
      <c r="BG33" s="16"/>
      <c r="BH33" s="381"/>
      <c r="BI33" s="381"/>
      <c r="BJ33" s="381"/>
      <c r="BK33" s="381"/>
      <c r="BL33" s="16"/>
      <c r="BM33" s="381"/>
      <c r="BN33" s="381"/>
      <c r="BO33" s="381"/>
      <c r="BP33" s="381"/>
      <c r="BQ33" s="16"/>
      <c r="BR33" s="381"/>
      <c r="BS33" s="381"/>
      <c r="BT33" s="381"/>
      <c r="BU33" s="381"/>
      <c r="BV33" s="16"/>
      <c r="BW33" s="381"/>
      <c r="BX33" s="381"/>
      <c r="BY33" s="381"/>
      <c r="BZ33" s="381"/>
      <c r="CA33" s="16"/>
      <c r="CB33" s="381"/>
      <c r="CC33" s="381"/>
      <c r="CD33" s="381"/>
      <c r="CE33" s="381"/>
      <c r="CF33" s="16"/>
      <c r="CG33" s="381"/>
      <c r="CH33" s="381"/>
      <c r="CI33" s="381"/>
      <c r="CJ33" s="381"/>
      <c r="CK33" s="16"/>
      <c r="CL33" s="910">
        <f>CL31-CL32</f>
        <v>6177</v>
      </c>
      <c r="CM33" s="910">
        <f>CM31-CM32</f>
        <v>-1186</v>
      </c>
      <c r="CN33" s="910">
        <f>CN31-CN32</f>
        <v>-1131</v>
      </c>
      <c r="CO33" s="910">
        <f>CP33-SUM(CL33:CN33)</f>
        <v>2281</v>
      </c>
      <c r="CP33" s="225">
        <f>CP31-CP32</f>
        <v>6141</v>
      </c>
      <c r="CQ33" s="910">
        <f>CQ31-CQ32</f>
        <v>19</v>
      </c>
      <c r="CR33" s="910">
        <f>CR31-CR32</f>
        <v>-624</v>
      </c>
      <c r="CS33" s="910">
        <f>CS31-CS32</f>
        <v>603</v>
      </c>
      <c r="CT33" s="910">
        <f>CU33-SUM(CQ33:CS33)</f>
        <v>-3560</v>
      </c>
      <c r="CU33" s="225">
        <f>CU31-CU32</f>
        <v>-3562</v>
      </c>
      <c r="CV33" s="910">
        <f>CV31-CV32</f>
        <v>-1276</v>
      </c>
      <c r="CW33" s="910">
        <f>CW31-CW32</f>
        <v>-1199</v>
      </c>
      <c r="CX33" s="910">
        <f>CX31-CX32</f>
        <v>-314</v>
      </c>
      <c r="CY33" s="910">
        <f>CZ33-SUM(CV33:CX33)</f>
        <v>1687</v>
      </c>
      <c r="CZ33" s="225">
        <f>CZ31-CZ32</f>
        <v>-1102</v>
      </c>
      <c r="DA33" s="910">
        <f>DA31-DA32</f>
        <v>6102</v>
      </c>
      <c r="DB33" s="910">
        <f>DB31-DB32</f>
        <v>994</v>
      </c>
      <c r="DC33" s="910">
        <f>DC31-DC32</f>
        <v>85</v>
      </c>
      <c r="DD33" s="910">
        <f>DE33-SUM(DA33:DC33)</f>
        <v>1591</v>
      </c>
      <c r="DE33" s="225">
        <f>DE31-DE32</f>
        <v>8772</v>
      </c>
      <c r="DF33" s="910">
        <f>DF31-DF32</f>
        <v>1523</v>
      </c>
      <c r="DG33" s="910">
        <f>DG31-DG32</f>
        <v>1320</v>
      </c>
      <c r="DH33" s="910">
        <f>DH31-DH32</f>
        <v>1705</v>
      </c>
      <c r="DI33" s="910">
        <f>DI31-DI32</f>
        <v>1905</v>
      </c>
      <c r="DJ33" s="16"/>
      <c r="DK33" s="910">
        <f>DK31-DK32</f>
        <v>1983</v>
      </c>
      <c r="DL33" s="910">
        <f>DL31-DL32</f>
        <v>2028</v>
      </c>
      <c r="DM33" s="381"/>
      <c r="DN33" s="381"/>
      <c r="DO33" s="16"/>
      <c r="DP33" s="910"/>
      <c r="DQ33" s="381"/>
      <c r="DR33" s="381"/>
      <c r="DS33" s="381"/>
      <c r="DT33" s="16"/>
      <c r="DU33" s="16"/>
      <c r="DV33" s="16"/>
    </row>
    <row r="34" spans="1:126" s="15" customFormat="1">
      <c r="C34" s="103"/>
      <c r="D34" s="103"/>
      <c r="E34" s="103"/>
      <c r="F34" s="103"/>
      <c r="G34" s="103"/>
      <c r="H34" s="51"/>
      <c r="I34" s="103"/>
      <c r="J34" s="381"/>
      <c r="K34" s="381"/>
      <c r="L34" s="381"/>
      <c r="M34" s="381"/>
      <c r="N34" s="16"/>
      <c r="O34" s="381"/>
      <c r="P34" s="381"/>
      <c r="Q34" s="381"/>
      <c r="R34" s="381"/>
      <c r="S34" s="16"/>
      <c r="T34" s="381"/>
      <c r="U34" s="381"/>
      <c r="V34" s="381"/>
      <c r="W34" s="381"/>
      <c r="X34" s="16"/>
      <c r="Y34" s="381"/>
      <c r="Z34" s="381"/>
      <c r="AA34" s="381"/>
      <c r="AB34" s="381"/>
      <c r="AC34" s="16"/>
      <c r="AD34" s="381"/>
      <c r="AE34" s="381"/>
      <c r="AF34" s="381"/>
      <c r="AG34" s="381"/>
      <c r="AH34" s="16"/>
      <c r="AI34" s="381"/>
      <c r="AJ34" s="381"/>
      <c r="AK34" s="381"/>
      <c r="AL34" s="381"/>
      <c r="AM34" s="16"/>
      <c r="AN34" s="381"/>
      <c r="AO34" s="381"/>
      <c r="AP34" s="381"/>
      <c r="AQ34" s="381"/>
      <c r="AR34" s="16"/>
      <c r="AS34" s="381"/>
      <c r="AT34" s="381"/>
      <c r="AU34" s="381"/>
      <c r="AV34" s="381"/>
      <c r="AW34" s="16"/>
      <c r="AX34" s="381"/>
      <c r="AY34" s="381"/>
      <c r="AZ34" s="381"/>
      <c r="BA34" s="381"/>
      <c r="BB34" s="16"/>
      <c r="BC34" s="381"/>
      <c r="BD34" s="381"/>
      <c r="BE34" s="381"/>
      <c r="BF34" s="381"/>
      <c r="BG34" s="16"/>
      <c r="BH34" s="381"/>
      <c r="BI34" s="381"/>
      <c r="BJ34" s="381"/>
      <c r="BK34" s="381"/>
      <c r="BL34" s="16"/>
      <c r="BM34" s="381"/>
      <c r="BN34" s="381"/>
      <c r="BO34" s="381"/>
      <c r="BP34" s="381"/>
      <c r="BQ34" s="16"/>
      <c r="BR34" s="381"/>
      <c r="BS34" s="381"/>
      <c r="BT34" s="381"/>
      <c r="BU34" s="381"/>
      <c r="BV34" s="16"/>
      <c r="BW34" s="381"/>
      <c r="BX34" s="381"/>
      <c r="BY34" s="381"/>
      <c r="BZ34" s="381"/>
      <c r="CA34" s="16"/>
      <c r="CB34" s="381"/>
      <c r="CC34" s="381"/>
      <c r="CD34" s="381"/>
      <c r="CE34" s="381"/>
      <c r="CF34" s="16"/>
      <c r="CG34" s="381"/>
      <c r="CH34" s="381"/>
      <c r="CI34" s="381"/>
      <c r="CJ34" s="381"/>
      <c r="CK34" s="16"/>
      <c r="CL34" s="381"/>
      <c r="CM34" s="381"/>
      <c r="CN34" s="381"/>
      <c r="CO34" s="381"/>
      <c r="CP34" s="16"/>
      <c r="CQ34" s="381"/>
      <c r="CR34" s="381"/>
      <c r="CS34" s="381"/>
      <c r="CT34" s="381"/>
      <c r="CU34" s="16"/>
      <c r="CV34" s="381"/>
      <c r="CW34" s="381"/>
      <c r="CX34" s="381"/>
      <c r="CY34" s="381"/>
      <c r="CZ34" s="16"/>
      <c r="DA34" s="381"/>
      <c r="DB34" s="381"/>
      <c r="DC34" s="381"/>
      <c r="DD34" s="381"/>
      <c r="DE34" s="16"/>
      <c r="DF34" s="381"/>
      <c r="DG34" s="383"/>
      <c r="DH34" s="381"/>
      <c r="DI34" s="381"/>
      <c r="DJ34" s="16"/>
      <c r="DK34" s="381"/>
      <c r="DL34" s="383"/>
      <c r="DM34" s="381"/>
      <c r="DN34" s="381"/>
      <c r="DO34" s="16"/>
      <c r="DP34" s="381"/>
      <c r="DQ34" s="381"/>
      <c r="DR34" s="381"/>
      <c r="DS34" s="381"/>
      <c r="DT34" s="16"/>
      <c r="DU34" s="16"/>
      <c r="DV34" s="16"/>
    </row>
    <row r="35" spans="1:126" s="15" customFormat="1" ht="12">
      <c r="B35" s="189" t="s">
        <v>37</v>
      </c>
      <c r="C35" s="38" t="e">
        <f t="shared" ref="C35:AL35" si="156">C25/C44</f>
        <v>#DIV/0!</v>
      </c>
      <c r="D35" s="38" t="e">
        <f t="shared" si="156"/>
        <v>#DIV/0!</v>
      </c>
      <c r="E35" s="38" t="e">
        <f t="shared" si="156"/>
        <v>#DIV/0!</v>
      </c>
      <c r="F35" s="38" t="e">
        <f t="shared" si="156"/>
        <v>#DIV/0!</v>
      </c>
      <c r="G35" s="38" t="e">
        <f t="shared" si="156"/>
        <v>#DIV/0!</v>
      </c>
      <c r="H35" s="37" t="e">
        <f t="shared" si="156"/>
        <v>#DIV/0!</v>
      </c>
      <c r="I35" s="38" t="e">
        <f t="shared" si="156"/>
        <v>#DIV/0!</v>
      </c>
      <c r="J35" s="398" t="e">
        <f t="shared" si="156"/>
        <v>#DIV/0!</v>
      </c>
      <c r="K35" s="398" t="e">
        <f t="shared" si="156"/>
        <v>#DIV/0!</v>
      </c>
      <c r="L35" s="398" t="e">
        <f t="shared" si="156"/>
        <v>#DIV/0!</v>
      </c>
      <c r="M35" s="398" t="e">
        <f t="shared" si="156"/>
        <v>#DIV/0!</v>
      </c>
      <c r="N35" s="35"/>
      <c r="O35" s="398" t="e">
        <f t="shared" ref="O35:R35" si="157">O25/O44</f>
        <v>#DIV/0!</v>
      </c>
      <c r="P35" s="398" t="e">
        <f t="shared" si="157"/>
        <v>#DIV/0!</v>
      </c>
      <c r="Q35" s="398" t="e">
        <f t="shared" si="157"/>
        <v>#DIV/0!</v>
      </c>
      <c r="R35" s="398" t="e">
        <f t="shared" si="157"/>
        <v>#DIV/0!</v>
      </c>
      <c r="S35" s="35"/>
      <c r="T35" s="398" t="e">
        <f t="shared" ref="T35:W35" si="158">T25/T44</f>
        <v>#DIV/0!</v>
      </c>
      <c r="U35" s="398" t="e">
        <f t="shared" si="158"/>
        <v>#DIV/0!</v>
      </c>
      <c r="V35" s="398" t="e">
        <f t="shared" si="158"/>
        <v>#DIV/0!</v>
      </c>
      <c r="W35" s="398" t="e">
        <f t="shared" si="158"/>
        <v>#DIV/0!</v>
      </c>
      <c r="X35" s="35"/>
      <c r="Y35" s="398" t="e">
        <f t="shared" ref="Y35:AB35" si="159">Y25/Y44</f>
        <v>#DIV/0!</v>
      </c>
      <c r="Z35" s="398" t="e">
        <f t="shared" si="159"/>
        <v>#DIV/0!</v>
      </c>
      <c r="AA35" s="398" t="e">
        <f t="shared" si="159"/>
        <v>#DIV/0!</v>
      </c>
      <c r="AB35" s="398" t="e">
        <f t="shared" si="159"/>
        <v>#DIV/0!</v>
      </c>
      <c r="AC35" s="35"/>
      <c r="AD35" s="398" t="e">
        <f t="shared" si="156"/>
        <v>#DIV/0!</v>
      </c>
      <c r="AE35" s="398" t="e">
        <f t="shared" si="156"/>
        <v>#DIV/0!</v>
      </c>
      <c r="AF35" s="398" t="e">
        <f t="shared" si="156"/>
        <v>#DIV/0!</v>
      </c>
      <c r="AG35" s="398" t="e">
        <f t="shared" si="156"/>
        <v>#DIV/0!</v>
      </c>
      <c r="AH35" s="35"/>
      <c r="AI35" s="398" t="e">
        <f t="shared" si="156"/>
        <v>#DIV/0!</v>
      </c>
      <c r="AJ35" s="398" t="e">
        <f t="shared" si="156"/>
        <v>#DIV/0!</v>
      </c>
      <c r="AK35" s="398" t="e">
        <f t="shared" si="156"/>
        <v>#DIV/0!</v>
      </c>
      <c r="AL35" s="398" t="e">
        <f t="shared" si="156"/>
        <v>#DIV/0!</v>
      </c>
      <c r="AM35" s="35"/>
      <c r="AN35" s="398" t="e">
        <f t="shared" ref="AN35:AQ35" si="160">AN25/AN44</f>
        <v>#DIV/0!</v>
      </c>
      <c r="AO35" s="398" t="e">
        <f t="shared" si="160"/>
        <v>#DIV/0!</v>
      </c>
      <c r="AP35" s="398" t="e">
        <f t="shared" si="160"/>
        <v>#DIV/0!</v>
      </c>
      <c r="AQ35" s="398" t="e">
        <f t="shared" si="160"/>
        <v>#DIV/0!</v>
      </c>
      <c r="AR35" s="35"/>
      <c r="AS35" s="398" t="e">
        <f t="shared" ref="AS35:BA35" si="161">AS25/AS44</f>
        <v>#DIV/0!</v>
      </c>
      <c r="AT35" s="398" t="e">
        <f t="shared" si="161"/>
        <v>#DIV/0!</v>
      </c>
      <c r="AU35" s="398" t="e">
        <f t="shared" si="161"/>
        <v>#DIV/0!</v>
      </c>
      <c r="AV35" s="398" t="e">
        <f t="shared" si="161"/>
        <v>#DIV/0!</v>
      </c>
      <c r="AW35" s="35"/>
      <c r="AX35" s="398" t="e">
        <f t="shared" si="161"/>
        <v>#DIV/0!</v>
      </c>
      <c r="AY35" s="398" t="e">
        <f t="shared" si="161"/>
        <v>#DIV/0!</v>
      </c>
      <c r="AZ35" s="398" t="e">
        <f t="shared" si="161"/>
        <v>#DIV/0!</v>
      </c>
      <c r="BA35" s="398" t="e">
        <f t="shared" si="161"/>
        <v>#DIV/0!</v>
      </c>
      <c r="BB35" s="35"/>
      <c r="BC35" s="398" t="e">
        <f t="shared" ref="BC35:BF35" si="162">BC25/BC44</f>
        <v>#DIV/0!</v>
      </c>
      <c r="BD35" s="398" t="e">
        <f t="shared" si="162"/>
        <v>#DIV/0!</v>
      </c>
      <c r="BE35" s="398" t="e">
        <f t="shared" si="162"/>
        <v>#DIV/0!</v>
      </c>
      <c r="BF35" s="398" t="e">
        <f t="shared" si="162"/>
        <v>#DIV/0!</v>
      </c>
      <c r="BG35" s="35"/>
      <c r="BH35" s="398" t="e">
        <f t="shared" ref="BH35:BP35" si="163">BH25/BH44</f>
        <v>#DIV/0!</v>
      </c>
      <c r="BI35" s="398" t="e">
        <f t="shared" si="163"/>
        <v>#DIV/0!</v>
      </c>
      <c r="BJ35" s="398" t="e">
        <f t="shared" si="163"/>
        <v>#DIV/0!</v>
      </c>
      <c r="BK35" s="398" t="e">
        <f t="shared" si="163"/>
        <v>#DIV/0!</v>
      </c>
      <c r="BL35" s="35"/>
      <c r="BM35" s="398" t="e">
        <f t="shared" si="163"/>
        <v>#DIV/0!</v>
      </c>
      <c r="BN35" s="398" t="e">
        <f t="shared" si="163"/>
        <v>#DIV/0!</v>
      </c>
      <c r="BO35" s="398" t="e">
        <f t="shared" si="163"/>
        <v>#DIV/0!</v>
      </c>
      <c r="BP35" s="398" t="e">
        <f t="shared" si="163"/>
        <v>#DIV/0!</v>
      </c>
      <c r="BQ35" s="35"/>
      <c r="BR35" s="398" t="e">
        <f t="shared" ref="BR35:BU35" si="164">BR25/BR44</f>
        <v>#DIV/0!</v>
      </c>
      <c r="BS35" s="398" t="e">
        <f t="shared" si="164"/>
        <v>#DIV/0!</v>
      </c>
      <c r="BT35" s="398" t="e">
        <f t="shared" si="164"/>
        <v>#DIV/0!</v>
      </c>
      <c r="BU35" s="398" t="e">
        <f t="shared" si="164"/>
        <v>#DIV/0!</v>
      </c>
      <c r="BV35" s="35"/>
      <c r="BW35" s="398" t="e">
        <f t="shared" ref="BW35:BZ35" si="165">BW25/BW44</f>
        <v>#DIV/0!</v>
      </c>
      <c r="BX35" s="398" t="e">
        <f t="shared" si="165"/>
        <v>#DIV/0!</v>
      </c>
      <c r="BY35" s="398" t="e">
        <f t="shared" si="165"/>
        <v>#DIV/0!</v>
      </c>
      <c r="BZ35" s="398" t="e">
        <f t="shared" si="165"/>
        <v>#DIV/0!</v>
      </c>
      <c r="CA35" s="35"/>
      <c r="CB35" s="398" t="e">
        <f t="shared" ref="CB35:CE35" si="166">CB25/CB44</f>
        <v>#DIV/0!</v>
      </c>
      <c r="CC35" s="398" t="e">
        <f t="shared" si="166"/>
        <v>#DIV/0!</v>
      </c>
      <c r="CD35" s="398" t="e">
        <f t="shared" si="166"/>
        <v>#DIV/0!</v>
      </c>
      <c r="CE35" s="398" t="e">
        <f t="shared" si="166"/>
        <v>#DIV/0!</v>
      </c>
      <c r="CF35" s="35"/>
      <c r="CG35" s="398" t="e">
        <f t="shared" ref="CG35:CJ35" si="167">CG25/CG44</f>
        <v>#DIV/0!</v>
      </c>
      <c r="CH35" s="398" t="e">
        <f t="shared" si="167"/>
        <v>#DIV/0!</v>
      </c>
      <c r="CI35" s="398" t="e">
        <f t="shared" si="167"/>
        <v>#DIV/0!</v>
      </c>
      <c r="CJ35" s="398" t="e">
        <f t="shared" si="167"/>
        <v>#DIV/0!</v>
      </c>
      <c r="CK35" s="35"/>
      <c r="CL35" s="398">
        <f>CL31/CL44</f>
        <v>0.70229934585539</v>
      </c>
      <c r="CM35" s="398">
        <f t="shared" ref="CM35:CO35" si="168">CM31/CM44</f>
        <v>-0.24814084969407141</v>
      </c>
      <c r="CN35" s="398">
        <f t="shared" si="168"/>
        <v>-0.13573256141955484</v>
      </c>
      <c r="CO35" s="398">
        <f t="shared" si="168"/>
        <v>2.2287395340474649</v>
      </c>
      <c r="CP35" s="35">
        <f t="shared" ref="CP35:CU35" si="169">CP31/CP44</f>
        <v>4.7732628022392474</v>
      </c>
      <c r="CQ35" s="398">
        <f>CQ31/CQ44</f>
        <v>-0.32749943869444031</v>
      </c>
      <c r="CR35" s="398">
        <f t="shared" si="169"/>
        <v>-0.13528743893371126</v>
      </c>
      <c r="CS35" s="398">
        <f t="shared" si="169"/>
        <v>1.097312866740628</v>
      </c>
      <c r="CT35" s="398">
        <f t="shared" ref="CT35" si="170">CT31/CT44</f>
        <v>-3.5476828543280119</v>
      </c>
      <c r="CU35" s="35">
        <f t="shared" si="169"/>
        <v>-6.1481644131044817</v>
      </c>
      <c r="CV35" s="398">
        <f t="shared" ref="CV35:CY35" si="171">(CV25+CV30)/CV44</f>
        <v>-1.1456710490519486</v>
      </c>
      <c r="CW35" s="398">
        <f t="shared" si="171"/>
        <v>-1.0870426592436924</v>
      </c>
      <c r="CX35" s="398">
        <f t="shared" si="171"/>
        <v>-0.28920034220088087</v>
      </c>
      <c r="CY35" s="398">
        <f t="shared" si="171"/>
        <v>1.545312643467083</v>
      </c>
      <c r="CZ35" s="35">
        <f>(CZ25+CZ30)/CZ44</f>
        <v>-0.99715361307501615</v>
      </c>
      <c r="DA35" s="398">
        <f t="shared" ref="DA35:DE35" si="172">(DA25+DA30)/DA44</f>
        <v>5.5787171596910836</v>
      </c>
      <c r="DB35" s="398">
        <f t="shared" si="172"/>
        <v>0.91696067269513915</v>
      </c>
      <c r="DC35" s="398">
        <f t="shared" si="172"/>
        <v>6.523420660953845E-2</v>
      </c>
      <c r="DD35" s="398">
        <f t="shared" si="172"/>
        <v>1.4617572759944601</v>
      </c>
      <c r="DE35" s="862">
        <f t="shared" si="172"/>
        <v>8.025424139416474</v>
      </c>
      <c r="DF35" s="398">
        <f t="shared" ref="DF35:DG35" si="173">(DF25+DF30)/DF44</f>
        <v>1.4207149404216315</v>
      </c>
      <c r="DG35" s="1054">
        <f t="shared" si="173"/>
        <v>1.2139577594123048</v>
      </c>
      <c r="DH35" s="1054">
        <f t="shared" ref="DH35:DI35" si="174">(DH25+DH30)/DH44</f>
        <v>1.5650969529085872</v>
      </c>
      <c r="DI35" s="1054">
        <f t="shared" si="174"/>
        <v>1.7668006063894384</v>
      </c>
      <c r="DJ35" s="35"/>
      <c r="DK35" s="1054">
        <f t="shared" ref="DK35:DL35" si="175">(DK25+DK30)/DK44</f>
        <v>1.8398580035477807</v>
      </c>
      <c r="DL35" s="1054">
        <f t="shared" si="175"/>
        <v>1.8860106711596523</v>
      </c>
      <c r="DM35" s="398"/>
      <c r="DN35" s="398"/>
      <c r="DO35" s="35"/>
      <c r="DP35" s="1054"/>
      <c r="DQ35" s="398"/>
      <c r="DR35" s="398"/>
      <c r="DS35" s="398"/>
      <c r="DT35" s="35"/>
      <c r="DU35" s="35"/>
      <c r="DV35" s="35"/>
    </row>
    <row r="36" spans="1:126" s="15" customFormat="1">
      <c r="B36" s="15" t="s">
        <v>35</v>
      </c>
      <c r="C36" s="36" t="e">
        <f t="shared" ref="C36:AM36" si="176">C28/C44</f>
        <v>#DIV/0!</v>
      </c>
      <c r="D36" s="36" t="e">
        <f t="shared" si="176"/>
        <v>#DIV/0!</v>
      </c>
      <c r="E36" s="36" t="e">
        <f t="shared" si="176"/>
        <v>#DIV/0!</v>
      </c>
      <c r="F36" s="34" t="e">
        <f t="shared" si="176"/>
        <v>#DIV/0!</v>
      </c>
      <c r="G36" s="36" t="e">
        <f t="shared" si="176"/>
        <v>#DIV/0!</v>
      </c>
      <c r="H36" s="34" t="e">
        <f t="shared" si="176"/>
        <v>#DIV/0!</v>
      </c>
      <c r="I36" s="36" t="e">
        <f t="shared" si="176"/>
        <v>#DIV/0!</v>
      </c>
      <c r="J36" s="420" t="e">
        <f t="shared" si="176"/>
        <v>#DIV/0!</v>
      </c>
      <c r="K36" s="420" t="e">
        <f t="shared" si="176"/>
        <v>#DIV/0!</v>
      </c>
      <c r="L36" s="420" t="e">
        <f t="shared" si="176"/>
        <v>#DIV/0!</v>
      </c>
      <c r="M36" s="420" t="e">
        <f t="shared" si="176"/>
        <v>#DIV/0!</v>
      </c>
      <c r="N36" s="36" t="e">
        <f t="shared" si="176"/>
        <v>#DIV/0!</v>
      </c>
      <c r="O36" s="420" t="e">
        <f t="shared" si="176"/>
        <v>#DIV/0!</v>
      </c>
      <c r="P36" s="420" t="e">
        <f t="shared" si="176"/>
        <v>#DIV/0!</v>
      </c>
      <c r="Q36" s="420" t="e">
        <f t="shared" si="176"/>
        <v>#DIV/0!</v>
      </c>
      <c r="R36" s="420" t="e">
        <f t="shared" si="176"/>
        <v>#DIV/0!</v>
      </c>
      <c r="S36" s="36" t="e">
        <f t="shared" si="176"/>
        <v>#DIV/0!</v>
      </c>
      <c r="T36" s="420" t="e">
        <f t="shared" si="176"/>
        <v>#DIV/0!</v>
      </c>
      <c r="U36" s="420" t="e">
        <f t="shared" si="176"/>
        <v>#DIV/0!</v>
      </c>
      <c r="V36" s="420" t="e">
        <f t="shared" si="176"/>
        <v>#DIV/0!</v>
      </c>
      <c r="W36" s="420" t="e">
        <f t="shared" si="176"/>
        <v>#DIV/0!</v>
      </c>
      <c r="X36" s="36" t="e">
        <f t="shared" si="176"/>
        <v>#DIV/0!</v>
      </c>
      <c r="Y36" s="420" t="e">
        <f t="shared" si="176"/>
        <v>#DIV/0!</v>
      </c>
      <c r="Z36" s="420" t="e">
        <f t="shared" si="176"/>
        <v>#DIV/0!</v>
      </c>
      <c r="AA36" s="420" t="e">
        <f t="shared" si="176"/>
        <v>#DIV/0!</v>
      </c>
      <c r="AB36" s="420" t="e">
        <f t="shared" si="176"/>
        <v>#DIV/0!</v>
      </c>
      <c r="AC36" s="36" t="e">
        <f t="shared" si="176"/>
        <v>#DIV/0!</v>
      </c>
      <c r="AD36" s="420" t="e">
        <f t="shared" si="176"/>
        <v>#DIV/0!</v>
      </c>
      <c r="AE36" s="420" t="e">
        <f t="shared" si="176"/>
        <v>#DIV/0!</v>
      </c>
      <c r="AF36" s="420" t="e">
        <f t="shared" si="176"/>
        <v>#DIV/0!</v>
      </c>
      <c r="AG36" s="420" t="e">
        <f t="shared" si="176"/>
        <v>#DIV/0!</v>
      </c>
      <c r="AH36" s="36" t="e">
        <f t="shared" si="176"/>
        <v>#DIV/0!</v>
      </c>
      <c r="AI36" s="420" t="e">
        <f t="shared" si="176"/>
        <v>#DIV/0!</v>
      </c>
      <c r="AJ36" s="420" t="e">
        <f t="shared" si="176"/>
        <v>#DIV/0!</v>
      </c>
      <c r="AK36" s="420" t="e">
        <f t="shared" si="176"/>
        <v>#DIV/0!</v>
      </c>
      <c r="AL36" s="420" t="e">
        <f t="shared" si="176"/>
        <v>#DIV/0!</v>
      </c>
      <c r="AM36" s="36" t="e">
        <f t="shared" si="176"/>
        <v>#DIV/0!</v>
      </c>
      <c r="AN36" s="420" t="e">
        <f t="shared" ref="AN36:AR36" si="177">AN28/AN44</f>
        <v>#DIV/0!</v>
      </c>
      <c r="AO36" s="420" t="e">
        <f t="shared" si="177"/>
        <v>#DIV/0!</v>
      </c>
      <c r="AP36" s="420" t="e">
        <f t="shared" si="177"/>
        <v>#DIV/0!</v>
      </c>
      <c r="AQ36" s="420" t="e">
        <f t="shared" si="177"/>
        <v>#DIV/0!</v>
      </c>
      <c r="AR36" s="36" t="e">
        <f t="shared" si="177"/>
        <v>#DIV/0!</v>
      </c>
      <c r="AS36" s="420" t="e">
        <f t="shared" ref="AS36:BB36" si="178">AS28/AS44</f>
        <v>#DIV/0!</v>
      </c>
      <c r="AT36" s="420" t="e">
        <f t="shared" si="178"/>
        <v>#DIV/0!</v>
      </c>
      <c r="AU36" s="420" t="e">
        <f t="shared" si="178"/>
        <v>#DIV/0!</v>
      </c>
      <c r="AV36" s="420" t="e">
        <f t="shared" si="178"/>
        <v>#DIV/0!</v>
      </c>
      <c r="AW36" s="36" t="e">
        <f t="shared" si="178"/>
        <v>#DIV/0!</v>
      </c>
      <c r="AX36" s="420" t="e">
        <f t="shared" si="178"/>
        <v>#DIV/0!</v>
      </c>
      <c r="AY36" s="420" t="e">
        <f t="shared" si="178"/>
        <v>#DIV/0!</v>
      </c>
      <c r="AZ36" s="420" t="e">
        <f t="shared" si="178"/>
        <v>#DIV/0!</v>
      </c>
      <c r="BA36" s="420" t="e">
        <f t="shared" si="178"/>
        <v>#DIV/0!</v>
      </c>
      <c r="BB36" s="36" t="e">
        <f t="shared" si="178"/>
        <v>#DIV/0!</v>
      </c>
      <c r="BC36" s="420" t="e">
        <f t="shared" ref="BC36:BG36" si="179">BC28/BC44</f>
        <v>#DIV/0!</v>
      </c>
      <c r="BD36" s="420" t="e">
        <f t="shared" si="179"/>
        <v>#DIV/0!</v>
      </c>
      <c r="BE36" s="420" t="e">
        <f t="shared" si="179"/>
        <v>#DIV/0!</v>
      </c>
      <c r="BF36" s="420" t="e">
        <f t="shared" si="179"/>
        <v>#DIV/0!</v>
      </c>
      <c r="BG36" s="36" t="e">
        <f t="shared" si="179"/>
        <v>#DIV/0!</v>
      </c>
      <c r="BH36" s="420" t="e">
        <f t="shared" ref="BH36:BQ36" si="180">BH28/BH44</f>
        <v>#DIV/0!</v>
      </c>
      <c r="BI36" s="420" t="e">
        <f t="shared" si="180"/>
        <v>#DIV/0!</v>
      </c>
      <c r="BJ36" s="420" t="e">
        <f t="shared" si="180"/>
        <v>#DIV/0!</v>
      </c>
      <c r="BK36" s="420" t="e">
        <f t="shared" si="180"/>
        <v>#DIV/0!</v>
      </c>
      <c r="BL36" s="36" t="e">
        <f t="shared" si="180"/>
        <v>#DIV/0!</v>
      </c>
      <c r="BM36" s="420" t="e">
        <f t="shared" si="180"/>
        <v>#DIV/0!</v>
      </c>
      <c r="BN36" s="420" t="e">
        <f t="shared" si="180"/>
        <v>#DIV/0!</v>
      </c>
      <c r="BO36" s="420" t="e">
        <f t="shared" si="180"/>
        <v>#DIV/0!</v>
      </c>
      <c r="BP36" s="420" t="e">
        <f t="shared" si="180"/>
        <v>#DIV/0!</v>
      </c>
      <c r="BQ36" s="36" t="e">
        <f t="shared" si="180"/>
        <v>#DIV/0!</v>
      </c>
      <c r="BR36" s="420" t="e">
        <f t="shared" ref="BR36:BV36" si="181">BR28/BR44</f>
        <v>#DIV/0!</v>
      </c>
      <c r="BS36" s="420" t="e">
        <f t="shared" si="181"/>
        <v>#DIV/0!</v>
      </c>
      <c r="BT36" s="420" t="e">
        <f t="shared" si="181"/>
        <v>#DIV/0!</v>
      </c>
      <c r="BU36" s="420" t="e">
        <f t="shared" si="181"/>
        <v>#DIV/0!</v>
      </c>
      <c r="BV36" s="36" t="e">
        <f t="shared" si="181"/>
        <v>#DIV/0!</v>
      </c>
      <c r="BW36" s="420" t="e">
        <f t="shared" ref="BW36:CA36" si="182">BW28/BW44</f>
        <v>#DIV/0!</v>
      </c>
      <c r="BX36" s="420" t="e">
        <f t="shared" si="182"/>
        <v>#DIV/0!</v>
      </c>
      <c r="BY36" s="420" t="e">
        <f t="shared" si="182"/>
        <v>#DIV/0!</v>
      </c>
      <c r="BZ36" s="420" t="e">
        <f t="shared" si="182"/>
        <v>#DIV/0!</v>
      </c>
      <c r="CA36" s="36" t="e">
        <f t="shared" si="182"/>
        <v>#DIV/0!</v>
      </c>
      <c r="CB36" s="420" t="e">
        <f t="shared" ref="CB36:CF36" si="183">CB28/CB44</f>
        <v>#DIV/0!</v>
      </c>
      <c r="CC36" s="420" t="e">
        <f t="shared" si="183"/>
        <v>#DIV/0!</v>
      </c>
      <c r="CD36" s="420" t="e">
        <f t="shared" si="183"/>
        <v>#DIV/0!</v>
      </c>
      <c r="CE36" s="420" t="e">
        <f t="shared" si="183"/>
        <v>#DIV/0!</v>
      </c>
      <c r="CF36" s="36" t="e">
        <f t="shared" si="183"/>
        <v>#DIV/0!</v>
      </c>
      <c r="CG36" s="420" t="e">
        <f t="shared" ref="CG36:CK36" si="184">CG28/CG44</f>
        <v>#DIV/0!</v>
      </c>
      <c r="CH36" s="420" t="e">
        <f t="shared" si="184"/>
        <v>#DIV/0!</v>
      </c>
      <c r="CI36" s="420" t="e">
        <f t="shared" si="184"/>
        <v>#DIV/0!</v>
      </c>
      <c r="CJ36" s="420" t="e">
        <f t="shared" si="184"/>
        <v>#DIV/0!</v>
      </c>
      <c r="CK36" s="36" t="e">
        <f t="shared" si="184"/>
        <v>#DIV/0!</v>
      </c>
      <c r="CL36" s="420">
        <f t="shared" ref="CL36:CP36" si="185">CL28/CL44</f>
        <v>-3.8788462896496519E-3</v>
      </c>
      <c r="CM36" s="420">
        <f t="shared" si="185"/>
        <v>1.6512355762111224E-2</v>
      </c>
      <c r="CN36" s="420">
        <f t="shared" si="185"/>
        <v>5.8220022139590386E-3</v>
      </c>
      <c r="CO36" s="420">
        <f t="shared" si="185"/>
        <v>-3.6506790074487551E-3</v>
      </c>
      <c r="CP36" s="36">
        <f t="shared" si="185"/>
        <v>0.14420182079422583</v>
      </c>
      <c r="CQ36" s="420">
        <f t="shared" ref="CQ36:CS36" si="186">CQ28/CQ44</f>
        <v>-5.6956424120772225E-4</v>
      </c>
      <c r="CR36" s="420">
        <f t="shared" si="186"/>
        <v>3.4163494680230117E-4</v>
      </c>
      <c r="CS36" s="420">
        <f t="shared" si="186"/>
        <v>6.6476215163540117E-2</v>
      </c>
      <c r="CT36" s="420">
        <f t="shared" ref="CT36" si="187">CT28/CT44</f>
        <v>0</v>
      </c>
      <c r="CU36" s="36">
        <f t="shared" ref="CU36" si="188">CU28/CU44</f>
        <v>6.4602585959807349E-2</v>
      </c>
      <c r="CV36" s="420">
        <f t="shared" ref="CV36:CY36" si="189">(CV28+CV26)/CV44</f>
        <v>6.6323542094204796E-2</v>
      </c>
      <c r="CW36" s="420">
        <f t="shared" si="189"/>
        <v>0.22342739221032268</v>
      </c>
      <c r="CX36" s="420">
        <f t="shared" si="189"/>
        <v>0.3706523373144201</v>
      </c>
      <c r="CY36" s="420">
        <f t="shared" si="189"/>
        <v>0.37829400422367093</v>
      </c>
      <c r="CZ36" s="36">
        <f>(CZ28+CZ26)/CZ44</f>
        <v>1.042144890276375</v>
      </c>
      <c r="DA36" s="420">
        <f t="shared" ref="DA36:DE36" si="190">(DA28+DA26)/DA44</f>
        <v>1.1791066391840908</v>
      </c>
      <c r="DB36" s="420">
        <f t="shared" si="190"/>
        <v>-0.93993062942597927</v>
      </c>
      <c r="DC36" s="420">
        <f t="shared" si="190"/>
        <v>0.17181403712653084</v>
      </c>
      <c r="DD36" s="420">
        <f t="shared" si="190"/>
        <v>2.7562990747852798E-3</v>
      </c>
      <c r="DE36" s="863">
        <f t="shared" si="190"/>
        <v>0.41436362757605372</v>
      </c>
      <c r="DF36" s="420">
        <f t="shared" ref="DF36:DG36" si="191">(DF28+DF26)/DF44</f>
        <v>-1.1915673693858845E-2</v>
      </c>
      <c r="DG36" s="420">
        <f t="shared" si="191"/>
        <v>-5.1423324150596875E-2</v>
      </c>
      <c r="DH36" s="420">
        <f t="shared" ref="DH36:DI36" si="192">(DH28+DH26)/DH44</f>
        <v>0.14496768236380425</v>
      </c>
      <c r="DI36" s="420">
        <f t="shared" si="192"/>
        <v>1.8627312666203884E-3</v>
      </c>
      <c r="DJ36" s="36"/>
      <c r="DK36" s="420">
        <f t="shared" ref="DK36:DL36" si="193">(DK28+DK26)/DK44</f>
        <v>1.4066192687674164E-2</v>
      </c>
      <c r="DL36" s="420">
        <f t="shared" si="193"/>
        <v>2.640414939623513E-2</v>
      </c>
      <c r="DM36" s="420"/>
      <c r="DN36" s="420"/>
      <c r="DO36" s="36"/>
      <c r="DP36" s="420"/>
      <c r="DQ36" s="420"/>
      <c r="DR36" s="420"/>
      <c r="DS36" s="420"/>
      <c r="DT36" s="36"/>
      <c r="DU36" s="36"/>
      <c r="DV36" s="36"/>
    </row>
    <row r="37" spans="1:126" s="15" customFormat="1" ht="12">
      <c r="B37" s="15" t="s">
        <v>38</v>
      </c>
      <c r="C37" s="35" t="e">
        <f t="shared" ref="C37:AC37" si="194">SUM(C35:C36)</f>
        <v>#DIV/0!</v>
      </c>
      <c r="D37" s="35" t="e">
        <f t="shared" si="194"/>
        <v>#DIV/0!</v>
      </c>
      <c r="E37" s="35" t="e">
        <f t="shared" si="194"/>
        <v>#DIV/0!</v>
      </c>
      <c r="F37" s="32" t="e">
        <f t="shared" si="194"/>
        <v>#DIV/0!</v>
      </c>
      <c r="G37" s="35" t="e">
        <f t="shared" si="194"/>
        <v>#DIV/0!</v>
      </c>
      <c r="H37" s="32" t="e">
        <f t="shared" si="194"/>
        <v>#DIV/0!</v>
      </c>
      <c r="I37" s="35" t="e">
        <f t="shared" si="194"/>
        <v>#DIV/0!</v>
      </c>
      <c r="J37" s="398" t="e">
        <f t="shared" si="194"/>
        <v>#DIV/0!</v>
      </c>
      <c r="K37" s="398" t="e">
        <f t="shared" si="194"/>
        <v>#DIV/0!</v>
      </c>
      <c r="L37" s="398" t="e">
        <f t="shared" si="194"/>
        <v>#DIV/0!</v>
      </c>
      <c r="M37" s="398" t="e">
        <f t="shared" si="194"/>
        <v>#DIV/0!</v>
      </c>
      <c r="N37" s="35" t="e">
        <f t="shared" si="194"/>
        <v>#DIV/0!</v>
      </c>
      <c r="O37" s="398" t="e">
        <f t="shared" si="194"/>
        <v>#DIV/0!</v>
      </c>
      <c r="P37" s="398" t="e">
        <f t="shared" si="194"/>
        <v>#DIV/0!</v>
      </c>
      <c r="Q37" s="398" t="e">
        <f t="shared" si="194"/>
        <v>#DIV/0!</v>
      </c>
      <c r="R37" s="398" t="e">
        <f t="shared" si="194"/>
        <v>#DIV/0!</v>
      </c>
      <c r="S37" s="35" t="e">
        <f t="shared" si="194"/>
        <v>#DIV/0!</v>
      </c>
      <c r="T37" s="398" t="e">
        <f t="shared" si="194"/>
        <v>#DIV/0!</v>
      </c>
      <c r="U37" s="398" t="e">
        <f t="shared" si="194"/>
        <v>#DIV/0!</v>
      </c>
      <c r="V37" s="398" t="e">
        <f t="shared" si="194"/>
        <v>#DIV/0!</v>
      </c>
      <c r="W37" s="398" t="e">
        <f t="shared" si="194"/>
        <v>#DIV/0!</v>
      </c>
      <c r="X37" s="35" t="e">
        <f t="shared" si="194"/>
        <v>#DIV/0!</v>
      </c>
      <c r="Y37" s="398" t="e">
        <f t="shared" si="194"/>
        <v>#DIV/0!</v>
      </c>
      <c r="Z37" s="398" t="e">
        <f t="shared" si="194"/>
        <v>#DIV/0!</v>
      </c>
      <c r="AA37" s="398" t="e">
        <f t="shared" si="194"/>
        <v>#DIV/0!</v>
      </c>
      <c r="AB37" s="398" t="e">
        <f t="shared" si="194"/>
        <v>#DIV/0!</v>
      </c>
      <c r="AC37" s="35" t="e">
        <f t="shared" si="194"/>
        <v>#DIV/0!</v>
      </c>
      <c r="AD37" s="398" t="e">
        <f t="shared" ref="AD37:AH37" si="195">SUM(AD35:AD36)</f>
        <v>#DIV/0!</v>
      </c>
      <c r="AE37" s="398" t="e">
        <f t="shared" si="195"/>
        <v>#DIV/0!</v>
      </c>
      <c r="AF37" s="398" t="e">
        <f t="shared" si="195"/>
        <v>#DIV/0!</v>
      </c>
      <c r="AG37" s="398" t="e">
        <f t="shared" si="195"/>
        <v>#DIV/0!</v>
      </c>
      <c r="AH37" s="35" t="e">
        <f t="shared" si="195"/>
        <v>#DIV/0!</v>
      </c>
      <c r="AI37" s="398" t="e">
        <f t="shared" ref="AI37:AM37" si="196">SUM(AI35:AI36)</f>
        <v>#DIV/0!</v>
      </c>
      <c r="AJ37" s="398" t="e">
        <f t="shared" si="196"/>
        <v>#DIV/0!</v>
      </c>
      <c r="AK37" s="398" t="e">
        <f t="shared" si="196"/>
        <v>#DIV/0!</v>
      </c>
      <c r="AL37" s="398" t="e">
        <f t="shared" si="196"/>
        <v>#DIV/0!</v>
      </c>
      <c r="AM37" s="35" t="e">
        <f t="shared" si="196"/>
        <v>#DIV/0!</v>
      </c>
      <c r="AN37" s="398" t="e">
        <f t="shared" ref="AN37:AR37" si="197">SUM(AN35:AN36)</f>
        <v>#DIV/0!</v>
      </c>
      <c r="AO37" s="398" t="e">
        <f t="shared" si="197"/>
        <v>#DIV/0!</v>
      </c>
      <c r="AP37" s="398" t="e">
        <f t="shared" si="197"/>
        <v>#DIV/0!</v>
      </c>
      <c r="AQ37" s="398" t="e">
        <f t="shared" si="197"/>
        <v>#DIV/0!</v>
      </c>
      <c r="AR37" s="35" t="e">
        <f t="shared" si="197"/>
        <v>#DIV/0!</v>
      </c>
      <c r="AS37" s="398" t="e">
        <f t="shared" ref="AS37:BB37" si="198">SUM(AS35:AS36)</f>
        <v>#DIV/0!</v>
      </c>
      <c r="AT37" s="398" t="e">
        <f t="shared" si="198"/>
        <v>#DIV/0!</v>
      </c>
      <c r="AU37" s="398" t="e">
        <f t="shared" si="198"/>
        <v>#DIV/0!</v>
      </c>
      <c r="AV37" s="398" t="e">
        <f t="shared" si="198"/>
        <v>#DIV/0!</v>
      </c>
      <c r="AW37" s="35" t="e">
        <f t="shared" si="198"/>
        <v>#DIV/0!</v>
      </c>
      <c r="AX37" s="398" t="e">
        <f t="shared" si="198"/>
        <v>#DIV/0!</v>
      </c>
      <c r="AY37" s="398" t="e">
        <f t="shared" si="198"/>
        <v>#DIV/0!</v>
      </c>
      <c r="AZ37" s="398" t="e">
        <f t="shared" si="198"/>
        <v>#DIV/0!</v>
      </c>
      <c r="BA37" s="398" t="e">
        <f t="shared" si="198"/>
        <v>#DIV/0!</v>
      </c>
      <c r="BB37" s="35" t="e">
        <f t="shared" si="198"/>
        <v>#DIV/0!</v>
      </c>
      <c r="BC37" s="398" t="e">
        <f t="shared" ref="BC37:BG37" si="199">SUM(BC35:BC36)</f>
        <v>#DIV/0!</v>
      </c>
      <c r="BD37" s="398" t="e">
        <f t="shared" si="199"/>
        <v>#DIV/0!</v>
      </c>
      <c r="BE37" s="398" t="e">
        <f t="shared" si="199"/>
        <v>#DIV/0!</v>
      </c>
      <c r="BF37" s="398" t="e">
        <f t="shared" si="199"/>
        <v>#DIV/0!</v>
      </c>
      <c r="BG37" s="35" t="e">
        <f t="shared" si="199"/>
        <v>#DIV/0!</v>
      </c>
      <c r="BH37" s="398" t="e">
        <f t="shared" ref="BH37:BQ37" si="200">SUM(BH35:BH36)</f>
        <v>#DIV/0!</v>
      </c>
      <c r="BI37" s="398" t="e">
        <f t="shared" si="200"/>
        <v>#DIV/0!</v>
      </c>
      <c r="BJ37" s="398" t="e">
        <f t="shared" si="200"/>
        <v>#DIV/0!</v>
      </c>
      <c r="BK37" s="398" t="e">
        <f t="shared" si="200"/>
        <v>#DIV/0!</v>
      </c>
      <c r="BL37" s="35" t="e">
        <f t="shared" si="200"/>
        <v>#DIV/0!</v>
      </c>
      <c r="BM37" s="398" t="e">
        <f t="shared" si="200"/>
        <v>#DIV/0!</v>
      </c>
      <c r="BN37" s="398" t="e">
        <f t="shared" si="200"/>
        <v>#DIV/0!</v>
      </c>
      <c r="BO37" s="398" t="e">
        <f t="shared" si="200"/>
        <v>#DIV/0!</v>
      </c>
      <c r="BP37" s="398" t="e">
        <f t="shared" si="200"/>
        <v>#DIV/0!</v>
      </c>
      <c r="BQ37" s="35" t="e">
        <f t="shared" si="200"/>
        <v>#DIV/0!</v>
      </c>
      <c r="BR37" s="398" t="e">
        <f t="shared" ref="BR37:BV37" si="201">SUM(BR35:BR36)</f>
        <v>#DIV/0!</v>
      </c>
      <c r="BS37" s="398" t="e">
        <f t="shared" si="201"/>
        <v>#DIV/0!</v>
      </c>
      <c r="BT37" s="398" t="e">
        <f t="shared" si="201"/>
        <v>#DIV/0!</v>
      </c>
      <c r="BU37" s="398" t="e">
        <f t="shared" si="201"/>
        <v>#DIV/0!</v>
      </c>
      <c r="BV37" s="35" t="e">
        <f t="shared" si="201"/>
        <v>#DIV/0!</v>
      </c>
      <c r="BW37" s="398" t="e">
        <f t="shared" ref="BW37:CA37" si="202">SUM(BW35:BW36)</f>
        <v>#DIV/0!</v>
      </c>
      <c r="BX37" s="398" t="e">
        <f t="shared" si="202"/>
        <v>#DIV/0!</v>
      </c>
      <c r="BY37" s="398" t="e">
        <f t="shared" si="202"/>
        <v>#DIV/0!</v>
      </c>
      <c r="BZ37" s="398" t="e">
        <f t="shared" si="202"/>
        <v>#DIV/0!</v>
      </c>
      <c r="CA37" s="35" t="e">
        <f t="shared" si="202"/>
        <v>#DIV/0!</v>
      </c>
      <c r="CB37" s="398" t="e">
        <f t="shared" ref="CB37:CF37" si="203">SUM(CB35:CB36)</f>
        <v>#DIV/0!</v>
      </c>
      <c r="CC37" s="398" t="e">
        <f t="shared" si="203"/>
        <v>#DIV/0!</v>
      </c>
      <c r="CD37" s="398" t="e">
        <f t="shared" si="203"/>
        <v>#DIV/0!</v>
      </c>
      <c r="CE37" s="398" t="e">
        <f t="shared" si="203"/>
        <v>#DIV/0!</v>
      </c>
      <c r="CF37" s="35" t="e">
        <f t="shared" si="203"/>
        <v>#DIV/0!</v>
      </c>
      <c r="CG37" s="398" t="e">
        <f t="shared" ref="CG37:CK37" si="204">SUM(CG35:CG36)</f>
        <v>#DIV/0!</v>
      </c>
      <c r="CH37" s="398" t="e">
        <f t="shared" si="204"/>
        <v>#DIV/0!</v>
      </c>
      <c r="CI37" s="398" t="e">
        <f t="shared" si="204"/>
        <v>#DIV/0!</v>
      </c>
      <c r="CJ37" s="398" t="e">
        <f t="shared" si="204"/>
        <v>#DIV/0!</v>
      </c>
      <c r="CK37" s="35" t="e">
        <f t="shared" si="204"/>
        <v>#DIV/0!</v>
      </c>
      <c r="CL37" s="398">
        <f t="shared" ref="CL37:CP37" si="205">SUM(CL35:CL36)</f>
        <v>0.69842049956574037</v>
      </c>
      <c r="CM37" s="398">
        <f t="shared" si="205"/>
        <v>-0.23162849393196019</v>
      </c>
      <c r="CN37" s="398">
        <f t="shared" si="205"/>
        <v>-0.1299105592055958</v>
      </c>
      <c r="CO37" s="398">
        <f t="shared" si="205"/>
        <v>2.2250888550400161</v>
      </c>
      <c r="CP37" s="35">
        <f t="shared" si="205"/>
        <v>4.9174646230334735</v>
      </c>
      <c r="CQ37" s="398">
        <f t="shared" ref="CQ37:CS37" si="206">SUM(CQ35:CQ36)</f>
        <v>-0.32806900293564806</v>
      </c>
      <c r="CR37" s="398">
        <f t="shared" si="206"/>
        <v>-0.13494580398690895</v>
      </c>
      <c r="CS37" s="398">
        <f t="shared" si="206"/>
        <v>1.1637890819041681</v>
      </c>
      <c r="CT37" s="398">
        <f t="shared" ref="CT37" si="207">SUM(CT35:CT36)</f>
        <v>-3.5476828543280119</v>
      </c>
      <c r="CU37" s="35">
        <f t="shared" ref="CU37:CZ37" si="208">SUM(CU35:CU36)</f>
        <v>-6.0835618271446741</v>
      </c>
      <c r="CV37" s="398">
        <f t="shared" ref="CV37:CY37" si="209">SUM(CV35:CV36)</f>
        <v>-1.0793475069577438</v>
      </c>
      <c r="CW37" s="398">
        <f t="shared" si="209"/>
        <v>-0.86361526703336966</v>
      </c>
      <c r="CX37" s="398">
        <f t="shared" si="209"/>
        <v>8.1451995113539233E-2</v>
      </c>
      <c r="CY37" s="398">
        <f t="shared" si="209"/>
        <v>1.9236066476907538</v>
      </c>
      <c r="CZ37" s="35">
        <f t="shared" si="208"/>
        <v>4.499127720135887E-2</v>
      </c>
      <c r="DA37" s="398">
        <f t="shared" ref="DA37:DE37" si="210">SUM(DA35:DA36)</f>
        <v>6.7578237988751741</v>
      </c>
      <c r="DB37" s="398">
        <f t="shared" si="210"/>
        <v>-2.2969956730840124E-2</v>
      </c>
      <c r="DC37" s="398">
        <f t="shared" si="210"/>
        <v>0.23704824373606931</v>
      </c>
      <c r="DD37" s="398">
        <f t="shared" si="210"/>
        <v>1.4645135750692455</v>
      </c>
      <c r="DE37" s="862">
        <f t="shared" si="210"/>
        <v>8.4397877669925272</v>
      </c>
      <c r="DF37" s="398">
        <f t="shared" ref="DF37:DG37" si="211">SUM(DF35:DF36)</f>
        <v>1.4087992667277727</v>
      </c>
      <c r="DG37" s="1054">
        <f t="shared" si="211"/>
        <v>1.162534435261708</v>
      </c>
      <c r="DH37" s="1054">
        <f t="shared" ref="DH37:DI37" si="212">SUM(DH35:DH36)</f>
        <v>1.7100646352723914</v>
      </c>
      <c r="DI37" s="1054">
        <f t="shared" si="212"/>
        <v>1.7686633376560588</v>
      </c>
      <c r="DJ37" s="35"/>
      <c r="DK37" s="1054">
        <f t="shared" ref="DK37:DL37" si="213">SUM(DK35:DK36)</f>
        <v>1.8539241962354549</v>
      </c>
      <c r="DL37" s="1088">
        <f t="shared" si="213"/>
        <v>1.9124148205558873</v>
      </c>
      <c r="DM37" s="398"/>
      <c r="DN37" s="398"/>
      <c r="DO37" s="35"/>
      <c r="DP37" s="1054"/>
      <c r="DQ37" s="398"/>
      <c r="DR37" s="398"/>
      <c r="DS37" s="398"/>
      <c r="DT37" s="35"/>
      <c r="DU37" s="35"/>
      <c r="DV37" s="35"/>
    </row>
    <row r="38" spans="1:126" s="15" customFormat="1">
      <c r="C38" s="35"/>
      <c r="D38" s="35"/>
      <c r="E38" s="32"/>
      <c r="F38" s="35"/>
      <c r="G38" s="35"/>
      <c r="H38" s="35"/>
      <c r="I38" s="35"/>
      <c r="J38" s="382"/>
      <c r="K38" s="382"/>
      <c r="L38" s="382"/>
      <c r="M38" s="382"/>
      <c r="N38" s="35"/>
      <c r="O38" s="382"/>
      <c r="P38" s="382"/>
      <c r="Q38" s="382"/>
      <c r="R38" s="382"/>
      <c r="S38" s="35"/>
      <c r="T38" s="382"/>
      <c r="U38" s="382"/>
      <c r="V38" s="382"/>
      <c r="W38" s="382"/>
      <c r="X38" s="35"/>
      <c r="Y38" s="382"/>
      <c r="Z38" s="382"/>
      <c r="AA38" s="382"/>
      <c r="AB38" s="382"/>
      <c r="AC38" s="35"/>
      <c r="AD38" s="382"/>
      <c r="AE38" s="382"/>
      <c r="AF38" s="382"/>
      <c r="AG38" s="382"/>
      <c r="AH38" s="35"/>
      <c r="AI38" s="382"/>
      <c r="AJ38" s="382"/>
      <c r="AK38" s="382"/>
      <c r="AL38" s="382"/>
      <c r="AM38" s="35"/>
      <c r="AN38" s="382"/>
      <c r="AO38" s="382"/>
      <c r="AP38" s="382"/>
      <c r="AQ38" s="382"/>
      <c r="AR38" s="35"/>
      <c r="AS38" s="382"/>
      <c r="AT38" s="382"/>
      <c r="AU38" s="382"/>
      <c r="AV38" s="382"/>
      <c r="AW38" s="35"/>
      <c r="AX38" s="382"/>
      <c r="AY38" s="382"/>
      <c r="AZ38" s="382"/>
      <c r="BA38" s="382"/>
      <c r="BB38" s="35"/>
      <c r="BC38" s="382"/>
      <c r="BD38" s="382"/>
      <c r="BE38" s="382"/>
      <c r="BF38" s="382"/>
      <c r="BG38" s="35"/>
      <c r="BH38" s="382"/>
      <c r="BI38" s="382"/>
      <c r="BJ38" s="382"/>
      <c r="BK38" s="382"/>
      <c r="BL38" s="35"/>
      <c r="BM38" s="382"/>
      <c r="BN38" s="382"/>
      <c r="BO38" s="382"/>
      <c r="BP38" s="382"/>
      <c r="BQ38" s="35"/>
      <c r="BR38" s="382"/>
      <c r="BS38" s="382"/>
      <c r="BT38" s="382"/>
      <c r="BU38" s="382"/>
      <c r="BV38" s="35"/>
      <c r="BW38" s="382"/>
      <c r="BX38" s="382"/>
      <c r="BY38" s="382"/>
      <c r="BZ38" s="382"/>
      <c r="CA38" s="35"/>
      <c r="CB38" s="382"/>
      <c r="CC38" s="382"/>
      <c r="CD38" s="382"/>
      <c r="CE38" s="382"/>
      <c r="CF38" s="35"/>
      <c r="CG38" s="382"/>
      <c r="CH38" s="382"/>
      <c r="CI38" s="382"/>
      <c r="CJ38" s="382"/>
      <c r="CK38" s="35"/>
      <c r="CL38" s="382"/>
      <c r="CM38" s="382"/>
      <c r="CN38" s="382"/>
      <c r="CO38" s="382"/>
      <c r="CP38" s="35"/>
      <c r="CQ38" s="382"/>
      <c r="CR38" s="382"/>
      <c r="CS38" s="382"/>
      <c r="CT38" s="382"/>
      <c r="CU38" s="35"/>
      <c r="CV38" s="382"/>
      <c r="CW38" s="382"/>
      <c r="CX38" s="382"/>
      <c r="CY38" s="382"/>
      <c r="CZ38" s="35"/>
      <c r="DA38" s="398"/>
      <c r="DB38" s="398"/>
      <c r="DC38" s="398"/>
      <c r="DD38" s="398"/>
      <c r="DE38" s="862"/>
      <c r="DF38" s="398"/>
      <c r="DG38" s="1054"/>
      <c r="DH38" s="1054"/>
      <c r="DI38" s="1054"/>
      <c r="DJ38" s="35"/>
      <c r="DK38" s="1054"/>
      <c r="DL38" s="1054"/>
      <c r="DM38" s="398"/>
      <c r="DN38" s="398"/>
      <c r="DO38" s="35"/>
      <c r="DP38" s="1054"/>
      <c r="DQ38" s="398"/>
      <c r="DR38" s="398"/>
      <c r="DS38" s="398"/>
      <c r="DT38" s="35"/>
      <c r="DU38" s="35"/>
      <c r="DV38" s="35"/>
    </row>
    <row r="39" spans="1:126" s="15" customFormat="1" ht="12">
      <c r="B39" s="189" t="s">
        <v>39</v>
      </c>
      <c r="C39" s="38" t="e">
        <f t="shared" ref="C39:AL39" si="214">C25/C45</f>
        <v>#DIV/0!</v>
      </c>
      <c r="D39" s="38" t="e">
        <f t="shared" si="214"/>
        <v>#DIV/0!</v>
      </c>
      <c r="E39" s="37" t="e">
        <f t="shared" si="214"/>
        <v>#DIV/0!</v>
      </c>
      <c r="F39" s="38" t="e">
        <f t="shared" si="214"/>
        <v>#DIV/0!</v>
      </c>
      <c r="G39" s="38" t="e">
        <f t="shared" si="214"/>
        <v>#DIV/0!</v>
      </c>
      <c r="H39" s="38" t="e">
        <f t="shared" si="214"/>
        <v>#DIV/0!</v>
      </c>
      <c r="I39" s="38" t="e">
        <f t="shared" si="214"/>
        <v>#DIV/0!</v>
      </c>
      <c r="J39" s="398" t="e">
        <f t="shared" si="214"/>
        <v>#DIV/0!</v>
      </c>
      <c r="K39" s="398" t="e">
        <f t="shared" si="214"/>
        <v>#DIV/0!</v>
      </c>
      <c r="L39" s="398" t="e">
        <f t="shared" si="214"/>
        <v>#DIV/0!</v>
      </c>
      <c r="M39" s="398" t="e">
        <f t="shared" si="214"/>
        <v>#DIV/0!</v>
      </c>
      <c r="N39" s="35"/>
      <c r="O39" s="398" t="e">
        <f t="shared" ref="O39:R39" si="215">O25/O45</f>
        <v>#DIV/0!</v>
      </c>
      <c r="P39" s="398" t="e">
        <f t="shared" si="215"/>
        <v>#DIV/0!</v>
      </c>
      <c r="Q39" s="398" t="e">
        <f t="shared" si="215"/>
        <v>#DIV/0!</v>
      </c>
      <c r="R39" s="398" t="e">
        <f t="shared" si="215"/>
        <v>#DIV/0!</v>
      </c>
      <c r="S39" s="35"/>
      <c r="T39" s="398" t="e">
        <f t="shared" ref="T39:W39" si="216">T25/T45</f>
        <v>#DIV/0!</v>
      </c>
      <c r="U39" s="398" t="e">
        <f t="shared" si="216"/>
        <v>#DIV/0!</v>
      </c>
      <c r="V39" s="398" t="e">
        <f t="shared" si="216"/>
        <v>#DIV/0!</v>
      </c>
      <c r="W39" s="398" t="e">
        <f t="shared" si="216"/>
        <v>#DIV/0!</v>
      </c>
      <c r="X39" s="35"/>
      <c r="Y39" s="398" t="e">
        <f t="shared" ref="Y39:AB39" si="217">Y25/Y45</f>
        <v>#DIV/0!</v>
      </c>
      <c r="Z39" s="398" t="e">
        <f t="shared" si="217"/>
        <v>#DIV/0!</v>
      </c>
      <c r="AA39" s="398" t="e">
        <f t="shared" si="217"/>
        <v>#DIV/0!</v>
      </c>
      <c r="AB39" s="398" t="e">
        <f t="shared" si="217"/>
        <v>#DIV/0!</v>
      </c>
      <c r="AC39" s="35"/>
      <c r="AD39" s="398" t="e">
        <f t="shared" si="214"/>
        <v>#DIV/0!</v>
      </c>
      <c r="AE39" s="398" t="e">
        <f t="shared" si="214"/>
        <v>#DIV/0!</v>
      </c>
      <c r="AF39" s="398" t="e">
        <f t="shared" si="214"/>
        <v>#DIV/0!</v>
      </c>
      <c r="AG39" s="398" t="e">
        <f t="shared" si="214"/>
        <v>#DIV/0!</v>
      </c>
      <c r="AH39" s="35"/>
      <c r="AI39" s="398" t="e">
        <f t="shared" si="214"/>
        <v>#DIV/0!</v>
      </c>
      <c r="AJ39" s="398" t="e">
        <f t="shared" si="214"/>
        <v>#DIV/0!</v>
      </c>
      <c r="AK39" s="398" t="e">
        <f t="shared" si="214"/>
        <v>#DIV/0!</v>
      </c>
      <c r="AL39" s="398" t="e">
        <f t="shared" si="214"/>
        <v>#DIV/0!</v>
      </c>
      <c r="AM39" s="35"/>
      <c r="AN39" s="398" t="e">
        <f t="shared" ref="AN39:AQ39" si="218">AN25/AN45</f>
        <v>#DIV/0!</v>
      </c>
      <c r="AO39" s="398" t="e">
        <f t="shared" si="218"/>
        <v>#DIV/0!</v>
      </c>
      <c r="AP39" s="398" t="e">
        <f t="shared" si="218"/>
        <v>#DIV/0!</v>
      </c>
      <c r="AQ39" s="398" t="e">
        <f t="shared" si="218"/>
        <v>#DIV/0!</v>
      </c>
      <c r="AR39" s="35"/>
      <c r="AS39" s="398" t="e">
        <f t="shared" ref="AS39:AV39" si="219">AS25/AS45</f>
        <v>#DIV/0!</v>
      </c>
      <c r="AT39" s="398" t="e">
        <f t="shared" si="219"/>
        <v>#DIV/0!</v>
      </c>
      <c r="AU39" s="398" t="e">
        <f t="shared" si="219"/>
        <v>#DIV/0!</v>
      </c>
      <c r="AV39" s="398" t="e">
        <f t="shared" si="219"/>
        <v>#DIV/0!</v>
      </c>
      <c r="AW39" s="35"/>
      <c r="AX39" s="398" t="e">
        <f t="shared" ref="AX39:BF39" si="220">AX25/AX45</f>
        <v>#DIV/0!</v>
      </c>
      <c r="AY39" s="398" t="e">
        <f t="shared" si="220"/>
        <v>#DIV/0!</v>
      </c>
      <c r="AZ39" s="398" t="e">
        <f t="shared" si="220"/>
        <v>#DIV/0!</v>
      </c>
      <c r="BA39" s="398" t="e">
        <f t="shared" si="220"/>
        <v>#DIV/0!</v>
      </c>
      <c r="BB39" s="35"/>
      <c r="BC39" s="398" t="e">
        <f t="shared" si="220"/>
        <v>#DIV/0!</v>
      </c>
      <c r="BD39" s="398" t="e">
        <f t="shared" si="220"/>
        <v>#DIV/0!</v>
      </c>
      <c r="BE39" s="398" t="e">
        <f t="shared" si="220"/>
        <v>#DIV/0!</v>
      </c>
      <c r="BF39" s="398" t="e">
        <f t="shared" si="220"/>
        <v>#DIV/0!</v>
      </c>
      <c r="BG39" s="35"/>
      <c r="BH39" s="398" t="e">
        <f t="shared" ref="BH39:BP39" si="221">BH25/BH45</f>
        <v>#DIV/0!</v>
      </c>
      <c r="BI39" s="398" t="e">
        <f t="shared" si="221"/>
        <v>#DIV/0!</v>
      </c>
      <c r="BJ39" s="398" t="e">
        <f t="shared" si="221"/>
        <v>#DIV/0!</v>
      </c>
      <c r="BK39" s="398" t="e">
        <f t="shared" si="221"/>
        <v>#DIV/0!</v>
      </c>
      <c r="BL39" s="35"/>
      <c r="BM39" s="398" t="e">
        <f t="shared" si="221"/>
        <v>#DIV/0!</v>
      </c>
      <c r="BN39" s="398" t="e">
        <f t="shared" si="221"/>
        <v>#DIV/0!</v>
      </c>
      <c r="BO39" s="398" t="e">
        <f t="shared" si="221"/>
        <v>#DIV/0!</v>
      </c>
      <c r="BP39" s="398" t="e">
        <f t="shared" si="221"/>
        <v>#DIV/0!</v>
      </c>
      <c r="BQ39" s="35"/>
      <c r="BR39" s="398" t="e">
        <f t="shared" ref="BR39:BU39" si="222">BR25/BR45</f>
        <v>#DIV/0!</v>
      </c>
      <c r="BS39" s="398" t="e">
        <f t="shared" si="222"/>
        <v>#DIV/0!</v>
      </c>
      <c r="BT39" s="398" t="e">
        <f t="shared" si="222"/>
        <v>#DIV/0!</v>
      </c>
      <c r="BU39" s="398" t="e">
        <f t="shared" si="222"/>
        <v>#DIV/0!</v>
      </c>
      <c r="BV39" s="35"/>
      <c r="BW39" s="398" t="e">
        <f t="shared" ref="BW39:BZ39" si="223">BW25/BW45</f>
        <v>#DIV/0!</v>
      </c>
      <c r="BX39" s="398" t="e">
        <f t="shared" si="223"/>
        <v>#DIV/0!</v>
      </c>
      <c r="BY39" s="398" t="e">
        <f t="shared" si="223"/>
        <v>#DIV/0!</v>
      </c>
      <c r="BZ39" s="398" t="e">
        <f t="shared" si="223"/>
        <v>#DIV/0!</v>
      </c>
      <c r="CA39" s="35"/>
      <c r="CB39" s="398" t="e">
        <f t="shared" ref="CB39:CE39" si="224">CB25/CB45</f>
        <v>#DIV/0!</v>
      </c>
      <c r="CC39" s="398" t="e">
        <f t="shared" si="224"/>
        <v>#DIV/0!</v>
      </c>
      <c r="CD39" s="398" t="e">
        <f t="shared" si="224"/>
        <v>#DIV/0!</v>
      </c>
      <c r="CE39" s="398" t="e">
        <f t="shared" si="224"/>
        <v>#DIV/0!</v>
      </c>
      <c r="CF39" s="35"/>
      <c r="CG39" s="398" t="e">
        <f t="shared" ref="CG39:CJ39" si="225">CG25/CG45</f>
        <v>#DIV/0!</v>
      </c>
      <c r="CH39" s="398" t="e">
        <f t="shared" si="225"/>
        <v>#DIV/0!</v>
      </c>
      <c r="CI39" s="398" t="e">
        <f t="shared" si="225"/>
        <v>#DIV/0!</v>
      </c>
      <c r="CJ39" s="398" t="e">
        <f t="shared" si="225"/>
        <v>#DIV/0!</v>
      </c>
      <c r="CK39" s="35"/>
      <c r="CL39" s="398">
        <f>CL31/CL45</f>
        <v>0.70229934585539</v>
      </c>
      <c r="CM39" s="398">
        <f t="shared" ref="CM39:CO39" si="226">CM31/CM45</f>
        <v>-0.24814084969407141</v>
      </c>
      <c r="CN39" s="398">
        <f>CN31/CN45</f>
        <v>-0.13573256141955484</v>
      </c>
      <c r="CO39" s="398">
        <f t="shared" si="226"/>
        <v>2.2287395340474649</v>
      </c>
      <c r="CP39" s="35">
        <f t="shared" ref="CP39:CU39" si="227">CP31/CP45</f>
        <v>4.7732628022392474</v>
      </c>
      <c r="CQ39" s="398">
        <f>CQ31/CQ45</f>
        <v>-0.32749943869444031</v>
      </c>
      <c r="CR39" s="398">
        <f t="shared" si="227"/>
        <v>-0.13528743893371126</v>
      </c>
      <c r="CS39" s="398">
        <f t="shared" si="227"/>
        <v>1.097312866740628</v>
      </c>
      <c r="CT39" s="398">
        <f t="shared" ref="CT39" si="228">CT31/CT45</f>
        <v>-3.5476828543280119</v>
      </c>
      <c r="CU39" s="35">
        <f t="shared" si="227"/>
        <v>-6.1481644131044817</v>
      </c>
      <c r="CV39" s="398">
        <f t="shared" ref="CV39:CY39" si="229">(CV25+CV30)/CV45</f>
        <v>-1.1456710490519486</v>
      </c>
      <c r="CW39" s="398">
        <f t="shared" si="229"/>
        <v>-1.0870426592436924</v>
      </c>
      <c r="CX39" s="398">
        <f t="shared" si="229"/>
        <v>-0.28920034220088087</v>
      </c>
      <c r="CY39" s="398">
        <f t="shared" si="229"/>
        <v>1.545312643467083</v>
      </c>
      <c r="CZ39" s="35">
        <f>(CZ25+CZ30)/CZ45</f>
        <v>-0.99715361307501615</v>
      </c>
      <c r="DA39" s="398">
        <f t="shared" ref="DA39:DE39" si="230">(DA25+DA30)/DA45</f>
        <v>5.5787171596910836</v>
      </c>
      <c r="DB39" s="398">
        <f t="shared" si="230"/>
        <v>0.91696067269513915</v>
      </c>
      <c r="DC39" s="398">
        <f t="shared" si="230"/>
        <v>6.523420660953845E-2</v>
      </c>
      <c r="DD39" s="398">
        <f t="shared" si="230"/>
        <v>1.4617572759944601</v>
      </c>
      <c r="DE39" s="862">
        <f t="shared" si="230"/>
        <v>8.025424139416474</v>
      </c>
      <c r="DF39" s="398">
        <f t="shared" ref="DF39:DG39" si="231">(DF25+DF30)/DF45</f>
        <v>1.4052583862194017</v>
      </c>
      <c r="DG39" s="1054">
        <f t="shared" si="231"/>
        <v>1.2018181818181819</v>
      </c>
      <c r="DH39" s="1054">
        <f t="shared" ref="DH39:DI39" si="232">(DH25+DH30)/DH45</f>
        <v>1.5507776761207686</v>
      </c>
      <c r="DI39" s="1054">
        <f t="shared" si="232"/>
        <v>1.7504970781910676</v>
      </c>
      <c r="DJ39" s="35"/>
      <c r="DK39" s="1054">
        <f t="shared" ref="DK39:DL39" si="233">(DK25+DK30)/DK45</f>
        <v>1.8398580035477807</v>
      </c>
      <c r="DL39" s="1088">
        <f t="shared" si="233"/>
        <v>1.8860106711596523</v>
      </c>
      <c r="DM39" s="398"/>
      <c r="DN39" s="398"/>
      <c r="DO39" s="35"/>
      <c r="DP39" s="1054"/>
      <c r="DQ39" s="398"/>
      <c r="DR39" s="398"/>
      <c r="DS39" s="398"/>
      <c r="DT39" s="35"/>
      <c r="DU39" s="35"/>
      <c r="DV39" s="35"/>
    </row>
    <row r="40" spans="1:126" s="15" customFormat="1">
      <c r="B40" s="15" t="s">
        <v>35</v>
      </c>
      <c r="C40" s="36" t="e">
        <f t="shared" ref="C40:AM40" si="234">C28/C45</f>
        <v>#DIV/0!</v>
      </c>
      <c r="D40" s="36" t="e">
        <f t="shared" si="234"/>
        <v>#DIV/0!</v>
      </c>
      <c r="E40" s="34" t="e">
        <f t="shared" si="234"/>
        <v>#DIV/0!</v>
      </c>
      <c r="F40" s="36" t="e">
        <f t="shared" si="234"/>
        <v>#DIV/0!</v>
      </c>
      <c r="G40" s="36" t="e">
        <f t="shared" si="234"/>
        <v>#DIV/0!</v>
      </c>
      <c r="H40" s="36" t="e">
        <f t="shared" si="234"/>
        <v>#DIV/0!</v>
      </c>
      <c r="I40" s="36" t="e">
        <f t="shared" si="234"/>
        <v>#DIV/0!</v>
      </c>
      <c r="J40" s="420" t="e">
        <f t="shared" si="234"/>
        <v>#DIV/0!</v>
      </c>
      <c r="K40" s="420" t="e">
        <f t="shared" si="234"/>
        <v>#DIV/0!</v>
      </c>
      <c r="L40" s="420" t="e">
        <f t="shared" si="234"/>
        <v>#DIV/0!</v>
      </c>
      <c r="M40" s="420" t="e">
        <f t="shared" si="234"/>
        <v>#DIV/0!</v>
      </c>
      <c r="N40" s="36" t="e">
        <f t="shared" si="234"/>
        <v>#DIV/0!</v>
      </c>
      <c r="O40" s="420" t="e">
        <f t="shared" si="234"/>
        <v>#DIV/0!</v>
      </c>
      <c r="P40" s="420" t="e">
        <f t="shared" si="234"/>
        <v>#DIV/0!</v>
      </c>
      <c r="Q40" s="420" t="e">
        <f t="shared" si="234"/>
        <v>#DIV/0!</v>
      </c>
      <c r="R40" s="420" t="e">
        <f t="shared" si="234"/>
        <v>#DIV/0!</v>
      </c>
      <c r="S40" s="36" t="e">
        <f t="shared" si="234"/>
        <v>#DIV/0!</v>
      </c>
      <c r="T40" s="420" t="e">
        <f t="shared" si="234"/>
        <v>#DIV/0!</v>
      </c>
      <c r="U40" s="420" t="e">
        <f t="shared" si="234"/>
        <v>#DIV/0!</v>
      </c>
      <c r="V40" s="420" t="e">
        <f t="shared" si="234"/>
        <v>#DIV/0!</v>
      </c>
      <c r="W40" s="420" t="e">
        <f t="shared" si="234"/>
        <v>#DIV/0!</v>
      </c>
      <c r="X40" s="36" t="e">
        <f t="shared" si="234"/>
        <v>#DIV/0!</v>
      </c>
      <c r="Y40" s="420" t="e">
        <f t="shared" si="234"/>
        <v>#DIV/0!</v>
      </c>
      <c r="Z40" s="420" t="e">
        <f t="shared" si="234"/>
        <v>#DIV/0!</v>
      </c>
      <c r="AA40" s="420" t="e">
        <f t="shared" si="234"/>
        <v>#DIV/0!</v>
      </c>
      <c r="AB40" s="420" t="e">
        <f t="shared" si="234"/>
        <v>#DIV/0!</v>
      </c>
      <c r="AC40" s="36" t="e">
        <f t="shared" si="234"/>
        <v>#DIV/0!</v>
      </c>
      <c r="AD40" s="420" t="e">
        <f t="shared" si="234"/>
        <v>#DIV/0!</v>
      </c>
      <c r="AE40" s="420" t="e">
        <f t="shared" si="234"/>
        <v>#DIV/0!</v>
      </c>
      <c r="AF40" s="420" t="e">
        <f t="shared" si="234"/>
        <v>#DIV/0!</v>
      </c>
      <c r="AG40" s="420" t="e">
        <f t="shared" si="234"/>
        <v>#DIV/0!</v>
      </c>
      <c r="AH40" s="36" t="e">
        <f t="shared" si="234"/>
        <v>#DIV/0!</v>
      </c>
      <c r="AI40" s="420" t="e">
        <f t="shared" si="234"/>
        <v>#DIV/0!</v>
      </c>
      <c r="AJ40" s="420" t="e">
        <f t="shared" si="234"/>
        <v>#DIV/0!</v>
      </c>
      <c r="AK40" s="420" t="e">
        <f t="shared" si="234"/>
        <v>#DIV/0!</v>
      </c>
      <c r="AL40" s="420" t="e">
        <f t="shared" si="234"/>
        <v>#DIV/0!</v>
      </c>
      <c r="AM40" s="36" t="e">
        <f t="shared" si="234"/>
        <v>#DIV/0!</v>
      </c>
      <c r="AN40" s="420" t="e">
        <f t="shared" ref="AN40:AR40" si="235">AN28/AN45</f>
        <v>#DIV/0!</v>
      </c>
      <c r="AO40" s="420" t="e">
        <f t="shared" si="235"/>
        <v>#DIV/0!</v>
      </c>
      <c r="AP40" s="420" t="e">
        <f t="shared" si="235"/>
        <v>#DIV/0!</v>
      </c>
      <c r="AQ40" s="420" t="e">
        <f t="shared" si="235"/>
        <v>#DIV/0!</v>
      </c>
      <c r="AR40" s="36" t="e">
        <f t="shared" si="235"/>
        <v>#DIV/0!</v>
      </c>
      <c r="AS40" s="420" t="e">
        <f t="shared" ref="AS40:AW40" si="236">AS28/AS45</f>
        <v>#DIV/0!</v>
      </c>
      <c r="AT40" s="420" t="e">
        <f t="shared" si="236"/>
        <v>#DIV/0!</v>
      </c>
      <c r="AU40" s="420" t="e">
        <f t="shared" si="236"/>
        <v>#DIV/0!</v>
      </c>
      <c r="AV40" s="420" t="e">
        <f t="shared" si="236"/>
        <v>#DIV/0!</v>
      </c>
      <c r="AW40" s="36" t="e">
        <f t="shared" si="236"/>
        <v>#DIV/0!</v>
      </c>
      <c r="AX40" s="420" t="e">
        <f t="shared" ref="AX40:BG40" si="237">AX28/AX45</f>
        <v>#DIV/0!</v>
      </c>
      <c r="AY40" s="420" t="e">
        <f t="shared" si="237"/>
        <v>#DIV/0!</v>
      </c>
      <c r="AZ40" s="420" t="e">
        <f t="shared" si="237"/>
        <v>#DIV/0!</v>
      </c>
      <c r="BA40" s="420" t="e">
        <f t="shared" si="237"/>
        <v>#DIV/0!</v>
      </c>
      <c r="BB40" s="36" t="e">
        <f t="shared" si="237"/>
        <v>#DIV/0!</v>
      </c>
      <c r="BC40" s="420" t="e">
        <f t="shared" si="237"/>
        <v>#DIV/0!</v>
      </c>
      <c r="BD40" s="420" t="e">
        <f t="shared" si="237"/>
        <v>#DIV/0!</v>
      </c>
      <c r="BE40" s="420" t="e">
        <f t="shared" si="237"/>
        <v>#DIV/0!</v>
      </c>
      <c r="BF40" s="420" t="e">
        <f t="shared" si="237"/>
        <v>#DIV/0!</v>
      </c>
      <c r="BG40" s="36" t="e">
        <f t="shared" si="237"/>
        <v>#DIV/0!</v>
      </c>
      <c r="BH40" s="420" t="e">
        <f t="shared" ref="BH40:BQ40" si="238">BH28/BH45</f>
        <v>#DIV/0!</v>
      </c>
      <c r="BI40" s="420" t="e">
        <f t="shared" si="238"/>
        <v>#DIV/0!</v>
      </c>
      <c r="BJ40" s="420" t="e">
        <f t="shared" si="238"/>
        <v>#DIV/0!</v>
      </c>
      <c r="BK40" s="420" t="e">
        <f t="shared" si="238"/>
        <v>#DIV/0!</v>
      </c>
      <c r="BL40" s="36" t="e">
        <f t="shared" si="238"/>
        <v>#DIV/0!</v>
      </c>
      <c r="BM40" s="420" t="e">
        <f t="shared" si="238"/>
        <v>#DIV/0!</v>
      </c>
      <c r="BN40" s="420" t="e">
        <f t="shared" si="238"/>
        <v>#DIV/0!</v>
      </c>
      <c r="BO40" s="420" t="e">
        <f t="shared" si="238"/>
        <v>#DIV/0!</v>
      </c>
      <c r="BP40" s="420" t="e">
        <f t="shared" si="238"/>
        <v>#DIV/0!</v>
      </c>
      <c r="BQ40" s="36" t="e">
        <f t="shared" si="238"/>
        <v>#DIV/0!</v>
      </c>
      <c r="BR40" s="420" t="e">
        <f t="shared" ref="BR40:BV40" si="239">BR28/BR45</f>
        <v>#DIV/0!</v>
      </c>
      <c r="BS40" s="420" t="e">
        <f t="shared" si="239"/>
        <v>#DIV/0!</v>
      </c>
      <c r="BT40" s="420" t="e">
        <f t="shared" si="239"/>
        <v>#DIV/0!</v>
      </c>
      <c r="BU40" s="420" t="e">
        <f t="shared" si="239"/>
        <v>#DIV/0!</v>
      </c>
      <c r="BV40" s="36" t="e">
        <f t="shared" si="239"/>
        <v>#DIV/0!</v>
      </c>
      <c r="BW40" s="420" t="e">
        <f t="shared" ref="BW40:CA40" si="240">BW28/BW45</f>
        <v>#DIV/0!</v>
      </c>
      <c r="BX40" s="420" t="e">
        <f t="shared" si="240"/>
        <v>#DIV/0!</v>
      </c>
      <c r="BY40" s="420" t="e">
        <f t="shared" si="240"/>
        <v>#DIV/0!</v>
      </c>
      <c r="BZ40" s="420" t="e">
        <f t="shared" si="240"/>
        <v>#DIV/0!</v>
      </c>
      <c r="CA40" s="36" t="e">
        <f t="shared" si="240"/>
        <v>#DIV/0!</v>
      </c>
      <c r="CB40" s="420" t="e">
        <f t="shared" ref="CB40:CF40" si="241">CB28/CB45</f>
        <v>#DIV/0!</v>
      </c>
      <c r="CC40" s="420" t="e">
        <f t="shared" si="241"/>
        <v>#DIV/0!</v>
      </c>
      <c r="CD40" s="420" t="e">
        <f t="shared" si="241"/>
        <v>#DIV/0!</v>
      </c>
      <c r="CE40" s="420" t="e">
        <f t="shared" si="241"/>
        <v>#DIV/0!</v>
      </c>
      <c r="CF40" s="36" t="e">
        <f t="shared" si="241"/>
        <v>#DIV/0!</v>
      </c>
      <c r="CG40" s="420" t="e">
        <f t="shared" ref="CG40:CK40" si="242">CG28/CG45</f>
        <v>#DIV/0!</v>
      </c>
      <c r="CH40" s="420" t="e">
        <f t="shared" si="242"/>
        <v>#DIV/0!</v>
      </c>
      <c r="CI40" s="420" t="e">
        <f t="shared" si="242"/>
        <v>#DIV/0!</v>
      </c>
      <c r="CJ40" s="420" t="e">
        <f t="shared" si="242"/>
        <v>#DIV/0!</v>
      </c>
      <c r="CK40" s="36" t="e">
        <f t="shared" si="242"/>
        <v>#DIV/0!</v>
      </c>
      <c r="CL40" s="420">
        <f t="shared" ref="CL40:CP40" si="243">CL28/CL45</f>
        <v>-3.8788462896496519E-3</v>
      </c>
      <c r="CM40" s="420">
        <f t="shared" si="243"/>
        <v>1.6512355762111224E-2</v>
      </c>
      <c r="CN40" s="420">
        <f>CN28/CN45</f>
        <v>5.8220022139590386E-3</v>
      </c>
      <c r="CO40" s="420">
        <f t="shared" si="243"/>
        <v>-3.6506790074487551E-3</v>
      </c>
      <c r="CP40" s="36">
        <f t="shared" si="243"/>
        <v>0.14420182079422583</v>
      </c>
      <c r="CQ40" s="420">
        <f t="shared" ref="CQ40:CS40" si="244">CQ28/CQ45</f>
        <v>-5.6956424120772225E-4</v>
      </c>
      <c r="CR40" s="420">
        <f t="shared" si="244"/>
        <v>3.4163494680230117E-4</v>
      </c>
      <c r="CS40" s="420">
        <f t="shared" si="244"/>
        <v>6.6476215163540117E-2</v>
      </c>
      <c r="CT40" s="420">
        <f t="shared" ref="CT40" si="245">CT28/CT45</f>
        <v>0</v>
      </c>
      <c r="CU40" s="36">
        <f t="shared" ref="CU40" si="246">CU28/CU45</f>
        <v>6.4602585959807349E-2</v>
      </c>
      <c r="CV40" s="420">
        <f t="shared" ref="CV40:CY40" si="247">(CV26+CV28)/CV45</f>
        <v>6.6323542094204796E-2</v>
      </c>
      <c r="CW40" s="420">
        <f t="shared" si="247"/>
        <v>0.22342739221032268</v>
      </c>
      <c r="CX40" s="420">
        <f t="shared" si="247"/>
        <v>0.3706523373144201</v>
      </c>
      <c r="CY40" s="420">
        <f t="shared" si="247"/>
        <v>0.37829400422367093</v>
      </c>
      <c r="CZ40" s="36">
        <f>(CZ26+CZ28)/CZ45</f>
        <v>1.042144890276375</v>
      </c>
      <c r="DA40" s="420">
        <f t="shared" ref="DA40:DE40" si="248">(DA26+DA28)/DA45</f>
        <v>1.1791066391840908</v>
      </c>
      <c r="DB40" s="420">
        <f t="shared" si="248"/>
        <v>-0.93993062942597927</v>
      </c>
      <c r="DC40" s="420">
        <f t="shared" si="248"/>
        <v>0.17181403712653084</v>
      </c>
      <c r="DD40" s="420">
        <f t="shared" si="248"/>
        <v>2.7562990747852798E-3</v>
      </c>
      <c r="DE40" s="863">
        <f t="shared" si="248"/>
        <v>0.41436362757605372</v>
      </c>
      <c r="DF40" s="420">
        <f t="shared" ref="DF40:DG40" si="249">(DF26+DF28)/DF45</f>
        <v>-1.1786038077969175E-2</v>
      </c>
      <c r="DG40" s="420">
        <f t="shared" si="249"/>
        <v>-5.0909090909090911E-2</v>
      </c>
      <c r="DH40" s="420">
        <f t="shared" ref="DH40:DI40" si="250">(DH26+DH28)/DH45</f>
        <v>0.14364135407136322</v>
      </c>
      <c r="DI40" s="420">
        <f t="shared" si="250"/>
        <v>1.8455425178609043E-3</v>
      </c>
      <c r="DJ40" s="36"/>
      <c r="DK40" s="420">
        <f t="shared" ref="DK40:DL40" si="251">(DK26+DK28)/DK45</f>
        <v>1.4066192687674164E-2</v>
      </c>
      <c r="DL40" s="420">
        <f t="shared" si="251"/>
        <v>2.640414939623513E-2</v>
      </c>
      <c r="DM40" s="420"/>
      <c r="DN40" s="420"/>
      <c r="DO40" s="36"/>
      <c r="DP40" s="420"/>
      <c r="DQ40" s="420"/>
      <c r="DR40" s="420"/>
      <c r="DS40" s="420"/>
      <c r="DT40" s="36"/>
      <c r="DU40" s="36"/>
      <c r="DV40" s="36"/>
    </row>
    <row r="41" spans="1:126" s="15" customFormat="1">
      <c r="B41" s="15" t="s">
        <v>40</v>
      </c>
      <c r="C41" s="35" t="e">
        <f>SUM(C39:C40)</f>
        <v>#DIV/0!</v>
      </c>
      <c r="D41" s="35" t="e">
        <f t="shared" ref="D41:AC41" si="252">SUM(D39:D40)</f>
        <v>#DIV/0!</v>
      </c>
      <c r="E41" s="32" t="e">
        <f t="shared" si="252"/>
        <v>#DIV/0!</v>
      </c>
      <c r="F41" s="35" t="e">
        <f t="shared" si="252"/>
        <v>#DIV/0!</v>
      </c>
      <c r="G41" s="35" t="e">
        <f t="shared" si="252"/>
        <v>#DIV/0!</v>
      </c>
      <c r="H41" s="35" t="e">
        <f t="shared" si="252"/>
        <v>#DIV/0!</v>
      </c>
      <c r="I41" s="35" t="e">
        <f t="shared" si="252"/>
        <v>#DIV/0!</v>
      </c>
      <c r="J41" s="398" t="e">
        <f t="shared" si="252"/>
        <v>#DIV/0!</v>
      </c>
      <c r="K41" s="398" t="e">
        <f t="shared" si="252"/>
        <v>#DIV/0!</v>
      </c>
      <c r="L41" s="398" t="e">
        <f t="shared" si="252"/>
        <v>#DIV/0!</v>
      </c>
      <c r="M41" s="398" t="e">
        <f t="shared" si="252"/>
        <v>#DIV/0!</v>
      </c>
      <c r="N41" s="35" t="e">
        <f t="shared" si="252"/>
        <v>#DIV/0!</v>
      </c>
      <c r="O41" s="398" t="e">
        <f t="shared" si="252"/>
        <v>#DIV/0!</v>
      </c>
      <c r="P41" s="398" t="e">
        <f t="shared" si="252"/>
        <v>#DIV/0!</v>
      </c>
      <c r="Q41" s="398" t="e">
        <f t="shared" si="252"/>
        <v>#DIV/0!</v>
      </c>
      <c r="R41" s="398" t="e">
        <f t="shared" si="252"/>
        <v>#DIV/0!</v>
      </c>
      <c r="S41" s="35" t="e">
        <f t="shared" si="252"/>
        <v>#DIV/0!</v>
      </c>
      <c r="T41" s="398" t="e">
        <f t="shared" si="252"/>
        <v>#DIV/0!</v>
      </c>
      <c r="U41" s="398" t="e">
        <f t="shared" si="252"/>
        <v>#DIV/0!</v>
      </c>
      <c r="V41" s="398" t="e">
        <f t="shared" si="252"/>
        <v>#DIV/0!</v>
      </c>
      <c r="W41" s="398" t="e">
        <f t="shared" si="252"/>
        <v>#DIV/0!</v>
      </c>
      <c r="X41" s="35" t="e">
        <f t="shared" si="252"/>
        <v>#DIV/0!</v>
      </c>
      <c r="Y41" s="398" t="e">
        <f t="shared" si="252"/>
        <v>#DIV/0!</v>
      </c>
      <c r="Z41" s="398" t="e">
        <f t="shared" si="252"/>
        <v>#DIV/0!</v>
      </c>
      <c r="AA41" s="398" t="e">
        <f t="shared" si="252"/>
        <v>#DIV/0!</v>
      </c>
      <c r="AB41" s="398" t="e">
        <f t="shared" si="252"/>
        <v>#DIV/0!</v>
      </c>
      <c r="AC41" s="35" t="e">
        <f t="shared" si="252"/>
        <v>#DIV/0!</v>
      </c>
      <c r="AD41" s="398" t="e">
        <f t="shared" ref="AD41:AH41" si="253">SUM(AD39:AD40)</f>
        <v>#DIV/0!</v>
      </c>
      <c r="AE41" s="398" t="e">
        <f t="shared" si="253"/>
        <v>#DIV/0!</v>
      </c>
      <c r="AF41" s="398" t="e">
        <f t="shared" si="253"/>
        <v>#DIV/0!</v>
      </c>
      <c r="AG41" s="398" t="e">
        <f t="shared" si="253"/>
        <v>#DIV/0!</v>
      </c>
      <c r="AH41" s="35" t="e">
        <f t="shared" si="253"/>
        <v>#DIV/0!</v>
      </c>
      <c r="AI41" s="398" t="e">
        <f t="shared" ref="AI41:AM41" si="254">SUM(AI39:AI40)</f>
        <v>#DIV/0!</v>
      </c>
      <c r="AJ41" s="398" t="e">
        <f t="shared" si="254"/>
        <v>#DIV/0!</v>
      </c>
      <c r="AK41" s="398" t="e">
        <f t="shared" si="254"/>
        <v>#DIV/0!</v>
      </c>
      <c r="AL41" s="398" t="e">
        <f t="shared" si="254"/>
        <v>#DIV/0!</v>
      </c>
      <c r="AM41" s="35" t="e">
        <f t="shared" si="254"/>
        <v>#DIV/0!</v>
      </c>
      <c r="AN41" s="398" t="e">
        <f t="shared" ref="AN41:AR41" si="255">SUM(AN39:AN40)</f>
        <v>#DIV/0!</v>
      </c>
      <c r="AO41" s="398" t="e">
        <f t="shared" si="255"/>
        <v>#DIV/0!</v>
      </c>
      <c r="AP41" s="398" t="e">
        <f t="shared" si="255"/>
        <v>#DIV/0!</v>
      </c>
      <c r="AQ41" s="398" t="e">
        <f t="shared" si="255"/>
        <v>#DIV/0!</v>
      </c>
      <c r="AR41" s="35" t="e">
        <f t="shared" si="255"/>
        <v>#DIV/0!</v>
      </c>
      <c r="AS41" s="398" t="e">
        <f t="shared" ref="AS41:AW41" si="256">SUM(AS39:AS40)</f>
        <v>#DIV/0!</v>
      </c>
      <c r="AT41" s="398" t="e">
        <f t="shared" si="256"/>
        <v>#DIV/0!</v>
      </c>
      <c r="AU41" s="398" t="e">
        <f t="shared" si="256"/>
        <v>#DIV/0!</v>
      </c>
      <c r="AV41" s="398" t="e">
        <f t="shared" si="256"/>
        <v>#DIV/0!</v>
      </c>
      <c r="AW41" s="35" t="e">
        <f t="shared" si="256"/>
        <v>#DIV/0!</v>
      </c>
      <c r="AX41" s="398" t="e">
        <f t="shared" ref="AX41:BB41" si="257">SUM(AX39:AX40)</f>
        <v>#DIV/0!</v>
      </c>
      <c r="AY41" s="398" t="e">
        <f t="shared" si="257"/>
        <v>#DIV/0!</v>
      </c>
      <c r="AZ41" s="398" t="e">
        <f t="shared" si="257"/>
        <v>#DIV/0!</v>
      </c>
      <c r="BA41" s="398" t="e">
        <f t="shared" si="257"/>
        <v>#DIV/0!</v>
      </c>
      <c r="BB41" s="35" t="e">
        <f t="shared" si="257"/>
        <v>#DIV/0!</v>
      </c>
      <c r="BC41" s="398" t="e">
        <f t="shared" ref="BC41:BL41" si="258">SUM(BC39:BC40)</f>
        <v>#DIV/0!</v>
      </c>
      <c r="BD41" s="398" t="e">
        <f t="shared" si="258"/>
        <v>#DIV/0!</v>
      </c>
      <c r="BE41" s="398" t="e">
        <f t="shared" si="258"/>
        <v>#DIV/0!</v>
      </c>
      <c r="BF41" s="398" t="e">
        <f t="shared" si="258"/>
        <v>#DIV/0!</v>
      </c>
      <c r="BG41" s="35" t="e">
        <f t="shared" si="258"/>
        <v>#DIV/0!</v>
      </c>
      <c r="BH41" s="398" t="e">
        <f t="shared" si="258"/>
        <v>#DIV/0!</v>
      </c>
      <c r="BI41" s="398" t="e">
        <f t="shared" si="258"/>
        <v>#DIV/0!</v>
      </c>
      <c r="BJ41" s="398" t="e">
        <f t="shared" si="258"/>
        <v>#DIV/0!</v>
      </c>
      <c r="BK41" s="398" t="e">
        <f t="shared" si="258"/>
        <v>#DIV/0!</v>
      </c>
      <c r="BL41" s="35" t="e">
        <f t="shared" si="258"/>
        <v>#DIV/0!</v>
      </c>
      <c r="BM41" s="398" t="e">
        <f t="shared" ref="BM41:BQ41" si="259">SUM(BM39:BM40)</f>
        <v>#DIV/0!</v>
      </c>
      <c r="BN41" s="398" t="e">
        <f t="shared" si="259"/>
        <v>#DIV/0!</v>
      </c>
      <c r="BO41" s="398" t="e">
        <f t="shared" si="259"/>
        <v>#DIV/0!</v>
      </c>
      <c r="BP41" s="398" t="e">
        <f t="shared" si="259"/>
        <v>#DIV/0!</v>
      </c>
      <c r="BQ41" s="35" t="e">
        <f t="shared" si="259"/>
        <v>#DIV/0!</v>
      </c>
      <c r="BR41" s="398" t="e">
        <f t="shared" ref="BR41:BV41" si="260">SUM(BR39:BR40)</f>
        <v>#DIV/0!</v>
      </c>
      <c r="BS41" s="398" t="e">
        <f t="shared" si="260"/>
        <v>#DIV/0!</v>
      </c>
      <c r="BT41" s="398" t="e">
        <f t="shared" si="260"/>
        <v>#DIV/0!</v>
      </c>
      <c r="BU41" s="398" t="e">
        <f t="shared" si="260"/>
        <v>#DIV/0!</v>
      </c>
      <c r="BV41" s="35" t="e">
        <f t="shared" si="260"/>
        <v>#DIV/0!</v>
      </c>
      <c r="BW41" s="398" t="e">
        <f t="shared" ref="BW41:CA41" si="261">SUM(BW39:BW40)</f>
        <v>#DIV/0!</v>
      </c>
      <c r="BX41" s="398" t="e">
        <f t="shared" si="261"/>
        <v>#DIV/0!</v>
      </c>
      <c r="BY41" s="398" t="e">
        <f t="shared" si="261"/>
        <v>#DIV/0!</v>
      </c>
      <c r="BZ41" s="398" t="e">
        <f t="shared" si="261"/>
        <v>#DIV/0!</v>
      </c>
      <c r="CA41" s="35" t="e">
        <f t="shared" si="261"/>
        <v>#DIV/0!</v>
      </c>
      <c r="CB41" s="398" t="e">
        <f t="shared" ref="CB41:CF41" si="262">SUM(CB39:CB40)</f>
        <v>#DIV/0!</v>
      </c>
      <c r="CC41" s="398" t="e">
        <f t="shared" si="262"/>
        <v>#DIV/0!</v>
      </c>
      <c r="CD41" s="398" t="e">
        <f t="shared" si="262"/>
        <v>#DIV/0!</v>
      </c>
      <c r="CE41" s="398" t="e">
        <f t="shared" si="262"/>
        <v>#DIV/0!</v>
      </c>
      <c r="CF41" s="35" t="e">
        <f t="shared" si="262"/>
        <v>#DIV/0!</v>
      </c>
      <c r="CG41" s="398" t="e">
        <f t="shared" ref="CG41:CK41" si="263">SUM(CG39:CG40)</f>
        <v>#DIV/0!</v>
      </c>
      <c r="CH41" s="398" t="e">
        <f t="shared" si="263"/>
        <v>#DIV/0!</v>
      </c>
      <c r="CI41" s="398" t="e">
        <f t="shared" si="263"/>
        <v>#DIV/0!</v>
      </c>
      <c r="CJ41" s="398" t="e">
        <f t="shared" si="263"/>
        <v>#DIV/0!</v>
      </c>
      <c r="CK41" s="35" t="e">
        <f t="shared" si="263"/>
        <v>#DIV/0!</v>
      </c>
      <c r="CL41" s="398">
        <f t="shared" ref="CL41:CP41" si="264">SUM(CL39:CL40)</f>
        <v>0.69842049956574037</v>
      </c>
      <c r="CM41" s="398">
        <f t="shared" si="264"/>
        <v>-0.23162849393196019</v>
      </c>
      <c r="CN41" s="398">
        <f>SUM(CN39:CN40)</f>
        <v>-0.1299105592055958</v>
      </c>
      <c r="CO41" s="398">
        <f t="shared" si="264"/>
        <v>2.2250888550400161</v>
      </c>
      <c r="CP41" s="35">
        <f t="shared" si="264"/>
        <v>4.9174646230334735</v>
      </c>
      <c r="CQ41" s="398">
        <f t="shared" ref="CQ41:CS41" si="265">SUM(CQ39:CQ40)</f>
        <v>-0.32806900293564806</v>
      </c>
      <c r="CR41" s="398">
        <f t="shared" si="265"/>
        <v>-0.13494580398690895</v>
      </c>
      <c r="CS41" s="398">
        <f t="shared" si="265"/>
        <v>1.1637890819041681</v>
      </c>
      <c r="CT41" s="398">
        <f t="shared" ref="CT41" si="266">SUM(CT39:CT40)</f>
        <v>-3.5476828543280119</v>
      </c>
      <c r="CU41" s="35">
        <f t="shared" ref="CU41:CZ41" si="267">SUM(CU39:CU40)</f>
        <v>-6.0835618271446741</v>
      </c>
      <c r="CV41" s="398">
        <f t="shared" ref="CV41:CY41" si="268">SUM(CV39:CV40)</f>
        <v>-1.0793475069577438</v>
      </c>
      <c r="CW41" s="398">
        <f t="shared" si="268"/>
        <v>-0.86361526703336966</v>
      </c>
      <c r="CX41" s="398">
        <f t="shared" si="268"/>
        <v>8.1451995113539233E-2</v>
      </c>
      <c r="CY41" s="398">
        <f t="shared" si="268"/>
        <v>1.9236066476907538</v>
      </c>
      <c r="CZ41" s="35">
        <f t="shared" si="267"/>
        <v>4.499127720135887E-2</v>
      </c>
      <c r="DA41" s="398">
        <f t="shared" ref="DA41:DE41" si="269">SUM(DA39:DA40)</f>
        <v>6.7578237988751741</v>
      </c>
      <c r="DB41" s="398">
        <f t="shared" si="269"/>
        <v>-2.2969956730840124E-2</v>
      </c>
      <c r="DC41" s="398">
        <f t="shared" si="269"/>
        <v>0.23704824373606931</v>
      </c>
      <c r="DD41" s="398">
        <f t="shared" si="269"/>
        <v>1.4645135750692455</v>
      </c>
      <c r="DE41" s="862">
        <f t="shared" si="269"/>
        <v>8.4397877669925272</v>
      </c>
      <c r="DF41" s="398">
        <f t="shared" ref="DF41:DG41" si="270">SUM(DF39:DF40)</f>
        <v>1.3934723481414326</v>
      </c>
      <c r="DG41" s="1054">
        <f t="shared" si="270"/>
        <v>1.1509090909090909</v>
      </c>
      <c r="DH41" s="1054">
        <f t="shared" ref="DH41:DI41" si="271">SUM(DH39:DH40)</f>
        <v>1.6944190301921318</v>
      </c>
      <c r="DI41" s="1054">
        <f t="shared" si="271"/>
        <v>1.7523426207089285</v>
      </c>
      <c r="DJ41" s="35"/>
      <c r="DK41" s="1054">
        <f t="shared" ref="DK41:DL41" si="272">SUM(DK39:DK40)</f>
        <v>1.8539241962354549</v>
      </c>
      <c r="DL41" s="1054">
        <f t="shared" si="272"/>
        <v>1.9124148205558873</v>
      </c>
      <c r="DM41" s="398"/>
      <c r="DN41" s="398"/>
      <c r="DO41" s="35"/>
      <c r="DP41" s="1054"/>
      <c r="DQ41" s="398"/>
      <c r="DR41" s="398"/>
      <c r="DS41" s="398"/>
      <c r="DT41" s="35"/>
      <c r="DU41" s="35"/>
      <c r="DV41" s="35"/>
    </row>
    <row r="42" spans="1:126" s="15" customFormat="1">
      <c r="C42" s="16"/>
      <c r="D42" s="16"/>
      <c r="E42" s="60"/>
      <c r="F42" s="16"/>
      <c r="G42" s="16"/>
      <c r="H42" s="16"/>
      <c r="I42" s="16"/>
      <c r="J42" s="317"/>
      <c r="K42" s="317"/>
      <c r="L42" s="317"/>
      <c r="M42" s="317"/>
      <c r="N42" s="16"/>
      <c r="O42" s="317"/>
      <c r="P42" s="317"/>
      <c r="Q42" s="317"/>
      <c r="R42" s="317"/>
      <c r="S42" s="16"/>
      <c r="T42" s="317"/>
      <c r="U42" s="317"/>
      <c r="V42" s="317"/>
      <c r="W42" s="317"/>
      <c r="X42" s="16"/>
      <c r="Y42" s="317"/>
      <c r="Z42" s="317"/>
      <c r="AA42" s="317"/>
      <c r="AB42" s="317"/>
      <c r="AC42" s="16"/>
      <c r="AD42" s="317"/>
      <c r="AE42" s="317"/>
      <c r="AF42" s="317"/>
      <c r="AG42" s="317"/>
      <c r="AH42" s="16"/>
      <c r="AI42" s="317"/>
      <c r="AJ42" s="317"/>
      <c r="AK42" s="317"/>
      <c r="AL42" s="317"/>
      <c r="AM42" s="16"/>
      <c r="AN42" s="317"/>
      <c r="AO42" s="317"/>
      <c r="AP42" s="317"/>
      <c r="AQ42" s="317"/>
      <c r="AR42" s="16"/>
      <c r="AS42" s="317"/>
      <c r="AT42" s="317"/>
      <c r="AU42" s="317"/>
      <c r="AV42" s="317"/>
      <c r="AW42" s="16"/>
      <c r="AX42" s="317"/>
      <c r="AY42" s="317"/>
      <c r="AZ42" s="317"/>
      <c r="BA42" s="317"/>
      <c r="BB42" s="16"/>
      <c r="BC42" s="317"/>
      <c r="BD42" s="317"/>
      <c r="BE42" s="317"/>
      <c r="BF42" s="317"/>
      <c r="BG42" s="16"/>
      <c r="BH42" s="317"/>
      <c r="BI42" s="317"/>
      <c r="BJ42" s="317"/>
      <c r="BK42" s="317"/>
      <c r="BL42" s="16"/>
      <c r="BM42" s="317"/>
      <c r="BN42" s="317"/>
      <c r="BO42" s="317"/>
      <c r="BP42" s="317"/>
      <c r="BQ42" s="16"/>
      <c r="BR42" s="317"/>
      <c r="BS42" s="317"/>
      <c r="BT42" s="317"/>
      <c r="BU42" s="317"/>
      <c r="BV42" s="16"/>
      <c r="BW42" s="317"/>
      <c r="BX42" s="317"/>
      <c r="BY42" s="317"/>
      <c r="BZ42" s="317"/>
      <c r="CA42" s="16"/>
      <c r="CB42" s="317"/>
      <c r="CC42" s="317"/>
      <c r="CD42" s="317"/>
      <c r="CE42" s="317"/>
      <c r="CF42" s="16"/>
      <c r="CG42" s="317"/>
      <c r="CH42" s="317"/>
      <c r="CI42" s="317"/>
      <c r="CJ42" s="317"/>
      <c r="CK42" s="16"/>
      <c r="CL42" s="317"/>
      <c r="CM42" s="317"/>
      <c r="CN42" s="317"/>
      <c r="CO42" s="317"/>
      <c r="CP42" s="16"/>
      <c r="CQ42" s="317"/>
      <c r="CR42" s="317"/>
      <c r="CS42" s="317"/>
      <c r="CT42" s="317"/>
      <c r="CU42" s="16"/>
      <c r="CV42" s="317"/>
      <c r="CW42" s="317"/>
      <c r="CX42" s="317"/>
      <c r="CY42" s="317"/>
      <c r="CZ42" s="16"/>
      <c r="DA42" s="317"/>
      <c r="DB42" s="317"/>
      <c r="DC42" s="317"/>
      <c r="DD42" s="317"/>
      <c r="DE42" s="16"/>
      <c r="DF42" s="317"/>
      <c r="DG42" s="317"/>
      <c r="DH42" s="317"/>
      <c r="DI42" s="317"/>
      <c r="DJ42" s="16"/>
      <c r="DK42" s="317"/>
      <c r="DL42" s="317"/>
      <c r="DM42" s="317"/>
      <c r="DN42" s="317"/>
      <c r="DO42" s="16"/>
      <c r="DP42" s="317"/>
      <c r="DQ42" s="317"/>
      <c r="DR42" s="317"/>
      <c r="DS42" s="317"/>
      <c r="DT42" s="16"/>
      <c r="DU42" s="16"/>
      <c r="DV42" s="16"/>
    </row>
    <row r="43" spans="1:126" s="15" customFormat="1" ht="12">
      <c r="B43" s="189" t="s">
        <v>178</v>
      </c>
      <c r="C43" s="16"/>
      <c r="D43" s="16"/>
      <c r="E43" s="16"/>
      <c r="F43" s="16"/>
      <c r="G43" s="16"/>
      <c r="H43" s="16"/>
      <c r="I43" s="16"/>
      <c r="J43" s="317"/>
      <c r="K43" s="317"/>
      <c r="L43" s="317"/>
      <c r="M43" s="317"/>
      <c r="N43" s="16"/>
      <c r="O43" s="317"/>
      <c r="P43" s="317"/>
      <c r="Q43" s="317"/>
      <c r="R43" s="317"/>
      <c r="S43" s="16"/>
      <c r="T43" s="317"/>
      <c r="U43" s="317"/>
      <c r="V43" s="317"/>
      <c r="W43" s="317"/>
      <c r="X43" s="16"/>
      <c r="Y43" s="317"/>
      <c r="Z43" s="317"/>
      <c r="AA43" s="317"/>
      <c r="AB43" s="317"/>
      <c r="AC43" s="16"/>
      <c r="AD43" s="317"/>
      <c r="AE43" s="317"/>
      <c r="AF43" s="317"/>
      <c r="AG43" s="317"/>
      <c r="AH43" s="16"/>
      <c r="AI43" s="317"/>
      <c r="AJ43" s="317"/>
      <c r="AK43" s="317"/>
      <c r="AL43" s="317"/>
      <c r="AM43" s="16"/>
      <c r="AN43" s="317"/>
      <c r="AO43" s="317"/>
      <c r="AP43" s="317"/>
      <c r="AQ43" s="317"/>
      <c r="AR43" s="16"/>
      <c r="AS43" s="317"/>
      <c r="AT43" s="317"/>
      <c r="AU43" s="317"/>
      <c r="AV43" s="317"/>
      <c r="AW43" s="16"/>
      <c r="AX43" s="317"/>
      <c r="AY43" s="317"/>
      <c r="AZ43" s="317"/>
      <c r="BA43" s="317"/>
      <c r="BB43" s="16"/>
      <c r="BC43" s="317"/>
      <c r="BD43" s="317"/>
      <c r="BE43" s="317"/>
      <c r="BF43" s="317"/>
      <c r="BG43" s="16"/>
      <c r="BH43" s="317"/>
      <c r="BI43" s="317"/>
      <c r="BJ43" s="317"/>
      <c r="BK43" s="317"/>
      <c r="BL43" s="16"/>
      <c r="BM43" s="317"/>
      <c r="BN43" s="317"/>
      <c r="BO43" s="317"/>
      <c r="BP43" s="317"/>
      <c r="BQ43" s="16"/>
      <c r="BR43" s="317"/>
      <c r="BS43" s="317"/>
      <c r="BT43" s="317"/>
      <c r="BU43" s="317"/>
      <c r="BV43" s="16"/>
      <c r="BW43" s="317"/>
      <c r="BX43" s="317"/>
      <c r="BY43" s="317"/>
      <c r="BZ43" s="317"/>
      <c r="CA43" s="16"/>
      <c r="CB43" s="317"/>
      <c r="CC43" s="317"/>
      <c r="CD43" s="317"/>
      <c r="CE43" s="317"/>
      <c r="CF43" s="16"/>
      <c r="CG43" s="317"/>
      <c r="CH43" s="317"/>
      <c r="CI43" s="317"/>
      <c r="CJ43" s="317"/>
      <c r="CK43" s="16"/>
      <c r="CL43" s="317"/>
      <c r="CM43" s="317"/>
      <c r="CN43" s="317"/>
      <c r="CO43" s="317"/>
      <c r="CP43" s="16"/>
      <c r="CQ43" s="317"/>
      <c r="CR43" s="317"/>
      <c r="CS43" s="317"/>
      <c r="CT43" s="317"/>
      <c r="CU43" s="16"/>
      <c r="CV43" s="317"/>
      <c r="CW43" s="317"/>
      <c r="CX43" s="317"/>
      <c r="CY43" s="317"/>
      <c r="CZ43" s="16"/>
      <c r="DA43" s="317"/>
      <c r="DB43" s="317"/>
      <c r="DC43" s="317"/>
      <c r="DD43" s="317"/>
      <c r="DE43" s="16"/>
      <c r="DF43" s="317"/>
      <c r="DG43" s="317"/>
      <c r="DH43" s="317"/>
      <c r="DI43" s="317"/>
      <c r="DJ43" s="16"/>
      <c r="DK43" s="317"/>
      <c r="DL43" s="317"/>
      <c r="DM43" s="317"/>
      <c r="DN43" s="317"/>
      <c r="DO43" s="16"/>
      <c r="DP43" s="317"/>
      <c r="DQ43" s="317"/>
      <c r="DR43" s="317"/>
      <c r="DS43" s="317"/>
      <c r="DT43" s="16"/>
      <c r="DU43" s="16"/>
      <c r="DV43" s="16"/>
    </row>
    <row r="44" spans="1:126" s="15" customFormat="1">
      <c r="B44" s="15" t="s">
        <v>41</v>
      </c>
      <c r="C44" s="103"/>
      <c r="D44" s="103"/>
      <c r="E44" s="103"/>
      <c r="F44" s="103"/>
      <c r="G44" s="103"/>
      <c r="H44" s="103"/>
      <c r="I44" s="103"/>
      <c r="J44" s="383"/>
      <c r="K44" s="383"/>
      <c r="L44" s="383"/>
      <c r="M44" s="383"/>
      <c r="N44" s="16" t="e">
        <f>N29/N35</f>
        <v>#DIV/0!</v>
      </c>
      <c r="O44" s="383"/>
      <c r="P44" s="383"/>
      <c r="Q44" s="383"/>
      <c r="R44" s="383"/>
      <c r="S44" s="16" t="e">
        <f>S29/S35</f>
        <v>#DIV/0!</v>
      </c>
      <c r="T44" s="383"/>
      <c r="U44" s="383"/>
      <c r="V44" s="383"/>
      <c r="W44" s="383"/>
      <c r="X44" s="16" t="e">
        <f>X29/X35</f>
        <v>#DIV/0!</v>
      </c>
      <c r="Y44" s="383"/>
      <c r="Z44" s="383"/>
      <c r="AA44" s="383"/>
      <c r="AB44" s="383"/>
      <c r="AC44" s="16" t="e">
        <f>AC29/AC35</f>
        <v>#DIV/0!</v>
      </c>
      <c r="AD44" s="383"/>
      <c r="AE44" s="383"/>
      <c r="AF44" s="383"/>
      <c r="AG44" s="383"/>
      <c r="AH44" s="16" t="e">
        <f>AH29/AH35</f>
        <v>#DIV/0!</v>
      </c>
      <c r="AI44" s="383"/>
      <c r="AJ44" s="383"/>
      <c r="AK44" s="383"/>
      <c r="AL44" s="383"/>
      <c r="AM44" s="16" t="e">
        <f>AM29/AM35</f>
        <v>#DIV/0!</v>
      </c>
      <c r="AN44" s="383"/>
      <c r="AO44" s="383"/>
      <c r="AP44" s="383"/>
      <c r="AQ44" s="383"/>
      <c r="AR44" s="16" t="e">
        <f>AR29/AR35</f>
        <v>#DIV/0!</v>
      </c>
      <c r="AS44" s="383"/>
      <c r="AT44" s="383"/>
      <c r="AU44" s="383"/>
      <c r="AV44" s="383"/>
      <c r="AW44" s="16" t="e">
        <f>AW29/AW35</f>
        <v>#DIV/0!</v>
      </c>
      <c r="AX44" s="383"/>
      <c r="AY44" s="383"/>
      <c r="AZ44" s="383"/>
      <c r="BA44" s="383"/>
      <c r="BB44" s="16" t="e">
        <f>BB29/BB35</f>
        <v>#DIV/0!</v>
      </c>
      <c r="BC44" s="383"/>
      <c r="BD44" s="383"/>
      <c r="BE44" s="383"/>
      <c r="BF44" s="383"/>
      <c r="BG44" s="16" t="e">
        <f>BG29/BG35</f>
        <v>#DIV/0!</v>
      </c>
      <c r="BH44" s="383"/>
      <c r="BI44" s="383"/>
      <c r="BJ44" s="383"/>
      <c r="BK44" s="383"/>
      <c r="BL44" s="16" t="e">
        <f>BL29/BL35</f>
        <v>#DIV/0!</v>
      </c>
      <c r="BM44" s="383"/>
      <c r="BN44" s="383"/>
      <c r="BO44" s="383"/>
      <c r="BP44" s="383"/>
      <c r="BQ44" s="16" t="e">
        <f>BQ29/BQ35</f>
        <v>#DIV/0!</v>
      </c>
      <c r="BR44" s="383"/>
      <c r="BS44" s="383"/>
      <c r="BT44" s="383"/>
      <c r="BU44" s="383"/>
      <c r="BV44" s="16" t="e">
        <f>BV29/BV35</f>
        <v>#DIV/0!</v>
      </c>
      <c r="BW44" s="383"/>
      <c r="BX44" s="383"/>
      <c r="BY44" s="383"/>
      <c r="BZ44" s="383"/>
      <c r="CA44" s="16" t="e">
        <f>CA29/CA35</f>
        <v>#DIV/0!</v>
      </c>
      <c r="CB44" s="383"/>
      <c r="CC44" s="383"/>
      <c r="CD44" s="383"/>
      <c r="CE44" s="383"/>
      <c r="CF44" s="16" t="e">
        <f>CF29/CF35</f>
        <v>#DIV/0!</v>
      </c>
      <c r="CG44" s="383"/>
      <c r="CH44" s="383"/>
      <c r="CI44" s="383"/>
      <c r="CJ44" s="383"/>
      <c r="CK44" s="16" t="e">
        <f>CK29/CK35</f>
        <v>#DIV/0!</v>
      </c>
      <c r="CL44" s="383">
        <v>8765.4930000000004</v>
      </c>
      <c r="CM44" s="383">
        <v>8781.3030490000001</v>
      </c>
      <c r="CN44" s="861">
        <f xml:space="preserve"> 8759.873</f>
        <v>8759.8729999999996</v>
      </c>
      <c r="CO44" s="861">
        <v>1095.6865809999999</v>
      </c>
      <c r="CP44" s="16">
        <v>1095.6865809999999</v>
      </c>
      <c r="CQ44" s="383">
        <v>8778.6409999999996</v>
      </c>
      <c r="CR44" s="383">
        <v>8781.3030490000001</v>
      </c>
      <c r="CS44" s="383">
        <v>1098.1371280000001</v>
      </c>
      <c r="CT44" s="383">
        <v>1099.0272130000001</v>
      </c>
      <c r="CU44" s="16">
        <v>1099.0272130000001</v>
      </c>
      <c r="CV44" s="383">
        <v>1100.664978</v>
      </c>
      <c r="CW44" s="383">
        <v>1096.5531020000001</v>
      </c>
      <c r="CX44" s="383">
        <v>1092.66814</v>
      </c>
      <c r="CY44" s="383">
        <f>CZ44</f>
        <v>1089.0999999999999</v>
      </c>
      <c r="CZ44" s="16">
        <v>1089.0999999999999</v>
      </c>
      <c r="DA44" s="383">
        <v>1088.9600290000001</v>
      </c>
      <c r="DB44" s="383">
        <v>1088.378193</v>
      </c>
      <c r="DC44" s="383">
        <v>1088.386043</v>
      </c>
      <c r="DD44" s="383">
        <f>DE44</f>
        <v>1088.4159950000001</v>
      </c>
      <c r="DE44" s="16">
        <v>1088.4159950000001</v>
      </c>
      <c r="DF44" s="383">
        <v>1091</v>
      </c>
      <c r="DG44" s="383">
        <v>1089</v>
      </c>
      <c r="DH44" s="383">
        <v>1083</v>
      </c>
      <c r="DI44" s="383">
        <v>1073.6921830000001</v>
      </c>
      <c r="DJ44" s="16"/>
      <c r="DK44" s="1083">
        <v>1066.386643</v>
      </c>
      <c r="DL44" s="1083">
        <v>1060.4393869999999</v>
      </c>
      <c r="DM44" s="383"/>
      <c r="DN44" s="383"/>
      <c r="DO44" s="16"/>
      <c r="DP44" s="1083"/>
      <c r="DQ44" s="383"/>
      <c r="DR44" s="383"/>
      <c r="DS44" s="383"/>
      <c r="DT44" s="16"/>
      <c r="DU44" s="16"/>
      <c r="DV44" s="16"/>
    </row>
    <row r="45" spans="1:126" s="15" customFormat="1">
      <c r="B45" s="15" t="s">
        <v>42</v>
      </c>
      <c r="C45" s="103"/>
      <c r="D45" s="103"/>
      <c r="E45" s="103"/>
      <c r="F45" s="103"/>
      <c r="G45" s="103"/>
      <c r="H45" s="103"/>
      <c r="I45" s="103"/>
      <c r="J45" s="383"/>
      <c r="K45" s="383"/>
      <c r="L45" s="383"/>
      <c r="M45" s="383"/>
      <c r="N45" s="16" t="e">
        <f>N29/N39</f>
        <v>#DIV/0!</v>
      </c>
      <c r="O45" s="383"/>
      <c r="P45" s="383"/>
      <c r="Q45" s="383"/>
      <c r="R45" s="383"/>
      <c r="S45" s="16" t="e">
        <f>S29/S39</f>
        <v>#DIV/0!</v>
      </c>
      <c r="T45" s="383"/>
      <c r="U45" s="383"/>
      <c r="V45" s="383"/>
      <c r="W45" s="383"/>
      <c r="X45" s="16" t="e">
        <f>X29/X39</f>
        <v>#DIV/0!</v>
      </c>
      <c r="Y45" s="383"/>
      <c r="Z45" s="383"/>
      <c r="AA45" s="383"/>
      <c r="AB45" s="383"/>
      <c r="AC45" s="16" t="e">
        <f>AC29/AC39</f>
        <v>#DIV/0!</v>
      </c>
      <c r="AD45" s="383"/>
      <c r="AE45" s="383"/>
      <c r="AF45" s="383"/>
      <c r="AG45" s="383"/>
      <c r="AH45" s="16" t="e">
        <f>AH29/AH39</f>
        <v>#DIV/0!</v>
      </c>
      <c r="AI45" s="383"/>
      <c r="AJ45" s="383"/>
      <c r="AK45" s="383"/>
      <c r="AL45" s="383"/>
      <c r="AM45" s="16" t="e">
        <f>AM29/AM39</f>
        <v>#DIV/0!</v>
      </c>
      <c r="AN45" s="383"/>
      <c r="AO45" s="383"/>
      <c r="AP45" s="383"/>
      <c r="AQ45" s="383"/>
      <c r="AR45" s="16" t="e">
        <f>AR29/AR39</f>
        <v>#DIV/0!</v>
      </c>
      <c r="AS45" s="383"/>
      <c r="AT45" s="383"/>
      <c r="AU45" s="383"/>
      <c r="AV45" s="383"/>
      <c r="AW45" s="16" t="e">
        <f>AW29/AW39</f>
        <v>#DIV/0!</v>
      </c>
      <c r="AX45" s="383"/>
      <c r="AY45" s="383"/>
      <c r="AZ45" s="383"/>
      <c r="BA45" s="383"/>
      <c r="BB45" s="16" t="e">
        <f>BB29/BB39</f>
        <v>#DIV/0!</v>
      </c>
      <c r="BC45" s="383"/>
      <c r="BD45" s="383"/>
      <c r="BE45" s="383"/>
      <c r="BF45" s="383"/>
      <c r="BG45" s="16" t="e">
        <f>BG29/BG39</f>
        <v>#DIV/0!</v>
      </c>
      <c r="BH45" s="383"/>
      <c r="BI45" s="383"/>
      <c r="BJ45" s="383"/>
      <c r="BK45" s="383"/>
      <c r="BL45" s="16" t="e">
        <f>BL29/BL39</f>
        <v>#DIV/0!</v>
      </c>
      <c r="BM45" s="383"/>
      <c r="BN45" s="383"/>
      <c r="BO45" s="383"/>
      <c r="BP45" s="383"/>
      <c r="BQ45" s="16" t="e">
        <f>BQ29/BQ39</f>
        <v>#DIV/0!</v>
      </c>
      <c r="BR45" s="383"/>
      <c r="BS45" s="383"/>
      <c r="BT45" s="383"/>
      <c r="BU45" s="383"/>
      <c r="BV45" s="16" t="e">
        <f>BV29/BV39</f>
        <v>#DIV/0!</v>
      </c>
      <c r="BW45" s="383"/>
      <c r="BX45" s="383"/>
      <c r="BY45" s="383"/>
      <c r="BZ45" s="383"/>
      <c r="CA45" s="16" t="e">
        <f>CA29/CA39</f>
        <v>#DIV/0!</v>
      </c>
      <c r="CB45" s="383"/>
      <c r="CC45" s="383"/>
      <c r="CD45" s="383"/>
      <c r="CE45" s="383"/>
      <c r="CF45" s="16" t="e">
        <f>CF29/CF39</f>
        <v>#DIV/0!</v>
      </c>
      <c r="CG45" s="383"/>
      <c r="CH45" s="383"/>
      <c r="CI45" s="383"/>
      <c r="CJ45" s="383"/>
      <c r="CK45" s="16" t="e">
        <f>CK29/CK39</f>
        <v>#DIV/0!</v>
      </c>
      <c r="CL45" s="383">
        <v>8765.4930000000004</v>
      </c>
      <c r="CM45" s="383">
        <v>8781.3030490000001</v>
      </c>
      <c r="CN45" s="861">
        <v>8759.8729999999996</v>
      </c>
      <c r="CO45" s="861">
        <v>1095.6865809999999</v>
      </c>
      <c r="CP45" s="16">
        <v>1095.6865809999999</v>
      </c>
      <c r="CQ45" s="383">
        <v>8778.6409999999996</v>
      </c>
      <c r="CR45" s="383">
        <v>8781.3030490000001</v>
      </c>
      <c r="CS45" s="383">
        <v>1098.1371280000001</v>
      </c>
      <c r="CT45" s="383">
        <v>1099.0272130000001</v>
      </c>
      <c r="CU45" s="16">
        <v>1099.0272130000001</v>
      </c>
      <c r="CV45" s="383">
        <v>1100.664978</v>
      </c>
      <c r="CW45" s="383">
        <v>1096.5531020000001</v>
      </c>
      <c r="CX45" s="383">
        <v>1092.66814</v>
      </c>
      <c r="CY45" s="383">
        <f>CZ45</f>
        <v>1089.0999999999999</v>
      </c>
      <c r="CZ45" s="16">
        <v>1089.0999999999999</v>
      </c>
      <c r="DA45" s="383">
        <v>1088.9600290000001</v>
      </c>
      <c r="DB45" s="383">
        <v>1088.378193</v>
      </c>
      <c r="DC45" s="383">
        <v>1088.386043</v>
      </c>
      <c r="DD45" s="383">
        <f>DE45</f>
        <v>1088.4159950000001</v>
      </c>
      <c r="DE45" s="16">
        <v>1088.4159950000001</v>
      </c>
      <c r="DF45" s="383">
        <v>1103</v>
      </c>
      <c r="DG45" s="383">
        <v>1100</v>
      </c>
      <c r="DH45" s="383">
        <v>1093</v>
      </c>
      <c r="DI45" s="383">
        <f>+DI44+10</f>
        <v>1083.6921830000001</v>
      </c>
      <c r="DJ45" s="16"/>
      <c r="DK45" s="1083">
        <f>+DK44</f>
        <v>1066.386643</v>
      </c>
      <c r="DL45" s="1083">
        <v>1060.4393869999999</v>
      </c>
      <c r="DM45" s="383"/>
      <c r="DN45" s="383"/>
      <c r="DO45" s="16"/>
      <c r="DP45" s="1083"/>
      <c r="DQ45" s="383"/>
      <c r="DR45" s="383"/>
      <c r="DS45" s="383"/>
      <c r="DT45" s="16"/>
      <c r="DU45" s="16"/>
      <c r="DV45" s="16"/>
    </row>
    <row r="46" spans="1:126" s="12" customFormat="1" ht="4.5" customHeight="1">
      <c r="A46" s="97"/>
      <c r="B46" s="97"/>
      <c r="C46" s="98"/>
      <c r="D46" s="98"/>
      <c r="E46" s="98"/>
      <c r="F46" s="98"/>
      <c r="G46" s="98"/>
      <c r="H46" s="98"/>
      <c r="I46" s="98"/>
      <c r="J46" s="97"/>
      <c r="K46" s="97"/>
      <c r="L46" s="97"/>
      <c r="M46" s="97"/>
      <c r="N46" s="98"/>
      <c r="O46" s="97"/>
      <c r="P46" s="97"/>
      <c r="Q46" s="97"/>
      <c r="R46" s="97"/>
      <c r="S46" s="98"/>
      <c r="T46" s="97"/>
      <c r="U46" s="97"/>
      <c r="V46" s="97"/>
      <c r="W46" s="97"/>
      <c r="X46" s="98"/>
      <c r="Y46" s="97"/>
      <c r="Z46" s="97"/>
      <c r="AA46" s="97"/>
      <c r="AB46" s="97"/>
      <c r="AC46" s="98"/>
      <c r="AD46" s="97"/>
      <c r="AE46" s="97"/>
      <c r="AF46" s="97"/>
      <c r="AG46" s="97"/>
      <c r="AH46" s="98"/>
      <c r="AI46" s="97"/>
      <c r="AJ46" s="97"/>
      <c r="AK46" s="97"/>
      <c r="AL46" s="97"/>
      <c r="AM46" s="98"/>
      <c r="AN46" s="97"/>
      <c r="AO46" s="97"/>
      <c r="AP46" s="97"/>
      <c r="AQ46" s="97"/>
      <c r="AR46" s="98"/>
      <c r="AS46" s="97"/>
      <c r="AT46" s="97"/>
      <c r="AU46" s="97"/>
      <c r="AV46" s="97"/>
      <c r="AW46" s="98"/>
      <c r="AX46" s="97"/>
      <c r="AY46" s="97"/>
      <c r="AZ46" s="97"/>
      <c r="BA46" s="97"/>
      <c r="BB46" s="98"/>
      <c r="BC46" s="97"/>
      <c r="BD46" s="97"/>
      <c r="BE46" s="97"/>
      <c r="BF46" s="97"/>
      <c r="BG46" s="98"/>
      <c r="BH46" s="97"/>
      <c r="BI46" s="375"/>
      <c r="BJ46" s="375"/>
      <c r="BK46" s="380"/>
      <c r="BL46" s="98"/>
      <c r="BM46" s="97"/>
      <c r="BN46" s="375"/>
      <c r="BO46" s="375"/>
      <c r="BP46" s="380"/>
      <c r="BQ46" s="98"/>
      <c r="BR46" s="97"/>
      <c r="BS46" s="375"/>
      <c r="BT46" s="421"/>
      <c r="BU46" s="380"/>
      <c r="BV46" s="98"/>
      <c r="BW46" s="97"/>
      <c r="BX46" s="421"/>
      <c r="BY46" s="375"/>
      <c r="BZ46" s="380"/>
      <c r="CA46" s="98"/>
      <c r="CB46" s="97"/>
      <c r="CC46" s="375"/>
      <c r="CD46" s="375"/>
      <c r="CE46" s="380"/>
      <c r="CF46" s="98"/>
      <c r="CG46" s="375"/>
      <c r="CH46" s="375"/>
      <c r="CI46" s="375"/>
      <c r="CJ46" s="375"/>
      <c r="CK46" s="98"/>
      <c r="CL46" s="375"/>
      <c r="CM46" s="375"/>
      <c r="CN46" s="375"/>
      <c r="CO46" s="375"/>
      <c r="CP46" s="98"/>
      <c r="CQ46" s="375"/>
      <c r="CR46" s="375"/>
      <c r="CS46" s="375"/>
      <c r="CT46" s="375"/>
      <c r="CU46" s="98"/>
      <c r="CV46" s="375"/>
      <c r="CW46" s="375"/>
      <c r="CX46" s="375"/>
      <c r="CY46" s="375"/>
      <c r="CZ46" s="98"/>
      <c r="DA46" s="375"/>
      <c r="DB46" s="375"/>
      <c r="DC46" s="375"/>
      <c r="DD46" s="375"/>
      <c r="DE46" s="98"/>
      <c r="DF46" s="375"/>
      <c r="DG46" s="375"/>
      <c r="DH46" s="375"/>
      <c r="DI46" s="375"/>
      <c r="DJ46" s="98"/>
      <c r="DK46" s="375"/>
      <c r="DL46" s="375"/>
      <c r="DM46" s="375"/>
      <c r="DN46" s="375"/>
      <c r="DO46" s="98"/>
      <c r="DP46" s="375"/>
      <c r="DQ46" s="375"/>
      <c r="DR46" s="375"/>
      <c r="DS46" s="375"/>
      <c r="DT46" s="98"/>
      <c r="DU46" s="98"/>
      <c r="DV46" s="98"/>
    </row>
    <row r="47" spans="1:126" s="12" customFormat="1" ht="10.5" hidden="1" customHeight="1" outlineLevel="1">
      <c r="B47" s="49" t="s">
        <v>145</v>
      </c>
      <c r="C47" s="192" t="e">
        <f t="shared" ref="C47:AK47" si="273">IF(ROUND(C25/C44,2)=ROUND(C35,2),"","check")</f>
        <v>#DIV/0!</v>
      </c>
      <c r="D47" s="192" t="e">
        <f t="shared" si="273"/>
        <v>#DIV/0!</v>
      </c>
      <c r="E47" s="192" t="e">
        <f t="shared" si="273"/>
        <v>#DIV/0!</v>
      </c>
      <c r="F47" s="192" t="e">
        <f t="shared" si="273"/>
        <v>#DIV/0!</v>
      </c>
      <c r="G47" s="192" t="e">
        <f t="shared" si="273"/>
        <v>#DIV/0!</v>
      </c>
      <c r="H47" s="192" t="e">
        <f t="shared" si="273"/>
        <v>#DIV/0!</v>
      </c>
      <c r="I47" s="192" t="e">
        <f t="shared" si="273"/>
        <v>#DIV/0!</v>
      </c>
      <c r="J47" s="193" t="e">
        <f t="shared" si="273"/>
        <v>#DIV/0!</v>
      </c>
      <c r="K47" s="193" t="e">
        <f t="shared" si="273"/>
        <v>#DIV/0!</v>
      </c>
      <c r="L47" s="193" t="e">
        <f t="shared" si="273"/>
        <v>#DIV/0!</v>
      </c>
      <c r="M47" s="193" t="e">
        <f t="shared" si="273"/>
        <v>#DIV/0!</v>
      </c>
      <c r="N47" s="192" t="e">
        <f t="shared" si="273"/>
        <v>#DIV/0!</v>
      </c>
      <c r="O47" s="193" t="e">
        <f t="shared" si="273"/>
        <v>#DIV/0!</v>
      </c>
      <c r="P47" s="193" t="e">
        <f t="shared" si="273"/>
        <v>#DIV/0!</v>
      </c>
      <c r="Q47" s="193" t="e">
        <f t="shared" si="273"/>
        <v>#DIV/0!</v>
      </c>
      <c r="R47" s="193" t="e">
        <f t="shared" si="273"/>
        <v>#DIV/0!</v>
      </c>
      <c r="S47" s="192" t="e">
        <f t="shared" si="273"/>
        <v>#DIV/0!</v>
      </c>
      <c r="T47" s="193" t="e">
        <f t="shared" si="273"/>
        <v>#DIV/0!</v>
      </c>
      <c r="U47" s="193" t="e">
        <f t="shared" si="273"/>
        <v>#DIV/0!</v>
      </c>
      <c r="V47" s="193" t="e">
        <f t="shared" si="273"/>
        <v>#DIV/0!</v>
      </c>
      <c r="W47" s="193" t="e">
        <f t="shared" si="273"/>
        <v>#DIV/0!</v>
      </c>
      <c r="X47" s="192" t="e">
        <f t="shared" si="273"/>
        <v>#DIV/0!</v>
      </c>
      <c r="Y47" s="193" t="e">
        <f t="shared" si="273"/>
        <v>#DIV/0!</v>
      </c>
      <c r="Z47" s="193" t="e">
        <f t="shared" si="273"/>
        <v>#DIV/0!</v>
      </c>
      <c r="AA47" s="193" t="e">
        <f t="shared" si="273"/>
        <v>#DIV/0!</v>
      </c>
      <c r="AB47" s="193" t="e">
        <f t="shared" si="273"/>
        <v>#DIV/0!</v>
      </c>
      <c r="AC47" s="192" t="e">
        <f t="shared" si="273"/>
        <v>#DIV/0!</v>
      </c>
      <c r="AD47" s="193" t="e">
        <f t="shared" si="273"/>
        <v>#DIV/0!</v>
      </c>
      <c r="AE47" s="193" t="e">
        <f t="shared" si="273"/>
        <v>#DIV/0!</v>
      </c>
      <c r="AF47" s="193" t="e">
        <f t="shared" si="273"/>
        <v>#DIV/0!</v>
      </c>
      <c r="AG47" s="193" t="e">
        <f t="shared" si="273"/>
        <v>#DIV/0!</v>
      </c>
      <c r="AH47" s="192" t="e">
        <f t="shared" si="273"/>
        <v>#DIV/0!</v>
      </c>
      <c r="AI47" s="193" t="e">
        <f t="shared" si="273"/>
        <v>#DIV/0!</v>
      </c>
      <c r="AJ47" s="193" t="e">
        <f t="shared" si="273"/>
        <v>#DIV/0!</v>
      </c>
      <c r="AK47" s="193" t="e">
        <f t="shared" si="273"/>
        <v>#DIV/0!</v>
      </c>
      <c r="AL47" s="193"/>
      <c r="AM47" s="192"/>
      <c r="AN47" s="193"/>
      <c r="AO47" s="193"/>
      <c r="AP47" s="193"/>
      <c r="AQ47" s="193"/>
      <c r="AR47" s="192"/>
      <c r="AS47" s="193"/>
      <c r="AT47" s="193"/>
      <c r="AU47" s="193"/>
      <c r="AV47" s="193"/>
      <c r="AW47" s="192"/>
      <c r="AX47" s="193"/>
      <c r="AY47" s="193"/>
      <c r="AZ47" s="193"/>
      <c r="BA47" s="193"/>
      <c r="BB47" s="192"/>
      <c r="BC47" s="193"/>
      <c r="BD47" s="193"/>
      <c r="BE47" s="193"/>
      <c r="BF47" s="193"/>
      <c r="BG47" s="192"/>
      <c r="BH47" s="193"/>
      <c r="BI47" s="193"/>
      <c r="BJ47" s="193"/>
      <c r="BK47" s="385"/>
      <c r="BL47" s="192"/>
      <c r="BM47" s="193"/>
      <c r="BN47" s="193"/>
      <c r="BO47" s="193"/>
      <c r="BP47" s="385"/>
      <c r="BQ47" s="192"/>
      <c r="BR47" s="193"/>
      <c r="BS47" s="193"/>
      <c r="BT47" s="422"/>
      <c r="BU47" s="385"/>
      <c r="BV47" s="192"/>
      <c r="BW47" s="193"/>
      <c r="BX47" s="422"/>
      <c r="BY47" s="193"/>
      <c r="BZ47" s="385"/>
      <c r="CA47" s="192"/>
      <c r="CB47" s="193"/>
      <c r="CC47" s="193"/>
      <c r="CD47" s="193"/>
      <c r="CE47" s="385"/>
      <c r="CF47" s="192"/>
      <c r="CG47" s="193"/>
      <c r="CH47" s="193"/>
      <c r="CI47" s="193"/>
      <c r="CJ47" s="193"/>
      <c r="CK47" s="192"/>
      <c r="CL47" s="193"/>
      <c r="CM47" s="193"/>
      <c r="CN47" s="193"/>
      <c r="CO47" s="193"/>
      <c r="CP47" s="192"/>
      <c r="CQ47" s="193"/>
      <c r="CR47" s="193"/>
      <c r="CS47" s="193"/>
      <c r="CT47" s="193"/>
      <c r="CU47" s="192"/>
      <c r="CV47" s="193"/>
      <c r="CW47" s="193"/>
      <c r="CX47" s="193"/>
      <c r="CY47" s="193"/>
      <c r="CZ47" s="192"/>
      <c r="DA47" s="193"/>
      <c r="DB47" s="193"/>
      <c r="DC47" s="193"/>
      <c r="DD47" s="193"/>
      <c r="DE47" s="192"/>
      <c r="DF47" s="193"/>
      <c r="DG47" s="193"/>
      <c r="DH47" s="193"/>
      <c r="DI47" s="193"/>
      <c r="DJ47" s="192"/>
      <c r="DK47" s="193"/>
      <c r="DL47" s="193"/>
      <c r="DM47" s="193"/>
      <c r="DN47" s="193"/>
      <c r="DO47" s="192"/>
      <c r="DP47" s="193"/>
      <c r="DQ47" s="193"/>
      <c r="DR47" s="193"/>
      <c r="DS47" s="193"/>
      <c r="DT47" s="192"/>
      <c r="DU47" s="192"/>
      <c r="DV47" s="192"/>
    </row>
    <row r="48" spans="1:126" s="15" customFormat="1" collapsed="1">
      <c r="C48" s="16"/>
      <c r="D48" s="16"/>
      <c r="E48" s="16"/>
      <c r="F48" s="16"/>
      <c r="G48" s="16"/>
      <c r="H48" s="16"/>
      <c r="I48" s="16"/>
      <c r="N48" s="16"/>
      <c r="S48" s="16"/>
      <c r="X48" s="16"/>
      <c r="AC48" s="16"/>
      <c r="AH48" s="16"/>
      <c r="AM48" s="16"/>
      <c r="AR48" s="16"/>
      <c r="AW48" s="16"/>
      <c r="BB48" s="16"/>
      <c r="BG48" s="16"/>
      <c r="BI48" s="221"/>
      <c r="BJ48" s="221"/>
      <c r="BK48" s="317"/>
      <c r="BL48" s="16"/>
      <c r="BN48" s="221"/>
      <c r="BO48" s="221"/>
      <c r="BP48" s="317"/>
      <c r="BQ48" s="16"/>
      <c r="BS48" s="221"/>
      <c r="BT48" s="221"/>
      <c r="BU48" s="317"/>
      <c r="BV48" s="16"/>
      <c r="BX48" s="394"/>
      <c r="BY48" s="221"/>
      <c r="BZ48" s="317"/>
      <c r="CA48" s="16"/>
      <c r="CC48" s="221"/>
      <c r="CD48" s="221"/>
      <c r="CE48" s="317"/>
      <c r="CF48" s="16"/>
      <c r="CG48" s="221"/>
      <c r="CH48" s="221"/>
      <c r="CI48" s="221"/>
      <c r="CJ48" s="221"/>
      <c r="CK48" s="16"/>
      <c r="CL48" s="221"/>
      <c r="CM48" s="221"/>
      <c r="CN48" s="221"/>
      <c r="CO48" s="221"/>
      <c r="CP48" s="16"/>
      <c r="CQ48" s="221"/>
      <c r="CR48" s="221"/>
      <c r="CS48" s="221"/>
      <c r="CT48" s="221"/>
      <c r="CU48" s="16"/>
      <c r="CV48" s="221"/>
      <c r="CW48" s="221"/>
      <c r="CX48" s="221"/>
      <c r="CY48" s="221"/>
      <c r="CZ48" s="16"/>
      <c r="DA48" s="221"/>
      <c r="DB48" s="221"/>
      <c r="DC48" s="221"/>
      <c r="DD48" s="221"/>
      <c r="DE48" s="16"/>
      <c r="DF48" s="221"/>
      <c r="DG48" s="221"/>
      <c r="DH48" s="221"/>
      <c r="DI48" s="221"/>
      <c r="DJ48" s="16"/>
      <c r="DK48" s="221"/>
      <c r="DL48" s="221"/>
      <c r="DM48" s="221"/>
      <c r="DN48" s="221"/>
      <c r="DO48" s="16"/>
      <c r="DP48" s="221"/>
      <c r="DQ48" s="221"/>
      <c r="DR48" s="221"/>
      <c r="DS48" s="221"/>
      <c r="DT48" s="16"/>
      <c r="DU48" s="16"/>
      <c r="DV48" s="16"/>
    </row>
    <row r="49" spans="2:126" s="15" customFormat="1" ht="12">
      <c r="B49" s="110" t="s">
        <v>108</v>
      </c>
      <c r="C49" s="16"/>
      <c r="D49" s="16"/>
      <c r="E49" s="16"/>
      <c r="F49" s="16"/>
      <c r="G49" s="16"/>
      <c r="H49" s="16"/>
      <c r="I49" s="16"/>
      <c r="N49" s="16"/>
      <c r="S49" s="16"/>
      <c r="X49" s="16"/>
      <c r="AC49" s="16"/>
      <c r="AH49" s="16"/>
      <c r="AM49" s="16"/>
      <c r="AR49" s="16"/>
      <c r="AW49" s="16"/>
      <c r="BB49" s="16"/>
      <c r="BG49" s="16"/>
      <c r="BI49" s="221"/>
      <c r="BJ49" s="317"/>
      <c r="BK49" s="317"/>
      <c r="BL49" s="16"/>
      <c r="BN49" s="221"/>
      <c r="BO49" s="317"/>
      <c r="BP49" s="317"/>
      <c r="BQ49" s="16"/>
      <c r="BS49" s="221"/>
      <c r="BT49" s="317"/>
      <c r="BU49" s="317"/>
      <c r="BV49" s="16"/>
      <c r="BX49" s="394"/>
      <c r="BY49" s="317"/>
      <c r="BZ49" s="317"/>
      <c r="CA49" s="16"/>
      <c r="CC49" s="221"/>
      <c r="CD49" s="317"/>
      <c r="CE49" s="317"/>
      <c r="CF49" s="16"/>
      <c r="CG49" s="221"/>
      <c r="CH49" s="221"/>
      <c r="CI49" s="221"/>
      <c r="CJ49" s="221"/>
      <c r="CK49" s="16"/>
      <c r="CL49" s="221"/>
      <c r="CM49" s="221"/>
      <c r="CN49" s="221"/>
      <c r="CO49" s="221"/>
      <c r="CP49" s="16"/>
      <c r="CQ49" s="221"/>
      <c r="CR49" s="221"/>
      <c r="CS49" s="221"/>
      <c r="CT49" s="221"/>
      <c r="CU49" s="16"/>
      <c r="CV49" s="221"/>
      <c r="CW49" s="221"/>
      <c r="CX49" s="221"/>
      <c r="CY49" s="221"/>
      <c r="CZ49" s="16"/>
      <c r="DA49" s="221"/>
      <c r="DB49" s="221"/>
      <c r="DC49" s="221"/>
      <c r="DD49" s="221"/>
      <c r="DE49" s="16"/>
      <c r="DF49" s="221"/>
      <c r="DG49" s="221"/>
      <c r="DH49" s="221"/>
      <c r="DI49" s="221"/>
      <c r="DJ49" s="16"/>
      <c r="DK49" s="221"/>
      <c r="DL49" s="221"/>
      <c r="DM49" s="221"/>
      <c r="DN49" s="221"/>
      <c r="DO49" s="16"/>
      <c r="DP49" s="221"/>
      <c r="DQ49" s="221"/>
      <c r="DR49" s="221"/>
      <c r="DS49" s="221"/>
      <c r="DT49" s="16"/>
      <c r="DU49" s="16"/>
      <c r="DV49" s="16"/>
    </row>
    <row r="50" spans="2:126" s="15" customFormat="1" ht="12">
      <c r="B50" s="194" t="s">
        <v>43</v>
      </c>
      <c r="C50" s="16"/>
      <c r="D50" s="16"/>
      <c r="E50" s="16"/>
      <c r="F50" s="16"/>
      <c r="G50" s="16"/>
      <c r="H50" s="16"/>
      <c r="I50" s="16"/>
      <c r="N50" s="16"/>
      <c r="S50" s="16"/>
      <c r="X50" s="16"/>
      <c r="AC50" s="16"/>
      <c r="AH50" s="16"/>
      <c r="AM50" s="16"/>
      <c r="AR50" s="16"/>
      <c r="AW50" s="16"/>
      <c r="BB50" s="16"/>
      <c r="BG50" s="16"/>
      <c r="BI50" s="317"/>
      <c r="BJ50" s="317"/>
      <c r="BK50" s="317"/>
      <c r="BL50" s="16"/>
      <c r="BN50" s="317"/>
      <c r="BO50" s="317"/>
      <c r="BP50" s="317"/>
      <c r="BQ50" s="16"/>
      <c r="BS50" s="317"/>
      <c r="BT50" s="317"/>
      <c r="BU50" s="317"/>
      <c r="BV50" s="16"/>
      <c r="BX50" s="394"/>
      <c r="BY50" s="317"/>
      <c r="BZ50" s="317"/>
      <c r="CA50" s="16"/>
      <c r="CC50" s="317"/>
      <c r="CD50" s="317"/>
      <c r="CE50" s="317"/>
      <c r="CF50" s="16"/>
      <c r="CG50" s="317"/>
      <c r="CH50" s="317"/>
      <c r="CI50" s="317"/>
      <c r="CJ50" s="317"/>
      <c r="CK50" s="16"/>
      <c r="CL50" s="317"/>
      <c r="CM50" s="317"/>
      <c r="CN50" s="317"/>
      <c r="CO50" s="317"/>
      <c r="CP50" s="16"/>
      <c r="CQ50" s="317"/>
      <c r="CR50" s="317"/>
      <c r="CS50" s="317"/>
      <c r="CT50" s="317"/>
      <c r="CU50" s="16"/>
      <c r="CV50" s="317"/>
      <c r="CW50" s="317"/>
      <c r="CY50" s="317"/>
      <c r="CZ50" s="16"/>
      <c r="DA50" s="317"/>
      <c r="DB50" s="317"/>
      <c r="DC50" s="317"/>
      <c r="DD50" s="317"/>
      <c r="DE50" s="16"/>
      <c r="DF50" s="317"/>
      <c r="DG50" s="317"/>
      <c r="DH50" s="317"/>
      <c r="DI50" s="317"/>
      <c r="DJ50" s="16"/>
      <c r="DK50" s="317"/>
      <c r="DL50" s="317"/>
      <c r="DM50" s="317"/>
      <c r="DN50" s="317"/>
      <c r="DO50" s="16"/>
      <c r="DP50" s="317"/>
      <c r="DQ50" s="317"/>
      <c r="DR50" s="317"/>
      <c r="DS50" s="317"/>
      <c r="DT50" s="16"/>
      <c r="DU50" s="16"/>
      <c r="DV50" s="16"/>
    </row>
    <row r="51" spans="2:126" s="15" customFormat="1">
      <c r="B51" s="195" t="s">
        <v>475</v>
      </c>
      <c r="C51" s="16"/>
      <c r="D51" s="16"/>
      <c r="E51" s="16"/>
      <c r="F51" s="16"/>
      <c r="G51" s="16"/>
      <c r="H51" s="16"/>
      <c r="I51" s="16"/>
      <c r="N51" s="16"/>
      <c r="S51" s="16"/>
      <c r="X51" s="16"/>
      <c r="AC51" s="16"/>
      <c r="AH51" s="16"/>
      <c r="AJ51" s="12"/>
      <c r="AK51" s="49"/>
      <c r="AL51" s="49"/>
      <c r="AM51" s="16"/>
      <c r="AN51" s="49"/>
      <c r="AO51" s="313"/>
      <c r="AP51" s="313"/>
      <c r="AQ51" s="313"/>
      <c r="AR51" s="16"/>
      <c r="AS51" s="313"/>
      <c r="AT51" s="313"/>
      <c r="AU51" s="313"/>
      <c r="AV51" s="313"/>
      <c r="AW51" s="16"/>
      <c r="AX51" s="313"/>
      <c r="AY51" s="313"/>
      <c r="AZ51" s="313"/>
      <c r="BA51" s="313"/>
      <c r="BB51" s="16"/>
      <c r="BC51" s="313"/>
      <c r="BD51" s="313"/>
      <c r="BE51" s="313"/>
      <c r="BF51" s="313"/>
      <c r="BG51" s="16"/>
      <c r="BH51" s="313"/>
      <c r="BI51" s="358"/>
      <c r="BJ51" s="358"/>
      <c r="BK51" s="358"/>
      <c r="BL51" s="16"/>
      <c r="BM51" s="358"/>
      <c r="BN51" s="358"/>
      <c r="BO51" s="358"/>
      <c r="BP51" s="358"/>
      <c r="BQ51" s="16"/>
      <c r="BR51" s="407"/>
      <c r="BS51" s="358"/>
      <c r="BT51" s="358"/>
      <c r="BU51" s="358"/>
      <c r="BV51" s="16"/>
      <c r="BW51" s="446"/>
      <c r="BX51" s="446"/>
      <c r="BY51" s="446"/>
      <c r="BZ51" s="446"/>
      <c r="CA51" s="16"/>
      <c r="CB51" s="358"/>
      <c r="CC51" s="358"/>
      <c r="CD51" s="358"/>
      <c r="CE51" s="358"/>
      <c r="CF51" s="16"/>
      <c r="CG51" s="358"/>
      <c r="CH51" s="358"/>
      <c r="CI51" s="358"/>
      <c r="CJ51" s="358"/>
      <c r="CK51" s="16"/>
      <c r="CL51" s="358"/>
      <c r="CM51" s="358"/>
      <c r="CN51" s="358"/>
      <c r="CO51" s="358">
        <v>36530</v>
      </c>
      <c r="CP51" s="16">
        <f>CO51</f>
        <v>36530</v>
      </c>
      <c r="CQ51" s="358">
        <v>31783</v>
      </c>
      <c r="CR51" s="358">
        <v>22460</v>
      </c>
      <c r="CS51" s="358">
        <v>24955</v>
      </c>
      <c r="CT51" s="358">
        <v>15770</v>
      </c>
      <c r="CU51" s="16">
        <f>CT51</f>
        <v>15770</v>
      </c>
      <c r="CV51" s="358">
        <v>12842</v>
      </c>
      <c r="CW51" s="358">
        <v>13190</v>
      </c>
      <c r="CX51" s="358">
        <v>12595</v>
      </c>
      <c r="CY51" s="358">
        <v>15810</v>
      </c>
      <c r="CZ51" s="16">
        <f>CY51</f>
        <v>15810</v>
      </c>
      <c r="DA51" s="358">
        <v>12001</v>
      </c>
      <c r="DB51" s="358">
        <v>12766</v>
      </c>
      <c r="DC51" s="358">
        <v>13127</v>
      </c>
      <c r="DD51" s="358">
        <v>16967</v>
      </c>
      <c r="DE51" s="16">
        <f>DD51</f>
        <v>16967</v>
      </c>
      <c r="DF51" s="358">
        <v>18447</v>
      </c>
      <c r="DG51" s="358">
        <v>12107</v>
      </c>
      <c r="DH51" s="358">
        <v>13724</v>
      </c>
      <c r="DI51" s="358">
        <v>13619</v>
      </c>
      <c r="DJ51" s="16">
        <f>DI51</f>
        <v>13619</v>
      </c>
      <c r="DK51" s="1079">
        <v>12405</v>
      </c>
      <c r="DL51" s="1079">
        <v>10861</v>
      </c>
      <c r="DM51" s="358"/>
      <c r="DN51" s="358"/>
      <c r="DO51" s="16"/>
      <c r="DP51" s="1079"/>
      <c r="DQ51" s="358"/>
      <c r="DR51" s="358"/>
      <c r="DS51" s="358"/>
      <c r="DT51" s="16"/>
      <c r="DU51" s="16"/>
      <c r="DV51" s="16"/>
    </row>
    <row r="52" spans="2:126" s="15" customFormat="1">
      <c r="B52" s="195" t="s">
        <v>476</v>
      </c>
      <c r="C52" s="16"/>
      <c r="D52" s="16"/>
      <c r="E52" s="16"/>
      <c r="F52" s="16"/>
      <c r="G52" s="16"/>
      <c r="H52" s="16"/>
      <c r="I52" s="16"/>
      <c r="N52" s="16"/>
      <c r="S52" s="16"/>
      <c r="X52" s="16"/>
      <c r="AC52" s="16"/>
      <c r="AH52" s="16"/>
      <c r="AJ52" s="12"/>
      <c r="AK52" s="49"/>
      <c r="AL52" s="49"/>
      <c r="AM52" s="16"/>
      <c r="AN52" s="49"/>
      <c r="AO52" s="313"/>
      <c r="AP52" s="313"/>
      <c r="AQ52" s="313"/>
      <c r="AR52" s="16"/>
      <c r="AS52" s="313"/>
      <c r="AT52" s="313"/>
      <c r="AU52" s="313"/>
      <c r="AV52" s="313"/>
      <c r="AW52" s="16"/>
      <c r="AX52" s="313"/>
      <c r="AY52" s="313"/>
      <c r="AZ52" s="313"/>
      <c r="BA52" s="313"/>
      <c r="BB52" s="16"/>
      <c r="BC52" s="313"/>
      <c r="BD52" s="313"/>
      <c r="BE52" s="313"/>
      <c r="BF52" s="313"/>
      <c r="BG52" s="16"/>
      <c r="BH52" s="313"/>
      <c r="BI52" s="358"/>
      <c r="BJ52" s="358"/>
      <c r="BK52" s="358"/>
      <c r="BL52" s="16"/>
      <c r="BM52" s="358"/>
      <c r="BN52" s="358"/>
      <c r="BO52" s="358"/>
      <c r="BP52" s="358"/>
      <c r="BQ52" s="16"/>
      <c r="BR52" s="407"/>
      <c r="BS52" s="358"/>
      <c r="BT52" s="358"/>
      <c r="BU52" s="358"/>
      <c r="BV52" s="16"/>
      <c r="BW52" s="446"/>
      <c r="BX52" s="446"/>
      <c r="BY52" s="446"/>
      <c r="BZ52" s="446"/>
      <c r="CA52" s="16"/>
      <c r="CB52" s="358"/>
      <c r="CC52" s="358"/>
      <c r="CD52" s="358"/>
      <c r="CE52" s="358"/>
      <c r="CF52" s="16"/>
      <c r="CG52" s="358"/>
      <c r="CH52" s="358"/>
      <c r="CI52" s="358"/>
      <c r="CJ52" s="358"/>
      <c r="CK52" s="16"/>
      <c r="CL52" s="358"/>
      <c r="CM52" s="358"/>
      <c r="CN52" s="358"/>
      <c r="CO52" s="358">
        <v>7319</v>
      </c>
      <c r="CP52" s="16">
        <f t="shared" ref="CP52:CP58" si="274">CO52</f>
        <v>7319</v>
      </c>
      <c r="CQ52" s="358">
        <v>6741</v>
      </c>
      <c r="CR52" s="358">
        <v>6134</v>
      </c>
      <c r="CS52" s="358">
        <v>5300</v>
      </c>
      <c r="CT52" s="358">
        <v>12297</v>
      </c>
      <c r="CU52" s="16">
        <f t="shared" ref="CU52:CU58" si="275">CT52</f>
        <v>12297</v>
      </c>
      <c r="CV52" s="358">
        <v>10779</v>
      </c>
      <c r="CW52" s="358">
        <v>6745</v>
      </c>
      <c r="CX52" s="358">
        <v>6297</v>
      </c>
      <c r="CY52" s="358">
        <v>7609</v>
      </c>
      <c r="CZ52" s="16">
        <f t="shared" ref="CZ52:CZ58" si="276">CY52</f>
        <v>7609</v>
      </c>
      <c r="DA52" s="358">
        <v>12814</v>
      </c>
      <c r="DB52" s="358">
        <v>10885</v>
      </c>
      <c r="DC52" s="358">
        <v>7054</v>
      </c>
      <c r="DD52" s="358">
        <v>5706</v>
      </c>
      <c r="DE52" s="16">
        <f t="shared" ref="DE52:DE58" si="277">DD52</f>
        <v>5706</v>
      </c>
      <c r="DF52" s="358">
        <v>3737</v>
      </c>
      <c r="DG52" s="358">
        <v>3338</v>
      </c>
      <c r="DH52" s="358">
        <v>2232</v>
      </c>
      <c r="DI52" s="358">
        <v>982</v>
      </c>
      <c r="DJ52" s="16">
        <f t="shared" ref="DJ52:DJ58" si="278">DI52</f>
        <v>982</v>
      </c>
      <c r="DK52" s="1079">
        <v>1000</v>
      </c>
      <c r="DL52" s="1079">
        <v>998</v>
      </c>
      <c r="DM52" s="358"/>
      <c r="DN52" s="358"/>
      <c r="DO52" s="16"/>
      <c r="DP52" s="1079"/>
      <c r="DQ52" s="358"/>
      <c r="DR52" s="358"/>
      <c r="DS52" s="358"/>
      <c r="DT52" s="16"/>
      <c r="DU52" s="16"/>
      <c r="DV52" s="16"/>
    </row>
    <row r="53" spans="2:126" s="15" customFormat="1">
      <c r="B53" s="195" t="s">
        <v>477</v>
      </c>
      <c r="C53" s="16"/>
      <c r="D53" s="16"/>
      <c r="E53" s="16"/>
      <c r="F53" s="16"/>
      <c r="G53" s="16"/>
      <c r="H53" s="16"/>
      <c r="I53" s="16"/>
      <c r="N53" s="16"/>
      <c r="S53" s="16"/>
      <c r="X53" s="16"/>
      <c r="AC53" s="16"/>
      <c r="AH53" s="16"/>
      <c r="AJ53" s="12"/>
      <c r="AK53" s="49"/>
      <c r="AL53" s="49"/>
      <c r="AM53" s="16"/>
      <c r="AN53" s="49"/>
      <c r="AO53" s="313"/>
      <c r="AP53" s="313"/>
      <c r="AQ53" s="313"/>
      <c r="AR53" s="16"/>
      <c r="AS53" s="313"/>
      <c r="AT53" s="313"/>
      <c r="AU53" s="313"/>
      <c r="AV53" s="313"/>
      <c r="AW53" s="16"/>
      <c r="AX53" s="313"/>
      <c r="AY53" s="313"/>
      <c r="AZ53" s="313"/>
      <c r="BA53" s="313"/>
      <c r="BB53" s="16"/>
      <c r="BC53" s="313"/>
      <c r="BD53" s="313"/>
      <c r="BE53" s="313"/>
      <c r="BF53" s="313"/>
      <c r="BG53" s="16"/>
      <c r="BH53" s="313"/>
      <c r="BI53" s="358"/>
      <c r="BJ53" s="358"/>
      <c r="BK53" s="358"/>
      <c r="BL53" s="16"/>
      <c r="BN53" s="358"/>
      <c r="BO53" s="358"/>
      <c r="BP53" s="358"/>
      <c r="BQ53" s="16"/>
      <c r="BR53" s="407"/>
      <c r="BS53" s="358"/>
      <c r="BT53" s="358"/>
      <c r="BU53" s="358"/>
      <c r="BV53" s="16"/>
      <c r="BW53" s="446"/>
      <c r="BX53" s="446"/>
      <c r="BY53" s="446"/>
      <c r="BZ53" s="446"/>
      <c r="CA53" s="16"/>
      <c r="CB53" s="358"/>
      <c r="CC53" s="358"/>
      <c r="CD53" s="358"/>
      <c r="CE53" s="358"/>
      <c r="CF53" s="16"/>
      <c r="CG53" s="358"/>
      <c r="CH53" s="358"/>
      <c r="CI53" s="358"/>
      <c r="CJ53" s="358"/>
      <c r="CK53" s="16"/>
      <c r="CL53" s="358"/>
      <c r="CM53" s="358"/>
      <c r="CN53" s="358"/>
      <c r="CO53" s="358">
        <v>16691</v>
      </c>
      <c r="CP53" s="16">
        <f t="shared" si="274"/>
        <v>16691</v>
      </c>
      <c r="CQ53" s="358">
        <v>15381</v>
      </c>
      <c r="CR53" s="358">
        <v>15190</v>
      </c>
      <c r="CS53" s="358">
        <v>14874</v>
      </c>
      <c r="CT53" s="358">
        <v>15620</v>
      </c>
      <c r="CU53" s="16">
        <f t="shared" si="275"/>
        <v>15620</v>
      </c>
      <c r="CV53" s="358">
        <v>16050</v>
      </c>
      <c r="CW53" s="358">
        <v>16283</v>
      </c>
      <c r="CX53" s="317">
        <v>17197</v>
      </c>
      <c r="CY53" s="358">
        <v>14831</v>
      </c>
      <c r="CZ53" s="16">
        <f t="shared" si="276"/>
        <v>14831</v>
      </c>
      <c r="DA53" s="358">
        <v>14212</v>
      </c>
      <c r="DB53" s="358">
        <v>14767</v>
      </c>
      <c r="DC53" s="358">
        <v>14546</v>
      </c>
      <c r="DD53" s="358">
        <v>15466</v>
      </c>
      <c r="DE53" s="16">
        <f t="shared" si="277"/>
        <v>15466</v>
      </c>
      <c r="DF53" s="358">
        <v>15100</v>
      </c>
      <c r="DG53" s="358">
        <v>8370</v>
      </c>
      <c r="DH53" s="358">
        <v>8936</v>
      </c>
      <c r="DI53" s="358">
        <v>9327</v>
      </c>
      <c r="DJ53" s="16">
        <f t="shared" si="278"/>
        <v>9327</v>
      </c>
      <c r="DK53" s="1079">
        <v>9653</v>
      </c>
      <c r="DL53" s="1079">
        <v>10512</v>
      </c>
      <c r="DM53" s="358"/>
      <c r="DN53" s="358"/>
      <c r="DO53" s="16"/>
      <c r="DP53" s="1079"/>
      <c r="DQ53" s="358"/>
      <c r="DR53" s="358"/>
      <c r="DS53" s="358"/>
      <c r="DT53" s="16"/>
      <c r="DU53" s="16"/>
      <c r="DV53" s="16"/>
    </row>
    <row r="54" spans="2:126" s="15" customFormat="1">
      <c r="B54" s="195" t="s">
        <v>479</v>
      </c>
      <c r="C54" s="16"/>
      <c r="D54" s="16"/>
      <c r="E54" s="16"/>
      <c r="F54" s="16"/>
      <c r="G54" s="16"/>
      <c r="H54" s="16"/>
      <c r="I54" s="16"/>
      <c r="N54" s="16"/>
      <c r="S54" s="16"/>
      <c r="X54" s="16"/>
      <c r="AC54" s="16"/>
      <c r="AH54" s="16"/>
      <c r="AJ54" s="12"/>
      <c r="AK54" s="49"/>
      <c r="AL54" s="49"/>
      <c r="AM54" s="16"/>
      <c r="AN54" s="49"/>
      <c r="AO54" s="313"/>
      <c r="AP54" s="313"/>
      <c r="AQ54" s="313"/>
      <c r="AR54" s="16"/>
      <c r="AS54" s="313"/>
      <c r="AT54" s="313"/>
      <c r="AU54" s="313"/>
      <c r="AV54" s="313"/>
      <c r="AW54" s="16"/>
      <c r="AX54" s="313"/>
      <c r="AY54" s="313"/>
      <c r="AZ54" s="313"/>
      <c r="BA54" s="313"/>
      <c r="BB54" s="16"/>
      <c r="BC54" s="313"/>
      <c r="BD54" s="313"/>
      <c r="BE54" s="313"/>
      <c r="BF54" s="313"/>
      <c r="BG54" s="16"/>
      <c r="BH54" s="313"/>
      <c r="BI54" s="358"/>
      <c r="BJ54" s="358"/>
      <c r="BK54" s="358"/>
      <c r="BL54" s="16"/>
      <c r="BN54" s="358"/>
      <c r="BO54" s="358"/>
      <c r="BP54" s="358"/>
      <c r="BQ54" s="16"/>
      <c r="BR54" s="407"/>
      <c r="BS54" s="358"/>
      <c r="BT54" s="358"/>
      <c r="BU54" s="358"/>
      <c r="BV54" s="16"/>
      <c r="BW54" s="446"/>
      <c r="BX54" s="446"/>
      <c r="BY54" s="446"/>
      <c r="BZ54" s="446"/>
      <c r="CA54" s="16"/>
      <c r="CB54" s="358"/>
      <c r="CC54" s="358"/>
      <c r="CD54" s="358"/>
      <c r="CE54" s="358"/>
      <c r="CF54" s="16"/>
      <c r="CG54" s="358"/>
      <c r="CH54" s="358"/>
      <c r="CI54" s="358"/>
      <c r="CJ54" s="358"/>
      <c r="CK54" s="16"/>
      <c r="CL54" s="358"/>
      <c r="CM54" s="358"/>
      <c r="CN54" s="358"/>
      <c r="CO54" s="358">
        <v>326</v>
      </c>
      <c r="CP54" s="16">
        <f t="shared" si="274"/>
        <v>326</v>
      </c>
      <c r="CQ54" s="358">
        <v>306</v>
      </c>
      <c r="CR54" s="358">
        <v>316</v>
      </c>
      <c r="CS54" s="358">
        <v>271</v>
      </c>
      <c r="CT54" s="358">
        <v>0</v>
      </c>
      <c r="CU54" s="16">
        <f t="shared" si="275"/>
        <v>0</v>
      </c>
      <c r="CV54" s="358">
        <v>0</v>
      </c>
      <c r="CW54" s="358">
        <v>0</v>
      </c>
      <c r="CX54" s="317">
        <v>0</v>
      </c>
      <c r="CY54" s="358">
        <v>0</v>
      </c>
      <c r="CZ54" s="16">
        <f t="shared" si="276"/>
        <v>0</v>
      </c>
      <c r="DA54" s="358"/>
      <c r="DB54" s="358"/>
      <c r="DC54" s="358"/>
      <c r="DD54" s="358"/>
      <c r="DE54" s="16">
        <f t="shared" si="277"/>
        <v>0</v>
      </c>
      <c r="DF54" s="358"/>
      <c r="DG54" s="358"/>
      <c r="DH54" s="358"/>
      <c r="DI54" s="358"/>
      <c r="DJ54" s="16">
        <f t="shared" si="278"/>
        <v>0</v>
      </c>
      <c r="DK54" s="358"/>
      <c r="DL54" s="358"/>
      <c r="DM54" s="358"/>
      <c r="DN54" s="358"/>
      <c r="DO54" s="16"/>
      <c r="DP54" s="358"/>
      <c r="DQ54" s="358"/>
      <c r="DR54" s="358"/>
      <c r="DS54" s="358"/>
      <c r="DT54" s="16"/>
      <c r="DU54" s="16"/>
      <c r="DV54" s="16"/>
    </row>
    <row r="55" spans="2:126" s="15" customFormat="1">
      <c r="B55" s="195" t="s">
        <v>478</v>
      </c>
      <c r="C55" s="16"/>
      <c r="D55" s="16"/>
      <c r="E55" s="16"/>
      <c r="F55" s="16"/>
      <c r="G55" s="16"/>
      <c r="H55" s="16"/>
      <c r="I55" s="16"/>
      <c r="N55" s="16"/>
      <c r="S55" s="16"/>
      <c r="X55" s="16"/>
      <c r="AC55" s="16"/>
      <c r="AH55" s="16"/>
      <c r="AJ55" s="12"/>
      <c r="AK55" s="49"/>
      <c r="AL55" s="49"/>
      <c r="AM55" s="16"/>
      <c r="AN55" s="49"/>
      <c r="AO55" s="313"/>
      <c r="AP55" s="313"/>
      <c r="AQ55" s="313"/>
      <c r="AR55" s="16"/>
      <c r="AS55" s="313"/>
      <c r="AT55" s="313"/>
      <c r="AU55" s="313"/>
      <c r="AV55" s="313"/>
      <c r="AW55" s="16"/>
      <c r="AX55" s="313"/>
      <c r="AY55" s="313"/>
      <c r="AZ55" s="313"/>
      <c r="BA55" s="313"/>
      <c r="BB55" s="16"/>
      <c r="BC55" s="313"/>
      <c r="BD55" s="313"/>
      <c r="BE55" s="313"/>
      <c r="BF55" s="313"/>
      <c r="BG55" s="16"/>
      <c r="BH55" s="313"/>
      <c r="BI55" s="358"/>
      <c r="BJ55" s="358"/>
      <c r="BK55" s="358"/>
      <c r="BL55" s="16"/>
      <c r="BM55" s="358"/>
      <c r="BN55" s="358"/>
      <c r="BO55" s="358"/>
      <c r="BP55" s="358"/>
      <c r="BQ55" s="16"/>
      <c r="BR55" s="407"/>
      <c r="BS55" s="358"/>
      <c r="BT55" s="358"/>
      <c r="BU55" s="358"/>
      <c r="BV55" s="16"/>
      <c r="BW55" s="446"/>
      <c r="BX55" s="446"/>
      <c r="BY55" s="446"/>
      <c r="BZ55" s="446"/>
      <c r="CA55" s="16"/>
      <c r="CB55" s="358"/>
      <c r="CC55" s="358"/>
      <c r="CD55" s="358"/>
      <c r="CE55" s="358"/>
      <c r="CF55" s="16"/>
      <c r="CG55" s="358"/>
      <c r="CH55" s="358"/>
      <c r="CI55" s="358"/>
      <c r="CJ55" s="358"/>
      <c r="CK55" s="16"/>
      <c r="CL55" s="358"/>
      <c r="CM55" s="358"/>
      <c r="CN55" s="358"/>
      <c r="CO55" s="358">
        <v>15890</v>
      </c>
      <c r="CP55" s="16">
        <f t="shared" si="274"/>
        <v>15890</v>
      </c>
      <c r="CQ55" s="358">
        <v>16530</v>
      </c>
      <c r="CR55" s="358">
        <v>17016</v>
      </c>
      <c r="CS55" s="358">
        <v>16790</v>
      </c>
      <c r="CT55" s="358">
        <v>15847</v>
      </c>
      <c r="CU55" s="16">
        <f t="shared" si="275"/>
        <v>15847</v>
      </c>
      <c r="CV55" s="358">
        <v>16570</v>
      </c>
      <c r="CW55" s="358">
        <v>17553</v>
      </c>
      <c r="CX55" s="358">
        <v>17536</v>
      </c>
      <c r="CY55" s="358">
        <v>14891</v>
      </c>
      <c r="CZ55" s="16">
        <f t="shared" si="276"/>
        <v>14891</v>
      </c>
      <c r="DA55" s="358">
        <v>16198</v>
      </c>
      <c r="DB55" s="358">
        <v>16789</v>
      </c>
      <c r="DC55" s="358">
        <v>17020</v>
      </c>
      <c r="DD55" s="358">
        <v>16528</v>
      </c>
      <c r="DE55" s="16">
        <f t="shared" si="277"/>
        <v>16528</v>
      </c>
      <c r="DF55" s="358">
        <v>17603</v>
      </c>
      <c r="DG55" s="358">
        <v>9469</v>
      </c>
      <c r="DH55" s="358">
        <v>9718</v>
      </c>
      <c r="DI55" s="358">
        <v>9763</v>
      </c>
      <c r="DJ55" s="16">
        <f t="shared" si="278"/>
        <v>9763</v>
      </c>
      <c r="DK55" s="1079">
        <v>10504</v>
      </c>
      <c r="DL55" s="1079">
        <v>11297</v>
      </c>
      <c r="DM55" s="358"/>
      <c r="DN55" s="358"/>
      <c r="DO55" s="16"/>
      <c r="DP55" s="1079"/>
      <c r="DQ55" s="358"/>
      <c r="DR55" s="358"/>
      <c r="DS55" s="358"/>
      <c r="DT55" s="16"/>
      <c r="DU55" s="16"/>
      <c r="DV55" s="16"/>
    </row>
    <row r="56" spans="2:126" s="427" customFormat="1">
      <c r="B56" s="442" t="s">
        <v>480</v>
      </c>
      <c r="C56" s="440"/>
      <c r="D56" s="440"/>
      <c r="E56" s="440"/>
      <c r="F56" s="440"/>
      <c r="G56" s="440"/>
      <c r="H56" s="440"/>
      <c r="I56" s="440"/>
      <c r="N56" s="440"/>
      <c r="S56" s="440"/>
      <c r="X56" s="440"/>
      <c r="AC56" s="440"/>
      <c r="AH56" s="440"/>
      <c r="AJ56" s="49"/>
      <c r="AK56" s="49"/>
      <c r="AL56" s="49"/>
      <c r="AM56" s="440"/>
      <c r="AN56" s="49"/>
      <c r="AO56" s="313"/>
      <c r="AP56" s="313"/>
      <c r="AQ56" s="313"/>
      <c r="AR56" s="440"/>
      <c r="AS56" s="313"/>
      <c r="AT56" s="313"/>
      <c r="AU56" s="313"/>
      <c r="AV56" s="313"/>
      <c r="AW56" s="440"/>
      <c r="AX56" s="313"/>
      <c r="AY56" s="313"/>
      <c r="AZ56" s="313"/>
      <c r="BA56" s="313"/>
      <c r="BB56" s="440"/>
      <c r="BC56" s="313"/>
      <c r="BD56" s="313"/>
      <c r="BE56" s="313"/>
      <c r="BF56" s="313"/>
      <c r="BG56" s="440"/>
      <c r="BH56" s="313"/>
      <c r="BI56" s="313"/>
      <c r="BJ56" s="313"/>
      <c r="BK56" s="313"/>
      <c r="BL56" s="440"/>
      <c r="BN56" s="313"/>
      <c r="BO56" s="313"/>
      <c r="BP56" s="313"/>
      <c r="BQ56" s="440"/>
      <c r="BR56" s="443"/>
      <c r="BS56" s="313"/>
      <c r="BT56" s="313"/>
      <c r="BU56" s="313"/>
      <c r="BV56" s="440"/>
      <c r="BW56" s="435"/>
      <c r="BX56" s="435"/>
      <c r="BY56" s="435"/>
      <c r="BZ56" s="435"/>
      <c r="CA56" s="440"/>
      <c r="CB56" s="313"/>
      <c r="CC56" s="313"/>
      <c r="CD56" s="313"/>
      <c r="CE56" s="313"/>
      <c r="CF56" s="440"/>
      <c r="CG56" s="313"/>
      <c r="CH56" s="313"/>
      <c r="CI56" s="313"/>
      <c r="CJ56" s="313"/>
      <c r="CK56" s="16"/>
      <c r="CL56" s="313"/>
      <c r="CM56" s="313"/>
      <c r="CN56" s="313"/>
      <c r="CO56" s="313">
        <v>5764</v>
      </c>
      <c r="CP56" s="16">
        <f t="shared" si="274"/>
        <v>5764</v>
      </c>
      <c r="CQ56" s="358">
        <v>5821</v>
      </c>
      <c r="CR56" s="313">
        <v>5431</v>
      </c>
      <c r="CS56" s="358">
        <v>5238</v>
      </c>
      <c r="CT56" s="358">
        <v>4881</v>
      </c>
      <c r="CU56" s="16">
        <f t="shared" si="275"/>
        <v>4881</v>
      </c>
      <c r="CV56" s="358">
        <v>4246</v>
      </c>
      <c r="CW56" s="358">
        <v>4241</v>
      </c>
      <c r="CX56" s="358">
        <v>3701</v>
      </c>
      <c r="CY56" s="358">
        <v>2468</v>
      </c>
      <c r="CZ56" s="16">
        <f t="shared" si="276"/>
        <v>2468</v>
      </c>
      <c r="DA56" s="358">
        <v>2244</v>
      </c>
      <c r="DB56" s="358">
        <v>2037</v>
      </c>
      <c r="DC56" s="358">
        <v>1875</v>
      </c>
      <c r="DD56" s="358">
        <v>1500</v>
      </c>
      <c r="DE56" s="16">
        <f t="shared" si="277"/>
        <v>1500</v>
      </c>
      <c r="DF56" s="358">
        <v>1547</v>
      </c>
      <c r="DG56" s="358">
        <v>2719</v>
      </c>
      <c r="DH56" s="358">
        <v>2884</v>
      </c>
      <c r="DI56" s="358">
        <v>2982</v>
      </c>
      <c r="DJ56" s="16">
        <f t="shared" si="278"/>
        <v>2982</v>
      </c>
      <c r="DK56" s="1079">
        <v>2940</v>
      </c>
      <c r="DL56" s="1079">
        <v>3059</v>
      </c>
      <c r="DM56" s="313"/>
      <c r="DN56" s="313"/>
      <c r="DO56" s="440"/>
      <c r="DP56" s="1079"/>
      <c r="DQ56" s="313"/>
      <c r="DR56" s="313"/>
      <c r="DS56" s="313"/>
      <c r="DT56" s="440"/>
      <c r="DU56" s="440"/>
      <c r="DV56" s="440"/>
    </row>
    <row r="57" spans="2:126" s="15" customFormat="1">
      <c r="B57" s="195" t="s">
        <v>481</v>
      </c>
      <c r="C57" s="16"/>
      <c r="D57" s="16"/>
      <c r="E57" s="16"/>
      <c r="F57" s="16"/>
      <c r="G57" s="16"/>
      <c r="H57" s="16"/>
      <c r="I57" s="16"/>
      <c r="N57" s="16"/>
      <c r="S57" s="16"/>
      <c r="X57" s="16"/>
      <c r="AC57" s="16"/>
      <c r="AH57" s="16"/>
      <c r="AJ57" s="12"/>
      <c r="AK57" s="49"/>
      <c r="AL57" s="49"/>
      <c r="AM57" s="16"/>
      <c r="AN57" s="49"/>
      <c r="AO57" s="313"/>
      <c r="AP57" s="313"/>
      <c r="AQ57" s="313"/>
      <c r="AR57" s="16"/>
      <c r="AS57" s="313"/>
      <c r="AT57" s="313"/>
      <c r="AU57" s="313"/>
      <c r="AV57" s="313"/>
      <c r="AW57" s="16"/>
      <c r="AX57" s="313"/>
      <c r="AY57" s="313"/>
      <c r="AZ57" s="313"/>
      <c r="BA57" s="313"/>
      <c r="BB57" s="16"/>
      <c r="BC57" s="313"/>
      <c r="BD57" s="313"/>
      <c r="BE57" s="313"/>
      <c r="BF57" s="313"/>
      <c r="BG57" s="16"/>
      <c r="BH57" s="313"/>
      <c r="BI57" s="358"/>
      <c r="BJ57" s="358"/>
      <c r="BK57" s="358"/>
      <c r="BL57" s="16"/>
      <c r="BM57" s="358"/>
      <c r="BN57" s="358"/>
      <c r="BO57" s="358"/>
      <c r="BP57" s="358"/>
      <c r="BQ57" s="16"/>
      <c r="BR57" s="407"/>
      <c r="BS57" s="358"/>
      <c r="BT57" s="358"/>
      <c r="BU57" s="358"/>
      <c r="BV57" s="16"/>
      <c r="BW57" s="446"/>
      <c r="BX57" s="435"/>
      <c r="BY57" s="446"/>
      <c r="BZ57" s="446"/>
      <c r="CA57" s="16"/>
      <c r="CB57" s="358"/>
      <c r="CC57" s="358"/>
      <c r="CD57" s="358"/>
      <c r="CE57" s="358"/>
      <c r="CF57" s="16"/>
      <c r="CG57" s="358"/>
      <c r="CH57" s="358"/>
      <c r="CI57" s="358"/>
      <c r="CJ57" s="358"/>
      <c r="CK57" s="16"/>
      <c r="CL57" s="358"/>
      <c r="CM57" s="358"/>
      <c r="CN57" s="358"/>
      <c r="CO57" s="358">
        <f>1109+1549</f>
        <v>2658</v>
      </c>
      <c r="CP57" s="16">
        <f t="shared" si="274"/>
        <v>2658</v>
      </c>
      <c r="CQ57" s="358">
        <f>1339+1376</f>
        <v>2715</v>
      </c>
      <c r="CR57" s="358">
        <f>1363+1315</f>
        <v>2678</v>
      </c>
      <c r="CS57" s="358">
        <f>1186+1191</f>
        <v>2377</v>
      </c>
      <c r="CT57" s="358">
        <v>1933</v>
      </c>
      <c r="CU57" s="16">
        <f t="shared" si="275"/>
        <v>1933</v>
      </c>
      <c r="CV57" s="358">
        <v>2065</v>
      </c>
      <c r="CW57" s="358">
        <v>1879</v>
      </c>
      <c r="CX57" s="358">
        <v>2059</v>
      </c>
      <c r="CY57" s="358">
        <v>1400</v>
      </c>
      <c r="CZ57" s="16">
        <f t="shared" si="276"/>
        <v>1400</v>
      </c>
      <c r="DA57" s="358">
        <v>1464</v>
      </c>
      <c r="DB57" s="358">
        <v>1638</v>
      </c>
      <c r="DC57" s="358">
        <v>1438</v>
      </c>
      <c r="DD57" s="358">
        <v>1647</v>
      </c>
      <c r="DE57" s="16">
        <f t="shared" si="277"/>
        <v>1647</v>
      </c>
      <c r="DF57" s="358">
        <v>1650</v>
      </c>
      <c r="DG57" s="358">
        <f>1210+2</f>
        <v>1212</v>
      </c>
      <c r="DH57" s="358">
        <v>1156</v>
      </c>
      <c r="DI57" s="358">
        <v>962</v>
      </c>
      <c r="DJ57" s="16">
        <f t="shared" si="278"/>
        <v>962</v>
      </c>
      <c r="DK57" s="1079">
        <v>1073</v>
      </c>
      <c r="DL57" s="1079">
        <f>1073+1</f>
        <v>1074</v>
      </c>
      <c r="DM57" s="358"/>
      <c r="DN57" s="358"/>
      <c r="DO57" s="16"/>
      <c r="DP57" s="1079"/>
      <c r="DQ57" s="358"/>
      <c r="DR57" s="358"/>
      <c r="DS57" s="358"/>
      <c r="DT57" s="16"/>
      <c r="DU57" s="16"/>
      <c r="DV57" s="16"/>
    </row>
    <row r="58" spans="2:126" s="15" customFormat="1">
      <c r="B58" s="195" t="s">
        <v>537</v>
      </c>
      <c r="C58" s="215"/>
      <c r="D58" s="215"/>
      <c r="E58" s="215"/>
      <c r="F58" s="215"/>
      <c r="G58" s="215"/>
      <c r="H58" s="215"/>
      <c r="I58" s="215"/>
      <c r="J58" s="191"/>
      <c r="K58" s="191"/>
      <c r="L58" s="191"/>
      <c r="M58" s="191"/>
      <c r="N58" s="215"/>
      <c r="O58" s="191"/>
      <c r="P58" s="191"/>
      <c r="Q58" s="191"/>
      <c r="R58" s="191"/>
      <c r="S58" s="215"/>
      <c r="T58" s="191"/>
      <c r="U58" s="191"/>
      <c r="V58" s="191"/>
      <c r="W58" s="191"/>
      <c r="X58" s="215"/>
      <c r="Y58" s="191"/>
      <c r="Z58" s="191"/>
      <c r="AA58" s="191"/>
      <c r="AB58" s="191"/>
      <c r="AC58" s="215"/>
      <c r="AD58" s="191"/>
      <c r="AE58" s="191"/>
      <c r="AF58" s="191"/>
      <c r="AG58" s="191"/>
      <c r="AH58" s="215"/>
      <c r="AI58" s="191"/>
      <c r="AJ58" s="264"/>
      <c r="AK58" s="191"/>
      <c r="AL58" s="191"/>
      <c r="AM58" s="215"/>
      <c r="AN58" s="191"/>
      <c r="AO58" s="264"/>
      <c r="AP58" s="191"/>
      <c r="AQ58" s="191"/>
      <c r="AR58" s="215"/>
      <c r="AS58" s="191"/>
      <c r="AT58" s="264"/>
      <c r="AU58" s="191"/>
      <c r="AV58" s="191"/>
      <c r="AW58" s="215"/>
      <c r="AX58" s="191"/>
      <c r="AY58" s="264"/>
      <c r="AZ58" s="191"/>
      <c r="BA58" s="191"/>
      <c r="BB58" s="215"/>
      <c r="BC58" s="191"/>
      <c r="BD58" s="264"/>
      <c r="BE58" s="191"/>
      <c r="BF58" s="191"/>
      <c r="BG58" s="215"/>
      <c r="BH58" s="191"/>
      <c r="BI58" s="384"/>
      <c r="BJ58" s="384"/>
      <c r="BK58" s="384"/>
      <c r="BL58" s="215"/>
      <c r="BM58" s="191"/>
      <c r="BN58" s="384"/>
      <c r="BO58" s="384"/>
      <c r="BP58" s="384"/>
      <c r="BQ58" s="215"/>
      <c r="BR58" s="409"/>
      <c r="BS58" s="384"/>
      <c r="BT58" s="384"/>
      <c r="BU58" s="384"/>
      <c r="BV58" s="215"/>
      <c r="BW58" s="436"/>
      <c r="BX58" s="451"/>
      <c r="BY58" s="452"/>
      <c r="BZ58" s="452"/>
      <c r="CA58" s="215"/>
      <c r="CB58" s="191"/>
      <c r="CC58" s="384"/>
      <c r="CD58" s="384"/>
      <c r="CE58" s="384"/>
      <c r="CF58" s="215"/>
      <c r="CG58" s="384"/>
      <c r="CH58" s="384"/>
      <c r="CI58" s="384"/>
      <c r="CJ58" s="384"/>
      <c r="CK58" s="215"/>
      <c r="CL58" s="384"/>
      <c r="CM58" s="384"/>
      <c r="CN58" s="384"/>
      <c r="CO58" s="384">
        <v>0</v>
      </c>
      <c r="CP58" s="16">
        <f t="shared" si="274"/>
        <v>0</v>
      </c>
      <c r="CQ58" s="384">
        <v>33922</v>
      </c>
      <c r="CR58" s="384">
        <v>33186</v>
      </c>
      <c r="CS58" s="384">
        <v>33782</v>
      </c>
      <c r="CT58" s="384">
        <v>0</v>
      </c>
      <c r="CU58" s="16">
        <f t="shared" si="275"/>
        <v>0</v>
      </c>
      <c r="CV58" s="384">
        <v>747</v>
      </c>
      <c r="CW58" s="384">
        <v>767</v>
      </c>
      <c r="CX58" s="384">
        <v>696</v>
      </c>
      <c r="CY58" s="384">
        <v>1374</v>
      </c>
      <c r="CZ58" s="16">
        <f t="shared" si="276"/>
        <v>1374</v>
      </c>
      <c r="DA58" s="384">
        <v>1353</v>
      </c>
      <c r="DB58" s="384">
        <v>1331</v>
      </c>
      <c r="DC58" s="384">
        <v>1375</v>
      </c>
      <c r="DD58" s="384">
        <v>1985</v>
      </c>
      <c r="DE58" s="16">
        <f t="shared" si="277"/>
        <v>1985</v>
      </c>
      <c r="DF58" s="384">
        <v>1507</v>
      </c>
      <c r="DG58" s="384">
        <v>137</v>
      </c>
      <c r="DH58" s="384"/>
      <c r="DI58" s="384"/>
      <c r="DJ58" s="16">
        <f t="shared" si="278"/>
        <v>0</v>
      </c>
      <c r="DK58" s="384"/>
      <c r="DL58" s="384"/>
      <c r="DM58" s="384"/>
      <c r="DN58" s="384"/>
      <c r="DO58" s="215"/>
      <c r="DP58" s="384"/>
      <c r="DQ58" s="384"/>
      <c r="DR58" s="384"/>
      <c r="DS58" s="384"/>
      <c r="DT58" s="215"/>
      <c r="DU58" s="215"/>
      <c r="DV58" s="215"/>
    </row>
    <row r="59" spans="2:126" s="15" customFormat="1" ht="12">
      <c r="B59" s="194" t="s">
        <v>49</v>
      </c>
      <c r="C59" s="130">
        <f t="shared" ref="C59:L59" si="279">SUM(C51:C58)</f>
        <v>0</v>
      </c>
      <c r="D59" s="130">
        <f t="shared" si="279"/>
        <v>0</v>
      </c>
      <c r="E59" s="130">
        <f t="shared" si="279"/>
        <v>0</v>
      </c>
      <c r="F59" s="130">
        <f t="shared" si="279"/>
        <v>0</v>
      </c>
      <c r="G59" s="130">
        <f t="shared" si="279"/>
        <v>0</v>
      </c>
      <c r="H59" s="130">
        <f t="shared" si="279"/>
        <v>0</v>
      </c>
      <c r="I59" s="130">
        <f t="shared" si="279"/>
        <v>0</v>
      </c>
      <c r="J59" s="189">
        <f t="shared" si="279"/>
        <v>0</v>
      </c>
      <c r="K59" s="189">
        <f t="shared" si="279"/>
        <v>0</v>
      </c>
      <c r="L59" s="189">
        <f t="shared" si="279"/>
        <v>0</v>
      </c>
      <c r="M59" s="189">
        <f t="shared" ref="M59:M68" si="280">N59</f>
        <v>0</v>
      </c>
      <c r="N59" s="130">
        <f>SUM(N51:N58)</f>
        <v>0</v>
      </c>
      <c r="O59" s="189">
        <f>SUM(O51:O58)</f>
        <v>0</v>
      </c>
      <c r="P59" s="189">
        <f>SUM(P51:P58)</f>
        <v>0</v>
      </c>
      <c r="Q59" s="189">
        <f>SUM(Q51:Q58)</f>
        <v>0</v>
      </c>
      <c r="R59" s="189">
        <f t="shared" ref="R59:R68" si="281">S59</f>
        <v>0</v>
      </c>
      <c r="S59" s="130">
        <f>SUM(S51:S58)</f>
        <v>0</v>
      </c>
      <c r="T59" s="189">
        <f>SUM(T51:T58)</f>
        <v>0</v>
      </c>
      <c r="U59" s="189">
        <f>SUM(U51:U58)</f>
        <v>0</v>
      </c>
      <c r="V59" s="189">
        <f>SUM(V51:V58)</f>
        <v>0</v>
      </c>
      <c r="W59" s="189">
        <f t="shared" ref="W59:W68" si="282">X59</f>
        <v>0</v>
      </c>
      <c r="X59" s="130">
        <f>SUM(X51:X58)</f>
        <v>0</v>
      </c>
      <c r="Y59" s="189">
        <f>SUM(Y51:Y58)</f>
        <v>0</v>
      </c>
      <c r="Z59" s="189">
        <f>SUM(Z51:Z58)</f>
        <v>0</v>
      </c>
      <c r="AA59" s="189">
        <f>SUM(AA51:AA58)</f>
        <v>0</v>
      </c>
      <c r="AB59" s="189">
        <f t="shared" ref="AB59:AB68" si="283">AC59</f>
        <v>0</v>
      </c>
      <c r="AC59" s="130">
        <f>SUM(AC51:AC58)</f>
        <v>0</v>
      </c>
      <c r="AD59" s="189">
        <f>SUM(AD51:AD58)</f>
        <v>0</v>
      </c>
      <c r="AE59" s="189">
        <f>SUM(AE51:AE58)</f>
        <v>0</v>
      </c>
      <c r="AF59" s="189">
        <f>SUM(AF51:AF58)</f>
        <v>0</v>
      </c>
      <c r="AG59" s="189">
        <f t="shared" ref="AG59:AG68" si="284">AH59</f>
        <v>0</v>
      </c>
      <c r="AH59" s="130">
        <f t="shared" ref="AH59:BM59" si="285">SUM(AH51:AH58)</f>
        <v>0</v>
      </c>
      <c r="AI59" s="189">
        <f t="shared" si="285"/>
        <v>0</v>
      </c>
      <c r="AJ59" s="189">
        <f t="shared" si="285"/>
        <v>0</v>
      </c>
      <c r="AK59" s="189">
        <f t="shared" si="285"/>
        <v>0</v>
      </c>
      <c r="AL59" s="189">
        <f t="shared" si="285"/>
        <v>0</v>
      </c>
      <c r="AM59" s="130">
        <f t="shared" si="285"/>
        <v>0</v>
      </c>
      <c r="AN59" s="189">
        <f t="shared" si="285"/>
        <v>0</v>
      </c>
      <c r="AO59" s="189">
        <f t="shared" si="285"/>
        <v>0</v>
      </c>
      <c r="AP59" s="189">
        <f t="shared" si="285"/>
        <v>0</v>
      </c>
      <c r="AQ59" s="189">
        <f t="shared" si="285"/>
        <v>0</v>
      </c>
      <c r="AR59" s="130">
        <f t="shared" si="285"/>
        <v>0</v>
      </c>
      <c r="AS59" s="189">
        <f t="shared" si="285"/>
        <v>0</v>
      </c>
      <c r="AT59" s="189">
        <f t="shared" si="285"/>
        <v>0</v>
      </c>
      <c r="AU59" s="189">
        <f t="shared" si="285"/>
        <v>0</v>
      </c>
      <c r="AV59" s="189">
        <f t="shared" si="285"/>
        <v>0</v>
      </c>
      <c r="AW59" s="130">
        <f t="shared" si="285"/>
        <v>0</v>
      </c>
      <c r="AX59" s="189">
        <f t="shared" si="285"/>
        <v>0</v>
      </c>
      <c r="AY59" s="189">
        <f t="shared" si="285"/>
        <v>0</v>
      </c>
      <c r="AZ59" s="189">
        <f t="shared" si="285"/>
        <v>0</v>
      </c>
      <c r="BA59" s="189">
        <f t="shared" si="285"/>
        <v>0</v>
      </c>
      <c r="BB59" s="130">
        <f t="shared" si="285"/>
        <v>0</v>
      </c>
      <c r="BC59" s="189">
        <f t="shared" si="285"/>
        <v>0</v>
      </c>
      <c r="BD59" s="189">
        <f t="shared" si="285"/>
        <v>0</v>
      </c>
      <c r="BE59" s="189">
        <f t="shared" si="285"/>
        <v>0</v>
      </c>
      <c r="BF59" s="189">
        <f t="shared" si="285"/>
        <v>0</v>
      </c>
      <c r="BG59" s="130">
        <f t="shared" si="285"/>
        <v>0</v>
      </c>
      <c r="BH59" s="189">
        <f t="shared" si="285"/>
        <v>0</v>
      </c>
      <c r="BI59" s="307">
        <f t="shared" si="285"/>
        <v>0</v>
      </c>
      <c r="BJ59" s="307">
        <f t="shared" si="285"/>
        <v>0</v>
      </c>
      <c r="BK59" s="307">
        <f t="shared" si="285"/>
        <v>0</v>
      </c>
      <c r="BL59" s="130">
        <f t="shared" si="285"/>
        <v>0</v>
      </c>
      <c r="BM59" s="307">
        <f t="shared" si="285"/>
        <v>0</v>
      </c>
      <c r="BN59" s="307">
        <f t="shared" ref="BN59:CO59" si="286">SUM(BN51:BN58)</f>
        <v>0</v>
      </c>
      <c r="BO59" s="307">
        <f t="shared" si="286"/>
        <v>0</v>
      </c>
      <c r="BP59" s="307">
        <f t="shared" si="286"/>
        <v>0</v>
      </c>
      <c r="BQ59" s="130">
        <f t="shared" si="286"/>
        <v>0</v>
      </c>
      <c r="BR59" s="410">
        <f t="shared" si="286"/>
        <v>0</v>
      </c>
      <c r="BS59" s="307">
        <f t="shared" si="286"/>
        <v>0</v>
      </c>
      <c r="BT59" s="307">
        <f t="shared" si="286"/>
        <v>0</v>
      </c>
      <c r="BU59" s="307">
        <f t="shared" si="286"/>
        <v>0</v>
      </c>
      <c r="BV59" s="130">
        <f t="shared" si="286"/>
        <v>0</v>
      </c>
      <c r="BW59" s="453">
        <f t="shared" si="286"/>
        <v>0</v>
      </c>
      <c r="BX59" s="453">
        <f t="shared" si="286"/>
        <v>0</v>
      </c>
      <c r="BY59" s="453">
        <f t="shared" si="286"/>
        <v>0</v>
      </c>
      <c r="BZ59" s="453">
        <f t="shared" si="286"/>
        <v>0</v>
      </c>
      <c r="CA59" s="130">
        <f t="shared" si="286"/>
        <v>0</v>
      </c>
      <c r="CB59" s="307">
        <f t="shared" si="286"/>
        <v>0</v>
      </c>
      <c r="CC59" s="307">
        <f t="shared" si="286"/>
        <v>0</v>
      </c>
      <c r="CD59" s="307">
        <f t="shared" si="286"/>
        <v>0</v>
      </c>
      <c r="CE59" s="307">
        <f t="shared" si="286"/>
        <v>0</v>
      </c>
      <c r="CF59" s="130">
        <f t="shared" si="286"/>
        <v>0</v>
      </c>
      <c r="CG59" s="307">
        <f t="shared" si="286"/>
        <v>0</v>
      </c>
      <c r="CH59" s="307">
        <f t="shared" si="286"/>
        <v>0</v>
      </c>
      <c r="CI59" s="307">
        <f t="shared" si="286"/>
        <v>0</v>
      </c>
      <c r="CJ59" s="307">
        <f t="shared" si="286"/>
        <v>0</v>
      </c>
      <c r="CK59" s="130">
        <f t="shared" si="286"/>
        <v>0</v>
      </c>
      <c r="CL59" s="307">
        <f t="shared" si="286"/>
        <v>0</v>
      </c>
      <c r="CM59" s="307">
        <f t="shared" si="286"/>
        <v>0</v>
      </c>
      <c r="CN59" s="307">
        <f t="shared" si="286"/>
        <v>0</v>
      </c>
      <c r="CO59" s="307">
        <f t="shared" si="286"/>
        <v>85178</v>
      </c>
      <c r="CP59" s="130">
        <f>CO59</f>
        <v>85178</v>
      </c>
      <c r="CQ59" s="307">
        <f>SUM(CQ51:CQ58)</f>
        <v>113199</v>
      </c>
      <c r="CR59" s="307">
        <f>SUM(CR51:CR58)</f>
        <v>102411</v>
      </c>
      <c r="CS59" s="307">
        <f>SUM(CS51:CS58)</f>
        <v>103587</v>
      </c>
      <c r="CT59" s="307">
        <f>SUM(CT51:CT58)</f>
        <v>66348</v>
      </c>
      <c r="CU59" s="130">
        <f>CT59</f>
        <v>66348</v>
      </c>
      <c r="CV59" s="307">
        <f>SUM(CV51:CV58)</f>
        <v>63299</v>
      </c>
      <c r="CW59" s="307">
        <f>SUM(CW51:CW58)</f>
        <v>60658</v>
      </c>
      <c r="CX59" s="307">
        <f>SUM(CX51:CX58)</f>
        <v>60081</v>
      </c>
      <c r="CY59" s="307">
        <f>SUM(CY51:CY58)</f>
        <v>58383</v>
      </c>
      <c r="CZ59" s="130">
        <f>CY59</f>
        <v>58383</v>
      </c>
      <c r="DA59" s="307">
        <f>SUM(DA51:DA58)</f>
        <v>60286</v>
      </c>
      <c r="DB59" s="307">
        <f>SUM(DB51:DB58)</f>
        <v>60213</v>
      </c>
      <c r="DC59" s="307">
        <f t="shared" ref="DC59:DD59" si="287">SUM(DC51:DC58)</f>
        <v>56435</v>
      </c>
      <c r="DD59" s="307">
        <f t="shared" si="287"/>
        <v>59799</v>
      </c>
      <c r="DE59" s="130">
        <f>DD59</f>
        <v>59799</v>
      </c>
      <c r="DF59" s="307">
        <f>SUM(DF51:DF58)</f>
        <v>59591</v>
      </c>
      <c r="DG59" s="378">
        <f>SUM(DG51:DG58)</f>
        <v>37352</v>
      </c>
      <c r="DH59" s="378">
        <f>SUM(DH51:DH58)</f>
        <v>38650</v>
      </c>
      <c r="DI59" s="378">
        <f>SUM(DI51:DI58)</f>
        <v>37635</v>
      </c>
      <c r="DJ59" s="130">
        <f>DI59</f>
        <v>37635</v>
      </c>
      <c r="DK59" s="378">
        <f>SUM(DK51:DK58)</f>
        <v>37575</v>
      </c>
      <c r="DL59" s="378">
        <f>SUM(DL51:DL58)</f>
        <v>37801</v>
      </c>
      <c r="DM59" s="307"/>
      <c r="DN59" s="307"/>
      <c r="DO59" s="130"/>
      <c r="DP59" s="378"/>
      <c r="DQ59" s="307"/>
      <c r="DR59" s="307"/>
      <c r="DS59" s="307"/>
      <c r="DT59" s="130"/>
      <c r="DU59" s="130"/>
      <c r="DV59" s="130"/>
    </row>
    <row r="60" spans="2:126" s="221" customFormat="1">
      <c r="B60" s="147" t="s">
        <v>476</v>
      </c>
      <c r="C60" s="222"/>
      <c r="D60" s="222"/>
      <c r="E60" s="222"/>
      <c r="F60" s="222"/>
      <c r="G60" s="222"/>
      <c r="H60" s="222"/>
      <c r="I60" s="222"/>
      <c r="N60" s="222"/>
      <c r="S60" s="222"/>
      <c r="X60" s="222"/>
      <c r="AC60" s="222"/>
      <c r="AH60" s="222"/>
      <c r="AM60" s="222"/>
      <c r="AR60" s="222"/>
      <c r="AW60" s="222"/>
      <c r="BB60" s="222"/>
      <c r="BG60" s="222"/>
      <c r="BI60" s="317"/>
      <c r="BJ60" s="317"/>
      <c r="BK60" s="317"/>
      <c r="BL60" s="222"/>
      <c r="BM60" s="317"/>
      <c r="BN60" s="317"/>
      <c r="BO60" s="317"/>
      <c r="BP60" s="317"/>
      <c r="BQ60" s="222"/>
      <c r="BR60" s="1071"/>
      <c r="BS60" s="317"/>
      <c r="BT60" s="317"/>
      <c r="BU60" s="317"/>
      <c r="BV60" s="222"/>
      <c r="BW60" s="447"/>
      <c r="BX60" s="447"/>
      <c r="BY60" s="447"/>
      <c r="BZ60" s="447"/>
      <c r="CA60" s="222"/>
      <c r="CB60" s="317"/>
      <c r="CC60" s="317"/>
      <c r="CD60" s="317"/>
      <c r="CE60" s="317"/>
      <c r="CF60" s="222"/>
      <c r="CG60" s="317"/>
      <c r="CH60" s="317"/>
      <c r="CI60" s="317"/>
      <c r="CJ60" s="317"/>
      <c r="CK60" s="222"/>
      <c r="CL60" s="317"/>
      <c r="CM60" s="317"/>
      <c r="CN60" s="317"/>
      <c r="CO60" s="317">
        <v>42549</v>
      </c>
      <c r="CP60" s="222">
        <f>CO60</f>
        <v>42549</v>
      </c>
      <c r="CQ60" s="317">
        <v>40786</v>
      </c>
      <c r="CR60" s="317">
        <v>42665</v>
      </c>
      <c r="CS60" s="317">
        <v>42394</v>
      </c>
      <c r="CT60" s="317">
        <v>42209</v>
      </c>
      <c r="CU60" s="222">
        <f>CT60</f>
        <v>42209</v>
      </c>
      <c r="CV60" s="317">
        <v>39845</v>
      </c>
      <c r="CW60" s="317">
        <v>36195</v>
      </c>
      <c r="CX60" s="317">
        <v>33624</v>
      </c>
      <c r="CY60" s="317">
        <v>36027</v>
      </c>
      <c r="CZ60" s="222">
        <f>CY60</f>
        <v>36027</v>
      </c>
      <c r="DA60" s="317">
        <v>38262</v>
      </c>
      <c r="DB60" s="317">
        <v>37392</v>
      </c>
      <c r="DC60" s="317">
        <v>35528</v>
      </c>
      <c r="DD60" s="317">
        <v>38000</v>
      </c>
      <c r="DE60" s="222">
        <f>DD60</f>
        <v>38000</v>
      </c>
      <c r="DF60" s="317">
        <v>38705</v>
      </c>
      <c r="DG60" s="317">
        <v>38129</v>
      </c>
      <c r="DH60" s="317">
        <v>39514</v>
      </c>
      <c r="DI60" s="317">
        <v>37741</v>
      </c>
      <c r="DJ60" s="222">
        <f>DI60</f>
        <v>37741</v>
      </c>
      <c r="DK60" s="1080">
        <v>38010</v>
      </c>
      <c r="DL60" s="1080">
        <v>37887</v>
      </c>
      <c r="DM60" s="317"/>
      <c r="DN60" s="317"/>
      <c r="DO60" s="222"/>
      <c r="DP60" s="1080"/>
      <c r="DQ60" s="317"/>
      <c r="DR60" s="317"/>
      <c r="DS60" s="317"/>
      <c r="DT60" s="222"/>
      <c r="DU60" s="222"/>
      <c r="DV60" s="222"/>
    </row>
    <row r="61" spans="2:126" s="15" customFormat="1">
      <c r="B61" s="147" t="s">
        <v>50</v>
      </c>
      <c r="C61" s="16"/>
      <c r="D61" s="16"/>
      <c r="E61" s="16"/>
      <c r="F61" s="16"/>
      <c r="G61" s="16"/>
      <c r="H61" s="16"/>
      <c r="I61" s="16"/>
      <c r="N61" s="16"/>
      <c r="S61" s="16"/>
      <c r="X61" s="16"/>
      <c r="AC61" s="16"/>
      <c r="AH61" s="16"/>
      <c r="AJ61" s="12"/>
      <c r="AK61" s="49"/>
      <c r="AL61" s="49"/>
      <c r="AM61" s="16"/>
      <c r="AN61" s="49"/>
      <c r="AO61" s="313"/>
      <c r="AP61" s="313"/>
      <c r="AQ61" s="313"/>
      <c r="AR61" s="16"/>
      <c r="AS61" s="313"/>
      <c r="AT61" s="313"/>
      <c r="AU61" s="313"/>
      <c r="AV61" s="313"/>
      <c r="AW61" s="16"/>
      <c r="AX61" s="313"/>
      <c r="AY61" s="313"/>
      <c r="AZ61" s="313"/>
      <c r="BA61" s="313"/>
      <c r="BB61" s="16"/>
      <c r="BC61" s="313"/>
      <c r="BD61" s="313"/>
      <c r="BE61" s="313"/>
      <c r="BF61" s="313"/>
      <c r="BG61" s="16"/>
      <c r="BH61" s="313"/>
      <c r="BI61" s="358"/>
      <c r="BJ61" s="358"/>
      <c r="BK61" s="358"/>
      <c r="BL61" s="16"/>
      <c r="BM61" s="358"/>
      <c r="BN61" s="358"/>
      <c r="BO61" s="358"/>
      <c r="BP61" s="358"/>
      <c r="BQ61" s="16"/>
      <c r="BR61" s="407"/>
      <c r="BS61" s="358"/>
      <c r="BT61" s="358"/>
      <c r="BU61" s="358"/>
      <c r="BV61" s="16"/>
      <c r="BW61" s="446"/>
      <c r="BX61" s="446"/>
      <c r="BY61" s="446"/>
      <c r="BZ61" s="446"/>
      <c r="CA61" s="16"/>
      <c r="CB61" s="358"/>
      <c r="CC61" s="358"/>
      <c r="CD61" s="358"/>
      <c r="CE61" s="358"/>
      <c r="CF61" s="16"/>
      <c r="CG61" s="358"/>
      <c r="CH61" s="358"/>
      <c r="CI61" s="358"/>
      <c r="CJ61" s="358"/>
      <c r="CK61" s="16"/>
      <c r="CL61" s="358"/>
      <c r="CM61" s="358"/>
      <c r="CN61" s="358"/>
      <c r="CO61" s="358">
        <v>16699</v>
      </c>
      <c r="CP61" s="222">
        <f t="shared" ref="CP61:CP67" si="288">CO61</f>
        <v>16699</v>
      </c>
      <c r="CQ61" s="358">
        <v>16296</v>
      </c>
      <c r="CR61" s="358">
        <v>16169</v>
      </c>
      <c r="CS61" s="358">
        <v>15873</v>
      </c>
      <c r="CT61" s="358">
        <v>15609</v>
      </c>
      <c r="CU61" s="222">
        <f t="shared" ref="CU61:CU68" si="289">CT61</f>
        <v>15609</v>
      </c>
      <c r="CV61" s="358">
        <v>15036</v>
      </c>
      <c r="CW61" s="358">
        <v>14790</v>
      </c>
      <c r="CX61" s="358">
        <v>14295</v>
      </c>
      <c r="CY61" s="358">
        <v>12192</v>
      </c>
      <c r="CZ61" s="222">
        <f t="shared" ref="CZ61:CZ68" si="290">CY61</f>
        <v>12192</v>
      </c>
      <c r="DA61" s="358">
        <v>12170</v>
      </c>
      <c r="DB61" s="358">
        <v>12374</v>
      </c>
      <c r="DC61" s="358">
        <v>12203</v>
      </c>
      <c r="DD61" s="358">
        <v>12494</v>
      </c>
      <c r="DE61" s="222">
        <f t="shared" ref="DE61:DE68" si="291">DD61</f>
        <v>12494</v>
      </c>
      <c r="DF61" s="358">
        <v>12345</v>
      </c>
      <c r="DG61" s="358">
        <v>7095</v>
      </c>
      <c r="DH61" s="358">
        <v>7254</v>
      </c>
      <c r="DI61" s="358">
        <v>7277</v>
      </c>
      <c r="DJ61" s="222">
        <f t="shared" ref="DJ61:DJ68" si="292">DI61</f>
        <v>7277</v>
      </c>
      <c r="DK61" s="1079">
        <v>7426</v>
      </c>
      <c r="DL61" s="1079">
        <v>7523</v>
      </c>
      <c r="DM61" s="358"/>
      <c r="DN61" s="358"/>
      <c r="DO61" s="16"/>
      <c r="DP61" s="1079"/>
      <c r="DQ61" s="358"/>
      <c r="DR61" s="358"/>
      <c r="DS61" s="358"/>
      <c r="DT61" s="16"/>
      <c r="DU61" s="16"/>
      <c r="DV61" s="16"/>
    </row>
    <row r="62" spans="2:126" s="15" customFormat="1">
      <c r="B62" s="147" t="s">
        <v>51</v>
      </c>
      <c r="C62" s="16"/>
      <c r="D62" s="16"/>
      <c r="E62" s="16"/>
      <c r="F62" s="16"/>
      <c r="G62" s="16"/>
      <c r="H62" s="16"/>
      <c r="I62" s="16"/>
      <c r="N62" s="16"/>
      <c r="S62" s="16"/>
      <c r="X62" s="16"/>
      <c r="AC62" s="16"/>
      <c r="AH62" s="16"/>
      <c r="AJ62" s="12"/>
      <c r="AK62" s="49"/>
      <c r="AL62" s="49"/>
      <c r="AM62" s="16"/>
      <c r="AN62" s="49"/>
      <c r="AO62" s="313"/>
      <c r="AP62" s="313"/>
      <c r="AQ62" s="313"/>
      <c r="AR62" s="16"/>
      <c r="AS62" s="313"/>
      <c r="AT62" s="313"/>
      <c r="AU62" s="313"/>
      <c r="AV62" s="313"/>
      <c r="AW62" s="16"/>
      <c r="AX62" s="313"/>
      <c r="AY62" s="313"/>
      <c r="AZ62" s="313"/>
      <c r="BA62" s="313"/>
      <c r="BB62" s="16"/>
      <c r="BC62" s="313"/>
      <c r="BD62" s="313"/>
      <c r="BE62" s="313"/>
      <c r="BF62" s="313"/>
      <c r="BG62" s="16"/>
      <c r="BH62" s="313"/>
      <c r="BI62" s="358"/>
      <c r="BJ62" s="358"/>
      <c r="BK62" s="358"/>
      <c r="BL62" s="16"/>
      <c r="BM62" s="358"/>
      <c r="BN62" s="358"/>
      <c r="BO62" s="358"/>
      <c r="BP62" s="358"/>
      <c r="BQ62" s="16"/>
      <c r="BR62" s="407"/>
      <c r="BS62" s="358"/>
      <c r="BT62" s="358"/>
      <c r="BU62" s="358"/>
      <c r="BV62" s="16"/>
      <c r="BW62" s="446"/>
      <c r="BX62" s="446"/>
      <c r="BY62" s="446"/>
      <c r="BZ62" s="446"/>
      <c r="CA62" s="16"/>
      <c r="CB62" s="358"/>
      <c r="CC62" s="358"/>
      <c r="CD62" s="358"/>
      <c r="CE62" s="358"/>
      <c r="CF62" s="16"/>
      <c r="CG62" s="358"/>
      <c r="CH62" s="358"/>
      <c r="CI62" s="358"/>
      <c r="CJ62" s="358"/>
      <c r="CK62" s="16"/>
      <c r="CL62" s="358"/>
      <c r="CM62" s="358"/>
      <c r="CN62" s="358"/>
      <c r="CO62" s="358">
        <v>25524</v>
      </c>
      <c r="CP62" s="222">
        <f t="shared" si="288"/>
        <v>25524</v>
      </c>
      <c r="CQ62" s="358">
        <v>25320</v>
      </c>
      <c r="CR62" s="358">
        <v>25491</v>
      </c>
      <c r="CS62" s="358">
        <v>25333</v>
      </c>
      <c r="CT62" s="358">
        <v>26182</v>
      </c>
      <c r="CU62" s="222">
        <f t="shared" si="289"/>
        <v>26182</v>
      </c>
      <c r="CV62" s="358">
        <v>26047</v>
      </c>
      <c r="CW62" s="358">
        <v>25790</v>
      </c>
      <c r="CX62" s="358">
        <v>25275</v>
      </c>
      <c r="CY62" s="358">
        <v>12999</v>
      </c>
      <c r="CZ62" s="222">
        <f t="shared" si="290"/>
        <v>12999</v>
      </c>
      <c r="DA62" s="358">
        <v>13107</v>
      </c>
      <c r="DB62" s="358">
        <v>13345</v>
      </c>
      <c r="DC62" s="358">
        <v>13177</v>
      </c>
      <c r="DD62" s="358">
        <v>13385</v>
      </c>
      <c r="DE62" s="222">
        <f t="shared" si="291"/>
        <v>13385</v>
      </c>
      <c r="DF62" s="358">
        <v>13304</v>
      </c>
      <c r="DG62" s="358">
        <v>8859</v>
      </c>
      <c r="DH62" s="358">
        <v>8754</v>
      </c>
      <c r="DI62" s="358">
        <v>8538</v>
      </c>
      <c r="DJ62" s="222">
        <f t="shared" si="292"/>
        <v>8538</v>
      </c>
      <c r="DK62" s="1079">
        <v>8696</v>
      </c>
      <c r="DL62" s="1079">
        <v>9006</v>
      </c>
      <c r="DM62" s="358"/>
      <c r="DN62" s="358"/>
      <c r="DO62" s="16"/>
      <c r="DP62" s="1079"/>
      <c r="DQ62" s="358"/>
      <c r="DR62" s="358"/>
      <c r="DS62" s="358"/>
      <c r="DT62" s="16"/>
      <c r="DU62" s="16"/>
      <c r="DV62" s="16"/>
    </row>
    <row r="63" spans="2:126" s="15" customFormat="1">
      <c r="B63" s="147" t="s">
        <v>483</v>
      </c>
      <c r="C63" s="16"/>
      <c r="D63" s="16"/>
      <c r="E63" s="16"/>
      <c r="F63" s="16"/>
      <c r="G63" s="16"/>
      <c r="H63" s="16"/>
      <c r="I63" s="16"/>
      <c r="N63" s="16"/>
      <c r="S63" s="16"/>
      <c r="X63" s="16"/>
      <c r="AC63" s="16"/>
      <c r="AH63" s="16"/>
      <c r="AJ63" s="12"/>
      <c r="AK63" s="49"/>
      <c r="AL63" s="49"/>
      <c r="AM63" s="16"/>
      <c r="AN63" s="49"/>
      <c r="AO63" s="313"/>
      <c r="AP63" s="313"/>
      <c r="AQ63" s="313"/>
      <c r="AR63" s="16"/>
      <c r="AS63" s="313"/>
      <c r="AT63" s="12"/>
      <c r="AW63" s="16"/>
      <c r="AY63" s="12"/>
      <c r="BB63" s="16"/>
      <c r="BD63" s="12"/>
      <c r="BG63" s="16"/>
      <c r="BI63" s="358"/>
      <c r="BJ63" s="358"/>
      <c r="BK63" s="358"/>
      <c r="BL63" s="16"/>
      <c r="BN63" s="358"/>
      <c r="BO63" s="358"/>
      <c r="BP63" s="358"/>
      <c r="BQ63" s="16"/>
      <c r="BR63" s="407"/>
      <c r="BS63" s="358"/>
      <c r="BT63" s="358"/>
      <c r="BU63" s="358"/>
      <c r="BV63" s="16"/>
      <c r="BW63" s="446"/>
      <c r="BX63" s="446"/>
      <c r="BY63" s="446"/>
      <c r="BZ63" s="446"/>
      <c r="CA63" s="16"/>
      <c r="CB63" s="358"/>
      <c r="CC63" s="358"/>
      <c r="CD63" s="358"/>
      <c r="CE63" s="358"/>
      <c r="CF63" s="16"/>
      <c r="CG63" s="358"/>
      <c r="CH63" s="358"/>
      <c r="CI63" s="358"/>
      <c r="CJ63" s="358"/>
      <c r="CK63" s="16"/>
      <c r="CL63" s="358"/>
      <c r="CM63" s="358"/>
      <c r="CN63" s="358"/>
      <c r="CO63" s="358">
        <v>9671</v>
      </c>
      <c r="CP63" s="222">
        <f t="shared" si="288"/>
        <v>9671</v>
      </c>
      <c r="CQ63" s="358">
        <v>9395</v>
      </c>
      <c r="CR63" s="358">
        <v>9460</v>
      </c>
      <c r="CS63" s="358">
        <v>9187</v>
      </c>
      <c r="CT63" s="358">
        <v>9330</v>
      </c>
      <c r="CU63" s="222">
        <f t="shared" si="289"/>
        <v>9330</v>
      </c>
      <c r="CV63" s="358">
        <v>8290</v>
      </c>
      <c r="CW63" s="358">
        <v>8026</v>
      </c>
      <c r="CX63" s="358">
        <v>7725</v>
      </c>
      <c r="CY63" s="358">
        <v>6105</v>
      </c>
      <c r="CZ63" s="222">
        <f t="shared" si="290"/>
        <v>6105</v>
      </c>
      <c r="DA63" s="358">
        <v>5990</v>
      </c>
      <c r="DB63" s="358">
        <v>5954</v>
      </c>
      <c r="DC63" s="358">
        <v>5790</v>
      </c>
      <c r="DD63" s="358">
        <v>5695</v>
      </c>
      <c r="DE63" s="222">
        <f t="shared" si="291"/>
        <v>5695</v>
      </c>
      <c r="DF63" s="358">
        <v>5547</v>
      </c>
      <c r="DG63" s="358">
        <v>4394</v>
      </c>
      <c r="DH63" s="358">
        <v>4371</v>
      </c>
      <c r="DI63" s="358">
        <v>4257</v>
      </c>
      <c r="DJ63" s="222">
        <f t="shared" si="292"/>
        <v>4257</v>
      </c>
      <c r="DK63" s="1079">
        <v>4277</v>
      </c>
      <c r="DL63" s="1079">
        <v>4336</v>
      </c>
      <c r="DM63" s="358"/>
      <c r="DN63" s="358"/>
      <c r="DO63" s="16"/>
      <c r="DP63" s="1079"/>
      <c r="DQ63" s="358"/>
      <c r="DR63" s="358"/>
      <c r="DS63" s="358"/>
      <c r="DT63" s="16"/>
      <c r="DU63" s="16"/>
      <c r="DV63" s="16"/>
    </row>
    <row r="64" spans="2:126" s="15" customFormat="1">
      <c r="B64" s="147" t="s">
        <v>484</v>
      </c>
      <c r="C64" s="16"/>
      <c r="D64" s="16"/>
      <c r="E64" s="16"/>
      <c r="F64" s="16"/>
      <c r="G64" s="16"/>
      <c r="H64" s="16"/>
      <c r="I64" s="16"/>
      <c r="N64" s="16"/>
      <c r="S64" s="16"/>
      <c r="X64" s="16"/>
      <c r="AC64" s="16"/>
      <c r="AH64" s="16"/>
      <c r="AJ64" s="12"/>
      <c r="AK64" s="49"/>
      <c r="AL64" s="49"/>
      <c r="AM64" s="16"/>
      <c r="AN64" s="49"/>
      <c r="AO64" s="313"/>
      <c r="AP64" s="313"/>
      <c r="AQ64" s="313"/>
      <c r="AR64" s="16"/>
      <c r="AS64" s="313"/>
      <c r="AT64" s="12"/>
      <c r="AW64" s="16"/>
      <c r="AY64" s="12"/>
      <c r="BB64" s="16"/>
      <c r="BD64" s="12"/>
      <c r="BG64" s="16"/>
      <c r="BI64" s="358"/>
      <c r="BJ64" s="358"/>
      <c r="BK64" s="358"/>
      <c r="BL64" s="16"/>
      <c r="BN64" s="358"/>
      <c r="BO64" s="358"/>
      <c r="BP64" s="358"/>
      <c r="BQ64" s="16"/>
      <c r="BR64" s="407"/>
      <c r="BS64" s="358"/>
      <c r="BT64" s="358"/>
      <c r="BU64" s="358"/>
      <c r="BV64" s="16"/>
      <c r="BW64" s="446"/>
      <c r="BX64" s="446"/>
      <c r="BY64" s="446"/>
      <c r="BZ64" s="446"/>
      <c r="CA64" s="16"/>
      <c r="CB64" s="358"/>
      <c r="CC64" s="358"/>
      <c r="CD64" s="358"/>
      <c r="CE64" s="358"/>
      <c r="CF64" s="16"/>
      <c r="CG64" s="358"/>
      <c r="CH64" s="358"/>
      <c r="CI64" s="358"/>
      <c r="CJ64" s="358"/>
      <c r="CK64" s="16"/>
      <c r="CL64" s="358"/>
      <c r="CM64" s="358"/>
      <c r="CN64" s="358"/>
      <c r="CO64" s="358">
        <v>5888</v>
      </c>
      <c r="CP64" s="222">
        <f t="shared" si="288"/>
        <v>5888</v>
      </c>
      <c r="CQ64" s="358">
        <v>5985</v>
      </c>
      <c r="CR64" s="358">
        <v>6131</v>
      </c>
      <c r="CS64" s="358">
        <v>6119</v>
      </c>
      <c r="CT64" s="358">
        <v>6124</v>
      </c>
      <c r="CU64" s="222">
        <f t="shared" si="289"/>
        <v>6124</v>
      </c>
      <c r="CV64" s="358">
        <v>6159</v>
      </c>
      <c r="CW64" s="358">
        <v>6189</v>
      </c>
      <c r="CX64" s="358">
        <v>6221</v>
      </c>
      <c r="CY64" s="358">
        <v>5776</v>
      </c>
      <c r="CZ64" s="222">
        <f t="shared" si="290"/>
        <v>5776</v>
      </c>
      <c r="DA64" s="358">
        <v>5631</v>
      </c>
      <c r="DB64" s="358">
        <v>5440</v>
      </c>
      <c r="DC64" s="358">
        <v>5427</v>
      </c>
      <c r="DD64" s="358">
        <v>5406</v>
      </c>
      <c r="DE64" s="222">
        <f t="shared" si="291"/>
        <v>5406</v>
      </c>
      <c r="DF64" s="358">
        <v>5431</v>
      </c>
      <c r="DG64" s="358">
        <v>4801</v>
      </c>
      <c r="DH64" s="358">
        <v>4823</v>
      </c>
      <c r="DI64" s="358">
        <v>4831</v>
      </c>
      <c r="DJ64" s="222">
        <f t="shared" si="292"/>
        <v>4831</v>
      </c>
      <c r="DK64" s="1079">
        <v>4835</v>
      </c>
      <c r="DL64" s="1079">
        <v>4803</v>
      </c>
      <c r="DM64" s="358"/>
      <c r="DN64" s="358"/>
      <c r="DO64" s="16"/>
      <c r="DP64" s="1079"/>
      <c r="DQ64" s="358"/>
      <c r="DR64" s="358"/>
      <c r="DS64" s="358"/>
      <c r="DT64" s="16"/>
      <c r="DU64" s="16"/>
      <c r="DV64" s="16"/>
    </row>
    <row r="65" spans="2:126" s="15" customFormat="1">
      <c r="B65" s="147" t="s">
        <v>485</v>
      </c>
      <c r="C65" s="16"/>
      <c r="D65" s="16"/>
      <c r="E65" s="16"/>
      <c r="F65" s="16"/>
      <c r="G65" s="16"/>
      <c r="H65" s="16"/>
      <c r="I65" s="16"/>
      <c r="N65" s="16"/>
      <c r="S65" s="16"/>
      <c r="X65" s="16"/>
      <c r="AC65" s="16"/>
      <c r="AH65" s="16"/>
      <c r="AJ65" s="12"/>
      <c r="AK65" s="49"/>
      <c r="AL65" s="49"/>
      <c r="AM65" s="16"/>
      <c r="AN65" s="49"/>
      <c r="AO65" s="313"/>
      <c r="AP65" s="313"/>
      <c r="AQ65" s="313"/>
      <c r="AR65" s="16"/>
      <c r="AT65" s="12"/>
      <c r="AW65" s="16"/>
      <c r="AY65" s="12"/>
      <c r="BB65" s="16"/>
      <c r="BD65" s="12"/>
      <c r="BG65" s="16"/>
      <c r="BI65" s="358"/>
      <c r="BJ65" s="358"/>
      <c r="BK65" s="358"/>
      <c r="BL65" s="16"/>
      <c r="BN65" s="358"/>
      <c r="BO65" s="358"/>
      <c r="BP65" s="358"/>
      <c r="BQ65" s="16"/>
      <c r="BR65" s="408"/>
      <c r="BS65" s="358"/>
      <c r="BT65" s="358"/>
      <c r="BU65" s="358"/>
      <c r="BV65" s="16"/>
      <c r="BW65" s="448"/>
      <c r="BX65" s="435"/>
      <c r="BY65" s="446"/>
      <c r="BZ65" s="446"/>
      <c r="CA65" s="16"/>
      <c r="CC65" s="358"/>
      <c r="CD65" s="358"/>
      <c r="CE65" s="358"/>
      <c r="CF65" s="16"/>
      <c r="CG65" s="358"/>
      <c r="CH65" s="358"/>
      <c r="CI65" s="358"/>
      <c r="CK65" s="16"/>
      <c r="CL65" s="358"/>
      <c r="CM65" s="358"/>
      <c r="CN65" s="358"/>
      <c r="CO65" s="358">
        <f>11038+4661+1</f>
        <v>15700</v>
      </c>
      <c r="CP65" s="222">
        <f t="shared" si="288"/>
        <v>15700</v>
      </c>
      <c r="CQ65" s="358">
        <f>12308+4634</f>
        <v>16942</v>
      </c>
      <c r="CR65" s="358">
        <f>12640+4672-1</f>
        <v>17311</v>
      </c>
      <c r="CS65" s="358">
        <f>12651+4668</f>
        <v>17319</v>
      </c>
      <c r="CT65" s="358">
        <v>19040</v>
      </c>
      <c r="CU65" s="222">
        <f t="shared" si="289"/>
        <v>19040</v>
      </c>
      <c r="CV65" s="358">
        <v>19767</v>
      </c>
      <c r="CW65" s="358">
        <v>19737</v>
      </c>
      <c r="CX65" s="358">
        <v>19167</v>
      </c>
      <c r="CY65" s="358">
        <v>15477</v>
      </c>
      <c r="CZ65" s="222">
        <f t="shared" si="290"/>
        <v>15477</v>
      </c>
      <c r="DA65" s="358">
        <v>15888</v>
      </c>
      <c r="DB65" s="358">
        <v>16172</v>
      </c>
      <c r="DC65" s="358">
        <v>16307</v>
      </c>
      <c r="DD65" s="358">
        <v>15997</v>
      </c>
      <c r="DE65" s="222">
        <f t="shared" si="291"/>
        <v>15997</v>
      </c>
      <c r="DF65" s="358">
        <v>16995</v>
      </c>
      <c r="DG65" s="358">
        <v>13405</v>
      </c>
      <c r="DH65" s="358">
        <v>13836</v>
      </c>
      <c r="DI65" s="358">
        <v>13910</v>
      </c>
      <c r="DJ65" s="222">
        <f t="shared" si="292"/>
        <v>13910</v>
      </c>
      <c r="DK65" s="1079">
        <v>14453</v>
      </c>
      <c r="DL65" s="1079">
        <v>15002</v>
      </c>
      <c r="DM65" s="358"/>
      <c r="DN65" s="358"/>
      <c r="DO65" s="16"/>
      <c r="DP65" s="1079"/>
      <c r="DQ65" s="358"/>
      <c r="DR65" s="358"/>
      <c r="DS65" s="358"/>
      <c r="DT65" s="16"/>
      <c r="DU65" s="16"/>
      <c r="DV65" s="16"/>
    </row>
    <row r="66" spans="2:126" s="15" customFormat="1">
      <c r="B66" s="147" t="s">
        <v>47</v>
      </c>
      <c r="C66" s="16"/>
      <c r="D66" s="16"/>
      <c r="E66" s="16"/>
      <c r="F66" s="16"/>
      <c r="G66" s="16"/>
      <c r="H66" s="16"/>
      <c r="I66" s="16"/>
      <c r="N66" s="16"/>
      <c r="S66" s="16"/>
      <c r="T66" s="49"/>
      <c r="U66" s="49"/>
      <c r="X66" s="16"/>
      <c r="AC66" s="16"/>
      <c r="AH66" s="16"/>
      <c r="AJ66" s="12"/>
      <c r="AK66" s="49"/>
      <c r="AL66" s="49"/>
      <c r="AM66" s="16"/>
      <c r="AN66" s="49"/>
      <c r="AO66" s="313"/>
      <c r="AP66" s="313"/>
      <c r="AQ66" s="313"/>
      <c r="AR66" s="16"/>
      <c r="AS66" s="313"/>
      <c r="AT66" s="313"/>
      <c r="AU66" s="313"/>
      <c r="AV66" s="313"/>
      <c r="AW66" s="16"/>
      <c r="AX66" s="313"/>
      <c r="AY66" s="313"/>
      <c r="AZ66" s="313"/>
      <c r="BA66" s="313"/>
      <c r="BB66" s="16"/>
      <c r="BC66" s="313"/>
      <c r="BD66" s="313"/>
      <c r="BE66" s="313"/>
      <c r="BF66" s="313"/>
      <c r="BG66" s="16"/>
      <c r="BH66" s="313"/>
      <c r="BI66" s="358"/>
      <c r="BJ66" s="358"/>
      <c r="BK66" s="358"/>
      <c r="BL66" s="16"/>
      <c r="BM66" s="358"/>
      <c r="BN66" s="358"/>
      <c r="BO66" s="358"/>
      <c r="BP66" s="358"/>
      <c r="BQ66" s="16"/>
      <c r="BR66" s="407"/>
      <c r="BS66" s="358"/>
      <c r="BT66" s="358"/>
      <c r="BU66" s="358"/>
      <c r="BV66" s="16"/>
      <c r="BW66" s="446"/>
      <c r="BX66" s="446"/>
      <c r="BY66" s="446"/>
      <c r="BZ66" s="446"/>
      <c r="CA66" s="16"/>
      <c r="CB66" s="358"/>
      <c r="CC66" s="358"/>
      <c r="CD66" s="358"/>
      <c r="CE66" s="358"/>
      <c r="CF66" s="16"/>
      <c r="CG66" s="358"/>
      <c r="CH66" s="358"/>
      <c r="CI66" s="358"/>
      <c r="CJ66" s="358"/>
      <c r="CK66" s="16"/>
      <c r="CL66" s="358"/>
      <c r="CM66" s="358"/>
      <c r="CN66" s="358"/>
      <c r="CO66" s="358">
        <v>14253</v>
      </c>
      <c r="CP66" s="222">
        <f t="shared" si="288"/>
        <v>14253</v>
      </c>
      <c r="CQ66" s="358">
        <v>14232</v>
      </c>
      <c r="CR66" s="358">
        <v>14864</v>
      </c>
      <c r="CS66" s="358">
        <v>14466</v>
      </c>
      <c r="CT66" s="358">
        <v>10855</v>
      </c>
      <c r="CU66" s="222">
        <f t="shared" si="289"/>
        <v>10855</v>
      </c>
      <c r="CV66" s="358">
        <v>10583</v>
      </c>
      <c r="CW66" s="358">
        <v>10956</v>
      </c>
      <c r="CX66" s="358">
        <v>11504</v>
      </c>
      <c r="CY66" s="358">
        <v>10001</v>
      </c>
      <c r="CZ66" s="222">
        <f t="shared" si="290"/>
        <v>10001</v>
      </c>
      <c r="DA66" s="358">
        <v>10344</v>
      </c>
      <c r="DB66" s="358">
        <v>10354</v>
      </c>
      <c r="DC66" s="358">
        <v>10235</v>
      </c>
      <c r="DD66" s="358">
        <v>10575</v>
      </c>
      <c r="DE66" s="222">
        <f t="shared" si="291"/>
        <v>10575</v>
      </c>
      <c r="DF66" s="358">
        <v>10316</v>
      </c>
      <c r="DG66" s="358">
        <v>7338</v>
      </c>
      <c r="DH66" s="358">
        <v>7491</v>
      </c>
      <c r="DI66" s="358">
        <v>7111</v>
      </c>
      <c r="DJ66" s="222">
        <f t="shared" si="292"/>
        <v>7111</v>
      </c>
      <c r="DK66" s="1079">
        <v>6956</v>
      </c>
      <c r="DL66" s="1079">
        <v>6890</v>
      </c>
      <c r="DM66" s="358"/>
      <c r="DN66" s="358"/>
      <c r="DO66" s="16"/>
      <c r="DP66" s="1079"/>
      <c r="DQ66" s="358"/>
      <c r="DR66" s="358"/>
      <c r="DS66" s="358"/>
      <c r="DT66" s="16"/>
      <c r="DU66" s="16"/>
      <c r="DV66" s="16"/>
    </row>
    <row r="67" spans="2:126" s="15" customFormat="1">
      <c r="B67" s="147" t="s">
        <v>482</v>
      </c>
      <c r="C67" s="16"/>
      <c r="D67" s="16"/>
      <c r="E67" s="16"/>
      <c r="F67" s="16"/>
      <c r="G67" s="16"/>
      <c r="H67" s="16"/>
      <c r="I67" s="16"/>
      <c r="N67" s="16"/>
      <c r="S67" s="16"/>
      <c r="T67" s="49"/>
      <c r="U67" s="49"/>
      <c r="X67" s="16"/>
      <c r="AC67" s="16"/>
      <c r="AH67" s="16"/>
      <c r="AJ67" s="12"/>
      <c r="AK67" s="49"/>
      <c r="AL67" s="49"/>
      <c r="AM67" s="16"/>
      <c r="AN67" s="49"/>
      <c r="AO67" s="313"/>
      <c r="AP67" s="313"/>
      <c r="AQ67" s="313"/>
      <c r="AR67" s="16"/>
      <c r="AS67" s="313"/>
      <c r="AT67" s="313"/>
      <c r="AU67" s="313"/>
      <c r="AV67" s="313"/>
      <c r="AW67" s="16"/>
      <c r="AX67" s="313"/>
      <c r="AY67" s="313"/>
      <c r="AZ67" s="313"/>
      <c r="BA67" s="313"/>
      <c r="BB67" s="16"/>
      <c r="BC67" s="313"/>
      <c r="BD67" s="313"/>
      <c r="BE67" s="313"/>
      <c r="BF67" s="313"/>
      <c r="BG67" s="16"/>
      <c r="BH67" s="313"/>
      <c r="BI67" s="358"/>
      <c r="BJ67" s="358"/>
      <c r="BK67" s="358"/>
      <c r="BL67" s="16"/>
      <c r="BM67" s="358"/>
      <c r="BN67" s="358"/>
      <c r="BO67" s="358"/>
      <c r="BP67" s="358"/>
      <c r="BQ67" s="16"/>
      <c r="BR67" s="407"/>
      <c r="BS67" s="358"/>
      <c r="BT67" s="358"/>
      <c r="BU67" s="358"/>
      <c r="BV67" s="16"/>
      <c r="BW67" s="446"/>
      <c r="BX67" s="446"/>
      <c r="BY67" s="446"/>
      <c r="BZ67" s="446"/>
      <c r="CA67" s="16"/>
      <c r="CB67" s="358"/>
      <c r="CC67" s="358"/>
      <c r="CD67" s="358"/>
      <c r="CE67" s="358"/>
      <c r="CF67" s="16"/>
      <c r="CG67" s="358"/>
      <c r="CH67" s="358"/>
      <c r="CI67" s="358"/>
      <c r="CJ67" s="358"/>
      <c r="CK67" s="16"/>
      <c r="CL67" s="358"/>
      <c r="CM67" s="358"/>
      <c r="CN67" s="358"/>
      <c r="CO67" s="358">
        <v>40749</v>
      </c>
      <c r="CP67" s="222">
        <f t="shared" si="288"/>
        <v>40749</v>
      </c>
      <c r="CQ67" s="358">
        <v>3009</v>
      </c>
      <c r="CR67" s="358">
        <v>3057</v>
      </c>
      <c r="CS67" s="358">
        <v>2855</v>
      </c>
      <c r="CT67" s="358">
        <v>3177</v>
      </c>
      <c r="CU67" s="222">
        <f t="shared" si="289"/>
        <v>3177</v>
      </c>
      <c r="CV67" s="358">
        <v>2935</v>
      </c>
      <c r="CW67" s="358">
        <v>3199</v>
      </c>
      <c r="CX67" s="358">
        <v>2985</v>
      </c>
      <c r="CY67" s="358">
        <v>31891</v>
      </c>
      <c r="CZ67" s="222">
        <f t="shared" si="290"/>
        <v>31891</v>
      </c>
      <c r="DA67" s="358">
        <v>2794</v>
      </c>
      <c r="DB67" s="358">
        <v>1762</v>
      </c>
      <c r="DC67" s="358">
        <v>1560</v>
      </c>
      <c r="DD67" s="358">
        <v>1694</v>
      </c>
      <c r="DE67" s="222">
        <f t="shared" si="291"/>
        <v>1694</v>
      </c>
      <c r="DF67" s="358">
        <v>1708</v>
      </c>
      <c r="DG67" s="358">
        <v>1817</v>
      </c>
      <c r="DH67" s="358">
        <v>2006</v>
      </c>
      <c r="DI67" s="358">
        <f>1841-1</f>
        <v>1840</v>
      </c>
      <c r="DJ67" s="222">
        <f t="shared" si="292"/>
        <v>1840</v>
      </c>
      <c r="DK67" s="1079">
        <v>1895</v>
      </c>
      <c r="DL67" s="1079">
        <f>2007+1</f>
        <v>2008</v>
      </c>
      <c r="DM67" s="358"/>
      <c r="DN67" s="358"/>
      <c r="DO67" s="16"/>
      <c r="DP67" s="1079"/>
      <c r="DQ67" s="358"/>
      <c r="DR67" s="358"/>
      <c r="DS67" s="358"/>
      <c r="DT67" s="16"/>
      <c r="DU67" s="16"/>
      <c r="DV67" s="16"/>
    </row>
    <row r="68" spans="2:126" s="15" customFormat="1" ht="12">
      <c r="B68" s="194" t="s">
        <v>135</v>
      </c>
      <c r="C68" s="130">
        <f t="shared" ref="C68:L68" si="293">SUM(C59:C66)</f>
        <v>0</v>
      </c>
      <c r="D68" s="130">
        <f t="shared" si="293"/>
        <v>0</v>
      </c>
      <c r="E68" s="130">
        <f t="shared" si="293"/>
        <v>0</v>
      </c>
      <c r="F68" s="130">
        <f t="shared" si="293"/>
        <v>0</v>
      </c>
      <c r="G68" s="130">
        <f t="shared" si="293"/>
        <v>0</v>
      </c>
      <c r="H68" s="130">
        <f t="shared" si="293"/>
        <v>0</v>
      </c>
      <c r="I68" s="130">
        <f t="shared" si="293"/>
        <v>0</v>
      </c>
      <c r="J68" s="189">
        <f t="shared" si="293"/>
        <v>0</v>
      </c>
      <c r="K68" s="189">
        <f t="shared" si="293"/>
        <v>0</v>
      </c>
      <c r="L68" s="189">
        <f t="shared" si="293"/>
        <v>0</v>
      </c>
      <c r="M68" s="189">
        <f t="shared" si="280"/>
        <v>0</v>
      </c>
      <c r="N68" s="130">
        <f>SUM(N59:N66)</f>
        <v>0</v>
      </c>
      <c r="O68" s="189">
        <f>SUM(O59:O66)</f>
        <v>0</v>
      </c>
      <c r="P68" s="189">
        <f>SUM(P59:P66)</f>
        <v>0</v>
      </c>
      <c r="Q68" s="189">
        <f>SUM(Q59:Q66)</f>
        <v>0</v>
      </c>
      <c r="R68" s="189">
        <f t="shared" si="281"/>
        <v>0</v>
      </c>
      <c r="S68" s="130">
        <f>SUM(S59:S66)</f>
        <v>0</v>
      </c>
      <c r="T68" s="189">
        <f>SUM(T59:T66)</f>
        <v>0</v>
      </c>
      <c r="U68" s="189">
        <f>SUM(U59:U66)</f>
        <v>0</v>
      </c>
      <c r="V68" s="189">
        <f>SUM(V59:V66)</f>
        <v>0</v>
      </c>
      <c r="W68" s="189">
        <f t="shared" si="282"/>
        <v>0</v>
      </c>
      <c r="X68" s="130">
        <f>SUM(X59:X66)</f>
        <v>0</v>
      </c>
      <c r="Y68" s="189">
        <f>SUM(Y59:Y66)</f>
        <v>0</v>
      </c>
      <c r="Z68" s="189">
        <f>SUM(Z59:Z66)</f>
        <v>0</v>
      </c>
      <c r="AA68" s="189">
        <f>SUM(AA59:AA66)</f>
        <v>0</v>
      </c>
      <c r="AB68" s="189">
        <f t="shared" si="283"/>
        <v>0</v>
      </c>
      <c r="AC68" s="130">
        <f>SUM(AC59:AC66)</f>
        <v>0</v>
      </c>
      <c r="AD68" s="189">
        <f>SUM(AD59:AD66)</f>
        <v>0</v>
      </c>
      <c r="AE68" s="189">
        <f>SUM(AE59:AE66)</f>
        <v>0</v>
      </c>
      <c r="AF68" s="189">
        <f>SUM(AF59:AF66)</f>
        <v>0</v>
      </c>
      <c r="AG68" s="189">
        <f t="shared" si="284"/>
        <v>0</v>
      </c>
      <c r="AH68" s="130">
        <f t="shared" ref="AH68:BM68" si="294">SUM(AH59:AH66)</f>
        <v>0</v>
      </c>
      <c r="AI68" s="189">
        <f t="shared" si="294"/>
        <v>0</v>
      </c>
      <c r="AJ68" s="189">
        <f t="shared" si="294"/>
        <v>0</v>
      </c>
      <c r="AK68" s="189">
        <f t="shared" si="294"/>
        <v>0</v>
      </c>
      <c r="AL68" s="189">
        <f t="shared" si="294"/>
        <v>0</v>
      </c>
      <c r="AM68" s="130">
        <f t="shared" si="294"/>
        <v>0</v>
      </c>
      <c r="AN68" s="189">
        <f t="shared" si="294"/>
        <v>0</v>
      </c>
      <c r="AO68" s="189">
        <f t="shared" si="294"/>
        <v>0</v>
      </c>
      <c r="AP68" s="189">
        <f t="shared" si="294"/>
        <v>0</v>
      </c>
      <c r="AQ68" s="189">
        <f t="shared" si="294"/>
        <v>0</v>
      </c>
      <c r="AR68" s="130">
        <f t="shared" si="294"/>
        <v>0</v>
      </c>
      <c r="AS68" s="189">
        <f t="shared" si="294"/>
        <v>0</v>
      </c>
      <c r="AT68" s="189">
        <f t="shared" si="294"/>
        <v>0</v>
      </c>
      <c r="AU68" s="189">
        <f t="shared" si="294"/>
        <v>0</v>
      </c>
      <c r="AV68" s="189">
        <f t="shared" si="294"/>
        <v>0</v>
      </c>
      <c r="AW68" s="130">
        <f t="shared" si="294"/>
        <v>0</v>
      </c>
      <c r="AX68" s="189">
        <f t="shared" si="294"/>
        <v>0</v>
      </c>
      <c r="AY68" s="189">
        <f t="shared" si="294"/>
        <v>0</v>
      </c>
      <c r="AZ68" s="189">
        <f t="shared" si="294"/>
        <v>0</v>
      </c>
      <c r="BA68" s="189">
        <f t="shared" si="294"/>
        <v>0</v>
      </c>
      <c r="BB68" s="130">
        <f t="shared" si="294"/>
        <v>0</v>
      </c>
      <c r="BC68" s="189">
        <f t="shared" si="294"/>
        <v>0</v>
      </c>
      <c r="BD68" s="189">
        <f t="shared" si="294"/>
        <v>0</v>
      </c>
      <c r="BE68" s="189">
        <f t="shared" si="294"/>
        <v>0</v>
      </c>
      <c r="BF68" s="189">
        <f t="shared" si="294"/>
        <v>0</v>
      </c>
      <c r="BG68" s="130">
        <f t="shared" si="294"/>
        <v>0</v>
      </c>
      <c r="BH68" s="189">
        <f t="shared" si="294"/>
        <v>0</v>
      </c>
      <c r="BI68" s="307">
        <f t="shared" si="294"/>
        <v>0</v>
      </c>
      <c r="BJ68" s="307">
        <f t="shared" si="294"/>
        <v>0</v>
      </c>
      <c r="BK68" s="307">
        <f t="shared" si="294"/>
        <v>0</v>
      </c>
      <c r="BL68" s="130">
        <f t="shared" si="294"/>
        <v>0</v>
      </c>
      <c r="BM68" s="307">
        <f t="shared" si="294"/>
        <v>0</v>
      </c>
      <c r="BN68" s="307">
        <f t="shared" ref="BN68:CK68" si="295">SUM(BN59:BN66)</f>
        <v>0</v>
      </c>
      <c r="BO68" s="307">
        <f t="shared" si="295"/>
        <v>0</v>
      </c>
      <c r="BP68" s="307">
        <f t="shared" si="295"/>
        <v>0</v>
      </c>
      <c r="BQ68" s="130">
        <f t="shared" si="295"/>
        <v>0</v>
      </c>
      <c r="BR68" s="410">
        <f t="shared" si="295"/>
        <v>0</v>
      </c>
      <c r="BS68" s="307">
        <f t="shared" si="295"/>
        <v>0</v>
      </c>
      <c r="BT68" s="307">
        <f t="shared" si="295"/>
        <v>0</v>
      </c>
      <c r="BU68" s="307">
        <f t="shared" si="295"/>
        <v>0</v>
      </c>
      <c r="BV68" s="130">
        <f t="shared" si="295"/>
        <v>0</v>
      </c>
      <c r="BW68" s="453">
        <f t="shared" si="295"/>
        <v>0</v>
      </c>
      <c r="BX68" s="453">
        <f t="shared" si="295"/>
        <v>0</v>
      </c>
      <c r="BY68" s="453">
        <f t="shared" si="295"/>
        <v>0</v>
      </c>
      <c r="BZ68" s="453">
        <f t="shared" si="295"/>
        <v>0</v>
      </c>
      <c r="CA68" s="130">
        <f t="shared" si="295"/>
        <v>0</v>
      </c>
      <c r="CB68" s="307">
        <f t="shared" si="295"/>
        <v>0</v>
      </c>
      <c r="CC68" s="307">
        <f t="shared" si="295"/>
        <v>0</v>
      </c>
      <c r="CD68" s="307">
        <f t="shared" si="295"/>
        <v>0</v>
      </c>
      <c r="CE68" s="307">
        <f t="shared" si="295"/>
        <v>0</v>
      </c>
      <c r="CF68" s="130">
        <f t="shared" si="295"/>
        <v>0</v>
      </c>
      <c r="CG68" s="307">
        <f t="shared" si="295"/>
        <v>0</v>
      </c>
      <c r="CH68" s="307">
        <f t="shared" si="295"/>
        <v>0</v>
      </c>
      <c r="CI68" s="307">
        <f t="shared" si="295"/>
        <v>0</v>
      </c>
      <c r="CJ68" s="307">
        <f t="shared" si="295"/>
        <v>0</v>
      </c>
      <c r="CK68" s="130">
        <f t="shared" si="295"/>
        <v>0</v>
      </c>
      <c r="CL68" s="307">
        <f>SUM(CL59:CL67)</f>
        <v>0</v>
      </c>
      <c r="CM68" s="307">
        <f>SUM(CM59:CM66)</f>
        <v>0</v>
      </c>
      <c r="CN68" s="307">
        <f>SUM(CN59:CN66)</f>
        <v>0</v>
      </c>
      <c r="CO68" s="307">
        <f>SUM(CO59:CO67)</f>
        <v>256211</v>
      </c>
      <c r="CP68" s="130">
        <f t="shared" ref="CP68" si="296">CO68</f>
        <v>256211</v>
      </c>
      <c r="CQ68" s="307">
        <f t="shared" ref="CQ68:DB68" si="297">SUM(CQ59:CQ67)</f>
        <v>245164</v>
      </c>
      <c r="CR68" s="307">
        <f t="shared" si="297"/>
        <v>237559</v>
      </c>
      <c r="CS68" s="307">
        <f t="shared" si="297"/>
        <v>237133</v>
      </c>
      <c r="CT68" s="307">
        <f t="shared" si="297"/>
        <v>198874</v>
      </c>
      <c r="CU68" s="130">
        <f t="shared" si="289"/>
        <v>198874</v>
      </c>
      <c r="CV68" s="307">
        <f t="shared" si="297"/>
        <v>191961</v>
      </c>
      <c r="CW68" s="307">
        <f t="shared" si="297"/>
        <v>185540</v>
      </c>
      <c r="CX68" s="307">
        <f t="shared" si="297"/>
        <v>180877</v>
      </c>
      <c r="CY68" s="307">
        <f t="shared" si="297"/>
        <v>188851</v>
      </c>
      <c r="CZ68" s="130">
        <f t="shared" si="290"/>
        <v>188851</v>
      </c>
      <c r="DA68" s="307">
        <f t="shared" si="297"/>
        <v>164472</v>
      </c>
      <c r="DB68" s="307">
        <f t="shared" si="297"/>
        <v>163006</v>
      </c>
      <c r="DC68" s="307">
        <f t="shared" ref="DC68" si="298">SUM(DC59:DC67)</f>
        <v>156662</v>
      </c>
      <c r="DD68" s="307">
        <f t="shared" ref="DD68" si="299">SUM(DD59:DD67)</f>
        <v>163045</v>
      </c>
      <c r="DE68" s="130">
        <f t="shared" si="291"/>
        <v>163045</v>
      </c>
      <c r="DF68" s="307">
        <f t="shared" ref="DF68:DI68" si="300">SUM(DF59:DF67)</f>
        <v>163942</v>
      </c>
      <c r="DG68" s="378">
        <f t="shared" si="300"/>
        <v>123190</v>
      </c>
      <c r="DH68" s="378">
        <f t="shared" si="300"/>
        <v>126699</v>
      </c>
      <c r="DI68" s="378">
        <f t="shared" si="300"/>
        <v>123140</v>
      </c>
      <c r="DJ68" s="130">
        <f t="shared" si="292"/>
        <v>123140</v>
      </c>
      <c r="DK68" s="378">
        <f t="shared" ref="DK68:DL68" si="301">SUM(DK59:DK67)</f>
        <v>124123</v>
      </c>
      <c r="DL68" s="378">
        <f t="shared" si="301"/>
        <v>125256</v>
      </c>
      <c r="DM68" s="307"/>
      <c r="DN68" s="307"/>
      <c r="DO68" s="130"/>
      <c r="DP68" s="378"/>
      <c r="DQ68" s="307"/>
      <c r="DR68" s="307"/>
      <c r="DS68" s="307"/>
      <c r="DT68" s="130"/>
      <c r="DU68" s="130"/>
      <c r="DV68" s="130"/>
    </row>
    <row r="69" spans="2:126" s="15" customFormat="1">
      <c r="B69" s="147"/>
      <c r="C69" s="16"/>
      <c r="D69" s="16"/>
      <c r="E69" s="16"/>
      <c r="F69" s="16"/>
      <c r="G69" s="16"/>
      <c r="H69" s="16"/>
      <c r="I69" s="16"/>
      <c r="N69" s="16"/>
      <c r="S69" s="16"/>
      <c r="X69" s="16"/>
      <c r="AC69" s="16"/>
      <c r="AH69" s="16"/>
      <c r="AM69" s="16"/>
      <c r="AR69" s="16"/>
      <c r="AW69" s="16"/>
      <c r="BB69" s="16"/>
      <c r="BG69" s="16"/>
      <c r="BI69" s="317"/>
      <c r="BJ69" s="317"/>
      <c r="BK69" s="317"/>
      <c r="BL69" s="16"/>
      <c r="BN69" s="317"/>
      <c r="BO69" s="317"/>
      <c r="BP69" s="317"/>
      <c r="BQ69" s="16"/>
      <c r="BR69" s="408"/>
      <c r="BS69" s="317"/>
      <c r="BT69" s="317"/>
      <c r="BU69" s="317"/>
      <c r="BV69" s="16"/>
      <c r="BW69" s="448"/>
      <c r="BX69" s="450"/>
      <c r="BY69" s="447"/>
      <c r="BZ69" s="447"/>
      <c r="CA69" s="16"/>
      <c r="CC69" s="317"/>
      <c r="CD69" s="317"/>
      <c r="CE69" s="317"/>
      <c r="CF69" s="16"/>
      <c r="CG69" s="317"/>
      <c r="CH69" s="317"/>
      <c r="CI69" s="317"/>
      <c r="CJ69" s="317"/>
      <c r="CK69" s="16"/>
      <c r="CL69" s="317"/>
      <c r="CM69" s="317"/>
      <c r="CN69" s="317"/>
      <c r="CO69" s="317"/>
      <c r="CP69" s="16"/>
      <c r="CQ69" s="317"/>
      <c r="CR69" s="317"/>
      <c r="CS69" s="317"/>
      <c r="CT69" s="317"/>
      <c r="CU69" s="16"/>
      <c r="CV69" s="317"/>
      <c r="CW69" s="317"/>
      <c r="CX69" s="317"/>
      <c r="CY69" s="317"/>
      <c r="CZ69" s="16"/>
      <c r="DA69" s="317"/>
      <c r="DB69" s="317"/>
      <c r="DC69" s="317"/>
      <c r="DD69" s="317"/>
      <c r="DE69" s="16"/>
      <c r="DF69" s="317"/>
      <c r="DG69" s="317"/>
      <c r="DH69" s="317"/>
      <c r="DI69" s="317"/>
      <c r="DJ69" s="16"/>
      <c r="DK69" s="317"/>
      <c r="DL69" s="317"/>
      <c r="DM69" s="317"/>
      <c r="DN69" s="317"/>
      <c r="DO69" s="16"/>
      <c r="DP69" s="317"/>
      <c r="DQ69" s="317"/>
      <c r="DR69" s="317"/>
      <c r="DS69" s="317"/>
      <c r="DT69" s="16"/>
      <c r="DU69" s="16"/>
      <c r="DV69" s="16"/>
    </row>
    <row r="70" spans="2:126" s="15" customFormat="1" ht="12">
      <c r="B70" s="194" t="s">
        <v>53</v>
      </c>
      <c r="C70" s="16"/>
      <c r="D70" s="16"/>
      <c r="E70" s="16"/>
      <c r="F70" s="16"/>
      <c r="G70" s="16"/>
      <c r="H70" s="16"/>
      <c r="I70" s="16"/>
      <c r="N70" s="16"/>
      <c r="S70" s="16"/>
      <c r="X70" s="16"/>
      <c r="AC70" s="16"/>
      <c r="AH70" s="16"/>
      <c r="AM70" s="16"/>
      <c r="AR70" s="16"/>
      <c r="AW70" s="16"/>
      <c r="BB70" s="16"/>
      <c r="BG70" s="16"/>
      <c r="BI70" s="317"/>
      <c r="BJ70" s="317"/>
      <c r="BK70" s="317"/>
      <c r="BL70" s="16"/>
      <c r="BN70" s="317"/>
      <c r="BO70" s="317"/>
      <c r="BP70" s="317"/>
      <c r="BQ70" s="16"/>
      <c r="BR70" s="408"/>
      <c r="BS70" s="317"/>
      <c r="BT70" s="317"/>
      <c r="BU70" s="317"/>
      <c r="BV70" s="16"/>
      <c r="BW70" s="448"/>
      <c r="BX70" s="450"/>
      <c r="BY70" s="447"/>
      <c r="BZ70" s="447"/>
      <c r="CA70" s="16"/>
      <c r="CC70" s="317"/>
      <c r="CD70" s="317"/>
      <c r="CE70" s="317"/>
      <c r="CF70" s="16"/>
      <c r="CG70" s="317"/>
      <c r="CH70" s="317"/>
      <c r="CI70" s="317"/>
      <c r="CJ70" s="317"/>
      <c r="CK70" s="16"/>
      <c r="CL70" s="317"/>
      <c r="CM70" s="317"/>
      <c r="CN70" s="317"/>
      <c r="CO70" s="317"/>
      <c r="CP70" s="16"/>
      <c r="CQ70" s="317"/>
      <c r="CR70" s="317"/>
      <c r="CS70" s="317"/>
      <c r="CT70" s="317"/>
      <c r="CU70" s="16"/>
      <c r="CV70" s="317"/>
      <c r="CW70" s="317"/>
      <c r="CX70" s="317"/>
      <c r="CY70" s="317"/>
      <c r="CZ70" s="16"/>
      <c r="DA70" s="317"/>
      <c r="DB70" s="317"/>
      <c r="DC70" s="317"/>
      <c r="DD70" s="317"/>
      <c r="DE70" s="16"/>
      <c r="DF70" s="317"/>
      <c r="DG70" s="317"/>
      <c r="DH70" s="317"/>
      <c r="DI70" s="317"/>
      <c r="DJ70" s="16"/>
      <c r="DK70" s="317"/>
      <c r="DL70" s="317"/>
      <c r="DM70" s="317"/>
      <c r="DN70" s="317"/>
      <c r="DO70" s="16"/>
      <c r="DP70" s="317"/>
      <c r="DQ70" s="317"/>
      <c r="DR70" s="317"/>
      <c r="DS70" s="317"/>
      <c r="DT70" s="16"/>
      <c r="DU70" s="16"/>
      <c r="DV70" s="16"/>
    </row>
    <row r="71" spans="2:126" s="15" customFormat="1">
      <c r="B71" s="147" t="s">
        <v>486</v>
      </c>
      <c r="C71" s="16"/>
      <c r="D71" s="16"/>
      <c r="E71" s="16"/>
      <c r="F71" s="16"/>
      <c r="G71" s="16"/>
      <c r="H71" s="16"/>
      <c r="I71" s="16"/>
      <c r="N71" s="16"/>
      <c r="S71" s="16"/>
      <c r="X71" s="16"/>
      <c r="AC71" s="16"/>
      <c r="AH71" s="16"/>
      <c r="AM71" s="16"/>
      <c r="AR71" s="16"/>
      <c r="AW71" s="16"/>
      <c r="BB71" s="16"/>
      <c r="BG71" s="16"/>
      <c r="BI71" s="317"/>
      <c r="BJ71" s="317"/>
      <c r="BK71" s="317"/>
      <c r="BL71" s="16"/>
      <c r="BN71" s="317"/>
      <c r="BO71" s="317"/>
      <c r="BP71" s="317"/>
      <c r="BQ71" s="16"/>
      <c r="BR71" s="408"/>
      <c r="BS71" s="317"/>
      <c r="BT71" s="317"/>
      <c r="BU71" s="317"/>
      <c r="BV71" s="16"/>
      <c r="BW71" s="448"/>
      <c r="BX71" s="450"/>
      <c r="BY71" s="447"/>
      <c r="BZ71" s="447"/>
      <c r="CA71" s="16"/>
      <c r="CC71" s="317"/>
      <c r="CD71" s="317"/>
      <c r="CE71" s="317"/>
      <c r="CF71" s="16"/>
      <c r="CG71" s="317"/>
      <c r="CH71" s="317"/>
      <c r="CI71" s="317"/>
      <c r="CJ71" s="317"/>
      <c r="CK71" s="16"/>
      <c r="CL71" s="317"/>
      <c r="CM71" s="317"/>
      <c r="CN71" s="317"/>
      <c r="CO71" s="317">
        <v>4713</v>
      </c>
      <c r="CP71" s="16">
        <f>CO71</f>
        <v>4713</v>
      </c>
      <c r="CQ71" s="317">
        <v>4468</v>
      </c>
      <c r="CR71" s="317">
        <v>4293</v>
      </c>
      <c r="CS71" s="317">
        <v>5459</v>
      </c>
      <c r="CT71" s="317">
        <v>4361</v>
      </c>
      <c r="CU71" s="16">
        <f>CT71</f>
        <v>4361</v>
      </c>
      <c r="CV71" s="317">
        <v>4985</v>
      </c>
      <c r="CW71" s="317">
        <v>4947</v>
      </c>
      <c r="CX71" s="317">
        <v>4285</v>
      </c>
      <c r="CY71" s="317">
        <v>3739</v>
      </c>
      <c r="CZ71" s="16">
        <f>CY71</f>
        <v>3739</v>
      </c>
      <c r="DA71" s="317">
        <v>2262</v>
      </c>
      <c r="DB71" s="317">
        <v>1882</v>
      </c>
      <c r="DC71" s="317">
        <v>1334</v>
      </c>
      <c r="DD71" s="317">
        <v>1253</v>
      </c>
      <c r="DE71" s="16">
        <f>DD71</f>
        <v>1253</v>
      </c>
      <c r="DF71" s="317">
        <v>1032</v>
      </c>
      <c r="DG71" s="317">
        <v>1700</v>
      </c>
      <c r="DH71" s="317">
        <v>1681</v>
      </c>
      <c r="DI71" s="317">
        <v>2039</v>
      </c>
      <c r="DJ71" s="16">
        <f>DI71</f>
        <v>2039</v>
      </c>
      <c r="DK71" s="1080">
        <v>2084</v>
      </c>
      <c r="DL71" s="1080">
        <v>1889</v>
      </c>
      <c r="DM71" s="317"/>
      <c r="DN71" s="317"/>
      <c r="DO71" s="16"/>
      <c r="DP71" s="1080"/>
      <c r="DQ71" s="317"/>
      <c r="DR71" s="317"/>
      <c r="DS71" s="317"/>
      <c r="DT71" s="16"/>
      <c r="DU71" s="16"/>
      <c r="DV71" s="16"/>
    </row>
    <row r="72" spans="2:126" s="15" customFormat="1">
      <c r="B72" s="147" t="s">
        <v>487</v>
      </c>
      <c r="C72" s="16"/>
      <c r="D72" s="16"/>
      <c r="E72" s="16"/>
      <c r="F72" s="16"/>
      <c r="G72" s="16"/>
      <c r="H72" s="16"/>
      <c r="I72" s="16"/>
      <c r="N72" s="16"/>
      <c r="S72" s="16"/>
      <c r="X72" s="16"/>
      <c r="AC72" s="16"/>
      <c r="AH72" s="16"/>
      <c r="AJ72" s="12"/>
      <c r="AK72" s="49"/>
      <c r="AL72" s="49"/>
      <c r="AM72" s="16"/>
      <c r="AN72" s="49"/>
      <c r="AO72" s="313"/>
      <c r="AP72" s="313"/>
      <c r="AQ72" s="313"/>
      <c r="AR72" s="16"/>
      <c r="AS72" s="313"/>
      <c r="AT72" s="313"/>
      <c r="AU72" s="313"/>
      <c r="AV72" s="313"/>
      <c r="AW72" s="16"/>
      <c r="AX72" s="313"/>
      <c r="AY72" s="313"/>
      <c r="AZ72" s="313"/>
      <c r="BA72" s="313"/>
      <c r="BB72" s="16"/>
      <c r="BC72" s="313"/>
      <c r="BD72" s="313"/>
      <c r="BE72" s="313"/>
      <c r="BF72" s="313"/>
      <c r="BG72" s="16"/>
      <c r="BH72" s="313"/>
      <c r="BI72" s="358"/>
      <c r="BJ72" s="358"/>
      <c r="BK72" s="358"/>
      <c r="BL72" s="16"/>
      <c r="BM72" s="358"/>
      <c r="BN72" s="358"/>
      <c r="BO72" s="358"/>
      <c r="BP72" s="358"/>
      <c r="BQ72" s="16"/>
      <c r="BR72" s="407"/>
      <c r="BS72" s="358"/>
      <c r="BT72" s="358"/>
      <c r="BU72" s="358"/>
      <c r="BV72" s="16"/>
      <c r="BW72" s="446"/>
      <c r="BX72" s="446"/>
      <c r="BY72" s="446"/>
      <c r="BZ72" s="446"/>
      <c r="CA72" s="16"/>
      <c r="CB72" s="358"/>
      <c r="CC72" s="358"/>
      <c r="CD72" s="358"/>
      <c r="CE72" s="358"/>
      <c r="CF72" s="16"/>
      <c r="CG72" s="358"/>
      <c r="CH72" s="358"/>
      <c r="CI72" s="358"/>
      <c r="CJ72" s="358"/>
      <c r="CK72" s="16"/>
      <c r="CL72" s="358"/>
      <c r="CM72" s="358"/>
      <c r="CN72" s="358"/>
      <c r="CO72" s="358">
        <v>16458</v>
      </c>
      <c r="CP72" s="16">
        <f t="shared" ref="CP72:CP75" si="302">CO72</f>
        <v>16458</v>
      </c>
      <c r="CQ72" s="358">
        <v>16090</v>
      </c>
      <c r="CR72" s="358">
        <v>16653</v>
      </c>
      <c r="CS72" s="358">
        <v>16172</v>
      </c>
      <c r="CT72" s="358">
        <v>16243</v>
      </c>
      <c r="CU72" s="16">
        <f t="shared" ref="CU72:CU75" si="303">CT72</f>
        <v>16243</v>
      </c>
      <c r="CV72" s="358">
        <v>16206</v>
      </c>
      <c r="CW72" s="358">
        <v>17030</v>
      </c>
      <c r="CX72" s="358">
        <v>17331</v>
      </c>
      <c r="CY72" s="358">
        <v>15399</v>
      </c>
      <c r="CZ72" s="16">
        <f t="shared" ref="CZ72:CZ75" si="304">CY72</f>
        <v>15399</v>
      </c>
      <c r="DA72" s="358">
        <v>15063</v>
      </c>
      <c r="DB72" s="358">
        <v>15515</v>
      </c>
      <c r="DC72" s="358">
        <v>15785</v>
      </c>
      <c r="DD72" s="358">
        <v>15408</v>
      </c>
      <c r="DE72" s="16">
        <f t="shared" ref="DE72:DE75" si="305">DD72</f>
        <v>15408</v>
      </c>
      <c r="DF72" s="358">
        <v>15184</v>
      </c>
      <c r="DG72" s="358">
        <v>7707</v>
      </c>
      <c r="DH72" s="358">
        <v>7829</v>
      </c>
      <c r="DI72" s="358">
        <v>7909</v>
      </c>
      <c r="DJ72" s="16">
        <f t="shared" ref="DJ72:DJ75" si="306">DI72</f>
        <v>7909</v>
      </c>
      <c r="DK72" s="1079">
        <v>8625</v>
      </c>
      <c r="DL72" s="1079">
        <v>9495</v>
      </c>
      <c r="DM72" s="358"/>
      <c r="DN72" s="358"/>
      <c r="DO72" s="16"/>
      <c r="DP72" s="1079"/>
      <c r="DQ72" s="358"/>
      <c r="DR72" s="358"/>
      <c r="DS72" s="358"/>
      <c r="DT72" s="16"/>
      <c r="DU72" s="16"/>
      <c r="DV72" s="16"/>
    </row>
    <row r="73" spans="2:126" s="15" customFormat="1">
      <c r="B73" s="147" t="s">
        <v>488</v>
      </c>
      <c r="C73" s="16"/>
      <c r="D73" s="16"/>
      <c r="E73" s="16"/>
      <c r="F73" s="16"/>
      <c r="G73" s="16"/>
      <c r="H73" s="16"/>
      <c r="I73" s="16"/>
      <c r="N73" s="16"/>
      <c r="S73" s="16"/>
      <c r="X73" s="16"/>
      <c r="AC73" s="16"/>
      <c r="AH73" s="16"/>
      <c r="AJ73" s="12"/>
      <c r="AK73" s="49"/>
      <c r="AL73" s="49"/>
      <c r="AM73" s="16"/>
      <c r="AN73" s="49"/>
      <c r="AO73" s="313"/>
      <c r="AP73" s="313"/>
      <c r="AQ73" s="313"/>
      <c r="AR73" s="16"/>
      <c r="AS73" s="313"/>
      <c r="AT73" s="313"/>
      <c r="AU73" s="313"/>
      <c r="AV73" s="313"/>
      <c r="AW73" s="16"/>
      <c r="AX73" s="313"/>
      <c r="AY73" s="313"/>
      <c r="AZ73" s="313"/>
      <c r="BA73" s="313"/>
      <c r="BB73" s="16"/>
      <c r="BC73" s="313"/>
      <c r="BD73" s="313"/>
      <c r="BE73" s="313"/>
      <c r="BF73" s="313"/>
      <c r="BG73" s="16"/>
      <c r="BH73" s="313"/>
      <c r="BI73" s="358"/>
      <c r="BJ73" s="358"/>
      <c r="BK73" s="358"/>
      <c r="BL73" s="16"/>
      <c r="BM73" s="358"/>
      <c r="BN73" s="358"/>
      <c r="BO73" s="358"/>
      <c r="BP73" s="358"/>
      <c r="BQ73" s="16"/>
      <c r="BR73" s="407"/>
      <c r="BS73" s="358"/>
      <c r="BT73" s="358"/>
      <c r="BU73" s="358"/>
      <c r="BV73" s="16"/>
      <c r="BW73" s="446"/>
      <c r="BX73" s="446"/>
      <c r="BY73" s="446"/>
      <c r="BZ73" s="446"/>
      <c r="CA73" s="16"/>
      <c r="CB73" s="358"/>
      <c r="CC73" s="358"/>
      <c r="CD73" s="358"/>
      <c r="CE73" s="358"/>
      <c r="CF73" s="16"/>
      <c r="CG73" s="358"/>
      <c r="CH73" s="358"/>
      <c r="CI73" s="358"/>
      <c r="CJ73" s="358"/>
      <c r="CK73" s="16"/>
      <c r="CL73" s="358"/>
      <c r="CM73" s="358"/>
      <c r="CN73" s="358"/>
      <c r="CO73" s="358">
        <v>18371</v>
      </c>
      <c r="CP73" s="16">
        <f t="shared" si="302"/>
        <v>18371</v>
      </c>
      <c r="CQ73" s="358">
        <v>17993</v>
      </c>
      <c r="CR73" s="358">
        <v>17201</v>
      </c>
      <c r="CS73" s="358">
        <v>16909</v>
      </c>
      <c r="CT73" s="358">
        <v>17372</v>
      </c>
      <c r="CU73" s="16">
        <f t="shared" si="303"/>
        <v>17372</v>
      </c>
      <c r="CV73" s="358">
        <v>16206</v>
      </c>
      <c r="CW73" s="358">
        <v>16360</v>
      </c>
      <c r="CX73" s="358">
        <v>16445</v>
      </c>
      <c r="CY73" s="358">
        <v>16216</v>
      </c>
      <c r="CZ73" s="16">
        <f t="shared" si="304"/>
        <v>16216</v>
      </c>
      <c r="DA73" s="358">
        <v>16586</v>
      </c>
      <c r="DB73" s="358">
        <v>17142</v>
      </c>
      <c r="DC73" s="358">
        <v>17185</v>
      </c>
      <c r="DD73" s="358">
        <v>19677</v>
      </c>
      <c r="DE73" s="16">
        <f t="shared" si="305"/>
        <v>19677</v>
      </c>
      <c r="DF73" s="358">
        <v>20718</v>
      </c>
      <c r="DG73" s="358">
        <v>6465</v>
      </c>
      <c r="DH73" s="358">
        <v>6477</v>
      </c>
      <c r="DI73" s="358">
        <v>6695</v>
      </c>
      <c r="DJ73" s="16">
        <f t="shared" si="306"/>
        <v>6695</v>
      </c>
      <c r="DK73" s="1079">
        <v>6842</v>
      </c>
      <c r="DL73" s="1079">
        <v>7026</v>
      </c>
      <c r="DM73" s="358"/>
      <c r="DN73" s="358"/>
      <c r="DO73" s="16"/>
      <c r="DP73" s="1079"/>
      <c r="DQ73" s="358"/>
      <c r="DR73" s="358"/>
      <c r="DS73" s="358"/>
      <c r="DT73" s="16"/>
      <c r="DU73" s="16"/>
      <c r="DV73" s="16"/>
    </row>
    <row r="74" spans="2:126" s="15" customFormat="1">
      <c r="B74" s="147" t="s">
        <v>489</v>
      </c>
      <c r="C74" s="16"/>
      <c r="D74" s="16"/>
      <c r="E74" s="16"/>
      <c r="F74" s="16"/>
      <c r="G74" s="16"/>
      <c r="H74" s="16"/>
      <c r="I74" s="16"/>
      <c r="N74" s="16"/>
      <c r="S74" s="16"/>
      <c r="X74" s="16"/>
      <c r="AC74" s="16"/>
      <c r="AH74" s="16"/>
      <c r="AJ74" s="12"/>
      <c r="AK74" s="49"/>
      <c r="AM74" s="16"/>
      <c r="AO74" s="313"/>
      <c r="AP74" s="313"/>
      <c r="AQ74" s="313"/>
      <c r="AR74" s="16"/>
      <c r="AS74" s="313"/>
      <c r="AT74" s="313"/>
      <c r="AU74" s="313"/>
      <c r="AV74" s="313"/>
      <c r="AW74" s="16"/>
      <c r="AX74" s="313"/>
      <c r="AY74" s="313"/>
      <c r="AZ74" s="313"/>
      <c r="BA74" s="313"/>
      <c r="BB74" s="16"/>
      <c r="BC74" s="313"/>
      <c r="BD74" s="313"/>
      <c r="BE74" s="313"/>
      <c r="BF74" s="313"/>
      <c r="BG74" s="16"/>
      <c r="BH74" s="313"/>
      <c r="BI74" s="358"/>
      <c r="BJ74" s="358"/>
      <c r="BK74" s="358"/>
      <c r="BL74" s="16"/>
      <c r="BM74" s="358"/>
      <c r="BN74" s="358"/>
      <c r="BO74" s="358"/>
      <c r="BP74" s="358"/>
      <c r="BQ74" s="16"/>
      <c r="BR74" s="407"/>
      <c r="BS74" s="358"/>
      <c r="BT74" s="358"/>
      <c r="BU74" s="358"/>
      <c r="BV74" s="16"/>
      <c r="BW74" s="446"/>
      <c r="BX74" s="446"/>
      <c r="BY74" s="446"/>
      <c r="BZ74" s="446"/>
      <c r="CA74" s="16"/>
      <c r="CB74" s="358"/>
      <c r="CC74" s="358"/>
      <c r="CD74" s="358"/>
      <c r="CE74" s="358"/>
      <c r="CF74" s="16"/>
      <c r="CG74" s="358"/>
      <c r="CH74" s="358"/>
      <c r="CI74" s="358"/>
      <c r="CJ74" s="358"/>
      <c r="CK74" s="16"/>
      <c r="CL74" s="358"/>
      <c r="CM74" s="358"/>
      <c r="CN74" s="358"/>
      <c r="CO74" s="358">
        <v>15071</v>
      </c>
      <c r="CP74" s="16">
        <f t="shared" si="302"/>
        <v>15071</v>
      </c>
      <c r="CQ74" s="358">
        <v>14139</v>
      </c>
      <c r="CR74" s="358">
        <f>13569+1</f>
        <v>13570</v>
      </c>
      <c r="CS74" s="358">
        <f>14349-1</f>
        <v>14348</v>
      </c>
      <c r="CT74" s="358">
        <v>13977</v>
      </c>
      <c r="CU74" s="16">
        <f t="shared" si="303"/>
        <v>13977</v>
      </c>
      <c r="CV74" s="358">
        <v>14216</v>
      </c>
      <c r="CW74" s="358">
        <v>13909</v>
      </c>
      <c r="CX74" s="358">
        <v>15094</v>
      </c>
      <c r="CY74" s="358">
        <v>12130</v>
      </c>
      <c r="CZ74" s="16">
        <f t="shared" si="304"/>
        <v>12130</v>
      </c>
      <c r="DA74" s="358">
        <v>12313</v>
      </c>
      <c r="DB74" s="358">
        <v>11620</v>
      </c>
      <c r="DC74" s="358">
        <v>12026</v>
      </c>
      <c r="DD74" s="358">
        <v>12712</v>
      </c>
      <c r="DE74" s="16">
        <f t="shared" si="305"/>
        <v>12712</v>
      </c>
      <c r="DF74" s="358">
        <v>12342</v>
      </c>
      <c r="DG74" s="358">
        <f>8671+3639+4506+1</f>
        <v>16817</v>
      </c>
      <c r="DH74" s="358">
        <f>9047+4073+4986</f>
        <v>18106</v>
      </c>
      <c r="DI74" s="358">
        <f>9353+3475+4920+1</f>
        <v>17749</v>
      </c>
      <c r="DJ74" s="16">
        <f t="shared" si="306"/>
        <v>17749</v>
      </c>
      <c r="DK74" s="1079">
        <f>9624+3555+4211</f>
        <v>17390</v>
      </c>
      <c r="DL74" s="1079">
        <f>9738+3923+4395</f>
        <v>18056</v>
      </c>
      <c r="DM74" s="358"/>
      <c r="DN74" s="358"/>
      <c r="DO74" s="16"/>
      <c r="DP74" s="1079"/>
      <c r="DQ74" s="358"/>
      <c r="DR74" s="358"/>
      <c r="DS74" s="358"/>
      <c r="DT74" s="16"/>
      <c r="DU74" s="16"/>
      <c r="DV74" s="16"/>
    </row>
    <row r="75" spans="2:126" s="15" customFormat="1">
      <c r="B75" s="147" t="s">
        <v>538</v>
      </c>
      <c r="C75" s="215"/>
      <c r="D75" s="215"/>
      <c r="E75" s="215"/>
      <c r="F75" s="215"/>
      <c r="G75" s="215"/>
      <c r="H75" s="215"/>
      <c r="I75" s="215"/>
      <c r="J75" s="191"/>
      <c r="K75" s="191"/>
      <c r="L75" s="191"/>
      <c r="M75" s="191"/>
      <c r="N75" s="215"/>
      <c r="O75" s="191"/>
      <c r="P75" s="191"/>
      <c r="Q75" s="191"/>
      <c r="R75" s="191"/>
      <c r="S75" s="215"/>
      <c r="T75" s="191"/>
      <c r="U75" s="191"/>
      <c r="V75" s="191"/>
      <c r="W75" s="191"/>
      <c r="X75" s="215"/>
      <c r="Y75" s="191"/>
      <c r="Z75" s="191"/>
      <c r="AA75" s="191"/>
      <c r="AB75" s="191"/>
      <c r="AC75" s="215"/>
      <c r="AD75" s="191"/>
      <c r="AE75" s="191"/>
      <c r="AF75" s="191"/>
      <c r="AG75" s="191"/>
      <c r="AH75" s="215"/>
      <c r="AI75" s="191"/>
      <c r="AJ75" s="264"/>
      <c r="AK75" s="264"/>
      <c r="AL75" s="191"/>
      <c r="AM75" s="215"/>
      <c r="AN75" s="191"/>
      <c r="AO75" s="264"/>
      <c r="AP75" s="191"/>
      <c r="AQ75" s="191"/>
      <c r="AR75" s="215"/>
      <c r="AS75" s="191"/>
      <c r="AT75" s="264"/>
      <c r="AU75" s="191"/>
      <c r="AV75" s="191"/>
      <c r="AW75" s="215"/>
      <c r="AX75" s="191"/>
      <c r="AY75" s="264"/>
      <c r="AZ75" s="191"/>
      <c r="BA75" s="191"/>
      <c r="BB75" s="215"/>
      <c r="BC75" s="191"/>
      <c r="BD75" s="264"/>
      <c r="BE75" s="191"/>
      <c r="BF75" s="191"/>
      <c r="BG75" s="215"/>
      <c r="BH75" s="191"/>
      <c r="BI75" s="384"/>
      <c r="BJ75" s="384"/>
      <c r="BK75" s="384"/>
      <c r="BL75" s="215"/>
      <c r="BM75" s="191"/>
      <c r="BN75" s="384"/>
      <c r="BO75" s="384"/>
      <c r="BP75" s="384"/>
      <c r="BQ75" s="215"/>
      <c r="BR75" s="409"/>
      <c r="BS75" s="384"/>
      <c r="BT75" s="384"/>
      <c r="BU75" s="384"/>
      <c r="BV75" s="215"/>
      <c r="BW75" s="436"/>
      <c r="BX75" s="451"/>
      <c r="BY75" s="452"/>
      <c r="BZ75" s="452"/>
      <c r="CA75" s="215"/>
      <c r="CB75" s="191"/>
      <c r="CC75" s="384"/>
      <c r="CD75" s="384"/>
      <c r="CE75" s="384"/>
      <c r="CF75" s="215"/>
      <c r="CG75" s="384"/>
      <c r="CH75" s="384"/>
      <c r="CI75" s="384"/>
      <c r="CJ75" s="384"/>
      <c r="CK75" s="215"/>
      <c r="CL75" s="384"/>
      <c r="CM75" s="384"/>
      <c r="CN75" s="384"/>
      <c r="CO75" s="384">
        <v>0</v>
      </c>
      <c r="CP75" s="16">
        <f t="shared" si="302"/>
        <v>0</v>
      </c>
      <c r="CQ75" s="384">
        <v>4991</v>
      </c>
      <c r="CR75" s="384">
        <v>4922</v>
      </c>
      <c r="CS75" s="384">
        <v>4788</v>
      </c>
      <c r="CT75" s="384">
        <v>0</v>
      </c>
      <c r="CU75" s="16">
        <f t="shared" si="303"/>
        <v>0</v>
      </c>
      <c r="CV75" s="384">
        <v>1732</v>
      </c>
      <c r="CW75" s="384">
        <v>1638</v>
      </c>
      <c r="CX75" s="384">
        <v>1503</v>
      </c>
      <c r="CY75" s="384">
        <v>1944</v>
      </c>
      <c r="CZ75" s="16">
        <f t="shared" si="304"/>
        <v>1944</v>
      </c>
      <c r="DA75" s="384">
        <v>1953</v>
      </c>
      <c r="DB75" s="384">
        <v>1949</v>
      </c>
      <c r="DC75" s="384">
        <v>1835</v>
      </c>
      <c r="DD75" s="384">
        <v>1826</v>
      </c>
      <c r="DE75" s="16">
        <f t="shared" si="305"/>
        <v>1826</v>
      </c>
      <c r="DF75" s="384">
        <v>1811</v>
      </c>
      <c r="DG75" s="384">
        <v>61</v>
      </c>
      <c r="DH75" s="384">
        <v>0</v>
      </c>
      <c r="DI75" s="384"/>
      <c r="DJ75" s="16">
        <f t="shared" si="306"/>
        <v>0</v>
      </c>
      <c r="DK75" s="384"/>
      <c r="DL75" s="384"/>
      <c r="DM75" s="384"/>
      <c r="DN75" s="384"/>
      <c r="DO75" s="215"/>
      <c r="DP75" s="384"/>
      <c r="DQ75" s="384"/>
      <c r="DR75" s="384"/>
      <c r="DS75" s="384"/>
      <c r="DT75" s="215"/>
      <c r="DU75" s="215"/>
      <c r="DV75" s="215"/>
    </row>
    <row r="76" spans="2:126" s="15" customFormat="1" ht="12">
      <c r="B76" s="194" t="s">
        <v>56</v>
      </c>
      <c r="C76" s="130">
        <f t="shared" ref="C76:L76" si="307">SUM(C72:C75)</f>
        <v>0</v>
      </c>
      <c r="D76" s="130">
        <f t="shared" si="307"/>
        <v>0</v>
      </c>
      <c r="E76" s="130">
        <f t="shared" si="307"/>
        <v>0</v>
      </c>
      <c r="F76" s="130">
        <f t="shared" si="307"/>
        <v>0</v>
      </c>
      <c r="G76" s="130">
        <f t="shared" si="307"/>
        <v>0</v>
      </c>
      <c r="H76" s="130">
        <f t="shared" si="307"/>
        <v>0</v>
      </c>
      <c r="I76" s="130">
        <f t="shared" si="307"/>
        <v>0</v>
      </c>
      <c r="J76" s="189">
        <f t="shared" si="307"/>
        <v>0</v>
      </c>
      <c r="K76" s="189">
        <f t="shared" si="307"/>
        <v>0</v>
      </c>
      <c r="L76" s="189">
        <f t="shared" si="307"/>
        <v>0</v>
      </c>
      <c r="M76" s="189">
        <f t="shared" ref="M76" si="308">N76</f>
        <v>0</v>
      </c>
      <c r="N76" s="130">
        <f>SUM(N72:N75)</f>
        <v>0</v>
      </c>
      <c r="O76" s="189">
        <f>SUM(O72:O75)</f>
        <v>0</v>
      </c>
      <c r="P76" s="189">
        <f>SUM(P72:P75)</f>
        <v>0</v>
      </c>
      <c r="Q76" s="189">
        <f>SUM(Q72:Q75)</f>
        <v>0</v>
      </c>
      <c r="R76" s="189">
        <f t="shared" ref="R76" si="309">S76</f>
        <v>0</v>
      </c>
      <c r="S76" s="130">
        <f>SUM(S72:S75)</f>
        <v>0</v>
      </c>
      <c r="T76" s="189">
        <f>SUM(T72:T75)</f>
        <v>0</v>
      </c>
      <c r="U76" s="189">
        <f>SUM(U72:U75)</f>
        <v>0</v>
      </c>
      <c r="V76" s="189">
        <f>SUM(V72:V75)</f>
        <v>0</v>
      </c>
      <c r="W76" s="189">
        <f t="shared" ref="W76" si="310">X76</f>
        <v>0</v>
      </c>
      <c r="X76" s="130">
        <f>SUM(X72:X75)</f>
        <v>0</v>
      </c>
      <c r="Y76" s="189">
        <f>SUM(Y72:Y75)</f>
        <v>0</v>
      </c>
      <c r="Z76" s="189">
        <f>SUM(Z72:Z75)</f>
        <v>0</v>
      </c>
      <c r="AA76" s="189">
        <f>SUM(AA72:AA75)</f>
        <v>0</v>
      </c>
      <c r="AB76" s="189">
        <f t="shared" ref="AB76" si="311">AC76</f>
        <v>0</v>
      </c>
      <c r="AC76" s="130">
        <f>SUM(AC72:AC75)</f>
        <v>0</v>
      </c>
      <c r="AD76" s="189">
        <f>SUM(AD72:AD75)</f>
        <v>0</v>
      </c>
      <c r="AE76" s="189">
        <f>SUM(AE72:AE75)</f>
        <v>0</v>
      </c>
      <c r="AF76" s="189">
        <f>SUM(AF72:AF75)</f>
        <v>0</v>
      </c>
      <c r="AG76" s="189">
        <f t="shared" ref="AG76" si="312">AH76</f>
        <v>0</v>
      </c>
      <c r="AH76" s="130">
        <f t="shared" ref="AH76:BM76" si="313">SUM(AH72:AH75)</f>
        <v>0</v>
      </c>
      <c r="AI76" s="189">
        <f t="shared" si="313"/>
        <v>0</v>
      </c>
      <c r="AJ76" s="189">
        <f t="shared" si="313"/>
        <v>0</v>
      </c>
      <c r="AK76" s="189">
        <f t="shared" si="313"/>
        <v>0</v>
      </c>
      <c r="AL76" s="189">
        <f t="shared" si="313"/>
        <v>0</v>
      </c>
      <c r="AM76" s="130">
        <f t="shared" si="313"/>
        <v>0</v>
      </c>
      <c r="AN76" s="189">
        <f t="shared" si="313"/>
        <v>0</v>
      </c>
      <c r="AO76" s="189">
        <f t="shared" si="313"/>
        <v>0</v>
      </c>
      <c r="AP76" s="189">
        <f t="shared" si="313"/>
        <v>0</v>
      </c>
      <c r="AQ76" s="189">
        <f t="shared" si="313"/>
        <v>0</v>
      </c>
      <c r="AR76" s="130">
        <f t="shared" si="313"/>
        <v>0</v>
      </c>
      <c r="AS76" s="189">
        <f t="shared" si="313"/>
        <v>0</v>
      </c>
      <c r="AT76" s="189">
        <f t="shared" si="313"/>
        <v>0</v>
      </c>
      <c r="AU76" s="189">
        <f t="shared" si="313"/>
        <v>0</v>
      </c>
      <c r="AV76" s="189">
        <f t="shared" si="313"/>
        <v>0</v>
      </c>
      <c r="AW76" s="130">
        <f t="shared" si="313"/>
        <v>0</v>
      </c>
      <c r="AX76" s="189">
        <f t="shared" si="313"/>
        <v>0</v>
      </c>
      <c r="AY76" s="189">
        <f t="shared" si="313"/>
        <v>0</v>
      </c>
      <c r="AZ76" s="189">
        <f t="shared" si="313"/>
        <v>0</v>
      </c>
      <c r="BA76" s="189">
        <f t="shared" si="313"/>
        <v>0</v>
      </c>
      <c r="BB76" s="130">
        <f t="shared" si="313"/>
        <v>0</v>
      </c>
      <c r="BC76" s="189">
        <f t="shared" si="313"/>
        <v>0</v>
      </c>
      <c r="BD76" s="189">
        <f t="shared" si="313"/>
        <v>0</v>
      </c>
      <c r="BE76" s="189">
        <f t="shared" si="313"/>
        <v>0</v>
      </c>
      <c r="BF76" s="189">
        <f t="shared" si="313"/>
        <v>0</v>
      </c>
      <c r="BG76" s="130">
        <f t="shared" si="313"/>
        <v>0</v>
      </c>
      <c r="BH76" s="189">
        <f t="shared" si="313"/>
        <v>0</v>
      </c>
      <c r="BI76" s="307">
        <f t="shared" si="313"/>
        <v>0</v>
      </c>
      <c r="BJ76" s="307">
        <f t="shared" si="313"/>
        <v>0</v>
      </c>
      <c r="BK76" s="307">
        <f t="shared" si="313"/>
        <v>0</v>
      </c>
      <c r="BL76" s="130">
        <f t="shared" si="313"/>
        <v>0</v>
      </c>
      <c r="BM76" s="307">
        <f t="shared" si="313"/>
        <v>0</v>
      </c>
      <c r="BN76" s="307">
        <f t="shared" ref="BN76:CK76" si="314">SUM(BN72:BN75)</f>
        <v>0</v>
      </c>
      <c r="BO76" s="307">
        <f t="shared" si="314"/>
        <v>0</v>
      </c>
      <c r="BP76" s="307">
        <f t="shared" si="314"/>
        <v>0</v>
      </c>
      <c r="BQ76" s="130">
        <f t="shared" si="314"/>
        <v>0</v>
      </c>
      <c r="BR76" s="410">
        <f t="shared" si="314"/>
        <v>0</v>
      </c>
      <c r="BS76" s="307">
        <f t="shared" si="314"/>
        <v>0</v>
      </c>
      <c r="BT76" s="307">
        <f t="shared" si="314"/>
        <v>0</v>
      </c>
      <c r="BU76" s="307">
        <f t="shared" si="314"/>
        <v>0</v>
      </c>
      <c r="BV76" s="130">
        <f t="shared" si="314"/>
        <v>0</v>
      </c>
      <c r="BW76" s="453">
        <f t="shared" si="314"/>
        <v>0</v>
      </c>
      <c r="BX76" s="453">
        <f t="shared" si="314"/>
        <v>0</v>
      </c>
      <c r="BY76" s="453">
        <f t="shared" si="314"/>
        <v>0</v>
      </c>
      <c r="BZ76" s="453">
        <f t="shared" si="314"/>
        <v>0</v>
      </c>
      <c r="CA76" s="130">
        <f t="shared" si="314"/>
        <v>0</v>
      </c>
      <c r="CB76" s="307">
        <f t="shared" si="314"/>
        <v>0</v>
      </c>
      <c r="CC76" s="307">
        <f t="shared" si="314"/>
        <v>0</v>
      </c>
      <c r="CD76" s="307">
        <f t="shared" si="314"/>
        <v>0</v>
      </c>
      <c r="CE76" s="307">
        <f t="shared" si="314"/>
        <v>0</v>
      </c>
      <c r="CF76" s="130">
        <f t="shared" si="314"/>
        <v>0</v>
      </c>
      <c r="CG76" s="307">
        <f t="shared" si="314"/>
        <v>0</v>
      </c>
      <c r="CH76" s="307">
        <f t="shared" si="314"/>
        <v>0</v>
      </c>
      <c r="CI76" s="307">
        <f t="shared" si="314"/>
        <v>0</v>
      </c>
      <c r="CJ76" s="307">
        <f t="shared" si="314"/>
        <v>0</v>
      </c>
      <c r="CK76" s="130">
        <f t="shared" si="314"/>
        <v>0</v>
      </c>
      <c r="CL76" s="307">
        <f>SUM(CL71:CL75)</f>
        <v>0</v>
      </c>
      <c r="CM76" s="307">
        <f>SUM(CM72:CM75)</f>
        <v>0</v>
      </c>
      <c r="CN76" s="307">
        <f>SUM(CN72:CN75)</f>
        <v>0</v>
      </c>
      <c r="CO76" s="307">
        <f>SUM(CO71:CO75)</f>
        <v>54613</v>
      </c>
      <c r="CP76" s="130">
        <f t="shared" ref="CP76:DB76" si="315">SUM(CP71:CP75)</f>
        <v>54613</v>
      </c>
      <c r="CQ76" s="307">
        <f t="shared" si="315"/>
        <v>57681</v>
      </c>
      <c r="CR76" s="307">
        <f t="shared" si="315"/>
        <v>56639</v>
      </c>
      <c r="CS76" s="307">
        <f t="shared" si="315"/>
        <v>57676</v>
      </c>
      <c r="CT76" s="307">
        <f t="shared" si="315"/>
        <v>51953</v>
      </c>
      <c r="CU76" s="130">
        <f t="shared" si="315"/>
        <v>51953</v>
      </c>
      <c r="CV76" s="307">
        <f t="shared" si="315"/>
        <v>53345</v>
      </c>
      <c r="CW76" s="307">
        <f t="shared" si="315"/>
        <v>53884</v>
      </c>
      <c r="CX76" s="307">
        <f t="shared" si="315"/>
        <v>54658</v>
      </c>
      <c r="CY76" s="307">
        <f t="shared" si="315"/>
        <v>49428</v>
      </c>
      <c r="CZ76" s="130">
        <f t="shared" si="315"/>
        <v>49428</v>
      </c>
      <c r="DA76" s="307">
        <f t="shared" si="315"/>
        <v>48177</v>
      </c>
      <c r="DB76" s="307">
        <f t="shared" si="315"/>
        <v>48108</v>
      </c>
      <c r="DC76" s="307">
        <f t="shared" ref="DC76" si="316">SUM(DC71:DC75)</f>
        <v>48165</v>
      </c>
      <c r="DD76" s="307">
        <f t="shared" ref="DD76" si="317">SUM(DD71:DD75)</f>
        <v>50876</v>
      </c>
      <c r="DE76" s="130">
        <f t="shared" ref="DE76:DI76" si="318">SUM(DE71:DE75)</f>
        <v>50876</v>
      </c>
      <c r="DF76" s="307">
        <f t="shared" si="318"/>
        <v>51087</v>
      </c>
      <c r="DG76" s="378">
        <f t="shared" si="318"/>
        <v>32750</v>
      </c>
      <c r="DH76" s="378">
        <f t="shared" si="318"/>
        <v>34093</v>
      </c>
      <c r="DI76" s="378">
        <f t="shared" si="318"/>
        <v>34392</v>
      </c>
      <c r="DJ76" s="130">
        <f t="shared" ref="DJ76:DL76" si="319">SUM(DJ71:DJ75)</f>
        <v>34392</v>
      </c>
      <c r="DK76" s="378">
        <f t="shared" si="319"/>
        <v>34941</v>
      </c>
      <c r="DL76" s="378">
        <f t="shared" si="319"/>
        <v>36466</v>
      </c>
      <c r="DM76" s="307"/>
      <c r="DN76" s="307"/>
      <c r="DO76" s="130"/>
      <c r="DP76" s="378"/>
      <c r="DQ76" s="307"/>
      <c r="DR76" s="307"/>
      <c r="DS76" s="307"/>
      <c r="DT76" s="130"/>
      <c r="DU76" s="130"/>
      <c r="DV76" s="130"/>
    </row>
    <row r="77" spans="2:126" s="15" customFormat="1" ht="12">
      <c r="B77" s="147" t="s">
        <v>491</v>
      </c>
      <c r="C77" s="130"/>
      <c r="D77" s="130"/>
      <c r="E77" s="130"/>
      <c r="F77" s="130"/>
      <c r="G77" s="130"/>
      <c r="H77" s="130"/>
      <c r="I77" s="130"/>
      <c r="J77" s="189"/>
      <c r="K77" s="189"/>
      <c r="L77" s="189"/>
      <c r="M77" s="189"/>
      <c r="N77" s="130"/>
      <c r="O77" s="189"/>
      <c r="P77" s="189"/>
      <c r="Q77" s="189"/>
      <c r="R77" s="189"/>
      <c r="S77" s="130"/>
      <c r="T77" s="189"/>
      <c r="U77" s="189"/>
      <c r="V77" s="189"/>
      <c r="W77" s="189"/>
      <c r="X77" s="130"/>
      <c r="Y77" s="189"/>
      <c r="Z77" s="189"/>
      <c r="AA77" s="189"/>
      <c r="AB77" s="189"/>
      <c r="AC77" s="130"/>
      <c r="AD77" s="189"/>
      <c r="AE77" s="189"/>
      <c r="AF77" s="189"/>
      <c r="AG77" s="189"/>
      <c r="AH77" s="130"/>
      <c r="AI77" s="189"/>
      <c r="AJ77" s="189"/>
      <c r="AK77" s="189"/>
      <c r="AL77" s="189"/>
      <c r="AM77" s="130"/>
      <c r="AN77" s="189"/>
      <c r="AO77" s="189"/>
      <c r="AP77" s="189"/>
      <c r="AQ77" s="189"/>
      <c r="AR77" s="130"/>
      <c r="AS77" s="189"/>
      <c r="AT77" s="189"/>
      <c r="AU77" s="189"/>
      <c r="AV77" s="189"/>
      <c r="AW77" s="130"/>
      <c r="AX77" s="189"/>
      <c r="AY77" s="189"/>
      <c r="AZ77" s="189"/>
      <c r="BA77" s="189"/>
      <c r="BB77" s="130"/>
      <c r="BC77" s="189"/>
      <c r="BD77" s="189"/>
      <c r="BE77" s="189"/>
      <c r="BF77" s="189"/>
      <c r="BG77" s="130"/>
      <c r="BH77" s="189"/>
      <c r="BI77" s="307"/>
      <c r="BJ77" s="307"/>
      <c r="BK77" s="307"/>
      <c r="BL77" s="130"/>
      <c r="BM77" s="307"/>
      <c r="BN77" s="307"/>
      <c r="BO77" s="307"/>
      <c r="BP77" s="307"/>
      <c r="BQ77" s="130"/>
      <c r="BR77" s="410"/>
      <c r="BS77" s="307"/>
      <c r="BT77" s="307"/>
      <c r="BU77" s="307"/>
      <c r="BV77" s="130"/>
      <c r="BW77" s="453"/>
      <c r="BX77" s="453"/>
      <c r="BY77" s="453"/>
      <c r="BZ77" s="453"/>
      <c r="CA77" s="130"/>
      <c r="CB77" s="307"/>
      <c r="CC77" s="307"/>
      <c r="CD77" s="307"/>
      <c r="CE77" s="307"/>
      <c r="CF77" s="130"/>
      <c r="CG77" s="307"/>
      <c r="CH77" s="307"/>
      <c r="CI77" s="307"/>
      <c r="CJ77" s="307"/>
      <c r="CK77" s="130"/>
      <c r="CL77" s="307"/>
      <c r="CM77" s="307"/>
      <c r="CN77" s="307"/>
      <c r="CO77" s="317">
        <v>1801</v>
      </c>
      <c r="CP77" s="222">
        <f>CO77</f>
        <v>1801</v>
      </c>
      <c r="CQ77" s="317">
        <v>1748</v>
      </c>
      <c r="CR77" s="317">
        <v>1779</v>
      </c>
      <c r="CS77" s="317">
        <v>1839</v>
      </c>
      <c r="CT77" s="317">
        <v>1989</v>
      </c>
      <c r="CU77" s="222">
        <f>CT77</f>
        <v>1989</v>
      </c>
      <c r="CV77" s="317">
        <v>1953</v>
      </c>
      <c r="CW77" s="317">
        <v>1916</v>
      </c>
      <c r="CX77" s="317">
        <v>1842</v>
      </c>
      <c r="CY77" s="317">
        <v>1409</v>
      </c>
      <c r="CZ77" s="222">
        <f>CY77</f>
        <v>1409</v>
      </c>
      <c r="DA77" s="317">
        <v>1500</v>
      </c>
      <c r="DB77" s="317">
        <v>1384</v>
      </c>
      <c r="DC77" s="358">
        <v>1337</v>
      </c>
      <c r="DD77" s="317">
        <v>1339</v>
      </c>
      <c r="DE77" s="222">
        <f>DD77</f>
        <v>1339</v>
      </c>
      <c r="DF77" s="317">
        <v>1297</v>
      </c>
      <c r="DG77" s="317">
        <v>960</v>
      </c>
      <c r="DH77" s="317">
        <v>972</v>
      </c>
      <c r="DI77" s="317">
        <v>1013</v>
      </c>
      <c r="DJ77" s="222">
        <f>DI77</f>
        <v>1013</v>
      </c>
      <c r="DK77" s="1080">
        <v>1054</v>
      </c>
      <c r="DL77" s="1080">
        <v>1040</v>
      </c>
      <c r="DM77" s="307"/>
      <c r="DN77" s="307"/>
      <c r="DO77" s="130"/>
      <c r="DP77" s="1080"/>
      <c r="DQ77" s="307"/>
      <c r="DR77" s="307"/>
      <c r="DS77" s="307"/>
      <c r="DT77" s="130"/>
      <c r="DU77" s="130"/>
      <c r="DV77" s="130"/>
    </row>
    <row r="78" spans="2:126" s="15" customFormat="1">
      <c r="B78" s="147" t="s">
        <v>492</v>
      </c>
      <c r="C78" s="16"/>
      <c r="D78" s="16"/>
      <c r="E78" s="16"/>
      <c r="F78" s="16"/>
      <c r="G78" s="16"/>
      <c r="H78" s="16"/>
      <c r="I78" s="16"/>
      <c r="N78" s="16"/>
      <c r="S78" s="16"/>
      <c r="X78" s="16"/>
      <c r="AC78" s="16"/>
      <c r="AH78" s="16"/>
      <c r="AJ78" s="12"/>
      <c r="AK78" s="49"/>
      <c r="AL78" s="49"/>
      <c r="AM78" s="16"/>
      <c r="AN78" s="49"/>
      <c r="AO78" s="313"/>
      <c r="AP78" s="313"/>
      <c r="AQ78" s="313"/>
      <c r="AR78" s="16"/>
      <c r="AS78" s="313"/>
      <c r="AT78" s="313"/>
      <c r="AU78" s="313"/>
      <c r="AV78" s="313"/>
      <c r="AW78" s="16"/>
      <c r="AX78" s="313"/>
      <c r="AY78" s="313"/>
      <c r="AZ78" s="313"/>
      <c r="BA78" s="313"/>
      <c r="BB78" s="16"/>
      <c r="BC78" s="313"/>
      <c r="BD78" s="313"/>
      <c r="BE78" s="313"/>
      <c r="BF78" s="313"/>
      <c r="BG78" s="16"/>
      <c r="BH78" s="313"/>
      <c r="BI78" s="358"/>
      <c r="BJ78" s="358"/>
      <c r="BK78" s="358"/>
      <c r="BL78" s="16"/>
      <c r="BM78" s="358"/>
      <c r="BN78" s="358"/>
      <c r="BO78" s="358"/>
      <c r="BP78" s="358"/>
      <c r="BQ78" s="16"/>
      <c r="BR78" s="407"/>
      <c r="BS78" s="358"/>
      <c r="BT78" s="358"/>
      <c r="BU78" s="358"/>
      <c r="BV78" s="16"/>
      <c r="BW78" s="446"/>
      <c r="BX78" s="446"/>
      <c r="BY78" s="446"/>
      <c r="BZ78" s="446"/>
      <c r="CA78" s="16"/>
      <c r="CB78" s="358"/>
      <c r="CC78" s="358"/>
      <c r="CD78" s="358"/>
      <c r="CE78" s="358"/>
      <c r="CF78" s="16"/>
      <c r="CG78" s="358"/>
      <c r="CH78" s="358"/>
      <c r="CI78" s="358"/>
      <c r="CJ78" s="358"/>
      <c r="CK78" s="16"/>
      <c r="CL78" s="358"/>
      <c r="CM78" s="358"/>
      <c r="CN78" s="358"/>
      <c r="CO78" s="358">
        <v>70189</v>
      </c>
      <c r="CP78" s="222">
        <f t="shared" ref="CP78:CP82" si="320">CO78</f>
        <v>70189</v>
      </c>
      <c r="CQ78" s="358">
        <v>66890</v>
      </c>
      <c r="CR78" s="358">
        <v>59231</v>
      </c>
      <c r="CS78" s="358">
        <v>57429</v>
      </c>
      <c r="CT78" s="358">
        <v>30824</v>
      </c>
      <c r="CU78" s="222">
        <f t="shared" ref="CU78:CU82" si="321">CT78</f>
        <v>30824</v>
      </c>
      <c r="CV78" s="358">
        <v>28649</v>
      </c>
      <c r="CW78" s="358">
        <v>27571</v>
      </c>
      <c r="CX78" s="358">
        <v>26121</v>
      </c>
      <c r="CY78" s="358">
        <v>20320</v>
      </c>
      <c r="CZ78" s="222">
        <f t="shared" ref="CZ78:CZ82" si="322">CY78</f>
        <v>20320</v>
      </c>
      <c r="DA78" s="358">
        <v>20159</v>
      </c>
      <c r="DB78" s="358">
        <v>19900</v>
      </c>
      <c r="DC78" s="317">
        <v>19488</v>
      </c>
      <c r="DD78" s="358">
        <v>19711</v>
      </c>
      <c r="DE78" s="222">
        <f t="shared" ref="DE78:DE82" si="323">DD78</f>
        <v>19711</v>
      </c>
      <c r="DF78" s="358">
        <v>19493</v>
      </c>
      <c r="DG78" s="358">
        <v>17973</v>
      </c>
      <c r="DH78" s="358">
        <v>18240</v>
      </c>
      <c r="DI78" s="358">
        <v>17234</v>
      </c>
      <c r="DJ78" s="222">
        <f t="shared" ref="DJ78:DJ82" si="324">DI78</f>
        <v>17234</v>
      </c>
      <c r="DK78" s="1079">
        <v>17487</v>
      </c>
      <c r="DL78" s="1079">
        <v>16998</v>
      </c>
      <c r="DM78" s="358"/>
      <c r="DN78" s="358"/>
      <c r="DO78" s="16"/>
      <c r="DP78" s="1079"/>
      <c r="DQ78" s="358"/>
      <c r="DR78" s="358"/>
      <c r="DS78" s="358"/>
      <c r="DT78" s="16"/>
      <c r="DU78" s="16"/>
      <c r="DV78" s="16"/>
    </row>
    <row r="79" spans="2:126" s="15" customFormat="1">
      <c r="B79" s="147" t="s">
        <v>493</v>
      </c>
      <c r="C79" s="16"/>
      <c r="D79" s="16"/>
      <c r="E79" s="16"/>
      <c r="F79" s="16"/>
      <c r="G79" s="16"/>
      <c r="H79" s="16"/>
      <c r="I79" s="16"/>
      <c r="N79" s="16"/>
      <c r="S79" s="16"/>
      <c r="X79" s="16"/>
      <c r="AC79" s="16"/>
      <c r="AH79" s="16"/>
      <c r="AJ79" s="12"/>
      <c r="AK79" s="49"/>
      <c r="AL79" s="49"/>
      <c r="AM79" s="16"/>
      <c r="AN79" s="49"/>
      <c r="AO79" s="313"/>
      <c r="AP79" s="313"/>
      <c r="AQ79" s="313"/>
      <c r="AR79" s="16"/>
      <c r="AS79" s="313"/>
      <c r="AT79" s="313"/>
      <c r="AU79" s="313"/>
      <c r="AV79" s="313"/>
      <c r="AW79" s="16"/>
      <c r="AX79" s="313"/>
      <c r="AY79" s="313"/>
      <c r="AZ79" s="313"/>
      <c r="BA79" s="313"/>
      <c r="BB79" s="16"/>
      <c r="BC79" s="313"/>
      <c r="BD79" s="313"/>
      <c r="BE79" s="313"/>
      <c r="BF79" s="313"/>
      <c r="BG79" s="16"/>
      <c r="BH79" s="313"/>
      <c r="BI79" s="358"/>
      <c r="BJ79" s="358"/>
      <c r="BK79" s="358"/>
      <c r="BL79" s="16"/>
      <c r="BM79" s="358"/>
      <c r="BN79" s="358"/>
      <c r="BO79" s="358"/>
      <c r="BP79" s="358"/>
      <c r="BQ79" s="16"/>
      <c r="BR79" s="407"/>
      <c r="BS79" s="358"/>
      <c r="BT79" s="358"/>
      <c r="BU79" s="358"/>
      <c r="BV79" s="16"/>
      <c r="BW79" s="446"/>
      <c r="BX79" s="446"/>
      <c r="BY79" s="446"/>
      <c r="BZ79" s="446"/>
      <c r="CA79" s="16"/>
      <c r="CB79" s="358"/>
      <c r="CC79" s="358"/>
      <c r="CD79" s="358"/>
      <c r="CE79" s="358"/>
      <c r="CF79" s="16"/>
      <c r="CG79" s="358"/>
      <c r="CH79" s="358"/>
      <c r="CI79" s="358"/>
      <c r="CJ79" s="358"/>
      <c r="CK79" s="16"/>
      <c r="CL79" s="358"/>
      <c r="CM79" s="358"/>
      <c r="CN79" s="358"/>
      <c r="CO79" s="358">
        <v>42191</v>
      </c>
      <c r="CP79" s="222">
        <f t="shared" si="320"/>
        <v>42191</v>
      </c>
      <c r="CQ79" s="358">
        <v>39562</v>
      </c>
      <c r="CR79" s="358">
        <v>40795</v>
      </c>
      <c r="CS79" s="358">
        <v>37705</v>
      </c>
      <c r="CT79" s="358">
        <v>37166</v>
      </c>
      <c r="CU79" s="222">
        <f t="shared" si="321"/>
        <v>37166</v>
      </c>
      <c r="CV79" s="358">
        <v>33626</v>
      </c>
      <c r="CW79" s="358">
        <v>33551</v>
      </c>
      <c r="CX79" s="358">
        <v>33435</v>
      </c>
      <c r="CY79" s="358">
        <v>36845</v>
      </c>
      <c r="CZ79" s="222">
        <f t="shared" si="322"/>
        <v>36845</v>
      </c>
      <c r="DA79" s="358">
        <v>39082</v>
      </c>
      <c r="DB79" s="358">
        <v>38673</v>
      </c>
      <c r="DC79" s="358">
        <v>35832</v>
      </c>
      <c r="DD79" s="358">
        <v>39624</v>
      </c>
      <c r="DE79" s="222">
        <f t="shared" si="323"/>
        <v>39624</v>
      </c>
      <c r="DF79" s="358">
        <v>37934</v>
      </c>
      <c r="DG79" s="358">
        <v>37215</v>
      </c>
      <c r="DH79" s="358">
        <v>39147</v>
      </c>
      <c r="DI79" s="358">
        <v>36209</v>
      </c>
      <c r="DJ79" s="222">
        <f t="shared" si="324"/>
        <v>36209</v>
      </c>
      <c r="DK79" s="1079">
        <v>36424</v>
      </c>
      <c r="DL79" s="1079">
        <v>36745</v>
      </c>
      <c r="DM79" s="358"/>
      <c r="DN79" s="358"/>
      <c r="DO79" s="16"/>
      <c r="DP79" s="1079"/>
      <c r="DQ79" s="358"/>
      <c r="DR79" s="358"/>
      <c r="DS79" s="358"/>
      <c r="DT79" s="16"/>
      <c r="DU79" s="16"/>
      <c r="DV79" s="16"/>
    </row>
    <row r="80" spans="2:126" s="15" customFormat="1">
      <c r="B80" s="147" t="s">
        <v>494</v>
      </c>
      <c r="C80" s="16"/>
      <c r="D80" s="16"/>
      <c r="E80" s="16"/>
      <c r="F80" s="16"/>
      <c r="G80" s="16"/>
      <c r="H80" s="16"/>
      <c r="I80" s="16"/>
      <c r="N80" s="16"/>
      <c r="S80" s="16"/>
      <c r="X80" s="16"/>
      <c r="AC80" s="16"/>
      <c r="AH80" s="16"/>
      <c r="AJ80" s="12"/>
      <c r="AK80" s="49"/>
      <c r="AL80" s="49"/>
      <c r="AM80" s="16"/>
      <c r="AN80" s="49"/>
      <c r="AO80" s="313"/>
      <c r="AP80" s="313"/>
      <c r="AQ80" s="313"/>
      <c r="AR80" s="16"/>
      <c r="AS80" s="313"/>
      <c r="AT80" s="313"/>
      <c r="AU80" s="313"/>
      <c r="AV80" s="313"/>
      <c r="AW80" s="16"/>
      <c r="AX80" s="313"/>
      <c r="AY80" s="313"/>
      <c r="AZ80" s="313"/>
      <c r="BA80" s="313"/>
      <c r="BB80" s="16"/>
      <c r="BC80" s="313"/>
      <c r="BD80" s="313"/>
      <c r="BE80" s="313"/>
      <c r="BF80" s="313"/>
      <c r="BG80" s="16"/>
      <c r="BH80" s="313"/>
      <c r="BI80" s="358"/>
      <c r="BJ80" s="358"/>
      <c r="BK80" s="358"/>
      <c r="BL80" s="16"/>
      <c r="BM80" s="358"/>
      <c r="BN80" s="358"/>
      <c r="BO80" s="358"/>
      <c r="BP80" s="358"/>
      <c r="BQ80" s="16"/>
      <c r="BR80" s="407"/>
      <c r="BS80" s="358"/>
      <c r="BT80" s="358"/>
      <c r="BU80" s="358"/>
      <c r="BV80" s="16"/>
      <c r="BW80" s="446"/>
      <c r="BX80" s="446"/>
      <c r="BY80" s="446"/>
      <c r="BZ80" s="446"/>
      <c r="CA80" s="16"/>
      <c r="CB80" s="358"/>
      <c r="CC80" s="358"/>
      <c r="CD80" s="358"/>
      <c r="CE80" s="358"/>
      <c r="CF80" s="16"/>
      <c r="CG80" s="358"/>
      <c r="CH80" s="358"/>
      <c r="CI80" s="358"/>
      <c r="CJ80" s="358"/>
      <c r="CK80" s="16"/>
      <c r="CL80" s="358"/>
      <c r="CM80" s="358"/>
      <c r="CN80" s="358"/>
      <c r="CO80" s="358">
        <v>29677</v>
      </c>
      <c r="CP80" s="222">
        <f t="shared" si="320"/>
        <v>29677</v>
      </c>
      <c r="CQ80" s="358">
        <v>29104</v>
      </c>
      <c r="CR80" s="358">
        <v>28805</v>
      </c>
      <c r="CS80" s="358">
        <v>28415</v>
      </c>
      <c r="CT80" s="358">
        <v>21202</v>
      </c>
      <c r="CU80" s="222">
        <f t="shared" si="321"/>
        <v>21202</v>
      </c>
      <c r="CV80" s="358">
        <v>20636</v>
      </c>
      <c r="CW80" s="358">
        <v>19758</v>
      </c>
      <c r="CX80" s="358">
        <v>19201</v>
      </c>
      <c r="CY80" s="358">
        <v>10400</v>
      </c>
      <c r="CZ80" s="222">
        <f t="shared" si="322"/>
        <v>10400</v>
      </c>
      <c r="DA80" s="358">
        <v>10244</v>
      </c>
      <c r="DB80" s="358">
        <v>9941</v>
      </c>
      <c r="DC80" s="358">
        <v>9718</v>
      </c>
      <c r="DD80" s="358">
        <v>11214</v>
      </c>
      <c r="DE80" s="222">
        <f t="shared" si="323"/>
        <v>11214</v>
      </c>
      <c r="DF80" s="358">
        <v>11002</v>
      </c>
      <c r="DG80" s="358">
        <v>7248</v>
      </c>
      <c r="DH80" s="358">
        <v>7169</v>
      </c>
      <c r="DI80" s="358">
        <v>7035</v>
      </c>
      <c r="DJ80" s="222">
        <f t="shared" si="324"/>
        <v>7035</v>
      </c>
      <c r="DK80" s="1079">
        <v>6872</v>
      </c>
      <c r="DL80" s="1079">
        <v>6796</v>
      </c>
      <c r="DM80" s="358"/>
      <c r="DN80" s="358"/>
      <c r="DO80" s="16"/>
      <c r="DP80" s="1079"/>
      <c r="DQ80" s="358"/>
      <c r="DR80" s="358"/>
      <c r="DS80" s="358"/>
      <c r="DT80" s="16"/>
      <c r="DU80" s="16"/>
      <c r="DV80" s="16"/>
    </row>
    <row r="81" spans="1:126" s="15" customFormat="1">
      <c r="B81" s="147" t="s">
        <v>495</v>
      </c>
      <c r="C81" s="215"/>
      <c r="D81" s="215"/>
      <c r="E81" s="215"/>
      <c r="F81" s="215"/>
      <c r="G81" s="215"/>
      <c r="H81" s="215"/>
      <c r="I81" s="215"/>
      <c r="J81" s="191"/>
      <c r="K81" s="191"/>
      <c r="L81" s="191"/>
      <c r="M81" s="191"/>
      <c r="N81" s="215"/>
      <c r="O81" s="191"/>
      <c r="P81" s="191"/>
      <c r="Q81" s="191"/>
      <c r="R81" s="191"/>
      <c r="S81" s="215"/>
      <c r="T81" s="191"/>
      <c r="U81" s="191"/>
      <c r="V81" s="191"/>
      <c r="W81" s="191"/>
      <c r="X81" s="215"/>
      <c r="Y81" s="191"/>
      <c r="Z81" s="191"/>
      <c r="AA81" s="191"/>
      <c r="AB81" s="191"/>
      <c r="AC81" s="215"/>
      <c r="AD81" s="191"/>
      <c r="AE81" s="191"/>
      <c r="AF81" s="191"/>
      <c r="AG81" s="191"/>
      <c r="AH81" s="215"/>
      <c r="AI81" s="191"/>
      <c r="AJ81" s="264"/>
      <c r="AK81" s="191"/>
      <c r="AL81" s="191"/>
      <c r="AM81" s="215"/>
      <c r="AN81" s="191"/>
      <c r="AO81" s="264"/>
      <c r="AP81" s="191"/>
      <c r="AQ81" s="191"/>
      <c r="AR81" s="215"/>
      <c r="AS81" s="191"/>
      <c r="AT81" s="264"/>
      <c r="AU81" s="191"/>
      <c r="AV81" s="191"/>
      <c r="AW81" s="215"/>
      <c r="AX81" s="191"/>
      <c r="AY81" s="264"/>
      <c r="AZ81" s="191"/>
      <c r="BA81" s="191"/>
      <c r="BB81" s="215"/>
      <c r="BC81" s="191"/>
      <c r="BD81" s="264"/>
      <c r="BE81" s="191"/>
      <c r="BF81" s="191"/>
      <c r="BG81" s="215"/>
      <c r="BH81" s="191"/>
      <c r="BI81" s="384"/>
      <c r="BJ81" s="384"/>
      <c r="BK81" s="384"/>
      <c r="BL81" s="215"/>
      <c r="BM81" s="191"/>
      <c r="BN81" s="384"/>
      <c r="BO81" s="384"/>
      <c r="BP81" s="384"/>
      <c r="BQ81" s="215"/>
      <c r="BR81" s="409"/>
      <c r="BS81" s="384"/>
      <c r="BT81" s="196"/>
      <c r="BU81" s="196"/>
      <c r="BV81" s="215"/>
      <c r="BW81" s="436"/>
      <c r="BX81" s="451"/>
      <c r="BY81" s="452"/>
      <c r="BZ81" s="452"/>
      <c r="CA81" s="215"/>
      <c r="CB81" s="191"/>
      <c r="CC81" s="384"/>
      <c r="CD81" s="384"/>
      <c r="CE81" s="384"/>
      <c r="CF81" s="215"/>
      <c r="CG81" s="384"/>
      <c r="CH81" s="384"/>
      <c r="CI81" s="384"/>
      <c r="CJ81" s="384"/>
      <c r="CK81" s="215"/>
      <c r="CL81" s="384"/>
      <c r="CM81" s="384"/>
      <c r="CN81" s="384"/>
      <c r="CO81" s="358">
        <f>15484</f>
        <v>15484</v>
      </c>
      <c r="CP81" s="222">
        <f t="shared" si="320"/>
        <v>15484</v>
      </c>
      <c r="CQ81" s="358">
        <v>14822</v>
      </c>
      <c r="CR81" s="384">
        <f>15245+1</f>
        <v>15246</v>
      </c>
      <c r="CS81" s="384">
        <v>14999</v>
      </c>
      <c r="CT81" s="384">
        <v>13240</v>
      </c>
      <c r="CU81" s="222">
        <f t="shared" si="321"/>
        <v>13240</v>
      </c>
      <c r="CV81" s="384">
        <v>12477</v>
      </c>
      <c r="CW81" s="384">
        <v>11885</v>
      </c>
      <c r="CX81" s="384">
        <v>11767</v>
      </c>
      <c r="CY81" s="384">
        <v>11063</v>
      </c>
      <c r="CZ81" s="222">
        <f t="shared" si="322"/>
        <v>11063</v>
      </c>
      <c r="DA81" s="384">
        <v>10937</v>
      </c>
      <c r="DB81" s="384">
        <v>11067</v>
      </c>
      <c r="DC81" s="384">
        <v>11177</v>
      </c>
      <c r="DD81" s="384">
        <v>10508</v>
      </c>
      <c r="DE81" s="222">
        <f t="shared" si="323"/>
        <v>10508</v>
      </c>
      <c r="DF81" s="384">
        <v>10855</v>
      </c>
      <c r="DG81" s="384">
        <v>6534</v>
      </c>
      <c r="DH81" s="384">
        <v>6647</v>
      </c>
      <c r="DI81" s="384">
        <v>6376</v>
      </c>
      <c r="DJ81" s="222">
        <f t="shared" si="324"/>
        <v>6376</v>
      </c>
      <c r="DK81" s="1084">
        <v>6538</v>
      </c>
      <c r="DL81" s="1084">
        <v>6504</v>
      </c>
      <c r="DM81" s="384"/>
      <c r="DN81" s="384"/>
      <c r="DO81" s="215"/>
      <c r="DP81" s="1084"/>
      <c r="DQ81" s="384"/>
      <c r="DR81" s="384"/>
      <c r="DS81" s="384"/>
      <c r="DT81" s="215"/>
      <c r="DU81" s="215"/>
      <c r="DV81" s="215"/>
    </row>
    <row r="82" spans="1:126" s="15" customFormat="1">
      <c r="B82" s="147" t="s">
        <v>490</v>
      </c>
      <c r="C82" s="215"/>
      <c r="D82" s="215"/>
      <c r="E82" s="215"/>
      <c r="F82" s="215"/>
      <c r="G82" s="215"/>
      <c r="H82" s="215"/>
      <c r="I82" s="215"/>
      <c r="J82" s="191"/>
      <c r="K82" s="191"/>
      <c r="L82" s="191"/>
      <c r="M82" s="191"/>
      <c r="N82" s="215"/>
      <c r="O82" s="191"/>
      <c r="P82" s="191"/>
      <c r="Q82" s="191"/>
      <c r="R82" s="191"/>
      <c r="S82" s="215"/>
      <c r="T82" s="191"/>
      <c r="U82" s="191"/>
      <c r="V82" s="191"/>
      <c r="W82" s="191"/>
      <c r="X82" s="215"/>
      <c r="Y82" s="191"/>
      <c r="Z82" s="191"/>
      <c r="AA82" s="191"/>
      <c r="AB82" s="191"/>
      <c r="AC82" s="215"/>
      <c r="AD82" s="191"/>
      <c r="AE82" s="191"/>
      <c r="AF82" s="191"/>
      <c r="AG82" s="191"/>
      <c r="AH82" s="215"/>
      <c r="AI82" s="191"/>
      <c r="AJ82" s="264"/>
      <c r="AK82" s="191"/>
      <c r="AL82" s="191"/>
      <c r="AM82" s="215"/>
      <c r="AN82" s="191"/>
      <c r="AO82" s="264"/>
      <c r="AP82" s="191"/>
      <c r="AQ82" s="191"/>
      <c r="AR82" s="215"/>
      <c r="AS82" s="191"/>
      <c r="AT82" s="264"/>
      <c r="AU82" s="191"/>
      <c r="AV82" s="191"/>
      <c r="AW82" s="215"/>
      <c r="AX82" s="191"/>
      <c r="AY82" s="264"/>
      <c r="AZ82" s="191"/>
      <c r="BA82" s="191"/>
      <c r="BB82" s="215"/>
      <c r="BC82" s="191"/>
      <c r="BD82" s="264"/>
      <c r="BE82" s="191"/>
      <c r="BF82" s="191"/>
      <c r="BG82" s="215"/>
      <c r="BH82" s="191"/>
      <c r="BI82" s="384"/>
      <c r="BJ82" s="384"/>
      <c r="BK82" s="384"/>
      <c r="BL82" s="215"/>
      <c r="BM82" s="191"/>
      <c r="BN82" s="384"/>
      <c r="BO82" s="384"/>
      <c r="BP82" s="384"/>
      <c r="BQ82" s="215"/>
      <c r="BR82" s="409"/>
      <c r="BS82" s="384"/>
      <c r="BT82" s="196"/>
      <c r="BU82" s="196"/>
      <c r="BV82" s="215"/>
      <c r="BW82" s="436"/>
      <c r="BX82" s="451"/>
      <c r="BY82" s="452"/>
      <c r="BZ82" s="452"/>
      <c r="CA82" s="215"/>
      <c r="CB82" s="191"/>
      <c r="CC82" s="384"/>
      <c r="CD82" s="384"/>
      <c r="CE82" s="384"/>
      <c r="CF82" s="215"/>
      <c r="CG82" s="384"/>
      <c r="CH82" s="384"/>
      <c r="CI82" s="384"/>
      <c r="CJ82" s="384"/>
      <c r="CK82" s="215"/>
      <c r="CL82" s="384"/>
      <c r="CM82" s="384"/>
      <c r="CN82" s="384"/>
      <c r="CO82" s="358">
        <v>5182</v>
      </c>
      <c r="CP82" s="222">
        <f t="shared" si="320"/>
        <v>5182</v>
      </c>
      <c r="CQ82" s="358">
        <v>204</v>
      </c>
      <c r="CR82" s="384">
        <v>17</v>
      </c>
      <c r="CS82" s="384">
        <v>109</v>
      </c>
      <c r="CT82" s="384">
        <v>887</v>
      </c>
      <c r="CU82" s="222">
        <f t="shared" si="321"/>
        <v>887</v>
      </c>
      <c r="CV82" s="384">
        <v>993</v>
      </c>
      <c r="CW82" s="384">
        <v>1032</v>
      </c>
      <c r="CX82" s="384">
        <v>1103</v>
      </c>
      <c r="CY82" s="384">
        <v>24474</v>
      </c>
      <c r="CZ82" s="222">
        <f t="shared" si="322"/>
        <v>24474</v>
      </c>
      <c r="DA82" s="384">
        <v>1551</v>
      </c>
      <c r="DB82" s="384">
        <v>1565</v>
      </c>
      <c r="DC82" s="384">
        <v>1112</v>
      </c>
      <c r="DD82" s="384">
        <v>1193</v>
      </c>
      <c r="DE82" s="222">
        <f t="shared" si="323"/>
        <v>1193</v>
      </c>
      <c r="DF82" s="384">
        <v>1169</v>
      </c>
      <c r="DG82" s="384">
        <v>1667</v>
      </c>
      <c r="DH82" s="384">
        <v>1328</v>
      </c>
      <c r="DI82" s="384">
        <v>1317</v>
      </c>
      <c r="DJ82" s="222">
        <f t="shared" si="324"/>
        <v>1317</v>
      </c>
      <c r="DK82" s="1084">
        <v>1339</v>
      </c>
      <c r="DL82" s="1084">
        <v>1362</v>
      </c>
      <c r="DM82" s="384"/>
      <c r="DN82" s="384"/>
      <c r="DO82" s="215"/>
      <c r="DP82" s="1084"/>
      <c r="DQ82" s="384"/>
      <c r="DR82" s="384"/>
      <c r="DS82" s="384"/>
      <c r="DT82" s="215"/>
      <c r="DU82" s="215"/>
      <c r="DV82" s="215"/>
    </row>
    <row r="83" spans="1:126" s="15" customFormat="1" ht="12">
      <c r="B83" s="194" t="s">
        <v>58</v>
      </c>
      <c r="C83" s="130">
        <f t="shared" ref="C83:BN83" si="325">SUM(C76:C82)</f>
        <v>0</v>
      </c>
      <c r="D83" s="130">
        <f t="shared" si="325"/>
        <v>0</v>
      </c>
      <c r="E83" s="130">
        <f t="shared" si="325"/>
        <v>0</v>
      </c>
      <c r="F83" s="130">
        <f t="shared" si="325"/>
        <v>0</v>
      </c>
      <c r="G83" s="130">
        <f t="shared" si="325"/>
        <v>0</v>
      </c>
      <c r="H83" s="130">
        <f t="shared" si="325"/>
        <v>0</v>
      </c>
      <c r="I83" s="130">
        <f t="shared" si="325"/>
        <v>0</v>
      </c>
      <c r="J83" s="189">
        <f t="shared" si="325"/>
        <v>0</v>
      </c>
      <c r="K83" s="189">
        <f t="shared" si="325"/>
        <v>0</v>
      </c>
      <c r="L83" s="189">
        <f t="shared" si="325"/>
        <v>0</v>
      </c>
      <c r="M83" s="189">
        <f t="shared" si="325"/>
        <v>0</v>
      </c>
      <c r="N83" s="130">
        <f t="shared" si="325"/>
        <v>0</v>
      </c>
      <c r="O83" s="189">
        <f t="shared" si="325"/>
        <v>0</v>
      </c>
      <c r="P83" s="189">
        <f t="shared" si="325"/>
        <v>0</v>
      </c>
      <c r="Q83" s="189">
        <f t="shared" si="325"/>
        <v>0</v>
      </c>
      <c r="R83" s="189">
        <f t="shared" si="325"/>
        <v>0</v>
      </c>
      <c r="S83" s="130">
        <f t="shared" si="325"/>
        <v>0</v>
      </c>
      <c r="T83" s="189">
        <f t="shared" si="325"/>
        <v>0</v>
      </c>
      <c r="U83" s="189">
        <f t="shared" si="325"/>
        <v>0</v>
      </c>
      <c r="V83" s="189">
        <f t="shared" si="325"/>
        <v>0</v>
      </c>
      <c r="W83" s="189">
        <f t="shared" si="325"/>
        <v>0</v>
      </c>
      <c r="X83" s="130">
        <f t="shared" si="325"/>
        <v>0</v>
      </c>
      <c r="Y83" s="189">
        <f t="shared" si="325"/>
        <v>0</v>
      </c>
      <c r="Z83" s="189">
        <f t="shared" si="325"/>
        <v>0</v>
      </c>
      <c r="AA83" s="189">
        <f t="shared" si="325"/>
        <v>0</v>
      </c>
      <c r="AB83" s="189">
        <f t="shared" si="325"/>
        <v>0</v>
      </c>
      <c r="AC83" s="130">
        <f t="shared" si="325"/>
        <v>0</v>
      </c>
      <c r="AD83" s="189">
        <f t="shared" si="325"/>
        <v>0</v>
      </c>
      <c r="AE83" s="189">
        <f t="shared" si="325"/>
        <v>0</v>
      </c>
      <c r="AF83" s="189">
        <f t="shared" si="325"/>
        <v>0</v>
      </c>
      <c r="AG83" s="189">
        <f t="shared" si="325"/>
        <v>0</v>
      </c>
      <c r="AH83" s="130">
        <f t="shared" si="325"/>
        <v>0</v>
      </c>
      <c r="AI83" s="189">
        <f t="shared" si="325"/>
        <v>0</v>
      </c>
      <c r="AJ83" s="189">
        <f t="shared" si="325"/>
        <v>0</v>
      </c>
      <c r="AK83" s="189">
        <f t="shared" si="325"/>
        <v>0</v>
      </c>
      <c r="AL83" s="189">
        <f t="shared" si="325"/>
        <v>0</v>
      </c>
      <c r="AM83" s="130">
        <f t="shared" si="325"/>
        <v>0</v>
      </c>
      <c r="AN83" s="189">
        <f t="shared" si="325"/>
        <v>0</v>
      </c>
      <c r="AO83" s="189">
        <f t="shared" si="325"/>
        <v>0</v>
      </c>
      <c r="AP83" s="189">
        <f t="shared" si="325"/>
        <v>0</v>
      </c>
      <c r="AQ83" s="189">
        <f t="shared" si="325"/>
        <v>0</v>
      </c>
      <c r="AR83" s="130">
        <f t="shared" si="325"/>
        <v>0</v>
      </c>
      <c r="AS83" s="189">
        <f t="shared" si="325"/>
        <v>0</v>
      </c>
      <c r="AT83" s="189">
        <f t="shared" si="325"/>
        <v>0</v>
      </c>
      <c r="AU83" s="189">
        <f t="shared" si="325"/>
        <v>0</v>
      </c>
      <c r="AV83" s="189">
        <f t="shared" si="325"/>
        <v>0</v>
      </c>
      <c r="AW83" s="130">
        <f t="shared" si="325"/>
        <v>0</v>
      </c>
      <c r="AX83" s="189">
        <f t="shared" si="325"/>
        <v>0</v>
      </c>
      <c r="AY83" s="189">
        <f t="shared" si="325"/>
        <v>0</v>
      </c>
      <c r="AZ83" s="189">
        <f t="shared" si="325"/>
        <v>0</v>
      </c>
      <c r="BA83" s="189">
        <f t="shared" si="325"/>
        <v>0</v>
      </c>
      <c r="BB83" s="130">
        <f t="shared" si="325"/>
        <v>0</v>
      </c>
      <c r="BC83" s="189">
        <f t="shared" si="325"/>
        <v>0</v>
      </c>
      <c r="BD83" s="189">
        <f t="shared" si="325"/>
        <v>0</v>
      </c>
      <c r="BE83" s="189">
        <f t="shared" si="325"/>
        <v>0</v>
      </c>
      <c r="BF83" s="189">
        <f t="shared" si="325"/>
        <v>0</v>
      </c>
      <c r="BG83" s="130">
        <f t="shared" si="325"/>
        <v>0</v>
      </c>
      <c r="BH83" s="189">
        <f t="shared" si="325"/>
        <v>0</v>
      </c>
      <c r="BI83" s="307">
        <f t="shared" si="325"/>
        <v>0</v>
      </c>
      <c r="BJ83" s="307">
        <f t="shared" si="325"/>
        <v>0</v>
      </c>
      <c r="BK83" s="307">
        <f t="shared" si="325"/>
        <v>0</v>
      </c>
      <c r="BL83" s="130">
        <f t="shared" si="325"/>
        <v>0</v>
      </c>
      <c r="BM83" s="307">
        <f t="shared" si="325"/>
        <v>0</v>
      </c>
      <c r="BN83" s="307">
        <f t="shared" si="325"/>
        <v>0</v>
      </c>
      <c r="BO83" s="307">
        <f t="shared" ref="BO83:CK83" si="326">SUM(BO76:BO82)</f>
        <v>0</v>
      </c>
      <c r="BP83" s="307">
        <f t="shared" si="326"/>
        <v>0</v>
      </c>
      <c r="BQ83" s="130">
        <f t="shared" si="326"/>
        <v>0</v>
      </c>
      <c r="BR83" s="410">
        <f t="shared" si="326"/>
        <v>0</v>
      </c>
      <c r="BS83" s="307">
        <f t="shared" si="326"/>
        <v>0</v>
      </c>
      <c r="BT83" s="419">
        <f t="shared" si="326"/>
        <v>0</v>
      </c>
      <c r="BU83" s="419">
        <f t="shared" si="326"/>
        <v>0</v>
      </c>
      <c r="BV83" s="130">
        <f t="shared" si="326"/>
        <v>0</v>
      </c>
      <c r="BW83" s="454">
        <f t="shared" si="326"/>
        <v>0</v>
      </c>
      <c r="BX83" s="454">
        <f t="shared" si="326"/>
        <v>0</v>
      </c>
      <c r="BY83" s="454">
        <f t="shared" si="326"/>
        <v>0</v>
      </c>
      <c r="BZ83" s="454">
        <f t="shared" si="326"/>
        <v>0</v>
      </c>
      <c r="CA83" s="130">
        <f t="shared" si="326"/>
        <v>0</v>
      </c>
      <c r="CB83" s="419">
        <f t="shared" si="326"/>
        <v>0</v>
      </c>
      <c r="CC83" s="419">
        <f t="shared" si="326"/>
        <v>0</v>
      </c>
      <c r="CD83" s="419">
        <f t="shared" si="326"/>
        <v>0</v>
      </c>
      <c r="CE83" s="419">
        <f t="shared" si="326"/>
        <v>0</v>
      </c>
      <c r="CF83" s="130">
        <f t="shared" si="326"/>
        <v>0</v>
      </c>
      <c r="CG83" s="419">
        <f t="shared" si="326"/>
        <v>0</v>
      </c>
      <c r="CH83" s="419">
        <f t="shared" si="326"/>
        <v>0</v>
      </c>
      <c r="CI83" s="419">
        <f t="shared" si="326"/>
        <v>0</v>
      </c>
      <c r="CJ83" s="419">
        <f t="shared" si="326"/>
        <v>0</v>
      </c>
      <c r="CK83" s="130">
        <f t="shared" si="326"/>
        <v>0</v>
      </c>
      <c r="CL83" s="419">
        <f>SUM(CL76:CL82)</f>
        <v>0</v>
      </c>
      <c r="CM83" s="419">
        <f t="shared" ref="CM83:DB83" si="327">SUM(CM76:CM82)</f>
        <v>0</v>
      </c>
      <c r="CN83" s="419">
        <f t="shared" si="327"/>
        <v>0</v>
      </c>
      <c r="CO83" s="419">
        <f t="shared" si="327"/>
        <v>219137</v>
      </c>
      <c r="CP83" s="130">
        <f t="shared" si="327"/>
        <v>219137</v>
      </c>
      <c r="CQ83" s="419">
        <f t="shared" si="327"/>
        <v>210011</v>
      </c>
      <c r="CR83" s="419">
        <f t="shared" si="327"/>
        <v>202512</v>
      </c>
      <c r="CS83" s="419">
        <f t="shared" si="327"/>
        <v>198172</v>
      </c>
      <c r="CT83" s="419">
        <f t="shared" si="327"/>
        <v>157261</v>
      </c>
      <c r="CU83" s="130">
        <f t="shared" si="327"/>
        <v>157261</v>
      </c>
      <c r="CV83" s="419">
        <f t="shared" si="327"/>
        <v>151679</v>
      </c>
      <c r="CW83" s="419">
        <f t="shared" si="327"/>
        <v>149597</v>
      </c>
      <c r="CX83" s="419">
        <f t="shared" si="327"/>
        <v>148127</v>
      </c>
      <c r="CY83" s="419">
        <f t="shared" si="327"/>
        <v>153939</v>
      </c>
      <c r="CZ83" s="130">
        <f t="shared" si="327"/>
        <v>153939</v>
      </c>
      <c r="DA83" s="419">
        <f t="shared" si="327"/>
        <v>131650</v>
      </c>
      <c r="DB83" s="419">
        <f t="shared" si="327"/>
        <v>130638</v>
      </c>
      <c r="DC83" s="419">
        <f t="shared" ref="DC83" si="328">SUM(DC76:DC82)</f>
        <v>126829</v>
      </c>
      <c r="DD83" s="419">
        <f t="shared" ref="DD83" si="329">SUM(DD76:DD82)</f>
        <v>134465</v>
      </c>
      <c r="DE83" s="130">
        <f t="shared" ref="DE83:DI83" si="330">SUM(DE76:DE82)</f>
        <v>134465</v>
      </c>
      <c r="DF83" s="419">
        <f t="shared" si="330"/>
        <v>132837</v>
      </c>
      <c r="DG83" s="393">
        <f t="shared" si="330"/>
        <v>104347</v>
      </c>
      <c r="DH83" s="393">
        <f t="shared" si="330"/>
        <v>107596</v>
      </c>
      <c r="DI83" s="393">
        <f t="shared" si="330"/>
        <v>103576</v>
      </c>
      <c r="DJ83" s="130">
        <f t="shared" ref="DJ83:DL83" si="331">SUM(DJ76:DJ82)</f>
        <v>103576</v>
      </c>
      <c r="DK83" s="393">
        <f t="shared" si="331"/>
        <v>104655</v>
      </c>
      <c r="DL83" s="393">
        <f t="shared" si="331"/>
        <v>105911</v>
      </c>
      <c r="DM83" s="419"/>
      <c r="DN83" s="419"/>
      <c r="DO83" s="130"/>
      <c r="DP83" s="393"/>
      <c r="DQ83" s="419"/>
      <c r="DR83" s="419"/>
      <c r="DS83" s="419"/>
      <c r="DT83" s="130"/>
      <c r="DU83" s="130"/>
      <c r="DV83" s="130"/>
    </row>
    <row r="84" spans="1:126" s="15" customFormat="1" ht="12">
      <c r="B84" s="147" t="s">
        <v>496</v>
      </c>
      <c r="C84" s="130"/>
      <c r="D84" s="130"/>
      <c r="E84" s="130"/>
      <c r="F84" s="130"/>
      <c r="G84" s="130"/>
      <c r="H84" s="130"/>
      <c r="I84" s="130"/>
      <c r="J84" s="189"/>
      <c r="K84" s="189"/>
      <c r="L84" s="189"/>
      <c r="M84" s="189"/>
      <c r="N84" s="130"/>
      <c r="O84" s="189"/>
      <c r="P84" s="189"/>
      <c r="Q84" s="189"/>
      <c r="R84" s="189"/>
      <c r="S84" s="130"/>
      <c r="T84" s="189"/>
      <c r="U84" s="189"/>
      <c r="V84" s="189"/>
      <c r="W84" s="189"/>
      <c r="X84" s="130"/>
      <c r="Y84" s="189"/>
      <c r="Z84" s="189"/>
      <c r="AA84" s="189"/>
      <c r="AB84" s="189"/>
      <c r="AC84" s="130"/>
      <c r="AD84" s="189"/>
      <c r="AE84" s="189"/>
      <c r="AF84" s="189"/>
      <c r="AG84" s="189"/>
      <c r="AH84" s="130"/>
      <c r="AI84" s="189"/>
      <c r="AJ84" s="189"/>
      <c r="AK84" s="189"/>
      <c r="AL84" s="189"/>
      <c r="AM84" s="130"/>
      <c r="AN84" s="189"/>
      <c r="AO84" s="189"/>
      <c r="AP84" s="189"/>
      <c r="AQ84" s="189"/>
      <c r="AR84" s="130"/>
      <c r="AS84" s="189"/>
      <c r="AT84" s="189"/>
      <c r="AU84" s="189"/>
      <c r="AV84" s="189"/>
      <c r="AW84" s="130"/>
      <c r="AX84" s="189"/>
      <c r="AY84" s="189"/>
      <c r="AZ84" s="189"/>
      <c r="BA84" s="189"/>
      <c r="BB84" s="130"/>
      <c r="BC84" s="189"/>
      <c r="BD84" s="189"/>
      <c r="BE84" s="189"/>
      <c r="BF84" s="189"/>
      <c r="BG84" s="130"/>
      <c r="BH84" s="189"/>
      <c r="BI84" s="307"/>
      <c r="BJ84" s="307"/>
      <c r="BK84" s="307"/>
      <c r="BL84" s="130"/>
      <c r="BM84" s="307"/>
      <c r="BN84" s="307"/>
      <c r="BO84" s="307"/>
      <c r="BP84" s="307"/>
      <c r="BQ84" s="130"/>
      <c r="BR84" s="410"/>
      <c r="BS84" s="307"/>
      <c r="BT84" s="419"/>
      <c r="BU84" s="419"/>
      <c r="BV84" s="130"/>
      <c r="BW84" s="454"/>
      <c r="BX84" s="454"/>
      <c r="BY84" s="454"/>
      <c r="BZ84" s="454"/>
      <c r="CA84" s="130"/>
      <c r="CB84" s="419"/>
      <c r="CC84" s="419"/>
      <c r="CD84" s="419"/>
      <c r="CE84" s="419"/>
      <c r="CF84" s="130"/>
      <c r="CG84" s="419"/>
      <c r="CH84" s="419"/>
      <c r="CI84" s="419"/>
      <c r="CJ84" s="419"/>
      <c r="CK84" s="130"/>
      <c r="CL84" s="419"/>
      <c r="CM84" s="419"/>
      <c r="CN84" s="419"/>
      <c r="CO84" s="394">
        <v>6</v>
      </c>
      <c r="CP84" s="222">
        <f>CO84</f>
        <v>6</v>
      </c>
      <c r="CQ84" s="394">
        <v>6</v>
      </c>
      <c r="CR84" s="394">
        <v>6</v>
      </c>
      <c r="CS84" s="313">
        <v>6</v>
      </c>
      <c r="CT84" s="313">
        <v>6</v>
      </c>
      <c r="CU84" s="222">
        <f>CT84</f>
        <v>6</v>
      </c>
      <c r="CV84" s="313">
        <v>6</v>
      </c>
      <c r="CW84" s="313">
        <v>6</v>
      </c>
      <c r="CX84" s="394">
        <v>6</v>
      </c>
      <c r="CY84" s="394">
        <v>6</v>
      </c>
      <c r="CZ84" s="222">
        <f>CY84</f>
        <v>6</v>
      </c>
      <c r="DA84" s="394">
        <v>3</v>
      </c>
      <c r="DB84" s="394">
        <v>3</v>
      </c>
      <c r="DC84" s="394">
        <v>0</v>
      </c>
      <c r="DD84" s="394">
        <v>0</v>
      </c>
      <c r="DE84" s="222">
        <f>DD84</f>
        <v>0</v>
      </c>
      <c r="DF84" s="313">
        <v>0</v>
      </c>
      <c r="DG84" s="313">
        <v>0</v>
      </c>
      <c r="DH84" s="313">
        <v>0</v>
      </c>
      <c r="DI84" s="313">
        <v>0</v>
      </c>
      <c r="DJ84" s="222">
        <f>DI84</f>
        <v>0</v>
      </c>
      <c r="DK84" s="1078">
        <v>0</v>
      </c>
      <c r="DL84" s="1078">
        <v>0</v>
      </c>
      <c r="DM84" s="419"/>
      <c r="DN84" s="419"/>
      <c r="DO84" s="130"/>
      <c r="DP84" s="1078"/>
      <c r="DQ84" s="419"/>
      <c r="DR84" s="419"/>
      <c r="DS84" s="419"/>
      <c r="DT84" s="130"/>
      <c r="DU84" s="130"/>
      <c r="DV84" s="130"/>
    </row>
    <row r="85" spans="1:126" s="15" customFormat="1">
      <c r="B85" s="147" t="s">
        <v>497</v>
      </c>
      <c r="C85" s="16"/>
      <c r="D85" s="16"/>
      <c r="E85" s="16"/>
      <c r="F85" s="16"/>
      <c r="G85" s="16"/>
      <c r="H85" s="16"/>
      <c r="I85" s="16"/>
      <c r="N85" s="16"/>
      <c r="S85" s="16"/>
      <c r="X85" s="16"/>
      <c r="AC85" s="16"/>
      <c r="AH85" s="16"/>
      <c r="AJ85" s="12"/>
      <c r="AK85" s="49"/>
      <c r="AL85" s="49"/>
      <c r="AM85" s="16"/>
      <c r="AO85" s="313"/>
      <c r="AP85" s="313"/>
      <c r="AQ85" s="313"/>
      <c r="AR85" s="16"/>
      <c r="AS85" s="313"/>
      <c r="AT85" s="313"/>
      <c r="AU85" s="313"/>
      <c r="AV85" s="313"/>
      <c r="AW85" s="16"/>
      <c r="AX85" s="313"/>
      <c r="AY85" s="313"/>
      <c r="AZ85" s="313"/>
      <c r="BA85" s="313"/>
      <c r="BB85" s="16"/>
      <c r="BC85" s="313"/>
      <c r="BD85" s="313"/>
      <c r="BE85" s="313"/>
      <c r="BF85" s="313"/>
      <c r="BG85" s="16"/>
      <c r="BH85" s="313"/>
      <c r="BI85" s="358"/>
      <c r="BJ85" s="358"/>
      <c r="BK85" s="358"/>
      <c r="BL85" s="16"/>
      <c r="BM85" s="358"/>
      <c r="BN85" s="358"/>
      <c r="BO85" s="358"/>
      <c r="BP85" s="358"/>
      <c r="BQ85" s="16"/>
      <c r="BR85" s="407"/>
      <c r="BS85" s="358"/>
      <c r="BT85" s="313"/>
      <c r="BU85" s="358"/>
      <c r="BV85" s="16"/>
      <c r="BW85" s="446"/>
      <c r="BX85" s="446"/>
      <c r="BY85" s="446"/>
      <c r="BZ85" s="446"/>
      <c r="CA85" s="16"/>
      <c r="CB85" s="358"/>
      <c r="CC85" s="358"/>
      <c r="CD85" s="358"/>
      <c r="CE85" s="358"/>
      <c r="CF85" s="16"/>
      <c r="CG85" s="358"/>
      <c r="CH85" s="358"/>
      <c r="CI85" s="358"/>
      <c r="CJ85" s="358"/>
      <c r="CK85" s="16"/>
      <c r="CL85" s="358"/>
      <c r="CM85" s="358"/>
      <c r="CN85" s="358"/>
      <c r="CO85" s="358">
        <v>702</v>
      </c>
      <c r="CP85" s="222">
        <f t="shared" ref="CP85:CP91" si="332">CO85</f>
        <v>702</v>
      </c>
      <c r="CQ85" s="358">
        <v>702</v>
      </c>
      <c r="CR85" s="358">
        <v>702</v>
      </c>
      <c r="CS85" s="358">
        <v>15</v>
      </c>
      <c r="CT85" s="358">
        <v>15</v>
      </c>
      <c r="CU85" s="222">
        <f t="shared" ref="CU85:CU91" si="333">CT85</f>
        <v>15</v>
      </c>
      <c r="CV85" s="358">
        <v>15</v>
      </c>
      <c r="CW85" s="358">
        <v>15</v>
      </c>
      <c r="CX85" s="358">
        <v>15</v>
      </c>
      <c r="CY85" s="358">
        <v>15</v>
      </c>
      <c r="CZ85" s="222">
        <f t="shared" ref="CZ85:CZ91" si="334">CY85</f>
        <v>15</v>
      </c>
      <c r="DA85" s="358">
        <v>15</v>
      </c>
      <c r="DB85" s="358">
        <v>15</v>
      </c>
      <c r="DC85" s="358">
        <v>15</v>
      </c>
      <c r="DD85" s="358">
        <v>15</v>
      </c>
      <c r="DE85" s="222">
        <f t="shared" ref="DE85:DE91" si="335">DD85</f>
        <v>15</v>
      </c>
      <c r="DF85" s="358">
        <v>15</v>
      </c>
      <c r="DG85" s="358">
        <v>15</v>
      </c>
      <c r="DH85" s="358">
        <v>15</v>
      </c>
      <c r="DI85" s="358">
        <v>15</v>
      </c>
      <c r="DJ85" s="222">
        <f t="shared" ref="DJ85:DJ91" si="336">DI85</f>
        <v>15</v>
      </c>
      <c r="DK85" s="1079">
        <v>15</v>
      </c>
      <c r="DL85" s="1079">
        <v>15</v>
      </c>
      <c r="DM85" s="358"/>
      <c r="DN85" s="358"/>
      <c r="DO85" s="16"/>
      <c r="DP85" s="1079"/>
      <c r="DQ85" s="358"/>
      <c r="DR85" s="358"/>
      <c r="DS85" s="358"/>
      <c r="DT85" s="16"/>
      <c r="DU85" s="16"/>
      <c r="DV85" s="16"/>
    </row>
    <row r="86" spans="1:126" s="15" customFormat="1">
      <c r="B86" s="147" t="s">
        <v>60</v>
      </c>
      <c r="C86" s="16"/>
      <c r="D86" s="16"/>
      <c r="E86" s="16"/>
      <c r="F86" s="16"/>
      <c r="G86" s="16"/>
      <c r="H86" s="16"/>
      <c r="I86" s="16"/>
      <c r="N86" s="16"/>
      <c r="S86" s="16"/>
      <c r="X86" s="16"/>
      <c r="AC86" s="16"/>
      <c r="AH86" s="16"/>
      <c r="AJ86" s="12"/>
      <c r="AK86" s="49"/>
      <c r="AL86" s="49"/>
      <c r="AM86" s="16"/>
      <c r="AO86" s="313"/>
      <c r="AP86" s="313"/>
      <c r="AQ86" s="313"/>
      <c r="AR86" s="16"/>
      <c r="AS86" s="313"/>
      <c r="AT86" s="313"/>
      <c r="AU86" s="313"/>
      <c r="AV86" s="313"/>
      <c r="AW86" s="16"/>
      <c r="AX86" s="313"/>
      <c r="AY86" s="313"/>
      <c r="AZ86" s="313"/>
      <c r="BA86" s="313"/>
      <c r="BB86" s="16"/>
      <c r="BC86" s="313"/>
      <c r="BD86" s="313"/>
      <c r="BE86" s="313"/>
      <c r="BG86" s="16"/>
      <c r="BI86" s="358"/>
      <c r="BJ86" s="358"/>
      <c r="BK86" s="358"/>
      <c r="BL86" s="16"/>
      <c r="BN86" s="358"/>
      <c r="BO86" s="358"/>
      <c r="BP86" s="358"/>
      <c r="BQ86" s="16"/>
      <c r="BR86" s="407"/>
      <c r="BS86" s="358"/>
      <c r="BT86" s="313"/>
      <c r="BU86" s="358"/>
      <c r="BV86" s="16"/>
      <c r="BW86" s="448"/>
      <c r="BX86" s="435"/>
      <c r="BY86" s="446"/>
      <c r="BZ86" s="446"/>
      <c r="CA86" s="16"/>
      <c r="CB86" s="358"/>
      <c r="CC86" s="358"/>
      <c r="CD86" s="358"/>
      <c r="CE86" s="358"/>
      <c r="CF86" s="16"/>
      <c r="CG86" s="358"/>
      <c r="CH86" s="358"/>
      <c r="CI86" s="358"/>
      <c r="CJ86" s="358"/>
      <c r="CK86" s="16"/>
      <c r="CL86" s="358"/>
      <c r="CM86" s="358"/>
      <c r="CN86" s="358"/>
      <c r="CO86" s="358">
        <v>-9749</v>
      </c>
      <c r="CP86" s="222">
        <f t="shared" si="332"/>
        <v>-9749</v>
      </c>
      <c r="CQ86" s="358">
        <v>-8893</v>
      </c>
      <c r="CR86" s="358">
        <v>-7820</v>
      </c>
      <c r="CS86" s="358">
        <v>-5078</v>
      </c>
      <c r="CT86" s="358">
        <v>1582</v>
      </c>
      <c r="CU86" s="222">
        <f t="shared" si="333"/>
        <v>1582</v>
      </c>
      <c r="CV86" s="358">
        <v>1341</v>
      </c>
      <c r="CW86" s="358">
        <v>-1852</v>
      </c>
      <c r="CX86" s="358">
        <v>-4405</v>
      </c>
      <c r="CY86" s="358">
        <v>-2272</v>
      </c>
      <c r="CZ86" s="222">
        <f t="shared" si="334"/>
        <v>-2272</v>
      </c>
      <c r="DA86" s="358">
        <v>-3289</v>
      </c>
      <c r="DB86" s="358">
        <v>-3573</v>
      </c>
      <c r="DC86" s="358">
        <v>-3351</v>
      </c>
      <c r="DD86" s="358">
        <v>-6150</v>
      </c>
      <c r="DE86" s="222">
        <f t="shared" si="335"/>
        <v>-6150</v>
      </c>
      <c r="DF86" s="358">
        <v>-5603</v>
      </c>
      <c r="DG86" s="358">
        <v>-4035</v>
      </c>
      <c r="DH86" s="358">
        <v>-4375</v>
      </c>
      <c r="DI86" s="358">
        <v>-3861</v>
      </c>
      <c r="DJ86" s="222">
        <f t="shared" si="336"/>
        <v>-3861</v>
      </c>
      <c r="DK86" s="1079">
        <v>-3733</v>
      </c>
      <c r="DL86" s="1079">
        <v>-4024</v>
      </c>
      <c r="DM86" s="358"/>
      <c r="DN86" s="358"/>
      <c r="DO86" s="16"/>
      <c r="DP86" s="1079"/>
      <c r="DQ86" s="358"/>
      <c r="DR86" s="358"/>
      <c r="DS86" s="358"/>
      <c r="DT86" s="16"/>
      <c r="DU86" s="16"/>
      <c r="DV86" s="16"/>
    </row>
    <row r="87" spans="1:126" s="15" customFormat="1">
      <c r="B87" s="147" t="s">
        <v>498</v>
      </c>
      <c r="C87" s="16"/>
      <c r="D87" s="16"/>
      <c r="E87" s="16"/>
      <c r="F87" s="16"/>
      <c r="G87" s="16"/>
      <c r="H87" s="16"/>
      <c r="I87" s="16"/>
      <c r="N87" s="16"/>
      <c r="S87" s="16"/>
      <c r="X87" s="16"/>
      <c r="AC87" s="16"/>
      <c r="AH87" s="16"/>
      <c r="AJ87" s="12"/>
      <c r="AK87" s="49"/>
      <c r="AL87" s="49"/>
      <c r="AM87" s="16"/>
      <c r="AO87" s="313"/>
      <c r="AP87" s="313"/>
      <c r="AQ87" s="313"/>
      <c r="AR87" s="16"/>
      <c r="AS87" s="313"/>
      <c r="AT87" s="313"/>
      <c r="AU87" s="313"/>
      <c r="AV87" s="313"/>
      <c r="AW87" s="16"/>
      <c r="AX87" s="313"/>
      <c r="AY87" s="313"/>
      <c r="AZ87" s="313"/>
      <c r="BA87" s="313"/>
      <c r="BB87" s="16"/>
      <c r="BC87" s="313"/>
      <c r="BD87" s="313"/>
      <c r="BE87" s="313"/>
      <c r="BG87" s="16"/>
      <c r="BI87" s="358"/>
      <c r="BJ87" s="358"/>
      <c r="BK87" s="358"/>
      <c r="BL87" s="16"/>
      <c r="BN87" s="358"/>
      <c r="BO87" s="358"/>
      <c r="BP87" s="358"/>
      <c r="BQ87" s="16"/>
      <c r="BR87" s="407"/>
      <c r="BS87" s="358"/>
      <c r="BT87" s="313"/>
      <c r="BU87" s="358"/>
      <c r="BV87" s="16"/>
      <c r="BW87" s="448"/>
      <c r="BX87" s="435"/>
      <c r="BY87" s="446"/>
      <c r="BZ87" s="446"/>
      <c r="CA87" s="16"/>
      <c r="CB87" s="358"/>
      <c r="CC87" s="358"/>
      <c r="CD87" s="358"/>
      <c r="CE87" s="358"/>
      <c r="CF87" s="16"/>
      <c r="CG87" s="358"/>
      <c r="CH87" s="358"/>
      <c r="CI87" s="358"/>
      <c r="CJ87" s="358"/>
      <c r="CK87" s="16"/>
      <c r="CL87" s="358"/>
      <c r="CM87" s="358"/>
      <c r="CN87" s="358"/>
      <c r="CO87" s="358">
        <v>34307</v>
      </c>
      <c r="CP87" s="222">
        <f t="shared" si="332"/>
        <v>34307</v>
      </c>
      <c r="CQ87" s="358">
        <v>34042</v>
      </c>
      <c r="CR87" s="358">
        <f>34032-1</f>
        <v>34031</v>
      </c>
      <c r="CS87" s="358">
        <f>34751-1</f>
        <v>34750</v>
      </c>
      <c r="CT87" s="358">
        <v>34691</v>
      </c>
      <c r="CU87" s="222">
        <f t="shared" si="333"/>
        <v>34691</v>
      </c>
      <c r="CV87" s="358">
        <v>34391</v>
      </c>
      <c r="CW87" s="358">
        <v>34382</v>
      </c>
      <c r="CX87" s="358">
        <v>34254</v>
      </c>
      <c r="CY87" s="358">
        <v>34173</v>
      </c>
      <c r="CZ87" s="222">
        <f t="shared" si="334"/>
        <v>34173</v>
      </c>
      <c r="DA87" s="358">
        <v>30729</v>
      </c>
      <c r="DB87" s="358">
        <v>30426</v>
      </c>
      <c r="DC87" s="358">
        <v>27229</v>
      </c>
      <c r="DD87" s="358">
        <v>26962</v>
      </c>
      <c r="DE87" s="222">
        <f t="shared" si="335"/>
        <v>26962</v>
      </c>
      <c r="DF87" s="358">
        <v>25887</v>
      </c>
      <c r="DG87" s="358">
        <v>25282</v>
      </c>
      <c r="DH87" s="358">
        <v>24406</v>
      </c>
      <c r="DI87" s="358">
        <v>24266</v>
      </c>
      <c r="DJ87" s="222">
        <f t="shared" si="336"/>
        <v>24266</v>
      </c>
      <c r="DK87" s="1079">
        <v>23912</v>
      </c>
      <c r="DL87" s="1079">
        <v>23839</v>
      </c>
      <c r="DM87" s="358"/>
      <c r="DN87" s="358"/>
      <c r="DO87" s="16"/>
      <c r="DP87" s="1079"/>
      <c r="DQ87" s="358"/>
      <c r="DR87" s="358"/>
      <c r="DS87" s="358"/>
      <c r="DT87" s="16"/>
      <c r="DU87" s="16"/>
      <c r="DV87" s="16"/>
    </row>
    <row r="88" spans="1:126" s="15" customFormat="1">
      <c r="B88" s="147" t="s">
        <v>59</v>
      </c>
      <c r="C88" s="16"/>
      <c r="D88" s="16"/>
      <c r="E88" s="16"/>
      <c r="F88" s="16"/>
      <c r="G88" s="16"/>
      <c r="H88" s="16"/>
      <c r="I88" s="16"/>
      <c r="N88" s="16"/>
      <c r="S88" s="16"/>
      <c r="X88" s="16"/>
      <c r="AC88" s="16"/>
      <c r="AH88" s="16"/>
      <c r="AJ88" s="12"/>
      <c r="AK88" s="49"/>
      <c r="AM88" s="16"/>
      <c r="AO88" s="313"/>
      <c r="AP88" s="313"/>
      <c r="AQ88" s="313"/>
      <c r="AR88" s="16"/>
      <c r="AS88" s="313"/>
      <c r="AT88" s="313"/>
      <c r="AU88" s="313"/>
      <c r="AV88" s="313"/>
      <c r="AW88" s="16"/>
      <c r="AX88" s="313"/>
      <c r="AY88" s="313"/>
      <c r="AZ88" s="313"/>
      <c r="BA88" s="313"/>
      <c r="BB88" s="16"/>
      <c r="BC88" s="313"/>
      <c r="BD88" s="313"/>
      <c r="BE88" s="313"/>
      <c r="BF88" s="313"/>
      <c r="BG88" s="16"/>
      <c r="BH88" s="313"/>
      <c r="BI88" s="358"/>
      <c r="BJ88" s="358"/>
      <c r="BK88" s="358"/>
      <c r="BL88" s="16"/>
      <c r="BM88" s="358"/>
      <c r="BN88" s="358"/>
      <c r="BO88" s="358"/>
      <c r="BP88" s="358"/>
      <c r="BQ88" s="16"/>
      <c r="BR88" s="407"/>
      <c r="BS88" s="358"/>
      <c r="BT88" s="313"/>
      <c r="BU88" s="358"/>
      <c r="BV88" s="16"/>
      <c r="BW88" s="446"/>
      <c r="BX88" s="435"/>
      <c r="BY88" s="446"/>
      <c r="BZ88" s="446"/>
      <c r="CA88" s="16"/>
      <c r="CB88" s="358"/>
      <c r="CC88" s="358"/>
      <c r="CD88" s="358"/>
      <c r="CE88" s="358"/>
      <c r="CF88" s="16"/>
      <c r="CG88" s="358"/>
      <c r="CH88" s="358"/>
      <c r="CI88" s="358"/>
      <c r="CJ88" s="358"/>
      <c r="CK88" s="16"/>
      <c r="CL88" s="358"/>
      <c r="CM88" s="358"/>
      <c r="CN88" s="358"/>
      <c r="CO88" s="358">
        <v>92247</v>
      </c>
      <c r="CP88" s="222">
        <f t="shared" si="332"/>
        <v>92247</v>
      </c>
      <c r="CQ88" s="358">
        <v>89276</v>
      </c>
      <c r="CR88" s="358">
        <v>87993</v>
      </c>
      <c r="CS88" s="358">
        <v>89098</v>
      </c>
      <c r="CT88" s="358">
        <v>85110</v>
      </c>
      <c r="CU88" s="222">
        <f t="shared" si="333"/>
        <v>85110</v>
      </c>
      <c r="CV88" s="358">
        <v>83927</v>
      </c>
      <c r="CW88" s="358">
        <v>82981</v>
      </c>
      <c r="CX88" s="358">
        <v>82655</v>
      </c>
      <c r="CY88" s="358">
        <v>82983</v>
      </c>
      <c r="CZ88" s="222">
        <f t="shared" si="334"/>
        <v>82983</v>
      </c>
      <c r="DA88" s="358">
        <v>84955</v>
      </c>
      <c r="DB88" s="358">
        <v>84848</v>
      </c>
      <c r="DC88" s="358">
        <v>85017</v>
      </c>
      <c r="DD88" s="358">
        <v>86527</v>
      </c>
      <c r="DE88" s="222">
        <f t="shared" si="335"/>
        <v>86527</v>
      </c>
      <c r="DF88" s="358">
        <v>88065</v>
      </c>
      <c r="DG88" s="358">
        <v>77349</v>
      </c>
      <c r="DH88" s="358">
        <v>78889</v>
      </c>
      <c r="DI88" s="358">
        <v>80488</v>
      </c>
      <c r="DJ88" s="222">
        <f t="shared" si="336"/>
        <v>80488</v>
      </c>
      <c r="DK88" s="1079">
        <v>82081</v>
      </c>
      <c r="DL88" s="1079">
        <v>83726</v>
      </c>
      <c r="DM88" s="358"/>
      <c r="DN88" s="358"/>
      <c r="DO88" s="16"/>
      <c r="DP88" s="1079"/>
      <c r="DQ88" s="358"/>
      <c r="DR88" s="358"/>
      <c r="DS88" s="358"/>
      <c r="DT88" s="16"/>
      <c r="DU88" s="16"/>
      <c r="DV88" s="16"/>
    </row>
    <row r="89" spans="1:126" s="15" customFormat="1">
      <c r="B89" s="147" t="s">
        <v>499</v>
      </c>
      <c r="C89" s="215"/>
      <c r="D89" s="215"/>
      <c r="E89" s="215"/>
      <c r="F89" s="215"/>
      <c r="G89" s="215"/>
      <c r="H89" s="215"/>
      <c r="I89" s="215"/>
      <c r="J89" s="191"/>
      <c r="K89" s="191"/>
      <c r="L89" s="191"/>
      <c r="M89" s="191"/>
      <c r="N89" s="215"/>
      <c r="O89" s="191"/>
      <c r="P89" s="191"/>
      <c r="Q89" s="191"/>
      <c r="R89" s="191"/>
      <c r="S89" s="215"/>
      <c r="T89" s="191"/>
      <c r="U89" s="191"/>
      <c r="V89" s="191"/>
      <c r="W89" s="191"/>
      <c r="X89" s="215"/>
      <c r="Y89" s="191"/>
      <c r="Z89" s="191"/>
      <c r="AA89" s="191"/>
      <c r="AB89" s="191"/>
      <c r="AC89" s="215"/>
      <c r="AD89" s="191"/>
      <c r="AE89" s="191"/>
      <c r="AF89" s="191"/>
      <c r="AG89" s="191"/>
      <c r="AH89" s="215"/>
      <c r="AI89" s="191"/>
      <c r="AJ89" s="264"/>
      <c r="AK89" s="196"/>
      <c r="AL89" s="191"/>
      <c r="AM89" s="215"/>
      <c r="AO89" s="196"/>
      <c r="AP89" s="196"/>
      <c r="AQ89" s="196"/>
      <c r="AR89" s="215"/>
      <c r="AS89" s="196"/>
      <c r="AT89" s="196"/>
      <c r="AU89" s="196"/>
      <c r="AV89" s="196"/>
      <c r="AW89" s="215"/>
      <c r="AX89" s="196"/>
      <c r="AY89" s="196"/>
      <c r="AZ89" s="196"/>
      <c r="BA89" s="196"/>
      <c r="BB89" s="215"/>
      <c r="BC89" s="196"/>
      <c r="BD89" s="196"/>
      <c r="BE89" s="191"/>
      <c r="BF89" s="196"/>
      <c r="BG89" s="215"/>
      <c r="BH89" s="196"/>
      <c r="BI89" s="384"/>
      <c r="BJ89" s="384"/>
      <c r="BK89" s="384"/>
      <c r="BL89" s="215"/>
      <c r="BM89" s="196"/>
      <c r="BN89" s="384"/>
      <c r="BO89" s="384"/>
      <c r="BP89" s="384"/>
      <c r="BQ89" s="215"/>
      <c r="BR89" s="411"/>
      <c r="BS89" s="196"/>
      <c r="BT89" s="196"/>
      <c r="BU89" s="196"/>
      <c r="BV89" s="215"/>
      <c r="BW89" s="451"/>
      <c r="BX89" s="451"/>
      <c r="BY89" s="452"/>
      <c r="BZ89" s="452"/>
      <c r="CA89" s="215"/>
      <c r="CB89" s="196"/>
      <c r="CC89" s="384"/>
      <c r="CD89" s="384"/>
      <c r="CE89" s="384"/>
      <c r="CF89" s="215"/>
      <c r="CG89" s="384"/>
      <c r="CH89" s="384"/>
      <c r="CI89" s="384"/>
      <c r="CJ89" s="384"/>
      <c r="CK89" s="215"/>
      <c r="CL89" s="384"/>
      <c r="CM89" s="384"/>
      <c r="CN89" s="384"/>
      <c r="CO89" s="384">
        <v>-81961</v>
      </c>
      <c r="CP89" s="222">
        <f t="shared" si="332"/>
        <v>-81961</v>
      </c>
      <c r="CQ89" s="384">
        <v>-81548</v>
      </c>
      <c r="CR89" s="384">
        <v>-81425</v>
      </c>
      <c r="CS89" s="384">
        <v>-81314</v>
      </c>
      <c r="CT89" s="384">
        <v>-81093</v>
      </c>
      <c r="CU89" s="222">
        <f t="shared" si="333"/>
        <v>-81093</v>
      </c>
      <c r="CV89" s="384">
        <v>-80673</v>
      </c>
      <c r="CW89" s="384">
        <v>-80883</v>
      </c>
      <c r="CX89" s="384">
        <v>-81049</v>
      </c>
      <c r="CY89" s="384">
        <v>-81209</v>
      </c>
      <c r="CZ89" s="222">
        <f t="shared" si="334"/>
        <v>-81209</v>
      </c>
      <c r="DA89" s="384">
        <v>-80762</v>
      </c>
      <c r="DB89" s="384">
        <v>-80524</v>
      </c>
      <c r="DC89" s="384">
        <v>-80244</v>
      </c>
      <c r="DD89" s="384">
        <v>-79976</v>
      </c>
      <c r="DE89" s="222">
        <f t="shared" si="335"/>
        <v>-79976</v>
      </c>
      <c r="DF89" s="384">
        <v>-78508</v>
      </c>
      <c r="DG89" s="384">
        <v>-80013</v>
      </c>
      <c r="DH89" s="384">
        <v>-80061</v>
      </c>
      <c r="DI89" s="384">
        <v>-81566</v>
      </c>
      <c r="DJ89" s="222">
        <f t="shared" si="336"/>
        <v>-81566</v>
      </c>
      <c r="DK89" s="1084">
        <v>-83024</v>
      </c>
      <c r="DL89" s="1084">
        <v>-84421</v>
      </c>
      <c r="DM89" s="384"/>
      <c r="DN89" s="384"/>
      <c r="DO89" s="16"/>
      <c r="DP89" s="1084"/>
      <c r="DQ89" s="384"/>
      <c r="DR89" s="384"/>
      <c r="DS89" s="384"/>
      <c r="DT89" s="16"/>
      <c r="DU89" s="16"/>
      <c r="DV89" s="16"/>
    </row>
    <row r="90" spans="1:126" s="15" customFormat="1" ht="12">
      <c r="B90" s="194" t="s">
        <v>500</v>
      </c>
      <c r="C90" s="197">
        <f t="shared" ref="C90:BN90" si="337">SUM(C84:C89)</f>
        <v>0</v>
      </c>
      <c r="D90" s="197">
        <f t="shared" si="337"/>
        <v>0</v>
      </c>
      <c r="E90" s="197">
        <f t="shared" si="337"/>
        <v>0</v>
      </c>
      <c r="F90" s="197">
        <f t="shared" si="337"/>
        <v>0</v>
      </c>
      <c r="G90" s="197">
        <f t="shared" si="337"/>
        <v>0</v>
      </c>
      <c r="H90" s="197">
        <f t="shared" si="337"/>
        <v>0</v>
      </c>
      <c r="I90" s="197">
        <f t="shared" si="337"/>
        <v>0</v>
      </c>
      <c r="J90" s="198">
        <f t="shared" si="337"/>
        <v>0</v>
      </c>
      <c r="K90" s="198">
        <f t="shared" si="337"/>
        <v>0</v>
      </c>
      <c r="L90" s="198">
        <f t="shared" si="337"/>
        <v>0</v>
      </c>
      <c r="M90" s="198">
        <f t="shared" si="337"/>
        <v>0</v>
      </c>
      <c r="N90" s="197">
        <f t="shared" si="337"/>
        <v>0</v>
      </c>
      <c r="O90" s="198">
        <f t="shared" si="337"/>
        <v>0</v>
      </c>
      <c r="P90" s="198">
        <f t="shared" si="337"/>
        <v>0</v>
      </c>
      <c r="Q90" s="198">
        <f t="shared" si="337"/>
        <v>0</v>
      </c>
      <c r="R90" s="198">
        <f t="shared" si="337"/>
        <v>0</v>
      </c>
      <c r="S90" s="197">
        <f t="shared" si="337"/>
        <v>0</v>
      </c>
      <c r="T90" s="198">
        <f t="shared" si="337"/>
        <v>0</v>
      </c>
      <c r="U90" s="198">
        <f t="shared" si="337"/>
        <v>0</v>
      </c>
      <c r="V90" s="198">
        <f t="shared" si="337"/>
        <v>0</v>
      </c>
      <c r="W90" s="198">
        <f t="shared" si="337"/>
        <v>0</v>
      </c>
      <c r="X90" s="197">
        <f t="shared" si="337"/>
        <v>0</v>
      </c>
      <c r="Y90" s="198">
        <f t="shared" si="337"/>
        <v>0</v>
      </c>
      <c r="Z90" s="198">
        <f t="shared" si="337"/>
        <v>0</v>
      </c>
      <c r="AA90" s="198">
        <f t="shared" si="337"/>
        <v>0</v>
      </c>
      <c r="AB90" s="198">
        <f t="shared" si="337"/>
        <v>0</v>
      </c>
      <c r="AC90" s="197">
        <f t="shared" si="337"/>
        <v>0</v>
      </c>
      <c r="AD90" s="198">
        <f t="shared" si="337"/>
        <v>0</v>
      </c>
      <c r="AE90" s="198">
        <f t="shared" si="337"/>
        <v>0</v>
      </c>
      <c r="AF90" s="198">
        <f t="shared" si="337"/>
        <v>0</v>
      </c>
      <c r="AG90" s="198">
        <f t="shared" si="337"/>
        <v>0</v>
      </c>
      <c r="AH90" s="197">
        <f t="shared" si="337"/>
        <v>0</v>
      </c>
      <c r="AI90" s="198">
        <f t="shared" si="337"/>
        <v>0</v>
      </c>
      <c r="AJ90" s="198">
        <f t="shared" si="337"/>
        <v>0</v>
      </c>
      <c r="AK90" s="198">
        <f t="shared" si="337"/>
        <v>0</v>
      </c>
      <c r="AL90" s="198">
        <f t="shared" si="337"/>
        <v>0</v>
      </c>
      <c r="AM90" s="197">
        <f t="shared" si="337"/>
        <v>0</v>
      </c>
      <c r="AN90" s="198">
        <f t="shared" si="337"/>
        <v>0</v>
      </c>
      <c r="AO90" s="198">
        <f t="shared" si="337"/>
        <v>0</v>
      </c>
      <c r="AP90" s="198">
        <f t="shared" si="337"/>
        <v>0</v>
      </c>
      <c r="AQ90" s="198">
        <f t="shared" si="337"/>
        <v>0</v>
      </c>
      <c r="AR90" s="197">
        <f t="shared" si="337"/>
        <v>0</v>
      </c>
      <c r="AS90" s="198">
        <f t="shared" si="337"/>
        <v>0</v>
      </c>
      <c r="AT90" s="198">
        <f t="shared" si="337"/>
        <v>0</v>
      </c>
      <c r="AU90" s="198">
        <f t="shared" si="337"/>
        <v>0</v>
      </c>
      <c r="AV90" s="198">
        <f t="shared" si="337"/>
        <v>0</v>
      </c>
      <c r="AW90" s="197">
        <f t="shared" si="337"/>
        <v>0</v>
      </c>
      <c r="AX90" s="198">
        <f t="shared" si="337"/>
        <v>0</v>
      </c>
      <c r="AY90" s="198">
        <f t="shared" si="337"/>
        <v>0</v>
      </c>
      <c r="AZ90" s="198">
        <f t="shared" si="337"/>
        <v>0</v>
      </c>
      <c r="BA90" s="198">
        <f t="shared" si="337"/>
        <v>0</v>
      </c>
      <c r="BB90" s="197">
        <f t="shared" si="337"/>
        <v>0</v>
      </c>
      <c r="BC90" s="216">
        <f t="shared" si="337"/>
        <v>0</v>
      </c>
      <c r="BD90" s="216">
        <f t="shared" si="337"/>
        <v>0</v>
      </c>
      <c r="BE90" s="216">
        <f t="shared" si="337"/>
        <v>0</v>
      </c>
      <c r="BF90" s="216">
        <f t="shared" si="337"/>
        <v>0</v>
      </c>
      <c r="BG90" s="197">
        <f t="shared" si="337"/>
        <v>0</v>
      </c>
      <c r="BH90" s="216">
        <f t="shared" si="337"/>
        <v>0</v>
      </c>
      <c r="BI90" s="378">
        <f t="shared" si="337"/>
        <v>0</v>
      </c>
      <c r="BJ90" s="378">
        <f t="shared" si="337"/>
        <v>0</v>
      </c>
      <c r="BK90" s="378">
        <f t="shared" si="337"/>
        <v>0</v>
      </c>
      <c r="BL90" s="197">
        <f t="shared" si="337"/>
        <v>0</v>
      </c>
      <c r="BM90" s="378">
        <f t="shared" si="337"/>
        <v>0</v>
      </c>
      <c r="BN90" s="378">
        <f t="shared" si="337"/>
        <v>0</v>
      </c>
      <c r="BO90" s="378">
        <f t="shared" ref="BO90:CK90" si="338">SUM(BO84:BO89)</f>
        <v>0</v>
      </c>
      <c r="BP90" s="378">
        <f t="shared" si="338"/>
        <v>0</v>
      </c>
      <c r="BQ90" s="197">
        <f t="shared" si="338"/>
        <v>0</v>
      </c>
      <c r="BR90" s="410">
        <f t="shared" si="338"/>
        <v>0</v>
      </c>
      <c r="BS90" s="378">
        <f t="shared" si="338"/>
        <v>0</v>
      </c>
      <c r="BT90" s="393">
        <f t="shared" si="338"/>
        <v>0</v>
      </c>
      <c r="BU90" s="393">
        <f t="shared" si="338"/>
        <v>0</v>
      </c>
      <c r="BV90" s="197">
        <f t="shared" si="338"/>
        <v>0</v>
      </c>
      <c r="BW90" s="454">
        <f t="shared" si="338"/>
        <v>0</v>
      </c>
      <c r="BX90" s="454">
        <f t="shared" si="338"/>
        <v>0</v>
      </c>
      <c r="BY90" s="454">
        <f t="shared" si="338"/>
        <v>0</v>
      </c>
      <c r="BZ90" s="454">
        <f t="shared" si="338"/>
        <v>0</v>
      </c>
      <c r="CA90" s="197">
        <f t="shared" si="338"/>
        <v>0</v>
      </c>
      <c r="CB90" s="393">
        <f t="shared" si="338"/>
        <v>0</v>
      </c>
      <c r="CC90" s="393">
        <f t="shared" si="338"/>
        <v>0</v>
      </c>
      <c r="CD90" s="393">
        <f t="shared" si="338"/>
        <v>0</v>
      </c>
      <c r="CE90" s="393">
        <f t="shared" si="338"/>
        <v>0</v>
      </c>
      <c r="CF90" s="197">
        <f t="shared" si="338"/>
        <v>0</v>
      </c>
      <c r="CG90" s="393">
        <f t="shared" si="338"/>
        <v>0</v>
      </c>
      <c r="CH90" s="393">
        <f t="shared" si="338"/>
        <v>0</v>
      </c>
      <c r="CI90" s="393">
        <f t="shared" si="338"/>
        <v>0</v>
      </c>
      <c r="CJ90" s="393">
        <f t="shared" si="338"/>
        <v>0</v>
      </c>
      <c r="CK90" s="197">
        <f t="shared" si="338"/>
        <v>0</v>
      </c>
      <c r="CL90" s="393">
        <f>SUM(CL84:CL89)</f>
        <v>0</v>
      </c>
      <c r="CM90" s="393">
        <f t="shared" ref="CM90:DB90" si="339">SUM(CM84:CM89)</f>
        <v>0</v>
      </c>
      <c r="CN90" s="393">
        <f t="shared" si="339"/>
        <v>0</v>
      </c>
      <c r="CO90" s="393">
        <f t="shared" si="339"/>
        <v>35552</v>
      </c>
      <c r="CP90" s="225">
        <f t="shared" si="339"/>
        <v>35552</v>
      </c>
      <c r="CQ90" s="393">
        <f t="shared" si="339"/>
        <v>33585</v>
      </c>
      <c r="CR90" s="393">
        <f t="shared" si="339"/>
        <v>33487</v>
      </c>
      <c r="CS90" s="393">
        <f t="shared" si="339"/>
        <v>37477</v>
      </c>
      <c r="CT90" s="393">
        <f t="shared" si="339"/>
        <v>40311</v>
      </c>
      <c r="CU90" s="225">
        <f t="shared" si="339"/>
        <v>40311</v>
      </c>
      <c r="CV90" s="393">
        <f t="shared" si="339"/>
        <v>39007</v>
      </c>
      <c r="CW90" s="393">
        <f t="shared" si="339"/>
        <v>34649</v>
      </c>
      <c r="CX90" s="393">
        <f t="shared" si="339"/>
        <v>31476</v>
      </c>
      <c r="CY90" s="393">
        <f t="shared" si="339"/>
        <v>33696</v>
      </c>
      <c r="CZ90" s="225">
        <f t="shared" si="339"/>
        <v>33696</v>
      </c>
      <c r="DA90" s="393">
        <f t="shared" si="339"/>
        <v>31651</v>
      </c>
      <c r="DB90" s="393">
        <f t="shared" si="339"/>
        <v>31195</v>
      </c>
      <c r="DC90" s="393">
        <f t="shared" ref="DC90" si="340">SUM(DC84:DC89)</f>
        <v>28666</v>
      </c>
      <c r="DD90" s="393">
        <f t="shared" ref="DD90" si="341">SUM(DD84:DD89)</f>
        <v>27378</v>
      </c>
      <c r="DE90" s="225">
        <f t="shared" ref="DE90:DI90" si="342">SUM(DE84:DE89)</f>
        <v>27378</v>
      </c>
      <c r="DF90" s="393">
        <f t="shared" si="342"/>
        <v>29856</v>
      </c>
      <c r="DG90" s="393">
        <f t="shared" si="342"/>
        <v>18598</v>
      </c>
      <c r="DH90" s="393">
        <f t="shared" si="342"/>
        <v>18874</v>
      </c>
      <c r="DI90" s="393">
        <f t="shared" si="342"/>
        <v>19342</v>
      </c>
      <c r="DJ90" s="225">
        <f t="shared" ref="DJ90:DL90" si="343">SUM(DJ84:DJ89)</f>
        <v>19342</v>
      </c>
      <c r="DK90" s="393">
        <f t="shared" si="343"/>
        <v>19251</v>
      </c>
      <c r="DL90" s="393">
        <f t="shared" si="343"/>
        <v>19135</v>
      </c>
      <c r="DM90" s="393"/>
      <c r="DN90" s="393"/>
      <c r="DO90" s="16"/>
      <c r="DP90" s="393"/>
      <c r="DQ90" s="393"/>
      <c r="DR90" s="393"/>
      <c r="DS90" s="393"/>
      <c r="DT90" s="16"/>
      <c r="DU90" s="16"/>
      <c r="DV90" s="16"/>
    </row>
    <row r="91" spans="1:126" s="221" customFormat="1" ht="12">
      <c r="A91" s="15"/>
      <c r="B91" s="147" t="s">
        <v>501</v>
      </c>
      <c r="C91" s="197"/>
      <c r="D91" s="197"/>
      <c r="E91" s="197"/>
      <c r="F91" s="197"/>
      <c r="G91" s="197"/>
      <c r="H91" s="197"/>
      <c r="I91" s="197"/>
      <c r="J91" s="198"/>
      <c r="K91" s="198"/>
      <c r="L91" s="198"/>
      <c r="M91" s="198"/>
      <c r="N91" s="197"/>
      <c r="O91" s="198"/>
      <c r="P91" s="198"/>
      <c r="Q91" s="198"/>
      <c r="R91" s="198"/>
      <c r="S91" s="197"/>
      <c r="T91" s="198"/>
      <c r="U91" s="198"/>
      <c r="V91" s="198"/>
      <c r="W91" s="198"/>
      <c r="X91" s="197"/>
      <c r="Y91" s="198"/>
      <c r="Z91" s="198"/>
      <c r="AA91" s="198"/>
      <c r="AB91" s="198"/>
      <c r="AC91" s="197"/>
      <c r="AD91" s="198"/>
      <c r="AE91" s="198"/>
      <c r="AF91" s="198"/>
      <c r="AG91" s="198"/>
      <c r="AH91" s="197"/>
      <c r="AI91" s="198"/>
      <c r="AJ91" s="198"/>
      <c r="AK91" s="198"/>
      <c r="AL91" s="198"/>
      <c r="AM91" s="197"/>
      <c r="AN91" s="198"/>
      <c r="AO91" s="198"/>
      <c r="AP91" s="198"/>
      <c r="AQ91" s="198"/>
      <c r="AR91" s="197"/>
      <c r="AS91" s="198"/>
      <c r="AT91" s="198"/>
      <c r="AU91" s="198"/>
      <c r="AV91" s="198"/>
      <c r="AW91" s="197"/>
      <c r="AX91" s="198"/>
      <c r="AY91" s="198"/>
      <c r="AZ91" s="198"/>
      <c r="BA91" s="198"/>
      <c r="BB91" s="197"/>
      <c r="BC91" s="216"/>
      <c r="BD91" s="216"/>
      <c r="BE91" s="216"/>
      <c r="BF91" s="216"/>
      <c r="BG91" s="197"/>
      <c r="BH91" s="216"/>
      <c r="BI91" s="378"/>
      <c r="BJ91" s="378"/>
      <c r="BK91" s="378"/>
      <c r="BL91" s="197"/>
      <c r="BM91" s="378"/>
      <c r="BN91" s="378"/>
      <c r="BO91" s="378"/>
      <c r="BP91" s="378"/>
      <c r="BQ91" s="197"/>
      <c r="BR91" s="410"/>
      <c r="BS91" s="378"/>
      <c r="BT91" s="393"/>
      <c r="BU91" s="393"/>
      <c r="BV91" s="197"/>
      <c r="BW91" s="454"/>
      <c r="BX91" s="454"/>
      <c r="BY91" s="454"/>
      <c r="BZ91" s="454"/>
      <c r="CA91" s="197"/>
      <c r="CB91" s="393"/>
      <c r="CC91" s="393"/>
      <c r="CD91" s="393"/>
      <c r="CE91" s="393"/>
      <c r="CF91" s="197"/>
      <c r="CG91" s="393"/>
      <c r="CH91" s="393"/>
      <c r="CI91" s="393"/>
      <c r="CJ91" s="393"/>
      <c r="CK91" s="197"/>
      <c r="CL91" s="393"/>
      <c r="CM91" s="393"/>
      <c r="CN91" s="393"/>
      <c r="CO91" s="394">
        <v>1522</v>
      </c>
      <c r="CP91" s="222">
        <f t="shared" si="332"/>
        <v>1522</v>
      </c>
      <c r="CQ91" s="394">
        <v>1568</v>
      </c>
      <c r="CR91" s="394">
        <v>1560</v>
      </c>
      <c r="CS91" s="358">
        <v>1484</v>
      </c>
      <c r="CT91" s="358">
        <v>1302</v>
      </c>
      <c r="CU91" s="222">
        <f t="shared" si="333"/>
        <v>1302</v>
      </c>
      <c r="CV91" s="358">
        <v>1275</v>
      </c>
      <c r="CW91" s="358">
        <v>1294</v>
      </c>
      <c r="CX91" s="358">
        <v>1274</v>
      </c>
      <c r="CY91" s="358">
        <v>1216</v>
      </c>
      <c r="CZ91" s="222">
        <f t="shared" si="334"/>
        <v>1216</v>
      </c>
      <c r="DA91" s="358">
        <v>1171</v>
      </c>
      <c r="DB91" s="358">
        <v>1173</v>
      </c>
      <c r="DC91" s="358">
        <v>1167</v>
      </c>
      <c r="DD91" s="358">
        <v>1202</v>
      </c>
      <c r="DE91" s="222">
        <f t="shared" si="335"/>
        <v>1202</v>
      </c>
      <c r="DF91" s="358">
        <v>1249</v>
      </c>
      <c r="DG91" s="358">
        <v>245</v>
      </c>
      <c r="DH91" s="358">
        <v>229</v>
      </c>
      <c r="DI91" s="358">
        <f>223-1</f>
        <v>222</v>
      </c>
      <c r="DJ91" s="222">
        <f t="shared" si="336"/>
        <v>222</v>
      </c>
      <c r="DK91" s="1079">
        <v>217</v>
      </c>
      <c r="DL91" s="1079">
        <v>210</v>
      </c>
      <c r="DM91" s="394"/>
      <c r="DN91" s="394"/>
      <c r="DO91" s="222"/>
      <c r="DP91" s="1079"/>
      <c r="DQ91" s="394"/>
      <c r="DR91" s="394"/>
      <c r="DS91" s="394"/>
      <c r="DT91" s="222"/>
      <c r="DU91" s="222"/>
      <c r="DV91" s="222"/>
    </row>
    <row r="92" spans="1:126" s="15" customFormat="1" ht="12">
      <c r="B92" s="194" t="s">
        <v>502</v>
      </c>
      <c r="C92" s="197">
        <f>SUM(C90:C91)</f>
        <v>0</v>
      </c>
      <c r="D92" s="197">
        <f t="shared" ref="D92:BO92" si="344">SUM(D90:D91)</f>
        <v>0</v>
      </c>
      <c r="E92" s="197">
        <f t="shared" si="344"/>
        <v>0</v>
      </c>
      <c r="F92" s="197">
        <f t="shared" si="344"/>
        <v>0</v>
      </c>
      <c r="G92" s="197">
        <f t="shared" si="344"/>
        <v>0</v>
      </c>
      <c r="H92" s="197">
        <f t="shared" si="344"/>
        <v>0</v>
      </c>
      <c r="I92" s="197">
        <f t="shared" si="344"/>
        <v>0</v>
      </c>
      <c r="J92" s="198">
        <f t="shared" si="344"/>
        <v>0</v>
      </c>
      <c r="K92" s="198">
        <f t="shared" si="344"/>
        <v>0</v>
      </c>
      <c r="L92" s="198">
        <f t="shared" si="344"/>
        <v>0</v>
      </c>
      <c r="M92" s="198">
        <f t="shared" si="344"/>
        <v>0</v>
      </c>
      <c r="N92" s="197">
        <f t="shared" si="344"/>
        <v>0</v>
      </c>
      <c r="O92" s="198">
        <f t="shared" si="344"/>
        <v>0</v>
      </c>
      <c r="P92" s="198">
        <f t="shared" si="344"/>
        <v>0</v>
      </c>
      <c r="Q92" s="198">
        <f t="shared" si="344"/>
        <v>0</v>
      </c>
      <c r="R92" s="198">
        <f t="shared" si="344"/>
        <v>0</v>
      </c>
      <c r="S92" s="197">
        <f t="shared" si="344"/>
        <v>0</v>
      </c>
      <c r="T92" s="198">
        <f t="shared" si="344"/>
        <v>0</v>
      </c>
      <c r="U92" s="198">
        <f t="shared" si="344"/>
        <v>0</v>
      </c>
      <c r="V92" s="198">
        <f t="shared" si="344"/>
        <v>0</v>
      </c>
      <c r="W92" s="198">
        <f t="shared" si="344"/>
        <v>0</v>
      </c>
      <c r="X92" s="197">
        <f t="shared" si="344"/>
        <v>0</v>
      </c>
      <c r="Y92" s="198">
        <f t="shared" si="344"/>
        <v>0</v>
      </c>
      <c r="Z92" s="198">
        <f t="shared" si="344"/>
        <v>0</v>
      </c>
      <c r="AA92" s="198">
        <f t="shared" si="344"/>
        <v>0</v>
      </c>
      <c r="AB92" s="198">
        <f t="shared" si="344"/>
        <v>0</v>
      </c>
      <c r="AC92" s="197">
        <f t="shared" si="344"/>
        <v>0</v>
      </c>
      <c r="AD92" s="198">
        <f t="shared" si="344"/>
        <v>0</v>
      </c>
      <c r="AE92" s="198">
        <f t="shared" si="344"/>
        <v>0</v>
      </c>
      <c r="AF92" s="198">
        <f t="shared" si="344"/>
        <v>0</v>
      </c>
      <c r="AG92" s="198">
        <f t="shared" si="344"/>
        <v>0</v>
      </c>
      <c r="AH92" s="197">
        <f t="shared" si="344"/>
        <v>0</v>
      </c>
      <c r="AI92" s="198">
        <f t="shared" si="344"/>
        <v>0</v>
      </c>
      <c r="AJ92" s="198">
        <f t="shared" si="344"/>
        <v>0</v>
      </c>
      <c r="AK92" s="198">
        <f t="shared" si="344"/>
        <v>0</v>
      </c>
      <c r="AL92" s="198">
        <f t="shared" si="344"/>
        <v>0</v>
      </c>
      <c r="AM92" s="197">
        <f t="shared" si="344"/>
        <v>0</v>
      </c>
      <c r="AN92" s="198">
        <f t="shared" si="344"/>
        <v>0</v>
      </c>
      <c r="AO92" s="198">
        <f t="shared" si="344"/>
        <v>0</v>
      </c>
      <c r="AP92" s="198">
        <f t="shared" si="344"/>
        <v>0</v>
      </c>
      <c r="AQ92" s="198">
        <f t="shared" si="344"/>
        <v>0</v>
      </c>
      <c r="AR92" s="197">
        <f t="shared" si="344"/>
        <v>0</v>
      </c>
      <c r="AS92" s="198">
        <f t="shared" si="344"/>
        <v>0</v>
      </c>
      <c r="AT92" s="198">
        <f t="shared" si="344"/>
        <v>0</v>
      </c>
      <c r="AU92" s="198">
        <f t="shared" si="344"/>
        <v>0</v>
      </c>
      <c r="AV92" s="198">
        <f t="shared" si="344"/>
        <v>0</v>
      </c>
      <c r="AW92" s="197">
        <f t="shared" si="344"/>
        <v>0</v>
      </c>
      <c r="AX92" s="198">
        <f t="shared" si="344"/>
        <v>0</v>
      </c>
      <c r="AY92" s="198">
        <f t="shared" si="344"/>
        <v>0</v>
      </c>
      <c r="AZ92" s="198">
        <f t="shared" si="344"/>
        <v>0</v>
      </c>
      <c r="BA92" s="198">
        <f t="shared" si="344"/>
        <v>0</v>
      </c>
      <c r="BB92" s="197">
        <f t="shared" si="344"/>
        <v>0</v>
      </c>
      <c r="BC92" s="216">
        <f t="shared" si="344"/>
        <v>0</v>
      </c>
      <c r="BD92" s="216">
        <f t="shared" si="344"/>
        <v>0</v>
      </c>
      <c r="BE92" s="216">
        <f t="shared" si="344"/>
        <v>0</v>
      </c>
      <c r="BF92" s="216">
        <f t="shared" si="344"/>
        <v>0</v>
      </c>
      <c r="BG92" s="197">
        <f t="shared" si="344"/>
        <v>0</v>
      </c>
      <c r="BH92" s="216">
        <f t="shared" si="344"/>
        <v>0</v>
      </c>
      <c r="BI92" s="378">
        <f t="shared" si="344"/>
        <v>0</v>
      </c>
      <c r="BJ92" s="378">
        <f t="shared" si="344"/>
        <v>0</v>
      </c>
      <c r="BK92" s="378">
        <f t="shared" si="344"/>
        <v>0</v>
      </c>
      <c r="BL92" s="197">
        <f t="shared" si="344"/>
        <v>0</v>
      </c>
      <c r="BM92" s="378">
        <f t="shared" si="344"/>
        <v>0</v>
      </c>
      <c r="BN92" s="378">
        <f t="shared" si="344"/>
        <v>0</v>
      </c>
      <c r="BO92" s="378">
        <f t="shared" si="344"/>
        <v>0</v>
      </c>
      <c r="BP92" s="378">
        <f t="shared" ref="BP92:DE92" si="345">SUM(BP90:BP91)</f>
        <v>0</v>
      </c>
      <c r="BQ92" s="197">
        <f t="shared" si="345"/>
        <v>0</v>
      </c>
      <c r="BR92" s="410">
        <f t="shared" si="345"/>
        <v>0</v>
      </c>
      <c r="BS92" s="378">
        <f t="shared" si="345"/>
        <v>0</v>
      </c>
      <c r="BT92" s="393">
        <f t="shared" si="345"/>
        <v>0</v>
      </c>
      <c r="BU92" s="393">
        <f t="shared" si="345"/>
        <v>0</v>
      </c>
      <c r="BV92" s="197">
        <f t="shared" si="345"/>
        <v>0</v>
      </c>
      <c r="BW92" s="454">
        <f t="shared" si="345"/>
        <v>0</v>
      </c>
      <c r="BX92" s="454">
        <f t="shared" si="345"/>
        <v>0</v>
      </c>
      <c r="BY92" s="454">
        <f t="shared" si="345"/>
        <v>0</v>
      </c>
      <c r="BZ92" s="454">
        <f t="shared" si="345"/>
        <v>0</v>
      </c>
      <c r="CA92" s="197">
        <f t="shared" si="345"/>
        <v>0</v>
      </c>
      <c r="CB92" s="393">
        <f t="shared" si="345"/>
        <v>0</v>
      </c>
      <c r="CC92" s="393">
        <f t="shared" si="345"/>
        <v>0</v>
      </c>
      <c r="CD92" s="393">
        <f t="shared" si="345"/>
        <v>0</v>
      </c>
      <c r="CE92" s="393">
        <f t="shared" si="345"/>
        <v>0</v>
      </c>
      <c r="CF92" s="197">
        <f t="shared" si="345"/>
        <v>0</v>
      </c>
      <c r="CG92" s="393">
        <f t="shared" si="345"/>
        <v>0</v>
      </c>
      <c r="CH92" s="393">
        <f t="shared" si="345"/>
        <v>0</v>
      </c>
      <c r="CI92" s="393">
        <f t="shared" si="345"/>
        <v>0</v>
      </c>
      <c r="CJ92" s="393">
        <f t="shared" si="345"/>
        <v>0</v>
      </c>
      <c r="CK92" s="197">
        <f t="shared" si="345"/>
        <v>0</v>
      </c>
      <c r="CL92" s="393">
        <f t="shared" si="345"/>
        <v>0</v>
      </c>
      <c r="CM92" s="393">
        <f t="shared" si="345"/>
        <v>0</v>
      </c>
      <c r="CN92" s="393">
        <f t="shared" si="345"/>
        <v>0</v>
      </c>
      <c r="CO92" s="393">
        <f t="shared" si="345"/>
        <v>37074</v>
      </c>
      <c r="CP92" s="225">
        <f t="shared" si="345"/>
        <v>37074</v>
      </c>
      <c r="CQ92" s="393">
        <f t="shared" si="345"/>
        <v>35153</v>
      </c>
      <c r="CR92" s="393">
        <f t="shared" si="345"/>
        <v>35047</v>
      </c>
      <c r="CS92" s="393">
        <f t="shared" si="345"/>
        <v>38961</v>
      </c>
      <c r="CT92" s="393">
        <f t="shared" si="345"/>
        <v>41613</v>
      </c>
      <c r="CU92" s="225">
        <f t="shared" si="345"/>
        <v>41613</v>
      </c>
      <c r="CV92" s="393">
        <f t="shared" si="345"/>
        <v>40282</v>
      </c>
      <c r="CW92" s="393">
        <f t="shared" si="345"/>
        <v>35943</v>
      </c>
      <c r="CX92" s="393">
        <f t="shared" si="345"/>
        <v>32750</v>
      </c>
      <c r="CY92" s="393">
        <f t="shared" si="345"/>
        <v>34912</v>
      </c>
      <c r="CZ92" s="225">
        <f t="shared" si="345"/>
        <v>34912</v>
      </c>
      <c r="DA92" s="393">
        <f t="shared" si="345"/>
        <v>32822</v>
      </c>
      <c r="DB92" s="393">
        <f t="shared" si="345"/>
        <v>32368</v>
      </c>
      <c r="DC92" s="393">
        <f t="shared" si="345"/>
        <v>29833</v>
      </c>
      <c r="DD92" s="393">
        <f t="shared" si="345"/>
        <v>28580</v>
      </c>
      <c r="DE92" s="225">
        <f t="shared" si="345"/>
        <v>28580</v>
      </c>
      <c r="DF92" s="393">
        <f t="shared" ref="DF92:DG92" si="346">SUM(DF90:DF91)</f>
        <v>31105</v>
      </c>
      <c r="DG92" s="393">
        <f t="shared" si="346"/>
        <v>18843</v>
      </c>
      <c r="DH92" s="393">
        <f t="shared" ref="DH92:DJ92" si="347">SUM(DH90:DH91)</f>
        <v>19103</v>
      </c>
      <c r="DI92" s="393">
        <f t="shared" si="347"/>
        <v>19564</v>
      </c>
      <c r="DJ92" s="225">
        <f t="shared" si="347"/>
        <v>19564</v>
      </c>
      <c r="DK92" s="393">
        <f t="shared" ref="DK92:DL92" si="348">SUM(DK90:DK91)</f>
        <v>19468</v>
      </c>
      <c r="DL92" s="393">
        <f t="shared" si="348"/>
        <v>19345</v>
      </c>
      <c r="DM92" s="393"/>
      <c r="DN92" s="393"/>
      <c r="DO92" s="16"/>
      <c r="DP92" s="393"/>
      <c r="DQ92" s="393"/>
      <c r="DR92" s="393"/>
      <c r="DS92" s="393"/>
      <c r="DT92" s="16"/>
      <c r="DU92" s="16"/>
      <c r="DV92" s="16"/>
    </row>
    <row r="93" spans="1:126" s="15" customFormat="1" ht="12">
      <c r="B93" s="199" t="s">
        <v>69</v>
      </c>
      <c r="C93" s="130">
        <f t="shared" ref="C93:BN93" si="349">C83+C92</f>
        <v>0</v>
      </c>
      <c r="D93" s="130">
        <f t="shared" si="349"/>
        <v>0</v>
      </c>
      <c r="E93" s="130">
        <f t="shared" si="349"/>
        <v>0</v>
      </c>
      <c r="F93" s="130">
        <f t="shared" si="349"/>
        <v>0</v>
      </c>
      <c r="G93" s="130">
        <f t="shared" si="349"/>
        <v>0</v>
      </c>
      <c r="H93" s="130">
        <f t="shared" si="349"/>
        <v>0</v>
      </c>
      <c r="I93" s="130">
        <f t="shared" si="349"/>
        <v>0</v>
      </c>
      <c r="J93" s="189">
        <f t="shared" si="349"/>
        <v>0</v>
      </c>
      <c r="K93" s="189">
        <f t="shared" si="349"/>
        <v>0</v>
      </c>
      <c r="L93" s="189">
        <f t="shared" si="349"/>
        <v>0</v>
      </c>
      <c r="M93" s="189">
        <f t="shared" si="349"/>
        <v>0</v>
      </c>
      <c r="N93" s="130">
        <f t="shared" si="349"/>
        <v>0</v>
      </c>
      <c r="O93" s="189">
        <f t="shared" si="349"/>
        <v>0</v>
      </c>
      <c r="P93" s="189">
        <f t="shared" si="349"/>
        <v>0</v>
      </c>
      <c r="Q93" s="189">
        <f t="shared" si="349"/>
        <v>0</v>
      </c>
      <c r="R93" s="189">
        <f t="shared" si="349"/>
        <v>0</v>
      </c>
      <c r="S93" s="130">
        <f t="shared" si="349"/>
        <v>0</v>
      </c>
      <c r="T93" s="189">
        <f t="shared" si="349"/>
        <v>0</v>
      </c>
      <c r="U93" s="189">
        <f t="shared" si="349"/>
        <v>0</v>
      </c>
      <c r="V93" s="189">
        <f t="shared" si="349"/>
        <v>0</v>
      </c>
      <c r="W93" s="189">
        <f t="shared" si="349"/>
        <v>0</v>
      </c>
      <c r="X93" s="130">
        <f t="shared" si="349"/>
        <v>0</v>
      </c>
      <c r="Y93" s="189">
        <f t="shared" si="349"/>
        <v>0</v>
      </c>
      <c r="Z93" s="189">
        <f t="shared" si="349"/>
        <v>0</v>
      </c>
      <c r="AA93" s="189">
        <f t="shared" si="349"/>
        <v>0</v>
      </c>
      <c r="AB93" s="189">
        <f t="shared" si="349"/>
        <v>0</v>
      </c>
      <c r="AC93" s="130">
        <f t="shared" si="349"/>
        <v>0</v>
      </c>
      <c r="AD93" s="189">
        <f t="shared" si="349"/>
        <v>0</v>
      </c>
      <c r="AE93" s="189">
        <f t="shared" si="349"/>
        <v>0</v>
      </c>
      <c r="AF93" s="189">
        <f t="shared" si="349"/>
        <v>0</v>
      </c>
      <c r="AG93" s="189">
        <f t="shared" si="349"/>
        <v>0</v>
      </c>
      <c r="AH93" s="130">
        <f t="shared" si="349"/>
        <v>0</v>
      </c>
      <c r="AI93" s="189">
        <f t="shared" si="349"/>
        <v>0</v>
      </c>
      <c r="AJ93" s="189">
        <f t="shared" si="349"/>
        <v>0</v>
      </c>
      <c r="AK93" s="189">
        <f t="shared" si="349"/>
        <v>0</v>
      </c>
      <c r="AL93" s="189">
        <f t="shared" si="349"/>
        <v>0</v>
      </c>
      <c r="AM93" s="130">
        <f t="shared" si="349"/>
        <v>0</v>
      </c>
      <c r="AN93" s="189">
        <f t="shared" si="349"/>
        <v>0</v>
      </c>
      <c r="AO93" s="189">
        <f t="shared" si="349"/>
        <v>0</v>
      </c>
      <c r="AP93" s="189">
        <f t="shared" si="349"/>
        <v>0</v>
      </c>
      <c r="AQ93" s="189">
        <f t="shared" si="349"/>
        <v>0</v>
      </c>
      <c r="AR93" s="130">
        <f t="shared" si="349"/>
        <v>0</v>
      </c>
      <c r="AS93" s="189">
        <f t="shared" si="349"/>
        <v>0</v>
      </c>
      <c r="AT93" s="189">
        <f t="shared" si="349"/>
        <v>0</v>
      </c>
      <c r="AU93" s="189">
        <f t="shared" si="349"/>
        <v>0</v>
      </c>
      <c r="AV93" s="189">
        <f t="shared" si="349"/>
        <v>0</v>
      </c>
      <c r="AW93" s="130">
        <f t="shared" si="349"/>
        <v>0</v>
      </c>
      <c r="AX93" s="189">
        <f t="shared" si="349"/>
        <v>0</v>
      </c>
      <c r="AY93" s="189">
        <f t="shared" si="349"/>
        <v>0</v>
      </c>
      <c r="AZ93" s="189">
        <f t="shared" si="349"/>
        <v>0</v>
      </c>
      <c r="BA93" s="189">
        <f t="shared" si="349"/>
        <v>0</v>
      </c>
      <c r="BB93" s="130">
        <f t="shared" si="349"/>
        <v>0</v>
      </c>
      <c r="BC93" s="216">
        <f t="shared" si="349"/>
        <v>0</v>
      </c>
      <c r="BD93" s="216">
        <f t="shared" si="349"/>
        <v>0</v>
      </c>
      <c r="BE93" s="216">
        <f t="shared" si="349"/>
        <v>0</v>
      </c>
      <c r="BF93" s="216">
        <f t="shared" si="349"/>
        <v>0</v>
      </c>
      <c r="BG93" s="130">
        <f t="shared" si="349"/>
        <v>0</v>
      </c>
      <c r="BH93" s="216">
        <f t="shared" si="349"/>
        <v>0</v>
      </c>
      <c r="BI93" s="216">
        <f t="shared" si="349"/>
        <v>0</v>
      </c>
      <c r="BJ93" s="378">
        <f t="shared" si="349"/>
        <v>0</v>
      </c>
      <c r="BK93" s="378">
        <f t="shared" si="349"/>
        <v>0</v>
      </c>
      <c r="BL93" s="130">
        <f t="shared" si="349"/>
        <v>0</v>
      </c>
      <c r="BM93" s="378">
        <f t="shared" si="349"/>
        <v>0</v>
      </c>
      <c r="BN93" s="378">
        <f t="shared" si="349"/>
        <v>0</v>
      </c>
      <c r="BO93" s="378">
        <f t="shared" ref="BO93:CJ93" si="350">BO83+BO92</f>
        <v>0</v>
      </c>
      <c r="BP93" s="378">
        <f t="shared" si="350"/>
        <v>0</v>
      </c>
      <c r="BQ93" s="130">
        <f t="shared" si="350"/>
        <v>0</v>
      </c>
      <c r="BR93" s="410">
        <f t="shared" si="350"/>
        <v>0</v>
      </c>
      <c r="BS93" s="378">
        <f t="shared" si="350"/>
        <v>0</v>
      </c>
      <c r="BT93" s="393">
        <f t="shared" si="350"/>
        <v>0</v>
      </c>
      <c r="BU93" s="393">
        <f t="shared" si="350"/>
        <v>0</v>
      </c>
      <c r="BV93" s="130">
        <f t="shared" si="350"/>
        <v>0</v>
      </c>
      <c r="BW93" s="454">
        <f t="shared" si="350"/>
        <v>0</v>
      </c>
      <c r="BX93" s="454">
        <f t="shared" si="350"/>
        <v>0</v>
      </c>
      <c r="BY93" s="454">
        <f t="shared" si="350"/>
        <v>0</v>
      </c>
      <c r="BZ93" s="454">
        <f t="shared" si="350"/>
        <v>0</v>
      </c>
      <c r="CA93" s="130">
        <f t="shared" si="350"/>
        <v>0</v>
      </c>
      <c r="CB93" s="393">
        <f t="shared" si="350"/>
        <v>0</v>
      </c>
      <c r="CC93" s="393">
        <f t="shared" si="350"/>
        <v>0</v>
      </c>
      <c r="CD93" s="393">
        <f t="shared" si="350"/>
        <v>0</v>
      </c>
      <c r="CE93" s="393">
        <f t="shared" si="350"/>
        <v>0</v>
      </c>
      <c r="CF93" s="130">
        <f t="shared" si="350"/>
        <v>0</v>
      </c>
      <c r="CG93" s="393">
        <f t="shared" si="350"/>
        <v>0</v>
      </c>
      <c r="CH93" s="393">
        <f t="shared" si="350"/>
        <v>0</v>
      </c>
      <c r="CI93" s="393">
        <f t="shared" si="350"/>
        <v>0</v>
      </c>
      <c r="CJ93" s="393">
        <f t="shared" si="350"/>
        <v>0</v>
      </c>
      <c r="CK93" s="130">
        <f>CK83+CK92</f>
        <v>0</v>
      </c>
      <c r="CL93" s="393">
        <f t="shared" ref="CL93:DE93" si="351">CL83+CL92</f>
        <v>0</v>
      </c>
      <c r="CM93" s="393">
        <f t="shared" si="351"/>
        <v>0</v>
      </c>
      <c r="CN93" s="393">
        <f t="shared" si="351"/>
        <v>0</v>
      </c>
      <c r="CO93" s="393">
        <f t="shared" si="351"/>
        <v>256211</v>
      </c>
      <c r="CP93" s="225">
        <f t="shared" si="351"/>
        <v>256211</v>
      </c>
      <c r="CQ93" s="393">
        <f t="shared" si="351"/>
        <v>245164</v>
      </c>
      <c r="CR93" s="393">
        <f t="shared" si="351"/>
        <v>237559</v>
      </c>
      <c r="CS93" s="393">
        <f t="shared" si="351"/>
        <v>237133</v>
      </c>
      <c r="CT93" s="393">
        <f t="shared" si="351"/>
        <v>198874</v>
      </c>
      <c r="CU93" s="225">
        <f t="shared" si="351"/>
        <v>198874</v>
      </c>
      <c r="CV93" s="393">
        <f t="shared" si="351"/>
        <v>191961</v>
      </c>
      <c r="CW93" s="393">
        <f t="shared" si="351"/>
        <v>185540</v>
      </c>
      <c r="CX93" s="393">
        <f t="shared" si="351"/>
        <v>180877</v>
      </c>
      <c r="CY93" s="393">
        <f t="shared" si="351"/>
        <v>188851</v>
      </c>
      <c r="CZ93" s="225">
        <f t="shared" si="351"/>
        <v>188851</v>
      </c>
      <c r="DA93" s="393">
        <f t="shared" si="351"/>
        <v>164472</v>
      </c>
      <c r="DB93" s="393">
        <f t="shared" si="351"/>
        <v>163006</v>
      </c>
      <c r="DC93" s="393">
        <f t="shared" si="351"/>
        <v>156662</v>
      </c>
      <c r="DD93" s="393">
        <f t="shared" si="351"/>
        <v>163045</v>
      </c>
      <c r="DE93" s="225">
        <f t="shared" si="351"/>
        <v>163045</v>
      </c>
      <c r="DF93" s="393">
        <f t="shared" ref="DF93:DG93" si="352">DF83+DF92</f>
        <v>163942</v>
      </c>
      <c r="DG93" s="393">
        <f t="shared" si="352"/>
        <v>123190</v>
      </c>
      <c r="DH93" s="393">
        <f t="shared" ref="DH93:DJ93" si="353">DH83+DH92</f>
        <v>126699</v>
      </c>
      <c r="DI93" s="393">
        <f t="shared" si="353"/>
        <v>123140</v>
      </c>
      <c r="DJ93" s="225">
        <f t="shared" si="353"/>
        <v>123140</v>
      </c>
      <c r="DK93" s="393">
        <f t="shared" ref="DK93:DL93" si="354">DK83+DK92</f>
        <v>124123</v>
      </c>
      <c r="DL93" s="393">
        <f t="shared" si="354"/>
        <v>125256</v>
      </c>
      <c r="DM93" s="393"/>
      <c r="DN93" s="393"/>
      <c r="DO93" s="16"/>
      <c r="DP93" s="393"/>
      <c r="DQ93" s="393"/>
      <c r="DR93" s="393"/>
      <c r="DS93" s="393"/>
      <c r="DT93" s="16"/>
      <c r="DU93" s="16"/>
      <c r="DV93" s="16"/>
    </row>
    <row r="94" spans="1:126" s="12" customFormat="1" ht="4.5" customHeight="1">
      <c r="A94" s="97"/>
      <c r="B94" s="200"/>
      <c r="C94" s="201"/>
      <c r="D94" s="201"/>
      <c r="E94" s="201"/>
      <c r="F94" s="201"/>
      <c r="G94" s="201"/>
      <c r="H94" s="201"/>
      <c r="I94" s="201"/>
      <c r="J94" s="202"/>
      <c r="K94" s="202"/>
      <c r="L94" s="202"/>
      <c r="M94" s="202"/>
      <c r="N94" s="201"/>
      <c r="O94" s="202"/>
      <c r="P94" s="202"/>
      <c r="Q94" s="202"/>
      <c r="R94" s="202"/>
      <c r="S94" s="201"/>
      <c r="T94" s="202"/>
      <c r="U94" s="202"/>
      <c r="V94" s="202"/>
      <c r="W94" s="202"/>
      <c r="X94" s="201"/>
      <c r="Y94" s="202"/>
      <c r="Z94" s="202"/>
      <c r="AA94" s="202"/>
      <c r="AB94" s="202"/>
      <c r="AC94" s="201"/>
      <c r="AD94" s="202"/>
      <c r="AE94" s="202"/>
      <c r="AF94" s="202"/>
      <c r="AG94" s="202"/>
      <c r="AH94" s="201"/>
      <c r="AI94" s="202"/>
      <c r="AJ94" s="97"/>
      <c r="AK94" s="97"/>
      <c r="AL94" s="97"/>
      <c r="AM94" s="98"/>
      <c r="AN94" s="202"/>
      <c r="AO94" s="97"/>
      <c r="AP94" s="97"/>
      <c r="AQ94" s="97"/>
      <c r="AR94" s="98"/>
      <c r="AS94" s="202"/>
      <c r="AT94" s="97"/>
      <c r="AU94" s="97"/>
      <c r="AV94" s="97"/>
      <c r="AW94" s="98"/>
      <c r="AX94" s="202"/>
      <c r="AY94" s="97"/>
      <c r="AZ94" s="97"/>
      <c r="BA94" s="97"/>
      <c r="BB94" s="98"/>
      <c r="BC94" s="202"/>
      <c r="BD94" s="97"/>
      <c r="BE94" s="97"/>
      <c r="BF94" s="97"/>
      <c r="BG94" s="98"/>
      <c r="BH94" s="202"/>
      <c r="BI94" s="375"/>
      <c r="BJ94" s="375"/>
      <c r="BK94" s="380"/>
      <c r="BL94" s="98"/>
      <c r="BM94" s="202"/>
      <c r="BN94" s="375"/>
      <c r="BO94" s="375"/>
      <c r="BP94" s="380"/>
      <c r="BQ94" s="98"/>
      <c r="BR94" s="202"/>
      <c r="BS94" s="375"/>
      <c r="BT94" s="421"/>
      <c r="BU94" s="421"/>
      <c r="BV94" s="98"/>
      <c r="BW94" s="455"/>
      <c r="BX94" s="456"/>
      <c r="BY94" s="457"/>
      <c r="BZ94" s="458"/>
      <c r="CA94" s="98"/>
      <c r="CB94" s="202"/>
      <c r="CC94" s="375"/>
      <c r="CD94" s="375"/>
      <c r="CE94" s="380"/>
      <c r="CF94" s="98"/>
      <c r="CG94" s="375"/>
      <c r="CH94" s="375"/>
      <c r="CI94" s="375"/>
      <c r="CJ94" s="375"/>
      <c r="CK94" s="98"/>
      <c r="CL94" s="375"/>
      <c r="CM94" s="375"/>
      <c r="CN94" s="375"/>
      <c r="CO94" s="375"/>
      <c r="CP94" s="98"/>
      <c r="CQ94" s="375"/>
      <c r="CR94" s="375"/>
      <c r="CS94" s="375"/>
      <c r="CT94" s="375"/>
      <c r="CU94" s="98"/>
      <c r="CV94" s="375"/>
      <c r="CW94" s="375"/>
      <c r="CX94" s="375"/>
      <c r="CY94" s="375"/>
      <c r="CZ94" s="98"/>
      <c r="DA94" s="375"/>
      <c r="DB94" s="375"/>
      <c r="DC94" s="375"/>
      <c r="DD94" s="375"/>
      <c r="DE94" s="98"/>
      <c r="DF94" s="375"/>
      <c r="DG94" s="375"/>
      <c r="DH94" s="375"/>
      <c r="DI94" s="375"/>
      <c r="DJ94" s="98"/>
      <c r="DK94" s="375"/>
      <c r="DL94" s="375"/>
      <c r="DM94" s="375"/>
      <c r="DN94" s="375"/>
      <c r="DO94" s="98"/>
      <c r="DP94" s="375"/>
      <c r="DQ94" s="375"/>
      <c r="DR94" s="375"/>
      <c r="DS94" s="375"/>
      <c r="DT94" s="98"/>
      <c r="DU94" s="98"/>
      <c r="DV94" s="98"/>
    </row>
    <row r="95" spans="1:126" s="12" customFormat="1" ht="11.25" hidden="1" customHeight="1" outlineLevel="1">
      <c r="B95" s="49" t="s">
        <v>145</v>
      </c>
      <c r="C95" s="203" t="str">
        <f t="shared" ref="C95:AK95" si="355">IF(ROUND(C93,0)=ROUND(C68,0),"","check")</f>
        <v/>
      </c>
      <c r="D95" s="203" t="str">
        <f t="shared" si="355"/>
        <v/>
      </c>
      <c r="E95" s="203" t="str">
        <f t="shared" si="355"/>
        <v/>
      </c>
      <c r="F95" s="203" t="str">
        <f t="shared" si="355"/>
        <v/>
      </c>
      <c r="G95" s="203" t="str">
        <f t="shared" si="355"/>
        <v/>
      </c>
      <c r="H95" s="203" t="str">
        <f t="shared" si="355"/>
        <v/>
      </c>
      <c r="I95" s="203" t="str">
        <f t="shared" si="355"/>
        <v/>
      </c>
      <c r="J95" s="204" t="str">
        <f t="shared" si="355"/>
        <v/>
      </c>
      <c r="K95" s="204" t="str">
        <f t="shared" si="355"/>
        <v/>
      </c>
      <c r="L95" s="204" t="str">
        <f t="shared" si="355"/>
        <v/>
      </c>
      <c r="M95" s="204" t="str">
        <f t="shared" si="355"/>
        <v/>
      </c>
      <c r="N95" s="203" t="str">
        <f t="shared" si="355"/>
        <v/>
      </c>
      <c r="O95" s="204" t="str">
        <f t="shared" si="355"/>
        <v/>
      </c>
      <c r="P95" s="204" t="str">
        <f t="shared" si="355"/>
        <v/>
      </c>
      <c r="Q95" s="204" t="str">
        <f t="shared" si="355"/>
        <v/>
      </c>
      <c r="R95" s="204" t="str">
        <f t="shared" si="355"/>
        <v/>
      </c>
      <c r="S95" s="203" t="str">
        <f t="shared" si="355"/>
        <v/>
      </c>
      <c r="T95" s="204" t="str">
        <f t="shared" si="355"/>
        <v/>
      </c>
      <c r="U95" s="204" t="str">
        <f t="shared" si="355"/>
        <v/>
      </c>
      <c r="V95" s="204" t="str">
        <f t="shared" si="355"/>
        <v/>
      </c>
      <c r="W95" s="204" t="str">
        <f t="shared" si="355"/>
        <v/>
      </c>
      <c r="X95" s="203" t="str">
        <f t="shared" si="355"/>
        <v/>
      </c>
      <c r="Y95" s="204" t="str">
        <f t="shared" si="355"/>
        <v/>
      </c>
      <c r="Z95" s="204" t="str">
        <f t="shared" si="355"/>
        <v/>
      </c>
      <c r="AA95" s="204" t="str">
        <f t="shared" si="355"/>
        <v/>
      </c>
      <c r="AB95" s="204" t="str">
        <f t="shared" si="355"/>
        <v/>
      </c>
      <c r="AC95" s="203" t="str">
        <f t="shared" si="355"/>
        <v/>
      </c>
      <c r="AD95" s="204" t="str">
        <f t="shared" si="355"/>
        <v/>
      </c>
      <c r="AE95" s="204" t="str">
        <f t="shared" si="355"/>
        <v/>
      </c>
      <c r="AF95" s="204" t="str">
        <f t="shared" si="355"/>
        <v/>
      </c>
      <c r="AG95" s="204" t="str">
        <f t="shared" si="355"/>
        <v/>
      </c>
      <c r="AH95" s="203" t="str">
        <f t="shared" si="355"/>
        <v/>
      </c>
      <c r="AI95" s="204" t="str">
        <f t="shared" si="355"/>
        <v/>
      </c>
      <c r="AJ95" s="193" t="str">
        <f t="shared" si="355"/>
        <v/>
      </c>
      <c r="AK95" s="193" t="str">
        <f t="shared" si="355"/>
        <v/>
      </c>
      <c r="AL95" s="193"/>
      <c r="AM95" s="192"/>
      <c r="AN95" s="204"/>
      <c r="AO95" s="193"/>
      <c r="AP95" s="193"/>
      <c r="AQ95" s="193"/>
      <c r="AR95" s="192"/>
      <c r="AS95" s="204"/>
      <c r="AT95" s="193"/>
      <c r="AU95" s="193"/>
      <c r="AV95" s="193"/>
      <c r="AW95" s="192"/>
      <c r="AX95" s="204"/>
      <c r="AY95" s="193"/>
      <c r="AZ95" s="193"/>
      <c r="BA95" s="193"/>
      <c r="BB95" s="192"/>
      <c r="BC95" s="204"/>
      <c r="BD95" s="193"/>
      <c r="BE95" s="193"/>
      <c r="BF95" s="193"/>
      <c r="BG95" s="192"/>
      <c r="BH95" s="204"/>
      <c r="BI95" s="193"/>
      <c r="BJ95" s="193"/>
      <c r="BK95" s="385"/>
      <c r="BL95" s="192"/>
      <c r="BM95" s="204"/>
      <c r="BN95" s="193"/>
      <c r="BO95" s="193"/>
      <c r="BP95" s="385"/>
      <c r="BQ95" s="192"/>
      <c r="BR95" s="204"/>
      <c r="BS95" s="193"/>
      <c r="BT95" s="422"/>
      <c r="BU95" s="422"/>
      <c r="BV95" s="192"/>
      <c r="BW95" s="459"/>
      <c r="BX95" s="460"/>
      <c r="BY95" s="461"/>
      <c r="BZ95" s="462"/>
      <c r="CA95" s="192"/>
      <c r="CB95" s="204"/>
      <c r="CC95" s="193"/>
      <c r="CD95" s="193"/>
      <c r="CE95" s="385"/>
      <c r="CF95" s="192"/>
      <c r="CG95" s="193"/>
      <c r="CH95" s="193"/>
      <c r="CI95" s="193"/>
      <c r="CJ95" s="193"/>
      <c r="CK95" s="192"/>
      <c r="CL95" s="193"/>
      <c r="CM95" s="193"/>
      <c r="CN95" s="193"/>
      <c r="CO95" s="193"/>
      <c r="CP95" s="192"/>
      <c r="CQ95" s="193"/>
      <c r="CR95" s="193"/>
      <c r="CS95" s="193"/>
      <c r="CT95" s="193"/>
      <c r="CU95" s="192"/>
      <c r="CV95" s="193"/>
      <c r="CW95" s="193"/>
      <c r="CX95" s="193"/>
      <c r="CY95" s="193"/>
      <c r="CZ95" s="192"/>
      <c r="DA95" s="193"/>
      <c r="DB95" s="193"/>
      <c r="DC95" s="193"/>
      <c r="DD95" s="193"/>
      <c r="DE95" s="192"/>
      <c r="DF95" s="193"/>
      <c r="DG95" s="193"/>
      <c r="DH95" s="193"/>
      <c r="DI95" s="193"/>
      <c r="DJ95" s="192"/>
      <c r="DK95" s="193" t="str">
        <f>+IF(DK93=DK68,"True",DK93-DK68)</f>
        <v>True</v>
      </c>
      <c r="DL95" s="193" t="str">
        <f>+IF(DL93=DL68,"True",DL93-DL68)</f>
        <v>True</v>
      </c>
      <c r="DM95" s="193"/>
      <c r="DN95" s="193"/>
      <c r="DO95" s="192"/>
      <c r="DP95" s="193"/>
      <c r="DQ95" s="193"/>
      <c r="DR95" s="193"/>
      <c r="DS95" s="193"/>
      <c r="DT95" s="192"/>
      <c r="DU95" s="192"/>
      <c r="DV95" s="192"/>
    </row>
    <row r="96" spans="1:126" s="12" customFormat="1" ht="12" collapsed="1">
      <c r="B96" s="263"/>
      <c r="C96" s="205"/>
      <c r="D96" s="205"/>
      <c r="E96" s="205"/>
      <c r="F96" s="205"/>
      <c r="G96" s="205"/>
      <c r="H96" s="205"/>
      <c r="I96" s="205"/>
      <c r="J96" s="206"/>
      <c r="K96" s="206"/>
      <c r="L96" s="206"/>
      <c r="M96" s="206"/>
      <c r="N96" s="205"/>
      <c r="O96" s="206"/>
      <c r="P96" s="206"/>
      <c r="Q96" s="206"/>
      <c r="R96" s="206"/>
      <c r="S96" s="205"/>
      <c r="T96" s="206"/>
      <c r="U96" s="206"/>
      <c r="V96" s="206"/>
      <c r="W96" s="206"/>
      <c r="X96" s="205"/>
      <c r="Y96" s="206"/>
      <c r="Z96" s="206"/>
      <c r="AA96" s="206"/>
      <c r="AB96" s="206"/>
      <c r="AC96" s="205"/>
      <c r="AD96" s="206"/>
      <c r="AE96" s="206"/>
      <c r="AF96" s="206"/>
      <c r="AG96" s="206"/>
      <c r="AH96" s="205"/>
      <c r="AI96" s="206"/>
      <c r="AJ96" s="15"/>
      <c r="AK96" s="15"/>
      <c r="AL96" s="15"/>
      <c r="AM96" s="16"/>
      <c r="AN96" s="206"/>
      <c r="AO96" s="15"/>
      <c r="AP96" s="15"/>
      <c r="AQ96" s="15"/>
      <c r="AR96" s="16"/>
      <c r="AS96" s="206"/>
      <c r="AT96" s="15"/>
      <c r="AU96" s="15"/>
      <c r="AV96" s="15"/>
      <c r="AW96" s="16"/>
      <c r="AX96" s="206"/>
      <c r="AY96" s="15"/>
      <c r="AZ96" s="15"/>
      <c r="BA96" s="15"/>
      <c r="BB96" s="16"/>
      <c r="BC96" s="206"/>
      <c r="BD96" s="15"/>
      <c r="BE96" s="15"/>
      <c r="BF96" s="15"/>
      <c r="BG96" s="16"/>
      <c r="BH96" s="206"/>
      <c r="BI96" s="221"/>
      <c r="BJ96" s="221"/>
      <c r="BK96" s="317"/>
      <c r="BL96" s="16"/>
      <c r="BM96" s="206"/>
      <c r="BN96" s="221"/>
      <c r="BO96" s="221"/>
      <c r="BP96" s="317"/>
      <c r="BQ96" s="16"/>
      <c r="BR96" s="206"/>
      <c r="BS96" s="221"/>
      <c r="BT96" s="394"/>
      <c r="BU96" s="394"/>
      <c r="BV96" s="16"/>
      <c r="BW96" s="463"/>
      <c r="BX96" s="450"/>
      <c r="BY96" s="448"/>
      <c r="BZ96" s="447"/>
      <c r="CA96" s="16"/>
      <c r="CB96" s="206"/>
      <c r="CC96" s="221"/>
      <c r="CD96" s="221"/>
      <c r="CE96" s="317"/>
      <c r="CF96" s="16"/>
      <c r="CG96" s="221"/>
      <c r="CH96" s="221"/>
      <c r="CI96" s="221"/>
      <c r="CJ96" s="221"/>
      <c r="CK96" s="16"/>
      <c r="CL96" s="221"/>
      <c r="CM96" s="221"/>
      <c r="CN96" s="221"/>
      <c r="CO96" s="221"/>
      <c r="CP96" s="16"/>
      <c r="CQ96" s="221"/>
      <c r="CR96" s="221"/>
      <c r="CS96" s="221"/>
      <c r="CT96" s="221"/>
      <c r="CU96" s="16"/>
      <c r="CV96" s="221"/>
      <c r="CW96" s="221"/>
      <c r="CX96" s="221"/>
      <c r="CY96" s="221"/>
      <c r="CZ96" s="16"/>
      <c r="DA96" s="221"/>
      <c r="DB96" s="221"/>
      <c r="DC96" s="221"/>
      <c r="DD96" s="221"/>
      <c r="DE96" s="16"/>
      <c r="DF96" s="221"/>
      <c r="DG96" s="221"/>
      <c r="DH96" s="221"/>
      <c r="DI96" s="221"/>
      <c r="DJ96" s="16"/>
      <c r="DK96" s="221"/>
      <c r="DL96" s="221"/>
      <c r="DM96" s="221"/>
      <c r="DN96" s="221"/>
      <c r="DO96" s="16"/>
      <c r="DP96" s="221"/>
      <c r="DQ96" s="221"/>
      <c r="DR96" s="221"/>
      <c r="DS96" s="221"/>
      <c r="DT96" s="16"/>
      <c r="DU96" s="16"/>
      <c r="DV96" s="16"/>
    </row>
    <row r="97" spans="2:126" s="12" customFormat="1" ht="12">
      <c r="B97" s="48" t="s">
        <v>164</v>
      </c>
      <c r="C97" s="16"/>
      <c r="D97" s="16"/>
      <c r="E97" s="16"/>
      <c r="F97" s="16"/>
      <c r="G97" s="16"/>
      <c r="H97" s="16"/>
      <c r="I97" s="16"/>
      <c r="J97" s="15"/>
      <c r="K97" s="15"/>
      <c r="L97" s="15"/>
      <c r="M97" s="15"/>
      <c r="N97" s="16"/>
      <c r="O97" s="15"/>
      <c r="P97" s="15"/>
      <c r="Q97" s="15"/>
      <c r="R97" s="15"/>
      <c r="S97" s="16"/>
      <c r="T97" s="15"/>
      <c r="U97" s="15"/>
      <c r="V97" s="15"/>
      <c r="W97" s="15"/>
      <c r="X97" s="16"/>
      <c r="Y97" s="15"/>
      <c r="Z97" s="15"/>
      <c r="AA97" s="15"/>
      <c r="AB97" s="15"/>
      <c r="AC97" s="16"/>
      <c r="AD97" s="15"/>
      <c r="AE97" s="15"/>
      <c r="AF97" s="15"/>
      <c r="AG97" s="15"/>
      <c r="AH97" s="16"/>
      <c r="AI97" s="15"/>
      <c r="AJ97" s="15"/>
      <c r="AK97" s="15"/>
      <c r="AL97" s="15"/>
      <c r="AM97" s="16"/>
      <c r="AN97" s="15"/>
      <c r="AO97" s="15"/>
      <c r="AP97" s="15"/>
      <c r="AQ97" s="15"/>
      <c r="AR97" s="16"/>
      <c r="AS97" s="15"/>
      <c r="AT97" s="15"/>
      <c r="AU97" s="15"/>
      <c r="AV97" s="15"/>
      <c r="AW97" s="16"/>
      <c r="AX97" s="15"/>
      <c r="AY97" s="15"/>
      <c r="AZ97" s="15"/>
      <c r="BA97" s="15"/>
      <c r="BB97" s="16"/>
      <c r="BC97" s="15"/>
      <c r="BD97" s="15"/>
      <c r="BE97" s="15"/>
      <c r="BF97" s="15"/>
      <c r="BG97" s="16"/>
      <c r="BH97" s="15"/>
      <c r="BI97" s="221"/>
      <c r="BJ97" s="221"/>
      <c r="BK97" s="317"/>
      <c r="BL97" s="16"/>
      <c r="BM97" s="15"/>
      <c r="BN97" s="221"/>
      <c r="BO97" s="221"/>
      <c r="BP97" s="317"/>
      <c r="BQ97" s="16"/>
      <c r="BR97" s="15"/>
      <c r="BS97" s="221"/>
      <c r="BT97" s="221"/>
      <c r="BU97" s="317"/>
      <c r="BV97" s="16"/>
      <c r="BW97" s="448"/>
      <c r="BX97" s="450"/>
      <c r="BY97" s="448"/>
      <c r="BZ97" s="447"/>
      <c r="CA97" s="16"/>
      <c r="CB97" s="15"/>
      <c r="CC97" s="221"/>
      <c r="CD97" s="221"/>
      <c r="CE97" s="317"/>
      <c r="CF97" s="16"/>
      <c r="CG97" s="221"/>
      <c r="CH97" s="221"/>
      <c r="CI97" s="221"/>
      <c r="CJ97" s="221"/>
      <c r="CK97" s="16"/>
      <c r="CL97" s="221"/>
      <c r="CM97" s="221"/>
      <c r="CN97" s="221"/>
      <c r="CP97" s="16"/>
      <c r="CQ97" s="221"/>
      <c r="CR97" s="221"/>
      <c r="CS97" s="221"/>
      <c r="CT97" s="221"/>
      <c r="CU97" s="16"/>
      <c r="CV97" s="221"/>
      <c r="CW97" s="221"/>
      <c r="CX97" s="221"/>
      <c r="CY97" s="221"/>
      <c r="CZ97" s="16"/>
      <c r="DA97" s="221"/>
      <c r="DB97" s="221"/>
      <c r="DC97" s="221"/>
      <c r="DD97" s="221"/>
      <c r="DE97" s="16"/>
      <c r="DF97" s="221"/>
      <c r="DG97" s="221"/>
      <c r="DH97" s="221"/>
      <c r="DI97" s="221"/>
      <c r="DJ97" s="16"/>
      <c r="DK97" s="221"/>
      <c r="DL97" s="221"/>
      <c r="DM97" s="221"/>
      <c r="DN97" s="221"/>
      <c r="DO97" s="16"/>
      <c r="DP97" s="221"/>
      <c r="DQ97" s="221"/>
      <c r="DR97" s="221"/>
      <c r="DS97" s="221"/>
      <c r="DT97" s="16"/>
      <c r="DU97" s="16"/>
      <c r="DV97" s="16"/>
    </row>
    <row r="98" spans="2:126" s="12" customFormat="1" ht="12">
      <c r="B98" s="255" t="s">
        <v>62</v>
      </c>
      <c r="C98" s="16"/>
      <c r="D98" s="16"/>
      <c r="E98" s="16"/>
      <c r="F98" s="16"/>
      <c r="G98" s="16"/>
      <c r="H98" s="16"/>
      <c r="I98" s="16"/>
      <c r="J98" s="15"/>
      <c r="K98" s="15"/>
      <c r="L98" s="15"/>
      <c r="M98" s="15"/>
      <c r="N98" s="16"/>
      <c r="O98" s="15"/>
      <c r="P98" s="15"/>
      <c r="Q98" s="15"/>
      <c r="R98" s="15"/>
      <c r="S98" s="16"/>
      <c r="T98" s="15"/>
      <c r="U98" s="15"/>
      <c r="V98" s="15"/>
      <c r="W98" s="15"/>
      <c r="X98" s="16"/>
      <c r="Y98" s="15"/>
      <c r="Z98" s="15"/>
      <c r="AA98" s="15"/>
      <c r="AB98" s="15"/>
      <c r="AC98" s="16"/>
      <c r="AD98" s="15"/>
      <c r="AE98" s="15"/>
      <c r="AF98" s="15"/>
      <c r="AG98" s="15"/>
      <c r="AH98" s="16"/>
      <c r="AI98" s="15"/>
      <c r="AJ98" s="15"/>
      <c r="AK98" s="15"/>
      <c r="AL98" s="15"/>
      <c r="AM98" s="16"/>
      <c r="AN98" s="15"/>
      <c r="AO98" s="15"/>
      <c r="AP98" s="15"/>
      <c r="AQ98" s="15"/>
      <c r="AR98" s="16"/>
      <c r="AS98" s="15"/>
      <c r="AT98" s="15"/>
      <c r="AU98" s="15"/>
      <c r="AV98" s="15"/>
      <c r="AW98" s="16"/>
      <c r="AX98" s="15"/>
      <c r="AY98" s="15"/>
      <c r="AZ98" s="15"/>
      <c r="BA98" s="15"/>
      <c r="BB98" s="16"/>
      <c r="BC98" s="15"/>
      <c r="BD98" s="15"/>
      <c r="BE98" s="15"/>
      <c r="BF98" s="15"/>
      <c r="BG98" s="16"/>
      <c r="BH98" s="15"/>
      <c r="BI98" s="221"/>
      <c r="BJ98" s="317"/>
      <c r="BK98" s="317"/>
      <c r="BL98" s="16"/>
      <c r="BM98" s="15"/>
      <c r="BN98" s="221"/>
      <c r="BO98" s="317"/>
      <c r="BP98" s="317"/>
      <c r="BQ98" s="16"/>
      <c r="BR98" s="15"/>
      <c r="BS98" s="221"/>
      <c r="BT98" s="317"/>
      <c r="BU98" s="317"/>
      <c r="BV98" s="16"/>
      <c r="BW98" s="448"/>
      <c r="BX98" s="450"/>
      <c r="BY98" s="447"/>
      <c r="BZ98" s="447"/>
      <c r="CA98" s="16"/>
      <c r="CB98" s="15"/>
      <c r="CC98" s="221"/>
      <c r="CD98" s="317"/>
      <c r="CE98" s="317"/>
      <c r="CF98" s="16"/>
      <c r="CG98" s="221"/>
      <c r="CH98" s="221"/>
      <c r="CI98" s="221"/>
      <c r="CJ98" s="221"/>
      <c r="CK98" s="16"/>
      <c r="CL98" s="221"/>
      <c r="CM98" s="221"/>
      <c r="CN98" s="221"/>
      <c r="CO98" s="221"/>
      <c r="CP98" s="16"/>
      <c r="CQ98" s="221"/>
      <c r="CR98" s="221"/>
      <c r="CS98" s="221"/>
      <c r="CT98" s="221"/>
      <c r="CU98" s="16"/>
      <c r="CV98" s="221"/>
      <c r="CW98" s="221"/>
      <c r="CX98" s="221"/>
      <c r="CY98" s="221"/>
      <c r="CZ98" s="16"/>
      <c r="DA98" s="221"/>
      <c r="DB98" s="221"/>
      <c r="DC98" s="221"/>
      <c r="DD98" s="221"/>
      <c r="DE98" s="16"/>
      <c r="DF98" s="221"/>
      <c r="DG98" s="221"/>
      <c r="DH98" s="221"/>
      <c r="DI98" s="221"/>
      <c r="DJ98" s="16"/>
      <c r="DK98" s="221"/>
      <c r="DL98" s="221"/>
      <c r="DM98" s="221"/>
      <c r="DN98" s="221"/>
      <c r="DO98" s="16"/>
      <c r="DP98" s="221"/>
      <c r="DQ98" s="221"/>
      <c r="DR98" s="221"/>
      <c r="DS98" s="221"/>
      <c r="DT98" s="16"/>
      <c r="DU98" s="16"/>
      <c r="DV98" s="16"/>
    </row>
    <row r="99" spans="2:126" s="12" customFormat="1">
      <c r="B99" s="60" t="s">
        <v>33</v>
      </c>
      <c r="C99" s="16"/>
      <c r="D99" s="16"/>
      <c r="E99" s="16"/>
      <c r="F99" s="16"/>
      <c r="G99" s="16"/>
      <c r="H99" s="16"/>
      <c r="I99" s="16"/>
      <c r="J99" s="15"/>
      <c r="K99" s="15"/>
      <c r="L99" s="15"/>
      <c r="M99" s="15"/>
      <c r="N99" s="16"/>
      <c r="O99" s="15"/>
      <c r="P99" s="15"/>
      <c r="Q99" s="15"/>
      <c r="R99" s="15"/>
      <c r="S99" s="16"/>
      <c r="T99" s="15"/>
      <c r="U99" s="15"/>
      <c r="V99" s="15"/>
      <c r="W99" s="15"/>
      <c r="X99" s="16"/>
      <c r="Y99" s="15"/>
      <c r="Z99" s="15"/>
      <c r="AA99" s="15"/>
      <c r="AB99" s="15"/>
      <c r="AC99" s="16"/>
      <c r="AD99" s="15"/>
      <c r="AE99" s="15"/>
      <c r="AF99" s="15"/>
      <c r="AG99" s="15"/>
      <c r="AH99" s="16"/>
      <c r="AI99" s="15"/>
      <c r="AK99" s="49"/>
      <c r="AL99" s="49"/>
      <c r="AM99" s="16"/>
      <c r="AN99" s="49"/>
      <c r="AO99" s="313"/>
      <c r="AP99" s="313"/>
      <c r="AQ99" s="313"/>
      <c r="AR99" s="16"/>
      <c r="AS99" s="313"/>
      <c r="AT99" s="313"/>
      <c r="AU99" s="313"/>
      <c r="AV99" s="313"/>
      <c r="AW99" s="16"/>
      <c r="AX99" s="313"/>
      <c r="AY99" s="313"/>
      <c r="AZ99" s="313"/>
      <c r="BA99" s="313"/>
      <c r="BB99" s="16"/>
      <c r="BC99" s="313"/>
      <c r="BD99" s="313"/>
      <c r="BE99" s="313"/>
      <c r="BF99" s="313"/>
      <c r="BG99" s="16"/>
      <c r="BH99" s="313"/>
      <c r="BI99" s="358"/>
      <c r="BJ99" s="358"/>
      <c r="BK99" s="358"/>
      <c r="BL99" s="16"/>
      <c r="BM99" s="358"/>
      <c r="BN99" s="358"/>
      <c r="BO99" s="358"/>
      <c r="BP99" s="358"/>
      <c r="BQ99" s="16"/>
      <c r="BR99" s="358"/>
      <c r="BS99" s="358"/>
      <c r="BT99" s="358"/>
      <c r="BU99" s="358"/>
      <c r="BV99" s="16"/>
      <c r="BW99" s="446"/>
      <c r="BX99" s="446"/>
      <c r="BY99" s="446"/>
      <c r="BZ99" s="446"/>
      <c r="CA99" s="16"/>
      <c r="CB99" s="358"/>
      <c r="CC99" s="358"/>
      <c r="CD99" s="358"/>
      <c r="CE99" s="358"/>
      <c r="CF99" s="16"/>
      <c r="CG99" s="358"/>
      <c r="CH99" s="358"/>
      <c r="CI99" s="358"/>
      <c r="CJ99" s="358"/>
      <c r="CK99" s="16"/>
      <c r="CL99" s="358">
        <v>6233</v>
      </c>
      <c r="CM99" s="358">
        <v>4101</v>
      </c>
      <c r="CN99" s="358">
        <v>2907</v>
      </c>
      <c r="CO99" s="358">
        <v>5546</v>
      </c>
      <c r="CP99" s="16">
        <f>CO99</f>
        <v>5546</v>
      </c>
      <c r="CQ99" s="358">
        <v>-2798</v>
      </c>
      <c r="CR99" s="358">
        <v>-3933</v>
      </c>
      <c r="CS99" s="358">
        <f>-2748</f>
        <v>-2748</v>
      </c>
      <c r="CT99" s="358">
        <v>-6591</v>
      </c>
      <c r="CU99" s="16">
        <f>CT99</f>
        <v>-6591</v>
      </c>
      <c r="CV99" s="358">
        <v>-1108</v>
      </c>
      <c r="CW99" s="358">
        <v>-1971</v>
      </c>
      <c r="CX99" s="358">
        <v>-1806</v>
      </c>
      <c r="CY99" s="358">
        <v>407</v>
      </c>
      <c r="CZ99" s="16">
        <f>CY99</f>
        <v>407</v>
      </c>
      <c r="DA99" s="358">
        <v>7478</v>
      </c>
      <c r="DB99" s="358">
        <v>7518</v>
      </c>
      <c r="DC99" s="358">
        <v>7852</v>
      </c>
      <c r="DD99" s="358">
        <v>9443</v>
      </c>
      <c r="DE99" s="16">
        <f>DD99</f>
        <v>9443</v>
      </c>
      <c r="DF99" s="358">
        <v>1563</v>
      </c>
      <c r="DG99" s="358">
        <v>2833</v>
      </c>
      <c r="DH99" s="358">
        <v>4676</v>
      </c>
      <c r="DI99" s="358">
        <v>6566</v>
      </c>
      <c r="DJ99" s="16">
        <f>DI99</f>
        <v>6566</v>
      </c>
      <c r="DK99" s="1079">
        <v>1972</v>
      </c>
      <c r="DL99" s="1079">
        <v>3993</v>
      </c>
      <c r="DM99" s="358"/>
      <c r="DN99" s="358"/>
      <c r="DO99" s="16"/>
      <c r="DP99" s="1079"/>
      <c r="DQ99" s="358"/>
      <c r="DR99" s="358"/>
      <c r="DS99" s="358"/>
      <c r="DT99" s="16"/>
      <c r="DU99" s="16"/>
      <c r="DV99" s="16"/>
    </row>
    <row r="100" spans="2:126" s="12" customFormat="1">
      <c r="B100" s="314" t="s">
        <v>521</v>
      </c>
      <c r="C100" s="16"/>
      <c r="D100" s="16"/>
      <c r="E100" s="16"/>
      <c r="F100" s="16"/>
      <c r="G100" s="16"/>
      <c r="H100" s="16"/>
      <c r="I100" s="16"/>
      <c r="J100" s="15"/>
      <c r="K100" s="15"/>
      <c r="L100" s="15"/>
      <c r="M100" s="15"/>
      <c r="N100" s="16"/>
      <c r="O100" s="15"/>
      <c r="P100" s="15"/>
      <c r="Q100" s="15"/>
      <c r="R100" s="15"/>
      <c r="S100" s="16"/>
      <c r="T100" s="15"/>
      <c r="U100" s="15"/>
      <c r="V100" s="15"/>
      <c r="W100" s="15"/>
      <c r="X100" s="16"/>
      <c r="Y100" s="15"/>
      <c r="Z100" s="15"/>
      <c r="AA100" s="15"/>
      <c r="AB100" s="15"/>
      <c r="AC100" s="16"/>
      <c r="AD100" s="15"/>
      <c r="AE100" s="15"/>
      <c r="AF100" s="15"/>
      <c r="AG100" s="15"/>
      <c r="AH100" s="16"/>
      <c r="AI100" s="15"/>
      <c r="AK100" s="49"/>
      <c r="AL100" s="49"/>
      <c r="AM100" s="16"/>
      <c r="AN100" s="49"/>
      <c r="AO100" s="313"/>
      <c r="AP100" s="313"/>
      <c r="AQ100" s="313"/>
      <c r="AR100" s="16"/>
      <c r="AS100" s="313"/>
      <c r="AT100" s="313"/>
      <c r="AU100" s="313"/>
      <c r="AV100" s="313"/>
      <c r="AW100" s="16"/>
      <c r="AX100" s="313"/>
      <c r="AY100" s="313"/>
      <c r="AZ100" s="313"/>
      <c r="BA100" s="313"/>
      <c r="BB100" s="16"/>
      <c r="BC100" s="313"/>
      <c r="BD100" s="313"/>
      <c r="BE100" s="313"/>
      <c r="BF100" s="313"/>
      <c r="BG100" s="16"/>
      <c r="BH100" s="313"/>
      <c r="BI100" s="358"/>
      <c r="BJ100" s="358"/>
      <c r="BK100" s="358"/>
      <c r="BL100" s="16"/>
      <c r="BM100" s="358"/>
      <c r="BN100" s="358"/>
      <c r="BO100" s="358"/>
      <c r="BP100" s="358"/>
      <c r="BQ100" s="16"/>
      <c r="BR100" s="358"/>
      <c r="BS100" s="358"/>
      <c r="BT100" s="358"/>
      <c r="BU100" s="358"/>
      <c r="BV100" s="16"/>
      <c r="BW100" s="446"/>
      <c r="BX100" s="446"/>
      <c r="BY100" s="446"/>
      <c r="BZ100" s="446"/>
      <c r="CA100" s="16"/>
      <c r="CB100" s="358"/>
      <c r="CC100" s="358"/>
      <c r="CD100" s="358"/>
      <c r="CE100" s="358"/>
      <c r="CF100" s="16"/>
      <c r="CG100" s="358"/>
      <c r="CH100" s="358"/>
      <c r="CI100" s="358"/>
      <c r="CJ100" s="358"/>
      <c r="CK100" s="16"/>
      <c r="CL100" s="358">
        <v>21</v>
      </c>
      <c r="CM100" s="358">
        <v>1015</v>
      </c>
      <c r="CN100" s="358">
        <v>1072</v>
      </c>
      <c r="CO100" s="358">
        <v>911</v>
      </c>
      <c r="CP100" s="16">
        <f t="shared" ref="CP100:CP116" si="356">CO100</f>
        <v>911</v>
      </c>
      <c r="CQ100" s="358">
        <v>2894</v>
      </c>
      <c r="CR100" s="358">
        <v>3458</v>
      </c>
      <c r="CS100" s="358">
        <v>2856</v>
      </c>
      <c r="CT100" s="358">
        <v>3195</v>
      </c>
      <c r="CU100" s="16">
        <f t="shared" ref="CU100:CU110" si="357">CT100</f>
        <v>3195</v>
      </c>
      <c r="CV100" s="358">
        <v>-101</v>
      </c>
      <c r="CW100" s="358">
        <v>-365</v>
      </c>
      <c r="CX100" s="358">
        <v>-775</v>
      </c>
      <c r="CY100" s="358">
        <v>-1202</v>
      </c>
      <c r="CZ100" s="16">
        <f t="shared" ref="CZ100:CZ116" si="358">CY100</f>
        <v>-1202</v>
      </c>
      <c r="DA100" s="358">
        <v>-1257</v>
      </c>
      <c r="DB100" s="358">
        <v>-239</v>
      </c>
      <c r="DC100" s="358">
        <v>-412</v>
      </c>
      <c r="DD100" s="358">
        <v>-414</v>
      </c>
      <c r="DE100" s="16">
        <f t="shared" ref="DE100:DE116" si="359">DD100</f>
        <v>-414</v>
      </c>
      <c r="DF100" s="358">
        <v>-14</v>
      </c>
      <c r="DG100" s="358">
        <v>232</v>
      </c>
      <c r="DH100" s="358">
        <v>85</v>
      </c>
      <c r="DI100" s="358">
        <v>91</v>
      </c>
      <c r="DJ100" s="16">
        <f t="shared" ref="DJ100:DJ116" si="360">DI100</f>
        <v>91</v>
      </c>
      <c r="DK100" s="1079">
        <v>-10</v>
      </c>
      <c r="DL100" s="1079">
        <v>-31</v>
      </c>
      <c r="DM100" s="358"/>
      <c r="DN100" s="358"/>
      <c r="DO100" s="16"/>
      <c r="DP100" s="1079"/>
      <c r="DQ100" s="358"/>
      <c r="DR100" s="358"/>
      <c r="DS100" s="358"/>
      <c r="DT100" s="16"/>
      <c r="DU100" s="16"/>
      <c r="DV100" s="16"/>
    </row>
    <row r="101" spans="2:126" s="12" customFormat="1">
      <c r="B101" s="47" t="s">
        <v>187</v>
      </c>
      <c r="C101" s="16"/>
      <c r="D101" s="16"/>
      <c r="E101" s="16"/>
      <c r="F101" s="16"/>
      <c r="G101" s="16"/>
      <c r="H101" s="16"/>
      <c r="I101" s="16"/>
      <c r="J101" s="15"/>
      <c r="K101" s="15"/>
      <c r="L101" s="15"/>
      <c r="M101" s="15"/>
      <c r="N101" s="16"/>
      <c r="O101" s="15"/>
      <c r="P101" s="15"/>
      <c r="Q101" s="15"/>
      <c r="R101" s="15"/>
      <c r="S101" s="16"/>
      <c r="T101" s="15"/>
      <c r="U101" s="15"/>
      <c r="V101" s="15"/>
      <c r="W101" s="15"/>
      <c r="X101" s="16"/>
      <c r="Y101" s="15"/>
      <c r="Z101" s="15"/>
      <c r="AA101" s="15"/>
      <c r="AB101" s="15"/>
      <c r="AC101" s="16"/>
      <c r="AD101" s="15"/>
      <c r="AE101" s="15"/>
      <c r="AF101" s="15"/>
      <c r="AG101" s="15"/>
      <c r="AH101" s="16"/>
      <c r="AI101" s="15"/>
      <c r="AK101" s="49"/>
      <c r="AL101" s="49"/>
      <c r="AM101" s="16"/>
      <c r="AN101" s="49"/>
      <c r="AO101" s="313"/>
      <c r="AP101" s="313"/>
      <c r="AQ101" s="313"/>
      <c r="AR101" s="16"/>
      <c r="AS101" s="313"/>
      <c r="AT101" s="313"/>
      <c r="AU101" s="313"/>
      <c r="AV101" s="313"/>
      <c r="AW101" s="16"/>
      <c r="AX101" s="313"/>
      <c r="AY101" s="313"/>
      <c r="AZ101" s="313"/>
      <c r="BA101" s="313"/>
      <c r="BB101" s="16"/>
      <c r="BC101" s="313"/>
      <c r="BD101" s="313"/>
      <c r="BE101" s="313"/>
      <c r="BF101" s="313"/>
      <c r="BG101" s="16"/>
      <c r="BH101" s="313"/>
      <c r="BI101" s="358"/>
      <c r="BJ101" s="358"/>
      <c r="BK101" s="358"/>
      <c r="BL101" s="16"/>
      <c r="BM101" s="358"/>
      <c r="BN101" s="358"/>
      <c r="BO101" s="358"/>
      <c r="BP101" s="358"/>
      <c r="BQ101" s="16"/>
      <c r="BR101" s="358"/>
      <c r="BS101" s="358"/>
      <c r="BT101" s="358"/>
      <c r="BU101" s="358"/>
      <c r="BV101" s="16"/>
      <c r="BW101" s="446"/>
      <c r="BX101" s="446"/>
      <c r="BY101" s="446"/>
      <c r="BZ101" s="446"/>
      <c r="CA101" s="16"/>
      <c r="CB101" s="358"/>
      <c r="CC101" s="358"/>
      <c r="CD101" s="358"/>
      <c r="CE101" s="358"/>
      <c r="CF101" s="16"/>
      <c r="CG101" s="358"/>
      <c r="CH101" s="358"/>
      <c r="CI101" s="358"/>
      <c r="CJ101" s="358"/>
      <c r="CK101" s="16"/>
      <c r="CL101" s="358">
        <v>461</v>
      </c>
      <c r="CM101" s="358">
        <v>921</v>
      </c>
      <c r="CN101" s="358">
        <v>1664</v>
      </c>
      <c r="CO101" s="358">
        <v>2128</v>
      </c>
      <c r="CP101" s="16">
        <f t="shared" si="356"/>
        <v>2128</v>
      </c>
      <c r="CQ101" s="358">
        <v>452</v>
      </c>
      <c r="CR101" s="358">
        <v>935</v>
      </c>
      <c r="CS101" s="358">
        <v>1390</v>
      </c>
      <c r="CT101" s="358">
        <v>1871</v>
      </c>
      <c r="CU101" s="16">
        <f t="shared" si="357"/>
        <v>1871</v>
      </c>
      <c r="CV101" s="358">
        <v>403</v>
      </c>
      <c r="CW101" s="358">
        <v>783</v>
      </c>
      <c r="CX101" s="358">
        <v>1130</v>
      </c>
      <c r="CY101" s="358">
        <v>1564</v>
      </c>
      <c r="CZ101" s="16">
        <f t="shared" si="358"/>
        <v>1564</v>
      </c>
      <c r="DA101" s="358">
        <v>367</v>
      </c>
      <c r="DB101" s="358">
        <v>719</v>
      </c>
      <c r="DC101" s="358">
        <v>1097</v>
      </c>
      <c r="DD101" s="358">
        <v>1473</v>
      </c>
      <c r="DE101" s="16">
        <f t="shared" si="359"/>
        <v>1473</v>
      </c>
      <c r="DF101" s="358">
        <v>378</v>
      </c>
      <c r="DG101" s="358">
        <v>401</v>
      </c>
      <c r="DH101" s="358">
        <v>625</v>
      </c>
      <c r="DI101" s="358">
        <v>834</v>
      </c>
      <c r="DJ101" s="16">
        <f t="shared" si="360"/>
        <v>834</v>
      </c>
      <c r="DK101" s="1079">
        <v>210</v>
      </c>
      <c r="DL101" s="1079">
        <v>428</v>
      </c>
      <c r="DM101" s="358"/>
      <c r="DN101" s="358"/>
      <c r="DO101" s="16"/>
      <c r="DP101" s="1079"/>
      <c r="DQ101" s="358"/>
      <c r="DR101" s="358"/>
      <c r="DS101" s="358"/>
      <c r="DT101" s="16"/>
      <c r="DU101" s="16"/>
      <c r="DV101" s="16"/>
    </row>
    <row r="102" spans="2:126" s="12" customFormat="1">
      <c r="B102" s="845" t="s">
        <v>503</v>
      </c>
      <c r="C102" s="16"/>
      <c r="D102" s="16"/>
      <c r="E102" s="16"/>
      <c r="F102" s="16"/>
      <c r="G102" s="16"/>
      <c r="H102" s="16"/>
      <c r="I102" s="16"/>
      <c r="J102" s="15"/>
      <c r="K102" s="15"/>
      <c r="L102" s="15"/>
      <c r="M102" s="15"/>
      <c r="N102" s="16"/>
      <c r="O102" s="15"/>
      <c r="P102" s="15"/>
      <c r="Q102" s="15"/>
      <c r="R102" s="15"/>
      <c r="S102" s="16"/>
      <c r="T102" s="15"/>
      <c r="U102" s="15"/>
      <c r="V102" s="15"/>
      <c r="W102" s="15"/>
      <c r="X102" s="16"/>
      <c r="Y102" s="15"/>
      <c r="Z102" s="15"/>
      <c r="AA102" s="15"/>
      <c r="AB102" s="15"/>
      <c r="AC102" s="16"/>
      <c r="AD102" s="15"/>
      <c r="AE102" s="15"/>
      <c r="AF102" s="15"/>
      <c r="AG102" s="15"/>
      <c r="AH102" s="16"/>
      <c r="AI102" s="15"/>
      <c r="AK102" s="49"/>
      <c r="AL102" s="49"/>
      <c r="AM102" s="16"/>
      <c r="AN102" s="49"/>
      <c r="AO102" s="313"/>
      <c r="AP102" s="313"/>
      <c r="AQ102" s="313"/>
      <c r="AR102" s="16"/>
      <c r="AS102" s="313"/>
      <c r="AT102" s="313"/>
      <c r="AU102" s="313"/>
      <c r="AV102" s="15"/>
      <c r="AW102" s="16"/>
      <c r="AX102" s="15"/>
      <c r="AY102" s="313"/>
      <c r="AZ102" s="15"/>
      <c r="BA102" s="15"/>
      <c r="BB102" s="16"/>
      <c r="BC102" s="15"/>
      <c r="BE102" s="15"/>
      <c r="BF102" s="15"/>
      <c r="BG102" s="16"/>
      <c r="BH102" s="15"/>
      <c r="BI102" s="358"/>
      <c r="BJ102" s="358"/>
      <c r="BK102" s="358"/>
      <c r="BL102" s="16"/>
      <c r="BM102" s="15"/>
      <c r="BN102" s="358"/>
      <c r="BO102" s="358"/>
      <c r="BP102" s="358"/>
      <c r="BQ102" s="16"/>
      <c r="BR102" s="15"/>
      <c r="BS102" s="358"/>
      <c r="BT102" s="358"/>
      <c r="BU102" s="358"/>
      <c r="BV102" s="16"/>
      <c r="BW102" s="448"/>
      <c r="BX102" s="435"/>
      <c r="BY102" s="446"/>
      <c r="BZ102" s="446"/>
      <c r="CA102" s="16"/>
      <c r="CB102" s="15"/>
      <c r="CC102" s="358"/>
      <c r="CD102" s="358"/>
      <c r="CE102" s="358"/>
      <c r="CF102" s="16"/>
      <c r="CG102" s="358"/>
      <c r="CH102" s="358"/>
      <c r="CI102" s="358"/>
      <c r="CJ102" s="358"/>
      <c r="CK102" s="16"/>
      <c r="CL102" s="358">
        <v>318</v>
      </c>
      <c r="CM102" s="358">
        <v>617</v>
      </c>
      <c r="CN102" s="358">
        <v>1036</v>
      </c>
      <c r="CO102" s="358">
        <v>1336</v>
      </c>
      <c r="CP102" s="16">
        <f t="shared" si="356"/>
        <v>1336</v>
      </c>
      <c r="CQ102" s="358">
        <v>301</v>
      </c>
      <c r="CR102" s="358">
        <v>589</v>
      </c>
      <c r="CS102" s="358">
        <v>860</v>
      </c>
      <c r="CT102" s="358">
        <v>1138</v>
      </c>
      <c r="CU102" s="16">
        <f t="shared" si="357"/>
        <v>1138</v>
      </c>
      <c r="CV102" s="358">
        <v>922</v>
      </c>
      <c r="CW102" s="358">
        <v>1058</v>
      </c>
      <c r="CX102" s="358">
        <v>1193</v>
      </c>
      <c r="CY102" s="358">
        <v>1338</v>
      </c>
      <c r="CZ102" s="16">
        <f t="shared" si="358"/>
        <v>1338</v>
      </c>
      <c r="DA102" s="358">
        <v>140</v>
      </c>
      <c r="DB102" s="358">
        <v>299</v>
      </c>
      <c r="DC102" s="358">
        <v>448</v>
      </c>
      <c r="DD102" s="358">
        <v>606</v>
      </c>
      <c r="DE102" s="16">
        <f t="shared" si="359"/>
        <v>606</v>
      </c>
      <c r="DF102" s="358">
        <v>145</v>
      </c>
      <c r="DG102" s="358">
        <v>172</v>
      </c>
      <c r="DH102" s="358">
        <v>261</v>
      </c>
      <c r="DI102" s="358">
        <v>350</v>
      </c>
      <c r="DJ102" s="16">
        <f t="shared" si="360"/>
        <v>350</v>
      </c>
      <c r="DK102" s="1079">
        <v>89</v>
      </c>
      <c r="DL102" s="1079">
        <v>182</v>
      </c>
      <c r="DM102" s="358"/>
      <c r="DN102" s="358"/>
      <c r="DO102" s="16"/>
      <c r="DP102" s="1079"/>
      <c r="DQ102" s="358"/>
      <c r="DR102" s="358"/>
      <c r="DS102" s="358"/>
      <c r="DT102" s="16"/>
      <c r="DU102" s="16"/>
      <c r="DV102" s="16"/>
    </row>
    <row r="103" spans="2:126" s="12" customFormat="1">
      <c r="B103" s="845" t="s">
        <v>505</v>
      </c>
      <c r="C103" s="16"/>
      <c r="D103" s="16"/>
      <c r="E103" s="16"/>
      <c r="F103" s="16"/>
      <c r="G103" s="16"/>
      <c r="H103" s="16"/>
      <c r="I103" s="16"/>
      <c r="J103" s="15"/>
      <c r="K103" s="15"/>
      <c r="L103" s="15"/>
      <c r="M103" s="15"/>
      <c r="N103" s="16"/>
      <c r="O103" s="15"/>
      <c r="P103" s="15"/>
      <c r="Q103" s="15"/>
      <c r="R103" s="15"/>
      <c r="S103" s="16"/>
      <c r="T103" s="15"/>
      <c r="U103" s="15"/>
      <c r="V103" s="15"/>
      <c r="W103" s="15"/>
      <c r="X103" s="16"/>
      <c r="Y103" s="15"/>
      <c r="Z103" s="15"/>
      <c r="AA103" s="15"/>
      <c r="AB103" s="15"/>
      <c r="AC103" s="16"/>
      <c r="AD103" s="15"/>
      <c r="AE103" s="15"/>
      <c r="AF103" s="15"/>
      <c r="AG103" s="15"/>
      <c r="AH103" s="16"/>
      <c r="AI103" s="15"/>
      <c r="AK103" s="49"/>
      <c r="AL103" s="49"/>
      <c r="AM103" s="16"/>
      <c r="AN103" s="49"/>
      <c r="AO103" s="313"/>
      <c r="AP103" s="313"/>
      <c r="AQ103" s="313"/>
      <c r="AR103" s="16"/>
      <c r="AS103" s="313"/>
      <c r="AT103" s="313"/>
      <c r="AU103" s="313"/>
      <c r="AV103" s="15"/>
      <c r="AW103" s="16"/>
      <c r="AX103" s="15"/>
      <c r="AY103" s="313"/>
      <c r="AZ103" s="15"/>
      <c r="BA103" s="15"/>
      <c r="BB103" s="16"/>
      <c r="BC103" s="15"/>
      <c r="BE103" s="15"/>
      <c r="BF103" s="15"/>
      <c r="BG103" s="16"/>
      <c r="BH103" s="15"/>
      <c r="BI103" s="358"/>
      <c r="BJ103" s="358"/>
      <c r="BK103" s="358"/>
      <c r="BL103" s="16"/>
      <c r="BM103" s="15"/>
      <c r="BN103" s="358"/>
      <c r="BO103" s="358"/>
      <c r="BP103" s="358"/>
      <c r="BQ103" s="16"/>
      <c r="BR103" s="15"/>
      <c r="BS103" s="358"/>
      <c r="BT103" s="358"/>
      <c r="BU103" s="358"/>
      <c r="BV103" s="16"/>
      <c r="BW103" s="448"/>
      <c r="BX103" s="435"/>
      <c r="BY103" s="446"/>
      <c r="BZ103" s="446"/>
      <c r="CA103" s="16"/>
      <c r="CB103" s="15"/>
      <c r="CC103" s="358"/>
      <c r="CD103" s="358"/>
      <c r="CE103" s="358"/>
      <c r="CF103" s="16"/>
      <c r="CG103" s="358"/>
      <c r="CH103" s="358"/>
      <c r="CI103" s="358"/>
      <c r="CJ103" s="358"/>
      <c r="CK103" s="16"/>
      <c r="CL103" s="358">
        <v>-12372</v>
      </c>
      <c r="CM103" s="358">
        <v>-12425</v>
      </c>
      <c r="CN103" s="358">
        <v>-12446</v>
      </c>
      <c r="CO103" s="358">
        <v>-12469</v>
      </c>
      <c r="CP103" s="16">
        <f t="shared" si="356"/>
        <v>-12469</v>
      </c>
      <c r="CQ103" s="358">
        <v>-3</v>
      </c>
      <c r="CR103" s="358">
        <v>2</v>
      </c>
      <c r="CS103" s="358">
        <v>155</v>
      </c>
      <c r="CT103" s="358">
        <v>40</v>
      </c>
      <c r="CU103" s="16">
        <f t="shared" si="357"/>
        <v>40</v>
      </c>
      <c r="CV103" s="358">
        <v>-15</v>
      </c>
      <c r="CW103" s="358">
        <v>-19</v>
      </c>
      <c r="CX103" s="358">
        <v>-42</v>
      </c>
      <c r="CY103" s="358">
        <v>-60</v>
      </c>
      <c r="CZ103" s="16">
        <f t="shared" si="358"/>
        <v>-60</v>
      </c>
      <c r="DA103" s="358">
        <v>52</v>
      </c>
      <c r="DB103" s="358">
        <v>13</v>
      </c>
      <c r="DC103" s="358">
        <v>-103</v>
      </c>
      <c r="DD103" s="358">
        <v>-104</v>
      </c>
      <c r="DE103" s="16">
        <f t="shared" si="359"/>
        <v>-104</v>
      </c>
      <c r="DF103" s="358">
        <v>-9</v>
      </c>
      <c r="DG103" s="358">
        <v>0</v>
      </c>
      <c r="DH103" s="358">
        <v>0</v>
      </c>
      <c r="DI103" s="358">
        <v>0</v>
      </c>
      <c r="DJ103" s="16">
        <f t="shared" si="360"/>
        <v>0</v>
      </c>
      <c r="DK103" s="1079">
        <v>0</v>
      </c>
      <c r="DL103" s="1079">
        <v>0</v>
      </c>
      <c r="DM103" s="358"/>
      <c r="DN103" s="358"/>
      <c r="DO103" s="16"/>
      <c r="DP103" s="1079"/>
      <c r="DQ103" s="358"/>
      <c r="DR103" s="358"/>
      <c r="DS103" s="358"/>
      <c r="DT103" s="16"/>
      <c r="DU103" s="16"/>
      <c r="DV103" s="16"/>
    </row>
    <row r="104" spans="2:126" s="12" customFormat="1">
      <c r="B104" s="845" t="s">
        <v>504</v>
      </c>
      <c r="C104" s="16"/>
      <c r="D104" s="16"/>
      <c r="E104" s="16"/>
      <c r="F104" s="16"/>
      <c r="G104" s="16"/>
      <c r="H104" s="16"/>
      <c r="I104" s="16"/>
      <c r="J104" s="15"/>
      <c r="K104" s="15"/>
      <c r="L104" s="15"/>
      <c r="M104" s="15"/>
      <c r="N104" s="16"/>
      <c r="O104" s="15"/>
      <c r="P104" s="15"/>
      <c r="Q104" s="15"/>
      <c r="R104" s="15"/>
      <c r="S104" s="16"/>
      <c r="T104" s="15"/>
      <c r="U104" s="15"/>
      <c r="V104" s="15"/>
      <c r="W104" s="15"/>
      <c r="X104" s="16"/>
      <c r="Y104" s="15"/>
      <c r="Z104" s="15"/>
      <c r="AA104" s="15"/>
      <c r="AB104" s="15"/>
      <c r="AC104" s="16"/>
      <c r="AD104" s="15"/>
      <c r="AE104" s="15"/>
      <c r="AF104" s="15"/>
      <c r="AG104" s="15"/>
      <c r="AH104" s="16"/>
      <c r="AI104" s="15"/>
      <c r="AK104" s="49"/>
      <c r="AL104" s="49"/>
      <c r="AM104" s="16"/>
      <c r="AN104" s="49"/>
      <c r="AO104" s="313"/>
      <c r="AP104" s="313"/>
      <c r="AQ104" s="313"/>
      <c r="AR104" s="16"/>
      <c r="AS104" s="313"/>
      <c r="AT104" s="313"/>
      <c r="AU104" s="313"/>
      <c r="AV104" s="15"/>
      <c r="AW104" s="16"/>
      <c r="AX104" s="15"/>
      <c r="AY104" s="313"/>
      <c r="AZ104" s="15"/>
      <c r="BA104" s="15"/>
      <c r="BB104" s="16"/>
      <c r="BC104" s="15"/>
      <c r="BE104" s="15"/>
      <c r="BF104" s="15"/>
      <c r="BG104" s="16"/>
      <c r="BH104" s="15"/>
      <c r="BI104" s="358"/>
      <c r="BJ104" s="358"/>
      <c r="BK104" s="358"/>
      <c r="BL104" s="16"/>
      <c r="BM104" s="15"/>
      <c r="BN104" s="358"/>
      <c r="BO104" s="358"/>
      <c r="BP104" s="358"/>
      <c r="BQ104" s="16"/>
      <c r="BR104" s="15"/>
      <c r="BS104" s="358"/>
      <c r="BT104" s="358"/>
      <c r="BU104" s="358"/>
      <c r="BV104" s="16"/>
      <c r="BW104" s="448"/>
      <c r="BX104" s="435"/>
      <c r="BY104" s="446"/>
      <c r="BZ104" s="446"/>
      <c r="CA104" s="16"/>
      <c r="CB104" s="15"/>
      <c r="CC104" s="358"/>
      <c r="CD104" s="358"/>
      <c r="CE104" s="358"/>
      <c r="CF104" s="16"/>
      <c r="CG104" s="358"/>
      <c r="CH104" s="358"/>
      <c r="CI104" s="358"/>
      <c r="CJ104" s="358"/>
      <c r="CK104" s="16"/>
      <c r="CL104" s="358">
        <v>5873</v>
      </c>
      <c r="CM104" s="358">
        <v>4018</v>
      </c>
      <c r="CN104" s="358">
        <v>4781</v>
      </c>
      <c r="CO104" s="358">
        <v>2085</v>
      </c>
      <c r="CP104" s="16">
        <f t="shared" si="356"/>
        <v>2085</v>
      </c>
      <c r="CQ104" s="358">
        <v>-296</v>
      </c>
      <c r="CR104" s="358">
        <v>-694</v>
      </c>
      <c r="CS104" s="358">
        <v>-1035</v>
      </c>
      <c r="CT104" s="358">
        <v>-1656</v>
      </c>
      <c r="CU104" s="16">
        <f t="shared" si="357"/>
        <v>-1656</v>
      </c>
      <c r="CV104" s="358">
        <v>203</v>
      </c>
      <c r="CW104" s="358">
        <v>1965</v>
      </c>
      <c r="CX104" s="358">
        <v>2145</v>
      </c>
      <c r="CY104" s="358">
        <v>113</v>
      </c>
      <c r="CZ104" s="16">
        <f t="shared" si="358"/>
        <v>113</v>
      </c>
      <c r="DA104" s="358">
        <v>-5906</v>
      </c>
      <c r="DB104" s="358">
        <v>-6282</v>
      </c>
      <c r="DC104" s="358">
        <v>-5181</v>
      </c>
      <c r="DD104" s="358">
        <v>-5842</v>
      </c>
      <c r="DE104" s="16">
        <f t="shared" si="359"/>
        <v>-5842</v>
      </c>
      <c r="DF104" s="358">
        <v>-665</v>
      </c>
      <c r="DG104" s="358">
        <v>-314</v>
      </c>
      <c r="DH104" s="358">
        <v>-723</v>
      </c>
      <c r="DI104" s="358">
        <v>-719</v>
      </c>
      <c r="DJ104" s="16">
        <f t="shared" si="360"/>
        <v>-719</v>
      </c>
      <c r="DK104" s="1079">
        <v>-43</v>
      </c>
      <c r="DL104" s="1079">
        <v>-109</v>
      </c>
      <c r="DM104" s="358"/>
      <c r="DN104" s="358"/>
      <c r="DO104" s="16"/>
      <c r="DP104" s="1079"/>
      <c r="DQ104" s="358"/>
      <c r="DR104" s="358"/>
      <c r="DS104" s="358"/>
      <c r="DT104" s="16"/>
      <c r="DU104" s="16"/>
      <c r="DV104" s="16"/>
    </row>
    <row r="105" spans="2:126" s="12" customFormat="1">
      <c r="B105" s="845" t="s">
        <v>506</v>
      </c>
      <c r="C105" s="16"/>
      <c r="D105" s="16"/>
      <c r="E105" s="16"/>
      <c r="F105" s="16"/>
      <c r="G105" s="16"/>
      <c r="H105" s="16"/>
      <c r="I105" s="16"/>
      <c r="J105" s="15"/>
      <c r="K105" s="15"/>
      <c r="L105" s="15"/>
      <c r="M105" s="15"/>
      <c r="N105" s="16"/>
      <c r="O105" s="15"/>
      <c r="P105" s="15"/>
      <c r="Q105" s="15"/>
      <c r="R105" s="15"/>
      <c r="S105" s="16"/>
      <c r="T105" s="15"/>
      <c r="U105" s="15"/>
      <c r="V105" s="15"/>
      <c r="W105" s="15"/>
      <c r="X105" s="16"/>
      <c r="Y105" s="15"/>
      <c r="Z105" s="15"/>
      <c r="AA105" s="15"/>
      <c r="AB105" s="15"/>
      <c r="AC105" s="16"/>
      <c r="AD105" s="15"/>
      <c r="AE105" s="15"/>
      <c r="AF105" s="15"/>
      <c r="AG105" s="15"/>
      <c r="AH105" s="16"/>
      <c r="AI105" s="15"/>
      <c r="AK105" s="49"/>
      <c r="AL105" s="49"/>
      <c r="AM105" s="16"/>
      <c r="AN105" s="49"/>
      <c r="AO105" s="313"/>
      <c r="AP105" s="313"/>
      <c r="AQ105" s="313"/>
      <c r="AR105" s="16"/>
      <c r="AS105" s="313"/>
      <c r="AT105" s="313"/>
      <c r="AU105" s="313"/>
      <c r="AV105" s="15"/>
      <c r="AW105" s="16"/>
      <c r="AX105" s="15"/>
      <c r="AY105" s="313"/>
      <c r="AZ105" s="15"/>
      <c r="BA105" s="15"/>
      <c r="BB105" s="16"/>
      <c r="BC105" s="15"/>
      <c r="BE105" s="15"/>
      <c r="BF105" s="15"/>
      <c r="BG105" s="16"/>
      <c r="BH105" s="15"/>
      <c r="BI105" s="358"/>
      <c r="BJ105" s="358"/>
      <c r="BK105" s="358"/>
      <c r="BL105" s="16"/>
      <c r="BM105" s="15"/>
      <c r="BN105" s="358"/>
      <c r="BO105" s="358"/>
      <c r="BP105" s="358"/>
      <c r="BQ105" s="16"/>
      <c r="BR105" s="15"/>
      <c r="BS105" s="358"/>
      <c r="BT105" s="358"/>
      <c r="BU105" s="358"/>
      <c r="BV105" s="16"/>
      <c r="BW105" s="448"/>
      <c r="BX105" s="435"/>
      <c r="BY105" s="446"/>
      <c r="BZ105" s="446"/>
      <c r="CA105" s="16"/>
      <c r="CB105" s="15"/>
      <c r="CC105" s="358"/>
      <c r="CD105" s="358"/>
      <c r="CE105" s="358"/>
      <c r="CF105" s="16"/>
      <c r="CG105" s="358"/>
      <c r="CH105" s="358"/>
      <c r="CI105" s="358"/>
      <c r="CJ105" s="358"/>
      <c r="CK105" s="16"/>
      <c r="CL105" s="358">
        <v>877</v>
      </c>
      <c r="CM105" s="358">
        <v>1798</v>
      </c>
      <c r="CN105" s="358">
        <v>2681</v>
      </c>
      <c r="CO105" s="358">
        <v>3559</v>
      </c>
      <c r="CP105" s="16">
        <f t="shared" si="356"/>
        <v>3559</v>
      </c>
      <c r="CQ105" s="358">
        <v>658</v>
      </c>
      <c r="CR105" s="358">
        <v>1329</v>
      </c>
      <c r="CS105" s="358">
        <v>1990</v>
      </c>
      <c r="CT105" s="358">
        <v>2650</v>
      </c>
      <c r="CU105" s="16">
        <f t="shared" si="357"/>
        <v>2650</v>
      </c>
      <c r="CV105" s="358">
        <v>94</v>
      </c>
      <c r="CW105" s="358">
        <v>180</v>
      </c>
      <c r="CX105" s="358">
        <v>269</v>
      </c>
      <c r="CY105" s="358">
        <v>376</v>
      </c>
      <c r="CZ105" s="16">
        <f t="shared" si="358"/>
        <v>376</v>
      </c>
      <c r="DA105" s="358">
        <v>-271</v>
      </c>
      <c r="DB105" s="358">
        <v>-556</v>
      </c>
      <c r="DC105" s="358">
        <v>-834</v>
      </c>
      <c r="DD105" s="358">
        <v>-1108</v>
      </c>
      <c r="DE105" s="16">
        <f t="shared" si="359"/>
        <v>-1108</v>
      </c>
      <c r="DF105" s="358">
        <v>-256</v>
      </c>
      <c r="DG105" s="358">
        <v>-328</v>
      </c>
      <c r="DH105" s="358">
        <v>-491</v>
      </c>
      <c r="DI105" s="358">
        <v>-653</v>
      </c>
      <c r="DJ105" s="16">
        <f t="shared" si="360"/>
        <v>-653</v>
      </c>
      <c r="DK105" s="1079">
        <v>-161</v>
      </c>
      <c r="DL105" s="1079">
        <v>-324</v>
      </c>
      <c r="DM105" s="358"/>
      <c r="DN105" s="358"/>
      <c r="DO105" s="16"/>
      <c r="DP105" s="1079"/>
      <c r="DQ105" s="358"/>
      <c r="DR105" s="358"/>
      <c r="DS105" s="358"/>
      <c r="DT105" s="16"/>
      <c r="DU105" s="16"/>
      <c r="DV105" s="16"/>
    </row>
    <row r="106" spans="2:126" s="12" customFormat="1">
      <c r="B106" s="845" t="s">
        <v>507</v>
      </c>
      <c r="C106" s="16"/>
      <c r="D106" s="16"/>
      <c r="E106" s="16"/>
      <c r="F106" s="16"/>
      <c r="G106" s="16"/>
      <c r="H106" s="16"/>
      <c r="I106" s="16"/>
      <c r="J106" s="15"/>
      <c r="K106" s="15"/>
      <c r="L106" s="15"/>
      <c r="M106" s="15"/>
      <c r="N106" s="16"/>
      <c r="O106" s="15"/>
      <c r="P106" s="15"/>
      <c r="Q106" s="15"/>
      <c r="R106" s="15"/>
      <c r="S106" s="16"/>
      <c r="T106" s="15"/>
      <c r="U106" s="15"/>
      <c r="V106" s="15"/>
      <c r="W106" s="15"/>
      <c r="X106" s="16"/>
      <c r="Y106" s="15"/>
      <c r="Z106" s="15"/>
      <c r="AA106" s="15"/>
      <c r="AB106" s="15"/>
      <c r="AC106" s="16"/>
      <c r="AD106" s="15"/>
      <c r="AE106" s="15"/>
      <c r="AF106" s="15"/>
      <c r="AG106" s="15"/>
      <c r="AH106" s="16"/>
      <c r="AI106" s="15"/>
      <c r="AK106" s="49"/>
      <c r="AL106" s="49"/>
      <c r="AM106" s="16"/>
      <c r="AN106" s="49"/>
      <c r="AO106" s="313"/>
      <c r="AP106" s="313"/>
      <c r="AQ106" s="313"/>
      <c r="AR106" s="16"/>
      <c r="AS106" s="313"/>
      <c r="AT106" s="313"/>
      <c r="AU106" s="313"/>
      <c r="AV106" s="15"/>
      <c r="AW106" s="16"/>
      <c r="AX106" s="15"/>
      <c r="AY106" s="313"/>
      <c r="AZ106" s="15"/>
      <c r="BA106" s="15"/>
      <c r="BB106" s="16"/>
      <c r="BC106" s="15"/>
      <c r="BE106" s="15"/>
      <c r="BF106" s="15"/>
      <c r="BG106" s="16"/>
      <c r="BH106" s="15"/>
      <c r="BI106" s="358"/>
      <c r="BJ106" s="358"/>
      <c r="BK106" s="358"/>
      <c r="BL106" s="16"/>
      <c r="BM106" s="15"/>
      <c r="BN106" s="358"/>
      <c r="BO106" s="358"/>
      <c r="BP106" s="358"/>
      <c r="BQ106" s="16"/>
      <c r="BR106" s="15"/>
      <c r="BS106" s="358"/>
      <c r="BT106" s="358"/>
      <c r="BU106" s="358"/>
      <c r="BV106" s="16"/>
      <c r="BW106" s="448"/>
      <c r="BX106" s="435"/>
      <c r="BY106" s="446"/>
      <c r="BZ106" s="446"/>
      <c r="CA106" s="16"/>
      <c r="CB106" s="15"/>
      <c r="CC106" s="358"/>
      <c r="CD106" s="358"/>
      <c r="CE106" s="358"/>
      <c r="CF106" s="16"/>
      <c r="CG106" s="358"/>
      <c r="CH106" s="358"/>
      <c r="CI106" s="358"/>
      <c r="CJ106" s="358"/>
      <c r="CK106" s="16"/>
      <c r="CL106" s="358">
        <v>-70</v>
      </c>
      <c r="CM106" s="358">
        <v>-144</v>
      </c>
      <c r="CN106" s="358">
        <v>-226</v>
      </c>
      <c r="CO106" s="358">
        <v>-2806</v>
      </c>
      <c r="CP106" s="16">
        <f t="shared" si="356"/>
        <v>-2806</v>
      </c>
      <c r="CQ106" s="358">
        <v>-74</v>
      </c>
      <c r="CR106" s="358">
        <v>-154</v>
      </c>
      <c r="CS106" s="358">
        <v>-232</v>
      </c>
      <c r="CT106" s="358">
        <v>-326</v>
      </c>
      <c r="CU106" s="16">
        <f t="shared" si="357"/>
        <v>-326</v>
      </c>
      <c r="CV106" s="358">
        <v>-49</v>
      </c>
      <c r="CW106" s="358">
        <v>-100</v>
      </c>
      <c r="CX106" s="358">
        <v>-152</v>
      </c>
      <c r="CY106" s="358">
        <v>-204</v>
      </c>
      <c r="CZ106" s="16">
        <f t="shared" si="358"/>
        <v>-204</v>
      </c>
      <c r="DA106" s="358">
        <v>-52</v>
      </c>
      <c r="DB106" s="358">
        <v>-104</v>
      </c>
      <c r="DC106" s="358">
        <v>-156</v>
      </c>
      <c r="DD106" s="358">
        <v>-212</v>
      </c>
      <c r="DE106" s="16">
        <f t="shared" si="359"/>
        <v>-212</v>
      </c>
      <c r="DF106" s="358">
        <v>-53</v>
      </c>
      <c r="DG106" s="358">
        <v>-94</v>
      </c>
      <c r="DH106" s="358">
        <v>-142</v>
      </c>
      <c r="DI106" s="358">
        <v>-210</v>
      </c>
      <c r="DJ106" s="16">
        <f t="shared" si="360"/>
        <v>-210</v>
      </c>
      <c r="DK106" s="1079">
        <v>-48</v>
      </c>
      <c r="DL106" s="1079">
        <v>-95</v>
      </c>
      <c r="DM106" s="358"/>
      <c r="DN106" s="358"/>
      <c r="DO106" s="16"/>
      <c r="DP106" s="1079"/>
      <c r="DQ106" s="358"/>
      <c r="DR106" s="358"/>
      <c r="DS106" s="358"/>
      <c r="DT106" s="16"/>
      <c r="DU106" s="16"/>
      <c r="DV106" s="16"/>
    </row>
    <row r="107" spans="2:126" s="12" customFormat="1">
      <c r="B107" s="845" t="s">
        <v>508</v>
      </c>
      <c r="C107" s="16"/>
      <c r="D107" s="16"/>
      <c r="E107" s="16"/>
      <c r="F107" s="16"/>
      <c r="G107" s="16"/>
      <c r="H107" s="16"/>
      <c r="I107" s="16"/>
      <c r="J107" s="15"/>
      <c r="K107" s="15"/>
      <c r="L107" s="15"/>
      <c r="M107" s="15"/>
      <c r="N107" s="16"/>
      <c r="O107" s="15"/>
      <c r="P107" s="15"/>
      <c r="Q107" s="15"/>
      <c r="R107" s="15"/>
      <c r="S107" s="16"/>
      <c r="T107" s="15"/>
      <c r="U107" s="15"/>
      <c r="V107" s="15"/>
      <c r="W107" s="15"/>
      <c r="X107" s="16"/>
      <c r="Y107" s="15"/>
      <c r="Z107" s="15"/>
      <c r="AA107" s="15"/>
      <c r="AB107" s="15"/>
      <c r="AC107" s="16"/>
      <c r="AD107" s="15"/>
      <c r="AE107" s="15"/>
      <c r="AF107" s="15"/>
      <c r="AG107" s="15"/>
      <c r="AH107" s="16"/>
      <c r="AI107" s="15"/>
      <c r="AK107" s="49"/>
      <c r="AL107" s="49"/>
      <c r="AM107" s="16"/>
      <c r="AN107" s="49"/>
      <c r="AO107" s="313"/>
      <c r="AP107" s="313"/>
      <c r="AQ107" s="313"/>
      <c r="AR107" s="16"/>
      <c r="AS107" s="313"/>
      <c r="AT107" s="313"/>
      <c r="AU107" s="313"/>
      <c r="AV107" s="15"/>
      <c r="AW107" s="16"/>
      <c r="AX107" s="15"/>
      <c r="AY107" s="313"/>
      <c r="AZ107" s="15"/>
      <c r="BA107" s="15"/>
      <c r="BB107" s="16"/>
      <c r="BC107" s="15"/>
      <c r="BE107" s="15"/>
      <c r="BF107" s="15"/>
      <c r="BG107" s="16"/>
      <c r="BH107" s="15"/>
      <c r="BI107" s="358"/>
      <c r="BJ107" s="358"/>
      <c r="BK107" s="358"/>
      <c r="BL107" s="16"/>
      <c r="BM107" s="15"/>
      <c r="BN107" s="358"/>
      <c r="BO107" s="358"/>
      <c r="BP107" s="358"/>
      <c r="BQ107" s="16"/>
      <c r="BR107" s="15"/>
      <c r="BS107" s="358"/>
      <c r="BT107" s="358"/>
      <c r="BU107" s="358"/>
      <c r="BV107" s="16"/>
      <c r="BW107" s="448"/>
      <c r="BX107" s="435"/>
      <c r="BY107" s="446"/>
      <c r="BZ107" s="446"/>
      <c r="CA107" s="16"/>
      <c r="CB107" s="15"/>
      <c r="CC107" s="358"/>
      <c r="CD107" s="358"/>
      <c r="CE107" s="358"/>
      <c r="CF107" s="16"/>
      <c r="CG107" s="358"/>
      <c r="CH107" s="358"/>
      <c r="CI107" s="358"/>
      <c r="CJ107" s="358"/>
      <c r="CK107" s="16"/>
      <c r="CL107" s="358">
        <v>-254</v>
      </c>
      <c r="CM107" s="358">
        <v>-488</v>
      </c>
      <c r="CN107" s="358">
        <v>-712</v>
      </c>
      <c r="CO107" s="358">
        <v>-893</v>
      </c>
      <c r="CP107" s="16">
        <f t="shared" si="356"/>
        <v>-893</v>
      </c>
      <c r="CQ107" s="358">
        <v>-289</v>
      </c>
      <c r="CR107" s="358">
        <v>-497</v>
      </c>
      <c r="CS107" s="358">
        <v>-772</v>
      </c>
      <c r="CT107" s="358">
        <v>-1144</v>
      </c>
      <c r="CU107" s="16">
        <f t="shared" si="357"/>
        <v>-1144</v>
      </c>
      <c r="CV107" s="358">
        <v>-224</v>
      </c>
      <c r="CW107" s="358">
        <v>-433</v>
      </c>
      <c r="CX107" s="358">
        <v>-617</v>
      </c>
      <c r="CY107" s="358">
        <v>-755</v>
      </c>
      <c r="CZ107" s="16">
        <f t="shared" si="358"/>
        <v>-755</v>
      </c>
      <c r="DA107" s="358">
        <v>-181</v>
      </c>
      <c r="DB107" s="358">
        <v>-343</v>
      </c>
      <c r="DC107" s="358">
        <v>-496</v>
      </c>
      <c r="DD107" s="358">
        <v>-644</v>
      </c>
      <c r="DE107" s="16">
        <f t="shared" si="359"/>
        <v>-644</v>
      </c>
      <c r="DF107" s="358">
        <v>-133</v>
      </c>
      <c r="DG107" s="358">
        <v>-155</v>
      </c>
      <c r="DH107" s="358">
        <v>-221</v>
      </c>
      <c r="DI107" s="358">
        <v>-299</v>
      </c>
      <c r="DJ107" s="16">
        <f t="shared" si="360"/>
        <v>-299</v>
      </c>
      <c r="DK107" s="1079">
        <v>-74</v>
      </c>
      <c r="DL107" s="1079">
        <v>-133</v>
      </c>
      <c r="DM107" s="358"/>
      <c r="DN107" s="358"/>
      <c r="DO107" s="16"/>
      <c r="DP107" s="1079"/>
      <c r="DQ107" s="358"/>
      <c r="DR107" s="358"/>
      <c r="DS107" s="358"/>
      <c r="DT107" s="16"/>
      <c r="DU107" s="16"/>
      <c r="DV107" s="16"/>
    </row>
    <row r="108" spans="2:126" s="12" customFormat="1">
      <c r="B108" s="845" t="s">
        <v>509</v>
      </c>
      <c r="C108" s="16"/>
      <c r="D108" s="16"/>
      <c r="E108" s="16"/>
      <c r="F108" s="16"/>
      <c r="G108" s="16"/>
      <c r="H108" s="16"/>
      <c r="I108" s="16"/>
      <c r="J108" s="15"/>
      <c r="K108" s="15"/>
      <c r="L108" s="15"/>
      <c r="M108" s="15"/>
      <c r="N108" s="16"/>
      <c r="O108" s="15"/>
      <c r="P108" s="15"/>
      <c r="Q108" s="15"/>
      <c r="R108" s="15"/>
      <c r="S108" s="16"/>
      <c r="T108" s="15"/>
      <c r="U108" s="15"/>
      <c r="V108" s="15"/>
      <c r="W108" s="15"/>
      <c r="X108" s="16"/>
      <c r="Y108" s="15"/>
      <c r="Z108" s="15"/>
      <c r="AA108" s="15"/>
      <c r="AB108" s="15"/>
      <c r="AC108" s="16"/>
      <c r="AD108" s="15"/>
      <c r="AE108" s="15"/>
      <c r="AF108" s="15"/>
      <c r="AG108" s="15"/>
      <c r="AH108" s="16"/>
      <c r="AI108" s="15"/>
      <c r="AK108" s="49"/>
      <c r="AL108" s="49"/>
      <c r="AM108" s="16"/>
      <c r="AN108" s="49"/>
      <c r="AO108" s="313"/>
      <c r="AP108" s="313"/>
      <c r="AQ108" s="313"/>
      <c r="AR108" s="16"/>
      <c r="AS108" s="313"/>
      <c r="AT108" s="313"/>
      <c r="AU108" s="313"/>
      <c r="AV108" s="313"/>
      <c r="AW108" s="16"/>
      <c r="AX108" s="313"/>
      <c r="AY108" s="313"/>
      <c r="AZ108" s="313"/>
      <c r="BA108" s="313"/>
      <c r="BB108" s="16"/>
      <c r="BC108" s="313"/>
      <c r="BD108" s="313"/>
      <c r="BE108" s="313"/>
      <c r="BF108" s="313"/>
      <c r="BG108" s="16"/>
      <c r="BH108" s="313"/>
      <c r="BI108" s="358"/>
      <c r="BJ108" s="358"/>
      <c r="BK108" s="358"/>
      <c r="BL108" s="16"/>
      <c r="BM108" s="358"/>
      <c r="BN108" s="358"/>
      <c r="BO108" s="358"/>
      <c r="BP108" s="358"/>
      <c r="BQ108" s="16"/>
      <c r="BR108" s="358"/>
      <c r="BS108" s="358"/>
      <c r="BT108" s="358"/>
      <c r="BU108" s="358"/>
      <c r="BV108" s="16"/>
      <c r="BW108" s="446"/>
      <c r="BX108" s="446"/>
      <c r="BY108" s="446"/>
      <c r="BZ108" s="446"/>
      <c r="CA108" s="16"/>
      <c r="CB108" s="358"/>
      <c r="CC108" s="358"/>
      <c r="CD108" s="358"/>
      <c r="CE108" s="358"/>
      <c r="CF108" s="16"/>
      <c r="CG108" s="358"/>
      <c r="CH108" s="358"/>
      <c r="CI108" s="358"/>
      <c r="CJ108" s="358"/>
      <c r="CK108" s="16"/>
      <c r="CL108" s="358">
        <v>54</v>
      </c>
      <c r="CM108" s="358">
        <v>-106</v>
      </c>
      <c r="CN108" s="358">
        <v>-589</v>
      </c>
      <c r="CO108" s="358">
        <v>-487</v>
      </c>
      <c r="CP108" s="16">
        <f t="shared" si="356"/>
        <v>-487</v>
      </c>
      <c r="CQ108" s="358">
        <v>142</v>
      </c>
      <c r="CR108" s="358">
        <v>-325</v>
      </c>
      <c r="CS108" s="358">
        <v>-323</v>
      </c>
      <c r="CT108" s="358">
        <v>-286</v>
      </c>
      <c r="CU108" s="16">
        <f t="shared" si="357"/>
        <v>-286</v>
      </c>
      <c r="CV108" s="358">
        <v>29</v>
      </c>
      <c r="CW108" s="358">
        <v>190</v>
      </c>
      <c r="CX108" s="358">
        <v>203</v>
      </c>
      <c r="CY108" s="358">
        <v>-3</v>
      </c>
      <c r="CZ108" s="16">
        <f t="shared" si="358"/>
        <v>-3</v>
      </c>
      <c r="DA108" s="358">
        <v>271</v>
      </c>
      <c r="DB108" s="358">
        <v>603</v>
      </c>
      <c r="DC108" s="358">
        <v>741</v>
      </c>
      <c r="DD108" s="358">
        <v>1162</v>
      </c>
      <c r="DE108" s="16">
        <f t="shared" si="359"/>
        <v>1162</v>
      </c>
      <c r="DF108" s="358">
        <v>318</v>
      </c>
      <c r="DG108" s="358">
        <v>369</v>
      </c>
      <c r="DH108" s="358">
        <v>567</v>
      </c>
      <c r="DI108" s="358">
        <v>962</v>
      </c>
      <c r="DJ108" s="16">
        <f t="shared" si="360"/>
        <v>962</v>
      </c>
      <c r="DK108" s="1079">
        <v>283</v>
      </c>
      <c r="DL108" s="1079">
        <v>671</v>
      </c>
      <c r="DM108" s="358"/>
      <c r="DN108" s="358"/>
      <c r="DO108" s="16"/>
      <c r="DP108" s="1079"/>
      <c r="DQ108" s="358"/>
      <c r="DR108" s="358"/>
      <c r="DS108" s="358"/>
      <c r="DT108" s="16"/>
      <c r="DU108" s="16"/>
      <c r="DV108" s="16"/>
    </row>
    <row r="109" spans="2:126" s="12" customFormat="1">
      <c r="B109" s="845" t="s">
        <v>510</v>
      </c>
      <c r="C109" s="16"/>
      <c r="D109" s="16"/>
      <c r="E109" s="16"/>
      <c r="F109" s="16"/>
      <c r="G109" s="16"/>
      <c r="H109" s="16"/>
      <c r="I109" s="16"/>
      <c r="J109" s="15"/>
      <c r="K109" s="15"/>
      <c r="L109" s="15"/>
      <c r="M109" s="15"/>
      <c r="N109" s="16"/>
      <c r="O109" s="15"/>
      <c r="P109" s="15"/>
      <c r="Q109" s="15"/>
      <c r="R109" s="15"/>
      <c r="S109" s="16"/>
      <c r="T109" s="15"/>
      <c r="U109" s="15"/>
      <c r="V109" s="15"/>
      <c r="W109" s="15"/>
      <c r="X109" s="16"/>
      <c r="Y109" s="15"/>
      <c r="Z109" s="15"/>
      <c r="AA109" s="15"/>
      <c r="AB109" s="15"/>
      <c r="AC109" s="16"/>
      <c r="AD109" s="15"/>
      <c r="AE109" s="15"/>
      <c r="AF109" s="15"/>
      <c r="AG109" s="15"/>
      <c r="AH109" s="16"/>
      <c r="AI109" s="15"/>
      <c r="AK109" s="49"/>
      <c r="AL109" s="49"/>
      <c r="AM109" s="16"/>
      <c r="AN109" s="15"/>
      <c r="AO109" s="313"/>
      <c r="AP109" s="313"/>
      <c r="AQ109" s="313"/>
      <c r="AR109" s="16"/>
      <c r="AS109" s="15"/>
      <c r="AU109" s="15"/>
      <c r="AV109" s="15"/>
      <c r="AW109" s="16"/>
      <c r="AX109" s="15"/>
      <c r="AZ109" s="15"/>
      <c r="BA109" s="15"/>
      <c r="BB109" s="16"/>
      <c r="BC109" s="15"/>
      <c r="BE109" s="15"/>
      <c r="BF109" s="15"/>
      <c r="BG109" s="16"/>
      <c r="BH109" s="15"/>
      <c r="BI109" s="358"/>
      <c r="BJ109" s="358"/>
      <c r="BK109" s="358"/>
      <c r="BL109" s="16"/>
      <c r="BM109" s="15"/>
      <c r="BN109" s="358"/>
      <c r="BO109" s="358"/>
      <c r="BP109" s="358"/>
      <c r="BQ109" s="16"/>
      <c r="BR109" s="15"/>
      <c r="BS109" s="358"/>
      <c r="BT109" s="358"/>
      <c r="BU109" s="358"/>
      <c r="BV109" s="16"/>
      <c r="BW109" s="448"/>
      <c r="BX109" s="435"/>
      <c r="BY109" s="446"/>
      <c r="BZ109" s="446"/>
      <c r="CA109" s="16"/>
      <c r="CB109" s="15"/>
      <c r="CC109" s="358"/>
      <c r="CD109" s="358"/>
      <c r="CE109" s="358"/>
      <c r="CF109" s="16"/>
      <c r="CG109" s="358"/>
      <c r="CH109" s="358"/>
      <c r="CI109" s="358"/>
      <c r="CJ109" s="358"/>
      <c r="CK109" s="16"/>
      <c r="CL109" s="358">
        <v>-310</v>
      </c>
      <c r="CM109" s="358">
        <v>-622</v>
      </c>
      <c r="CN109" s="358">
        <v>-1138</v>
      </c>
      <c r="CO109" s="358">
        <v>-1441</v>
      </c>
      <c r="CP109" s="16">
        <f t="shared" si="356"/>
        <v>-1441</v>
      </c>
      <c r="CQ109" s="358">
        <v>-322</v>
      </c>
      <c r="CR109" s="358">
        <v>-837</v>
      </c>
      <c r="CS109" s="358">
        <v>-1048</v>
      </c>
      <c r="CT109" s="358">
        <v>-1165</v>
      </c>
      <c r="CU109" s="16">
        <f t="shared" si="357"/>
        <v>-1165</v>
      </c>
      <c r="CV109" s="358">
        <v>-24</v>
      </c>
      <c r="CW109" s="358">
        <v>-174</v>
      </c>
      <c r="CX109" s="358">
        <v>-295</v>
      </c>
      <c r="CY109" s="358">
        <v>-430</v>
      </c>
      <c r="CZ109" s="16">
        <f t="shared" si="358"/>
        <v>-430</v>
      </c>
      <c r="DA109" s="358">
        <v>-172</v>
      </c>
      <c r="DB109" s="358">
        <v>-521</v>
      </c>
      <c r="DC109" s="358">
        <v>-806</v>
      </c>
      <c r="DD109" s="358">
        <v>-1148</v>
      </c>
      <c r="DE109" s="16">
        <f t="shared" si="359"/>
        <v>-1148</v>
      </c>
      <c r="DF109" s="358">
        <v>-105</v>
      </c>
      <c r="DG109" s="358">
        <v>91</v>
      </c>
      <c r="DH109" s="358">
        <v>-42</v>
      </c>
      <c r="DI109" s="358">
        <v>-334</v>
      </c>
      <c r="DJ109" s="16">
        <f t="shared" si="360"/>
        <v>-334</v>
      </c>
      <c r="DK109" s="1079">
        <v>-112</v>
      </c>
      <c r="DL109" s="1079">
        <v>-253</v>
      </c>
      <c r="DM109" s="358"/>
      <c r="DN109" s="358"/>
      <c r="DO109" s="16"/>
      <c r="DP109" s="1079"/>
      <c r="DQ109" s="358"/>
      <c r="DR109" s="358"/>
      <c r="DS109" s="358"/>
      <c r="DT109" s="16"/>
      <c r="DU109" s="16"/>
      <c r="DV109" s="16"/>
    </row>
    <row r="110" spans="2:126" s="12" customFormat="1">
      <c r="B110" s="845" t="s">
        <v>525</v>
      </c>
      <c r="C110" s="16"/>
      <c r="D110" s="16"/>
      <c r="E110" s="16"/>
      <c r="F110" s="16"/>
      <c r="G110" s="16"/>
      <c r="H110" s="16"/>
      <c r="I110" s="16"/>
      <c r="J110" s="15"/>
      <c r="K110" s="15"/>
      <c r="L110" s="15"/>
      <c r="M110" s="15"/>
      <c r="N110" s="16"/>
      <c r="O110" s="15"/>
      <c r="P110" s="15"/>
      <c r="Q110" s="15"/>
      <c r="R110" s="15"/>
      <c r="S110" s="16"/>
      <c r="T110" s="15"/>
      <c r="U110" s="15"/>
      <c r="V110" s="15"/>
      <c r="W110" s="15"/>
      <c r="X110" s="16"/>
      <c r="Y110" s="15"/>
      <c r="Z110" s="15"/>
      <c r="AA110" s="15"/>
      <c r="AB110" s="15"/>
      <c r="AC110" s="16"/>
      <c r="AD110" s="15"/>
      <c r="AE110" s="15"/>
      <c r="AF110" s="15"/>
      <c r="AG110" s="15"/>
      <c r="AH110" s="16"/>
      <c r="AI110" s="15"/>
      <c r="AJ110" s="15"/>
      <c r="AK110" s="15"/>
      <c r="AL110" s="15"/>
      <c r="AM110" s="16"/>
      <c r="AN110" s="15"/>
      <c r="AO110" s="15"/>
      <c r="AP110" s="15"/>
      <c r="AQ110" s="15"/>
      <c r="AR110" s="16"/>
      <c r="AS110" s="221"/>
      <c r="AT110" s="15"/>
      <c r="AU110" s="313"/>
      <c r="AV110" s="15"/>
      <c r="AW110" s="16"/>
      <c r="AX110" s="15"/>
      <c r="AY110" s="15"/>
      <c r="AZ110" s="15"/>
      <c r="BA110" s="221"/>
      <c r="BB110" s="16"/>
      <c r="BC110" s="15"/>
      <c r="BD110" s="15"/>
      <c r="BE110" s="15"/>
      <c r="BF110" s="15"/>
      <c r="BG110" s="16"/>
      <c r="BH110" s="15"/>
      <c r="BI110" s="317"/>
      <c r="BJ110" s="317"/>
      <c r="BK110" s="358"/>
      <c r="BL110" s="16"/>
      <c r="BM110" s="15"/>
      <c r="BN110" s="317"/>
      <c r="BO110" s="317"/>
      <c r="BP110" s="358"/>
      <c r="BQ110" s="16"/>
      <c r="BR110" s="221"/>
      <c r="BS110" s="15"/>
      <c r="BT110" s="317"/>
      <c r="BU110" s="358"/>
      <c r="BV110" s="16"/>
      <c r="BW110" s="448"/>
      <c r="BX110" s="450"/>
      <c r="BY110" s="447"/>
      <c r="BZ110" s="446"/>
      <c r="CA110" s="16"/>
      <c r="CB110" s="15"/>
      <c r="CC110" s="317"/>
      <c r="CD110" s="317"/>
      <c r="CE110" s="358"/>
      <c r="CF110" s="16"/>
      <c r="CG110" s="317"/>
      <c r="CH110" s="317"/>
      <c r="CI110" s="317"/>
      <c r="CJ110" s="317"/>
      <c r="CK110" s="16"/>
      <c r="CL110" s="317">
        <v>892</v>
      </c>
      <c r="CM110" s="317">
        <f>877+886-1</f>
        <v>1762</v>
      </c>
      <c r="CN110" s="317">
        <f>1912+877</f>
        <v>2789</v>
      </c>
      <c r="CO110" s="317">
        <f>877-109+1897+301</f>
        <v>2966</v>
      </c>
      <c r="CP110" s="16">
        <f t="shared" si="356"/>
        <v>2966</v>
      </c>
      <c r="CQ110" s="317">
        <v>-2719</v>
      </c>
      <c r="CR110" s="317">
        <f>-1664+2</f>
        <v>-1662</v>
      </c>
      <c r="CS110" s="317">
        <v>-1132</v>
      </c>
      <c r="CT110" s="317">
        <f>-1317-1143+6524</f>
        <v>4064</v>
      </c>
      <c r="CU110" s="16">
        <f t="shared" si="357"/>
        <v>4064</v>
      </c>
      <c r="CV110" s="317">
        <f>-155+89</f>
        <v>-66</v>
      </c>
      <c r="CW110" s="317">
        <f>-223-481</f>
        <v>-704</v>
      </c>
      <c r="CX110" s="317">
        <f>-154+232</f>
        <v>78</v>
      </c>
      <c r="CY110" s="317">
        <f>465-154+998</f>
        <v>1309</v>
      </c>
      <c r="CZ110" s="16">
        <f t="shared" si="358"/>
        <v>1309</v>
      </c>
      <c r="DA110" s="317">
        <f>3+125</f>
        <v>128</v>
      </c>
      <c r="DB110" s="317">
        <f>3-256</f>
        <v>-253</v>
      </c>
      <c r="DC110" s="317">
        <f>3+180</f>
        <v>183</v>
      </c>
      <c r="DD110" s="317">
        <f>3+717</f>
        <v>720</v>
      </c>
      <c r="DE110" s="16">
        <f t="shared" si="359"/>
        <v>720</v>
      </c>
      <c r="DF110" s="317">
        <v>-297</v>
      </c>
      <c r="DG110" s="317">
        <f>-102-528</f>
        <v>-630</v>
      </c>
      <c r="DH110" s="317">
        <f>331-105+251+-2</f>
        <v>475</v>
      </c>
      <c r="DI110" s="317">
        <f>251+1</f>
        <v>252</v>
      </c>
      <c r="DJ110" s="16">
        <f t="shared" si="360"/>
        <v>252</v>
      </c>
      <c r="DK110" s="1080">
        <f>-746+132+80-1</f>
        <v>-535</v>
      </c>
      <c r="DL110" s="1080">
        <f>447-417</f>
        <v>30</v>
      </c>
      <c r="DM110" s="317"/>
      <c r="DN110" s="317"/>
      <c r="DO110" s="16"/>
      <c r="DP110" s="1080"/>
      <c r="DQ110" s="317"/>
      <c r="DR110" s="317"/>
      <c r="DS110" s="317"/>
      <c r="DT110" s="16"/>
      <c r="DU110" s="16"/>
      <c r="DV110" s="16"/>
    </row>
    <row r="111" spans="2:126" s="12" customFormat="1">
      <c r="B111" s="60" t="s">
        <v>63</v>
      </c>
      <c r="C111" s="215">
        <f t="shared" ref="C111:L111" si="361">SUM(C112:C116)</f>
        <v>0</v>
      </c>
      <c r="D111" s="215">
        <f t="shared" si="361"/>
        <v>0</v>
      </c>
      <c r="E111" s="215">
        <f t="shared" si="361"/>
        <v>0</v>
      </c>
      <c r="F111" s="215">
        <f t="shared" si="361"/>
        <v>0</v>
      </c>
      <c r="G111" s="215">
        <f t="shared" si="361"/>
        <v>0</v>
      </c>
      <c r="H111" s="215">
        <f t="shared" si="361"/>
        <v>0</v>
      </c>
      <c r="I111" s="215">
        <f t="shared" si="361"/>
        <v>0</v>
      </c>
      <c r="J111" s="191">
        <f t="shared" si="361"/>
        <v>0</v>
      </c>
      <c r="K111" s="191">
        <f t="shared" si="361"/>
        <v>0</v>
      </c>
      <c r="L111" s="191">
        <f t="shared" si="361"/>
        <v>0</v>
      </c>
      <c r="M111" s="191">
        <f t="shared" ref="M111:M143" si="362">N111</f>
        <v>0</v>
      </c>
      <c r="N111" s="215">
        <f>SUM(N112:N116)</f>
        <v>0</v>
      </c>
      <c r="O111" s="191">
        <f>SUM(O112:O116)</f>
        <v>0</v>
      </c>
      <c r="P111" s="191">
        <f>SUM(P112:P116)</f>
        <v>0</v>
      </c>
      <c r="Q111" s="191">
        <f>SUM(Q112:Q116)</f>
        <v>0</v>
      </c>
      <c r="R111" s="191">
        <f t="shared" ref="R111:R143" si="363">S111</f>
        <v>0</v>
      </c>
      <c r="S111" s="215">
        <f>SUM(S112:S116)</f>
        <v>0</v>
      </c>
      <c r="T111" s="191">
        <f>SUM(T112:T116)</f>
        <v>0</v>
      </c>
      <c r="U111" s="191">
        <f>SUM(U112:U116)</f>
        <v>0</v>
      </c>
      <c r="V111" s="191">
        <f>SUM(V112:V116)</f>
        <v>0</v>
      </c>
      <c r="W111" s="191">
        <f t="shared" ref="W111:W143" si="364">X111</f>
        <v>0</v>
      </c>
      <c r="X111" s="215">
        <f>SUM(X112:X116)</f>
        <v>0</v>
      </c>
      <c r="Y111" s="191">
        <f>SUM(Y112:Y116)</f>
        <v>0</v>
      </c>
      <c r="Z111" s="191">
        <f>SUM(Z112:Z116)</f>
        <v>0</v>
      </c>
      <c r="AA111" s="191">
        <f>SUM(AA112:AA116)</f>
        <v>0</v>
      </c>
      <c r="AB111" s="191">
        <f t="shared" ref="AB111:AB143" si="365">AC111</f>
        <v>0</v>
      </c>
      <c r="AC111" s="215">
        <f>SUM(AC112:AC116)</f>
        <v>0</v>
      </c>
      <c r="AD111" s="191">
        <f>SUM(AD112:AD116)</f>
        <v>0</v>
      </c>
      <c r="AE111" s="191">
        <f>SUM(AE112:AE116)</f>
        <v>0</v>
      </c>
      <c r="AF111" s="191">
        <f>SUM(AF112:AF116)</f>
        <v>0</v>
      </c>
      <c r="AG111" s="191">
        <f t="shared" ref="AG111:AG143" si="366">AH111</f>
        <v>0</v>
      </c>
      <c r="AH111" s="215">
        <f>SUM(AH112:AH116)</f>
        <v>0</v>
      </c>
      <c r="AI111" s="191">
        <f>SUM(AI112:AI116)</f>
        <v>0</v>
      </c>
      <c r="AJ111" s="191">
        <f>SUM(AJ112:AJ116)</f>
        <v>0</v>
      </c>
      <c r="AK111" s="191">
        <f>SUM(AK112:AK116)</f>
        <v>0</v>
      </c>
      <c r="AL111" s="191">
        <f>SUM(AL112:AL116)</f>
        <v>0</v>
      </c>
      <c r="AM111" s="16">
        <f t="shared" ref="AM111" si="367">AL111</f>
        <v>0</v>
      </c>
      <c r="AN111" s="191">
        <f>SUM(AN112:AN116)</f>
        <v>0</v>
      </c>
      <c r="AO111" s="191">
        <f>SUM(AO112:AO116)</f>
        <v>0</v>
      </c>
      <c r="AP111" s="191">
        <f>SUM(AP112:AP116)</f>
        <v>0</v>
      </c>
      <c r="AQ111" s="191">
        <f>SUM(AQ112:AQ116)</f>
        <v>0</v>
      </c>
      <c r="AR111" s="16">
        <f>AQ111</f>
        <v>0</v>
      </c>
      <c r="AS111" s="191">
        <f>SUM(AS112:AS116)</f>
        <v>0</v>
      </c>
      <c r="AT111" s="191">
        <f>SUM(AT112:AT116)</f>
        <v>0</v>
      </c>
      <c r="AU111" s="191">
        <f>SUM(AU112:AU116)</f>
        <v>0</v>
      </c>
      <c r="AV111" s="191">
        <f>SUM(AV112:AV116)</f>
        <v>0</v>
      </c>
      <c r="AW111" s="16">
        <f t="shared" ref="AW111" si="368">AV111</f>
        <v>0</v>
      </c>
      <c r="AX111" s="191">
        <f>SUM(AX112:AX116)</f>
        <v>0</v>
      </c>
      <c r="AY111" s="191">
        <f>SUM(AY112:AY116)</f>
        <v>0</v>
      </c>
      <c r="AZ111" s="191">
        <f>SUM(AZ112:AZ116)</f>
        <v>0</v>
      </c>
      <c r="BA111" s="191">
        <f>SUM(BA112:BA116)</f>
        <v>0</v>
      </c>
      <c r="BB111" s="215">
        <f t="shared" ref="BB111" si="369">BA111</f>
        <v>0</v>
      </c>
      <c r="BC111" s="191">
        <f>SUM(BC112:BC116)</f>
        <v>0</v>
      </c>
      <c r="BD111" s="191">
        <f>SUM(BD112:BD116)</f>
        <v>0</v>
      </c>
      <c r="BE111" s="191">
        <f>SUM(BE112:BE116)</f>
        <v>0</v>
      </c>
      <c r="BF111" s="191">
        <f>SUM(BF112:BF116)</f>
        <v>0</v>
      </c>
      <c r="BG111" s="215">
        <f t="shared" ref="BG111" si="370">BF111</f>
        <v>0</v>
      </c>
      <c r="BH111" s="191">
        <f>SUM(BH112:BH116)</f>
        <v>0</v>
      </c>
      <c r="BI111" s="310">
        <f>SUM(BI112:BI116)</f>
        <v>0</v>
      </c>
      <c r="BJ111" s="310">
        <f>SUM(BJ112:BJ116)</f>
        <v>0</v>
      </c>
      <c r="BK111" s="310">
        <f>SUM(BK112:BK116)</f>
        <v>0</v>
      </c>
      <c r="BL111" s="215">
        <f t="shared" ref="BL111" si="371">BK111</f>
        <v>0</v>
      </c>
      <c r="BM111" s="310">
        <f>SUM(BM112:BM116)</f>
        <v>0</v>
      </c>
      <c r="BN111" s="310">
        <f>SUM(BN112:BN116)</f>
        <v>0</v>
      </c>
      <c r="BO111" s="310">
        <f>SUM(BO112:BO116)</f>
        <v>0</v>
      </c>
      <c r="BP111" s="310">
        <f>SUM(BP112:BP116)</f>
        <v>0</v>
      </c>
      <c r="BQ111" s="215">
        <f t="shared" ref="BQ111" si="372">BP111</f>
        <v>0</v>
      </c>
      <c r="BR111" s="310">
        <f>SUM(BR112:BR116)</f>
        <v>0</v>
      </c>
      <c r="BS111" s="310">
        <f>SUM(BS112:BS116)</f>
        <v>0</v>
      </c>
      <c r="BT111" s="310">
        <f>SUM(BT112:BT116)</f>
        <v>0</v>
      </c>
      <c r="BU111" s="310">
        <f>SUM(BU112:BU116)</f>
        <v>0</v>
      </c>
      <c r="BV111" s="215">
        <f t="shared" ref="BV111" si="373">BU111</f>
        <v>0</v>
      </c>
      <c r="BW111" s="449">
        <f>SUM(BW112:BW116)</f>
        <v>0</v>
      </c>
      <c r="BX111" s="449">
        <f>SUM(BX112:BX116)</f>
        <v>0</v>
      </c>
      <c r="BY111" s="449">
        <f>SUM(BY112:BY116)</f>
        <v>0</v>
      </c>
      <c r="BZ111" s="449">
        <f>SUM(BZ112:BZ116)</f>
        <v>0</v>
      </c>
      <c r="CA111" s="215">
        <f t="shared" ref="CA111" si="374">BZ111</f>
        <v>0</v>
      </c>
      <c r="CB111" s="310">
        <f>SUM(CB112:CB116)</f>
        <v>0</v>
      </c>
      <c r="CC111" s="310">
        <f>SUM(CC112:CC116)</f>
        <v>0</v>
      </c>
      <c r="CD111" s="310">
        <f>SUM(CD112:CD116)</f>
        <v>0</v>
      </c>
      <c r="CE111" s="310">
        <f>SUM(CE112:CE116)</f>
        <v>0</v>
      </c>
      <c r="CF111" s="215">
        <f t="shared" ref="CF111" si="375">CE111</f>
        <v>0</v>
      </c>
      <c r="CG111" s="310">
        <f>SUM(CG112:CG116)</f>
        <v>0</v>
      </c>
      <c r="CH111" s="310">
        <f>SUM(CH112:CH116)</f>
        <v>0</v>
      </c>
      <c r="CI111" s="310">
        <f>SUM(CI112:CI116)</f>
        <v>0</v>
      </c>
      <c r="CJ111" s="310">
        <f>SUM(CJ112:CJ116)</f>
        <v>0</v>
      </c>
      <c r="CK111" s="215">
        <f t="shared" ref="CK111" si="376">CJ111</f>
        <v>0</v>
      </c>
      <c r="CL111" s="310">
        <f>SUM(CL112:CL116)</f>
        <v>-2642</v>
      </c>
      <c r="CM111" s="310">
        <f>SUM(CM112:CM116)</f>
        <v>-2868</v>
      </c>
      <c r="CN111" s="310">
        <f>SUM(CN112:CN116)</f>
        <v>-3697</v>
      </c>
      <c r="CO111" s="310">
        <f>SUM(CO112:CO116)</f>
        <v>588</v>
      </c>
      <c r="CP111" s="215">
        <f t="shared" si="356"/>
        <v>588</v>
      </c>
      <c r="CQ111" s="310">
        <f>SUM(CQ112:CQ116)</f>
        <v>-585</v>
      </c>
      <c r="CR111" s="310">
        <f>SUM(CR112:CR116)</f>
        <v>-1202</v>
      </c>
      <c r="CS111" s="310">
        <f>SUM(CS112:CS116)</f>
        <v>-1488</v>
      </c>
      <c r="CT111" s="310">
        <f>SUM(CT112:CT116)</f>
        <v>-902</v>
      </c>
      <c r="CU111" s="215">
        <f t="shared" ref="CU111:CU116" si="377">CT111</f>
        <v>-902</v>
      </c>
      <c r="CV111" s="310">
        <f>SUM(CV112:CV116)</f>
        <v>-989</v>
      </c>
      <c r="CW111" s="310">
        <f>SUM(CW112:CW116)</f>
        <v>-841</v>
      </c>
      <c r="CX111" s="310">
        <f>SUM(CX112:CX116)</f>
        <v>-951</v>
      </c>
      <c r="CY111" s="310">
        <f>SUM(CY112:CY116)</f>
        <v>1592</v>
      </c>
      <c r="CZ111" s="215">
        <f t="shared" si="358"/>
        <v>1592</v>
      </c>
      <c r="DA111" s="310">
        <f>SUM(DA112:DA116)</f>
        <v>-444</v>
      </c>
      <c r="DB111" s="310">
        <f>SUM(DB112:DB116)</f>
        <v>-390</v>
      </c>
      <c r="DC111" s="310">
        <f>SUM(DC112:DC116)</f>
        <v>18</v>
      </c>
      <c r="DD111" s="310">
        <f>SUM(DD112:DD116)</f>
        <v>1638</v>
      </c>
      <c r="DE111" s="215">
        <f t="shared" si="359"/>
        <v>1638</v>
      </c>
      <c r="DF111" s="310">
        <f>SUM(DF112:DF116)</f>
        <v>153</v>
      </c>
      <c r="DG111" s="310">
        <f>SUM(DG112:DG116)</f>
        <v>9</v>
      </c>
      <c r="DH111" s="310">
        <f>SUM(DH112:DH116)</f>
        <v>-571</v>
      </c>
      <c r="DI111" s="310">
        <f>SUM(DI112:DI116)</f>
        <v>-1023</v>
      </c>
      <c r="DJ111" s="215">
        <f t="shared" si="360"/>
        <v>-1023</v>
      </c>
      <c r="DK111" s="310">
        <f>SUM(DK112:DK116)</f>
        <v>-28</v>
      </c>
      <c r="DL111" s="310">
        <f>SUM(DL112:DL116)</f>
        <v>-468</v>
      </c>
      <c r="DM111" s="310"/>
      <c r="DN111" s="310"/>
      <c r="DO111" s="215"/>
      <c r="DP111" s="310"/>
      <c r="DQ111" s="310"/>
      <c r="DR111" s="310"/>
      <c r="DS111" s="310"/>
      <c r="DT111" s="215"/>
      <c r="DU111" s="215"/>
      <c r="DV111" s="215"/>
    </row>
    <row r="112" spans="2:126" s="12" customFormat="1">
      <c r="B112" s="46" t="s">
        <v>45</v>
      </c>
      <c r="C112" s="16"/>
      <c r="D112" s="16"/>
      <c r="E112" s="16"/>
      <c r="F112" s="16"/>
      <c r="G112" s="16"/>
      <c r="H112" s="16"/>
      <c r="I112" s="16"/>
      <c r="J112" s="15"/>
      <c r="K112" s="15"/>
      <c r="L112" s="15"/>
      <c r="M112" s="15"/>
      <c r="N112" s="16"/>
      <c r="O112" s="15"/>
      <c r="P112" s="15"/>
      <c r="Q112" s="15"/>
      <c r="R112" s="15"/>
      <c r="S112" s="16"/>
      <c r="T112" s="15"/>
      <c r="U112" s="15"/>
      <c r="V112" s="15"/>
      <c r="W112" s="15"/>
      <c r="X112" s="16"/>
      <c r="Y112" s="15"/>
      <c r="Z112" s="15"/>
      <c r="AA112" s="15"/>
      <c r="AB112" s="15"/>
      <c r="AC112" s="16"/>
      <c r="AD112" s="15"/>
      <c r="AE112" s="15"/>
      <c r="AF112" s="15"/>
      <c r="AG112" s="15"/>
      <c r="AH112" s="16"/>
      <c r="AI112" s="15"/>
      <c r="AK112" s="49"/>
      <c r="AL112" s="49"/>
      <c r="AM112" s="16"/>
      <c r="AN112" s="49"/>
      <c r="AO112" s="313"/>
      <c r="AP112" s="313"/>
      <c r="AQ112" s="313"/>
      <c r="AR112" s="16"/>
      <c r="AS112" s="313"/>
      <c r="AT112" s="313"/>
      <c r="AU112" s="313"/>
      <c r="AV112" s="313"/>
      <c r="AW112" s="16"/>
      <c r="AX112" s="313"/>
      <c r="AY112" s="313"/>
      <c r="AZ112" s="313"/>
      <c r="BA112" s="313"/>
      <c r="BB112" s="16"/>
      <c r="BC112" s="313"/>
      <c r="BD112" s="313"/>
      <c r="BE112" s="313"/>
      <c r="BF112" s="313"/>
      <c r="BG112" s="16"/>
      <c r="BH112" s="313"/>
      <c r="BI112" s="358"/>
      <c r="BJ112" s="358"/>
      <c r="BK112" s="358"/>
      <c r="BL112" s="16"/>
      <c r="BM112" s="358"/>
      <c r="BN112" s="358"/>
      <c r="BO112" s="358"/>
      <c r="BP112" s="358"/>
      <c r="BQ112" s="16"/>
      <c r="BR112" s="358"/>
      <c r="BS112" s="358"/>
      <c r="BT112" s="358"/>
      <c r="BU112" s="358"/>
      <c r="BV112" s="16"/>
      <c r="BW112" s="446"/>
      <c r="BX112" s="446"/>
      <c r="BY112" s="446"/>
      <c r="BZ112" s="446"/>
      <c r="CA112" s="16"/>
      <c r="CB112" s="358"/>
      <c r="CC112" s="358"/>
      <c r="CD112" s="358"/>
      <c r="CE112" s="358"/>
      <c r="CF112" s="16"/>
      <c r="CG112" s="358"/>
      <c r="CH112" s="358"/>
      <c r="CI112" s="358"/>
      <c r="CJ112" s="358"/>
      <c r="CK112" s="16"/>
      <c r="CL112" s="358">
        <v>-503</v>
      </c>
      <c r="CM112" s="358">
        <v>-190</v>
      </c>
      <c r="CN112" s="358">
        <v>-1665</v>
      </c>
      <c r="CO112" s="358">
        <v>-1319</v>
      </c>
      <c r="CP112" s="16">
        <f t="shared" si="356"/>
        <v>-1319</v>
      </c>
      <c r="CQ112" s="358">
        <v>946</v>
      </c>
      <c r="CR112" s="358">
        <v>942</v>
      </c>
      <c r="CS112" s="358">
        <v>874</v>
      </c>
      <c r="CT112" s="358">
        <v>-177</v>
      </c>
      <c r="CU112" s="16">
        <f t="shared" si="377"/>
        <v>-177</v>
      </c>
      <c r="CV112" s="358">
        <v>-610</v>
      </c>
      <c r="CW112" s="358">
        <v>-1185</v>
      </c>
      <c r="CX112" s="358">
        <v>-2583</v>
      </c>
      <c r="CY112" s="358">
        <v>-2719</v>
      </c>
      <c r="CZ112" s="16">
        <f t="shared" si="358"/>
        <v>-2719</v>
      </c>
      <c r="DA112" s="358">
        <v>536</v>
      </c>
      <c r="DB112" s="358">
        <v>26</v>
      </c>
      <c r="DC112" s="358">
        <v>120</v>
      </c>
      <c r="DD112" s="358">
        <v>-833</v>
      </c>
      <c r="DE112" s="16">
        <f t="shared" si="359"/>
        <v>-833</v>
      </c>
      <c r="DF112" s="358">
        <v>235</v>
      </c>
      <c r="DG112" s="358">
        <v>-48</v>
      </c>
      <c r="DH112" s="358">
        <v>-750</v>
      </c>
      <c r="DI112" s="358">
        <v>-1076</v>
      </c>
      <c r="DJ112" s="16">
        <f t="shared" si="360"/>
        <v>-1076</v>
      </c>
      <c r="DK112" s="1079">
        <v>-326</v>
      </c>
      <c r="DL112" s="1079">
        <v>-1157</v>
      </c>
      <c r="DM112" s="358"/>
      <c r="DN112" s="358"/>
      <c r="DO112" s="16"/>
      <c r="DP112" s="1079"/>
      <c r="DQ112" s="358"/>
      <c r="DR112" s="358"/>
      <c r="DS112" s="358"/>
      <c r="DT112" s="16"/>
      <c r="DU112" s="16"/>
      <c r="DV112" s="16"/>
    </row>
    <row r="113" spans="1:126" s="12" customFormat="1">
      <c r="B113" s="46" t="s">
        <v>46</v>
      </c>
      <c r="C113" s="16"/>
      <c r="D113" s="16"/>
      <c r="E113" s="16"/>
      <c r="F113" s="16"/>
      <c r="G113" s="16"/>
      <c r="H113" s="16"/>
      <c r="I113" s="16"/>
      <c r="J113" s="15"/>
      <c r="K113" s="15"/>
      <c r="L113" s="15"/>
      <c r="M113" s="15"/>
      <c r="N113" s="16"/>
      <c r="O113" s="15"/>
      <c r="P113" s="15"/>
      <c r="Q113" s="15"/>
      <c r="R113" s="15"/>
      <c r="S113" s="16"/>
      <c r="T113" s="15"/>
      <c r="U113" s="15"/>
      <c r="V113" s="15"/>
      <c r="W113" s="15"/>
      <c r="X113" s="16"/>
      <c r="Y113" s="15"/>
      <c r="Z113" s="15"/>
      <c r="AA113" s="15"/>
      <c r="AB113" s="15"/>
      <c r="AC113" s="16"/>
      <c r="AD113" s="15"/>
      <c r="AE113" s="15"/>
      <c r="AF113" s="15"/>
      <c r="AG113" s="15"/>
      <c r="AH113" s="16"/>
      <c r="AI113" s="15"/>
      <c r="AK113" s="49"/>
      <c r="AL113" s="49"/>
      <c r="AM113" s="16"/>
      <c r="AN113" s="49"/>
      <c r="AO113" s="313"/>
      <c r="AP113" s="313"/>
      <c r="AQ113" s="313"/>
      <c r="AR113" s="16"/>
      <c r="AS113" s="313"/>
      <c r="AT113" s="313"/>
      <c r="AU113" s="313"/>
      <c r="AV113" s="313"/>
      <c r="AW113" s="16"/>
      <c r="AX113" s="313"/>
      <c r="AY113" s="313"/>
      <c r="AZ113" s="313"/>
      <c r="BA113" s="313"/>
      <c r="BB113" s="16"/>
      <c r="BC113" s="313"/>
      <c r="BD113" s="313"/>
      <c r="BE113" s="313"/>
      <c r="BF113" s="313"/>
      <c r="BG113" s="16"/>
      <c r="BH113" s="313"/>
      <c r="BI113" s="358"/>
      <c r="BJ113" s="358"/>
      <c r="BK113" s="358"/>
      <c r="BL113" s="16"/>
      <c r="BM113" s="358"/>
      <c r="BN113" s="358"/>
      <c r="BO113" s="358"/>
      <c r="BP113" s="358"/>
      <c r="BQ113" s="16"/>
      <c r="BR113" s="358"/>
      <c r="BS113" s="358"/>
      <c r="BT113" s="358"/>
      <c r="BU113" s="358"/>
      <c r="BV113" s="16"/>
      <c r="BW113" s="446"/>
      <c r="BX113" s="446"/>
      <c r="BY113" s="446"/>
      <c r="BZ113" s="446"/>
      <c r="CA113" s="16"/>
      <c r="CB113" s="358"/>
      <c r="CC113" s="358"/>
      <c r="CD113" s="358"/>
      <c r="CE113" s="358"/>
      <c r="CF113" s="16"/>
      <c r="CG113" s="358"/>
      <c r="CH113" s="358"/>
      <c r="CI113" s="358"/>
      <c r="CJ113" s="358"/>
      <c r="CK113" s="16"/>
      <c r="CL113" s="358">
        <v>-1077</v>
      </c>
      <c r="CM113" s="358">
        <v>-838</v>
      </c>
      <c r="CN113" s="358">
        <v>-432</v>
      </c>
      <c r="CO113" s="358">
        <v>1105</v>
      </c>
      <c r="CP113" s="16">
        <f t="shared" si="356"/>
        <v>1105</v>
      </c>
      <c r="CQ113" s="358">
        <v>-722</v>
      </c>
      <c r="CR113" s="358">
        <v>-1330</v>
      </c>
      <c r="CS113" s="358">
        <v>-1184</v>
      </c>
      <c r="CT113" s="358">
        <v>-702</v>
      </c>
      <c r="CU113" s="16">
        <f t="shared" si="377"/>
        <v>-702</v>
      </c>
      <c r="CV113" s="358">
        <v>-732</v>
      </c>
      <c r="CW113" s="358">
        <v>-1874</v>
      </c>
      <c r="CX113" s="358">
        <v>-2226</v>
      </c>
      <c r="CY113" s="358">
        <v>-1925</v>
      </c>
      <c r="CZ113" s="16">
        <f t="shared" si="358"/>
        <v>-1925</v>
      </c>
      <c r="DA113" s="358">
        <v>-1275</v>
      </c>
      <c r="DB113" s="358">
        <v>-1802</v>
      </c>
      <c r="DC113" s="358">
        <v>-2220</v>
      </c>
      <c r="DD113" s="358">
        <v>-1524</v>
      </c>
      <c r="DE113" s="16">
        <f t="shared" si="359"/>
        <v>-1524</v>
      </c>
      <c r="DF113" s="358">
        <v>-1216</v>
      </c>
      <c r="DG113" s="358">
        <v>-1201</v>
      </c>
      <c r="DH113" s="358">
        <v>-1416</v>
      </c>
      <c r="DI113" s="358">
        <v>-1528</v>
      </c>
      <c r="DJ113" s="16">
        <f t="shared" si="360"/>
        <v>-1528</v>
      </c>
      <c r="DK113" s="1079">
        <v>-724</v>
      </c>
      <c r="DL113" s="1079">
        <v>-1394</v>
      </c>
      <c r="DM113" s="358"/>
      <c r="DN113" s="358"/>
      <c r="DO113" s="16"/>
      <c r="DP113" s="1079"/>
      <c r="DQ113" s="358"/>
      <c r="DR113" s="358"/>
      <c r="DS113" s="358"/>
      <c r="DT113" s="16"/>
      <c r="DU113" s="16"/>
      <c r="DV113" s="16"/>
    </row>
    <row r="114" spans="1:126" s="12" customFormat="1">
      <c r="B114" s="363" t="s">
        <v>339</v>
      </c>
      <c r="C114" s="16"/>
      <c r="D114" s="16"/>
      <c r="E114" s="16"/>
      <c r="F114" s="16"/>
      <c r="G114" s="16"/>
      <c r="H114" s="16"/>
      <c r="I114" s="16"/>
      <c r="J114" s="15"/>
      <c r="K114" s="15"/>
      <c r="L114" s="15"/>
      <c r="M114" s="15"/>
      <c r="N114" s="16"/>
      <c r="O114" s="15"/>
      <c r="P114" s="15"/>
      <c r="Q114" s="15"/>
      <c r="R114" s="15"/>
      <c r="S114" s="16"/>
      <c r="T114" s="15"/>
      <c r="U114" s="15"/>
      <c r="V114" s="15"/>
      <c r="W114" s="15"/>
      <c r="X114" s="16"/>
      <c r="Y114" s="15"/>
      <c r="Z114" s="15"/>
      <c r="AA114" s="15"/>
      <c r="AB114" s="15"/>
      <c r="AC114" s="16"/>
      <c r="AD114" s="15"/>
      <c r="AE114" s="15"/>
      <c r="AF114" s="15"/>
      <c r="AG114" s="15"/>
      <c r="AH114" s="16"/>
      <c r="AI114" s="15"/>
      <c r="AK114" s="49"/>
      <c r="AL114" s="49"/>
      <c r="AM114" s="16"/>
      <c r="AN114" s="49"/>
      <c r="AO114" s="313"/>
      <c r="AP114" s="313"/>
      <c r="AQ114" s="313"/>
      <c r="AR114" s="16"/>
      <c r="AS114" s="313"/>
      <c r="AT114" s="313"/>
      <c r="AU114" s="313"/>
      <c r="AV114" s="313"/>
      <c r="AW114" s="16"/>
      <c r="AX114" s="313"/>
      <c r="AY114" s="313"/>
      <c r="AZ114" s="313"/>
      <c r="BA114" s="313"/>
      <c r="BB114" s="16"/>
      <c r="BC114" s="313"/>
      <c r="BD114" s="313"/>
      <c r="BE114" s="313"/>
      <c r="BF114" s="313"/>
      <c r="BG114" s="16"/>
      <c r="BH114" s="313"/>
      <c r="BI114" s="358"/>
      <c r="BJ114" s="358"/>
      <c r="BK114" s="358"/>
      <c r="BL114" s="16"/>
      <c r="BM114" s="358"/>
      <c r="BN114" s="358"/>
      <c r="BO114" s="358"/>
      <c r="BP114" s="358"/>
      <c r="BQ114" s="16"/>
      <c r="BR114" s="358"/>
      <c r="BS114" s="358"/>
      <c r="BT114" s="358"/>
      <c r="BU114" s="358"/>
      <c r="BV114" s="16"/>
      <c r="BW114" s="446"/>
      <c r="BX114" s="446"/>
      <c r="BY114" s="446"/>
      <c r="BZ114" s="446"/>
      <c r="CA114" s="16"/>
      <c r="CB114" s="358"/>
      <c r="CC114" s="358"/>
      <c r="CD114" s="358"/>
      <c r="CE114" s="358"/>
      <c r="CF114" s="16"/>
      <c r="CG114" s="358"/>
      <c r="CH114" s="358"/>
      <c r="CI114" s="358"/>
      <c r="CJ114" s="358"/>
      <c r="CK114" s="16"/>
      <c r="CL114" s="358">
        <v>145</v>
      </c>
      <c r="CM114" s="358">
        <v>647</v>
      </c>
      <c r="CN114" s="358">
        <v>855</v>
      </c>
      <c r="CO114" s="358">
        <v>1631</v>
      </c>
      <c r="CP114" s="16">
        <f t="shared" si="356"/>
        <v>1631</v>
      </c>
      <c r="CQ114" s="358">
        <v>-35</v>
      </c>
      <c r="CR114" s="358">
        <v>307</v>
      </c>
      <c r="CS114" s="358">
        <v>498</v>
      </c>
      <c r="CT114" s="358">
        <v>1031</v>
      </c>
      <c r="CU114" s="16">
        <f t="shared" si="377"/>
        <v>1031</v>
      </c>
      <c r="CV114" s="358">
        <v>473</v>
      </c>
      <c r="CW114" s="358">
        <v>400</v>
      </c>
      <c r="CX114" s="358">
        <v>934</v>
      </c>
      <c r="CY114" s="358">
        <v>1652</v>
      </c>
      <c r="CZ114" s="16">
        <f t="shared" si="358"/>
        <v>1652</v>
      </c>
      <c r="DA114" s="358">
        <v>294</v>
      </c>
      <c r="DB114" s="358">
        <v>680</v>
      </c>
      <c r="DC114" s="358">
        <v>775</v>
      </c>
      <c r="DD114" s="358">
        <v>1283</v>
      </c>
      <c r="DE114" s="16">
        <f t="shared" si="359"/>
        <v>1283</v>
      </c>
      <c r="DF114" s="358">
        <v>-72</v>
      </c>
      <c r="DG114" s="358">
        <v>155</v>
      </c>
      <c r="DH114" s="358">
        <v>-7</v>
      </c>
      <c r="DI114" s="358">
        <v>-112</v>
      </c>
      <c r="DJ114" s="16">
        <f t="shared" si="360"/>
        <v>-112</v>
      </c>
      <c r="DK114" s="1079">
        <v>46</v>
      </c>
      <c r="DL114" s="1079">
        <v>-65</v>
      </c>
      <c r="DM114" s="358"/>
      <c r="DN114" s="358"/>
      <c r="DO114" s="16"/>
      <c r="DP114" s="1079"/>
      <c r="DQ114" s="358"/>
      <c r="DR114" s="358"/>
      <c r="DS114" s="358"/>
      <c r="DT114" s="16"/>
      <c r="DU114" s="16"/>
      <c r="DV114" s="16"/>
    </row>
    <row r="115" spans="1:126" s="12" customFormat="1">
      <c r="B115" s="46" t="s">
        <v>64</v>
      </c>
      <c r="C115" s="16"/>
      <c r="D115" s="16"/>
      <c r="E115" s="16"/>
      <c r="F115" s="16"/>
      <c r="G115" s="16"/>
      <c r="H115" s="16"/>
      <c r="I115" s="16"/>
      <c r="J115" s="15"/>
      <c r="K115" s="15"/>
      <c r="L115" s="15"/>
      <c r="M115" s="15"/>
      <c r="N115" s="16"/>
      <c r="O115" s="15"/>
      <c r="P115" s="15"/>
      <c r="Q115" s="15"/>
      <c r="R115" s="15"/>
      <c r="S115" s="16"/>
      <c r="T115" s="15"/>
      <c r="U115" s="15"/>
      <c r="V115" s="15"/>
      <c r="W115" s="15"/>
      <c r="X115" s="16"/>
      <c r="Y115" s="15"/>
      <c r="Z115" s="15"/>
      <c r="AA115" s="15"/>
      <c r="AB115" s="15"/>
      <c r="AC115" s="16"/>
      <c r="AD115" s="15"/>
      <c r="AE115" s="15"/>
      <c r="AF115" s="15"/>
      <c r="AG115" s="15"/>
      <c r="AH115" s="16"/>
      <c r="AI115" s="15"/>
      <c r="AK115" s="49"/>
      <c r="AL115" s="49"/>
      <c r="AM115" s="16"/>
      <c r="AN115" s="49"/>
      <c r="AO115" s="313"/>
      <c r="AP115" s="313"/>
      <c r="AQ115" s="313"/>
      <c r="AR115" s="16"/>
      <c r="AS115" s="313"/>
      <c r="AT115" s="313"/>
      <c r="AU115" s="313"/>
      <c r="AV115" s="313"/>
      <c r="AW115" s="16"/>
      <c r="AX115" s="313"/>
      <c r="AY115" s="313"/>
      <c r="AZ115" s="313"/>
      <c r="BA115" s="313"/>
      <c r="BB115" s="16"/>
      <c r="BC115" s="313"/>
      <c r="BD115" s="313"/>
      <c r="BE115" s="313"/>
      <c r="BF115" s="313"/>
      <c r="BG115" s="16"/>
      <c r="BH115" s="313"/>
      <c r="BI115" s="358"/>
      <c r="BJ115" s="358"/>
      <c r="BK115" s="358"/>
      <c r="BL115" s="16"/>
      <c r="BM115" s="358"/>
      <c r="BN115" s="358"/>
      <c r="BO115" s="358"/>
      <c r="BP115" s="358"/>
      <c r="BQ115" s="16"/>
      <c r="BR115" s="358"/>
      <c r="BS115" s="358"/>
      <c r="BT115" s="358"/>
      <c r="BU115" s="358"/>
      <c r="BV115" s="16"/>
      <c r="BW115" s="446"/>
      <c r="BX115" s="446"/>
      <c r="BY115" s="446"/>
      <c r="BZ115" s="446"/>
      <c r="CA115" s="16"/>
      <c r="CB115" s="358"/>
      <c r="CC115" s="358"/>
      <c r="CD115" s="358"/>
      <c r="CE115" s="358"/>
      <c r="CF115" s="16"/>
      <c r="CG115" s="358"/>
      <c r="CH115" s="358"/>
      <c r="CI115" s="358"/>
      <c r="CJ115" s="358"/>
      <c r="CK115" s="16"/>
      <c r="CL115" s="358">
        <v>-617</v>
      </c>
      <c r="CM115" s="358">
        <v>-1912</v>
      </c>
      <c r="CN115" s="358">
        <v>-1208</v>
      </c>
      <c r="CO115" s="358">
        <v>-582</v>
      </c>
      <c r="CP115" s="16">
        <f t="shared" si="356"/>
        <v>-582</v>
      </c>
      <c r="CQ115" s="358">
        <v>-349</v>
      </c>
      <c r="CR115" s="358">
        <v>200</v>
      </c>
      <c r="CS115" s="358">
        <v>-167</v>
      </c>
      <c r="CT115" s="358">
        <v>-2</v>
      </c>
      <c r="CU115" s="16">
        <f t="shared" si="377"/>
        <v>-2</v>
      </c>
      <c r="CV115" s="358">
        <v>-293</v>
      </c>
      <c r="CW115" s="358">
        <v>1111</v>
      </c>
      <c r="CX115" s="358">
        <v>1697</v>
      </c>
      <c r="CY115" s="358">
        <v>2236</v>
      </c>
      <c r="CZ115" s="16">
        <f t="shared" si="358"/>
        <v>2236</v>
      </c>
      <c r="DA115" s="358">
        <v>-204</v>
      </c>
      <c r="DB115" s="358">
        <v>-22</v>
      </c>
      <c r="DC115" s="358">
        <v>394</v>
      </c>
      <c r="DD115" s="358">
        <v>-221</v>
      </c>
      <c r="DE115" s="16">
        <f t="shared" si="359"/>
        <v>-221</v>
      </c>
      <c r="DF115" s="358">
        <v>111</v>
      </c>
      <c r="DG115" s="358">
        <v>427</v>
      </c>
      <c r="DH115" s="358">
        <v>560</v>
      </c>
      <c r="DI115" s="358">
        <v>688</v>
      </c>
      <c r="DJ115" s="16">
        <f t="shared" si="360"/>
        <v>688</v>
      </c>
      <c r="DK115" s="1079">
        <v>706</v>
      </c>
      <c r="DL115" s="1079">
        <v>1495</v>
      </c>
      <c r="DM115" s="358"/>
      <c r="DN115" s="358"/>
      <c r="DO115" s="16"/>
      <c r="DP115" s="1079"/>
      <c r="DQ115" s="358"/>
      <c r="DR115" s="358"/>
      <c r="DS115" s="358"/>
      <c r="DT115" s="16"/>
      <c r="DU115" s="16"/>
      <c r="DV115" s="16"/>
    </row>
    <row r="116" spans="1:126" s="12" customFormat="1">
      <c r="B116" s="363" t="s">
        <v>511</v>
      </c>
      <c r="C116" s="16"/>
      <c r="D116" s="16"/>
      <c r="E116" s="16"/>
      <c r="F116" s="16"/>
      <c r="G116" s="16"/>
      <c r="H116" s="16"/>
      <c r="I116" s="16"/>
      <c r="J116" s="15"/>
      <c r="K116" s="15"/>
      <c r="L116" s="15"/>
      <c r="M116" s="15"/>
      <c r="N116" s="16"/>
      <c r="O116" s="15"/>
      <c r="P116" s="15"/>
      <c r="Q116" s="15"/>
      <c r="R116" s="15"/>
      <c r="S116" s="16"/>
      <c r="T116" s="15"/>
      <c r="U116" s="15"/>
      <c r="V116" s="15"/>
      <c r="W116" s="15"/>
      <c r="X116" s="16"/>
      <c r="Y116" s="15"/>
      <c r="Z116" s="15"/>
      <c r="AA116" s="15"/>
      <c r="AB116" s="15"/>
      <c r="AC116" s="16"/>
      <c r="AD116" s="15"/>
      <c r="AE116" s="15"/>
      <c r="AF116" s="15"/>
      <c r="AG116" s="15"/>
      <c r="AH116" s="16"/>
      <c r="AI116" s="15"/>
      <c r="AK116" s="49"/>
      <c r="AL116" s="49"/>
      <c r="AM116" s="16"/>
      <c r="AN116" s="49"/>
      <c r="AO116" s="313"/>
      <c r="AP116" s="313"/>
      <c r="AQ116" s="313"/>
      <c r="AR116" s="16"/>
      <c r="AS116" s="313"/>
      <c r="AU116" s="15"/>
      <c r="AV116" s="221"/>
      <c r="AW116" s="16"/>
      <c r="AX116" s="15"/>
      <c r="AZ116" s="15"/>
      <c r="BA116" s="15"/>
      <c r="BB116" s="16"/>
      <c r="BC116" s="15"/>
      <c r="BE116" s="313"/>
      <c r="BF116" s="313"/>
      <c r="BG116" s="16"/>
      <c r="BH116" s="313"/>
      <c r="BI116" s="358"/>
      <c r="BJ116" s="358"/>
      <c r="BK116" s="358"/>
      <c r="BL116" s="16"/>
      <c r="BM116" s="358"/>
      <c r="BN116" s="358"/>
      <c r="BO116" s="358"/>
      <c r="BP116" s="358"/>
      <c r="BQ116" s="16"/>
      <c r="BR116" s="358"/>
      <c r="BS116" s="358"/>
      <c r="BT116" s="358"/>
      <c r="BU116" s="358"/>
      <c r="BV116" s="16"/>
      <c r="BW116" s="446"/>
      <c r="BX116" s="435"/>
      <c r="BY116" s="446"/>
      <c r="BZ116" s="446"/>
      <c r="CA116" s="16"/>
      <c r="CB116" s="358"/>
      <c r="CC116" s="358"/>
      <c r="CD116" s="358"/>
      <c r="CE116" s="358"/>
      <c r="CF116" s="16"/>
      <c r="CG116" s="358"/>
      <c r="CH116" s="358"/>
      <c r="CI116" s="358"/>
      <c r="CJ116" s="358"/>
      <c r="CK116" s="16"/>
      <c r="CL116" s="358">
        <v>-590</v>
      </c>
      <c r="CM116" s="358">
        <v>-575</v>
      </c>
      <c r="CN116" s="358">
        <v>-1247</v>
      </c>
      <c r="CO116" s="358">
        <v>-247</v>
      </c>
      <c r="CP116" s="16">
        <f t="shared" si="356"/>
        <v>-247</v>
      </c>
      <c r="CQ116" s="358">
        <v>-425</v>
      </c>
      <c r="CR116" s="358">
        <v>-1321</v>
      </c>
      <c r="CS116" s="358">
        <v>-1509</v>
      </c>
      <c r="CT116" s="358">
        <v>-1052</v>
      </c>
      <c r="CU116" s="16">
        <f t="shared" si="377"/>
        <v>-1052</v>
      </c>
      <c r="CV116" s="358">
        <v>173</v>
      </c>
      <c r="CW116" s="358">
        <v>707</v>
      </c>
      <c r="CX116" s="358">
        <v>1227</v>
      </c>
      <c r="CY116" s="358">
        <v>2348</v>
      </c>
      <c r="CZ116" s="16">
        <f t="shared" si="358"/>
        <v>2348</v>
      </c>
      <c r="DA116" s="358">
        <v>205</v>
      </c>
      <c r="DB116" s="358">
        <v>728</v>
      </c>
      <c r="DC116" s="358">
        <v>949</v>
      </c>
      <c r="DD116" s="358">
        <v>2933</v>
      </c>
      <c r="DE116" s="16">
        <f t="shared" si="359"/>
        <v>2933</v>
      </c>
      <c r="DF116" s="358">
        <v>1095</v>
      </c>
      <c r="DG116" s="358">
        <f>290+386</f>
        <v>676</v>
      </c>
      <c r="DH116" s="358">
        <f>283+759</f>
        <v>1042</v>
      </c>
      <c r="DI116" s="358">
        <f>1066+531-266-326</f>
        <v>1005</v>
      </c>
      <c r="DJ116" s="16">
        <f t="shared" si="360"/>
        <v>1005</v>
      </c>
      <c r="DK116" s="1079">
        <v>270</v>
      </c>
      <c r="DL116" s="1079">
        <f>269+384</f>
        <v>653</v>
      </c>
      <c r="DM116" s="358"/>
      <c r="DN116" s="358"/>
      <c r="DO116" s="16"/>
      <c r="DP116" s="1079"/>
      <c r="DQ116" s="358"/>
      <c r="DR116" s="358"/>
      <c r="DS116" s="358"/>
      <c r="DT116" s="16"/>
      <c r="DU116" s="16"/>
      <c r="DV116" s="16"/>
    </row>
    <row r="117" spans="1:126" s="12" customFormat="1" ht="12">
      <c r="B117" s="846" t="s">
        <v>526</v>
      </c>
      <c r="C117" s="130">
        <f t="shared" ref="C117:L117" si="378">SUM(C99:C111)</f>
        <v>0</v>
      </c>
      <c r="D117" s="130">
        <f t="shared" si="378"/>
        <v>0</v>
      </c>
      <c r="E117" s="130">
        <f t="shared" si="378"/>
        <v>0</v>
      </c>
      <c r="F117" s="130">
        <f t="shared" si="378"/>
        <v>0</v>
      </c>
      <c r="G117" s="130">
        <f t="shared" si="378"/>
        <v>0</v>
      </c>
      <c r="H117" s="130">
        <f t="shared" si="378"/>
        <v>0</v>
      </c>
      <c r="I117" s="130">
        <f t="shared" si="378"/>
        <v>0</v>
      </c>
      <c r="J117" s="189">
        <f t="shared" si="378"/>
        <v>0</v>
      </c>
      <c r="K117" s="189">
        <f t="shared" si="378"/>
        <v>0</v>
      </c>
      <c r="L117" s="189">
        <f t="shared" si="378"/>
        <v>0</v>
      </c>
      <c r="M117" s="189">
        <f t="shared" si="362"/>
        <v>0</v>
      </c>
      <c r="N117" s="130">
        <f>SUM(N99:N111)</f>
        <v>0</v>
      </c>
      <c r="O117" s="189">
        <f>SUM(O99:O111)</f>
        <v>0</v>
      </c>
      <c r="P117" s="189">
        <f>SUM(P99:P111)</f>
        <v>0</v>
      </c>
      <c r="Q117" s="189">
        <f>SUM(Q99:Q111)</f>
        <v>0</v>
      </c>
      <c r="R117" s="189">
        <f t="shared" si="363"/>
        <v>0</v>
      </c>
      <c r="S117" s="130">
        <f>SUM(S99:S111)</f>
        <v>0</v>
      </c>
      <c r="T117" s="189">
        <f>SUM(T99:T111)</f>
        <v>0</v>
      </c>
      <c r="U117" s="189">
        <f>SUM(U99:U111)</f>
        <v>0</v>
      </c>
      <c r="V117" s="189">
        <f>SUM(V99:V111)</f>
        <v>0</v>
      </c>
      <c r="W117" s="189">
        <f t="shared" si="364"/>
        <v>0</v>
      </c>
      <c r="X117" s="130">
        <f>SUM(X99:X111)</f>
        <v>0</v>
      </c>
      <c r="Y117" s="189">
        <f>SUM(Y99:Y111)</f>
        <v>0</v>
      </c>
      <c r="Z117" s="189">
        <f>SUM(Z99:Z111)</f>
        <v>0</v>
      </c>
      <c r="AA117" s="189">
        <f>SUM(AA99:AA111)</f>
        <v>0</v>
      </c>
      <c r="AB117" s="189">
        <f t="shared" si="365"/>
        <v>0</v>
      </c>
      <c r="AC117" s="130">
        <f>SUM(AC99:AC111)</f>
        <v>0</v>
      </c>
      <c r="AD117" s="189">
        <f>SUM(AD99:AD111)</f>
        <v>0</v>
      </c>
      <c r="AE117" s="189">
        <f>SUM(AE99:AE111)</f>
        <v>0</v>
      </c>
      <c r="AF117" s="189">
        <f>SUM(AF99:AF111)</f>
        <v>0</v>
      </c>
      <c r="AG117" s="189">
        <f t="shared" si="366"/>
        <v>0</v>
      </c>
      <c r="AH117" s="130">
        <f t="shared" ref="AH117:BM117" si="379">SUM(AH99:AH111)</f>
        <v>0</v>
      </c>
      <c r="AI117" s="189">
        <f t="shared" si="379"/>
        <v>0</v>
      </c>
      <c r="AJ117" s="189">
        <f t="shared" si="379"/>
        <v>0</v>
      </c>
      <c r="AK117" s="189">
        <f t="shared" si="379"/>
        <v>0</v>
      </c>
      <c r="AL117" s="189">
        <f t="shared" si="379"/>
        <v>0</v>
      </c>
      <c r="AM117" s="130">
        <f t="shared" si="379"/>
        <v>0</v>
      </c>
      <c r="AN117" s="189">
        <f t="shared" si="379"/>
        <v>0</v>
      </c>
      <c r="AO117" s="189">
        <f t="shared" si="379"/>
        <v>0</v>
      </c>
      <c r="AP117" s="189">
        <f t="shared" si="379"/>
        <v>0</v>
      </c>
      <c r="AQ117" s="189">
        <f t="shared" si="379"/>
        <v>0</v>
      </c>
      <c r="AR117" s="130">
        <f t="shared" si="379"/>
        <v>0</v>
      </c>
      <c r="AS117" s="189">
        <f t="shared" si="379"/>
        <v>0</v>
      </c>
      <c r="AT117" s="189">
        <f t="shared" si="379"/>
        <v>0</v>
      </c>
      <c r="AU117" s="189">
        <f t="shared" si="379"/>
        <v>0</v>
      </c>
      <c r="AV117" s="189">
        <f t="shared" si="379"/>
        <v>0</v>
      </c>
      <c r="AW117" s="130">
        <f t="shared" si="379"/>
        <v>0</v>
      </c>
      <c r="AX117" s="189">
        <f t="shared" si="379"/>
        <v>0</v>
      </c>
      <c r="AY117" s="189">
        <f t="shared" si="379"/>
        <v>0</v>
      </c>
      <c r="AZ117" s="189">
        <f t="shared" si="379"/>
        <v>0</v>
      </c>
      <c r="BA117" s="189">
        <f t="shared" si="379"/>
        <v>0</v>
      </c>
      <c r="BB117" s="130">
        <f t="shared" si="379"/>
        <v>0</v>
      </c>
      <c r="BC117" s="189">
        <f t="shared" si="379"/>
        <v>0</v>
      </c>
      <c r="BD117" s="189">
        <f t="shared" si="379"/>
        <v>0</v>
      </c>
      <c r="BE117" s="189">
        <f t="shared" si="379"/>
        <v>0</v>
      </c>
      <c r="BF117" s="189">
        <f t="shared" si="379"/>
        <v>0</v>
      </c>
      <c r="BG117" s="130">
        <f t="shared" si="379"/>
        <v>0</v>
      </c>
      <c r="BH117" s="189">
        <f t="shared" si="379"/>
        <v>0</v>
      </c>
      <c r="BI117" s="307">
        <f t="shared" si="379"/>
        <v>0</v>
      </c>
      <c r="BJ117" s="307">
        <f t="shared" si="379"/>
        <v>0</v>
      </c>
      <c r="BK117" s="307">
        <f t="shared" si="379"/>
        <v>0</v>
      </c>
      <c r="BL117" s="130">
        <f t="shared" si="379"/>
        <v>0</v>
      </c>
      <c r="BM117" s="307">
        <f t="shared" si="379"/>
        <v>0</v>
      </c>
      <c r="BN117" s="307">
        <f t="shared" ref="BN117:CS117" si="380">SUM(BN99:BN111)</f>
        <v>0</v>
      </c>
      <c r="BO117" s="307">
        <f t="shared" si="380"/>
        <v>0</v>
      </c>
      <c r="BP117" s="307">
        <f t="shared" si="380"/>
        <v>0</v>
      </c>
      <c r="BQ117" s="130">
        <f t="shared" si="380"/>
        <v>0</v>
      </c>
      <c r="BR117" s="307">
        <f t="shared" si="380"/>
        <v>0</v>
      </c>
      <c r="BS117" s="307">
        <f t="shared" si="380"/>
        <v>0</v>
      </c>
      <c r="BT117" s="307">
        <f t="shared" si="380"/>
        <v>0</v>
      </c>
      <c r="BU117" s="307">
        <f t="shared" si="380"/>
        <v>0</v>
      </c>
      <c r="BV117" s="130">
        <f t="shared" si="380"/>
        <v>0</v>
      </c>
      <c r="BW117" s="453">
        <f t="shared" si="380"/>
        <v>0</v>
      </c>
      <c r="BX117" s="453">
        <f t="shared" si="380"/>
        <v>0</v>
      </c>
      <c r="BY117" s="453">
        <f t="shared" si="380"/>
        <v>0</v>
      </c>
      <c r="BZ117" s="453">
        <f t="shared" si="380"/>
        <v>0</v>
      </c>
      <c r="CA117" s="130">
        <f t="shared" si="380"/>
        <v>0</v>
      </c>
      <c r="CB117" s="307">
        <f t="shared" si="380"/>
        <v>0</v>
      </c>
      <c r="CC117" s="307">
        <f t="shared" si="380"/>
        <v>0</v>
      </c>
      <c r="CD117" s="307">
        <f t="shared" si="380"/>
        <v>0</v>
      </c>
      <c r="CE117" s="307">
        <f t="shared" si="380"/>
        <v>0</v>
      </c>
      <c r="CF117" s="130">
        <f t="shared" si="380"/>
        <v>0</v>
      </c>
      <c r="CG117" s="307">
        <f t="shared" si="380"/>
        <v>0</v>
      </c>
      <c r="CH117" s="307">
        <f t="shared" si="380"/>
        <v>0</v>
      </c>
      <c r="CI117" s="307">
        <f t="shared" si="380"/>
        <v>0</v>
      </c>
      <c r="CJ117" s="307">
        <f t="shared" si="380"/>
        <v>0</v>
      </c>
      <c r="CK117" s="130">
        <f t="shared" si="380"/>
        <v>0</v>
      </c>
      <c r="CL117" s="307">
        <f t="shared" si="380"/>
        <v>-919</v>
      </c>
      <c r="CM117" s="307">
        <f t="shared" si="380"/>
        <v>-2421</v>
      </c>
      <c r="CN117" s="307">
        <f t="shared" si="380"/>
        <v>-1878</v>
      </c>
      <c r="CO117" s="307">
        <f t="shared" si="380"/>
        <v>1023</v>
      </c>
      <c r="CP117" s="130">
        <f t="shared" si="380"/>
        <v>1023</v>
      </c>
      <c r="CQ117" s="307">
        <f t="shared" si="380"/>
        <v>-2639</v>
      </c>
      <c r="CR117" s="307">
        <f t="shared" si="380"/>
        <v>-2991</v>
      </c>
      <c r="CS117" s="307">
        <f t="shared" si="380"/>
        <v>-1527</v>
      </c>
      <c r="CT117" s="307">
        <f t="shared" ref="CT117:DH117" si="381">SUM(CT99:CT111)</f>
        <v>888</v>
      </c>
      <c r="CU117" s="130">
        <f t="shared" si="381"/>
        <v>888</v>
      </c>
      <c r="CV117" s="307">
        <f t="shared" si="381"/>
        <v>-925</v>
      </c>
      <c r="CW117" s="307">
        <f t="shared" si="381"/>
        <v>-431</v>
      </c>
      <c r="CX117" s="307">
        <f t="shared" si="381"/>
        <v>380</v>
      </c>
      <c r="CY117" s="307">
        <f t="shared" si="381"/>
        <v>4045</v>
      </c>
      <c r="CZ117" s="130">
        <f t="shared" si="381"/>
        <v>4045</v>
      </c>
      <c r="DA117" s="307">
        <f t="shared" si="381"/>
        <v>153</v>
      </c>
      <c r="DB117" s="307">
        <f t="shared" si="381"/>
        <v>464</v>
      </c>
      <c r="DC117" s="307">
        <f t="shared" si="381"/>
        <v>2351</v>
      </c>
      <c r="DD117" s="307">
        <f t="shared" si="381"/>
        <v>5570</v>
      </c>
      <c r="DE117" s="130">
        <f t="shared" si="381"/>
        <v>5570</v>
      </c>
      <c r="DF117" s="307">
        <f t="shared" si="381"/>
        <v>1025</v>
      </c>
      <c r="DG117" s="378">
        <f t="shared" si="381"/>
        <v>2586</v>
      </c>
      <c r="DH117" s="378">
        <f t="shared" si="381"/>
        <v>4499</v>
      </c>
      <c r="DI117" s="378">
        <f>SUM(DI99:DI111)</f>
        <v>5817</v>
      </c>
      <c r="DJ117" s="130">
        <f t="shared" ref="DJ117" si="382">SUM(DJ99:DJ111)</f>
        <v>5817</v>
      </c>
      <c r="DK117" s="378">
        <f>SUM(DK99:DK111)</f>
        <v>1543</v>
      </c>
      <c r="DL117" s="378">
        <f t="shared" ref="DL117" si="383">SUM(DL99:DL111)</f>
        <v>3891</v>
      </c>
      <c r="DM117" s="307"/>
      <c r="DN117" s="307"/>
      <c r="DO117" s="130"/>
      <c r="DP117" s="378"/>
      <c r="DQ117" s="307"/>
      <c r="DR117" s="307"/>
      <c r="DS117" s="307"/>
      <c r="DT117" s="130"/>
      <c r="DU117" s="130"/>
      <c r="DV117" s="130"/>
    </row>
    <row r="118" spans="1:126" s="312" customFormat="1" ht="12">
      <c r="A118" s="12"/>
      <c r="B118" s="314" t="s">
        <v>527</v>
      </c>
      <c r="C118" s="130"/>
      <c r="D118" s="130"/>
      <c r="E118" s="130"/>
      <c r="F118" s="130"/>
      <c r="G118" s="130"/>
      <c r="H118" s="130"/>
      <c r="I118" s="130"/>
      <c r="J118" s="189"/>
      <c r="K118" s="189"/>
      <c r="L118" s="189"/>
      <c r="M118" s="189"/>
      <c r="N118" s="130"/>
      <c r="O118" s="189"/>
      <c r="P118" s="189"/>
      <c r="Q118" s="189"/>
      <c r="R118" s="189"/>
      <c r="S118" s="130"/>
      <c r="T118" s="189"/>
      <c r="U118" s="189"/>
      <c r="V118" s="189"/>
      <c r="W118" s="189"/>
      <c r="X118" s="130"/>
      <c r="Y118" s="189"/>
      <c r="Z118" s="189"/>
      <c r="AA118" s="189"/>
      <c r="AB118" s="189"/>
      <c r="AC118" s="130"/>
      <c r="AD118" s="189"/>
      <c r="AE118" s="189"/>
      <c r="AF118" s="189"/>
      <c r="AG118" s="189"/>
      <c r="AH118" s="130"/>
      <c r="AI118" s="189"/>
      <c r="AJ118" s="189"/>
      <c r="AK118" s="189"/>
      <c r="AL118" s="189"/>
      <c r="AM118" s="130"/>
      <c r="AN118" s="189"/>
      <c r="AO118" s="189"/>
      <c r="AP118" s="189"/>
      <c r="AQ118" s="189"/>
      <c r="AR118" s="130"/>
      <c r="AS118" s="189"/>
      <c r="AT118" s="189"/>
      <c r="AU118" s="189"/>
      <c r="AV118" s="189"/>
      <c r="AW118" s="130"/>
      <c r="AX118" s="189"/>
      <c r="AY118" s="189"/>
      <c r="AZ118" s="189"/>
      <c r="BA118" s="189"/>
      <c r="BB118" s="130"/>
      <c r="BC118" s="189"/>
      <c r="BD118" s="189"/>
      <c r="BE118" s="189"/>
      <c r="BF118" s="189"/>
      <c r="BG118" s="130"/>
      <c r="BH118" s="189"/>
      <c r="BI118" s="307"/>
      <c r="BJ118" s="307"/>
      <c r="BK118" s="307"/>
      <c r="BL118" s="130"/>
      <c r="BM118" s="307"/>
      <c r="BN118" s="307"/>
      <c r="BO118" s="307"/>
      <c r="BP118" s="307"/>
      <c r="BQ118" s="130"/>
      <c r="BR118" s="307"/>
      <c r="BS118" s="307"/>
      <c r="BT118" s="307"/>
      <c r="BU118" s="307"/>
      <c r="BV118" s="130"/>
      <c r="BW118" s="453"/>
      <c r="BX118" s="453"/>
      <c r="BY118" s="453"/>
      <c r="BZ118" s="453"/>
      <c r="CA118" s="130"/>
      <c r="CB118" s="307"/>
      <c r="CC118" s="307"/>
      <c r="CD118" s="307"/>
      <c r="CE118" s="307"/>
      <c r="CF118" s="130"/>
      <c r="CG118" s="307"/>
      <c r="CH118" s="307"/>
      <c r="CI118" s="307"/>
      <c r="CJ118" s="307"/>
      <c r="CK118" s="130"/>
      <c r="CL118" s="317">
        <v>686</v>
      </c>
      <c r="CM118" s="317">
        <v>1026</v>
      </c>
      <c r="CN118" s="317">
        <v>1816</v>
      </c>
      <c r="CO118" s="317">
        <v>2543</v>
      </c>
      <c r="CP118" s="16">
        <f>CO118</f>
        <v>2543</v>
      </c>
      <c r="CQ118" s="317">
        <v>680</v>
      </c>
      <c r="CR118" s="317">
        <v>1550</v>
      </c>
      <c r="CS118" s="317">
        <v>2427</v>
      </c>
      <c r="CT118" s="317">
        <v>2444</v>
      </c>
      <c r="CU118" s="16">
        <f>CT118</f>
        <v>2444</v>
      </c>
      <c r="CV118" s="317">
        <v>369</v>
      </c>
      <c r="CW118" s="317">
        <v>428</v>
      </c>
      <c r="CX118" s="317">
        <v>1038</v>
      </c>
      <c r="CY118" s="317">
        <v>1873</v>
      </c>
      <c r="CZ118" s="225"/>
      <c r="DA118" s="317">
        <v>-413</v>
      </c>
      <c r="DB118" s="317">
        <v>-250</v>
      </c>
      <c r="DC118" s="317">
        <v>-315</v>
      </c>
      <c r="DD118" s="317">
        <v>-391</v>
      </c>
      <c r="DE118" s="16">
        <f>DD118</f>
        <v>-391</v>
      </c>
      <c r="DF118" s="378">
        <v>-32</v>
      </c>
      <c r="DG118" s="378">
        <v>-681</v>
      </c>
      <c r="DH118" s="378">
        <v>-1086</v>
      </c>
      <c r="DI118" s="378">
        <v>-1107</v>
      </c>
      <c r="DJ118" s="16">
        <f>DI118</f>
        <v>-1107</v>
      </c>
      <c r="DK118" s="1085">
        <v>-34</v>
      </c>
      <c r="DL118" s="1085">
        <v>-136</v>
      </c>
      <c r="DM118" s="378"/>
      <c r="DN118" s="378"/>
      <c r="DO118" s="225"/>
      <c r="DP118" s="1085"/>
      <c r="DQ118" s="378"/>
      <c r="DR118" s="378"/>
      <c r="DS118" s="378"/>
      <c r="DT118" s="225"/>
      <c r="DU118" s="225"/>
      <c r="DV118" s="225"/>
    </row>
    <row r="119" spans="1:126" s="12" customFormat="1" ht="12">
      <c r="B119" s="846" t="s">
        <v>528</v>
      </c>
      <c r="C119" s="130"/>
      <c r="D119" s="130"/>
      <c r="E119" s="130"/>
      <c r="F119" s="130"/>
      <c r="G119" s="130"/>
      <c r="H119" s="130"/>
      <c r="I119" s="130"/>
      <c r="J119" s="189"/>
      <c r="K119" s="189"/>
      <c r="L119" s="189"/>
      <c r="M119" s="189"/>
      <c r="N119" s="130"/>
      <c r="O119" s="189"/>
      <c r="P119" s="189"/>
      <c r="Q119" s="189"/>
      <c r="R119" s="189"/>
      <c r="S119" s="130"/>
      <c r="T119" s="189"/>
      <c r="U119" s="189"/>
      <c r="V119" s="189"/>
      <c r="W119" s="189"/>
      <c r="X119" s="130"/>
      <c r="Y119" s="189"/>
      <c r="Z119" s="189"/>
      <c r="AA119" s="189"/>
      <c r="AB119" s="189"/>
      <c r="AC119" s="130"/>
      <c r="AD119" s="189"/>
      <c r="AE119" s="189"/>
      <c r="AF119" s="189"/>
      <c r="AG119" s="189"/>
      <c r="AH119" s="130"/>
      <c r="AI119" s="189"/>
      <c r="AJ119" s="189"/>
      <c r="AK119" s="189"/>
      <c r="AL119" s="189"/>
      <c r="AM119" s="130"/>
      <c r="AN119" s="189"/>
      <c r="AO119" s="189"/>
      <c r="AP119" s="189"/>
      <c r="AQ119" s="189"/>
      <c r="AR119" s="130"/>
      <c r="AS119" s="189"/>
      <c r="AT119" s="189"/>
      <c r="AU119" s="189"/>
      <c r="AV119" s="189"/>
      <c r="AW119" s="130"/>
      <c r="AX119" s="189"/>
      <c r="AY119" s="189"/>
      <c r="AZ119" s="189"/>
      <c r="BA119" s="189"/>
      <c r="BB119" s="130"/>
      <c r="BC119" s="189"/>
      <c r="BD119" s="189"/>
      <c r="BE119" s="189"/>
      <c r="BF119" s="189"/>
      <c r="BG119" s="130"/>
      <c r="BH119" s="189"/>
      <c r="BI119" s="307"/>
      <c r="BJ119" s="307"/>
      <c r="BK119" s="307"/>
      <c r="BL119" s="130"/>
      <c r="BM119" s="307"/>
      <c r="BN119" s="307"/>
      <c r="BO119" s="307"/>
      <c r="BP119" s="307"/>
      <c r="BQ119" s="130"/>
      <c r="BR119" s="307"/>
      <c r="BS119" s="307"/>
      <c r="BT119" s="307"/>
      <c r="BU119" s="307"/>
      <c r="BV119" s="130"/>
      <c r="BW119" s="453"/>
      <c r="BX119" s="453"/>
      <c r="BY119" s="453"/>
      <c r="BZ119" s="453"/>
      <c r="CA119" s="130"/>
      <c r="CB119" s="307"/>
      <c r="CC119" s="307"/>
      <c r="CD119" s="307"/>
      <c r="CE119" s="307"/>
      <c r="CF119" s="130"/>
      <c r="CG119" s="307"/>
      <c r="CH119" s="307"/>
      <c r="CI119" s="307"/>
      <c r="CJ119" s="307"/>
      <c r="CK119" s="130"/>
      <c r="CL119" s="307">
        <f>SUM(CL117:CL118)</f>
        <v>-233</v>
      </c>
      <c r="CM119" s="307">
        <f t="shared" ref="CM119:CV119" si="384">SUM(CM117:CM118)</f>
        <v>-1395</v>
      </c>
      <c r="CN119" s="307">
        <f t="shared" si="384"/>
        <v>-62</v>
      </c>
      <c r="CO119" s="307">
        <f t="shared" si="384"/>
        <v>3566</v>
      </c>
      <c r="CP119" s="130">
        <f t="shared" si="384"/>
        <v>3566</v>
      </c>
      <c r="CQ119" s="307">
        <f t="shared" si="384"/>
        <v>-1959</v>
      </c>
      <c r="CR119" s="307">
        <f t="shared" si="384"/>
        <v>-1441</v>
      </c>
      <c r="CS119" s="307">
        <f t="shared" si="384"/>
        <v>900</v>
      </c>
      <c r="CT119" s="307">
        <f t="shared" si="384"/>
        <v>3332</v>
      </c>
      <c r="CU119" s="130">
        <f t="shared" si="384"/>
        <v>3332</v>
      </c>
      <c r="CV119" s="307">
        <f t="shared" si="384"/>
        <v>-556</v>
      </c>
      <c r="CW119" s="307">
        <f t="shared" ref="CW119" si="385">SUM(CW117:CW118)</f>
        <v>-3</v>
      </c>
      <c r="CX119" s="307">
        <f t="shared" ref="CX119" si="386">SUM(CX117:CX118)</f>
        <v>1418</v>
      </c>
      <c r="CY119" s="307">
        <f t="shared" ref="CY119" si="387">SUM(CY117:CY118)</f>
        <v>5918</v>
      </c>
      <c r="CZ119" s="130">
        <f t="shared" ref="CZ119" si="388">SUM(CZ117:CZ118)</f>
        <v>4045</v>
      </c>
      <c r="DA119" s="307">
        <f t="shared" ref="DA119" si="389">SUM(DA117:DA118)</f>
        <v>-260</v>
      </c>
      <c r="DB119" s="307">
        <f t="shared" ref="DB119" si="390">SUM(DB117:DB118)</f>
        <v>214</v>
      </c>
      <c r="DC119" s="307">
        <f t="shared" ref="DC119" si="391">SUM(DC117:DC118)</f>
        <v>2036</v>
      </c>
      <c r="DD119" s="307">
        <f t="shared" ref="DD119" si="392">SUM(DD117:DD118)</f>
        <v>5179</v>
      </c>
      <c r="DE119" s="130">
        <f t="shared" ref="DE119:DI119" si="393">SUM(DE117:DE118)</f>
        <v>5179</v>
      </c>
      <c r="DF119" s="307">
        <f t="shared" si="393"/>
        <v>993</v>
      </c>
      <c r="DG119" s="307">
        <f t="shared" si="393"/>
        <v>1905</v>
      </c>
      <c r="DH119" s="307">
        <f t="shared" si="393"/>
        <v>3413</v>
      </c>
      <c r="DI119" s="307">
        <f t="shared" si="393"/>
        <v>4710</v>
      </c>
      <c r="DJ119" s="130">
        <f t="shared" ref="DJ119:DL119" si="394">SUM(DJ117:DJ118)</f>
        <v>4710</v>
      </c>
      <c r="DK119" s="307">
        <f t="shared" si="394"/>
        <v>1509</v>
      </c>
      <c r="DL119" s="307">
        <f t="shared" si="394"/>
        <v>3755</v>
      </c>
      <c r="DM119" s="307"/>
      <c r="DN119" s="307"/>
      <c r="DO119" s="130"/>
      <c r="DP119" s="307"/>
      <c r="DQ119" s="307"/>
      <c r="DR119" s="307"/>
      <c r="DS119" s="307"/>
      <c r="DT119" s="130"/>
      <c r="DU119" s="130"/>
      <c r="DV119" s="130"/>
    </row>
    <row r="120" spans="1:126" s="12" customFormat="1">
      <c r="B120" s="314" t="s">
        <v>512</v>
      </c>
      <c r="C120" s="16"/>
      <c r="D120" s="16"/>
      <c r="E120" s="16"/>
      <c r="F120" s="16"/>
      <c r="G120" s="16"/>
      <c r="H120" s="16"/>
      <c r="I120" s="16"/>
      <c r="J120" s="15"/>
      <c r="K120" s="15"/>
      <c r="L120" s="15"/>
      <c r="M120" s="15"/>
      <c r="N120" s="16"/>
      <c r="O120" s="15"/>
      <c r="P120" s="15"/>
      <c r="Q120" s="15"/>
      <c r="R120" s="15"/>
      <c r="S120" s="16"/>
      <c r="T120" s="15"/>
      <c r="U120" s="15"/>
      <c r="V120" s="15"/>
      <c r="W120" s="15"/>
      <c r="X120" s="16"/>
      <c r="Y120" s="15"/>
      <c r="Z120" s="15"/>
      <c r="AA120" s="15"/>
      <c r="AB120" s="15"/>
      <c r="AC120" s="16"/>
      <c r="AD120" s="15"/>
      <c r="AE120" s="15"/>
      <c r="AF120" s="15"/>
      <c r="AG120" s="15"/>
      <c r="AH120" s="16"/>
      <c r="AI120" s="15"/>
      <c r="AK120" s="49"/>
      <c r="AL120" s="49"/>
      <c r="AM120" s="16"/>
      <c r="AN120" s="49"/>
      <c r="AO120" s="313"/>
      <c r="AP120" s="313"/>
      <c r="AQ120" s="313"/>
      <c r="AR120" s="16"/>
      <c r="AS120" s="313"/>
      <c r="AT120" s="313"/>
      <c r="AU120" s="313"/>
      <c r="AV120" s="313"/>
      <c r="AW120" s="16"/>
      <c r="AX120" s="313"/>
      <c r="AY120" s="313"/>
      <c r="AZ120" s="313"/>
      <c r="BA120" s="313"/>
      <c r="BB120" s="16"/>
      <c r="BC120" s="313"/>
      <c r="BD120" s="313"/>
      <c r="BE120" s="313"/>
      <c r="BF120" s="313"/>
      <c r="BG120" s="16"/>
      <c r="BH120" s="313"/>
      <c r="BI120" s="358"/>
      <c r="BJ120" s="358"/>
      <c r="BK120" s="358"/>
      <c r="BL120" s="16"/>
      <c r="BM120" s="358"/>
      <c r="BN120" s="358"/>
      <c r="BO120" s="358"/>
      <c r="BP120" s="358"/>
      <c r="BQ120" s="16"/>
      <c r="BR120" s="358"/>
      <c r="BS120" s="358"/>
      <c r="BT120" s="358"/>
      <c r="BU120" s="358"/>
      <c r="BV120" s="16"/>
      <c r="BW120" s="446"/>
      <c r="BX120" s="446"/>
      <c r="BY120" s="446"/>
      <c r="BZ120" s="446"/>
      <c r="CA120" s="16"/>
      <c r="CB120" s="358"/>
      <c r="CC120" s="358"/>
      <c r="CD120" s="358"/>
      <c r="CE120" s="358"/>
      <c r="CF120" s="16"/>
      <c r="CG120" s="358"/>
      <c r="CH120" s="358"/>
      <c r="CI120" s="358"/>
      <c r="CJ120" s="358"/>
      <c r="CK120" s="16"/>
      <c r="CL120" s="358">
        <v>-504</v>
      </c>
      <c r="CM120" s="358">
        <v>-1002</v>
      </c>
      <c r="CN120" s="358">
        <v>-1302</v>
      </c>
      <c r="CO120" s="358">
        <v>-1578</v>
      </c>
      <c r="CP120" s="16">
        <f t="shared" ref="CP120:CP128" si="395">CO120</f>
        <v>-1578</v>
      </c>
      <c r="CQ120" s="358">
        <v>-332</v>
      </c>
      <c r="CR120" s="358">
        <v>-599</v>
      </c>
      <c r="CS120" s="358">
        <v>-895</v>
      </c>
      <c r="CT120" s="358">
        <v>-1250</v>
      </c>
      <c r="CU120" s="16">
        <f t="shared" ref="CU120:CU128" si="396">CT120</f>
        <v>-1250</v>
      </c>
      <c r="CV120" s="358">
        <v>-239</v>
      </c>
      <c r="CW120" s="358">
        <v>-549</v>
      </c>
      <c r="CX120" s="358">
        <v>-801</v>
      </c>
      <c r="CY120" s="358">
        <v>-1174</v>
      </c>
      <c r="CZ120" s="16">
        <f t="shared" ref="CZ120:CZ128" si="397">CY120</f>
        <v>-1174</v>
      </c>
      <c r="DA120" s="358">
        <v>-279</v>
      </c>
      <c r="DB120" s="358">
        <v>-663</v>
      </c>
      <c r="DC120" s="358">
        <v>-1065</v>
      </c>
      <c r="DD120" s="358">
        <v>-1595</v>
      </c>
      <c r="DE120" s="16">
        <f t="shared" ref="DE120:DE128" si="398">DD120</f>
        <v>-1595</v>
      </c>
      <c r="DF120" s="358">
        <v>-421</v>
      </c>
      <c r="DG120" s="358">
        <v>-499</v>
      </c>
      <c r="DH120" s="358">
        <v>-765</v>
      </c>
      <c r="DI120" s="358">
        <v>-1032</v>
      </c>
      <c r="DJ120" s="16">
        <f t="shared" ref="DJ120:DJ128" si="399">DI120</f>
        <v>-1032</v>
      </c>
      <c r="DK120" s="1079">
        <v>-208</v>
      </c>
      <c r="DL120" s="1079">
        <v>-535</v>
      </c>
      <c r="DM120" s="358"/>
      <c r="DN120" s="358"/>
      <c r="DO120" s="16"/>
      <c r="DP120" s="1079"/>
      <c r="DQ120" s="358"/>
      <c r="DR120" s="358"/>
      <c r="DS120" s="358"/>
      <c r="DT120" s="16"/>
      <c r="DU120" s="16"/>
      <c r="DV120" s="16"/>
    </row>
    <row r="121" spans="1:126" s="12" customFormat="1">
      <c r="B121" s="314" t="s">
        <v>513</v>
      </c>
      <c r="C121" s="16"/>
      <c r="D121" s="16"/>
      <c r="E121" s="16"/>
      <c r="F121" s="16"/>
      <c r="G121" s="16"/>
      <c r="H121" s="16"/>
      <c r="I121" s="16"/>
      <c r="J121" s="15"/>
      <c r="K121" s="15"/>
      <c r="L121" s="15"/>
      <c r="M121" s="15"/>
      <c r="N121" s="16"/>
      <c r="O121" s="15"/>
      <c r="P121" s="15"/>
      <c r="Q121" s="15"/>
      <c r="R121" s="15"/>
      <c r="S121" s="16"/>
      <c r="T121" s="15"/>
      <c r="U121" s="15"/>
      <c r="V121" s="15"/>
      <c r="W121" s="15"/>
      <c r="X121" s="16"/>
      <c r="Y121" s="15"/>
      <c r="Z121" s="15"/>
      <c r="AA121" s="15"/>
      <c r="AB121" s="15"/>
      <c r="AC121" s="16"/>
      <c r="AD121" s="15"/>
      <c r="AE121" s="15"/>
      <c r="AF121" s="15"/>
      <c r="AG121" s="15"/>
      <c r="AH121" s="16"/>
      <c r="AI121" s="15"/>
      <c r="AK121" s="49"/>
      <c r="AL121" s="49"/>
      <c r="AM121" s="16"/>
      <c r="AN121" s="49"/>
      <c r="AO121" s="313"/>
      <c r="AP121" s="313"/>
      <c r="AQ121" s="313"/>
      <c r="AR121" s="16"/>
      <c r="AS121" s="15"/>
      <c r="AU121" s="15"/>
      <c r="AV121" s="313"/>
      <c r="AW121" s="16"/>
      <c r="AX121" s="15"/>
      <c r="AZ121" s="15"/>
      <c r="BA121" s="313"/>
      <c r="BB121" s="16"/>
      <c r="BC121" s="15"/>
      <c r="BE121" s="313"/>
      <c r="BF121" s="313"/>
      <c r="BG121" s="16"/>
      <c r="BH121" s="15"/>
      <c r="BI121" s="358"/>
      <c r="BJ121" s="358"/>
      <c r="BK121" s="358"/>
      <c r="BL121" s="16"/>
      <c r="BM121" s="358"/>
      <c r="BN121" s="358"/>
      <c r="BO121" s="358"/>
      <c r="BP121" s="358"/>
      <c r="BQ121" s="16"/>
      <c r="BR121" s="358"/>
      <c r="BS121" s="358"/>
      <c r="BT121" s="358"/>
      <c r="BU121" s="358"/>
      <c r="BV121" s="16"/>
      <c r="BW121" s="446"/>
      <c r="BX121" s="435"/>
      <c r="BY121" s="446"/>
      <c r="BZ121" s="446"/>
      <c r="CA121" s="16"/>
      <c r="CB121" s="358"/>
      <c r="CC121" s="358"/>
      <c r="CD121" s="358"/>
      <c r="CE121" s="358"/>
      <c r="CF121" s="16"/>
      <c r="CG121" s="358"/>
      <c r="CH121" s="358"/>
      <c r="CI121" s="358"/>
      <c r="CJ121" s="358"/>
      <c r="CK121" s="16"/>
      <c r="CL121" s="358">
        <v>28</v>
      </c>
      <c r="CM121" s="358">
        <v>105</v>
      </c>
      <c r="CN121" s="358">
        <v>134</v>
      </c>
      <c r="CO121" s="358">
        <v>203</v>
      </c>
      <c r="CP121" s="16">
        <f t="shared" si="395"/>
        <v>203</v>
      </c>
      <c r="CQ121" s="358">
        <v>34</v>
      </c>
      <c r="CR121" s="358">
        <v>105</v>
      </c>
      <c r="CS121" s="358">
        <v>128</v>
      </c>
      <c r="CT121" s="358">
        <v>167</v>
      </c>
      <c r="CU121" s="16">
        <f t="shared" si="396"/>
        <v>167</v>
      </c>
      <c r="CV121" s="358">
        <v>28</v>
      </c>
      <c r="CW121" s="358">
        <v>69</v>
      </c>
      <c r="CX121" s="358">
        <v>157</v>
      </c>
      <c r="CY121" s="358">
        <v>206</v>
      </c>
      <c r="CZ121" s="16">
        <f t="shared" si="397"/>
        <v>206</v>
      </c>
      <c r="DA121" s="358">
        <v>7</v>
      </c>
      <c r="DB121" s="358">
        <v>62</v>
      </c>
      <c r="DC121" s="358">
        <v>77</v>
      </c>
      <c r="DD121" s="358">
        <v>89</v>
      </c>
      <c r="DE121" s="16">
        <f t="shared" si="398"/>
        <v>89</v>
      </c>
      <c r="DF121" s="358">
        <v>41</v>
      </c>
      <c r="DG121" s="358">
        <v>87</v>
      </c>
      <c r="DH121" s="358">
        <v>102</v>
      </c>
      <c r="DI121" s="358">
        <v>114</v>
      </c>
      <c r="DJ121" s="16">
        <f t="shared" si="399"/>
        <v>114</v>
      </c>
      <c r="DK121" s="1079">
        <v>10</v>
      </c>
      <c r="DL121" s="1079">
        <v>25</v>
      </c>
      <c r="DM121" s="358"/>
      <c r="DN121" s="358"/>
      <c r="DO121" s="16"/>
      <c r="DP121" s="1079"/>
      <c r="DQ121" s="358"/>
      <c r="DR121" s="358"/>
      <c r="DS121" s="358"/>
      <c r="DT121" s="16"/>
      <c r="DU121" s="16"/>
      <c r="DV121" s="16"/>
    </row>
    <row r="122" spans="1:126" s="12" customFormat="1">
      <c r="B122" s="314" t="s">
        <v>514</v>
      </c>
      <c r="C122" s="16"/>
      <c r="D122" s="16"/>
      <c r="E122" s="16"/>
      <c r="F122" s="16"/>
      <c r="G122" s="16"/>
      <c r="H122" s="16"/>
      <c r="I122" s="16"/>
      <c r="J122" s="15"/>
      <c r="K122" s="15"/>
      <c r="L122" s="15"/>
      <c r="M122" s="15"/>
      <c r="N122" s="16"/>
      <c r="O122" s="15"/>
      <c r="P122" s="15"/>
      <c r="Q122" s="15"/>
      <c r="R122" s="15"/>
      <c r="S122" s="16"/>
      <c r="T122" s="15"/>
      <c r="U122" s="15"/>
      <c r="V122" s="15"/>
      <c r="W122" s="15"/>
      <c r="X122" s="16"/>
      <c r="Y122" s="15"/>
      <c r="Z122" s="15"/>
      <c r="AA122" s="15"/>
      <c r="AB122" s="15"/>
      <c r="AC122" s="16"/>
      <c r="AD122" s="15"/>
      <c r="AE122" s="15"/>
      <c r="AF122" s="15"/>
      <c r="AG122" s="15"/>
      <c r="AH122" s="16"/>
      <c r="AI122" s="15"/>
      <c r="AJ122" s="15"/>
      <c r="AK122" s="15"/>
      <c r="AL122" s="15"/>
      <c r="AM122" s="16"/>
      <c r="AN122" s="15"/>
      <c r="AO122" s="15"/>
      <c r="AP122" s="15"/>
      <c r="AQ122" s="15"/>
      <c r="AR122" s="16"/>
      <c r="AS122" s="15"/>
      <c r="AT122" s="15"/>
      <c r="AU122" s="15"/>
      <c r="AV122" s="15"/>
      <c r="AW122" s="16"/>
      <c r="AX122" s="15"/>
      <c r="AY122" s="15"/>
      <c r="AZ122" s="15"/>
      <c r="BA122" s="15"/>
      <c r="BB122" s="16"/>
      <c r="BC122" s="15"/>
      <c r="BD122" s="15"/>
      <c r="BE122" s="15"/>
      <c r="BF122" s="15"/>
      <c r="BG122" s="16"/>
      <c r="BH122" s="15"/>
      <c r="BI122" s="317"/>
      <c r="BJ122" s="317"/>
      <c r="BK122" s="317"/>
      <c r="BL122" s="16"/>
      <c r="BM122" s="15"/>
      <c r="BN122" s="317"/>
      <c r="BO122" s="317"/>
      <c r="BP122" s="317"/>
      <c r="BQ122" s="16"/>
      <c r="BR122" s="15"/>
      <c r="BS122" s="317"/>
      <c r="BT122" s="404"/>
      <c r="BU122" s="317"/>
      <c r="BV122" s="16"/>
      <c r="BW122" s="448"/>
      <c r="BX122" s="450"/>
      <c r="BY122" s="447"/>
      <c r="BZ122" s="447"/>
      <c r="CA122" s="16"/>
      <c r="CB122" s="15"/>
      <c r="CC122" s="317"/>
      <c r="CD122" s="317"/>
      <c r="CE122" s="317"/>
      <c r="CF122" s="16"/>
      <c r="CG122" s="317"/>
      <c r="CH122" s="317"/>
      <c r="CI122" s="317"/>
      <c r="CJ122" s="317"/>
      <c r="CK122" s="16"/>
      <c r="CL122" s="317">
        <v>-60</v>
      </c>
      <c r="CM122" s="317">
        <v>-98</v>
      </c>
      <c r="CN122" s="317">
        <v>-125</v>
      </c>
      <c r="CO122" s="317">
        <v>-151</v>
      </c>
      <c r="CP122" s="16">
        <f t="shared" si="395"/>
        <v>-151</v>
      </c>
      <c r="CQ122" s="317">
        <v>-24</v>
      </c>
      <c r="CR122" s="317">
        <v>-49</v>
      </c>
      <c r="CS122" s="317">
        <v>-78</v>
      </c>
      <c r="CT122" s="317">
        <v>-111</v>
      </c>
      <c r="CU122" s="16">
        <f t="shared" si="396"/>
        <v>-111</v>
      </c>
      <c r="CV122" s="317">
        <v>-22</v>
      </c>
      <c r="CW122" s="317">
        <v>0</v>
      </c>
      <c r="CX122" s="317">
        <v>0</v>
      </c>
      <c r="CY122" s="317"/>
      <c r="CZ122" s="16">
        <f t="shared" si="397"/>
        <v>0</v>
      </c>
      <c r="DA122" s="317">
        <v>-20</v>
      </c>
      <c r="DB122" s="317">
        <v>0</v>
      </c>
      <c r="DC122" s="317">
        <v>0</v>
      </c>
      <c r="DD122" s="317">
        <v>0</v>
      </c>
      <c r="DE122" s="16">
        <f t="shared" si="398"/>
        <v>0</v>
      </c>
      <c r="DF122" s="317">
        <v>0</v>
      </c>
      <c r="DG122" s="317">
        <v>0</v>
      </c>
      <c r="DH122" s="317">
        <v>0</v>
      </c>
      <c r="DI122" s="317">
        <v>0</v>
      </c>
      <c r="DJ122" s="16">
        <f t="shared" si="399"/>
        <v>0</v>
      </c>
      <c r="DK122" s="1080">
        <v>0</v>
      </c>
      <c r="DL122" s="1080">
        <v>0</v>
      </c>
      <c r="DM122" s="317"/>
      <c r="DN122" s="317"/>
      <c r="DO122" s="16"/>
      <c r="DP122" s="1080"/>
      <c r="DQ122" s="317"/>
      <c r="DR122" s="317"/>
      <c r="DS122" s="317"/>
      <c r="DT122" s="16"/>
      <c r="DU122" s="16"/>
      <c r="DV122" s="16"/>
    </row>
    <row r="123" spans="1:126" s="12" customFormat="1">
      <c r="B123" s="314" t="s">
        <v>515</v>
      </c>
      <c r="C123" s="16"/>
      <c r="D123" s="16"/>
      <c r="E123" s="16"/>
      <c r="F123" s="16"/>
      <c r="G123" s="16"/>
      <c r="H123" s="16"/>
      <c r="I123" s="16"/>
      <c r="J123" s="15"/>
      <c r="K123" s="15"/>
      <c r="L123" s="15"/>
      <c r="M123" s="15"/>
      <c r="N123" s="16"/>
      <c r="O123" s="15"/>
      <c r="P123" s="15"/>
      <c r="Q123" s="15"/>
      <c r="R123" s="15"/>
      <c r="S123" s="16"/>
      <c r="T123" s="15"/>
      <c r="U123" s="15"/>
      <c r="V123" s="15"/>
      <c r="W123" s="15"/>
      <c r="X123" s="16"/>
      <c r="Y123" s="15"/>
      <c r="Z123" s="15"/>
      <c r="AA123" s="15"/>
      <c r="AB123" s="15"/>
      <c r="AC123" s="16"/>
      <c r="AD123" s="15"/>
      <c r="AE123" s="15"/>
      <c r="AF123" s="15"/>
      <c r="AG123" s="15"/>
      <c r="AH123" s="16"/>
      <c r="AI123" s="15"/>
      <c r="AJ123" s="15"/>
      <c r="AK123" s="15"/>
      <c r="AL123" s="15"/>
      <c r="AM123" s="16"/>
      <c r="AN123" s="15"/>
      <c r="AO123" s="15"/>
      <c r="AP123" s="15"/>
      <c r="AQ123" s="15"/>
      <c r="AR123" s="16"/>
      <c r="AS123" s="15"/>
      <c r="AT123" s="15"/>
      <c r="AU123" s="15"/>
      <c r="AV123" s="15"/>
      <c r="AW123" s="16"/>
      <c r="AX123" s="15"/>
      <c r="AY123" s="15"/>
      <c r="AZ123" s="15"/>
      <c r="BA123" s="15"/>
      <c r="BB123" s="16"/>
      <c r="BC123" s="15"/>
      <c r="BD123" s="15"/>
      <c r="BE123" s="15"/>
      <c r="BF123" s="15"/>
      <c r="BG123" s="16"/>
      <c r="BH123" s="15"/>
      <c r="BI123" s="317"/>
      <c r="BJ123" s="317"/>
      <c r="BK123" s="317"/>
      <c r="BL123" s="16"/>
      <c r="BM123" s="15"/>
      <c r="BN123" s="317"/>
      <c r="BO123" s="317"/>
      <c r="BP123" s="317"/>
      <c r="BQ123" s="16"/>
      <c r="BR123" s="15"/>
      <c r="BS123" s="317"/>
      <c r="BT123" s="404"/>
      <c r="BU123" s="317"/>
      <c r="BV123" s="16"/>
      <c r="BW123" s="448"/>
      <c r="BX123" s="450"/>
      <c r="BY123" s="447"/>
      <c r="BZ123" s="447"/>
      <c r="CA123" s="16"/>
      <c r="CB123" s="15"/>
      <c r="CC123" s="317"/>
      <c r="CD123" s="317"/>
      <c r="CE123" s="317"/>
      <c r="CF123" s="16"/>
      <c r="CG123" s="317"/>
      <c r="CH123" s="317"/>
      <c r="CI123" s="317"/>
      <c r="CJ123" s="317"/>
      <c r="CK123" s="16"/>
      <c r="CL123" s="317">
        <v>-103</v>
      </c>
      <c r="CM123" s="317">
        <v>-160</v>
      </c>
      <c r="CN123" s="317">
        <v>-32</v>
      </c>
      <c r="CO123" s="317">
        <v>0</v>
      </c>
      <c r="CP123" s="16">
        <f t="shared" si="395"/>
        <v>0</v>
      </c>
      <c r="CQ123" s="317">
        <v>21</v>
      </c>
      <c r="CR123" s="317">
        <v>21</v>
      </c>
      <c r="CS123" s="317">
        <v>66</v>
      </c>
      <c r="CT123" s="317">
        <v>0</v>
      </c>
      <c r="CU123" s="16">
        <f t="shared" si="396"/>
        <v>0</v>
      </c>
      <c r="CV123" s="317">
        <v>0</v>
      </c>
      <c r="CW123" s="317">
        <v>0</v>
      </c>
      <c r="CX123" s="317">
        <v>0</v>
      </c>
      <c r="CY123" s="317">
        <v>0</v>
      </c>
      <c r="CZ123" s="16">
        <f t="shared" si="397"/>
        <v>0</v>
      </c>
      <c r="DA123" s="317">
        <v>0</v>
      </c>
      <c r="DB123" s="317">
        <v>0</v>
      </c>
      <c r="DC123" s="317">
        <v>0</v>
      </c>
      <c r="DD123" s="317">
        <v>0</v>
      </c>
      <c r="DE123" s="16">
        <f t="shared" si="398"/>
        <v>0</v>
      </c>
      <c r="DF123" s="317">
        <v>0</v>
      </c>
      <c r="DG123" s="317">
        <v>0</v>
      </c>
      <c r="DH123" s="317">
        <v>0</v>
      </c>
      <c r="DI123" s="317">
        <v>0</v>
      </c>
      <c r="DJ123" s="16">
        <f t="shared" si="399"/>
        <v>0</v>
      </c>
      <c r="DK123" s="1080">
        <v>0</v>
      </c>
      <c r="DL123" s="1080">
        <v>0</v>
      </c>
      <c r="DM123" s="317"/>
      <c r="DN123" s="317"/>
      <c r="DO123" s="16"/>
      <c r="DP123" s="1080"/>
      <c r="DQ123" s="317"/>
      <c r="DR123" s="317"/>
      <c r="DS123" s="317"/>
      <c r="DT123" s="16"/>
      <c r="DU123" s="16"/>
      <c r="DV123" s="16"/>
    </row>
    <row r="124" spans="1:126" s="12" customFormat="1">
      <c r="B124" s="314" t="s">
        <v>516</v>
      </c>
      <c r="C124" s="16"/>
      <c r="D124" s="16"/>
      <c r="E124" s="16"/>
      <c r="F124" s="16"/>
      <c r="G124" s="16"/>
      <c r="H124" s="16"/>
      <c r="I124" s="16"/>
      <c r="J124" s="15"/>
      <c r="K124" s="15"/>
      <c r="L124" s="15"/>
      <c r="M124" s="15"/>
      <c r="N124" s="16"/>
      <c r="O124" s="15"/>
      <c r="P124" s="15"/>
      <c r="Q124" s="15"/>
      <c r="R124" s="15"/>
      <c r="S124" s="16"/>
      <c r="T124" s="15"/>
      <c r="U124" s="15"/>
      <c r="V124" s="15"/>
      <c r="W124" s="15"/>
      <c r="X124" s="16"/>
      <c r="Y124" s="15"/>
      <c r="Z124" s="15"/>
      <c r="AA124" s="15"/>
      <c r="AB124" s="15"/>
      <c r="AC124" s="16"/>
      <c r="AD124" s="15"/>
      <c r="AE124" s="15"/>
      <c r="AF124" s="15"/>
      <c r="AG124" s="15"/>
      <c r="AH124" s="16"/>
      <c r="AI124" s="15"/>
      <c r="AJ124" s="15"/>
      <c r="AK124" s="15"/>
      <c r="AL124" s="15"/>
      <c r="AM124" s="16"/>
      <c r="AN124" s="15"/>
      <c r="AO124" s="15"/>
      <c r="AP124" s="15"/>
      <c r="AQ124" s="15"/>
      <c r="AR124" s="16"/>
      <c r="AS124" s="15"/>
      <c r="AT124" s="15"/>
      <c r="AU124" s="15"/>
      <c r="AV124" s="15"/>
      <c r="AW124" s="16"/>
      <c r="AX124" s="15"/>
      <c r="AY124" s="15"/>
      <c r="AZ124" s="15"/>
      <c r="BA124" s="15"/>
      <c r="BB124" s="16"/>
      <c r="BC124" s="15"/>
      <c r="BD124" s="15"/>
      <c r="BE124" s="15"/>
      <c r="BF124" s="15"/>
      <c r="BG124" s="16"/>
      <c r="BH124" s="15"/>
      <c r="BI124" s="317"/>
      <c r="BJ124" s="317"/>
      <c r="BK124" s="317"/>
      <c r="BL124" s="16"/>
      <c r="BM124" s="15"/>
      <c r="BN124" s="317"/>
      <c r="BO124" s="317"/>
      <c r="BP124" s="317"/>
      <c r="BQ124" s="16"/>
      <c r="BR124" s="15"/>
      <c r="BS124" s="317"/>
      <c r="BT124" s="404"/>
      <c r="BU124" s="317"/>
      <c r="BV124" s="16"/>
      <c r="BW124" s="448"/>
      <c r="BX124" s="450"/>
      <c r="BY124" s="447"/>
      <c r="BZ124" s="447"/>
      <c r="CA124" s="16"/>
      <c r="CB124" s="15"/>
      <c r="CC124" s="317"/>
      <c r="CD124" s="317"/>
      <c r="CE124" s="317"/>
      <c r="CF124" s="16"/>
      <c r="CG124" s="317"/>
      <c r="CH124" s="317"/>
      <c r="CI124" s="317"/>
      <c r="CJ124" s="317"/>
      <c r="CK124" s="16"/>
      <c r="CL124" s="317">
        <v>20505</v>
      </c>
      <c r="CM124" s="317">
        <v>20821</v>
      </c>
      <c r="CN124" s="317">
        <v>20577</v>
      </c>
      <c r="CO124" s="317">
        <v>20562</v>
      </c>
      <c r="CP124" s="16">
        <f t="shared" si="395"/>
        <v>20562</v>
      </c>
      <c r="CQ124" s="317">
        <v>1</v>
      </c>
      <c r="CR124" s="317">
        <v>1</v>
      </c>
      <c r="CS124" s="317">
        <v>1</v>
      </c>
      <c r="CT124" s="317">
        <v>1</v>
      </c>
      <c r="CU124" s="16">
        <f t="shared" si="396"/>
        <v>1</v>
      </c>
      <c r="CV124" s="317">
        <v>0</v>
      </c>
      <c r="CW124" s="317">
        <v>0</v>
      </c>
      <c r="CX124" s="317">
        <v>15</v>
      </c>
      <c r="CY124" s="317">
        <v>15</v>
      </c>
      <c r="CZ124" s="16">
        <f t="shared" si="397"/>
        <v>15</v>
      </c>
      <c r="DA124" s="317">
        <v>0</v>
      </c>
      <c r="DB124" s="317">
        <v>0</v>
      </c>
      <c r="DC124" s="317">
        <v>0</v>
      </c>
      <c r="DD124" s="317">
        <v>0</v>
      </c>
      <c r="DE124" s="16">
        <f t="shared" si="398"/>
        <v>0</v>
      </c>
      <c r="DF124" s="317">
        <v>0</v>
      </c>
      <c r="DG124" s="317">
        <v>74</v>
      </c>
      <c r="DH124" s="317">
        <v>507</v>
      </c>
      <c r="DI124" s="317">
        <v>499</v>
      </c>
      <c r="DJ124" s="16">
        <f t="shared" si="399"/>
        <v>499</v>
      </c>
      <c r="DK124" s="1080">
        <v>0</v>
      </c>
      <c r="DL124" s="1080">
        <v>0</v>
      </c>
      <c r="DM124" s="317"/>
      <c r="DN124" s="317"/>
      <c r="DO124" s="16"/>
      <c r="DP124" s="1080"/>
      <c r="DQ124" s="317"/>
      <c r="DR124" s="317"/>
      <c r="DS124" s="317"/>
      <c r="DT124" s="16"/>
      <c r="DU124" s="16"/>
      <c r="DV124" s="16"/>
    </row>
    <row r="125" spans="1:126" s="12" customFormat="1">
      <c r="B125" s="314" t="s">
        <v>517</v>
      </c>
      <c r="C125" s="16"/>
      <c r="D125" s="16"/>
      <c r="E125" s="16"/>
      <c r="F125" s="16"/>
      <c r="G125" s="16"/>
      <c r="H125" s="16"/>
      <c r="I125" s="16"/>
      <c r="J125" s="15"/>
      <c r="K125" s="15"/>
      <c r="L125" s="15"/>
      <c r="M125" s="15"/>
      <c r="N125" s="16"/>
      <c r="O125" s="15"/>
      <c r="P125" s="15"/>
      <c r="Q125" s="15"/>
      <c r="R125" s="15"/>
      <c r="S125" s="16"/>
      <c r="T125" s="15"/>
      <c r="U125" s="15"/>
      <c r="V125" s="15"/>
      <c r="W125" s="15"/>
      <c r="X125" s="16"/>
      <c r="Y125" s="15"/>
      <c r="Z125" s="15"/>
      <c r="AA125" s="15"/>
      <c r="AB125" s="15"/>
      <c r="AC125" s="16"/>
      <c r="AD125" s="15"/>
      <c r="AE125" s="15"/>
      <c r="AF125" s="15"/>
      <c r="AG125" s="15"/>
      <c r="AH125" s="16"/>
      <c r="AI125" s="15"/>
      <c r="AJ125" s="15"/>
      <c r="AK125" s="15"/>
      <c r="AL125" s="15"/>
      <c r="AM125" s="16"/>
      <c r="AN125" s="15"/>
      <c r="AO125" s="15"/>
      <c r="AP125" s="15"/>
      <c r="AQ125" s="15"/>
      <c r="AR125" s="16"/>
      <c r="AS125" s="15"/>
      <c r="AT125" s="15"/>
      <c r="AU125" s="15"/>
      <c r="AV125" s="15"/>
      <c r="AW125" s="16"/>
      <c r="AX125" s="15"/>
      <c r="AY125" s="15"/>
      <c r="AZ125" s="15"/>
      <c r="BA125" s="15"/>
      <c r="BB125" s="16"/>
      <c r="BC125" s="15"/>
      <c r="BD125" s="15"/>
      <c r="BE125" s="15"/>
      <c r="BF125" s="15"/>
      <c r="BG125" s="16"/>
      <c r="BH125" s="15"/>
      <c r="BI125" s="317"/>
      <c r="BJ125" s="317"/>
      <c r="BK125" s="317"/>
      <c r="BL125" s="16"/>
      <c r="BM125" s="15"/>
      <c r="BN125" s="317"/>
      <c r="BO125" s="317"/>
      <c r="BP125" s="317"/>
      <c r="BQ125" s="16"/>
      <c r="BR125" s="15"/>
      <c r="BS125" s="317"/>
      <c r="BT125" s="404"/>
      <c r="BU125" s="317"/>
      <c r="BV125" s="16"/>
      <c r="BW125" s="448"/>
      <c r="BX125" s="450"/>
      <c r="BY125" s="447"/>
      <c r="BZ125" s="447"/>
      <c r="CA125" s="16"/>
      <c r="CB125" s="15"/>
      <c r="CC125" s="317"/>
      <c r="CD125" s="317"/>
      <c r="CE125" s="317"/>
      <c r="CF125" s="16"/>
      <c r="CG125" s="317"/>
      <c r="CH125" s="317"/>
      <c r="CI125" s="317"/>
      <c r="CJ125" s="317"/>
      <c r="CK125" s="16"/>
      <c r="CL125" s="317">
        <v>-6</v>
      </c>
      <c r="CM125" s="317">
        <v>-7</v>
      </c>
      <c r="CN125" s="317">
        <v>-10</v>
      </c>
      <c r="CO125" s="317">
        <v>-85</v>
      </c>
      <c r="CP125" s="16">
        <f t="shared" si="395"/>
        <v>-85</v>
      </c>
      <c r="CQ125" s="317">
        <v>0</v>
      </c>
      <c r="CR125" s="317">
        <v>-27</v>
      </c>
      <c r="CS125" s="317">
        <v>-27</v>
      </c>
      <c r="CT125" s="317">
        <v>-1550</v>
      </c>
      <c r="CU125" s="16">
        <f t="shared" si="396"/>
        <v>-1550</v>
      </c>
      <c r="CV125" s="317">
        <v>0</v>
      </c>
      <c r="CW125" s="317">
        <v>0</v>
      </c>
      <c r="CX125" s="317">
        <v>-30</v>
      </c>
      <c r="CY125" s="317">
        <v>-30</v>
      </c>
      <c r="CZ125" s="16">
        <f t="shared" si="397"/>
        <v>-30</v>
      </c>
      <c r="DA125" s="317">
        <v>0</v>
      </c>
      <c r="DB125" s="317">
        <v>-333</v>
      </c>
      <c r="DC125" s="317">
        <v>-365</v>
      </c>
      <c r="DD125" s="317">
        <v>-365</v>
      </c>
      <c r="DE125" s="16">
        <f t="shared" si="398"/>
        <v>-365</v>
      </c>
      <c r="DF125" s="317">
        <v>0</v>
      </c>
      <c r="DG125" s="317">
        <v>0</v>
      </c>
      <c r="DH125" s="317">
        <v>-126</v>
      </c>
      <c r="DI125" s="317">
        <v>-135</v>
      </c>
      <c r="DJ125" s="16">
        <f t="shared" si="399"/>
        <v>-135</v>
      </c>
      <c r="DK125" s="1080">
        <v>-100</v>
      </c>
      <c r="DL125" s="1080">
        <v>-354</v>
      </c>
      <c r="DM125" s="317"/>
      <c r="DN125" s="317"/>
      <c r="DO125" s="16"/>
      <c r="DP125" s="1080"/>
      <c r="DQ125" s="317"/>
      <c r="DR125" s="317"/>
      <c r="DS125" s="317"/>
      <c r="DT125" s="16"/>
      <c r="DU125" s="16"/>
      <c r="DV125" s="16"/>
    </row>
    <row r="126" spans="1:126" s="12" customFormat="1">
      <c r="B126" s="314" t="s">
        <v>518</v>
      </c>
      <c r="C126" s="16"/>
      <c r="D126" s="16"/>
      <c r="E126" s="16"/>
      <c r="F126" s="16"/>
      <c r="G126" s="16"/>
      <c r="H126" s="16"/>
      <c r="I126" s="16"/>
      <c r="J126" s="15"/>
      <c r="K126" s="15"/>
      <c r="L126" s="15"/>
      <c r="M126" s="15"/>
      <c r="N126" s="16"/>
      <c r="O126" s="15"/>
      <c r="P126" s="15"/>
      <c r="Q126" s="15"/>
      <c r="R126" s="15"/>
      <c r="S126" s="16"/>
      <c r="T126" s="15"/>
      <c r="U126" s="15"/>
      <c r="V126" s="15"/>
      <c r="W126" s="15"/>
      <c r="X126" s="16"/>
      <c r="Y126" s="15"/>
      <c r="Z126" s="15"/>
      <c r="AA126" s="15"/>
      <c r="AB126" s="15"/>
      <c r="AC126" s="16"/>
      <c r="AD126" s="15"/>
      <c r="AE126" s="15"/>
      <c r="AF126" s="15"/>
      <c r="AG126" s="15"/>
      <c r="AH126" s="16"/>
      <c r="AI126" s="15"/>
      <c r="AJ126" s="15"/>
      <c r="AK126" s="15"/>
      <c r="AL126" s="15"/>
      <c r="AM126" s="16"/>
      <c r="AN126" s="15"/>
      <c r="AO126" s="15"/>
      <c r="AP126" s="15"/>
      <c r="AQ126" s="15"/>
      <c r="AR126" s="16"/>
      <c r="AS126" s="15"/>
      <c r="AT126" s="15"/>
      <c r="AU126" s="15"/>
      <c r="AV126" s="15"/>
      <c r="AW126" s="16"/>
      <c r="AX126" s="15"/>
      <c r="AY126" s="15"/>
      <c r="AZ126" s="15"/>
      <c r="BA126" s="15"/>
      <c r="BB126" s="16"/>
      <c r="BC126" s="15"/>
      <c r="BD126" s="15"/>
      <c r="BE126" s="15"/>
      <c r="BF126" s="15"/>
      <c r="BG126" s="16"/>
      <c r="BH126" s="15"/>
      <c r="BI126" s="317"/>
      <c r="BJ126" s="317"/>
      <c r="BK126" s="317"/>
      <c r="BL126" s="16"/>
      <c r="BM126" s="15"/>
      <c r="BN126" s="317"/>
      <c r="BO126" s="317"/>
      <c r="BP126" s="317"/>
      <c r="BQ126" s="16"/>
      <c r="BR126" s="15"/>
      <c r="BS126" s="317"/>
      <c r="BT126" s="404"/>
      <c r="BU126" s="317"/>
      <c r="BV126" s="16"/>
      <c r="BW126" s="448"/>
      <c r="BX126" s="450"/>
      <c r="BY126" s="447"/>
      <c r="BZ126" s="447"/>
      <c r="CA126" s="16"/>
      <c r="CB126" s="15"/>
      <c r="CC126" s="317"/>
      <c r="CD126" s="317"/>
      <c r="CE126" s="317"/>
      <c r="CF126" s="16"/>
      <c r="CG126" s="317"/>
      <c r="CH126" s="317"/>
      <c r="CI126" s="317"/>
      <c r="CJ126" s="317"/>
      <c r="CK126" s="16"/>
      <c r="CL126" s="317">
        <v>0</v>
      </c>
      <c r="CM126" s="317">
        <v>0</v>
      </c>
      <c r="CN126" s="317">
        <v>0</v>
      </c>
      <c r="CO126" s="317">
        <v>417</v>
      </c>
      <c r="CP126" s="16">
        <f t="shared" si="395"/>
        <v>417</v>
      </c>
      <c r="CQ126" s="317">
        <v>735</v>
      </c>
      <c r="CR126" s="317">
        <v>1706</v>
      </c>
      <c r="CS126" s="317">
        <v>2961</v>
      </c>
      <c r="CT126" s="317">
        <v>4145</v>
      </c>
      <c r="CU126" s="16">
        <f t="shared" si="396"/>
        <v>4145</v>
      </c>
      <c r="CV126" s="317">
        <v>1302</v>
      </c>
      <c r="CW126" s="317">
        <v>3783</v>
      </c>
      <c r="CX126" s="317">
        <v>4071</v>
      </c>
      <c r="CY126" s="317">
        <v>4717</v>
      </c>
      <c r="CZ126" s="16">
        <f t="shared" si="397"/>
        <v>4717</v>
      </c>
      <c r="DA126" s="317">
        <v>2025</v>
      </c>
      <c r="DB126" s="317">
        <v>4304</v>
      </c>
      <c r="DC126" s="317">
        <v>7037</v>
      </c>
      <c r="DD126" s="317">
        <v>9004</v>
      </c>
      <c r="DE126" s="16">
        <f t="shared" si="398"/>
        <v>9004</v>
      </c>
      <c r="DF126" s="317">
        <v>2610</v>
      </c>
      <c r="DG126" s="317">
        <v>2610</v>
      </c>
      <c r="DH126" s="317">
        <v>4080</v>
      </c>
      <c r="DI126" s="317">
        <v>5250</v>
      </c>
      <c r="DJ126" s="16">
        <f t="shared" si="399"/>
        <v>5250</v>
      </c>
      <c r="DK126" s="1080">
        <v>0</v>
      </c>
      <c r="DL126" s="1080">
        <v>0</v>
      </c>
      <c r="DM126" s="317"/>
      <c r="DN126" s="317"/>
      <c r="DO126" s="16"/>
      <c r="DP126" s="1080"/>
      <c r="DQ126" s="317"/>
      <c r="DR126" s="317"/>
      <c r="DS126" s="317"/>
      <c r="DT126" s="16"/>
      <c r="DU126" s="16"/>
      <c r="DV126" s="16"/>
    </row>
    <row r="127" spans="1:126" s="12" customFormat="1">
      <c r="B127" s="314" t="s">
        <v>519</v>
      </c>
      <c r="C127" s="16"/>
      <c r="D127" s="16"/>
      <c r="E127" s="16"/>
      <c r="F127" s="16"/>
      <c r="G127" s="16"/>
      <c r="H127" s="16"/>
      <c r="I127" s="16"/>
      <c r="J127" s="15"/>
      <c r="K127" s="15"/>
      <c r="L127" s="15"/>
      <c r="M127" s="15"/>
      <c r="N127" s="16"/>
      <c r="O127" s="15"/>
      <c r="P127" s="15"/>
      <c r="Q127" s="15"/>
      <c r="R127" s="15"/>
      <c r="S127" s="16"/>
      <c r="T127" s="15"/>
      <c r="U127" s="15"/>
      <c r="V127" s="15"/>
      <c r="W127" s="15"/>
      <c r="X127" s="16"/>
      <c r="Y127" s="15"/>
      <c r="Z127" s="15"/>
      <c r="AA127" s="15"/>
      <c r="AB127" s="15"/>
      <c r="AC127" s="16"/>
      <c r="AD127" s="15"/>
      <c r="AE127" s="15"/>
      <c r="AF127" s="15"/>
      <c r="AG127" s="15"/>
      <c r="AH127" s="16"/>
      <c r="AI127" s="15"/>
      <c r="AJ127" s="15"/>
      <c r="AK127" s="15"/>
      <c r="AL127" s="15"/>
      <c r="AM127" s="16"/>
      <c r="AN127" s="15"/>
      <c r="AO127" s="15"/>
      <c r="AP127" s="15"/>
      <c r="AQ127" s="15"/>
      <c r="AR127" s="16"/>
      <c r="AS127" s="15"/>
      <c r="AT127" s="15"/>
      <c r="AU127" s="15"/>
      <c r="AV127" s="15"/>
      <c r="AW127" s="16"/>
      <c r="AX127" s="15"/>
      <c r="AY127" s="15"/>
      <c r="AZ127" s="15"/>
      <c r="BA127" s="15"/>
      <c r="BB127" s="16"/>
      <c r="BC127" s="15"/>
      <c r="BD127" s="15"/>
      <c r="BE127" s="15"/>
      <c r="BF127" s="15"/>
      <c r="BG127" s="16"/>
      <c r="BH127" s="15"/>
      <c r="BI127" s="317"/>
      <c r="BJ127" s="317"/>
      <c r="BK127" s="317"/>
      <c r="BL127" s="16"/>
      <c r="BM127" s="15"/>
      <c r="BN127" s="317"/>
      <c r="BO127" s="317"/>
      <c r="BP127" s="317"/>
      <c r="BQ127" s="16"/>
      <c r="BR127" s="15"/>
      <c r="BS127" s="317"/>
      <c r="BT127" s="404"/>
      <c r="BU127" s="317"/>
      <c r="BV127" s="16"/>
      <c r="BW127" s="448"/>
      <c r="BX127" s="450"/>
      <c r="BY127" s="447"/>
      <c r="BZ127" s="447"/>
      <c r="CA127" s="16"/>
      <c r="CB127" s="15"/>
      <c r="CC127" s="317"/>
      <c r="CD127" s="317"/>
      <c r="CE127" s="317"/>
      <c r="CF127" s="16"/>
      <c r="CG127" s="317"/>
      <c r="CH127" s="317"/>
      <c r="CI127" s="317"/>
      <c r="CJ127" s="317"/>
      <c r="CK127" s="16"/>
      <c r="CL127" s="317">
        <v>-1289</v>
      </c>
      <c r="CM127" s="317">
        <v>-1334</v>
      </c>
      <c r="CN127" s="317">
        <v>-1292</v>
      </c>
      <c r="CO127" s="317">
        <v>-1352</v>
      </c>
      <c r="CP127" s="16">
        <f t="shared" si="395"/>
        <v>-1352</v>
      </c>
      <c r="CQ127" s="317">
        <v>-709</v>
      </c>
      <c r="CR127" s="317">
        <v>-1109</v>
      </c>
      <c r="CS127" s="317">
        <v>-1158</v>
      </c>
      <c r="CT127" s="317">
        <v>-1290</v>
      </c>
      <c r="CU127" s="16">
        <f t="shared" si="396"/>
        <v>-1290</v>
      </c>
      <c r="CV127" s="317">
        <v>-1344</v>
      </c>
      <c r="CW127" s="317">
        <v>-1356</v>
      </c>
      <c r="CX127" s="317">
        <v>-1189</v>
      </c>
      <c r="CY127" s="317">
        <v>-876</v>
      </c>
      <c r="CZ127" s="16">
        <f t="shared" si="397"/>
        <v>-876</v>
      </c>
      <c r="DA127" s="317">
        <v>-1556</v>
      </c>
      <c r="DB127" s="317">
        <v>-1381</v>
      </c>
      <c r="DC127" s="317">
        <v>-1240</v>
      </c>
      <c r="DD127" s="317">
        <v>-986</v>
      </c>
      <c r="DE127" s="16">
        <f t="shared" si="398"/>
        <v>-986</v>
      </c>
      <c r="DF127" s="317">
        <v>-1141</v>
      </c>
      <c r="DG127" s="317">
        <v>-965</v>
      </c>
      <c r="DH127" s="317">
        <v>-698</v>
      </c>
      <c r="DI127" s="317">
        <v>-963</v>
      </c>
      <c r="DJ127" s="16">
        <f t="shared" si="399"/>
        <v>-963</v>
      </c>
      <c r="DK127" s="1080">
        <v>0</v>
      </c>
      <c r="DL127" s="1080">
        <v>361</v>
      </c>
      <c r="DM127" s="317"/>
      <c r="DN127" s="317"/>
      <c r="DO127" s="16"/>
      <c r="DP127" s="1080"/>
      <c r="DQ127" s="317"/>
      <c r="DR127" s="317"/>
      <c r="DS127" s="317"/>
      <c r="DT127" s="16"/>
      <c r="DU127" s="16"/>
      <c r="DV127" s="16"/>
    </row>
    <row r="128" spans="1:126" s="12" customFormat="1">
      <c r="B128" s="314" t="s">
        <v>520</v>
      </c>
      <c r="C128" s="215"/>
      <c r="D128" s="215"/>
      <c r="E128" s="215"/>
      <c r="F128" s="215"/>
      <c r="G128" s="215"/>
      <c r="H128" s="215"/>
      <c r="I128" s="215"/>
      <c r="J128" s="191"/>
      <c r="K128" s="191"/>
      <c r="L128" s="191"/>
      <c r="M128" s="191"/>
      <c r="N128" s="215"/>
      <c r="O128" s="191"/>
      <c r="P128" s="191"/>
      <c r="Q128" s="191"/>
      <c r="R128" s="191"/>
      <c r="S128" s="215"/>
      <c r="T128" s="191"/>
      <c r="U128" s="191"/>
      <c r="V128" s="191"/>
      <c r="W128" s="191"/>
      <c r="X128" s="215"/>
      <c r="Y128" s="191"/>
      <c r="Z128" s="191"/>
      <c r="AA128" s="191"/>
      <c r="AB128" s="191"/>
      <c r="AC128" s="215"/>
      <c r="AD128" s="191"/>
      <c r="AE128" s="191"/>
      <c r="AF128" s="191"/>
      <c r="AG128" s="191"/>
      <c r="AH128" s="215"/>
      <c r="AI128" s="191"/>
      <c r="AJ128" s="191"/>
      <c r="AK128" s="191"/>
      <c r="AL128" s="191"/>
      <c r="AM128" s="16"/>
      <c r="AN128" s="191"/>
      <c r="AO128" s="191"/>
      <c r="AP128" s="191"/>
      <c r="AQ128" s="191"/>
      <c r="AR128" s="16"/>
      <c r="AS128" s="191"/>
      <c r="AT128" s="191"/>
      <c r="AU128" s="191"/>
      <c r="AV128" s="191"/>
      <c r="AW128" s="16"/>
      <c r="AX128" s="191"/>
      <c r="AY128" s="191"/>
      <c r="AZ128" s="191"/>
      <c r="BA128" s="191"/>
      <c r="BB128" s="215"/>
      <c r="BC128" s="191"/>
      <c r="BD128" s="191"/>
      <c r="BE128" s="191"/>
      <c r="BF128" s="191"/>
      <c r="BG128" s="215"/>
      <c r="BH128" s="191"/>
      <c r="BI128" s="310"/>
      <c r="BJ128" s="310"/>
      <c r="BK128" s="310"/>
      <c r="BL128" s="215"/>
      <c r="BM128" s="191"/>
      <c r="BN128" s="310"/>
      <c r="BO128" s="310"/>
      <c r="BP128" s="310"/>
      <c r="BQ128" s="215"/>
      <c r="BR128" s="191"/>
      <c r="BS128" s="310"/>
      <c r="BT128" s="310"/>
      <c r="BU128" s="310"/>
      <c r="BV128" s="215"/>
      <c r="BW128" s="436"/>
      <c r="BX128" s="437"/>
      <c r="BY128" s="449"/>
      <c r="BZ128" s="449"/>
      <c r="CA128" s="215"/>
      <c r="CB128" s="191"/>
      <c r="CC128" s="310"/>
      <c r="CD128" s="310"/>
      <c r="CE128" s="310"/>
      <c r="CF128" s="215"/>
      <c r="CG128" s="310"/>
      <c r="CH128" s="310"/>
      <c r="CI128" s="310"/>
      <c r="CJ128" s="310"/>
      <c r="CK128" s="215"/>
      <c r="CL128" s="310">
        <v>1455</v>
      </c>
      <c r="CM128" s="310">
        <v>1355</v>
      </c>
      <c r="CN128" s="310">
        <v>1719</v>
      </c>
      <c r="CO128" s="310">
        <v>1280</v>
      </c>
      <c r="CP128" s="16">
        <f t="shared" si="395"/>
        <v>1280</v>
      </c>
      <c r="CQ128" s="310">
        <v>1121</v>
      </c>
      <c r="CR128" s="310">
        <v>1468</v>
      </c>
      <c r="CS128" s="310">
        <v>1912</v>
      </c>
      <c r="CT128" s="310">
        <f>22356+1237</f>
        <v>23593</v>
      </c>
      <c r="CU128" s="16">
        <f t="shared" si="396"/>
        <v>23593</v>
      </c>
      <c r="CV128" s="310">
        <v>239</v>
      </c>
      <c r="CW128" s="310">
        <v>-542</v>
      </c>
      <c r="CX128" s="310">
        <v>-150</v>
      </c>
      <c r="CY128" s="310">
        <v>8033</v>
      </c>
      <c r="CZ128" s="215">
        <f t="shared" si="397"/>
        <v>8033</v>
      </c>
      <c r="DA128" s="310">
        <v>1096</v>
      </c>
      <c r="DB128" s="310">
        <v>963</v>
      </c>
      <c r="DC128" s="310">
        <v>906</v>
      </c>
      <c r="DD128" s="310">
        <v>791</v>
      </c>
      <c r="DE128" s="16">
        <f t="shared" si="398"/>
        <v>791</v>
      </c>
      <c r="DF128" s="310">
        <v>-320</v>
      </c>
      <c r="DG128" s="310">
        <v>-3294</v>
      </c>
      <c r="DH128" s="317">
        <v>-3997</v>
      </c>
      <c r="DI128" s="310">
        <v>-4289</v>
      </c>
      <c r="DJ128" s="16">
        <f t="shared" si="399"/>
        <v>-4289</v>
      </c>
      <c r="DK128" s="1081">
        <f>99-121</f>
        <v>-22</v>
      </c>
      <c r="DL128" s="1081">
        <v>-430</v>
      </c>
      <c r="DM128" s="310"/>
      <c r="DN128" s="310"/>
      <c r="DO128" s="215"/>
      <c r="DP128" s="1081"/>
      <c r="DQ128" s="310"/>
      <c r="DR128" s="310"/>
      <c r="DS128" s="310"/>
      <c r="DT128" s="215"/>
      <c r="DU128" s="215"/>
      <c r="DV128" s="215"/>
    </row>
    <row r="129" spans="1:126" s="12" customFormat="1" ht="12">
      <c r="B129" s="255" t="s">
        <v>204</v>
      </c>
      <c r="C129" s="130">
        <f t="shared" ref="C129:L129" si="400">SUM(C120:C128)</f>
        <v>0</v>
      </c>
      <c r="D129" s="130">
        <f t="shared" si="400"/>
        <v>0</v>
      </c>
      <c r="E129" s="130">
        <f t="shared" si="400"/>
        <v>0</v>
      </c>
      <c r="F129" s="130">
        <f t="shared" si="400"/>
        <v>0</v>
      </c>
      <c r="G129" s="130">
        <f t="shared" si="400"/>
        <v>0</v>
      </c>
      <c r="H129" s="130">
        <f t="shared" si="400"/>
        <v>0</v>
      </c>
      <c r="I129" s="130">
        <f t="shared" si="400"/>
        <v>0</v>
      </c>
      <c r="J129" s="189">
        <f t="shared" si="400"/>
        <v>0</v>
      </c>
      <c r="K129" s="189">
        <f t="shared" si="400"/>
        <v>0</v>
      </c>
      <c r="L129" s="189">
        <f t="shared" si="400"/>
        <v>0</v>
      </c>
      <c r="M129" s="189">
        <f t="shared" si="362"/>
        <v>0</v>
      </c>
      <c r="N129" s="130">
        <f>SUM(N120:N128)</f>
        <v>0</v>
      </c>
      <c r="O129" s="189">
        <f>SUM(O120:O128)</f>
        <v>0</v>
      </c>
      <c r="P129" s="189">
        <f>SUM(P120:P128)</f>
        <v>0</v>
      </c>
      <c r="Q129" s="189">
        <f>SUM(Q120:Q128)</f>
        <v>0</v>
      </c>
      <c r="R129" s="189">
        <f t="shared" si="363"/>
        <v>0</v>
      </c>
      <c r="S129" s="130">
        <f>SUM(S120:S128)</f>
        <v>0</v>
      </c>
      <c r="T129" s="189">
        <f>SUM(T120:T128)</f>
        <v>0</v>
      </c>
      <c r="U129" s="189">
        <f>SUM(U120:U128)</f>
        <v>0</v>
      </c>
      <c r="V129" s="189">
        <f>SUM(V120:V128)</f>
        <v>0</v>
      </c>
      <c r="W129" s="189">
        <f t="shared" si="364"/>
        <v>0</v>
      </c>
      <c r="X129" s="130">
        <f>SUM(X120:X128)</f>
        <v>0</v>
      </c>
      <c r="Y129" s="189">
        <f>SUM(Y120:Y128)</f>
        <v>0</v>
      </c>
      <c r="Z129" s="189">
        <f>SUM(Z120:Z128)</f>
        <v>0</v>
      </c>
      <c r="AA129" s="189">
        <f>SUM(AA120:AA128)</f>
        <v>0</v>
      </c>
      <c r="AB129" s="189">
        <f t="shared" si="365"/>
        <v>0</v>
      </c>
      <c r="AC129" s="130">
        <f>SUM(AC120:AC128)</f>
        <v>0</v>
      </c>
      <c r="AD129" s="189">
        <f>SUM(AD120:AD128)</f>
        <v>0</v>
      </c>
      <c r="AE129" s="189">
        <f>SUM(AE120:AE128)</f>
        <v>0</v>
      </c>
      <c r="AF129" s="189">
        <f>SUM(AF120:AF128)</f>
        <v>0</v>
      </c>
      <c r="AG129" s="189">
        <f t="shared" si="366"/>
        <v>0</v>
      </c>
      <c r="AH129" s="130">
        <f t="shared" ref="AH129:BM129" si="401">SUM(AH120:AH128)</f>
        <v>0</v>
      </c>
      <c r="AI129" s="189">
        <f t="shared" si="401"/>
        <v>0</v>
      </c>
      <c r="AJ129" s="189">
        <f t="shared" si="401"/>
        <v>0</v>
      </c>
      <c r="AK129" s="189">
        <f t="shared" si="401"/>
        <v>0</v>
      </c>
      <c r="AL129" s="189">
        <f t="shared" si="401"/>
        <v>0</v>
      </c>
      <c r="AM129" s="130">
        <f t="shared" si="401"/>
        <v>0</v>
      </c>
      <c r="AN129" s="189">
        <f t="shared" si="401"/>
        <v>0</v>
      </c>
      <c r="AO129" s="189">
        <f t="shared" si="401"/>
        <v>0</v>
      </c>
      <c r="AP129" s="189">
        <f t="shared" si="401"/>
        <v>0</v>
      </c>
      <c r="AQ129" s="189">
        <f t="shared" si="401"/>
        <v>0</v>
      </c>
      <c r="AR129" s="130">
        <f t="shared" si="401"/>
        <v>0</v>
      </c>
      <c r="AS129" s="189">
        <f t="shared" si="401"/>
        <v>0</v>
      </c>
      <c r="AT129" s="189">
        <f t="shared" si="401"/>
        <v>0</v>
      </c>
      <c r="AU129" s="189">
        <f t="shared" si="401"/>
        <v>0</v>
      </c>
      <c r="AV129" s="189">
        <f t="shared" si="401"/>
        <v>0</v>
      </c>
      <c r="AW129" s="130">
        <f t="shared" si="401"/>
        <v>0</v>
      </c>
      <c r="AX129" s="189">
        <f t="shared" si="401"/>
        <v>0</v>
      </c>
      <c r="AY129" s="189">
        <f t="shared" si="401"/>
        <v>0</v>
      </c>
      <c r="AZ129" s="189">
        <f t="shared" si="401"/>
        <v>0</v>
      </c>
      <c r="BA129" s="189">
        <f t="shared" si="401"/>
        <v>0</v>
      </c>
      <c r="BB129" s="130">
        <f t="shared" si="401"/>
        <v>0</v>
      </c>
      <c r="BC129" s="189">
        <f t="shared" si="401"/>
        <v>0</v>
      </c>
      <c r="BD129" s="189">
        <f t="shared" si="401"/>
        <v>0</v>
      </c>
      <c r="BE129" s="189">
        <f t="shared" si="401"/>
        <v>0</v>
      </c>
      <c r="BF129" s="189">
        <f t="shared" si="401"/>
        <v>0</v>
      </c>
      <c r="BG129" s="130">
        <f t="shared" si="401"/>
        <v>0</v>
      </c>
      <c r="BH129" s="189">
        <f t="shared" si="401"/>
        <v>0</v>
      </c>
      <c r="BI129" s="307">
        <f t="shared" si="401"/>
        <v>0</v>
      </c>
      <c r="BJ129" s="307">
        <f t="shared" si="401"/>
        <v>0</v>
      </c>
      <c r="BK129" s="307">
        <f t="shared" si="401"/>
        <v>0</v>
      </c>
      <c r="BL129" s="130">
        <f t="shared" si="401"/>
        <v>0</v>
      </c>
      <c r="BM129" s="307">
        <f t="shared" si="401"/>
        <v>0</v>
      </c>
      <c r="BN129" s="307">
        <f t="shared" ref="BN129:CS129" si="402">SUM(BN120:BN128)</f>
        <v>0</v>
      </c>
      <c r="BO129" s="307">
        <f t="shared" si="402"/>
        <v>0</v>
      </c>
      <c r="BP129" s="307">
        <f t="shared" si="402"/>
        <v>0</v>
      </c>
      <c r="BQ129" s="130">
        <f t="shared" si="402"/>
        <v>0</v>
      </c>
      <c r="BR129" s="307">
        <f t="shared" si="402"/>
        <v>0</v>
      </c>
      <c r="BS129" s="307">
        <f t="shared" si="402"/>
        <v>0</v>
      </c>
      <c r="BT129" s="307">
        <f t="shared" si="402"/>
        <v>0</v>
      </c>
      <c r="BU129" s="307">
        <f t="shared" si="402"/>
        <v>0</v>
      </c>
      <c r="BV129" s="130">
        <f t="shared" si="402"/>
        <v>0</v>
      </c>
      <c r="BW129" s="453">
        <f t="shared" si="402"/>
        <v>0</v>
      </c>
      <c r="BX129" s="453">
        <f t="shared" si="402"/>
        <v>0</v>
      </c>
      <c r="BY129" s="453">
        <f t="shared" si="402"/>
        <v>0</v>
      </c>
      <c r="BZ129" s="453">
        <f t="shared" si="402"/>
        <v>0</v>
      </c>
      <c r="CA129" s="130">
        <f t="shared" si="402"/>
        <v>0</v>
      </c>
      <c r="CB129" s="307">
        <f t="shared" si="402"/>
        <v>0</v>
      </c>
      <c r="CC129" s="307">
        <f t="shared" si="402"/>
        <v>0</v>
      </c>
      <c r="CD129" s="307">
        <f t="shared" si="402"/>
        <v>0</v>
      </c>
      <c r="CE129" s="307">
        <f t="shared" si="402"/>
        <v>0</v>
      </c>
      <c r="CF129" s="130">
        <f t="shared" si="402"/>
        <v>0</v>
      </c>
      <c r="CG129" s="307">
        <f t="shared" si="402"/>
        <v>0</v>
      </c>
      <c r="CH129" s="307">
        <f t="shared" si="402"/>
        <v>0</v>
      </c>
      <c r="CI129" s="307">
        <f t="shared" si="402"/>
        <v>0</v>
      </c>
      <c r="CJ129" s="307">
        <f t="shared" si="402"/>
        <v>0</v>
      </c>
      <c r="CK129" s="130">
        <f t="shared" si="402"/>
        <v>0</v>
      </c>
      <c r="CL129" s="307">
        <f t="shared" si="402"/>
        <v>20026</v>
      </c>
      <c r="CM129" s="307">
        <f t="shared" si="402"/>
        <v>19680</v>
      </c>
      <c r="CN129" s="307">
        <f t="shared" si="402"/>
        <v>19669</v>
      </c>
      <c r="CO129" s="307">
        <f t="shared" si="402"/>
        <v>19296</v>
      </c>
      <c r="CP129" s="130">
        <f t="shared" si="402"/>
        <v>19296</v>
      </c>
      <c r="CQ129" s="307">
        <f t="shared" si="402"/>
        <v>847</v>
      </c>
      <c r="CR129" s="307">
        <f t="shared" si="402"/>
        <v>1517</v>
      </c>
      <c r="CS129" s="307">
        <f t="shared" si="402"/>
        <v>2910</v>
      </c>
      <c r="CT129" s="307">
        <f t="shared" ref="CT129:DI129" si="403">SUM(CT120:CT128)</f>
        <v>23705</v>
      </c>
      <c r="CU129" s="130">
        <f t="shared" si="403"/>
        <v>23705</v>
      </c>
      <c r="CV129" s="307">
        <f t="shared" si="403"/>
        <v>-36</v>
      </c>
      <c r="CW129" s="307">
        <f t="shared" si="403"/>
        <v>1405</v>
      </c>
      <c r="CX129" s="307">
        <f t="shared" si="403"/>
        <v>2073</v>
      </c>
      <c r="CY129" s="307">
        <f t="shared" si="403"/>
        <v>10891</v>
      </c>
      <c r="CZ129" s="130">
        <f t="shared" si="403"/>
        <v>10891</v>
      </c>
      <c r="DA129" s="307">
        <f t="shared" si="403"/>
        <v>1273</v>
      </c>
      <c r="DB129" s="307">
        <f t="shared" si="403"/>
        <v>2952</v>
      </c>
      <c r="DC129" s="307">
        <f t="shared" si="403"/>
        <v>5350</v>
      </c>
      <c r="DD129" s="307">
        <f t="shared" si="403"/>
        <v>6938</v>
      </c>
      <c r="DE129" s="130">
        <f t="shared" si="403"/>
        <v>6938</v>
      </c>
      <c r="DF129" s="307">
        <f t="shared" si="403"/>
        <v>769</v>
      </c>
      <c r="DG129" s="378">
        <f t="shared" si="403"/>
        <v>-1987</v>
      </c>
      <c r="DH129" s="378">
        <f t="shared" si="403"/>
        <v>-897</v>
      </c>
      <c r="DI129" s="378">
        <f t="shared" si="403"/>
        <v>-556</v>
      </c>
      <c r="DJ129" s="130">
        <f t="shared" ref="DJ129:DL129" si="404">SUM(DJ120:DJ128)</f>
        <v>-556</v>
      </c>
      <c r="DK129" s="378">
        <f t="shared" si="404"/>
        <v>-320</v>
      </c>
      <c r="DL129" s="378">
        <f t="shared" si="404"/>
        <v>-933</v>
      </c>
      <c r="DM129" s="307"/>
      <c r="DN129" s="307"/>
      <c r="DO129" s="130"/>
      <c r="DP129" s="378"/>
      <c r="DQ129" s="307"/>
      <c r="DR129" s="307"/>
      <c r="DS129" s="307"/>
      <c r="DT129" s="130"/>
      <c r="DU129" s="130"/>
      <c r="DV129" s="130"/>
    </row>
    <row r="130" spans="1:126" s="12" customFormat="1" ht="12">
      <c r="B130" s="314" t="s">
        <v>529</v>
      </c>
      <c r="C130" s="130"/>
      <c r="D130" s="130"/>
      <c r="E130" s="130"/>
      <c r="F130" s="130"/>
      <c r="G130" s="130"/>
      <c r="H130" s="130"/>
      <c r="I130" s="130"/>
      <c r="J130" s="189"/>
      <c r="K130" s="189"/>
      <c r="L130" s="189"/>
      <c r="M130" s="189"/>
      <c r="N130" s="130"/>
      <c r="O130" s="189"/>
      <c r="P130" s="189"/>
      <c r="Q130" s="189"/>
      <c r="R130" s="189"/>
      <c r="S130" s="130"/>
      <c r="T130" s="189"/>
      <c r="U130" s="189"/>
      <c r="V130" s="189"/>
      <c r="W130" s="189"/>
      <c r="X130" s="130"/>
      <c r="Y130" s="189"/>
      <c r="Z130" s="189"/>
      <c r="AA130" s="189"/>
      <c r="AB130" s="189"/>
      <c r="AC130" s="130"/>
      <c r="AD130" s="189"/>
      <c r="AE130" s="189"/>
      <c r="AF130" s="189"/>
      <c r="AG130" s="189"/>
      <c r="AH130" s="130"/>
      <c r="AI130" s="189"/>
      <c r="AJ130" s="189"/>
      <c r="AK130" s="189"/>
      <c r="AL130" s="189"/>
      <c r="AM130" s="130"/>
      <c r="AN130" s="189"/>
      <c r="AO130" s="189"/>
      <c r="AP130" s="189"/>
      <c r="AQ130" s="189"/>
      <c r="AR130" s="130"/>
      <c r="AS130" s="189"/>
      <c r="AT130" s="189"/>
      <c r="AU130" s="189"/>
      <c r="AV130" s="189"/>
      <c r="AW130" s="130"/>
      <c r="AX130" s="189"/>
      <c r="AY130" s="189"/>
      <c r="AZ130" s="189"/>
      <c r="BA130" s="189"/>
      <c r="BB130" s="130"/>
      <c r="BC130" s="189"/>
      <c r="BD130" s="189"/>
      <c r="BE130" s="189"/>
      <c r="BF130" s="189"/>
      <c r="BG130" s="130"/>
      <c r="BH130" s="189"/>
      <c r="BI130" s="307"/>
      <c r="BJ130" s="307"/>
      <c r="BK130" s="307"/>
      <c r="BL130" s="130"/>
      <c r="BM130" s="307"/>
      <c r="BN130" s="307"/>
      <c r="BO130" s="307"/>
      <c r="BP130" s="307"/>
      <c r="BQ130" s="130"/>
      <c r="BR130" s="307"/>
      <c r="BS130" s="307"/>
      <c r="BT130" s="307"/>
      <c r="BU130" s="307"/>
      <c r="BV130" s="130"/>
      <c r="BW130" s="453"/>
      <c r="BX130" s="453"/>
      <c r="BY130" s="453"/>
      <c r="BZ130" s="453"/>
      <c r="CA130" s="130"/>
      <c r="CB130" s="307"/>
      <c r="CC130" s="307"/>
      <c r="CD130" s="307"/>
      <c r="CE130" s="307"/>
      <c r="CF130" s="130"/>
      <c r="CG130" s="307"/>
      <c r="CH130" s="307"/>
      <c r="CI130" s="307"/>
      <c r="CJ130" s="307"/>
      <c r="CK130" s="130"/>
      <c r="CL130" s="317">
        <v>-920</v>
      </c>
      <c r="CM130" s="317">
        <v>-1238</v>
      </c>
      <c r="CN130" s="317">
        <v>-1966</v>
      </c>
      <c r="CO130" s="317">
        <v>-2626</v>
      </c>
      <c r="CP130" s="16">
        <f>CO130</f>
        <v>-2626</v>
      </c>
      <c r="CQ130" s="317">
        <v>-646</v>
      </c>
      <c r="CR130" s="317">
        <v>-1623</v>
      </c>
      <c r="CS130" s="317">
        <v>-2683</v>
      </c>
      <c r="CT130" s="317">
        <v>-2397</v>
      </c>
      <c r="CU130" s="16">
        <f>CT130</f>
        <v>-2397</v>
      </c>
      <c r="CV130" s="317">
        <v>-407</v>
      </c>
      <c r="CW130" s="317">
        <v>121</v>
      </c>
      <c r="CX130" s="317">
        <v>-481</v>
      </c>
      <c r="CY130" s="317">
        <v>-8621</v>
      </c>
      <c r="CZ130" s="222">
        <f>CY130</f>
        <v>-8621</v>
      </c>
      <c r="DA130" s="317">
        <v>-3068</v>
      </c>
      <c r="DB130" s="317">
        <v>-3113</v>
      </c>
      <c r="DC130" s="317">
        <v>-3058</v>
      </c>
      <c r="DD130" s="317">
        <v>-2960</v>
      </c>
      <c r="DE130" s="16">
        <f>DD130</f>
        <v>-2960</v>
      </c>
      <c r="DF130" s="307">
        <v>38</v>
      </c>
      <c r="DG130" s="378">
        <v>-1491</v>
      </c>
      <c r="DH130" s="378">
        <v>-1090</v>
      </c>
      <c r="DI130" s="378">
        <v>-1110</v>
      </c>
      <c r="DJ130" s="16">
        <f>DI130</f>
        <v>-1110</v>
      </c>
      <c r="DK130" s="1085">
        <v>3</v>
      </c>
      <c r="DL130" s="1085">
        <v>82</v>
      </c>
      <c r="DM130" s="307"/>
      <c r="DN130" s="307"/>
      <c r="DO130" s="130"/>
      <c r="DP130" s="1085"/>
      <c r="DQ130" s="307"/>
      <c r="DR130" s="307"/>
      <c r="DS130" s="307"/>
      <c r="DT130" s="130"/>
      <c r="DU130" s="130"/>
      <c r="DV130" s="130"/>
    </row>
    <row r="131" spans="1:126" s="12" customFormat="1" ht="12">
      <c r="B131" s="846" t="s">
        <v>530</v>
      </c>
      <c r="C131" s="130"/>
      <c r="D131" s="130"/>
      <c r="E131" s="130"/>
      <c r="F131" s="130"/>
      <c r="G131" s="130"/>
      <c r="H131" s="130"/>
      <c r="I131" s="130"/>
      <c r="J131" s="189"/>
      <c r="K131" s="189"/>
      <c r="L131" s="189"/>
      <c r="M131" s="189"/>
      <c r="N131" s="130"/>
      <c r="O131" s="189"/>
      <c r="P131" s="189"/>
      <c r="Q131" s="189"/>
      <c r="R131" s="189"/>
      <c r="S131" s="130"/>
      <c r="T131" s="189"/>
      <c r="U131" s="189"/>
      <c r="V131" s="189"/>
      <c r="W131" s="189"/>
      <c r="X131" s="130"/>
      <c r="Y131" s="189"/>
      <c r="Z131" s="189"/>
      <c r="AA131" s="189"/>
      <c r="AB131" s="189"/>
      <c r="AC131" s="130"/>
      <c r="AD131" s="189"/>
      <c r="AE131" s="189"/>
      <c r="AF131" s="189"/>
      <c r="AG131" s="189"/>
      <c r="AH131" s="130"/>
      <c r="AI131" s="189"/>
      <c r="AJ131" s="189"/>
      <c r="AK131" s="189"/>
      <c r="AL131" s="189"/>
      <c r="AM131" s="130"/>
      <c r="AN131" s="189"/>
      <c r="AO131" s="189"/>
      <c r="AP131" s="189"/>
      <c r="AQ131" s="189"/>
      <c r="AR131" s="130"/>
      <c r="AS131" s="189"/>
      <c r="AT131" s="189"/>
      <c r="AU131" s="189"/>
      <c r="AV131" s="189"/>
      <c r="AW131" s="130"/>
      <c r="AX131" s="189"/>
      <c r="AY131" s="189"/>
      <c r="AZ131" s="189"/>
      <c r="BA131" s="189"/>
      <c r="BB131" s="130"/>
      <c r="BC131" s="189"/>
      <c r="BD131" s="189"/>
      <c r="BE131" s="189"/>
      <c r="BF131" s="189"/>
      <c r="BG131" s="130"/>
      <c r="BH131" s="189"/>
      <c r="BI131" s="307"/>
      <c r="BJ131" s="307"/>
      <c r="BK131" s="307"/>
      <c r="BL131" s="130"/>
      <c r="BM131" s="307"/>
      <c r="BN131" s="307"/>
      <c r="BO131" s="307"/>
      <c r="BP131" s="307"/>
      <c r="BQ131" s="130"/>
      <c r="BR131" s="307"/>
      <c r="BS131" s="307"/>
      <c r="BT131" s="307"/>
      <c r="BU131" s="307"/>
      <c r="BV131" s="130"/>
      <c r="BW131" s="453"/>
      <c r="BX131" s="453"/>
      <c r="BY131" s="453"/>
      <c r="BZ131" s="453"/>
      <c r="CA131" s="130"/>
      <c r="CB131" s="307"/>
      <c r="CC131" s="307"/>
      <c r="CD131" s="307"/>
      <c r="CE131" s="307"/>
      <c r="CF131" s="130"/>
      <c r="CG131" s="307"/>
      <c r="CH131" s="307"/>
      <c r="CI131" s="307"/>
      <c r="CJ131" s="307"/>
      <c r="CK131" s="130"/>
      <c r="CL131" s="307">
        <f>SUM(CL129:CL130)</f>
        <v>19106</v>
      </c>
      <c r="CM131" s="307">
        <f t="shared" ref="CM131:CZ131" si="405">SUM(CM129:CM130)</f>
        <v>18442</v>
      </c>
      <c r="CN131" s="307">
        <f t="shared" si="405"/>
        <v>17703</v>
      </c>
      <c r="CO131" s="307">
        <f t="shared" si="405"/>
        <v>16670</v>
      </c>
      <c r="CP131" s="130">
        <f t="shared" si="405"/>
        <v>16670</v>
      </c>
      <c r="CQ131" s="307">
        <f t="shared" si="405"/>
        <v>201</v>
      </c>
      <c r="CR131" s="307">
        <f t="shared" si="405"/>
        <v>-106</v>
      </c>
      <c r="CS131" s="307">
        <f t="shared" si="405"/>
        <v>227</v>
      </c>
      <c r="CT131" s="307">
        <f t="shared" si="405"/>
        <v>21308</v>
      </c>
      <c r="CU131" s="130">
        <f t="shared" si="405"/>
        <v>21308</v>
      </c>
      <c r="CV131" s="307">
        <f t="shared" si="405"/>
        <v>-443</v>
      </c>
      <c r="CW131" s="307">
        <f t="shared" si="405"/>
        <v>1526</v>
      </c>
      <c r="CX131" s="307">
        <f t="shared" si="405"/>
        <v>1592</v>
      </c>
      <c r="CY131" s="307">
        <f t="shared" si="405"/>
        <v>2270</v>
      </c>
      <c r="CZ131" s="130">
        <f t="shared" si="405"/>
        <v>2270</v>
      </c>
      <c r="DA131" s="307">
        <f t="shared" ref="DA131" si="406">SUM(DA129:DA130)</f>
        <v>-1795</v>
      </c>
      <c r="DB131" s="307">
        <f t="shared" ref="DB131" si="407">SUM(DB129:DB130)</f>
        <v>-161</v>
      </c>
      <c r="DC131" s="307">
        <f t="shared" ref="DC131" si="408">SUM(DC129:DC130)</f>
        <v>2292</v>
      </c>
      <c r="DD131" s="307">
        <f t="shared" ref="DD131:DH131" si="409">SUM(DD129:DD130)</f>
        <v>3978</v>
      </c>
      <c r="DE131" s="130">
        <f t="shared" si="409"/>
        <v>3978</v>
      </c>
      <c r="DF131" s="307">
        <f t="shared" si="409"/>
        <v>807</v>
      </c>
      <c r="DG131" s="378">
        <f t="shared" si="409"/>
        <v>-3478</v>
      </c>
      <c r="DH131" s="378">
        <f t="shared" si="409"/>
        <v>-1987</v>
      </c>
      <c r="DI131" s="378">
        <f t="shared" ref="DI131:DJ131" si="410">SUM(DI129:DI130)</f>
        <v>-1666</v>
      </c>
      <c r="DJ131" s="130">
        <f t="shared" si="410"/>
        <v>-1666</v>
      </c>
      <c r="DK131" s="378">
        <f t="shared" ref="DK131:DL131" si="411">SUM(DK129:DK130)</f>
        <v>-317</v>
      </c>
      <c r="DL131" s="378">
        <f t="shared" si="411"/>
        <v>-851</v>
      </c>
      <c r="DM131" s="307"/>
      <c r="DN131" s="307"/>
      <c r="DO131" s="130"/>
      <c r="DP131" s="378"/>
      <c r="DQ131" s="307"/>
      <c r="DR131" s="307"/>
      <c r="DS131" s="307"/>
      <c r="DT131" s="130"/>
      <c r="DU131" s="130"/>
      <c r="DV131" s="130"/>
    </row>
    <row r="132" spans="1:126" s="12" customFormat="1">
      <c r="A132" s="147"/>
      <c r="B132" s="314" t="s">
        <v>536</v>
      </c>
      <c r="C132" s="16"/>
      <c r="D132" s="16"/>
      <c r="E132" s="16"/>
      <c r="F132" s="16"/>
      <c r="G132" s="16"/>
      <c r="H132" s="16"/>
      <c r="I132" s="16"/>
      <c r="J132" s="15"/>
      <c r="K132" s="15"/>
      <c r="L132" s="15"/>
      <c r="M132" s="15"/>
      <c r="N132" s="16"/>
      <c r="O132" s="15"/>
      <c r="P132" s="15"/>
      <c r="Q132" s="15"/>
      <c r="R132" s="15"/>
      <c r="S132" s="16"/>
      <c r="T132" s="15"/>
      <c r="U132" s="15"/>
      <c r="V132" s="15"/>
      <c r="W132" s="15"/>
      <c r="X132" s="16"/>
      <c r="Y132" s="15"/>
      <c r="Z132" s="15"/>
      <c r="AA132" s="15"/>
      <c r="AB132" s="15"/>
      <c r="AC132" s="16"/>
      <c r="AD132" s="15"/>
      <c r="AE132" s="15"/>
      <c r="AF132" s="15"/>
      <c r="AG132" s="15"/>
      <c r="AH132" s="16"/>
      <c r="AI132" s="15"/>
      <c r="AK132" s="49"/>
      <c r="AL132" s="49"/>
      <c r="AM132" s="16"/>
      <c r="AN132" s="49"/>
      <c r="AO132" s="313"/>
      <c r="AP132" s="313"/>
      <c r="AQ132" s="313"/>
      <c r="AR132" s="16"/>
      <c r="AS132" s="313"/>
      <c r="AT132" s="313"/>
      <c r="AU132" s="313"/>
      <c r="AV132" s="15"/>
      <c r="AW132" s="16"/>
      <c r="AX132" s="313"/>
      <c r="AY132" s="313"/>
      <c r="AZ132" s="15"/>
      <c r="BA132" s="15"/>
      <c r="BB132" s="16"/>
      <c r="BC132" s="15"/>
      <c r="BE132" s="15"/>
      <c r="BF132" s="15"/>
      <c r="BG132" s="16"/>
      <c r="BH132" s="15"/>
      <c r="BI132" s="301"/>
      <c r="BJ132" s="358"/>
      <c r="BK132" s="358"/>
      <c r="BL132" s="16"/>
      <c r="BM132" s="15"/>
      <c r="BN132" s="358"/>
      <c r="BO132" s="358"/>
      <c r="BP132" s="358"/>
      <c r="BQ132" s="16"/>
      <c r="BR132" s="15"/>
      <c r="BS132" s="358"/>
      <c r="BT132" s="358"/>
      <c r="BU132" s="358"/>
      <c r="BV132" s="16"/>
      <c r="BW132" s="448"/>
      <c r="BX132" s="435"/>
      <c r="BY132" s="446"/>
      <c r="BZ132" s="446"/>
      <c r="CA132" s="16"/>
      <c r="CB132" s="15"/>
      <c r="CC132" s="358"/>
      <c r="CD132" s="358"/>
      <c r="CE132" s="358"/>
      <c r="CF132" s="16"/>
      <c r="CG132" s="358"/>
      <c r="CH132" s="358"/>
      <c r="CI132" s="358"/>
      <c r="CJ132" s="358"/>
      <c r="CK132" s="16"/>
      <c r="CL132" s="358">
        <v>-1905</v>
      </c>
      <c r="CM132" s="358">
        <v>-3412</v>
      </c>
      <c r="CN132" s="358">
        <v>-4198</v>
      </c>
      <c r="CO132" s="358">
        <v>-4168</v>
      </c>
      <c r="CP132" s="16">
        <f t="shared" ref="CP132:CP138" si="412">CO132</f>
        <v>-4168</v>
      </c>
      <c r="CQ132" s="358">
        <v>-319</v>
      </c>
      <c r="CR132" s="358">
        <v>-359</v>
      </c>
      <c r="CS132" s="358">
        <v>-390</v>
      </c>
      <c r="CT132" s="358">
        <v>-710</v>
      </c>
      <c r="CU132" s="16">
        <f t="shared" ref="CU132:CU138" si="413">CT132</f>
        <v>-710</v>
      </c>
      <c r="CV132" s="358">
        <v>45</v>
      </c>
      <c r="CW132" s="358">
        <v>63</v>
      </c>
      <c r="CX132" s="358">
        <v>66</v>
      </c>
      <c r="CY132" s="358">
        <v>56</v>
      </c>
      <c r="CZ132" s="16">
        <f t="shared" ref="CZ132:CZ138" si="414">CY132</f>
        <v>56</v>
      </c>
      <c r="DA132" s="358">
        <v>1</v>
      </c>
      <c r="DB132" s="358">
        <v>-31</v>
      </c>
      <c r="DC132" s="358">
        <v>-35</v>
      </c>
      <c r="DD132" s="358">
        <v>-55</v>
      </c>
      <c r="DE132" s="16">
        <f t="shared" ref="DE132:DE138" si="415">DD132</f>
        <v>-55</v>
      </c>
      <c r="DF132" s="358">
        <v>-37</v>
      </c>
      <c r="DG132" s="358">
        <v>2</v>
      </c>
      <c r="DH132" s="358">
        <v>3</v>
      </c>
      <c r="DI132" s="358">
        <v>2</v>
      </c>
      <c r="DJ132" s="16">
        <f t="shared" ref="DJ132:DJ138" si="416">DI132</f>
        <v>2</v>
      </c>
      <c r="DK132" s="1079">
        <v>0</v>
      </c>
      <c r="DL132" s="1079">
        <v>25</v>
      </c>
      <c r="DM132" s="358"/>
      <c r="DN132" s="358"/>
      <c r="DO132" s="16"/>
      <c r="DP132" s="1079"/>
      <c r="DQ132" s="358"/>
      <c r="DR132" s="358"/>
      <c r="DS132" s="358"/>
      <c r="DT132" s="16"/>
      <c r="DU132" s="16"/>
      <c r="DV132" s="16"/>
    </row>
    <row r="133" spans="1:126" s="12" customFormat="1">
      <c r="A133" s="147"/>
      <c r="B133" s="314" t="s">
        <v>522</v>
      </c>
      <c r="C133" s="16"/>
      <c r="D133" s="16"/>
      <c r="E133" s="16"/>
      <c r="F133" s="16"/>
      <c r="G133" s="16"/>
      <c r="H133" s="16"/>
      <c r="I133" s="16"/>
      <c r="J133" s="15"/>
      <c r="K133" s="15"/>
      <c r="L133" s="15"/>
      <c r="M133" s="15"/>
      <c r="N133" s="16"/>
      <c r="O133" s="15"/>
      <c r="P133" s="15"/>
      <c r="Q133" s="15"/>
      <c r="R133" s="15"/>
      <c r="S133" s="16"/>
      <c r="T133" s="15"/>
      <c r="U133" s="15"/>
      <c r="V133" s="15"/>
      <c r="W133" s="15"/>
      <c r="X133" s="16"/>
      <c r="Y133" s="15"/>
      <c r="Z133" s="15"/>
      <c r="AA133" s="15"/>
      <c r="AB133" s="15"/>
      <c r="AC133" s="16"/>
      <c r="AD133" s="15"/>
      <c r="AE133" s="15"/>
      <c r="AF133" s="15"/>
      <c r="AG133" s="15"/>
      <c r="AH133" s="16"/>
      <c r="AI133" s="15"/>
      <c r="AK133" s="49"/>
      <c r="AL133" s="49"/>
      <c r="AM133" s="16"/>
      <c r="AN133" s="15"/>
      <c r="AO133" s="313"/>
      <c r="AP133" s="15"/>
      <c r="AQ133" s="15"/>
      <c r="AR133" s="16"/>
      <c r="AS133" s="15"/>
      <c r="AU133" s="15"/>
      <c r="AV133" s="15"/>
      <c r="AW133" s="16"/>
      <c r="AX133" s="15"/>
      <c r="AZ133" s="15"/>
      <c r="BA133" s="15"/>
      <c r="BB133" s="16"/>
      <c r="BC133" s="15"/>
      <c r="BE133" s="15"/>
      <c r="BF133" s="15"/>
      <c r="BG133" s="16"/>
      <c r="BH133" s="15"/>
      <c r="BI133" s="301"/>
      <c r="BJ133" s="358"/>
      <c r="BK133" s="358"/>
      <c r="BL133" s="16"/>
      <c r="BM133" s="15"/>
      <c r="BN133" s="301"/>
      <c r="BO133" s="358"/>
      <c r="BP133" s="358"/>
      <c r="BQ133" s="16"/>
      <c r="BR133" s="15"/>
      <c r="BS133" s="301"/>
      <c r="BT133" s="358"/>
      <c r="BU133" s="358"/>
      <c r="BV133" s="16"/>
      <c r="BW133" s="448"/>
      <c r="BX133" s="435"/>
      <c r="BY133" s="446"/>
      <c r="BZ133" s="446"/>
      <c r="CA133" s="16"/>
      <c r="CB133" s="15"/>
      <c r="CC133" s="301"/>
      <c r="CD133" s="358"/>
      <c r="CE133" s="358"/>
      <c r="CF133" s="16"/>
      <c r="CG133" s="301"/>
      <c r="CH133" s="301"/>
      <c r="CI133" s="301"/>
      <c r="CJ133" s="301"/>
      <c r="CK133" s="16"/>
      <c r="CL133" s="301">
        <v>125</v>
      </c>
      <c r="CM133" s="358">
        <v>14228</v>
      </c>
      <c r="CN133" s="358">
        <v>14452</v>
      </c>
      <c r="CO133" s="313">
        <v>15028</v>
      </c>
      <c r="CP133" s="16">
        <f t="shared" si="412"/>
        <v>15028</v>
      </c>
      <c r="CQ133" s="358">
        <v>314</v>
      </c>
      <c r="CR133" s="358">
        <v>358</v>
      </c>
      <c r="CS133" s="358">
        <v>364</v>
      </c>
      <c r="CT133" s="358">
        <v>364</v>
      </c>
      <c r="CU133" s="16">
        <f t="shared" si="413"/>
        <v>364</v>
      </c>
      <c r="CV133" s="358">
        <v>0</v>
      </c>
      <c r="CW133" s="358">
        <v>0</v>
      </c>
      <c r="CX133" s="301">
        <v>0</v>
      </c>
      <c r="CY133" s="301">
        <v>16</v>
      </c>
      <c r="CZ133" s="16">
        <f t="shared" si="414"/>
        <v>16</v>
      </c>
      <c r="DA133" s="313">
        <v>9</v>
      </c>
      <c r="DB133" s="301">
        <v>10</v>
      </c>
      <c r="DC133" s="301">
        <v>10</v>
      </c>
      <c r="DD133" s="358">
        <v>11</v>
      </c>
      <c r="DE133" s="16">
        <f t="shared" si="415"/>
        <v>11</v>
      </c>
      <c r="DF133" s="358">
        <v>0</v>
      </c>
      <c r="DG133" s="358">
        <v>0</v>
      </c>
      <c r="DH133" s="358">
        <v>0</v>
      </c>
      <c r="DI133" s="358">
        <v>0</v>
      </c>
      <c r="DJ133" s="16">
        <f t="shared" si="416"/>
        <v>0</v>
      </c>
      <c r="DK133" s="1079">
        <v>0</v>
      </c>
      <c r="DL133" s="1079">
        <v>0</v>
      </c>
      <c r="DM133" s="301"/>
      <c r="DN133" s="301"/>
      <c r="DO133" s="16"/>
      <c r="DP133" s="1079"/>
      <c r="DQ133" s="301"/>
      <c r="DR133" s="301"/>
      <c r="DS133" s="301"/>
      <c r="DT133" s="16"/>
      <c r="DU133" s="16"/>
      <c r="DV133" s="16"/>
    </row>
    <row r="134" spans="1:126" s="12" customFormat="1">
      <c r="A134" s="147"/>
      <c r="B134" s="314" t="s">
        <v>523</v>
      </c>
      <c r="C134" s="16"/>
      <c r="D134" s="16"/>
      <c r="E134" s="16"/>
      <c r="F134" s="16"/>
      <c r="G134" s="16"/>
      <c r="H134" s="16"/>
      <c r="I134" s="16"/>
      <c r="J134" s="15"/>
      <c r="K134" s="15"/>
      <c r="L134" s="15"/>
      <c r="M134" s="15"/>
      <c r="N134" s="16"/>
      <c r="O134" s="15"/>
      <c r="P134" s="15"/>
      <c r="Q134" s="15"/>
      <c r="R134" s="15"/>
      <c r="S134" s="16"/>
      <c r="T134" s="15"/>
      <c r="U134" s="15"/>
      <c r="V134" s="15"/>
      <c r="W134" s="15"/>
      <c r="X134" s="16"/>
      <c r="Y134" s="15"/>
      <c r="Z134" s="15"/>
      <c r="AA134" s="15"/>
      <c r="AB134" s="15"/>
      <c r="AC134" s="16"/>
      <c r="AD134" s="15"/>
      <c r="AE134" s="15"/>
      <c r="AF134" s="15"/>
      <c r="AG134" s="15"/>
      <c r="AH134" s="16"/>
      <c r="AI134" s="15"/>
      <c r="AK134" s="49"/>
      <c r="AL134" s="49"/>
      <c r="AM134" s="16"/>
      <c r="AN134" s="15"/>
      <c r="AO134" s="313"/>
      <c r="AP134" s="15"/>
      <c r="AQ134" s="15"/>
      <c r="AR134" s="16"/>
      <c r="AS134" s="15"/>
      <c r="AU134" s="15"/>
      <c r="AV134" s="15"/>
      <c r="AW134" s="16"/>
      <c r="AX134" s="15"/>
      <c r="AZ134" s="15"/>
      <c r="BA134" s="15"/>
      <c r="BB134" s="16"/>
      <c r="BC134" s="15"/>
      <c r="BE134" s="15"/>
      <c r="BF134" s="15"/>
      <c r="BG134" s="16"/>
      <c r="BH134" s="15"/>
      <c r="BI134" s="301"/>
      <c r="BJ134" s="358"/>
      <c r="BK134" s="358"/>
      <c r="BL134" s="16"/>
      <c r="BM134" s="15"/>
      <c r="BN134" s="301"/>
      <c r="BO134" s="358"/>
      <c r="BP134" s="358"/>
      <c r="BQ134" s="16"/>
      <c r="BR134" s="15"/>
      <c r="BS134" s="301"/>
      <c r="BT134" s="358"/>
      <c r="BU134" s="358"/>
      <c r="BV134" s="16"/>
      <c r="BW134" s="448"/>
      <c r="BX134" s="435"/>
      <c r="BY134" s="446"/>
      <c r="BZ134" s="446"/>
      <c r="CA134" s="16"/>
      <c r="CB134" s="15"/>
      <c r="CC134" s="301"/>
      <c r="CD134" s="358"/>
      <c r="CE134" s="358"/>
      <c r="CF134" s="16"/>
      <c r="CG134" s="301"/>
      <c r="CH134" s="301"/>
      <c r="CI134" s="301"/>
      <c r="CJ134" s="301"/>
      <c r="CK134" s="16"/>
      <c r="CL134" s="301">
        <v>-5867</v>
      </c>
      <c r="CM134" s="358">
        <v>-21909</v>
      </c>
      <c r="CN134" s="358">
        <v>-24486</v>
      </c>
      <c r="CO134" s="313">
        <v>-29632</v>
      </c>
      <c r="CP134" s="16">
        <f t="shared" si="412"/>
        <v>-29632</v>
      </c>
      <c r="CQ134" s="358">
        <v>-1513</v>
      </c>
      <c r="CR134" s="358">
        <v>-10106</v>
      </c>
      <c r="CS134" s="358">
        <v>-10210</v>
      </c>
      <c r="CT134" s="358">
        <v>-36521</v>
      </c>
      <c r="CU134" s="16">
        <f t="shared" si="413"/>
        <v>-36521</v>
      </c>
      <c r="CV134" s="358">
        <v>-1267</v>
      </c>
      <c r="CW134" s="358">
        <v>-2045</v>
      </c>
      <c r="CX134" s="301">
        <v>-3178</v>
      </c>
      <c r="CY134" s="301">
        <v>-11202</v>
      </c>
      <c r="CZ134" s="16">
        <f t="shared" si="414"/>
        <v>-11202</v>
      </c>
      <c r="DA134" s="313">
        <v>-1815</v>
      </c>
      <c r="DB134" s="301">
        <v>-2590</v>
      </c>
      <c r="DC134" s="301">
        <v>-3230</v>
      </c>
      <c r="DD134" s="358">
        <v>-3360</v>
      </c>
      <c r="DE134" s="16">
        <f t="shared" si="415"/>
        <v>-3360</v>
      </c>
      <c r="DF134" s="358">
        <v>-298</v>
      </c>
      <c r="DG134" s="358">
        <v>-616</v>
      </c>
      <c r="DH134" s="358">
        <v>-733</v>
      </c>
      <c r="DI134" s="358">
        <v>-788</v>
      </c>
      <c r="DJ134" s="16">
        <f t="shared" si="416"/>
        <v>-788</v>
      </c>
      <c r="DK134" s="1079">
        <v>-56</v>
      </c>
      <c r="DL134" s="1079">
        <v>-1253</v>
      </c>
      <c r="DM134" s="301"/>
      <c r="DN134" s="301"/>
      <c r="DO134" s="16"/>
      <c r="DP134" s="1079"/>
      <c r="DQ134" s="301"/>
      <c r="DR134" s="301"/>
      <c r="DS134" s="301"/>
      <c r="DT134" s="16"/>
      <c r="DU134" s="16"/>
      <c r="DV134" s="16"/>
    </row>
    <row r="135" spans="1:126" s="12" customFormat="1">
      <c r="A135" s="147"/>
      <c r="B135" s="314" t="s">
        <v>539</v>
      </c>
      <c r="C135" s="16"/>
      <c r="D135" s="16"/>
      <c r="E135" s="16"/>
      <c r="F135" s="16"/>
      <c r="G135" s="16"/>
      <c r="H135" s="16"/>
      <c r="I135" s="16"/>
      <c r="J135" s="15"/>
      <c r="K135" s="15"/>
      <c r="L135" s="15"/>
      <c r="M135" s="15"/>
      <c r="N135" s="16"/>
      <c r="O135" s="15"/>
      <c r="P135" s="15"/>
      <c r="Q135" s="15"/>
      <c r="R135" s="15"/>
      <c r="S135" s="16"/>
      <c r="T135" s="15"/>
      <c r="U135" s="15"/>
      <c r="V135" s="15"/>
      <c r="W135" s="15"/>
      <c r="X135" s="16"/>
      <c r="Y135" s="15"/>
      <c r="Z135" s="15"/>
      <c r="AA135" s="15"/>
      <c r="AB135" s="15"/>
      <c r="AC135" s="16"/>
      <c r="AD135" s="15"/>
      <c r="AE135" s="15"/>
      <c r="AF135" s="15"/>
      <c r="AG135" s="15"/>
      <c r="AH135" s="16"/>
      <c r="AI135" s="15"/>
      <c r="AK135" s="49"/>
      <c r="AL135" s="49"/>
      <c r="AM135" s="16"/>
      <c r="AN135" s="15"/>
      <c r="AO135" s="313"/>
      <c r="AP135" s="15"/>
      <c r="AQ135" s="15"/>
      <c r="AR135" s="16"/>
      <c r="AS135" s="15"/>
      <c r="AU135" s="15"/>
      <c r="AV135" s="15"/>
      <c r="AW135" s="16"/>
      <c r="AX135" s="15"/>
      <c r="AZ135" s="15"/>
      <c r="BA135" s="15"/>
      <c r="BB135" s="16"/>
      <c r="BC135" s="15"/>
      <c r="BE135" s="15"/>
      <c r="BF135" s="15"/>
      <c r="BG135" s="16"/>
      <c r="BH135" s="15"/>
      <c r="BI135" s="301"/>
      <c r="BJ135" s="358"/>
      <c r="BK135" s="358"/>
      <c r="BL135" s="16"/>
      <c r="BM135" s="15"/>
      <c r="BN135" s="301"/>
      <c r="BO135" s="358"/>
      <c r="BP135" s="358"/>
      <c r="BQ135" s="16"/>
      <c r="BR135" s="15"/>
      <c r="BS135" s="301"/>
      <c r="BT135" s="358"/>
      <c r="BU135" s="358"/>
      <c r="BV135" s="16"/>
      <c r="BW135" s="448"/>
      <c r="BX135" s="435"/>
      <c r="BY135" s="446"/>
      <c r="BZ135" s="446"/>
      <c r="CA135" s="16"/>
      <c r="CB135" s="15"/>
      <c r="CC135" s="301"/>
      <c r="CD135" s="358"/>
      <c r="CE135" s="358"/>
      <c r="CF135" s="16"/>
      <c r="CG135" s="301"/>
      <c r="CH135" s="301"/>
      <c r="CI135" s="301"/>
      <c r="CJ135" s="301"/>
      <c r="CK135" s="16"/>
      <c r="CL135" s="301"/>
      <c r="CM135" s="358"/>
      <c r="CN135" s="358"/>
      <c r="CO135" s="313"/>
      <c r="CP135" s="16"/>
      <c r="CQ135" s="358"/>
      <c r="CR135" s="358"/>
      <c r="CS135" s="358"/>
      <c r="CT135" s="358"/>
      <c r="CU135" s="16"/>
      <c r="CV135" s="358">
        <v>0</v>
      </c>
      <c r="CW135" s="358">
        <v>0</v>
      </c>
      <c r="CX135" s="301">
        <v>-104</v>
      </c>
      <c r="CY135" s="301">
        <v>-144</v>
      </c>
      <c r="CZ135" s="16"/>
      <c r="DA135" s="313">
        <v>-3000</v>
      </c>
      <c r="DB135" s="301">
        <v>-3000</v>
      </c>
      <c r="DC135" s="301">
        <v>-5795</v>
      </c>
      <c r="DD135" s="358">
        <v>-5795</v>
      </c>
      <c r="DE135" s="16">
        <f>DD135</f>
        <v>-5795</v>
      </c>
      <c r="DF135" s="358">
        <v>0</v>
      </c>
      <c r="DG135" s="358">
        <v>0</v>
      </c>
      <c r="DH135" s="358">
        <v>0</v>
      </c>
      <c r="DI135" s="358">
        <v>0</v>
      </c>
      <c r="DJ135" s="16">
        <f>DI135</f>
        <v>0</v>
      </c>
      <c r="DK135" s="1079">
        <v>0</v>
      </c>
      <c r="DL135" s="1079">
        <v>0</v>
      </c>
      <c r="DM135" s="301"/>
      <c r="DN135" s="301"/>
      <c r="DO135" s="16"/>
      <c r="DP135" s="1079"/>
      <c r="DQ135" s="301"/>
      <c r="DR135" s="301"/>
      <c r="DS135" s="301"/>
      <c r="DT135" s="16"/>
      <c r="DU135" s="16"/>
      <c r="DV135" s="16"/>
    </row>
    <row r="136" spans="1:126" s="12" customFormat="1">
      <c r="A136" s="147"/>
      <c r="B136" s="60" t="s">
        <v>66</v>
      </c>
      <c r="C136" s="16"/>
      <c r="D136" s="16"/>
      <c r="E136" s="16"/>
      <c r="F136" s="16"/>
      <c r="G136" s="16"/>
      <c r="H136" s="16"/>
      <c r="I136" s="16"/>
      <c r="J136" s="15"/>
      <c r="K136" s="15"/>
      <c r="L136" s="15"/>
      <c r="M136" s="15"/>
      <c r="N136" s="16"/>
      <c r="O136" s="15"/>
      <c r="P136" s="15"/>
      <c r="Q136" s="15"/>
      <c r="R136" s="15"/>
      <c r="S136" s="16"/>
      <c r="T136" s="15"/>
      <c r="U136" s="15"/>
      <c r="V136" s="15"/>
      <c r="W136" s="15"/>
      <c r="X136" s="16"/>
      <c r="Y136" s="15"/>
      <c r="Z136" s="15"/>
      <c r="AA136" s="15"/>
      <c r="AB136" s="15"/>
      <c r="AC136" s="16"/>
      <c r="AD136" s="15"/>
      <c r="AE136" s="15"/>
      <c r="AF136" s="15"/>
      <c r="AG136" s="15"/>
      <c r="AH136" s="16"/>
      <c r="AI136" s="15"/>
      <c r="AK136" s="49"/>
      <c r="AL136" s="49"/>
      <c r="AM136" s="16"/>
      <c r="AN136" s="49"/>
      <c r="AO136" s="313"/>
      <c r="AP136" s="313"/>
      <c r="AQ136" s="313"/>
      <c r="AR136" s="16"/>
      <c r="AS136" s="313"/>
      <c r="AT136" s="313"/>
      <c r="AU136" s="313"/>
      <c r="AV136" s="313"/>
      <c r="AW136" s="16"/>
      <c r="AX136" s="313"/>
      <c r="AY136" s="313"/>
      <c r="AZ136" s="313"/>
      <c r="BA136" s="313"/>
      <c r="BB136" s="16"/>
      <c r="BC136" s="313"/>
      <c r="BD136" s="313"/>
      <c r="BE136" s="313"/>
      <c r="BF136" s="313"/>
      <c r="BG136" s="16"/>
      <c r="BH136" s="313"/>
      <c r="BI136" s="358"/>
      <c r="BJ136" s="358"/>
      <c r="BK136" s="358"/>
      <c r="BL136" s="16"/>
      <c r="BM136" s="358"/>
      <c r="BN136" s="358"/>
      <c r="BO136" s="358"/>
      <c r="BP136" s="358"/>
      <c r="BQ136" s="16"/>
      <c r="BR136" s="358"/>
      <c r="BS136" s="358"/>
      <c r="BT136" s="358"/>
      <c r="BU136" s="358"/>
      <c r="BV136" s="16"/>
      <c r="BW136" s="446"/>
      <c r="BX136" s="446"/>
      <c r="BY136" s="446"/>
      <c r="BZ136" s="446"/>
      <c r="CA136" s="16"/>
      <c r="CB136" s="358"/>
      <c r="CC136" s="358"/>
      <c r="CD136" s="358"/>
      <c r="CE136" s="358"/>
      <c r="CF136" s="16"/>
      <c r="CG136" s="358"/>
      <c r="CH136" s="358"/>
      <c r="CI136" s="358"/>
      <c r="CJ136" s="358"/>
      <c r="CK136" s="16"/>
      <c r="CL136" s="358">
        <v>0</v>
      </c>
      <c r="CM136" s="358">
        <v>0</v>
      </c>
      <c r="CN136" s="358">
        <v>0</v>
      </c>
      <c r="CO136" s="358">
        <v>0</v>
      </c>
      <c r="CP136" s="16">
        <f t="shared" si="412"/>
        <v>0</v>
      </c>
      <c r="CQ136" s="358">
        <v>0</v>
      </c>
      <c r="CR136" s="358">
        <v>0</v>
      </c>
      <c r="CS136" s="358">
        <v>0</v>
      </c>
      <c r="CT136" s="358">
        <v>0</v>
      </c>
      <c r="CU136" s="16">
        <f t="shared" si="413"/>
        <v>0</v>
      </c>
      <c r="CV136" s="358">
        <v>-39</v>
      </c>
      <c r="CW136" s="358">
        <v>-370</v>
      </c>
      <c r="CX136" s="358">
        <v>-688</v>
      </c>
      <c r="CY136" s="358">
        <v>-1048</v>
      </c>
      <c r="CZ136" s="16">
        <f t="shared" si="414"/>
        <v>-1048</v>
      </c>
      <c r="DA136" s="358">
        <v>-309</v>
      </c>
      <c r="DB136" s="358">
        <v>-632</v>
      </c>
      <c r="DC136" s="358">
        <v>-945</v>
      </c>
      <c r="DD136" s="358">
        <v>-1233</v>
      </c>
      <c r="DE136" s="16">
        <f t="shared" si="415"/>
        <v>-1233</v>
      </c>
      <c r="DF136" s="358">
        <v>-322</v>
      </c>
      <c r="DG136" s="358">
        <v>-2623</v>
      </c>
      <c r="DH136" s="358">
        <v>-4159</v>
      </c>
      <c r="DI136" s="358">
        <v>-5827</v>
      </c>
      <c r="DJ136" s="16">
        <f t="shared" si="416"/>
        <v>-5827</v>
      </c>
      <c r="DK136" s="1079">
        <v>-1965</v>
      </c>
      <c r="DL136" s="1079">
        <v>-3710</v>
      </c>
      <c r="DM136" s="358"/>
      <c r="DN136" s="358"/>
      <c r="DO136" s="16"/>
      <c r="DP136" s="1079"/>
      <c r="DQ136" s="358"/>
      <c r="DR136" s="358"/>
      <c r="DS136" s="358"/>
      <c r="DT136" s="16"/>
      <c r="DU136" s="16"/>
      <c r="DV136" s="16"/>
    </row>
    <row r="137" spans="1:126" s="12" customFormat="1">
      <c r="A137" s="147"/>
      <c r="B137" s="60" t="s">
        <v>67</v>
      </c>
      <c r="C137" s="16"/>
      <c r="D137" s="16"/>
      <c r="E137" s="16"/>
      <c r="F137" s="16"/>
      <c r="G137" s="16"/>
      <c r="H137" s="16"/>
      <c r="I137" s="16"/>
      <c r="J137" s="15"/>
      <c r="K137" s="15"/>
      <c r="L137" s="15"/>
      <c r="M137" s="15"/>
      <c r="N137" s="16"/>
      <c r="O137" s="15"/>
      <c r="P137" s="15"/>
      <c r="Q137" s="15"/>
      <c r="R137" s="15"/>
      <c r="S137" s="16"/>
      <c r="T137" s="15"/>
      <c r="U137" s="15"/>
      <c r="V137" s="15"/>
      <c r="W137" s="15"/>
      <c r="X137" s="16"/>
      <c r="Y137" s="15"/>
      <c r="Z137" s="15"/>
      <c r="AA137" s="15"/>
      <c r="AB137" s="15"/>
      <c r="AC137" s="16"/>
      <c r="AD137" s="15"/>
      <c r="AE137" s="15"/>
      <c r="AF137" s="15"/>
      <c r="AG137" s="15"/>
      <c r="AH137" s="16"/>
      <c r="AI137" s="15"/>
      <c r="AK137" s="49"/>
      <c r="AL137" s="49"/>
      <c r="AM137" s="16"/>
      <c r="AN137" s="49"/>
      <c r="AO137" s="313"/>
      <c r="AP137" s="313"/>
      <c r="AQ137" s="313"/>
      <c r="AR137" s="16"/>
      <c r="AS137" s="313"/>
      <c r="AT137" s="313"/>
      <c r="AU137" s="313"/>
      <c r="AV137" s="313"/>
      <c r="AW137" s="16"/>
      <c r="AX137" s="313"/>
      <c r="AY137" s="313"/>
      <c r="AZ137" s="313"/>
      <c r="BA137" s="313"/>
      <c r="BB137" s="16"/>
      <c r="BC137" s="313"/>
      <c r="BD137" s="313"/>
      <c r="BE137" s="313"/>
      <c r="BF137" s="313"/>
      <c r="BG137" s="16"/>
      <c r="BH137" s="313"/>
      <c r="BI137" s="358"/>
      <c r="BJ137" s="358"/>
      <c r="BK137" s="358"/>
      <c r="BL137" s="16"/>
      <c r="BM137" s="358"/>
      <c r="BN137" s="358"/>
      <c r="BO137" s="358"/>
      <c r="BP137" s="358"/>
      <c r="BQ137" s="16"/>
      <c r="BR137" s="358"/>
      <c r="BS137" s="358"/>
      <c r="BT137" s="358"/>
      <c r="BU137" s="358"/>
      <c r="BV137" s="16"/>
      <c r="BW137" s="446"/>
      <c r="BX137" s="446"/>
      <c r="BY137" s="446"/>
      <c r="BZ137" s="446"/>
      <c r="CA137" s="16"/>
      <c r="CB137" s="358"/>
      <c r="CC137" s="358"/>
      <c r="CD137" s="358"/>
      <c r="CE137" s="358"/>
      <c r="CF137" s="16"/>
      <c r="CG137" s="358"/>
      <c r="CH137" s="358"/>
      <c r="CI137" s="358"/>
      <c r="CJ137" s="358"/>
      <c r="CK137" s="16"/>
      <c r="CL137" s="358">
        <v>-89</v>
      </c>
      <c r="CM137" s="358">
        <v>-324</v>
      </c>
      <c r="CN137" s="358">
        <v>-412</v>
      </c>
      <c r="CO137" s="358">
        <v>-648</v>
      </c>
      <c r="CP137" s="16">
        <f t="shared" si="412"/>
        <v>-648</v>
      </c>
      <c r="CQ137" s="358">
        <v>-148</v>
      </c>
      <c r="CR137" s="358">
        <v>-292</v>
      </c>
      <c r="CS137" s="358">
        <v>-431</v>
      </c>
      <c r="CT137" s="358">
        <v>-575</v>
      </c>
      <c r="CU137" s="16">
        <f t="shared" si="413"/>
        <v>-575</v>
      </c>
      <c r="CV137" s="358">
        <v>-140</v>
      </c>
      <c r="CW137" s="358">
        <v>-294</v>
      </c>
      <c r="CX137" s="358">
        <v>-455</v>
      </c>
      <c r="CY137" s="358">
        <v>-639</v>
      </c>
      <c r="CZ137" s="16">
        <f t="shared" si="414"/>
        <v>-639</v>
      </c>
      <c r="DA137" s="358">
        <v>-203</v>
      </c>
      <c r="DB137" s="358">
        <v>-350</v>
      </c>
      <c r="DC137" s="358">
        <v>-501</v>
      </c>
      <c r="DD137" s="358">
        <v>-589</v>
      </c>
      <c r="DE137" s="16">
        <f t="shared" si="415"/>
        <v>-589</v>
      </c>
      <c r="DF137" s="358">
        <v>-86</v>
      </c>
      <c r="DG137" s="358">
        <v>-394</v>
      </c>
      <c r="DH137" s="358">
        <v>-702</v>
      </c>
      <c r="DI137" s="358">
        <v>-1008</v>
      </c>
      <c r="DJ137" s="16">
        <f t="shared" si="416"/>
        <v>-1008</v>
      </c>
      <c r="DK137" s="1079">
        <v>-302</v>
      </c>
      <c r="DL137" s="1079">
        <v>-688</v>
      </c>
      <c r="DM137" s="358"/>
      <c r="DN137" s="358"/>
      <c r="DO137" s="16"/>
      <c r="DP137" s="1079"/>
      <c r="DQ137" s="358"/>
      <c r="DR137" s="358"/>
      <c r="DS137" s="358"/>
      <c r="DT137" s="16"/>
      <c r="DU137" s="16"/>
      <c r="DV137" s="16"/>
    </row>
    <row r="138" spans="1:126" s="12" customFormat="1">
      <c r="B138" s="314" t="s">
        <v>524</v>
      </c>
      <c r="C138" s="215"/>
      <c r="D138" s="215"/>
      <c r="E138" s="215"/>
      <c r="F138" s="215"/>
      <c r="G138" s="215"/>
      <c r="H138" s="215"/>
      <c r="I138" s="215"/>
      <c r="J138" s="191"/>
      <c r="K138" s="191"/>
      <c r="L138" s="191"/>
      <c r="M138" s="191"/>
      <c r="N138" s="215"/>
      <c r="O138" s="191"/>
      <c r="P138" s="191"/>
      <c r="Q138" s="191"/>
      <c r="R138" s="191"/>
      <c r="S138" s="215"/>
      <c r="T138" s="191"/>
      <c r="U138" s="191"/>
      <c r="V138" s="191"/>
      <c r="W138" s="191"/>
      <c r="X138" s="215"/>
      <c r="Y138" s="191"/>
      <c r="Z138" s="191"/>
      <c r="AA138" s="191"/>
      <c r="AB138" s="191"/>
      <c r="AC138" s="215"/>
      <c r="AD138" s="191"/>
      <c r="AE138" s="191"/>
      <c r="AF138" s="191"/>
      <c r="AG138" s="191"/>
      <c r="AH138" s="215"/>
      <c r="AI138" s="191"/>
      <c r="AJ138" s="191"/>
      <c r="AK138" s="191"/>
      <c r="AL138" s="191"/>
      <c r="AM138" s="16"/>
      <c r="AN138" s="191"/>
      <c r="AO138" s="191"/>
      <c r="AP138" s="191"/>
      <c r="AQ138" s="191"/>
      <c r="AR138" s="16"/>
      <c r="AS138" s="191"/>
      <c r="AT138" s="191"/>
      <c r="AU138" s="191"/>
      <c r="AV138" s="191"/>
      <c r="AW138" s="16"/>
      <c r="AX138" s="191"/>
      <c r="AY138" s="191"/>
      <c r="AZ138" s="191"/>
      <c r="BA138" s="191"/>
      <c r="BB138" s="215"/>
      <c r="BC138" s="191"/>
      <c r="BD138" s="191"/>
      <c r="BE138" s="191"/>
      <c r="BF138" s="191"/>
      <c r="BG138" s="215"/>
      <c r="BH138" s="191"/>
      <c r="BI138" s="310"/>
      <c r="BJ138" s="310"/>
      <c r="BK138" s="310"/>
      <c r="BL138" s="215"/>
      <c r="BM138" s="191"/>
      <c r="BN138" s="310"/>
      <c r="BO138" s="310"/>
      <c r="BP138" s="310"/>
      <c r="BQ138" s="215"/>
      <c r="BR138" s="191"/>
      <c r="BS138" s="310"/>
      <c r="BT138" s="310"/>
      <c r="BU138" s="310"/>
      <c r="BV138" s="215"/>
      <c r="BW138" s="436"/>
      <c r="BX138" s="437"/>
      <c r="BY138" s="449"/>
      <c r="BZ138" s="449"/>
      <c r="CA138" s="215"/>
      <c r="CB138" s="191"/>
      <c r="CC138" s="310"/>
      <c r="CD138" s="310"/>
      <c r="CE138" s="310"/>
      <c r="CF138" s="215"/>
      <c r="CG138" s="310"/>
      <c r="CH138" s="310"/>
      <c r="CI138" s="310"/>
      <c r="CJ138" s="310"/>
      <c r="CK138" s="215"/>
      <c r="CL138" s="310">
        <v>-226</v>
      </c>
      <c r="CM138" s="310">
        <v>-623</v>
      </c>
      <c r="CN138" s="310">
        <v>-369</v>
      </c>
      <c r="CO138" s="310">
        <f>-335-6</f>
        <v>-341</v>
      </c>
      <c r="CP138" s="16">
        <f t="shared" si="412"/>
        <v>-341</v>
      </c>
      <c r="CQ138" s="310">
        <v>57</v>
      </c>
      <c r="CR138" s="310">
        <v>-1609</v>
      </c>
      <c r="CS138" s="310">
        <v>-1836</v>
      </c>
      <c r="CT138" s="310">
        <f>-7196-658</f>
        <v>-7854</v>
      </c>
      <c r="CU138" s="16">
        <f t="shared" si="413"/>
        <v>-7854</v>
      </c>
      <c r="CV138" s="310">
        <v>-30</v>
      </c>
      <c r="CW138" s="310">
        <v>-440</v>
      </c>
      <c r="CX138" s="310">
        <v>-679</v>
      </c>
      <c r="CY138" s="310">
        <f>338-1065</f>
        <v>-727</v>
      </c>
      <c r="CZ138" s="215">
        <f t="shared" si="414"/>
        <v>-727</v>
      </c>
      <c r="DA138" s="310">
        <v>87</v>
      </c>
      <c r="DB138" s="310">
        <v>206</v>
      </c>
      <c r="DC138" s="310">
        <v>278</v>
      </c>
      <c r="DD138" s="310">
        <v>410</v>
      </c>
      <c r="DE138" s="16">
        <f t="shared" si="415"/>
        <v>410</v>
      </c>
      <c r="DF138" s="310">
        <v>540</v>
      </c>
      <c r="DG138" s="310">
        <v>636</v>
      </c>
      <c r="DH138" s="310">
        <f>1139-1</f>
        <v>1138</v>
      </c>
      <c r="DI138" s="310">
        <f>992+1</f>
        <v>993</v>
      </c>
      <c r="DJ138" s="16">
        <f t="shared" si="416"/>
        <v>993</v>
      </c>
      <c r="DK138" s="1081">
        <v>39</v>
      </c>
      <c r="DL138" s="1081">
        <v>136</v>
      </c>
      <c r="DM138" s="310"/>
      <c r="DN138" s="310"/>
      <c r="DO138" s="215"/>
      <c r="DP138" s="1081"/>
      <c r="DQ138" s="310"/>
      <c r="DR138" s="310"/>
      <c r="DS138" s="310"/>
      <c r="DT138" s="215"/>
      <c r="DU138" s="215"/>
      <c r="DV138" s="215"/>
    </row>
    <row r="139" spans="1:126" s="12" customFormat="1" ht="12">
      <c r="B139" s="255" t="s">
        <v>205</v>
      </c>
      <c r="C139" s="130">
        <f>SUM(C132:C138)</f>
        <v>0</v>
      </c>
      <c r="D139" s="130">
        <f>SUM(D132:D138)</f>
        <v>0</v>
      </c>
      <c r="E139" s="130">
        <f t="shared" ref="E139:L139" si="417">SUM(E132:E137)</f>
        <v>0</v>
      </c>
      <c r="F139" s="130">
        <f t="shared" si="417"/>
        <v>0</v>
      </c>
      <c r="G139" s="130">
        <f t="shared" si="417"/>
        <v>0</v>
      </c>
      <c r="H139" s="130">
        <f t="shared" si="417"/>
        <v>0</v>
      </c>
      <c r="I139" s="130">
        <f t="shared" si="417"/>
        <v>0</v>
      </c>
      <c r="J139" s="189">
        <f t="shared" si="417"/>
        <v>0</v>
      </c>
      <c r="K139" s="189">
        <f t="shared" si="417"/>
        <v>0</v>
      </c>
      <c r="L139" s="189">
        <f t="shared" si="417"/>
        <v>0</v>
      </c>
      <c r="M139" s="189">
        <f t="shared" si="362"/>
        <v>0</v>
      </c>
      <c r="N139" s="130">
        <f>SUM(N132:N137)</f>
        <v>0</v>
      </c>
      <c r="O139" s="189">
        <f>SUM(O132:O137)</f>
        <v>0</v>
      </c>
      <c r="P139" s="189">
        <f>SUM(P132:P137)</f>
        <v>0</v>
      </c>
      <c r="Q139" s="189">
        <f>SUM(Q132:Q137)</f>
        <v>0</v>
      </c>
      <c r="R139" s="189">
        <f t="shared" si="363"/>
        <v>0</v>
      </c>
      <c r="S139" s="130">
        <f>SUM(S132:S137)</f>
        <v>0</v>
      </c>
      <c r="T139" s="189">
        <f>SUM(T132:T137)</f>
        <v>0</v>
      </c>
      <c r="U139" s="189">
        <f>SUM(U132:U137)</f>
        <v>0</v>
      </c>
      <c r="V139" s="189">
        <f>SUM(V132:V137)</f>
        <v>0</v>
      </c>
      <c r="W139" s="189">
        <f t="shared" si="364"/>
        <v>0</v>
      </c>
      <c r="X139" s="130">
        <f>SUM(X132:X137)</f>
        <v>0</v>
      </c>
      <c r="Y139" s="189">
        <f>SUM(Y132:Y137)</f>
        <v>0</v>
      </c>
      <c r="Z139" s="189">
        <f>SUM(Z132:Z137)</f>
        <v>0</v>
      </c>
      <c r="AA139" s="189">
        <f>SUM(AA132:AA137)</f>
        <v>0</v>
      </c>
      <c r="AB139" s="189">
        <f t="shared" si="365"/>
        <v>0</v>
      </c>
      <c r="AC139" s="130">
        <f>SUM(AC132:AC138)</f>
        <v>0</v>
      </c>
      <c r="AD139" s="189">
        <f>SUM(AD132:AD137)</f>
        <v>0</v>
      </c>
      <c r="AE139" s="189">
        <f>SUM(AE132:AE137)</f>
        <v>0</v>
      </c>
      <c r="AF139" s="189">
        <f>SUM(AF132:AF137)</f>
        <v>0</v>
      </c>
      <c r="AG139" s="189">
        <f t="shared" si="366"/>
        <v>0</v>
      </c>
      <c r="AH139" s="130">
        <f t="shared" ref="AH139:AS139" si="418">SUM(AH132:AH137)</f>
        <v>0</v>
      </c>
      <c r="AI139" s="189">
        <f t="shared" si="418"/>
        <v>0</v>
      </c>
      <c r="AJ139" s="189">
        <f t="shared" si="418"/>
        <v>0</v>
      </c>
      <c r="AK139" s="189">
        <f t="shared" si="418"/>
        <v>0</v>
      </c>
      <c r="AL139" s="189">
        <f t="shared" si="418"/>
        <v>0</v>
      </c>
      <c r="AM139" s="130">
        <f t="shared" si="418"/>
        <v>0</v>
      </c>
      <c r="AN139" s="189">
        <f t="shared" si="418"/>
        <v>0</v>
      </c>
      <c r="AO139" s="189">
        <f t="shared" si="418"/>
        <v>0</v>
      </c>
      <c r="AP139" s="189">
        <f t="shared" si="418"/>
        <v>0</v>
      </c>
      <c r="AQ139" s="189">
        <f t="shared" si="418"/>
        <v>0</v>
      </c>
      <c r="AR139" s="130">
        <f t="shared" si="418"/>
        <v>0</v>
      </c>
      <c r="AS139" s="189">
        <f t="shared" si="418"/>
        <v>0</v>
      </c>
      <c r="AT139" s="189">
        <f t="shared" ref="AT139:BY139" si="419">SUM(AT132:AT138)</f>
        <v>0</v>
      </c>
      <c r="AU139" s="189">
        <f t="shared" si="419"/>
        <v>0</v>
      </c>
      <c r="AV139" s="189">
        <f t="shared" si="419"/>
        <v>0</v>
      </c>
      <c r="AW139" s="130">
        <f t="shared" si="419"/>
        <v>0</v>
      </c>
      <c r="AX139" s="189">
        <f t="shared" si="419"/>
        <v>0</v>
      </c>
      <c r="AY139" s="189">
        <f t="shared" si="419"/>
        <v>0</v>
      </c>
      <c r="AZ139" s="189">
        <f t="shared" si="419"/>
        <v>0</v>
      </c>
      <c r="BA139" s="189">
        <f t="shared" si="419"/>
        <v>0</v>
      </c>
      <c r="BB139" s="130">
        <f t="shared" si="419"/>
        <v>0</v>
      </c>
      <c r="BC139" s="189">
        <f t="shared" si="419"/>
        <v>0</v>
      </c>
      <c r="BD139" s="189">
        <f t="shared" si="419"/>
        <v>0</v>
      </c>
      <c r="BE139" s="189">
        <f t="shared" si="419"/>
        <v>0</v>
      </c>
      <c r="BF139" s="189">
        <f t="shared" si="419"/>
        <v>0</v>
      </c>
      <c r="BG139" s="130">
        <f t="shared" si="419"/>
        <v>0</v>
      </c>
      <c r="BH139" s="189">
        <f t="shared" si="419"/>
        <v>0</v>
      </c>
      <c r="BI139" s="307">
        <f t="shared" si="419"/>
        <v>0</v>
      </c>
      <c r="BJ139" s="307">
        <f t="shared" si="419"/>
        <v>0</v>
      </c>
      <c r="BK139" s="307">
        <f t="shared" si="419"/>
        <v>0</v>
      </c>
      <c r="BL139" s="130">
        <f t="shared" si="419"/>
        <v>0</v>
      </c>
      <c r="BM139" s="307">
        <f t="shared" si="419"/>
        <v>0</v>
      </c>
      <c r="BN139" s="307">
        <f t="shared" si="419"/>
        <v>0</v>
      </c>
      <c r="BO139" s="307">
        <f t="shared" si="419"/>
        <v>0</v>
      </c>
      <c r="BP139" s="307">
        <f t="shared" si="419"/>
        <v>0</v>
      </c>
      <c r="BQ139" s="130">
        <f t="shared" si="419"/>
        <v>0</v>
      </c>
      <c r="BR139" s="307">
        <f t="shared" si="419"/>
        <v>0</v>
      </c>
      <c r="BS139" s="307">
        <f t="shared" si="419"/>
        <v>0</v>
      </c>
      <c r="BT139" s="307">
        <f t="shared" si="419"/>
        <v>0</v>
      </c>
      <c r="BU139" s="307">
        <f t="shared" si="419"/>
        <v>0</v>
      </c>
      <c r="BV139" s="130">
        <f t="shared" si="419"/>
        <v>0</v>
      </c>
      <c r="BW139" s="453">
        <f t="shared" si="419"/>
        <v>0</v>
      </c>
      <c r="BX139" s="453">
        <f t="shared" si="419"/>
        <v>0</v>
      </c>
      <c r="BY139" s="453">
        <f t="shared" si="419"/>
        <v>0</v>
      </c>
      <c r="BZ139" s="453">
        <f t="shared" ref="BZ139:DF139" si="420">SUM(BZ132:BZ138)</f>
        <v>0</v>
      </c>
      <c r="CA139" s="130">
        <f t="shared" si="420"/>
        <v>0</v>
      </c>
      <c r="CB139" s="307">
        <f t="shared" si="420"/>
        <v>0</v>
      </c>
      <c r="CC139" s="307">
        <f t="shared" si="420"/>
        <v>0</v>
      </c>
      <c r="CD139" s="307">
        <f t="shared" si="420"/>
        <v>0</v>
      </c>
      <c r="CE139" s="307">
        <f t="shared" si="420"/>
        <v>0</v>
      </c>
      <c r="CF139" s="130">
        <f t="shared" si="420"/>
        <v>0</v>
      </c>
      <c r="CG139" s="307">
        <f t="shared" si="420"/>
        <v>0</v>
      </c>
      <c r="CH139" s="307">
        <f t="shared" si="420"/>
        <v>0</v>
      </c>
      <c r="CI139" s="307">
        <f t="shared" si="420"/>
        <v>0</v>
      </c>
      <c r="CJ139" s="307">
        <f t="shared" si="420"/>
        <v>0</v>
      </c>
      <c r="CK139" s="130">
        <f t="shared" si="420"/>
        <v>0</v>
      </c>
      <c r="CL139" s="307">
        <f t="shared" si="420"/>
        <v>-7962</v>
      </c>
      <c r="CM139" s="307">
        <f t="shared" si="420"/>
        <v>-12040</v>
      </c>
      <c r="CN139" s="307">
        <f t="shared" si="420"/>
        <v>-15013</v>
      </c>
      <c r="CO139" s="307">
        <f t="shared" si="420"/>
        <v>-19761</v>
      </c>
      <c r="CP139" s="130">
        <f t="shared" si="420"/>
        <v>-19761</v>
      </c>
      <c r="CQ139" s="307">
        <f t="shared" si="420"/>
        <v>-1609</v>
      </c>
      <c r="CR139" s="307">
        <f t="shared" si="420"/>
        <v>-12008</v>
      </c>
      <c r="CS139" s="307">
        <f t="shared" si="420"/>
        <v>-12503</v>
      </c>
      <c r="CT139" s="307">
        <f t="shared" si="420"/>
        <v>-45296</v>
      </c>
      <c r="CU139" s="130">
        <f t="shared" si="420"/>
        <v>-45296</v>
      </c>
      <c r="CV139" s="307">
        <f t="shared" si="420"/>
        <v>-1431</v>
      </c>
      <c r="CW139" s="307">
        <f t="shared" si="420"/>
        <v>-3086</v>
      </c>
      <c r="CX139" s="307">
        <f t="shared" si="420"/>
        <v>-5038</v>
      </c>
      <c r="CY139" s="307">
        <f t="shared" si="420"/>
        <v>-13688</v>
      </c>
      <c r="CZ139" s="130">
        <f t="shared" si="420"/>
        <v>-13544</v>
      </c>
      <c r="DA139" s="307">
        <f t="shared" si="420"/>
        <v>-5230</v>
      </c>
      <c r="DB139" s="307">
        <f t="shared" si="420"/>
        <v>-6387</v>
      </c>
      <c r="DC139" s="307">
        <f t="shared" si="420"/>
        <v>-10218</v>
      </c>
      <c r="DD139" s="307">
        <f t="shared" si="420"/>
        <v>-10611</v>
      </c>
      <c r="DE139" s="130">
        <f t="shared" si="420"/>
        <v>-10611</v>
      </c>
      <c r="DF139" s="307">
        <f t="shared" si="420"/>
        <v>-203</v>
      </c>
      <c r="DG139" s="378">
        <f t="shared" ref="DG139:DJ139" si="421">SUM(DG132:DG138)</f>
        <v>-2995</v>
      </c>
      <c r="DH139" s="378">
        <f t="shared" si="421"/>
        <v>-4453</v>
      </c>
      <c r="DI139" s="378">
        <f t="shared" si="421"/>
        <v>-6628</v>
      </c>
      <c r="DJ139" s="130">
        <f t="shared" si="421"/>
        <v>-6628</v>
      </c>
      <c r="DK139" s="378">
        <f t="shared" ref="DK139:DL139" si="422">SUM(DK132:DK138)</f>
        <v>-2284</v>
      </c>
      <c r="DL139" s="378">
        <f t="shared" si="422"/>
        <v>-5490</v>
      </c>
      <c r="DM139" s="307"/>
      <c r="DN139" s="307"/>
      <c r="DO139" s="130"/>
      <c r="DP139" s="378"/>
      <c r="DQ139" s="307"/>
      <c r="DR139" s="307"/>
      <c r="DS139" s="307"/>
      <c r="DT139" s="130"/>
      <c r="DU139" s="130"/>
      <c r="DV139" s="130"/>
    </row>
    <row r="140" spans="1:126" s="12" customFormat="1" ht="12">
      <c r="B140" s="314" t="s">
        <v>531</v>
      </c>
      <c r="C140" s="130"/>
      <c r="D140" s="130"/>
      <c r="E140" s="130"/>
      <c r="F140" s="130"/>
      <c r="G140" s="130"/>
      <c r="H140" s="130"/>
      <c r="I140" s="130"/>
      <c r="J140" s="189"/>
      <c r="K140" s="189"/>
      <c r="L140" s="189"/>
      <c r="M140" s="189"/>
      <c r="N140" s="130"/>
      <c r="O140" s="189"/>
      <c r="P140" s="189"/>
      <c r="Q140" s="189"/>
      <c r="R140" s="189"/>
      <c r="S140" s="130"/>
      <c r="T140" s="189"/>
      <c r="U140" s="189"/>
      <c r="V140" s="189"/>
      <c r="W140" s="189"/>
      <c r="X140" s="130"/>
      <c r="Y140" s="189"/>
      <c r="Z140" s="189"/>
      <c r="AA140" s="189"/>
      <c r="AB140" s="189"/>
      <c r="AC140" s="130"/>
      <c r="AD140" s="189"/>
      <c r="AE140" s="189"/>
      <c r="AF140" s="189"/>
      <c r="AG140" s="189"/>
      <c r="AH140" s="130"/>
      <c r="AI140" s="189"/>
      <c r="AJ140" s="189"/>
      <c r="AK140" s="189"/>
      <c r="AL140" s="189"/>
      <c r="AM140" s="130"/>
      <c r="AN140" s="189"/>
      <c r="AO140" s="189"/>
      <c r="AP140" s="189"/>
      <c r="AQ140" s="189"/>
      <c r="AR140" s="130"/>
      <c r="AS140" s="189"/>
      <c r="AT140" s="189"/>
      <c r="AU140" s="189"/>
      <c r="AV140" s="189"/>
      <c r="AW140" s="130"/>
      <c r="AX140" s="189"/>
      <c r="AY140" s="189"/>
      <c r="AZ140" s="189"/>
      <c r="BA140" s="189"/>
      <c r="BB140" s="130"/>
      <c r="BC140" s="189"/>
      <c r="BD140" s="189"/>
      <c r="BE140" s="189"/>
      <c r="BF140" s="189"/>
      <c r="BG140" s="130"/>
      <c r="BH140" s="189"/>
      <c r="BI140" s="307"/>
      <c r="BJ140" s="307"/>
      <c r="BK140" s="307"/>
      <c r="BL140" s="130"/>
      <c r="BM140" s="307"/>
      <c r="BN140" s="307"/>
      <c r="BO140" s="307"/>
      <c r="BP140" s="307"/>
      <c r="BQ140" s="130"/>
      <c r="BR140" s="307"/>
      <c r="BS140" s="307"/>
      <c r="BT140" s="307"/>
      <c r="BU140" s="307"/>
      <c r="BV140" s="130"/>
      <c r="BW140" s="453"/>
      <c r="BX140" s="453"/>
      <c r="BY140" s="453"/>
      <c r="BZ140" s="453"/>
      <c r="CA140" s="130"/>
      <c r="CB140" s="307"/>
      <c r="CC140" s="307"/>
      <c r="CD140" s="307"/>
      <c r="CE140" s="307"/>
      <c r="CF140" s="130"/>
      <c r="CG140" s="307"/>
      <c r="CH140" s="307"/>
      <c r="CI140" s="307"/>
      <c r="CJ140" s="307"/>
      <c r="CK140" s="130"/>
      <c r="CL140" s="317">
        <v>43</v>
      </c>
      <c r="CM140" s="317">
        <v>41</v>
      </c>
      <c r="CN140" s="317">
        <v>-24</v>
      </c>
      <c r="CO140" s="317">
        <v>-90</v>
      </c>
      <c r="CP140" s="16">
        <f>CO140</f>
        <v>-90</v>
      </c>
      <c r="CQ140" s="307">
        <v>3</v>
      </c>
      <c r="CR140" s="317">
        <v>2</v>
      </c>
      <c r="CS140" s="317">
        <v>101</v>
      </c>
      <c r="CT140" s="317">
        <v>119</v>
      </c>
      <c r="CU140" s="16">
        <f>CT140</f>
        <v>119</v>
      </c>
      <c r="CV140" s="317">
        <v>-28</v>
      </c>
      <c r="CW140" s="317">
        <v>-54</v>
      </c>
      <c r="CX140" s="317">
        <v>-89</v>
      </c>
      <c r="CY140" s="317">
        <v>8102</v>
      </c>
      <c r="CZ140" s="222">
        <f>CY140</f>
        <v>8102</v>
      </c>
      <c r="DA140" s="317">
        <v>1999</v>
      </c>
      <c r="DB140" s="317">
        <v>1992</v>
      </c>
      <c r="DC140" s="317">
        <v>1999</v>
      </c>
      <c r="DD140" s="317">
        <v>2000</v>
      </c>
      <c r="DE140" s="16">
        <f>DD140</f>
        <v>2000</v>
      </c>
      <c r="DF140" s="307">
        <v>0</v>
      </c>
      <c r="DG140" s="378">
        <v>-98</v>
      </c>
      <c r="DH140" s="307">
        <v>-98</v>
      </c>
      <c r="DI140" s="307">
        <v>-98</v>
      </c>
      <c r="DJ140" s="16">
        <f>DI140</f>
        <v>-98</v>
      </c>
      <c r="DK140" s="1085">
        <v>0</v>
      </c>
      <c r="DL140" s="1085">
        <v>0</v>
      </c>
      <c r="DM140" s="307"/>
      <c r="DN140" s="307"/>
      <c r="DO140" s="130"/>
      <c r="DP140" s="1085"/>
      <c r="DQ140" s="307"/>
      <c r="DR140" s="307"/>
      <c r="DS140" s="307"/>
      <c r="DT140" s="130"/>
      <c r="DU140" s="130"/>
      <c r="DV140" s="130"/>
    </row>
    <row r="141" spans="1:126" s="12" customFormat="1" ht="12">
      <c r="B141" s="846" t="s">
        <v>532</v>
      </c>
      <c r="C141" s="130"/>
      <c r="D141" s="130"/>
      <c r="E141" s="130"/>
      <c r="F141" s="130"/>
      <c r="G141" s="130"/>
      <c r="H141" s="130"/>
      <c r="I141" s="130"/>
      <c r="J141" s="189"/>
      <c r="K141" s="189"/>
      <c r="L141" s="189"/>
      <c r="M141" s="189"/>
      <c r="N141" s="130"/>
      <c r="O141" s="189"/>
      <c r="P141" s="189"/>
      <c r="Q141" s="189"/>
      <c r="R141" s="189"/>
      <c r="S141" s="130"/>
      <c r="T141" s="189"/>
      <c r="U141" s="189"/>
      <c r="V141" s="189"/>
      <c r="W141" s="189"/>
      <c r="X141" s="130"/>
      <c r="Y141" s="189"/>
      <c r="Z141" s="189"/>
      <c r="AA141" s="189"/>
      <c r="AB141" s="189"/>
      <c r="AC141" s="130"/>
      <c r="AD141" s="189"/>
      <c r="AE141" s="189"/>
      <c r="AF141" s="189"/>
      <c r="AG141" s="189"/>
      <c r="AH141" s="130"/>
      <c r="AI141" s="189"/>
      <c r="AJ141" s="189"/>
      <c r="AK141" s="189"/>
      <c r="AL141" s="189"/>
      <c r="AM141" s="130"/>
      <c r="AN141" s="189"/>
      <c r="AO141" s="189"/>
      <c r="AP141" s="189"/>
      <c r="AQ141" s="189"/>
      <c r="AR141" s="130"/>
      <c r="AS141" s="189"/>
      <c r="AT141" s="189"/>
      <c r="AU141" s="189"/>
      <c r="AV141" s="189"/>
      <c r="AW141" s="130"/>
      <c r="AX141" s="189"/>
      <c r="AY141" s="189"/>
      <c r="AZ141" s="189"/>
      <c r="BA141" s="189"/>
      <c r="BB141" s="130"/>
      <c r="BC141" s="189"/>
      <c r="BD141" s="189"/>
      <c r="BE141" s="189"/>
      <c r="BF141" s="189"/>
      <c r="BG141" s="130"/>
      <c r="BH141" s="189"/>
      <c r="BI141" s="307"/>
      <c r="BJ141" s="307"/>
      <c r="BK141" s="307"/>
      <c r="BL141" s="130"/>
      <c r="BM141" s="307"/>
      <c r="BN141" s="307"/>
      <c r="BO141" s="307"/>
      <c r="BP141" s="307"/>
      <c r="BQ141" s="130"/>
      <c r="BR141" s="307"/>
      <c r="BS141" s="307"/>
      <c r="BT141" s="307"/>
      <c r="BU141" s="307"/>
      <c r="BV141" s="130"/>
      <c r="BW141" s="453"/>
      <c r="BX141" s="453"/>
      <c r="BY141" s="453"/>
      <c r="BZ141" s="453"/>
      <c r="CA141" s="130"/>
      <c r="CB141" s="307"/>
      <c r="CC141" s="307"/>
      <c r="CD141" s="307"/>
      <c r="CE141" s="307"/>
      <c r="CF141" s="130"/>
      <c r="CG141" s="307"/>
      <c r="CH141" s="307"/>
      <c r="CI141" s="307"/>
      <c r="CJ141" s="307"/>
      <c r="CK141" s="130"/>
      <c r="CL141" s="307">
        <f>SUM(CL139:CL140)</f>
        <v>-7919</v>
      </c>
      <c r="CM141" s="307">
        <f t="shared" ref="CM141:CZ141" si="423">SUM(CM139:CM140)</f>
        <v>-11999</v>
      </c>
      <c r="CN141" s="307">
        <f t="shared" si="423"/>
        <v>-15037</v>
      </c>
      <c r="CO141" s="307">
        <f t="shared" si="423"/>
        <v>-19851</v>
      </c>
      <c r="CP141" s="130">
        <f t="shared" si="423"/>
        <v>-19851</v>
      </c>
      <c r="CQ141" s="307">
        <f t="shared" si="423"/>
        <v>-1606</v>
      </c>
      <c r="CR141" s="307">
        <f t="shared" si="423"/>
        <v>-12006</v>
      </c>
      <c r="CS141" s="307">
        <f t="shared" si="423"/>
        <v>-12402</v>
      </c>
      <c r="CT141" s="307">
        <f t="shared" si="423"/>
        <v>-45177</v>
      </c>
      <c r="CU141" s="130">
        <f t="shared" si="423"/>
        <v>-45177</v>
      </c>
      <c r="CV141" s="307">
        <f t="shared" si="423"/>
        <v>-1459</v>
      </c>
      <c r="CW141" s="307">
        <f t="shared" si="423"/>
        <v>-3140</v>
      </c>
      <c r="CX141" s="307">
        <f t="shared" si="423"/>
        <v>-5127</v>
      </c>
      <c r="CY141" s="307">
        <f t="shared" si="423"/>
        <v>-5586</v>
      </c>
      <c r="CZ141" s="130">
        <f t="shared" si="423"/>
        <v>-5442</v>
      </c>
      <c r="DA141" s="307">
        <f t="shared" ref="DA141" si="424">SUM(DA139:DA140)</f>
        <v>-3231</v>
      </c>
      <c r="DB141" s="307">
        <f t="shared" ref="DB141" si="425">SUM(DB139:DB140)</f>
        <v>-4395</v>
      </c>
      <c r="DC141" s="307">
        <f t="shared" ref="DC141" si="426">SUM(DC139:DC140)</f>
        <v>-8219</v>
      </c>
      <c r="DD141" s="307">
        <f t="shared" ref="DD141:DI141" si="427">SUM(DD139:DD140)</f>
        <v>-8611</v>
      </c>
      <c r="DE141" s="130">
        <f t="shared" si="427"/>
        <v>-8611</v>
      </c>
      <c r="DF141" s="307">
        <f t="shared" si="427"/>
        <v>-203</v>
      </c>
      <c r="DG141" s="378">
        <f t="shared" si="427"/>
        <v>-3093</v>
      </c>
      <c r="DH141" s="378">
        <f t="shared" si="427"/>
        <v>-4551</v>
      </c>
      <c r="DI141" s="378">
        <f t="shared" si="427"/>
        <v>-6726</v>
      </c>
      <c r="DJ141" s="130">
        <f t="shared" ref="DJ141:DL141" si="428">SUM(DJ139:DJ140)</f>
        <v>-6726</v>
      </c>
      <c r="DK141" s="378">
        <f t="shared" si="428"/>
        <v>-2284</v>
      </c>
      <c r="DL141" s="378">
        <f t="shared" si="428"/>
        <v>-5490</v>
      </c>
      <c r="DM141" s="307"/>
      <c r="DN141" s="307"/>
      <c r="DO141" s="130"/>
      <c r="DP141" s="378"/>
      <c r="DQ141" s="307"/>
      <c r="DR141" s="307"/>
      <c r="DS141" s="307"/>
      <c r="DT141" s="130"/>
      <c r="DU141" s="130"/>
      <c r="DV141" s="130"/>
    </row>
    <row r="142" spans="1:126" s="12" customFormat="1">
      <c r="B142" s="190" t="s">
        <v>167</v>
      </c>
      <c r="C142" s="215">
        <v>0</v>
      </c>
      <c r="D142" s="215">
        <v>0</v>
      </c>
      <c r="E142" s="215">
        <v>0</v>
      </c>
      <c r="F142" s="215">
        <v>0</v>
      </c>
      <c r="G142" s="215">
        <v>0</v>
      </c>
      <c r="H142" s="215">
        <v>0</v>
      </c>
      <c r="I142" s="215">
        <v>0</v>
      </c>
      <c r="J142" s="191">
        <v>0</v>
      </c>
      <c r="K142" s="191">
        <v>0</v>
      </c>
      <c r="L142" s="191">
        <v>0</v>
      </c>
      <c r="M142" s="191">
        <f t="shared" si="362"/>
        <v>0</v>
      </c>
      <c r="N142" s="215">
        <v>0</v>
      </c>
      <c r="O142" s="191"/>
      <c r="P142" s="191"/>
      <c r="Q142" s="191">
        <v>0</v>
      </c>
      <c r="R142" s="191">
        <f t="shared" si="363"/>
        <v>0</v>
      </c>
      <c r="S142" s="215">
        <v>0</v>
      </c>
      <c r="T142" s="191"/>
      <c r="U142" s="191"/>
      <c r="V142" s="191">
        <v>0</v>
      </c>
      <c r="W142" s="191">
        <f t="shared" si="364"/>
        <v>0</v>
      </c>
      <c r="X142" s="215">
        <v>0</v>
      </c>
      <c r="Y142" s="191">
        <v>0</v>
      </c>
      <c r="Z142" s="191">
        <v>0</v>
      </c>
      <c r="AA142" s="191">
        <v>0</v>
      </c>
      <c r="AB142" s="191">
        <f t="shared" si="365"/>
        <v>0</v>
      </c>
      <c r="AC142" s="215">
        <v>0</v>
      </c>
      <c r="AD142" s="191">
        <v>0</v>
      </c>
      <c r="AE142" s="191">
        <v>0</v>
      </c>
      <c r="AF142" s="191">
        <v>0</v>
      </c>
      <c r="AG142" s="191">
        <f t="shared" si="366"/>
        <v>-56</v>
      </c>
      <c r="AH142" s="215">
        <v>-56</v>
      </c>
      <c r="AI142" s="191">
        <v>0</v>
      </c>
      <c r="AJ142" s="191">
        <v>32</v>
      </c>
      <c r="AK142" s="191">
        <v>24</v>
      </c>
      <c r="AL142" s="191">
        <v>44</v>
      </c>
      <c r="AM142" s="16">
        <f>AL142</f>
        <v>44</v>
      </c>
      <c r="AN142" s="191">
        <v>-14</v>
      </c>
      <c r="AO142" s="191">
        <v>-19</v>
      </c>
      <c r="AP142" s="191">
        <v>1</v>
      </c>
      <c r="AQ142" s="191">
        <v>5</v>
      </c>
      <c r="AR142" s="16">
        <f>AQ142</f>
        <v>5</v>
      </c>
      <c r="AS142" s="191">
        <v>12</v>
      </c>
      <c r="AT142" s="191">
        <v>10</v>
      </c>
      <c r="AU142" s="191">
        <v>-9</v>
      </c>
      <c r="AV142" s="191">
        <v>0</v>
      </c>
      <c r="AW142" s="16">
        <f>AV142</f>
        <v>0</v>
      </c>
      <c r="AX142" s="191">
        <v>0</v>
      </c>
      <c r="AY142" s="191">
        <v>0</v>
      </c>
      <c r="AZ142" s="191">
        <v>0</v>
      </c>
      <c r="BA142" s="191">
        <v>0</v>
      </c>
      <c r="BB142" s="215">
        <f>BA142</f>
        <v>0</v>
      </c>
      <c r="BC142" s="191">
        <v>0</v>
      </c>
      <c r="BD142" s="191">
        <v>0</v>
      </c>
      <c r="BE142" s="191">
        <v>0</v>
      </c>
      <c r="BF142" s="191">
        <v>0</v>
      </c>
      <c r="BG142" s="215">
        <f>BF142</f>
        <v>0</v>
      </c>
      <c r="BH142" s="191">
        <v>0</v>
      </c>
      <c r="BI142" s="310">
        <v>0</v>
      </c>
      <c r="BJ142" s="310">
        <v>0</v>
      </c>
      <c r="BK142" s="310">
        <v>0</v>
      </c>
      <c r="BL142" s="215">
        <f>BK142</f>
        <v>0</v>
      </c>
      <c r="BM142" s="191">
        <v>0</v>
      </c>
      <c r="BN142" s="310">
        <v>0</v>
      </c>
      <c r="BO142" s="310">
        <v>0</v>
      </c>
      <c r="BP142" s="310">
        <v>0</v>
      </c>
      <c r="BQ142" s="215">
        <f>BP142</f>
        <v>0</v>
      </c>
      <c r="BR142" s="191">
        <v>-1</v>
      </c>
      <c r="BS142" s="310">
        <v>-1</v>
      </c>
      <c r="BT142" s="310">
        <v>0</v>
      </c>
      <c r="BU142" s="310">
        <v>0</v>
      </c>
      <c r="BV142" s="215">
        <f>BU142</f>
        <v>0</v>
      </c>
      <c r="BW142" s="436"/>
      <c r="BX142" s="437"/>
      <c r="BY142" s="449"/>
      <c r="BZ142" s="449"/>
      <c r="CA142" s="215">
        <f>BZ142</f>
        <v>0</v>
      </c>
      <c r="CB142" s="191"/>
      <c r="CC142" s="310"/>
      <c r="CD142" s="310"/>
      <c r="CE142" s="310"/>
      <c r="CF142" s="215">
        <f>CE142</f>
        <v>0</v>
      </c>
      <c r="CG142" s="191"/>
      <c r="CH142" s="310"/>
      <c r="CI142" s="310"/>
      <c r="CJ142" s="310"/>
      <c r="CK142" s="215">
        <f>CJ142</f>
        <v>0</v>
      </c>
      <c r="CL142" s="310">
        <v>-256</v>
      </c>
      <c r="CM142" s="310">
        <v>-217</v>
      </c>
      <c r="CN142" s="310">
        <v>-11</v>
      </c>
      <c r="CO142" s="310">
        <v>146</v>
      </c>
      <c r="CP142" s="215">
        <f t="shared" ref="CP142" si="429">CO142</f>
        <v>146</v>
      </c>
      <c r="CQ142" s="310">
        <v>-131</v>
      </c>
      <c r="CR142" s="310">
        <v>-37</v>
      </c>
      <c r="CS142" s="310">
        <v>-136</v>
      </c>
      <c r="CT142" s="310">
        <v>-213</v>
      </c>
      <c r="CU142" s="215">
        <f t="shared" ref="CU142" si="430">CT142</f>
        <v>-213</v>
      </c>
      <c r="CV142" s="310">
        <v>-75</v>
      </c>
      <c r="CW142" s="310">
        <v>-266</v>
      </c>
      <c r="CX142" s="310">
        <v>-623</v>
      </c>
      <c r="CY142" s="310">
        <v>-369</v>
      </c>
      <c r="CZ142" s="215">
        <f t="shared" ref="CZ142" si="431">CY142</f>
        <v>-369</v>
      </c>
      <c r="DA142" s="310">
        <v>65</v>
      </c>
      <c r="DB142" s="310">
        <v>79</v>
      </c>
      <c r="DC142" s="310">
        <v>-91</v>
      </c>
      <c r="DD142" s="310">
        <v>120</v>
      </c>
      <c r="DE142" s="215">
        <f t="shared" ref="DE142" si="432">DD142</f>
        <v>120</v>
      </c>
      <c r="DF142" s="310">
        <v>-61</v>
      </c>
      <c r="DG142" s="310">
        <v>-143</v>
      </c>
      <c r="DH142" s="310">
        <v>-58</v>
      </c>
      <c r="DI142" s="310">
        <v>-193</v>
      </c>
      <c r="DJ142" s="215">
        <f t="shared" ref="DJ142" si="433">DI142</f>
        <v>-193</v>
      </c>
      <c r="DK142" s="1081">
        <v>84</v>
      </c>
      <c r="DL142" s="1081">
        <v>188</v>
      </c>
      <c r="DM142" s="310"/>
      <c r="DN142" s="310"/>
      <c r="DO142" s="215"/>
      <c r="DP142" s="1081"/>
      <c r="DQ142" s="310"/>
      <c r="DR142" s="310"/>
      <c r="DS142" s="310"/>
      <c r="DT142" s="215"/>
      <c r="DU142" s="215"/>
      <c r="DV142" s="215"/>
    </row>
    <row r="143" spans="1:126" s="12" customFormat="1" ht="12">
      <c r="B143" s="255" t="s">
        <v>136</v>
      </c>
      <c r="C143" s="130">
        <f t="shared" ref="C143:L143" si="434">C142+C139+C129+C117</f>
        <v>0</v>
      </c>
      <c r="D143" s="130">
        <f t="shared" si="434"/>
        <v>0</v>
      </c>
      <c r="E143" s="130">
        <f t="shared" si="434"/>
        <v>0</v>
      </c>
      <c r="F143" s="130">
        <f t="shared" si="434"/>
        <v>0</v>
      </c>
      <c r="G143" s="130">
        <f t="shared" si="434"/>
        <v>0</v>
      </c>
      <c r="H143" s="130">
        <f t="shared" si="434"/>
        <v>0</v>
      </c>
      <c r="I143" s="130">
        <f t="shared" si="434"/>
        <v>0</v>
      </c>
      <c r="J143" s="189">
        <f t="shared" si="434"/>
        <v>0</v>
      </c>
      <c r="K143" s="189">
        <f t="shared" si="434"/>
        <v>0</v>
      </c>
      <c r="L143" s="189">
        <f t="shared" si="434"/>
        <v>0</v>
      </c>
      <c r="M143" s="189">
        <f t="shared" si="362"/>
        <v>0</v>
      </c>
      <c r="N143" s="130">
        <f>N142+N139+N129+N117</f>
        <v>0</v>
      </c>
      <c r="O143" s="189">
        <f>O142+O139+O129+O117</f>
        <v>0</v>
      </c>
      <c r="P143" s="189">
        <f>P142+P139+P129+P117</f>
        <v>0</v>
      </c>
      <c r="Q143" s="189">
        <f>Q142+Q139+Q129+Q117</f>
        <v>0</v>
      </c>
      <c r="R143" s="189">
        <f t="shared" si="363"/>
        <v>0</v>
      </c>
      <c r="S143" s="130">
        <f>S142+S139+S129+S117</f>
        <v>0</v>
      </c>
      <c r="T143" s="189">
        <f>T142+T139+T129+T117</f>
        <v>0</v>
      </c>
      <c r="U143" s="189">
        <f>U142+U139+U129+U117</f>
        <v>0</v>
      </c>
      <c r="V143" s="189">
        <f>V142+V139+V129+V117</f>
        <v>0</v>
      </c>
      <c r="W143" s="189">
        <f t="shared" si="364"/>
        <v>0</v>
      </c>
      <c r="X143" s="130">
        <f>X142+X139+X129+X117</f>
        <v>0</v>
      </c>
      <c r="Y143" s="189">
        <f>Y142+Y139+Y129+Y117</f>
        <v>0</v>
      </c>
      <c r="Z143" s="189">
        <f>Z142+Z139+Z129+Z117</f>
        <v>0</v>
      </c>
      <c r="AA143" s="189">
        <f>AA142+AA139+AA129+AA117</f>
        <v>0</v>
      </c>
      <c r="AB143" s="189">
        <f t="shared" si="365"/>
        <v>0</v>
      </c>
      <c r="AC143" s="130">
        <f>AC142+AC139+AC129+AC117</f>
        <v>0</v>
      </c>
      <c r="AD143" s="189">
        <f>AD142+AD139+AD129+AD117</f>
        <v>0</v>
      </c>
      <c r="AE143" s="189">
        <f>AE142+AE139+AE129+AE117</f>
        <v>0</v>
      </c>
      <c r="AF143" s="189">
        <f>AF142+AF139+AF129+AF117</f>
        <v>0</v>
      </c>
      <c r="AG143" s="189">
        <f t="shared" si="366"/>
        <v>-56</v>
      </c>
      <c r="AH143" s="130">
        <f t="shared" ref="AH143:BM143" si="435">AH142+AH139+AH129+AH117</f>
        <v>-56</v>
      </c>
      <c r="AI143" s="189">
        <f t="shared" si="435"/>
        <v>0</v>
      </c>
      <c r="AJ143" s="189">
        <f t="shared" si="435"/>
        <v>32</v>
      </c>
      <c r="AK143" s="189">
        <f t="shared" si="435"/>
        <v>24</v>
      </c>
      <c r="AL143" s="189">
        <f t="shared" si="435"/>
        <v>44</v>
      </c>
      <c r="AM143" s="130">
        <f t="shared" si="435"/>
        <v>44</v>
      </c>
      <c r="AN143" s="189">
        <f t="shared" si="435"/>
        <v>-14</v>
      </c>
      <c r="AO143" s="189">
        <f t="shared" si="435"/>
        <v>-19</v>
      </c>
      <c r="AP143" s="189">
        <f t="shared" si="435"/>
        <v>1</v>
      </c>
      <c r="AQ143" s="189">
        <f t="shared" si="435"/>
        <v>5</v>
      </c>
      <c r="AR143" s="130">
        <f t="shared" si="435"/>
        <v>5</v>
      </c>
      <c r="AS143" s="189">
        <f t="shared" si="435"/>
        <v>12</v>
      </c>
      <c r="AT143" s="189">
        <f t="shared" si="435"/>
        <v>10</v>
      </c>
      <c r="AU143" s="189">
        <f t="shared" si="435"/>
        <v>-9</v>
      </c>
      <c r="AV143" s="189">
        <f t="shared" si="435"/>
        <v>0</v>
      </c>
      <c r="AW143" s="130">
        <f t="shared" si="435"/>
        <v>0</v>
      </c>
      <c r="AX143" s="189">
        <f t="shared" si="435"/>
        <v>0</v>
      </c>
      <c r="AY143" s="189">
        <f t="shared" si="435"/>
        <v>0</v>
      </c>
      <c r="AZ143" s="189">
        <f t="shared" si="435"/>
        <v>0</v>
      </c>
      <c r="BA143" s="189">
        <f t="shared" si="435"/>
        <v>0</v>
      </c>
      <c r="BB143" s="130">
        <f t="shared" si="435"/>
        <v>0</v>
      </c>
      <c r="BC143" s="189">
        <f t="shared" si="435"/>
        <v>0</v>
      </c>
      <c r="BD143" s="189">
        <f t="shared" si="435"/>
        <v>0</v>
      </c>
      <c r="BE143" s="189">
        <f t="shared" si="435"/>
        <v>0</v>
      </c>
      <c r="BF143" s="189">
        <f t="shared" si="435"/>
        <v>0</v>
      </c>
      <c r="BG143" s="130">
        <f t="shared" si="435"/>
        <v>0</v>
      </c>
      <c r="BH143" s="189">
        <f t="shared" si="435"/>
        <v>0</v>
      </c>
      <c r="BI143" s="307">
        <f t="shared" si="435"/>
        <v>0</v>
      </c>
      <c r="BJ143" s="307">
        <f t="shared" si="435"/>
        <v>0</v>
      </c>
      <c r="BK143" s="307">
        <f t="shared" si="435"/>
        <v>0</v>
      </c>
      <c r="BL143" s="130">
        <f t="shared" si="435"/>
        <v>0</v>
      </c>
      <c r="BM143" s="307">
        <f t="shared" si="435"/>
        <v>0</v>
      </c>
      <c r="BN143" s="307">
        <f t="shared" ref="BN143:CK143" si="436">BN142+BN139+BN129+BN117</f>
        <v>0</v>
      </c>
      <c r="BO143" s="307">
        <f t="shared" si="436"/>
        <v>0</v>
      </c>
      <c r="BP143" s="307">
        <f t="shared" si="436"/>
        <v>0</v>
      </c>
      <c r="BQ143" s="130">
        <f t="shared" si="436"/>
        <v>0</v>
      </c>
      <c r="BR143" s="307">
        <f t="shared" si="436"/>
        <v>-1</v>
      </c>
      <c r="BS143" s="307">
        <f t="shared" si="436"/>
        <v>-1</v>
      </c>
      <c r="BT143" s="307">
        <f t="shared" si="436"/>
        <v>0</v>
      </c>
      <c r="BU143" s="307">
        <f t="shared" si="436"/>
        <v>0</v>
      </c>
      <c r="BV143" s="130">
        <f t="shared" si="436"/>
        <v>0</v>
      </c>
      <c r="BW143" s="453">
        <f t="shared" si="436"/>
        <v>0</v>
      </c>
      <c r="BX143" s="453">
        <f t="shared" si="436"/>
        <v>0</v>
      </c>
      <c r="BY143" s="453">
        <f t="shared" si="436"/>
        <v>0</v>
      </c>
      <c r="BZ143" s="453">
        <f t="shared" si="436"/>
        <v>0</v>
      </c>
      <c r="CA143" s="130">
        <f t="shared" si="436"/>
        <v>0</v>
      </c>
      <c r="CB143" s="307">
        <f t="shared" si="436"/>
        <v>0</v>
      </c>
      <c r="CC143" s="307">
        <f t="shared" si="436"/>
        <v>0</v>
      </c>
      <c r="CD143" s="307">
        <f t="shared" si="436"/>
        <v>0</v>
      </c>
      <c r="CE143" s="307">
        <f t="shared" si="436"/>
        <v>0</v>
      </c>
      <c r="CF143" s="130">
        <f t="shared" si="436"/>
        <v>0</v>
      </c>
      <c r="CG143" s="307">
        <f t="shared" si="436"/>
        <v>0</v>
      </c>
      <c r="CH143" s="307">
        <f t="shared" si="436"/>
        <v>0</v>
      </c>
      <c r="CI143" s="307">
        <f t="shared" si="436"/>
        <v>0</v>
      </c>
      <c r="CJ143" s="307">
        <f t="shared" si="436"/>
        <v>0</v>
      </c>
      <c r="CK143" s="130">
        <f t="shared" si="436"/>
        <v>0</v>
      </c>
      <c r="CL143" s="307">
        <f t="shared" ref="CL143:CZ143" si="437">CL142+CL141+CL131+CL119</f>
        <v>10698</v>
      </c>
      <c r="CM143" s="307">
        <f t="shared" si="437"/>
        <v>4831</v>
      </c>
      <c r="CN143" s="307">
        <f t="shared" si="437"/>
        <v>2593</v>
      </c>
      <c r="CO143" s="307">
        <f t="shared" si="437"/>
        <v>531</v>
      </c>
      <c r="CP143" s="130">
        <f t="shared" si="437"/>
        <v>531</v>
      </c>
      <c r="CQ143" s="307">
        <f t="shared" si="437"/>
        <v>-3495</v>
      </c>
      <c r="CR143" s="307">
        <f t="shared" si="437"/>
        <v>-13590</v>
      </c>
      <c r="CS143" s="307">
        <f t="shared" si="437"/>
        <v>-11411</v>
      </c>
      <c r="CT143" s="307">
        <f t="shared" si="437"/>
        <v>-20750</v>
      </c>
      <c r="CU143" s="130">
        <f t="shared" si="437"/>
        <v>-20750</v>
      </c>
      <c r="CV143" s="307">
        <f t="shared" si="437"/>
        <v>-2533</v>
      </c>
      <c r="CW143" s="307">
        <f t="shared" si="437"/>
        <v>-1883</v>
      </c>
      <c r="CX143" s="307">
        <f t="shared" si="437"/>
        <v>-2740</v>
      </c>
      <c r="CY143" s="307">
        <f t="shared" si="437"/>
        <v>2233</v>
      </c>
      <c r="CZ143" s="130">
        <f t="shared" si="437"/>
        <v>504</v>
      </c>
      <c r="DA143" s="307">
        <f t="shared" ref="DA143" si="438">DA142+DA141+DA131+DA119</f>
        <v>-5221</v>
      </c>
      <c r="DB143" s="307">
        <f t="shared" ref="DB143" si="439">DB142+DB141+DB131+DB119</f>
        <v>-4263</v>
      </c>
      <c r="DC143" s="307">
        <f t="shared" ref="DC143" si="440">DC142+DC141+DC131+DC119</f>
        <v>-3982</v>
      </c>
      <c r="DD143" s="307">
        <f t="shared" ref="DD143" si="441">DD142+DD141+DD131+DD119</f>
        <v>666</v>
      </c>
      <c r="DE143" s="130">
        <f>DE142+DE141+DE131+DE119</f>
        <v>666</v>
      </c>
      <c r="DF143" s="307">
        <f t="shared" ref="DF143:DI143" si="442">DF142+DF141+DF131+DF119</f>
        <v>1536</v>
      </c>
      <c r="DG143" s="307">
        <f t="shared" si="442"/>
        <v>-4809</v>
      </c>
      <c r="DH143" s="307">
        <f t="shared" si="442"/>
        <v>-3183</v>
      </c>
      <c r="DI143" s="307">
        <f t="shared" si="442"/>
        <v>-3875</v>
      </c>
      <c r="DJ143" s="130">
        <f>DJ142+DJ141+DJ131+DJ119</f>
        <v>-3875</v>
      </c>
      <c r="DK143" s="307">
        <f t="shared" ref="DK143:DL143" si="443">DK142+DK141+DK131+DK119</f>
        <v>-1008</v>
      </c>
      <c r="DL143" s="307">
        <f t="shared" si="443"/>
        <v>-2398</v>
      </c>
      <c r="DM143" s="307"/>
      <c r="DN143" s="307"/>
      <c r="DO143" s="130"/>
      <c r="DP143" s="307"/>
      <c r="DQ143" s="307"/>
      <c r="DR143" s="307"/>
      <c r="DS143" s="307"/>
      <c r="DT143" s="130"/>
      <c r="DU143" s="130"/>
      <c r="DV143" s="130"/>
    </row>
    <row r="144" spans="1:126" s="12" customFormat="1">
      <c r="B144" s="60" t="s">
        <v>137</v>
      </c>
      <c r="C144" s="16"/>
      <c r="D144" s="16"/>
      <c r="E144" s="16"/>
      <c r="F144" s="16"/>
      <c r="G144" s="16"/>
      <c r="H144" s="16"/>
      <c r="I144" s="16"/>
      <c r="J144" s="15"/>
      <c r="K144" s="15"/>
      <c r="L144" s="15"/>
      <c r="M144" s="15"/>
      <c r="N144" s="16"/>
      <c r="O144" s="15"/>
      <c r="P144" s="15"/>
      <c r="Q144" s="15"/>
      <c r="R144" s="15"/>
      <c r="S144" s="16"/>
      <c r="T144" s="15"/>
      <c r="U144" s="15"/>
      <c r="V144" s="15"/>
      <c r="W144" s="15"/>
      <c r="X144" s="16"/>
      <c r="Y144" s="15"/>
      <c r="Z144" s="15"/>
      <c r="AA144" s="15"/>
      <c r="AB144" s="15"/>
      <c r="AC144" s="16"/>
      <c r="AD144" s="15"/>
      <c r="AE144" s="15"/>
      <c r="AF144" s="15"/>
      <c r="AG144" s="15"/>
      <c r="AH144" s="16"/>
      <c r="AI144" s="15"/>
      <c r="AJ144" s="15"/>
      <c r="AK144" s="15"/>
      <c r="AL144" s="49"/>
      <c r="AM144" s="16"/>
      <c r="AN144" s="49"/>
      <c r="AO144" s="15"/>
      <c r="AP144" s="15"/>
      <c r="AQ144" s="15"/>
      <c r="AR144" s="16"/>
      <c r="AS144" s="15"/>
      <c r="AT144" s="15"/>
      <c r="AU144" s="15"/>
      <c r="AV144" s="15"/>
      <c r="AW144" s="16"/>
      <c r="AX144" s="15"/>
      <c r="AY144" s="15"/>
      <c r="AZ144" s="15"/>
      <c r="BA144" s="15"/>
      <c r="BB144" s="16"/>
      <c r="BC144" s="15"/>
      <c r="BD144" s="15"/>
      <c r="BE144" s="15"/>
      <c r="BF144" s="15"/>
      <c r="BG144" s="16"/>
      <c r="BH144" s="15"/>
      <c r="BI144" s="306"/>
      <c r="BJ144" s="306"/>
      <c r="BK144" s="306"/>
      <c r="BL144" s="16"/>
      <c r="BM144" s="15"/>
      <c r="BN144" s="15"/>
      <c r="BO144" s="15"/>
      <c r="BP144" s="15"/>
      <c r="BQ144" s="16"/>
      <c r="BR144" s="15"/>
      <c r="BS144" s="15"/>
      <c r="BT144" s="15"/>
      <c r="BU144" s="15"/>
      <c r="BV144" s="16"/>
      <c r="BW144" s="448"/>
      <c r="BX144" s="448"/>
      <c r="BY144" s="448"/>
      <c r="BZ144" s="448"/>
      <c r="CA144" s="16"/>
      <c r="CB144" s="15"/>
      <c r="CC144" s="15"/>
      <c r="CD144" s="15"/>
      <c r="CE144" s="15"/>
      <c r="CF144" s="16"/>
      <c r="CG144" s="15"/>
      <c r="CH144" s="15"/>
      <c r="CI144" s="15"/>
      <c r="CJ144" s="15"/>
      <c r="CK144" s="16"/>
      <c r="CL144" s="15">
        <v>37077</v>
      </c>
      <c r="CM144" s="15">
        <v>37077</v>
      </c>
      <c r="CN144" s="15">
        <v>37077</v>
      </c>
      <c r="CO144" s="15">
        <v>37077</v>
      </c>
      <c r="CP144" s="16">
        <f>CO144</f>
        <v>37077</v>
      </c>
      <c r="CQ144" s="15">
        <f>CP145</f>
        <v>37608</v>
      </c>
      <c r="CR144" s="15">
        <f>CQ144</f>
        <v>37608</v>
      </c>
      <c r="CS144" s="15">
        <f t="shared" ref="CS144:CT144" si="444">CR144</f>
        <v>37608</v>
      </c>
      <c r="CT144" s="15">
        <f t="shared" si="444"/>
        <v>37608</v>
      </c>
      <c r="CU144" s="16">
        <f>CT144</f>
        <v>37608</v>
      </c>
      <c r="CV144" s="313">
        <f>CU145</f>
        <v>16858</v>
      </c>
      <c r="CW144" s="313">
        <f>CV144</f>
        <v>16858</v>
      </c>
      <c r="CX144" s="313">
        <f t="shared" ref="CX144:CY144" si="445">CW144</f>
        <v>16858</v>
      </c>
      <c r="CY144" s="313">
        <f t="shared" si="445"/>
        <v>16858</v>
      </c>
      <c r="CZ144" s="16">
        <f>CY144</f>
        <v>16858</v>
      </c>
      <c r="DA144" s="15">
        <v>19092</v>
      </c>
      <c r="DB144" s="15">
        <v>19092</v>
      </c>
      <c r="DC144" s="15">
        <v>19092</v>
      </c>
      <c r="DD144" s="15">
        <v>19092</v>
      </c>
      <c r="DE144" s="16">
        <f>DD144</f>
        <v>19092</v>
      </c>
      <c r="DF144" s="313">
        <f>DE145</f>
        <v>19758</v>
      </c>
      <c r="DG144" s="313">
        <f>+DE145</f>
        <v>19758</v>
      </c>
      <c r="DH144" s="313">
        <f>+DE145</f>
        <v>19758</v>
      </c>
      <c r="DI144" s="313">
        <f>+DE145</f>
        <v>19758</v>
      </c>
      <c r="DJ144" s="16">
        <f>DI144</f>
        <v>19758</v>
      </c>
      <c r="DK144" s="1078">
        <v>15880</v>
      </c>
      <c r="DL144" s="1078">
        <v>15880</v>
      </c>
      <c r="DM144" s="15"/>
      <c r="DN144" s="15"/>
      <c r="DO144" s="16"/>
      <c r="DP144" s="1078"/>
      <c r="DQ144" s="15"/>
      <c r="DR144" s="15"/>
      <c r="DS144" s="15"/>
      <c r="DT144" s="16"/>
      <c r="DU144" s="16"/>
      <c r="DV144" s="16"/>
    </row>
    <row r="145" spans="1:126" s="12" customFormat="1">
      <c r="B145" s="60" t="s">
        <v>138</v>
      </c>
      <c r="C145" s="16"/>
      <c r="D145" s="16"/>
      <c r="E145" s="16"/>
      <c r="F145" s="16"/>
      <c r="G145" s="16"/>
      <c r="H145" s="16"/>
      <c r="I145" s="16"/>
      <c r="J145" s="15"/>
      <c r="K145" s="15"/>
      <c r="L145" s="15"/>
      <c r="M145" s="15"/>
      <c r="N145" s="16"/>
      <c r="O145" s="15"/>
      <c r="P145" s="15"/>
      <c r="Q145" s="15"/>
      <c r="R145" s="15"/>
      <c r="S145" s="16"/>
      <c r="T145" s="15"/>
      <c r="U145" s="15"/>
      <c r="V145" s="15"/>
      <c r="W145" s="15"/>
      <c r="X145" s="16"/>
      <c r="Y145" s="15"/>
      <c r="Z145" s="15"/>
      <c r="AA145" s="15"/>
      <c r="AB145" s="15"/>
      <c r="AC145" s="16"/>
      <c r="AD145" s="15"/>
      <c r="AE145" s="15"/>
      <c r="AF145" s="15"/>
      <c r="AG145" s="15"/>
      <c r="AH145" s="16"/>
      <c r="AI145" s="15"/>
      <c r="AJ145" s="15"/>
      <c r="AK145" s="15"/>
      <c r="AL145" s="15"/>
      <c r="AM145" s="16"/>
      <c r="AN145" s="15"/>
      <c r="AO145" s="15"/>
      <c r="AP145" s="15"/>
      <c r="AQ145" s="15"/>
      <c r="AR145" s="16"/>
      <c r="AS145" s="313"/>
      <c r="AT145" s="313"/>
      <c r="AU145" s="313"/>
      <c r="AV145" s="313"/>
      <c r="AW145" s="16"/>
      <c r="AX145" s="313"/>
      <c r="AY145" s="313"/>
      <c r="AZ145" s="313"/>
      <c r="BA145" s="313"/>
      <c r="BB145" s="16"/>
      <c r="BC145" s="15"/>
      <c r="BD145" s="15"/>
      <c r="BE145" s="15"/>
      <c r="BF145" s="15"/>
      <c r="BG145" s="16"/>
      <c r="BH145" s="15"/>
      <c r="BI145" s="306"/>
      <c r="BJ145" s="306"/>
      <c r="BK145" s="306"/>
      <c r="BL145" s="16"/>
      <c r="BM145" s="306"/>
      <c r="BN145" s="306"/>
      <c r="BO145" s="306"/>
      <c r="BP145" s="306"/>
      <c r="BQ145" s="16"/>
      <c r="BR145" s="306"/>
      <c r="BS145" s="306"/>
      <c r="BT145" s="306"/>
      <c r="BU145" s="306"/>
      <c r="BV145" s="16"/>
      <c r="BW145" s="447"/>
      <c r="BX145" s="447"/>
      <c r="BY145" s="447"/>
      <c r="BZ145" s="447"/>
      <c r="CA145" s="16"/>
      <c r="CB145" s="306"/>
      <c r="CC145" s="306"/>
      <c r="CD145" s="306"/>
      <c r="CE145" s="306"/>
      <c r="CF145" s="16"/>
      <c r="CG145" s="306"/>
      <c r="CH145" s="306"/>
      <c r="CI145" s="306"/>
      <c r="CJ145" s="306"/>
      <c r="CK145" s="16"/>
      <c r="CL145" s="306">
        <f>CL143+CL144</f>
        <v>47775</v>
      </c>
      <c r="CM145" s="306">
        <f t="shared" ref="CM145:CY145" si="446">CM143+CM144</f>
        <v>41908</v>
      </c>
      <c r="CN145" s="306">
        <f t="shared" si="446"/>
        <v>39670</v>
      </c>
      <c r="CO145" s="306">
        <f t="shared" si="446"/>
        <v>37608</v>
      </c>
      <c r="CP145" s="16">
        <f t="shared" si="446"/>
        <v>37608</v>
      </c>
      <c r="CQ145" s="306">
        <f t="shared" si="446"/>
        <v>34113</v>
      </c>
      <c r="CR145" s="306">
        <f t="shared" si="446"/>
        <v>24018</v>
      </c>
      <c r="CS145" s="306">
        <f t="shared" si="446"/>
        <v>26197</v>
      </c>
      <c r="CT145" s="306">
        <f t="shared" si="446"/>
        <v>16858</v>
      </c>
      <c r="CU145" s="16">
        <f>CT145</f>
        <v>16858</v>
      </c>
      <c r="CV145" s="306">
        <f t="shared" si="446"/>
        <v>14325</v>
      </c>
      <c r="CW145" s="306">
        <f t="shared" si="446"/>
        <v>14975</v>
      </c>
      <c r="CX145" s="306">
        <f t="shared" si="446"/>
        <v>14118</v>
      </c>
      <c r="CY145" s="306">
        <f t="shared" si="446"/>
        <v>19091</v>
      </c>
      <c r="CZ145" s="16">
        <f>CY145</f>
        <v>19091</v>
      </c>
      <c r="DA145" s="306">
        <f t="shared" ref="DA145" si="447">DA143+DA144</f>
        <v>13871</v>
      </c>
      <c r="DB145" s="306">
        <f t="shared" ref="DB145" si="448">DB143+DB144</f>
        <v>14829</v>
      </c>
      <c r="DC145" s="306">
        <f t="shared" ref="DC145" si="449">DC143+DC144</f>
        <v>15110</v>
      </c>
      <c r="DD145" s="306">
        <f t="shared" ref="DD145" si="450">DD143+DD144</f>
        <v>19758</v>
      </c>
      <c r="DE145" s="16">
        <f>DD145</f>
        <v>19758</v>
      </c>
      <c r="DF145" s="306">
        <f t="shared" ref="DF145:DG145" si="451">DF143+DF144</f>
        <v>21294</v>
      </c>
      <c r="DG145" s="306">
        <f t="shared" si="451"/>
        <v>14949</v>
      </c>
      <c r="DH145" s="306">
        <f t="shared" ref="DH145:DI145" si="452">DH143+DH144</f>
        <v>16575</v>
      </c>
      <c r="DI145" s="306">
        <f t="shared" si="452"/>
        <v>15883</v>
      </c>
      <c r="DJ145" s="16">
        <f>DI145</f>
        <v>15883</v>
      </c>
      <c r="DK145" s="306">
        <f t="shared" ref="DK145:DL145" si="453">DK143+DK144</f>
        <v>14872</v>
      </c>
      <c r="DL145" s="306">
        <f t="shared" si="453"/>
        <v>13482</v>
      </c>
      <c r="DM145" s="306"/>
      <c r="DN145" s="306"/>
      <c r="DO145" s="16"/>
      <c r="DP145" s="306"/>
      <c r="DQ145" s="306"/>
      <c r="DR145" s="306"/>
      <c r="DS145" s="306"/>
      <c r="DT145" s="16"/>
      <c r="DU145" s="16"/>
      <c r="DV145" s="16"/>
    </row>
    <row r="146" spans="1:126" s="12" customFormat="1">
      <c r="B146" s="301" t="s">
        <v>533</v>
      </c>
      <c r="C146" s="16"/>
      <c r="D146" s="16"/>
      <c r="E146" s="16"/>
      <c r="F146" s="16"/>
      <c r="G146" s="16"/>
      <c r="H146" s="16"/>
      <c r="I146" s="16"/>
      <c r="J146" s="15"/>
      <c r="K146" s="15"/>
      <c r="L146" s="15"/>
      <c r="M146" s="15"/>
      <c r="N146" s="16"/>
      <c r="O146" s="15"/>
      <c r="P146" s="15"/>
      <c r="Q146" s="15"/>
      <c r="R146" s="15"/>
      <c r="S146" s="16"/>
      <c r="T146" s="15"/>
      <c r="U146" s="15"/>
      <c r="V146" s="15"/>
      <c r="W146" s="15"/>
      <c r="X146" s="16"/>
      <c r="Y146" s="15"/>
      <c r="Z146" s="15"/>
      <c r="AA146" s="15"/>
      <c r="AB146" s="15"/>
      <c r="AC146" s="16"/>
      <c r="AD146" s="15"/>
      <c r="AE146" s="15"/>
      <c r="AF146" s="15"/>
      <c r="AG146" s="15"/>
      <c r="AH146" s="16"/>
      <c r="AI146" s="15"/>
      <c r="AJ146" s="15"/>
      <c r="AK146" s="15"/>
      <c r="AL146" s="15"/>
      <c r="AM146" s="16"/>
      <c r="AN146" s="15"/>
      <c r="AO146" s="15"/>
      <c r="AP146" s="15"/>
      <c r="AQ146" s="15"/>
      <c r="AR146" s="16"/>
      <c r="AS146" s="313"/>
      <c r="AT146" s="313"/>
      <c r="AU146" s="313"/>
      <c r="AV146" s="313"/>
      <c r="AW146" s="16"/>
      <c r="AX146" s="313"/>
      <c r="AY146" s="313"/>
      <c r="AZ146" s="313"/>
      <c r="BA146" s="313"/>
      <c r="BB146" s="16"/>
      <c r="BC146" s="15"/>
      <c r="BD146" s="15"/>
      <c r="BE146" s="15"/>
      <c r="BF146" s="15"/>
      <c r="BG146" s="16"/>
      <c r="BH146" s="15"/>
      <c r="BI146" s="306"/>
      <c r="BJ146" s="306"/>
      <c r="BK146" s="306"/>
      <c r="BL146" s="16"/>
      <c r="BM146" s="306"/>
      <c r="BN146" s="306"/>
      <c r="BO146" s="306"/>
      <c r="BP146" s="306"/>
      <c r="BQ146" s="16"/>
      <c r="BR146" s="306"/>
      <c r="BS146" s="306"/>
      <c r="BT146" s="306"/>
      <c r="BU146" s="306"/>
      <c r="BV146" s="16"/>
      <c r="BW146" s="447"/>
      <c r="BX146" s="447"/>
      <c r="BY146" s="447"/>
      <c r="BZ146" s="447"/>
      <c r="CA146" s="16"/>
      <c r="CB146" s="306"/>
      <c r="CC146" s="306"/>
      <c r="CD146" s="306"/>
      <c r="CE146" s="306"/>
      <c r="CF146" s="16"/>
      <c r="CG146" s="306"/>
      <c r="CH146" s="306"/>
      <c r="CI146" s="306"/>
      <c r="CJ146" s="306"/>
      <c r="CK146" s="16"/>
      <c r="CL146" s="306">
        <v>-584</v>
      </c>
      <c r="CM146" s="306">
        <v>-587</v>
      </c>
      <c r="CN146" s="306">
        <v>-612</v>
      </c>
      <c r="CO146" s="306">
        <v>-653</v>
      </c>
      <c r="CP146" s="16">
        <f>CO146</f>
        <v>-653</v>
      </c>
      <c r="CQ146" s="306">
        <v>-625</v>
      </c>
      <c r="CR146" s="306">
        <v>-537</v>
      </c>
      <c r="CS146" s="306">
        <v>-435</v>
      </c>
      <c r="CT146" s="306">
        <v>-736</v>
      </c>
      <c r="CU146" s="16">
        <f>CT146</f>
        <v>-736</v>
      </c>
      <c r="CV146" s="306">
        <v>-1223</v>
      </c>
      <c r="CW146" s="306">
        <v>-1741</v>
      </c>
      <c r="CX146" s="306">
        <v>-1573</v>
      </c>
      <c r="CY146" s="306">
        <v>-2627</v>
      </c>
      <c r="CZ146" s="16">
        <f>CY146</f>
        <v>-2627</v>
      </c>
      <c r="DA146" s="306">
        <v>-1180</v>
      </c>
      <c r="DB146" s="317">
        <v>-1318</v>
      </c>
      <c r="DC146" s="306">
        <v>-1244</v>
      </c>
      <c r="DD146" s="306">
        <v>-1396</v>
      </c>
      <c r="DE146" s="16">
        <f>DD146</f>
        <v>-1396</v>
      </c>
      <c r="DF146" s="306">
        <v>-1391</v>
      </c>
      <c r="DG146" s="317">
        <v>-1398</v>
      </c>
      <c r="DH146" s="317">
        <v>-1468</v>
      </c>
      <c r="DI146" s="306">
        <v>-1327</v>
      </c>
      <c r="DJ146" s="16">
        <f>DI146</f>
        <v>-1327</v>
      </c>
      <c r="DK146" s="1080">
        <v>-1372</v>
      </c>
      <c r="DL146" s="1080">
        <v>-1429</v>
      </c>
      <c r="DM146" s="306"/>
      <c r="DN146" s="306"/>
      <c r="DO146" s="16"/>
      <c r="DP146" s="1080"/>
      <c r="DQ146" s="306"/>
      <c r="DR146" s="306"/>
      <c r="DS146" s="306"/>
      <c r="DT146" s="16"/>
      <c r="DU146" s="16"/>
      <c r="DV146" s="16"/>
    </row>
    <row r="147" spans="1:126" s="12" customFormat="1">
      <c r="A147" s="82"/>
      <c r="B147" s="847" t="s">
        <v>534</v>
      </c>
      <c r="C147" s="16"/>
      <c r="D147" s="16"/>
      <c r="E147" s="16"/>
      <c r="F147" s="16"/>
      <c r="G147" s="16"/>
      <c r="H147" s="16"/>
      <c r="I147" s="16"/>
      <c r="J147" s="15"/>
      <c r="K147" s="15"/>
      <c r="L147" s="15"/>
      <c r="M147" s="15"/>
      <c r="N147" s="16"/>
      <c r="O147" s="15"/>
      <c r="P147" s="15"/>
      <c r="Q147" s="15"/>
      <c r="R147" s="15"/>
      <c r="S147" s="16"/>
      <c r="T147" s="15"/>
      <c r="U147" s="15"/>
      <c r="V147" s="15"/>
      <c r="W147" s="15"/>
      <c r="X147" s="16"/>
      <c r="Y147" s="15"/>
      <c r="Z147" s="15"/>
      <c r="AA147" s="15"/>
      <c r="AB147" s="15"/>
      <c r="AC147" s="16"/>
      <c r="AD147" s="15"/>
      <c r="AE147" s="15"/>
      <c r="AF147" s="15"/>
      <c r="AG147" s="15"/>
      <c r="AH147" s="16"/>
      <c r="AI147" s="15"/>
      <c r="AJ147" s="15"/>
      <c r="AK147" s="15"/>
      <c r="AL147" s="15"/>
      <c r="AM147" s="16"/>
      <c r="AN147" s="15"/>
      <c r="AO147" s="15"/>
      <c r="AP147" s="15"/>
      <c r="AQ147" s="15"/>
      <c r="AR147" s="16"/>
      <c r="AS147" s="313"/>
      <c r="AT147" s="313"/>
      <c r="AU147" s="313"/>
      <c r="AV147" s="313"/>
      <c r="AW147" s="16"/>
      <c r="AX147" s="313"/>
      <c r="AY147" s="313"/>
      <c r="AZ147" s="313"/>
      <c r="BA147" s="313"/>
      <c r="BB147" s="16"/>
      <c r="BC147" s="15"/>
      <c r="BD147" s="15"/>
      <c r="BE147" s="15"/>
      <c r="BF147" s="15"/>
      <c r="BG147" s="16"/>
      <c r="BH147" s="15"/>
      <c r="BI147" s="306"/>
      <c r="BJ147" s="306"/>
      <c r="BK147" s="306"/>
      <c r="BL147" s="16"/>
      <c r="BM147" s="306"/>
      <c r="BN147" s="306"/>
      <c r="BO147" s="306"/>
      <c r="BP147" s="306"/>
      <c r="BQ147" s="16"/>
      <c r="BR147" s="306"/>
      <c r="BS147" s="306"/>
      <c r="BT147" s="306"/>
      <c r="BU147" s="306"/>
      <c r="BV147" s="16"/>
      <c r="BW147" s="447"/>
      <c r="BX147" s="447"/>
      <c r="BY147" s="447"/>
      <c r="BZ147" s="447"/>
      <c r="CA147" s="16"/>
      <c r="CB147" s="306"/>
      <c r="CC147" s="306"/>
      <c r="CD147" s="306"/>
      <c r="CE147" s="306"/>
      <c r="CF147" s="16"/>
      <c r="CG147" s="306"/>
      <c r="CH147" s="306"/>
      <c r="CI147" s="306"/>
      <c r="CJ147" s="306"/>
      <c r="CK147" s="16"/>
      <c r="CL147" s="306">
        <f>SUM(CL145:CL146)</f>
        <v>47191</v>
      </c>
      <c r="CM147" s="306">
        <f t="shared" ref="CM147:CY147" si="454">SUM(CM145:CM146)</f>
        <v>41321</v>
      </c>
      <c r="CN147" s="306">
        <f t="shared" si="454"/>
        <v>39058</v>
      </c>
      <c r="CO147" s="306">
        <f t="shared" si="454"/>
        <v>36955</v>
      </c>
      <c r="CP147" s="16">
        <f t="shared" si="454"/>
        <v>36955</v>
      </c>
      <c r="CQ147" s="306">
        <f t="shared" si="454"/>
        <v>33488</v>
      </c>
      <c r="CR147" s="306">
        <f t="shared" si="454"/>
        <v>23481</v>
      </c>
      <c r="CS147" s="306">
        <f t="shared" si="454"/>
        <v>25762</v>
      </c>
      <c r="CT147" s="306">
        <f t="shared" si="454"/>
        <v>16122</v>
      </c>
      <c r="CU147" s="16">
        <f>CT147</f>
        <v>16122</v>
      </c>
      <c r="CV147" s="306">
        <f t="shared" si="454"/>
        <v>13102</v>
      </c>
      <c r="CW147" s="306">
        <f t="shared" si="454"/>
        <v>13234</v>
      </c>
      <c r="CX147" s="306">
        <f t="shared" si="454"/>
        <v>12545</v>
      </c>
      <c r="CY147" s="306">
        <f t="shared" si="454"/>
        <v>16464</v>
      </c>
      <c r="CZ147" s="16">
        <f>CY147</f>
        <v>16464</v>
      </c>
      <c r="DA147" s="306">
        <f t="shared" ref="DA147" si="455">SUM(DA145:DA146)</f>
        <v>12691</v>
      </c>
      <c r="DB147" s="306">
        <f t="shared" ref="DB147" si="456">SUM(DB145:DB146)</f>
        <v>13511</v>
      </c>
      <c r="DC147" s="306">
        <f t="shared" ref="DC147" si="457">SUM(DC145:DC146)</f>
        <v>13866</v>
      </c>
      <c r="DD147" s="306">
        <f t="shared" ref="DD147" si="458">SUM(DD145:DD146)</f>
        <v>18362</v>
      </c>
      <c r="DE147" s="16">
        <f>DD147</f>
        <v>18362</v>
      </c>
      <c r="DF147" s="306">
        <f t="shared" ref="DF147:DG147" si="459">SUM(DF145:DF146)</f>
        <v>19903</v>
      </c>
      <c r="DG147" s="306">
        <f t="shared" si="459"/>
        <v>13551</v>
      </c>
      <c r="DH147" s="306">
        <f t="shared" ref="DH147:DI147" si="460">SUM(DH145:DH146)</f>
        <v>15107</v>
      </c>
      <c r="DI147" s="306">
        <f t="shared" si="460"/>
        <v>14556</v>
      </c>
      <c r="DJ147" s="16">
        <f>DI147</f>
        <v>14556</v>
      </c>
      <c r="DK147" s="306">
        <f t="shared" ref="DK147:DL147" si="461">SUM(DK145:DK146)</f>
        <v>13500</v>
      </c>
      <c r="DL147" s="306">
        <f t="shared" si="461"/>
        <v>12053</v>
      </c>
      <c r="DM147" s="306"/>
      <c r="DN147" s="306"/>
      <c r="DO147" s="16"/>
      <c r="DP147" s="306"/>
      <c r="DQ147" s="306"/>
      <c r="DR147" s="306"/>
      <c r="DS147" s="306"/>
      <c r="DT147" s="16"/>
      <c r="DU147" s="16"/>
      <c r="DV147" s="16"/>
    </row>
    <row r="148" spans="1:126" s="12" customFormat="1" ht="3.75" customHeight="1">
      <c r="A148" s="97"/>
      <c r="B148" s="97"/>
      <c r="C148" s="98"/>
      <c r="D148" s="98"/>
      <c r="E148" s="98"/>
      <c r="F148" s="98"/>
      <c r="G148" s="98"/>
      <c r="H148" s="98"/>
      <c r="I148" s="98"/>
      <c r="J148" s="97"/>
      <c r="K148" s="97"/>
      <c r="L148" s="97"/>
      <c r="M148" s="97"/>
      <c r="N148" s="98"/>
      <c r="O148" s="97"/>
      <c r="P148" s="97"/>
      <c r="Q148" s="97"/>
      <c r="R148" s="97"/>
      <c r="S148" s="98"/>
      <c r="T148" s="97"/>
      <c r="U148" s="97"/>
      <c r="V148" s="97"/>
      <c r="W148" s="97"/>
      <c r="X148" s="98"/>
      <c r="Y148" s="97"/>
      <c r="Z148" s="97"/>
      <c r="AA148" s="97"/>
      <c r="AB148" s="97"/>
      <c r="AC148" s="98"/>
      <c r="AD148" s="97"/>
      <c r="AE148" s="97"/>
      <c r="AF148" s="97"/>
      <c r="AG148" s="97"/>
      <c r="AH148" s="98"/>
      <c r="AI148" s="97"/>
      <c r="AJ148" s="97"/>
      <c r="AK148" s="97"/>
      <c r="AL148" s="97"/>
      <c r="AM148" s="98"/>
      <c r="AN148" s="97"/>
      <c r="AO148" s="97"/>
      <c r="AP148" s="97"/>
      <c r="AQ148" s="97"/>
      <c r="AR148" s="98"/>
      <c r="AS148" s="97"/>
      <c r="AT148" s="97"/>
      <c r="AU148" s="97"/>
      <c r="AV148" s="97"/>
      <c r="AW148" s="98"/>
      <c r="AX148" s="97"/>
      <c r="AY148" s="97"/>
      <c r="AZ148" s="97"/>
      <c r="BA148" s="97"/>
      <c r="BB148" s="98"/>
      <c r="BC148" s="97"/>
      <c r="BD148" s="97"/>
      <c r="BE148" s="97"/>
      <c r="BF148" s="97"/>
      <c r="BG148" s="98"/>
      <c r="BH148" s="97"/>
      <c r="BI148" s="380"/>
      <c r="BJ148" s="375"/>
      <c r="BK148" s="380"/>
      <c r="BL148" s="98"/>
      <c r="BM148" s="97"/>
      <c r="BN148" s="380"/>
      <c r="BO148" s="375"/>
      <c r="BP148" s="380"/>
      <c r="BQ148" s="98"/>
      <c r="BR148" s="97"/>
      <c r="BS148" s="380"/>
      <c r="BT148" s="375"/>
      <c r="BU148" s="380"/>
      <c r="BV148" s="98"/>
      <c r="BW148" s="97"/>
      <c r="BX148" s="421"/>
      <c r="BY148" s="375"/>
      <c r="BZ148" s="380"/>
      <c r="CA148" s="98"/>
      <c r="CB148" s="97"/>
      <c r="CC148" s="380"/>
      <c r="CD148" s="375"/>
      <c r="CE148" s="380"/>
      <c r="CF148" s="98"/>
      <c r="CG148" s="380"/>
      <c r="CH148" s="380"/>
      <c r="CI148" s="380"/>
      <c r="CJ148" s="380"/>
      <c r="CK148" s="98"/>
      <c r="CL148" s="380"/>
      <c r="CM148" s="380"/>
      <c r="CN148" s="380"/>
      <c r="CO148" s="380"/>
      <c r="CP148" s="98"/>
      <c r="CQ148" s="380"/>
      <c r="CR148" s="380"/>
      <c r="CS148" s="380"/>
      <c r="CT148" s="380"/>
      <c r="CU148" s="98"/>
      <c r="CV148" s="380"/>
      <c r="CW148" s="380"/>
      <c r="CX148" s="380"/>
      <c r="CY148" s="380"/>
      <c r="CZ148" s="98"/>
      <c r="DA148" s="380"/>
      <c r="DB148" s="380"/>
      <c r="DC148" s="380"/>
      <c r="DD148" s="380"/>
      <c r="DE148" s="98"/>
      <c r="DF148" s="380"/>
      <c r="DG148" s="380"/>
      <c r="DH148" s="380"/>
      <c r="DI148" s="380"/>
      <c r="DJ148" s="98"/>
      <c r="DK148" s="380"/>
      <c r="DL148" s="380"/>
      <c r="DM148" s="380"/>
      <c r="DN148" s="380"/>
      <c r="DO148" s="98"/>
      <c r="DP148" s="380"/>
      <c r="DQ148" s="380"/>
      <c r="DR148" s="380"/>
      <c r="DS148" s="380"/>
      <c r="DT148" s="98"/>
      <c r="DU148" s="98"/>
      <c r="DV148" s="98"/>
    </row>
    <row r="149" spans="1:126" s="12" customFormat="1" ht="12" hidden="1" customHeight="1" outlineLevel="1">
      <c r="B149" s="49" t="s">
        <v>145</v>
      </c>
      <c r="C149" s="192"/>
      <c r="D149" s="192" t="str">
        <f t="shared" ref="D149:AK149" si="462">IF(ROUND(D145,0)=ROUND(D51,0),"","check")</f>
        <v/>
      </c>
      <c r="E149" s="192" t="str">
        <f t="shared" si="462"/>
        <v/>
      </c>
      <c r="F149" s="192" t="str">
        <f t="shared" si="462"/>
        <v/>
      </c>
      <c r="G149" s="192" t="str">
        <f t="shared" si="462"/>
        <v/>
      </c>
      <c r="H149" s="192" t="str">
        <f t="shared" si="462"/>
        <v/>
      </c>
      <c r="I149" s="192" t="str">
        <f t="shared" si="462"/>
        <v/>
      </c>
      <c r="J149" s="193" t="str">
        <f t="shared" si="462"/>
        <v/>
      </c>
      <c r="K149" s="193" t="str">
        <f t="shared" si="462"/>
        <v/>
      </c>
      <c r="L149" s="193" t="str">
        <f t="shared" si="462"/>
        <v/>
      </c>
      <c r="M149" s="193" t="str">
        <f t="shared" si="462"/>
        <v/>
      </c>
      <c r="N149" s="192" t="str">
        <f t="shared" si="462"/>
        <v/>
      </c>
      <c r="O149" s="193" t="str">
        <f t="shared" si="462"/>
        <v/>
      </c>
      <c r="P149" s="193" t="str">
        <f t="shared" si="462"/>
        <v/>
      </c>
      <c r="Q149" s="193" t="str">
        <f t="shared" si="462"/>
        <v/>
      </c>
      <c r="R149" s="193" t="str">
        <f t="shared" si="462"/>
        <v/>
      </c>
      <c r="S149" s="192" t="str">
        <f t="shared" si="462"/>
        <v/>
      </c>
      <c r="T149" s="193" t="str">
        <f t="shared" si="462"/>
        <v/>
      </c>
      <c r="U149" s="193" t="str">
        <f t="shared" si="462"/>
        <v/>
      </c>
      <c r="V149" s="193" t="str">
        <f t="shared" si="462"/>
        <v/>
      </c>
      <c r="W149" s="193" t="str">
        <f t="shared" si="462"/>
        <v/>
      </c>
      <c r="X149" s="192" t="str">
        <f t="shared" si="462"/>
        <v/>
      </c>
      <c r="Y149" s="193" t="str">
        <f t="shared" si="462"/>
        <v/>
      </c>
      <c r="Z149" s="193" t="str">
        <f t="shared" si="462"/>
        <v/>
      </c>
      <c r="AA149" s="193" t="str">
        <f t="shared" si="462"/>
        <v/>
      </c>
      <c r="AB149" s="193" t="str">
        <f t="shared" si="462"/>
        <v/>
      </c>
      <c r="AC149" s="192" t="str">
        <f t="shared" si="462"/>
        <v/>
      </c>
      <c r="AD149" s="193" t="str">
        <f t="shared" si="462"/>
        <v/>
      </c>
      <c r="AE149" s="193" t="str">
        <f t="shared" si="462"/>
        <v/>
      </c>
      <c r="AF149" s="193" t="str">
        <f t="shared" si="462"/>
        <v/>
      </c>
      <c r="AG149" s="193" t="str">
        <f t="shared" si="462"/>
        <v/>
      </c>
      <c r="AH149" s="192" t="str">
        <f t="shared" si="462"/>
        <v/>
      </c>
      <c r="AI149" s="193" t="str">
        <f t="shared" si="462"/>
        <v/>
      </c>
      <c r="AJ149" s="193" t="str">
        <f t="shared" si="462"/>
        <v/>
      </c>
      <c r="AK149" s="193" t="str">
        <f t="shared" si="462"/>
        <v/>
      </c>
      <c r="AL149" s="193"/>
      <c r="AM149" s="192"/>
      <c r="AN149" s="193"/>
      <c r="AO149" s="193"/>
      <c r="AP149" s="193"/>
      <c r="AQ149" s="193"/>
      <c r="AR149" s="192"/>
      <c r="AS149" s="193"/>
      <c r="AT149" s="193"/>
      <c r="AU149" s="193"/>
      <c r="AV149" s="193"/>
      <c r="AW149" s="192"/>
      <c r="AX149" s="193"/>
      <c r="AY149" s="193"/>
      <c r="AZ149" s="193"/>
      <c r="BA149" s="193"/>
      <c r="BB149" s="192"/>
      <c r="BC149" s="193"/>
      <c r="BD149" s="193"/>
      <c r="BE149" s="193"/>
      <c r="BF149" s="193"/>
      <c r="BG149" s="192"/>
      <c r="BH149" s="193"/>
      <c r="BI149" s="385"/>
      <c r="BJ149" s="193"/>
      <c r="BK149" s="385"/>
      <c r="BL149" s="192"/>
      <c r="BM149" s="193"/>
      <c r="BN149" s="385"/>
      <c r="BO149" s="193"/>
      <c r="BP149" s="385"/>
      <c r="BQ149" s="192"/>
      <c r="BR149" s="193"/>
      <c r="BS149" s="385"/>
      <c r="BT149" s="193"/>
      <c r="BU149" s="385"/>
      <c r="BV149" s="192"/>
      <c r="BW149" s="193"/>
      <c r="BX149" s="422"/>
      <c r="BY149" s="193"/>
      <c r="BZ149" s="385"/>
      <c r="CA149" s="192"/>
      <c r="CB149" s="193"/>
      <c r="CC149" s="385"/>
      <c r="CD149" s="193"/>
      <c r="CE149" s="385"/>
      <c r="CF149" s="192"/>
      <c r="CG149" s="385"/>
      <c r="CH149" s="385"/>
      <c r="CI149" s="385"/>
      <c r="CJ149" s="385"/>
      <c r="CK149" s="192"/>
      <c r="CL149" s="385"/>
      <c r="CM149" s="385"/>
      <c r="CN149" s="385"/>
      <c r="CO149" s="385"/>
      <c r="CP149" s="192"/>
      <c r="CQ149" s="385"/>
      <c r="CR149" s="385"/>
      <c r="CS149" s="385"/>
      <c r="CT149" s="385"/>
      <c r="CU149" s="192"/>
      <c r="CV149" s="385"/>
      <c r="CW149" s="385"/>
      <c r="CX149" s="385"/>
      <c r="CY149" s="385"/>
      <c r="CZ149" s="192"/>
      <c r="DA149" s="385"/>
      <c r="DB149" s="385"/>
      <c r="DC149" s="385"/>
      <c r="DD149" s="385"/>
      <c r="DE149" s="192"/>
      <c r="DF149" s="385"/>
      <c r="DG149" s="385"/>
      <c r="DH149" s="385"/>
      <c r="DI149" s="385"/>
      <c r="DJ149" s="192"/>
      <c r="DK149" s="385"/>
      <c r="DL149" s="385"/>
      <c r="DM149" s="385"/>
      <c r="DN149" s="385"/>
      <c r="DO149" s="192"/>
      <c r="DP149" s="385"/>
      <c r="DQ149" s="385"/>
      <c r="DR149" s="385"/>
      <c r="DS149" s="385"/>
      <c r="DT149" s="192"/>
      <c r="DU149" s="192"/>
      <c r="DV149" s="192"/>
    </row>
    <row r="150" spans="1:126" s="12" customFormat="1" collapsed="1">
      <c r="A150" s="15"/>
      <c r="B150" s="15"/>
      <c r="C150" s="16"/>
      <c r="D150" s="16"/>
      <c r="E150" s="16"/>
      <c r="F150" s="16"/>
      <c r="G150" s="16"/>
      <c r="H150" s="16"/>
      <c r="I150" s="16"/>
      <c r="J150" s="15"/>
      <c r="K150" s="15"/>
      <c r="L150" s="15"/>
      <c r="M150" s="15"/>
      <c r="N150" s="16"/>
      <c r="O150" s="15"/>
      <c r="P150" s="15"/>
      <c r="Q150" s="15"/>
      <c r="R150" s="15"/>
      <c r="S150" s="16"/>
      <c r="T150" s="15"/>
      <c r="U150" s="15"/>
      <c r="V150" s="15"/>
      <c r="W150" s="15"/>
      <c r="X150" s="16"/>
      <c r="Y150" s="15"/>
      <c r="Z150" s="15"/>
      <c r="AA150" s="15"/>
      <c r="AB150" s="15"/>
      <c r="AC150" s="16"/>
      <c r="AD150" s="15"/>
      <c r="AE150" s="15"/>
      <c r="AF150" s="15"/>
      <c r="AG150" s="313"/>
      <c r="AH150" s="75"/>
      <c r="AI150" s="15"/>
      <c r="AJ150" s="15"/>
      <c r="AK150" s="15"/>
      <c r="AL150" s="15"/>
      <c r="AM150" s="75"/>
      <c r="AN150" s="15"/>
      <c r="AO150" s="15"/>
      <c r="AP150" s="15"/>
      <c r="AQ150" s="15"/>
      <c r="AR150" s="75"/>
      <c r="AS150" s="15"/>
      <c r="AT150" s="15"/>
      <c r="AU150" s="15"/>
      <c r="AV150" s="15"/>
      <c r="AW150" s="75"/>
      <c r="AX150" s="15"/>
      <c r="AY150" s="15"/>
      <c r="AZ150" s="15"/>
      <c r="BA150" s="15"/>
      <c r="BB150" s="16"/>
      <c r="BC150" s="15"/>
      <c r="BD150" s="15"/>
      <c r="BE150" s="15"/>
      <c r="BF150" s="15"/>
      <c r="BG150" s="16"/>
      <c r="BH150" s="15"/>
      <c r="BI150" s="317"/>
      <c r="BJ150" s="221"/>
      <c r="BK150" s="317"/>
      <c r="BL150" s="16"/>
      <c r="BM150" s="15"/>
      <c r="BN150" s="317"/>
      <c r="BO150" s="221"/>
      <c r="BP150" s="317"/>
      <c r="BQ150" s="16"/>
      <c r="BR150" s="15"/>
      <c r="BS150" s="317"/>
      <c r="BT150" s="394"/>
      <c r="BU150" s="317"/>
      <c r="BV150" s="16"/>
      <c r="BW150" s="15"/>
      <c r="BX150" s="394"/>
      <c r="BY150" s="221"/>
      <c r="BZ150" s="317"/>
      <c r="CA150" s="16"/>
      <c r="CB150" s="15"/>
      <c r="CC150" s="317"/>
      <c r="CD150" s="221"/>
      <c r="CE150" s="317"/>
      <c r="CF150" s="16"/>
      <c r="CG150" s="317"/>
      <c r="CH150" s="317"/>
      <c r="CI150" s="317"/>
      <c r="CJ150" s="317"/>
      <c r="CK150" s="16"/>
      <c r="CL150" s="317"/>
      <c r="CM150" s="317"/>
      <c r="CN150" s="317"/>
      <c r="CO150" s="317"/>
      <c r="CP150" s="16"/>
      <c r="CQ150" s="317"/>
      <c r="CR150" s="317"/>
      <c r="CS150" s="317"/>
      <c r="CT150" s="317"/>
      <c r="CU150" s="16"/>
      <c r="CV150" s="317"/>
      <c r="CW150" s="317"/>
      <c r="CX150" s="317"/>
      <c r="CY150" s="317"/>
      <c r="CZ150" s="16"/>
      <c r="DA150" s="317"/>
      <c r="DB150" s="317"/>
      <c r="DC150" s="317"/>
      <c r="DD150" s="317"/>
      <c r="DE150" s="16"/>
      <c r="DF150" s="317"/>
      <c r="DG150" s="317"/>
      <c r="DH150" s="317"/>
      <c r="DI150" s="317"/>
      <c r="DJ150" s="16"/>
      <c r="DK150" s="317"/>
      <c r="DL150" s="317"/>
      <c r="DM150" s="317"/>
      <c r="DN150" s="317"/>
      <c r="DO150" s="16"/>
      <c r="DP150" s="317"/>
      <c r="DQ150" s="317"/>
      <c r="DR150" s="317"/>
      <c r="DS150" s="317"/>
      <c r="DT150" s="16"/>
      <c r="DU150" s="16"/>
      <c r="DV150" s="16"/>
    </row>
    <row r="151" spans="1:126" s="12" customFormat="1" ht="12">
      <c r="A151" s="15"/>
      <c r="B151" s="110" t="s">
        <v>80</v>
      </c>
      <c r="C151" s="16"/>
      <c r="D151" s="16"/>
      <c r="E151" s="16"/>
      <c r="F151" s="16"/>
      <c r="G151" s="16"/>
      <c r="H151" s="16"/>
      <c r="I151" s="16"/>
      <c r="J151" s="15"/>
      <c r="K151" s="15"/>
      <c r="L151" s="15"/>
      <c r="M151" s="15"/>
      <c r="N151" s="16"/>
      <c r="O151" s="15"/>
      <c r="P151" s="15"/>
      <c r="Q151" s="15"/>
      <c r="R151" s="15"/>
      <c r="S151" s="16"/>
      <c r="T151" s="15"/>
      <c r="U151" s="15"/>
      <c r="V151" s="15"/>
      <c r="W151" s="15"/>
      <c r="X151" s="16"/>
      <c r="Y151" s="15"/>
      <c r="Z151" s="15"/>
      <c r="AA151" s="15"/>
      <c r="AB151" s="15"/>
      <c r="AC151" s="16"/>
      <c r="AD151" s="15"/>
      <c r="AE151" s="15"/>
      <c r="AF151" s="15"/>
      <c r="AG151" s="15"/>
      <c r="AH151" s="75"/>
      <c r="AI151" s="15"/>
      <c r="AJ151" s="15"/>
      <c r="AK151" s="15"/>
      <c r="AL151" s="15"/>
      <c r="AM151" s="75"/>
      <c r="AN151" s="15"/>
      <c r="AO151" s="15"/>
      <c r="AP151" s="15"/>
      <c r="AQ151" s="15"/>
      <c r="AR151" s="75"/>
      <c r="AS151" s="15"/>
      <c r="AT151" s="15"/>
      <c r="AU151" s="15"/>
      <c r="AV151" s="15"/>
      <c r="AW151" s="75"/>
      <c r="AX151" s="15"/>
      <c r="AY151" s="15"/>
      <c r="AZ151" s="15"/>
      <c r="BA151" s="15"/>
      <c r="BB151" s="16"/>
      <c r="BC151" s="15"/>
      <c r="BD151" s="15"/>
      <c r="BE151" s="15"/>
      <c r="BF151" s="15"/>
      <c r="BG151" s="16"/>
      <c r="BH151" s="15"/>
      <c r="BI151" s="317"/>
      <c r="BJ151" s="221"/>
      <c r="BK151" s="317"/>
      <c r="BL151" s="16"/>
      <c r="BM151" s="15"/>
      <c r="BN151" s="317"/>
      <c r="BO151" s="221"/>
      <c r="BP151" s="317"/>
      <c r="BQ151" s="16"/>
      <c r="BR151" s="15"/>
      <c r="BS151" s="317"/>
      <c r="BT151" s="394"/>
      <c r="BU151" s="317"/>
      <c r="BV151" s="16"/>
      <c r="BW151" s="15"/>
      <c r="BX151" s="394"/>
      <c r="BY151" s="221"/>
      <c r="BZ151" s="317"/>
      <c r="CA151" s="16"/>
      <c r="CB151" s="15"/>
      <c r="CC151" s="317"/>
      <c r="CD151" s="221"/>
      <c r="CE151" s="317"/>
      <c r="CF151" s="16"/>
      <c r="CG151" s="317"/>
      <c r="CH151" s="317"/>
      <c r="CI151" s="317"/>
      <c r="CJ151" s="317"/>
      <c r="CK151" s="16"/>
      <c r="CL151" s="317"/>
      <c r="CM151" s="317"/>
      <c r="CN151" s="317"/>
      <c r="CO151" s="317"/>
      <c r="CP151" s="16"/>
      <c r="CQ151" s="317"/>
      <c r="CR151" s="317"/>
      <c r="CS151" s="317"/>
      <c r="CT151" s="317"/>
      <c r="CU151" s="16"/>
      <c r="CV151" s="317"/>
      <c r="CW151" s="317"/>
      <c r="CX151" s="317"/>
      <c r="CZ151" s="16"/>
      <c r="DA151" s="317"/>
      <c r="DB151" s="317"/>
      <c r="DC151" s="317"/>
      <c r="DD151" s="317"/>
      <c r="DE151" s="16"/>
      <c r="DF151" s="317"/>
      <c r="DG151" s="317"/>
      <c r="DH151" s="317"/>
      <c r="DI151" s="317"/>
      <c r="DJ151" s="16"/>
      <c r="DK151" s="317"/>
      <c r="DL151" s="317"/>
      <c r="DM151" s="317"/>
      <c r="DN151" s="317"/>
      <c r="DO151" s="16"/>
      <c r="DP151" s="317"/>
      <c r="DQ151" s="317"/>
      <c r="DR151" s="317"/>
      <c r="DS151" s="317"/>
      <c r="DT151" s="16"/>
      <c r="DU151" s="16"/>
      <c r="DV151" s="16"/>
    </row>
    <row r="152" spans="1:126" s="12" customFormat="1" ht="12">
      <c r="A152" s="15"/>
      <c r="B152" s="189" t="s">
        <v>71</v>
      </c>
      <c r="C152" s="16"/>
      <c r="D152" s="16"/>
      <c r="E152" s="16"/>
      <c r="F152" s="16"/>
      <c r="G152" s="16"/>
      <c r="H152" s="16"/>
      <c r="I152" s="16"/>
      <c r="J152" s="15"/>
      <c r="K152" s="15"/>
      <c r="L152" s="15"/>
      <c r="M152" s="15"/>
      <c r="N152" s="16"/>
      <c r="O152" s="15"/>
      <c r="P152" s="15"/>
      <c r="Q152" s="15"/>
      <c r="R152" s="15"/>
      <c r="S152" s="16"/>
      <c r="T152" s="15"/>
      <c r="U152" s="15"/>
      <c r="V152" s="15"/>
      <c r="W152" s="15"/>
      <c r="X152" s="16"/>
      <c r="Y152" s="15"/>
      <c r="Z152" s="15"/>
      <c r="AA152" s="15"/>
      <c r="AB152" s="15"/>
      <c r="AC152" s="16"/>
      <c r="AD152" s="15"/>
      <c r="AE152" s="15"/>
      <c r="AF152" s="15"/>
      <c r="AG152" s="15"/>
      <c r="AH152" s="16"/>
      <c r="AI152" s="15"/>
      <c r="AJ152" s="15"/>
      <c r="AK152" s="15"/>
      <c r="AL152" s="15"/>
      <c r="AM152" s="75"/>
      <c r="AN152" s="15"/>
      <c r="AO152" s="15"/>
      <c r="AP152" s="15"/>
      <c r="AQ152" s="15"/>
      <c r="AR152" s="75"/>
      <c r="AS152" s="15"/>
      <c r="AT152" s="15"/>
      <c r="AU152" s="15"/>
      <c r="AV152" s="15"/>
      <c r="AW152" s="75"/>
      <c r="AX152" s="15"/>
      <c r="AY152" s="15"/>
      <c r="AZ152" s="15"/>
      <c r="BA152" s="15"/>
      <c r="BB152" s="16"/>
      <c r="BC152" s="15"/>
      <c r="BD152" s="15"/>
      <c r="BE152" s="15"/>
      <c r="BF152" s="15"/>
      <c r="BG152" s="16"/>
      <c r="BH152" s="15"/>
      <c r="BI152" s="317"/>
      <c r="BJ152" s="221"/>
      <c r="BK152" s="317"/>
      <c r="BL152" s="16"/>
      <c r="BM152" s="15"/>
      <c r="BN152" s="317"/>
      <c r="BO152" s="221"/>
      <c r="BP152" s="317"/>
      <c r="BQ152" s="16"/>
      <c r="BR152" s="15"/>
      <c r="BS152" s="317"/>
      <c r="BT152" s="394"/>
      <c r="BU152" s="317"/>
      <c r="BV152" s="16"/>
      <c r="BW152" s="15"/>
      <c r="BX152" s="394"/>
      <c r="BY152" s="221"/>
      <c r="BZ152" s="317"/>
      <c r="CA152" s="16"/>
      <c r="CB152" s="15"/>
      <c r="CC152" s="317"/>
      <c r="CD152" s="221"/>
      <c r="CE152" s="317"/>
      <c r="CF152" s="16"/>
      <c r="CG152" s="317"/>
      <c r="CH152" s="317"/>
      <c r="CI152" s="317"/>
      <c r="CJ152" s="317"/>
      <c r="CK152" s="16"/>
      <c r="CL152" s="317"/>
      <c r="CM152" s="317"/>
      <c r="CN152" s="317"/>
      <c r="CO152" s="317"/>
      <c r="CP152" s="16"/>
      <c r="CQ152" s="317"/>
      <c r="CR152" s="317"/>
      <c r="CS152" s="317"/>
      <c r="CT152" s="317"/>
      <c r="CU152" s="16"/>
      <c r="CV152" s="317"/>
      <c r="CW152" s="317"/>
      <c r="CX152" s="317"/>
      <c r="CY152" s="317"/>
      <c r="CZ152" s="16"/>
      <c r="DA152" s="394"/>
      <c r="DB152" s="394"/>
      <c r="DC152" s="317"/>
      <c r="DD152" s="317"/>
      <c r="DE152" s="16"/>
      <c r="DF152" s="317"/>
      <c r="DG152" s="317"/>
      <c r="DH152" s="317"/>
      <c r="DI152" s="317"/>
      <c r="DJ152" s="16"/>
      <c r="DK152" s="317"/>
      <c r="DL152" s="317"/>
      <c r="DM152" s="317"/>
      <c r="DN152" s="317"/>
      <c r="DO152" s="16"/>
      <c r="DP152" s="317"/>
      <c r="DQ152" s="317"/>
      <c r="DR152" s="317"/>
      <c r="DS152" s="317"/>
      <c r="DT152" s="16"/>
      <c r="DU152" s="16"/>
      <c r="DV152" s="16"/>
    </row>
    <row r="153" spans="1:126" s="15" customFormat="1" ht="12">
      <c r="B153" s="221" t="s">
        <v>381</v>
      </c>
      <c r="C153" s="16"/>
      <c r="D153" s="16"/>
      <c r="E153" s="16"/>
      <c r="F153" s="16"/>
      <c r="G153" s="16"/>
      <c r="H153" s="16"/>
      <c r="I153" s="16"/>
      <c r="N153" s="16"/>
      <c r="S153" s="16"/>
      <c r="X153" s="16"/>
      <c r="AC153" s="16"/>
      <c r="AH153" s="16"/>
      <c r="AJ153" s="12"/>
      <c r="AK153" s="49"/>
      <c r="AL153" s="313"/>
      <c r="AM153" s="16"/>
      <c r="AN153" s="49"/>
      <c r="AO153" s="313"/>
      <c r="AP153" s="313"/>
      <c r="AQ153" s="313"/>
      <c r="AR153" s="16"/>
      <c r="AS153" s="313"/>
      <c r="AT153" s="313"/>
      <c r="AU153" s="313"/>
      <c r="AV153" s="313"/>
      <c r="AW153" s="16">
        <f>SUM(AS153:AV153)</f>
        <v>0</v>
      </c>
      <c r="AX153" s="313"/>
      <c r="AY153" s="313"/>
      <c r="AZ153" s="313"/>
      <c r="BB153" s="16">
        <f>SUM(AX153:BA153)</f>
        <v>0</v>
      </c>
      <c r="BC153" s="313"/>
      <c r="BD153" s="313"/>
      <c r="BE153" s="313"/>
      <c r="BF153" s="313"/>
      <c r="BG153" s="16">
        <f>SUM(BC153:BF153)</f>
        <v>0</v>
      </c>
      <c r="BH153" s="313"/>
      <c r="BI153" s="358"/>
      <c r="BJ153" s="358"/>
      <c r="BK153" s="358"/>
      <c r="BL153" s="16">
        <f>SUM(BH153:BK153)</f>
        <v>0</v>
      </c>
      <c r="BM153" s="358"/>
      <c r="BN153" s="358"/>
      <c r="BO153" s="313"/>
      <c r="BP153" s="313"/>
      <c r="BQ153" s="16">
        <f>SUM(BM153:BP153)</f>
        <v>0</v>
      </c>
      <c r="BR153" s="358"/>
      <c r="BS153" s="358"/>
      <c r="BT153" s="313"/>
      <c r="BU153" s="358"/>
      <c r="BV153" s="16">
        <f>SUM(BR153:BU153)</f>
        <v>0</v>
      </c>
      <c r="BW153" s="358"/>
      <c r="BX153" s="313"/>
      <c r="BY153" s="358"/>
      <c r="BZ153" s="358"/>
      <c r="CA153" s="16">
        <f>SUM(BW153:BZ153)</f>
        <v>0</v>
      </c>
      <c r="CB153" s="358"/>
      <c r="CC153" s="358"/>
      <c r="CD153" s="358"/>
      <c r="CE153" s="358"/>
      <c r="CF153" s="16">
        <f>SUM(CB153:CE153)</f>
        <v>0</v>
      </c>
      <c r="CG153" s="358"/>
      <c r="CH153" s="358"/>
      <c r="CI153" s="358"/>
      <c r="CJ153" s="358"/>
      <c r="CK153" s="16">
        <f>SUM(CG153:CJ153)</f>
        <v>0</v>
      </c>
      <c r="CL153" s="340">
        <v>5113</v>
      </c>
      <c r="CM153" s="340">
        <v>2519</v>
      </c>
      <c r="CN153" s="378">
        <v>3087</v>
      </c>
      <c r="CO153" s="340">
        <f>CP153-SUM(CL153:CN153)</f>
        <v>3760</v>
      </c>
      <c r="CP153" s="225">
        <v>14479</v>
      </c>
      <c r="CQ153" s="340">
        <v>3354</v>
      </c>
      <c r="CR153" s="340">
        <v>3115</v>
      </c>
      <c r="CS153" s="340">
        <v>3602</v>
      </c>
      <c r="CT153" s="340">
        <f t="shared" ref="CT153:CT154" si="463">CU153-SUM(CQ153:CS153)</f>
        <v>4289</v>
      </c>
      <c r="CU153" s="225">
        <v>14360</v>
      </c>
      <c r="CV153" s="340">
        <v>3853</v>
      </c>
      <c r="CW153" s="340">
        <v>4306</v>
      </c>
      <c r="CX153" s="340">
        <v>4971</v>
      </c>
      <c r="CY153" s="378">
        <f>CZ153-SUM(CV153:CX153)</f>
        <v>5535</v>
      </c>
      <c r="CZ153" s="225">
        <v>18665</v>
      </c>
      <c r="DA153" s="395">
        <f>10969-5737</f>
        <v>5232</v>
      </c>
      <c r="DB153" s="395">
        <v>5737</v>
      </c>
      <c r="DC153" s="395">
        <v>6457</v>
      </c>
      <c r="DD153" s="393">
        <v>6429</v>
      </c>
      <c r="DE153" s="225">
        <f>SUM(DA153:DD153)</f>
        <v>23855</v>
      </c>
      <c r="DF153" s="313">
        <f>12228-6132</f>
        <v>6096</v>
      </c>
      <c r="DG153" s="313">
        <v>6132</v>
      </c>
      <c r="DH153" s="358">
        <v>7003</v>
      </c>
      <c r="DI153" s="358">
        <v>7650</v>
      </c>
      <c r="DJ153" s="16">
        <f>+SUM(DF153:DI153)</f>
        <v>26881</v>
      </c>
      <c r="DK153" s="1079">
        <v>6977</v>
      </c>
      <c r="DL153" s="1078">
        <v>7990</v>
      </c>
      <c r="DM153" s="358"/>
      <c r="DN153" s="358"/>
      <c r="DO153" s="16"/>
      <c r="DP153" s="1079"/>
      <c r="DQ153" s="358"/>
      <c r="DR153" s="358"/>
      <c r="DS153" s="358"/>
      <c r="DT153" s="16"/>
      <c r="DU153" s="16"/>
      <c r="DV153" s="16"/>
    </row>
    <row r="154" spans="1:126" s="15" customFormat="1" ht="12">
      <c r="B154" s="317" t="s">
        <v>457</v>
      </c>
      <c r="C154" s="16"/>
      <c r="D154" s="16"/>
      <c r="E154" s="16"/>
      <c r="F154" s="16"/>
      <c r="G154" s="16"/>
      <c r="H154" s="16"/>
      <c r="I154" s="16"/>
      <c r="N154" s="16"/>
      <c r="S154" s="16"/>
      <c r="X154" s="16"/>
      <c r="AC154" s="16"/>
      <c r="AH154" s="16"/>
      <c r="AJ154" s="12"/>
      <c r="AK154" s="49"/>
      <c r="AL154" s="313"/>
      <c r="AM154" s="16"/>
      <c r="AN154" s="49"/>
      <c r="AO154" s="313"/>
      <c r="AP154" s="313"/>
      <c r="AQ154" s="313"/>
      <c r="AR154" s="16"/>
      <c r="AS154" s="313"/>
      <c r="AT154" s="313"/>
      <c r="AU154" s="313"/>
      <c r="AV154" s="313"/>
      <c r="AW154" s="16">
        <f>SUM(AS154:AV154)</f>
        <v>0</v>
      </c>
      <c r="AX154" s="313"/>
      <c r="AY154" s="313"/>
      <c r="AZ154" s="313"/>
      <c r="BB154" s="16">
        <f>SUM(AX154:BA154)</f>
        <v>0</v>
      </c>
      <c r="BC154" s="313"/>
      <c r="BD154" s="313"/>
      <c r="BE154" s="313"/>
      <c r="BF154" s="313"/>
      <c r="BG154" s="16">
        <f>SUM(BC154:BF154)</f>
        <v>0</v>
      </c>
      <c r="BH154" s="313"/>
      <c r="BI154" s="358"/>
      <c r="BJ154" s="358"/>
      <c r="BK154" s="358"/>
      <c r="BL154" s="16">
        <f>SUM(BH154:BK154)</f>
        <v>0</v>
      </c>
      <c r="BM154" s="358"/>
      <c r="BN154" s="358"/>
      <c r="BO154" s="313"/>
      <c r="BP154" s="313"/>
      <c r="BQ154" s="16">
        <f>SUM(BM154:BP154)</f>
        <v>0</v>
      </c>
      <c r="BR154" s="358"/>
      <c r="BS154" s="358"/>
      <c r="BT154" s="313"/>
      <c r="BU154" s="358"/>
      <c r="BV154" s="16">
        <f>SUM(BR154:BU154)</f>
        <v>0</v>
      </c>
      <c r="BW154" s="358"/>
      <c r="BX154" s="313"/>
      <c r="BY154" s="358"/>
      <c r="BZ154" s="358"/>
      <c r="CA154" s="16">
        <f>SUM(BW154:BZ154)</f>
        <v>0</v>
      </c>
      <c r="CB154" s="358"/>
      <c r="CC154" s="358"/>
      <c r="CD154" s="358"/>
      <c r="CE154" s="358"/>
      <c r="CF154" s="16">
        <f>SUM(CB154:CE154)</f>
        <v>0</v>
      </c>
      <c r="CG154" s="358"/>
      <c r="CH154" s="358"/>
      <c r="CI154" s="358"/>
      <c r="CJ154" s="358"/>
      <c r="CK154" s="16">
        <f>SUM(CG154:CJ154)</f>
        <v>0</v>
      </c>
      <c r="CL154" s="340">
        <f>960+820</f>
        <v>1780</v>
      </c>
      <c r="CM154" s="340">
        <f>1161+703</f>
        <v>1864</v>
      </c>
      <c r="CN154" s="340">
        <f>1137+696</f>
        <v>1833</v>
      </c>
      <c r="CO154" s="340">
        <f>CP154-SUM(CL154:CN154)</f>
        <v>2086</v>
      </c>
      <c r="CP154" s="225">
        <f>4572+2991</f>
        <v>7563</v>
      </c>
      <c r="CQ154" s="340">
        <f>956+682</f>
        <v>1638</v>
      </c>
      <c r="CR154" s="340">
        <f>1040+684</f>
        <v>1724</v>
      </c>
      <c r="CS154" s="340">
        <f>1107+689</f>
        <v>1796</v>
      </c>
      <c r="CT154" s="340">
        <f t="shared" si="463"/>
        <v>1792</v>
      </c>
      <c r="CU154" s="225">
        <f>4136+2814</f>
        <v>6950</v>
      </c>
      <c r="CV154" s="340">
        <f>1036+714</f>
        <v>1750</v>
      </c>
      <c r="CW154" s="340">
        <f>1096+725</f>
        <v>1821</v>
      </c>
      <c r="CX154" s="340">
        <f>1027+707</f>
        <v>1734</v>
      </c>
      <c r="CY154" s="378">
        <f>CZ154-SUM(CV154:CX154)</f>
        <v>2080</v>
      </c>
      <c r="CZ154" s="225">
        <f>4410+2975</f>
        <v>7385</v>
      </c>
      <c r="DA154" s="395">
        <f>4341-2375</f>
        <v>1966</v>
      </c>
      <c r="DB154" s="395">
        <v>2375</v>
      </c>
      <c r="DC154" s="395">
        <v>2205</v>
      </c>
      <c r="DD154" s="393">
        <v>2416</v>
      </c>
      <c r="DE154" s="225">
        <f>SUM(DA154:DD154)</f>
        <v>8962</v>
      </c>
      <c r="DF154" s="313">
        <f>4713-2401</f>
        <v>2312</v>
      </c>
      <c r="DG154" s="313">
        <v>2401</v>
      </c>
      <c r="DH154" s="358">
        <v>2243</v>
      </c>
      <c r="DI154" s="358">
        <v>2523</v>
      </c>
      <c r="DJ154" s="16">
        <f>+SUM(DF154:DI154)</f>
        <v>9479</v>
      </c>
      <c r="DK154" s="1079">
        <v>2324</v>
      </c>
      <c r="DL154" s="1078">
        <v>2563</v>
      </c>
      <c r="DM154" s="358"/>
      <c r="DN154" s="358"/>
      <c r="DO154" s="16"/>
      <c r="DP154" s="1079"/>
      <c r="DQ154" s="358"/>
      <c r="DR154" s="358"/>
      <c r="DS154" s="358"/>
      <c r="DT154" s="16"/>
      <c r="DU154" s="16"/>
      <c r="DV154" s="16"/>
    </row>
    <row r="155" spans="1:126" s="15" customFormat="1">
      <c r="B155" s="921" t="s">
        <v>560</v>
      </c>
      <c r="C155" s="16"/>
      <c r="D155" s="16"/>
      <c r="E155" s="16"/>
      <c r="F155" s="16"/>
      <c r="G155" s="16"/>
      <c r="H155" s="16"/>
      <c r="I155" s="16"/>
      <c r="N155" s="16"/>
      <c r="S155" s="16"/>
      <c r="X155" s="16"/>
      <c r="AC155" s="16"/>
      <c r="AH155" s="16"/>
      <c r="AJ155" s="12"/>
      <c r="AK155" s="49"/>
      <c r="AL155" s="313"/>
      <c r="AM155" s="16"/>
      <c r="AN155" s="49"/>
      <c r="AO155" s="313"/>
      <c r="AP155" s="313"/>
      <c r="AQ155" s="313"/>
      <c r="AR155" s="16"/>
      <c r="AS155" s="313"/>
      <c r="AT155" s="313"/>
      <c r="AU155" s="313"/>
      <c r="AV155" s="313"/>
      <c r="AW155" s="16"/>
      <c r="AX155" s="313"/>
      <c r="AY155" s="313"/>
      <c r="AZ155" s="313"/>
      <c r="BB155" s="16"/>
      <c r="BC155" s="313"/>
      <c r="BD155" s="313"/>
      <c r="BE155" s="313"/>
      <c r="BF155" s="313"/>
      <c r="BG155" s="16"/>
      <c r="BH155" s="313"/>
      <c r="BI155" s="358"/>
      <c r="BJ155" s="358"/>
      <c r="BK155" s="358"/>
      <c r="BL155" s="16"/>
      <c r="BM155" s="358"/>
      <c r="BN155" s="358"/>
      <c r="BO155" s="313"/>
      <c r="BP155" s="313"/>
      <c r="BQ155" s="16"/>
      <c r="BR155" s="358"/>
      <c r="BS155" s="358"/>
      <c r="BT155" s="313"/>
      <c r="BU155" s="358"/>
      <c r="BV155" s="16"/>
      <c r="BW155" s="358"/>
      <c r="BX155" s="313"/>
      <c r="BY155" s="358"/>
      <c r="BZ155" s="358"/>
      <c r="CA155" s="16"/>
      <c r="CB155" s="358"/>
      <c r="CC155" s="358"/>
      <c r="CD155" s="358"/>
      <c r="CE155" s="358"/>
      <c r="CF155" s="16"/>
      <c r="CG155" s="358"/>
      <c r="CH155" s="358"/>
      <c r="CI155" s="358"/>
      <c r="CJ155" s="358"/>
      <c r="CK155" s="16"/>
      <c r="CL155" s="358">
        <v>960</v>
      </c>
      <c r="CM155" s="358">
        <v>1161</v>
      </c>
      <c r="CN155" s="358">
        <v>1137</v>
      </c>
      <c r="CO155" s="358">
        <v>1314</v>
      </c>
      <c r="CP155" s="16">
        <v>4572</v>
      </c>
      <c r="CQ155" s="358">
        <v>956</v>
      </c>
      <c r="CR155" s="358">
        <v>1041</v>
      </c>
      <c r="CS155" s="358">
        <v>1107</v>
      </c>
      <c r="CT155" s="358">
        <v>1032</v>
      </c>
      <c r="CU155" s="16">
        <v>4136</v>
      </c>
      <c r="CV155" s="358">
        <v>1036</v>
      </c>
      <c r="CW155" s="358">
        <v>1096</v>
      </c>
      <c r="CX155" s="358">
        <v>1027</v>
      </c>
      <c r="CY155" s="317">
        <f>CZ155-SUM(CV155:CX155)</f>
        <v>1251</v>
      </c>
      <c r="CZ155" s="16">
        <v>4410</v>
      </c>
      <c r="DA155" s="313"/>
      <c r="DB155" s="313"/>
      <c r="DC155" s="313"/>
      <c r="DD155" s="394"/>
      <c r="DE155" s="16">
        <f>4715+960</f>
        <v>5675</v>
      </c>
      <c r="DF155" s="313"/>
      <c r="DG155" s="313"/>
      <c r="DH155" s="358"/>
      <c r="DI155" s="358"/>
      <c r="DJ155" s="16"/>
      <c r="DK155" s="358"/>
      <c r="DL155" s="313"/>
      <c r="DM155" s="358"/>
      <c r="DN155" s="358"/>
      <c r="DO155" s="16"/>
      <c r="DP155" s="358"/>
      <c r="DQ155" s="358"/>
      <c r="DR155" s="358"/>
      <c r="DS155" s="358"/>
      <c r="DT155" s="16"/>
      <c r="DU155" s="16"/>
      <c r="DV155" s="16"/>
    </row>
    <row r="156" spans="1:126" s="15" customFormat="1">
      <c r="B156" s="1053" t="s">
        <v>633</v>
      </c>
      <c r="C156" s="16"/>
      <c r="D156" s="16"/>
      <c r="E156" s="16"/>
      <c r="F156" s="16"/>
      <c r="G156" s="16"/>
      <c r="H156" s="16"/>
      <c r="I156" s="16"/>
      <c r="N156" s="16"/>
      <c r="S156" s="16"/>
      <c r="X156" s="16"/>
      <c r="AC156" s="16"/>
      <c r="AH156" s="16"/>
      <c r="AJ156" s="12"/>
      <c r="AK156" s="49"/>
      <c r="AL156" s="313"/>
      <c r="AM156" s="16"/>
      <c r="AN156" s="49"/>
      <c r="AO156" s="313"/>
      <c r="AP156" s="313"/>
      <c r="AQ156" s="313"/>
      <c r="AR156" s="16"/>
      <c r="AS156" s="313"/>
      <c r="AT156" s="313"/>
      <c r="AU156" s="313"/>
      <c r="AV156" s="313"/>
      <c r="AW156" s="16"/>
      <c r="AX156" s="313"/>
      <c r="AY156" s="313"/>
      <c r="AZ156" s="313"/>
      <c r="BB156" s="16"/>
      <c r="BC156" s="313"/>
      <c r="BD156" s="313"/>
      <c r="BE156" s="313"/>
      <c r="BF156" s="313"/>
      <c r="BG156" s="16"/>
      <c r="BH156" s="313"/>
      <c r="BI156" s="358"/>
      <c r="BJ156" s="358"/>
      <c r="BK156" s="358"/>
      <c r="BL156" s="16"/>
      <c r="BM156" s="358"/>
      <c r="BN156" s="358"/>
      <c r="BO156" s="313"/>
      <c r="BP156" s="313"/>
      <c r="BQ156" s="16"/>
      <c r="BR156" s="358"/>
      <c r="BS156" s="358"/>
      <c r="BT156" s="313"/>
      <c r="BU156" s="358"/>
      <c r="BV156" s="16"/>
      <c r="BW156" s="358"/>
      <c r="BX156" s="313"/>
      <c r="BY156" s="358"/>
      <c r="BZ156" s="358"/>
      <c r="CA156" s="16"/>
      <c r="CB156" s="358"/>
      <c r="CC156" s="358"/>
      <c r="CD156" s="358"/>
      <c r="CE156" s="358"/>
      <c r="CF156" s="16"/>
      <c r="CG156" s="358"/>
      <c r="CH156" s="358"/>
      <c r="CI156" s="358"/>
      <c r="CJ156" s="358"/>
      <c r="CK156" s="16"/>
      <c r="CL156" s="358">
        <v>820</v>
      </c>
      <c r="CM156" s="358">
        <v>703</v>
      </c>
      <c r="CN156" s="358">
        <v>696</v>
      </c>
      <c r="CO156" s="358">
        <v>772.00000000000023</v>
      </c>
      <c r="CP156" s="16">
        <v>2991</v>
      </c>
      <c r="CQ156" s="358">
        <v>682</v>
      </c>
      <c r="CR156" s="358">
        <v>684</v>
      </c>
      <c r="CS156" s="358">
        <v>689</v>
      </c>
      <c r="CT156" s="358">
        <v>758.99999999999989</v>
      </c>
      <c r="CU156" s="16">
        <v>2814</v>
      </c>
      <c r="CV156" s="358">
        <v>714</v>
      </c>
      <c r="CW156" s="358">
        <v>725</v>
      </c>
      <c r="CX156" s="358">
        <v>707</v>
      </c>
      <c r="CY156" s="317">
        <f>CZ156-SUM(CV156:CX156)</f>
        <v>829</v>
      </c>
      <c r="CZ156" s="16">
        <v>2975</v>
      </c>
      <c r="DA156" s="313">
        <f>-358+205</f>
        <v>-153</v>
      </c>
      <c r="DB156" s="313">
        <v>-205</v>
      </c>
      <c r="DC156" s="358">
        <f>DC157-SUM(DC153:DC154)</f>
        <v>-201</v>
      </c>
      <c r="DD156" s="358">
        <f>DD157-SUM(DD153:DD154)</f>
        <v>-298</v>
      </c>
      <c r="DE156" s="16">
        <v>3372</v>
      </c>
      <c r="DF156" s="313">
        <f>-642+310</f>
        <v>-332</v>
      </c>
      <c r="DG156" s="313">
        <v>-310</v>
      </c>
      <c r="DH156" s="358">
        <f>DH157-SUM(DH153:DH154)</f>
        <v>-303</v>
      </c>
      <c r="DI156" s="358">
        <f>DI157-SUM(DI153:DI154)</f>
        <v>-294</v>
      </c>
      <c r="DJ156" s="16">
        <f>+SUM(DF156:DI156)</f>
        <v>-1239</v>
      </c>
      <c r="DK156" s="358">
        <f>DK157-SUM(DK153:DK154)</f>
        <v>-300</v>
      </c>
      <c r="DL156" s="313">
        <f>DL157-SUM(DL153:DL154)</f>
        <v>-402</v>
      </c>
      <c r="DM156" s="358"/>
      <c r="DN156" s="358"/>
      <c r="DO156" s="16"/>
      <c r="DP156" s="358"/>
      <c r="DQ156" s="358"/>
      <c r="DR156" s="358"/>
      <c r="DS156" s="358"/>
      <c r="DT156" s="16"/>
      <c r="DU156" s="16"/>
      <c r="DV156" s="16"/>
    </row>
    <row r="157" spans="1:126" s="15" customFormat="1" ht="12">
      <c r="B157" s="194" t="s">
        <v>70</v>
      </c>
      <c r="C157" s="130">
        <f t="shared" ref="C157:AH157" si="464">SUM(C153:C154)</f>
        <v>0</v>
      </c>
      <c r="D157" s="130">
        <f t="shared" si="464"/>
        <v>0</v>
      </c>
      <c r="E157" s="130">
        <f t="shared" si="464"/>
        <v>0</v>
      </c>
      <c r="F157" s="130">
        <f t="shared" si="464"/>
        <v>0</v>
      </c>
      <c r="G157" s="130">
        <f t="shared" si="464"/>
        <v>0</v>
      </c>
      <c r="H157" s="130">
        <f t="shared" si="464"/>
        <v>0</v>
      </c>
      <c r="I157" s="130">
        <f t="shared" si="464"/>
        <v>0</v>
      </c>
      <c r="J157" s="189">
        <f t="shared" si="464"/>
        <v>0</v>
      </c>
      <c r="K157" s="189">
        <f t="shared" si="464"/>
        <v>0</v>
      </c>
      <c r="L157" s="189">
        <f t="shared" si="464"/>
        <v>0</v>
      </c>
      <c r="M157" s="189">
        <f t="shared" si="464"/>
        <v>0</v>
      </c>
      <c r="N157" s="130">
        <f t="shared" si="464"/>
        <v>0</v>
      </c>
      <c r="O157" s="189">
        <f t="shared" si="464"/>
        <v>0</v>
      </c>
      <c r="P157" s="189">
        <f t="shared" si="464"/>
        <v>0</v>
      </c>
      <c r="Q157" s="189">
        <f t="shared" si="464"/>
        <v>0</v>
      </c>
      <c r="R157" s="189">
        <f t="shared" si="464"/>
        <v>0</v>
      </c>
      <c r="S157" s="130">
        <f t="shared" si="464"/>
        <v>0</v>
      </c>
      <c r="T157" s="189">
        <f t="shared" si="464"/>
        <v>0</v>
      </c>
      <c r="U157" s="189">
        <f t="shared" si="464"/>
        <v>0</v>
      </c>
      <c r="V157" s="189">
        <f t="shared" si="464"/>
        <v>0</v>
      </c>
      <c r="W157" s="189">
        <f t="shared" si="464"/>
        <v>0</v>
      </c>
      <c r="X157" s="130">
        <f t="shared" si="464"/>
        <v>0</v>
      </c>
      <c r="Y157" s="189">
        <f t="shared" si="464"/>
        <v>0</v>
      </c>
      <c r="Z157" s="189">
        <f t="shared" si="464"/>
        <v>0</v>
      </c>
      <c r="AA157" s="189">
        <f t="shared" si="464"/>
        <v>0</v>
      </c>
      <c r="AB157" s="189">
        <f t="shared" si="464"/>
        <v>0</v>
      </c>
      <c r="AC157" s="130">
        <f t="shared" si="464"/>
        <v>0</v>
      </c>
      <c r="AD157" s="189">
        <f t="shared" si="464"/>
        <v>0</v>
      </c>
      <c r="AE157" s="189">
        <f t="shared" si="464"/>
        <v>0</v>
      </c>
      <c r="AF157" s="189">
        <f t="shared" si="464"/>
        <v>0</v>
      </c>
      <c r="AG157" s="189">
        <f t="shared" si="464"/>
        <v>0</v>
      </c>
      <c r="AH157" s="130">
        <f t="shared" si="464"/>
        <v>0</v>
      </c>
      <c r="AI157" s="189">
        <f t="shared" ref="AI157:BN157" si="465">SUM(AI153:AI154)</f>
        <v>0</v>
      </c>
      <c r="AJ157" s="189">
        <f t="shared" si="465"/>
        <v>0</v>
      </c>
      <c r="AK157" s="189">
        <f t="shared" si="465"/>
        <v>0</v>
      </c>
      <c r="AL157" s="189">
        <f t="shared" si="465"/>
        <v>0</v>
      </c>
      <c r="AM157" s="130">
        <f t="shared" si="465"/>
        <v>0</v>
      </c>
      <c r="AN157" s="216">
        <f t="shared" si="465"/>
        <v>0</v>
      </c>
      <c r="AO157" s="216">
        <f t="shared" si="465"/>
        <v>0</v>
      </c>
      <c r="AP157" s="216">
        <f t="shared" si="465"/>
        <v>0</v>
      </c>
      <c r="AQ157" s="216">
        <f t="shared" si="465"/>
        <v>0</v>
      </c>
      <c r="AR157" s="130">
        <f t="shared" si="465"/>
        <v>0</v>
      </c>
      <c r="AS157" s="216">
        <f t="shared" si="465"/>
        <v>0</v>
      </c>
      <c r="AT157" s="216">
        <f t="shared" si="465"/>
        <v>0</v>
      </c>
      <c r="AU157" s="216">
        <f t="shared" si="465"/>
        <v>0</v>
      </c>
      <c r="AV157" s="216">
        <f t="shared" si="465"/>
        <v>0</v>
      </c>
      <c r="AW157" s="130">
        <f t="shared" si="465"/>
        <v>0</v>
      </c>
      <c r="AX157" s="216">
        <f t="shared" si="465"/>
        <v>0</v>
      </c>
      <c r="AY157" s="216">
        <f t="shared" si="465"/>
        <v>0</v>
      </c>
      <c r="AZ157" s="216">
        <f t="shared" si="465"/>
        <v>0</v>
      </c>
      <c r="BA157" s="216">
        <f t="shared" si="465"/>
        <v>0</v>
      </c>
      <c r="BB157" s="130">
        <f t="shared" si="465"/>
        <v>0</v>
      </c>
      <c r="BC157" s="216">
        <f t="shared" si="465"/>
        <v>0</v>
      </c>
      <c r="BD157" s="216">
        <f t="shared" si="465"/>
        <v>0</v>
      </c>
      <c r="BE157" s="216">
        <f t="shared" si="465"/>
        <v>0</v>
      </c>
      <c r="BF157" s="216">
        <f t="shared" si="465"/>
        <v>0</v>
      </c>
      <c r="BG157" s="130">
        <f t="shared" si="465"/>
        <v>0</v>
      </c>
      <c r="BH157" s="216">
        <f t="shared" si="465"/>
        <v>0</v>
      </c>
      <c r="BI157" s="378">
        <f t="shared" si="465"/>
        <v>0</v>
      </c>
      <c r="BJ157" s="378">
        <f t="shared" si="465"/>
        <v>0</v>
      </c>
      <c r="BK157" s="378">
        <f t="shared" si="465"/>
        <v>0</v>
      </c>
      <c r="BL157" s="130">
        <f t="shared" si="465"/>
        <v>0</v>
      </c>
      <c r="BM157" s="378">
        <f t="shared" si="465"/>
        <v>0</v>
      </c>
      <c r="BN157" s="378">
        <f t="shared" si="465"/>
        <v>0</v>
      </c>
      <c r="BO157" s="378">
        <f t="shared" ref="BO157:CT157" si="466">SUM(BO153:BO154)</f>
        <v>0</v>
      </c>
      <c r="BP157" s="378">
        <f t="shared" si="466"/>
        <v>0</v>
      </c>
      <c r="BQ157" s="130">
        <f t="shared" si="466"/>
        <v>0</v>
      </c>
      <c r="BR157" s="378">
        <f t="shared" si="466"/>
        <v>0</v>
      </c>
      <c r="BS157" s="378">
        <f t="shared" si="466"/>
        <v>0</v>
      </c>
      <c r="BT157" s="378">
        <f t="shared" si="466"/>
        <v>0</v>
      </c>
      <c r="BU157" s="378">
        <f t="shared" si="466"/>
        <v>0</v>
      </c>
      <c r="BV157" s="130">
        <f t="shared" si="466"/>
        <v>0</v>
      </c>
      <c r="BW157" s="378">
        <f t="shared" si="466"/>
        <v>0</v>
      </c>
      <c r="BX157" s="378">
        <f t="shared" si="466"/>
        <v>0</v>
      </c>
      <c r="BY157" s="378">
        <f t="shared" si="466"/>
        <v>0</v>
      </c>
      <c r="BZ157" s="378">
        <f t="shared" si="466"/>
        <v>0</v>
      </c>
      <c r="CA157" s="130">
        <f t="shared" si="466"/>
        <v>0</v>
      </c>
      <c r="CB157" s="378">
        <f t="shared" si="466"/>
        <v>0</v>
      </c>
      <c r="CC157" s="378">
        <f t="shared" si="466"/>
        <v>0</v>
      </c>
      <c r="CD157" s="378">
        <f t="shared" si="466"/>
        <v>0</v>
      </c>
      <c r="CE157" s="378">
        <f t="shared" si="466"/>
        <v>0</v>
      </c>
      <c r="CF157" s="130">
        <f t="shared" si="466"/>
        <v>0</v>
      </c>
      <c r="CG157" s="378">
        <f t="shared" si="466"/>
        <v>0</v>
      </c>
      <c r="CH157" s="378">
        <f t="shared" si="466"/>
        <v>0</v>
      </c>
      <c r="CI157" s="378">
        <f t="shared" si="466"/>
        <v>0</v>
      </c>
      <c r="CJ157" s="378">
        <f t="shared" si="466"/>
        <v>0</v>
      </c>
      <c r="CK157" s="130">
        <f t="shared" si="466"/>
        <v>0</v>
      </c>
      <c r="CL157" s="378">
        <f t="shared" si="466"/>
        <v>6893</v>
      </c>
      <c r="CM157" s="378">
        <f t="shared" si="466"/>
        <v>4383</v>
      </c>
      <c r="CN157" s="378">
        <f t="shared" si="466"/>
        <v>4920</v>
      </c>
      <c r="CO157" s="378">
        <f t="shared" si="466"/>
        <v>5846</v>
      </c>
      <c r="CP157" s="130">
        <f t="shared" si="466"/>
        <v>22042</v>
      </c>
      <c r="CQ157" s="378">
        <f t="shared" si="466"/>
        <v>4992</v>
      </c>
      <c r="CR157" s="378">
        <f t="shared" si="466"/>
        <v>4839</v>
      </c>
      <c r="CS157" s="378">
        <f t="shared" si="466"/>
        <v>5398</v>
      </c>
      <c r="CT157" s="378">
        <f t="shared" si="466"/>
        <v>6081</v>
      </c>
      <c r="CU157" s="225">
        <f t="shared" ref="CU157:CY157" si="467">SUM(CU153:CU154)</f>
        <v>21310</v>
      </c>
      <c r="CV157" s="378">
        <f t="shared" si="467"/>
        <v>5603</v>
      </c>
      <c r="CW157" s="378">
        <f t="shared" si="467"/>
        <v>6127</v>
      </c>
      <c r="CX157" s="378">
        <f t="shared" si="467"/>
        <v>6705</v>
      </c>
      <c r="CY157" s="378">
        <f t="shared" si="467"/>
        <v>7615</v>
      </c>
      <c r="CZ157" s="225">
        <f>SUM(CZ153:CZ154)</f>
        <v>26050</v>
      </c>
      <c r="DA157" s="393">
        <f>SUM(DA153:DA156)</f>
        <v>7045</v>
      </c>
      <c r="DB157" s="393">
        <f>SUM(DB153:DB156)</f>
        <v>7907</v>
      </c>
      <c r="DC157" s="378">
        <v>8461</v>
      </c>
      <c r="DD157" s="378">
        <v>8547</v>
      </c>
      <c r="DE157" s="225">
        <f>SUM(DE153:DE154)</f>
        <v>32817</v>
      </c>
      <c r="DF157" s="378">
        <f>SUM(DF153:DF156)</f>
        <v>8076</v>
      </c>
      <c r="DG157" s="378">
        <f>SUM(DG153:DG156)</f>
        <v>8223</v>
      </c>
      <c r="DH157" s="378">
        <v>8943</v>
      </c>
      <c r="DI157" s="378">
        <v>9879</v>
      </c>
      <c r="DJ157" s="16">
        <f>+SUM(DJ153:DJ156)</f>
        <v>35121</v>
      </c>
      <c r="DK157" s="1085">
        <v>9001</v>
      </c>
      <c r="DL157" s="1085">
        <v>10151</v>
      </c>
      <c r="DM157" s="378"/>
      <c r="DN157" s="378"/>
      <c r="DO157" s="16"/>
      <c r="DP157" s="1085"/>
      <c r="DQ157" s="378"/>
      <c r="DR157" s="378"/>
      <c r="DS157" s="378"/>
      <c r="DT157" s="16"/>
      <c r="DU157" s="16"/>
      <c r="DV157" s="16"/>
    </row>
    <row r="158" spans="1:126" s="15" customFormat="1" hidden="1" outlineLevel="1">
      <c r="B158" s="147" t="s">
        <v>145</v>
      </c>
      <c r="C158" s="192"/>
      <c r="D158" s="192"/>
      <c r="E158" s="192"/>
      <c r="F158" s="192"/>
      <c r="G158" s="192"/>
      <c r="H158" s="192"/>
      <c r="I158" s="192"/>
      <c r="J158" s="207"/>
      <c r="K158" s="207"/>
      <c r="L158" s="207"/>
      <c r="M158" s="207"/>
      <c r="N158" s="192"/>
      <c r="O158" s="207"/>
      <c r="P158" s="207"/>
      <c r="Q158" s="207"/>
      <c r="R158" s="207"/>
      <c r="S158" s="192"/>
      <c r="T158" s="207"/>
      <c r="U158" s="207"/>
      <c r="V158" s="207"/>
      <c r="W158" s="207"/>
      <c r="X158" s="192"/>
      <c r="Y158" s="207"/>
      <c r="Z158" s="207"/>
      <c r="AA158" s="207"/>
      <c r="AB158" s="207"/>
      <c r="AC158" s="192"/>
      <c r="AD158" s="207"/>
      <c r="AE158" s="207"/>
      <c r="AF158" s="207"/>
      <c r="AG158" s="207"/>
      <c r="AH158" s="192"/>
      <c r="AI158" s="207"/>
      <c r="AJ158" s="207"/>
      <c r="AK158" s="207"/>
      <c r="AL158" s="207"/>
      <c r="AM158" s="192"/>
      <c r="AN158" s="207"/>
      <c r="AO158" s="207"/>
      <c r="AP158" s="207"/>
      <c r="AQ158" s="207"/>
      <c r="AR158" s="192"/>
      <c r="AS158" s="207"/>
      <c r="AT158" s="207"/>
      <c r="AU158" s="207"/>
      <c r="AV158" s="207"/>
      <c r="AW158" s="192"/>
      <c r="AX158" s="207"/>
      <c r="AY158" s="207"/>
      <c r="AZ158" s="207"/>
      <c r="BA158" s="207"/>
      <c r="BB158" s="192"/>
      <c r="BC158" s="207"/>
      <c r="BD158" s="207"/>
      <c r="BE158" s="207"/>
      <c r="BF158" s="207"/>
      <c r="BG158" s="192"/>
      <c r="BH158" s="207"/>
      <c r="BI158" s="386"/>
      <c r="BJ158" s="386"/>
      <c r="BK158" s="386"/>
      <c r="BL158" s="192"/>
      <c r="BM158" s="207"/>
      <c r="BN158" s="386"/>
      <c r="BO158" s="386"/>
      <c r="BP158" s="386"/>
      <c r="BQ158" s="192"/>
      <c r="BR158" s="207"/>
      <c r="BS158" s="386"/>
      <c r="BT158" s="423"/>
      <c r="BU158" s="386"/>
      <c r="BV158" s="192"/>
      <c r="BW158" s="207"/>
      <c r="BX158" s="423"/>
      <c r="BY158" s="386"/>
      <c r="BZ158" s="386"/>
      <c r="CA158" s="192"/>
      <c r="CB158" s="207"/>
      <c r="CC158" s="386"/>
      <c r="CD158" s="386"/>
      <c r="CE158" s="386"/>
      <c r="CF158" s="192"/>
      <c r="CG158" s="386"/>
      <c r="CH158" s="386"/>
      <c r="CI158" s="386"/>
      <c r="CJ158" s="386"/>
      <c r="CK158" s="192"/>
      <c r="CL158" s="386"/>
      <c r="CM158" s="386"/>
      <c r="CN158" s="386"/>
      <c r="CO158" s="386"/>
      <c r="CP158" s="192"/>
      <c r="CQ158" s="386"/>
      <c r="CR158" s="386"/>
      <c r="CS158" s="386"/>
      <c r="CT158" s="386"/>
      <c r="CU158" s="192"/>
      <c r="CV158" s="386"/>
      <c r="CW158" s="386"/>
      <c r="CX158" s="386"/>
      <c r="CY158" s="386"/>
      <c r="CZ158" s="192"/>
      <c r="DA158" s="423"/>
      <c r="DB158" s="423"/>
      <c r="DC158" s="386"/>
      <c r="DD158" s="386"/>
      <c r="DE158" s="192"/>
      <c r="DF158" s="386"/>
      <c r="DG158" s="386"/>
      <c r="DH158" s="386"/>
      <c r="DI158" s="386"/>
      <c r="DJ158" s="192"/>
      <c r="DK158" s="386"/>
      <c r="DL158" s="386"/>
      <c r="DM158" s="386"/>
      <c r="DN158" s="386"/>
      <c r="DO158" s="192"/>
      <c r="DP158" s="386"/>
      <c r="DQ158" s="386"/>
      <c r="DR158" s="386"/>
      <c r="DS158" s="386"/>
      <c r="DT158" s="192"/>
      <c r="DU158" s="192"/>
      <c r="DV158" s="192"/>
    </row>
    <row r="159" spans="1:126" s="15" customFormat="1" collapsed="1">
      <c r="C159" s="16"/>
      <c r="D159" s="16"/>
      <c r="E159" s="16"/>
      <c r="F159" s="16"/>
      <c r="G159" s="16"/>
      <c r="H159" s="16"/>
      <c r="I159" s="16"/>
      <c r="N159" s="16"/>
      <c r="S159" s="16"/>
      <c r="X159" s="16"/>
      <c r="AC159" s="16"/>
      <c r="AH159" s="16"/>
      <c r="AM159" s="16"/>
      <c r="AR159" s="16"/>
      <c r="AW159" s="16"/>
      <c r="BB159" s="16"/>
      <c r="BG159" s="16"/>
      <c r="BI159" s="317"/>
      <c r="BJ159" s="317"/>
      <c r="BK159" s="317"/>
      <c r="BL159" s="16"/>
      <c r="BN159" s="317"/>
      <c r="BO159" s="317"/>
      <c r="BP159" s="317"/>
      <c r="BQ159" s="16"/>
      <c r="BS159" s="317"/>
      <c r="BT159" s="394"/>
      <c r="BU159" s="317"/>
      <c r="BV159" s="16"/>
      <c r="BX159" s="394"/>
      <c r="BY159" s="317"/>
      <c r="BZ159" s="317"/>
      <c r="CA159" s="16"/>
      <c r="CC159" s="317"/>
      <c r="CD159" s="317"/>
      <c r="CE159" s="317"/>
      <c r="CF159" s="16"/>
      <c r="CG159" s="317"/>
      <c r="CH159" s="317"/>
      <c r="CI159" s="317"/>
      <c r="CJ159" s="317"/>
      <c r="CK159" s="16"/>
      <c r="CL159" s="317"/>
      <c r="CM159" s="317"/>
      <c r="CN159" s="317"/>
      <c r="CO159" s="317"/>
      <c r="CP159" s="16"/>
      <c r="CQ159" s="317"/>
      <c r="CR159" s="317"/>
      <c r="CS159" s="317"/>
      <c r="CT159" s="317"/>
      <c r="CU159" s="16"/>
      <c r="CV159" s="317"/>
      <c r="CW159" s="317"/>
      <c r="CX159" s="317"/>
      <c r="CY159" s="317"/>
      <c r="CZ159" s="16"/>
      <c r="DA159" s="394"/>
      <c r="DB159" s="394"/>
      <c r="DC159" s="317"/>
      <c r="DD159" s="317"/>
      <c r="DE159" s="16"/>
      <c r="DF159" s="317"/>
      <c r="DG159" s="317"/>
      <c r="DH159" s="317"/>
      <c r="DI159" s="317"/>
      <c r="DJ159" s="16"/>
      <c r="DK159" s="317"/>
      <c r="DL159" s="317"/>
      <c r="DM159" s="317"/>
      <c r="DN159" s="317"/>
      <c r="DO159" s="16"/>
      <c r="DP159" s="317"/>
      <c r="DQ159" s="317"/>
      <c r="DR159" s="317"/>
      <c r="DS159" s="317"/>
      <c r="DT159" s="16"/>
      <c r="DU159" s="16"/>
      <c r="DV159" s="16"/>
    </row>
    <row r="160" spans="1:126" s="15" customFormat="1" ht="12">
      <c r="B160" s="189" t="s">
        <v>73</v>
      </c>
      <c r="C160" s="16"/>
      <c r="D160" s="16"/>
      <c r="E160" s="16"/>
      <c r="F160" s="16"/>
      <c r="G160" s="16"/>
      <c r="H160" s="16"/>
      <c r="I160" s="16"/>
      <c r="N160" s="16"/>
      <c r="S160" s="16"/>
      <c r="X160" s="16"/>
      <c r="AC160" s="299"/>
      <c r="AH160" s="299"/>
      <c r="AM160" s="16"/>
      <c r="AR160" s="16"/>
      <c r="AW160" s="16"/>
      <c r="BB160" s="16"/>
      <c r="BG160" s="16"/>
      <c r="BI160" s="317"/>
      <c r="BJ160" s="317"/>
      <c r="BK160" s="317"/>
      <c r="BL160" s="16"/>
      <c r="BN160" s="317"/>
      <c r="BO160" s="317"/>
      <c r="BP160" s="317"/>
      <c r="BQ160" s="16"/>
      <c r="BS160" s="317"/>
      <c r="BT160" s="394"/>
      <c r="BU160" s="317"/>
      <c r="BV160" s="16"/>
      <c r="BX160" s="394"/>
      <c r="BY160" s="317"/>
      <c r="BZ160" s="317"/>
      <c r="CA160" s="16"/>
      <c r="CC160" s="317"/>
      <c r="CD160" s="317"/>
      <c r="CE160" s="317"/>
      <c r="CF160" s="16"/>
      <c r="CG160" s="317"/>
      <c r="CH160" s="317"/>
      <c r="CI160" s="317"/>
      <c r="CJ160" s="317"/>
      <c r="CK160" s="16"/>
      <c r="CL160" s="317"/>
      <c r="CM160" s="317"/>
      <c r="CN160" s="317"/>
      <c r="CO160" s="317"/>
      <c r="CP160" s="1090"/>
      <c r="CQ160" s="317"/>
      <c r="CR160" s="317"/>
      <c r="CS160" s="317"/>
      <c r="CT160" s="317"/>
      <c r="CU160" s="1091"/>
      <c r="CV160" s="317"/>
      <c r="CW160" s="317"/>
      <c r="CX160" s="317"/>
      <c r="CY160" s="317"/>
      <c r="CZ160" s="1091"/>
      <c r="DA160" s="317"/>
      <c r="DB160" s="317"/>
      <c r="DC160" s="317"/>
      <c r="DD160" s="317"/>
      <c r="DE160" s="308"/>
      <c r="DF160" s="317"/>
      <c r="DG160" s="317"/>
      <c r="DH160" s="317"/>
      <c r="DI160" s="317"/>
      <c r="DJ160" s="16"/>
      <c r="DK160" s="317"/>
      <c r="DL160" s="317"/>
      <c r="DM160" s="317"/>
      <c r="DN160" s="317"/>
      <c r="DO160" s="16"/>
      <c r="DP160" s="317"/>
      <c r="DQ160" s="317"/>
      <c r="DR160" s="317"/>
      <c r="DS160" s="317"/>
      <c r="DT160" s="16"/>
      <c r="DU160" s="16"/>
      <c r="DV160" s="16"/>
    </row>
    <row r="161" spans="1:126" s="15" customFormat="1">
      <c r="B161" s="221" t="s">
        <v>381</v>
      </c>
      <c r="C161" s="16"/>
      <c r="D161" s="16"/>
      <c r="E161" s="16"/>
      <c r="F161" s="16"/>
      <c r="G161" s="16"/>
      <c r="H161" s="16"/>
      <c r="I161" s="16"/>
      <c r="J161" s="358"/>
      <c r="K161" s="358"/>
      <c r="L161" s="358"/>
      <c r="M161" s="358"/>
      <c r="N161" s="16">
        <f t="shared" ref="N161:N162" si="468">SUM(J161:M161)</f>
        <v>0</v>
      </c>
      <c r="O161" s="358"/>
      <c r="P161" s="358"/>
      <c r="Q161" s="358"/>
      <c r="R161" s="358"/>
      <c r="S161" s="16">
        <f t="shared" ref="S161:S162" si="469">SUM(O161:R161)</f>
        <v>0</v>
      </c>
      <c r="T161" s="358"/>
      <c r="U161" s="358"/>
      <c r="V161" s="358"/>
      <c r="W161" s="358"/>
      <c r="X161" s="16">
        <f t="shared" ref="X161:X162" si="470">SUM(T161:W161)</f>
        <v>0</v>
      </c>
      <c r="Y161" s="358"/>
      <c r="Z161" s="358"/>
      <c r="AA161" s="358"/>
      <c r="AB161" s="358"/>
      <c r="AC161" s="16">
        <f t="shared" ref="AC161:AC162" si="471">SUM(Y161:AB161)</f>
        <v>0</v>
      </c>
      <c r="AD161" s="358"/>
      <c r="AE161" s="358"/>
      <c r="AF161" s="358"/>
      <c r="AG161" s="358"/>
      <c r="AH161" s="16">
        <f t="shared" ref="AH161:AH162" si="472">SUM(AD161:AG161)</f>
        <v>0</v>
      </c>
      <c r="AI161" s="358"/>
      <c r="AJ161" s="358"/>
      <c r="AK161" s="358"/>
      <c r="AL161" s="358"/>
      <c r="AM161" s="16">
        <f t="shared" ref="AM161:AM162" si="473">SUM(AI161:AL161)</f>
        <v>0</v>
      </c>
      <c r="AN161" s="358"/>
      <c r="AO161" s="358"/>
      <c r="AP161" s="358"/>
      <c r="AQ161" s="358"/>
      <c r="AR161" s="16">
        <f t="shared" ref="AR161:AR162" si="474">SUM(AN161:AQ161)</f>
        <v>0</v>
      </c>
      <c r="AS161" s="358"/>
      <c r="AT161" s="358"/>
      <c r="AU161" s="358"/>
      <c r="AV161" s="358"/>
      <c r="AW161" s="16">
        <f t="shared" ref="AW161:AW162" si="475">SUM(AS161:AV161)</f>
        <v>0</v>
      </c>
      <c r="AX161" s="358"/>
      <c r="AY161" s="358"/>
      <c r="AZ161" s="358"/>
      <c r="BA161" s="358"/>
      <c r="BB161" s="16">
        <f t="shared" ref="BB161:BB162" si="476">SUM(AX161:BA161)</f>
        <v>0</v>
      </c>
      <c r="BC161" s="358"/>
      <c r="BD161" s="358"/>
      <c r="BE161" s="358"/>
      <c r="BF161" s="358"/>
      <c r="BG161" s="16">
        <f t="shared" ref="BG161:BG162" si="477">SUM(BC161:BF161)</f>
        <v>0</v>
      </c>
      <c r="BH161" s="358"/>
      <c r="BI161" s="358"/>
      <c r="BJ161" s="358"/>
      <c r="BK161" s="358"/>
      <c r="BL161" s="16">
        <f t="shared" ref="BL161:BL162" si="478">SUM(BH161:BK161)</f>
        <v>0</v>
      </c>
      <c r="BM161" s="358"/>
      <c r="BN161" s="358"/>
      <c r="BO161" s="358"/>
      <c r="BP161" s="358"/>
      <c r="BQ161" s="16">
        <f t="shared" ref="BQ161:BQ162" si="479">SUM(BM161:BP161)</f>
        <v>0</v>
      </c>
      <c r="BR161" s="358"/>
      <c r="BS161" s="358"/>
      <c r="BT161" s="358"/>
      <c r="BU161" s="358"/>
      <c r="BV161" s="16">
        <f t="shared" ref="BV161:BV162" si="480">SUM(BR161:BU161)</f>
        <v>0</v>
      </c>
      <c r="BW161" s="358"/>
      <c r="BX161" s="358"/>
      <c r="BY161" s="358"/>
      <c r="BZ161" s="358"/>
      <c r="CA161" s="16">
        <f t="shared" ref="CA161:CA162" si="481">SUM(BW161:BZ161)</f>
        <v>0</v>
      </c>
      <c r="CB161" s="358"/>
      <c r="CC161" s="358"/>
      <c r="CD161" s="358"/>
      <c r="CE161" s="358"/>
      <c r="CF161" s="16">
        <f t="shared" ref="CF161:CF162" si="482">SUM(CB161:CE161)</f>
        <v>0</v>
      </c>
      <c r="CG161" s="358"/>
      <c r="CH161" s="358"/>
      <c r="CI161" s="358"/>
      <c r="CJ161" s="358"/>
      <c r="CK161" s="16">
        <f t="shared" ref="CK161:CK162" si="483">SUM(CG161:CJ161)</f>
        <v>0</v>
      </c>
      <c r="CL161" s="848"/>
      <c r="CM161" s="848"/>
      <c r="CN161" s="848"/>
      <c r="CO161" s="848"/>
      <c r="CP161" s="308">
        <f t="shared" ref="CP161:CP162" si="484">SUM(CL161:CO161)</f>
        <v>0</v>
      </c>
      <c r="CQ161" s="358"/>
      <c r="CR161" s="358"/>
      <c r="CS161" s="358"/>
      <c r="CT161" s="358"/>
      <c r="CU161" s="308">
        <f t="shared" ref="CU161:CU162" si="485">SUM(CQ161:CT161)</f>
        <v>0</v>
      </c>
      <c r="CV161" s="358"/>
      <c r="CW161" s="358"/>
      <c r="CX161" s="358"/>
      <c r="CY161" s="358"/>
      <c r="CZ161" s="308">
        <f t="shared" ref="CZ161:CZ162" si="486">SUM(CV161:CY161)</f>
        <v>0</v>
      </c>
      <c r="DA161" s="358">
        <f>2603-1389</f>
        <v>1214</v>
      </c>
      <c r="DB161" s="358">
        <v>1389</v>
      </c>
      <c r="DC161" s="358">
        <v>1545</v>
      </c>
      <c r="DD161" s="358">
        <v>1495</v>
      </c>
      <c r="DE161" s="308">
        <f t="shared" ref="DE161:DE166" si="487">SUM(DA161:DD161)</f>
        <v>5643</v>
      </c>
      <c r="DF161" s="313">
        <f>3098-1679</f>
        <v>1419</v>
      </c>
      <c r="DG161" s="313">
        <v>1679</v>
      </c>
      <c r="DH161" s="358">
        <v>1799</v>
      </c>
      <c r="DI161" s="358">
        <v>2158</v>
      </c>
      <c r="DJ161" s="16">
        <f>SUM(DF161:DI161)</f>
        <v>7055</v>
      </c>
      <c r="DK161" s="1079">
        <v>1920</v>
      </c>
      <c r="DL161" s="1078">
        <v>2232</v>
      </c>
      <c r="DM161" s="358"/>
      <c r="DN161" s="358"/>
      <c r="DO161" s="16"/>
      <c r="DP161" s="1079"/>
      <c r="DQ161" s="358"/>
      <c r="DR161" s="358"/>
      <c r="DS161" s="358"/>
      <c r="DT161" s="16"/>
      <c r="DU161" s="16"/>
      <c r="DV161" s="16"/>
    </row>
    <row r="162" spans="1:126" s="15" customFormat="1">
      <c r="B162" s="317" t="s">
        <v>457</v>
      </c>
      <c r="C162" s="16"/>
      <c r="D162" s="16"/>
      <c r="E162" s="16"/>
      <c r="F162" s="16"/>
      <c r="G162" s="16"/>
      <c r="H162" s="16"/>
      <c r="I162" s="16"/>
      <c r="J162" s="358"/>
      <c r="K162" s="358"/>
      <c r="L162" s="358"/>
      <c r="M162" s="358"/>
      <c r="N162" s="16">
        <f t="shared" si="468"/>
        <v>0</v>
      </c>
      <c r="O162" s="358"/>
      <c r="P162" s="358"/>
      <c r="Q162" s="358"/>
      <c r="R162" s="358"/>
      <c r="S162" s="16">
        <f t="shared" si="469"/>
        <v>0</v>
      </c>
      <c r="T162" s="358"/>
      <c r="U162" s="358"/>
      <c r="V162" s="358"/>
      <c r="W162" s="358"/>
      <c r="X162" s="16">
        <f t="shared" si="470"/>
        <v>0</v>
      </c>
      <c r="Y162" s="358"/>
      <c r="Z162" s="358"/>
      <c r="AA162" s="358"/>
      <c r="AB162" s="358"/>
      <c r="AC162" s="16">
        <f t="shared" si="471"/>
        <v>0</v>
      </c>
      <c r="AD162" s="358"/>
      <c r="AE162" s="358"/>
      <c r="AF162" s="358"/>
      <c r="AG162" s="358"/>
      <c r="AH162" s="16">
        <f t="shared" si="472"/>
        <v>0</v>
      </c>
      <c r="AI162" s="358"/>
      <c r="AJ162" s="358"/>
      <c r="AK162" s="358"/>
      <c r="AL162" s="358"/>
      <c r="AM162" s="16">
        <f t="shared" si="473"/>
        <v>0</v>
      </c>
      <c r="AN162" s="358"/>
      <c r="AO162" s="358"/>
      <c r="AP162" s="358"/>
      <c r="AQ162" s="358"/>
      <c r="AR162" s="16">
        <f t="shared" si="474"/>
        <v>0</v>
      </c>
      <c r="AS162" s="358"/>
      <c r="AT162" s="358"/>
      <c r="AU162" s="358"/>
      <c r="AV162" s="358"/>
      <c r="AW162" s="16">
        <f t="shared" si="475"/>
        <v>0</v>
      </c>
      <c r="AX162" s="358"/>
      <c r="AY162" s="358"/>
      <c r="AZ162" s="358"/>
      <c r="BA162" s="358"/>
      <c r="BB162" s="16">
        <f t="shared" si="476"/>
        <v>0</v>
      </c>
      <c r="BC162" s="358"/>
      <c r="BD162" s="358"/>
      <c r="BE162" s="358"/>
      <c r="BF162" s="358"/>
      <c r="BG162" s="16">
        <f t="shared" si="477"/>
        <v>0</v>
      </c>
      <c r="BH162" s="358"/>
      <c r="BI162" s="358"/>
      <c r="BJ162" s="358"/>
      <c r="BK162" s="358"/>
      <c r="BL162" s="16">
        <f t="shared" si="478"/>
        <v>0</v>
      </c>
      <c r="BM162" s="358"/>
      <c r="BN162" s="358"/>
      <c r="BO162" s="358"/>
      <c r="BP162" s="358"/>
      <c r="BQ162" s="16">
        <f t="shared" si="479"/>
        <v>0</v>
      </c>
      <c r="BR162" s="358"/>
      <c r="BS162" s="358"/>
      <c r="BT162" s="358"/>
      <c r="BU162" s="358"/>
      <c r="BV162" s="16">
        <f t="shared" si="480"/>
        <v>0</v>
      </c>
      <c r="BW162" s="358"/>
      <c r="BX162" s="358"/>
      <c r="BY162" s="358"/>
      <c r="BZ162" s="358"/>
      <c r="CA162" s="16">
        <f t="shared" si="481"/>
        <v>0</v>
      </c>
      <c r="CB162" s="358"/>
      <c r="CC162" s="358"/>
      <c r="CD162" s="358"/>
      <c r="CE162" s="358"/>
      <c r="CF162" s="16">
        <f t="shared" si="482"/>
        <v>0</v>
      </c>
      <c r="CG162" s="358"/>
      <c r="CH162" s="358"/>
      <c r="CI162" s="358"/>
      <c r="CJ162" s="358"/>
      <c r="CK162" s="16">
        <f t="shared" si="483"/>
        <v>0</v>
      </c>
      <c r="CL162" s="848"/>
      <c r="CM162" s="848"/>
      <c r="CN162" s="848"/>
      <c r="CO162" s="848"/>
      <c r="CP162" s="308">
        <f t="shared" si="484"/>
        <v>0</v>
      </c>
      <c r="CQ162" s="358"/>
      <c r="CR162" s="358"/>
      <c r="CS162" s="358"/>
      <c r="CT162" s="358"/>
      <c r="CU162" s="308">
        <f t="shared" si="485"/>
        <v>0</v>
      </c>
      <c r="CV162" s="358"/>
      <c r="CW162" s="358"/>
      <c r="CX162" s="358"/>
      <c r="CY162" s="358"/>
      <c r="CZ162" s="308">
        <f t="shared" si="486"/>
        <v>0</v>
      </c>
      <c r="DA162" s="358">
        <f>402-201</f>
        <v>201</v>
      </c>
      <c r="DB162" s="358">
        <v>201</v>
      </c>
      <c r="DC162" s="358">
        <v>269</v>
      </c>
      <c r="DD162" s="358">
        <v>237</v>
      </c>
      <c r="DE162" s="308">
        <f t="shared" si="487"/>
        <v>908</v>
      </c>
      <c r="DF162" s="313">
        <f>600-344</f>
        <v>256</v>
      </c>
      <c r="DG162" s="313">
        <v>344</v>
      </c>
      <c r="DH162" s="358">
        <v>220</v>
      </c>
      <c r="DI162" s="358">
        <v>241</v>
      </c>
      <c r="DJ162" s="16">
        <f>SUM(DF162:DI162)</f>
        <v>1061</v>
      </c>
      <c r="DK162" s="1079">
        <v>296</v>
      </c>
      <c r="DL162" s="1078">
        <v>362</v>
      </c>
      <c r="DM162" s="358"/>
      <c r="DN162" s="358"/>
      <c r="DO162" s="16"/>
      <c r="DP162" s="1079"/>
      <c r="DQ162" s="358"/>
      <c r="DR162" s="358"/>
      <c r="DS162" s="358"/>
      <c r="DT162" s="16"/>
      <c r="DU162" s="16"/>
      <c r="DV162" s="16"/>
    </row>
    <row r="163" spans="1:126" s="15" customFormat="1" ht="12">
      <c r="B163" s="194" t="s">
        <v>72</v>
      </c>
      <c r="C163" s="130">
        <f t="shared" ref="C163:AH163" si="488">SUM(C161:C162)</f>
        <v>0</v>
      </c>
      <c r="D163" s="130">
        <f t="shared" si="488"/>
        <v>0</v>
      </c>
      <c r="E163" s="130">
        <f t="shared" si="488"/>
        <v>0</v>
      </c>
      <c r="F163" s="130">
        <f t="shared" si="488"/>
        <v>0</v>
      </c>
      <c r="G163" s="130">
        <f t="shared" si="488"/>
        <v>0</v>
      </c>
      <c r="H163" s="130">
        <f t="shared" si="488"/>
        <v>0</v>
      </c>
      <c r="I163" s="130">
        <f t="shared" si="488"/>
        <v>0</v>
      </c>
      <c r="J163" s="378">
        <f t="shared" si="488"/>
        <v>0</v>
      </c>
      <c r="K163" s="378">
        <f t="shared" si="488"/>
        <v>0</v>
      </c>
      <c r="L163" s="378">
        <f t="shared" si="488"/>
        <v>0</v>
      </c>
      <c r="M163" s="378">
        <f t="shared" si="488"/>
        <v>0</v>
      </c>
      <c r="N163" s="225">
        <f t="shared" si="488"/>
        <v>0</v>
      </c>
      <c r="O163" s="378">
        <f t="shared" si="488"/>
        <v>0</v>
      </c>
      <c r="P163" s="378">
        <f t="shared" si="488"/>
        <v>0</v>
      </c>
      <c r="Q163" s="378">
        <f t="shared" si="488"/>
        <v>0</v>
      </c>
      <c r="R163" s="378">
        <f t="shared" si="488"/>
        <v>0</v>
      </c>
      <c r="S163" s="225">
        <f t="shared" si="488"/>
        <v>0</v>
      </c>
      <c r="T163" s="378">
        <f t="shared" si="488"/>
        <v>0</v>
      </c>
      <c r="U163" s="378">
        <f t="shared" si="488"/>
        <v>0</v>
      </c>
      <c r="V163" s="378">
        <f t="shared" si="488"/>
        <v>0</v>
      </c>
      <c r="W163" s="378">
        <f t="shared" si="488"/>
        <v>0</v>
      </c>
      <c r="X163" s="225">
        <f t="shared" si="488"/>
        <v>0</v>
      </c>
      <c r="Y163" s="378">
        <f t="shared" si="488"/>
        <v>0</v>
      </c>
      <c r="Z163" s="378">
        <f t="shared" si="488"/>
        <v>0</v>
      </c>
      <c r="AA163" s="378">
        <f t="shared" si="488"/>
        <v>0</v>
      </c>
      <c r="AB163" s="378">
        <f t="shared" si="488"/>
        <v>0</v>
      </c>
      <c r="AC163" s="225">
        <f t="shared" si="488"/>
        <v>0</v>
      </c>
      <c r="AD163" s="378">
        <f t="shared" si="488"/>
        <v>0</v>
      </c>
      <c r="AE163" s="378">
        <f t="shared" si="488"/>
        <v>0</v>
      </c>
      <c r="AF163" s="378">
        <f t="shared" si="488"/>
        <v>0</v>
      </c>
      <c r="AG163" s="378">
        <f t="shared" si="488"/>
        <v>0</v>
      </c>
      <c r="AH163" s="225">
        <f t="shared" si="488"/>
        <v>0</v>
      </c>
      <c r="AI163" s="378">
        <f t="shared" ref="AI163:BN163" si="489">SUM(AI161:AI162)</f>
        <v>0</v>
      </c>
      <c r="AJ163" s="378">
        <f t="shared" si="489"/>
        <v>0</v>
      </c>
      <c r="AK163" s="378">
        <f t="shared" si="489"/>
        <v>0</v>
      </c>
      <c r="AL163" s="378">
        <f t="shared" si="489"/>
        <v>0</v>
      </c>
      <c r="AM163" s="225">
        <f t="shared" si="489"/>
        <v>0</v>
      </c>
      <c r="AN163" s="378">
        <f t="shared" si="489"/>
        <v>0</v>
      </c>
      <c r="AO163" s="378">
        <f t="shared" si="489"/>
        <v>0</v>
      </c>
      <c r="AP163" s="378">
        <f t="shared" si="489"/>
        <v>0</v>
      </c>
      <c r="AQ163" s="378">
        <f t="shared" si="489"/>
        <v>0</v>
      </c>
      <c r="AR163" s="225">
        <f t="shared" si="489"/>
        <v>0</v>
      </c>
      <c r="AS163" s="378">
        <f t="shared" si="489"/>
        <v>0</v>
      </c>
      <c r="AT163" s="378">
        <f t="shared" si="489"/>
        <v>0</v>
      </c>
      <c r="AU163" s="378">
        <f t="shared" si="489"/>
        <v>0</v>
      </c>
      <c r="AV163" s="378">
        <f t="shared" si="489"/>
        <v>0</v>
      </c>
      <c r="AW163" s="225">
        <f t="shared" si="489"/>
        <v>0</v>
      </c>
      <c r="AX163" s="378">
        <f t="shared" si="489"/>
        <v>0</v>
      </c>
      <c r="AY163" s="378">
        <f t="shared" si="489"/>
        <v>0</v>
      </c>
      <c r="AZ163" s="378">
        <f t="shared" si="489"/>
        <v>0</v>
      </c>
      <c r="BA163" s="378">
        <f t="shared" si="489"/>
        <v>0</v>
      </c>
      <c r="BB163" s="225">
        <f t="shared" si="489"/>
        <v>0</v>
      </c>
      <c r="BC163" s="378">
        <f t="shared" si="489"/>
        <v>0</v>
      </c>
      <c r="BD163" s="378">
        <f t="shared" si="489"/>
        <v>0</v>
      </c>
      <c r="BE163" s="378">
        <f t="shared" si="489"/>
        <v>0</v>
      </c>
      <c r="BF163" s="378">
        <f t="shared" si="489"/>
        <v>0</v>
      </c>
      <c r="BG163" s="225">
        <f t="shared" si="489"/>
        <v>0</v>
      </c>
      <c r="BH163" s="378">
        <f t="shared" si="489"/>
        <v>0</v>
      </c>
      <c r="BI163" s="378">
        <f t="shared" si="489"/>
        <v>0</v>
      </c>
      <c r="BJ163" s="378">
        <f t="shared" si="489"/>
        <v>0</v>
      </c>
      <c r="BK163" s="378">
        <f t="shared" si="489"/>
        <v>0</v>
      </c>
      <c r="BL163" s="225">
        <f t="shared" si="489"/>
        <v>0</v>
      </c>
      <c r="BM163" s="378">
        <f t="shared" si="489"/>
        <v>0</v>
      </c>
      <c r="BN163" s="378">
        <f t="shared" si="489"/>
        <v>0</v>
      </c>
      <c r="BO163" s="378">
        <f t="shared" ref="BO163:CK163" si="490">SUM(BO161:BO162)</f>
        <v>0</v>
      </c>
      <c r="BP163" s="378">
        <f t="shared" si="490"/>
        <v>0</v>
      </c>
      <c r="BQ163" s="225">
        <f t="shared" si="490"/>
        <v>0</v>
      </c>
      <c r="BR163" s="378">
        <f t="shared" si="490"/>
        <v>0</v>
      </c>
      <c r="BS163" s="378">
        <f t="shared" si="490"/>
        <v>0</v>
      </c>
      <c r="BT163" s="378">
        <f t="shared" si="490"/>
        <v>0</v>
      </c>
      <c r="BU163" s="378">
        <f t="shared" si="490"/>
        <v>0</v>
      </c>
      <c r="BV163" s="225">
        <f t="shared" si="490"/>
        <v>0</v>
      </c>
      <c r="BW163" s="378">
        <f t="shared" si="490"/>
        <v>0</v>
      </c>
      <c r="BX163" s="378">
        <f t="shared" si="490"/>
        <v>0</v>
      </c>
      <c r="BY163" s="378">
        <f t="shared" si="490"/>
        <v>0</v>
      </c>
      <c r="BZ163" s="378">
        <f t="shared" si="490"/>
        <v>0</v>
      </c>
      <c r="CA163" s="225">
        <f t="shared" si="490"/>
        <v>0</v>
      </c>
      <c r="CB163" s="378">
        <f t="shared" si="490"/>
        <v>0</v>
      </c>
      <c r="CC163" s="378">
        <f t="shared" si="490"/>
        <v>0</v>
      </c>
      <c r="CD163" s="378">
        <f t="shared" si="490"/>
        <v>0</v>
      </c>
      <c r="CE163" s="378">
        <f t="shared" si="490"/>
        <v>0</v>
      </c>
      <c r="CF163" s="225">
        <f t="shared" si="490"/>
        <v>0</v>
      </c>
      <c r="CG163" s="378">
        <f t="shared" si="490"/>
        <v>0</v>
      </c>
      <c r="CH163" s="378">
        <f t="shared" si="490"/>
        <v>0</v>
      </c>
      <c r="CI163" s="378">
        <f t="shared" si="490"/>
        <v>0</v>
      </c>
      <c r="CJ163" s="378">
        <f t="shared" si="490"/>
        <v>0</v>
      </c>
      <c r="CK163" s="225">
        <f t="shared" si="490"/>
        <v>0</v>
      </c>
      <c r="CL163" s="378">
        <v>1003</v>
      </c>
      <c r="CM163" s="378">
        <v>-687</v>
      </c>
      <c r="CN163" s="378">
        <v>350</v>
      </c>
      <c r="CO163" s="358">
        <f>CP163-SUM(CL163:CN163)</f>
        <v>563</v>
      </c>
      <c r="CP163" s="1092">
        <v>1229</v>
      </c>
      <c r="CQ163" s="378">
        <v>641</v>
      </c>
      <c r="CR163" s="378">
        <v>176</v>
      </c>
      <c r="CS163" s="378">
        <v>846</v>
      </c>
      <c r="CT163" s="358">
        <f>CU163-SUM(CQ163:CS163)</f>
        <v>1219</v>
      </c>
      <c r="CU163" s="1092">
        <v>2882</v>
      </c>
      <c r="CV163" s="378">
        <v>908</v>
      </c>
      <c r="CW163" s="378">
        <v>1148</v>
      </c>
      <c r="CX163" s="378">
        <v>1284</v>
      </c>
      <c r="CY163" s="378">
        <f>CZ163-SUM(CV163:CX163)</f>
        <v>1435</v>
      </c>
      <c r="CZ163" s="1092">
        <v>4775</v>
      </c>
      <c r="DA163" s="378">
        <f>SUM(DA161:DA162)</f>
        <v>1415</v>
      </c>
      <c r="DB163" s="378">
        <f t="shared" ref="DB163:DD163" si="491">SUM(DB161:DB162)</f>
        <v>1590</v>
      </c>
      <c r="DC163" s="378">
        <f t="shared" si="491"/>
        <v>1814</v>
      </c>
      <c r="DD163" s="378">
        <f t="shared" si="491"/>
        <v>1732</v>
      </c>
      <c r="DE163" s="1092">
        <f t="shared" si="487"/>
        <v>6551</v>
      </c>
      <c r="DF163" s="378">
        <f>SUM(DF161:DF162)</f>
        <v>1675</v>
      </c>
      <c r="DG163" s="378">
        <f t="shared" ref="DG163:DI163" si="492">SUM(DG161:DG162)</f>
        <v>2023</v>
      </c>
      <c r="DH163" s="378">
        <f t="shared" si="492"/>
        <v>2019</v>
      </c>
      <c r="DI163" s="378">
        <f t="shared" si="492"/>
        <v>2399</v>
      </c>
      <c r="DJ163" s="225">
        <f>+SUM(DJ161:DJ162)</f>
        <v>8116</v>
      </c>
      <c r="DK163" s="378">
        <f t="shared" ref="DK163" si="493">SUM(DK161:DK162)</f>
        <v>2216</v>
      </c>
      <c r="DL163" s="378">
        <f t="shared" ref="DL163" si="494">SUM(DL161:DL162)</f>
        <v>2594</v>
      </c>
      <c r="DM163" s="378"/>
      <c r="DN163" s="378"/>
      <c r="DO163" s="16"/>
      <c r="DP163" s="378"/>
      <c r="DQ163" s="378"/>
      <c r="DR163" s="378"/>
      <c r="DS163" s="378"/>
      <c r="DT163" s="16"/>
      <c r="DU163" s="16"/>
      <c r="DV163" s="16"/>
    </row>
    <row r="164" spans="1:126" s="15" customFormat="1">
      <c r="B164" s="106" t="s">
        <v>641</v>
      </c>
      <c r="C164" s="102"/>
      <c r="D164" s="102"/>
      <c r="E164" s="102"/>
      <c r="F164" s="102"/>
      <c r="G164" s="102"/>
      <c r="H164" s="102"/>
      <c r="I164" s="102"/>
      <c r="J164" s="44"/>
      <c r="K164" s="358"/>
      <c r="L164" s="358"/>
      <c r="M164" s="358"/>
      <c r="N164" s="222"/>
      <c r="O164" s="44"/>
      <c r="P164" s="358"/>
      <c r="Q164" s="358"/>
      <c r="R164" s="358"/>
      <c r="S164" s="222"/>
      <c r="T164" s="44"/>
      <c r="U164" s="358"/>
      <c r="V164" s="358"/>
      <c r="W164" s="358"/>
      <c r="X164" s="222"/>
      <c r="Y164" s="44"/>
      <c r="Z164" s="358"/>
      <c r="AA164" s="358"/>
      <c r="AB164" s="358"/>
      <c r="AC164" s="222"/>
      <c r="AD164" s="44"/>
      <c r="AE164" s="358"/>
      <c r="AF164" s="358"/>
      <c r="AG164" s="358"/>
      <c r="AH164" s="222"/>
      <c r="AI164" s="44"/>
      <c r="AJ164" s="358"/>
      <c r="AK164" s="358"/>
      <c r="AL164" s="358"/>
      <c r="AM164" s="222"/>
      <c r="AN164" s="44"/>
      <c r="AO164" s="358"/>
      <c r="AP164" s="358"/>
      <c r="AQ164" s="358"/>
      <c r="AR164" s="222"/>
      <c r="AS164" s="44"/>
      <c r="AT164" s="358"/>
      <c r="AU164" s="358"/>
      <c r="AV164" s="358"/>
      <c r="AW164" s="222"/>
      <c r="AX164" s="44"/>
      <c r="AY164" s="358"/>
      <c r="AZ164" s="358"/>
      <c r="BA164" s="358"/>
      <c r="BB164" s="222"/>
      <c r="BC164" s="44"/>
      <c r="BD164" s="358"/>
      <c r="BE164" s="358"/>
      <c r="BF164" s="358"/>
      <c r="BG164" s="222"/>
      <c r="BH164" s="44"/>
      <c r="BI164" s="358"/>
      <c r="BJ164" s="358"/>
      <c r="BK164" s="358"/>
      <c r="BL164" s="222"/>
      <c r="BM164" s="44"/>
      <c r="BN164" s="358"/>
      <c r="BO164" s="358"/>
      <c r="BP164" s="358"/>
      <c r="BQ164" s="222"/>
      <c r="BR164" s="44"/>
      <c r="BS164" s="358"/>
      <c r="BT164" s="358"/>
      <c r="BU164" s="358"/>
      <c r="BV164" s="222"/>
      <c r="BW164" s="445"/>
      <c r="BX164" s="435"/>
      <c r="BY164" s="446"/>
      <c r="BZ164" s="446"/>
      <c r="CA164" s="222"/>
      <c r="CB164" s="44"/>
      <c r="CC164" s="358"/>
      <c r="CD164" s="358"/>
      <c r="CE164" s="358"/>
      <c r="CF164" s="222"/>
      <c r="CG164" s="358"/>
      <c r="CH164" s="358"/>
      <c r="CI164" s="358"/>
      <c r="CJ164" s="358"/>
      <c r="CK164" s="222"/>
      <c r="CL164" s="848"/>
      <c r="CM164" s="848"/>
      <c r="CN164" s="848"/>
      <c r="CO164" s="848"/>
      <c r="CP164" s="1090"/>
      <c r="CQ164" s="358"/>
      <c r="CR164" s="358"/>
      <c r="CS164" s="358"/>
      <c r="CT164" s="358"/>
      <c r="CU164" s="1090"/>
      <c r="CV164" s="358"/>
      <c r="CW164" s="358"/>
      <c r="CX164" s="358"/>
      <c r="CY164" s="358"/>
      <c r="CZ164" s="1090"/>
      <c r="DA164" s="358">
        <f>-211--121</f>
        <v>-90</v>
      </c>
      <c r="DB164" s="358">
        <v>-121</v>
      </c>
      <c r="DC164" s="358">
        <v>-136</v>
      </c>
      <c r="DD164" s="358">
        <f>+DE164-SUM(DA164:DC164)</f>
        <v>-276</v>
      </c>
      <c r="DE164" s="1090">
        <v>-623</v>
      </c>
      <c r="DF164" s="313">
        <f>13-16</f>
        <v>-3</v>
      </c>
      <c r="DG164" s="313">
        <v>16</v>
      </c>
      <c r="DH164" s="313">
        <v>-96</v>
      </c>
      <c r="DI164" s="313">
        <f>+DJ164-SUM(DF164:DH164)</f>
        <v>-313</v>
      </c>
      <c r="DJ164" s="465">
        <v>-396</v>
      </c>
      <c r="DK164" s="1078">
        <v>38</v>
      </c>
      <c r="DL164" s="1078">
        <v>-120</v>
      </c>
      <c r="DM164" s="358"/>
      <c r="DN164" s="358"/>
      <c r="DO164" s="208"/>
      <c r="DP164" s="313"/>
      <c r="DQ164" s="358"/>
      <c r="DR164" s="358"/>
      <c r="DS164" s="358"/>
      <c r="DT164" s="208"/>
      <c r="DU164" s="208"/>
      <c r="DV164" s="208"/>
    </row>
    <row r="165" spans="1:126" s="15" customFormat="1">
      <c r="B165" s="318" t="s">
        <v>642</v>
      </c>
      <c r="C165" s="102"/>
      <c r="D165" s="102"/>
      <c r="E165" s="102"/>
      <c r="F165" s="102"/>
      <c r="G165" s="102"/>
      <c r="H165" s="102"/>
      <c r="I165" s="102"/>
      <c r="J165" s="100"/>
      <c r="K165" s="358"/>
      <c r="L165" s="358"/>
      <c r="M165" s="358"/>
      <c r="N165" s="208"/>
      <c r="O165" s="100"/>
      <c r="P165" s="358"/>
      <c r="Q165" s="358"/>
      <c r="R165" s="358"/>
      <c r="S165" s="208"/>
      <c r="T165" s="100"/>
      <c r="U165" s="358"/>
      <c r="V165" s="358"/>
      <c r="W165" s="358"/>
      <c r="X165" s="208"/>
      <c r="Y165" s="100"/>
      <c r="Z165" s="358"/>
      <c r="AA165" s="358"/>
      <c r="AB165" s="358"/>
      <c r="AC165" s="208"/>
      <c r="AD165" s="100"/>
      <c r="AE165" s="358"/>
      <c r="AF165" s="358"/>
      <c r="AG165" s="358"/>
      <c r="AH165" s="208"/>
      <c r="AI165" s="100"/>
      <c r="AJ165" s="358"/>
      <c r="AK165" s="358"/>
      <c r="AL165" s="358"/>
      <c r="AM165" s="208"/>
      <c r="AN165" s="100"/>
      <c r="AO165" s="358"/>
      <c r="AP165" s="358"/>
      <c r="AQ165" s="358"/>
      <c r="AR165" s="208"/>
      <c r="AS165" s="100"/>
      <c r="AT165" s="358"/>
      <c r="AU165" s="358"/>
      <c r="AV165" s="358"/>
      <c r="AW165" s="208"/>
      <c r="AX165" s="100"/>
      <c r="AY165" s="358"/>
      <c r="AZ165" s="358"/>
      <c r="BA165" s="358"/>
      <c r="BB165" s="208"/>
      <c r="BC165" s="100"/>
      <c r="BD165" s="358"/>
      <c r="BE165" s="358"/>
      <c r="BF165" s="358"/>
      <c r="BG165" s="208"/>
      <c r="BH165" s="100"/>
      <c r="BI165" s="358"/>
      <c r="BJ165" s="358"/>
      <c r="BK165" s="358"/>
      <c r="BL165" s="208"/>
      <c r="BM165" s="100"/>
      <c r="BN165" s="358"/>
      <c r="BO165" s="358"/>
      <c r="BP165" s="358"/>
      <c r="BQ165" s="208"/>
      <c r="BR165" s="100"/>
      <c r="BS165" s="358"/>
      <c r="BT165" s="358"/>
      <c r="BU165" s="358"/>
      <c r="BV165" s="208"/>
      <c r="BW165" s="100"/>
      <c r="BX165" s="313"/>
      <c r="BY165" s="358"/>
      <c r="BZ165" s="358"/>
      <c r="CA165" s="208"/>
      <c r="CB165" s="100"/>
      <c r="CC165" s="358"/>
      <c r="CD165" s="358"/>
      <c r="CE165" s="358"/>
      <c r="CF165" s="208"/>
      <c r="CG165" s="358"/>
      <c r="CH165" s="358"/>
      <c r="CI165" s="358"/>
      <c r="CJ165" s="358"/>
      <c r="CK165" s="208"/>
      <c r="CL165" s="848"/>
      <c r="CM165" s="848"/>
      <c r="CN165" s="848"/>
      <c r="CO165" s="848"/>
      <c r="CP165" s="1093"/>
      <c r="CQ165" s="358"/>
      <c r="CR165" s="358"/>
      <c r="CS165" s="358"/>
      <c r="CT165" s="358"/>
      <c r="CU165" s="1093"/>
      <c r="CV165" s="358"/>
      <c r="CW165" s="358"/>
      <c r="CX165" s="358"/>
      <c r="CY165" s="358"/>
      <c r="CZ165" s="1093"/>
      <c r="DA165" s="358">
        <f>-162--84</f>
        <v>-78</v>
      </c>
      <c r="DB165" s="358">
        <v>-84</v>
      </c>
      <c r="DC165" s="358">
        <v>-84</v>
      </c>
      <c r="DD165" s="358">
        <f>+DE165-SUM(DA165:DC165)</f>
        <v>-121</v>
      </c>
      <c r="DE165" s="1090">
        <v>-367</v>
      </c>
      <c r="DF165" s="313">
        <f>-264-DG165</f>
        <v>-122</v>
      </c>
      <c r="DG165" s="313">
        <v>-142</v>
      </c>
      <c r="DH165" s="313">
        <v>-105</v>
      </c>
      <c r="DI165" s="313">
        <f>+DJ165-SUM(DF165:DH165)</f>
        <v>-98</v>
      </c>
      <c r="DJ165" s="465">
        <v>-467</v>
      </c>
      <c r="DK165" s="1078">
        <v>-108</v>
      </c>
      <c r="DL165" s="1078">
        <v>-137</v>
      </c>
      <c r="DM165" s="358"/>
      <c r="DN165" s="358"/>
      <c r="DO165" s="208"/>
      <c r="DP165" s="313"/>
      <c r="DQ165" s="358"/>
      <c r="DR165" s="358"/>
      <c r="DS165" s="358"/>
      <c r="DT165" s="208"/>
      <c r="DU165" s="208"/>
      <c r="DV165" s="208"/>
    </row>
    <row r="166" spans="1:126" s="15" customFormat="1">
      <c r="B166" s="147" t="s">
        <v>639</v>
      </c>
      <c r="C166" s="215"/>
      <c r="D166" s="215"/>
      <c r="E166" s="215"/>
      <c r="F166" s="215"/>
      <c r="G166" s="215"/>
      <c r="H166" s="215"/>
      <c r="I166" s="215"/>
      <c r="J166" s="427"/>
      <c r="K166" s="427"/>
      <c r="L166" s="427"/>
      <c r="M166" s="427"/>
      <c r="N166" s="222"/>
      <c r="O166" s="427"/>
      <c r="P166" s="427"/>
      <c r="Q166" s="427"/>
      <c r="R166" s="427"/>
      <c r="S166" s="222"/>
      <c r="T166" s="427"/>
      <c r="U166" s="427"/>
      <c r="V166" s="427"/>
      <c r="W166" s="427"/>
      <c r="X166" s="222"/>
      <c r="Y166" s="427"/>
      <c r="Z166" s="427"/>
      <c r="AA166" s="427"/>
      <c r="AB166" s="427"/>
      <c r="AC166" s="222"/>
      <c r="AD166" s="427"/>
      <c r="AE166" s="427"/>
      <c r="AF166" s="427"/>
      <c r="AG166" s="427"/>
      <c r="AH166" s="222"/>
      <c r="AI166" s="427"/>
      <c r="AJ166" s="427"/>
      <c r="AK166" s="427"/>
      <c r="AL166" s="427"/>
      <c r="AM166" s="222"/>
      <c r="AN166" s="427"/>
      <c r="AO166" s="427"/>
      <c r="AP166" s="427"/>
      <c r="AQ166" s="427"/>
      <c r="AR166" s="222"/>
      <c r="AS166" s="427"/>
      <c r="AT166" s="427"/>
      <c r="AU166" s="427"/>
      <c r="AV166" s="427"/>
      <c r="AW166" s="222"/>
      <c r="AX166" s="427"/>
      <c r="AY166" s="427"/>
      <c r="AZ166" s="427"/>
      <c r="BA166" s="427"/>
      <c r="BB166" s="222"/>
      <c r="BC166" s="427"/>
      <c r="BD166" s="427"/>
      <c r="BE166" s="427"/>
      <c r="BF166" s="427"/>
      <c r="BG166" s="222"/>
      <c r="BH166" s="427"/>
      <c r="BI166" s="427"/>
      <c r="BJ166" s="427"/>
      <c r="BK166" s="427"/>
      <c r="BL166" s="222"/>
      <c r="BM166" s="427"/>
      <c r="BN166" s="427"/>
      <c r="BO166" s="427"/>
      <c r="BP166" s="427"/>
      <c r="BQ166" s="222"/>
      <c r="BR166" s="427"/>
      <c r="BS166" s="427"/>
      <c r="BT166" s="427"/>
      <c r="BU166" s="427"/>
      <c r="BV166" s="222"/>
      <c r="BW166" s="306"/>
      <c r="BX166" s="427"/>
      <c r="BY166" s="427"/>
      <c r="BZ166" s="427"/>
      <c r="CA166" s="222"/>
      <c r="CB166" s="427"/>
      <c r="CC166" s="427"/>
      <c r="CD166" s="427"/>
      <c r="CE166" s="427"/>
      <c r="CF166" s="222"/>
      <c r="CG166" s="427"/>
      <c r="CH166" s="427"/>
      <c r="CI166" s="427"/>
      <c r="CJ166" s="427"/>
      <c r="CK166" s="222"/>
      <c r="CL166" s="500"/>
      <c r="CM166" s="500"/>
      <c r="CN166" s="500"/>
      <c r="CO166" s="500"/>
      <c r="CP166" s="1090"/>
      <c r="CQ166" s="306"/>
      <c r="CR166" s="306"/>
      <c r="CS166" s="306"/>
      <c r="CT166" s="306"/>
      <c r="CU166" s="1090"/>
      <c r="CV166" s="306"/>
      <c r="CW166" s="306"/>
      <c r="CX166" s="306"/>
      <c r="CY166" s="306"/>
      <c r="CZ166" s="1090"/>
      <c r="DA166" s="306">
        <f t="shared" ref="DA166:DD166" si="495">DA164+DA165</f>
        <v>-168</v>
      </c>
      <c r="DB166" s="306">
        <f t="shared" si="495"/>
        <v>-205</v>
      </c>
      <c r="DC166" s="306">
        <f t="shared" si="495"/>
        <v>-220</v>
      </c>
      <c r="DD166" s="306">
        <f t="shared" si="495"/>
        <v>-397</v>
      </c>
      <c r="DE166" s="1090">
        <f t="shared" si="487"/>
        <v>-990</v>
      </c>
      <c r="DF166" s="427">
        <f t="shared" ref="DF166" si="496">DF164+DF165</f>
        <v>-125</v>
      </c>
      <c r="DG166" s="427">
        <f t="shared" ref="DG166:DI166" si="497">DG164+DG165</f>
        <v>-126</v>
      </c>
      <c r="DH166" s="427">
        <f t="shared" si="497"/>
        <v>-201</v>
      </c>
      <c r="DI166" s="427">
        <f t="shared" si="497"/>
        <v>-411</v>
      </c>
      <c r="DJ166" s="465">
        <f>SUM(DF166:DI166)-1</f>
        <v>-864</v>
      </c>
      <c r="DK166" s="427">
        <f>+SUM(DK164:DK165)</f>
        <v>-70</v>
      </c>
      <c r="DL166" s="427">
        <f>+SUM(DL164:DL165)</f>
        <v>-257</v>
      </c>
      <c r="DM166" s="427"/>
      <c r="DN166" s="427"/>
      <c r="DO166" s="208"/>
      <c r="DP166" s="427"/>
      <c r="DQ166" s="427"/>
      <c r="DR166" s="427"/>
      <c r="DS166" s="427"/>
      <c r="DT166" s="208"/>
      <c r="DU166" s="208"/>
      <c r="DV166" s="208"/>
    </row>
    <row r="167" spans="1:126" s="15" customFormat="1" ht="12">
      <c r="B167" s="199" t="s">
        <v>636</v>
      </c>
      <c r="C167" s="130">
        <f t="shared" ref="C167:AK167" si="498">C166+C163</f>
        <v>0</v>
      </c>
      <c r="D167" s="130">
        <f t="shared" si="498"/>
        <v>0</v>
      </c>
      <c r="E167" s="130">
        <f t="shared" si="498"/>
        <v>0</v>
      </c>
      <c r="F167" s="130">
        <f t="shared" si="498"/>
        <v>0</v>
      </c>
      <c r="G167" s="130">
        <f t="shared" si="498"/>
        <v>0</v>
      </c>
      <c r="H167" s="130">
        <f t="shared" si="498"/>
        <v>0</v>
      </c>
      <c r="I167" s="130">
        <f t="shared" si="498"/>
        <v>0</v>
      </c>
      <c r="J167" s="189">
        <f t="shared" si="498"/>
        <v>0</v>
      </c>
      <c r="K167" s="189">
        <f t="shared" si="498"/>
        <v>0</v>
      </c>
      <c r="L167" s="189">
        <f t="shared" si="498"/>
        <v>0</v>
      </c>
      <c r="M167" s="189">
        <f t="shared" si="498"/>
        <v>0</v>
      </c>
      <c r="N167" s="130">
        <f t="shared" si="498"/>
        <v>0</v>
      </c>
      <c r="O167" s="189">
        <f t="shared" si="498"/>
        <v>0</v>
      </c>
      <c r="P167" s="189">
        <f t="shared" si="498"/>
        <v>0</v>
      </c>
      <c r="Q167" s="189">
        <f t="shared" si="498"/>
        <v>0</v>
      </c>
      <c r="R167" s="189">
        <f t="shared" si="498"/>
        <v>0</v>
      </c>
      <c r="S167" s="130">
        <f t="shared" si="498"/>
        <v>0</v>
      </c>
      <c r="T167" s="189">
        <f t="shared" si="498"/>
        <v>0</v>
      </c>
      <c r="U167" s="189">
        <f t="shared" si="498"/>
        <v>0</v>
      </c>
      <c r="V167" s="189">
        <f t="shared" si="498"/>
        <v>0</v>
      </c>
      <c r="W167" s="189">
        <f t="shared" si="498"/>
        <v>0</v>
      </c>
      <c r="X167" s="130">
        <f t="shared" si="498"/>
        <v>0</v>
      </c>
      <c r="Y167" s="189">
        <f t="shared" si="498"/>
        <v>0</v>
      </c>
      <c r="Z167" s="189">
        <f t="shared" si="498"/>
        <v>0</v>
      </c>
      <c r="AA167" s="189">
        <f t="shared" si="498"/>
        <v>0</v>
      </c>
      <c r="AB167" s="189">
        <f t="shared" si="498"/>
        <v>0</v>
      </c>
      <c r="AC167" s="130">
        <f t="shared" si="498"/>
        <v>0</v>
      </c>
      <c r="AD167" s="189">
        <f t="shared" si="498"/>
        <v>0</v>
      </c>
      <c r="AE167" s="189">
        <f t="shared" si="498"/>
        <v>0</v>
      </c>
      <c r="AF167" s="189">
        <f t="shared" si="498"/>
        <v>0</v>
      </c>
      <c r="AG167" s="189">
        <f t="shared" si="498"/>
        <v>0</v>
      </c>
      <c r="AH167" s="130">
        <f t="shared" si="498"/>
        <v>0</v>
      </c>
      <c r="AI167" s="189">
        <f t="shared" si="498"/>
        <v>0</v>
      </c>
      <c r="AJ167" s="189">
        <f t="shared" si="498"/>
        <v>0</v>
      </c>
      <c r="AK167" s="189">
        <f t="shared" si="498"/>
        <v>0</v>
      </c>
      <c r="AL167" s="189">
        <f>AM167-AK167-AJ167-AI167</f>
        <v>0</v>
      </c>
      <c r="AM167" s="130">
        <f t="shared" ref="AM167:BP167" si="499">AM166+AM163</f>
        <v>0</v>
      </c>
      <c r="AN167" s="189">
        <f t="shared" si="499"/>
        <v>0</v>
      </c>
      <c r="AO167" s="189">
        <f t="shared" si="499"/>
        <v>0</v>
      </c>
      <c r="AP167" s="189">
        <f t="shared" si="499"/>
        <v>0</v>
      </c>
      <c r="AQ167" s="189">
        <f t="shared" si="499"/>
        <v>0</v>
      </c>
      <c r="AR167" s="130">
        <f t="shared" si="499"/>
        <v>0</v>
      </c>
      <c r="AS167" s="189">
        <f t="shared" si="499"/>
        <v>0</v>
      </c>
      <c r="AT167" s="189">
        <f t="shared" si="499"/>
        <v>0</v>
      </c>
      <c r="AU167" s="189">
        <f t="shared" si="499"/>
        <v>0</v>
      </c>
      <c r="AV167" s="189">
        <f t="shared" si="499"/>
        <v>0</v>
      </c>
      <c r="AW167" s="130">
        <f t="shared" si="499"/>
        <v>0</v>
      </c>
      <c r="AX167" s="189">
        <f t="shared" si="499"/>
        <v>0</v>
      </c>
      <c r="AY167" s="189">
        <f t="shared" si="499"/>
        <v>0</v>
      </c>
      <c r="AZ167" s="189">
        <f t="shared" si="499"/>
        <v>0</v>
      </c>
      <c r="BA167" s="189">
        <f t="shared" si="499"/>
        <v>0</v>
      </c>
      <c r="BB167" s="222">
        <f t="shared" si="499"/>
        <v>0</v>
      </c>
      <c r="BC167" s="216">
        <f t="shared" si="499"/>
        <v>0</v>
      </c>
      <c r="BD167" s="216">
        <f t="shared" si="499"/>
        <v>0</v>
      </c>
      <c r="BE167" s="216">
        <f t="shared" si="499"/>
        <v>0</v>
      </c>
      <c r="BF167" s="216">
        <f t="shared" si="499"/>
        <v>0</v>
      </c>
      <c r="BG167" s="225">
        <f t="shared" si="499"/>
        <v>0</v>
      </c>
      <c r="BH167" s="216">
        <f t="shared" si="499"/>
        <v>0</v>
      </c>
      <c r="BI167" s="378">
        <f t="shared" si="499"/>
        <v>0</v>
      </c>
      <c r="BJ167" s="378">
        <f t="shared" si="499"/>
        <v>0</v>
      </c>
      <c r="BK167" s="378">
        <f t="shared" si="499"/>
        <v>0</v>
      </c>
      <c r="BL167" s="225">
        <f t="shared" si="499"/>
        <v>0</v>
      </c>
      <c r="BM167" s="378">
        <f t="shared" si="499"/>
        <v>0</v>
      </c>
      <c r="BN167" s="378">
        <f t="shared" si="499"/>
        <v>0</v>
      </c>
      <c r="BO167" s="378">
        <f t="shared" si="499"/>
        <v>0</v>
      </c>
      <c r="BP167" s="378">
        <f t="shared" si="499"/>
        <v>0</v>
      </c>
      <c r="BQ167" s="225">
        <f t="shared" ref="BQ167" si="500">SUM(BM167:BP167)</f>
        <v>0</v>
      </c>
      <c r="BR167" s="378">
        <f>BR166+BR163</f>
        <v>0</v>
      </c>
      <c r="BS167" s="378">
        <f>BS166+BS163</f>
        <v>0</v>
      </c>
      <c r="BT167" s="378">
        <f>BT166+BT163</f>
        <v>0</v>
      </c>
      <c r="BU167" s="378">
        <f>BU166+BU163</f>
        <v>0</v>
      </c>
      <c r="BV167" s="225">
        <f t="shared" ref="BV167" si="501">SUM(BR167:BU167)</f>
        <v>0</v>
      </c>
      <c r="BW167" s="378">
        <f>BW166+BW163</f>
        <v>0</v>
      </c>
      <c r="BX167" s="378">
        <f>BX166+BX163</f>
        <v>0</v>
      </c>
      <c r="BY167" s="378">
        <f>BY166+BY163</f>
        <v>0</v>
      </c>
      <c r="BZ167" s="378">
        <f>BZ166+BZ163</f>
        <v>0</v>
      </c>
      <c r="CA167" s="225">
        <f t="shared" ref="CA167" si="502">SUM(BW167:BZ167)</f>
        <v>0</v>
      </c>
      <c r="CB167" s="378">
        <f>CB166+CB163</f>
        <v>0</v>
      </c>
      <c r="CC167" s="378">
        <f>CC166+CC163</f>
        <v>0</v>
      </c>
      <c r="CD167" s="378">
        <f>CD166+CD163</f>
        <v>0</v>
      </c>
      <c r="CE167" s="378">
        <f>CE166+CE163</f>
        <v>0</v>
      </c>
      <c r="CF167" s="225">
        <f t="shared" ref="CF167" si="503">SUM(CB167:CE167)</f>
        <v>0</v>
      </c>
      <c r="CG167" s="378">
        <f>CG166+CG163</f>
        <v>0</v>
      </c>
      <c r="CH167" s="378">
        <f>CH166+CH163</f>
        <v>0</v>
      </c>
      <c r="CI167" s="378">
        <f>CI166+CI163</f>
        <v>0</v>
      </c>
      <c r="CJ167" s="378">
        <f>CJ166+CJ163</f>
        <v>0</v>
      </c>
      <c r="CK167" s="225">
        <f t="shared" ref="CK167" si="504">SUM(CG167:CJ167)</f>
        <v>0</v>
      </c>
      <c r="CL167" s="378">
        <f>CL166+CL163</f>
        <v>1003</v>
      </c>
      <c r="CM167" s="378">
        <f>CM166+CM163</f>
        <v>-687</v>
      </c>
      <c r="CN167" s="378">
        <f>CN166+CN163</f>
        <v>350</v>
      </c>
      <c r="CO167" s="378">
        <f>CO166+CO163</f>
        <v>563</v>
      </c>
      <c r="CP167" s="1092">
        <f t="shared" ref="CP167" si="505">SUM(CL167:CO167)</f>
        <v>1229</v>
      </c>
      <c r="CQ167" s="378">
        <f t="shared" ref="CQ167:CZ167" si="506">CQ166+CQ163</f>
        <v>641</v>
      </c>
      <c r="CR167" s="378">
        <f t="shared" si="506"/>
        <v>176</v>
      </c>
      <c r="CS167" s="378">
        <f t="shared" si="506"/>
        <v>846</v>
      </c>
      <c r="CT167" s="378">
        <f t="shared" si="506"/>
        <v>1219</v>
      </c>
      <c r="CU167" s="1092">
        <f t="shared" si="506"/>
        <v>2882</v>
      </c>
      <c r="CV167" s="378">
        <f t="shared" si="506"/>
        <v>908</v>
      </c>
      <c r="CW167" s="378">
        <f t="shared" si="506"/>
        <v>1148</v>
      </c>
      <c r="CX167" s="378">
        <f t="shared" si="506"/>
        <v>1284</v>
      </c>
      <c r="CY167" s="378">
        <f t="shared" si="506"/>
        <v>1435</v>
      </c>
      <c r="CZ167" s="1092">
        <f t="shared" si="506"/>
        <v>4775</v>
      </c>
      <c r="DA167" s="378">
        <f>2632-1385</f>
        <v>1247</v>
      </c>
      <c r="DB167" s="378">
        <v>1385</v>
      </c>
      <c r="DC167" s="378">
        <v>1594</v>
      </c>
      <c r="DD167" s="378">
        <v>1335</v>
      </c>
      <c r="DE167" s="1092">
        <f>DE166+DE163</f>
        <v>5561</v>
      </c>
      <c r="DF167" s="378">
        <f>3447-1897</f>
        <v>1550</v>
      </c>
      <c r="DG167" s="378">
        <v>1897</v>
      </c>
      <c r="DH167" s="378">
        <v>1818</v>
      </c>
      <c r="DI167" s="378">
        <v>1988</v>
      </c>
      <c r="DJ167" s="225">
        <f>DJ166+DJ163</f>
        <v>7252</v>
      </c>
      <c r="DK167" s="1085">
        <v>2146</v>
      </c>
      <c r="DL167" s="1085">
        <v>2337</v>
      </c>
      <c r="DM167" s="378"/>
      <c r="DN167" s="378"/>
      <c r="DO167" s="208"/>
      <c r="DP167" s="1085"/>
      <c r="DQ167" s="378"/>
      <c r="DR167" s="378"/>
      <c r="DS167" s="378"/>
      <c r="DT167" s="208"/>
      <c r="DU167" s="208"/>
      <c r="DV167" s="208"/>
    </row>
    <row r="168" spans="1:126" s="15" customFormat="1">
      <c r="C168" s="16"/>
      <c r="D168" s="16"/>
      <c r="E168" s="16"/>
      <c r="F168" s="16"/>
      <c r="G168" s="16"/>
      <c r="H168" s="16"/>
      <c r="I168" s="16"/>
      <c r="N168" s="16"/>
      <c r="S168" s="16"/>
      <c r="X168" s="16"/>
      <c r="AC168" s="16"/>
      <c r="AH168" s="16"/>
      <c r="AM168" s="16"/>
      <c r="AR168" s="16"/>
      <c r="AW168" s="16"/>
      <c r="BB168" s="16"/>
      <c r="BG168" s="16"/>
      <c r="BI168" s="317"/>
      <c r="BJ168" s="221"/>
      <c r="BK168" s="317"/>
      <c r="BL168" s="16"/>
      <c r="BM168" s="15">
        <v>1228</v>
      </c>
      <c r="BN168" s="317">
        <v>1335</v>
      </c>
      <c r="BO168" s="221">
        <v>1238</v>
      </c>
      <c r="BP168" s="317">
        <v>1164</v>
      </c>
      <c r="BQ168" s="16">
        <v>4965</v>
      </c>
      <c r="BR168" s="15">
        <v>1214</v>
      </c>
      <c r="BS168" s="317">
        <v>1402</v>
      </c>
      <c r="BT168" s="221"/>
      <c r="BU168" s="317"/>
      <c r="BV168" s="16"/>
      <c r="BX168" s="394"/>
      <c r="BY168" s="221"/>
      <c r="BZ168" s="317"/>
      <c r="CA168" s="16"/>
      <c r="CC168" s="317"/>
      <c r="CD168" s="221"/>
      <c r="CE168" s="317"/>
      <c r="CF168" s="16"/>
      <c r="CG168" s="317"/>
      <c r="CH168" s="317"/>
      <c r="CI168" s="317"/>
      <c r="CJ168" s="317"/>
      <c r="CK168" s="16"/>
      <c r="CL168" s="317"/>
      <c r="CM168" s="317"/>
      <c r="CN168" s="317"/>
      <c r="CO168" s="317"/>
      <c r="CP168" s="308"/>
      <c r="CQ168" s="317"/>
      <c r="CR168" s="317"/>
      <c r="CS168" s="317"/>
      <c r="CT168" s="317"/>
      <c r="CU168" s="308"/>
      <c r="CV168" s="317"/>
      <c r="CW168" s="317"/>
      <c r="CX168" s="317"/>
      <c r="CY168" s="317"/>
      <c r="CZ168" s="308"/>
      <c r="DA168" s="317"/>
      <c r="DB168" s="317"/>
      <c r="DC168" s="317"/>
      <c r="DD168" s="317"/>
      <c r="DE168" s="308"/>
      <c r="DF168" s="317"/>
      <c r="DG168" s="317"/>
      <c r="DH168" s="317"/>
      <c r="DI168" s="317"/>
      <c r="DJ168" s="16"/>
      <c r="DK168" s="317"/>
      <c r="DL168" s="317"/>
      <c r="DM168" s="317"/>
      <c r="DN168" s="317"/>
      <c r="DO168" s="16"/>
      <c r="DP168" s="317"/>
      <c r="DQ168" s="317"/>
      <c r="DR168" s="317"/>
      <c r="DS168" s="317"/>
      <c r="DT168" s="16"/>
      <c r="DU168" s="16"/>
      <c r="DV168" s="16"/>
    </row>
    <row r="169" spans="1:126" s="15" customFormat="1">
      <c r="C169" s="16"/>
      <c r="D169" s="16"/>
      <c r="E169" s="16"/>
      <c r="F169" s="16"/>
      <c r="G169" s="16"/>
      <c r="H169" s="16"/>
      <c r="I169" s="16"/>
      <c r="N169" s="16"/>
      <c r="S169" s="16"/>
      <c r="X169" s="16"/>
      <c r="AC169" s="16"/>
      <c r="AH169" s="16"/>
      <c r="AM169" s="16"/>
      <c r="AR169" s="16"/>
      <c r="AW169" s="16"/>
      <c r="BB169" s="16"/>
      <c r="BG169" s="16"/>
      <c r="BI169" s="317"/>
      <c r="BJ169" s="221"/>
      <c r="BK169" s="317"/>
      <c r="BL169" s="16"/>
      <c r="BN169" s="317"/>
      <c r="BO169" s="221"/>
      <c r="BP169" s="317"/>
      <c r="BQ169" s="16"/>
      <c r="BS169" s="317"/>
      <c r="BT169" s="221"/>
      <c r="BU169" s="317"/>
      <c r="BV169" s="16"/>
      <c r="BX169" s="394"/>
      <c r="BY169" s="221"/>
      <c r="BZ169" s="317"/>
      <c r="CA169" s="16"/>
      <c r="CC169" s="317"/>
      <c r="CD169" s="221"/>
      <c r="CE169" s="317"/>
      <c r="CF169" s="16"/>
      <c r="CG169" s="317"/>
      <c r="CH169" s="317"/>
      <c r="CI169" s="317"/>
      <c r="CJ169" s="317"/>
      <c r="CK169" s="16"/>
      <c r="CL169" s="317"/>
      <c r="CM169" s="317"/>
      <c r="CN169" s="317"/>
      <c r="CO169" s="317"/>
      <c r="CP169" s="16"/>
      <c r="CQ169" s="317"/>
      <c r="CR169" s="317"/>
      <c r="CS169" s="317"/>
      <c r="CT169" s="317"/>
      <c r="CU169" s="16"/>
      <c r="CV169" s="317"/>
      <c r="CW169" s="317"/>
      <c r="CX169" s="317"/>
      <c r="CY169" s="317"/>
      <c r="CZ169" s="16"/>
      <c r="DA169" s="317"/>
      <c r="DB169" s="317"/>
      <c r="DC169" s="317"/>
      <c r="DD169" s="317"/>
      <c r="DE169" s="16"/>
      <c r="DF169" s="317"/>
      <c r="DG169" s="317"/>
      <c r="DH169" s="317"/>
      <c r="DI169" s="317"/>
      <c r="DJ169" s="16"/>
      <c r="DK169" s="317"/>
      <c r="DL169" s="317"/>
      <c r="DM169" s="317"/>
      <c r="DN169" s="317"/>
      <c r="DO169" s="16"/>
      <c r="DP169" s="317"/>
      <c r="DQ169" s="317"/>
      <c r="DR169" s="317"/>
      <c r="DS169" s="317"/>
      <c r="DT169" s="16"/>
      <c r="DU169" s="16"/>
      <c r="DV169" s="16"/>
    </row>
    <row r="170" spans="1:126" s="15" customFormat="1" ht="12">
      <c r="B170" s="110" t="s">
        <v>76</v>
      </c>
      <c r="C170" s="16"/>
      <c r="D170" s="16"/>
      <c r="E170" s="16"/>
      <c r="F170" s="16"/>
      <c r="G170" s="16"/>
      <c r="H170" s="16"/>
      <c r="I170" s="16"/>
      <c r="N170" s="16"/>
      <c r="S170" s="16"/>
      <c r="X170" s="16"/>
      <c r="AC170" s="16"/>
      <c r="AH170" s="16"/>
      <c r="AM170" s="16"/>
      <c r="AR170" s="16"/>
      <c r="AW170" s="16"/>
      <c r="BB170" s="16"/>
      <c r="BG170" s="16"/>
      <c r="BI170" s="317"/>
      <c r="BJ170" s="221"/>
      <c r="BK170" s="317"/>
      <c r="BL170" s="16"/>
      <c r="BN170" s="317"/>
      <c r="BO170" s="221"/>
      <c r="BP170" s="317"/>
      <c r="BQ170" s="16"/>
      <c r="BS170" s="317"/>
      <c r="BT170" s="221"/>
      <c r="BU170" s="317"/>
      <c r="BV170" s="16"/>
      <c r="BX170" s="394"/>
      <c r="BY170" s="221"/>
      <c r="BZ170" s="317"/>
      <c r="CA170" s="16"/>
      <c r="CC170" s="317"/>
      <c r="CD170" s="221"/>
      <c r="CE170" s="317"/>
      <c r="CF170" s="16"/>
      <c r="CG170" s="317"/>
      <c r="CH170" s="317"/>
      <c r="CI170" s="317"/>
      <c r="CJ170" s="317"/>
      <c r="CK170" s="16"/>
      <c r="CL170" s="317"/>
      <c r="CM170" s="317"/>
      <c r="CN170" s="317"/>
      <c r="CO170" s="317"/>
      <c r="CP170" s="16"/>
      <c r="CQ170" s="317"/>
      <c r="CR170" s="317"/>
      <c r="CS170" s="317"/>
      <c r="CT170" s="317"/>
      <c r="CU170" s="16"/>
      <c r="CV170" s="317"/>
      <c r="CW170" s="317"/>
      <c r="CX170" s="317"/>
      <c r="CY170" s="317"/>
      <c r="CZ170" s="16"/>
      <c r="DA170" s="947">
        <f>DA154/$DE$154</f>
        <v>0.21937067618835082</v>
      </c>
      <c r="DB170" s="947">
        <f>DB154/$DE$154</f>
        <v>0.26500781075652757</v>
      </c>
      <c r="DC170" s="947">
        <f>DC154/$DE$154</f>
        <v>0.24603883061816559</v>
      </c>
      <c r="DD170" s="947">
        <f>DD154/$DE$154</f>
        <v>0.26958268243695604</v>
      </c>
      <c r="DE170" s="16"/>
      <c r="DF170" s="317"/>
      <c r="DG170" s="317">
        <f>DG154/$DE$154</f>
        <v>0.26790894889533584</v>
      </c>
      <c r="DH170" s="317"/>
      <c r="DI170" s="317"/>
      <c r="DJ170" s="16"/>
      <c r="DK170" s="317"/>
      <c r="DL170" s="317"/>
      <c r="DM170" s="317"/>
      <c r="DN170" s="317"/>
      <c r="DO170" s="16"/>
      <c r="DP170" s="317"/>
      <c r="DQ170" s="317"/>
      <c r="DR170" s="317"/>
      <c r="DS170" s="317"/>
      <c r="DT170" s="16"/>
      <c r="DU170" s="16"/>
      <c r="DV170" s="16"/>
    </row>
    <row r="171" spans="1:126" s="15" customFormat="1">
      <c r="B171" s="221" t="s">
        <v>381</v>
      </c>
      <c r="C171" s="16"/>
      <c r="D171" s="16"/>
      <c r="E171" s="16"/>
      <c r="F171" s="16"/>
      <c r="G171" s="16"/>
      <c r="H171" s="16"/>
      <c r="I171" s="16"/>
      <c r="N171" s="16">
        <f>M171</f>
        <v>0</v>
      </c>
      <c r="S171" s="16">
        <f>R171</f>
        <v>0</v>
      </c>
      <c r="X171" s="16">
        <f>W171</f>
        <v>0</v>
      </c>
      <c r="AC171" s="16">
        <f>AB171</f>
        <v>0</v>
      </c>
      <c r="AH171" s="16">
        <f>AG171</f>
        <v>0</v>
      </c>
      <c r="AM171" s="16">
        <f>AL171</f>
        <v>0</v>
      </c>
      <c r="AR171" s="16">
        <f>AQ171</f>
        <v>0</v>
      </c>
      <c r="AW171" s="16">
        <f>AV171</f>
        <v>0</v>
      </c>
      <c r="BB171" s="16">
        <f>BA171</f>
        <v>0</v>
      </c>
      <c r="BG171" s="16">
        <f>BF171</f>
        <v>0</v>
      </c>
      <c r="BL171" s="16">
        <f>BK171</f>
        <v>0</v>
      </c>
      <c r="BQ171" s="16">
        <f>BP171</f>
        <v>0</v>
      </c>
      <c r="BV171" s="16">
        <f>BU171</f>
        <v>0</v>
      </c>
      <c r="CA171" s="16">
        <f>BZ171</f>
        <v>0</v>
      </c>
      <c r="CF171" s="16">
        <f>CE171</f>
        <v>0</v>
      </c>
      <c r="CK171" s="16">
        <f>CJ171</f>
        <v>0</v>
      </c>
      <c r="CP171" s="16">
        <f>CO171</f>
        <v>0</v>
      </c>
      <c r="CU171" s="16">
        <f>CT171</f>
        <v>0</v>
      </c>
      <c r="CZ171" s="16">
        <f>CY171</f>
        <v>0</v>
      </c>
      <c r="DA171" s="15">
        <f>1000</f>
        <v>1000</v>
      </c>
      <c r="DE171" s="16">
        <f>DD171</f>
        <v>0</v>
      </c>
      <c r="DF171" s="358"/>
      <c r="DG171" s="358"/>
      <c r="DH171" s="358"/>
      <c r="DI171" s="358"/>
      <c r="DJ171" s="16"/>
      <c r="DK171" s="358"/>
      <c r="DL171" s="358"/>
      <c r="DM171" s="358"/>
      <c r="DN171" s="358"/>
      <c r="DO171" s="16"/>
      <c r="DP171" s="358"/>
      <c r="DQ171" s="358"/>
      <c r="DR171" s="358"/>
      <c r="DS171" s="358"/>
      <c r="DT171" s="16"/>
      <c r="DU171" s="16"/>
      <c r="DV171" s="16"/>
    </row>
    <row r="172" spans="1:126" s="15" customFormat="1">
      <c r="B172" s="317" t="s">
        <v>457</v>
      </c>
      <c r="C172" s="16"/>
      <c r="D172" s="16"/>
      <c r="E172" s="16"/>
      <c r="F172" s="16"/>
      <c r="G172" s="16"/>
      <c r="H172" s="16"/>
      <c r="I172" s="16"/>
      <c r="N172" s="16">
        <f t="shared" ref="N172:N174" si="507">M172</f>
        <v>0</v>
      </c>
      <c r="S172" s="16">
        <f t="shared" ref="S172:S174" si="508">R172</f>
        <v>0</v>
      </c>
      <c r="X172" s="16">
        <f t="shared" ref="X172:X174" si="509">W172</f>
        <v>0</v>
      </c>
      <c r="AC172" s="16">
        <f t="shared" ref="AC172:AC174" si="510">AB172</f>
        <v>0</v>
      </c>
      <c r="AH172" s="16">
        <f t="shared" ref="AH172:AH174" si="511">AG172</f>
        <v>0</v>
      </c>
      <c r="AM172" s="16">
        <f t="shared" ref="AM172:AM174" si="512">AL172</f>
        <v>0</v>
      </c>
      <c r="AR172" s="16">
        <f t="shared" ref="AR172:AR174" si="513">AQ172</f>
        <v>0</v>
      </c>
      <c r="AW172" s="16">
        <f t="shared" ref="AW172:AW174" si="514">AV172</f>
        <v>0</v>
      </c>
      <c r="BB172" s="16">
        <f t="shared" ref="BB172:BB174" si="515">BA172</f>
        <v>0</v>
      </c>
      <c r="BG172" s="16">
        <f t="shared" ref="BG172:BG174" si="516">BF172</f>
        <v>0</v>
      </c>
      <c r="BL172" s="16">
        <f t="shared" ref="BL172:BL174" si="517">BK172</f>
        <v>0</v>
      </c>
      <c r="BQ172" s="16">
        <f t="shared" ref="BQ172:BQ174" si="518">BP172</f>
        <v>0</v>
      </c>
      <c r="BV172" s="16">
        <f t="shared" ref="BV172:BV174" si="519">BU172</f>
        <v>0</v>
      </c>
      <c r="CA172" s="16">
        <f t="shared" ref="CA172:CA174" si="520">BZ172</f>
        <v>0</v>
      </c>
      <c r="CF172" s="16">
        <f t="shared" ref="CF172:CF174" si="521">CE172</f>
        <v>0</v>
      </c>
      <c r="CK172" s="16">
        <f t="shared" ref="CK172:CK174" si="522">CJ172</f>
        <v>0</v>
      </c>
      <c r="CP172" s="16">
        <f t="shared" ref="CP172:CP174" si="523">CO172</f>
        <v>0</v>
      </c>
      <c r="CU172" s="16">
        <f t="shared" ref="CU172:CU174" si="524">CT172</f>
        <v>0</v>
      </c>
      <c r="CZ172" s="16">
        <f t="shared" ref="CZ172:CZ174" si="525">CY172</f>
        <v>0</v>
      </c>
      <c r="DA172" s="15">
        <f>DA170*DA171</f>
        <v>219.37067618835081</v>
      </c>
      <c r="DE172" s="16">
        <f t="shared" ref="DE172:DE174" si="526">DD172</f>
        <v>0</v>
      </c>
      <c r="DF172" s="358"/>
      <c r="DG172" s="358"/>
      <c r="DH172" s="358"/>
      <c r="DI172" s="358"/>
      <c r="DJ172" s="16"/>
      <c r="DK172" s="358"/>
      <c r="DL172" s="358"/>
      <c r="DM172" s="358"/>
      <c r="DN172" s="358"/>
      <c r="DO172" s="16"/>
      <c r="DP172" s="358"/>
      <c r="DQ172" s="358"/>
      <c r="DR172" s="358"/>
      <c r="DS172" s="358"/>
      <c r="DT172" s="16"/>
      <c r="DU172" s="16"/>
      <c r="DV172" s="16"/>
    </row>
    <row r="173" spans="1:126" s="15" customFormat="1">
      <c r="B173" s="317"/>
      <c r="C173" s="16"/>
      <c r="D173" s="16"/>
      <c r="E173" s="16"/>
      <c r="F173" s="16"/>
      <c r="G173" s="16"/>
      <c r="H173" s="16"/>
      <c r="I173" s="16"/>
      <c r="N173" s="16">
        <f t="shared" si="507"/>
        <v>0</v>
      </c>
      <c r="S173" s="16">
        <f t="shared" si="508"/>
        <v>0</v>
      </c>
      <c r="X173" s="16">
        <f t="shared" si="509"/>
        <v>0</v>
      </c>
      <c r="AC173" s="16">
        <f t="shared" si="510"/>
        <v>0</v>
      </c>
      <c r="AH173" s="16">
        <f t="shared" si="511"/>
        <v>0</v>
      </c>
      <c r="AM173" s="16">
        <f t="shared" si="512"/>
        <v>0</v>
      </c>
      <c r="AR173" s="16">
        <f t="shared" si="513"/>
        <v>0</v>
      </c>
      <c r="AW173" s="16">
        <f t="shared" si="514"/>
        <v>0</v>
      </c>
      <c r="BB173" s="16">
        <f t="shared" si="515"/>
        <v>0</v>
      </c>
      <c r="BG173" s="16">
        <f t="shared" si="516"/>
        <v>0</v>
      </c>
      <c r="BL173" s="16">
        <f t="shared" si="517"/>
        <v>0</v>
      </c>
      <c r="BQ173" s="16">
        <f t="shared" si="518"/>
        <v>0</v>
      </c>
      <c r="BV173" s="16">
        <f t="shared" si="519"/>
        <v>0</v>
      </c>
      <c r="CA173" s="16">
        <f t="shared" si="520"/>
        <v>0</v>
      </c>
      <c r="CF173" s="16">
        <f t="shared" si="521"/>
        <v>0</v>
      </c>
      <c r="CK173" s="16">
        <f t="shared" si="522"/>
        <v>0</v>
      </c>
      <c r="CP173" s="16">
        <f t="shared" si="523"/>
        <v>0</v>
      </c>
      <c r="CU173" s="16">
        <f t="shared" si="524"/>
        <v>0</v>
      </c>
      <c r="CZ173" s="16">
        <f t="shared" si="525"/>
        <v>0</v>
      </c>
      <c r="DE173" s="16">
        <f t="shared" si="526"/>
        <v>0</v>
      </c>
      <c r="DF173" s="358"/>
      <c r="DG173" s="358"/>
      <c r="DH173" s="358"/>
      <c r="DI173" s="358"/>
      <c r="DJ173" s="16"/>
      <c r="DK173" s="358"/>
      <c r="DL173" s="358"/>
      <c r="DM173" s="358"/>
      <c r="DN173" s="358"/>
      <c r="DO173" s="16"/>
      <c r="DP173" s="358"/>
      <c r="DQ173" s="358"/>
      <c r="DR173" s="358"/>
      <c r="DS173" s="358"/>
      <c r="DT173" s="16"/>
      <c r="DU173" s="16"/>
      <c r="DV173" s="16"/>
    </row>
    <row r="174" spans="1:126" s="15" customFormat="1">
      <c r="B174" s="221"/>
      <c r="C174" s="45"/>
      <c r="D174" s="45"/>
      <c r="E174" s="45"/>
      <c r="F174" s="45"/>
      <c r="G174" s="45"/>
      <c r="H174" s="45"/>
      <c r="I174" s="45"/>
      <c r="J174" s="88"/>
      <c r="K174" s="88"/>
      <c r="L174" s="88"/>
      <c r="M174" s="88"/>
      <c r="N174" s="45">
        <f t="shared" si="507"/>
        <v>0</v>
      </c>
      <c r="O174" s="88"/>
      <c r="P174" s="88"/>
      <c r="Q174" s="88"/>
      <c r="R174" s="88"/>
      <c r="S174" s="45">
        <f t="shared" si="508"/>
        <v>0</v>
      </c>
      <c r="T174" s="88"/>
      <c r="U174" s="88"/>
      <c r="V174" s="88"/>
      <c r="W174" s="88"/>
      <c r="X174" s="45">
        <f t="shared" si="509"/>
        <v>0</v>
      </c>
      <c r="Y174" s="88"/>
      <c r="Z174" s="88"/>
      <c r="AA174" s="88"/>
      <c r="AB174" s="88"/>
      <c r="AC174" s="45">
        <f t="shared" si="510"/>
        <v>0</v>
      </c>
      <c r="AD174" s="88"/>
      <c r="AE174" s="88"/>
      <c r="AF174" s="88"/>
      <c r="AG174" s="88"/>
      <c r="AH174" s="45">
        <f t="shared" si="511"/>
        <v>0</v>
      </c>
      <c r="AI174" s="88"/>
      <c r="AJ174" s="88"/>
      <c r="AK174" s="88"/>
      <c r="AL174" s="88"/>
      <c r="AM174" s="45">
        <f t="shared" si="512"/>
        <v>0</v>
      </c>
      <c r="AN174" s="88"/>
      <c r="AO174" s="88"/>
      <c r="AP174" s="88"/>
      <c r="AQ174" s="88"/>
      <c r="AR174" s="45">
        <f t="shared" si="513"/>
        <v>0</v>
      </c>
      <c r="AS174" s="88"/>
      <c r="AT174" s="88"/>
      <c r="AU174" s="88"/>
      <c r="AV174" s="88"/>
      <c r="AW174" s="45">
        <f t="shared" si="514"/>
        <v>0</v>
      </c>
      <c r="AX174" s="88"/>
      <c r="AY174" s="88"/>
      <c r="AZ174" s="88"/>
      <c r="BA174" s="88"/>
      <c r="BB174" s="45">
        <f t="shared" si="515"/>
        <v>0</v>
      </c>
      <c r="BC174" s="88"/>
      <c r="BD174" s="88"/>
      <c r="BE174" s="88"/>
      <c r="BF174" s="88"/>
      <c r="BG174" s="45">
        <f t="shared" si="516"/>
        <v>0</v>
      </c>
      <c r="BH174" s="88"/>
      <c r="BI174" s="88"/>
      <c r="BJ174" s="88"/>
      <c r="BK174" s="88"/>
      <c r="BL174" s="45">
        <f t="shared" si="517"/>
        <v>0</v>
      </c>
      <c r="BM174" s="88"/>
      <c r="BN174" s="88"/>
      <c r="BO174" s="88"/>
      <c r="BP174" s="88"/>
      <c r="BQ174" s="45">
        <f t="shared" si="518"/>
        <v>0</v>
      </c>
      <c r="BR174" s="88"/>
      <c r="BS174" s="88"/>
      <c r="BT174" s="88"/>
      <c r="BU174" s="88"/>
      <c r="BV174" s="45">
        <f t="shared" si="519"/>
        <v>0</v>
      </c>
      <c r="BW174" s="88"/>
      <c r="BX174" s="88"/>
      <c r="BY174" s="88"/>
      <c r="BZ174" s="88"/>
      <c r="CA174" s="45">
        <f t="shared" si="520"/>
        <v>0</v>
      </c>
      <c r="CB174" s="88"/>
      <c r="CC174" s="88"/>
      <c r="CD174" s="88"/>
      <c r="CE174" s="88"/>
      <c r="CF174" s="45">
        <f t="shared" si="521"/>
        <v>0</v>
      </c>
      <c r="CG174" s="88"/>
      <c r="CH174" s="88"/>
      <c r="CI174" s="88"/>
      <c r="CJ174" s="88"/>
      <c r="CK174" s="45">
        <f t="shared" si="522"/>
        <v>0</v>
      </c>
      <c r="CL174" s="88"/>
      <c r="CM174" s="88"/>
      <c r="CN174" s="88"/>
      <c r="CO174" s="88"/>
      <c r="CP174" s="45">
        <f t="shared" si="523"/>
        <v>0</v>
      </c>
      <c r="CQ174" s="88"/>
      <c r="CR174" s="88"/>
      <c r="CS174" s="88"/>
      <c r="CT174" s="88"/>
      <c r="CU174" s="45">
        <f t="shared" si="524"/>
        <v>0</v>
      </c>
      <c r="CV174" s="88"/>
      <c r="CW174" s="88"/>
      <c r="CX174" s="88"/>
      <c r="CY174" s="88"/>
      <c r="CZ174" s="45">
        <f t="shared" si="525"/>
        <v>0</v>
      </c>
      <c r="DA174" s="88"/>
      <c r="DB174" s="88"/>
      <c r="DC174" s="88"/>
      <c r="DD174" s="88"/>
      <c r="DE174" s="45">
        <f t="shared" si="526"/>
        <v>0</v>
      </c>
      <c r="DF174" s="377"/>
      <c r="DG174" s="377"/>
      <c r="DH174" s="377"/>
      <c r="DI174" s="377"/>
      <c r="DJ174" s="45"/>
      <c r="DK174" s="377"/>
      <c r="DL174" s="377"/>
      <c r="DM174" s="377"/>
      <c r="DN174" s="377"/>
      <c r="DO174" s="45"/>
      <c r="DP174" s="377"/>
      <c r="DQ174" s="377"/>
      <c r="DR174" s="377"/>
      <c r="DS174" s="377"/>
      <c r="DT174" s="45"/>
      <c r="DU174" s="45"/>
      <c r="DV174" s="45"/>
    </row>
    <row r="175" spans="1:126" s="50" customFormat="1" ht="12">
      <c r="A175" s="15"/>
      <c r="B175" s="199" t="s">
        <v>77</v>
      </c>
      <c r="C175" s="130">
        <f t="shared" ref="C175:N175" si="527">SUM(C171:C174)</f>
        <v>0</v>
      </c>
      <c r="D175" s="130">
        <f t="shared" si="527"/>
        <v>0</v>
      </c>
      <c r="E175" s="130">
        <f t="shared" si="527"/>
        <v>0</v>
      </c>
      <c r="F175" s="130">
        <f t="shared" si="527"/>
        <v>0</v>
      </c>
      <c r="G175" s="130">
        <f t="shared" si="527"/>
        <v>0</v>
      </c>
      <c r="H175" s="130">
        <f t="shared" si="527"/>
        <v>0</v>
      </c>
      <c r="I175" s="130">
        <f t="shared" si="527"/>
        <v>0</v>
      </c>
      <c r="J175" s="189">
        <f t="shared" si="527"/>
        <v>0</v>
      </c>
      <c r="K175" s="189">
        <f t="shared" si="527"/>
        <v>0</v>
      </c>
      <c r="L175" s="189">
        <f t="shared" si="527"/>
        <v>0</v>
      </c>
      <c r="M175" s="189">
        <f t="shared" si="527"/>
        <v>0</v>
      </c>
      <c r="N175" s="130">
        <f t="shared" si="527"/>
        <v>0</v>
      </c>
      <c r="O175" s="189">
        <f t="shared" ref="O175" si="528">SUM(O171:O174)</f>
        <v>0</v>
      </c>
      <c r="P175" s="189">
        <f t="shared" ref="P175" si="529">SUM(P171:P174)</f>
        <v>0</v>
      </c>
      <c r="Q175" s="189">
        <f t="shared" ref="Q175" si="530">SUM(Q171:Q174)</f>
        <v>0</v>
      </c>
      <c r="R175" s="189">
        <f t="shared" ref="R175" si="531">SUM(R171:R174)</f>
        <v>0</v>
      </c>
      <c r="S175" s="130">
        <f t="shared" ref="S175" si="532">SUM(S171:S174)</f>
        <v>0</v>
      </c>
      <c r="T175" s="189">
        <f t="shared" ref="T175" si="533">SUM(T171:T174)</f>
        <v>0</v>
      </c>
      <c r="U175" s="189">
        <f t="shared" ref="U175" si="534">SUM(U171:U174)</f>
        <v>0</v>
      </c>
      <c r="V175" s="189">
        <f t="shared" ref="V175" si="535">SUM(V171:V174)</f>
        <v>0</v>
      </c>
      <c r="W175" s="189">
        <f t="shared" ref="W175" si="536">SUM(W171:W174)</f>
        <v>0</v>
      </c>
      <c r="X175" s="130">
        <f t="shared" ref="X175" si="537">SUM(X171:X174)</f>
        <v>0</v>
      </c>
      <c r="Y175" s="189">
        <f t="shared" ref="Y175" si="538">SUM(Y171:Y174)</f>
        <v>0</v>
      </c>
      <c r="Z175" s="189">
        <f t="shared" ref="Z175" si="539">SUM(Z171:Z174)</f>
        <v>0</v>
      </c>
      <c r="AA175" s="189">
        <f t="shared" ref="AA175" si="540">SUM(AA171:AA174)</f>
        <v>0</v>
      </c>
      <c r="AB175" s="189">
        <f t="shared" ref="AB175" si="541">SUM(AB171:AB174)</f>
        <v>0</v>
      </c>
      <c r="AC175" s="130">
        <f t="shared" ref="AC175" si="542">SUM(AC171:AC174)</f>
        <v>0</v>
      </c>
      <c r="AD175" s="189">
        <f t="shared" ref="AD175" si="543">SUM(AD171:AD174)</f>
        <v>0</v>
      </c>
      <c r="AE175" s="189">
        <f t="shared" ref="AE175" si="544">SUM(AE171:AE174)</f>
        <v>0</v>
      </c>
      <c r="AF175" s="189">
        <f t="shared" ref="AF175" si="545">SUM(AF171:AF174)</f>
        <v>0</v>
      </c>
      <c r="AG175" s="189">
        <f t="shared" ref="AG175" si="546">SUM(AG171:AG174)</f>
        <v>0</v>
      </c>
      <c r="AH175" s="130">
        <f t="shared" ref="AH175" si="547">SUM(AH171:AH174)</f>
        <v>0</v>
      </c>
      <c r="AI175" s="189">
        <f t="shared" ref="AI175" si="548">SUM(AI171:AI174)</f>
        <v>0</v>
      </c>
      <c r="AJ175" s="189">
        <f t="shared" ref="AJ175" si="549">SUM(AJ171:AJ174)</f>
        <v>0</v>
      </c>
      <c r="AK175" s="189">
        <f t="shared" ref="AK175" si="550">SUM(AK171:AK174)</f>
        <v>0</v>
      </c>
      <c r="AL175" s="189">
        <f t="shared" ref="AL175" si="551">SUM(AL171:AL174)</f>
        <v>0</v>
      </c>
      <c r="AM175" s="130">
        <f t="shared" ref="AM175" si="552">SUM(AM171:AM174)</f>
        <v>0</v>
      </c>
      <c r="AN175" s="189">
        <f t="shared" ref="AN175" si="553">SUM(AN171:AN174)</f>
        <v>0</v>
      </c>
      <c r="AO175" s="189">
        <f t="shared" ref="AO175" si="554">SUM(AO171:AO174)</f>
        <v>0</v>
      </c>
      <c r="AP175" s="189">
        <f t="shared" ref="AP175" si="555">SUM(AP171:AP174)</f>
        <v>0</v>
      </c>
      <c r="AQ175" s="189">
        <f t="shared" ref="AQ175" si="556">SUM(AQ171:AQ174)</f>
        <v>0</v>
      </c>
      <c r="AR175" s="130">
        <f t="shared" ref="AR175" si="557">SUM(AR171:AR174)</f>
        <v>0</v>
      </c>
      <c r="AS175" s="189">
        <f t="shared" ref="AS175" si="558">SUM(AS171:AS174)</f>
        <v>0</v>
      </c>
      <c r="AT175" s="189">
        <f t="shared" ref="AT175" si="559">SUM(AT171:AT174)</f>
        <v>0</v>
      </c>
      <c r="AU175" s="189">
        <f t="shared" ref="AU175" si="560">SUM(AU171:AU174)</f>
        <v>0</v>
      </c>
      <c r="AV175" s="189">
        <f t="shared" ref="AV175" si="561">SUM(AV171:AV174)</f>
        <v>0</v>
      </c>
      <c r="AW175" s="130">
        <f t="shared" ref="AW175" si="562">SUM(AW171:AW174)</f>
        <v>0</v>
      </c>
      <c r="AX175" s="189">
        <f t="shared" ref="AX175" si="563">SUM(AX171:AX174)</f>
        <v>0</v>
      </c>
      <c r="AY175" s="189">
        <f t="shared" ref="AY175" si="564">SUM(AY171:AY174)</f>
        <v>0</v>
      </c>
      <c r="AZ175" s="189">
        <f t="shared" ref="AZ175" si="565">SUM(AZ171:AZ174)</f>
        <v>0</v>
      </c>
      <c r="BA175" s="189">
        <f t="shared" ref="BA175" si="566">SUM(BA171:BA174)</f>
        <v>0</v>
      </c>
      <c r="BB175" s="130">
        <f t="shared" ref="BB175" si="567">SUM(BB171:BB174)</f>
        <v>0</v>
      </c>
      <c r="BC175" s="189">
        <f t="shared" ref="BC175" si="568">SUM(BC171:BC174)</f>
        <v>0</v>
      </c>
      <c r="BD175" s="189">
        <f t="shared" ref="BD175" si="569">SUM(BD171:BD174)</f>
        <v>0</v>
      </c>
      <c r="BE175" s="189">
        <f t="shared" ref="BE175" si="570">SUM(BE171:BE174)</f>
        <v>0</v>
      </c>
      <c r="BF175" s="189">
        <f t="shared" ref="BF175" si="571">SUM(BF171:BF174)</f>
        <v>0</v>
      </c>
      <c r="BG175" s="130">
        <f t="shared" ref="BG175" si="572">SUM(BG171:BG174)</f>
        <v>0</v>
      </c>
      <c r="BH175" s="189">
        <f t="shared" ref="BH175" si="573">SUM(BH171:BH174)</f>
        <v>0</v>
      </c>
      <c r="BI175" s="189">
        <f t="shared" ref="BI175" si="574">SUM(BI171:BI174)</f>
        <v>0</v>
      </c>
      <c r="BJ175" s="189">
        <f t="shared" ref="BJ175" si="575">SUM(BJ171:BJ174)</f>
        <v>0</v>
      </c>
      <c r="BK175" s="189">
        <f t="shared" ref="BK175" si="576">SUM(BK171:BK174)</f>
        <v>0</v>
      </c>
      <c r="BL175" s="130">
        <f t="shared" ref="BL175" si="577">SUM(BL171:BL174)</f>
        <v>0</v>
      </c>
      <c r="BM175" s="189">
        <f t="shared" ref="BM175" si="578">SUM(BM171:BM174)</f>
        <v>0</v>
      </c>
      <c r="BN175" s="189">
        <f t="shared" ref="BN175" si="579">SUM(BN171:BN174)</f>
        <v>0</v>
      </c>
      <c r="BO175" s="189">
        <f t="shared" ref="BO175" si="580">SUM(BO171:BO174)</f>
        <v>0</v>
      </c>
      <c r="BP175" s="189">
        <f t="shared" ref="BP175" si="581">SUM(BP171:BP174)</f>
        <v>0</v>
      </c>
      <c r="BQ175" s="130">
        <f t="shared" ref="BQ175" si="582">SUM(BQ171:BQ174)</f>
        <v>0</v>
      </c>
      <c r="BR175" s="189">
        <f t="shared" ref="BR175" si="583">SUM(BR171:BR174)</f>
        <v>0</v>
      </c>
      <c r="BS175" s="189">
        <f t="shared" ref="BS175" si="584">SUM(BS171:BS174)</f>
        <v>0</v>
      </c>
      <c r="BT175" s="189">
        <f t="shared" ref="BT175" si="585">SUM(BT171:BT174)</f>
        <v>0</v>
      </c>
      <c r="BU175" s="189">
        <f t="shared" ref="BU175" si="586">SUM(BU171:BU174)</f>
        <v>0</v>
      </c>
      <c r="BV175" s="130">
        <f t="shared" ref="BV175" si="587">SUM(BV171:BV174)</f>
        <v>0</v>
      </c>
      <c r="BW175" s="189">
        <f t="shared" ref="BW175" si="588">SUM(BW171:BW174)</f>
        <v>0</v>
      </c>
      <c r="BX175" s="189">
        <f t="shared" ref="BX175" si="589">SUM(BX171:BX174)</f>
        <v>0</v>
      </c>
      <c r="BY175" s="189">
        <f t="shared" ref="BY175" si="590">SUM(BY171:BY174)</f>
        <v>0</v>
      </c>
      <c r="BZ175" s="189">
        <f t="shared" ref="BZ175" si="591">SUM(BZ171:BZ174)</f>
        <v>0</v>
      </c>
      <c r="CA175" s="130">
        <f t="shared" ref="CA175" si="592">SUM(CA171:CA174)</f>
        <v>0</v>
      </c>
      <c r="CB175" s="189">
        <f t="shared" ref="CB175" si="593">SUM(CB171:CB174)</f>
        <v>0</v>
      </c>
      <c r="CC175" s="189">
        <f t="shared" ref="CC175" si="594">SUM(CC171:CC174)</f>
        <v>0</v>
      </c>
      <c r="CD175" s="189">
        <f t="shared" ref="CD175" si="595">SUM(CD171:CD174)</f>
        <v>0</v>
      </c>
      <c r="CE175" s="189">
        <f t="shared" ref="CE175" si="596">SUM(CE171:CE174)</f>
        <v>0</v>
      </c>
      <c r="CF175" s="130">
        <f t="shared" ref="CF175" si="597">SUM(CF171:CF174)</f>
        <v>0</v>
      </c>
      <c r="CG175" s="189">
        <f t="shared" ref="CG175" si="598">SUM(CG171:CG174)</f>
        <v>0</v>
      </c>
      <c r="CH175" s="189">
        <f t="shared" ref="CH175" si="599">SUM(CH171:CH174)</f>
        <v>0</v>
      </c>
      <c r="CI175" s="189">
        <f t="shared" ref="CI175" si="600">SUM(CI171:CI174)</f>
        <v>0</v>
      </c>
      <c r="CJ175" s="189">
        <f t="shared" ref="CJ175" si="601">SUM(CJ171:CJ174)</f>
        <v>0</v>
      </c>
      <c r="CK175" s="130">
        <f t="shared" ref="CK175" si="602">SUM(CK171:CK174)</f>
        <v>0</v>
      </c>
      <c r="CL175" s="189">
        <f t="shared" ref="CL175" si="603">SUM(CL171:CL174)</f>
        <v>0</v>
      </c>
      <c r="CM175" s="189">
        <f t="shared" ref="CM175" si="604">SUM(CM171:CM174)</f>
        <v>0</v>
      </c>
      <c r="CN175" s="189">
        <f t="shared" ref="CN175" si="605">SUM(CN171:CN174)</f>
        <v>0</v>
      </c>
      <c r="CO175" s="189">
        <f t="shared" ref="CO175" si="606">SUM(CO171:CO174)</f>
        <v>0</v>
      </c>
      <c r="CP175" s="130">
        <f t="shared" ref="CP175" si="607">SUM(CP171:CP174)</f>
        <v>0</v>
      </c>
      <c r="CQ175" s="189">
        <f t="shared" ref="CQ175" si="608">SUM(CQ171:CQ174)</f>
        <v>0</v>
      </c>
      <c r="CR175" s="189">
        <f t="shared" ref="CR175" si="609">SUM(CR171:CR174)</f>
        <v>0</v>
      </c>
      <c r="CS175" s="189">
        <f t="shared" ref="CS175" si="610">SUM(CS171:CS174)</f>
        <v>0</v>
      </c>
      <c r="CT175" s="189">
        <f t="shared" ref="CT175" si="611">SUM(CT171:CT174)</f>
        <v>0</v>
      </c>
      <c r="CU175" s="130">
        <f t="shared" ref="CU175" si="612">SUM(CU171:CU174)</f>
        <v>0</v>
      </c>
      <c r="CV175" s="189">
        <f t="shared" ref="CV175" si="613">SUM(CV171:CV174)</f>
        <v>0</v>
      </c>
      <c r="CW175" s="189">
        <f t="shared" ref="CW175" si="614">SUM(CW171:CW174)</f>
        <v>0</v>
      </c>
      <c r="CX175" s="189">
        <f t="shared" ref="CX175" si="615">SUM(CX171:CX174)</f>
        <v>0</v>
      </c>
      <c r="CY175" s="189">
        <f t="shared" ref="CY175" si="616">SUM(CY171:CY174)</f>
        <v>0</v>
      </c>
      <c r="CZ175" s="130">
        <f t="shared" ref="CZ175" si="617">SUM(CZ171:CZ174)</f>
        <v>0</v>
      </c>
      <c r="DA175" s="189">
        <f t="shared" ref="DA175" si="618">SUM(DA171:DA174)</f>
        <v>1219.3706761883509</v>
      </c>
      <c r="DB175" s="189">
        <f t="shared" ref="DB175" si="619">SUM(DB171:DB174)</f>
        <v>0</v>
      </c>
      <c r="DC175" s="189"/>
      <c r="DD175" s="189"/>
      <c r="DE175" s="130">
        <f t="shared" ref="DE175" si="620">SUM(DE171:DE174)</f>
        <v>0</v>
      </c>
      <c r="DF175" s="393"/>
      <c r="DG175" s="393">
        <f t="shared" ref="DG175" si="621">SUM(DG171:DG174)</f>
        <v>0</v>
      </c>
      <c r="DH175" s="393"/>
      <c r="DI175" s="393"/>
      <c r="DJ175" s="16"/>
      <c r="DK175" s="393"/>
      <c r="DL175" s="393"/>
      <c r="DM175" s="393"/>
      <c r="DN175" s="393"/>
      <c r="DO175" s="16"/>
      <c r="DP175" s="393"/>
      <c r="DQ175" s="393"/>
      <c r="DR175" s="393"/>
      <c r="DS175" s="393"/>
      <c r="DT175" s="16"/>
      <c r="DU175" s="16"/>
      <c r="DV175" s="16"/>
    </row>
    <row r="176" spans="1:126" s="42" customFormat="1">
      <c r="A176" s="82"/>
      <c r="B176" s="209" t="s">
        <v>78</v>
      </c>
      <c r="C176" s="43"/>
      <c r="D176" s="43"/>
      <c r="E176" s="43"/>
      <c r="F176" s="43"/>
      <c r="G176" s="43"/>
      <c r="H176" s="43"/>
      <c r="I176" s="43"/>
      <c r="J176" s="82"/>
      <c r="K176" s="82"/>
      <c r="L176" s="82"/>
      <c r="M176" s="82"/>
      <c r="N176" s="43"/>
      <c r="O176" s="82"/>
      <c r="P176" s="82"/>
      <c r="Q176" s="82"/>
      <c r="R176" s="82"/>
      <c r="S176" s="43"/>
      <c r="T176" s="82"/>
      <c r="U176" s="82"/>
      <c r="V176" s="82"/>
      <c r="W176" s="82"/>
      <c r="X176" s="43"/>
      <c r="Y176" s="82"/>
      <c r="Z176" s="82"/>
      <c r="AA176" s="82"/>
      <c r="AB176" s="82"/>
      <c r="AC176" s="43"/>
      <c r="AD176" s="82"/>
      <c r="AE176" s="82"/>
      <c r="AF176" s="82"/>
      <c r="AG176" s="82"/>
      <c r="AH176" s="43"/>
      <c r="AI176" s="82"/>
      <c r="AJ176" s="82"/>
      <c r="AK176" s="82"/>
      <c r="AL176" s="82"/>
      <c r="AM176" s="43"/>
      <c r="AN176" s="82"/>
      <c r="AO176" s="82"/>
      <c r="AP176" s="82"/>
      <c r="AQ176" s="82"/>
      <c r="AR176" s="43"/>
      <c r="AS176" s="82"/>
      <c r="AT176" s="82"/>
      <c r="AU176" s="82"/>
      <c r="AV176" s="82"/>
      <c r="AW176" s="43"/>
      <c r="AX176" s="82"/>
      <c r="AY176" s="82"/>
      <c r="AZ176" s="82"/>
      <c r="BA176" s="82"/>
      <c r="BB176" s="43"/>
      <c r="BC176" s="82"/>
      <c r="BD176" s="82"/>
      <c r="BE176" s="82"/>
      <c r="BF176" s="82"/>
      <c r="BG176" s="43"/>
      <c r="BH176" s="82"/>
      <c r="BI176" s="82"/>
      <c r="BJ176" s="82"/>
      <c r="BK176" s="82"/>
      <c r="BL176" s="43"/>
      <c r="BM176" s="82"/>
      <c r="BN176" s="82"/>
      <c r="BO176" s="82"/>
      <c r="BP176" s="82"/>
      <c r="BQ176" s="43"/>
      <c r="BR176" s="82"/>
      <c r="BS176" s="82"/>
      <c r="BT176" s="82"/>
      <c r="BU176" s="82"/>
      <c r="BV176" s="43"/>
      <c r="BW176" s="82"/>
      <c r="BX176" s="82"/>
      <c r="BY176" s="82"/>
      <c r="BZ176" s="82"/>
      <c r="CA176" s="43"/>
      <c r="CB176" s="82"/>
      <c r="CC176" s="82"/>
      <c r="CD176" s="82"/>
      <c r="CE176" s="82"/>
      <c r="CF176" s="43"/>
      <c r="CG176" s="82"/>
      <c r="CH176" s="82"/>
      <c r="CI176" s="82"/>
      <c r="CJ176" s="82"/>
      <c r="CK176" s="43"/>
      <c r="CL176" s="82"/>
      <c r="CM176" s="82"/>
      <c r="CN176" s="82"/>
      <c r="CO176" s="82"/>
      <c r="CP176" s="43"/>
      <c r="CQ176" s="82"/>
      <c r="CR176" s="82"/>
      <c r="CS176" s="82"/>
      <c r="CT176" s="82"/>
      <c r="CU176" s="43"/>
      <c r="CV176" s="82"/>
      <c r="CW176" s="82"/>
      <c r="CX176" s="82"/>
      <c r="CY176" s="82"/>
      <c r="CZ176" s="43"/>
      <c r="DA176" s="82"/>
      <c r="DB176" s="82"/>
      <c r="DC176" s="82"/>
      <c r="DD176" s="82"/>
      <c r="DE176" s="43"/>
      <c r="DF176" s="379"/>
      <c r="DG176" s="379"/>
      <c r="DH176" s="379"/>
      <c r="DI176" s="379"/>
      <c r="DJ176" s="43"/>
      <c r="DK176" s="379"/>
      <c r="DL176" s="379"/>
      <c r="DM176" s="379"/>
      <c r="DN176" s="379"/>
      <c r="DO176" s="43"/>
      <c r="DP176" s="379"/>
      <c r="DQ176" s="379"/>
      <c r="DR176" s="379"/>
      <c r="DS176" s="379"/>
      <c r="DT176" s="43"/>
      <c r="DU176" s="43"/>
      <c r="DV176" s="43"/>
    </row>
    <row r="177" spans="1:126" s="12" customFormat="1" ht="3.75" customHeight="1">
      <c r="A177" s="97"/>
      <c r="B177" s="97"/>
      <c r="C177" s="98"/>
      <c r="D177" s="98"/>
      <c r="E177" s="98"/>
      <c r="F177" s="98"/>
      <c r="G177" s="98"/>
      <c r="H177" s="98"/>
      <c r="I177" s="98"/>
      <c r="J177" s="97"/>
      <c r="K177" s="97"/>
      <c r="L177" s="97"/>
      <c r="M177" s="97"/>
      <c r="N177" s="98"/>
      <c r="O177" s="97"/>
      <c r="P177" s="97"/>
      <c r="Q177" s="97"/>
      <c r="R177" s="97"/>
      <c r="S177" s="98"/>
      <c r="T177" s="97"/>
      <c r="U177" s="97"/>
      <c r="V177" s="97"/>
      <c r="W177" s="97"/>
      <c r="X177" s="98"/>
      <c r="Y177" s="97"/>
      <c r="Z177" s="97"/>
      <c r="AA177" s="97"/>
      <c r="AB177" s="97"/>
      <c r="AC177" s="98"/>
      <c r="AD177" s="97"/>
      <c r="AE177" s="97"/>
      <c r="AF177" s="97"/>
      <c r="AG177" s="97"/>
      <c r="AH177" s="98"/>
      <c r="AI177" s="97"/>
      <c r="AJ177" s="97"/>
      <c r="AK177" s="97"/>
      <c r="AL177" s="97"/>
      <c r="AM177" s="98"/>
      <c r="AN177" s="97"/>
      <c r="AO177" s="97"/>
      <c r="AP177" s="97"/>
      <c r="AQ177" s="97"/>
      <c r="AR177" s="98"/>
      <c r="AS177" s="97"/>
      <c r="AT177" s="97"/>
      <c r="AU177" s="97"/>
      <c r="AV177" s="97"/>
      <c r="AW177" s="98"/>
      <c r="AX177" s="97"/>
      <c r="AY177" s="97"/>
      <c r="AZ177" s="97"/>
      <c r="BA177" s="97"/>
      <c r="BB177" s="98"/>
      <c r="BC177" s="97"/>
      <c r="BD177" s="97"/>
      <c r="BE177" s="97"/>
      <c r="BF177" s="97"/>
      <c r="BG177" s="98"/>
      <c r="BH177" s="97"/>
      <c r="BI177" s="380"/>
      <c r="BJ177" s="97"/>
      <c r="BK177" s="390"/>
      <c r="BL177" s="98"/>
      <c r="BM177" s="97"/>
      <c r="BN177" s="380"/>
      <c r="BO177" s="97"/>
      <c r="BP177" s="390"/>
      <c r="BQ177" s="98"/>
      <c r="BR177" s="97"/>
      <c r="BS177" s="380"/>
      <c r="BT177" s="97"/>
      <c r="BU177" s="390"/>
      <c r="BV177" s="98"/>
      <c r="BW177" s="97"/>
      <c r="BX177" s="421"/>
      <c r="BY177" s="97"/>
      <c r="BZ177" s="390"/>
      <c r="CA177" s="98"/>
      <c r="CB177" s="97"/>
      <c r="CC177" s="380"/>
      <c r="CD177" s="97"/>
      <c r="CE177" s="390"/>
      <c r="CF177" s="98"/>
      <c r="CG177" s="380"/>
      <c r="CH177" s="380"/>
      <c r="CI177" s="380"/>
      <c r="CJ177" s="380"/>
      <c r="CK177" s="98"/>
      <c r="CL177" s="380"/>
      <c r="CM177" s="380"/>
      <c r="CN177" s="380"/>
      <c r="CO177" s="380"/>
      <c r="CP177" s="98"/>
      <c r="CQ177" s="380"/>
      <c r="CR177" s="380"/>
      <c r="CS177" s="380"/>
      <c r="CT177" s="380"/>
      <c r="CU177" s="98"/>
      <c r="CV177" s="380"/>
      <c r="CW177" s="380"/>
      <c r="CX177" s="380"/>
      <c r="CY177" s="380"/>
      <c r="CZ177" s="98"/>
      <c r="DA177" s="380"/>
      <c r="DB177" s="380"/>
      <c r="DC177" s="380"/>
      <c r="DD177" s="380"/>
      <c r="DE177" s="98"/>
      <c r="DF177" s="380"/>
      <c r="DG177" s="380"/>
      <c r="DH177" s="380"/>
      <c r="DI177" s="380"/>
      <c r="DJ177" s="98"/>
      <c r="DK177" s="380"/>
      <c r="DL177" s="380"/>
      <c r="DM177" s="380"/>
      <c r="DN177" s="380"/>
      <c r="DO177" s="98"/>
      <c r="DP177" s="380"/>
      <c r="DQ177" s="380"/>
      <c r="DR177" s="380"/>
      <c r="DS177" s="380"/>
      <c r="DT177" s="98"/>
      <c r="DU177" s="98"/>
      <c r="DV177" s="98"/>
    </row>
    <row r="178" spans="1:126" s="42" customFormat="1">
      <c r="A178" s="12"/>
      <c r="B178" s="160"/>
      <c r="C178" s="16"/>
      <c r="D178" s="16"/>
      <c r="E178" s="16"/>
      <c r="F178" s="16"/>
      <c r="G178" s="16"/>
      <c r="H178" s="16"/>
      <c r="I178" s="16"/>
      <c r="J178" s="12"/>
      <c r="K178" s="12"/>
      <c r="L178" s="12"/>
      <c r="M178" s="12"/>
      <c r="N178" s="16"/>
      <c r="O178" s="12"/>
      <c r="P178" s="12"/>
      <c r="Q178" s="12"/>
      <c r="R178" s="12"/>
      <c r="S178" s="16"/>
      <c r="T178" s="12"/>
      <c r="U178" s="12"/>
      <c r="V178" s="12"/>
      <c r="W178" s="12"/>
      <c r="X178" s="16"/>
      <c r="Y178" s="12"/>
      <c r="Z178" s="12"/>
      <c r="AA178" s="12"/>
      <c r="AB178" s="12"/>
      <c r="AC178" s="16"/>
      <c r="AD178" s="12"/>
      <c r="AE178" s="12"/>
      <c r="AF178" s="12"/>
      <c r="AG178" s="12"/>
      <c r="AH178" s="16"/>
      <c r="AI178" s="12"/>
      <c r="AJ178" s="12"/>
      <c r="AK178" s="12"/>
      <c r="AL178" s="12"/>
      <c r="AM178" s="16"/>
      <c r="AN178" s="12"/>
      <c r="AO178" s="12"/>
      <c r="AP178" s="12"/>
      <c r="AQ178" s="12"/>
      <c r="AR178" s="16"/>
      <c r="AS178" s="12"/>
      <c r="AT178" s="12"/>
      <c r="AU178" s="12"/>
      <c r="AV178" s="12"/>
      <c r="AW178" s="16"/>
      <c r="AX178" s="12"/>
      <c r="AY178" s="12"/>
      <c r="AZ178" s="12"/>
      <c r="BA178" s="12"/>
      <c r="BB178" s="16"/>
      <c r="BC178" s="12"/>
      <c r="BD178" s="12"/>
      <c r="BE178" s="12"/>
      <c r="BF178" s="12"/>
      <c r="BG178" s="16"/>
      <c r="BH178" s="12"/>
      <c r="BI178" s="358"/>
      <c r="BJ178" s="12"/>
      <c r="BK178" s="315"/>
      <c r="BL178" s="16"/>
      <c r="BM178" s="12"/>
      <c r="BN178" s="358"/>
      <c r="BO178" s="12"/>
      <c r="BP178" s="315"/>
      <c r="BQ178" s="16"/>
      <c r="BR178" s="12"/>
      <c r="BS178" s="358"/>
      <c r="BT178" s="12"/>
      <c r="BU178" s="315"/>
      <c r="BV178" s="16"/>
      <c r="BW178" s="12"/>
      <c r="BX178" s="313"/>
      <c r="BY178" s="12"/>
      <c r="BZ178" s="315"/>
      <c r="CA178" s="16"/>
      <c r="CB178" s="12"/>
      <c r="CC178" s="358"/>
      <c r="CD178" s="12"/>
      <c r="CE178" s="315"/>
      <c r="CF178" s="16"/>
      <c r="CG178" s="358"/>
      <c r="CH178" s="358"/>
      <c r="CI178" s="358"/>
      <c r="CJ178" s="358"/>
      <c r="CK178" s="16"/>
      <c r="CL178" s="358"/>
      <c r="CM178" s="358"/>
      <c r="CN178" s="358"/>
      <c r="CO178" s="358"/>
      <c r="CP178" s="16"/>
      <c r="CQ178" s="358"/>
      <c r="CR178" s="358"/>
      <c r="CS178" s="358"/>
      <c r="CT178" s="358"/>
      <c r="CU178" s="16"/>
      <c r="CV178" s="358"/>
      <c r="CW178" s="358"/>
      <c r="CX178" s="358"/>
      <c r="CY178" s="358"/>
      <c r="CZ178" s="16"/>
      <c r="DA178" s="358"/>
      <c r="DB178" s="358"/>
      <c r="DC178" s="358"/>
      <c r="DD178" s="358"/>
      <c r="DE178" s="16"/>
      <c r="DF178" s="358"/>
      <c r="DG178" s="358"/>
      <c r="DH178" s="358"/>
      <c r="DI178" s="358"/>
      <c r="DJ178" s="16"/>
      <c r="DK178" s="358"/>
      <c r="DL178" s="358"/>
      <c r="DM178" s="358"/>
      <c r="DN178" s="358"/>
      <c r="DO178" s="16"/>
      <c r="DP178" s="358"/>
      <c r="DQ178" s="358"/>
      <c r="DR178" s="358"/>
      <c r="DS178" s="358"/>
      <c r="DT178" s="16"/>
      <c r="DU178" s="16"/>
      <c r="DV178" s="16"/>
    </row>
    <row r="179" spans="1:126" s="42" customFormat="1" ht="12">
      <c r="A179" s="12"/>
      <c r="B179" s="110" t="s">
        <v>147</v>
      </c>
      <c r="C179" s="16"/>
      <c r="D179" s="16"/>
      <c r="E179" s="16"/>
      <c r="F179" s="16"/>
      <c r="G179" s="16"/>
      <c r="H179" s="16"/>
      <c r="I179" s="16"/>
      <c r="J179" s="12"/>
      <c r="K179" s="12"/>
      <c r="L179" s="12"/>
      <c r="M179" s="12"/>
      <c r="N179" s="16"/>
      <c r="O179" s="12"/>
      <c r="P179" s="12"/>
      <c r="Q179" s="12"/>
      <c r="R179" s="12"/>
      <c r="S179" s="16"/>
      <c r="T179" s="12"/>
      <c r="U179" s="12"/>
      <c r="V179" s="12"/>
      <c r="W179" s="12"/>
      <c r="X179" s="16"/>
      <c r="Y179" s="12"/>
      <c r="Z179" s="12"/>
      <c r="AA179" s="12"/>
      <c r="AB179" s="12"/>
      <c r="AC179" s="16"/>
      <c r="AD179" s="12"/>
      <c r="AE179" s="12"/>
      <c r="AF179" s="12"/>
      <c r="AG179" s="12"/>
      <c r="AH179" s="16"/>
      <c r="AI179" s="12"/>
      <c r="AJ179" s="12"/>
      <c r="AK179" s="12"/>
      <c r="AL179" s="12"/>
      <c r="AM179" s="16"/>
      <c r="AN179" s="12"/>
      <c r="AO179" s="12"/>
      <c r="AP179" s="12"/>
      <c r="AQ179" s="12"/>
      <c r="AR179" s="16"/>
      <c r="AS179" s="12"/>
      <c r="AT179" s="12"/>
      <c r="AU179" s="12"/>
      <c r="AV179" s="12"/>
      <c r="AW179" s="16"/>
      <c r="AX179" s="12"/>
      <c r="AY179" s="12"/>
      <c r="AZ179" s="12"/>
      <c r="BA179" s="12"/>
      <c r="BB179" s="16"/>
      <c r="BC179" s="12"/>
      <c r="BD179" s="12"/>
      <c r="BE179" s="12"/>
      <c r="BF179" s="12"/>
      <c r="BG179" s="16"/>
      <c r="BH179" s="12"/>
      <c r="BI179" s="358"/>
      <c r="BJ179" s="12"/>
      <c r="BK179" s="315"/>
      <c r="BL179" s="16"/>
      <c r="BM179" s="12"/>
      <c r="BN179" s="358"/>
      <c r="BO179" s="12"/>
      <c r="BP179" s="315"/>
      <c r="BQ179" s="16"/>
      <c r="BR179" s="12"/>
      <c r="BS179" s="358"/>
      <c r="BT179" s="12"/>
      <c r="BU179" s="315"/>
      <c r="BV179" s="16"/>
      <c r="BW179" s="12"/>
      <c r="BX179" s="313"/>
      <c r="BY179" s="12"/>
      <c r="BZ179" s="315"/>
      <c r="CA179" s="16"/>
      <c r="CB179" s="12"/>
      <c r="CC179" s="358"/>
      <c r="CD179" s="12"/>
      <c r="CE179" s="315"/>
      <c r="CF179" s="16"/>
      <c r="CG179" s="358"/>
      <c r="CH179" s="358"/>
      <c r="CI179" s="358"/>
      <c r="CJ179" s="358"/>
      <c r="CK179" s="16"/>
      <c r="CL179" s="358"/>
      <c r="CM179" s="358"/>
      <c r="CN179" s="358"/>
      <c r="CO179" s="358"/>
      <c r="CP179" s="16"/>
      <c r="CQ179" s="358"/>
      <c r="CR179" s="358"/>
      <c r="CS179" s="358"/>
      <c r="CT179" s="358"/>
      <c r="CU179" s="16"/>
      <c r="CV179" s="358"/>
      <c r="CW179" s="358"/>
      <c r="CX179" s="358"/>
      <c r="CY179" s="358"/>
      <c r="CZ179" s="16"/>
      <c r="DA179" s="358"/>
      <c r="DB179" s="358"/>
      <c r="DC179" s="358"/>
      <c r="DD179" s="358"/>
      <c r="DE179" s="16"/>
      <c r="DF179" s="358"/>
      <c r="DG179" s="358"/>
      <c r="DH179" s="358"/>
      <c r="DI179" s="358"/>
      <c r="DJ179" s="16"/>
      <c r="DK179" s="358"/>
      <c r="DL179" s="358"/>
      <c r="DM179" s="358"/>
      <c r="DN179" s="358"/>
      <c r="DO179" s="16"/>
      <c r="DP179" s="358"/>
      <c r="DQ179" s="358"/>
      <c r="DR179" s="358"/>
      <c r="DS179" s="358"/>
      <c r="DT179" s="16"/>
      <c r="DU179" s="16"/>
      <c r="DV179" s="16"/>
    </row>
    <row r="180" spans="1:126" s="41" customFormat="1">
      <c r="A180" s="107"/>
      <c r="B180" s="108" t="s">
        <v>148</v>
      </c>
      <c r="C180" s="89">
        <f t="shared" ref="C180:I180" si="622">1-C181</f>
        <v>1</v>
      </c>
      <c r="D180" s="89">
        <f t="shared" si="622"/>
        <v>1</v>
      </c>
      <c r="E180" s="89">
        <f t="shared" si="622"/>
        <v>1</v>
      </c>
      <c r="F180" s="89">
        <f t="shared" si="622"/>
        <v>1</v>
      </c>
      <c r="G180" s="31">
        <f t="shared" si="622"/>
        <v>1</v>
      </c>
      <c r="H180" s="31">
        <f t="shared" si="622"/>
        <v>1</v>
      </c>
      <c r="I180" s="31">
        <f t="shared" si="622"/>
        <v>1</v>
      </c>
      <c r="J180" s="30"/>
      <c r="K180" s="30"/>
      <c r="L180" s="30"/>
      <c r="M180" s="30"/>
      <c r="N180" s="31">
        <f>1-N181</f>
        <v>1</v>
      </c>
      <c r="O180" s="30"/>
      <c r="P180" s="30"/>
      <c r="Q180" s="30"/>
      <c r="R180" s="30"/>
      <c r="S180" s="31">
        <f>1-S181</f>
        <v>1</v>
      </c>
      <c r="T180" s="30"/>
      <c r="U180" s="30"/>
      <c r="V180" s="30"/>
      <c r="W180" s="30"/>
      <c r="X180" s="31">
        <f>1-X181</f>
        <v>1</v>
      </c>
      <c r="Y180" s="30"/>
      <c r="Z180" s="30"/>
      <c r="AA180" s="30"/>
      <c r="AB180" s="30"/>
      <c r="AC180" s="31">
        <f>1-AC181</f>
        <v>1</v>
      </c>
      <c r="AD180" s="30"/>
      <c r="AE180" s="30"/>
      <c r="AF180" s="30"/>
      <c r="AG180" s="30"/>
      <c r="AH180" s="31">
        <f>1-AH181</f>
        <v>1</v>
      </c>
      <c r="AI180" s="30"/>
      <c r="AJ180" s="30"/>
      <c r="AK180" s="30"/>
      <c r="AL180" s="30"/>
      <c r="AM180" s="31">
        <f>1-AM181</f>
        <v>1</v>
      </c>
      <c r="AN180" s="30"/>
      <c r="AO180" s="30"/>
      <c r="AP180" s="30"/>
      <c r="AQ180" s="30"/>
      <c r="AR180" s="31">
        <f>1-AR181</f>
        <v>1</v>
      </c>
      <c r="AS180" s="30"/>
      <c r="AT180" s="30"/>
      <c r="AU180" s="30"/>
      <c r="AV180" s="30"/>
      <c r="AW180" s="31">
        <f>1-AW181</f>
        <v>1</v>
      </c>
      <c r="AX180" s="30"/>
      <c r="AY180" s="30"/>
      <c r="AZ180" s="30"/>
      <c r="BA180" s="30"/>
      <c r="BB180" s="31">
        <v>0.83</v>
      </c>
      <c r="BC180" s="30"/>
      <c r="BD180" s="30"/>
      <c r="BE180" s="30"/>
      <c r="BF180" s="30"/>
      <c r="BG180" s="31">
        <f>1-BG181</f>
        <v>1</v>
      </c>
      <c r="BH180" s="30"/>
      <c r="BI180" s="355"/>
      <c r="BJ180" s="30"/>
      <c r="BK180" s="356"/>
      <c r="BL180" s="31">
        <f>1-BL181</f>
        <v>1</v>
      </c>
      <c r="BM180" s="30"/>
      <c r="BN180" s="355"/>
      <c r="BO180" s="30"/>
      <c r="BP180" s="356"/>
      <c r="BQ180" s="31">
        <f>1-BQ181</f>
        <v>1</v>
      </c>
      <c r="BR180" s="30"/>
      <c r="BS180" s="355"/>
      <c r="BT180" s="30"/>
      <c r="BU180" s="356"/>
      <c r="BV180" s="31">
        <f>1-BV181</f>
        <v>1</v>
      </c>
      <c r="BW180" s="30"/>
      <c r="BX180" s="424"/>
      <c r="BY180" s="30"/>
      <c r="BZ180" s="356"/>
      <c r="CA180" s="31">
        <f>1-CA181</f>
        <v>1</v>
      </c>
      <c r="CB180" s="30"/>
      <c r="CC180" s="355"/>
      <c r="CD180" s="30"/>
      <c r="CE180" s="356"/>
      <c r="CF180" s="31">
        <f>1-CF181</f>
        <v>1</v>
      </c>
      <c r="CG180" s="355"/>
      <c r="CH180" s="355"/>
      <c r="CI180" s="355"/>
      <c r="CJ180" s="355"/>
      <c r="CK180" s="31">
        <f>1-CK181</f>
        <v>1</v>
      </c>
      <c r="CL180" s="355"/>
      <c r="CM180" s="355"/>
      <c r="CN180" s="355"/>
      <c r="CO180" s="355"/>
      <c r="CP180" s="31">
        <f>1-CP181</f>
        <v>1</v>
      </c>
      <c r="CQ180" s="355"/>
      <c r="CR180" s="355"/>
      <c r="CS180" s="355"/>
      <c r="CT180" s="355"/>
      <c r="CU180" s="31">
        <f t="shared" ref="CU180:DV180" si="623">1-CU181</f>
        <v>1</v>
      </c>
      <c r="CV180" s="355"/>
      <c r="CW180" s="355"/>
      <c r="CX180" s="355"/>
      <c r="CY180" s="355"/>
      <c r="CZ180" s="31">
        <f t="shared" si="623"/>
        <v>1</v>
      </c>
      <c r="DA180" s="355"/>
      <c r="DB180" s="355"/>
      <c r="DC180" s="355"/>
      <c r="DD180" s="355"/>
      <c r="DE180" s="31">
        <f t="shared" si="623"/>
        <v>1</v>
      </c>
      <c r="DF180" s="355"/>
      <c r="DG180" s="355"/>
      <c r="DH180" s="355"/>
      <c r="DI180" s="355"/>
      <c r="DJ180" s="31">
        <f t="shared" si="623"/>
        <v>1</v>
      </c>
      <c r="DK180" s="355"/>
      <c r="DL180" s="355"/>
      <c r="DM180" s="355"/>
      <c r="DN180" s="355"/>
      <c r="DO180" s="31">
        <f t="shared" si="623"/>
        <v>1</v>
      </c>
      <c r="DP180" s="355"/>
      <c r="DQ180" s="355"/>
      <c r="DR180" s="355"/>
      <c r="DS180" s="355"/>
      <c r="DT180" s="31">
        <f t="shared" si="623"/>
        <v>1</v>
      </c>
      <c r="DU180" s="31">
        <f t="shared" si="623"/>
        <v>1</v>
      </c>
      <c r="DV180" s="31">
        <f t="shared" si="623"/>
        <v>1</v>
      </c>
    </row>
    <row r="181" spans="1:126" s="41" customFormat="1">
      <c r="A181" s="107"/>
      <c r="B181" s="108" t="s">
        <v>149</v>
      </c>
      <c r="C181" s="29"/>
      <c r="D181" s="29"/>
      <c r="E181" s="29"/>
      <c r="F181" s="29"/>
      <c r="G181" s="29"/>
      <c r="H181" s="29"/>
      <c r="I181" s="28"/>
      <c r="J181" s="27"/>
      <c r="K181" s="27"/>
      <c r="L181" s="27"/>
      <c r="M181" s="27"/>
      <c r="N181" s="28"/>
      <c r="O181" s="27"/>
      <c r="P181" s="27"/>
      <c r="Q181" s="27"/>
      <c r="R181" s="27"/>
      <c r="S181" s="28"/>
      <c r="T181" s="27"/>
      <c r="U181" s="27"/>
      <c r="V181" s="27"/>
      <c r="W181" s="27"/>
      <c r="X181" s="28"/>
      <c r="Y181" s="27"/>
      <c r="Z181" s="27"/>
      <c r="AA181" s="27"/>
      <c r="AB181" s="27"/>
      <c r="AC181" s="28"/>
      <c r="AD181" s="27"/>
      <c r="AE181" s="27"/>
      <c r="AF181" s="27"/>
      <c r="AG181" s="27"/>
      <c r="AH181" s="28"/>
      <c r="AI181" s="27"/>
      <c r="AJ181" s="27"/>
      <c r="AK181" s="27"/>
      <c r="AL181" s="27"/>
      <c r="AM181" s="28"/>
      <c r="AN181" s="291"/>
      <c r="AO181" s="291"/>
      <c r="AP181" s="291"/>
      <c r="AQ181" s="291"/>
      <c r="AR181" s="28"/>
      <c r="AS181" s="291"/>
      <c r="AT181" s="291"/>
      <c r="AU181" s="291"/>
      <c r="AV181" s="291"/>
      <c r="AW181" s="28"/>
      <c r="AX181" s="291"/>
      <c r="AY181" s="291"/>
      <c r="AZ181" s="291"/>
      <c r="BA181" s="291"/>
      <c r="BB181" s="28"/>
      <c r="BC181" s="291"/>
      <c r="BD181" s="291"/>
      <c r="BE181" s="291"/>
      <c r="BF181" s="291"/>
      <c r="BG181" s="28"/>
      <c r="BH181" s="291"/>
      <c r="BI181" s="387"/>
      <c r="BJ181" s="291"/>
      <c r="BK181" s="387"/>
      <c r="BL181" s="28"/>
      <c r="BM181" s="291"/>
      <c r="BN181" s="387"/>
      <c r="BO181" s="291"/>
      <c r="BP181" s="387"/>
      <c r="BQ181" s="28"/>
      <c r="BR181" s="291"/>
      <c r="BS181" s="387"/>
      <c r="BT181" s="291"/>
      <c r="BU181" s="387"/>
      <c r="BV181" s="28"/>
      <c r="BW181" s="291"/>
      <c r="BX181" s="428"/>
      <c r="BY181" s="291"/>
      <c r="BZ181" s="387"/>
      <c r="CA181" s="28"/>
      <c r="CB181" s="291"/>
      <c r="CC181" s="387"/>
      <c r="CD181" s="291"/>
      <c r="CE181" s="387"/>
      <c r="CF181" s="28"/>
      <c r="CG181" s="387"/>
      <c r="CH181" s="387"/>
      <c r="CI181" s="387"/>
      <c r="CJ181" s="387"/>
      <c r="CK181" s="28"/>
      <c r="CL181" s="387"/>
      <c r="CM181" s="387"/>
      <c r="CN181" s="387"/>
      <c r="CO181" s="387"/>
      <c r="CP181" s="290"/>
      <c r="CQ181" s="387"/>
      <c r="CR181" s="387"/>
      <c r="CS181" s="387"/>
      <c r="CT181" s="387"/>
      <c r="CU181" s="290"/>
      <c r="CV181" s="387"/>
      <c r="CW181" s="387"/>
      <c r="CX181" s="387"/>
      <c r="CY181" s="387"/>
      <c r="CZ181" s="290"/>
      <c r="DA181" s="387"/>
      <c r="DB181" s="387"/>
      <c r="DC181" s="387"/>
      <c r="DD181" s="387"/>
      <c r="DE181" s="290"/>
      <c r="DF181" s="387"/>
      <c r="DG181" s="387"/>
      <c r="DH181" s="387"/>
      <c r="DI181" s="387"/>
      <c r="DJ181" s="290"/>
      <c r="DK181" s="387"/>
      <c r="DL181" s="387"/>
      <c r="DM181" s="387"/>
      <c r="DN181" s="387"/>
      <c r="DO181" s="290"/>
      <c r="DP181" s="387"/>
      <c r="DQ181" s="387"/>
      <c r="DR181" s="387"/>
      <c r="DS181" s="387"/>
      <c r="DT181" s="290"/>
      <c r="DU181" s="290"/>
      <c r="DV181" s="290"/>
    </row>
    <row r="182" spans="1:126" s="41" customFormat="1">
      <c r="A182" s="107"/>
      <c r="B182" s="108" t="s">
        <v>70</v>
      </c>
      <c r="C182" s="89">
        <f t="shared" ref="C182:I182" si="624">SUM(C180:C181)</f>
        <v>1</v>
      </c>
      <c r="D182" s="89">
        <f t="shared" si="624"/>
        <v>1</v>
      </c>
      <c r="E182" s="89">
        <f t="shared" si="624"/>
        <v>1</v>
      </c>
      <c r="F182" s="89">
        <f t="shared" si="624"/>
        <v>1</v>
      </c>
      <c r="G182" s="31">
        <f t="shared" si="624"/>
        <v>1</v>
      </c>
      <c r="H182" s="31">
        <f t="shared" si="624"/>
        <v>1</v>
      </c>
      <c r="I182" s="31">
        <f t="shared" si="624"/>
        <v>1</v>
      </c>
      <c r="J182" s="30"/>
      <c r="K182" s="30"/>
      <c r="L182" s="30"/>
      <c r="M182" s="30"/>
      <c r="N182" s="31">
        <f>SUM(N180:N181)</f>
        <v>1</v>
      </c>
      <c r="O182" s="30"/>
      <c r="P182" s="30"/>
      <c r="Q182" s="30"/>
      <c r="R182" s="30"/>
      <c r="S182" s="31">
        <f>SUM(S180:S181)</f>
        <v>1</v>
      </c>
      <c r="T182" s="30"/>
      <c r="U182" s="30"/>
      <c r="V182" s="30"/>
      <c r="W182" s="30"/>
      <c r="X182" s="31">
        <f>SUM(X180:X181)</f>
        <v>1</v>
      </c>
      <c r="Y182" s="30"/>
      <c r="Z182" s="30"/>
      <c r="AA182" s="30"/>
      <c r="AB182" s="30"/>
      <c r="AC182" s="31">
        <f>SUM(AC180:AC181)</f>
        <v>1</v>
      </c>
      <c r="AD182" s="30"/>
      <c r="AE182" s="30"/>
      <c r="AF182" s="30"/>
      <c r="AG182" s="30"/>
      <c r="AH182" s="31">
        <f>SUM(AH180:AH181)</f>
        <v>1</v>
      </c>
      <c r="AI182" s="30"/>
      <c r="AJ182" s="30"/>
      <c r="AK182" s="30"/>
      <c r="AL182" s="30"/>
      <c r="AM182" s="31">
        <f>SUM(AM180:AM181)</f>
        <v>1</v>
      </c>
      <c r="AN182" s="30"/>
      <c r="AO182" s="30"/>
      <c r="AP182" s="30"/>
      <c r="AQ182" s="30"/>
      <c r="AR182" s="31">
        <f>SUM(AR180:AR181)</f>
        <v>1</v>
      </c>
      <c r="AS182" s="30"/>
      <c r="AT182" s="30"/>
      <c r="AU182" s="30"/>
      <c r="AV182" s="30"/>
      <c r="AW182" s="31">
        <f>SUM(AW180:AW181)</f>
        <v>1</v>
      </c>
      <c r="AX182" s="30"/>
      <c r="AY182" s="30"/>
      <c r="AZ182" s="30"/>
      <c r="BA182" s="30"/>
      <c r="BB182" s="31">
        <f>SUM(BB180:BB181)</f>
        <v>0.83</v>
      </c>
      <c r="BC182" s="30"/>
      <c r="BD182" s="30"/>
      <c r="BE182" s="30"/>
      <c r="BF182" s="30"/>
      <c r="BG182" s="31">
        <f>SUM(BG180:BG181)</f>
        <v>1</v>
      </c>
      <c r="BH182" s="30"/>
      <c r="BI182" s="355"/>
      <c r="BJ182" s="30"/>
      <c r="BK182" s="356"/>
      <c r="BL182" s="31">
        <f>SUM(BL180:BL181)</f>
        <v>1</v>
      </c>
      <c r="BM182" s="30"/>
      <c r="BN182" s="355"/>
      <c r="BO182" s="30"/>
      <c r="BP182" s="356"/>
      <c r="BQ182" s="31">
        <f>SUM(BQ180:BQ181)</f>
        <v>1</v>
      </c>
      <c r="BR182" s="30"/>
      <c r="BS182" s="355"/>
      <c r="BT182" s="30"/>
      <c r="BU182" s="356"/>
      <c r="BV182" s="31">
        <f>SUM(BV180:BV181)</f>
        <v>1</v>
      </c>
      <c r="BW182" s="30"/>
      <c r="BX182" s="424"/>
      <c r="BY182" s="30"/>
      <c r="BZ182" s="356"/>
      <c r="CA182" s="31">
        <f>SUM(CA180:CA181)</f>
        <v>1</v>
      </c>
      <c r="CB182" s="30"/>
      <c r="CC182" s="355"/>
      <c r="CD182" s="30"/>
      <c r="CE182" s="356"/>
      <c r="CF182" s="31">
        <f>SUM(CF180:CF181)</f>
        <v>1</v>
      </c>
      <c r="CG182" s="355"/>
      <c r="CH182" s="355"/>
      <c r="CI182" s="355"/>
      <c r="CJ182" s="355"/>
      <c r="CK182" s="31">
        <f>SUM(CK180:CK181)</f>
        <v>1</v>
      </c>
      <c r="CL182" s="355"/>
      <c r="CM182" s="355"/>
      <c r="CN182" s="355"/>
      <c r="CO182" s="355"/>
      <c r="CP182" s="31">
        <f>SUM(CP180:CP181)</f>
        <v>1</v>
      </c>
      <c r="CQ182" s="355"/>
      <c r="CR182" s="355"/>
      <c r="CS182" s="355"/>
      <c r="CT182" s="355"/>
      <c r="CU182" s="31">
        <f t="shared" ref="CU182:DE182" si="625">SUM(CU180:CU181)</f>
        <v>1</v>
      </c>
      <c r="CV182" s="355"/>
      <c r="CW182" s="355"/>
      <c r="CX182" s="355"/>
      <c r="CY182" s="355"/>
      <c r="CZ182" s="31">
        <f t="shared" si="625"/>
        <v>1</v>
      </c>
      <c r="DA182" s="355"/>
      <c r="DB182" s="355"/>
      <c r="DC182" s="355"/>
      <c r="DD182" s="355"/>
      <c r="DE182" s="31">
        <f t="shared" si="625"/>
        <v>1</v>
      </c>
      <c r="DF182" s="355"/>
      <c r="DG182" s="355"/>
      <c r="DH182" s="355"/>
      <c r="DI182" s="355"/>
      <c r="DJ182" s="31">
        <f t="shared" ref="DJ182:DO182" si="626">SUM(DJ180:DJ181)</f>
        <v>1</v>
      </c>
      <c r="DK182" s="355"/>
      <c r="DL182" s="355"/>
      <c r="DM182" s="355"/>
      <c r="DN182" s="355"/>
      <c r="DO182" s="31">
        <f t="shared" si="626"/>
        <v>1</v>
      </c>
      <c r="DP182" s="355"/>
      <c r="DQ182" s="355"/>
      <c r="DR182" s="355"/>
      <c r="DS182" s="355"/>
      <c r="DT182" s="31">
        <f t="shared" ref="DT182:DU182" si="627">SUM(DT180:DT181)</f>
        <v>1</v>
      </c>
      <c r="DU182" s="31">
        <f t="shared" si="627"/>
        <v>1</v>
      </c>
      <c r="DV182" s="31">
        <f t="shared" ref="DV182" si="628">SUM(DV180:DV181)</f>
        <v>1</v>
      </c>
    </row>
    <row r="183" spans="1:126" s="42" customFormat="1">
      <c r="A183" s="12"/>
      <c r="B183" s="160"/>
      <c r="C183" s="89"/>
      <c r="D183" s="89"/>
      <c r="E183" s="89"/>
      <c r="F183" s="89"/>
      <c r="G183" s="89"/>
      <c r="H183" s="89"/>
      <c r="I183" s="89"/>
      <c r="J183" s="91"/>
      <c r="K183" s="91"/>
      <c r="L183" s="91"/>
      <c r="M183" s="91"/>
      <c r="N183" s="89"/>
      <c r="O183" s="91"/>
      <c r="P183" s="91"/>
      <c r="Q183" s="91"/>
      <c r="R183" s="91"/>
      <c r="S183" s="89"/>
      <c r="T183" s="91"/>
      <c r="U183" s="91"/>
      <c r="V183" s="91"/>
      <c r="W183" s="91"/>
      <c r="X183" s="89"/>
      <c r="Y183" s="91"/>
      <c r="Z183" s="91"/>
      <c r="AA183" s="91"/>
      <c r="AB183" s="91"/>
      <c r="AC183" s="89"/>
      <c r="AD183" s="91"/>
      <c r="AE183" s="91"/>
      <c r="AF183" s="91"/>
      <c r="AG183" s="91"/>
      <c r="AH183" s="89"/>
      <c r="AI183" s="91"/>
      <c r="AJ183" s="91"/>
      <c r="AK183" s="91"/>
      <c r="AL183" s="91"/>
      <c r="AM183" s="89"/>
      <c r="AN183" s="91"/>
      <c r="AO183" s="91"/>
      <c r="AP183" s="91"/>
      <c r="AQ183" s="91"/>
      <c r="AR183" s="89"/>
      <c r="AS183" s="91"/>
      <c r="AT183" s="91"/>
      <c r="AU183" s="91"/>
      <c r="AV183" s="91"/>
      <c r="AW183" s="89"/>
      <c r="AX183" s="91"/>
      <c r="AY183" s="91"/>
      <c r="AZ183" s="91"/>
      <c r="BA183" s="91"/>
      <c r="BB183" s="89"/>
      <c r="BC183" s="91"/>
      <c r="BD183" s="91"/>
      <c r="BE183" s="91"/>
      <c r="BF183" s="91"/>
      <c r="BG183" s="89"/>
      <c r="BH183" s="91"/>
      <c r="BI183" s="355"/>
      <c r="BJ183" s="91"/>
      <c r="BK183" s="356"/>
      <c r="BL183" s="89"/>
      <c r="BM183" s="91"/>
      <c r="BN183" s="355"/>
      <c r="BO183" s="91"/>
      <c r="BP183" s="356"/>
      <c r="BQ183" s="89"/>
      <c r="BR183" s="91"/>
      <c r="BS183" s="355"/>
      <c r="BT183" s="91"/>
      <c r="BU183" s="356"/>
      <c r="BV183" s="89"/>
      <c r="BW183" s="91"/>
      <c r="BX183" s="424"/>
      <c r="BY183" s="91"/>
      <c r="BZ183" s="356"/>
      <c r="CA183" s="89"/>
      <c r="CB183" s="91"/>
      <c r="CC183" s="355"/>
      <c r="CD183" s="91"/>
      <c r="CE183" s="356"/>
      <c r="CF183" s="89"/>
      <c r="CG183" s="355"/>
      <c r="CH183" s="355"/>
      <c r="CI183" s="355"/>
      <c r="CJ183" s="355"/>
      <c r="CK183" s="89"/>
      <c r="CL183" s="355"/>
      <c r="CM183" s="355"/>
      <c r="CN183" s="355"/>
      <c r="CO183" s="355"/>
      <c r="CP183" s="89"/>
      <c r="CQ183" s="355"/>
      <c r="CR183" s="355"/>
      <c r="CS183" s="355"/>
      <c r="CT183" s="355"/>
      <c r="CU183" s="89"/>
      <c r="CV183" s="355"/>
      <c r="CW183" s="355"/>
      <c r="CX183" s="355"/>
      <c r="CY183" s="355"/>
      <c r="CZ183" s="89"/>
      <c r="DA183" s="355"/>
      <c r="DB183" s="355"/>
      <c r="DC183" s="355"/>
      <c r="DD183" s="355"/>
      <c r="DE183" s="89"/>
      <c r="DF183" s="355"/>
      <c r="DG183" s="355"/>
      <c r="DH183" s="355"/>
      <c r="DI183" s="355"/>
      <c r="DJ183" s="89"/>
      <c r="DK183" s="355"/>
      <c r="DL183" s="355"/>
      <c r="DM183" s="355"/>
      <c r="DN183" s="355"/>
      <c r="DO183" s="89"/>
      <c r="DP183" s="355"/>
      <c r="DQ183" s="355"/>
      <c r="DR183" s="355"/>
      <c r="DS183" s="355"/>
      <c r="DT183" s="89"/>
      <c r="DU183" s="89"/>
      <c r="DV183" s="89"/>
    </row>
    <row r="184" spans="1:126" s="42" customFormat="1">
      <c r="A184" s="12"/>
      <c r="B184" s="160" t="s">
        <v>150</v>
      </c>
      <c r="C184" s="89"/>
      <c r="D184" s="89"/>
      <c r="E184" s="89"/>
      <c r="F184" s="89"/>
      <c r="G184" s="89"/>
      <c r="H184" s="89"/>
      <c r="I184" s="89"/>
      <c r="J184" s="91"/>
      <c r="K184" s="91"/>
      <c r="L184" s="91"/>
      <c r="M184" s="91"/>
      <c r="N184" s="89"/>
      <c r="O184" s="91"/>
      <c r="P184" s="91"/>
      <c r="Q184" s="91"/>
      <c r="R184" s="91"/>
      <c r="S184" s="89"/>
      <c r="T184" s="91"/>
      <c r="U184" s="91"/>
      <c r="V184" s="91"/>
      <c r="W184" s="91"/>
      <c r="X184" s="89"/>
      <c r="Y184" s="91"/>
      <c r="Z184" s="91"/>
      <c r="AA184" s="91"/>
      <c r="AB184" s="91"/>
      <c r="AC184" s="89"/>
      <c r="AD184" s="91"/>
      <c r="AE184" s="91"/>
      <c r="AF184" s="91"/>
      <c r="AG184" s="91"/>
      <c r="AH184" s="89"/>
      <c r="AI184" s="91"/>
      <c r="AJ184" s="91"/>
      <c r="AK184" s="91"/>
      <c r="AL184" s="91"/>
      <c r="AM184" s="298"/>
      <c r="AN184" s="91"/>
      <c r="AO184" s="91"/>
      <c r="AP184" s="91"/>
      <c r="AQ184" s="91"/>
      <c r="AR184" s="298"/>
      <c r="AS184" s="91"/>
      <c r="AT184" s="91"/>
      <c r="AU184" s="91"/>
      <c r="AV184" s="91"/>
      <c r="AW184" s="298"/>
      <c r="AX184" s="91"/>
      <c r="AY184" s="91"/>
      <c r="AZ184" s="91"/>
      <c r="BA184" s="91"/>
      <c r="BB184" s="354"/>
      <c r="BC184" s="91"/>
      <c r="BD184" s="91"/>
      <c r="BE184" s="91"/>
      <c r="BF184" s="91"/>
      <c r="BG184" s="354"/>
      <c r="BH184" s="91"/>
      <c r="BI184" s="355"/>
      <c r="BJ184" s="91"/>
      <c r="BK184" s="356"/>
      <c r="BL184" s="354"/>
      <c r="BM184" s="91"/>
      <c r="BN184" s="355"/>
      <c r="BO184" s="91"/>
      <c r="BP184" s="356"/>
      <c r="BQ184" s="354"/>
      <c r="BR184" s="91"/>
      <c r="BS184" s="355"/>
      <c r="BT184" s="91"/>
      <c r="BU184" s="356"/>
      <c r="BV184" s="354"/>
      <c r="BW184" s="91"/>
      <c r="BX184" s="424"/>
      <c r="BY184" s="91"/>
      <c r="BZ184" s="356"/>
      <c r="CA184" s="354"/>
      <c r="CB184" s="91"/>
      <c r="CC184" s="355"/>
      <c r="CD184" s="91"/>
      <c r="CE184" s="356"/>
      <c r="CF184" s="354"/>
      <c r="CG184" s="355"/>
      <c r="CH184" s="355"/>
      <c r="CI184" s="355"/>
      <c r="CJ184" s="355"/>
      <c r="CK184" s="354"/>
      <c r="CL184" s="355"/>
      <c r="CM184" s="355"/>
      <c r="CN184" s="355"/>
      <c r="CO184" s="355"/>
      <c r="CP184" s="292"/>
      <c r="CQ184" s="355"/>
      <c r="CR184" s="355"/>
      <c r="CS184" s="355"/>
      <c r="CT184" s="355"/>
      <c r="CU184" s="292"/>
      <c r="CV184" s="355"/>
      <c r="CW184" s="355"/>
      <c r="CX184" s="355"/>
      <c r="CY184" s="355"/>
      <c r="CZ184" s="292"/>
      <c r="DA184" s="355"/>
      <c r="DB184" s="355"/>
      <c r="DC184" s="355"/>
      <c r="DD184" s="355"/>
      <c r="DE184" s="292"/>
      <c r="DF184" s="355"/>
      <c r="DG184" s="355"/>
      <c r="DH184" s="355"/>
      <c r="DI184" s="355"/>
      <c r="DJ184" s="292"/>
      <c r="DK184" s="355"/>
      <c r="DL184" s="355"/>
      <c r="DM184" s="355"/>
      <c r="DN184" s="355"/>
      <c r="DO184" s="292"/>
      <c r="DP184" s="355"/>
      <c r="DQ184" s="355"/>
      <c r="DR184" s="355"/>
      <c r="DS184" s="355"/>
      <c r="DT184" s="292"/>
      <c r="DU184" s="292"/>
      <c r="DV184" s="292"/>
    </row>
    <row r="185" spans="1:126" s="336" customFormat="1">
      <c r="A185" s="301"/>
      <c r="B185" s="160" t="s">
        <v>151</v>
      </c>
      <c r="C185" s="354">
        <f t="shared" ref="C185:I185" si="629">1-C184</f>
        <v>1</v>
      </c>
      <c r="D185" s="354">
        <f t="shared" si="629"/>
        <v>1</v>
      </c>
      <c r="E185" s="354">
        <f t="shared" si="629"/>
        <v>1</v>
      </c>
      <c r="F185" s="354">
        <f t="shared" si="629"/>
        <v>1</v>
      </c>
      <c r="G185" s="354">
        <f t="shared" si="629"/>
        <v>1</v>
      </c>
      <c r="H185" s="354">
        <f t="shared" si="629"/>
        <v>1</v>
      </c>
      <c r="I185" s="354">
        <f t="shared" si="629"/>
        <v>1</v>
      </c>
      <c r="J185" s="362"/>
      <c r="K185" s="362"/>
      <c r="L185" s="362"/>
      <c r="M185" s="362"/>
      <c r="N185" s="354">
        <f>1-N184</f>
        <v>1</v>
      </c>
      <c r="O185" s="362"/>
      <c r="P185" s="362"/>
      <c r="Q185" s="362"/>
      <c r="R185" s="362"/>
      <c r="S185" s="354">
        <f>1-S184</f>
        <v>1</v>
      </c>
      <c r="T185" s="362"/>
      <c r="U185" s="362"/>
      <c r="V185" s="362"/>
      <c r="W185" s="362"/>
      <c r="X185" s="354">
        <f>1-X184</f>
        <v>1</v>
      </c>
      <c r="Y185" s="362"/>
      <c r="Z185" s="362"/>
      <c r="AA185" s="362"/>
      <c r="AB185" s="362"/>
      <c r="AC185" s="354">
        <f>1-AC184</f>
        <v>1</v>
      </c>
      <c r="AD185" s="362"/>
      <c r="AE185" s="362"/>
      <c r="AF185" s="362"/>
      <c r="AG185" s="362"/>
      <c r="AH185" s="354">
        <f>1-AH184</f>
        <v>1</v>
      </c>
      <c r="AI185" s="362"/>
      <c r="AJ185" s="362"/>
      <c r="AK185" s="362"/>
      <c r="AL185" s="362"/>
      <c r="AM185" s="354">
        <f>1-AM184</f>
        <v>1</v>
      </c>
      <c r="AN185" s="362"/>
      <c r="AO185" s="362"/>
      <c r="AP185" s="362"/>
      <c r="AQ185" s="362"/>
      <c r="AR185" s="354">
        <f>1-AR184</f>
        <v>1</v>
      </c>
      <c r="AS185" s="362"/>
      <c r="AT185" s="362"/>
      <c r="AU185" s="362"/>
      <c r="AV185" s="362"/>
      <c r="AW185" s="354">
        <f>1-AW184</f>
        <v>1</v>
      </c>
      <c r="AX185" s="362"/>
      <c r="AY185" s="362"/>
      <c r="AZ185" s="362"/>
      <c r="BA185" s="362"/>
      <c r="BB185" s="354">
        <f>1-BB184</f>
        <v>1</v>
      </c>
      <c r="BC185" s="362"/>
      <c r="BD185" s="362"/>
      <c r="BE185" s="362"/>
      <c r="BF185" s="362"/>
      <c r="BG185" s="354">
        <f>1-BG184</f>
        <v>1</v>
      </c>
      <c r="BH185" s="362"/>
      <c r="BI185" s="355"/>
      <c r="BJ185" s="362"/>
      <c r="BK185" s="355"/>
      <c r="BL185" s="354">
        <f>1-BL184</f>
        <v>1</v>
      </c>
      <c r="BM185" s="362"/>
      <c r="BN185" s="355"/>
      <c r="BO185" s="362"/>
      <c r="BP185" s="355"/>
      <c r="BQ185" s="354">
        <v>0.99</v>
      </c>
      <c r="BR185" s="362"/>
      <c r="BS185" s="355"/>
      <c r="BT185" s="362"/>
      <c r="BU185" s="355"/>
      <c r="BV185" s="354">
        <f>1-BV184</f>
        <v>1</v>
      </c>
      <c r="BW185" s="362"/>
      <c r="BX185" s="424"/>
      <c r="BY185" s="362"/>
      <c r="BZ185" s="355"/>
      <c r="CA185" s="354">
        <f>1-CA184</f>
        <v>1</v>
      </c>
      <c r="CB185" s="362"/>
      <c r="CC185" s="355"/>
      <c r="CD185" s="362"/>
      <c r="CE185" s="355"/>
      <c r="CF185" s="354">
        <f>1-CF184</f>
        <v>1</v>
      </c>
      <c r="CG185" s="355"/>
      <c r="CH185" s="355"/>
      <c r="CI185" s="355"/>
      <c r="CJ185" s="355"/>
      <c r="CK185" s="354">
        <f>1-CK184</f>
        <v>1</v>
      </c>
      <c r="CL185" s="355"/>
      <c r="CM185" s="355"/>
      <c r="CN185" s="355"/>
      <c r="CO185" s="355"/>
      <c r="CP185" s="354">
        <f>1-CP184</f>
        <v>1</v>
      </c>
      <c r="CQ185" s="355"/>
      <c r="CR185" s="355"/>
      <c r="CS185" s="355"/>
      <c r="CT185" s="355"/>
      <c r="CU185" s="354">
        <f t="shared" ref="CU185:DE185" si="630">1-CU184</f>
        <v>1</v>
      </c>
      <c r="CV185" s="355"/>
      <c r="CW185" s="355"/>
      <c r="CX185" s="355"/>
      <c r="CY185" s="355"/>
      <c r="CZ185" s="354">
        <f t="shared" si="630"/>
        <v>1</v>
      </c>
      <c r="DA185" s="355"/>
      <c r="DB185" s="355"/>
      <c r="DC185" s="355"/>
      <c r="DD185" s="355"/>
      <c r="DE185" s="354">
        <f t="shared" si="630"/>
        <v>1</v>
      </c>
      <c r="DF185" s="355"/>
      <c r="DG185" s="355"/>
      <c r="DH185" s="355"/>
      <c r="DI185" s="355"/>
      <c r="DJ185" s="354">
        <f t="shared" ref="DJ185:DO185" si="631">1-DJ184</f>
        <v>1</v>
      </c>
      <c r="DK185" s="355"/>
      <c r="DL185" s="355"/>
      <c r="DM185" s="355"/>
      <c r="DN185" s="355"/>
      <c r="DO185" s="354">
        <f t="shared" si="631"/>
        <v>1</v>
      </c>
      <c r="DP185" s="355"/>
      <c r="DQ185" s="355"/>
      <c r="DR185" s="355"/>
      <c r="DS185" s="355"/>
      <c r="DT185" s="354">
        <f t="shared" ref="DT185:DU185" si="632">1-DT184</f>
        <v>1</v>
      </c>
      <c r="DU185" s="354">
        <f t="shared" si="632"/>
        <v>1</v>
      </c>
      <c r="DV185" s="354">
        <f t="shared" ref="DV185" si="633">1-DV184</f>
        <v>1</v>
      </c>
    </row>
    <row r="186" spans="1:126" s="42" customFormat="1">
      <c r="A186" s="12"/>
      <c r="B186" s="301" t="s">
        <v>197</v>
      </c>
      <c r="C186" s="29"/>
      <c r="D186" s="29"/>
      <c r="E186" s="29"/>
      <c r="F186" s="29"/>
      <c r="G186" s="29"/>
      <c r="H186" s="29"/>
      <c r="I186" s="29"/>
      <c r="J186" s="26"/>
      <c r="K186" s="26"/>
      <c r="L186" s="26"/>
      <c r="M186" s="26"/>
      <c r="N186" s="29"/>
      <c r="O186" s="26"/>
      <c r="P186" s="26"/>
      <c r="Q186" s="26"/>
      <c r="R186" s="26"/>
      <c r="S186" s="29"/>
      <c r="T186" s="26"/>
      <c r="U186" s="26"/>
      <c r="V186" s="26"/>
      <c r="W186" s="26"/>
      <c r="X186" s="29"/>
      <c r="Y186" s="26"/>
      <c r="Z186" s="26"/>
      <c r="AA186" s="26"/>
      <c r="AB186" s="26"/>
      <c r="AC186" s="29">
        <v>0</v>
      </c>
      <c r="AD186" s="26"/>
      <c r="AE186" s="26"/>
      <c r="AF186" s="26"/>
      <c r="AG186" s="26"/>
      <c r="AH186" s="29">
        <v>0</v>
      </c>
      <c r="AI186" s="26"/>
      <c r="AJ186" s="26"/>
      <c r="AK186" s="26"/>
      <c r="AL186" s="26"/>
      <c r="AM186" s="29">
        <v>0</v>
      </c>
      <c r="AN186" s="26"/>
      <c r="AO186" s="26"/>
      <c r="AP186" s="26"/>
      <c r="AQ186" s="26"/>
      <c r="AR186" s="29">
        <v>0</v>
      </c>
      <c r="AS186" s="26"/>
      <c r="AT186" s="26"/>
      <c r="AU186" s="26"/>
      <c r="AV186" s="26"/>
      <c r="AW186" s="29">
        <v>0</v>
      </c>
      <c r="AX186" s="26"/>
      <c r="AY186" s="26"/>
      <c r="AZ186" s="26"/>
      <c r="BA186" s="26"/>
      <c r="BB186" s="29">
        <v>0</v>
      </c>
      <c r="BC186" s="26"/>
      <c r="BD186" s="26"/>
      <c r="BE186" s="26"/>
      <c r="BF186" s="26"/>
      <c r="BG186" s="29">
        <v>0</v>
      </c>
      <c r="BH186" s="26"/>
      <c r="BI186" s="388"/>
      <c r="BJ186" s="26"/>
      <c r="BK186" s="388"/>
      <c r="BL186" s="29">
        <v>0</v>
      </c>
      <c r="BM186" s="26"/>
      <c r="BN186" s="388"/>
      <c r="BO186" s="26"/>
      <c r="BP186" s="388"/>
      <c r="BQ186" s="29">
        <v>0</v>
      </c>
      <c r="BR186" s="26"/>
      <c r="BS186" s="388"/>
      <c r="BT186" s="26"/>
      <c r="BU186" s="388"/>
      <c r="BV186" s="29">
        <v>0</v>
      </c>
      <c r="BW186" s="26"/>
      <c r="BX186" s="429"/>
      <c r="BY186" s="26"/>
      <c r="BZ186" s="388"/>
      <c r="CA186" s="29">
        <v>0</v>
      </c>
      <c r="CB186" s="26"/>
      <c r="CC186" s="388"/>
      <c r="CD186" s="26"/>
      <c r="CE186" s="388"/>
      <c r="CF186" s="29">
        <v>0</v>
      </c>
      <c r="CG186" s="388"/>
      <c r="CH186" s="388"/>
      <c r="CI186" s="388"/>
      <c r="CJ186" s="388"/>
      <c r="CK186" s="29">
        <v>0</v>
      </c>
      <c r="CL186" s="388"/>
      <c r="CM186" s="388"/>
      <c r="CN186" s="388"/>
      <c r="CO186" s="388"/>
      <c r="CP186" s="29">
        <v>0</v>
      </c>
      <c r="CQ186" s="388"/>
      <c r="CR186" s="388"/>
      <c r="CS186" s="388"/>
      <c r="CT186" s="388"/>
      <c r="CU186" s="29">
        <v>0</v>
      </c>
      <c r="CV186" s="388"/>
      <c r="CW186" s="388"/>
      <c r="CX186" s="388"/>
      <c r="CY186" s="388"/>
      <c r="CZ186" s="29">
        <v>0</v>
      </c>
      <c r="DA186" s="388"/>
      <c r="DB186" s="388"/>
      <c r="DC186" s="388"/>
      <c r="DD186" s="388"/>
      <c r="DE186" s="29">
        <v>0</v>
      </c>
      <c r="DF186" s="388"/>
      <c r="DG186" s="388"/>
      <c r="DH186" s="388"/>
      <c r="DI186" s="388"/>
      <c r="DJ186" s="29">
        <v>0</v>
      </c>
      <c r="DK186" s="388"/>
      <c r="DL186" s="388"/>
      <c r="DM186" s="388"/>
      <c r="DN186" s="388"/>
      <c r="DO186" s="29">
        <v>0</v>
      </c>
      <c r="DP186" s="388"/>
      <c r="DQ186" s="388"/>
      <c r="DR186" s="388"/>
      <c r="DS186" s="388"/>
      <c r="DT186" s="29">
        <v>0</v>
      </c>
      <c r="DU186" s="29">
        <v>0</v>
      </c>
      <c r="DV186" s="29">
        <v>0</v>
      </c>
    </row>
    <row r="187" spans="1:126" s="42" customFormat="1">
      <c r="A187" s="12"/>
      <c r="B187" s="160" t="s">
        <v>70</v>
      </c>
      <c r="C187" s="89">
        <f t="shared" ref="C187:I187" si="634">SUM(C184:C185)</f>
        <v>1</v>
      </c>
      <c r="D187" s="89">
        <f t="shared" si="634"/>
        <v>1</v>
      </c>
      <c r="E187" s="89">
        <f t="shared" si="634"/>
        <v>1</v>
      </c>
      <c r="F187" s="89">
        <f t="shared" si="634"/>
        <v>1</v>
      </c>
      <c r="G187" s="89">
        <f t="shared" si="634"/>
        <v>1</v>
      </c>
      <c r="H187" s="89">
        <f t="shared" si="634"/>
        <v>1</v>
      </c>
      <c r="I187" s="89">
        <f t="shared" si="634"/>
        <v>1</v>
      </c>
      <c r="J187" s="91"/>
      <c r="K187" s="91"/>
      <c r="L187" s="91"/>
      <c r="M187" s="91"/>
      <c r="N187" s="89">
        <f>SUM(N184:N185)</f>
        <v>1</v>
      </c>
      <c r="O187" s="91"/>
      <c r="P187" s="91"/>
      <c r="Q187" s="91"/>
      <c r="R187" s="91"/>
      <c r="S187" s="89">
        <f>SUM(S184:S185)</f>
        <v>1</v>
      </c>
      <c r="T187" s="91"/>
      <c r="U187" s="91"/>
      <c r="V187" s="91"/>
      <c r="W187" s="91"/>
      <c r="X187" s="89">
        <f>SUM(X184:X185)</f>
        <v>1</v>
      </c>
      <c r="Y187" s="91"/>
      <c r="Z187" s="91"/>
      <c r="AA187" s="91"/>
      <c r="AB187" s="91"/>
      <c r="AC187" s="89">
        <f>SUM(AC184:AC186)</f>
        <v>1</v>
      </c>
      <c r="AD187" s="91"/>
      <c r="AE187" s="91"/>
      <c r="AF187" s="91"/>
      <c r="AG187" s="91"/>
      <c r="AH187" s="89">
        <f>SUM(AH184:AH186)</f>
        <v>1</v>
      </c>
      <c r="AI187" s="91"/>
      <c r="AJ187" s="91"/>
      <c r="AK187" s="91"/>
      <c r="AL187" s="91"/>
      <c r="AM187" s="89">
        <f>SUM(AM184:AM186)</f>
        <v>1</v>
      </c>
      <c r="AN187" s="91"/>
      <c r="AO187" s="91"/>
      <c r="AP187" s="91"/>
      <c r="AQ187" s="91"/>
      <c r="AR187" s="89">
        <f>SUM(AR184:AR186)</f>
        <v>1</v>
      </c>
      <c r="AS187" s="91"/>
      <c r="AT187" s="91"/>
      <c r="AU187" s="91"/>
      <c r="AV187" s="91"/>
      <c r="AW187" s="89">
        <f>SUM(AW184:AW186)</f>
        <v>1</v>
      </c>
      <c r="AX187" s="91"/>
      <c r="AY187" s="91"/>
      <c r="AZ187" s="91"/>
      <c r="BA187" s="91"/>
      <c r="BB187" s="89">
        <f>SUM(BB184:BB186)</f>
        <v>1</v>
      </c>
      <c r="BC187" s="91"/>
      <c r="BD187" s="91"/>
      <c r="BE187" s="91"/>
      <c r="BF187" s="91"/>
      <c r="BG187" s="89">
        <f>SUM(BG184:BG186)</f>
        <v>1</v>
      </c>
      <c r="BH187" s="91"/>
      <c r="BI187" s="355"/>
      <c r="BJ187" s="91"/>
      <c r="BK187" s="356"/>
      <c r="BL187" s="89">
        <f>SUM(BL184:BL186)</f>
        <v>1</v>
      </c>
      <c r="BM187" s="91"/>
      <c r="BN187" s="355"/>
      <c r="BO187" s="91"/>
      <c r="BP187" s="356"/>
      <c r="BQ187" s="89">
        <f>SUM(BQ184:BQ186)</f>
        <v>0.99</v>
      </c>
      <c r="BR187" s="91"/>
      <c r="BS187" s="355"/>
      <c r="BT187" s="91"/>
      <c r="BU187" s="356"/>
      <c r="BV187" s="89">
        <f>SUM(BV184:BV186)</f>
        <v>1</v>
      </c>
      <c r="BW187" s="91"/>
      <c r="BX187" s="424"/>
      <c r="BY187" s="91"/>
      <c r="BZ187" s="356"/>
      <c r="CA187" s="89">
        <f>SUM(CA184:CA186)</f>
        <v>1</v>
      </c>
      <c r="CB187" s="91"/>
      <c r="CC187" s="355"/>
      <c r="CD187" s="91"/>
      <c r="CE187" s="356"/>
      <c r="CF187" s="89">
        <f>SUM(CF184:CF186)</f>
        <v>1</v>
      </c>
      <c r="CG187" s="355"/>
      <c r="CH187" s="355"/>
      <c r="CI187" s="355"/>
      <c r="CJ187" s="355"/>
      <c r="CK187" s="89">
        <f>SUM(CK184:CK186)</f>
        <v>1</v>
      </c>
      <c r="CL187" s="355"/>
      <c r="CM187" s="355"/>
      <c r="CN187" s="355"/>
      <c r="CO187" s="355"/>
      <c r="CP187" s="89">
        <f>SUM(CP184:CP186)</f>
        <v>1</v>
      </c>
      <c r="CQ187" s="355"/>
      <c r="CR187" s="355"/>
      <c r="CS187" s="355"/>
      <c r="CT187" s="355"/>
      <c r="CU187" s="89">
        <f t="shared" ref="CU187:DE187" si="635">SUM(CU184:CU186)</f>
        <v>1</v>
      </c>
      <c r="CV187" s="355"/>
      <c r="CW187" s="355"/>
      <c r="CX187" s="355"/>
      <c r="CY187" s="355"/>
      <c r="CZ187" s="89">
        <f t="shared" si="635"/>
        <v>1</v>
      </c>
      <c r="DA187" s="355"/>
      <c r="DB187" s="355"/>
      <c r="DC187" s="355"/>
      <c r="DD187" s="355"/>
      <c r="DE187" s="89">
        <f t="shared" si="635"/>
        <v>1</v>
      </c>
      <c r="DF187" s="355"/>
      <c r="DG187" s="355"/>
      <c r="DH187" s="355"/>
      <c r="DI187" s="355"/>
      <c r="DJ187" s="89">
        <f t="shared" ref="DJ187:DO187" si="636">SUM(DJ184:DJ186)</f>
        <v>1</v>
      </c>
      <c r="DK187" s="355"/>
      <c r="DL187" s="355"/>
      <c r="DM187" s="355"/>
      <c r="DN187" s="355"/>
      <c r="DO187" s="89">
        <f t="shared" si="636"/>
        <v>1</v>
      </c>
      <c r="DP187" s="355"/>
      <c r="DQ187" s="355"/>
      <c r="DR187" s="355"/>
      <c r="DS187" s="355"/>
      <c r="DT187" s="89">
        <f t="shared" ref="DT187:DU187" si="637">SUM(DT184:DT186)</f>
        <v>1</v>
      </c>
      <c r="DU187" s="89">
        <f t="shared" si="637"/>
        <v>1</v>
      </c>
      <c r="DV187" s="89">
        <f t="shared" ref="DV187" si="638">SUM(DV184:DV186)</f>
        <v>1</v>
      </c>
    </row>
    <row r="188" spans="1:126" s="42" customFormat="1">
      <c r="A188" s="12"/>
      <c r="B188" s="160"/>
      <c r="C188" s="16"/>
      <c r="D188" s="16"/>
      <c r="E188" s="16"/>
      <c r="F188" s="16"/>
      <c r="G188" s="16"/>
      <c r="H188" s="16"/>
      <c r="I188" s="16"/>
      <c r="J188" s="12"/>
      <c r="K188" s="12"/>
      <c r="L188" s="12"/>
      <c r="M188" s="12"/>
      <c r="N188" s="16"/>
      <c r="O188" s="12"/>
      <c r="P188" s="12"/>
      <c r="Q188" s="12"/>
      <c r="R188" s="12"/>
      <c r="S188" s="16"/>
      <c r="T188" s="12"/>
      <c r="U188" s="12"/>
      <c r="V188" s="12"/>
      <c r="W188" s="12"/>
      <c r="X188" s="16"/>
      <c r="Y188" s="12"/>
      <c r="Z188" s="12"/>
      <c r="AA188" s="12"/>
      <c r="AB188" s="12"/>
      <c r="AC188" s="16"/>
      <c r="AD188" s="12"/>
      <c r="AE188" s="12"/>
      <c r="AF188" s="12"/>
      <c r="AG188" s="12"/>
      <c r="AH188" s="16"/>
      <c r="AI188" s="12"/>
      <c r="AJ188" s="12"/>
      <c r="AK188" s="12"/>
      <c r="AL188" s="12"/>
      <c r="AM188" s="16"/>
      <c r="AN188" s="12"/>
      <c r="AO188" s="12"/>
      <c r="AP188" s="12"/>
      <c r="AQ188" s="12"/>
      <c r="AR188" s="16"/>
      <c r="AS188" s="12"/>
      <c r="AT188" s="12"/>
      <c r="AU188" s="12"/>
      <c r="AV188" s="12"/>
      <c r="AW188" s="16"/>
      <c r="AX188" s="12"/>
      <c r="AY188" s="12"/>
      <c r="AZ188" s="12"/>
      <c r="BA188" s="12"/>
      <c r="BB188" s="16"/>
      <c r="BC188" s="12"/>
      <c r="BD188" s="12"/>
      <c r="BE188" s="12"/>
      <c r="BF188" s="12"/>
      <c r="BG188" s="16"/>
      <c r="BH188" s="12"/>
      <c r="BI188" s="358"/>
      <c r="BJ188" s="12"/>
      <c r="BK188" s="315"/>
      <c r="BL188" s="16"/>
      <c r="BM188" s="12"/>
      <c r="BN188" s="358"/>
      <c r="BO188" s="12"/>
      <c r="BP188" s="315"/>
      <c r="BQ188" s="16"/>
      <c r="BR188" s="12"/>
      <c r="BS188" s="358"/>
      <c r="BT188" s="12"/>
      <c r="BU188" s="315"/>
      <c r="BV188" s="16"/>
      <c r="BW188" s="12"/>
      <c r="BX188" s="313"/>
      <c r="BY188" s="12"/>
      <c r="BZ188" s="315"/>
      <c r="CA188" s="16"/>
      <c r="CB188" s="12"/>
      <c r="CC188" s="358"/>
      <c r="CD188" s="12"/>
      <c r="CE188" s="315"/>
      <c r="CF188" s="16"/>
      <c r="CG188" s="358"/>
      <c r="CH188" s="358"/>
      <c r="CI188" s="358"/>
      <c r="CJ188" s="358"/>
      <c r="CK188" s="16"/>
      <c r="CL188" s="358"/>
      <c r="CM188" s="358"/>
      <c r="CN188" s="358"/>
      <c r="CO188" s="358"/>
      <c r="CP188" s="16"/>
      <c r="CQ188" s="358"/>
      <c r="CR188" s="358"/>
      <c r="CS188" s="358"/>
      <c r="CT188" s="358"/>
      <c r="CU188" s="16"/>
      <c r="CV188" s="358"/>
      <c r="CW188" s="358"/>
      <c r="CX188" s="358"/>
      <c r="CY188" s="358"/>
      <c r="CZ188" s="16"/>
      <c r="DA188" s="358"/>
      <c r="DB188" s="358"/>
      <c r="DC188" s="358"/>
      <c r="DD188" s="358"/>
      <c r="DE188" s="16"/>
      <c r="DF188" s="358"/>
      <c r="DG188" s="358"/>
      <c r="DH188" s="358"/>
      <c r="DI188" s="358"/>
      <c r="DJ188" s="16"/>
      <c r="DK188" s="358"/>
      <c r="DL188" s="358"/>
      <c r="DM188" s="358"/>
      <c r="DN188" s="358"/>
      <c r="DO188" s="16"/>
      <c r="DP188" s="358"/>
      <c r="DQ188" s="358"/>
      <c r="DR188" s="358"/>
      <c r="DS188" s="358"/>
      <c r="DT188" s="16"/>
      <c r="DU188" s="16"/>
      <c r="DV188" s="16"/>
    </row>
    <row r="189" spans="1:126" s="42" customFormat="1">
      <c r="A189" s="12"/>
      <c r="B189" s="160" t="s">
        <v>264</v>
      </c>
      <c r="C189" s="16"/>
      <c r="D189" s="16"/>
      <c r="E189" s="16"/>
      <c r="F189" s="16"/>
      <c r="G189" s="16"/>
      <c r="H189" s="16"/>
      <c r="I189" s="16"/>
      <c r="J189" s="12"/>
      <c r="K189" s="12"/>
      <c r="L189" s="12"/>
      <c r="M189" s="12"/>
      <c r="N189" s="16"/>
      <c r="O189" s="12"/>
      <c r="P189" s="12"/>
      <c r="Q189" s="12"/>
      <c r="R189" s="12"/>
      <c r="S189" s="16"/>
      <c r="T189" s="12"/>
      <c r="U189" s="12"/>
      <c r="V189" s="12"/>
      <c r="W189" s="12"/>
      <c r="X189" s="16"/>
      <c r="Y189" s="12"/>
      <c r="Z189" s="12"/>
      <c r="AA189" s="12"/>
      <c r="AB189" s="12"/>
      <c r="AC189" s="16"/>
      <c r="AD189" s="12"/>
      <c r="AE189" s="12"/>
      <c r="AF189" s="12"/>
      <c r="AG189" s="12"/>
      <c r="AH189" s="16"/>
      <c r="AI189" s="12"/>
      <c r="AJ189" s="12"/>
      <c r="AK189" s="12"/>
      <c r="AL189" s="12"/>
      <c r="AM189" s="89">
        <f>37387/43867</f>
        <v>0.85228075774500189</v>
      </c>
      <c r="AN189" s="91"/>
      <c r="AO189" s="91"/>
      <c r="AP189" s="91"/>
      <c r="AQ189" s="91"/>
      <c r="AR189" s="89">
        <f>38860/45671</f>
        <v>0.85086816579448665</v>
      </c>
      <c r="AS189" s="91"/>
      <c r="AT189" s="91"/>
      <c r="AU189" s="91"/>
      <c r="AV189" s="91"/>
      <c r="AW189" s="89">
        <f>38001/46499</f>
        <v>0.8172433815780985</v>
      </c>
      <c r="AX189" s="91"/>
      <c r="AY189" s="91"/>
      <c r="AZ189" s="91"/>
      <c r="BA189" s="91"/>
      <c r="BB189" s="89">
        <f>38788/47182</f>
        <v>0.82209317112458136</v>
      </c>
      <c r="BC189" s="91"/>
      <c r="BD189" s="91"/>
      <c r="BE189" s="91"/>
      <c r="BF189" s="91"/>
      <c r="BG189" s="89">
        <f>37173/45358</f>
        <v>0.81954671722739103</v>
      </c>
      <c r="BH189" s="12"/>
      <c r="BI189" s="358"/>
      <c r="BJ189" s="12"/>
      <c r="BK189" s="315"/>
      <c r="BL189" s="89">
        <f>36090/45600</f>
        <v>0.79144736842105268</v>
      </c>
      <c r="BM189" s="12"/>
      <c r="BN189" s="358"/>
      <c r="BO189" s="12"/>
      <c r="BP189" s="315"/>
      <c r="BQ189" s="89">
        <f>36141/46132</f>
        <v>0.78342582155553631</v>
      </c>
      <c r="BR189" s="12"/>
      <c r="BS189" s="358"/>
      <c r="BT189" s="12"/>
      <c r="BU189" s="315"/>
      <c r="BV189" s="89">
        <v>0.71</v>
      </c>
      <c r="BW189" s="12"/>
      <c r="BX189" s="313"/>
      <c r="BY189" s="12"/>
      <c r="BZ189" s="315"/>
      <c r="CA189" s="89">
        <f>34879/49960</f>
        <v>0.69813851080864697</v>
      </c>
      <c r="CB189" s="12"/>
      <c r="CC189" s="358"/>
      <c r="CD189" s="12"/>
      <c r="CE189" s="315"/>
      <c r="CF189" s="89" t="e">
        <f>37716/CF11</f>
        <v>#DIV/0!</v>
      </c>
      <c r="CG189" s="358"/>
      <c r="CH189" s="358"/>
      <c r="CI189" s="358"/>
      <c r="CJ189" s="358"/>
      <c r="CK189" s="89" t="e">
        <f>42425/CK11</f>
        <v>#DIV/0!</v>
      </c>
      <c r="CL189" s="358"/>
      <c r="CM189" s="358"/>
      <c r="CN189" s="358"/>
      <c r="CO189" s="358"/>
      <c r="CP189" s="16"/>
      <c r="CQ189" s="358"/>
      <c r="CR189" s="358"/>
      <c r="CS189" s="358"/>
      <c r="CT189" s="358"/>
      <c r="CU189" s="16"/>
      <c r="CV189" s="358"/>
      <c r="CW189" s="358"/>
      <c r="CX189" s="358"/>
      <c r="CY189" s="358"/>
      <c r="CZ189" s="16"/>
      <c r="DA189" s="358"/>
      <c r="DB189" s="358"/>
      <c r="DC189" s="358"/>
      <c r="DD189" s="358"/>
      <c r="DE189" s="16"/>
      <c r="DF189" s="358"/>
      <c r="DG189" s="358"/>
      <c r="DH189" s="358"/>
      <c r="DI189" s="358"/>
      <c r="DJ189" s="16"/>
      <c r="DK189" s="358"/>
      <c r="DL189" s="358"/>
      <c r="DM189" s="358"/>
      <c r="DN189" s="358"/>
      <c r="DO189" s="16"/>
      <c r="DP189" s="358"/>
      <c r="DQ189" s="358"/>
      <c r="DR189" s="358"/>
      <c r="DS189" s="358"/>
      <c r="DT189" s="16"/>
      <c r="DU189" s="16"/>
      <c r="DV189" s="16"/>
    </row>
    <row r="190" spans="1:126" s="42" customFormat="1">
      <c r="A190" s="12"/>
      <c r="B190" s="160"/>
      <c r="C190" s="16"/>
      <c r="D190" s="16"/>
      <c r="E190" s="16"/>
      <c r="F190" s="16"/>
      <c r="G190" s="16"/>
      <c r="H190" s="16"/>
      <c r="I190" s="16"/>
      <c r="J190" s="12"/>
      <c r="K190" s="12"/>
      <c r="L190" s="12"/>
      <c r="M190" s="12"/>
      <c r="N190" s="16"/>
      <c r="O190" s="12"/>
      <c r="P190" s="12"/>
      <c r="Q190" s="12"/>
      <c r="R190" s="12"/>
      <c r="S190" s="16"/>
      <c r="T190" s="12"/>
      <c r="U190" s="12"/>
      <c r="V190" s="12"/>
      <c r="W190" s="12"/>
      <c r="X190" s="16"/>
      <c r="Y190" s="12"/>
      <c r="Z190" s="12"/>
      <c r="AA190" s="12"/>
      <c r="AB190" s="12"/>
      <c r="AC190" s="16"/>
      <c r="AD190" s="12"/>
      <c r="AE190" s="12"/>
      <c r="AF190" s="12"/>
      <c r="AG190" s="12"/>
      <c r="AH190" s="16"/>
      <c r="AI190" s="12"/>
      <c r="AJ190" s="12"/>
      <c r="AK190" s="12"/>
      <c r="AL190" s="12"/>
      <c r="AM190" s="16"/>
      <c r="AN190" s="12"/>
      <c r="AO190" s="12"/>
      <c r="AP190" s="12"/>
      <c r="AQ190" s="12"/>
      <c r="AR190" s="16"/>
      <c r="AS190" s="12"/>
      <c r="AT190" s="12"/>
      <c r="AU190" s="12"/>
      <c r="AV190" s="12"/>
      <c r="AW190" s="16"/>
      <c r="AX190" s="12"/>
      <c r="AY190" s="12"/>
      <c r="AZ190" s="12"/>
      <c r="BA190" s="12"/>
      <c r="BB190" s="16"/>
      <c r="BC190" s="12"/>
      <c r="BD190" s="12"/>
      <c r="BE190" s="12"/>
      <c r="BF190" s="12"/>
      <c r="BG190" s="16"/>
      <c r="BH190" s="12"/>
      <c r="BI190" s="358"/>
      <c r="BJ190" s="12"/>
      <c r="BK190" s="315"/>
      <c r="BL190" s="16"/>
      <c r="BM190" s="12"/>
      <c r="BN190" s="358"/>
      <c r="BO190" s="12"/>
      <c r="BP190" s="315"/>
      <c r="BQ190" s="16"/>
      <c r="BR190" s="12"/>
      <c r="BS190" s="358"/>
      <c r="BT190" s="12"/>
      <c r="BU190" s="315"/>
      <c r="BV190" s="16"/>
      <c r="BW190" s="12"/>
      <c r="BX190" s="313"/>
      <c r="BY190" s="12"/>
      <c r="BZ190" s="315"/>
      <c r="CA190" s="16"/>
      <c r="CB190" s="12"/>
      <c r="CC190" s="358"/>
      <c r="CD190" s="12"/>
      <c r="CE190" s="315"/>
      <c r="CF190" s="16"/>
      <c r="CG190" s="358"/>
      <c r="CH190" s="358"/>
      <c r="CI190" s="358"/>
      <c r="CJ190" s="358"/>
      <c r="CK190" s="16"/>
      <c r="CL190" s="358"/>
      <c r="CM190" s="358"/>
      <c r="CN190" s="358"/>
      <c r="CO190" s="358"/>
      <c r="CP190" s="16"/>
      <c r="CQ190" s="358"/>
      <c r="CR190" s="358"/>
      <c r="CS190" s="358"/>
      <c r="CT190" s="358"/>
      <c r="CU190" s="16"/>
      <c r="CV190" s="358"/>
      <c r="CW190" s="358"/>
      <c r="CX190" s="358"/>
      <c r="CY190" s="358"/>
      <c r="CZ190" s="16"/>
      <c r="DA190" s="358"/>
      <c r="DB190" s="358"/>
      <c r="DC190" s="358"/>
      <c r="DD190" s="358"/>
      <c r="DE190" s="16"/>
      <c r="DF190" s="358"/>
      <c r="DG190" s="358"/>
      <c r="DH190" s="358"/>
      <c r="DI190" s="358"/>
      <c r="DJ190" s="16"/>
      <c r="DK190" s="358"/>
      <c r="DL190" s="358"/>
      <c r="DM190" s="358"/>
      <c r="DN190" s="358"/>
      <c r="DO190" s="16"/>
      <c r="DP190" s="358"/>
      <c r="DQ190" s="358"/>
      <c r="DR190" s="358"/>
      <c r="DS190" s="358"/>
      <c r="DT190" s="16"/>
      <c r="DU190" s="16"/>
      <c r="DV190" s="16"/>
    </row>
    <row r="191" spans="1:126" s="42" customFormat="1" ht="12">
      <c r="A191" s="12"/>
      <c r="B191" s="339" t="s">
        <v>214</v>
      </c>
      <c r="C191" s="16"/>
      <c r="D191" s="16"/>
      <c r="E191" s="16"/>
      <c r="F191" s="16"/>
      <c r="G191" s="16"/>
      <c r="H191" s="16"/>
      <c r="I191" s="16"/>
      <c r="J191" s="12"/>
      <c r="K191" s="12"/>
      <c r="L191" s="12"/>
      <c r="M191" s="12"/>
      <c r="N191" s="16"/>
      <c r="O191" s="12"/>
      <c r="P191" s="12"/>
      <c r="Q191" s="12"/>
      <c r="R191" s="12"/>
      <c r="S191" s="16"/>
      <c r="T191" s="12"/>
      <c r="U191" s="12"/>
      <c r="V191" s="12"/>
      <c r="W191" s="12"/>
      <c r="X191" s="16"/>
      <c r="Y191" s="12"/>
      <c r="Z191" s="12"/>
      <c r="AA191" s="12"/>
      <c r="AB191" s="12"/>
      <c r="AC191" s="16"/>
      <c r="AD191" s="12"/>
      <c r="AE191" s="12"/>
      <c r="AF191" s="12"/>
      <c r="AG191" s="12"/>
      <c r="AH191" s="16"/>
      <c r="AI191" s="12"/>
      <c r="AJ191" s="12"/>
      <c r="AK191" s="12"/>
      <c r="AL191" s="12"/>
      <c r="AM191" s="16"/>
      <c r="AN191" s="12"/>
      <c r="AO191" s="12"/>
      <c r="AP191" s="12"/>
      <c r="AQ191" s="12"/>
      <c r="AR191" s="16"/>
      <c r="AS191" s="12"/>
      <c r="AT191" s="12"/>
      <c r="AU191" s="12"/>
      <c r="AV191" s="12"/>
      <c r="AW191" s="16"/>
      <c r="AX191" s="12"/>
      <c r="AY191" s="12"/>
      <c r="AZ191" s="12"/>
      <c r="BA191" s="12"/>
      <c r="BB191" s="16"/>
      <c r="BC191" s="12"/>
      <c r="BD191" s="12"/>
      <c r="BE191" s="12"/>
      <c r="BF191" s="12"/>
      <c r="BG191" s="16"/>
      <c r="BH191" s="12"/>
      <c r="BI191" s="358"/>
      <c r="BJ191" s="12"/>
      <c r="BK191" s="315"/>
      <c r="BL191" s="16"/>
      <c r="BM191" s="12"/>
      <c r="BN191" s="358"/>
      <c r="BO191" s="12"/>
      <c r="BP191" s="315"/>
      <c r="BQ191" s="16"/>
      <c r="BR191" s="12"/>
      <c r="BS191" s="358"/>
      <c r="BT191" s="12"/>
      <c r="BU191" s="315"/>
      <c r="BV191" s="16"/>
      <c r="BW191" s="12"/>
      <c r="BX191" s="313"/>
      <c r="BY191" s="12"/>
      <c r="BZ191" s="315"/>
      <c r="CA191" s="16"/>
      <c r="CB191" s="12"/>
      <c r="CC191" s="358"/>
      <c r="CD191" s="12"/>
      <c r="CE191" s="315"/>
      <c r="CF191" s="16"/>
      <c r="CG191" s="358"/>
      <c r="CH191" s="358"/>
      <c r="CI191" s="358"/>
      <c r="CJ191" s="358"/>
      <c r="CK191" s="16"/>
      <c r="CL191" s="358"/>
      <c r="CM191" s="358"/>
      <c r="CN191" s="358"/>
      <c r="CO191" s="358"/>
      <c r="CP191" s="16"/>
      <c r="CQ191" s="358"/>
      <c r="CR191" s="358"/>
      <c r="CS191" s="358"/>
      <c r="CT191" s="358"/>
      <c r="CU191" s="16"/>
      <c r="CV191" s="358"/>
      <c r="CW191" s="358"/>
      <c r="CX191" s="358"/>
      <c r="CY191" s="358"/>
      <c r="CZ191" s="16"/>
      <c r="DA191" s="358"/>
      <c r="DB191" s="358"/>
      <c r="DC191" s="358"/>
      <c r="DD191" s="358"/>
      <c r="DE191" s="16"/>
      <c r="DF191" s="358"/>
      <c r="DG191" s="358"/>
      <c r="DH191" s="358"/>
      <c r="DI191" s="358"/>
      <c r="DJ191" s="16"/>
      <c r="DK191" s="358"/>
      <c r="DL191" s="358"/>
      <c r="DM191" s="358"/>
      <c r="DN191" s="358"/>
      <c r="DO191" s="16"/>
      <c r="DP191" s="358"/>
      <c r="DQ191" s="358"/>
      <c r="DR191" s="358"/>
      <c r="DS191" s="358"/>
      <c r="DT191" s="16"/>
      <c r="DU191" s="16"/>
      <c r="DV191" s="16"/>
    </row>
    <row r="192" spans="1:126" s="42" customFormat="1">
      <c r="A192" s="12"/>
      <c r="B192" s="335"/>
      <c r="C192" s="16"/>
      <c r="D192" s="16"/>
      <c r="E192" s="16"/>
      <c r="F192" s="16"/>
      <c r="G192" s="16"/>
      <c r="H192" s="16"/>
      <c r="I192" s="16"/>
      <c r="J192" s="12"/>
      <c r="K192" s="12"/>
      <c r="L192" s="12"/>
      <c r="M192" s="49"/>
      <c r="N192" s="16"/>
      <c r="O192" s="12"/>
      <c r="P192" s="12"/>
      <c r="Q192" s="12"/>
      <c r="R192" s="12"/>
      <c r="S192" s="16"/>
      <c r="T192" s="12"/>
      <c r="U192" s="12"/>
      <c r="V192" s="12"/>
      <c r="W192" s="12"/>
      <c r="X192" s="16"/>
      <c r="Y192" s="12"/>
      <c r="Z192" s="12"/>
      <c r="AA192" s="12"/>
      <c r="AB192" s="12"/>
      <c r="AC192" s="16"/>
      <c r="AD192" s="12"/>
      <c r="AE192" s="12"/>
      <c r="AF192" s="12"/>
      <c r="AG192" s="12"/>
      <c r="AH192" s="16"/>
      <c r="AI192" s="12"/>
      <c r="AJ192" s="12"/>
      <c r="AK192" s="12"/>
      <c r="AL192" s="12"/>
      <c r="AM192" s="16"/>
      <c r="AN192" s="12"/>
      <c r="AO192" s="12"/>
      <c r="AP192" s="12"/>
      <c r="AQ192" s="12"/>
      <c r="AR192" s="16"/>
      <c r="AS192" s="12"/>
      <c r="AT192" s="12"/>
      <c r="AU192" s="12"/>
      <c r="AV192" s="12"/>
      <c r="AW192" s="16"/>
      <c r="AX192" s="12"/>
      <c r="AY192" s="12"/>
      <c r="AZ192" s="12"/>
      <c r="BA192" s="12"/>
      <c r="BB192" s="16"/>
      <c r="BC192" s="12"/>
      <c r="BD192" s="12"/>
      <c r="BE192" s="12"/>
      <c r="BF192" s="12"/>
      <c r="BG192" s="16"/>
      <c r="BH192" s="12"/>
      <c r="BI192" s="358"/>
      <c r="BJ192" s="12"/>
      <c r="BK192" s="315"/>
      <c r="BL192" s="16"/>
      <c r="BM192" s="12"/>
      <c r="BN192" s="358"/>
      <c r="BO192" s="12"/>
      <c r="BP192" s="315"/>
      <c r="BQ192" s="16"/>
      <c r="BR192" s="12"/>
      <c r="BS192" s="358"/>
      <c r="BT192" s="12"/>
      <c r="BU192" s="315"/>
      <c r="BV192" s="16"/>
      <c r="BW192" s="12"/>
      <c r="BX192" s="313"/>
      <c r="BY192" s="12"/>
      <c r="BZ192" s="315"/>
      <c r="CA192" s="16"/>
      <c r="CB192" s="12"/>
      <c r="CC192" s="358"/>
      <c r="CD192" s="12"/>
      <c r="CE192" s="315"/>
      <c r="CF192" s="16"/>
      <c r="CG192" s="358"/>
      <c r="CH192" s="358"/>
      <c r="CI192" s="358"/>
      <c r="CJ192" s="358"/>
      <c r="CK192" s="16"/>
      <c r="CL192" s="358"/>
      <c r="CM192" s="358"/>
      <c r="CN192" s="358"/>
      <c r="CO192" s="358"/>
      <c r="CP192" s="16"/>
      <c r="CQ192" s="358"/>
      <c r="CR192" s="358"/>
      <c r="CS192" s="358"/>
      <c r="CT192" s="358"/>
      <c r="CU192" s="16"/>
      <c r="CV192" s="358"/>
      <c r="CW192" s="358"/>
      <c r="CX192" s="358"/>
      <c r="CY192" s="358"/>
      <c r="CZ192" s="16"/>
      <c r="DA192" s="358"/>
      <c r="DB192" s="358"/>
      <c r="DC192" s="358"/>
      <c r="DD192" s="358"/>
      <c r="DE192" s="16"/>
      <c r="DF192" s="358"/>
      <c r="DG192" s="358"/>
      <c r="DH192" s="358"/>
      <c r="DI192" s="358"/>
      <c r="DJ192" s="16"/>
      <c r="DK192" s="358"/>
      <c r="DL192" s="358"/>
      <c r="DM192" s="358"/>
      <c r="DN192" s="358"/>
      <c r="DO192" s="16"/>
      <c r="DP192" s="358"/>
      <c r="DQ192" s="358"/>
      <c r="DR192" s="358"/>
      <c r="DS192" s="358"/>
      <c r="DT192" s="16"/>
      <c r="DU192" s="16"/>
      <c r="DV192" s="16"/>
    </row>
    <row r="193" spans="1:126" s="42" customFormat="1">
      <c r="A193" s="12"/>
      <c r="B193" s="160" t="s">
        <v>153</v>
      </c>
      <c r="C193" s="222"/>
      <c r="D193" s="222"/>
      <c r="E193" s="222"/>
      <c r="F193" s="222"/>
      <c r="G193" s="222"/>
      <c r="H193" s="222"/>
      <c r="I193" s="222"/>
      <c r="J193" s="301"/>
      <c r="K193" s="301"/>
      <c r="L193" s="301"/>
      <c r="M193" s="313"/>
      <c r="N193" s="222"/>
      <c r="O193" s="301"/>
      <c r="P193" s="301"/>
      <c r="Q193" s="301"/>
      <c r="R193" s="301"/>
      <c r="S193" s="222"/>
      <c r="T193" s="301"/>
      <c r="U193" s="301"/>
      <c r="V193" s="301"/>
      <c r="W193" s="301"/>
      <c r="X193" s="222"/>
      <c r="Y193" s="301"/>
      <c r="Z193" s="301"/>
      <c r="AA193" s="301"/>
      <c r="AB193" s="301"/>
      <c r="AC193" s="222"/>
      <c r="AD193" s="301"/>
      <c r="AE193" s="301"/>
      <c r="AF193" s="301"/>
      <c r="AG193" s="301"/>
      <c r="AH193" s="222"/>
      <c r="AI193" s="301"/>
      <c r="AJ193" s="301"/>
      <c r="AK193" s="301"/>
      <c r="AL193" s="301"/>
      <c r="AM193" s="222"/>
      <c r="AN193" s="301"/>
      <c r="AO193" s="301"/>
      <c r="AP193" s="301"/>
      <c r="AQ193" s="301"/>
      <c r="AR193" s="222"/>
      <c r="AS193" s="12"/>
      <c r="AT193" s="301"/>
      <c r="AU193" s="301"/>
      <c r="AV193" s="301"/>
      <c r="AW193" s="222"/>
      <c r="AX193" s="301"/>
      <c r="AY193" s="301"/>
      <c r="AZ193" s="301"/>
      <c r="BA193" s="301"/>
      <c r="BB193" s="222"/>
      <c r="BC193" s="301"/>
      <c r="BD193" s="301"/>
      <c r="BE193" s="301"/>
      <c r="BF193" s="301"/>
      <c r="BG193" s="222"/>
      <c r="BH193" s="301"/>
      <c r="BI193" s="301"/>
      <c r="BJ193" s="301"/>
      <c r="BK193" s="301"/>
      <c r="BL193" s="222"/>
      <c r="BM193" s="301"/>
      <c r="BN193" s="301"/>
      <c r="BO193" s="301"/>
      <c r="BP193" s="301"/>
      <c r="BQ193" s="222"/>
      <c r="BR193" s="301"/>
      <c r="BS193" s="301"/>
      <c r="BT193" s="301"/>
      <c r="BU193" s="301"/>
      <c r="BV193" s="222"/>
      <c r="BW193" s="301"/>
      <c r="BX193" s="301"/>
      <c r="BY193" s="301"/>
      <c r="BZ193" s="313"/>
      <c r="CA193" s="222"/>
      <c r="CB193" s="301"/>
      <c r="CC193" s="301"/>
      <c r="CD193" s="301"/>
      <c r="CE193" s="301"/>
      <c r="CF193" s="222"/>
      <c r="CG193" s="301"/>
      <c r="CH193" s="301"/>
      <c r="CI193" s="301"/>
      <c r="CJ193" s="301"/>
      <c r="CK193" s="222"/>
      <c r="CL193" s="301"/>
      <c r="CM193" s="301"/>
      <c r="CN193" s="301"/>
      <c r="CO193" s="301"/>
      <c r="CP193" s="222"/>
      <c r="CQ193" s="301"/>
      <c r="CR193" s="301"/>
      <c r="CS193" s="301"/>
      <c r="CT193" s="301"/>
      <c r="CU193" s="222"/>
      <c r="CV193" s="301"/>
      <c r="CW193" s="301"/>
      <c r="CX193" s="301"/>
      <c r="CY193" s="301"/>
      <c r="CZ193" s="222"/>
      <c r="DA193" s="301"/>
      <c r="DB193" s="301"/>
      <c r="DC193" s="301"/>
      <c r="DD193" s="301"/>
      <c r="DE193" s="222"/>
      <c r="DF193" s="301"/>
      <c r="DG193" s="301"/>
      <c r="DH193" s="301"/>
      <c r="DI193" s="301"/>
      <c r="DJ193" s="222"/>
      <c r="DK193" s="301"/>
      <c r="DL193" s="301"/>
      <c r="DM193" s="301"/>
      <c r="DN193" s="301"/>
      <c r="DO193" s="222"/>
      <c r="DP193" s="301"/>
      <c r="DQ193" s="301"/>
      <c r="DR193" s="301"/>
      <c r="DS193" s="301"/>
      <c r="DT193" s="222"/>
      <c r="DU193" s="222"/>
      <c r="DV193" s="222"/>
    </row>
    <row r="194" spans="1:126" s="42" customFormat="1">
      <c r="A194" s="12"/>
      <c r="B194" s="160" t="s">
        <v>154</v>
      </c>
      <c r="C194" s="24"/>
      <c r="D194" s="24"/>
      <c r="E194" s="24"/>
      <c r="F194" s="24"/>
      <c r="G194" s="24"/>
      <c r="H194" s="24"/>
      <c r="I194" s="24"/>
      <c r="J194" s="23"/>
      <c r="K194" s="23"/>
      <c r="L194" s="23"/>
      <c r="M194" s="23"/>
      <c r="N194" s="24"/>
      <c r="O194" s="23"/>
      <c r="P194" s="23"/>
      <c r="Q194" s="23"/>
      <c r="R194" s="23"/>
      <c r="S194" s="24"/>
      <c r="T194" s="23"/>
      <c r="U194" s="23"/>
      <c r="V194" s="23"/>
      <c r="W194" s="23"/>
      <c r="X194" s="24"/>
      <c r="Y194" s="23"/>
      <c r="Z194" s="23"/>
      <c r="AA194" s="23"/>
      <c r="AB194" s="23"/>
      <c r="AC194" s="24"/>
      <c r="AD194" s="23"/>
      <c r="AE194" s="23"/>
      <c r="AF194" s="23"/>
      <c r="AG194" s="23"/>
      <c r="AH194" s="24"/>
      <c r="AI194" s="23"/>
      <c r="AJ194" s="23"/>
      <c r="AK194" s="336"/>
      <c r="AL194" s="23"/>
      <c r="AM194" s="24"/>
      <c r="AN194" s="23"/>
      <c r="AO194" s="23"/>
      <c r="AP194" s="23"/>
      <c r="AQ194" s="349"/>
      <c r="AR194" s="350"/>
      <c r="AS194" s="349"/>
      <c r="AT194" s="348"/>
      <c r="AU194" s="348"/>
      <c r="AV194" s="348"/>
      <c r="AW194" s="347"/>
      <c r="AX194" s="348"/>
      <c r="AY194" s="341"/>
      <c r="AZ194" s="341"/>
      <c r="BA194" s="341"/>
      <c r="BB194" s="347"/>
      <c r="BC194" s="348"/>
      <c r="BD194" s="348"/>
      <c r="BE194" s="366"/>
      <c r="BF194" s="366"/>
      <c r="BG194" s="347"/>
      <c r="BH194" s="366"/>
      <c r="BI194" s="366"/>
      <c r="BJ194" s="366"/>
      <c r="BK194" s="366"/>
      <c r="BL194" s="347"/>
      <c r="BM194" s="366"/>
      <c r="BN194" s="366"/>
      <c r="BO194" s="366"/>
      <c r="BP194" s="366"/>
      <c r="BQ194" s="347"/>
      <c r="BR194" s="403"/>
      <c r="BS194" s="403"/>
      <c r="BT194" s="366"/>
      <c r="BU194" s="366"/>
      <c r="BV194" s="347"/>
      <c r="BW194" s="366"/>
      <c r="BX194" s="403"/>
      <c r="BY194" s="366"/>
      <c r="BZ194" s="438"/>
      <c r="CA194" s="347"/>
      <c r="CB194" s="366"/>
      <c r="CC194" s="403"/>
      <c r="CD194" s="366"/>
      <c r="CE194" s="366"/>
      <c r="CF194" s="347"/>
      <c r="CG194" s="366"/>
      <c r="CH194" s="366"/>
      <c r="CI194" s="366"/>
      <c r="CJ194" s="366"/>
      <c r="CK194" s="347"/>
      <c r="CL194" s="366"/>
      <c r="CM194" s="366"/>
      <c r="CN194" s="366"/>
      <c r="CO194" s="301"/>
      <c r="CP194" s="347"/>
      <c r="CQ194" s="366"/>
      <c r="CR194" s="366"/>
      <c r="CS194" s="499"/>
      <c r="CT194" s="366"/>
      <c r="CU194" s="347"/>
      <c r="CV194" s="366"/>
      <c r="CW194" s="366"/>
      <c r="CX194" s="499"/>
      <c r="CY194" s="366"/>
      <c r="CZ194" s="347"/>
      <c r="DA194" s="366"/>
      <c r="DB194" s="366"/>
      <c r="DC194" s="366"/>
      <c r="DD194" s="366"/>
      <c r="DE194" s="24"/>
      <c r="DF194" s="366"/>
      <c r="DG194" s="366"/>
      <c r="DH194" s="366"/>
      <c r="DI194" s="366"/>
      <c r="DJ194" s="24"/>
      <c r="DK194" s="366"/>
      <c r="DL194" s="366"/>
      <c r="DM194" s="366"/>
      <c r="DN194" s="366"/>
      <c r="DO194" s="24"/>
      <c r="DP194" s="366"/>
      <c r="DQ194" s="366"/>
      <c r="DR194" s="366"/>
      <c r="DS194" s="366"/>
      <c r="DT194" s="24"/>
      <c r="DU194" s="24"/>
      <c r="DV194" s="24"/>
    </row>
    <row r="195" spans="1:126" s="42" customFormat="1">
      <c r="A195" s="12"/>
      <c r="B195" s="160" t="s">
        <v>155</v>
      </c>
      <c r="C195" s="222"/>
      <c r="D195" s="222"/>
      <c r="E195" s="222"/>
      <c r="F195" s="222"/>
      <c r="G195" s="222"/>
      <c r="H195" s="222"/>
      <c r="I195" s="222"/>
      <c r="J195" s="301"/>
      <c r="K195" s="301"/>
      <c r="L195" s="301"/>
      <c r="M195" s="301"/>
      <c r="N195" s="222"/>
      <c r="O195" s="313"/>
      <c r="P195" s="313"/>
      <c r="Q195" s="313"/>
      <c r="R195" s="313"/>
      <c r="S195" s="222"/>
      <c r="T195" s="313"/>
      <c r="U195" s="313"/>
      <c r="V195" s="313"/>
      <c r="W195" s="313"/>
      <c r="X195" s="222"/>
      <c r="Y195" s="313"/>
      <c r="Z195" s="313"/>
      <c r="AA195" s="313"/>
      <c r="AB195" s="313"/>
      <c r="AC195" s="222"/>
      <c r="AD195" s="313"/>
      <c r="AE195" s="313"/>
      <c r="AF195" s="313"/>
      <c r="AG195" s="313"/>
      <c r="AH195" s="222"/>
      <c r="AI195" s="313"/>
      <c r="AJ195" s="313"/>
      <c r="AK195" s="313"/>
      <c r="AL195" s="313"/>
      <c r="AM195" s="222"/>
      <c r="AN195" s="313"/>
      <c r="AO195" s="313"/>
      <c r="AP195" s="313"/>
      <c r="AQ195" s="337"/>
      <c r="AR195" s="222"/>
      <c r="AS195" s="25"/>
      <c r="AT195" s="342"/>
      <c r="AU195" s="342"/>
      <c r="AV195" s="342"/>
      <c r="AW195" s="24"/>
      <c r="AX195" s="25"/>
      <c r="AY195" s="342"/>
      <c r="AZ195" s="342"/>
      <c r="BA195" s="342"/>
      <c r="BB195" s="24"/>
      <c r="BC195" s="25"/>
      <c r="BD195" s="342"/>
      <c r="BE195" s="342"/>
      <c r="BF195" s="371"/>
      <c r="BG195" s="24"/>
      <c r="BH195" s="371"/>
      <c r="BI195" s="358"/>
      <c r="BJ195" s="371"/>
      <c r="BK195" s="358"/>
      <c r="BL195" s="24"/>
      <c r="BM195" s="371"/>
      <c r="BN195" s="371"/>
      <c r="BO195" s="371"/>
      <c r="BP195" s="371"/>
      <c r="BQ195" s="24"/>
      <c r="BR195" s="371"/>
      <c r="BS195" s="371"/>
      <c r="BT195" s="371"/>
      <c r="BU195" s="371"/>
      <c r="BV195" s="24"/>
      <c r="BW195" s="371"/>
      <c r="BX195" s="371"/>
      <c r="BY195" s="371"/>
      <c r="BZ195" s="371"/>
      <c r="CA195" s="24"/>
      <c r="CB195" s="371"/>
      <c r="CC195" s="371"/>
      <c r="CD195" s="371"/>
      <c r="CE195" s="371"/>
      <c r="CF195" s="24"/>
      <c r="CG195" s="371"/>
      <c r="CH195" s="358"/>
      <c r="CI195" s="358"/>
      <c r="CJ195" s="358"/>
      <c r="CK195" s="24"/>
      <c r="CL195" s="358"/>
      <c r="CM195" s="358"/>
      <c r="CN195" s="358"/>
      <c r="CO195" s="358"/>
      <c r="CP195" s="24"/>
      <c r="CQ195" s="358"/>
      <c r="CR195" s="358"/>
      <c r="CS195" s="358"/>
      <c r="CT195" s="358"/>
      <c r="CU195" s="24"/>
      <c r="CV195" s="358"/>
      <c r="CW195" s="358"/>
      <c r="CX195" s="358"/>
      <c r="CY195" s="358"/>
      <c r="CZ195" s="24"/>
      <c r="DA195" s="358"/>
      <c r="DB195" s="358"/>
      <c r="DC195" s="358"/>
      <c r="DD195" s="358"/>
      <c r="DE195" s="222"/>
      <c r="DF195" s="358"/>
      <c r="DG195" s="358"/>
      <c r="DH195" s="358"/>
      <c r="DI195" s="358"/>
      <c r="DJ195" s="222"/>
      <c r="DK195" s="358"/>
      <c r="DL195" s="358"/>
      <c r="DM195" s="358"/>
      <c r="DN195" s="358"/>
      <c r="DO195" s="222"/>
      <c r="DP195" s="358"/>
      <c r="DQ195" s="358"/>
      <c r="DR195" s="358"/>
      <c r="DS195" s="358"/>
      <c r="DT195" s="222"/>
      <c r="DU195" s="222"/>
      <c r="DV195" s="222"/>
    </row>
    <row r="196" spans="1:126" s="42" customFormat="1">
      <c r="A196" s="12"/>
      <c r="B196" s="160" t="s">
        <v>156</v>
      </c>
      <c r="C196" s="222"/>
      <c r="D196" s="222"/>
      <c r="E196" s="222"/>
      <c r="F196" s="222"/>
      <c r="G196" s="222"/>
      <c r="H196" s="222"/>
      <c r="I196" s="222"/>
      <c r="J196" s="301"/>
      <c r="K196" s="301"/>
      <c r="L196" s="301"/>
      <c r="M196" s="301"/>
      <c r="N196" s="222"/>
      <c r="O196" s="301"/>
      <c r="P196" s="301"/>
      <c r="Q196" s="301"/>
      <c r="R196" s="301"/>
      <c r="S196" s="222"/>
      <c r="T196" s="301"/>
      <c r="U196" s="301"/>
      <c r="V196" s="301"/>
      <c r="W196" s="301"/>
      <c r="X196" s="222"/>
      <c r="Y196" s="301"/>
      <c r="Z196" s="301"/>
      <c r="AA196" s="301"/>
      <c r="AB196" s="301"/>
      <c r="AC196" s="222"/>
      <c r="AD196" s="301"/>
      <c r="AE196" s="301"/>
      <c r="AF196" s="301"/>
      <c r="AG196" s="301"/>
      <c r="AH196" s="222"/>
      <c r="AI196" s="301"/>
      <c r="AJ196" s="301"/>
      <c r="AK196" s="301"/>
      <c r="AL196" s="301"/>
      <c r="AM196" s="222"/>
      <c r="AN196" s="301"/>
      <c r="AO196" s="301"/>
      <c r="AP196" s="301"/>
      <c r="AQ196" s="49"/>
      <c r="AR196" s="222"/>
      <c r="AS196" s="49"/>
      <c r="AT196" s="301"/>
      <c r="AU196" s="301"/>
      <c r="AV196" s="301"/>
      <c r="AW196" s="222"/>
      <c r="AX196" s="301"/>
      <c r="AY196" s="301"/>
      <c r="AZ196" s="313"/>
      <c r="BA196" s="313"/>
      <c r="BB196" s="222"/>
      <c r="BC196" s="313"/>
      <c r="BD196" s="301"/>
      <c r="BE196" s="301"/>
      <c r="BF196" s="301"/>
      <c r="BG196" s="222"/>
      <c r="BH196" s="313"/>
      <c r="BI196" s="313"/>
      <c r="BJ196" s="313"/>
      <c r="BK196" s="313"/>
      <c r="BL196" s="222"/>
      <c r="BM196" s="313"/>
      <c r="BN196" s="313"/>
      <c r="BO196" s="313"/>
      <c r="BP196" s="313"/>
      <c r="BQ196" s="222"/>
      <c r="BR196" s="313"/>
      <c r="BS196" s="313"/>
      <c r="BT196" s="313"/>
      <c r="BU196" s="313"/>
      <c r="BV196" s="222"/>
      <c r="BW196" s="313"/>
      <c r="BX196" s="313"/>
      <c r="BY196" s="313"/>
      <c r="BZ196" s="313"/>
      <c r="CA196" s="222"/>
      <c r="CB196" s="313"/>
      <c r="CC196" s="313"/>
      <c r="CD196" s="313"/>
      <c r="CE196" s="313"/>
      <c r="CF196" s="222"/>
      <c r="CG196" s="313"/>
      <c r="CH196" s="313"/>
      <c r="CI196" s="313"/>
      <c r="CJ196" s="313"/>
      <c r="CK196" s="222"/>
      <c r="CL196" s="313"/>
      <c r="CM196" s="313"/>
      <c r="CN196" s="313"/>
      <c r="CO196" s="313"/>
      <c r="CP196" s="222"/>
      <c r="CQ196" s="313"/>
      <c r="CR196" s="313"/>
      <c r="CS196" s="313"/>
      <c r="CT196" s="313"/>
      <c r="CU196" s="222"/>
      <c r="CV196" s="313"/>
      <c r="CW196" s="313"/>
      <c r="CX196" s="313"/>
      <c r="CY196" s="313"/>
      <c r="CZ196" s="222"/>
      <c r="DA196" s="313"/>
      <c r="DB196" s="313"/>
      <c r="DC196" s="313"/>
      <c r="DD196" s="313"/>
      <c r="DE196" s="222"/>
      <c r="DF196" s="313"/>
      <c r="DG196" s="313"/>
      <c r="DH196" s="313"/>
      <c r="DI196" s="313"/>
      <c r="DJ196" s="222"/>
      <c r="DK196" s="313"/>
      <c r="DL196" s="313"/>
      <c r="DM196" s="313"/>
      <c r="DN196" s="313"/>
      <c r="DO196" s="222"/>
      <c r="DP196" s="313"/>
      <c r="DQ196" s="313"/>
      <c r="DR196" s="313"/>
      <c r="DS196" s="313"/>
      <c r="DT196" s="222"/>
      <c r="DU196" s="222"/>
      <c r="DV196" s="222"/>
    </row>
    <row r="197" spans="1:126" s="42" customFormat="1">
      <c r="A197" s="12"/>
      <c r="B197" s="160" t="s">
        <v>157</v>
      </c>
      <c r="C197" s="222"/>
      <c r="D197" s="222"/>
      <c r="E197" s="222"/>
      <c r="F197" s="222"/>
      <c r="G197" s="222"/>
      <c r="H197" s="222"/>
      <c r="I197" s="222"/>
      <c r="J197" s="301"/>
      <c r="K197" s="301"/>
      <c r="L197" s="301"/>
      <c r="M197" s="301"/>
      <c r="N197" s="222"/>
      <c r="O197" s="301"/>
      <c r="P197" s="301"/>
      <c r="Q197" s="301"/>
      <c r="R197" s="301"/>
      <c r="S197" s="222"/>
      <c r="T197" s="301"/>
      <c r="U197" s="301"/>
      <c r="V197" s="301"/>
      <c r="W197" s="301"/>
      <c r="X197" s="222"/>
      <c r="Y197" s="301"/>
      <c r="Z197" s="301"/>
      <c r="AA197" s="301"/>
      <c r="AB197" s="301"/>
      <c r="AC197" s="222"/>
      <c r="AD197" s="301"/>
      <c r="AE197" s="301"/>
      <c r="AF197" s="301"/>
      <c r="AG197" s="301"/>
      <c r="AH197" s="222"/>
      <c r="AI197" s="301"/>
      <c r="AJ197" s="301"/>
      <c r="AK197" s="301"/>
      <c r="AL197" s="301"/>
      <c r="AM197" s="222"/>
      <c r="AN197" s="301"/>
      <c r="AO197" s="301"/>
      <c r="AP197" s="301"/>
      <c r="AQ197" s="301"/>
      <c r="AR197" s="222"/>
      <c r="AS197" s="12"/>
      <c r="AT197" s="301"/>
      <c r="AU197" s="301"/>
      <c r="AV197" s="301"/>
      <c r="AW197" s="222"/>
      <c r="AX197" s="301"/>
      <c r="AY197" s="301"/>
      <c r="AZ197" s="301"/>
      <c r="BA197" s="301"/>
      <c r="BB197" s="222"/>
      <c r="BC197" s="301"/>
      <c r="BD197" s="301"/>
      <c r="BE197" s="301"/>
      <c r="BF197" s="301"/>
      <c r="BG197" s="222"/>
      <c r="BH197" s="301"/>
      <c r="BI197" s="358"/>
      <c r="BJ197" s="301"/>
      <c r="BK197" s="358"/>
      <c r="BL197" s="222"/>
      <c r="BM197" s="301"/>
      <c r="BN197" s="358"/>
      <c r="BO197" s="301"/>
      <c r="BP197" s="358"/>
      <c r="BQ197" s="222"/>
      <c r="BR197" s="301"/>
      <c r="BS197" s="358"/>
      <c r="BT197" s="301"/>
      <c r="BU197" s="358"/>
      <c r="BV197" s="222"/>
      <c r="BW197" s="301"/>
      <c r="BX197" s="313"/>
      <c r="BY197" s="301"/>
      <c r="BZ197" s="358"/>
      <c r="CA197" s="222"/>
      <c r="CB197" s="301"/>
      <c r="CC197" s="313"/>
      <c r="CD197" s="301"/>
      <c r="CE197" s="358"/>
      <c r="CF197" s="222"/>
      <c r="CG197" s="358"/>
      <c r="CH197" s="358"/>
      <c r="CI197" s="358"/>
      <c r="CJ197" s="358"/>
      <c r="CK197" s="222"/>
      <c r="CL197" s="358"/>
      <c r="CM197" s="358"/>
      <c r="CN197" s="358"/>
      <c r="CO197" s="358"/>
      <c r="CP197" s="222"/>
      <c r="CQ197" s="358"/>
      <c r="CR197" s="358"/>
      <c r="CS197" s="358"/>
      <c r="CT197" s="358"/>
      <c r="CU197" s="222"/>
      <c r="CV197" s="358"/>
      <c r="CW197" s="358"/>
      <c r="CX197" s="358"/>
      <c r="CY197" s="358"/>
      <c r="CZ197" s="347"/>
      <c r="DA197" s="358"/>
      <c r="DB197" s="358"/>
      <c r="DC197" s="358"/>
      <c r="DD197" s="358"/>
      <c r="DE197" s="222"/>
      <c r="DF197" s="358"/>
      <c r="DG197" s="358"/>
      <c r="DH197" s="358"/>
      <c r="DI197" s="358"/>
      <c r="DJ197" s="222"/>
      <c r="DK197" s="358"/>
      <c r="DL197" s="358"/>
      <c r="DM197" s="358"/>
      <c r="DN197" s="358"/>
      <c r="DO197" s="222"/>
      <c r="DP197" s="358"/>
      <c r="DQ197" s="358"/>
      <c r="DR197" s="358"/>
      <c r="DS197" s="358"/>
      <c r="DT197" s="222"/>
      <c r="DU197" s="222"/>
      <c r="DV197" s="222"/>
    </row>
    <row r="198" spans="1:126" s="42" customFormat="1">
      <c r="A198" s="12"/>
      <c r="B198" s="160" t="s">
        <v>158</v>
      </c>
      <c r="C198" s="222"/>
      <c r="D198" s="222"/>
      <c r="E198" s="222"/>
      <c r="F198" s="222"/>
      <c r="G198" s="222"/>
      <c r="H198" s="222"/>
      <c r="I198" s="222"/>
      <c r="J198" s="301"/>
      <c r="K198" s="301"/>
      <c r="L198" s="301"/>
      <c r="M198" s="301"/>
      <c r="N198" s="222"/>
      <c r="O198" s="301"/>
      <c r="P198" s="301"/>
      <c r="Q198" s="301"/>
      <c r="R198" s="301"/>
      <c r="S198" s="222"/>
      <c r="T198" s="301"/>
      <c r="U198" s="301"/>
      <c r="V198" s="301"/>
      <c r="W198" s="301"/>
      <c r="X198" s="222"/>
      <c r="Y198" s="301"/>
      <c r="Z198" s="301"/>
      <c r="AA198" s="301"/>
      <c r="AB198" s="301"/>
      <c r="AC198" s="222"/>
      <c r="AD198" s="301"/>
      <c r="AE198" s="301"/>
      <c r="AF198" s="301"/>
      <c r="AG198" s="301"/>
      <c r="AH198" s="222"/>
      <c r="AI198" s="301"/>
      <c r="AJ198" s="301"/>
      <c r="AK198" s="301"/>
      <c r="AL198" s="301"/>
      <c r="AM198" s="222"/>
      <c r="AN198" s="301"/>
      <c r="AO198" s="301"/>
      <c r="AP198" s="301"/>
      <c r="AQ198" s="301"/>
      <c r="AR198" s="222"/>
      <c r="AS198" s="264"/>
      <c r="AT198" s="301"/>
      <c r="AU198" s="301"/>
      <c r="AV198" s="301"/>
      <c r="AW198" s="222"/>
      <c r="AX198" s="301"/>
      <c r="AY198" s="301"/>
      <c r="AZ198" s="301"/>
      <c r="BA198" s="301"/>
      <c r="BB198" s="222"/>
      <c r="BC198" s="301"/>
      <c r="BD198" s="301"/>
      <c r="BE198" s="301"/>
      <c r="BF198" s="301"/>
      <c r="BG198" s="222"/>
      <c r="BH198" s="301"/>
      <c r="BI198" s="358"/>
      <c r="BJ198" s="301"/>
      <c r="BK198" s="358"/>
      <c r="BL198" s="222"/>
      <c r="BM198" s="301"/>
      <c r="BN198" s="358"/>
      <c r="BO198" s="301"/>
      <c r="BP198" s="358"/>
      <c r="BQ198" s="222"/>
      <c r="BR198" s="301"/>
      <c r="BS198" s="358"/>
      <c r="BT198" s="301"/>
      <c r="BU198" s="358"/>
      <c r="BV198" s="222"/>
      <c r="BW198" s="301"/>
      <c r="BX198" s="313"/>
      <c r="BY198" s="301"/>
      <c r="BZ198" s="358"/>
      <c r="CA198" s="222"/>
      <c r="CB198" s="301"/>
      <c r="CC198" s="313"/>
      <c r="CD198" s="301"/>
      <c r="CE198" s="358"/>
      <c r="CF198" s="222"/>
      <c r="CG198" s="358"/>
      <c r="CH198" s="358"/>
      <c r="CI198" s="358"/>
      <c r="CJ198" s="358"/>
      <c r="CK198" s="222"/>
      <c r="CL198" s="358"/>
      <c r="CM198" s="358"/>
      <c r="CN198" s="358"/>
      <c r="CO198" s="358"/>
      <c r="CP198" s="222"/>
      <c r="CQ198" s="358"/>
      <c r="CR198" s="358"/>
      <c r="CS198" s="358"/>
      <c r="CT198" s="358"/>
      <c r="CU198" s="222"/>
      <c r="CV198" s="358"/>
      <c r="CW198" s="358"/>
      <c r="CX198" s="358"/>
      <c r="CY198" s="358"/>
      <c r="CZ198" s="222"/>
      <c r="DA198" s="358"/>
      <c r="DB198" s="358"/>
      <c r="DC198" s="358"/>
      <c r="DD198" s="358"/>
      <c r="DE198" s="222"/>
      <c r="DF198" s="358"/>
      <c r="DG198" s="358"/>
      <c r="DH198" s="358"/>
      <c r="DI198" s="358"/>
      <c r="DJ198" s="222"/>
      <c r="DK198" s="358"/>
      <c r="DL198" s="358"/>
      <c r="DM198" s="358"/>
      <c r="DN198" s="358"/>
      <c r="DO198" s="222"/>
      <c r="DP198" s="358"/>
      <c r="DQ198" s="358"/>
      <c r="DR198" s="358"/>
      <c r="DS198" s="358"/>
      <c r="DT198" s="222"/>
      <c r="DU198" s="222"/>
      <c r="DV198" s="222"/>
    </row>
    <row r="199" spans="1:126" s="42" customFormat="1" ht="12">
      <c r="A199" s="12"/>
      <c r="B199" s="199" t="s">
        <v>159</v>
      </c>
      <c r="C199" s="225"/>
      <c r="D199" s="225"/>
      <c r="E199" s="225"/>
      <c r="F199" s="225"/>
      <c r="G199" s="225"/>
      <c r="H199" s="225"/>
      <c r="I199" s="225"/>
      <c r="J199" s="312"/>
      <c r="K199" s="312"/>
      <c r="L199" s="312"/>
      <c r="M199" s="312"/>
      <c r="N199" s="225"/>
      <c r="O199" s="312"/>
      <c r="P199" s="312"/>
      <c r="Q199" s="312"/>
      <c r="R199" s="312"/>
      <c r="S199" s="225"/>
      <c r="T199" s="312"/>
      <c r="U199" s="312"/>
      <c r="V199" s="312"/>
      <c r="W199" s="312"/>
      <c r="X199" s="225"/>
      <c r="Y199" s="312"/>
      <c r="Z199" s="312"/>
      <c r="AA199" s="312"/>
      <c r="AB199" s="312"/>
      <c r="AC199" s="225"/>
      <c r="AD199" s="312"/>
      <c r="AE199" s="312"/>
      <c r="AF199" s="312"/>
      <c r="AG199" s="312"/>
      <c r="AH199" s="225"/>
      <c r="AI199" s="312"/>
      <c r="AJ199" s="312"/>
      <c r="AK199" s="312"/>
      <c r="AL199" s="312"/>
      <c r="AM199" s="225"/>
      <c r="AN199" s="312"/>
      <c r="AO199" s="312"/>
      <c r="AP199" s="312"/>
      <c r="AQ199" s="40"/>
      <c r="AR199" s="225"/>
      <c r="AS199" s="40"/>
      <c r="AT199" s="312"/>
      <c r="AU199" s="312"/>
      <c r="AV199" s="312"/>
      <c r="AW199" s="225"/>
      <c r="AX199" s="312"/>
      <c r="AY199" s="312"/>
      <c r="AZ199" s="312"/>
      <c r="BA199" s="312"/>
      <c r="BB199" s="225"/>
      <c r="BC199" s="312"/>
      <c r="BD199" s="312"/>
      <c r="BE199" s="312"/>
      <c r="BF199" s="312"/>
      <c r="BG199" s="225"/>
      <c r="BH199" s="312"/>
      <c r="BI199" s="312"/>
      <c r="BJ199" s="312"/>
      <c r="BK199" s="312"/>
      <c r="BL199" s="225"/>
      <c r="BM199" s="312"/>
      <c r="BN199" s="312"/>
      <c r="BO199" s="312"/>
      <c r="BP199" s="312"/>
      <c r="BQ199" s="225"/>
      <c r="BR199" s="312"/>
      <c r="BS199" s="312"/>
      <c r="BT199" s="312"/>
      <c r="BU199" s="312"/>
      <c r="BV199" s="225"/>
      <c r="BW199" s="312"/>
      <c r="BX199" s="312"/>
      <c r="BY199" s="312"/>
      <c r="BZ199" s="312"/>
      <c r="CA199" s="225"/>
      <c r="CB199" s="312"/>
      <c r="CC199" s="312"/>
      <c r="CD199" s="312"/>
      <c r="CE199" s="312"/>
      <c r="CF199" s="225"/>
      <c r="CG199" s="312"/>
      <c r="CH199" s="312"/>
      <c r="CI199" s="312"/>
      <c r="CJ199" s="312"/>
      <c r="CK199" s="225"/>
      <c r="CL199" s="312"/>
      <c r="CM199" s="312"/>
      <c r="CN199" s="312"/>
      <c r="CO199" s="312"/>
      <c r="CP199" s="225"/>
      <c r="CQ199" s="312"/>
      <c r="CR199" s="312"/>
      <c r="CS199" s="312"/>
      <c r="CT199" s="312"/>
      <c r="CU199" s="225"/>
      <c r="CV199" s="312"/>
      <c r="CW199" s="312"/>
      <c r="CX199" s="312"/>
      <c r="CY199" s="312"/>
      <c r="CZ199" s="225"/>
      <c r="DA199" s="312"/>
      <c r="DB199" s="312"/>
      <c r="DC199" s="312"/>
      <c r="DD199" s="312"/>
      <c r="DE199" s="225"/>
      <c r="DF199" s="312"/>
      <c r="DG199" s="312"/>
      <c r="DH199" s="312"/>
      <c r="DI199" s="312"/>
      <c r="DJ199" s="225"/>
      <c r="DK199" s="312"/>
      <c r="DL199" s="312"/>
      <c r="DM199" s="312"/>
      <c r="DN199" s="312"/>
      <c r="DO199" s="225"/>
      <c r="DP199" s="312"/>
      <c r="DQ199" s="312"/>
      <c r="DR199" s="312"/>
      <c r="DS199" s="312"/>
      <c r="DT199" s="225"/>
      <c r="DU199" s="225"/>
      <c r="DV199" s="225"/>
    </row>
    <row r="200" spans="1:126" s="42" customFormat="1">
      <c r="A200" s="12"/>
      <c r="B200" s="160"/>
      <c r="C200" s="16"/>
      <c r="D200" s="16"/>
      <c r="E200" s="16"/>
      <c r="F200" s="16"/>
      <c r="G200" s="16"/>
      <c r="H200" s="16"/>
      <c r="I200" s="16"/>
      <c r="J200" s="12"/>
      <c r="K200" s="39"/>
      <c r="L200" s="12"/>
      <c r="M200" s="12"/>
      <c r="N200" s="16"/>
      <c r="O200" s="12"/>
      <c r="P200" s="12"/>
      <c r="Q200" s="12"/>
      <c r="R200" s="12"/>
      <c r="S200" s="16"/>
      <c r="T200" s="12"/>
      <c r="U200" s="12"/>
      <c r="V200" s="12"/>
      <c r="W200" s="12"/>
      <c r="X200" s="16"/>
      <c r="Y200" s="12"/>
      <c r="Z200" s="12"/>
      <c r="AA200" s="12"/>
      <c r="AB200" s="12"/>
      <c r="AC200" s="16"/>
      <c r="AD200" s="12"/>
      <c r="AE200" s="12"/>
      <c r="AF200" s="12"/>
      <c r="AG200" s="12"/>
      <c r="AH200" s="16"/>
      <c r="AI200" s="12"/>
      <c r="AJ200" s="12"/>
      <c r="AK200" s="12"/>
      <c r="AL200" s="12"/>
      <c r="AM200" s="299"/>
      <c r="AN200" s="12"/>
      <c r="AO200" s="12"/>
      <c r="AP200" s="12"/>
      <c r="AQ200" s="12"/>
      <c r="AR200" s="299"/>
      <c r="AS200" s="12"/>
      <c r="AT200" s="12"/>
      <c r="AU200" s="12"/>
      <c r="AV200" s="12"/>
      <c r="AW200" s="299"/>
      <c r="AX200" s="12"/>
      <c r="AY200" s="12"/>
      <c r="AZ200" s="12"/>
      <c r="BA200" s="12"/>
      <c r="BB200" s="16"/>
      <c r="BC200" s="12"/>
      <c r="BD200" s="12"/>
      <c r="BE200" s="12"/>
      <c r="BF200" s="12"/>
      <c r="BG200" s="16"/>
      <c r="BH200" s="12"/>
      <c r="BI200" s="358"/>
      <c r="BJ200" s="12"/>
      <c r="BK200" s="315"/>
      <c r="BL200" s="16"/>
      <c r="BM200" s="12"/>
      <c r="BN200" s="358"/>
      <c r="BO200" s="12"/>
      <c r="BP200" s="315"/>
      <c r="BQ200" s="16"/>
      <c r="BR200" s="12"/>
      <c r="BS200" s="358"/>
      <c r="BT200" s="12"/>
      <c r="BU200" s="315"/>
      <c r="BV200" s="16"/>
      <c r="BW200" s="12"/>
      <c r="BX200" s="313"/>
      <c r="BY200" s="12"/>
      <c r="BZ200" s="315"/>
      <c r="CA200" s="16"/>
      <c r="CB200" s="12"/>
      <c r="CC200" s="358"/>
      <c r="CD200" s="12"/>
      <c r="CE200" s="315"/>
      <c r="CF200" s="16"/>
      <c r="CG200" s="358"/>
      <c r="CH200" s="358"/>
      <c r="CI200" s="358"/>
      <c r="CJ200" s="358"/>
      <c r="CK200" s="16"/>
      <c r="CL200" s="358"/>
      <c r="CM200" s="358"/>
      <c r="CN200" s="358"/>
      <c r="CO200" s="358"/>
      <c r="CP200" s="16"/>
      <c r="CQ200" s="358"/>
      <c r="CR200" s="358"/>
      <c r="CS200" s="358"/>
      <c r="CT200" s="358"/>
      <c r="CU200" s="16"/>
      <c r="CV200" s="358"/>
      <c r="CW200" s="358"/>
      <c r="CX200" s="358"/>
      <c r="CY200" s="358"/>
      <c r="CZ200" s="16"/>
      <c r="DA200" s="358"/>
      <c r="DB200" s="358"/>
      <c r="DC200" s="358"/>
      <c r="DD200" s="358"/>
      <c r="DE200" s="16"/>
      <c r="DF200" s="358"/>
      <c r="DG200" s="358"/>
      <c r="DH200" s="358"/>
      <c r="DI200" s="358"/>
      <c r="DJ200" s="16"/>
      <c r="DK200" s="358"/>
      <c r="DL200" s="358"/>
      <c r="DM200" s="358"/>
      <c r="DN200" s="358"/>
      <c r="DO200" s="16"/>
      <c r="DP200" s="358"/>
      <c r="DQ200" s="358"/>
      <c r="DR200" s="358"/>
      <c r="DS200" s="358"/>
      <c r="DT200" s="16"/>
      <c r="DU200" s="16"/>
      <c r="DV200" s="16"/>
    </row>
    <row r="201" spans="1:126" s="42" customFormat="1" ht="12">
      <c r="A201" s="12"/>
      <c r="B201" s="110" t="s">
        <v>146</v>
      </c>
      <c r="C201" s="16"/>
      <c r="D201" s="16"/>
      <c r="E201" s="16"/>
      <c r="F201" s="16"/>
      <c r="G201" s="16"/>
      <c r="H201" s="16"/>
      <c r="I201" s="16"/>
      <c r="J201" s="12"/>
      <c r="K201" s="12"/>
      <c r="L201" s="12"/>
      <c r="M201" s="12"/>
      <c r="N201" s="16"/>
      <c r="O201" s="12"/>
      <c r="P201" s="12"/>
      <c r="Q201" s="12"/>
      <c r="R201" s="12"/>
      <c r="S201" s="16"/>
      <c r="T201" s="12"/>
      <c r="U201" s="12"/>
      <c r="V201" s="12"/>
      <c r="W201" s="12"/>
      <c r="X201" s="16"/>
      <c r="Y201" s="12"/>
      <c r="Z201" s="12"/>
      <c r="AA201" s="12"/>
      <c r="AB201" s="12"/>
      <c r="AC201" s="16"/>
      <c r="AD201" s="12"/>
      <c r="AE201" s="12"/>
      <c r="AF201" s="12"/>
      <c r="AG201" s="12"/>
      <c r="AH201" s="16"/>
      <c r="AI201" s="12"/>
      <c r="AJ201" s="12"/>
      <c r="AK201" s="12"/>
      <c r="AL201" s="12"/>
      <c r="AM201" s="16"/>
      <c r="AN201" s="12"/>
      <c r="AO201" s="12"/>
      <c r="AP201" s="12"/>
      <c r="AQ201" s="12"/>
      <c r="AR201" s="16"/>
      <c r="AS201" s="12"/>
      <c r="AT201" s="12"/>
      <c r="AU201" s="12"/>
      <c r="AV201" s="12"/>
      <c r="AW201" s="16"/>
      <c r="AX201" s="12"/>
      <c r="AY201" s="12"/>
      <c r="AZ201" s="12"/>
      <c r="BA201" s="12"/>
      <c r="BB201" s="16"/>
      <c r="BC201" s="12"/>
      <c r="BD201" s="12"/>
      <c r="BE201" s="12"/>
      <c r="BF201" s="12"/>
      <c r="BG201" s="16"/>
      <c r="BH201" s="12"/>
      <c r="BI201" s="358"/>
      <c r="BJ201" s="12"/>
      <c r="BK201" s="315"/>
      <c r="BL201" s="16"/>
      <c r="BM201" s="12"/>
      <c r="BN201" s="358"/>
      <c r="BO201" s="12"/>
      <c r="BP201" s="315"/>
      <c r="BQ201" s="16"/>
      <c r="BR201" s="12"/>
      <c r="BS201" s="358"/>
      <c r="BT201" s="12"/>
      <c r="BU201" s="315"/>
      <c r="BV201" s="16"/>
      <c r="BW201" s="12"/>
      <c r="BX201" s="313"/>
      <c r="BY201" s="12"/>
      <c r="BZ201" s="315"/>
      <c r="CA201" s="16"/>
      <c r="CB201" s="12"/>
      <c r="CC201" s="358"/>
      <c r="CD201" s="12"/>
      <c r="CE201" s="315"/>
      <c r="CF201" s="16"/>
      <c r="CG201" s="358"/>
      <c r="CH201" s="358"/>
      <c r="CI201" s="358"/>
      <c r="CJ201" s="358"/>
      <c r="CK201" s="16"/>
      <c r="CL201" s="358"/>
      <c r="CM201" s="358"/>
      <c r="CN201" s="358"/>
      <c r="CO201" s="358"/>
      <c r="CP201" s="16"/>
      <c r="CQ201" s="358"/>
      <c r="CR201" s="358"/>
      <c r="CS201" s="358"/>
      <c r="CT201" s="358"/>
      <c r="CU201" s="16"/>
      <c r="CV201" s="358"/>
      <c r="CW201" s="358"/>
      <c r="CX201" s="358"/>
      <c r="CY201" s="358"/>
      <c r="CZ201" s="16"/>
      <c r="DA201" s="358"/>
      <c r="DB201" s="358"/>
      <c r="DC201" s="358"/>
      <c r="DD201" s="358"/>
      <c r="DE201" s="16"/>
      <c r="DF201" s="358"/>
      <c r="DG201" s="358"/>
      <c r="DH201" s="358"/>
      <c r="DI201" s="358"/>
      <c r="DJ201" s="16"/>
      <c r="DK201" s="358"/>
      <c r="DL201" s="358"/>
      <c r="DM201" s="358"/>
      <c r="DN201" s="358"/>
      <c r="DO201" s="16"/>
      <c r="DP201" s="358"/>
      <c r="DQ201" s="358"/>
      <c r="DR201" s="358"/>
      <c r="DS201" s="358"/>
      <c r="DT201" s="16"/>
      <c r="DU201" s="16"/>
      <c r="DV201" s="16"/>
    </row>
    <row r="202" spans="1:126" s="42" customFormat="1">
      <c r="A202" s="12"/>
      <c r="B202" s="160" t="s">
        <v>152</v>
      </c>
      <c r="C202" s="35"/>
      <c r="D202" s="35"/>
      <c r="E202" s="35"/>
      <c r="F202" s="35"/>
      <c r="G202" s="35"/>
      <c r="H202" s="35"/>
      <c r="I202" s="35"/>
      <c r="J202" s="25"/>
      <c r="K202" s="25"/>
      <c r="L202" s="25"/>
      <c r="M202" s="25"/>
      <c r="N202" s="35"/>
      <c r="O202" s="25"/>
      <c r="P202" s="25"/>
      <c r="Q202" s="25"/>
      <c r="R202" s="25"/>
      <c r="S202" s="35"/>
      <c r="T202" s="25"/>
      <c r="U202" s="25"/>
      <c r="V202" s="25"/>
      <c r="W202" s="25"/>
      <c r="X202" s="35"/>
      <c r="Y202" s="25"/>
      <c r="Z202" s="25"/>
      <c r="AA202" s="25"/>
      <c r="AB202" s="25"/>
      <c r="AC202" s="35"/>
      <c r="AD202" s="25"/>
      <c r="AE202" s="25"/>
      <c r="AF202" s="25"/>
      <c r="AG202" s="25"/>
      <c r="AH202" s="35"/>
      <c r="AI202" s="25"/>
      <c r="AJ202" s="25"/>
      <c r="AK202" s="25"/>
      <c r="AL202" s="25"/>
      <c r="AM202" s="35"/>
      <c r="AN202" s="25"/>
      <c r="AO202" s="25"/>
      <c r="AP202" s="25"/>
      <c r="AQ202" s="25"/>
      <c r="AR202" s="35"/>
      <c r="AS202" s="25"/>
      <c r="AT202" s="25"/>
      <c r="AU202" s="25"/>
      <c r="AV202" s="25"/>
      <c r="AW202" s="35"/>
      <c r="AX202" s="25"/>
      <c r="AY202" s="25"/>
      <c r="AZ202" s="25"/>
      <c r="BA202" s="25"/>
      <c r="BB202" s="35"/>
      <c r="BC202" s="25"/>
      <c r="BD202" s="25"/>
      <c r="BE202" s="25"/>
      <c r="BF202" s="25"/>
      <c r="BG202" s="35"/>
      <c r="BH202" s="25"/>
      <c r="BI202" s="25"/>
      <c r="BJ202" s="25"/>
      <c r="BK202" s="382"/>
      <c r="BL202" s="35"/>
      <c r="BM202" s="382"/>
      <c r="BN202" s="382"/>
      <c r="BO202" s="25"/>
      <c r="BP202" s="382"/>
      <c r="BQ202" s="35"/>
      <c r="BR202" s="382"/>
      <c r="BS202" s="382"/>
      <c r="BT202" s="25"/>
      <c r="BU202" s="382"/>
      <c r="BV202" s="35"/>
      <c r="BW202" s="382"/>
      <c r="BX202" s="382"/>
      <c r="BY202" s="25"/>
      <c r="BZ202" s="25"/>
      <c r="CA202" s="35"/>
      <c r="CB202" s="382"/>
      <c r="CC202" s="382"/>
      <c r="CD202" s="382"/>
      <c r="CE202" s="382"/>
      <c r="CF202" s="35"/>
      <c r="CG202" s="382"/>
      <c r="CH202" s="382"/>
      <c r="CI202" s="382"/>
      <c r="CJ202" s="382"/>
      <c r="CK202" s="35"/>
      <c r="CL202" s="398">
        <v>0.06</v>
      </c>
      <c r="CM202" s="398">
        <v>0.06</v>
      </c>
      <c r="CN202" s="398">
        <v>0.06</v>
      </c>
      <c r="CO202" s="398">
        <v>0.06</v>
      </c>
      <c r="CP202" s="1010">
        <f>SUM(CL202:CO202)</f>
        <v>0.24</v>
      </c>
      <c r="CQ202" s="398">
        <v>0.06</v>
      </c>
      <c r="CR202" s="398">
        <v>0.06</v>
      </c>
      <c r="CS202" s="398">
        <v>0.06</v>
      </c>
      <c r="CT202" s="398">
        <v>0.06</v>
      </c>
      <c r="CU202" s="1010">
        <f>SUM(CQ202:CT202)</f>
        <v>0.24</v>
      </c>
      <c r="CV202" s="398">
        <v>0.06</v>
      </c>
      <c r="CW202" s="398">
        <v>0.06</v>
      </c>
      <c r="CX202" s="398">
        <v>0.06</v>
      </c>
      <c r="CY202" s="398">
        <v>0.06</v>
      </c>
      <c r="CZ202" s="1010">
        <f>SUM(CV202:CY202)</f>
        <v>0.24</v>
      </c>
      <c r="DA202" s="398">
        <v>0.08</v>
      </c>
      <c r="DB202" s="398">
        <v>0.08</v>
      </c>
      <c r="DC202" s="398">
        <v>0.08</v>
      </c>
      <c r="DD202" s="398">
        <v>0.08</v>
      </c>
      <c r="DE202" s="1010">
        <f>SUM(DA202:DD202)</f>
        <v>0.32</v>
      </c>
      <c r="DF202" s="382">
        <v>0.28000000000000003</v>
      </c>
      <c r="DG202" s="1055">
        <v>0.28000000000000003</v>
      </c>
      <c r="DH202" s="1055">
        <v>0.28000000000000003</v>
      </c>
      <c r="DI202" s="1055">
        <v>0.28000000000000003</v>
      </c>
      <c r="DJ202" s="35"/>
      <c r="DK202" s="382">
        <v>0.36</v>
      </c>
      <c r="DL202" s="382">
        <v>0.36</v>
      </c>
      <c r="DM202" s="382"/>
      <c r="DN202" s="382"/>
      <c r="DO202" s="35"/>
      <c r="DP202" s="382"/>
      <c r="DQ202" s="382"/>
      <c r="DR202" s="382"/>
      <c r="DS202" s="382"/>
      <c r="DT202" s="35"/>
      <c r="DU202" s="35"/>
      <c r="DV202" s="35"/>
    </row>
    <row r="203" spans="1:126" s="42" customFormat="1">
      <c r="A203" s="12"/>
      <c r="B203" s="160"/>
      <c r="C203" s="16"/>
      <c r="D203" s="16"/>
      <c r="E203" s="16"/>
      <c r="F203" s="16"/>
      <c r="G203" s="16"/>
      <c r="H203" s="16"/>
      <c r="I203" s="16"/>
      <c r="J203" s="12"/>
      <c r="K203" s="12"/>
      <c r="L203" s="12"/>
      <c r="M203" s="12"/>
      <c r="N203" s="16"/>
      <c r="O203" s="12"/>
      <c r="P203" s="12"/>
      <c r="Q203" s="12"/>
      <c r="R203" s="12"/>
      <c r="S203" s="16"/>
      <c r="T203" s="12"/>
      <c r="U203" s="12"/>
      <c r="V203" s="12"/>
      <c r="W203" s="12"/>
      <c r="X203" s="16"/>
      <c r="Y203" s="12"/>
      <c r="Z203" s="12"/>
      <c r="AA203" s="12"/>
      <c r="AB203" s="12"/>
      <c r="AC203" s="16"/>
      <c r="AD203" s="12"/>
      <c r="AE203" s="12"/>
      <c r="AF203" s="12"/>
      <c r="AG203" s="12"/>
      <c r="AH203" s="16"/>
      <c r="AI203" s="12"/>
      <c r="AJ203" s="12"/>
      <c r="AK203" s="12"/>
      <c r="AL203" s="12"/>
      <c r="AM203" s="16"/>
      <c r="AN203" s="12"/>
      <c r="AO203" s="12"/>
      <c r="AP203" s="12"/>
      <c r="AQ203" s="12"/>
      <c r="AR203" s="16"/>
      <c r="AS203" s="12"/>
      <c r="AT203" s="12"/>
      <c r="AU203" s="12"/>
      <c r="AV203" s="12"/>
      <c r="AW203" s="16"/>
      <c r="AX203" s="12"/>
      <c r="AY203" s="12"/>
      <c r="AZ203" s="12"/>
      <c r="BA203" s="12"/>
      <c r="BB203" s="16"/>
      <c r="BC203" s="12"/>
      <c r="BD203" s="12"/>
      <c r="BE203" s="12"/>
      <c r="BF203" s="12"/>
      <c r="BG203" s="16"/>
      <c r="BH203" s="12"/>
      <c r="BI203" s="358"/>
      <c r="BJ203" s="12"/>
      <c r="BK203" s="315"/>
      <c r="BL203" s="16"/>
      <c r="BM203" s="12"/>
      <c r="BN203" s="358"/>
      <c r="BO203" s="12"/>
      <c r="BP203" s="315"/>
      <c r="BQ203" s="16"/>
      <c r="BR203" s="12"/>
      <c r="BS203" s="358"/>
      <c r="BT203" s="12"/>
      <c r="BU203" s="315"/>
      <c r="BV203" s="16"/>
      <c r="BW203" s="12"/>
      <c r="BX203" s="313"/>
      <c r="BY203" s="12"/>
      <c r="BZ203" s="315"/>
      <c r="CA203" s="16"/>
      <c r="CB203" s="12"/>
      <c r="CC203" s="358"/>
      <c r="CD203" s="12"/>
      <c r="CE203" s="315"/>
      <c r="CF203" s="16"/>
      <c r="CG203" s="358"/>
      <c r="CH203" s="358"/>
      <c r="CI203" s="358"/>
      <c r="CJ203" s="358"/>
      <c r="CK203" s="16"/>
      <c r="CL203" s="358"/>
      <c r="CM203" s="358"/>
      <c r="CN203" s="358"/>
      <c r="CO203" s="358"/>
      <c r="CP203" s="16"/>
      <c r="CQ203" s="358"/>
      <c r="CR203" s="358"/>
      <c r="CS203" s="358"/>
      <c r="CT203" s="358"/>
      <c r="CU203" s="16"/>
      <c r="CV203" s="358"/>
      <c r="CW203" s="358"/>
      <c r="CX203" s="358"/>
      <c r="CY203" s="358"/>
      <c r="CZ203" s="16"/>
      <c r="DA203" s="358"/>
      <c r="DB203" s="358"/>
      <c r="DC203" s="358"/>
      <c r="DD203" s="358"/>
      <c r="DE203" s="16"/>
      <c r="DF203" s="358"/>
      <c r="DG203" s="358"/>
      <c r="DH203" s="358"/>
      <c r="DI203" s="358"/>
      <c r="DJ203" s="16"/>
      <c r="DK203" s="358"/>
      <c r="DL203" s="358"/>
      <c r="DM203" s="358"/>
      <c r="DN203" s="358"/>
      <c r="DO203" s="16"/>
      <c r="DP203" s="358"/>
      <c r="DQ203" s="358"/>
      <c r="DR203" s="358"/>
      <c r="DS203" s="358"/>
      <c r="DT203" s="16"/>
      <c r="DU203" s="16"/>
      <c r="DV203" s="16"/>
    </row>
    <row r="204" spans="1:126" s="42" customFormat="1" ht="12" hidden="1" outlineLevel="1">
      <c r="A204" s="12"/>
      <c r="B204" s="110" t="s">
        <v>160</v>
      </c>
      <c r="C204" s="16"/>
      <c r="D204" s="16"/>
      <c r="E204" s="16"/>
      <c r="F204" s="60"/>
      <c r="G204" s="16"/>
      <c r="H204" s="16"/>
      <c r="I204" s="60"/>
      <c r="J204" s="12"/>
      <c r="K204" s="12"/>
      <c r="L204" s="12"/>
      <c r="M204" s="12"/>
      <c r="N204" s="16"/>
      <c r="O204" s="12"/>
      <c r="P204" s="12"/>
      <c r="Q204" s="12"/>
      <c r="R204" s="12"/>
      <c r="S204" s="16"/>
      <c r="T204" s="12"/>
      <c r="U204" s="12"/>
      <c r="V204" s="12"/>
      <c r="W204" s="12"/>
      <c r="X204" s="16"/>
      <c r="Y204" s="12"/>
      <c r="Z204" s="12"/>
      <c r="AA204" s="12"/>
      <c r="AB204" s="12"/>
      <c r="AC204" s="16"/>
      <c r="AD204" s="12"/>
      <c r="AE204" s="12"/>
      <c r="AF204" s="12"/>
      <c r="AG204" s="12"/>
      <c r="AH204" s="16"/>
      <c r="AI204" s="12"/>
      <c r="AJ204" s="12"/>
      <c r="AK204" s="12"/>
      <c r="AL204" s="12"/>
      <c r="AM204" s="16"/>
      <c r="AN204" s="12"/>
      <c r="AO204" s="12"/>
      <c r="AP204" s="12"/>
      <c r="AQ204" s="12"/>
      <c r="AR204" s="16"/>
      <c r="AS204" s="12"/>
      <c r="AT204" s="12"/>
      <c r="AU204" s="12"/>
      <c r="AV204" s="12"/>
      <c r="AW204" s="16"/>
      <c r="AX204" s="12"/>
      <c r="AY204" s="12"/>
      <c r="AZ204" s="12"/>
      <c r="BA204" s="12"/>
      <c r="BB204" s="16"/>
      <c r="BC204" s="12"/>
      <c r="BD204" s="12"/>
      <c r="BE204" s="12"/>
      <c r="BF204" s="12"/>
      <c r="BG204" s="16"/>
      <c r="BH204" s="12"/>
      <c r="BI204" s="358"/>
      <c r="BJ204" s="12"/>
      <c r="BK204" s="315"/>
      <c r="BL204" s="16"/>
      <c r="BM204" s="12"/>
      <c r="BN204" s="358"/>
      <c r="BO204" s="12"/>
      <c r="BP204" s="315"/>
      <c r="BQ204" s="16"/>
      <c r="BR204" s="12"/>
      <c r="BS204" s="358"/>
      <c r="BT204" s="12"/>
      <c r="BU204" s="315"/>
      <c r="BV204" s="16"/>
      <c r="BW204" s="12"/>
      <c r="BX204" s="313"/>
      <c r="BY204" s="12"/>
      <c r="BZ204" s="315"/>
      <c r="CA204" s="16"/>
      <c r="CB204" s="12"/>
      <c r="CC204" s="358"/>
      <c r="CD204" s="12"/>
      <c r="CE204" s="315"/>
      <c r="CF204" s="16"/>
      <c r="CG204" s="358"/>
      <c r="CH204" s="358"/>
      <c r="CI204" s="358"/>
      <c r="CJ204" s="358"/>
      <c r="CK204" s="16"/>
      <c r="CL204" s="358"/>
      <c r="CM204" s="358"/>
      <c r="CN204" s="358"/>
      <c r="CO204" s="358"/>
      <c r="CP204" s="16"/>
      <c r="CQ204" s="358"/>
      <c r="CR204" s="358"/>
      <c r="CS204" s="358"/>
      <c r="CT204" s="358"/>
      <c r="CU204" s="16"/>
      <c r="CV204" s="358"/>
      <c r="CW204" s="358"/>
      <c r="CX204" s="358"/>
      <c r="CY204" s="358"/>
      <c r="CZ204" s="16"/>
      <c r="DA204" s="358"/>
      <c r="DB204" s="358"/>
      <c r="DC204" s="358"/>
      <c r="DD204" s="358"/>
      <c r="DE204" s="16"/>
      <c r="DF204" s="358"/>
      <c r="DG204" s="358"/>
      <c r="DH204" s="358"/>
      <c r="DI204" s="358"/>
      <c r="DJ204" s="16"/>
      <c r="DK204" s="358"/>
      <c r="DL204" s="358"/>
      <c r="DM204" s="358"/>
      <c r="DN204" s="358"/>
      <c r="DO204" s="16"/>
      <c r="DP204" s="358"/>
      <c r="DQ204" s="358"/>
      <c r="DR204" s="358"/>
      <c r="DS204" s="358"/>
      <c r="DT204" s="16"/>
      <c r="DU204" s="16"/>
      <c r="DV204" s="16"/>
    </row>
    <row r="205" spans="1:126" s="42" customFormat="1" hidden="1" outlineLevel="1">
      <c r="A205" s="12"/>
      <c r="B205" s="160" t="s">
        <v>161</v>
      </c>
      <c r="C205" s="16"/>
      <c r="D205" s="16"/>
      <c r="E205" s="16"/>
      <c r="F205" s="16"/>
      <c r="G205" s="60"/>
      <c r="H205" s="16"/>
      <c r="I205" s="60"/>
      <c r="J205" s="12"/>
      <c r="K205" s="12"/>
      <c r="L205" s="12"/>
      <c r="M205" s="12"/>
      <c r="N205" s="16"/>
      <c r="O205" s="12"/>
      <c r="P205" s="12"/>
      <c r="Q205" s="12"/>
      <c r="R205" s="12"/>
      <c r="S205" s="16"/>
      <c r="T205" s="12"/>
      <c r="U205" s="12"/>
      <c r="V205" s="12"/>
      <c r="W205" s="12"/>
      <c r="X205" s="16"/>
      <c r="Y205" s="12"/>
      <c r="Z205" s="12"/>
      <c r="AA205" s="12"/>
      <c r="AB205" s="12"/>
      <c r="AC205" s="16"/>
      <c r="AD205" s="12"/>
      <c r="AE205" s="12"/>
      <c r="AF205" s="12"/>
      <c r="AG205" s="12"/>
      <c r="AH205" s="16"/>
      <c r="AI205" s="12"/>
      <c r="AJ205" s="12"/>
      <c r="AK205" s="12"/>
      <c r="AL205" s="12"/>
      <c r="AM205" s="16"/>
      <c r="AN205" s="49"/>
      <c r="AO205" s="313"/>
      <c r="AP205" s="313"/>
      <c r="AQ205" s="313"/>
      <c r="AR205" s="16"/>
      <c r="AS205" s="313"/>
      <c r="AT205" s="313"/>
      <c r="AU205" s="313"/>
      <c r="AV205" s="12"/>
      <c r="AW205" s="16"/>
      <c r="AX205" s="313"/>
      <c r="AY205" s="313"/>
      <c r="AZ205" s="313"/>
      <c r="BA205" s="12"/>
      <c r="BB205" s="16"/>
      <c r="BC205" s="313"/>
      <c r="BD205" s="313"/>
      <c r="BE205" s="313"/>
      <c r="BF205" s="12"/>
      <c r="BG205" s="16"/>
      <c r="BH205" s="313"/>
      <c r="BI205" s="358"/>
      <c r="BJ205" s="313"/>
      <c r="BK205" s="12"/>
      <c r="BL205" s="16"/>
      <c r="BM205" s="313"/>
      <c r="BN205" s="313"/>
      <c r="BO205" s="313"/>
      <c r="BP205" s="12"/>
      <c r="BQ205" s="16"/>
      <c r="BR205" s="313"/>
      <c r="BS205" s="313"/>
      <c r="BT205" s="313"/>
      <c r="BU205" s="12"/>
      <c r="BV205" s="16"/>
      <c r="BW205" s="313"/>
      <c r="BX205" s="313"/>
      <c r="BY205" s="313"/>
      <c r="BZ205" s="12"/>
      <c r="CA205" s="16"/>
      <c r="CB205" s="313"/>
      <c r="CC205" s="313"/>
      <c r="CD205" s="313"/>
      <c r="CE205" s="12"/>
      <c r="CF205" s="16"/>
      <c r="CG205" s="313"/>
      <c r="CH205" s="313"/>
      <c r="CI205" s="313"/>
      <c r="CJ205" s="12"/>
      <c r="CK205" s="16"/>
      <c r="CL205" s="313"/>
      <c r="CM205" s="313"/>
      <c r="CN205" s="313"/>
      <c r="CO205" s="12"/>
      <c r="CP205" s="16"/>
      <c r="CQ205" s="12"/>
      <c r="CR205" s="313"/>
      <c r="CS205" s="313"/>
      <c r="CT205" s="12"/>
      <c r="CU205" s="16"/>
      <c r="CV205" s="12"/>
      <c r="CW205" s="313"/>
      <c r="CX205" s="313"/>
      <c r="CY205" s="313"/>
      <c r="CZ205" s="16"/>
      <c r="DA205" s="313"/>
      <c r="DB205" s="313"/>
      <c r="DC205" s="313"/>
      <c r="DD205" s="313"/>
      <c r="DE205" s="16"/>
      <c r="DF205" s="313"/>
      <c r="DG205" s="313"/>
      <c r="DH205" s="313"/>
      <c r="DI205" s="313"/>
      <c r="DJ205" s="16"/>
      <c r="DK205" s="313"/>
      <c r="DL205" s="313"/>
      <c r="DM205" s="313"/>
      <c r="DN205" s="313"/>
      <c r="DO205" s="16"/>
      <c r="DP205" s="313"/>
      <c r="DQ205" s="313"/>
      <c r="DR205" s="313"/>
      <c r="DS205" s="313"/>
      <c r="DT205" s="16"/>
      <c r="DU205" s="16"/>
      <c r="DV205" s="16"/>
    </row>
    <row r="206" spans="1:126" s="42" customFormat="1" hidden="1" outlineLevel="1">
      <c r="A206" s="12"/>
      <c r="B206" s="160" t="s">
        <v>162</v>
      </c>
      <c r="C206" s="16"/>
      <c r="D206" s="16"/>
      <c r="E206" s="16"/>
      <c r="F206" s="215"/>
      <c r="G206" s="215"/>
      <c r="H206" s="215"/>
      <c r="I206" s="215"/>
      <c r="J206" s="264"/>
      <c r="K206" s="264"/>
      <c r="L206" s="264"/>
      <c r="M206" s="264"/>
      <c r="N206" s="215"/>
      <c r="O206" s="264"/>
      <c r="P206" s="264"/>
      <c r="Q206" s="264"/>
      <c r="R206" s="264"/>
      <c r="S206" s="215"/>
      <c r="T206" s="264"/>
      <c r="U206" s="264"/>
      <c r="V206" s="264"/>
      <c r="W206" s="264"/>
      <c r="X206" s="215"/>
      <c r="Y206" s="264"/>
      <c r="Z206" s="264"/>
      <c r="AA206" s="264"/>
      <c r="AB206" s="264"/>
      <c r="AC206" s="215"/>
      <c r="AD206" s="264"/>
      <c r="AE206" s="264"/>
      <c r="AF206" s="264"/>
      <c r="AG206" s="264"/>
      <c r="AH206" s="215"/>
      <c r="AI206" s="264"/>
      <c r="AJ206" s="264"/>
      <c r="AK206" s="264"/>
      <c r="AL206" s="264"/>
      <c r="AM206" s="215"/>
      <c r="AN206" s="196"/>
      <c r="AO206" s="196"/>
      <c r="AP206" s="196"/>
      <c r="AQ206" s="196"/>
      <c r="AR206" s="215"/>
      <c r="AS206" s="196"/>
      <c r="AT206" s="196"/>
      <c r="AU206" s="196"/>
      <c r="AV206" s="264"/>
      <c r="AW206" s="215"/>
      <c r="AX206" s="196"/>
      <c r="AY206" s="196"/>
      <c r="AZ206" s="196"/>
      <c r="BA206" s="264"/>
      <c r="BB206" s="215"/>
      <c r="BC206" s="196"/>
      <c r="BD206" s="196"/>
      <c r="BE206" s="264"/>
      <c r="BF206" s="264"/>
      <c r="BG206" s="215"/>
      <c r="BH206" s="196"/>
      <c r="BI206" s="358"/>
      <c r="BJ206" s="196"/>
      <c r="BK206" s="264"/>
      <c r="BL206" s="215"/>
      <c r="BM206" s="196"/>
      <c r="BN206" s="196"/>
      <c r="BO206" s="196"/>
      <c r="BP206" s="264"/>
      <c r="BQ206" s="215"/>
      <c r="BR206" s="196"/>
      <c r="BS206" s="196"/>
      <c r="BT206" s="196"/>
      <c r="BU206" s="264"/>
      <c r="BV206" s="16"/>
      <c r="BW206" s="196"/>
      <c r="BX206" s="196"/>
      <c r="BY206" s="196"/>
      <c r="BZ206" s="264"/>
      <c r="CA206" s="16"/>
      <c r="CB206" s="196"/>
      <c r="CC206" s="196"/>
      <c r="CD206" s="196"/>
      <c r="CE206" s="264"/>
      <c r="CF206" s="16"/>
      <c r="CG206" s="196"/>
      <c r="CH206" s="196"/>
      <c r="CI206" s="196"/>
      <c r="CJ206" s="264"/>
      <c r="CK206" s="16"/>
      <c r="CL206" s="196"/>
      <c r="CM206" s="196"/>
      <c r="CN206" s="196"/>
      <c r="CO206" s="264"/>
      <c r="CP206" s="16"/>
      <c r="CQ206" s="264"/>
      <c r="CR206" s="196"/>
      <c r="CS206" s="196"/>
      <c r="CT206" s="264"/>
      <c r="CU206" s="16"/>
      <c r="CV206" s="264"/>
      <c r="CW206" s="196"/>
      <c r="CX206" s="196"/>
      <c r="CY206" s="196"/>
      <c r="CZ206" s="16"/>
      <c r="DA206" s="196"/>
      <c r="DB206" s="196"/>
      <c r="DC206" s="196"/>
      <c r="DD206" s="196"/>
      <c r="DE206" s="16"/>
      <c r="DF206" s="196"/>
      <c r="DG206" s="196"/>
      <c r="DH206" s="196"/>
      <c r="DI206" s="196"/>
      <c r="DJ206" s="16"/>
      <c r="DK206" s="196"/>
      <c r="DL206" s="196"/>
      <c r="DM206" s="196"/>
      <c r="DN206" s="196"/>
      <c r="DO206" s="16"/>
      <c r="DP206" s="196"/>
      <c r="DQ206" s="196"/>
      <c r="DR206" s="196"/>
      <c r="DS206" s="196"/>
      <c r="DT206" s="16"/>
      <c r="DU206" s="16"/>
      <c r="DV206" s="16"/>
    </row>
    <row r="207" spans="1:126" s="42" customFormat="1" ht="12" hidden="1" outlineLevel="1">
      <c r="A207" s="12"/>
      <c r="B207" s="199" t="s">
        <v>163</v>
      </c>
      <c r="C207" s="130"/>
      <c r="D207" s="130"/>
      <c r="E207" s="130"/>
      <c r="F207" s="130"/>
      <c r="G207" s="130"/>
      <c r="H207" s="130"/>
      <c r="I207" s="130"/>
      <c r="J207" s="40"/>
      <c r="K207" s="40"/>
      <c r="L207" s="40"/>
      <c r="M207" s="40"/>
      <c r="N207" s="130"/>
      <c r="O207" s="40"/>
      <c r="P207" s="40"/>
      <c r="Q207" s="40"/>
      <c r="R207" s="40"/>
      <c r="S207" s="130"/>
      <c r="T207" s="40"/>
      <c r="U207" s="40"/>
      <c r="V207" s="40"/>
      <c r="W207" s="40"/>
      <c r="X207" s="130"/>
      <c r="Y207" s="40"/>
      <c r="Z207" s="40"/>
      <c r="AA207" s="40"/>
      <c r="AB207" s="40"/>
      <c r="AC207" s="130"/>
      <c r="AD207" s="40"/>
      <c r="AE207" s="40"/>
      <c r="AF207" s="40"/>
      <c r="AG207" s="40"/>
      <c r="AH207" s="130"/>
      <c r="AI207" s="40"/>
      <c r="AJ207" s="40"/>
      <c r="AK207" s="40"/>
      <c r="AL207" s="40"/>
      <c r="AM207" s="130"/>
      <c r="AN207" s="40"/>
      <c r="AO207" s="40"/>
      <c r="AP207" s="40"/>
      <c r="AQ207" s="40"/>
      <c r="AR207" s="130"/>
      <c r="AS207" s="40"/>
      <c r="AT207" s="40"/>
      <c r="AU207" s="40"/>
      <c r="AV207" s="40"/>
      <c r="AW207" s="130"/>
      <c r="AX207" s="40"/>
      <c r="AY207" s="40"/>
      <c r="AZ207" s="40"/>
      <c r="BA207" s="40"/>
      <c r="BB207" s="130"/>
      <c r="BC207" s="40"/>
      <c r="BD207" s="40"/>
      <c r="BE207" s="40"/>
      <c r="BF207" s="12"/>
      <c r="BG207" s="130"/>
      <c r="BH207" s="40"/>
      <c r="BI207" s="40"/>
      <c r="BJ207" s="40"/>
      <c r="BK207" s="40"/>
      <c r="BL207" s="130"/>
      <c r="BM207" s="40"/>
      <c r="BN207" s="40"/>
      <c r="BO207" s="40"/>
      <c r="BP207" s="40"/>
      <c r="BQ207" s="130"/>
      <c r="BR207" s="40"/>
      <c r="BS207" s="40"/>
      <c r="BT207" s="40"/>
      <c r="BU207" s="40"/>
      <c r="BV207" s="130"/>
      <c r="BW207" s="40"/>
      <c r="BX207" s="40"/>
      <c r="BY207" s="40"/>
      <c r="BZ207" s="40"/>
      <c r="CA207" s="130"/>
      <c r="CB207" s="40"/>
      <c r="CC207" s="40"/>
      <c r="CD207" s="40"/>
      <c r="CE207" s="40"/>
      <c r="CF207" s="130"/>
      <c r="CG207" s="40"/>
      <c r="CH207" s="40"/>
      <c r="CI207" s="40"/>
      <c r="CJ207" s="40"/>
      <c r="CK207" s="130"/>
      <c r="CL207" s="40"/>
      <c r="CM207" s="40"/>
      <c r="CN207" s="40"/>
      <c r="CO207" s="40"/>
      <c r="CP207" s="130"/>
      <c r="CQ207" s="40"/>
      <c r="CR207" s="40"/>
      <c r="CS207" s="40"/>
      <c r="CT207" s="40"/>
      <c r="CU207" s="130"/>
      <c r="CV207" s="40"/>
      <c r="CW207" s="40"/>
      <c r="CX207" s="40"/>
      <c r="CY207" s="40"/>
      <c r="CZ207" s="130"/>
      <c r="DA207" s="40"/>
      <c r="DB207" s="40"/>
      <c r="DC207" s="40"/>
      <c r="DD207" s="40"/>
      <c r="DE207" s="130"/>
      <c r="DF207" s="40"/>
      <c r="DG207" s="40"/>
      <c r="DH207" s="40"/>
      <c r="DI207" s="40"/>
      <c r="DJ207" s="130"/>
      <c r="DK207" s="40"/>
      <c r="DL207" s="40"/>
      <c r="DM207" s="40"/>
      <c r="DN207" s="40"/>
      <c r="DO207" s="130"/>
      <c r="DP207" s="40"/>
      <c r="DQ207" s="40"/>
      <c r="DR207" s="40"/>
      <c r="DS207" s="40"/>
      <c r="DT207" s="130"/>
      <c r="DU207" s="130"/>
      <c r="DV207" s="130"/>
    </row>
    <row r="208" spans="1:126" s="15" customFormat="1" hidden="1" outlineLevel="1">
      <c r="C208" s="16"/>
      <c r="D208" s="16"/>
      <c r="E208" s="60"/>
      <c r="F208" s="16"/>
      <c r="G208" s="16"/>
      <c r="H208" s="16"/>
      <c r="I208" s="60"/>
      <c r="N208" s="16"/>
      <c r="S208" s="16"/>
      <c r="X208" s="16"/>
      <c r="AC208" s="16"/>
      <c r="AH208" s="16"/>
      <c r="AM208" s="16"/>
      <c r="AR208" s="16"/>
      <c r="AW208" s="16"/>
      <c r="BB208" s="16"/>
      <c r="BG208" s="16"/>
      <c r="BI208" s="317"/>
      <c r="BK208" s="306"/>
      <c r="BL208" s="16"/>
      <c r="BN208" s="317"/>
      <c r="BP208" s="306"/>
      <c r="BQ208" s="16"/>
      <c r="BS208" s="317"/>
      <c r="BU208" s="306"/>
      <c r="BV208" s="16"/>
      <c r="BX208" s="394"/>
      <c r="BZ208" s="306"/>
      <c r="CA208" s="16"/>
      <c r="CC208" s="317"/>
      <c r="CE208" s="306"/>
      <c r="CF208" s="16"/>
      <c r="CG208" s="317"/>
      <c r="CH208" s="317"/>
      <c r="CI208" s="317"/>
      <c r="CJ208" s="317"/>
      <c r="CK208" s="16"/>
      <c r="CL208" s="317"/>
      <c r="CM208" s="317"/>
      <c r="CN208" s="317"/>
      <c r="CO208" s="317"/>
      <c r="CP208" s="16"/>
      <c r="CQ208" s="317"/>
      <c r="CR208" s="317"/>
      <c r="CS208" s="317"/>
      <c r="CT208" s="317"/>
      <c r="CU208" s="16"/>
      <c r="CV208" s="317"/>
      <c r="CW208" s="317"/>
      <c r="CX208" s="317"/>
      <c r="CY208" s="317"/>
      <c r="CZ208" s="16"/>
      <c r="DA208" s="317"/>
      <c r="DB208" s="317"/>
      <c r="DC208" s="317"/>
      <c r="DD208" s="317"/>
      <c r="DE208" s="16"/>
      <c r="DF208" s="317"/>
      <c r="DG208" s="317"/>
      <c r="DH208" s="317"/>
      <c r="DI208" s="317"/>
      <c r="DJ208" s="16"/>
      <c r="DK208" s="317"/>
      <c r="DL208" s="317"/>
      <c r="DM208" s="317"/>
      <c r="DN208" s="317"/>
      <c r="DO208" s="16"/>
      <c r="DP208" s="317"/>
      <c r="DQ208" s="317"/>
      <c r="DR208" s="317"/>
      <c r="DS208" s="317"/>
      <c r="DT208" s="16"/>
      <c r="DU208" s="16"/>
      <c r="DV208" s="16"/>
    </row>
    <row r="209" spans="1:126" s="15" customFormat="1" hidden="1" outlineLevel="1">
      <c r="B209" s="15" t="s">
        <v>188</v>
      </c>
      <c r="C209" s="16"/>
      <c r="D209" s="16"/>
      <c r="E209" s="16"/>
      <c r="F209" s="16"/>
      <c r="G209" s="60"/>
      <c r="H209" s="16"/>
      <c r="I209" s="16"/>
      <c r="N209" s="16"/>
      <c r="S209" s="16"/>
      <c r="X209" s="16"/>
      <c r="AC209" s="16"/>
      <c r="AH209" s="16"/>
      <c r="AM209" s="16"/>
      <c r="AR209" s="16"/>
      <c r="AW209" s="16"/>
      <c r="BB209" s="16"/>
      <c r="BG209" s="16"/>
      <c r="BI209" s="317"/>
      <c r="BK209" s="306"/>
      <c r="BL209" s="16"/>
      <c r="BN209" s="317"/>
      <c r="BP209" s="306"/>
      <c r="BQ209" s="16"/>
      <c r="BS209" s="317"/>
      <c r="BU209" s="306"/>
      <c r="BV209" s="16"/>
      <c r="BX209" s="394"/>
      <c r="BZ209" s="306"/>
      <c r="CA209" s="16"/>
      <c r="CC209" s="317"/>
      <c r="CE209" s="306"/>
      <c r="CF209" s="16"/>
      <c r="CG209" s="317"/>
      <c r="CH209" s="317"/>
      <c r="CI209" s="317"/>
      <c r="CJ209" s="317"/>
      <c r="CK209" s="16"/>
      <c r="CL209" s="317"/>
      <c r="CM209" s="317"/>
      <c r="CN209" s="317"/>
      <c r="CO209" s="317"/>
      <c r="CP209" s="16"/>
      <c r="CQ209" s="317"/>
      <c r="CR209" s="317"/>
      <c r="CS209" s="317"/>
      <c r="CT209" s="317"/>
      <c r="CU209" s="16"/>
      <c r="CV209" s="317"/>
      <c r="CW209" s="317"/>
      <c r="CX209" s="317"/>
      <c r="CY209" s="317"/>
      <c r="CZ209" s="16"/>
      <c r="DA209" s="317"/>
      <c r="DB209" s="317"/>
      <c r="DC209" s="317"/>
      <c r="DD209" s="317"/>
      <c r="DE209" s="16"/>
      <c r="DF209" s="317"/>
      <c r="DG209" s="317"/>
      <c r="DH209" s="317"/>
      <c r="DI209" s="317"/>
      <c r="DJ209" s="16"/>
      <c r="DK209" s="317"/>
      <c r="DL209" s="317"/>
      <c r="DM209" s="317"/>
      <c r="DN209" s="317"/>
      <c r="DO209" s="16"/>
      <c r="DP209" s="317"/>
      <c r="DQ209" s="317"/>
      <c r="DR209" s="317"/>
      <c r="DS209" s="317"/>
      <c r="DT209" s="16"/>
      <c r="DU209" s="16"/>
      <c r="DV209" s="16"/>
    </row>
    <row r="210" spans="1:126" s="15" customFormat="1" hidden="1" outlineLevel="1">
      <c r="B210" s="15" t="s">
        <v>189</v>
      </c>
      <c r="C210" s="215"/>
      <c r="D210" s="215"/>
      <c r="E210" s="215"/>
      <c r="F210" s="215"/>
      <c r="G210" s="190"/>
      <c r="H210" s="215"/>
      <c r="I210" s="215"/>
      <c r="J210" s="191"/>
      <c r="K210" s="191"/>
      <c r="L210" s="191"/>
      <c r="M210" s="191"/>
      <c r="N210" s="215"/>
      <c r="O210" s="191"/>
      <c r="P210" s="191"/>
      <c r="Q210" s="191"/>
      <c r="R210" s="191"/>
      <c r="S210" s="215"/>
      <c r="T210" s="191"/>
      <c r="U210" s="191"/>
      <c r="V210" s="191"/>
      <c r="W210" s="191"/>
      <c r="X210" s="215"/>
      <c r="Y210" s="191"/>
      <c r="Z210" s="191"/>
      <c r="AA210" s="191"/>
      <c r="AB210" s="191"/>
      <c r="AC210" s="215"/>
      <c r="AD210" s="191"/>
      <c r="AE210" s="191"/>
      <c r="AF210" s="191"/>
      <c r="AG210" s="191"/>
      <c r="AH210" s="215"/>
      <c r="AI210" s="191"/>
      <c r="AJ210" s="191"/>
      <c r="AK210" s="191"/>
      <c r="AL210" s="191"/>
      <c r="AM210" s="215"/>
      <c r="AN210" s="191"/>
      <c r="AO210" s="191"/>
      <c r="AP210" s="191"/>
      <c r="AQ210" s="191"/>
      <c r="AR210" s="215"/>
      <c r="AS210" s="191"/>
      <c r="AT210" s="191"/>
      <c r="AU210" s="191"/>
      <c r="AV210" s="191"/>
      <c r="AW210" s="215"/>
      <c r="AX210" s="191"/>
      <c r="AY210" s="191"/>
      <c r="AZ210" s="191"/>
      <c r="BA210" s="191"/>
      <c r="BB210" s="215"/>
      <c r="BC210" s="191"/>
      <c r="BD210" s="191"/>
      <c r="BE210" s="191"/>
      <c r="BF210" s="191"/>
      <c r="BG210" s="215"/>
      <c r="BH210" s="191"/>
      <c r="BI210" s="310"/>
      <c r="BJ210" s="191"/>
      <c r="BK210" s="310"/>
      <c r="BL210" s="215"/>
      <c r="BM210" s="191"/>
      <c r="BN210" s="310"/>
      <c r="BO210" s="191"/>
      <c r="BP210" s="310"/>
      <c r="BQ210" s="215"/>
      <c r="BR210" s="191"/>
      <c r="BS210" s="310"/>
      <c r="BT210" s="191"/>
      <c r="BU210" s="310"/>
      <c r="BV210" s="215"/>
      <c r="BW210" s="191"/>
      <c r="BX210" s="392"/>
      <c r="BY210" s="191"/>
      <c r="BZ210" s="310"/>
      <c r="CA210" s="215"/>
      <c r="CB210" s="191"/>
      <c r="CC210" s="310"/>
      <c r="CD210" s="191"/>
      <c r="CE210" s="310"/>
      <c r="CF210" s="215"/>
      <c r="CG210" s="310"/>
      <c r="CH210" s="310"/>
      <c r="CI210" s="310"/>
      <c r="CJ210" s="310"/>
      <c r="CK210" s="215"/>
      <c r="CL210" s="310"/>
      <c r="CM210" s="310"/>
      <c r="CN210" s="310"/>
      <c r="CO210" s="310"/>
      <c r="CP210" s="215"/>
      <c r="CQ210" s="310"/>
      <c r="CR210" s="310"/>
      <c r="CS210" s="310"/>
      <c r="CT210" s="310"/>
      <c r="CU210" s="215"/>
      <c r="CV210" s="310"/>
      <c r="CW210" s="310"/>
      <c r="CX210" s="310"/>
      <c r="CY210" s="310"/>
      <c r="CZ210" s="215"/>
      <c r="DA210" s="310"/>
      <c r="DB210" s="310"/>
      <c r="DC210" s="310"/>
      <c r="DD210" s="310"/>
      <c r="DE210" s="215"/>
      <c r="DF210" s="310"/>
      <c r="DG210" s="310"/>
      <c r="DH210" s="310"/>
      <c r="DI210" s="310"/>
      <c r="DJ210" s="215"/>
      <c r="DK210" s="310"/>
      <c r="DL210" s="310"/>
      <c r="DM210" s="310"/>
      <c r="DN210" s="310"/>
      <c r="DO210" s="215"/>
      <c r="DP210" s="310"/>
      <c r="DQ210" s="310"/>
      <c r="DR210" s="310"/>
      <c r="DS210" s="310"/>
      <c r="DT210" s="215"/>
      <c r="DU210" s="215"/>
      <c r="DV210" s="215"/>
    </row>
    <row r="211" spans="1:126" s="15" customFormat="1" ht="12" hidden="1" outlineLevel="1">
      <c r="B211" s="189" t="s">
        <v>190</v>
      </c>
      <c r="C211" s="130"/>
      <c r="D211" s="130"/>
      <c r="E211" s="130"/>
      <c r="F211" s="130"/>
      <c r="G211" s="255"/>
      <c r="H211" s="130"/>
      <c r="I211" s="130"/>
      <c r="J211" s="189"/>
      <c r="K211" s="189"/>
      <c r="L211" s="189"/>
      <c r="M211" s="189"/>
      <c r="N211" s="130"/>
      <c r="O211" s="189"/>
      <c r="P211" s="189"/>
      <c r="Q211" s="189"/>
      <c r="R211" s="189"/>
      <c r="S211" s="130"/>
      <c r="T211" s="189"/>
      <c r="U211" s="189"/>
      <c r="V211" s="189"/>
      <c r="W211" s="189"/>
      <c r="X211" s="130"/>
      <c r="Y211" s="189"/>
      <c r="Z211" s="189"/>
      <c r="AA211" s="189"/>
      <c r="AB211" s="189"/>
      <c r="AC211" s="130"/>
      <c r="AD211" s="189"/>
      <c r="AE211" s="189"/>
      <c r="AF211" s="189"/>
      <c r="AG211" s="189"/>
      <c r="AH211" s="130"/>
      <c r="AI211" s="189"/>
      <c r="AJ211" s="189"/>
      <c r="AK211" s="189"/>
      <c r="AL211" s="189"/>
      <c r="AM211" s="130"/>
      <c r="AN211" s="189"/>
      <c r="AO211" s="189"/>
      <c r="AP211" s="189"/>
      <c r="AQ211" s="189"/>
      <c r="AR211" s="130"/>
      <c r="AS211" s="189"/>
      <c r="AT211" s="189"/>
      <c r="AU211" s="189"/>
      <c r="AV211" s="189"/>
      <c r="AW211" s="130"/>
      <c r="AX211" s="189"/>
      <c r="AY211" s="189"/>
      <c r="AZ211" s="189"/>
      <c r="BA211" s="189"/>
      <c r="BB211" s="130"/>
      <c r="BC211" s="189"/>
      <c r="BD211" s="189"/>
      <c r="BE211" s="189"/>
      <c r="BF211" s="189"/>
      <c r="BG211" s="130"/>
      <c r="BH211" s="189"/>
      <c r="BI211" s="378"/>
      <c r="BJ211" s="189"/>
      <c r="BK211" s="307"/>
      <c r="BL211" s="130"/>
      <c r="BM211" s="189"/>
      <c r="BN211" s="378"/>
      <c r="BO211" s="189"/>
      <c r="BP211" s="307"/>
      <c r="BQ211" s="130"/>
      <c r="BR211" s="189"/>
      <c r="BS211" s="378"/>
      <c r="BT211" s="189"/>
      <c r="BU211" s="307"/>
      <c r="BV211" s="130"/>
      <c r="BW211" s="189"/>
      <c r="BX211" s="393"/>
      <c r="BY211" s="189"/>
      <c r="BZ211" s="307"/>
      <c r="CA211" s="130"/>
      <c r="CB211" s="189"/>
      <c r="CC211" s="378"/>
      <c r="CD211" s="189"/>
      <c r="CE211" s="307"/>
      <c r="CF211" s="130"/>
      <c r="CG211" s="378"/>
      <c r="CH211" s="378"/>
      <c r="CI211" s="378"/>
      <c r="CJ211" s="378"/>
      <c r="CK211" s="130"/>
      <c r="CL211" s="378"/>
      <c r="CM211" s="378"/>
      <c r="CN211" s="378"/>
      <c r="CO211" s="378"/>
      <c r="CP211" s="130"/>
      <c r="CQ211" s="378"/>
      <c r="CR211" s="378"/>
      <c r="CS211" s="378"/>
      <c r="CT211" s="378"/>
      <c r="CU211" s="130"/>
      <c r="CV211" s="378"/>
      <c r="CW211" s="378"/>
      <c r="CX211" s="378"/>
      <c r="CY211" s="378"/>
      <c r="CZ211" s="130"/>
      <c r="DA211" s="378"/>
      <c r="DB211" s="378"/>
      <c r="DC211" s="378"/>
      <c r="DD211" s="378"/>
      <c r="DE211" s="130"/>
      <c r="DF211" s="378"/>
      <c r="DG211" s="378"/>
      <c r="DH211" s="378"/>
      <c r="DI211" s="378"/>
      <c r="DJ211" s="130"/>
      <c r="DK211" s="378"/>
      <c r="DL211" s="378"/>
      <c r="DM211" s="378"/>
      <c r="DN211" s="378"/>
      <c r="DO211" s="130"/>
      <c r="DP211" s="378"/>
      <c r="DQ211" s="378"/>
      <c r="DR211" s="378"/>
      <c r="DS211" s="378"/>
      <c r="DT211" s="130"/>
      <c r="DU211" s="130"/>
      <c r="DV211" s="130"/>
    </row>
    <row r="212" spans="1:126" s="189" customFormat="1" ht="12" hidden="1" outlineLevel="1">
      <c r="A212" s="40"/>
      <c r="B212" s="40" t="s">
        <v>200</v>
      </c>
      <c r="C212" s="130"/>
      <c r="D212" s="130"/>
      <c r="E212" s="130"/>
      <c r="F212" s="130"/>
      <c r="G212" s="130"/>
      <c r="H212" s="130"/>
      <c r="I212" s="130"/>
      <c r="J212" s="40"/>
      <c r="K212" s="40"/>
      <c r="L212" s="40"/>
      <c r="M212" s="40"/>
      <c r="N212" s="130"/>
      <c r="O212" s="40"/>
      <c r="P212" s="40"/>
      <c r="Q212" s="40"/>
      <c r="R212" s="40"/>
      <c r="S212" s="130"/>
      <c r="T212" s="40"/>
      <c r="U212" s="40"/>
      <c r="V212" s="40"/>
      <c r="W212" s="40"/>
      <c r="X212" s="130"/>
      <c r="Y212" s="40"/>
      <c r="Z212" s="40"/>
      <c r="AA212" s="40"/>
      <c r="AB212" s="40"/>
      <c r="AC212" s="130"/>
      <c r="AD212" s="40"/>
      <c r="AE212" s="40"/>
      <c r="AF212" s="40"/>
      <c r="AG212" s="40"/>
      <c r="AH212" s="130"/>
      <c r="AI212" s="40"/>
      <c r="AJ212" s="40"/>
      <c r="AK212" s="40"/>
      <c r="AL212" s="40"/>
      <c r="AM212" s="130"/>
      <c r="AN212" s="40"/>
      <c r="AO212" s="40"/>
      <c r="AP212" s="40"/>
      <c r="AQ212" s="40"/>
      <c r="AR212" s="130"/>
      <c r="AS212" s="40"/>
      <c r="AT212" s="40"/>
      <c r="AU212" s="40"/>
      <c r="AV212" s="40"/>
      <c r="AW212" s="130"/>
      <c r="AX212" s="40"/>
      <c r="AY212" s="40"/>
      <c r="AZ212" s="40"/>
      <c r="BA212" s="40"/>
      <c r="BB212" s="130"/>
      <c r="BC212" s="40"/>
      <c r="BD212" s="40"/>
      <c r="BE212" s="40"/>
      <c r="BF212" s="40"/>
      <c r="BG212" s="130"/>
      <c r="BH212" s="40"/>
      <c r="BI212" s="340"/>
      <c r="BJ212" s="40"/>
      <c r="BK212" s="357"/>
      <c r="BL212" s="130"/>
      <c r="BM212" s="40"/>
      <c r="BN212" s="340"/>
      <c r="BO212" s="40"/>
      <c r="BP212" s="357"/>
      <c r="BQ212" s="130"/>
      <c r="BR212" s="40"/>
      <c r="BS212" s="340"/>
      <c r="BT212" s="40"/>
      <c r="BU212" s="357"/>
      <c r="BV212" s="130"/>
      <c r="BW212" s="40"/>
      <c r="BX212" s="395"/>
      <c r="BY212" s="40"/>
      <c r="BZ212" s="357"/>
      <c r="CA212" s="130"/>
      <c r="CB212" s="40"/>
      <c r="CC212" s="340"/>
      <c r="CD212" s="40"/>
      <c r="CE212" s="357"/>
      <c r="CF212" s="130"/>
      <c r="CG212" s="340"/>
      <c r="CH212" s="340"/>
      <c r="CI212" s="340"/>
      <c r="CJ212" s="340"/>
      <c r="CK212" s="130"/>
      <c r="CL212" s="340"/>
      <c r="CM212" s="340"/>
      <c r="CN212" s="340"/>
      <c r="CO212" s="340"/>
      <c r="CP212" s="130"/>
      <c r="CQ212" s="340"/>
      <c r="CR212" s="340"/>
      <c r="CS212" s="340"/>
      <c r="CT212" s="340"/>
      <c r="CU212" s="130"/>
      <c r="CV212" s="340"/>
      <c r="CW212" s="340"/>
      <c r="CX212" s="340"/>
      <c r="CY212" s="340"/>
      <c r="CZ212" s="130"/>
      <c r="DA212" s="340"/>
      <c r="DB212" s="340"/>
      <c r="DC212" s="340"/>
      <c r="DD212" s="340"/>
      <c r="DE212" s="130"/>
      <c r="DF212" s="340"/>
      <c r="DG212" s="340"/>
      <c r="DH212" s="340"/>
      <c r="DI212" s="340"/>
      <c r="DJ212" s="130"/>
      <c r="DK212" s="340"/>
      <c r="DL212" s="340"/>
      <c r="DM212" s="340"/>
      <c r="DN212" s="340"/>
      <c r="DO212" s="130"/>
      <c r="DP212" s="340"/>
      <c r="DQ212" s="340"/>
      <c r="DR212" s="340"/>
      <c r="DS212" s="340"/>
      <c r="DT212" s="130"/>
      <c r="DU212" s="130"/>
      <c r="DV212" s="130"/>
    </row>
    <row r="213" spans="1:126" s="15" customFormat="1" collapsed="1">
      <c r="A213" s="12"/>
      <c r="B213" s="12"/>
      <c r="C213" s="16"/>
      <c r="D213" s="16"/>
      <c r="E213" s="60"/>
      <c r="F213" s="61"/>
      <c r="G213" s="16"/>
      <c r="H213" s="60"/>
      <c r="I213" s="16"/>
      <c r="J213" s="12"/>
      <c r="K213" s="12"/>
      <c r="L213" s="12"/>
      <c r="M213" s="12"/>
      <c r="N213" s="16"/>
      <c r="O213" s="12"/>
      <c r="P213" s="12"/>
      <c r="Q213" s="12"/>
      <c r="R213" s="12"/>
      <c r="S213" s="16"/>
      <c r="T213" s="12"/>
      <c r="U213" s="12"/>
      <c r="V213" s="12"/>
      <c r="W213" s="12"/>
      <c r="X213" s="16"/>
      <c r="Y213" s="12"/>
      <c r="Z213" s="12"/>
      <c r="AA213" s="12"/>
      <c r="AB213" s="12"/>
      <c r="AC213" s="16"/>
      <c r="AD213" s="12"/>
      <c r="AE213" s="12"/>
      <c r="AF213" s="12"/>
      <c r="AG213" s="12"/>
      <c r="AH213" s="16"/>
      <c r="AI213" s="12"/>
      <c r="AJ213" s="12"/>
      <c r="AK213" s="12"/>
      <c r="AL213" s="12"/>
      <c r="AM213" s="16"/>
      <c r="AN213" s="12"/>
      <c r="AO213" s="12"/>
      <c r="AP213" s="12"/>
      <c r="AQ213" s="12"/>
      <c r="AR213" s="16"/>
      <c r="AS213" s="12"/>
      <c r="AT213" s="12"/>
      <c r="AU213" s="12"/>
      <c r="AV213" s="12"/>
      <c r="AW213" s="16"/>
      <c r="AX213" s="12"/>
      <c r="AY213" s="12"/>
      <c r="AZ213" s="12"/>
      <c r="BA213" s="12"/>
      <c r="BB213" s="16"/>
      <c r="BC213" s="12"/>
      <c r="BD213" s="12"/>
      <c r="BE213" s="12"/>
      <c r="BF213" s="12"/>
      <c r="BG213" s="16"/>
      <c r="BH213" s="12"/>
      <c r="BI213" s="358"/>
      <c r="BJ213" s="12"/>
      <c r="BK213" s="315"/>
      <c r="BL213" s="16"/>
      <c r="BM213" s="12"/>
      <c r="BN213" s="358"/>
      <c r="BO213" s="12"/>
      <c r="BP213" s="315"/>
      <c r="BQ213" s="16"/>
      <c r="BR213" s="12"/>
      <c r="BS213" s="358"/>
      <c r="BT213" s="12"/>
      <c r="BU213" s="315"/>
      <c r="BV213" s="16"/>
      <c r="BW213" s="12"/>
      <c r="BX213" s="313"/>
      <c r="BY213" s="12"/>
      <c r="BZ213" s="315"/>
      <c r="CA213" s="16"/>
      <c r="CB213" s="12"/>
      <c r="CC213" s="358"/>
      <c r="CD213" s="12"/>
      <c r="CE213" s="315"/>
      <c r="CF213" s="16"/>
      <c r="CG213" s="358"/>
      <c r="CH213" s="358"/>
      <c r="CI213" s="358"/>
      <c r="CJ213" s="358"/>
      <c r="CK213" s="16"/>
      <c r="CL213" s="358"/>
      <c r="CM213" s="358"/>
      <c r="CN213" s="358"/>
      <c r="CO213" s="358"/>
      <c r="CP213" s="16"/>
      <c r="CQ213" s="358"/>
      <c r="CR213" s="358"/>
      <c r="CS213" s="358"/>
      <c r="CT213" s="358"/>
      <c r="CU213" s="16"/>
      <c r="CV213" s="358"/>
      <c r="CW213" s="358"/>
      <c r="CX213" s="358"/>
      <c r="CY213" s="358"/>
      <c r="CZ213" s="16"/>
      <c r="DA213" s="358"/>
      <c r="DB213" s="358"/>
      <c r="DC213" s="358"/>
      <c r="DD213" s="358"/>
      <c r="DE213" s="16"/>
      <c r="DF213" s="358"/>
      <c r="DG213" s="358"/>
      <c r="DH213" s="358"/>
      <c r="DI213" s="358"/>
      <c r="DJ213" s="16"/>
      <c r="DK213" s="358"/>
      <c r="DL213" s="358"/>
      <c r="DM213" s="358"/>
      <c r="DN213" s="358"/>
      <c r="DO213" s="16"/>
      <c r="DP213" s="358"/>
      <c r="DQ213" s="358"/>
      <c r="DR213" s="358"/>
      <c r="DS213" s="358"/>
      <c r="DT213" s="16"/>
      <c r="DU213" s="16"/>
      <c r="DV213" s="16"/>
    </row>
    <row r="214" spans="1:126" s="15" customFormat="1" ht="12">
      <c r="B214" s="110" t="s">
        <v>199</v>
      </c>
      <c r="C214" s="16"/>
      <c r="D214" s="16"/>
      <c r="E214" s="16"/>
      <c r="F214" s="16"/>
      <c r="G214" s="16"/>
      <c r="H214" s="16"/>
      <c r="I214" s="16"/>
      <c r="N214" s="16"/>
      <c r="S214" s="16"/>
      <c r="X214" s="16"/>
      <c r="AC214" s="16"/>
      <c r="AH214" s="16"/>
      <c r="AM214" s="16"/>
      <c r="AR214" s="16"/>
      <c r="AW214" s="16"/>
      <c r="BB214" s="16"/>
      <c r="BG214" s="16"/>
      <c r="BI214" s="317"/>
      <c r="BK214" s="306"/>
      <c r="BL214" s="16"/>
      <c r="BN214" s="317"/>
      <c r="BP214" s="306"/>
      <c r="BQ214" s="16"/>
      <c r="BS214" s="317"/>
      <c r="BU214" s="306"/>
      <c r="BV214" s="16"/>
      <c r="BX214" s="394"/>
      <c r="BZ214" s="306"/>
      <c r="CA214" s="16"/>
      <c r="CC214" s="317"/>
      <c r="CE214" s="306"/>
      <c r="CF214" s="16"/>
      <c r="CG214" s="317"/>
      <c r="CH214" s="317"/>
      <c r="CI214" s="317"/>
      <c r="CJ214" s="317"/>
      <c r="CK214" s="16"/>
      <c r="CL214" s="317"/>
      <c r="CM214" s="317"/>
      <c r="CN214" s="317"/>
      <c r="CO214" s="317"/>
      <c r="CP214" s="16"/>
      <c r="CQ214" s="317"/>
      <c r="CR214" s="317"/>
      <c r="CS214" s="317"/>
      <c r="CT214" s="317"/>
      <c r="CU214" s="16"/>
      <c r="CV214" s="317"/>
      <c r="CW214" s="317"/>
      <c r="CX214" s="317"/>
      <c r="CY214" s="317"/>
      <c r="CZ214" s="16"/>
      <c r="DA214" s="317"/>
      <c r="DB214" s="317"/>
      <c r="DC214" s="317"/>
      <c r="DD214" s="317"/>
      <c r="DE214" s="16"/>
      <c r="DF214" s="317"/>
      <c r="DG214" s="317"/>
      <c r="DH214" s="317"/>
      <c r="DI214" s="317"/>
      <c r="DJ214" s="16"/>
      <c r="DK214" s="317"/>
      <c r="DL214" s="317"/>
      <c r="DM214" s="317"/>
      <c r="DN214" s="317"/>
      <c r="DO214" s="16"/>
      <c r="DP214" s="317"/>
      <c r="DQ214" s="317"/>
      <c r="DR214" s="317"/>
      <c r="DS214" s="317"/>
      <c r="DT214" s="16"/>
      <c r="DU214" s="16"/>
      <c r="DV214" s="16"/>
    </row>
    <row r="215" spans="1:126" s="306" customFormat="1">
      <c r="B215" s="127" t="s">
        <v>206</v>
      </c>
      <c r="C215" s="308"/>
      <c r="D215" s="308"/>
      <c r="E215" s="308"/>
      <c r="F215" s="308"/>
      <c r="G215" s="308"/>
      <c r="H215" s="308"/>
      <c r="I215" s="308"/>
      <c r="N215" s="308"/>
      <c r="S215" s="308"/>
      <c r="X215" s="308"/>
      <c r="AC215" s="308"/>
      <c r="AH215" s="308"/>
      <c r="AM215" s="308"/>
      <c r="AR215" s="308"/>
      <c r="AW215" s="308"/>
      <c r="BB215" s="308"/>
      <c r="BG215" s="308"/>
      <c r="BI215" s="317"/>
      <c r="BL215" s="308"/>
      <c r="BN215" s="317"/>
      <c r="BQ215" s="308"/>
      <c r="BS215" s="317"/>
      <c r="BV215" s="308"/>
      <c r="BX215" s="394"/>
      <c r="CA215" s="308"/>
      <c r="CC215" s="317"/>
      <c r="CF215" s="308"/>
      <c r="CG215" s="317"/>
      <c r="CH215" s="317"/>
      <c r="CI215" s="317"/>
      <c r="CJ215" s="317"/>
      <c r="CK215" s="308"/>
      <c r="CL215" s="317"/>
      <c r="CM215" s="317"/>
      <c r="CN215" s="317"/>
      <c r="CO215" s="317"/>
      <c r="CP215" s="308"/>
      <c r="CQ215" s="317"/>
      <c r="CR215" s="317"/>
      <c r="CS215" s="317"/>
      <c r="CT215" s="317"/>
      <c r="CU215" s="308"/>
      <c r="CV215" s="317"/>
      <c r="CW215" s="317"/>
      <c r="CX215" s="317"/>
      <c r="CY215" s="317"/>
      <c r="CZ215" s="308">
        <v>26641</v>
      </c>
      <c r="DA215" s="317"/>
      <c r="DB215" s="317"/>
      <c r="DC215" s="317"/>
      <c r="DD215" s="317"/>
      <c r="DE215" s="308">
        <v>27332</v>
      </c>
      <c r="DF215" s="317">
        <f t="shared" ref="DF215:DI215" si="639">DF217-DF216</f>
        <v>27561</v>
      </c>
      <c r="DG215" s="317">
        <f t="shared" si="639"/>
        <v>22334</v>
      </c>
      <c r="DH215" s="317">
        <f t="shared" si="639"/>
        <v>22717</v>
      </c>
      <c r="DI215" s="317">
        <f t="shared" si="639"/>
        <v>22949</v>
      </c>
      <c r="DJ215" s="308">
        <f t="shared" ref="DJ215:DN215" si="640">DJ217-DJ216</f>
        <v>22949</v>
      </c>
      <c r="DK215" s="317">
        <f t="shared" si="640"/>
        <v>23308</v>
      </c>
      <c r="DL215" s="317">
        <f t="shared" si="640"/>
        <v>23623</v>
      </c>
      <c r="DM215" s="317">
        <f t="shared" si="640"/>
        <v>23943</v>
      </c>
      <c r="DN215" s="317">
        <f t="shared" si="640"/>
        <v>24293</v>
      </c>
      <c r="DO215" s="308">
        <f t="shared" ref="DO215" si="641">DO217-DO216</f>
        <v>24293</v>
      </c>
      <c r="DP215" s="317"/>
      <c r="DQ215" s="317"/>
      <c r="DR215" s="317"/>
      <c r="DS215" s="317"/>
      <c r="DT215" s="308">
        <f t="shared" ref="DT215:DU215" si="642">DT217-DT216</f>
        <v>25673</v>
      </c>
      <c r="DU215" s="308">
        <f t="shared" si="642"/>
        <v>27073</v>
      </c>
      <c r="DV215" s="308">
        <f t="shared" ref="DV215" si="643">DV217-DV216</f>
        <v>28523</v>
      </c>
    </row>
    <row r="216" spans="1:126" s="306" customFormat="1">
      <c r="B216" s="127" t="s">
        <v>194</v>
      </c>
      <c r="C216" s="309"/>
      <c r="D216" s="309"/>
      <c r="E216" s="309"/>
      <c r="F216" s="309"/>
      <c r="G216" s="309"/>
      <c r="H216" s="309"/>
      <c r="I216" s="309"/>
      <c r="J216" s="310"/>
      <c r="K216" s="310"/>
      <c r="L216" s="310"/>
      <c r="M216" s="310"/>
      <c r="N216" s="309"/>
      <c r="O216" s="310"/>
      <c r="P216" s="310"/>
      <c r="Q216" s="310"/>
      <c r="R216" s="310"/>
      <c r="S216" s="309"/>
      <c r="T216" s="310"/>
      <c r="U216" s="310"/>
      <c r="V216" s="310"/>
      <c r="W216" s="310"/>
      <c r="X216" s="309"/>
      <c r="Y216" s="310"/>
      <c r="Z216" s="310"/>
      <c r="AA216" s="310"/>
      <c r="AB216" s="310"/>
      <c r="AC216" s="309"/>
      <c r="AD216" s="310"/>
      <c r="AE216" s="310"/>
      <c r="AF216" s="310"/>
      <c r="AG216" s="310"/>
      <c r="AH216" s="309"/>
      <c r="AI216" s="310"/>
      <c r="AJ216" s="310"/>
      <c r="AK216" s="310"/>
      <c r="AL216" s="310"/>
      <c r="AM216" s="309"/>
      <c r="AR216" s="309"/>
      <c r="AS216" s="310"/>
      <c r="AT216" s="310"/>
      <c r="AU216" s="310"/>
      <c r="AV216" s="310"/>
      <c r="AW216" s="309"/>
      <c r="AX216" s="310"/>
      <c r="AY216" s="310"/>
      <c r="AZ216" s="310"/>
      <c r="BA216" s="310"/>
      <c r="BB216" s="309"/>
      <c r="BC216" s="310"/>
      <c r="BD216" s="310"/>
      <c r="BE216" s="310"/>
      <c r="BF216" s="310"/>
      <c r="BG216" s="309"/>
      <c r="BH216" s="310"/>
      <c r="BI216" s="310"/>
      <c r="BJ216" s="310"/>
      <c r="BK216" s="310"/>
      <c r="BL216" s="309"/>
      <c r="BM216" s="310"/>
      <c r="BN216" s="310"/>
      <c r="BO216" s="310"/>
      <c r="BP216" s="310"/>
      <c r="BQ216" s="309"/>
      <c r="BR216" s="310"/>
      <c r="BS216" s="310"/>
      <c r="BT216" s="310"/>
      <c r="BU216" s="310"/>
      <c r="BV216" s="309"/>
      <c r="BW216" s="310"/>
      <c r="BX216" s="392"/>
      <c r="BY216" s="310"/>
      <c r="BZ216" s="310"/>
      <c r="CA216" s="309"/>
      <c r="CB216" s="310"/>
      <c r="CC216" s="310"/>
      <c r="CD216" s="310"/>
      <c r="CE216" s="310"/>
      <c r="CF216" s="309"/>
      <c r="CG216" s="310"/>
      <c r="CH216" s="310"/>
      <c r="CI216" s="310"/>
      <c r="CJ216" s="310"/>
      <c r="CK216" s="309"/>
      <c r="CL216" s="310"/>
      <c r="CM216" s="310"/>
      <c r="CN216" s="310"/>
      <c r="CO216" s="310"/>
      <c r="CP216" s="311"/>
      <c r="CQ216" s="310"/>
      <c r="CR216" s="310"/>
      <c r="CS216" s="310"/>
      <c r="CT216" s="310"/>
      <c r="CU216" s="311"/>
      <c r="CV216" s="310"/>
      <c r="CW216" s="310"/>
      <c r="CX216" s="310"/>
      <c r="CY216" s="310"/>
      <c r="CZ216" s="311">
        <f>CZ217-CZ215</f>
        <v>-14449</v>
      </c>
      <c r="DA216" s="310"/>
      <c r="DB216" s="310"/>
      <c r="DC216" s="310"/>
      <c r="DD216" s="310"/>
      <c r="DE216" s="311">
        <f>DE217-DE215</f>
        <v>-14838</v>
      </c>
      <c r="DF216" s="310">
        <f>DE216-CFLO!DF8</f>
        <v>-15216</v>
      </c>
      <c r="DG216" s="310">
        <f>DF216-CFLO!DG8</f>
        <v>-15239</v>
      </c>
      <c r="DH216" s="310">
        <f>DG216-CFLO!DH8</f>
        <v>-15463</v>
      </c>
      <c r="DI216" s="310">
        <f>DH216-CFLO!DI8</f>
        <v>-15672</v>
      </c>
      <c r="DJ216" s="311">
        <f>DE216-CFLO!DJ8</f>
        <v>-15672</v>
      </c>
      <c r="DK216" s="310">
        <f>DJ216-CFLO!DK8</f>
        <v>-15882</v>
      </c>
      <c r="DL216" s="310">
        <f>DK216-CFLO!DL8</f>
        <v>-16100</v>
      </c>
      <c r="DM216" s="310">
        <f>DL216-CFLO!DM8</f>
        <v>-16450</v>
      </c>
      <c r="DN216" s="310">
        <f>DM216-CFLO!DN8</f>
        <v>-16835</v>
      </c>
      <c r="DO216" s="311">
        <f>DJ216-CFLO!DO8</f>
        <v>-16835</v>
      </c>
      <c r="DP216" s="310"/>
      <c r="DQ216" s="310"/>
      <c r="DR216" s="310"/>
      <c r="DS216" s="310"/>
      <c r="DT216" s="311">
        <f>DO216-CFLO!DT8</f>
        <v>-18290</v>
      </c>
      <c r="DU216" s="311">
        <f>DT216-CFLO!DU8</f>
        <v>-19790</v>
      </c>
      <c r="DV216" s="311">
        <f>DU216-CFLO!DV8</f>
        <v>-21300</v>
      </c>
    </row>
    <row r="217" spans="1:126" s="306" customFormat="1">
      <c r="B217" s="127" t="s">
        <v>195</v>
      </c>
      <c r="C217" s="308"/>
      <c r="D217" s="308"/>
      <c r="E217" s="308"/>
      <c r="F217" s="308"/>
      <c r="G217" s="308"/>
      <c r="H217" s="308"/>
      <c r="I217" s="308"/>
      <c r="N217" s="308"/>
      <c r="S217" s="308"/>
      <c r="X217" s="308"/>
      <c r="AC217" s="308"/>
      <c r="AH217" s="308"/>
      <c r="AM217" s="308"/>
      <c r="AR217" s="308"/>
      <c r="AW217" s="308"/>
      <c r="BB217" s="308"/>
      <c r="BG217" s="308"/>
      <c r="BI217" s="317"/>
      <c r="BL217" s="308"/>
      <c r="BN217" s="317"/>
      <c r="BQ217" s="308"/>
      <c r="BS217" s="317"/>
      <c r="BV217" s="308"/>
      <c r="BX217" s="394"/>
      <c r="CA217" s="308"/>
      <c r="CC217" s="317"/>
      <c r="CF217" s="308"/>
      <c r="CG217" s="317"/>
      <c r="CH217" s="317"/>
      <c r="CI217" s="317"/>
      <c r="CJ217" s="317"/>
      <c r="CK217" s="308"/>
      <c r="CL217" s="317"/>
      <c r="CM217" s="317"/>
      <c r="CN217" s="317"/>
      <c r="CO217" s="317"/>
      <c r="CP217" s="308"/>
      <c r="CQ217" s="317"/>
      <c r="CR217" s="317"/>
      <c r="CS217" s="317"/>
      <c r="CT217" s="317"/>
      <c r="CU217" s="308"/>
      <c r="CV217" s="317"/>
      <c r="CW217" s="317"/>
      <c r="CX217" s="317"/>
      <c r="CY217" s="317"/>
      <c r="CZ217" s="308">
        <f>BS!CZ16</f>
        <v>12192</v>
      </c>
      <c r="DA217" s="317"/>
      <c r="DB217" s="317"/>
      <c r="DC217" s="317"/>
      <c r="DD217" s="317"/>
      <c r="DE217" s="308">
        <f>BS!DE16</f>
        <v>12494</v>
      </c>
      <c r="DF217" s="317">
        <f>BS!DF16</f>
        <v>12345</v>
      </c>
      <c r="DG217" s="317">
        <f>BS!DG16</f>
        <v>7095</v>
      </c>
      <c r="DH217" s="317">
        <f>BS!DH16</f>
        <v>7254</v>
      </c>
      <c r="DI217" s="317">
        <f>BS!DI16</f>
        <v>7277</v>
      </c>
      <c r="DJ217" s="308">
        <f>BS!DJ16</f>
        <v>7277</v>
      </c>
      <c r="DK217" s="317">
        <f>BS!DK16</f>
        <v>7426</v>
      </c>
      <c r="DL217" s="317">
        <f>BS!DL16</f>
        <v>7523</v>
      </c>
      <c r="DM217" s="317">
        <f>BS!DM16</f>
        <v>7493</v>
      </c>
      <c r="DN217" s="317">
        <f>BS!DN16</f>
        <v>7458</v>
      </c>
      <c r="DO217" s="308">
        <f>BS!DO16</f>
        <v>7458</v>
      </c>
      <c r="DP217" s="317"/>
      <c r="DQ217" s="317"/>
      <c r="DR217" s="317"/>
      <c r="DS217" s="317"/>
      <c r="DT217" s="308">
        <f>BS!DT16</f>
        <v>7383</v>
      </c>
      <c r="DU217" s="308">
        <f>BS!DU16</f>
        <v>7283</v>
      </c>
      <c r="DV217" s="308">
        <f>BS!DV16</f>
        <v>7223</v>
      </c>
    </row>
    <row r="218" spans="1:126" s="306" customFormat="1">
      <c r="B218" s="951" t="s">
        <v>134</v>
      </c>
      <c r="C218" s="308"/>
      <c r="D218" s="308"/>
      <c r="E218" s="308"/>
      <c r="F218" s="308"/>
      <c r="G218" s="308"/>
      <c r="H218" s="308"/>
      <c r="I218" s="308"/>
      <c r="N218" s="308"/>
      <c r="S218" s="308"/>
      <c r="X218" s="308"/>
      <c r="AC218" s="308"/>
      <c r="AH218" s="308"/>
      <c r="AM218" s="308"/>
      <c r="AR218" s="308"/>
      <c r="AW218" s="308"/>
      <c r="BB218" s="309"/>
      <c r="BG218" s="309"/>
      <c r="BI218" s="317"/>
      <c r="BL218" s="309"/>
      <c r="BN218" s="317"/>
      <c r="BQ218" s="309"/>
      <c r="BS218" s="317"/>
      <c r="BV218" s="309"/>
      <c r="BX218" s="394"/>
      <c r="CA218" s="309"/>
      <c r="CC218" s="317"/>
      <c r="CF218" s="309"/>
      <c r="CG218" s="317"/>
      <c r="CH218" s="317"/>
      <c r="CI218" s="317"/>
      <c r="CJ218" s="317"/>
      <c r="CK218" s="309"/>
      <c r="CL218" s="317"/>
      <c r="CM218" s="317"/>
      <c r="CN218" s="317"/>
      <c r="CO218" s="317"/>
      <c r="CP218" s="311"/>
      <c r="CQ218" s="317"/>
      <c r="CR218" s="317"/>
      <c r="CS218" s="317"/>
      <c r="CT218" s="317"/>
      <c r="CU218" s="311"/>
      <c r="CV218" s="317"/>
      <c r="CW218" s="317"/>
      <c r="CX218" s="317"/>
      <c r="CY218" s="317"/>
      <c r="CZ218" s="311">
        <v>-9137</v>
      </c>
      <c r="DA218" s="317"/>
      <c r="DB218" s="317"/>
      <c r="DC218" s="317"/>
      <c r="DD218" s="317"/>
      <c r="DE218" s="311">
        <v>-9061</v>
      </c>
      <c r="DF218" s="317">
        <f>DE218-CFLO!DF9</f>
        <v>-9206</v>
      </c>
      <c r="DG218" s="317">
        <f>DF218-CFLO!DG9</f>
        <v>-9233</v>
      </c>
      <c r="DH218" s="317">
        <f>DG218-CFLO!DH9</f>
        <v>-9322</v>
      </c>
      <c r="DI218" s="317">
        <f>DH218-CFLO!DI9</f>
        <v>-9411</v>
      </c>
      <c r="DJ218" s="311">
        <f>DE218-CFLO!DJ9</f>
        <v>-9411</v>
      </c>
      <c r="DK218" s="317">
        <f>DJ218-CFLO!DK9</f>
        <v>-9500</v>
      </c>
      <c r="DL218" s="317">
        <f>DK218-CFLO!DL9</f>
        <v>-9593</v>
      </c>
      <c r="DM218" s="317">
        <f>DL218-CFLO!DM9</f>
        <v>-9753</v>
      </c>
      <c r="DN218" s="317">
        <f>DM218-CFLO!DN9</f>
        <v>-9933</v>
      </c>
      <c r="DO218" s="311">
        <f>DJ218-CFLO!DO9</f>
        <v>-9933</v>
      </c>
      <c r="DP218" s="317"/>
      <c r="DQ218" s="317"/>
      <c r="DR218" s="317"/>
      <c r="DS218" s="317"/>
      <c r="DT218" s="311">
        <f>DO218-CFLO!DT9</f>
        <v>-10593</v>
      </c>
      <c r="DU218" s="311">
        <f>DT218-CFLO!DU9</f>
        <v>-11263</v>
      </c>
      <c r="DV218" s="311">
        <f>DU218-CFLO!DV9</f>
        <v>-11943</v>
      </c>
    </row>
    <row r="219" spans="1:126" s="306" customFormat="1">
      <c r="B219" s="951"/>
      <c r="C219" s="308"/>
      <c r="D219" s="308"/>
      <c r="E219" s="308"/>
      <c r="F219" s="308"/>
      <c r="G219" s="308"/>
      <c r="H219" s="308"/>
      <c r="I219" s="308"/>
      <c r="N219" s="308"/>
      <c r="S219" s="308"/>
      <c r="X219" s="308"/>
      <c r="AC219" s="308"/>
      <c r="AH219" s="308"/>
      <c r="AM219" s="308"/>
      <c r="AR219" s="308"/>
      <c r="AW219" s="308"/>
      <c r="BB219" s="309"/>
      <c r="BG219" s="309"/>
      <c r="BI219" s="317"/>
      <c r="BL219" s="309"/>
      <c r="BN219" s="317"/>
      <c r="BQ219" s="309"/>
      <c r="BS219" s="317"/>
      <c r="BV219" s="309"/>
      <c r="BX219" s="394"/>
      <c r="CA219" s="309"/>
      <c r="CC219" s="317"/>
      <c r="CF219" s="309"/>
      <c r="CG219" s="317"/>
      <c r="CH219" s="317"/>
      <c r="CI219" s="317"/>
      <c r="CJ219" s="317"/>
      <c r="CK219" s="309"/>
      <c r="CL219" s="317"/>
      <c r="CM219" s="317"/>
      <c r="CN219" s="317"/>
      <c r="CO219" s="317"/>
      <c r="CP219" s="311"/>
      <c r="CQ219" s="317"/>
      <c r="CR219" s="317"/>
      <c r="CS219" s="317"/>
      <c r="CT219" s="317"/>
      <c r="CU219" s="311"/>
      <c r="CV219" s="317"/>
      <c r="CW219" s="317"/>
      <c r="CX219" s="317"/>
      <c r="CY219" s="317"/>
      <c r="CZ219" s="311"/>
      <c r="DA219" s="317"/>
      <c r="DB219" s="317"/>
      <c r="DC219" s="317"/>
      <c r="DD219" s="317"/>
      <c r="DE219" s="311"/>
      <c r="DF219" s="317"/>
      <c r="DG219" s="317"/>
      <c r="DH219" s="317"/>
      <c r="DI219" s="317"/>
      <c r="DJ219" s="311"/>
      <c r="DK219" s="317"/>
      <c r="DL219" s="317"/>
      <c r="DM219" s="317"/>
      <c r="DN219" s="317"/>
      <c r="DO219" s="311"/>
      <c r="DP219" s="317"/>
      <c r="DQ219" s="317"/>
      <c r="DR219" s="317"/>
      <c r="DS219" s="317"/>
      <c r="DT219" s="311"/>
      <c r="DU219" s="311"/>
      <c r="DV219" s="311"/>
    </row>
    <row r="220" spans="1:126" s="306" customFormat="1">
      <c r="B220" s="951" t="s">
        <v>564</v>
      </c>
      <c r="C220" s="308"/>
      <c r="D220" s="308"/>
      <c r="E220" s="308"/>
      <c r="F220" s="308"/>
      <c r="G220" s="308"/>
      <c r="H220" s="308"/>
      <c r="I220" s="308"/>
      <c r="N220" s="308"/>
      <c r="S220" s="308"/>
      <c r="X220" s="308"/>
      <c r="AC220" s="308"/>
      <c r="AH220" s="308"/>
      <c r="AM220" s="308"/>
      <c r="AR220" s="308"/>
      <c r="AW220" s="308"/>
      <c r="BB220" s="309"/>
      <c r="BG220" s="309"/>
      <c r="BI220" s="317"/>
      <c r="BL220" s="309"/>
      <c r="BN220" s="317"/>
      <c r="BQ220" s="309"/>
      <c r="BS220" s="317"/>
      <c r="BV220" s="309"/>
      <c r="BX220" s="394"/>
      <c r="CA220" s="309"/>
      <c r="CC220" s="317"/>
      <c r="CF220" s="309"/>
      <c r="CG220" s="317"/>
      <c r="CH220" s="317"/>
      <c r="CI220" s="317"/>
      <c r="CJ220" s="317"/>
      <c r="CK220" s="309"/>
      <c r="CL220" s="317"/>
      <c r="CM220" s="317"/>
      <c r="CN220" s="317"/>
      <c r="CO220" s="317">
        <v>2852</v>
      </c>
      <c r="CP220" s="308">
        <f>CO220</f>
        <v>2852</v>
      </c>
      <c r="CQ220" s="317">
        <v>2808</v>
      </c>
      <c r="CR220" s="317">
        <v>2753</v>
      </c>
      <c r="CS220" s="317">
        <v>2720</v>
      </c>
      <c r="CT220" s="317">
        <v>2606</v>
      </c>
      <c r="CU220" s="308">
        <f>CT220</f>
        <v>2606</v>
      </c>
      <c r="CV220" s="317">
        <v>2440</v>
      </c>
      <c r="CW220" s="317">
        <v>2930</v>
      </c>
      <c r="CX220" s="317">
        <v>2282</v>
      </c>
      <c r="CY220" s="317">
        <v>12192</v>
      </c>
      <c r="CZ220" s="308">
        <f>CY220</f>
        <v>12192</v>
      </c>
      <c r="DA220" s="317">
        <v>1853</v>
      </c>
      <c r="DB220" s="317">
        <v>1932</v>
      </c>
      <c r="DC220" s="317">
        <v>1816</v>
      </c>
      <c r="DD220" s="317">
        <v>1840</v>
      </c>
      <c r="DE220" s="308">
        <f>DD220</f>
        <v>1840</v>
      </c>
      <c r="DF220" s="317"/>
      <c r="DG220" s="317"/>
      <c r="DH220" s="317"/>
      <c r="DI220" s="317"/>
      <c r="DJ220" s="311"/>
      <c r="DK220" s="317"/>
      <c r="DL220" s="317"/>
      <c r="DM220" s="317"/>
      <c r="DN220" s="317"/>
      <c r="DO220" s="311"/>
      <c r="DP220" s="317"/>
      <c r="DQ220" s="317"/>
      <c r="DR220" s="317"/>
      <c r="DS220" s="317"/>
      <c r="DT220" s="311"/>
      <c r="DU220" s="311"/>
      <c r="DV220" s="311"/>
    </row>
    <row r="221" spans="1:126" s="306" customFormat="1">
      <c r="B221" s="951" t="s">
        <v>565</v>
      </c>
      <c r="C221" s="308"/>
      <c r="D221" s="308"/>
      <c r="E221" s="308"/>
      <c r="F221" s="308"/>
      <c r="G221" s="308"/>
      <c r="H221" s="308"/>
      <c r="I221" s="308"/>
      <c r="N221" s="308"/>
      <c r="S221" s="308"/>
      <c r="X221" s="308"/>
      <c r="AC221" s="308"/>
      <c r="AH221" s="308"/>
      <c r="AM221" s="308"/>
      <c r="AR221" s="308"/>
      <c r="AW221" s="308"/>
      <c r="BB221" s="309"/>
      <c r="BG221" s="309"/>
      <c r="BI221" s="317"/>
      <c r="BL221" s="309"/>
      <c r="BN221" s="317"/>
      <c r="BQ221" s="309"/>
      <c r="BS221" s="317"/>
      <c r="BV221" s="309"/>
      <c r="BX221" s="394"/>
      <c r="CA221" s="309"/>
      <c r="CC221" s="317"/>
      <c r="CF221" s="309"/>
      <c r="CG221" s="317"/>
      <c r="CH221" s="317"/>
      <c r="CI221" s="317"/>
      <c r="CJ221" s="317"/>
      <c r="CK221" s="309"/>
      <c r="CL221" s="317"/>
      <c r="CM221" s="317"/>
      <c r="CN221" s="317"/>
      <c r="CO221" s="317">
        <v>3195</v>
      </c>
      <c r="CP221" s="308">
        <f>CO221</f>
        <v>3195</v>
      </c>
      <c r="CQ221" s="317">
        <v>3143</v>
      </c>
      <c r="CR221" s="317">
        <v>3051</v>
      </c>
      <c r="CS221" s="317">
        <v>3004</v>
      </c>
      <c r="CT221" s="317">
        <v>2848</v>
      </c>
      <c r="CU221" s="308">
        <f>CT221</f>
        <v>2848</v>
      </c>
      <c r="CV221" s="317">
        <v>2679</v>
      </c>
      <c r="CW221" s="317">
        <v>2622</v>
      </c>
      <c r="CX221" s="317">
        <v>2504</v>
      </c>
      <c r="CY221" s="317">
        <v>2089</v>
      </c>
      <c r="CZ221" s="308">
        <f>CY221</f>
        <v>2089</v>
      </c>
      <c r="DA221" s="317">
        <v>2083</v>
      </c>
      <c r="DB221" s="317">
        <v>2097</v>
      </c>
      <c r="DC221" s="317">
        <v>1967</v>
      </c>
      <c r="DD221" s="317">
        <v>1973</v>
      </c>
      <c r="DE221" s="308">
        <f>DD221</f>
        <v>1973</v>
      </c>
      <c r="DF221" s="317"/>
      <c r="DG221" s="317"/>
      <c r="DH221" s="317"/>
      <c r="DI221" s="317"/>
      <c r="DJ221" s="311"/>
      <c r="DK221" s="317"/>
      <c r="DL221" s="317"/>
      <c r="DM221" s="317"/>
      <c r="DN221" s="317"/>
      <c r="DO221" s="311"/>
      <c r="DP221" s="317"/>
      <c r="DQ221" s="317"/>
      <c r="DR221" s="317"/>
      <c r="DS221" s="317"/>
      <c r="DT221" s="311"/>
      <c r="DU221" s="311"/>
      <c r="DV221" s="311"/>
    </row>
    <row r="222" spans="1:126" s="15" customFormat="1">
      <c r="A222" s="12"/>
      <c r="B222" s="12"/>
      <c r="C222" s="16"/>
      <c r="D222" s="16"/>
      <c r="E222" s="16"/>
      <c r="F222" s="16"/>
      <c r="G222" s="16"/>
      <c r="H222" s="16"/>
      <c r="I222" s="16"/>
      <c r="J222" s="12"/>
      <c r="K222" s="12"/>
      <c r="L222" s="12"/>
      <c r="M222" s="12"/>
      <c r="N222" s="16"/>
      <c r="O222" s="12"/>
      <c r="P222" s="12"/>
      <c r="Q222" s="12"/>
      <c r="R222" s="12"/>
      <c r="S222" s="16"/>
      <c r="T222" s="12"/>
      <c r="U222" s="12"/>
      <c r="V222" s="12"/>
      <c r="W222" s="12"/>
      <c r="X222" s="16"/>
      <c r="Y222" s="12"/>
      <c r="Z222" s="12"/>
      <c r="AA222" s="12"/>
      <c r="AB222" s="12"/>
      <c r="AC222" s="16"/>
      <c r="AD222" s="12"/>
      <c r="AE222" s="12"/>
      <c r="AF222" s="12"/>
      <c r="AG222" s="12"/>
      <c r="AH222" s="16"/>
      <c r="AI222" s="12"/>
      <c r="AJ222" s="12"/>
      <c r="AK222" s="12"/>
      <c r="AL222" s="128"/>
      <c r="AM222" s="16"/>
      <c r="AN222" s="128"/>
      <c r="AO222" s="128"/>
      <c r="AP222" s="252"/>
      <c r="AQ222" s="252"/>
      <c r="AR222" s="16"/>
      <c r="AS222" s="252"/>
      <c r="AT222" s="252"/>
      <c r="AU222" s="252"/>
      <c r="AV222" s="252"/>
      <c r="AW222" s="16"/>
      <c r="AX222" s="252"/>
      <c r="AY222" s="252"/>
      <c r="AZ222" s="252"/>
      <c r="BA222" s="252"/>
      <c r="BB222" s="247"/>
      <c r="BC222" s="252"/>
      <c r="BD222" s="252"/>
      <c r="BE222" s="252"/>
      <c r="BF222" s="252"/>
      <c r="BG222" s="247"/>
      <c r="BH222" s="252"/>
      <c r="BI222" s="389"/>
      <c r="BJ222" s="252"/>
      <c r="BK222" s="389"/>
      <c r="BL222" s="247"/>
      <c r="BM222" s="252"/>
      <c r="BN222" s="389"/>
      <c r="BO222" s="252"/>
      <c r="BP222" s="389"/>
      <c r="BQ222" s="247"/>
      <c r="BR222" s="252"/>
      <c r="BS222" s="389"/>
      <c r="BT222" s="252"/>
      <c r="BU222" s="389"/>
      <c r="BV222" s="247"/>
      <c r="BW222" s="252"/>
      <c r="BX222" s="399"/>
      <c r="BY222" s="252"/>
      <c r="BZ222" s="389"/>
      <c r="CA222" s="247"/>
      <c r="CB222" s="252"/>
      <c r="CC222" s="389"/>
      <c r="CD222" s="252"/>
      <c r="CE222" s="389"/>
      <c r="CF222" s="247"/>
      <c r="CG222" s="389"/>
      <c r="CH222" s="389"/>
      <c r="CI222" s="389"/>
      <c r="CJ222" s="389"/>
      <c r="CK222" s="247"/>
      <c r="CL222" s="389"/>
      <c r="CM222" s="389"/>
      <c r="CN222" s="389"/>
      <c r="CO222" s="389"/>
      <c r="CP222" s="247"/>
      <c r="CQ222" s="389"/>
      <c r="CR222" s="389"/>
      <c r="CS222" s="389"/>
      <c r="CT222" s="389"/>
      <c r="CU222" s="247"/>
      <c r="CV222" s="389"/>
      <c r="CW222" s="389"/>
      <c r="CX222" s="389"/>
      <c r="CY222" s="389"/>
      <c r="CZ222" s="247"/>
      <c r="DA222" s="389"/>
      <c r="DB222" s="389"/>
      <c r="DC222" s="389"/>
      <c r="DD222" s="389"/>
      <c r="DE222" s="247"/>
      <c r="DF222" s="389"/>
      <c r="DG222" s="389"/>
      <c r="DH222" s="389"/>
      <c r="DI222" s="389"/>
      <c r="DJ222" s="247"/>
      <c r="DK222" s="389"/>
      <c r="DL222" s="389"/>
      <c r="DM222" s="389"/>
      <c r="DN222" s="389"/>
      <c r="DO222" s="247"/>
      <c r="DP222" s="389"/>
      <c r="DQ222" s="389"/>
      <c r="DR222" s="389"/>
      <c r="DS222" s="389"/>
      <c r="DT222" s="247"/>
      <c r="DU222" s="247"/>
      <c r="DV222" s="247"/>
    </row>
    <row r="223" spans="1:126" s="15" customFormat="1" hidden="1" outlineLevel="1">
      <c r="A223" s="12"/>
      <c r="B223" s="301" t="s">
        <v>207</v>
      </c>
      <c r="C223" s="16"/>
      <c r="D223" s="16"/>
      <c r="E223" s="16"/>
      <c r="F223" s="16"/>
      <c r="G223" s="16"/>
      <c r="H223" s="16"/>
      <c r="I223" s="16"/>
      <c r="J223" s="12"/>
      <c r="K223" s="12"/>
      <c r="L223" s="12"/>
      <c r="M223" s="12"/>
      <c r="N223" s="16"/>
      <c r="O223" s="12"/>
      <c r="P223" s="12"/>
      <c r="Q223" s="12"/>
      <c r="R223" s="12"/>
      <c r="S223" s="16"/>
      <c r="T223" s="12"/>
      <c r="U223" s="12"/>
      <c r="V223" s="12"/>
      <c r="W223" s="12"/>
      <c r="X223" s="16"/>
      <c r="Y223" s="12"/>
      <c r="Z223" s="12"/>
      <c r="AA223" s="12"/>
      <c r="AB223" s="12"/>
      <c r="AC223" s="16"/>
      <c r="AD223" s="12"/>
      <c r="AE223" s="12"/>
      <c r="AF223" s="12"/>
      <c r="AG223" s="12"/>
      <c r="AH223" s="16"/>
      <c r="AI223" s="12"/>
      <c r="AJ223" s="12"/>
      <c r="AK223" s="12"/>
      <c r="AL223" s="128"/>
      <c r="AM223" s="16"/>
      <c r="AN223" s="128"/>
      <c r="AO223" s="128"/>
      <c r="AP223" s="252"/>
      <c r="AQ223" s="252"/>
      <c r="AR223" s="16"/>
      <c r="AS223" s="252"/>
      <c r="AT223" s="252"/>
      <c r="AU223" s="252"/>
      <c r="AV223" s="252"/>
      <c r="AW223" s="16"/>
      <c r="AX223" s="252"/>
      <c r="AY223" s="252"/>
      <c r="AZ223" s="252"/>
      <c r="BA223" s="252"/>
      <c r="BB223" s="222"/>
      <c r="BC223" s="252"/>
      <c r="BD223" s="252"/>
      <c r="BE223" s="252"/>
      <c r="BF223" s="252"/>
      <c r="BG223" s="222"/>
      <c r="BH223" s="252"/>
      <c r="BI223" s="389"/>
      <c r="BJ223" s="252"/>
      <c r="BK223" s="389"/>
      <c r="BL223" s="222"/>
      <c r="BM223" s="252"/>
      <c r="BN223" s="389"/>
      <c r="BO223" s="252"/>
      <c r="BP223" s="389"/>
      <c r="BQ223" s="222"/>
      <c r="BR223" s="252"/>
      <c r="BS223" s="389"/>
      <c r="BT223" s="252"/>
      <c r="BU223" s="389"/>
      <c r="BV223" s="222"/>
      <c r="BW223" s="252"/>
      <c r="BX223" s="399"/>
      <c r="BY223" s="252"/>
      <c r="BZ223" s="389"/>
      <c r="CA223" s="247"/>
      <c r="CB223" s="252"/>
      <c r="CC223" s="389"/>
      <c r="CD223" s="252"/>
      <c r="CE223" s="389"/>
      <c r="CF223" s="222"/>
      <c r="CG223" s="389"/>
      <c r="CH223" s="389"/>
      <c r="CI223" s="389"/>
      <c r="CJ223" s="389"/>
      <c r="CK223" s="222"/>
      <c r="CL223" s="389"/>
      <c r="CM223" s="389"/>
      <c r="CN223" s="389"/>
      <c r="CO223" s="389"/>
      <c r="CP223" s="247"/>
      <c r="CQ223" s="389"/>
      <c r="CR223" s="389"/>
      <c r="CS223" s="389"/>
      <c r="CT223" s="389"/>
      <c r="CU223" s="247"/>
      <c r="CV223" s="389"/>
      <c r="CW223" s="389"/>
      <c r="CX223" s="389"/>
      <c r="CY223" s="389"/>
      <c r="CZ223" s="247"/>
      <c r="DA223" s="389"/>
      <c r="DB223" s="389"/>
      <c r="DC223" s="389"/>
      <c r="DD223" s="389"/>
      <c r="DE223" s="247"/>
      <c r="DF223" s="389"/>
      <c r="DG223" s="389"/>
      <c r="DH223" s="389"/>
      <c r="DI223" s="389"/>
      <c r="DJ223" s="247"/>
      <c r="DK223" s="389"/>
      <c r="DL223" s="389"/>
      <c r="DM223" s="389"/>
      <c r="DN223" s="389"/>
      <c r="DO223" s="247"/>
      <c r="DP223" s="389"/>
      <c r="DQ223" s="389"/>
      <c r="DR223" s="389"/>
      <c r="DS223" s="389"/>
      <c r="DT223" s="247"/>
      <c r="DU223" s="247"/>
      <c r="DV223" s="247"/>
    </row>
    <row r="224" spans="1:126" s="15" customFormat="1" hidden="1" outlineLevel="1">
      <c r="A224" s="12"/>
      <c r="B224" s="301"/>
      <c r="C224" s="16"/>
      <c r="D224" s="16"/>
      <c r="E224" s="16"/>
      <c r="F224" s="16"/>
      <c r="G224" s="16"/>
      <c r="H224" s="16"/>
      <c r="I224" s="16"/>
      <c r="J224" s="12"/>
      <c r="K224" s="12"/>
      <c r="L224" s="12"/>
      <c r="M224" s="12"/>
      <c r="N224" s="16"/>
      <c r="O224" s="12"/>
      <c r="P224" s="12"/>
      <c r="Q224" s="12"/>
      <c r="R224" s="12"/>
      <c r="S224" s="16"/>
      <c r="T224" s="12"/>
      <c r="U224" s="12"/>
      <c r="V224" s="12"/>
      <c r="W224" s="12"/>
      <c r="X224" s="16"/>
      <c r="Y224" s="12"/>
      <c r="Z224" s="12"/>
      <c r="AA224" s="12"/>
      <c r="AB224" s="12"/>
      <c r="AC224" s="16"/>
      <c r="AD224" s="12"/>
      <c r="AE224" s="12"/>
      <c r="AF224" s="12"/>
      <c r="AG224" s="12"/>
      <c r="AH224" s="16"/>
      <c r="AI224" s="12"/>
      <c r="AJ224" s="12"/>
      <c r="AK224" s="12"/>
      <c r="AL224" s="128"/>
      <c r="AM224" s="16"/>
      <c r="AN224" s="128"/>
      <c r="AO224" s="128"/>
      <c r="AP224" s="252"/>
      <c r="AQ224" s="252"/>
      <c r="AR224" s="16"/>
      <c r="AS224" s="252"/>
      <c r="AT224" s="252"/>
      <c r="AU224" s="252"/>
      <c r="AV224" s="252"/>
      <c r="AW224" s="16"/>
      <c r="AX224" s="252"/>
      <c r="AY224" s="252"/>
      <c r="AZ224" s="252"/>
      <c r="BA224" s="252"/>
      <c r="BB224" s="222"/>
      <c r="BC224" s="252"/>
      <c r="BD224" s="252"/>
      <c r="BE224" s="252"/>
      <c r="BF224" s="252"/>
      <c r="BG224" s="222"/>
      <c r="BH224" s="252"/>
      <c r="BI224" s="389"/>
      <c r="BJ224" s="252"/>
      <c r="BK224" s="389"/>
      <c r="BL224" s="222"/>
      <c r="BM224" s="252"/>
      <c r="BN224" s="389"/>
      <c r="BO224" s="252"/>
      <c r="BP224" s="389"/>
      <c r="BQ224" s="222"/>
      <c r="BR224" s="252"/>
      <c r="BS224" s="389"/>
      <c r="BT224" s="252"/>
      <c r="BU224" s="389"/>
      <c r="BV224" s="247"/>
      <c r="BW224" s="252"/>
      <c r="BX224" s="399"/>
      <c r="BY224" s="252"/>
      <c r="BZ224" s="389"/>
      <c r="CA224" s="247"/>
      <c r="CB224" s="252"/>
      <c r="CC224" s="389"/>
      <c r="CD224" s="252"/>
      <c r="CE224" s="389"/>
      <c r="CF224" s="247"/>
      <c r="CG224" s="389"/>
      <c r="CH224" s="389"/>
      <c r="CI224" s="389"/>
      <c r="CJ224" s="389"/>
      <c r="CK224" s="247"/>
      <c r="CL224" s="389"/>
      <c r="CM224" s="389"/>
      <c r="CN224" s="389"/>
      <c r="CO224" s="389"/>
      <c r="CP224" s="247"/>
      <c r="CQ224" s="389"/>
      <c r="CR224" s="389"/>
      <c r="CS224" s="389"/>
      <c r="CT224" s="389"/>
      <c r="CU224" s="247"/>
      <c r="CV224" s="389"/>
      <c r="CW224" s="389"/>
      <c r="CX224" s="389"/>
      <c r="CY224" s="389"/>
      <c r="CZ224" s="247"/>
      <c r="DA224" s="389"/>
      <c r="DB224" s="389"/>
      <c r="DC224" s="389"/>
      <c r="DD224" s="389"/>
      <c r="DE224" s="247"/>
      <c r="DF224" s="389"/>
      <c r="DG224" s="389"/>
      <c r="DH224" s="389"/>
      <c r="DI224" s="389"/>
      <c r="DJ224" s="247"/>
      <c r="DK224" s="389"/>
      <c r="DL224" s="389"/>
      <c r="DM224" s="389"/>
      <c r="DN224" s="389"/>
      <c r="DO224" s="247"/>
      <c r="DP224" s="389"/>
      <c r="DQ224" s="389"/>
      <c r="DR224" s="389"/>
      <c r="DS224" s="389"/>
      <c r="DT224" s="247"/>
      <c r="DU224" s="247"/>
      <c r="DV224" s="247"/>
    </row>
    <row r="225" spans="1:126" s="15" customFormat="1" ht="12" collapsed="1">
      <c r="A225" s="12"/>
      <c r="B225" s="339" t="s">
        <v>263</v>
      </c>
      <c r="C225" s="16"/>
      <c r="D225" s="16"/>
      <c r="E225" s="16"/>
      <c r="F225" s="16"/>
      <c r="G225" s="16"/>
      <c r="H225" s="16"/>
      <c r="I225" s="16"/>
      <c r="J225" s="12"/>
      <c r="K225" s="12"/>
      <c r="L225" s="12"/>
      <c r="M225" s="12"/>
      <c r="N225" s="16"/>
      <c r="O225" s="12"/>
      <c r="P225" s="12"/>
      <c r="Q225" s="12"/>
      <c r="R225" s="12"/>
      <c r="S225" s="16"/>
      <c r="T225" s="12"/>
      <c r="U225" s="12"/>
      <c r="V225" s="12"/>
      <c r="W225" s="12"/>
      <c r="X225" s="16"/>
      <c r="Y225" s="12"/>
      <c r="Z225" s="12"/>
      <c r="AA225" s="12"/>
      <c r="AB225" s="12"/>
      <c r="AC225" s="16"/>
      <c r="AD225" s="12"/>
      <c r="AE225" s="12"/>
      <c r="AF225" s="12"/>
      <c r="AG225" s="12"/>
      <c r="AH225" s="16"/>
      <c r="AI225" s="12"/>
      <c r="AJ225" s="12"/>
      <c r="AK225" s="12"/>
      <c r="AL225" s="128"/>
      <c r="AM225" s="16"/>
      <c r="AN225" s="128"/>
      <c r="AO225" s="128"/>
      <c r="AP225" s="252"/>
      <c r="AQ225" s="252"/>
      <c r="AR225" s="16"/>
      <c r="AS225" s="252"/>
      <c r="AT225" s="252"/>
      <c r="AU225" s="252"/>
      <c r="AV225" s="252"/>
      <c r="AW225" s="16"/>
      <c r="AX225" s="252"/>
      <c r="AY225" s="252"/>
      <c r="AZ225" s="252"/>
      <c r="BA225" s="252"/>
      <c r="BB225" s="247"/>
      <c r="BC225" s="252"/>
      <c r="BD225" s="252"/>
      <c r="BE225" s="252"/>
      <c r="BF225" s="252"/>
      <c r="BG225" s="247"/>
      <c r="BH225" s="252"/>
      <c r="BI225" s="389"/>
      <c r="BJ225" s="252"/>
      <c r="BK225" s="389"/>
      <c r="BL225" s="247"/>
      <c r="BM225" s="252"/>
      <c r="BN225" s="389"/>
      <c r="BO225" s="252"/>
      <c r="BP225" s="389"/>
      <c r="BQ225" s="247"/>
      <c r="BR225" s="252"/>
      <c r="BS225" s="389"/>
      <c r="BT225" s="252"/>
      <c r="BU225" s="389"/>
      <c r="BV225" s="247"/>
      <c r="BW225" s="252"/>
      <c r="BX225" s="399"/>
      <c r="BY225" s="252"/>
      <c r="BZ225" s="389"/>
      <c r="CA225" s="247"/>
      <c r="CB225" s="252"/>
      <c r="CC225" s="389"/>
      <c r="CD225" s="252"/>
      <c r="CE225" s="389"/>
      <c r="CF225" s="247"/>
      <c r="CG225" s="389"/>
      <c r="CH225" s="389"/>
      <c r="CI225" s="389"/>
      <c r="CJ225" s="389"/>
      <c r="CK225" s="247"/>
      <c r="CL225" s="389"/>
      <c r="CM225" s="389"/>
      <c r="CN225" s="389"/>
      <c r="CO225" s="389"/>
      <c r="CP225" s="247"/>
      <c r="CQ225" s="389"/>
      <c r="CR225" s="389"/>
      <c r="CS225" s="389"/>
      <c r="CT225" s="389"/>
      <c r="CU225" s="247"/>
      <c r="CV225" s="389"/>
      <c r="CW225" s="389"/>
      <c r="CX225" s="389"/>
      <c r="CY225" s="389"/>
      <c r="CZ225" s="247"/>
      <c r="DA225" s="389"/>
      <c r="DB225" s="389"/>
      <c r="DC225" s="389"/>
      <c r="DD225" s="389"/>
      <c r="DE225" s="247"/>
      <c r="DF225" s="389"/>
      <c r="DG225" s="389"/>
      <c r="DH225" s="389"/>
      <c r="DI225" s="389"/>
      <c r="DJ225" s="247"/>
      <c r="DK225" s="389"/>
      <c r="DL225" s="389"/>
      <c r="DM225" s="389"/>
      <c r="DN225" s="389"/>
      <c r="DO225" s="247"/>
      <c r="DP225" s="389"/>
      <c r="DQ225" s="389"/>
      <c r="DR225" s="389"/>
      <c r="DS225" s="389"/>
      <c r="DT225" s="247"/>
      <c r="DU225" s="247"/>
      <c r="DV225" s="247"/>
    </row>
    <row r="226" spans="1:126" s="15" customFormat="1">
      <c r="A226" s="12"/>
      <c r="B226" s="301" t="s">
        <v>262</v>
      </c>
      <c r="C226" s="16"/>
      <c r="D226" s="16"/>
      <c r="E226" s="16"/>
      <c r="F226" s="16"/>
      <c r="G226" s="16"/>
      <c r="H226" s="16"/>
      <c r="I226" s="16"/>
      <c r="J226" s="12"/>
      <c r="K226" s="12"/>
      <c r="L226" s="12"/>
      <c r="M226" s="12"/>
      <c r="N226" s="16"/>
      <c r="O226" s="12"/>
      <c r="P226" s="12"/>
      <c r="Q226" s="12"/>
      <c r="R226" s="12"/>
      <c r="S226" s="16"/>
      <c r="T226" s="12"/>
      <c r="U226" s="12"/>
      <c r="V226" s="12"/>
      <c r="W226" s="12"/>
      <c r="X226" s="16"/>
      <c r="Y226" s="12"/>
      <c r="Z226" s="12"/>
      <c r="AA226" s="12"/>
      <c r="AB226" s="12"/>
      <c r="AC226" s="16"/>
      <c r="AD226" s="12"/>
      <c r="AE226" s="12"/>
      <c r="AF226" s="12"/>
      <c r="AG226" s="12"/>
      <c r="AH226" s="16"/>
      <c r="AI226" s="12"/>
      <c r="AJ226" s="12"/>
      <c r="AK226" s="12"/>
      <c r="AL226" s="128"/>
      <c r="AM226" s="16"/>
      <c r="AN226" s="128"/>
      <c r="AO226" s="128"/>
      <c r="AP226" s="252"/>
      <c r="AQ226" s="252"/>
      <c r="AR226" s="16"/>
      <c r="AS226" s="252"/>
      <c r="AT226" s="252"/>
      <c r="AU226" s="252"/>
      <c r="AV226" s="252"/>
      <c r="AW226" s="16"/>
      <c r="AX226" s="252"/>
      <c r="AY226" s="252"/>
      <c r="AZ226" s="252"/>
      <c r="BA226" s="252"/>
      <c r="BB226" s="354"/>
      <c r="BC226" s="252"/>
      <c r="BD226" s="252"/>
      <c r="BE226" s="252"/>
      <c r="BF226" s="252"/>
      <c r="BG226" s="354"/>
      <c r="BH226" s="252"/>
      <c r="BI226" s="389"/>
      <c r="BJ226" s="252"/>
      <c r="BK226" s="389"/>
      <c r="BL226" s="354"/>
      <c r="BM226" s="252"/>
      <c r="BN226" s="389"/>
      <c r="BO226" s="252"/>
      <c r="BP226" s="389"/>
      <c r="BQ226" s="354"/>
      <c r="BR226" s="252"/>
      <c r="BS226" s="389"/>
      <c r="BT226" s="252"/>
      <c r="BU226" s="389"/>
      <c r="BV226" s="354"/>
      <c r="BW226" s="252"/>
      <c r="BX226" s="399"/>
      <c r="BY226" s="252"/>
      <c r="BZ226" s="389"/>
      <c r="CA226" s="354"/>
      <c r="CB226" s="252"/>
      <c r="CC226" s="389"/>
      <c r="CD226" s="252"/>
      <c r="CE226" s="389"/>
      <c r="CF226" s="354"/>
      <c r="CG226" s="389"/>
      <c r="CH226" s="389"/>
      <c r="CI226" s="389"/>
      <c r="CJ226" s="389"/>
      <c r="CK226" s="354"/>
      <c r="CL226" s="389"/>
      <c r="CM226" s="389"/>
      <c r="CN226" s="389"/>
      <c r="CO226" s="389"/>
      <c r="CP226" s="354"/>
      <c r="CQ226" s="389"/>
      <c r="CR226" s="389"/>
      <c r="CS226" s="389"/>
      <c r="CT226" s="389"/>
      <c r="CU226" s="354"/>
      <c r="CV226" s="389"/>
      <c r="CW226" s="389"/>
      <c r="CX226" s="389"/>
      <c r="CY226" s="389"/>
      <c r="CZ226" s="354"/>
      <c r="DA226" s="389"/>
      <c r="DB226" s="389"/>
      <c r="DC226" s="389"/>
      <c r="DD226" s="389"/>
      <c r="DE226" s="354"/>
      <c r="DF226" s="389"/>
      <c r="DG226" s="389"/>
      <c r="DH226" s="389"/>
      <c r="DI226" s="389"/>
      <c r="DJ226" s="354"/>
      <c r="DK226" s="389"/>
      <c r="DL226" s="389"/>
      <c r="DM226" s="389"/>
      <c r="DN226" s="389"/>
      <c r="DO226" s="354"/>
      <c r="DP226" s="389"/>
      <c r="DQ226" s="389"/>
      <c r="DR226" s="389"/>
      <c r="DS226" s="389"/>
      <c r="DT226" s="354"/>
      <c r="DU226" s="354"/>
      <c r="DV226" s="354"/>
    </row>
    <row r="227" spans="1:126" s="15" customFormat="1">
      <c r="A227" s="12"/>
      <c r="B227" s="416" t="s">
        <v>326</v>
      </c>
      <c r="C227" s="16"/>
      <c r="D227" s="16"/>
      <c r="E227" s="16"/>
      <c r="F227" s="16"/>
      <c r="G227" s="16"/>
      <c r="H227" s="16"/>
      <c r="I227" s="16"/>
      <c r="J227" s="12"/>
      <c r="K227" s="12"/>
      <c r="L227" s="12"/>
      <c r="M227" s="12"/>
      <c r="N227" s="16"/>
      <c r="O227" s="12"/>
      <c r="P227" s="12"/>
      <c r="Q227" s="12"/>
      <c r="R227" s="12"/>
      <c r="S227" s="16"/>
      <c r="T227" s="12"/>
      <c r="U227" s="12"/>
      <c r="V227" s="12"/>
      <c r="W227" s="12"/>
      <c r="X227" s="16"/>
      <c r="Y227" s="12"/>
      <c r="Z227" s="12"/>
      <c r="AA227" s="12"/>
      <c r="AB227" s="12"/>
      <c r="AC227" s="16"/>
      <c r="AD227" s="12"/>
      <c r="AE227" s="12"/>
      <c r="AF227" s="12"/>
      <c r="AG227" s="12"/>
      <c r="AH227" s="16"/>
      <c r="AI227" s="12"/>
      <c r="AJ227" s="12"/>
      <c r="AK227" s="12"/>
      <c r="AL227" s="128"/>
      <c r="AM227" s="16"/>
      <c r="AN227" s="128"/>
      <c r="AO227" s="128"/>
      <c r="AP227" s="252"/>
      <c r="AQ227" s="252"/>
      <c r="AR227" s="16"/>
      <c r="AS227" s="252"/>
      <c r="AT227" s="252"/>
      <c r="AU227" s="252"/>
      <c r="AV227" s="252"/>
      <c r="AW227" s="16"/>
      <c r="AX227" s="252"/>
      <c r="AY227" s="252"/>
      <c r="AZ227" s="252"/>
      <c r="BA227" s="252"/>
      <c r="BB227" s="354"/>
      <c r="BC227" s="252"/>
      <c r="BD227" s="252"/>
      <c r="BE227" s="252"/>
      <c r="BF227" s="252"/>
      <c r="BG227" s="354"/>
      <c r="BH227" s="252"/>
      <c r="BI227" s="389"/>
      <c r="BJ227" s="252"/>
      <c r="BK227" s="389"/>
      <c r="BL227" s="354"/>
      <c r="BM227" s="252"/>
      <c r="BN227" s="389"/>
      <c r="BO227" s="252"/>
      <c r="BP227" s="389"/>
      <c r="BQ227" s="354"/>
      <c r="BR227" s="252"/>
      <c r="BS227" s="389"/>
      <c r="BT227" s="252"/>
      <c r="BU227" s="389"/>
      <c r="BV227" s="354"/>
      <c r="BW227" s="252"/>
      <c r="BX227" s="399"/>
      <c r="BY227" s="252"/>
      <c r="BZ227" s="389"/>
      <c r="CA227" s="354"/>
      <c r="CB227" s="252"/>
      <c r="CC227" s="389"/>
      <c r="CD227" s="252"/>
      <c r="CE227" s="389"/>
      <c r="CF227" s="354"/>
      <c r="CG227" s="389"/>
      <c r="CH227" s="389"/>
      <c r="CI227" s="389"/>
      <c r="CJ227" s="389"/>
      <c r="CK227" s="354"/>
      <c r="CL227" s="389"/>
      <c r="CM227" s="389"/>
      <c r="CN227" s="389"/>
      <c r="CO227" s="389"/>
      <c r="CP227" s="354"/>
      <c r="CQ227" s="389"/>
      <c r="CR227" s="389"/>
      <c r="CS227" s="389"/>
      <c r="CT227" s="389"/>
      <c r="CU227" s="354"/>
      <c r="CV227" s="389"/>
      <c r="CW227" s="389"/>
      <c r="CX227" s="389"/>
      <c r="CY227" s="389"/>
      <c r="CZ227" s="354"/>
      <c r="DA227" s="389"/>
      <c r="DB227" s="389"/>
      <c r="DC227" s="389"/>
      <c r="DD227" s="389"/>
      <c r="DE227" s="354"/>
      <c r="DF227" s="389"/>
      <c r="DG227" s="389"/>
      <c r="DH227" s="389"/>
      <c r="DI227" s="389"/>
      <c r="DJ227" s="354"/>
      <c r="DK227" s="389"/>
      <c r="DL227" s="389"/>
      <c r="DM227" s="389"/>
      <c r="DN227" s="389"/>
      <c r="DO227" s="354"/>
      <c r="DP227" s="389"/>
      <c r="DQ227" s="389"/>
      <c r="DR227" s="389"/>
      <c r="DS227" s="389"/>
      <c r="DT227" s="354"/>
      <c r="DU227" s="354"/>
      <c r="DV227" s="354"/>
    </row>
    <row r="228" spans="1:126" s="15" customFormat="1">
      <c r="A228" s="12"/>
      <c r="B228" s="301" t="s">
        <v>209</v>
      </c>
      <c r="C228" s="16"/>
      <c r="D228" s="16"/>
      <c r="E228" s="16"/>
      <c r="F228" s="16"/>
      <c r="G228" s="16"/>
      <c r="H228" s="16"/>
      <c r="I228" s="16"/>
      <c r="J228" s="12"/>
      <c r="K228" s="12"/>
      <c r="L228" s="12"/>
      <c r="M228" s="12"/>
      <c r="N228" s="16"/>
      <c r="O228" s="12"/>
      <c r="P228" s="12"/>
      <c r="Q228" s="12"/>
      <c r="R228" s="12"/>
      <c r="S228" s="16"/>
      <c r="T228" s="12"/>
      <c r="U228" s="12"/>
      <c r="V228" s="12"/>
      <c r="W228" s="12"/>
      <c r="X228" s="16"/>
      <c r="Y228" s="12"/>
      <c r="Z228" s="12"/>
      <c r="AA228" s="12"/>
      <c r="AB228" s="12"/>
      <c r="AC228" s="16"/>
      <c r="AD228" s="12"/>
      <c r="AE228" s="12"/>
      <c r="AF228" s="12"/>
      <c r="AG228" s="12"/>
      <c r="AH228" s="16"/>
      <c r="AI228" s="12"/>
      <c r="AJ228" s="12"/>
      <c r="AK228" s="12"/>
      <c r="AL228" s="128"/>
      <c r="AM228" s="16"/>
      <c r="AN228" s="128"/>
      <c r="AO228" s="128"/>
      <c r="AP228" s="252"/>
      <c r="AQ228" s="252"/>
      <c r="AR228" s="16"/>
      <c r="AS228" s="252"/>
      <c r="AT228" s="252"/>
      <c r="AU228" s="252"/>
      <c r="AV228" s="252"/>
      <c r="AW228" s="16"/>
      <c r="AX228" s="252"/>
      <c r="AY228" s="252"/>
      <c r="AZ228" s="252"/>
      <c r="BA228" s="252"/>
      <c r="BB228" s="354"/>
      <c r="BC228" s="252"/>
      <c r="BD228" s="252"/>
      <c r="BE228" s="252"/>
      <c r="BF228" s="252"/>
      <c r="BG228" s="354"/>
      <c r="BH228" s="252"/>
      <c r="BI228" s="389"/>
      <c r="BJ228" s="252"/>
      <c r="BK228" s="389"/>
      <c r="BL228" s="354"/>
      <c r="BM228" s="252"/>
      <c r="BN228" s="389"/>
      <c r="BO228" s="252"/>
      <c r="BP228" s="389"/>
      <c r="BQ228" s="354"/>
      <c r="BR228" s="252"/>
      <c r="BS228" s="389"/>
      <c r="BT228" s="252"/>
      <c r="BU228" s="389"/>
      <c r="BV228" s="354"/>
      <c r="BW228" s="252"/>
      <c r="BX228" s="399"/>
      <c r="BY228" s="252"/>
      <c r="BZ228" s="389"/>
      <c r="CA228" s="354"/>
      <c r="CB228" s="252"/>
      <c r="CC228" s="389"/>
      <c r="CD228" s="252"/>
      <c r="CE228" s="389"/>
      <c r="CF228" s="354"/>
      <c r="CG228" s="389"/>
      <c r="CH228" s="389"/>
      <c r="CI228" s="389"/>
      <c r="CJ228" s="389"/>
      <c r="CK228" s="354"/>
      <c r="CL228" s="389"/>
      <c r="CM228" s="389"/>
      <c r="CN228" s="389"/>
      <c r="CO228" s="389"/>
      <c r="CP228" s="354"/>
      <c r="CQ228" s="389"/>
      <c r="CR228" s="389"/>
      <c r="CS228" s="389"/>
      <c r="CT228" s="389"/>
      <c r="CU228" s="354"/>
      <c r="CV228" s="389"/>
      <c r="CW228" s="389"/>
      <c r="CX228" s="389"/>
      <c r="CY228" s="389"/>
      <c r="CZ228" s="354"/>
      <c r="DA228" s="389"/>
      <c r="DB228" s="389"/>
      <c r="DC228" s="389"/>
      <c r="DD228" s="389"/>
      <c r="DE228" s="354"/>
      <c r="DF228" s="389"/>
      <c r="DG228" s="389"/>
      <c r="DH228" s="389"/>
      <c r="DI228" s="389"/>
      <c r="DJ228" s="354"/>
      <c r="DK228" s="389"/>
      <c r="DL228" s="389"/>
      <c r="DM228" s="389"/>
      <c r="DN228" s="389"/>
      <c r="DO228" s="354"/>
      <c r="DP228" s="389"/>
      <c r="DQ228" s="389"/>
      <c r="DR228" s="389"/>
      <c r="DS228" s="389"/>
      <c r="DT228" s="354"/>
      <c r="DU228" s="354"/>
      <c r="DV228" s="354"/>
    </row>
    <row r="229" spans="1:126" s="15" customFormat="1">
      <c r="A229" s="12"/>
      <c r="B229" s="301" t="s">
        <v>215</v>
      </c>
      <c r="C229" s="16"/>
      <c r="D229" s="16"/>
      <c r="E229" s="16"/>
      <c r="F229" s="16"/>
      <c r="G229" s="16"/>
      <c r="H229" s="16"/>
      <c r="I229" s="16"/>
      <c r="J229" s="12"/>
      <c r="K229" s="12"/>
      <c r="L229" s="12"/>
      <c r="M229" s="12"/>
      <c r="N229" s="16"/>
      <c r="O229" s="12"/>
      <c r="P229" s="12"/>
      <c r="Q229" s="12"/>
      <c r="R229" s="12"/>
      <c r="S229" s="16"/>
      <c r="T229" s="12"/>
      <c r="U229" s="12"/>
      <c r="V229" s="12"/>
      <c r="W229" s="12"/>
      <c r="X229" s="16"/>
      <c r="Y229" s="12"/>
      <c r="Z229" s="12"/>
      <c r="AA229" s="12"/>
      <c r="AB229" s="12"/>
      <c r="AC229" s="16"/>
      <c r="AD229" s="12"/>
      <c r="AE229" s="12"/>
      <c r="AF229" s="12"/>
      <c r="AG229" s="12"/>
      <c r="AH229" s="16"/>
      <c r="AI229" s="12"/>
      <c r="AJ229" s="12"/>
      <c r="AK229" s="12"/>
      <c r="AL229" s="128"/>
      <c r="AM229" s="16"/>
      <c r="AN229" s="128"/>
      <c r="AO229" s="128"/>
      <c r="AP229" s="252"/>
      <c r="AQ229" s="252"/>
      <c r="AR229" s="16"/>
      <c r="AS229" s="252"/>
      <c r="AT229" s="252"/>
      <c r="AU229" s="252"/>
      <c r="AV229" s="252"/>
      <c r="AW229" s="16"/>
      <c r="AX229" s="252"/>
      <c r="AY229" s="252"/>
      <c r="AZ229" s="252"/>
      <c r="BA229" s="252"/>
      <c r="BB229" s="354"/>
      <c r="BC229" s="252"/>
      <c r="BD229" s="252"/>
      <c r="BE229" s="252"/>
      <c r="BF229" s="252"/>
      <c r="BG229" s="354"/>
      <c r="BH229" s="252"/>
      <c r="BI229" s="389"/>
      <c r="BJ229" s="252"/>
      <c r="BK229" s="389"/>
      <c r="BL229" s="354"/>
      <c r="BM229" s="252"/>
      <c r="BN229" s="389"/>
      <c r="BO229" s="252"/>
      <c r="BP229" s="389"/>
      <c r="BQ229" s="354"/>
      <c r="BR229" s="252"/>
      <c r="BS229" s="389"/>
      <c r="BT229" s="252"/>
      <c r="BU229" s="389"/>
      <c r="BV229" s="354"/>
      <c r="BW229" s="252"/>
      <c r="BX229" s="399"/>
      <c r="BY229" s="252"/>
      <c r="BZ229" s="389"/>
      <c r="CA229" s="354"/>
      <c r="CB229" s="252"/>
      <c r="CC229" s="389"/>
      <c r="CD229" s="252"/>
      <c r="CE229" s="389"/>
      <c r="CF229" s="354"/>
      <c r="CG229" s="389"/>
      <c r="CH229" s="389"/>
      <c r="CI229" s="389"/>
      <c r="CJ229" s="389"/>
      <c r="CK229" s="354"/>
      <c r="CL229" s="389"/>
      <c r="CM229" s="389"/>
      <c r="CN229" s="389"/>
      <c r="CO229" s="389"/>
      <c r="CP229" s="354"/>
      <c r="CQ229" s="389"/>
      <c r="CR229" s="389"/>
      <c r="CS229" s="389"/>
      <c r="CT229" s="389"/>
      <c r="CU229" s="354"/>
      <c r="CV229" s="389"/>
      <c r="CW229" s="389"/>
      <c r="CX229" s="389"/>
      <c r="CY229" s="389"/>
      <c r="CZ229" s="354"/>
      <c r="DA229" s="389"/>
      <c r="DB229" s="389"/>
      <c r="DC229" s="389"/>
      <c r="DD229" s="389"/>
      <c r="DE229" s="354"/>
      <c r="DF229" s="389"/>
      <c r="DG229" s="389"/>
      <c r="DH229" s="389"/>
      <c r="DI229" s="389"/>
      <c r="DJ229" s="354"/>
      <c r="DK229" s="389"/>
      <c r="DL229" s="389"/>
      <c r="DM229" s="389"/>
      <c r="DN229" s="389"/>
      <c r="DO229" s="354"/>
      <c r="DP229" s="389"/>
      <c r="DQ229" s="389"/>
      <c r="DR229" s="389"/>
      <c r="DS229" s="389"/>
      <c r="DT229" s="354"/>
      <c r="DU229" s="354"/>
      <c r="DV229" s="354"/>
    </row>
    <row r="230" spans="1:126" s="15" customFormat="1">
      <c r="A230" s="12"/>
      <c r="B230" s="301" t="s">
        <v>216</v>
      </c>
      <c r="C230" s="16"/>
      <c r="D230" s="16"/>
      <c r="E230" s="16"/>
      <c r="F230" s="16"/>
      <c r="G230" s="16"/>
      <c r="H230" s="16"/>
      <c r="I230" s="16"/>
      <c r="J230" s="12"/>
      <c r="K230" s="12"/>
      <c r="L230" s="12"/>
      <c r="M230" s="12"/>
      <c r="N230" s="16"/>
      <c r="O230" s="12"/>
      <c r="P230" s="12"/>
      <c r="Q230" s="12"/>
      <c r="R230" s="12"/>
      <c r="S230" s="16"/>
      <c r="T230" s="12"/>
      <c r="U230" s="12"/>
      <c r="V230" s="12"/>
      <c r="W230" s="12"/>
      <c r="X230" s="16"/>
      <c r="Y230" s="12"/>
      <c r="Z230" s="12"/>
      <c r="AA230" s="12"/>
      <c r="AB230" s="12"/>
      <c r="AC230" s="16"/>
      <c r="AD230" s="12"/>
      <c r="AE230" s="12"/>
      <c r="AF230" s="12"/>
      <c r="AG230" s="12"/>
      <c r="AH230" s="16"/>
      <c r="AI230" s="12"/>
      <c r="AJ230" s="12"/>
      <c r="AK230" s="12"/>
      <c r="AL230" s="128"/>
      <c r="AM230" s="16"/>
      <c r="AN230" s="128"/>
      <c r="AO230" s="128"/>
      <c r="AP230" s="252"/>
      <c r="AQ230" s="252"/>
      <c r="AR230" s="16"/>
      <c r="AS230" s="252"/>
      <c r="AT230" s="252"/>
      <c r="AU230" s="252"/>
      <c r="AV230" s="252"/>
      <c r="AW230" s="16"/>
      <c r="AX230" s="252"/>
      <c r="AY230" s="252"/>
      <c r="AZ230" s="252"/>
      <c r="BA230" s="252"/>
      <c r="BB230" s="354"/>
      <c r="BC230" s="252"/>
      <c r="BD230" s="252"/>
      <c r="BE230" s="252"/>
      <c r="BF230" s="252"/>
      <c r="BG230" s="354"/>
      <c r="BH230" s="252"/>
      <c r="BI230" s="389"/>
      <c r="BJ230" s="252"/>
      <c r="BK230" s="389"/>
      <c r="BL230" s="354"/>
      <c r="BM230" s="252"/>
      <c r="BN230" s="389"/>
      <c r="BO230" s="252"/>
      <c r="BP230" s="389"/>
      <c r="BQ230" s="354"/>
      <c r="BR230" s="252"/>
      <c r="BS230" s="389"/>
      <c r="BT230" s="252"/>
      <c r="BU230" s="389"/>
      <c r="BV230" s="354"/>
      <c r="BW230" s="252"/>
      <c r="BX230" s="399"/>
      <c r="BY230" s="252"/>
      <c r="BZ230" s="389"/>
      <c r="CA230" s="354"/>
      <c r="CB230" s="252"/>
      <c r="CC230" s="389"/>
      <c r="CD230" s="252"/>
      <c r="CE230" s="389"/>
      <c r="CF230" s="354"/>
      <c r="CG230" s="389"/>
      <c r="CH230" s="389"/>
      <c r="CI230" s="389"/>
      <c r="CJ230" s="389"/>
      <c r="CK230" s="354"/>
      <c r="CL230" s="389"/>
      <c r="CM230" s="389"/>
      <c r="CN230" s="389"/>
      <c r="CO230" s="389"/>
      <c r="CP230" s="354"/>
      <c r="CQ230" s="389"/>
      <c r="CR230" s="389"/>
      <c r="CS230" s="389"/>
      <c r="CT230" s="389"/>
      <c r="CU230" s="354"/>
      <c r="CV230" s="389"/>
      <c r="CW230" s="389"/>
      <c r="CX230" s="389"/>
      <c r="CY230" s="389"/>
      <c r="CZ230" s="354"/>
      <c r="DA230" s="389"/>
      <c r="DB230" s="389"/>
      <c r="DC230" s="389"/>
      <c r="DD230" s="389"/>
      <c r="DE230" s="354"/>
      <c r="DF230" s="389"/>
      <c r="DG230" s="389"/>
      <c r="DH230" s="389"/>
      <c r="DI230" s="389"/>
      <c r="DJ230" s="354"/>
      <c r="DK230" s="389"/>
      <c r="DL230" s="389"/>
      <c r="DM230" s="389"/>
      <c r="DN230" s="389"/>
      <c r="DO230" s="354"/>
      <c r="DP230" s="389"/>
      <c r="DQ230" s="389"/>
      <c r="DR230" s="389"/>
      <c r="DS230" s="389"/>
      <c r="DT230" s="354"/>
      <c r="DU230" s="354"/>
      <c r="DV230" s="354"/>
    </row>
    <row r="231" spans="1:126" s="15" customFormat="1">
      <c r="A231" s="12"/>
      <c r="B231" s="301"/>
      <c r="C231" s="16"/>
      <c r="D231" s="16"/>
      <c r="E231" s="16"/>
      <c r="F231" s="16"/>
      <c r="G231" s="16"/>
      <c r="H231" s="16"/>
      <c r="I231" s="16"/>
      <c r="J231" s="12"/>
      <c r="K231" s="12"/>
      <c r="L231" s="12"/>
      <c r="M231" s="12"/>
      <c r="N231" s="16"/>
      <c r="O231" s="12"/>
      <c r="P231" s="12"/>
      <c r="Q231" s="12"/>
      <c r="R231" s="12"/>
      <c r="S231" s="16"/>
      <c r="T231" s="12"/>
      <c r="U231" s="12"/>
      <c r="V231" s="12"/>
      <c r="W231" s="12"/>
      <c r="X231" s="16"/>
      <c r="Y231" s="12"/>
      <c r="Z231" s="12"/>
      <c r="AA231" s="12"/>
      <c r="AB231" s="12"/>
      <c r="AC231" s="16"/>
      <c r="AD231" s="12"/>
      <c r="AE231" s="12"/>
      <c r="AF231" s="12"/>
      <c r="AG231" s="12"/>
      <c r="AH231" s="16"/>
      <c r="AI231" s="12"/>
      <c r="AJ231" s="12"/>
      <c r="AK231" s="12"/>
      <c r="AL231" s="128"/>
      <c r="AM231" s="16"/>
      <c r="AN231" s="128"/>
      <c r="AO231" s="128"/>
      <c r="AP231" s="252"/>
      <c r="AQ231" s="252"/>
      <c r="AR231" s="16"/>
      <c r="AS231" s="252"/>
      <c r="AT231" s="252"/>
      <c r="AU231" s="252"/>
      <c r="AV231" s="252"/>
      <c r="AW231" s="16"/>
      <c r="AX231" s="252"/>
      <c r="AY231" s="252"/>
      <c r="AZ231" s="252"/>
      <c r="BA231" s="252"/>
      <c r="BB231" s="354"/>
      <c r="BC231" s="252"/>
      <c r="BD231" s="252"/>
      <c r="BE231" s="252"/>
      <c r="BF231" s="252"/>
      <c r="BG231" s="354"/>
      <c r="BH231" s="252"/>
      <c r="BI231" s="389"/>
      <c r="BJ231" s="252"/>
      <c r="BK231" s="389"/>
      <c r="BL231" s="354"/>
      <c r="BM231" s="252"/>
      <c r="BN231" s="389"/>
      <c r="BO231" s="252"/>
      <c r="BP231" s="389"/>
      <c r="BQ231" s="354"/>
      <c r="BR231" s="252"/>
      <c r="BS231" s="389"/>
      <c r="BT231" s="252"/>
      <c r="BU231" s="389"/>
      <c r="BV231" s="354"/>
      <c r="BW231" s="252"/>
      <c r="BX231" s="399"/>
      <c r="BY231" s="252"/>
      <c r="BZ231" s="389"/>
      <c r="CA231" s="354"/>
      <c r="CB231" s="252"/>
      <c r="CC231" s="389"/>
      <c r="CD231" s="252"/>
      <c r="CE231" s="389"/>
      <c r="CF231" s="354"/>
      <c r="CG231" s="389"/>
      <c r="CH231" s="389"/>
      <c r="CI231" s="389"/>
      <c r="CJ231" s="389"/>
      <c r="CK231" s="354"/>
      <c r="CL231" s="389"/>
      <c r="CM231" s="389"/>
      <c r="CN231" s="389"/>
      <c r="CO231" s="389"/>
      <c r="CP231" s="354"/>
      <c r="CQ231" s="389"/>
      <c r="CR231" s="389"/>
      <c r="CS231" s="389"/>
      <c r="CT231" s="389"/>
      <c r="CU231" s="354"/>
      <c r="CV231" s="389"/>
      <c r="CW231" s="389"/>
      <c r="CX231" s="389"/>
      <c r="CY231" s="389"/>
      <c r="CZ231" s="354"/>
      <c r="DA231" s="389"/>
      <c r="DB231" s="389"/>
      <c r="DC231" s="389"/>
      <c r="DD231" s="389"/>
      <c r="DE231" s="354"/>
      <c r="DF231" s="389"/>
      <c r="DG231" s="389"/>
      <c r="DH231" s="389"/>
      <c r="DI231" s="389"/>
      <c r="DJ231" s="354"/>
      <c r="DK231" s="389"/>
      <c r="DL231" s="389"/>
      <c r="DM231" s="389"/>
      <c r="DN231" s="389"/>
      <c r="DO231" s="354"/>
      <c r="DP231" s="389"/>
      <c r="DQ231" s="389"/>
      <c r="DR231" s="389"/>
      <c r="DS231" s="389"/>
      <c r="DT231" s="354"/>
      <c r="DU231" s="354"/>
      <c r="DV231" s="354"/>
    </row>
    <row r="232" spans="1:126" s="312" customFormat="1" ht="12">
      <c r="A232" s="216"/>
      <c r="B232" s="412" t="s">
        <v>277</v>
      </c>
      <c r="C232" s="225"/>
      <c r="D232" s="225"/>
      <c r="E232" s="225"/>
      <c r="F232" s="225"/>
      <c r="G232" s="225"/>
      <c r="H232" s="225"/>
      <c r="I232" s="225"/>
      <c r="J232" s="216"/>
      <c r="K232" s="216"/>
      <c r="L232" s="216"/>
      <c r="M232" s="216"/>
      <c r="N232" s="225"/>
      <c r="O232" s="216"/>
      <c r="P232" s="216"/>
      <c r="Q232" s="216"/>
      <c r="R232" s="216"/>
      <c r="S232" s="225"/>
      <c r="T232" s="216"/>
      <c r="U232" s="216"/>
      <c r="V232" s="216"/>
      <c r="W232" s="216"/>
      <c r="X232" s="225"/>
      <c r="Y232" s="216"/>
      <c r="Z232" s="216"/>
      <c r="AA232" s="216"/>
      <c r="AB232" s="216"/>
      <c r="AC232" s="225"/>
      <c r="AD232" s="216"/>
      <c r="AE232" s="216"/>
      <c r="AF232" s="216"/>
      <c r="AG232" s="216"/>
      <c r="AH232" s="225"/>
      <c r="AI232" s="216"/>
      <c r="AJ232" s="216"/>
      <c r="AK232" s="216"/>
      <c r="AL232" s="216"/>
      <c r="AM232" s="225"/>
      <c r="AN232" s="216"/>
      <c r="AO232" s="216"/>
      <c r="AP232" s="216"/>
      <c r="AQ232" s="216"/>
      <c r="AR232" s="225"/>
      <c r="AS232" s="216"/>
      <c r="AT232" s="216"/>
      <c r="AU232" s="216"/>
      <c r="AV232" s="216"/>
      <c r="AW232" s="413"/>
      <c r="AX232" s="396"/>
      <c r="AY232" s="396"/>
      <c r="AZ232" s="396"/>
      <c r="BA232" s="396"/>
      <c r="BB232" s="413"/>
      <c r="BC232" s="396"/>
      <c r="BD232" s="396"/>
      <c r="BE232" s="396"/>
      <c r="BF232" s="396"/>
      <c r="BG232" s="413"/>
      <c r="BH232" s="396"/>
      <c r="BI232" s="396"/>
      <c r="BJ232" s="396"/>
      <c r="BK232" s="396"/>
      <c r="BL232" s="413"/>
      <c r="BM232" s="396"/>
      <c r="BN232" s="396"/>
      <c r="BO232" s="396"/>
      <c r="BP232" s="396"/>
      <c r="BQ232" s="413"/>
      <c r="BR232" s="396"/>
      <c r="BS232" s="396"/>
      <c r="BT232" s="396"/>
      <c r="BU232" s="396"/>
      <c r="BV232" s="413"/>
      <c r="BW232" s="396"/>
      <c r="BX232" s="430"/>
      <c r="BY232" s="396"/>
      <c r="BZ232" s="396"/>
      <c r="CA232" s="413"/>
      <c r="CB232" s="396"/>
      <c r="CC232" s="396"/>
      <c r="CD232" s="396"/>
      <c r="CE232" s="396"/>
      <c r="CF232" s="413"/>
      <c r="CG232" s="396"/>
      <c r="CH232" s="396"/>
      <c r="CI232" s="396"/>
      <c r="CJ232" s="396"/>
      <c r="CK232" s="413"/>
      <c r="CL232" s="396"/>
      <c r="CM232" s="396"/>
      <c r="CN232" s="396"/>
      <c r="CO232" s="396"/>
      <c r="CP232" s="413"/>
      <c r="CQ232" s="396"/>
      <c r="CR232" s="396"/>
      <c r="CS232" s="396"/>
      <c r="CT232" s="396"/>
      <c r="CU232" s="413"/>
      <c r="CV232" s="396"/>
      <c r="CW232" s="396"/>
      <c r="CX232" s="396"/>
      <c r="CY232" s="396"/>
      <c r="CZ232" s="413"/>
      <c r="DA232" s="396"/>
      <c r="DB232" s="396"/>
      <c r="DC232" s="396"/>
      <c r="DD232" s="396"/>
      <c r="DE232" s="413"/>
      <c r="DF232" s="396"/>
      <c r="DG232" s="396"/>
      <c r="DH232" s="396"/>
      <c r="DI232" s="396"/>
      <c r="DJ232" s="413"/>
      <c r="DK232" s="396"/>
      <c r="DL232" s="396"/>
      <c r="DM232" s="396"/>
      <c r="DN232" s="396"/>
      <c r="DO232" s="413"/>
      <c r="DP232" s="396"/>
      <c r="DQ232" s="396"/>
      <c r="DR232" s="396"/>
      <c r="DS232" s="396"/>
      <c r="DT232" s="413"/>
      <c r="DU232" s="413"/>
      <c r="DV232" s="413"/>
    </row>
    <row r="233" spans="1:126" s="312" customFormat="1" ht="12">
      <c r="A233" s="216"/>
      <c r="B233" s="414" t="s">
        <v>278</v>
      </c>
      <c r="C233" s="225"/>
      <c r="D233" s="225"/>
      <c r="E233" s="225"/>
      <c r="F233" s="225"/>
      <c r="G233" s="225"/>
      <c r="H233" s="225"/>
      <c r="I233" s="225"/>
      <c r="J233" s="216"/>
      <c r="K233" s="216"/>
      <c r="L233" s="216"/>
      <c r="M233" s="216"/>
      <c r="N233" s="225"/>
      <c r="O233" s="216"/>
      <c r="P233" s="216"/>
      <c r="Q233" s="216"/>
      <c r="R233" s="216"/>
      <c r="S233" s="225"/>
      <c r="T233" s="216"/>
      <c r="U233" s="216"/>
      <c r="V233" s="216"/>
      <c r="W233" s="216"/>
      <c r="X233" s="225"/>
      <c r="Y233" s="216"/>
      <c r="Z233" s="216"/>
      <c r="AA233" s="216"/>
      <c r="AB233" s="216"/>
      <c r="AC233" s="225"/>
      <c r="AD233" s="216"/>
      <c r="AE233" s="216"/>
      <c r="AF233" s="216"/>
      <c r="AG233" s="216"/>
      <c r="AH233" s="225"/>
      <c r="AI233" s="216"/>
      <c r="AJ233" s="216"/>
      <c r="AK233" s="216"/>
      <c r="AL233" s="216"/>
      <c r="AM233" s="225"/>
      <c r="AN233" s="216"/>
      <c r="AO233" s="216"/>
      <c r="AP233" s="216"/>
      <c r="AQ233" s="216"/>
      <c r="AR233" s="225"/>
      <c r="AS233" s="216"/>
      <c r="AT233" s="216"/>
      <c r="AU233" s="216"/>
      <c r="AV233" s="216"/>
      <c r="AW233" s="413"/>
      <c r="AX233" s="396"/>
      <c r="AY233" s="396"/>
      <c r="AZ233" s="396"/>
      <c r="BA233" s="396"/>
      <c r="BB233" s="413"/>
      <c r="BC233" s="396"/>
      <c r="BD233" s="396"/>
      <c r="BE233" s="396"/>
      <c r="BF233" s="396"/>
      <c r="BG233" s="413"/>
      <c r="BH233" s="396"/>
      <c r="BI233" s="396"/>
      <c r="BJ233" s="396"/>
      <c r="BK233" s="396"/>
      <c r="BL233" s="413"/>
      <c r="BM233" s="396"/>
      <c r="BN233" s="396"/>
      <c r="BO233" s="396"/>
      <c r="BP233" s="396"/>
      <c r="BQ233" s="413"/>
      <c r="BR233" s="396"/>
      <c r="BS233" s="396"/>
      <c r="BT233" s="396"/>
      <c r="BU233" s="396"/>
      <c r="BV233" s="413"/>
      <c r="BW233" s="396"/>
      <c r="BX233" s="430"/>
      <c r="BY233" s="396"/>
      <c r="BZ233" s="396"/>
      <c r="CA233" s="413"/>
      <c r="CB233" s="396"/>
      <c r="CC233" s="396"/>
      <c r="CD233" s="396"/>
      <c r="CE233" s="396"/>
      <c r="CF233" s="413"/>
      <c r="CG233" s="396"/>
      <c r="CH233" s="396"/>
      <c r="CI233" s="396"/>
      <c r="CJ233" s="396"/>
      <c r="CK233" s="413"/>
      <c r="CL233" s="396"/>
      <c r="CM233" s="396"/>
      <c r="CN233" s="396"/>
      <c r="CO233" s="396"/>
      <c r="CP233" s="413"/>
      <c r="CQ233" s="396"/>
      <c r="CR233" s="396"/>
      <c r="CS233" s="396"/>
      <c r="CT233" s="396"/>
      <c r="CU233" s="413"/>
      <c r="CV233" s="396"/>
      <c r="CW233" s="396"/>
      <c r="CX233" s="396"/>
      <c r="CY233" s="396"/>
      <c r="CZ233" s="413"/>
      <c r="DA233" s="396"/>
      <c r="DB233" s="396"/>
      <c r="DC233" s="396"/>
      <c r="DD233" s="396"/>
      <c r="DE233" s="413"/>
      <c r="DF233" s="396"/>
      <c r="DG233" s="396"/>
      <c r="DH233" s="396"/>
      <c r="DI233" s="396"/>
      <c r="DJ233" s="413"/>
      <c r="DK233" s="396"/>
      <c r="DL233" s="396"/>
      <c r="DM233" s="396"/>
      <c r="DN233" s="396"/>
      <c r="DO233" s="413"/>
      <c r="DP233" s="396"/>
      <c r="DQ233" s="396"/>
      <c r="DR233" s="396"/>
      <c r="DS233" s="396"/>
      <c r="DT233" s="413"/>
      <c r="DU233" s="413"/>
      <c r="DV233" s="413"/>
    </row>
    <row r="234" spans="1:126" s="312" customFormat="1" ht="12">
      <c r="A234" s="216"/>
      <c r="B234" s="414" t="s">
        <v>279</v>
      </c>
      <c r="C234" s="225"/>
      <c r="D234" s="225"/>
      <c r="E234" s="225"/>
      <c r="F234" s="225"/>
      <c r="G234" s="225"/>
      <c r="H234" s="225"/>
      <c r="I234" s="225"/>
      <c r="J234" s="216"/>
      <c r="K234" s="216"/>
      <c r="L234" s="216"/>
      <c r="M234" s="216"/>
      <c r="N234" s="225"/>
      <c r="O234" s="216"/>
      <c r="P234" s="216"/>
      <c r="Q234" s="216"/>
      <c r="R234" s="216"/>
      <c r="S234" s="225"/>
      <c r="T234" s="216"/>
      <c r="U234" s="216"/>
      <c r="V234" s="216"/>
      <c r="W234" s="216"/>
      <c r="X234" s="225"/>
      <c r="Y234" s="216"/>
      <c r="Z234" s="216"/>
      <c r="AA234" s="216"/>
      <c r="AB234" s="216"/>
      <c r="AC234" s="225"/>
      <c r="AD234" s="216"/>
      <c r="AE234" s="216"/>
      <c r="AF234" s="216"/>
      <c r="AG234" s="216"/>
      <c r="AH234" s="225"/>
      <c r="AI234" s="216"/>
      <c r="AJ234" s="216"/>
      <c r="AK234" s="216"/>
      <c r="AL234" s="216"/>
      <c r="AM234" s="225"/>
      <c r="AN234" s="216"/>
      <c r="AO234" s="216"/>
      <c r="AP234" s="216"/>
      <c r="AQ234" s="216"/>
      <c r="AR234" s="225"/>
      <c r="AS234" s="216"/>
      <c r="AT234" s="216"/>
      <c r="AU234" s="216"/>
      <c r="AV234" s="216"/>
      <c r="AW234" s="413"/>
      <c r="AX234" s="396"/>
      <c r="AY234" s="396"/>
      <c r="AZ234" s="396"/>
      <c r="BA234" s="396"/>
      <c r="BB234" s="413"/>
      <c r="BC234" s="396"/>
      <c r="BD234" s="396"/>
      <c r="BE234" s="396"/>
      <c r="BF234" s="396"/>
      <c r="BG234" s="413"/>
      <c r="BH234" s="396"/>
      <c r="BI234" s="396"/>
      <c r="BJ234" s="396"/>
      <c r="BK234" s="396"/>
      <c r="BL234" s="413"/>
      <c r="BM234" s="396"/>
      <c r="BN234" s="396"/>
      <c r="BO234" s="396"/>
      <c r="BP234" s="396"/>
      <c r="BQ234" s="413"/>
      <c r="BR234" s="396"/>
      <c r="BS234" s="396"/>
      <c r="BT234" s="396"/>
      <c r="BU234" s="396"/>
      <c r="BV234" s="413"/>
      <c r="BW234" s="396"/>
      <c r="BX234" s="430"/>
      <c r="BY234" s="396"/>
      <c r="BZ234" s="396"/>
      <c r="CA234" s="413"/>
      <c r="CB234" s="396"/>
      <c r="CC234" s="396"/>
      <c r="CD234" s="396"/>
      <c r="CE234" s="396"/>
      <c r="CF234" s="413"/>
      <c r="CG234" s="396"/>
      <c r="CH234" s="396"/>
      <c r="CI234" s="396"/>
      <c r="CJ234" s="396"/>
      <c r="CK234" s="413"/>
      <c r="CL234" s="396"/>
      <c r="CM234" s="396"/>
      <c r="CN234" s="396"/>
      <c r="CO234" s="396"/>
      <c r="CP234" s="413">
        <f>Aerospace!CP42</f>
        <v>0.50989020959985487</v>
      </c>
      <c r="CQ234" s="396"/>
      <c r="CR234" s="396"/>
      <c r="CS234" s="396"/>
      <c r="CT234" s="396"/>
      <c r="CU234" s="413">
        <f>Aerospace!CU42</f>
        <v>0.45401220084467392</v>
      </c>
      <c r="CV234" s="396"/>
      <c r="CW234" s="396"/>
      <c r="CX234" s="396"/>
      <c r="CY234" s="396"/>
      <c r="CZ234" s="413">
        <f>Aerospace!CZ42</f>
        <v>0.41159309021113238</v>
      </c>
      <c r="DA234" s="396"/>
      <c r="DB234" s="396"/>
      <c r="DC234" s="396"/>
      <c r="DD234" s="396"/>
      <c r="DE234" s="413">
        <f>Aerospace!DE42</f>
        <v>0.42448851117406361</v>
      </c>
      <c r="DF234" s="396"/>
      <c r="DG234" s="396"/>
      <c r="DH234" s="396"/>
      <c r="DI234" s="396"/>
      <c r="DJ234" s="413">
        <f>Aerospace!DJ42</f>
        <v>0.42448851117406361</v>
      </c>
      <c r="DK234" s="396"/>
      <c r="DL234" s="396"/>
      <c r="DM234" s="396"/>
      <c r="DN234" s="396"/>
      <c r="DO234" s="413">
        <f>Aerospace!DO42</f>
        <v>0.42448851117406361</v>
      </c>
      <c r="DP234" s="396"/>
      <c r="DQ234" s="396"/>
      <c r="DR234" s="396"/>
      <c r="DS234" s="396"/>
      <c r="DT234" s="413">
        <f>Aerospace!DT42</f>
        <v>0.42448851117406361</v>
      </c>
      <c r="DU234" s="413">
        <f>Aerospace!DU42</f>
        <v>0.42448851117406361</v>
      </c>
      <c r="DV234" s="413">
        <f>Aerospace!DV42</f>
        <v>0.42448851117406361</v>
      </c>
    </row>
    <row r="235" spans="1:126" s="312" customFormat="1" ht="12">
      <c r="A235" s="216"/>
      <c r="B235" s="414" t="s">
        <v>280</v>
      </c>
      <c r="C235" s="225"/>
      <c r="D235" s="225"/>
      <c r="E235" s="225"/>
      <c r="F235" s="225"/>
      <c r="G235" s="225"/>
      <c r="H235" s="225"/>
      <c r="I235" s="225"/>
      <c r="J235" s="216"/>
      <c r="K235" s="216"/>
      <c r="L235" s="216"/>
      <c r="M235" s="216"/>
      <c r="N235" s="225"/>
      <c r="O235" s="216"/>
      <c r="P235" s="216"/>
      <c r="Q235" s="216"/>
      <c r="R235" s="216"/>
      <c r="S235" s="225"/>
      <c r="T235" s="216"/>
      <c r="U235" s="216"/>
      <c r="V235" s="216"/>
      <c r="W235" s="216"/>
      <c r="X235" s="225"/>
      <c r="Y235" s="216"/>
      <c r="Z235" s="216"/>
      <c r="AA235" s="216"/>
      <c r="AB235" s="216"/>
      <c r="AC235" s="225"/>
      <c r="AD235" s="216"/>
      <c r="AE235" s="216"/>
      <c r="AF235" s="216"/>
      <c r="AG235" s="216"/>
      <c r="AH235" s="225"/>
      <c r="AI235" s="216"/>
      <c r="AJ235" s="216"/>
      <c r="AK235" s="216"/>
      <c r="AL235" s="216"/>
      <c r="AM235" s="225"/>
      <c r="AN235" s="216"/>
      <c r="AO235" s="216"/>
      <c r="AP235" s="216"/>
      <c r="AQ235" s="216"/>
      <c r="AR235" s="225"/>
      <c r="AS235" s="216"/>
      <c r="AT235" s="216"/>
      <c r="AU235" s="216"/>
      <c r="AV235" s="216"/>
      <c r="AW235" s="413"/>
      <c r="AX235" s="396"/>
      <c r="AY235" s="396"/>
      <c r="AZ235" s="396"/>
      <c r="BA235" s="396"/>
      <c r="BB235" s="413"/>
      <c r="BC235" s="396"/>
      <c r="BD235" s="396"/>
      <c r="BE235" s="396"/>
      <c r="BF235" s="396"/>
      <c r="BG235" s="413"/>
      <c r="BH235" s="396"/>
      <c r="BI235" s="396"/>
      <c r="BJ235" s="396"/>
      <c r="BK235" s="396"/>
      <c r="BL235" s="413"/>
      <c r="BM235" s="396"/>
      <c r="BN235" s="396"/>
      <c r="BO235" s="396"/>
      <c r="BP235" s="396"/>
      <c r="BQ235" s="413"/>
      <c r="BR235" s="396"/>
      <c r="BS235" s="396"/>
      <c r="BT235" s="396"/>
      <c r="BU235" s="396"/>
      <c r="BV235" s="413"/>
      <c r="BW235" s="396"/>
      <c r="BX235" s="430"/>
      <c r="BY235" s="396"/>
      <c r="BZ235" s="396"/>
      <c r="CA235" s="413"/>
      <c r="CB235" s="396"/>
      <c r="CC235" s="396"/>
      <c r="CD235" s="396"/>
      <c r="CE235" s="396"/>
      <c r="CF235" s="413"/>
      <c r="CG235" s="396"/>
      <c r="CH235" s="396"/>
      <c r="CI235" s="396"/>
      <c r="CJ235" s="396"/>
      <c r="CK235" s="413"/>
      <c r="CL235" s="396"/>
      <c r="CM235" s="396"/>
      <c r="CN235" s="396"/>
      <c r="CO235" s="396"/>
      <c r="CP235" s="413"/>
      <c r="CQ235" s="396"/>
      <c r="CR235" s="396"/>
      <c r="CS235" s="396"/>
      <c r="CT235" s="396"/>
      <c r="CU235" s="413"/>
      <c r="CV235" s="396"/>
      <c r="CW235" s="396"/>
      <c r="CX235" s="396"/>
      <c r="CY235" s="396"/>
      <c r="CZ235" s="413"/>
      <c r="DA235" s="396"/>
      <c r="DB235" s="396"/>
      <c r="DC235" s="396"/>
      <c r="DD235" s="396"/>
      <c r="DE235" s="413"/>
      <c r="DF235" s="396"/>
      <c r="DG235" s="396"/>
      <c r="DH235" s="396"/>
      <c r="DI235" s="396"/>
      <c r="DJ235" s="413"/>
      <c r="DK235" s="396"/>
      <c r="DL235" s="396"/>
      <c r="DM235" s="396"/>
      <c r="DN235" s="396"/>
      <c r="DO235" s="413"/>
      <c r="DP235" s="396"/>
      <c r="DQ235" s="396"/>
      <c r="DR235" s="396"/>
      <c r="DS235" s="396"/>
      <c r="DT235" s="413"/>
      <c r="DU235" s="413"/>
      <c r="DV235" s="413"/>
    </row>
    <row r="236" spans="1:126" s="312" customFormat="1" ht="12">
      <c r="A236" s="216"/>
      <c r="B236" s="414" t="s">
        <v>281</v>
      </c>
      <c r="C236" s="225"/>
      <c r="D236" s="225"/>
      <c r="E236" s="225"/>
      <c r="F236" s="225"/>
      <c r="G236" s="225"/>
      <c r="H236" s="225"/>
      <c r="I236" s="225"/>
      <c r="J236" s="216"/>
      <c r="K236" s="216"/>
      <c r="L236" s="216"/>
      <c r="M236" s="216"/>
      <c r="N236" s="225"/>
      <c r="O236" s="216"/>
      <c r="P236" s="216"/>
      <c r="Q236" s="216"/>
      <c r="R236" s="216"/>
      <c r="S236" s="225"/>
      <c r="T236" s="216"/>
      <c r="U236" s="216"/>
      <c r="V236" s="216"/>
      <c r="W236" s="216"/>
      <c r="X236" s="225"/>
      <c r="Y236" s="216"/>
      <c r="Z236" s="216"/>
      <c r="AA236" s="216"/>
      <c r="AB236" s="216"/>
      <c r="AC236" s="225"/>
      <c r="AD236" s="216"/>
      <c r="AE236" s="216"/>
      <c r="AF236" s="216"/>
      <c r="AG236" s="216"/>
      <c r="AH236" s="225"/>
      <c r="AI236" s="216"/>
      <c r="AJ236" s="216"/>
      <c r="AK236" s="216"/>
      <c r="AL236" s="216"/>
      <c r="AM236" s="225"/>
      <c r="AN236" s="216"/>
      <c r="AO236" s="216"/>
      <c r="AP236" s="216"/>
      <c r="AQ236" s="216"/>
      <c r="AR236" s="225"/>
      <c r="AS236" s="216"/>
      <c r="AT236" s="216"/>
      <c r="AU236" s="216"/>
      <c r="AV236" s="216"/>
      <c r="AW236" s="413"/>
      <c r="AX236" s="396"/>
      <c r="AY236" s="396"/>
      <c r="AZ236" s="396"/>
      <c r="BA236" s="396"/>
      <c r="BB236" s="413"/>
      <c r="BC236" s="396"/>
      <c r="BD236" s="396"/>
      <c r="BE236" s="396"/>
      <c r="BF236" s="396"/>
      <c r="BG236" s="413"/>
      <c r="BH236" s="396"/>
      <c r="BI236" s="396"/>
      <c r="BJ236" s="396"/>
      <c r="BK236" s="396"/>
      <c r="BL236" s="413"/>
      <c r="BM236" s="396"/>
      <c r="BN236" s="396"/>
      <c r="BO236" s="396"/>
      <c r="BP236" s="396"/>
      <c r="BQ236" s="413"/>
      <c r="BR236" s="396"/>
      <c r="BS236" s="396"/>
      <c r="BT236" s="396"/>
      <c r="BU236" s="396"/>
      <c r="BV236" s="413"/>
      <c r="BW236" s="396"/>
      <c r="BX236" s="430"/>
      <c r="BY236" s="396"/>
      <c r="BZ236" s="396"/>
      <c r="CA236" s="413"/>
      <c r="CB236" s="396"/>
      <c r="CC236" s="396"/>
      <c r="CD236" s="396"/>
      <c r="CE236" s="396"/>
      <c r="CF236" s="413"/>
      <c r="CG236" s="396"/>
      <c r="CH236" s="396"/>
      <c r="CI236" s="396"/>
      <c r="CJ236" s="396"/>
      <c r="CK236" s="413"/>
      <c r="CL236" s="396"/>
      <c r="CM236" s="396"/>
      <c r="CN236" s="396"/>
      <c r="CO236" s="396"/>
      <c r="CP236" s="413"/>
      <c r="CQ236" s="396"/>
      <c r="CR236" s="396"/>
      <c r="CS236" s="396"/>
      <c r="CT236" s="396"/>
      <c r="CU236" s="413"/>
      <c r="CV236" s="396"/>
      <c r="CW236" s="396"/>
      <c r="CX236" s="396"/>
      <c r="CY236" s="396"/>
      <c r="CZ236" s="413"/>
      <c r="DA236" s="396"/>
      <c r="DB236" s="396"/>
      <c r="DC236" s="396"/>
      <c r="DD236" s="396"/>
      <c r="DE236" s="413"/>
      <c r="DF236" s="396"/>
      <c r="DG236" s="396"/>
      <c r="DH236" s="396"/>
      <c r="DI236" s="396"/>
      <c r="DJ236" s="413"/>
      <c r="DK236" s="396"/>
      <c r="DL236" s="396"/>
      <c r="DM236" s="396"/>
      <c r="DN236" s="396"/>
      <c r="DO236" s="413"/>
      <c r="DP236" s="396"/>
      <c r="DQ236" s="396"/>
      <c r="DR236" s="396"/>
      <c r="DS236" s="396"/>
      <c r="DT236" s="413"/>
      <c r="DU236" s="413"/>
      <c r="DV236" s="413"/>
    </row>
    <row r="237" spans="1:126" s="312" customFormat="1" ht="12">
      <c r="A237" s="216"/>
      <c r="B237" s="414" t="s">
        <v>282</v>
      </c>
      <c r="C237" s="225"/>
      <c r="D237" s="225"/>
      <c r="E237" s="225"/>
      <c r="F237" s="225"/>
      <c r="G237" s="225"/>
      <c r="H237" s="225"/>
      <c r="I237" s="225"/>
      <c r="J237" s="216"/>
      <c r="K237" s="216"/>
      <c r="L237" s="216"/>
      <c r="M237" s="216"/>
      <c r="N237" s="225"/>
      <c r="O237" s="216"/>
      <c r="P237" s="216"/>
      <c r="Q237" s="216"/>
      <c r="R237" s="216"/>
      <c r="S237" s="225"/>
      <c r="T237" s="216"/>
      <c r="U237" s="216"/>
      <c r="V237" s="216"/>
      <c r="W237" s="216"/>
      <c r="X237" s="225"/>
      <c r="Y237" s="216"/>
      <c r="Z237" s="216"/>
      <c r="AA237" s="216"/>
      <c r="AB237" s="216"/>
      <c r="AC237" s="225"/>
      <c r="AD237" s="216"/>
      <c r="AE237" s="216"/>
      <c r="AF237" s="216"/>
      <c r="AG237" s="216"/>
      <c r="AH237" s="225"/>
      <c r="AI237" s="216"/>
      <c r="AJ237" s="216"/>
      <c r="AK237" s="216"/>
      <c r="AL237" s="216"/>
      <c r="AM237" s="225"/>
      <c r="AN237" s="216"/>
      <c r="AO237" s="216"/>
      <c r="AP237" s="216"/>
      <c r="AQ237" s="216"/>
      <c r="AR237" s="225"/>
      <c r="AS237" s="216"/>
      <c r="AT237" s="216"/>
      <c r="AU237" s="216"/>
      <c r="AV237" s="216"/>
      <c r="AW237" s="413"/>
      <c r="AX237" s="396"/>
      <c r="AY237" s="396"/>
      <c r="AZ237" s="396"/>
      <c r="BA237" s="396"/>
      <c r="BB237" s="413"/>
      <c r="BC237" s="396"/>
      <c r="BD237" s="396"/>
      <c r="BE237" s="396"/>
      <c r="BF237" s="396"/>
      <c r="BG237" s="413"/>
      <c r="BH237" s="396"/>
      <c r="BI237" s="396"/>
      <c r="BJ237" s="396"/>
      <c r="BK237" s="396"/>
      <c r="BL237" s="413"/>
      <c r="BM237" s="396"/>
      <c r="BN237" s="396"/>
      <c r="BO237" s="396"/>
      <c r="BP237" s="396"/>
      <c r="BQ237" s="413"/>
      <c r="BR237" s="396"/>
      <c r="BS237" s="396"/>
      <c r="BT237" s="396"/>
      <c r="BU237" s="396"/>
      <c r="BV237" s="413"/>
      <c r="BW237" s="396"/>
      <c r="BX237" s="430"/>
      <c r="BY237" s="396"/>
      <c r="BZ237" s="396"/>
      <c r="CA237" s="413"/>
      <c r="CB237" s="396"/>
      <c r="CC237" s="396"/>
      <c r="CD237" s="396"/>
      <c r="CE237" s="396"/>
      <c r="CF237" s="413"/>
      <c r="CG237" s="396"/>
      <c r="CH237" s="396"/>
      <c r="CI237" s="396"/>
      <c r="CJ237" s="396"/>
      <c r="CK237" s="413"/>
      <c r="CL237" s="396"/>
      <c r="CM237" s="396"/>
      <c r="CN237" s="396"/>
      <c r="CO237" s="396"/>
      <c r="CP237" s="413"/>
      <c r="CQ237" s="396"/>
      <c r="CR237" s="396"/>
      <c r="CS237" s="396"/>
      <c r="CT237" s="396"/>
      <c r="CU237" s="413"/>
      <c r="CV237" s="396"/>
      <c r="CW237" s="396"/>
      <c r="CX237" s="396"/>
      <c r="CY237" s="396"/>
      <c r="CZ237" s="413"/>
      <c r="DA237" s="396"/>
      <c r="DB237" s="396"/>
      <c r="DC237" s="396"/>
      <c r="DD237" s="396"/>
      <c r="DE237" s="413"/>
      <c r="DF237" s="396"/>
      <c r="DG237" s="396"/>
      <c r="DH237" s="396"/>
      <c r="DI237" s="396"/>
      <c r="DJ237" s="413"/>
      <c r="DK237" s="396"/>
      <c r="DL237" s="396"/>
      <c r="DM237" s="396"/>
      <c r="DN237" s="396"/>
      <c r="DO237" s="413"/>
      <c r="DP237" s="396"/>
      <c r="DQ237" s="396"/>
      <c r="DR237" s="396"/>
      <c r="DS237" s="396"/>
      <c r="DT237" s="413"/>
      <c r="DU237" s="413"/>
      <c r="DV237" s="413"/>
    </row>
    <row r="238" spans="1:126" s="312" customFormat="1" ht="12">
      <c r="A238" s="216"/>
      <c r="B238" s="414" t="s">
        <v>283</v>
      </c>
      <c r="C238" s="225"/>
      <c r="D238" s="225"/>
      <c r="E238" s="225"/>
      <c r="F238" s="225"/>
      <c r="G238" s="225"/>
      <c r="H238" s="225"/>
      <c r="I238" s="225"/>
      <c r="J238" s="216"/>
      <c r="K238" s="216"/>
      <c r="L238" s="216"/>
      <c r="M238" s="216"/>
      <c r="N238" s="225"/>
      <c r="O238" s="216"/>
      <c r="P238" s="216"/>
      <c r="Q238" s="216"/>
      <c r="R238" s="216"/>
      <c r="S238" s="225"/>
      <c r="T238" s="216"/>
      <c r="U238" s="216"/>
      <c r="V238" s="216"/>
      <c r="W238" s="216"/>
      <c r="X238" s="225"/>
      <c r="Y238" s="216"/>
      <c r="Z238" s="216"/>
      <c r="AA238" s="216"/>
      <c r="AB238" s="216"/>
      <c r="AC238" s="225"/>
      <c r="AD238" s="216"/>
      <c r="AE238" s="216"/>
      <c r="AF238" s="216"/>
      <c r="AG238" s="216"/>
      <c r="AH238" s="225"/>
      <c r="AI238" s="216"/>
      <c r="AJ238" s="216"/>
      <c r="AK238" s="216"/>
      <c r="AL238" s="216"/>
      <c r="AM238" s="225"/>
      <c r="AN238" s="216"/>
      <c r="AO238" s="216"/>
      <c r="AP238" s="216"/>
      <c r="AQ238" s="216"/>
      <c r="AR238" s="225"/>
      <c r="AS238" s="216"/>
      <c r="AT238" s="216"/>
      <c r="AU238" s="216"/>
      <c r="AV238" s="216"/>
      <c r="AW238" s="413"/>
      <c r="AX238" s="396"/>
      <c r="AY238" s="396"/>
      <c r="AZ238" s="396"/>
      <c r="BA238" s="396"/>
      <c r="BB238" s="413"/>
      <c r="BC238" s="396"/>
      <c r="BD238" s="396"/>
      <c r="BE238" s="396"/>
      <c r="BF238" s="396"/>
      <c r="BG238" s="413"/>
      <c r="BH238" s="396"/>
      <c r="BI238" s="396"/>
      <c r="BJ238" s="396"/>
      <c r="BK238" s="396"/>
      <c r="BL238" s="413"/>
      <c r="BM238" s="396"/>
      <c r="BN238" s="396"/>
      <c r="BO238" s="396"/>
      <c r="BP238" s="396"/>
      <c r="BQ238" s="413"/>
      <c r="BR238" s="396"/>
      <c r="BS238" s="396"/>
      <c r="BT238" s="396"/>
      <c r="BU238" s="396"/>
      <c r="BV238" s="413"/>
      <c r="BW238" s="396"/>
      <c r="BX238" s="430"/>
      <c r="BY238" s="396"/>
      <c r="BZ238" s="396"/>
      <c r="CA238" s="413"/>
      <c r="CB238" s="396"/>
      <c r="CC238" s="396"/>
      <c r="CD238" s="396"/>
      <c r="CE238" s="396"/>
      <c r="CF238" s="413"/>
      <c r="CG238" s="396"/>
      <c r="CH238" s="396"/>
      <c r="CI238" s="396"/>
      <c r="CJ238" s="396"/>
      <c r="CK238" s="413"/>
      <c r="CL238" s="396"/>
      <c r="CM238" s="396"/>
      <c r="CN238" s="396"/>
      <c r="CO238" s="396"/>
      <c r="CP238" s="413"/>
      <c r="CQ238" s="396"/>
      <c r="CR238" s="396"/>
      <c r="CS238" s="396"/>
      <c r="CT238" s="396"/>
      <c r="CU238" s="413"/>
      <c r="CV238" s="396"/>
      <c r="CW238" s="396"/>
      <c r="CX238" s="396"/>
      <c r="CY238" s="396"/>
      <c r="CZ238" s="413"/>
      <c r="DA238" s="396"/>
      <c r="DB238" s="396"/>
      <c r="DC238" s="396"/>
      <c r="DD238" s="396"/>
      <c r="DE238" s="413"/>
      <c r="DF238" s="396"/>
      <c r="DG238" s="396"/>
      <c r="DH238" s="396"/>
      <c r="DI238" s="396"/>
      <c r="DJ238" s="413"/>
      <c r="DK238" s="396"/>
      <c r="DL238" s="396"/>
      <c r="DM238" s="396"/>
      <c r="DN238" s="396"/>
      <c r="DO238" s="413"/>
      <c r="DP238" s="396"/>
      <c r="DQ238" s="396"/>
      <c r="DR238" s="396"/>
      <c r="DS238" s="396"/>
      <c r="DT238" s="413"/>
      <c r="DU238" s="413"/>
      <c r="DV238" s="413"/>
    </row>
    <row r="239" spans="1:126" s="312" customFormat="1" ht="12">
      <c r="A239" s="216"/>
      <c r="B239" s="414" t="s">
        <v>284</v>
      </c>
      <c r="C239" s="225"/>
      <c r="D239" s="225"/>
      <c r="E239" s="225"/>
      <c r="F239" s="225"/>
      <c r="G239" s="225"/>
      <c r="H239" s="225"/>
      <c r="I239" s="225"/>
      <c r="J239" s="216"/>
      <c r="K239" s="216"/>
      <c r="L239" s="216"/>
      <c r="M239" s="216"/>
      <c r="N239" s="225"/>
      <c r="O239" s="216"/>
      <c r="P239" s="216"/>
      <c r="Q239" s="216"/>
      <c r="R239" s="216"/>
      <c r="S239" s="225"/>
      <c r="T239" s="216"/>
      <c r="U239" s="216"/>
      <c r="V239" s="216"/>
      <c r="W239" s="216"/>
      <c r="X239" s="225"/>
      <c r="Y239" s="216"/>
      <c r="Z239" s="216"/>
      <c r="AA239" s="216"/>
      <c r="AB239" s="216"/>
      <c r="AC239" s="225"/>
      <c r="AD239" s="216"/>
      <c r="AE239" s="216"/>
      <c r="AF239" s="216"/>
      <c r="AG239" s="216"/>
      <c r="AH239" s="225"/>
      <c r="AI239" s="216"/>
      <c r="AJ239" s="216"/>
      <c r="AK239" s="216"/>
      <c r="AL239" s="216"/>
      <c r="AM239" s="225"/>
      <c r="AN239" s="216"/>
      <c r="AO239" s="216"/>
      <c r="AP239" s="216"/>
      <c r="AQ239" s="216"/>
      <c r="AR239" s="225"/>
      <c r="AS239" s="216"/>
      <c r="AT239" s="216"/>
      <c r="AU239" s="216"/>
      <c r="AV239" s="216"/>
      <c r="AW239" s="413"/>
      <c r="AX239" s="396"/>
      <c r="AY239" s="396"/>
      <c r="AZ239" s="396"/>
      <c r="BA239" s="396"/>
      <c r="BB239" s="413"/>
      <c r="BC239" s="396"/>
      <c r="BD239" s="396"/>
      <c r="BE239" s="396"/>
      <c r="BF239" s="396"/>
      <c r="BG239" s="413"/>
      <c r="BH239" s="396"/>
      <c r="BI239" s="396"/>
      <c r="BJ239" s="396"/>
      <c r="BK239" s="396"/>
      <c r="BL239" s="413"/>
      <c r="BM239" s="396"/>
      <c r="BN239" s="396"/>
      <c r="BO239" s="396"/>
      <c r="BP239" s="396"/>
      <c r="BQ239" s="413"/>
      <c r="BR239" s="396"/>
      <c r="BS239" s="396"/>
      <c r="BT239" s="396"/>
      <c r="BU239" s="396"/>
      <c r="BV239" s="413"/>
      <c r="BW239" s="396"/>
      <c r="BX239" s="430"/>
      <c r="BY239" s="396"/>
      <c r="BZ239" s="396"/>
      <c r="CA239" s="413"/>
      <c r="CB239" s="396"/>
      <c r="CC239" s="396"/>
      <c r="CD239" s="396"/>
      <c r="CE239" s="396"/>
      <c r="CF239" s="413"/>
      <c r="CG239" s="396"/>
      <c r="CH239" s="396"/>
      <c r="CI239" s="396"/>
      <c r="CJ239" s="396"/>
      <c r="CK239" s="413"/>
      <c r="CL239" s="396"/>
      <c r="CM239" s="396"/>
      <c r="CN239" s="396"/>
      <c r="CO239" s="396"/>
      <c r="CP239" s="413"/>
      <c r="CQ239" s="396"/>
      <c r="CR239" s="396"/>
      <c r="CS239" s="396"/>
      <c r="CT239" s="396"/>
      <c r="CU239" s="413"/>
      <c r="CV239" s="396"/>
      <c r="CW239" s="396"/>
      <c r="CX239" s="396"/>
      <c r="CY239" s="396"/>
      <c r="CZ239" s="413"/>
      <c r="DA239" s="396"/>
      <c r="DB239" s="396"/>
      <c r="DC239" s="396"/>
      <c r="DD239" s="396"/>
      <c r="DE239" s="413"/>
      <c r="DF239" s="396"/>
      <c r="DG239" s="396"/>
      <c r="DH239" s="396"/>
      <c r="DI239" s="396"/>
      <c r="DJ239" s="413"/>
      <c r="DK239" s="396"/>
      <c r="DL239" s="396"/>
      <c r="DM239" s="396"/>
      <c r="DN239" s="396"/>
      <c r="DO239" s="413"/>
      <c r="DP239" s="396"/>
      <c r="DQ239" s="396"/>
      <c r="DR239" s="396"/>
      <c r="DS239" s="396"/>
      <c r="DT239" s="413"/>
      <c r="DU239" s="413"/>
      <c r="DV239" s="413"/>
    </row>
    <row r="240" spans="1:126" s="312" customFormat="1" ht="12">
      <c r="A240" s="216"/>
      <c r="B240" s="414" t="s">
        <v>285</v>
      </c>
      <c r="C240" s="225"/>
      <c r="D240" s="225"/>
      <c r="E240" s="225"/>
      <c r="F240" s="225"/>
      <c r="G240" s="225"/>
      <c r="H240" s="225"/>
      <c r="I240" s="225"/>
      <c r="J240" s="216"/>
      <c r="K240" s="216"/>
      <c r="L240" s="216"/>
      <c r="M240" s="216"/>
      <c r="N240" s="225"/>
      <c r="O240" s="216"/>
      <c r="P240" s="216"/>
      <c r="Q240" s="216"/>
      <c r="R240" s="216"/>
      <c r="S240" s="225"/>
      <c r="T240" s="216"/>
      <c r="U240" s="216"/>
      <c r="V240" s="216"/>
      <c r="W240" s="216"/>
      <c r="X240" s="225"/>
      <c r="Y240" s="216"/>
      <c r="Z240" s="216"/>
      <c r="AA240" s="216"/>
      <c r="AB240" s="216"/>
      <c r="AC240" s="225"/>
      <c r="AD240" s="216"/>
      <c r="AE240" s="216"/>
      <c r="AF240" s="216"/>
      <c r="AG240" s="216"/>
      <c r="AH240" s="225"/>
      <c r="AI240" s="216"/>
      <c r="AJ240" s="216"/>
      <c r="AK240" s="216"/>
      <c r="AL240" s="216"/>
      <c r="AM240" s="225"/>
      <c r="AN240" s="216"/>
      <c r="AO240" s="216"/>
      <c r="AP240" s="216"/>
      <c r="AQ240" s="216"/>
      <c r="AR240" s="225"/>
      <c r="AS240" s="216"/>
      <c r="AT240" s="216"/>
      <c r="AU240" s="216"/>
      <c r="AV240" s="216"/>
      <c r="AW240" s="413"/>
      <c r="AX240" s="396"/>
      <c r="AY240" s="396"/>
      <c r="AZ240" s="396"/>
      <c r="BA240" s="396"/>
      <c r="BB240" s="413"/>
      <c r="BC240" s="396"/>
      <c r="BD240" s="396"/>
      <c r="BE240" s="396"/>
      <c r="BF240" s="396"/>
      <c r="BG240" s="413"/>
      <c r="BH240" s="396"/>
      <c r="BI240" s="396"/>
      <c r="BJ240" s="396"/>
      <c r="BK240" s="396"/>
      <c r="BL240" s="413"/>
      <c r="BM240" s="396"/>
      <c r="BN240" s="396"/>
      <c r="BO240" s="396"/>
      <c r="BP240" s="396"/>
      <c r="BQ240" s="413"/>
      <c r="BR240" s="396"/>
      <c r="BS240" s="396"/>
      <c r="BT240" s="396"/>
      <c r="BU240" s="396"/>
      <c r="BV240" s="413"/>
      <c r="BW240" s="396"/>
      <c r="BX240" s="430"/>
      <c r="BY240" s="396"/>
      <c r="BZ240" s="396"/>
      <c r="CA240" s="413"/>
      <c r="CB240" s="396"/>
      <c r="CC240" s="396"/>
      <c r="CD240" s="396"/>
      <c r="CE240" s="396"/>
      <c r="CF240" s="413"/>
      <c r="CG240" s="396"/>
      <c r="CH240" s="396"/>
      <c r="CI240" s="396"/>
      <c r="CJ240" s="396"/>
      <c r="CK240" s="413"/>
      <c r="CL240" s="396"/>
      <c r="CM240" s="396"/>
      <c r="CN240" s="396"/>
      <c r="CO240" s="396"/>
      <c r="CP240" s="413"/>
      <c r="CQ240" s="396"/>
      <c r="CR240" s="396"/>
      <c r="CS240" s="396"/>
      <c r="CT240" s="396"/>
      <c r="CU240" s="413"/>
      <c r="CV240" s="396"/>
      <c r="CW240" s="396"/>
      <c r="CX240" s="396"/>
      <c r="CY240" s="396"/>
      <c r="CZ240" s="413"/>
      <c r="DA240" s="396"/>
      <c r="DB240" s="396"/>
      <c r="DC240" s="396"/>
      <c r="DD240" s="396"/>
      <c r="DE240" s="413"/>
      <c r="DF240" s="396"/>
      <c r="DG240" s="396"/>
      <c r="DH240" s="396"/>
      <c r="DI240" s="396"/>
      <c r="DJ240" s="413"/>
      <c r="DK240" s="396"/>
      <c r="DL240" s="396"/>
      <c r="DM240" s="396"/>
      <c r="DN240" s="396"/>
      <c r="DO240" s="413"/>
      <c r="DP240" s="396"/>
      <c r="DQ240" s="396"/>
      <c r="DR240" s="396"/>
      <c r="DS240" s="396"/>
      <c r="DT240" s="413"/>
      <c r="DU240" s="413"/>
      <c r="DV240" s="413"/>
    </row>
    <row r="241" spans="1:126" s="312" customFormat="1" ht="12">
      <c r="A241" s="216"/>
      <c r="B241" s="414" t="s">
        <v>286</v>
      </c>
      <c r="C241" s="225"/>
      <c r="D241" s="225"/>
      <c r="E241" s="225"/>
      <c r="F241" s="225"/>
      <c r="G241" s="225"/>
      <c r="H241" s="225"/>
      <c r="I241" s="225"/>
      <c r="J241" s="216"/>
      <c r="K241" s="216"/>
      <c r="L241" s="216"/>
      <c r="M241" s="216"/>
      <c r="N241" s="225"/>
      <c r="O241" s="216"/>
      <c r="P241" s="216"/>
      <c r="Q241" s="216"/>
      <c r="R241" s="216"/>
      <c r="S241" s="225"/>
      <c r="T241" s="216"/>
      <c r="U241" s="216"/>
      <c r="V241" s="216"/>
      <c r="W241" s="216"/>
      <c r="X241" s="225"/>
      <c r="Y241" s="216"/>
      <c r="Z241" s="216"/>
      <c r="AA241" s="216"/>
      <c r="AB241" s="216"/>
      <c r="AC241" s="225"/>
      <c r="AD241" s="216"/>
      <c r="AE241" s="216"/>
      <c r="AF241" s="216"/>
      <c r="AG241" s="216"/>
      <c r="AH241" s="225"/>
      <c r="AI241" s="216"/>
      <c r="AJ241" s="216"/>
      <c r="AK241" s="216"/>
      <c r="AL241" s="216"/>
      <c r="AM241" s="225"/>
      <c r="AN241" s="216"/>
      <c r="AO241" s="216"/>
      <c r="AP241" s="216"/>
      <c r="AQ241" s="216"/>
      <c r="AR241" s="225"/>
      <c r="AS241" s="216"/>
      <c r="AT241" s="216"/>
      <c r="AU241" s="216"/>
      <c r="AV241" s="216"/>
      <c r="AW241" s="413"/>
      <c r="AX241" s="396"/>
      <c r="AY241" s="396"/>
      <c r="AZ241" s="396"/>
      <c r="BA241" s="396"/>
      <c r="BB241" s="413"/>
      <c r="BC241" s="396"/>
      <c r="BD241" s="396"/>
      <c r="BE241" s="396"/>
      <c r="BF241" s="396"/>
      <c r="BG241" s="413"/>
      <c r="BH241" s="396"/>
      <c r="BI241" s="396"/>
      <c r="BJ241" s="396"/>
      <c r="BK241" s="396"/>
      <c r="BL241" s="413"/>
      <c r="BM241" s="396"/>
      <c r="BN241" s="396"/>
      <c r="BO241" s="396"/>
      <c r="BP241" s="396"/>
      <c r="BQ241" s="413"/>
      <c r="BR241" s="396"/>
      <c r="BS241" s="396"/>
      <c r="BT241" s="396"/>
      <c r="BU241" s="396"/>
      <c r="BV241" s="413"/>
      <c r="BW241" s="396"/>
      <c r="BX241" s="430"/>
      <c r="BY241" s="396"/>
      <c r="BZ241" s="396"/>
      <c r="CA241" s="413"/>
      <c r="CB241" s="396"/>
      <c r="CC241" s="396"/>
      <c r="CD241" s="396"/>
      <c r="CE241" s="396"/>
      <c r="CF241" s="413"/>
      <c r="CG241" s="396"/>
      <c r="CH241" s="396"/>
      <c r="CI241" s="396"/>
      <c r="CJ241" s="396"/>
      <c r="CK241" s="413"/>
      <c r="CL241" s="396"/>
      <c r="CM241" s="396"/>
      <c r="CN241" s="396"/>
      <c r="CO241" s="396"/>
      <c r="CP241" s="413"/>
      <c r="CQ241" s="396"/>
      <c r="CR241" s="396"/>
      <c r="CS241" s="396"/>
      <c r="CT241" s="396"/>
      <c r="CU241" s="413"/>
      <c r="CV241" s="396"/>
      <c r="CW241" s="396"/>
      <c r="CX241" s="396"/>
      <c r="CY241" s="396"/>
      <c r="CZ241" s="413"/>
      <c r="DA241" s="396"/>
      <c r="DB241" s="396"/>
      <c r="DC241" s="396"/>
      <c r="DD241" s="396"/>
      <c r="DE241" s="413"/>
      <c r="DF241" s="396"/>
      <c r="DG241" s="396"/>
      <c r="DH241" s="396"/>
      <c r="DI241" s="396"/>
      <c r="DJ241" s="413"/>
      <c r="DK241" s="396"/>
      <c r="DL241" s="396"/>
      <c r="DM241" s="396"/>
      <c r="DN241" s="396"/>
      <c r="DO241" s="413"/>
      <c r="DP241" s="396"/>
      <c r="DQ241" s="396"/>
      <c r="DR241" s="396"/>
      <c r="DS241" s="396"/>
      <c r="DT241" s="413"/>
      <c r="DU241" s="413"/>
      <c r="DV241" s="413"/>
    </row>
    <row r="242" spans="1:126" s="312" customFormat="1" ht="12">
      <c r="A242" s="216"/>
      <c r="B242" s="414" t="s">
        <v>287</v>
      </c>
      <c r="C242" s="225"/>
      <c r="D242" s="225"/>
      <c r="E242" s="225"/>
      <c r="F242" s="225"/>
      <c r="G242" s="225"/>
      <c r="H242" s="225"/>
      <c r="I242" s="225"/>
      <c r="J242" s="216"/>
      <c r="K242" s="216"/>
      <c r="L242" s="216"/>
      <c r="M242" s="216"/>
      <c r="N242" s="225"/>
      <c r="O242" s="216"/>
      <c r="P242" s="216"/>
      <c r="Q242" s="216"/>
      <c r="R242" s="216"/>
      <c r="S242" s="225"/>
      <c r="T242" s="216"/>
      <c r="U242" s="216"/>
      <c r="V242" s="216"/>
      <c r="W242" s="216"/>
      <c r="X242" s="225"/>
      <c r="Y242" s="216"/>
      <c r="Z242" s="216"/>
      <c r="AA242" s="216"/>
      <c r="AB242" s="216"/>
      <c r="AC242" s="225"/>
      <c r="AD242" s="216"/>
      <c r="AE242" s="216"/>
      <c r="AF242" s="216"/>
      <c r="AG242" s="216"/>
      <c r="AH242" s="225"/>
      <c r="AI242" s="216"/>
      <c r="AJ242" s="216"/>
      <c r="AK242" s="216"/>
      <c r="AL242" s="216"/>
      <c r="AM242" s="225"/>
      <c r="AN242" s="216"/>
      <c r="AO242" s="216"/>
      <c r="AP242" s="216"/>
      <c r="AQ242" s="216"/>
      <c r="AR242" s="225"/>
      <c r="AS242" s="216"/>
      <c r="AT242" s="216"/>
      <c r="AU242" s="216"/>
      <c r="AV242" s="216"/>
      <c r="AW242" s="413"/>
      <c r="AX242" s="396"/>
      <c r="AY242" s="396"/>
      <c r="AZ242" s="396"/>
      <c r="BA242" s="396"/>
      <c r="BB242" s="413"/>
      <c r="BC242" s="396"/>
      <c r="BD242" s="396"/>
      <c r="BE242" s="396"/>
      <c r="BF242" s="396"/>
      <c r="BG242" s="413"/>
      <c r="BH242" s="396"/>
      <c r="BI242" s="396"/>
      <c r="BJ242" s="396"/>
      <c r="BK242" s="396"/>
      <c r="BL242" s="413"/>
      <c r="BM242" s="396"/>
      <c r="BN242" s="396"/>
      <c r="BO242" s="396"/>
      <c r="BP242" s="396"/>
      <c r="BQ242" s="413"/>
      <c r="BR242" s="396"/>
      <c r="BS242" s="396"/>
      <c r="BT242" s="396"/>
      <c r="BU242" s="396"/>
      <c r="BV242" s="413"/>
      <c r="BW242" s="396"/>
      <c r="BX242" s="430"/>
      <c r="BY242" s="396"/>
      <c r="BZ242" s="396"/>
      <c r="CA242" s="413"/>
      <c r="CB242" s="396"/>
      <c r="CC242" s="396"/>
      <c r="CD242" s="396"/>
      <c r="CE242" s="396"/>
      <c r="CF242" s="413"/>
      <c r="CG242" s="396"/>
      <c r="CH242" s="396"/>
      <c r="CI242" s="396"/>
      <c r="CJ242" s="396"/>
      <c r="CK242" s="413"/>
      <c r="CL242" s="396"/>
      <c r="CM242" s="396"/>
      <c r="CN242" s="396"/>
      <c r="CO242" s="396"/>
      <c r="CP242" s="413"/>
      <c r="CQ242" s="396"/>
      <c r="CR242" s="396"/>
      <c r="CS242" s="396"/>
      <c r="CT242" s="396"/>
      <c r="CU242" s="413"/>
      <c r="CV242" s="396"/>
      <c r="CW242" s="396"/>
      <c r="CX242" s="396"/>
      <c r="CY242" s="396"/>
      <c r="CZ242" s="413"/>
      <c r="DA242" s="396"/>
      <c r="DB242" s="396"/>
      <c r="DC242" s="396"/>
      <c r="DD242" s="396"/>
      <c r="DE242" s="413"/>
      <c r="DF242" s="396"/>
      <c r="DG242" s="396"/>
      <c r="DH242" s="396"/>
      <c r="DI242" s="396"/>
      <c r="DJ242" s="413"/>
      <c r="DK242" s="396"/>
      <c r="DL242" s="396"/>
      <c r="DM242" s="396"/>
      <c r="DN242" s="396"/>
      <c r="DO242" s="413"/>
      <c r="DP242" s="396"/>
      <c r="DQ242" s="396"/>
      <c r="DR242" s="396"/>
      <c r="DS242" s="396"/>
      <c r="DT242" s="413"/>
      <c r="DU242" s="413"/>
      <c r="DV242" s="413"/>
    </row>
    <row r="243" spans="1:126" s="312" customFormat="1" ht="12">
      <c r="A243" s="216"/>
      <c r="B243" s="414" t="s">
        <v>288</v>
      </c>
      <c r="C243" s="225"/>
      <c r="D243" s="225"/>
      <c r="E243" s="225"/>
      <c r="F243" s="225"/>
      <c r="G243" s="225"/>
      <c r="H243" s="225"/>
      <c r="I243" s="225"/>
      <c r="J243" s="216"/>
      <c r="K243" s="216"/>
      <c r="L243" s="216"/>
      <c r="M243" s="216"/>
      <c r="N243" s="225"/>
      <c r="O243" s="216"/>
      <c r="P243" s="216"/>
      <c r="Q243" s="216"/>
      <c r="R243" s="216"/>
      <c r="S243" s="225"/>
      <c r="T243" s="216"/>
      <c r="U243" s="216"/>
      <c r="V243" s="216"/>
      <c r="W243" s="216"/>
      <c r="X243" s="225"/>
      <c r="Y243" s="216"/>
      <c r="Z243" s="216"/>
      <c r="AA243" s="216"/>
      <c r="AB243" s="216"/>
      <c r="AC243" s="225"/>
      <c r="AD243" s="216"/>
      <c r="AE243" s="216"/>
      <c r="AF243" s="216"/>
      <c r="AG243" s="216"/>
      <c r="AH243" s="225"/>
      <c r="AI243" s="216"/>
      <c r="AJ243" s="216"/>
      <c r="AK243" s="216"/>
      <c r="AL243" s="216"/>
      <c r="AM243" s="225"/>
      <c r="AN243" s="216"/>
      <c r="AO243" s="216"/>
      <c r="AP243" s="216"/>
      <c r="AQ243" s="216"/>
      <c r="AR243" s="225"/>
      <c r="AS243" s="216"/>
      <c r="AT243" s="216"/>
      <c r="AU243" s="216"/>
      <c r="AV243" s="216"/>
      <c r="AW243" s="413"/>
      <c r="AX243" s="396"/>
      <c r="AY243" s="396"/>
      <c r="AZ243" s="396"/>
      <c r="BA243" s="396"/>
      <c r="BB243" s="413"/>
      <c r="BC243" s="396"/>
      <c r="BD243" s="396"/>
      <c r="BE243" s="396"/>
      <c r="BF243" s="396"/>
      <c r="BG243" s="413"/>
      <c r="BH243" s="396"/>
      <c r="BI243" s="396"/>
      <c r="BJ243" s="396"/>
      <c r="BK243" s="396"/>
      <c r="BL243" s="413"/>
      <c r="BM243" s="396"/>
      <c r="BN243" s="396"/>
      <c r="BO243" s="396"/>
      <c r="BP243" s="396"/>
      <c r="BQ243" s="413"/>
      <c r="BR243" s="396"/>
      <c r="BS243" s="396"/>
      <c r="BT243" s="396"/>
      <c r="BU243" s="396"/>
      <c r="BV243" s="413"/>
      <c r="BW243" s="396"/>
      <c r="BX243" s="430"/>
      <c r="BY243" s="396"/>
      <c r="BZ243" s="396"/>
      <c r="CA243" s="413"/>
      <c r="CB243" s="396"/>
      <c r="CC243" s="396"/>
      <c r="CD243" s="396"/>
      <c r="CE243" s="396"/>
      <c r="CF243" s="413"/>
      <c r="CG243" s="396"/>
      <c r="CH243" s="396"/>
      <c r="CI243" s="396"/>
      <c r="CJ243" s="396"/>
      <c r="CK243" s="413"/>
      <c r="CL243" s="396"/>
      <c r="CM243" s="396"/>
      <c r="CN243" s="396"/>
      <c r="CO243" s="396"/>
      <c r="CP243" s="413"/>
      <c r="CQ243" s="396"/>
      <c r="CR243" s="396"/>
      <c r="CS243" s="396"/>
      <c r="CT243" s="396"/>
      <c r="CU243" s="413"/>
      <c r="CV243" s="396"/>
      <c r="CW243" s="396"/>
      <c r="CX243" s="396"/>
      <c r="CY243" s="396"/>
      <c r="CZ243" s="413"/>
      <c r="DA243" s="396"/>
      <c r="DB243" s="396"/>
      <c r="DC243" s="396"/>
      <c r="DD243" s="396"/>
      <c r="DE243" s="413"/>
      <c r="DF243" s="396"/>
      <c r="DG243" s="396"/>
      <c r="DH243" s="396"/>
      <c r="DI243" s="396"/>
      <c r="DJ243" s="413"/>
      <c r="DK243" s="396"/>
      <c r="DL243" s="396"/>
      <c r="DM243" s="396"/>
      <c r="DN243" s="396"/>
      <c r="DO243" s="413"/>
      <c r="DP243" s="396"/>
      <c r="DQ243" s="396"/>
      <c r="DR243" s="396"/>
      <c r="DS243" s="396"/>
      <c r="DT243" s="413"/>
      <c r="DU243" s="413"/>
      <c r="DV243" s="413"/>
    </row>
    <row r="244" spans="1:126" s="312" customFormat="1" ht="12">
      <c r="A244" s="216"/>
      <c r="B244" s="414" t="s">
        <v>289</v>
      </c>
      <c r="C244" s="225"/>
      <c r="D244" s="225"/>
      <c r="E244" s="225"/>
      <c r="F244" s="225"/>
      <c r="G244" s="225"/>
      <c r="H244" s="225"/>
      <c r="I244" s="225"/>
      <c r="J244" s="216"/>
      <c r="K244" s="216"/>
      <c r="L244" s="216"/>
      <c r="M244" s="216"/>
      <c r="N244" s="225"/>
      <c r="O244" s="216"/>
      <c r="P244" s="216"/>
      <c r="Q244" s="216"/>
      <c r="R244" s="216"/>
      <c r="S244" s="225"/>
      <c r="T244" s="216"/>
      <c r="U244" s="216"/>
      <c r="V244" s="216"/>
      <c r="W244" s="216"/>
      <c r="X244" s="225"/>
      <c r="Y244" s="216"/>
      <c r="Z244" s="216"/>
      <c r="AA244" s="216"/>
      <c r="AB244" s="216"/>
      <c r="AC244" s="225"/>
      <c r="AD244" s="216"/>
      <c r="AE244" s="216"/>
      <c r="AF244" s="216"/>
      <c r="AG244" s="216"/>
      <c r="AH244" s="225"/>
      <c r="AI244" s="216"/>
      <c r="AJ244" s="216"/>
      <c r="AK244" s="216"/>
      <c r="AL244" s="216"/>
      <c r="AM244" s="225"/>
      <c r="AN244" s="216"/>
      <c r="AO244" s="216"/>
      <c r="AP244" s="216"/>
      <c r="AQ244" s="216"/>
      <c r="AR244" s="225"/>
      <c r="AS244" s="216"/>
      <c r="AT244" s="216"/>
      <c r="AU244" s="216"/>
      <c r="AV244" s="216"/>
      <c r="AW244" s="413"/>
      <c r="AX244" s="396"/>
      <c r="AY244" s="396"/>
      <c r="AZ244" s="396"/>
      <c r="BA244" s="396"/>
      <c r="BB244" s="413"/>
      <c r="BC244" s="396"/>
      <c r="BD244" s="396"/>
      <c r="BE244" s="396"/>
      <c r="BF244" s="396"/>
      <c r="BG244" s="413"/>
      <c r="BH244" s="396"/>
      <c r="BI244" s="396"/>
      <c r="BJ244" s="396"/>
      <c r="BK244" s="396"/>
      <c r="BL244" s="413"/>
      <c r="BM244" s="396"/>
      <c r="BN244" s="396"/>
      <c r="BO244" s="396"/>
      <c r="BP244" s="396"/>
      <c r="BQ244" s="413"/>
      <c r="BR244" s="396"/>
      <c r="BS244" s="396"/>
      <c r="BT244" s="396"/>
      <c r="BU244" s="396"/>
      <c r="BV244" s="413"/>
      <c r="BW244" s="396"/>
      <c r="BX244" s="430"/>
      <c r="BY244" s="396"/>
      <c r="BZ244" s="396"/>
      <c r="CA244" s="413"/>
      <c r="CB244" s="396"/>
      <c r="CC244" s="396"/>
      <c r="CD244" s="396"/>
      <c r="CE244" s="396"/>
      <c r="CF244" s="413"/>
      <c r="CG244" s="396"/>
      <c r="CH244" s="396"/>
      <c r="CI244" s="396"/>
      <c r="CJ244" s="396"/>
      <c r="CK244" s="413"/>
      <c r="CL244" s="396"/>
      <c r="CM244" s="396"/>
      <c r="CN244" s="396"/>
      <c r="CO244" s="396"/>
      <c r="CP244" s="413"/>
      <c r="CQ244" s="396"/>
      <c r="CR244" s="396"/>
      <c r="CS244" s="396"/>
      <c r="CT244" s="396"/>
      <c r="CU244" s="413"/>
      <c r="CV244" s="396"/>
      <c r="CW244" s="396"/>
      <c r="CX244" s="396"/>
      <c r="CY244" s="396"/>
      <c r="CZ244" s="413"/>
      <c r="DA244" s="396"/>
      <c r="DB244" s="396"/>
      <c r="DC244" s="396"/>
      <c r="DD244" s="396"/>
      <c r="DE244" s="413"/>
      <c r="DF244" s="396"/>
      <c r="DG244" s="396"/>
      <c r="DH244" s="396"/>
      <c r="DI244" s="396"/>
      <c r="DJ244" s="413"/>
      <c r="DK244" s="396"/>
      <c r="DL244" s="396"/>
      <c r="DM244" s="396"/>
      <c r="DN244" s="396"/>
      <c r="DO244" s="413"/>
      <c r="DP244" s="396"/>
      <c r="DQ244" s="396"/>
      <c r="DR244" s="396"/>
      <c r="DS244" s="396"/>
      <c r="DT244" s="413"/>
      <c r="DU244" s="413"/>
      <c r="DV244" s="413"/>
    </row>
    <row r="245" spans="1:126" s="312" customFormat="1" ht="12">
      <c r="A245" s="216"/>
      <c r="B245" s="414" t="s">
        <v>290</v>
      </c>
      <c r="C245" s="225"/>
      <c r="D245" s="225"/>
      <c r="E245" s="225"/>
      <c r="F245" s="225"/>
      <c r="G245" s="225"/>
      <c r="H245" s="225"/>
      <c r="I245" s="225"/>
      <c r="J245" s="216"/>
      <c r="K245" s="216"/>
      <c r="L245" s="216"/>
      <c r="M245" s="216"/>
      <c r="N245" s="225"/>
      <c r="O245" s="216"/>
      <c r="P245" s="216"/>
      <c r="Q245" s="216"/>
      <c r="R245" s="216"/>
      <c r="S245" s="225"/>
      <c r="T245" s="216"/>
      <c r="U245" s="216"/>
      <c r="V245" s="216"/>
      <c r="W245" s="216"/>
      <c r="X245" s="225"/>
      <c r="Y245" s="216"/>
      <c r="Z245" s="216"/>
      <c r="AA245" s="216"/>
      <c r="AB245" s="216"/>
      <c r="AC245" s="225"/>
      <c r="AD245" s="216"/>
      <c r="AE245" s="216"/>
      <c r="AF245" s="216"/>
      <c r="AG245" s="216"/>
      <c r="AH245" s="225"/>
      <c r="AI245" s="216"/>
      <c r="AJ245" s="216"/>
      <c r="AK245" s="216"/>
      <c r="AL245" s="216"/>
      <c r="AM245" s="225"/>
      <c r="AN245" s="216"/>
      <c r="AO245" s="216"/>
      <c r="AP245" s="216"/>
      <c r="AQ245" s="216"/>
      <c r="AR245" s="225"/>
      <c r="AS245" s="216"/>
      <c r="AT245" s="216"/>
      <c r="AU245" s="216"/>
      <c r="AV245" s="216"/>
      <c r="AW245" s="413"/>
      <c r="AX245" s="396"/>
      <c r="AY245" s="396"/>
      <c r="AZ245" s="396"/>
      <c r="BA245" s="396"/>
      <c r="BB245" s="413"/>
      <c r="BC245" s="396"/>
      <c r="BD245" s="396"/>
      <c r="BE245" s="396"/>
      <c r="BF245" s="396"/>
      <c r="BG245" s="413"/>
      <c r="BH245" s="396"/>
      <c r="BI245" s="396"/>
      <c r="BJ245" s="396"/>
      <c r="BK245" s="396"/>
      <c r="BL245" s="413"/>
      <c r="BM245" s="396"/>
      <c r="BN245" s="396"/>
      <c r="BO245" s="396"/>
      <c r="BP245" s="396"/>
      <c r="BQ245" s="413"/>
      <c r="BR245" s="396"/>
      <c r="BS245" s="396"/>
      <c r="BT245" s="396"/>
      <c r="BU245" s="396"/>
      <c r="BV245" s="413"/>
      <c r="BW245" s="396"/>
      <c r="BX245" s="430"/>
      <c r="BY245" s="396"/>
      <c r="BZ245" s="396"/>
      <c r="CA245" s="413"/>
      <c r="CB245" s="396"/>
      <c r="CC245" s="396"/>
      <c r="CD245" s="396"/>
      <c r="CE245" s="396"/>
      <c r="CF245" s="413"/>
      <c r="CG245" s="396"/>
      <c r="CH245" s="396"/>
      <c r="CI245" s="396"/>
      <c r="CJ245" s="396"/>
      <c r="CK245" s="413"/>
      <c r="CL245" s="396"/>
      <c r="CM245" s="396"/>
      <c r="CN245" s="396"/>
      <c r="CO245" s="396"/>
      <c r="CP245" s="413"/>
      <c r="CQ245" s="396"/>
      <c r="CR245" s="396"/>
      <c r="CS245" s="396"/>
      <c r="CT245" s="396"/>
      <c r="CU245" s="413"/>
      <c r="CV245" s="396"/>
      <c r="CW245" s="396"/>
      <c r="CX245" s="396"/>
      <c r="CY245" s="396"/>
      <c r="CZ245" s="413"/>
      <c r="DA245" s="396"/>
      <c r="DB245" s="396"/>
      <c r="DC245" s="396"/>
      <c r="DD245" s="396"/>
      <c r="DE245" s="413"/>
      <c r="DF245" s="396"/>
      <c r="DG245" s="396"/>
      <c r="DH245" s="396"/>
      <c r="DI245" s="396"/>
      <c r="DJ245" s="413"/>
      <c r="DK245" s="396"/>
      <c r="DL245" s="396"/>
      <c r="DM245" s="396"/>
      <c r="DN245" s="396"/>
      <c r="DO245" s="413"/>
      <c r="DP245" s="396"/>
      <c r="DQ245" s="396"/>
      <c r="DR245" s="396"/>
      <c r="DS245" s="396"/>
      <c r="DT245" s="413"/>
      <c r="DU245" s="413"/>
      <c r="DV245" s="413"/>
    </row>
    <row r="246" spans="1:126" s="312" customFormat="1" ht="12">
      <c r="A246" s="216"/>
      <c r="B246" s="414" t="s">
        <v>291</v>
      </c>
      <c r="C246" s="225"/>
      <c r="D246" s="225"/>
      <c r="E246" s="225"/>
      <c r="F246" s="225"/>
      <c r="G246" s="225"/>
      <c r="H246" s="225"/>
      <c r="I246" s="225"/>
      <c r="J246" s="216"/>
      <c r="K246" s="216"/>
      <c r="L246" s="216"/>
      <c r="M246" s="216"/>
      <c r="N246" s="225"/>
      <c r="O246" s="216"/>
      <c r="P246" s="216"/>
      <c r="Q246" s="216"/>
      <c r="R246" s="216"/>
      <c r="S246" s="225"/>
      <c r="T246" s="216"/>
      <c r="U246" s="216"/>
      <c r="V246" s="216"/>
      <c r="W246" s="216"/>
      <c r="X246" s="225"/>
      <c r="Y246" s="216"/>
      <c r="Z246" s="216"/>
      <c r="AA246" s="216"/>
      <c r="AB246" s="216"/>
      <c r="AC246" s="225"/>
      <c r="AD246" s="216"/>
      <c r="AE246" s="216"/>
      <c r="AF246" s="216"/>
      <c r="AG246" s="216"/>
      <c r="AH246" s="225"/>
      <c r="AI246" s="216"/>
      <c r="AJ246" s="216"/>
      <c r="AK246" s="216"/>
      <c r="AL246" s="216"/>
      <c r="AM246" s="225"/>
      <c r="AN246" s="216"/>
      <c r="AO246" s="216"/>
      <c r="AP246" s="216"/>
      <c r="AQ246" s="216"/>
      <c r="AR246" s="225"/>
      <c r="AS246" s="216"/>
      <c r="AT246" s="216"/>
      <c r="AU246" s="216"/>
      <c r="AV246" s="216"/>
      <c r="AW246" s="413"/>
      <c r="AX246" s="396"/>
      <c r="AY246" s="396"/>
      <c r="AZ246" s="396"/>
      <c r="BA246" s="396"/>
      <c r="BB246" s="413"/>
      <c r="BC246" s="396"/>
      <c r="BD246" s="396"/>
      <c r="BE246" s="396"/>
      <c r="BF246" s="396"/>
      <c r="BG246" s="413"/>
      <c r="BH246" s="396"/>
      <c r="BI246" s="396"/>
      <c r="BJ246" s="396"/>
      <c r="BK246" s="396"/>
      <c r="BL246" s="413"/>
      <c r="BM246" s="396"/>
      <c r="BN246" s="396"/>
      <c r="BO246" s="396"/>
      <c r="BP246" s="396"/>
      <c r="BQ246" s="413"/>
      <c r="BR246" s="396"/>
      <c r="BS246" s="396"/>
      <c r="BT246" s="396"/>
      <c r="BU246" s="396"/>
      <c r="BV246" s="413"/>
      <c r="BW246" s="396"/>
      <c r="BX246" s="430"/>
      <c r="BY246" s="396"/>
      <c r="BZ246" s="396"/>
      <c r="CA246" s="413"/>
      <c r="CB246" s="396"/>
      <c r="CC246" s="396"/>
      <c r="CD246" s="396"/>
      <c r="CE246" s="396"/>
      <c r="CF246" s="413"/>
      <c r="CG246" s="396"/>
      <c r="CH246" s="396"/>
      <c r="CI246" s="396"/>
      <c r="CJ246" s="396"/>
      <c r="CK246" s="413"/>
      <c r="CL246" s="396"/>
      <c r="CM246" s="396"/>
      <c r="CN246" s="396"/>
      <c r="CO246" s="396"/>
      <c r="CP246" s="413"/>
      <c r="CQ246" s="396"/>
      <c r="CR246" s="396"/>
      <c r="CS246" s="396"/>
      <c r="CT246" s="396"/>
      <c r="CU246" s="413"/>
      <c r="CV246" s="396"/>
      <c r="CW246" s="396"/>
      <c r="CX246" s="396"/>
      <c r="CY246" s="396"/>
      <c r="CZ246" s="413"/>
      <c r="DA246" s="396"/>
      <c r="DB246" s="396"/>
      <c r="DC246" s="396"/>
      <c r="DD246" s="396"/>
      <c r="DE246" s="413"/>
      <c r="DF246" s="396"/>
      <c r="DG246" s="396"/>
      <c r="DH246" s="396"/>
      <c r="DI246" s="396"/>
      <c r="DJ246" s="413"/>
      <c r="DK246" s="396"/>
      <c r="DL246" s="396"/>
      <c r="DM246" s="396"/>
      <c r="DN246" s="396"/>
      <c r="DO246" s="413"/>
      <c r="DP246" s="396"/>
      <c r="DQ246" s="396"/>
      <c r="DR246" s="396"/>
      <c r="DS246" s="396"/>
      <c r="DT246" s="413"/>
      <c r="DU246" s="413"/>
      <c r="DV246" s="413"/>
    </row>
    <row r="247" spans="1:126" s="312" customFormat="1" ht="12">
      <c r="A247" s="216"/>
      <c r="B247" s="414" t="s">
        <v>292</v>
      </c>
      <c r="C247" s="225"/>
      <c r="D247" s="225"/>
      <c r="E247" s="225"/>
      <c r="F247" s="225"/>
      <c r="G247" s="225"/>
      <c r="H247" s="225"/>
      <c r="I247" s="225"/>
      <c r="J247" s="216"/>
      <c r="K247" s="216"/>
      <c r="L247" s="216"/>
      <c r="M247" s="216"/>
      <c r="N247" s="225"/>
      <c r="O247" s="216"/>
      <c r="P247" s="216"/>
      <c r="Q247" s="216"/>
      <c r="R247" s="216"/>
      <c r="S247" s="225"/>
      <c r="T247" s="216"/>
      <c r="U247" s="216"/>
      <c r="V247" s="216"/>
      <c r="W247" s="216"/>
      <c r="X247" s="225"/>
      <c r="Y247" s="216"/>
      <c r="Z247" s="216"/>
      <c r="AA247" s="216"/>
      <c r="AB247" s="216"/>
      <c r="AC247" s="225"/>
      <c r="AD247" s="216"/>
      <c r="AE247" s="216"/>
      <c r="AF247" s="216"/>
      <c r="AG247" s="216"/>
      <c r="AH247" s="225"/>
      <c r="AI247" s="216"/>
      <c r="AJ247" s="216"/>
      <c r="AK247" s="216"/>
      <c r="AL247" s="216"/>
      <c r="AM247" s="225"/>
      <c r="AN247" s="216"/>
      <c r="AO247" s="216"/>
      <c r="AP247" s="216"/>
      <c r="AQ247" s="216"/>
      <c r="AR247" s="225"/>
      <c r="AS247" s="216"/>
      <c r="AT247" s="216"/>
      <c r="AU247" s="216"/>
      <c r="AV247" s="216"/>
      <c r="AW247" s="413"/>
      <c r="AX247" s="396"/>
      <c r="AY247" s="396"/>
      <c r="AZ247" s="396"/>
      <c r="BA247" s="396"/>
      <c r="BB247" s="413"/>
      <c r="BC247" s="396"/>
      <c r="BD247" s="396"/>
      <c r="BE247" s="396"/>
      <c r="BF247" s="396"/>
      <c r="BG247" s="413"/>
      <c r="BH247" s="396"/>
      <c r="BI247" s="396"/>
      <c r="BJ247" s="396"/>
      <c r="BK247" s="396"/>
      <c r="BL247" s="413"/>
      <c r="BM247" s="396"/>
      <c r="BN247" s="396"/>
      <c r="BO247" s="396"/>
      <c r="BP247" s="396"/>
      <c r="BQ247" s="413"/>
      <c r="BR247" s="396"/>
      <c r="BS247" s="396"/>
      <c r="BT247" s="396"/>
      <c r="BU247" s="396"/>
      <c r="BV247" s="413"/>
      <c r="BW247" s="396"/>
      <c r="BX247" s="430"/>
      <c r="BY247" s="396"/>
      <c r="BZ247" s="396"/>
      <c r="CA247" s="413"/>
      <c r="CB247" s="396"/>
      <c r="CC247" s="396"/>
      <c r="CD247" s="396"/>
      <c r="CE247" s="396"/>
      <c r="CF247" s="413"/>
      <c r="CG247" s="396"/>
      <c r="CH247" s="396"/>
      <c r="CI247" s="396"/>
      <c r="CJ247" s="396"/>
      <c r="CK247" s="413"/>
      <c r="CL247" s="396"/>
      <c r="CM247" s="396"/>
      <c r="CN247" s="396"/>
      <c r="CO247" s="396"/>
      <c r="CP247" s="413"/>
      <c r="CQ247" s="396"/>
      <c r="CR247" s="396"/>
      <c r="CS247" s="396"/>
      <c r="CT247" s="396"/>
      <c r="CU247" s="413"/>
      <c r="CV247" s="396"/>
      <c r="CW247" s="396"/>
      <c r="CX247" s="396"/>
      <c r="CY247" s="396"/>
      <c r="CZ247" s="413"/>
      <c r="DA247" s="396"/>
      <c r="DB247" s="396"/>
      <c r="DC247" s="396"/>
      <c r="DD247" s="396"/>
      <c r="DE247" s="413"/>
      <c r="DF247" s="396"/>
      <c r="DG247" s="396"/>
      <c r="DH247" s="396"/>
      <c r="DI247" s="396"/>
      <c r="DJ247" s="413"/>
      <c r="DK247" s="396"/>
      <c r="DL247" s="396"/>
      <c r="DM247" s="396"/>
      <c r="DN247" s="396"/>
      <c r="DO247" s="413"/>
      <c r="DP247" s="396"/>
      <c r="DQ247" s="396"/>
      <c r="DR247" s="396"/>
      <c r="DS247" s="396"/>
      <c r="DT247" s="413"/>
      <c r="DU247" s="413"/>
      <c r="DV247" s="413"/>
    </row>
    <row r="248" spans="1:126" s="312" customFormat="1" ht="12">
      <c r="A248" s="216"/>
      <c r="B248" s="414" t="s">
        <v>293</v>
      </c>
      <c r="C248" s="225"/>
      <c r="D248" s="225"/>
      <c r="E248" s="225"/>
      <c r="F248" s="225"/>
      <c r="G248" s="225"/>
      <c r="H248" s="225"/>
      <c r="I248" s="225"/>
      <c r="J248" s="216"/>
      <c r="K248" s="216"/>
      <c r="L248" s="216"/>
      <c r="M248" s="216"/>
      <c r="N248" s="225"/>
      <c r="O248" s="216"/>
      <c r="P248" s="216"/>
      <c r="Q248" s="216"/>
      <c r="R248" s="216"/>
      <c r="S248" s="225"/>
      <c r="T248" s="216"/>
      <c r="U248" s="216"/>
      <c r="V248" s="216"/>
      <c r="W248" s="216"/>
      <c r="X248" s="225"/>
      <c r="Y248" s="216"/>
      <c r="Z248" s="216"/>
      <c r="AA248" s="216"/>
      <c r="AB248" s="216"/>
      <c r="AC248" s="225"/>
      <c r="AD248" s="216"/>
      <c r="AE248" s="216"/>
      <c r="AF248" s="216"/>
      <c r="AG248" s="216"/>
      <c r="AH248" s="225"/>
      <c r="AI248" s="216"/>
      <c r="AJ248" s="216"/>
      <c r="AK248" s="216"/>
      <c r="AL248" s="216"/>
      <c r="AM248" s="225"/>
      <c r="AN248" s="216"/>
      <c r="AO248" s="216"/>
      <c r="AP248" s="216"/>
      <c r="AQ248" s="216"/>
      <c r="AR248" s="225"/>
      <c r="AS248" s="216"/>
      <c r="AT248" s="216"/>
      <c r="AU248" s="216"/>
      <c r="AV248" s="216"/>
      <c r="AW248" s="413"/>
      <c r="AX248" s="396"/>
      <c r="AY248" s="396"/>
      <c r="AZ248" s="396"/>
      <c r="BA248" s="396"/>
      <c r="BB248" s="413"/>
      <c r="BC248" s="396"/>
      <c r="BD248" s="396"/>
      <c r="BE248" s="396"/>
      <c r="BF248" s="396"/>
      <c r="BG248" s="413"/>
      <c r="BH248" s="396"/>
      <c r="BI248" s="396"/>
      <c r="BJ248" s="396"/>
      <c r="BK248" s="396"/>
      <c r="BL248" s="413"/>
      <c r="BM248" s="396"/>
      <c r="BN248" s="396"/>
      <c r="BO248" s="396"/>
      <c r="BP248" s="396"/>
      <c r="BQ248" s="413"/>
      <c r="BR248" s="396"/>
      <c r="BS248" s="396"/>
      <c r="BT248" s="396"/>
      <c r="BU248" s="396"/>
      <c r="BV248" s="413"/>
      <c r="BW248" s="396"/>
      <c r="BX248" s="430"/>
      <c r="BY248" s="396"/>
      <c r="BZ248" s="396"/>
      <c r="CA248" s="413"/>
      <c r="CB248" s="396"/>
      <c r="CC248" s="396"/>
      <c r="CD248" s="396"/>
      <c r="CE248" s="396"/>
      <c r="CF248" s="413"/>
      <c r="CG248" s="396"/>
      <c r="CH248" s="396"/>
      <c r="CI248" s="396"/>
      <c r="CJ248" s="396"/>
      <c r="CK248" s="413"/>
      <c r="CL248" s="396"/>
      <c r="CM248" s="396"/>
      <c r="CN248" s="396"/>
      <c r="CO248" s="396"/>
      <c r="CP248" s="413"/>
      <c r="CQ248" s="396"/>
      <c r="CR248" s="396"/>
      <c r="CS248" s="396"/>
      <c r="CT248" s="396"/>
      <c r="CU248" s="413"/>
      <c r="CV248" s="396"/>
      <c r="CW248" s="396"/>
      <c r="CX248" s="396"/>
      <c r="CY248" s="396"/>
      <c r="CZ248" s="413"/>
      <c r="DA248" s="396"/>
      <c r="DB248" s="396"/>
      <c r="DC248" s="396"/>
      <c r="DD248" s="396"/>
      <c r="DE248" s="413"/>
      <c r="DF248" s="396"/>
      <c r="DG248" s="396"/>
      <c r="DH248" s="396"/>
      <c r="DI248" s="396"/>
      <c r="DJ248" s="413"/>
      <c r="DK248" s="396"/>
      <c r="DL248" s="396"/>
      <c r="DM248" s="396"/>
      <c r="DN248" s="396"/>
      <c r="DO248" s="413"/>
      <c r="DP248" s="396"/>
      <c r="DQ248" s="396"/>
      <c r="DR248" s="396"/>
      <c r="DS248" s="396"/>
      <c r="DT248" s="413"/>
      <c r="DU248" s="413"/>
      <c r="DV248" s="413"/>
    </row>
    <row r="249" spans="1:126" s="312" customFormat="1" ht="12">
      <c r="A249" s="216"/>
      <c r="B249" s="414" t="s">
        <v>294</v>
      </c>
      <c r="C249" s="225"/>
      <c r="D249" s="225"/>
      <c r="E249" s="225"/>
      <c r="F249" s="225"/>
      <c r="G249" s="225"/>
      <c r="H249" s="225"/>
      <c r="I249" s="225"/>
      <c r="J249" s="216"/>
      <c r="K249" s="216"/>
      <c r="L249" s="216"/>
      <c r="M249" s="216"/>
      <c r="N249" s="225"/>
      <c r="O249" s="216"/>
      <c r="P249" s="216"/>
      <c r="Q249" s="216"/>
      <c r="R249" s="216"/>
      <c r="S249" s="225"/>
      <c r="T249" s="216"/>
      <c r="U249" s="216"/>
      <c r="V249" s="216"/>
      <c r="W249" s="216"/>
      <c r="X249" s="225"/>
      <c r="Y249" s="216"/>
      <c r="Z249" s="216"/>
      <c r="AA249" s="216"/>
      <c r="AB249" s="216"/>
      <c r="AC249" s="225"/>
      <c r="AD249" s="216"/>
      <c r="AE249" s="216"/>
      <c r="AF249" s="216"/>
      <c r="AG249" s="216"/>
      <c r="AH249" s="225"/>
      <c r="AI249" s="216"/>
      <c r="AJ249" s="216"/>
      <c r="AK249" s="216"/>
      <c r="AL249" s="216"/>
      <c r="AM249" s="225"/>
      <c r="AN249" s="216"/>
      <c r="AO249" s="216"/>
      <c r="AP249" s="216"/>
      <c r="AQ249" s="216"/>
      <c r="AR249" s="225"/>
      <c r="AS249" s="216"/>
      <c r="AT249" s="216"/>
      <c r="AU249" s="216"/>
      <c r="AV249" s="216"/>
      <c r="AW249" s="413"/>
      <c r="AX249" s="396"/>
      <c r="AY249" s="396"/>
      <c r="AZ249" s="396"/>
      <c r="BA249" s="396"/>
      <c r="BB249" s="413"/>
      <c r="BC249" s="396"/>
      <c r="BD249" s="396"/>
      <c r="BE249" s="396"/>
      <c r="BF249" s="396"/>
      <c r="BG249" s="413"/>
      <c r="BH249" s="396"/>
      <c r="BI249" s="396"/>
      <c r="BJ249" s="396"/>
      <c r="BK249" s="396"/>
      <c r="BL249" s="413"/>
      <c r="BM249" s="396"/>
      <c r="BN249" s="396"/>
      <c r="BO249" s="396"/>
      <c r="BP249" s="396"/>
      <c r="BQ249" s="413"/>
      <c r="BR249" s="396"/>
      <c r="BS249" s="396"/>
      <c r="BT249" s="396"/>
      <c r="BU249" s="396"/>
      <c r="BV249" s="413"/>
      <c r="BW249" s="396"/>
      <c r="BX249" s="430"/>
      <c r="BY249" s="396"/>
      <c r="BZ249" s="396"/>
      <c r="CA249" s="413"/>
      <c r="CB249" s="396"/>
      <c r="CC249" s="396"/>
      <c r="CD249" s="396"/>
      <c r="CE249" s="396"/>
      <c r="CF249" s="413"/>
      <c r="CG249" s="396"/>
      <c r="CH249" s="396"/>
      <c r="CI249" s="396"/>
      <c r="CJ249" s="396"/>
      <c r="CK249" s="413"/>
      <c r="CL249" s="396"/>
      <c r="CM249" s="396"/>
      <c r="CN249" s="396"/>
      <c r="CO249" s="396"/>
      <c r="CP249" s="413"/>
      <c r="CQ249" s="396"/>
      <c r="CR249" s="396"/>
      <c r="CS249" s="396"/>
      <c r="CT249" s="396"/>
      <c r="CU249" s="413"/>
      <c r="CV249" s="396"/>
      <c r="CW249" s="396"/>
      <c r="CX249" s="396"/>
      <c r="CY249" s="396"/>
      <c r="CZ249" s="413"/>
      <c r="DA249" s="396"/>
      <c r="DB249" s="396"/>
      <c r="DC249" s="396"/>
      <c r="DD249" s="396"/>
      <c r="DE249" s="413"/>
      <c r="DF249" s="396"/>
      <c r="DG249" s="396"/>
      <c r="DH249" s="396"/>
      <c r="DI249" s="396"/>
      <c r="DJ249" s="413"/>
      <c r="DK249" s="396"/>
      <c r="DL249" s="396"/>
      <c r="DM249" s="396"/>
      <c r="DN249" s="396"/>
      <c r="DO249" s="413"/>
      <c r="DP249" s="396"/>
      <c r="DQ249" s="396"/>
      <c r="DR249" s="396"/>
      <c r="DS249" s="396"/>
      <c r="DT249" s="413"/>
      <c r="DU249" s="413"/>
      <c r="DV249" s="413"/>
    </row>
    <row r="250" spans="1:126" s="312" customFormat="1" ht="12">
      <c r="A250" s="216"/>
      <c r="B250" s="414" t="s">
        <v>295</v>
      </c>
      <c r="C250" s="225"/>
      <c r="D250" s="225"/>
      <c r="E250" s="225"/>
      <c r="F250" s="225"/>
      <c r="G250" s="225"/>
      <c r="H250" s="225"/>
      <c r="I250" s="225"/>
      <c r="J250" s="216"/>
      <c r="K250" s="216"/>
      <c r="L250" s="216"/>
      <c r="M250" s="216"/>
      <c r="N250" s="225"/>
      <c r="O250" s="216"/>
      <c r="P250" s="216"/>
      <c r="Q250" s="216"/>
      <c r="R250" s="216"/>
      <c r="S250" s="225"/>
      <c r="T250" s="216"/>
      <c r="U250" s="216"/>
      <c r="V250" s="216"/>
      <c r="W250" s="216"/>
      <c r="X250" s="225"/>
      <c r="Y250" s="216"/>
      <c r="Z250" s="216"/>
      <c r="AA250" s="216"/>
      <c r="AB250" s="216"/>
      <c r="AC250" s="225"/>
      <c r="AD250" s="216"/>
      <c r="AE250" s="216"/>
      <c r="AF250" s="216"/>
      <c r="AG250" s="216"/>
      <c r="AH250" s="225"/>
      <c r="AI250" s="216"/>
      <c r="AJ250" s="216"/>
      <c r="AK250" s="216"/>
      <c r="AL250" s="216"/>
      <c r="AM250" s="225"/>
      <c r="AN250" s="216"/>
      <c r="AO250" s="216"/>
      <c r="AP250" s="216"/>
      <c r="AQ250" s="216"/>
      <c r="AR250" s="225"/>
      <c r="AS250" s="216"/>
      <c r="AT250" s="216"/>
      <c r="AU250" s="216"/>
      <c r="AV250" s="216"/>
      <c r="AW250" s="413"/>
      <c r="AX250" s="396"/>
      <c r="AY250" s="396"/>
      <c r="AZ250" s="396"/>
      <c r="BA250" s="396"/>
      <c r="BB250" s="413"/>
      <c r="BC250" s="396"/>
      <c r="BD250" s="396"/>
      <c r="BE250" s="396"/>
      <c r="BF250" s="396"/>
      <c r="BG250" s="413"/>
      <c r="BH250" s="396"/>
      <c r="BI250" s="396"/>
      <c r="BJ250" s="396"/>
      <c r="BK250" s="396"/>
      <c r="BL250" s="413"/>
      <c r="BM250" s="396"/>
      <c r="BN250" s="396"/>
      <c r="BO250" s="396"/>
      <c r="BP250" s="396"/>
      <c r="BQ250" s="413"/>
      <c r="BR250" s="396"/>
      <c r="BS250" s="396"/>
      <c r="BT250" s="396"/>
      <c r="BU250" s="396"/>
      <c r="BV250" s="413"/>
      <c r="BW250" s="396"/>
      <c r="BX250" s="430"/>
      <c r="BY250" s="396"/>
      <c r="BZ250" s="396"/>
      <c r="CA250" s="413"/>
      <c r="CB250" s="396"/>
      <c r="CC250" s="396"/>
      <c r="CD250" s="396"/>
      <c r="CE250" s="396"/>
      <c r="CF250" s="413"/>
      <c r="CG250" s="396"/>
      <c r="CH250" s="396"/>
      <c r="CI250" s="396"/>
      <c r="CJ250" s="396"/>
      <c r="CK250" s="413"/>
      <c r="CL250" s="396"/>
      <c r="CM250" s="396"/>
      <c r="CN250" s="396"/>
      <c r="CO250" s="396"/>
      <c r="CP250" s="413"/>
      <c r="CQ250" s="396"/>
      <c r="CR250" s="396"/>
      <c r="CS250" s="396"/>
      <c r="CT250" s="396"/>
      <c r="CU250" s="413"/>
      <c r="CV250" s="396"/>
      <c r="CW250" s="396"/>
      <c r="CX250" s="396"/>
      <c r="CY250" s="396"/>
      <c r="CZ250" s="413"/>
      <c r="DA250" s="396"/>
      <c r="DB250" s="396"/>
      <c r="DC250" s="396"/>
      <c r="DD250" s="396"/>
      <c r="DE250" s="413"/>
      <c r="DF250" s="396"/>
      <c r="DG250" s="396"/>
      <c r="DH250" s="396"/>
      <c r="DI250" s="396"/>
      <c r="DJ250" s="413"/>
      <c r="DK250" s="396"/>
      <c r="DL250" s="396"/>
      <c r="DM250" s="396"/>
      <c r="DN250" s="396"/>
      <c r="DO250" s="413"/>
      <c r="DP250" s="396"/>
      <c r="DQ250" s="396"/>
      <c r="DR250" s="396"/>
      <c r="DS250" s="396"/>
      <c r="DT250" s="413"/>
      <c r="DU250" s="413"/>
      <c r="DV250" s="413"/>
    </row>
    <row r="251" spans="1:126" s="312" customFormat="1" ht="12">
      <c r="A251" s="216"/>
      <c r="B251" s="414" t="s">
        <v>296</v>
      </c>
      <c r="C251" s="225"/>
      <c r="D251" s="225"/>
      <c r="E251" s="225"/>
      <c r="F251" s="225"/>
      <c r="G251" s="225"/>
      <c r="H251" s="225"/>
      <c r="I251" s="225"/>
      <c r="J251" s="216"/>
      <c r="K251" s="216"/>
      <c r="L251" s="216"/>
      <c r="M251" s="216"/>
      <c r="N251" s="225"/>
      <c r="O251" s="216"/>
      <c r="P251" s="216"/>
      <c r="Q251" s="216"/>
      <c r="R251" s="216"/>
      <c r="S251" s="225"/>
      <c r="T251" s="216"/>
      <c r="U251" s="216"/>
      <c r="V251" s="216"/>
      <c r="W251" s="216"/>
      <c r="X251" s="225"/>
      <c r="Y251" s="216"/>
      <c r="Z251" s="216"/>
      <c r="AA251" s="216"/>
      <c r="AB251" s="216"/>
      <c r="AC251" s="225"/>
      <c r="AD251" s="216"/>
      <c r="AE251" s="216"/>
      <c r="AF251" s="216"/>
      <c r="AG251" s="216"/>
      <c r="AH251" s="225"/>
      <c r="AI251" s="216"/>
      <c r="AJ251" s="216"/>
      <c r="AK251" s="216"/>
      <c r="AL251" s="216"/>
      <c r="AM251" s="225"/>
      <c r="AN251" s="216"/>
      <c r="AO251" s="216"/>
      <c r="AP251" s="216"/>
      <c r="AQ251" s="216"/>
      <c r="AR251" s="225"/>
      <c r="AS251" s="216"/>
      <c r="AT251" s="216"/>
      <c r="AU251" s="216"/>
      <c r="AV251" s="216"/>
      <c r="AW251" s="413"/>
      <c r="AX251" s="396"/>
      <c r="AY251" s="396"/>
      <c r="AZ251" s="396"/>
      <c r="BA251" s="396"/>
      <c r="BB251" s="413"/>
      <c r="BC251" s="396"/>
      <c r="BD251" s="396"/>
      <c r="BE251" s="396"/>
      <c r="BF251" s="396"/>
      <c r="BG251" s="413"/>
      <c r="BH251" s="396"/>
      <c r="BI251" s="396"/>
      <c r="BJ251" s="396"/>
      <c r="BK251" s="396"/>
      <c r="BL251" s="413"/>
      <c r="BM251" s="396"/>
      <c r="BN251" s="396"/>
      <c r="BO251" s="396"/>
      <c r="BP251" s="396"/>
      <c r="BQ251" s="413"/>
      <c r="BR251" s="396"/>
      <c r="BS251" s="396"/>
      <c r="BT251" s="396"/>
      <c r="BU251" s="396"/>
      <c r="BV251" s="413"/>
      <c r="BW251" s="396"/>
      <c r="BX251" s="430"/>
      <c r="BY251" s="396"/>
      <c r="BZ251" s="396"/>
      <c r="CA251" s="413"/>
      <c r="CB251" s="396"/>
      <c r="CC251" s="396"/>
      <c r="CD251" s="396"/>
      <c r="CE251" s="396"/>
      <c r="CF251" s="413"/>
      <c r="CG251" s="396"/>
      <c r="CH251" s="396"/>
      <c r="CI251" s="396"/>
      <c r="CJ251" s="396"/>
      <c r="CK251" s="413"/>
      <c r="CL251" s="396"/>
      <c r="CM251" s="396"/>
      <c r="CN251" s="396"/>
      <c r="CO251" s="396"/>
      <c r="CP251" s="413"/>
      <c r="CQ251" s="396"/>
      <c r="CR251" s="396"/>
      <c r="CS251" s="396"/>
      <c r="CT251" s="396"/>
      <c r="CU251" s="413"/>
      <c r="CV251" s="396"/>
      <c r="CW251" s="396"/>
      <c r="CX251" s="396"/>
      <c r="CY251" s="396"/>
      <c r="CZ251" s="413"/>
      <c r="DA251" s="396"/>
      <c r="DB251" s="396"/>
      <c r="DC251" s="396"/>
      <c r="DD251" s="396"/>
      <c r="DE251" s="413"/>
      <c r="DF251" s="396"/>
      <c r="DG251" s="396"/>
      <c r="DH251" s="396"/>
      <c r="DI251" s="396"/>
      <c r="DJ251" s="413"/>
      <c r="DK251" s="396"/>
      <c r="DL251" s="396"/>
      <c r="DM251" s="396"/>
      <c r="DN251" s="396"/>
      <c r="DO251" s="413"/>
      <c r="DP251" s="396"/>
      <c r="DQ251" s="396"/>
      <c r="DR251" s="396"/>
      <c r="DS251" s="396"/>
      <c r="DT251" s="413"/>
      <c r="DU251" s="413"/>
      <c r="DV251" s="413"/>
    </row>
    <row r="252" spans="1:126" s="312" customFormat="1" ht="12">
      <c r="A252" s="216"/>
      <c r="B252" s="414" t="s">
        <v>297</v>
      </c>
      <c r="C252" s="225"/>
      <c r="D252" s="225"/>
      <c r="E252" s="225"/>
      <c r="F252" s="225"/>
      <c r="G252" s="225"/>
      <c r="H252" s="225"/>
      <c r="I252" s="225"/>
      <c r="J252" s="216"/>
      <c r="K252" s="216"/>
      <c r="L252" s="216"/>
      <c r="M252" s="216"/>
      <c r="N252" s="225"/>
      <c r="O252" s="216"/>
      <c r="P252" s="216"/>
      <c r="Q252" s="216"/>
      <c r="R252" s="216"/>
      <c r="S252" s="225"/>
      <c r="T252" s="216"/>
      <c r="U252" s="216"/>
      <c r="V252" s="216"/>
      <c r="W252" s="216"/>
      <c r="X252" s="225"/>
      <c r="Y252" s="216"/>
      <c r="Z252" s="216"/>
      <c r="AA252" s="216"/>
      <c r="AB252" s="216"/>
      <c r="AC252" s="225"/>
      <c r="AD252" s="216"/>
      <c r="AE252" s="216"/>
      <c r="AF252" s="216"/>
      <c r="AG252" s="216"/>
      <c r="AH252" s="225"/>
      <c r="AI252" s="216"/>
      <c r="AJ252" s="216"/>
      <c r="AK252" s="216"/>
      <c r="AL252" s="216"/>
      <c r="AM252" s="225"/>
      <c r="AN252" s="216"/>
      <c r="AO252" s="216"/>
      <c r="AP252" s="216"/>
      <c r="AQ252" s="216"/>
      <c r="AR252" s="225"/>
      <c r="AS252" s="216"/>
      <c r="AT252" s="216"/>
      <c r="AU252" s="216"/>
      <c r="AV252" s="216"/>
      <c r="AW252" s="413"/>
      <c r="AX252" s="396"/>
      <c r="AY252" s="396"/>
      <c r="AZ252" s="396"/>
      <c r="BA252" s="396"/>
      <c r="BB252" s="413"/>
      <c r="BC252" s="396"/>
      <c r="BD252" s="396"/>
      <c r="BE252" s="396"/>
      <c r="BF252" s="396"/>
      <c r="BG252" s="413"/>
      <c r="BH252" s="396"/>
      <c r="BI252" s="396"/>
      <c r="BJ252" s="396"/>
      <c r="BK252" s="396"/>
      <c r="BL252" s="413"/>
      <c r="BM252" s="396"/>
      <c r="BN252" s="396"/>
      <c r="BO252" s="396"/>
      <c r="BP252" s="396"/>
      <c r="BQ252" s="413"/>
      <c r="BR252" s="396"/>
      <c r="BS252" s="396"/>
      <c r="BT252" s="396"/>
      <c r="BU252" s="396"/>
      <c r="BV252" s="413"/>
      <c r="BW252" s="396"/>
      <c r="BX252" s="430"/>
      <c r="BY252" s="396"/>
      <c r="BZ252" s="396"/>
      <c r="CA252" s="413"/>
      <c r="CB252" s="396"/>
      <c r="CC252" s="396"/>
      <c r="CD252" s="396"/>
      <c r="CE252" s="396"/>
      <c r="CF252" s="413"/>
      <c r="CG252" s="396"/>
      <c r="CH252" s="396"/>
      <c r="CI252" s="396"/>
      <c r="CJ252" s="396"/>
      <c r="CK252" s="413"/>
      <c r="CL252" s="396"/>
      <c r="CM252" s="396"/>
      <c r="CN252" s="396"/>
      <c r="CO252" s="396"/>
      <c r="CP252" s="413"/>
      <c r="CQ252" s="396"/>
      <c r="CR252" s="396"/>
      <c r="CS252" s="396"/>
      <c r="CT252" s="396"/>
      <c r="CU252" s="413"/>
      <c r="CV252" s="396"/>
      <c r="CW252" s="396"/>
      <c r="CX252" s="396"/>
      <c r="CY252" s="396"/>
      <c r="CZ252" s="413"/>
      <c r="DA252" s="396"/>
      <c r="DB252" s="396"/>
      <c r="DC252" s="396"/>
      <c r="DD252" s="396"/>
      <c r="DE252" s="413"/>
      <c r="DF252" s="396"/>
      <c r="DG252" s="396"/>
      <c r="DH252" s="396"/>
      <c r="DI252" s="396"/>
      <c r="DJ252" s="413"/>
      <c r="DK252" s="396"/>
      <c r="DL252" s="396"/>
      <c r="DM252" s="396"/>
      <c r="DN252" s="396"/>
      <c r="DO252" s="413"/>
      <c r="DP252" s="396"/>
      <c r="DQ252" s="396"/>
      <c r="DR252" s="396"/>
      <c r="DS252" s="396"/>
      <c r="DT252" s="413"/>
      <c r="DU252" s="413"/>
      <c r="DV252" s="413"/>
    </row>
    <row r="253" spans="1:126" s="312" customFormat="1" ht="12">
      <c r="A253" s="216"/>
      <c r="B253" s="414" t="s">
        <v>298</v>
      </c>
      <c r="C253" s="225"/>
      <c r="D253" s="225"/>
      <c r="E253" s="225"/>
      <c r="F253" s="225"/>
      <c r="G253" s="225"/>
      <c r="H253" s="225"/>
      <c r="I253" s="225"/>
      <c r="J253" s="216"/>
      <c r="K253" s="216"/>
      <c r="L253" s="216"/>
      <c r="M253" s="216"/>
      <c r="N253" s="225"/>
      <c r="O253" s="216"/>
      <c r="P253" s="216"/>
      <c r="Q253" s="216"/>
      <c r="R253" s="216"/>
      <c r="S253" s="225"/>
      <c r="T253" s="216"/>
      <c r="U253" s="216"/>
      <c r="V253" s="216"/>
      <c r="W253" s="216"/>
      <c r="X253" s="225"/>
      <c r="Y253" s="216"/>
      <c r="Z253" s="216"/>
      <c r="AA253" s="216"/>
      <c r="AB253" s="216"/>
      <c r="AC253" s="225"/>
      <c r="AD253" s="216"/>
      <c r="AE253" s="216"/>
      <c r="AF253" s="216"/>
      <c r="AG253" s="216"/>
      <c r="AH253" s="225"/>
      <c r="AI253" s="216"/>
      <c r="AJ253" s="216"/>
      <c r="AK253" s="216"/>
      <c r="AL253" s="216"/>
      <c r="AM253" s="225"/>
      <c r="AN253" s="216"/>
      <c r="AO253" s="216"/>
      <c r="AP253" s="216"/>
      <c r="AQ253" s="216"/>
      <c r="AR253" s="225"/>
      <c r="AS253" s="216"/>
      <c r="AT253" s="216"/>
      <c r="AU253" s="216"/>
      <c r="AV253" s="216"/>
      <c r="AW253" s="413"/>
      <c r="AX253" s="396"/>
      <c r="AY253" s="396"/>
      <c r="AZ253" s="396"/>
      <c r="BA253" s="396"/>
      <c r="BB253" s="413"/>
      <c r="BC253" s="396"/>
      <c r="BD253" s="396"/>
      <c r="BE253" s="396"/>
      <c r="BF253" s="396"/>
      <c r="BG253" s="413"/>
      <c r="BH253" s="396"/>
      <c r="BI253" s="396"/>
      <c r="BJ253" s="396"/>
      <c r="BK253" s="396"/>
      <c r="BL253" s="413"/>
      <c r="BM253" s="396"/>
      <c r="BN253" s="396"/>
      <c r="BO253" s="396"/>
      <c r="BP253" s="396"/>
      <c r="BQ253" s="413"/>
      <c r="BR253" s="396"/>
      <c r="BS253" s="396"/>
      <c r="BT253" s="396"/>
      <c r="BU253" s="396"/>
      <c r="BV253" s="413"/>
      <c r="BW253" s="396"/>
      <c r="BX253" s="430"/>
      <c r="BY253" s="396"/>
      <c r="BZ253" s="396"/>
      <c r="CA253" s="413"/>
      <c r="CB253" s="396"/>
      <c r="CC253" s="396"/>
      <c r="CD253" s="396"/>
      <c r="CE253" s="396"/>
      <c r="CF253" s="413"/>
      <c r="CG253" s="396"/>
      <c r="CH253" s="396"/>
      <c r="CI253" s="396"/>
      <c r="CJ253" s="396"/>
      <c r="CK253" s="413"/>
      <c r="CL253" s="396"/>
      <c r="CM253" s="396"/>
      <c r="CN253" s="396"/>
      <c r="CO253" s="396"/>
      <c r="CP253" s="413"/>
      <c r="CQ253" s="396"/>
      <c r="CR253" s="396"/>
      <c r="CS253" s="396"/>
      <c r="CT253" s="396"/>
      <c r="CU253" s="413"/>
      <c r="CV253" s="396"/>
      <c r="CW253" s="396"/>
      <c r="CX253" s="396"/>
      <c r="CY253" s="396"/>
      <c r="CZ253" s="413"/>
      <c r="DA253" s="396"/>
      <c r="DB253" s="396"/>
      <c r="DC253" s="396"/>
      <c r="DD253" s="396"/>
      <c r="DE253" s="413"/>
      <c r="DF253" s="396"/>
      <c r="DG253" s="396"/>
      <c r="DH253" s="396"/>
      <c r="DI253" s="396"/>
      <c r="DJ253" s="413"/>
      <c r="DK253" s="396"/>
      <c r="DL253" s="396"/>
      <c r="DM253" s="396"/>
      <c r="DN253" s="396"/>
      <c r="DO253" s="413"/>
      <c r="DP253" s="396"/>
      <c r="DQ253" s="396"/>
      <c r="DR253" s="396"/>
      <c r="DS253" s="396"/>
      <c r="DT253" s="413"/>
      <c r="DU253" s="413"/>
      <c r="DV253" s="413"/>
    </row>
    <row r="254" spans="1:126" s="312" customFormat="1" ht="12">
      <c r="A254" s="216"/>
      <c r="B254" s="414" t="s">
        <v>299</v>
      </c>
      <c r="C254" s="225"/>
      <c r="D254" s="225"/>
      <c r="E254" s="225"/>
      <c r="F254" s="225"/>
      <c r="G254" s="225"/>
      <c r="H254" s="225"/>
      <c r="I254" s="225"/>
      <c r="J254" s="216"/>
      <c r="K254" s="216"/>
      <c r="L254" s="216"/>
      <c r="M254" s="216"/>
      <c r="N254" s="225"/>
      <c r="O254" s="216"/>
      <c r="P254" s="216"/>
      <c r="Q254" s="216"/>
      <c r="R254" s="216"/>
      <c r="S254" s="225"/>
      <c r="T254" s="216"/>
      <c r="U254" s="216"/>
      <c r="V254" s="216"/>
      <c r="W254" s="216"/>
      <c r="X254" s="225"/>
      <c r="Y254" s="216"/>
      <c r="Z254" s="216"/>
      <c r="AA254" s="216"/>
      <c r="AB254" s="216"/>
      <c r="AC254" s="225"/>
      <c r="AD254" s="216"/>
      <c r="AE254" s="216"/>
      <c r="AF254" s="216"/>
      <c r="AG254" s="216"/>
      <c r="AH254" s="225"/>
      <c r="AI254" s="216"/>
      <c r="AJ254" s="216"/>
      <c r="AK254" s="216"/>
      <c r="AL254" s="216"/>
      <c r="AM254" s="225"/>
      <c r="AN254" s="216"/>
      <c r="AO254" s="216"/>
      <c r="AP254" s="216"/>
      <c r="AQ254" s="216"/>
      <c r="AR254" s="225"/>
      <c r="AS254" s="216"/>
      <c r="AT254" s="216"/>
      <c r="AU254" s="216"/>
      <c r="AV254" s="216"/>
      <c r="AW254" s="413"/>
      <c r="AX254" s="396"/>
      <c r="AY254" s="396"/>
      <c r="AZ254" s="396"/>
      <c r="BA254" s="396"/>
      <c r="BB254" s="413"/>
      <c r="BC254" s="396"/>
      <c r="BD254" s="396"/>
      <c r="BE254" s="396"/>
      <c r="BF254" s="396"/>
      <c r="BG254" s="413"/>
      <c r="BH254" s="396"/>
      <c r="BI254" s="396"/>
      <c r="BJ254" s="396"/>
      <c r="BK254" s="396"/>
      <c r="BL254" s="413"/>
      <c r="BM254" s="396"/>
      <c r="BN254" s="396"/>
      <c r="BO254" s="396"/>
      <c r="BP254" s="396"/>
      <c r="BQ254" s="413"/>
      <c r="BR254" s="396"/>
      <c r="BS254" s="396"/>
      <c r="BT254" s="396"/>
      <c r="BU254" s="396"/>
      <c r="BV254" s="413"/>
      <c r="BW254" s="396"/>
      <c r="BX254" s="430"/>
      <c r="BY254" s="396"/>
      <c r="BZ254" s="396"/>
      <c r="CA254" s="413"/>
      <c r="CB254" s="396"/>
      <c r="CC254" s="396"/>
      <c r="CD254" s="396"/>
      <c r="CE254" s="396"/>
      <c r="CF254" s="413"/>
      <c r="CG254" s="396"/>
      <c r="CH254" s="396"/>
      <c r="CI254" s="396"/>
      <c r="CJ254" s="396"/>
      <c r="CK254" s="413"/>
      <c r="CL254" s="396"/>
      <c r="CM254" s="396"/>
      <c r="CN254" s="396"/>
      <c r="CO254" s="396"/>
      <c r="CP254" s="413"/>
      <c r="CQ254" s="396"/>
      <c r="CR254" s="396"/>
      <c r="CS254" s="396"/>
      <c r="CT254" s="396"/>
      <c r="CU254" s="413"/>
      <c r="CV254" s="396"/>
      <c r="CW254" s="396"/>
      <c r="CX254" s="396"/>
      <c r="CY254" s="396"/>
      <c r="CZ254" s="413"/>
      <c r="DA254" s="396"/>
      <c r="DB254" s="396"/>
      <c r="DC254" s="396"/>
      <c r="DD254" s="396"/>
      <c r="DE254" s="413"/>
      <c r="DF254" s="396"/>
      <c r="DG254" s="396"/>
      <c r="DH254" s="396"/>
      <c r="DI254" s="396"/>
      <c r="DJ254" s="413"/>
      <c r="DK254" s="396"/>
      <c r="DL254" s="396"/>
      <c r="DM254" s="396"/>
      <c r="DN254" s="396"/>
      <c r="DO254" s="413"/>
      <c r="DP254" s="396"/>
      <c r="DQ254" s="396"/>
      <c r="DR254" s="396"/>
      <c r="DS254" s="396"/>
      <c r="DT254" s="413"/>
      <c r="DU254" s="413"/>
      <c r="DV254" s="413"/>
    </row>
    <row r="255" spans="1:126" s="312" customFormat="1" ht="12">
      <c r="A255" s="216"/>
      <c r="B255" s="414" t="s">
        <v>300</v>
      </c>
      <c r="C255" s="225"/>
      <c r="D255" s="225"/>
      <c r="E255" s="225"/>
      <c r="F255" s="225"/>
      <c r="G255" s="225"/>
      <c r="H255" s="225"/>
      <c r="I255" s="225"/>
      <c r="J255" s="216"/>
      <c r="K255" s="216"/>
      <c r="L255" s="216"/>
      <c r="M255" s="216"/>
      <c r="N255" s="225"/>
      <c r="O255" s="216"/>
      <c r="P255" s="216"/>
      <c r="Q255" s="216"/>
      <c r="R255" s="216"/>
      <c r="S255" s="225"/>
      <c r="T255" s="216"/>
      <c r="U255" s="216"/>
      <c r="V255" s="216"/>
      <c r="W255" s="216"/>
      <c r="X255" s="225"/>
      <c r="Y255" s="216"/>
      <c r="Z255" s="216"/>
      <c r="AA255" s="216"/>
      <c r="AB255" s="216"/>
      <c r="AC255" s="225"/>
      <c r="AD255" s="216"/>
      <c r="AE255" s="216"/>
      <c r="AF255" s="216"/>
      <c r="AG255" s="216"/>
      <c r="AH255" s="225"/>
      <c r="AI255" s="216"/>
      <c r="AJ255" s="216"/>
      <c r="AK255" s="216"/>
      <c r="AL255" s="216"/>
      <c r="AM255" s="225"/>
      <c r="AN255" s="216"/>
      <c r="AO255" s="216"/>
      <c r="AP255" s="216"/>
      <c r="AQ255" s="216"/>
      <c r="AR255" s="225"/>
      <c r="AS255" s="216"/>
      <c r="AT255" s="216"/>
      <c r="AU255" s="216"/>
      <c r="AV255" s="216"/>
      <c r="AW255" s="413"/>
      <c r="AX255" s="396"/>
      <c r="AY255" s="396"/>
      <c r="AZ255" s="396"/>
      <c r="BA255" s="396"/>
      <c r="BB255" s="413"/>
      <c r="BC255" s="396"/>
      <c r="BD255" s="396"/>
      <c r="BE255" s="396"/>
      <c r="BF255" s="396"/>
      <c r="BG255" s="413"/>
      <c r="BH255" s="396"/>
      <c r="BI255" s="396"/>
      <c r="BJ255" s="396"/>
      <c r="BK255" s="396"/>
      <c r="BL255" s="413"/>
      <c r="BM255" s="396"/>
      <c r="BN255" s="396"/>
      <c r="BO255" s="396"/>
      <c r="BP255" s="396"/>
      <c r="BQ255" s="413"/>
      <c r="BR255" s="396"/>
      <c r="BS255" s="396"/>
      <c r="BT255" s="396"/>
      <c r="BU255" s="396"/>
      <c r="BV255" s="413"/>
      <c r="BW255" s="396"/>
      <c r="BX255" s="430"/>
      <c r="BY255" s="396"/>
      <c r="BZ255" s="396"/>
      <c r="CA255" s="413"/>
      <c r="CB255" s="396"/>
      <c r="CC255" s="396"/>
      <c r="CD255" s="396"/>
      <c r="CE255" s="396"/>
      <c r="CF255" s="413"/>
      <c r="CG255" s="396"/>
      <c r="CH255" s="396"/>
      <c r="CI255" s="396"/>
      <c r="CJ255" s="396"/>
      <c r="CK255" s="413"/>
      <c r="CL255" s="396"/>
      <c r="CM255" s="396"/>
      <c r="CN255" s="396"/>
      <c r="CO255" s="396"/>
      <c r="CP255" s="413"/>
      <c r="CQ255" s="396"/>
      <c r="CR255" s="396"/>
      <c r="CS255" s="396"/>
      <c r="CT255" s="396"/>
      <c r="CU255" s="413"/>
      <c r="CV255" s="396"/>
      <c r="CW255" s="396"/>
      <c r="CX255" s="396"/>
      <c r="CY255" s="396"/>
      <c r="CZ255" s="413"/>
      <c r="DA255" s="396"/>
      <c r="DB255" s="396"/>
      <c r="DC255" s="396"/>
      <c r="DD255" s="396"/>
      <c r="DE255" s="413"/>
      <c r="DF255" s="396"/>
      <c r="DG255" s="396"/>
      <c r="DH255" s="396"/>
      <c r="DI255" s="396"/>
      <c r="DJ255" s="413"/>
      <c r="DK255" s="396"/>
      <c r="DL255" s="396"/>
      <c r="DM255" s="396"/>
      <c r="DN255" s="396"/>
      <c r="DO255" s="413"/>
      <c r="DP255" s="396"/>
      <c r="DQ255" s="396"/>
      <c r="DR255" s="396"/>
      <c r="DS255" s="396"/>
      <c r="DT255" s="413"/>
      <c r="DU255" s="413"/>
      <c r="DV255" s="413"/>
    </row>
    <row r="256" spans="1:126" s="312" customFormat="1" ht="12">
      <c r="A256" s="216"/>
      <c r="B256" s="414" t="s">
        <v>301</v>
      </c>
      <c r="C256" s="225"/>
      <c r="D256" s="225"/>
      <c r="E256" s="225"/>
      <c r="F256" s="225"/>
      <c r="G256" s="225"/>
      <c r="H256" s="225"/>
      <c r="I256" s="225"/>
      <c r="J256" s="216"/>
      <c r="K256" s="216"/>
      <c r="L256" s="216"/>
      <c r="M256" s="216"/>
      <c r="N256" s="225"/>
      <c r="O256" s="216"/>
      <c r="P256" s="216"/>
      <c r="Q256" s="216"/>
      <c r="R256" s="216"/>
      <c r="S256" s="225"/>
      <c r="T256" s="216"/>
      <c r="U256" s="216"/>
      <c r="V256" s="216"/>
      <c r="W256" s="216"/>
      <c r="X256" s="225"/>
      <c r="Y256" s="216"/>
      <c r="Z256" s="216"/>
      <c r="AA256" s="216"/>
      <c r="AB256" s="216"/>
      <c r="AC256" s="225"/>
      <c r="AD256" s="216"/>
      <c r="AE256" s="216"/>
      <c r="AF256" s="216"/>
      <c r="AG256" s="216"/>
      <c r="AH256" s="225"/>
      <c r="AI256" s="216"/>
      <c r="AJ256" s="216"/>
      <c r="AK256" s="216"/>
      <c r="AL256" s="216"/>
      <c r="AM256" s="225"/>
      <c r="AN256" s="216"/>
      <c r="AO256" s="216"/>
      <c r="AP256" s="216"/>
      <c r="AQ256" s="216"/>
      <c r="AR256" s="225"/>
      <c r="AS256" s="216"/>
      <c r="AT256" s="216"/>
      <c r="AU256" s="216"/>
      <c r="AV256" s="216"/>
      <c r="AW256" s="413"/>
      <c r="AX256" s="396"/>
      <c r="AY256" s="396"/>
      <c r="AZ256" s="396"/>
      <c r="BA256" s="396"/>
      <c r="BB256" s="413"/>
      <c r="BC256" s="396"/>
      <c r="BD256" s="396"/>
      <c r="BE256" s="396"/>
      <c r="BF256" s="396"/>
      <c r="BG256" s="413"/>
      <c r="BH256" s="396"/>
      <c r="BI256" s="396"/>
      <c r="BJ256" s="396"/>
      <c r="BK256" s="396"/>
      <c r="BL256" s="413"/>
      <c r="BM256" s="396"/>
      <c r="BN256" s="396"/>
      <c r="BO256" s="396"/>
      <c r="BP256" s="396"/>
      <c r="BQ256" s="413"/>
      <c r="BR256" s="396"/>
      <c r="BS256" s="396"/>
      <c r="BT256" s="396"/>
      <c r="BU256" s="396"/>
      <c r="BV256" s="413"/>
      <c r="BW256" s="396"/>
      <c r="BX256" s="430"/>
      <c r="BY256" s="396"/>
      <c r="BZ256" s="396"/>
      <c r="CA256" s="413"/>
      <c r="CB256" s="396"/>
      <c r="CC256" s="396"/>
      <c r="CD256" s="396"/>
      <c r="CE256" s="396"/>
      <c r="CF256" s="413"/>
      <c r="CG256" s="396"/>
      <c r="CH256" s="396"/>
      <c r="CI256" s="396"/>
      <c r="CJ256" s="396"/>
      <c r="CK256" s="413"/>
      <c r="CL256" s="396"/>
      <c r="CM256" s="396"/>
      <c r="CN256" s="396"/>
      <c r="CO256" s="396"/>
      <c r="CP256" s="413"/>
      <c r="CQ256" s="396"/>
      <c r="CR256" s="396"/>
      <c r="CS256" s="396"/>
      <c r="CT256" s="396"/>
      <c r="CU256" s="413"/>
      <c r="CV256" s="396"/>
      <c r="CW256" s="396"/>
      <c r="CX256" s="396"/>
      <c r="CY256" s="396"/>
      <c r="CZ256" s="413"/>
      <c r="DA256" s="396"/>
      <c r="DB256" s="396"/>
      <c r="DC256" s="396"/>
      <c r="DD256" s="396"/>
      <c r="DE256" s="413"/>
      <c r="DF256" s="396"/>
      <c r="DG256" s="396"/>
      <c r="DH256" s="396"/>
      <c r="DI256" s="396"/>
      <c r="DJ256" s="413"/>
      <c r="DK256" s="396"/>
      <c r="DL256" s="396"/>
      <c r="DM256" s="396"/>
      <c r="DN256" s="396"/>
      <c r="DO256" s="413"/>
      <c r="DP256" s="396"/>
      <c r="DQ256" s="396"/>
      <c r="DR256" s="396"/>
      <c r="DS256" s="396"/>
      <c r="DT256" s="413"/>
      <c r="DU256" s="413"/>
      <c r="DV256" s="413"/>
    </row>
    <row r="257" spans="1:126" s="312" customFormat="1" ht="12">
      <c r="A257" s="216"/>
      <c r="B257" s="414" t="s">
        <v>302</v>
      </c>
      <c r="C257" s="225"/>
      <c r="D257" s="225"/>
      <c r="E257" s="225"/>
      <c r="F257" s="225"/>
      <c r="G257" s="225"/>
      <c r="H257" s="225"/>
      <c r="I257" s="225"/>
      <c r="J257" s="216"/>
      <c r="K257" s="216"/>
      <c r="L257" s="216"/>
      <c r="M257" s="216"/>
      <c r="N257" s="225"/>
      <c r="O257" s="216"/>
      <c r="P257" s="216"/>
      <c r="Q257" s="216"/>
      <c r="R257" s="216"/>
      <c r="S257" s="225"/>
      <c r="T257" s="216"/>
      <c r="U257" s="216"/>
      <c r="V257" s="216"/>
      <c r="W257" s="216"/>
      <c r="X257" s="225"/>
      <c r="Y257" s="216"/>
      <c r="Z257" s="216"/>
      <c r="AA257" s="216"/>
      <c r="AB257" s="216"/>
      <c r="AC257" s="225"/>
      <c r="AD257" s="216"/>
      <c r="AE257" s="216"/>
      <c r="AF257" s="216"/>
      <c r="AG257" s="216"/>
      <c r="AH257" s="225"/>
      <c r="AI257" s="216"/>
      <c r="AJ257" s="216"/>
      <c r="AK257" s="216"/>
      <c r="AL257" s="216"/>
      <c r="AM257" s="225"/>
      <c r="AN257" s="216"/>
      <c r="AO257" s="216"/>
      <c r="AP257" s="216"/>
      <c r="AQ257" s="216"/>
      <c r="AR257" s="225"/>
      <c r="AS257" s="216"/>
      <c r="AT257" s="216"/>
      <c r="AU257" s="216"/>
      <c r="AV257" s="216"/>
      <c r="AW257" s="413"/>
      <c r="AX257" s="396"/>
      <c r="AY257" s="396"/>
      <c r="AZ257" s="396"/>
      <c r="BA257" s="396"/>
      <c r="BB257" s="413"/>
      <c r="BC257" s="396"/>
      <c r="BD257" s="396"/>
      <c r="BE257" s="396"/>
      <c r="BF257" s="396"/>
      <c r="BG257" s="413"/>
      <c r="BH257" s="396"/>
      <c r="BI257" s="396"/>
      <c r="BJ257" s="396"/>
      <c r="BK257" s="396"/>
      <c r="BL257" s="413"/>
      <c r="BM257" s="396"/>
      <c r="BN257" s="396"/>
      <c r="BO257" s="396"/>
      <c r="BP257" s="396"/>
      <c r="BQ257" s="413"/>
      <c r="BR257" s="396"/>
      <c r="BS257" s="396"/>
      <c r="BT257" s="396"/>
      <c r="BU257" s="396"/>
      <c r="BV257" s="413"/>
      <c r="BW257" s="396"/>
      <c r="BX257" s="430"/>
      <c r="BY257" s="396"/>
      <c r="BZ257" s="396"/>
      <c r="CA257" s="413"/>
      <c r="CB257" s="396"/>
      <c r="CC257" s="396"/>
      <c r="CD257" s="396"/>
      <c r="CE257" s="396"/>
      <c r="CF257" s="413"/>
      <c r="CG257" s="396"/>
      <c r="CH257" s="396"/>
      <c r="CI257" s="396"/>
      <c r="CJ257" s="396"/>
      <c r="CK257" s="413"/>
      <c r="CL257" s="396"/>
      <c r="CM257" s="396"/>
      <c r="CN257" s="396"/>
      <c r="CO257" s="396"/>
      <c r="CP257" s="413"/>
      <c r="CQ257" s="396"/>
      <c r="CR257" s="396"/>
      <c r="CS257" s="396"/>
      <c r="CT257" s="396"/>
      <c r="CU257" s="413"/>
      <c r="CV257" s="396"/>
      <c r="CW257" s="396"/>
      <c r="CX257" s="396"/>
      <c r="CY257" s="396"/>
      <c r="CZ257" s="413"/>
      <c r="DA257" s="396"/>
      <c r="DB257" s="396"/>
      <c r="DC257" s="396"/>
      <c r="DD257" s="396"/>
      <c r="DE257" s="413"/>
      <c r="DF257" s="396"/>
      <c r="DG257" s="396"/>
      <c r="DH257" s="396"/>
      <c r="DI257" s="396"/>
      <c r="DJ257" s="413"/>
      <c r="DK257" s="396"/>
      <c r="DL257" s="396"/>
      <c r="DM257" s="396"/>
      <c r="DN257" s="396"/>
      <c r="DO257" s="413"/>
      <c r="DP257" s="396"/>
      <c r="DQ257" s="396"/>
      <c r="DR257" s="396"/>
      <c r="DS257" s="396"/>
      <c r="DT257" s="413"/>
      <c r="DU257" s="413"/>
      <c r="DV257" s="413"/>
    </row>
    <row r="258" spans="1:126" s="312" customFormat="1" ht="12">
      <c r="A258" s="216"/>
      <c r="B258" s="414" t="s">
        <v>303</v>
      </c>
      <c r="C258" s="225"/>
      <c r="D258" s="225"/>
      <c r="E258" s="225"/>
      <c r="F258" s="225"/>
      <c r="G258" s="225"/>
      <c r="H258" s="225"/>
      <c r="I258" s="225"/>
      <c r="J258" s="216"/>
      <c r="K258" s="216"/>
      <c r="L258" s="216"/>
      <c r="M258" s="216"/>
      <c r="N258" s="225"/>
      <c r="O258" s="216"/>
      <c r="P258" s="216"/>
      <c r="Q258" s="216"/>
      <c r="R258" s="216"/>
      <c r="S258" s="225"/>
      <c r="T258" s="216"/>
      <c r="U258" s="216"/>
      <c r="V258" s="216"/>
      <c r="W258" s="216"/>
      <c r="X258" s="225"/>
      <c r="Y258" s="216"/>
      <c r="Z258" s="216"/>
      <c r="AA258" s="216"/>
      <c r="AB258" s="216"/>
      <c r="AC258" s="225"/>
      <c r="AD258" s="216"/>
      <c r="AE258" s="216"/>
      <c r="AF258" s="216"/>
      <c r="AG258" s="216"/>
      <c r="AH258" s="225"/>
      <c r="AI258" s="216"/>
      <c r="AJ258" s="216"/>
      <c r="AK258" s="216"/>
      <c r="AL258" s="216"/>
      <c r="AM258" s="225"/>
      <c r="AN258" s="216"/>
      <c r="AO258" s="216"/>
      <c r="AP258" s="216"/>
      <c r="AQ258" s="216"/>
      <c r="AR258" s="225"/>
      <c r="AS258" s="216"/>
      <c r="AT258" s="216"/>
      <c r="AU258" s="216"/>
      <c r="AV258" s="216"/>
      <c r="AW258" s="413"/>
      <c r="AX258" s="396"/>
      <c r="AY258" s="396"/>
      <c r="AZ258" s="396"/>
      <c r="BA258" s="396"/>
      <c r="BB258" s="413"/>
      <c r="BC258" s="396"/>
      <c r="BD258" s="396"/>
      <c r="BE258" s="396"/>
      <c r="BF258" s="396"/>
      <c r="BG258" s="413"/>
      <c r="BH258" s="396"/>
      <c r="BI258" s="396"/>
      <c r="BJ258" s="396"/>
      <c r="BK258" s="396"/>
      <c r="BL258" s="413"/>
      <c r="BM258" s="396"/>
      <c r="BN258" s="396"/>
      <c r="BO258" s="396"/>
      <c r="BP258" s="396"/>
      <c r="BQ258" s="413"/>
      <c r="BR258" s="396"/>
      <c r="BS258" s="396"/>
      <c r="BT258" s="396"/>
      <c r="BU258" s="396"/>
      <c r="BV258" s="413"/>
      <c r="BW258" s="396"/>
      <c r="BX258" s="430"/>
      <c r="BY258" s="396"/>
      <c r="BZ258" s="396"/>
      <c r="CA258" s="413"/>
      <c r="CB258" s="396"/>
      <c r="CC258" s="396"/>
      <c r="CD258" s="396"/>
      <c r="CE258" s="396"/>
      <c r="CF258" s="413"/>
      <c r="CG258" s="396"/>
      <c r="CH258" s="396"/>
      <c r="CI258" s="396"/>
      <c r="CJ258" s="396"/>
      <c r="CK258" s="413"/>
      <c r="CL258" s="396"/>
      <c r="CM258" s="396"/>
      <c r="CN258" s="396"/>
      <c r="CO258" s="396"/>
      <c r="CP258" s="413"/>
      <c r="CQ258" s="396"/>
      <c r="CR258" s="396"/>
      <c r="CS258" s="396"/>
      <c r="CT258" s="396"/>
      <c r="CU258" s="413"/>
      <c r="CV258" s="396"/>
      <c r="CW258" s="396"/>
      <c r="CX258" s="396"/>
      <c r="CY258" s="396"/>
      <c r="CZ258" s="413"/>
      <c r="DA258" s="396"/>
      <c r="DB258" s="396"/>
      <c r="DC258" s="396"/>
      <c r="DD258" s="396"/>
      <c r="DE258" s="413"/>
      <c r="DF258" s="396"/>
      <c r="DG258" s="396"/>
      <c r="DH258" s="396"/>
      <c r="DI258" s="396"/>
      <c r="DJ258" s="413"/>
      <c r="DK258" s="396"/>
      <c r="DL258" s="396"/>
      <c r="DM258" s="396"/>
      <c r="DN258" s="396"/>
      <c r="DO258" s="413"/>
      <c r="DP258" s="396"/>
      <c r="DQ258" s="396"/>
      <c r="DR258" s="396"/>
      <c r="DS258" s="396"/>
      <c r="DT258" s="413"/>
      <c r="DU258" s="413"/>
      <c r="DV258" s="413"/>
    </row>
    <row r="259" spans="1:126" s="312" customFormat="1" ht="12">
      <c r="A259" s="216"/>
      <c r="B259" s="414" t="s">
        <v>304</v>
      </c>
      <c r="C259" s="225"/>
      <c r="D259" s="225"/>
      <c r="E259" s="225"/>
      <c r="F259" s="225"/>
      <c r="G259" s="225"/>
      <c r="H259" s="225"/>
      <c r="I259" s="225"/>
      <c r="J259" s="216"/>
      <c r="K259" s="216"/>
      <c r="L259" s="216"/>
      <c r="M259" s="216"/>
      <c r="N259" s="225"/>
      <c r="O259" s="216"/>
      <c r="P259" s="216"/>
      <c r="Q259" s="216"/>
      <c r="R259" s="216"/>
      <c r="S259" s="225"/>
      <c r="T259" s="216"/>
      <c r="U259" s="216"/>
      <c r="V259" s="216"/>
      <c r="W259" s="216"/>
      <c r="X259" s="225"/>
      <c r="Y259" s="216"/>
      <c r="Z259" s="216"/>
      <c r="AA259" s="216"/>
      <c r="AB259" s="216"/>
      <c r="AC259" s="225"/>
      <c r="AD259" s="216"/>
      <c r="AE259" s="216"/>
      <c r="AF259" s="216"/>
      <c r="AG259" s="216"/>
      <c r="AH259" s="225"/>
      <c r="AI259" s="216"/>
      <c r="AJ259" s="216"/>
      <c r="AK259" s="216"/>
      <c r="AL259" s="216"/>
      <c r="AM259" s="225"/>
      <c r="AN259" s="216"/>
      <c r="AO259" s="216"/>
      <c r="AP259" s="216"/>
      <c r="AQ259" s="216"/>
      <c r="AR259" s="225"/>
      <c r="AS259" s="216"/>
      <c r="AT259" s="216"/>
      <c r="AU259" s="216"/>
      <c r="AV259" s="216"/>
      <c r="AW259" s="413"/>
      <c r="AX259" s="396"/>
      <c r="AY259" s="396"/>
      <c r="AZ259" s="396"/>
      <c r="BA259" s="396"/>
      <c r="BB259" s="413"/>
      <c r="BC259" s="396"/>
      <c r="BD259" s="396"/>
      <c r="BE259" s="396"/>
      <c r="BF259" s="396"/>
      <c r="BG259" s="413"/>
      <c r="BH259" s="396"/>
      <c r="BI259" s="396"/>
      <c r="BJ259" s="396"/>
      <c r="BK259" s="396"/>
      <c r="BL259" s="413"/>
      <c r="BM259" s="396"/>
      <c r="BN259" s="396"/>
      <c r="BO259" s="396"/>
      <c r="BP259" s="396"/>
      <c r="BQ259" s="413"/>
      <c r="BR259" s="396"/>
      <c r="BS259" s="396"/>
      <c r="BT259" s="396"/>
      <c r="BU259" s="396"/>
      <c r="BV259" s="413"/>
      <c r="BW259" s="396"/>
      <c r="BX259" s="430"/>
      <c r="BY259" s="396"/>
      <c r="BZ259" s="396"/>
      <c r="CA259" s="413"/>
      <c r="CB259" s="396"/>
      <c r="CC259" s="396"/>
      <c r="CD259" s="396"/>
      <c r="CE259" s="396"/>
      <c r="CF259" s="413"/>
      <c r="CG259" s="396"/>
      <c r="CH259" s="396"/>
      <c r="CI259" s="396"/>
      <c r="CJ259" s="396"/>
      <c r="CK259" s="413"/>
      <c r="CL259" s="396"/>
      <c r="CM259" s="396"/>
      <c r="CN259" s="396"/>
      <c r="CO259" s="396"/>
      <c r="CP259" s="413"/>
      <c r="CQ259" s="396"/>
      <c r="CR259" s="396"/>
      <c r="CS259" s="396"/>
      <c r="CT259" s="396"/>
      <c r="CU259" s="413"/>
      <c r="CV259" s="396"/>
      <c r="CW259" s="396"/>
      <c r="CX259" s="396"/>
      <c r="CY259" s="396"/>
      <c r="CZ259" s="413"/>
      <c r="DA259" s="396"/>
      <c r="DB259" s="396"/>
      <c r="DC259" s="396"/>
      <c r="DD259" s="396"/>
      <c r="DE259" s="413"/>
      <c r="DF259" s="396"/>
      <c r="DG259" s="396"/>
      <c r="DH259" s="396"/>
      <c r="DI259" s="396"/>
      <c r="DJ259" s="413"/>
      <c r="DK259" s="396"/>
      <c r="DL259" s="396"/>
      <c r="DM259" s="396"/>
      <c r="DN259" s="396"/>
      <c r="DO259" s="413"/>
      <c r="DP259" s="396"/>
      <c r="DQ259" s="396"/>
      <c r="DR259" s="396"/>
      <c r="DS259" s="396"/>
      <c r="DT259" s="413"/>
      <c r="DU259" s="413"/>
      <c r="DV259" s="413"/>
    </row>
    <row r="260" spans="1:126" s="312" customFormat="1" ht="12">
      <c r="A260" s="216"/>
      <c r="B260" s="414" t="s">
        <v>305</v>
      </c>
      <c r="C260" s="225"/>
      <c r="D260" s="225"/>
      <c r="E260" s="225"/>
      <c r="F260" s="225"/>
      <c r="G260" s="225"/>
      <c r="H260" s="225"/>
      <c r="I260" s="225"/>
      <c r="J260" s="216"/>
      <c r="K260" s="216"/>
      <c r="L260" s="216"/>
      <c r="M260" s="216"/>
      <c r="N260" s="225"/>
      <c r="O260" s="216"/>
      <c r="P260" s="216"/>
      <c r="Q260" s="216"/>
      <c r="R260" s="216"/>
      <c r="S260" s="225"/>
      <c r="T260" s="216"/>
      <c r="U260" s="216"/>
      <c r="V260" s="216"/>
      <c r="W260" s="216"/>
      <c r="X260" s="225"/>
      <c r="Y260" s="216"/>
      <c r="Z260" s="216"/>
      <c r="AA260" s="216"/>
      <c r="AB260" s="216"/>
      <c r="AC260" s="225"/>
      <c r="AD260" s="216"/>
      <c r="AE260" s="216"/>
      <c r="AF260" s="216"/>
      <c r="AG260" s="216"/>
      <c r="AH260" s="225"/>
      <c r="AI260" s="216"/>
      <c r="AJ260" s="216"/>
      <c r="AK260" s="216"/>
      <c r="AL260" s="216"/>
      <c r="AM260" s="225"/>
      <c r="AN260" s="216"/>
      <c r="AO260" s="216"/>
      <c r="AP260" s="216"/>
      <c r="AQ260" s="216"/>
      <c r="AR260" s="225"/>
      <c r="AS260" s="216"/>
      <c r="AT260" s="216"/>
      <c r="AU260" s="216"/>
      <c r="AV260" s="216"/>
      <c r="AW260" s="413"/>
      <c r="AX260" s="396"/>
      <c r="AY260" s="396"/>
      <c r="AZ260" s="396"/>
      <c r="BA260" s="396"/>
      <c r="BB260" s="413"/>
      <c r="BC260" s="396"/>
      <c r="BD260" s="396"/>
      <c r="BE260" s="396"/>
      <c r="BF260" s="396"/>
      <c r="BG260" s="413"/>
      <c r="BH260" s="396"/>
      <c r="BI260" s="396"/>
      <c r="BJ260" s="396"/>
      <c r="BK260" s="396"/>
      <c r="BL260" s="413"/>
      <c r="BM260" s="396"/>
      <c r="BN260" s="396"/>
      <c r="BO260" s="396"/>
      <c r="BP260" s="396"/>
      <c r="BQ260" s="413"/>
      <c r="BR260" s="396"/>
      <c r="BS260" s="396"/>
      <c r="BT260" s="396"/>
      <c r="BU260" s="396"/>
      <c r="BV260" s="413"/>
      <c r="BW260" s="396"/>
      <c r="BX260" s="430"/>
      <c r="BY260" s="396"/>
      <c r="BZ260" s="396"/>
      <c r="CA260" s="413"/>
      <c r="CB260" s="396"/>
      <c r="CC260" s="396"/>
      <c r="CD260" s="396"/>
      <c r="CE260" s="396"/>
      <c r="CF260" s="413"/>
      <c r="CG260" s="396"/>
      <c r="CH260" s="396"/>
      <c r="CI260" s="396"/>
      <c r="CJ260" s="396"/>
      <c r="CK260" s="413"/>
      <c r="CL260" s="396"/>
      <c r="CM260" s="396"/>
      <c r="CN260" s="396"/>
      <c r="CO260" s="396"/>
      <c r="CP260" s="413"/>
      <c r="CQ260" s="396"/>
      <c r="CR260" s="396"/>
      <c r="CS260" s="396"/>
      <c r="CT260" s="396"/>
      <c r="CU260" s="413"/>
      <c r="CV260" s="396"/>
      <c r="CW260" s="396"/>
      <c r="CX260" s="396"/>
      <c r="CY260" s="396"/>
      <c r="CZ260" s="413"/>
      <c r="DA260" s="396"/>
      <c r="DB260" s="396"/>
      <c r="DC260" s="396"/>
      <c r="DD260" s="396"/>
      <c r="DE260" s="413"/>
      <c r="DF260" s="396"/>
      <c r="DG260" s="396"/>
      <c r="DH260" s="396"/>
      <c r="DI260" s="396"/>
      <c r="DJ260" s="413"/>
      <c r="DK260" s="396"/>
      <c r="DL260" s="396"/>
      <c r="DM260" s="396"/>
      <c r="DN260" s="396"/>
      <c r="DO260" s="413"/>
      <c r="DP260" s="396"/>
      <c r="DQ260" s="396"/>
      <c r="DR260" s="396"/>
      <c r="DS260" s="396"/>
      <c r="DT260" s="413"/>
      <c r="DU260" s="413"/>
      <c r="DV260" s="413"/>
    </row>
    <row r="261" spans="1:126" s="312" customFormat="1" ht="12">
      <c r="A261" s="216"/>
      <c r="B261" s="414" t="s">
        <v>306</v>
      </c>
      <c r="C261" s="225"/>
      <c r="D261" s="225"/>
      <c r="E261" s="225"/>
      <c r="F261" s="225"/>
      <c r="G261" s="225"/>
      <c r="H261" s="225"/>
      <c r="I261" s="225"/>
      <c r="J261" s="216"/>
      <c r="K261" s="216"/>
      <c r="L261" s="216"/>
      <c r="M261" s="216"/>
      <c r="N261" s="225"/>
      <c r="O261" s="216"/>
      <c r="P261" s="216"/>
      <c r="Q261" s="216"/>
      <c r="R261" s="216"/>
      <c r="S261" s="225"/>
      <c r="T261" s="216"/>
      <c r="U261" s="216"/>
      <c r="V261" s="216"/>
      <c r="W261" s="216"/>
      <c r="X261" s="225"/>
      <c r="Y261" s="216"/>
      <c r="Z261" s="216"/>
      <c r="AA261" s="216"/>
      <c r="AB261" s="216"/>
      <c r="AC261" s="225"/>
      <c r="AD261" s="216"/>
      <c r="AE261" s="216"/>
      <c r="AF261" s="216"/>
      <c r="AG261" s="216"/>
      <c r="AH261" s="225"/>
      <c r="AI261" s="216"/>
      <c r="AJ261" s="216"/>
      <c r="AK261" s="216"/>
      <c r="AL261" s="216"/>
      <c r="AM261" s="225"/>
      <c r="AN261" s="216"/>
      <c r="AO261" s="216"/>
      <c r="AP261" s="216"/>
      <c r="AQ261" s="216"/>
      <c r="AR261" s="225"/>
      <c r="AS261" s="216"/>
      <c r="AT261" s="216"/>
      <c r="AU261" s="216"/>
      <c r="AV261" s="216"/>
      <c r="AW261" s="413"/>
      <c r="AX261" s="396"/>
      <c r="AY261" s="396"/>
      <c r="AZ261" s="396"/>
      <c r="BA261" s="396"/>
      <c r="BB261" s="413"/>
      <c r="BC261" s="396"/>
      <c r="BD261" s="396"/>
      <c r="BE261" s="396"/>
      <c r="BF261" s="396"/>
      <c r="BG261" s="413"/>
      <c r="BH261" s="396"/>
      <c r="BI261" s="396"/>
      <c r="BJ261" s="396"/>
      <c r="BK261" s="396"/>
      <c r="BL261" s="413"/>
      <c r="BM261" s="396"/>
      <c r="BN261" s="396"/>
      <c r="BO261" s="396"/>
      <c r="BP261" s="396"/>
      <c r="BQ261" s="413"/>
      <c r="BR261" s="396"/>
      <c r="BS261" s="396"/>
      <c r="BT261" s="396"/>
      <c r="BU261" s="396"/>
      <c r="BV261" s="413"/>
      <c r="BW261" s="396"/>
      <c r="BX261" s="430"/>
      <c r="BY261" s="396"/>
      <c r="BZ261" s="396"/>
      <c r="CA261" s="413"/>
      <c r="CB261" s="396"/>
      <c r="CC261" s="396"/>
      <c r="CD261" s="396"/>
      <c r="CE261" s="396"/>
      <c r="CF261" s="413"/>
      <c r="CG261" s="396"/>
      <c r="CH261" s="396"/>
      <c r="CI261" s="396"/>
      <c r="CJ261" s="396"/>
      <c r="CK261" s="413"/>
      <c r="CL261" s="396"/>
      <c r="CM261" s="396"/>
      <c r="CN261" s="396"/>
      <c r="CO261" s="396"/>
      <c r="CP261" s="413"/>
      <c r="CQ261" s="396"/>
      <c r="CR261" s="396"/>
      <c r="CS261" s="396"/>
      <c r="CT261" s="396"/>
      <c r="CU261" s="413"/>
      <c r="CV261" s="396"/>
      <c r="CW261" s="396"/>
      <c r="CX261" s="396"/>
      <c r="CY261" s="396"/>
      <c r="CZ261" s="413"/>
      <c r="DA261" s="396"/>
      <c r="DB261" s="396"/>
      <c r="DC261" s="396"/>
      <c r="DD261" s="396"/>
      <c r="DE261" s="413"/>
      <c r="DF261" s="396"/>
      <c r="DG261" s="396"/>
      <c r="DH261" s="396"/>
      <c r="DI261" s="396"/>
      <c r="DJ261" s="413"/>
      <c r="DK261" s="396"/>
      <c r="DL261" s="396"/>
      <c r="DM261" s="396"/>
      <c r="DN261" s="396"/>
      <c r="DO261" s="413"/>
      <c r="DP261" s="396"/>
      <c r="DQ261" s="396"/>
      <c r="DR261" s="396"/>
      <c r="DS261" s="396"/>
      <c r="DT261" s="413"/>
      <c r="DU261" s="413"/>
      <c r="DV261" s="413"/>
    </row>
    <row r="262" spans="1:126" s="312" customFormat="1" ht="12">
      <c r="A262" s="216"/>
      <c r="B262" s="414" t="s">
        <v>307</v>
      </c>
      <c r="C262" s="225"/>
      <c r="D262" s="225"/>
      <c r="E262" s="225"/>
      <c r="F262" s="225"/>
      <c r="G262" s="225"/>
      <c r="H262" s="225"/>
      <c r="I262" s="225"/>
      <c r="J262" s="216"/>
      <c r="K262" s="216"/>
      <c r="L262" s="216"/>
      <c r="M262" s="216"/>
      <c r="N262" s="225"/>
      <c r="O262" s="216"/>
      <c r="P262" s="216"/>
      <c r="Q262" s="216"/>
      <c r="R262" s="216"/>
      <c r="S262" s="225"/>
      <c r="T262" s="216"/>
      <c r="U262" s="216"/>
      <c r="V262" s="216"/>
      <c r="W262" s="216"/>
      <c r="X262" s="225"/>
      <c r="Y262" s="216"/>
      <c r="Z262" s="216"/>
      <c r="AA262" s="216"/>
      <c r="AB262" s="216"/>
      <c r="AC262" s="225"/>
      <c r="AD262" s="216"/>
      <c r="AE262" s="216"/>
      <c r="AF262" s="216"/>
      <c r="AG262" s="216"/>
      <c r="AH262" s="225"/>
      <c r="AI262" s="216"/>
      <c r="AJ262" s="216"/>
      <c r="AK262" s="216"/>
      <c r="AL262" s="216"/>
      <c r="AM262" s="225"/>
      <c r="AN262" s="216"/>
      <c r="AO262" s="216"/>
      <c r="AP262" s="216"/>
      <c r="AQ262" s="216"/>
      <c r="AR262" s="225"/>
      <c r="AS262" s="216"/>
      <c r="AT262" s="216"/>
      <c r="AU262" s="216"/>
      <c r="AV262" s="216"/>
      <c r="AW262" s="413"/>
      <c r="AX262" s="396"/>
      <c r="AY262" s="396"/>
      <c r="AZ262" s="396"/>
      <c r="BA262" s="396"/>
      <c r="BB262" s="413"/>
      <c r="BC262" s="396"/>
      <c r="BD262" s="396"/>
      <c r="BE262" s="396"/>
      <c r="BF262" s="396"/>
      <c r="BG262" s="413"/>
      <c r="BH262" s="396"/>
      <c r="BI262" s="396"/>
      <c r="BJ262" s="396"/>
      <c r="BK262" s="396"/>
      <c r="BL262" s="413"/>
      <c r="BM262" s="396"/>
      <c r="BN262" s="396"/>
      <c r="BO262" s="396"/>
      <c r="BP262" s="396"/>
      <c r="BQ262" s="413"/>
      <c r="BR262" s="396"/>
      <c r="BS262" s="396"/>
      <c r="BT262" s="396"/>
      <c r="BU262" s="396"/>
      <c r="BV262" s="413"/>
      <c r="BW262" s="396"/>
      <c r="BX262" s="430"/>
      <c r="BY262" s="396"/>
      <c r="BZ262" s="396"/>
      <c r="CA262" s="413"/>
      <c r="CB262" s="396"/>
      <c r="CC262" s="396"/>
      <c r="CD262" s="396"/>
      <c r="CE262" s="396"/>
      <c r="CF262" s="413"/>
      <c r="CG262" s="396"/>
      <c r="CH262" s="396"/>
      <c r="CI262" s="396"/>
      <c r="CJ262" s="396"/>
      <c r="CK262" s="413"/>
      <c r="CL262" s="396"/>
      <c r="CM262" s="396"/>
      <c r="CN262" s="396"/>
      <c r="CO262" s="396"/>
      <c r="CP262" s="413"/>
      <c r="CQ262" s="396"/>
      <c r="CR262" s="396"/>
      <c r="CS262" s="396"/>
      <c r="CT262" s="396"/>
      <c r="CU262" s="413"/>
      <c r="CV262" s="396"/>
      <c r="CW262" s="396"/>
      <c r="CX262" s="396"/>
      <c r="CY262" s="396"/>
      <c r="CZ262" s="413"/>
      <c r="DA262" s="396"/>
      <c r="DB262" s="396"/>
      <c r="DC262" s="396"/>
      <c r="DD262" s="396"/>
      <c r="DE262" s="413"/>
      <c r="DF262" s="396"/>
      <c r="DG262" s="396"/>
      <c r="DH262" s="396"/>
      <c r="DI262" s="396"/>
      <c r="DJ262" s="413"/>
      <c r="DK262" s="396"/>
      <c r="DL262" s="396"/>
      <c r="DM262" s="396"/>
      <c r="DN262" s="396"/>
      <c r="DO262" s="413"/>
      <c r="DP262" s="396"/>
      <c r="DQ262" s="396"/>
      <c r="DR262" s="396"/>
      <c r="DS262" s="396"/>
      <c r="DT262" s="413"/>
      <c r="DU262" s="413"/>
      <c r="DV262" s="413"/>
    </row>
    <row r="263" spans="1:126" s="312" customFormat="1" ht="12">
      <c r="A263" s="216"/>
      <c r="B263" s="414" t="s">
        <v>308</v>
      </c>
      <c r="C263" s="225"/>
      <c r="D263" s="225"/>
      <c r="E263" s="225"/>
      <c r="F263" s="225"/>
      <c r="G263" s="225"/>
      <c r="H263" s="225"/>
      <c r="I263" s="225"/>
      <c r="J263" s="216"/>
      <c r="K263" s="216"/>
      <c r="L263" s="216"/>
      <c r="M263" s="216"/>
      <c r="N263" s="225"/>
      <c r="O263" s="216"/>
      <c r="P263" s="216"/>
      <c r="Q263" s="216"/>
      <c r="R263" s="216"/>
      <c r="S263" s="225"/>
      <c r="T263" s="216"/>
      <c r="U263" s="216"/>
      <c r="V263" s="216"/>
      <c r="W263" s="216"/>
      <c r="X263" s="225"/>
      <c r="Y263" s="216"/>
      <c r="Z263" s="216"/>
      <c r="AA263" s="216"/>
      <c r="AB263" s="216"/>
      <c r="AC263" s="225"/>
      <c r="AD263" s="216"/>
      <c r="AE263" s="216"/>
      <c r="AF263" s="216"/>
      <c r="AG263" s="216"/>
      <c r="AH263" s="225"/>
      <c r="AI263" s="216"/>
      <c r="AJ263" s="216"/>
      <c r="AK263" s="216"/>
      <c r="AL263" s="216"/>
      <c r="AM263" s="225"/>
      <c r="AN263" s="216"/>
      <c r="AO263" s="216"/>
      <c r="AP263" s="216"/>
      <c r="AQ263" s="216"/>
      <c r="AR263" s="225"/>
      <c r="AS263" s="216"/>
      <c r="AT263" s="216"/>
      <c r="AU263" s="216"/>
      <c r="AV263" s="216"/>
      <c r="AW263" s="413"/>
      <c r="AX263" s="396"/>
      <c r="AY263" s="396"/>
      <c r="AZ263" s="396"/>
      <c r="BA263" s="396"/>
      <c r="BB263" s="413"/>
      <c r="BC263" s="396"/>
      <c r="BD263" s="396"/>
      <c r="BE263" s="396"/>
      <c r="BF263" s="396"/>
      <c r="BG263" s="413"/>
      <c r="BH263" s="396"/>
      <c r="BI263" s="396"/>
      <c r="BJ263" s="396"/>
      <c r="BK263" s="396"/>
      <c r="BL263" s="413"/>
      <c r="BM263" s="396"/>
      <c r="BN263" s="396"/>
      <c r="BO263" s="396"/>
      <c r="BP263" s="396"/>
      <c r="BQ263" s="413"/>
      <c r="BR263" s="396"/>
      <c r="BS263" s="396"/>
      <c r="BT263" s="396"/>
      <c r="BU263" s="396"/>
      <c r="BV263" s="413"/>
      <c r="BW263" s="396"/>
      <c r="BX263" s="430"/>
      <c r="BY263" s="396"/>
      <c r="BZ263" s="396"/>
      <c r="CA263" s="413"/>
      <c r="CB263" s="396"/>
      <c r="CC263" s="396"/>
      <c r="CD263" s="396"/>
      <c r="CE263" s="396"/>
      <c r="CF263" s="413"/>
      <c r="CG263" s="396"/>
      <c r="CH263" s="396"/>
      <c r="CI263" s="396"/>
      <c r="CJ263" s="396"/>
      <c r="CK263" s="413"/>
      <c r="CL263" s="396"/>
      <c r="CM263" s="396"/>
      <c r="CN263" s="396"/>
      <c r="CO263" s="396"/>
      <c r="CP263" s="413"/>
      <c r="CQ263" s="396"/>
      <c r="CR263" s="396"/>
      <c r="CS263" s="396"/>
      <c r="CT263" s="396"/>
      <c r="CU263" s="413"/>
      <c r="CV263" s="396"/>
      <c r="CW263" s="396"/>
      <c r="CX263" s="396"/>
      <c r="CY263" s="396"/>
      <c r="CZ263" s="413"/>
      <c r="DA263" s="396"/>
      <c r="DB263" s="396"/>
      <c r="DC263" s="396"/>
      <c r="DD263" s="396"/>
      <c r="DE263" s="413"/>
      <c r="DF263" s="396"/>
      <c r="DG263" s="396"/>
      <c r="DH263" s="396"/>
      <c r="DI263" s="396"/>
      <c r="DJ263" s="413"/>
      <c r="DK263" s="396"/>
      <c r="DL263" s="396"/>
      <c r="DM263" s="396"/>
      <c r="DN263" s="396"/>
      <c r="DO263" s="413"/>
      <c r="DP263" s="396"/>
      <c r="DQ263" s="396"/>
      <c r="DR263" s="396"/>
      <c r="DS263" s="396"/>
      <c r="DT263" s="413"/>
      <c r="DU263" s="413"/>
      <c r="DV263" s="413"/>
    </row>
    <row r="264" spans="1:126" s="312" customFormat="1" ht="12">
      <c r="A264" s="216"/>
      <c r="B264" s="414" t="s">
        <v>309</v>
      </c>
      <c r="C264" s="225"/>
      <c r="D264" s="225"/>
      <c r="E264" s="225"/>
      <c r="F264" s="225"/>
      <c r="G264" s="225"/>
      <c r="H264" s="225"/>
      <c r="I264" s="225"/>
      <c r="J264" s="216"/>
      <c r="K264" s="216"/>
      <c r="L264" s="216"/>
      <c r="M264" s="216"/>
      <c r="N264" s="225"/>
      <c r="O264" s="216"/>
      <c r="P264" s="216"/>
      <c r="Q264" s="216"/>
      <c r="R264" s="216"/>
      <c r="S264" s="225"/>
      <c r="T264" s="216"/>
      <c r="U264" s="216"/>
      <c r="V264" s="216"/>
      <c r="W264" s="216"/>
      <c r="X264" s="225"/>
      <c r="Y264" s="216"/>
      <c r="Z264" s="216"/>
      <c r="AA264" s="216"/>
      <c r="AB264" s="216"/>
      <c r="AC264" s="225"/>
      <c r="AD264" s="216"/>
      <c r="AE264" s="216"/>
      <c r="AF264" s="216"/>
      <c r="AG264" s="216"/>
      <c r="AH264" s="225"/>
      <c r="AI264" s="216"/>
      <c r="AJ264" s="216"/>
      <c r="AK264" s="216"/>
      <c r="AL264" s="216"/>
      <c r="AM264" s="225"/>
      <c r="AN264" s="216"/>
      <c r="AO264" s="216"/>
      <c r="AP264" s="216"/>
      <c r="AQ264" s="216"/>
      <c r="AR264" s="225"/>
      <c r="AS264" s="216"/>
      <c r="AT264" s="216"/>
      <c r="AU264" s="216"/>
      <c r="AV264" s="216"/>
      <c r="AW264" s="413"/>
      <c r="AX264" s="396"/>
      <c r="AY264" s="396"/>
      <c r="AZ264" s="396"/>
      <c r="BA264" s="396"/>
      <c r="BB264" s="413"/>
      <c r="BC264" s="396"/>
      <c r="BD264" s="396"/>
      <c r="BE264" s="396"/>
      <c r="BF264" s="396"/>
      <c r="BG264" s="413"/>
      <c r="BH264" s="396"/>
      <c r="BI264" s="396"/>
      <c r="BJ264" s="396"/>
      <c r="BK264" s="396"/>
      <c r="BL264" s="413"/>
      <c r="BM264" s="396"/>
      <c r="BN264" s="396"/>
      <c r="BO264" s="396"/>
      <c r="BP264" s="396"/>
      <c r="BQ264" s="413"/>
      <c r="BR264" s="396"/>
      <c r="BS264" s="396"/>
      <c r="BT264" s="396"/>
      <c r="BU264" s="396"/>
      <c r="BV264" s="413"/>
      <c r="BW264" s="396"/>
      <c r="BX264" s="430"/>
      <c r="BY264" s="396"/>
      <c r="BZ264" s="396"/>
      <c r="CA264" s="413"/>
      <c r="CB264" s="396"/>
      <c r="CC264" s="396"/>
      <c r="CD264" s="396"/>
      <c r="CE264" s="396"/>
      <c r="CF264" s="413"/>
      <c r="CG264" s="396"/>
      <c r="CH264" s="396"/>
      <c r="CI264" s="396"/>
      <c r="CJ264" s="396"/>
      <c r="CK264" s="413"/>
      <c r="CL264" s="396"/>
      <c r="CM264" s="396"/>
      <c r="CN264" s="396"/>
      <c r="CO264" s="396"/>
      <c r="CP264" s="413"/>
      <c r="CQ264" s="396"/>
      <c r="CR264" s="396"/>
      <c r="CS264" s="396"/>
      <c r="CT264" s="396"/>
      <c r="CU264" s="413"/>
      <c r="CV264" s="396"/>
      <c r="CW264" s="396"/>
      <c r="CX264" s="396"/>
      <c r="CY264" s="396"/>
      <c r="CZ264" s="413"/>
      <c r="DA264" s="396"/>
      <c r="DB264" s="396"/>
      <c r="DC264" s="396"/>
      <c r="DD264" s="396"/>
      <c r="DE264" s="413"/>
      <c r="DF264" s="396"/>
      <c r="DG264" s="396"/>
      <c r="DH264" s="396"/>
      <c r="DI264" s="396"/>
      <c r="DJ264" s="413"/>
      <c r="DK264" s="396"/>
      <c r="DL264" s="396"/>
      <c r="DM264" s="396"/>
      <c r="DN264" s="396"/>
      <c r="DO264" s="413"/>
      <c r="DP264" s="396"/>
      <c r="DQ264" s="396"/>
      <c r="DR264" s="396"/>
      <c r="DS264" s="396"/>
      <c r="DT264" s="413"/>
      <c r="DU264" s="413"/>
      <c r="DV264" s="413"/>
    </row>
    <row r="265" spans="1:126" s="312" customFormat="1" ht="12">
      <c r="A265" s="216"/>
      <c r="B265" s="414" t="s">
        <v>310</v>
      </c>
      <c r="C265" s="225"/>
      <c r="D265" s="225"/>
      <c r="E265" s="225"/>
      <c r="F265" s="225"/>
      <c r="G265" s="225"/>
      <c r="H265" s="225"/>
      <c r="I265" s="225"/>
      <c r="J265" s="216"/>
      <c r="K265" s="216"/>
      <c r="L265" s="216"/>
      <c r="M265" s="216"/>
      <c r="N265" s="225"/>
      <c r="O265" s="216"/>
      <c r="P265" s="216"/>
      <c r="Q265" s="216"/>
      <c r="R265" s="216"/>
      <c r="S265" s="225"/>
      <c r="T265" s="216"/>
      <c r="U265" s="216"/>
      <c r="V265" s="216"/>
      <c r="W265" s="216"/>
      <c r="X265" s="225"/>
      <c r="Y265" s="216"/>
      <c r="Z265" s="216"/>
      <c r="AA265" s="216"/>
      <c r="AB265" s="216"/>
      <c r="AC265" s="225"/>
      <c r="AD265" s="216"/>
      <c r="AE265" s="216"/>
      <c r="AF265" s="216"/>
      <c r="AG265" s="216"/>
      <c r="AH265" s="225"/>
      <c r="AI265" s="216"/>
      <c r="AJ265" s="216"/>
      <c r="AK265" s="216"/>
      <c r="AL265" s="216"/>
      <c r="AM265" s="225"/>
      <c r="AN265" s="216"/>
      <c r="AO265" s="216"/>
      <c r="AP265" s="216"/>
      <c r="AQ265" s="216"/>
      <c r="AR265" s="225"/>
      <c r="AS265" s="216"/>
      <c r="AT265" s="216"/>
      <c r="AU265" s="216"/>
      <c r="AV265" s="216"/>
      <c r="AW265" s="413"/>
      <c r="AX265" s="396"/>
      <c r="AY265" s="396"/>
      <c r="AZ265" s="396"/>
      <c r="BA265" s="396"/>
      <c r="BB265" s="413"/>
      <c r="BC265" s="396"/>
      <c r="BD265" s="396"/>
      <c r="BE265" s="396"/>
      <c r="BF265" s="396"/>
      <c r="BG265" s="413"/>
      <c r="BH265" s="396"/>
      <c r="BI265" s="396"/>
      <c r="BJ265" s="396"/>
      <c r="BK265" s="396"/>
      <c r="BL265" s="413"/>
      <c r="BM265" s="396"/>
      <c r="BN265" s="396"/>
      <c r="BO265" s="396"/>
      <c r="BP265" s="396"/>
      <c r="BQ265" s="413"/>
      <c r="BR265" s="396"/>
      <c r="BS265" s="396"/>
      <c r="BT265" s="396"/>
      <c r="BU265" s="396"/>
      <c r="BV265" s="413"/>
      <c r="BW265" s="396"/>
      <c r="BX265" s="430"/>
      <c r="BY265" s="396"/>
      <c r="BZ265" s="396"/>
      <c r="CA265" s="413"/>
      <c r="CB265" s="396"/>
      <c r="CC265" s="396"/>
      <c r="CD265" s="396"/>
      <c r="CE265" s="396"/>
      <c r="CF265" s="413"/>
      <c r="CG265" s="396"/>
      <c r="CH265" s="396"/>
      <c r="CI265" s="396"/>
      <c r="CJ265" s="396"/>
      <c r="CK265" s="413"/>
      <c r="CL265" s="396"/>
      <c r="CM265" s="396"/>
      <c r="CN265" s="396"/>
      <c r="CO265" s="396"/>
      <c r="CP265" s="413"/>
      <c r="CQ265" s="396"/>
      <c r="CR265" s="396"/>
      <c r="CS265" s="396"/>
      <c r="CT265" s="396"/>
      <c r="CU265" s="413"/>
      <c r="CV265" s="396"/>
      <c r="CW265" s="396"/>
      <c r="CX265" s="396"/>
      <c r="CY265" s="396"/>
      <c r="CZ265" s="413"/>
      <c r="DA265" s="396"/>
      <c r="DB265" s="396"/>
      <c r="DC265" s="396"/>
      <c r="DD265" s="396"/>
      <c r="DE265" s="413"/>
      <c r="DF265" s="396"/>
      <c r="DG265" s="396"/>
      <c r="DH265" s="396"/>
      <c r="DI265" s="396"/>
      <c r="DJ265" s="413"/>
      <c r="DK265" s="396"/>
      <c r="DL265" s="396"/>
      <c r="DM265" s="396"/>
      <c r="DN265" s="396"/>
      <c r="DO265" s="413"/>
      <c r="DP265" s="396"/>
      <c r="DQ265" s="396"/>
      <c r="DR265" s="396"/>
      <c r="DS265" s="396"/>
      <c r="DT265" s="413"/>
      <c r="DU265" s="413"/>
      <c r="DV265" s="413"/>
    </row>
    <row r="266" spans="1:126" s="312" customFormat="1" ht="12">
      <c r="A266" s="216"/>
      <c r="B266" s="414" t="s">
        <v>311</v>
      </c>
      <c r="C266" s="225"/>
      <c r="D266" s="225"/>
      <c r="E266" s="225"/>
      <c r="F266" s="225"/>
      <c r="G266" s="225"/>
      <c r="H266" s="225"/>
      <c r="I266" s="225"/>
      <c r="J266" s="216"/>
      <c r="K266" s="216"/>
      <c r="L266" s="216"/>
      <c r="M266" s="216"/>
      <c r="N266" s="225"/>
      <c r="O266" s="216"/>
      <c r="P266" s="216"/>
      <c r="Q266" s="216"/>
      <c r="R266" s="216"/>
      <c r="S266" s="225"/>
      <c r="T266" s="216"/>
      <c r="U266" s="216"/>
      <c r="V266" s="216"/>
      <c r="W266" s="216"/>
      <c r="X266" s="225"/>
      <c r="Y266" s="216"/>
      <c r="Z266" s="216"/>
      <c r="AA266" s="216"/>
      <c r="AB266" s="216"/>
      <c r="AC266" s="225"/>
      <c r="AD266" s="216"/>
      <c r="AE266" s="216"/>
      <c r="AF266" s="216"/>
      <c r="AG266" s="216"/>
      <c r="AH266" s="225"/>
      <c r="AI266" s="216"/>
      <c r="AJ266" s="216"/>
      <c r="AK266" s="216"/>
      <c r="AL266" s="216"/>
      <c r="AM266" s="225"/>
      <c r="AN266" s="216"/>
      <c r="AO266" s="216"/>
      <c r="AP266" s="216"/>
      <c r="AQ266" s="216"/>
      <c r="AR266" s="225"/>
      <c r="AS266" s="216"/>
      <c r="AT266" s="216"/>
      <c r="AU266" s="216"/>
      <c r="AV266" s="216"/>
      <c r="AW266" s="413"/>
      <c r="AX266" s="396"/>
      <c r="AY266" s="396"/>
      <c r="AZ266" s="396"/>
      <c r="BA266" s="396"/>
      <c r="BB266" s="413"/>
      <c r="BC266" s="396"/>
      <c r="BD266" s="396"/>
      <c r="BE266" s="396"/>
      <c r="BF266" s="396"/>
      <c r="BG266" s="413"/>
      <c r="BH266" s="396"/>
      <c r="BI266" s="396"/>
      <c r="BJ266" s="396"/>
      <c r="BK266" s="396"/>
      <c r="BL266" s="413"/>
      <c r="BM266" s="396"/>
      <c r="BN266" s="396"/>
      <c r="BO266" s="396"/>
      <c r="BP266" s="396"/>
      <c r="BQ266" s="413"/>
      <c r="BR266" s="396"/>
      <c r="BS266" s="396"/>
      <c r="BT266" s="396"/>
      <c r="BU266" s="396"/>
      <c r="BV266" s="413"/>
      <c r="BW266" s="396"/>
      <c r="BX266" s="430"/>
      <c r="BY266" s="396"/>
      <c r="BZ266" s="396"/>
      <c r="CA266" s="413"/>
      <c r="CB266" s="396"/>
      <c r="CC266" s="396"/>
      <c r="CD266" s="396"/>
      <c r="CE266" s="396"/>
      <c r="CF266" s="413"/>
      <c r="CG266" s="396"/>
      <c r="CH266" s="396"/>
      <c r="CI266" s="396"/>
      <c r="CJ266" s="396"/>
      <c r="CK266" s="413"/>
      <c r="CL266" s="396"/>
      <c r="CM266" s="396"/>
      <c r="CN266" s="396"/>
      <c r="CO266" s="396"/>
      <c r="CP266" s="413"/>
      <c r="CQ266" s="396"/>
      <c r="CR266" s="396"/>
      <c r="CS266" s="396"/>
      <c r="CT266" s="396"/>
      <c r="CU266" s="413"/>
      <c r="CV266" s="396"/>
      <c r="CW266" s="396"/>
      <c r="CX266" s="396"/>
      <c r="CY266" s="396"/>
      <c r="CZ266" s="413"/>
      <c r="DA266" s="396"/>
      <c r="DB266" s="396"/>
      <c r="DC266" s="396"/>
      <c r="DD266" s="396"/>
      <c r="DE266" s="413"/>
      <c r="DF266" s="396"/>
      <c r="DG266" s="396"/>
      <c r="DH266" s="396"/>
      <c r="DI266" s="396"/>
      <c r="DJ266" s="413"/>
      <c r="DK266" s="396"/>
      <c r="DL266" s="396"/>
      <c r="DM266" s="396"/>
      <c r="DN266" s="396"/>
      <c r="DO266" s="413"/>
      <c r="DP266" s="396"/>
      <c r="DQ266" s="396"/>
      <c r="DR266" s="396"/>
      <c r="DS266" s="396"/>
      <c r="DT266" s="413"/>
      <c r="DU266" s="413"/>
      <c r="DV266" s="413"/>
    </row>
    <row r="267" spans="1:126" s="312" customFormat="1" ht="12">
      <c r="A267" s="216"/>
      <c r="B267" s="414" t="s">
        <v>312</v>
      </c>
      <c r="C267" s="225"/>
      <c r="D267" s="225"/>
      <c r="E267" s="225"/>
      <c r="F267" s="225"/>
      <c r="G267" s="225"/>
      <c r="H267" s="225"/>
      <c r="I267" s="225"/>
      <c r="J267" s="216"/>
      <c r="K267" s="216"/>
      <c r="L267" s="216"/>
      <c r="M267" s="216"/>
      <c r="N267" s="225"/>
      <c r="O267" s="216"/>
      <c r="P267" s="216"/>
      <c r="Q267" s="216"/>
      <c r="R267" s="216"/>
      <c r="S267" s="225"/>
      <c r="T267" s="216"/>
      <c r="U267" s="216"/>
      <c r="V267" s="216"/>
      <c r="W267" s="216"/>
      <c r="X267" s="225"/>
      <c r="Y267" s="216"/>
      <c r="Z267" s="216"/>
      <c r="AA267" s="216"/>
      <c r="AB267" s="216"/>
      <c r="AC267" s="225"/>
      <c r="AD267" s="216"/>
      <c r="AE267" s="216"/>
      <c r="AF267" s="216"/>
      <c r="AG267" s="216"/>
      <c r="AH267" s="225"/>
      <c r="AI267" s="216"/>
      <c r="AJ267" s="216"/>
      <c r="AK267" s="216"/>
      <c r="AL267" s="216"/>
      <c r="AM267" s="225"/>
      <c r="AN267" s="216"/>
      <c r="AO267" s="216"/>
      <c r="AP267" s="216"/>
      <c r="AQ267" s="216"/>
      <c r="AR267" s="225"/>
      <c r="AS267" s="216"/>
      <c r="AT267" s="216"/>
      <c r="AU267" s="216"/>
      <c r="AV267" s="216"/>
      <c r="AW267" s="413"/>
      <c r="AX267" s="396"/>
      <c r="AY267" s="396"/>
      <c r="AZ267" s="396"/>
      <c r="BA267" s="396"/>
      <c r="BB267" s="413"/>
      <c r="BC267" s="396"/>
      <c r="BD267" s="396"/>
      <c r="BE267" s="396"/>
      <c r="BF267" s="396"/>
      <c r="BG267" s="413"/>
      <c r="BH267" s="396"/>
      <c r="BI267" s="396"/>
      <c r="BJ267" s="396"/>
      <c r="BK267" s="396"/>
      <c r="BL267" s="413"/>
      <c r="BM267" s="396"/>
      <c r="BN267" s="396"/>
      <c r="BO267" s="396"/>
      <c r="BP267" s="396"/>
      <c r="BQ267" s="413"/>
      <c r="BR267" s="396"/>
      <c r="BS267" s="396"/>
      <c r="BT267" s="396"/>
      <c r="BU267" s="396"/>
      <c r="BV267" s="413"/>
      <c r="BW267" s="396"/>
      <c r="BX267" s="430"/>
      <c r="BY267" s="396"/>
      <c r="BZ267" s="396"/>
      <c r="CA267" s="413"/>
      <c r="CB267" s="396"/>
      <c r="CC267" s="396"/>
      <c r="CD267" s="396"/>
      <c r="CE267" s="396"/>
      <c r="CF267" s="413"/>
      <c r="CG267" s="396"/>
      <c r="CH267" s="396"/>
      <c r="CI267" s="396"/>
      <c r="CJ267" s="396"/>
      <c r="CK267" s="413"/>
      <c r="CL267" s="396"/>
      <c r="CM267" s="396"/>
      <c r="CN267" s="396"/>
      <c r="CO267" s="396"/>
      <c r="CP267" s="413"/>
      <c r="CQ267" s="396"/>
      <c r="CR267" s="396"/>
      <c r="CS267" s="396"/>
      <c r="CT267" s="396"/>
      <c r="CU267" s="413"/>
      <c r="CV267" s="396"/>
      <c r="CW267" s="396"/>
      <c r="CX267" s="396"/>
      <c r="CY267" s="396"/>
      <c r="CZ267" s="413"/>
      <c r="DA267" s="396"/>
      <c r="DB267" s="396"/>
      <c r="DC267" s="396"/>
      <c r="DD267" s="396"/>
      <c r="DE267" s="413"/>
      <c r="DF267" s="396"/>
      <c r="DG267" s="396"/>
      <c r="DH267" s="396"/>
      <c r="DI267" s="396"/>
      <c r="DJ267" s="413"/>
      <c r="DK267" s="396"/>
      <c r="DL267" s="396"/>
      <c r="DM267" s="396"/>
      <c r="DN267" s="396"/>
      <c r="DO267" s="413"/>
      <c r="DP267" s="396"/>
      <c r="DQ267" s="396"/>
      <c r="DR267" s="396"/>
      <c r="DS267" s="396"/>
      <c r="DT267" s="413"/>
      <c r="DU267" s="413"/>
      <c r="DV267" s="413"/>
    </row>
    <row r="268" spans="1:126" s="312" customFormat="1" ht="12">
      <c r="A268" s="216"/>
      <c r="B268" s="414" t="s">
        <v>313</v>
      </c>
      <c r="C268" s="225"/>
      <c r="D268" s="225"/>
      <c r="E268" s="225"/>
      <c r="F268" s="225"/>
      <c r="G268" s="225"/>
      <c r="H268" s="225"/>
      <c r="I268" s="225"/>
      <c r="J268" s="216"/>
      <c r="K268" s="216"/>
      <c r="L268" s="216"/>
      <c r="M268" s="216"/>
      <c r="N268" s="225"/>
      <c r="O268" s="216"/>
      <c r="P268" s="216"/>
      <c r="Q268" s="216"/>
      <c r="R268" s="216"/>
      <c r="S268" s="225"/>
      <c r="T268" s="216"/>
      <c r="U268" s="216"/>
      <c r="V268" s="216"/>
      <c r="W268" s="216"/>
      <c r="X268" s="225"/>
      <c r="Y268" s="216"/>
      <c r="Z268" s="216"/>
      <c r="AA268" s="216"/>
      <c r="AB268" s="216"/>
      <c r="AC268" s="225"/>
      <c r="AD268" s="216"/>
      <c r="AE268" s="216"/>
      <c r="AF268" s="216"/>
      <c r="AG268" s="216"/>
      <c r="AH268" s="225"/>
      <c r="AI268" s="216"/>
      <c r="AJ268" s="216"/>
      <c r="AK268" s="216"/>
      <c r="AL268" s="216"/>
      <c r="AM268" s="225"/>
      <c r="AN268" s="216"/>
      <c r="AO268" s="216"/>
      <c r="AP268" s="216"/>
      <c r="AQ268" s="216"/>
      <c r="AR268" s="225"/>
      <c r="AS268" s="216"/>
      <c r="AT268" s="216"/>
      <c r="AU268" s="216"/>
      <c r="AV268" s="216"/>
      <c r="AW268" s="413"/>
      <c r="AX268" s="396"/>
      <c r="AY268" s="396"/>
      <c r="AZ268" s="396"/>
      <c r="BA268" s="396"/>
      <c r="BB268" s="413"/>
      <c r="BC268" s="396"/>
      <c r="BD268" s="396"/>
      <c r="BE268" s="396"/>
      <c r="BF268" s="396"/>
      <c r="BG268" s="413"/>
      <c r="BH268" s="396"/>
      <c r="BI268" s="396"/>
      <c r="BJ268" s="396"/>
      <c r="BK268" s="396"/>
      <c r="BL268" s="413"/>
      <c r="BM268" s="396"/>
      <c r="BN268" s="396"/>
      <c r="BO268" s="396"/>
      <c r="BP268" s="396"/>
      <c r="BQ268" s="413"/>
      <c r="BR268" s="396"/>
      <c r="BS268" s="396"/>
      <c r="BT268" s="396"/>
      <c r="BU268" s="396"/>
      <c r="BV268" s="413"/>
      <c r="BW268" s="396"/>
      <c r="BX268" s="430"/>
      <c r="BY268" s="396"/>
      <c r="BZ268" s="396"/>
      <c r="CA268" s="413"/>
      <c r="CB268" s="396"/>
      <c r="CC268" s="396"/>
      <c r="CD268" s="396"/>
      <c r="CE268" s="396"/>
      <c r="CF268" s="413"/>
      <c r="CG268" s="396"/>
      <c r="CH268" s="396"/>
      <c r="CI268" s="396"/>
      <c r="CJ268" s="396"/>
      <c r="CK268" s="413"/>
      <c r="CL268" s="396"/>
      <c r="CM268" s="396"/>
      <c r="CN268" s="396"/>
      <c r="CO268" s="396"/>
      <c r="CP268" s="413"/>
      <c r="CQ268" s="396"/>
      <c r="CR268" s="396"/>
      <c r="CS268" s="396"/>
      <c r="CT268" s="396"/>
      <c r="CU268" s="413"/>
      <c r="CV268" s="396"/>
      <c r="CW268" s="396"/>
      <c r="CX268" s="396"/>
      <c r="CY268" s="396"/>
      <c r="CZ268" s="413"/>
      <c r="DA268" s="396"/>
      <c r="DB268" s="396"/>
      <c r="DC268" s="396"/>
      <c r="DD268" s="396"/>
      <c r="DE268" s="413"/>
      <c r="DF268" s="396"/>
      <c r="DG268" s="396"/>
      <c r="DH268" s="396"/>
      <c r="DI268" s="396"/>
      <c r="DJ268" s="413"/>
      <c r="DK268" s="396"/>
      <c r="DL268" s="396"/>
      <c r="DM268" s="396"/>
      <c r="DN268" s="396"/>
      <c r="DO268" s="413"/>
      <c r="DP268" s="396"/>
      <c r="DQ268" s="396"/>
      <c r="DR268" s="396"/>
      <c r="DS268" s="396"/>
      <c r="DT268" s="413"/>
      <c r="DU268" s="413"/>
      <c r="DV268" s="413"/>
    </row>
    <row r="269" spans="1:126" s="312" customFormat="1" ht="12">
      <c r="A269" s="216"/>
      <c r="B269" s="414" t="s">
        <v>314</v>
      </c>
      <c r="C269" s="225"/>
      <c r="D269" s="225"/>
      <c r="E269" s="225"/>
      <c r="F269" s="225"/>
      <c r="G269" s="225"/>
      <c r="H269" s="225"/>
      <c r="I269" s="225"/>
      <c r="J269" s="216"/>
      <c r="K269" s="216"/>
      <c r="L269" s="216"/>
      <c r="M269" s="216"/>
      <c r="N269" s="225"/>
      <c r="O269" s="216"/>
      <c r="P269" s="216"/>
      <c r="Q269" s="216"/>
      <c r="R269" s="216"/>
      <c r="S269" s="225"/>
      <c r="T269" s="216"/>
      <c r="U269" s="216"/>
      <c r="V269" s="216"/>
      <c r="W269" s="216"/>
      <c r="X269" s="225"/>
      <c r="Y269" s="216"/>
      <c r="Z269" s="216"/>
      <c r="AA269" s="216"/>
      <c r="AB269" s="216"/>
      <c r="AC269" s="225"/>
      <c r="AD269" s="216"/>
      <c r="AE269" s="216"/>
      <c r="AF269" s="216"/>
      <c r="AG269" s="216"/>
      <c r="AH269" s="225"/>
      <c r="AI269" s="216"/>
      <c r="AJ269" s="216"/>
      <c r="AK269" s="216"/>
      <c r="AL269" s="216"/>
      <c r="AM269" s="225"/>
      <c r="AN269" s="216"/>
      <c r="AO269" s="216"/>
      <c r="AP269" s="216"/>
      <c r="AQ269" s="216"/>
      <c r="AR269" s="225"/>
      <c r="AS269" s="216"/>
      <c r="AT269" s="216"/>
      <c r="AU269" s="216"/>
      <c r="AV269" s="216"/>
      <c r="AW269" s="413"/>
      <c r="AX269" s="396"/>
      <c r="AY269" s="396"/>
      <c r="AZ269" s="396"/>
      <c r="BA269" s="396"/>
      <c r="BB269" s="413"/>
      <c r="BC269" s="396"/>
      <c r="BD269" s="396"/>
      <c r="BE269" s="396"/>
      <c r="BF269" s="396"/>
      <c r="BG269" s="413"/>
      <c r="BH269" s="396"/>
      <c r="BI269" s="396"/>
      <c r="BJ269" s="396"/>
      <c r="BK269" s="396"/>
      <c r="BL269" s="413"/>
      <c r="BM269" s="396"/>
      <c r="BN269" s="396"/>
      <c r="BO269" s="396"/>
      <c r="BP269" s="396"/>
      <c r="BQ269" s="413"/>
      <c r="BR269" s="396"/>
      <c r="BS269" s="396"/>
      <c r="BT269" s="396"/>
      <c r="BU269" s="396"/>
      <c r="BV269" s="413"/>
      <c r="BW269" s="396"/>
      <c r="BX269" s="430"/>
      <c r="BY269" s="396"/>
      <c r="BZ269" s="396"/>
      <c r="CA269" s="413"/>
      <c r="CB269" s="396"/>
      <c r="CC269" s="396"/>
      <c r="CD269" s="396"/>
      <c r="CE269" s="396"/>
      <c r="CF269" s="413"/>
      <c r="CG269" s="396"/>
      <c r="CH269" s="396"/>
      <c r="CI269" s="396"/>
      <c r="CJ269" s="396"/>
      <c r="CK269" s="413"/>
      <c r="CL269" s="396"/>
      <c r="CM269" s="396"/>
      <c r="CN269" s="396"/>
      <c r="CO269" s="396"/>
      <c r="CP269" s="413"/>
      <c r="CQ269" s="396"/>
      <c r="CR269" s="396"/>
      <c r="CS269" s="396"/>
      <c r="CT269" s="396"/>
      <c r="CU269" s="413"/>
      <c r="CV269" s="396"/>
      <c r="CW269" s="396"/>
      <c r="CX269" s="396"/>
      <c r="CY269" s="396"/>
      <c r="CZ269" s="413"/>
      <c r="DA269" s="396"/>
      <c r="DB269" s="396"/>
      <c r="DC269" s="396"/>
      <c r="DD269" s="396"/>
      <c r="DE269" s="413"/>
      <c r="DF269" s="396"/>
      <c r="DG269" s="396"/>
      <c r="DH269" s="396"/>
      <c r="DI269" s="396"/>
      <c r="DJ269" s="413"/>
      <c r="DK269" s="396"/>
      <c r="DL269" s="396"/>
      <c r="DM269" s="396"/>
      <c r="DN269" s="396"/>
      <c r="DO269" s="413"/>
      <c r="DP269" s="396"/>
      <c r="DQ269" s="396"/>
      <c r="DR269" s="396"/>
      <c r="DS269" s="396"/>
      <c r="DT269" s="413"/>
      <c r="DU269" s="413"/>
      <c r="DV269" s="413"/>
    </row>
    <row r="270" spans="1:126" s="312" customFormat="1" ht="12">
      <c r="A270" s="216"/>
      <c r="B270" s="414" t="s">
        <v>315</v>
      </c>
      <c r="C270" s="225"/>
      <c r="D270" s="225"/>
      <c r="E270" s="225"/>
      <c r="F270" s="225"/>
      <c r="G270" s="225"/>
      <c r="H270" s="225"/>
      <c r="I270" s="225"/>
      <c r="J270" s="216"/>
      <c r="K270" s="216"/>
      <c r="L270" s="216"/>
      <c r="M270" s="216"/>
      <c r="N270" s="225"/>
      <c r="O270" s="216"/>
      <c r="P270" s="216"/>
      <c r="Q270" s="216"/>
      <c r="R270" s="216"/>
      <c r="S270" s="225"/>
      <c r="T270" s="216"/>
      <c r="U270" s="216"/>
      <c r="V270" s="216"/>
      <c r="W270" s="216"/>
      <c r="X270" s="225"/>
      <c r="Y270" s="216"/>
      <c r="Z270" s="216"/>
      <c r="AA270" s="216"/>
      <c r="AB270" s="216"/>
      <c r="AC270" s="225"/>
      <c r="AD270" s="216"/>
      <c r="AE270" s="216"/>
      <c r="AF270" s="216"/>
      <c r="AG270" s="216"/>
      <c r="AH270" s="225"/>
      <c r="AI270" s="216"/>
      <c r="AJ270" s="216"/>
      <c r="AK270" s="216"/>
      <c r="AL270" s="216"/>
      <c r="AM270" s="225"/>
      <c r="AN270" s="216"/>
      <c r="AO270" s="216"/>
      <c r="AP270" s="216"/>
      <c r="AQ270" s="216"/>
      <c r="AR270" s="225"/>
      <c r="AS270" s="216"/>
      <c r="AT270" s="216"/>
      <c r="AU270" s="216"/>
      <c r="AV270" s="216"/>
      <c r="AW270" s="413"/>
      <c r="AX270" s="396"/>
      <c r="AY270" s="396"/>
      <c r="AZ270" s="396"/>
      <c r="BA270" s="396"/>
      <c r="BB270" s="413"/>
      <c r="BC270" s="396"/>
      <c r="BD270" s="396"/>
      <c r="BE270" s="396"/>
      <c r="BF270" s="396"/>
      <c r="BG270" s="413"/>
      <c r="BH270" s="396"/>
      <c r="BI270" s="396"/>
      <c r="BJ270" s="396"/>
      <c r="BK270" s="396"/>
      <c r="BL270" s="413"/>
      <c r="BM270" s="396"/>
      <c r="BN270" s="396"/>
      <c r="BO270" s="396"/>
      <c r="BP270" s="396"/>
      <c r="BQ270" s="413"/>
      <c r="BR270" s="396"/>
      <c r="BS270" s="396"/>
      <c r="BT270" s="396"/>
      <c r="BU270" s="396"/>
      <c r="BV270" s="413"/>
      <c r="BW270" s="396"/>
      <c r="BX270" s="430"/>
      <c r="BY270" s="396"/>
      <c r="BZ270" s="396"/>
      <c r="CA270" s="413"/>
      <c r="CB270" s="396"/>
      <c r="CC270" s="396"/>
      <c r="CD270" s="396"/>
      <c r="CE270" s="396"/>
      <c r="CF270" s="413"/>
      <c r="CG270" s="396"/>
      <c r="CH270" s="396"/>
      <c r="CI270" s="396"/>
      <c r="CJ270" s="396"/>
      <c r="CK270" s="413"/>
      <c r="CL270" s="396"/>
      <c r="CM270" s="396"/>
      <c r="CN270" s="396"/>
      <c r="CO270" s="396"/>
      <c r="CP270" s="413"/>
      <c r="CQ270" s="396"/>
      <c r="CR270" s="396"/>
      <c r="CS270" s="396"/>
      <c r="CT270" s="396"/>
      <c r="CU270" s="413"/>
      <c r="CV270" s="396"/>
      <c r="CW270" s="396"/>
      <c r="CX270" s="396"/>
      <c r="CY270" s="396"/>
      <c r="CZ270" s="413"/>
      <c r="DA270" s="396"/>
      <c r="DB270" s="396"/>
      <c r="DC270" s="396"/>
      <c r="DD270" s="396"/>
      <c r="DE270" s="413"/>
      <c r="DF270" s="396"/>
      <c r="DG270" s="396"/>
      <c r="DH270" s="396"/>
      <c r="DI270" s="396"/>
      <c r="DJ270" s="413"/>
      <c r="DK270" s="396"/>
      <c r="DL270" s="396"/>
      <c r="DM270" s="396"/>
      <c r="DN270" s="396"/>
      <c r="DO270" s="413"/>
      <c r="DP270" s="396"/>
      <c r="DQ270" s="396"/>
      <c r="DR270" s="396"/>
      <c r="DS270" s="396"/>
      <c r="DT270" s="413"/>
      <c r="DU270" s="413"/>
      <c r="DV270" s="413"/>
    </row>
    <row r="271" spans="1:126" s="312" customFormat="1" ht="12">
      <c r="A271" s="216"/>
      <c r="B271" s="414" t="s">
        <v>316</v>
      </c>
      <c r="C271" s="225"/>
      <c r="D271" s="225"/>
      <c r="E271" s="225"/>
      <c r="F271" s="225"/>
      <c r="G271" s="225"/>
      <c r="H271" s="225"/>
      <c r="I271" s="225"/>
      <c r="J271" s="216"/>
      <c r="K271" s="216"/>
      <c r="L271" s="216"/>
      <c r="M271" s="216"/>
      <c r="N271" s="225"/>
      <c r="O271" s="216"/>
      <c r="P271" s="216"/>
      <c r="Q271" s="216"/>
      <c r="R271" s="216"/>
      <c r="S271" s="225"/>
      <c r="T271" s="216"/>
      <c r="U271" s="216"/>
      <c r="V271" s="216"/>
      <c r="W271" s="216"/>
      <c r="X271" s="225"/>
      <c r="Y271" s="216"/>
      <c r="Z271" s="216"/>
      <c r="AA271" s="216"/>
      <c r="AB271" s="216"/>
      <c r="AC271" s="225"/>
      <c r="AD271" s="216"/>
      <c r="AE271" s="216"/>
      <c r="AF271" s="216"/>
      <c r="AG271" s="216"/>
      <c r="AH271" s="225"/>
      <c r="AI271" s="216"/>
      <c r="AJ271" s="216"/>
      <c r="AK271" s="216"/>
      <c r="AL271" s="216"/>
      <c r="AM271" s="225"/>
      <c r="AN271" s="216"/>
      <c r="AO271" s="216"/>
      <c r="AP271" s="216"/>
      <c r="AQ271" s="216"/>
      <c r="AR271" s="225"/>
      <c r="AS271" s="216"/>
      <c r="AT271" s="216"/>
      <c r="AU271" s="216"/>
      <c r="AV271" s="216"/>
      <c r="AW271" s="413"/>
      <c r="AX271" s="396"/>
      <c r="AY271" s="396"/>
      <c r="AZ271" s="396"/>
      <c r="BA271" s="396"/>
      <c r="BB271" s="413"/>
      <c r="BC271" s="396"/>
      <c r="BD271" s="396"/>
      <c r="BE271" s="396"/>
      <c r="BF271" s="396"/>
      <c r="BG271" s="413"/>
      <c r="BH271" s="396"/>
      <c r="BI271" s="396"/>
      <c r="BJ271" s="396"/>
      <c r="BK271" s="396"/>
      <c r="BL271" s="413"/>
      <c r="BM271" s="396"/>
      <c r="BN271" s="396"/>
      <c r="BO271" s="396"/>
      <c r="BP271" s="396"/>
      <c r="BQ271" s="413"/>
      <c r="BR271" s="396"/>
      <c r="BS271" s="396"/>
      <c r="BT271" s="396"/>
      <c r="BU271" s="396"/>
      <c r="BV271" s="413"/>
      <c r="BW271" s="396"/>
      <c r="BX271" s="430"/>
      <c r="BY271" s="396"/>
      <c r="BZ271" s="396"/>
      <c r="CA271" s="413"/>
      <c r="CB271" s="396"/>
      <c r="CC271" s="396"/>
      <c r="CD271" s="396"/>
      <c r="CE271" s="396"/>
      <c r="CF271" s="413"/>
      <c r="CG271" s="396"/>
      <c r="CH271" s="396"/>
      <c r="CI271" s="396"/>
      <c r="CJ271" s="396"/>
      <c r="CK271" s="413"/>
      <c r="CL271" s="396"/>
      <c r="CM271" s="396"/>
      <c r="CN271" s="396"/>
      <c r="CO271" s="396"/>
      <c r="CP271" s="413"/>
      <c r="CQ271" s="396"/>
      <c r="CR271" s="396"/>
      <c r="CS271" s="396"/>
      <c r="CT271" s="396"/>
      <c r="CU271" s="413"/>
      <c r="CV271" s="396"/>
      <c r="CW271" s="396"/>
      <c r="CX271" s="396"/>
      <c r="CY271" s="396"/>
      <c r="CZ271" s="413"/>
      <c r="DA271" s="396"/>
      <c r="DB271" s="396"/>
      <c r="DC271" s="396"/>
      <c r="DD271" s="396"/>
      <c r="DE271" s="413"/>
      <c r="DF271" s="396"/>
      <c r="DG271" s="396"/>
      <c r="DH271" s="396"/>
      <c r="DI271" s="396"/>
      <c r="DJ271" s="413"/>
      <c r="DK271" s="396"/>
      <c r="DL271" s="396"/>
      <c r="DM271" s="396"/>
      <c r="DN271" s="396"/>
      <c r="DO271" s="413"/>
      <c r="DP271" s="396"/>
      <c r="DQ271" s="396"/>
      <c r="DR271" s="396"/>
      <c r="DS271" s="396"/>
      <c r="DT271" s="413"/>
      <c r="DU271" s="413"/>
      <c r="DV271" s="413"/>
    </row>
    <row r="272" spans="1:126" s="312" customFormat="1" ht="12">
      <c r="A272" s="216"/>
      <c r="B272" s="414" t="s">
        <v>317</v>
      </c>
      <c r="C272" s="225"/>
      <c r="D272" s="225"/>
      <c r="E272" s="225"/>
      <c r="F272" s="225"/>
      <c r="G272" s="225"/>
      <c r="H272" s="225"/>
      <c r="I272" s="225"/>
      <c r="J272" s="216"/>
      <c r="K272" s="216"/>
      <c r="L272" s="216"/>
      <c r="M272" s="216"/>
      <c r="N272" s="225"/>
      <c r="O272" s="216"/>
      <c r="P272" s="216"/>
      <c r="Q272" s="216"/>
      <c r="R272" s="216"/>
      <c r="S272" s="225"/>
      <c r="T272" s="216"/>
      <c r="U272" s="216"/>
      <c r="V272" s="216"/>
      <c r="W272" s="216"/>
      <c r="X272" s="225"/>
      <c r="Y272" s="216"/>
      <c r="Z272" s="216"/>
      <c r="AA272" s="216"/>
      <c r="AB272" s="216"/>
      <c r="AC272" s="225"/>
      <c r="AD272" s="216"/>
      <c r="AE272" s="216"/>
      <c r="AF272" s="216"/>
      <c r="AG272" s="216"/>
      <c r="AH272" s="225"/>
      <c r="AI272" s="216"/>
      <c r="AJ272" s="216"/>
      <c r="AK272" s="216"/>
      <c r="AL272" s="216"/>
      <c r="AM272" s="225"/>
      <c r="AN272" s="216"/>
      <c r="AO272" s="216"/>
      <c r="AP272" s="216"/>
      <c r="AQ272" s="216"/>
      <c r="AR272" s="225"/>
      <c r="AS272" s="216"/>
      <c r="AT272" s="216"/>
      <c r="AU272" s="216"/>
      <c r="AV272" s="216"/>
      <c r="AW272" s="413"/>
      <c r="AX272" s="396"/>
      <c r="AY272" s="396"/>
      <c r="AZ272" s="396"/>
      <c r="BA272" s="396"/>
      <c r="BB272" s="413"/>
      <c r="BC272" s="396"/>
      <c r="BD272" s="396"/>
      <c r="BE272" s="396"/>
      <c r="BF272" s="396"/>
      <c r="BG272" s="413"/>
      <c r="BH272" s="396"/>
      <c r="BI272" s="396"/>
      <c r="BJ272" s="396"/>
      <c r="BK272" s="396"/>
      <c r="BL272" s="413"/>
      <c r="BM272" s="396"/>
      <c r="BN272" s="396"/>
      <c r="BO272" s="396"/>
      <c r="BP272" s="396"/>
      <c r="BQ272" s="413"/>
      <c r="BR272" s="396"/>
      <c r="BS272" s="396"/>
      <c r="BT272" s="396"/>
      <c r="BU272" s="396"/>
      <c r="BV272" s="413"/>
      <c r="BW272" s="396"/>
      <c r="BX272" s="430"/>
      <c r="BY272" s="396"/>
      <c r="BZ272" s="396"/>
      <c r="CA272" s="413"/>
      <c r="CB272" s="396"/>
      <c r="CC272" s="396"/>
      <c r="CD272" s="396"/>
      <c r="CE272" s="396"/>
      <c r="CF272" s="413"/>
      <c r="CG272" s="396"/>
      <c r="CH272" s="396"/>
      <c r="CI272" s="396"/>
      <c r="CJ272" s="396"/>
      <c r="CK272" s="413"/>
      <c r="CL272" s="396"/>
      <c r="CM272" s="396"/>
      <c r="CN272" s="396"/>
      <c r="CO272" s="396"/>
      <c r="CP272" s="413"/>
      <c r="CQ272" s="396"/>
      <c r="CR272" s="396"/>
      <c r="CS272" s="396"/>
      <c r="CT272" s="396"/>
      <c r="CU272" s="413"/>
      <c r="CV272" s="396"/>
      <c r="CW272" s="396"/>
      <c r="CX272" s="396"/>
      <c r="CY272" s="396"/>
      <c r="CZ272" s="413"/>
      <c r="DA272" s="396"/>
      <c r="DB272" s="396"/>
      <c r="DC272" s="396"/>
      <c r="DD272" s="396"/>
      <c r="DE272" s="413"/>
      <c r="DF272" s="396"/>
      <c r="DG272" s="396"/>
      <c r="DH272" s="396"/>
      <c r="DI272" s="396"/>
      <c r="DJ272" s="413"/>
      <c r="DK272" s="396"/>
      <c r="DL272" s="396"/>
      <c r="DM272" s="396"/>
      <c r="DN272" s="396"/>
      <c r="DO272" s="413"/>
      <c r="DP272" s="396"/>
      <c r="DQ272" s="396"/>
      <c r="DR272" s="396"/>
      <c r="DS272" s="396"/>
      <c r="DT272" s="413"/>
      <c r="DU272" s="413"/>
      <c r="DV272" s="413"/>
    </row>
    <row r="273" spans="1:126" s="312" customFormat="1" ht="12">
      <c r="A273" s="216"/>
      <c r="B273" s="414" t="s">
        <v>318</v>
      </c>
      <c r="C273" s="225"/>
      <c r="D273" s="225"/>
      <c r="E273" s="225"/>
      <c r="F273" s="225"/>
      <c r="G273" s="225"/>
      <c r="H273" s="225"/>
      <c r="I273" s="225"/>
      <c r="J273" s="216"/>
      <c r="K273" s="216"/>
      <c r="L273" s="216"/>
      <c r="M273" s="216"/>
      <c r="N273" s="225"/>
      <c r="O273" s="216"/>
      <c r="P273" s="216"/>
      <c r="Q273" s="216"/>
      <c r="R273" s="216"/>
      <c r="S273" s="225"/>
      <c r="T273" s="216"/>
      <c r="U273" s="216"/>
      <c r="V273" s="216"/>
      <c r="W273" s="216"/>
      <c r="X273" s="225"/>
      <c r="Y273" s="216"/>
      <c r="Z273" s="216"/>
      <c r="AA273" s="216"/>
      <c r="AB273" s="216"/>
      <c r="AC273" s="225"/>
      <c r="AD273" s="216"/>
      <c r="AE273" s="216"/>
      <c r="AF273" s="216"/>
      <c r="AG273" s="216"/>
      <c r="AH273" s="225"/>
      <c r="AI273" s="216"/>
      <c r="AJ273" s="216"/>
      <c r="AK273" s="216"/>
      <c r="AL273" s="216"/>
      <c r="AM273" s="225"/>
      <c r="AN273" s="216"/>
      <c r="AO273" s="216"/>
      <c r="AP273" s="216"/>
      <c r="AQ273" s="216"/>
      <c r="AR273" s="225"/>
      <c r="AS273" s="216"/>
      <c r="AT273" s="216"/>
      <c r="AU273" s="216"/>
      <c r="AV273" s="216"/>
      <c r="AW273" s="413"/>
      <c r="AX273" s="396"/>
      <c r="AY273" s="396"/>
      <c r="AZ273" s="396"/>
      <c r="BA273" s="396"/>
      <c r="BB273" s="413"/>
      <c r="BC273" s="396"/>
      <c r="BD273" s="396"/>
      <c r="BE273" s="396"/>
      <c r="BF273" s="396"/>
      <c r="BG273" s="413"/>
      <c r="BH273" s="396"/>
      <c r="BI273" s="396"/>
      <c r="BJ273" s="396"/>
      <c r="BK273" s="396"/>
      <c r="BL273" s="413"/>
      <c r="BM273" s="396"/>
      <c r="BN273" s="396"/>
      <c r="BO273" s="396"/>
      <c r="BP273" s="396"/>
      <c r="BQ273" s="413"/>
      <c r="BR273" s="396"/>
      <c r="BS273" s="396"/>
      <c r="BT273" s="396"/>
      <c r="BU273" s="396"/>
      <c r="BV273" s="413"/>
      <c r="BW273" s="396"/>
      <c r="BX273" s="430"/>
      <c r="BY273" s="396"/>
      <c r="BZ273" s="396"/>
      <c r="CA273" s="413"/>
      <c r="CB273" s="396"/>
      <c r="CC273" s="396"/>
      <c r="CD273" s="396"/>
      <c r="CE273" s="396"/>
      <c r="CF273" s="413"/>
      <c r="CG273" s="396"/>
      <c r="CH273" s="396"/>
      <c r="CI273" s="396"/>
      <c r="CJ273" s="396"/>
      <c r="CK273" s="413"/>
      <c r="CL273" s="396"/>
      <c r="CM273" s="396"/>
      <c r="CN273" s="396"/>
      <c r="CO273" s="396"/>
      <c r="CP273" s="413"/>
      <c r="CQ273" s="396"/>
      <c r="CR273" s="396"/>
      <c r="CS273" s="396"/>
      <c r="CT273" s="396"/>
      <c r="CU273" s="413"/>
      <c r="CV273" s="396"/>
      <c r="CW273" s="396"/>
      <c r="CX273" s="396"/>
      <c r="CY273" s="396"/>
      <c r="CZ273" s="413"/>
      <c r="DA273" s="396"/>
      <c r="DB273" s="396"/>
      <c r="DC273" s="396"/>
      <c r="DD273" s="396"/>
      <c r="DE273" s="413"/>
      <c r="DF273" s="396"/>
      <c r="DG273" s="396"/>
      <c r="DH273" s="396"/>
      <c r="DI273" s="396"/>
      <c r="DJ273" s="413"/>
      <c r="DK273" s="396"/>
      <c r="DL273" s="396"/>
      <c r="DM273" s="396"/>
      <c r="DN273" s="396"/>
      <c r="DO273" s="413"/>
      <c r="DP273" s="396"/>
      <c r="DQ273" s="396"/>
      <c r="DR273" s="396"/>
      <c r="DS273" s="396"/>
      <c r="DT273" s="413"/>
      <c r="DU273" s="413"/>
      <c r="DV273" s="413"/>
    </row>
    <row r="274" spans="1:126" s="312" customFormat="1" ht="12">
      <c r="A274" s="216"/>
      <c r="B274" s="414" t="s">
        <v>319</v>
      </c>
      <c r="C274" s="225"/>
      <c r="D274" s="225"/>
      <c r="E274" s="225"/>
      <c r="F274" s="225"/>
      <c r="G274" s="225"/>
      <c r="H274" s="225"/>
      <c r="I274" s="225"/>
      <c r="J274" s="216"/>
      <c r="K274" s="216"/>
      <c r="L274" s="216"/>
      <c r="M274" s="216"/>
      <c r="N274" s="225"/>
      <c r="O274" s="216"/>
      <c r="P274" s="216"/>
      <c r="Q274" s="216"/>
      <c r="R274" s="216"/>
      <c r="S274" s="225"/>
      <c r="T274" s="216"/>
      <c r="U274" s="216"/>
      <c r="V274" s="216"/>
      <c r="W274" s="216"/>
      <c r="X274" s="225"/>
      <c r="Y274" s="216"/>
      <c r="Z274" s="216"/>
      <c r="AA274" s="216"/>
      <c r="AB274" s="216"/>
      <c r="AC274" s="225"/>
      <c r="AD274" s="216"/>
      <c r="AE274" s="216"/>
      <c r="AF274" s="216"/>
      <c r="AG274" s="216"/>
      <c r="AH274" s="225"/>
      <c r="AI274" s="216"/>
      <c r="AJ274" s="216"/>
      <c r="AK274" s="216"/>
      <c r="AL274" s="216"/>
      <c r="AM274" s="225"/>
      <c r="AN274" s="216"/>
      <c r="AO274" s="216"/>
      <c r="AP274" s="216"/>
      <c r="AQ274" s="216"/>
      <c r="AR274" s="225"/>
      <c r="AS274" s="216"/>
      <c r="AT274" s="216"/>
      <c r="AU274" s="216"/>
      <c r="AV274" s="216"/>
      <c r="AW274" s="413"/>
      <c r="AX274" s="396"/>
      <c r="AY274" s="396"/>
      <c r="AZ274" s="396"/>
      <c r="BA274" s="396"/>
      <c r="BB274" s="413"/>
      <c r="BC274" s="396"/>
      <c r="BD274" s="396"/>
      <c r="BE274" s="396"/>
      <c r="BF274" s="396"/>
      <c r="BG274" s="413"/>
      <c r="BH274" s="396"/>
      <c r="BI274" s="396"/>
      <c r="BJ274" s="396"/>
      <c r="BK274" s="396"/>
      <c r="BL274" s="413"/>
      <c r="BM274" s="396"/>
      <c r="BN274" s="396"/>
      <c r="BO274" s="396"/>
      <c r="BP274" s="396"/>
      <c r="BQ274" s="413"/>
      <c r="BR274" s="396"/>
      <c r="BS274" s="396"/>
      <c r="BT274" s="396"/>
      <c r="BU274" s="396"/>
      <c r="BV274" s="413"/>
      <c r="BW274" s="396"/>
      <c r="BX274" s="430"/>
      <c r="BY274" s="396"/>
      <c r="BZ274" s="396"/>
      <c r="CA274" s="413"/>
      <c r="CB274" s="396"/>
      <c r="CC274" s="396"/>
      <c r="CD274" s="396"/>
      <c r="CE274" s="396"/>
      <c r="CF274" s="413"/>
      <c r="CG274" s="396"/>
      <c r="CH274" s="396"/>
      <c r="CI274" s="396"/>
      <c r="CJ274" s="396"/>
      <c r="CK274" s="413"/>
      <c r="CL274" s="396"/>
      <c r="CM274" s="396"/>
      <c r="CN274" s="396"/>
      <c r="CO274" s="396"/>
      <c r="CP274" s="413"/>
      <c r="CQ274" s="396"/>
      <c r="CR274" s="396"/>
      <c r="CS274" s="396"/>
      <c r="CT274" s="396"/>
      <c r="CU274" s="413"/>
      <c r="CV274" s="396"/>
      <c r="CW274" s="396"/>
      <c r="CX274" s="396"/>
      <c r="CY274" s="396"/>
      <c r="CZ274" s="413"/>
      <c r="DA274" s="396"/>
      <c r="DB274" s="396"/>
      <c r="DC274" s="396"/>
      <c r="DD274" s="396"/>
      <c r="DE274" s="413"/>
      <c r="DF274" s="396"/>
      <c r="DG274" s="396"/>
      <c r="DH274" s="396"/>
      <c r="DI274" s="396"/>
      <c r="DJ274" s="413"/>
      <c r="DK274" s="396"/>
      <c r="DL274" s="396"/>
      <c r="DM274" s="396"/>
      <c r="DN274" s="396"/>
      <c r="DO274" s="413"/>
      <c r="DP274" s="396"/>
      <c r="DQ274" s="396"/>
      <c r="DR274" s="396"/>
      <c r="DS274" s="396"/>
      <c r="DT274" s="413"/>
      <c r="DU274" s="413"/>
      <c r="DV274" s="413"/>
    </row>
    <row r="275" spans="1:126" s="312" customFormat="1" ht="12">
      <c r="A275" s="216"/>
      <c r="B275" s="414" t="s">
        <v>320</v>
      </c>
      <c r="C275" s="225"/>
      <c r="D275" s="225"/>
      <c r="E275" s="225"/>
      <c r="F275" s="225"/>
      <c r="G275" s="225"/>
      <c r="H275" s="225"/>
      <c r="I275" s="225"/>
      <c r="J275" s="216"/>
      <c r="K275" s="216"/>
      <c r="L275" s="216"/>
      <c r="M275" s="216"/>
      <c r="N275" s="225"/>
      <c r="O275" s="216"/>
      <c r="P275" s="216"/>
      <c r="Q275" s="216"/>
      <c r="R275" s="216"/>
      <c r="S275" s="225"/>
      <c r="T275" s="216"/>
      <c r="U275" s="216"/>
      <c r="V275" s="216"/>
      <c r="W275" s="216"/>
      <c r="X275" s="225"/>
      <c r="Y275" s="216"/>
      <c r="Z275" s="216"/>
      <c r="AA275" s="216"/>
      <c r="AB275" s="216"/>
      <c r="AC275" s="225"/>
      <c r="AD275" s="216"/>
      <c r="AE275" s="216"/>
      <c r="AF275" s="216"/>
      <c r="AG275" s="216"/>
      <c r="AH275" s="225"/>
      <c r="AI275" s="216"/>
      <c r="AJ275" s="216"/>
      <c r="AK275" s="216"/>
      <c r="AL275" s="216"/>
      <c r="AM275" s="225"/>
      <c r="AN275" s="216"/>
      <c r="AO275" s="216"/>
      <c r="AP275" s="216"/>
      <c r="AQ275" s="216"/>
      <c r="AR275" s="225"/>
      <c r="AS275" s="216"/>
      <c r="AT275" s="216"/>
      <c r="AU275" s="216"/>
      <c r="AV275" s="216"/>
      <c r="AW275" s="413"/>
      <c r="AX275" s="396"/>
      <c r="AY275" s="396"/>
      <c r="AZ275" s="396"/>
      <c r="BA275" s="396"/>
      <c r="BB275" s="413"/>
      <c r="BC275" s="396"/>
      <c r="BD275" s="396"/>
      <c r="BE275" s="396"/>
      <c r="BF275" s="396"/>
      <c r="BG275" s="413"/>
      <c r="BH275" s="396"/>
      <c r="BI275" s="396"/>
      <c r="BJ275" s="396"/>
      <c r="BK275" s="396"/>
      <c r="BL275" s="413"/>
      <c r="BM275" s="396"/>
      <c r="BN275" s="396"/>
      <c r="BO275" s="396"/>
      <c r="BP275" s="396"/>
      <c r="BQ275" s="413"/>
      <c r="BR275" s="396"/>
      <c r="BS275" s="396"/>
      <c r="BT275" s="396"/>
      <c r="BU275" s="396"/>
      <c r="BV275" s="413"/>
      <c r="BW275" s="396"/>
      <c r="BX275" s="430"/>
      <c r="BY275" s="396"/>
      <c r="BZ275" s="396"/>
      <c r="CA275" s="413"/>
      <c r="CB275" s="396"/>
      <c r="CC275" s="396"/>
      <c r="CD275" s="396"/>
      <c r="CE275" s="396"/>
      <c r="CF275" s="413"/>
      <c r="CG275" s="396"/>
      <c r="CH275" s="396"/>
      <c r="CI275" s="396"/>
      <c r="CJ275" s="396"/>
      <c r="CK275" s="413"/>
      <c r="CL275" s="396"/>
      <c r="CM275" s="396"/>
      <c r="CN275" s="396"/>
      <c r="CO275" s="396"/>
      <c r="CP275" s="413"/>
      <c r="CQ275" s="396"/>
      <c r="CR275" s="396"/>
      <c r="CS275" s="396"/>
      <c r="CT275" s="396"/>
      <c r="CU275" s="413"/>
      <c r="CV275" s="396"/>
      <c r="CW275" s="396"/>
      <c r="CX275" s="396"/>
      <c r="CY275" s="396"/>
      <c r="CZ275" s="413"/>
      <c r="DA275" s="396"/>
      <c r="DB275" s="396"/>
      <c r="DC275" s="396"/>
      <c r="DD275" s="396"/>
      <c r="DE275" s="413"/>
      <c r="DF275" s="396"/>
      <c r="DG275" s="396"/>
      <c r="DH275" s="396"/>
      <c r="DI275" s="396"/>
      <c r="DJ275" s="413"/>
      <c r="DK275" s="396"/>
      <c r="DL275" s="396"/>
      <c r="DM275" s="396"/>
      <c r="DN275" s="396"/>
      <c r="DO275" s="413"/>
      <c r="DP275" s="396"/>
      <c r="DQ275" s="396"/>
      <c r="DR275" s="396"/>
      <c r="DS275" s="396"/>
      <c r="DT275" s="413"/>
      <c r="DU275" s="413"/>
      <c r="DV275" s="413"/>
    </row>
    <row r="276" spans="1:126" s="312" customFormat="1" ht="12">
      <c r="A276" s="216"/>
      <c r="B276" s="414" t="s">
        <v>321</v>
      </c>
      <c r="C276" s="225"/>
      <c r="D276" s="225"/>
      <c r="E276" s="225"/>
      <c r="F276" s="225"/>
      <c r="G276" s="225"/>
      <c r="H276" s="225"/>
      <c r="I276" s="225"/>
      <c r="J276" s="216"/>
      <c r="K276" s="216"/>
      <c r="L276" s="216"/>
      <c r="M276" s="216"/>
      <c r="N276" s="225"/>
      <c r="O276" s="216"/>
      <c r="P276" s="216"/>
      <c r="Q276" s="216"/>
      <c r="R276" s="216"/>
      <c r="S276" s="225"/>
      <c r="T276" s="216"/>
      <c r="U276" s="216"/>
      <c r="V276" s="216"/>
      <c r="W276" s="216"/>
      <c r="X276" s="225"/>
      <c r="Y276" s="216"/>
      <c r="Z276" s="216"/>
      <c r="AA276" s="216"/>
      <c r="AB276" s="216"/>
      <c r="AC276" s="225"/>
      <c r="AD276" s="216"/>
      <c r="AE276" s="216"/>
      <c r="AF276" s="216"/>
      <c r="AG276" s="216"/>
      <c r="AH276" s="225"/>
      <c r="AI276" s="216"/>
      <c r="AJ276" s="216"/>
      <c r="AK276" s="216"/>
      <c r="AL276" s="216"/>
      <c r="AM276" s="225"/>
      <c r="AN276" s="216"/>
      <c r="AO276" s="216"/>
      <c r="AP276" s="216"/>
      <c r="AQ276" s="216"/>
      <c r="AR276" s="225"/>
      <c r="AS276" s="216"/>
      <c r="AT276" s="216"/>
      <c r="AU276" s="216"/>
      <c r="AV276" s="216"/>
      <c r="AW276" s="413"/>
      <c r="AX276" s="396"/>
      <c r="AY276" s="396"/>
      <c r="AZ276" s="396"/>
      <c r="BA276" s="396"/>
      <c r="BB276" s="413"/>
      <c r="BC276" s="396"/>
      <c r="BD276" s="396"/>
      <c r="BE276" s="396"/>
      <c r="BF276" s="396"/>
      <c r="BG276" s="413"/>
      <c r="BH276" s="396"/>
      <c r="BI276" s="396"/>
      <c r="BJ276" s="396"/>
      <c r="BK276" s="396"/>
      <c r="BL276" s="413"/>
      <c r="BM276" s="396"/>
      <c r="BN276" s="396"/>
      <c r="BO276" s="396"/>
      <c r="BP276" s="396"/>
      <c r="BQ276" s="413"/>
      <c r="BR276" s="396"/>
      <c r="BS276" s="396"/>
      <c r="BT276" s="396"/>
      <c r="BU276" s="396"/>
      <c r="BV276" s="413"/>
      <c r="BW276" s="396"/>
      <c r="BX276" s="430"/>
      <c r="BY276" s="396"/>
      <c r="BZ276" s="396"/>
      <c r="CA276" s="413"/>
      <c r="CB276" s="396"/>
      <c r="CC276" s="396"/>
      <c r="CD276" s="396"/>
      <c r="CE276" s="396"/>
      <c r="CF276" s="413"/>
      <c r="CG276" s="396"/>
      <c r="CH276" s="396"/>
      <c r="CI276" s="396"/>
      <c r="CJ276" s="396"/>
      <c r="CK276" s="413"/>
      <c r="CL276" s="396"/>
      <c r="CM276" s="396"/>
      <c r="CN276" s="396"/>
      <c r="CO276" s="396"/>
      <c r="CP276" s="413"/>
      <c r="CQ276" s="396"/>
      <c r="CR276" s="396"/>
      <c r="CS276" s="396"/>
      <c r="CT276" s="396"/>
      <c r="CU276" s="413"/>
      <c r="CV276" s="396"/>
      <c r="CW276" s="396"/>
      <c r="CX276" s="396"/>
      <c r="CY276" s="396"/>
      <c r="CZ276" s="413"/>
      <c r="DA276" s="396"/>
      <c r="DB276" s="396"/>
      <c r="DC276" s="396"/>
      <c r="DD276" s="396"/>
      <c r="DE276" s="413"/>
      <c r="DF276" s="396"/>
      <c r="DG276" s="396"/>
      <c r="DH276" s="396"/>
      <c r="DI276" s="396"/>
      <c r="DJ276" s="413"/>
      <c r="DK276" s="396"/>
      <c r="DL276" s="396"/>
      <c r="DM276" s="396"/>
      <c r="DN276" s="396"/>
      <c r="DO276" s="413"/>
      <c r="DP276" s="396"/>
      <c r="DQ276" s="396"/>
      <c r="DR276" s="396"/>
      <c r="DS276" s="396"/>
      <c r="DT276" s="413"/>
      <c r="DU276" s="413"/>
      <c r="DV276" s="413"/>
    </row>
    <row r="277" spans="1:126" s="312" customFormat="1" ht="12">
      <c r="A277" s="216"/>
      <c r="B277" s="414" t="s">
        <v>322</v>
      </c>
      <c r="C277" s="225"/>
      <c r="D277" s="225"/>
      <c r="E277" s="225"/>
      <c r="F277" s="225"/>
      <c r="G277" s="225"/>
      <c r="H277" s="225"/>
      <c r="I277" s="225"/>
      <c r="J277" s="216"/>
      <c r="K277" s="216"/>
      <c r="L277" s="216"/>
      <c r="M277" s="216"/>
      <c r="N277" s="225"/>
      <c r="O277" s="216"/>
      <c r="P277" s="216"/>
      <c r="Q277" s="216"/>
      <c r="R277" s="216"/>
      <c r="S277" s="225"/>
      <c r="T277" s="216"/>
      <c r="U277" s="216"/>
      <c r="V277" s="216"/>
      <c r="W277" s="216"/>
      <c r="X277" s="225"/>
      <c r="Y277" s="216"/>
      <c r="Z277" s="216"/>
      <c r="AA277" s="216"/>
      <c r="AB277" s="216"/>
      <c r="AC277" s="225"/>
      <c r="AD277" s="216"/>
      <c r="AE277" s="216"/>
      <c r="AF277" s="216"/>
      <c r="AG277" s="216"/>
      <c r="AH277" s="225"/>
      <c r="AI277" s="216"/>
      <c r="AJ277" s="216"/>
      <c r="AK277" s="216"/>
      <c r="AL277" s="216"/>
      <c r="AM277" s="225"/>
      <c r="AN277" s="216"/>
      <c r="AO277" s="216"/>
      <c r="AP277" s="216"/>
      <c r="AQ277" s="216"/>
      <c r="AR277" s="225"/>
      <c r="AS277" s="216"/>
      <c r="AT277" s="216"/>
      <c r="AU277" s="216"/>
      <c r="AV277" s="216"/>
      <c r="AW277" s="413"/>
      <c r="AX277" s="396"/>
      <c r="AY277" s="396"/>
      <c r="AZ277" s="396"/>
      <c r="BA277" s="396"/>
      <c r="BB277" s="413"/>
      <c r="BC277" s="396"/>
      <c r="BD277" s="396"/>
      <c r="BE277" s="396"/>
      <c r="BF277" s="396"/>
      <c r="BG277" s="413"/>
      <c r="BH277" s="396"/>
      <c r="BI277" s="396"/>
      <c r="BJ277" s="396"/>
      <c r="BK277" s="396"/>
      <c r="BL277" s="413"/>
      <c r="BM277" s="396"/>
      <c r="BN277" s="396"/>
      <c r="BO277" s="396"/>
      <c r="BP277" s="396"/>
      <c r="BQ277" s="413"/>
      <c r="BR277" s="396"/>
      <c r="BS277" s="396"/>
      <c r="BT277" s="396"/>
      <c r="BU277" s="396"/>
      <c r="BV277" s="413"/>
      <c r="BW277" s="396"/>
      <c r="BX277" s="430"/>
      <c r="BY277" s="396"/>
      <c r="BZ277" s="396"/>
      <c r="CA277" s="413"/>
      <c r="CB277" s="396"/>
      <c r="CC277" s="396"/>
      <c r="CD277" s="396"/>
      <c r="CE277" s="396"/>
      <c r="CF277" s="413"/>
      <c r="CG277" s="396"/>
      <c r="CH277" s="396"/>
      <c r="CI277" s="396"/>
      <c r="CJ277" s="396"/>
      <c r="CK277" s="413"/>
      <c r="CL277" s="396"/>
      <c r="CM277" s="396"/>
      <c r="CN277" s="396"/>
      <c r="CO277" s="396"/>
      <c r="CP277" s="413"/>
      <c r="CQ277" s="396"/>
      <c r="CR277" s="396"/>
      <c r="CS277" s="396"/>
      <c r="CT277" s="396"/>
      <c r="CU277" s="413"/>
      <c r="CV277" s="396"/>
      <c r="CW277" s="396"/>
      <c r="CX277" s="396"/>
      <c r="CY277" s="396"/>
      <c r="CZ277" s="413"/>
      <c r="DA277" s="396"/>
      <c r="DB277" s="396"/>
      <c r="DC277" s="396"/>
      <c r="DD277" s="396"/>
      <c r="DE277" s="413"/>
      <c r="DF277" s="396"/>
      <c r="DG277" s="396"/>
      <c r="DH277" s="396"/>
      <c r="DI277" s="396"/>
      <c r="DJ277" s="413"/>
      <c r="DK277" s="396"/>
      <c r="DL277" s="396"/>
      <c r="DM277" s="396"/>
      <c r="DN277" s="396"/>
      <c r="DO277" s="413"/>
      <c r="DP277" s="396"/>
      <c r="DQ277" s="396"/>
      <c r="DR277" s="396"/>
      <c r="DS277" s="396"/>
      <c r="DT277" s="413"/>
      <c r="DU277" s="413"/>
      <c r="DV277" s="413"/>
    </row>
    <row r="278" spans="1:126" s="312" customFormat="1" ht="12">
      <c r="A278" s="216"/>
      <c r="B278" s="414" t="s">
        <v>323</v>
      </c>
      <c r="C278" s="225"/>
      <c r="D278" s="225"/>
      <c r="E278" s="225"/>
      <c r="F278" s="225"/>
      <c r="G278" s="225"/>
      <c r="H278" s="225"/>
      <c r="I278" s="225"/>
      <c r="J278" s="216"/>
      <c r="K278" s="216"/>
      <c r="L278" s="216"/>
      <c r="M278" s="216"/>
      <c r="N278" s="225"/>
      <c r="O278" s="216"/>
      <c r="P278" s="216"/>
      <c r="Q278" s="216"/>
      <c r="R278" s="216"/>
      <c r="S278" s="225"/>
      <c r="T278" s="216"/>
      <c r="U278" s="216"/>
      <c r="V278" s="216"/>
      <c r="W278" s="216"/>
      <c r="X278" s="225"/>
      <c r="Y278" s="216"/>
      <c r="Z278" s="216"/>
      <c r="AA278" s="216"/>
      <c r="AB278" s="216"/>
      <c r="AC278" s="225"/>
      <c r="AD278" s="216"/>
      <c r="AE278" s="216"/>
      <c r="AF278" s="216"/>
      <c r="AG278" s="216"/>
      <c r="AH278" s="225"/>
      <c r="AI278" s="216"/>
      <c r="AJ278" s="216"/>
      <c r="AK278" s="216"/>
      <c r="AL278" s="216"/>
      <c r="AM278" s="225"/>
      <c r="AN278" s="216"/>
      <c r="AO278" s="216"/>
      <c r="AP278" s="216"/>
      <c r="AQ278" s="216"/>
      <c r="AR278" s="225"/>
      <c r="AS278" s="216"/>
      <c r="AT278" s="216"/>
      <c r="AU278" s="216"/>
      <c r="AV278" s="216"/>
      <c r="AW278" s="413"/>
      <c r="AX278" s="396"/>
      <c r="AY278" s="396"/>
      <c r="AZ278" s="396"/>
      <c r="BA278" s="396"/>
      <c r="BB278" s="413"/>
      <c r="BC278" s="396"/>
      <c r="BD278" s="396"/>
      <c r="BE278" s="396"/>
      <c r="BF278" s="396"/>
      <c r="BG278" s="413"/>
      <c r="BH278" s="396"/>
      <c r="BI278" s="396"/>
      <c r="BJ278" s="396"/>
      <c r="BK278" s="396"/>
      <c r="BL278" s="413"/>
      <c r="BM278" s="396"/>
      <c r="BN278" s="396"/>
      <c r="BO278" s="396"/>
      <c r="BP278" s="396"/>
      <c r="BQ278" s="413"/>
      <c r="BR278" s="396"/>
      <c r="BS278" s="396"/>
      <c r="BT278" s="396"/>
      <c r="BU278" s="396"/>
      <c r="BV278" s="413"/>
      <c r="BW278" s="396"/>
      <c r="BX278" s="430"/>
      <c r="BY278" s="396"/>
      <c r="BZ278" s="396"/>
      <c r="CA278" s="413"/>
      <c r="CB278" s="396"/>
      <c r="CC278" s="396"/>
      <c r="CD278" s="396"/>
      <c r="CE278" s="396"/>
      <c r="CF278" s="413"/>
      <c r="CG278" s="396"/>
      <c r="CH278" s="396"/>
      <c r="CI278" s="396"/>
      <c r="CJ278" s="396"/>
      <c r="CK278" s="413"/>
      <c r="CL278" s="396"/>
      <c r="CM278" s="396"/>
      <c r="CN278" s="396"/>
      <c r="CO278" s="396"/>
      <c r="CP278" s="413"/>
      <c r="CQ278" s="396"/>
      <c r="CR278" s="396"/>
      <c r="CS278" s="396"/>
      <c r="CT278" s="396"/>
      <c r="CU278" s="413"/>
      <c r="CV278" s="396"/>
      <c r="CW278" s="396"/>
      <c r="CX278" s="396"/>
      <c r="CY278" s="396"/>
      <c r="CZ278" s="413"/>
      <c r="DA278" s="396"/>
      <c r="DB278" s="396"/>
      <c r="DC278" s="396"/>
      <c r="DD278" s="396"/>
      <c r="DE278" s="413"/>
      <c r="DF278" s="396"/>
      <c r="DG278" s="396"/>
      <c r="DH278" s="396"/>
      <c r="DI278" s="396"/>
      <c r="DJ278" s="413"/>
      <c r="DK278" s="396"/>
      <c r="DL278" s="396"/>
      <c r="DM278" s="396"/>
      <c r="DN278" s="396"/>
      <c r="DO278" s="413"/>
      <c r="DP278" s="396"/>
      <c r="DQ278" s="396"/>
      <c r="DR278" s="396"/>
      <c r="DS278" s="396"/>
      <c r="DT278" s="413"/>
      <c r="DU278" s="413"/>
      <c r="DV278" s="413"/>
    </row>
    <row r="279" spans="1:126" s="312" customFormat="1" ht="12">
      <c r="A279" s="216"/>
      <c r="B279" s="414" t="s">
        <v>324</v>
      </c>
      <c r="C279" s="225"/>
      <c r="D279" s="225"/>
      <c r="E279" s="225"/>
      <c r="F279" s="225"/>
      <c r="G279" s="225"/>
      <c r="H279" s="225"/>
      <c r="I279" s="225"/>
      <c r="J279" s="216"/>
      <c r="K279" s="216"/>
      <c r="L279" s="216"/>
      <c r="M279" s="216"/>
      <c r="N279" s="225"/>
      <c r="O279" s="216"/>
      <c r="P279" s="216"/>
      <c r="Q279" s="216"/>
      <c r="R279" s="216"/>
      <c r="S279" s="225"/>
      <c r="T279" s="216"/>
      <c r="U279" s="216"/>
      <c r="V279" s="216"/>
      <c r="W279" s="216"/>
      <c r="X279" s="225"/>
      <c r="Y279" s="216"/>
      <c r="Z279" s="216"/>
      <c r="AA279" s="216"/>
      <c r="AB279" s="216"/>
      <c r="AC279" s="225"/>
      <c r="AD279" s="216"/>
      <c r="AE279" s="216"/>
      <c r="AF279" s="216"/>
      <c r="AG279" s="216"/>
      <c r="AH279" s="225"/>
      <c r="AI279" s="216"/>
      <c r="AJ279" s="216"/>
      <c r="AK279" s="216"/>
      <c r="AL279" s="216"/>
      <c r="AM279" s="225"/>
      <c r="AN279" s="216"/>
      <c r="AO279" s="216"/>
      <c r="AP279" s="216"/>
      <c r="AQ279" s="216"/>
      <c r="AR279" s="225"/>
      <c r="AS279" s="216"/>
      <c r="AT279" s="216"/>
      <c r="AU279" s="216"/>
      <c r="AV279" s="216"/>
      <c r="AW279" s="413"/>
      <c r="AX279" s="396"/>
      <c r="AY279" s="396"/>
      <c r="AZ279" s="396"/>
      <c r="BA279" s="396"/>
      <c r="BB279" s="413"/>
      <c r="BC279" s="396"/>
      <c r="BD279" s="396"/>
      <c r="BE279" s="396"/>
      <c r="BF279" s="396"/>
      <c r="BG279" s="413"/>
      <c r="BH279" s="396"/>
      <c r="BI279" s="396"/>
      <c r="BJ279" s="396"/>
      <c r="BK279" s="396"/>
      <c r="BL279" s="413"/>
      <c r="BM279" s="396"/>
      <c r="BN279" s="396"/>
      <c r="BO279" s="396"/>
      <c r="BP279" s="396"/>
      <c r="BQ279" s="413"/>
      <c r="BR279" s="396"/>
      <c r="BS279" s="396"/>
      <c r="BT279" s="396"/>
      <c r="BU279" s="396"/>
      <c r="BV279" s="413"/>
      <c r="BW279" s="396"/>
      <c r="BX279" s="430"/>
      <c r="BY279" s="396"/>
      <c r="BZ279" s="396"/>
      <c r="CA279" s="413"/>
      <c r="CB279" s="396"/>
      <c r="CC279" s="396"/>
      <c r="CD279" s="396"/>
      <c r="CE279" s="396"/>
      <c r="CF279" s="413"/>
      <c r="CG279" s="396"/>
      <c r="CH279" s="396"/>
      <c r="CI279" s="396"/>
      <c r="CJ279" s="396"/>
      <c r="CK279" s="413"/>
      <c r="CL279" s="396"/>
      <c r="CM279" s="396"/>
      <c r="CN279" s="396"/>
      <c r="CO279" s="396"/>
      <c r="CP279" s="413"/>
      <c r="CQ279" s="396"/>
      <c r="CR279" s="396"/>
      <c r="CS279" s="396"/>
      <c r="CT279" s="396"/>
      <c r="CU279" s="413"/>
      <c r="CV279" s="396"/>
      <c r="CW279" s="396"/>
      <c r="CX279" s="396"/>
      <c r="CY279" s="396"/>
      <c r="CZ279" s="413"/>
      <c r="DA279" s="396"/>
      <c r="DB279" s="396"/>
      <c r="DC279" s="396"/>
      <c r="DD279" s="396"/>
      <c r="DE279" s="413"/>
      <c r="DF279" s="396"/>
      <c r="DG279" s="396"/>
      <c r="DH279" s="396"/>
      <c r="DI279" s="396"/>
      <c r="DJ279" s="413"/>
      <c r="DK279" s="396"/>
      <c r="DL279" s="396"/>
      <c r="DM279" s="396"/>
      <c r="DN279" s="396"/>
      <c r="DO279" s="413"/>
      <c r="DP279" s="396"/>
      <c r="DQ279" s="396"/>
      <c r="DR279" s="396"/>
      <c r="DS279" s="396"/>
      <c r="DT279" s="413"/>
      <c r="DU279" s="413"/>
      <c r="DV279" s="413"/>
    </row>
    <row r="280" spans="1:126" s="312" customFormat="1" ht="12">
      <c r="A280" s="216"/>
      <c r="B280" s="414" t="s">
        <v>325</v>
      </c>
      <c r="C280" s="225"/>
      <c r="D280" s="225"/>
      <c r="E280" s="225"/>
      <c r="F280" s="225"/>
      <c r="G280" s="225"/>
      <c r="H280" s="225"/>
      <c r="I280" s="225"/>
      <c r="J280" s="216"/>
      <c r="K280" s="216"/>
      <c r="L280" s="216"/>
      <c r="M280" s="216"/>
      <c r="N280" s="225"/>
      <c r="O280" s="216"/>
      <c r="P280" s="216"/>
      <c r="Q280" s="216"/>
      <c r="R280" s="216"/>
      <c r="S280" s="225"/>
      <c r="T280" s="216"/>
      <c r="U280" s="216"/>
      <c r="V280" s="216"/>
      <c r="W280" s="216"/>
      <c r="X280" s="225"/>
      <c r="Y280" s="216"/>
      <c r="Z280" s="216"/>
      <c r="AA280" s="216"/>
      <c r="AB280" s="216"/>
      <c r="AC280" s="225"/>
      <c r="AD280" s="216"/>
      <c r="AE280" s="216"/>
      <c r="AF280" s="216"/>
      <c r="AG280" s="216"/>
      <c r="AH280" s="225"/>
      <c r="AI280" s="216"/>
      <c r="AJ280" s="216"/>
      <c r="AK280" s="216"/>
      <c r="AL280" s="216"/>
      <c r="AM280" s="225"/>
      <c r="AN280" s="216"/>
      <c r="AO280" s="216"/>
      <c r="AP280" s="216"/>
      <c r="AQ280" s="216"/>
      <c r="AR280" s="225"/>
      <c r="AS280" s="216"/>
      <c r="AT280" s="216"/>
      <c r="AU280" s="216"/>
      <c r="AV280" s="216"/>
      <c r="AW280" s="413"/>
      <c r="AX280" s="396"/>
      <c r="AY280" s="396"/>
      <c r="AZ280" s="396"/>
      <c r="BA280" s="396"/>
      <c r="BB280" s="413"/>
      <c r="BC280" s="396"/>
      <c r="BD280" s="396"/>
      <c r="BE280" s="396"/>
      <c r="BF280" s="396"/>
      <c r="BG280" s="413"/>
      <c r="BH280" s="396"/>
      <c r="BI280" s="396"/>
      <c r="BJ280" s="396"/>
      <c r="BK280" s="396"/>
      <c r="BL280" s="413"/>
      <c r="BM280" s="396"/>
      <c r="BN280" s="396"/>
      <c r="BO280" s="396"/>
      <c r="BP280" s="396"/>
      <c r="BQ280" s="413"/>
      <c r="BR280" s="396"/>
      <c r="BS280" s="396"/>
      <c r="BT280" s="396"/>
      <c r="BU280" s="396"/>
      <c r="BV280" s="413"/>
      <c r="BW280" s="396"/>
      <c r="BX280" s="430"/>
      <c r="BY280" s="396"/>
      <c r="BZ280" s="396"/>
      <c r="CA280" s="413"/>
      <c r="CB280" s="396"/>
      <c r="CC280" s="396"/>
      <c r="CD280" s="396"/>
      <c r="CE280" s="396"/>
      <c r="CF280" s="413"/>
      <c r="CG280" s="396"/>
      <c r="CH280" s="396"/>
      <c r="CI280" s="396"/>
      <c r="CJ280" s="396"/>
      <c r="CK280" s="413"/>
      <c r="CL280" s="396"/>
      <c r="CM280" s="396"/>
      <c r="CN280" s="396"/>
      <c r="CO280" s="396"/>
      <c r="CP280" s="413"/>
      <c r="CQ280" s="396"/>
      <c r="CR280" s="396"/>
      <c r="CS280" s="396"/>
      <c r="CT280" s="396"/>
      <c r="CU280" s="413"/>
      <c r="CV280" s="396"/>
      <c r="CW280" s="396"/>
      <c r="CX280" s="396"/>
      <c r="CY280" s="396"/>
      <c r="CZ280" s="413"/>
      <c r="DA280" s="396"/>
      <c r="DB280" s="396"/>
      <c r="DC280" s="396"/>
      <c r="DD280" s="396"/>
      <c r="DE280" s="413"/>
      <c r="DF280" s="396"/>
      <c r="DG280" s="396"/>
      <c r="DH280" s="396"/>
      <c r="DI280" s="396"/>
      <c r="DJ280" s="413"/>
      <c r="DK280" s="396"/>
      <c r="DL280" s="396"/>
      <c r="DM280" s="396"/>
      <c r="DN280" s="396"/>
      <c r="DO280" s="413"/>
      <c r="DP280" s="396"/>
      <c r="DQ280" s="396"/>
      <c r="DR280" s="396"/>
      <c r="DS280" s="396"/>
      <c r="DT280" s="413"/>
      <c r="DU280" s="413"/>
      <c r="DV280" s="413"/>
    </row>
    <row r="281" spans="1:126" s="312" customFormat="1" ht="12">
      <c r="A281" s="216"/>
      <c r="B281" s="415" t="s">
        <v>149</v>
      </c>
      <c r="C281" s="225"/>
      <c r="D281" s="225"/>
      <c r="E281" s="225"/>
      <c r="F281" s="225"/>
      <c r="G281" s="225"/>
      <c r="H281" s="225"/>
      <c r="I281" s="225"/>
      <c r="J281" s="216"/>
      <c r="K281" s="216"/>
      <c r="L281" s="216"/>
      <c r="M281" s="216"/>
      <c r="N281" s="225"/>
      <c r="O281" s="216"/>
      <c r="P281" s="216"/>
      <c r="Q281" s="216"/>
      <c r="R281" s="216"/>
      <c r="S281" s="225"/>
      <c r="T281" s="216"/>
      <c r="U281" s="216"/>
      <c r="V281" s="216"/>
      <c r="W281" s="216"/>
      <c r="X281" s="225"/>
      <c r="Y281" s="216"/>
      <c r="Z281" s="216"/>
      <c r="AA281" s="216"/>
      <c r="AB281" s="216"/>
      <c r="AC281" s="225"/>
      <c r="AD281" s="216"/>
      <c r="AE281" s="216"/>
      <c r="AF281" s="216"/>
      <c r="AG281" s="216"/>
      <c r="AH281" s="225"/>
      <c r="AI281" s="216"/>
      <c r="AJ281" s="216"/>
      <c r="AK281" s="216"/>
      <c r="AL281" s="216"/>
      <c r="AM281" s="225"/>
      <c r="AN281" s="216"/>
      <c r="AO281" s="216"/>
      <c r="AP281" s="216"/>
      <c r="AQ281" s="216"/>
      <c r="AR281" s="225"/>
      <c r="AS281" s="216"/>
      <c r="AT281" s="216"/>
      <c r="AU281" s="216"/>
      <c r="AV281" s="216"/>
      <c r="AW281" s="413"/>
      <c r="AX281" s="396"/>
      <c r="AY281" s="396"/>
      <c r="AZ281" s="396"/>
      <c r="BA281" s="396"/>
      <c r="BB281" s="413"/>
      <c r="BC281" s="396"/>
      <c r="BD281" s="396"/>
      <c r="BE281" s="396"/>
      <c r="BF281" s="396"/>
      <c r="BG281" s="413"/>
      <c r="BH281" s="396"/>
      <c r="BI281" s="396"/>
      <c r="BJ281" s="396"/>
      <c r="BK281" s="396"/>
      <c r="BL281" s="413"/>
      <c r="BM281" s="396"/>
      <c r="BN281" s="396"/>
      <c r="BO281" s="396"/>
      <c r="BP281" s="396"/>
      <c r="BQ281" s="413"/>
      <c r="BR281" s="396"/>
      <c r="BS281" s="396"/>
      <c r="BT281" s="396"/>
      <c r="BU281" s="396"/>
      <c r="BV281" s="413"/>
      <c r="BW281" s="396"/>
      <c r="BX281" s="430"/>
      <c r="BY281" s="396"/>
      <c r="BZ281" s="396"/>
      <c r="CA281" s="413"/>
      <c r="CB281" s="396"/>
      <c r="CC281" s="396"/>
      <c r="CD281" s="396"/>
      <c r="CE281" s="396"/>
      <c r="CF281" s="413"/>
      <c r="CG281" s="396"/>
      <c r="CH281" s="396"/>
      <c r="CI281" s="396"/>
      <c r="CJ281" s="396"/>
      <c r="CK281" s="413"/>
      <c r="CL281" s="396"/>
      <c r="CM281" s="396"/>
      <c r="CN281" s="396"/>
      <c r="CO281" s="396"/>
      <c r="CP281" s="413"/>
      <c r="CQ281" s="396"/>
      <c r="CR281" s="396"/>
      <c r="CS281" s="396"/>
      <c r="CT281" s="396"/>
      <c r="CU281" s="413"/>
      <c r="CV281" s="396"/>
      <c r="CW281" s="396"/>
      <c r="CX281" s="396"/>
      <c r="CY281" s="396"/>
      <c r="CZ281" s="413"/>
      <c r="DA281" s="396"/>
      <c r="DB281" s="396"/>
      <c r="DC281" s="396"/>
      <c r="DD281" s="396"/>
      <c r="DE281" s="413"/>
      <c r="DF281" s="396"/>
      <c r="DG281" s="396"/>
      <c r="DH281" s="396"/>
      <c r="DI281" s="396"/>
      <c r="DJ281" s="413"/>
      <c r="DK281" s="396"/>
      <c r="DL281" s="396"/>
      <c r="DM281" s="396"/>
      <c r="DN281" s="396"/>
      <c r="DO281" s="413"/>
      <c r="DP281" s="396"/>
      <c r="DQ281" s="396"/>
      <c r="DR281" s="396"/>
      <c r="DS281" s="396"/>
      <c r="DT281" s="413"/>
      <c r="DU281" s="413"/>
      <c r="DV281" s="413"/>
    </row>
    <row r="282" spans="1:126" s="15" customFormat="1">
      <c r="A282" s="12"/>
      <c r="B282" s="301"/>
      <c r="C282" s="16"/>
      <c r="D282" s="16"/>
      <c r="E282" s="16"/>
      <c r="F282" s="16"/>
      <c r="G282" s="16"/>
      <c r="H282" s="16"/>
      <c r="I282" s="16"/>
      <c r="J282" s="12"/>
      <c r="K282" s="12"/>
      <c r="L282" s="12"/>
      <c r="M282" s="12"/>
      <c r="N282" s="16"/>
      <c r="O282" s="12"/>
      <c r="P282" s="12"/>
      <c r="Q282" s="12"/>
      <c r="R282" s="12"/>
      <c r="S282" s="16"/>
      <c r="T282" s="12"/>
      <c r="U282" s="12"/>
      <c r="V282" s="12"/>
      <c r="W282" s="12"/>
      <c r="X282" s="16"/>
      <c r="Y282" s="12"/>
      <c r="Z282" s="12"/>
      <c r="AA282" s="12"/>
      <c r="AB282" s="12"/>
      <c r="AC282" s="16"/>
      <c r="AD282" s="12"/>
      <c r="AE282" s="12"/>
      <c r="AF282" s="12"/>
      <c r="AG282" s="12"/>
      <c r="AH282" s="16"/>
      <c r="AI282" s="12"/>
      <c r="AJ282" s="12"/>
      <c r="AK282" s="12"/>
      <c r="AL282" s="128"/>
      <c r="AM282" s="16"/>
      <c r="AN282" s="128"/>
      <c r="AO282" s="128"/>
      <c r="AP282" s="252"/>
      <c r="AQ282" s="252"/>
      <c r="AR282" s="16"/>
      <c r="AS282" s="252"/>
      <c r="AT282" s="252"/>
      <c r="AU282" s="252"/>
      <c r="AV282" s="252"/>
      <c r="AW282" s="16"/>
      <c r="AX282" s="252"/>
      <c r="AY282" s="252"/>
      <c r="AZ282" s="252"/>
      <c r="BA282" s="252"/>
      <c r="BB282" s="247"/>
      <c r="BC282" s="252"/>
      <c r="BD282" s="252"/>
      <c r="BE282" s="252"/>
      <c r="BF282" s="252"/>
      <c r="BG282" s="247"/>
      <c r="BH282" s="252"/>
      <c r="BI282" s="389"/>
      <c r="BJ282" s="252"/>
      <c r="BK282" s="389"/>
      <c r="BL282" s="247"/>
      <c r="BM282" s="252"/>
      <c r="BN282" s="389"/>
      <c r="BO282" s="252"/>
      <c r="BP282" s="389"/>
      <c r="BQ282" s="247"/>
      <c r="BR282" s="252"/>
      <c r="BS282" s="389"/>
      <c r="BT282" s="252"/>
      <c r="BU282" s="389"/>
      <c r="BV282" s="247"/>
      <c r="BW282" s="252"/>
      <c r="BX282" s="399"/>
      <c r="BY282" s="252"/>
      <c r="BZ282" s="389"/>
      <c r="CA282" s="247"/>
      <c r="CB282" s="252"/>
      <c r="CC282" s="389"/>
      <c r="CD282" s="252"/>
      <c r="CE282" s="389"/>
      <c r="CF282" s="247"/>
      <c r="CG282" s="389"/>
      <c r="CH282" s="389"/>
      <c r="CI282" s="389"/>
      <c r="CJ282" s="389"/>
      <c r="CK282" s="247"/>
      <c r="CL282" s="389"/>
      <c r="CM282" s="389"/>
      <c r="CN282" s="389"/>
      <c r="CO282" s="389"/>
      <c r="CP282" s="247"/>
      <c r="CQ282" s="389"/>
      <c r="CR282" s="389"/>
      <c r="CS282" s="389"/>
      <c r="CT282" s="389"/>
      <c r="CU282" s="247"/>
      <c r="CV282" s="389"/>
      <c r="CW282" s="389"/>
      <c r="CX282" s="389"/>
      <c r="CY282" s="389"/>
      <c r="CZ282" s="247"/>
      <c r="DA282" s="389"/>
      <c r="DB282" s="389"/>
      <c r="DC282" s="389"/>
      <c r="DD282" s="389"/>
      <c r="DE282" s="247"/>
      <c r="DF282" s="389"/>
      <c r="DG282" s="389"/>
      <c r="DH282" s="389"/>
      <c r="DI282" s="389"/>
      <c r="DJ282" s="247"/>
      <c r="DK282" s="389"/>
      <c r="DL282" s="389"/>
      <c r="DM282" s="389"/>
      <c r="DN282" s="389"/>
      <c r="DO282" s="247"/>
      <c r="DP282" s="389"/>
      <c r="DQ282" s="389"/>
      <c r="DR282" s="389"/>
      <c r="DS282" s="389"/>
      <c r="DT282" s="247"/>
      <c r="DU282" s="247"/>
      <c r="DV282" s="247"/>
    </row>
    <row r="283" spans="1:126" s="15" customFormat="1" ht="12">
      <c r="A283" s="12"/>
      <c r="B283" s="339" t="s">
        <v>331</v>
      </c>
      <c r="C283" s="16"/>
      <c r="D283" s="16"/>
      <c r="E283" s="16"/>
      <c r="F283" s="16"/>
      <c r="G283" s="16"/>
      <c r="H283" s="16"/>
      <c r="I283" s="16"/>
      <c r="J283" s="12"/>
      <c r="K283" s="12"/>
      <c r="L283" s="12"/>
      <c r="M283" s="12"/>
      <c r="N283" s="16"/>
      <c r="O283" s="12"/>
      <c r="P283" s="12"/>
      <c r="Q283" s="12"/>
      <c r="R283" s="12"/>
      <c r="S283" s="16"/>
      <c r="T283" s="12"/>
      <c r="U283" s="12"/>
      <c r="V283" s="12"/>
      <c r="W283" s="12"/>
      <c r="X283" s="16"/>
      <c r="Y283" s="12"/>
      <c r="Z283" s="12"/>
      <c r="AA283" s="12"/>
      <c r="AB283" s="12"/>
      <c r="AC283" s="16"/>
      <c r="AD283" s="12"/>
      <c r="AE283" s="12"/>
      <c r="AF283" s="12"/>
      <c r="AG283" s="12"/>
      <c r="AH283" s="16"/>
      <c r="AI283" s="12"/>
      <c r="AJ283" s="12"/>
      <c r="AK283" s="12"/>
      <c r="AL283" s="128"/>
      <c r="AM283" s="16"/>
      <c r="AN283" s="128"/>
      <c r="AO283" s="128"/>
      <c r="AP283" s="252"/>
      <c r="AQ283" s="252"/>
      <c r="AR283" s="16"/>
      <c r="AS283" s="252"/>
      <c r="AT283" s="252"/>
      <c r="AU283" s="252"/>
      <c r="AV283" s="252"/>
      <c r="AW283" s="16"/>
      <c r="AX283" s="252"/>
      <c r="AY283" s="252"/>
      <c r="AZ283" s="252"/>
      <c r="BA283" s="252"/>
      <c r="BB283" s="247"/>
      <c r="BC283" s="252"/>
      <c r="BD283" s="252"/>
      <c r="BE283" s="252"/>
      <c r="BF283" s="252"/>
      <c r="BG283" s="247"/>
      <c r="BH283" s="252"/>
      <c r="BI283" s="389"/>
      <c r="BJ283" s="252"/>
      <c r="BK283" s="389"/>
      <c r="BL283" s="247"/>
      <c r="BM283" s="252"/>
      <c r="BN283" s="389"/>
      <c r="BO283" s="252"/>
      <c r="BP283" s="389"/>
      <c r="BQ283" s="247"/>
      <c r="BR283" s="252"/>
      <c r="BS283" s="389"/>
      <c r="BT283" s="252"/>
      <c r="BU283" s="389"/>
      <c r="BV283" s="247"/>
      <c r="BW283" s="252"/>
      <c r="BX283" s="399"/>
      <c r="BY283" s="252"/>
      <c r="BZ283" s="389"/>
      <c r="CA283" s="247"/>
      <c r="CB283" s="252"/>
      <c r="CC283" s="389"/>
      <c r="CD283" s="252"/>
      <c r="CE283" s="389"/>
      <c r="CF283" s="247"/>
      <c r="CG283" s="389"/>
      <c r="CH283" s="389"/>
      <c r="CI283" s="389"/>
      <c r="CJ283" s="389"/>
      <c r="CK283" s="247"/>
      <c r="CL283" s="389"/>
      <c r="CM283" s="389"/>
      <c r="CN283" s="389"/>
      <c r="CO283" s="389"/>
      <c r="CP283" s="247"/>
      <c r="CQ283" s="389"/>
      <c r="CR283" s="389"/>
      <c r="CS283" s="389"/>
      <c r="CT283" s="389"/>
      <c r="CU283" s="247"/>
      <c r="CV283" s="389"/>
      <c r="CW283" s="389"/>
      <c r="CX283" s="389"/>
      <c r="CY283" s="389"/>
      <c r="CZ283" s="247"/>
      <c r="DA283" s="389"/>
      <c r="DB283" s="389"/>
      <c r="DC283" s="389"/>
      <c r="DD283" s="389"/>
      <c r="DE283" s="247"/>
      <c r="DF283" s="389"/>
      <c r="DG283" s="389"/>
      <c r="DH283" s="389"/>
      <c r="DI283" s="389"/>
      <c r="DJ283" s="247"/>
      <c r="DK283" s="389"/>
      <c r="DL283" s="389"/>
      <c r="DM283" s="389"/>
      <c r="DN283" s="389"/>
      <c r="DO283" s="247"/>
      <c r="DP283" s="389"/>
      <c r="DQ283" s="389"/>
      <c r="DR283" s="389"/>
      <c r="DS283" s="389"/>
      <c r="DT283" s="247"/>
      <c r="DU283" s="247"/>
      <c r="DV283" s="247"/>
    </row>
    <row r="284" spans="1:126" s="15" customFormat="1">
      <c r="A284" s="12"/>
      <c r="B284" s="301" t="s">
        <v>332</v>
      </c>
      <c r="C284" s="16"/>
      <c r="D284" s="16"/>
      <c r="E284" s="16"/>
      <c r="F284" s="16"/>
      <c r="G284" s="16"/>
      <c r="H284" s="16"/>
      <c r="I284" s="16"/>
      <c r="J284" s="12"/>
      <c r="K284" s="12"/>
      <c r="L284" s="12"/>
      <c r="M284" s="12"/>
      <c r="N284" s="16"/>
      <c r="O284" s="12"/>
      <c r="P284" s="12"/>
      <c r="Q284" s="12"/>
      <c r="R284" s="12"/>
      <c r="S284" s="16"/>
      <c r="T284" s="12"/>
      <c r="U284" s="12"/>
      <c r="V284" s="12"/>
      <c r="W284" s="12"/>
      <c r="X284" s="16"/>
      <c r="Y284" s="12"/>
      <c r="Z284" s="12"/>
      <c r="AA284" s="12"/>
      <c r="AB284" s="12"/>
      <c r="AC284" s="16"/>
      <c r="AD284" s="12"/>
      <c r="AE284" s="12"/>
      <c r="AF284" s="12"/>
      <c r="AG284" s="12"/>
      <c r="AH284" s="16"/>
      <c r="AI284" s="12"/>
      <c r="AJ284" s="12"/>
      <c r="AK284" s="12"/>
      <c r="AL284" s="128"/>
      <c r="AM284" s="16"/>
      <c r="AN284" s="128"/>
      <c r="AO284" s="128"/>
      <c r="AP284" s="252"/>
      <c r="AQ284" s="252"/>
      <c r="AR284" s="16"/>
      <c r="AS284" s="252"/>
      <c r="AT284" s="252"/>
      <c r="AU284" s="252"/>
      <c r="AV284" s="252"/>
      <c r="AW284" s="16"/>
      <c r="AX284" s="252"/>
      <c r="AY284" s="252"/>
      <c r="AZ284" s="252"/>
      <c r="BA284" s="252"/>
      <c r="BB284" s="247"/>
      <c r="BC284" s="252"/>
      <c r="BD284" s="252"/>
      <c r="BE284" s="252"/>
      <c r="BF284" s="252"/>
      <c r="BG284" s="247"/>
      <c r="BH284" s="252"/>
      <c r="BI284" s="389"/>
      <c r="BJ284" s="252"/>
      <c r="BK284" s="389"/>
      <c r="BL284" s="247"/>
      <c r="BM284" s="252"/>
      <c r="BN284" s="389"/>
      <c r="BO284" s="252"/>
      <c r="BP284" s="389"/>
      <c r="BQ284" s="164"/>
      <c r="BR284" s="252"/>
      <c r="BS284" s="389"/>
      <c r="BT284" s="252"/>
      <c r="BU284" s="389"/>
      <c r="BV284" s="164"/>
      <c r="BW284" s="252"/>
      <c r="BX284" s="399"/>
      <c r="BY284" s="252"/>
      <c r="BZ284" s="389"/>
      <c r="CA284" s="353"/>
      <c r="CB284" s="252"/>
      <c r="CC284" s="389"/>
      <c r="CD284" s="252"/>
      <c r="CE284" s="389"/>
      <c r="CF284" s="353"/>
      <c r="CG284" s="389"/>
      <c r="CH284" s="389"/>
      <c r="CI284" s="389"/>
      <c r="CJ284" s="389"/>
      <c r="CK284" s="353"/>
      <c r="CL284" s="389"/>
      <c r="CM284" s="389"/>
      <c r="CN284" s="389"/>
      <c r="CO284" s="389"/>
      <c r="CP284" s="353">
        <f>CP234</f>
        <v>0.50989020959985487</v>
      </c>
      <c r="CQ284" s="389"/>
      <c r="CR284" s="389"/>
      <c r="CS284" s="389"/>
      <c r="CT284" s="389"/>
      <c r="CU284" s="353">
        <f>CU234</f>
        <v>0.45401220084467392</v>
      </c>
      <c r="CV284" s="389"/>
      <c r="CW284" s="389"/>
      <c r="CX284" s="389"/>
      <c r="CY284" s="389"/>
      <c r="CZ284" s="353">
        <f>CZ234</f>
        <v>0.41159309021113238</v>
      </c>
      <c r="DA284" s="389"/>
      <c r="DB284" s="389"/>
      <c r="DC284" s="389"/>
      <c r="DD284" s="389"/>
      <c r="DE284" s="353">
        <f>DE234</f>
        <v>0.42448851117406361</v>
      </c>
      <c r="DF284" s="389"/>
      <c r="DG284" s="389"/>
      <c r="DH284" s="389"/>
      <c r="DI284" s="389"/>
      <c r="DJ284" s="353">
        <f>DJ234</f>
        <v>0.42448851117406361</v>
      </c>
      <c r="DK284" s="389"/>
      <c r="DL284" s="389"/>
      <c r="DM284" s="389"/>
      <c r="DN284" s="389"/>
      <c r="DO284" s="353">
        <f>DO234</f>
        <v>0.42448851117406361</v>
      </c>
      <c r="DP284" s="389"/>
      <c r="DQ284" s="389"/>
      <c r="DR284" s="389"/>
      <c r="DS284" s="389"/>
      <c r="DT284" s="353">
        <f>DT234</f>
        <v>0.42448851117406361</v>
      </c>
      <c r="DU284" s="353">
        <f>DU234</f>
        <v>0.42448851117406361</v>
      </c>
      <c r="DV284" s="353">
        <f>DV234</f>
        <v>0.42448851117406361</v>
      </c>
    </row>
    <row r="285" spans="1:126" s="15" customFormat="1">
      <c r="A285" s="12"/>
      <c r="B285" s="301" t="s">
        <v>333</v>
      </c>
      <c r="C285" s="16"/>
      <c r="D285" s="16"/>
      <c r="E285" s="16"/>
      <c r="F285" s="16"/>
      <c r="G285" s="16"/>
      <c r="H285" s="16"/>
      <c r="I285" s="16"/>
      <c r="J285" s="12"/>
      <c r="K285" s="12"/>
      <c r="L285" s="12"/>
      <c r="M285" s="12"/>
      <c r="N285" s="16"/>
      <c r="O285" s="12"/>
      <c r="P285" s="12"/>
      <c r="Q285" s="12"/>
      <c r="R285" s="12"/>
      <c r="S285" s="16"/>
      <c r="T285" s="12"/>
      <c r="U285" s="12"/>
      <c r="V285" s="12"/>
      <c r="W285" s="12"/>
      <c r="X285" s="16"/>
      <c r="Y285" s="12"/>
      <c r="Z285" s="12"/>
      <c r="AA285" s="12"/>
      <c r="AB285" s="12"/>
      <c r="AC285" s="16"/>
      <c r="AD285" s="12"/>
      <c r="AE285" s="12"/>
      <c r="AF285" s="12"/>
      <c r="AG285" s="12"/>
      <c r="AH285" s="16"/>
      <c r="AI285" s="12"/>
      <c r="AJ285" s="12"/>
      <c r="AK285" s="12"/>
      <c r="AL285" s="128"/>
      <c r="AM285" s="16"/>
      <c r="AN285" s="128"/>
      <c r="AO285" s="128"/>
      <c r="AP285" s="252"/>
      <c r="AQ285" s="252"/>
      <c r="AR285" s="16"/>
      <c r="AS285" s="252"/>
      <c r="AT285" s="252"/>
      <c r="AU285" s="252"/>
      <c r="AV285" s="252"/>
      <c r="AW285" s="16"/>
      <c r="AX285" s="252"/>
      <c r="AY285" s="252"/>
      <c r="AZ285" s="252"/>
      <c r="BA285" s="252"/>
      <c r="BB285" s="247"/>
      <c r="BC285" s="252"/>
      <c r="BD285" s="252"/>
      <c r="BE285" s="252"/>
      <c r="BF285" s="252"/>
      <c r="BG285" s="247"/>
      <c r="BH285" s="252"/>
      <c r="BI285" s="389"/>
      <c r="BJ285" s="252"/>
      <c r="BK285" s="389"/>
      <c r="BL285" s="247"/>
      <c r="BM285" s="252"/>
      <c r="BN285" s="389"/>
      <c r="BO285" s="252"/>
      <c r="BP285" s="389"/>
      <c r="BQ285" s="353"/>
      <c r="BR285" s="252"/>
      <c r="BS285" s="389"/>
      <c r="BT285" s="252"/>
      <c r="BU285" s="389"/>
      <c r="BV285" s="353"/>
      <c r="BW285" s="252"/>
      <c r="BX285" s="399"/>
      <c r="BY285" s="252"/>
      <c r="BZ285" s="389"/>
      <c r="CA285" s="353"/>
      <c r="CB285" s="252"/>
      <c r="CC285" s="389"/>
      <c r="CD285" s="252"/>
      <c r="CE285" s="389"/>
      <c r="CF285" s="353"/>
      <c r="CG285" s="389"/>
      <c r="CH285" s="389"/>
      <c r="CI285" s="389"/>
      <c r="CJ285" s="389"/>
      <c r="CK285" s="353"/>
      <c r="CL285" s="389"/>
      <c r="CM285" s="389"/>
      <c r="CN285" s="389"/>
      <c r="CO285" s="389"/>
      <c r="CP285" s="353">
        <f>1-CP284</f>
        <v>0.49010979040014513</v>
      </c>
      <c r="CQ285" s="389"/>
      <c r="CR285" s="389"/>
      <c r="CS285" s="389"/>
      <c r="CT285" s="389"/>
      <c r="CU285" s="353">
        <f t="shared" ref="CU285:DE285" si="644">1-CU284</f>
        <v>0.54598779915532614</v>
      </c>
      <c r="CV285" s="389"/>
      <c r="CW285" s="389"/>
      <c r="CX285" s="389"/>
      <c r="CY285" s="389"/>
      <c r="CZ285" s="353">
        <f t="shared" si="644"/>
        <v>0.58840690978886756</v>
      </c>
      <c r="DA285" s="389"/>
      <c r="DB285" s="389"/>
      <c r="DC285" s="389"/>
      <c r="DD285" s="389"/>
      <c r="DE285" s="353">
        <f t="shared" si="644"/>
        <v>0.57551148882593639</v>
      </c>
      <c r="DF285" s="389"/>
      <c r="DG285" s="389"/>
      <c r="DH285" s="389"/>
      <c r="DI285" s="389"/>
      <c r="DJ285" s="353">
        <f t="shared" ref="DJ285:DO285" si="645">1-DJ284</f>
        <v>0.57551148882593639</v>
      </c>
      <c r="DK285" s="389"/>
      <c r="DL285" s="389"/>
      <c r="DM285" s="389"/>
      <c r="DN285" s="389"/>
      <c r="DO285" s="353">
        <f t="shared" si="645"/>
        <v>0.57551148882593639</v>
      </c>
      <c r="DP285" s="389"/>
      <c r="DQ285" s="389"/>
      <c r="DR285" s="389"/>
      <c r="DS285" s="389"/>
      <c r="DT285" s="353">
        <f t="shared" ref="DT285:DU285" si="646">1-DT284</f>
        <v>0.57551148882593639</v>
      </c>
      <c r="DU285" s="353">
        <f t="shared" si="646"/>
        <v>0.57551148882593639</v>
      </c>
      <c r="DV285" s="353">
        <f t="shared" ref="DV285" si="647">1-DV284</f>
        <v>0.57551148882593639</v>
      </c>
    </row>
    <row r="286" spans="1:126" s="15" customFormat="1">
      <c r="A286" s="12"/>
      <c r="B286" s="301" t="s">
        <v>334</v>
      </c>
      <c r="C286" s="16"/>
      <c r="D286" s="16"/>
      <c r="E286" s="16"/>
      <c r="F286" s="16"/>
      <c r="G286" s="16"/>
      <c r="H286" s="16"/>
      <c r="I286" s="16"/>
      <c r="J286" s="12"/>
      <c r="K286" s="12"/>
      <c r="L286" s="12"/>
      <c r="M286" s="12"/>
      <c r="N286" s="16"/>
      <c r="O286" s="12"/>
      <c r="P286" s="12"/>
      <c r="Q286" s="12"/>
      <c r="R286" s="12"/>
      <c r="S286" s="16"/>
      <c r="T286" s="12"/>
      <c r="U286" s="12"/>
      <c r="V286" s="12"/>
      <c r="W286" s="12"/>
      <c r="X286" s="16"/>
      <c r="Y286" s="12"/>
      <c r="Z286" s="12"/>
      <c r="AA286" s="12"/>
      <c r="AB286" s="12"/>
      <c r="AC286" s="16"/>
      <c r="AD286" s="12"/>
      <c r="AE286" s="12"/>
      <c r="AF286" s="12"/>
      <c r="AG286" s="12"/>
      <c r="AH286" s="16"/>
      <c r="AI286" s="12"/>
      <c r="AJ286" s="12"/>
      <c r="AK286" s="12"/>
      <c r="AL286" s="128"/>
      <c r="AM286" s="16"/>
      <c r="AN286" s="128"/>
      <c r="AO286" s="128"/>
      <c r="AP286" s="252"/>
      <c r="AQ286" s="252"/>
      <c r="AR286" s="16"/>
      <c r="AS286" s="252"/>
      <c r="AT286" s="252"/>
      <c r="AU286" s="252"/>
      <c r="AV286" s="252"/>
      <c r="AW286" s="16"/>
      <c r="AX286" s="252"/>
      <c r="AY286" s="252"/>
      <c r="AZ286" s="252"/>
      <c r="BA286" s="252"/>
      <c r="BB286" s="247"/>
      <c r="BC286" s="252"/>
      <c r="BD286" s="252"/>
      <c r="BE286" s="252"/>
      <c r="BF286" s="252"/>
      <c r="BG286" s="247"/>
      <c r="BH286" s="252"/>
      <c r="BI286" s="389"/>
      <c r="BJ286" s="252"/>
      <c r="BK286" s="389"/>
      <c r="BL286" s="247"/>
      <c r="BM286" s="252"/>
      <c r="BN286" s="389"/>
      <c r="BO286" s="252"/>
      <c r="BP286" s="389"/>
      <c r="BQ286" s="164"/>
      <c r="BR286" s="252"/>
      <c r="BS286" s="389"/>
      <c r="BT286" s="252"/>
      <c r="BU286" s="389"/>
      <c r="BV286" s="164"/>
      <c r="BW286" s="252"/>
      <c r="BX286" s="399"/>
      <c r="BY286" s="252"/>
      <c r="BZ286" s="389"/>
      <c r="CA286" s="353"/>
      <c r="CB286" s="252"/>
      <c r="CC286" s="389"/>
      <c r="CD286" s="252"/>
      <c r="CE286" s="389"/>
      <c r="CF286" s="353"/>
      <c r="CG286" s="389"/>
      <c r="CH286" s="389"/>
      <c r="CI286" s="389"/>
      <c r="CJ286" s="389"/>
      <c r="CK286" s="353"/>
      <c r="CL286" s="389"/>
      <c r="CM286" s="389"/>
      <c r="CN286" s="389"/>
      <c r="CO286" s="389"/>
      <c r="CP286" s="353">
        <f>CP284</f>
        <v>0.50989020959985487</v>
      </c>
      <c r="CQ286" s="389"/>
      <c r="CR286" s="389"/>
      <c r="CS286" s="389"/>
      <c r="CT286" s="389"/>
      <c r="CU286" s="353">
        <f>CU284</f>
        <v>0.45401220084467392</v>
      </c>
      <c r="CV286" s="389"/>
      <c r="CW286" s="389"/>
      <c r="CX286" s="389"/>
      <c r="CY286" s="389"/>
      <c r="CZ286" s="353">
        <f>CZ284</f>
        <v>0.41159309021113238</v>
      </c>
      <c r="DA286" s="389"/>
      <c r="DB286" s="389"/>
      <c r="DC286" s="389"/>
      <c r="DD286" s="389"/>
      <c r="DE286" s="353">
        <f>DE284</f>
        <v>0.42448851117406361</v>
      </c>
      <c r="DF286" s="389"/>
      <c r="DG286" s="389"/>
      <c r="DH286" s="389"/>
      <c r="DI286" s="389"/>
      <c r="DJ286" s="353">
        <f>DJ284</f>
        <v>0.42448851117406361</v>
      </c>
      <c r="DK286" s="389"/>
      <c r="DL286" s="389"/>
      <c r="DM286" s="389"/>
      <c r="DN286" s="389"/>
      <c r="DO286" s="353">
        <f>DO284</f>
        <v>0.42448851117406361</v>
      </c>
      <c r="DP286" s="389"/>
      <c r="DQ286" s="389"/>
      <c r="DR286" s="389"/>
      <c r="DS286" s="389"/>
      <c r="DT286" s="353">
        <f>DT284</f>
        <v>0.42448851117406361</v>
      </c>
      <c r="DU286" s="353">
        <f>DU284</f>
        <v>0.42448851117406361</v>
      </c>
      <c r="DV286" s="353">
        <f>DV284</f>
        <v>0.42448851117406361</v>
      </c>
    </row>
    <row r="287" spans="1:126" s="15" customFormat="1">
      <c r="A287" s="12"/>
      <c r="B287" s="301" t="s">
        <v>335</v>
      </c>
      <c r="C287" s="16"/>
      <c r="D287" s="16"/>
      <c r="E287" s="16"/>
      <c r="F287" s="16"/>
      <c r="G287" s="16"/>
      <c r="H287" s="16"/>
      <c r="I287" s="16"/>
      <c r="J287" s="12"/>
      <c r="K287" s="12"/>
      <c r="L287" s="12"/>
      <c r="M287" s="12"/>
      <c r="N287" s="16"/>
      <c r="O287" s="12"/>
      <c r="P287" s="12"/>
      <c r="Q287" s="12"/>
      <c r="R287" s="12"/>
      <c r="S287" s="16"/>
      <c r="T287" s="12"/>
      <c r="U287" s="12"/>
      <c r="V287" s="12"/>
      <c r="W287" s="12"/>
      <c r="X287" s="16"/>
      <c r="Y287" s="12"/>
      <c r="Z287" s="12"/>
      <c r="AA287" s="12"/>
      <c r="AB287" s="12"/>
      <c r="AC287" s="16"/>
      <c r="AD287" s="12"/>
      <c r="AE287" s="12"/>
      <c r="AF287" s="12"/>
      <c r="AG287" s="12"/>
      <c r="AH287" s="16"/>
      <c r="AI287" s="12"/>
      <c r="AJ287" s="12"/>
      <c r="AK287" s="12"/>
      <c r="AL287" s="128"/>
      <c r="AM287" s="16"/>
      <c r="AN287" s="128"/>
      <c r="AO287" s="128"/>
      <c r="AP287" s="252"/>
      <c r="AQ287" s="252"/>
      <c r="AR287" s="16"/>
      <c r="AS287" s="252"/>
      <c r="AT287" s="252"/>
      <c r="AU287" s="252"/>
      <c r="AV287" s="252"/>
      <c r="AW287" s="16"/>
      <c r="AX287" s="252"/>
      <c r="AY287" s="252"/>
      <c r="AZ287" s="252"/>
      <c r="BA287" s="252"/>
      <c r="BB287" s="247"/>
      <c r="BC287" s="252"/>
      <c r="BD287" s="252"/>
      <c r="BE287" s="252"/>
      <c r="BF287" s="252"/>
      <c r="BG287" s="247"/>
      <c r="BH287" s="252"/>
      <c r="BI287" s="389"/>
      <c r="BJ287" s="252"/>
      <c r="BK287" s="389"/>
      <c r="BL287" s="247"/>
      <c r="BM287" s="252"/>
      <c r="BN287" s="389"/>
      <c r="BO287" s="252"/>
      <c r="BP287" s="389"/>
      <c r="BQ287" s="353"/>
      <c r="BR287" s="252"/>
      <c r="BS287" s="389"/>
      <c r="BT287" s="252"/>
      <c r="BU287" s="389"/>
      <c r="BV287" s="353"/>
      <c r="BW287" s="252"/>
      <c r="BX287" s="399"/>
      <c r="BY287" s="252"/>
      <c r="BZ287" s="389"/>
      <c r="CA287" s="353"/>
      <c r="CB287" s="252"/>
      <c r="CC287" s="389"/>
      <c r="CD287" s="252"/>
      <c r="CE287" s="389"/>
      <c r="CF287" s="353"/>
      <c r="CG287" s="389"/>
      <c r="CH287" s="389"/>
      <c r="CI287" s="389"/>
      <c r="CJ287" s="389"/>
      <c r="CK287" s="353"/>
      <c r="CL287" s="389"/>
      <c r="CM287" s="389"/>
      <c r="CN287" s="389"/>
      <c r="CO287" s="389"/>
      <c r="CP287" s="353">
        <f>1-CP286</f>
        <v>0.49010979040014513</v>
      </c>
      <c r="CQ287" s="389"/>
      <c r="CR287" s="389"/>
      <c r="CS287" s="389"/>
      <c r="CT287" s="389"/>
      <c r="CU287" s="353">
        <f t="shared" ref="CU287:DE287" si="648">1-CU286</f>
        <v>0.54598779915532614</v>
      </c>
      <c r="CV287" s="389"/>
      <c r="CW287" s="389"/>
      <c r="CX287" s="389"/>
      <c r="CY287" s="389"/>
      <c r="CZ287" s="353">
        <f t="shared" si="648"/>
        <v>0.58840690978886756</v>
      </c>
      <c r="DA287" s="389"/>
      <c r="DB287" s="389"/>
      <c r="DC287" s="389"/>
      <c r="DD287" s="389"/>
      <c r="DE287" s="353">
        <f t="shared" si="648"/>
        <v>0.57551148882593639</v>
      </c>
      <c r="DF287" s="389"/>
      <c r="DG287" s="389"/>
      <c r="DH287" s="389"/>
      <c r="DI287" s="389"/>
      <c r="DJ287" s="353">
        <f t="shared" ref="DJ287:DO287" si="649">1-DJ286</f>
        <v>0.57551148882593639</v>
      </c>
      <c r="DK287" s="389"/>
      <c r="DL287" s="389"/>
      <c r="DM287" s="389"/>
      <c r="DN287" s="389"/>
      <c r="DO287" s="353">
        <f t="shared" si="649"/>
        <v>0.57551148882593639</v>
      </c>
      <c r="DP287" s="389"/>
      <c r="DQ287" s="389"/>
      <c r="DR287" s="389"/>
      <c r="DS287" s="389"/>
      <c r="DT287" s="353">
        <f t="shared" ref="DT287:DU287" si="650">1-DT286</f>
        <v>0.57551148882593639</v>
      </c>
      <c r="DU287" s="353">
        <f t="shared" si="650"/>
        <v>0.57551148882593639</v>
      </c>
      <c r="DV287" s="353">
        <f t="shared" ref="DV287" si="651">1-DV286</f>
        <v>0.57551148882593639</v>
      </c>
    </row>
    <row r="288" spans="1:126" s="15" customFormat="1">
      <c r="A288" s="12"/>
      <c r="B288" s="301"/>
      <c r="C288" s="16"/>
      <c r="D288" s="16"/>
      <c r="E288" s="16"/>
      <c r="F288" s="16"/>
      <c r="G288" s="16"/>
      <c r="H288" s="16"/>
      <c r="I288" s="16"/>
      <c r="J288" s="12"/>
      <c r="K288" s="12"/>
      <c r="L288" s="12"/>
      <c r="M288" s="12"/>
      <c r="N288" s="16"/>
      <c r="O288" s="12"/>
      <c r="P288" s="12"/>
      <c r="Q288" s="12"/>
      <c r="R288" s="12"/>
      <c r="S288" s="16"/>
      <c r="T288" s="12"/>
      <c r="U288" s="12"/>
      <c r="V288" s="12"/>
      <c r="W288" s="12"/>
      <c r="X288" s="16"/>
      <c r="Y288" s="12"/>
      <c r="Z288" s="12"/>
      <c r="AA288" s="12"/>
      <c r="AB288" s="12"/>
      <c r="AC288" s="16"/>
      <c r="AD288" s="12"/>
      <c r="AE288" s="12"/>
      <c r="AF288" s="12"/>
      <c r="AG288" s="12"/>
      <c r="AH288" s="16"/>
      <c r="AI288" s="12"/>
      <c r="AJ288" s="12"/>
      <c r="AK288" s="12"/>
      <c r="AL288" s="128"/>
      <c r="AM288" s="16"/>
      <c r="AN288" s="128"/>
      <c r="AO288" s="128"/>
      <c r="AP288" s="252"/>
      <c r="AQ288" s="252"/>
      <c r="AR288" s="16"/>
      <c r="AS288" s="252"/>
      <c r="AT288" s="252"/>
      <c r="AU288" s="252"/>
      <c r="AV288" s="252"/>
      <c r="AW288" s="16"/>
      <c r="AX288" s="252"/>
      <c r="AY288" s="252"/>
      <c r="AZ288" s="252"/>
      <c r="BA288" s="252"/>
      <c r="BB288" s="247"/>
      <c r="BC288" s="252"/>
      <c r="BD288" s="252"/>
      <c r="BE288" s="252"/>
      <c r="BF288" s="252"/>
      <c r="BG288" s="247"/>
      <c r="BH288" s="252"/>
      <c r="BI288" s="389"/>
      <c r="BJ288" s="252"/>
      <c r="BK288" s="389"/>
      <c r="BL288" s="247"/>
      <c r="BM288" s="252"/>
      <c r="BN288" s="389"/>
      <c r="BO288" s="252"/>
      <c r="BP288" s="389"/>
      <c r="BQ288" s="247"/>
      <c r="BR288" s="252"/>
      <c r="BS288" s="389"/>
      <c r="BT288" s="252"/>
      <c r="BU288" s="389"/>
      <c r="BV288" s="247"/>
      <c r="BW288" s="252"/>
      <c r="BX288" s="399"/>
      <c r="BY288" s="252"/>
      <c r="BZ288" s="389"/>
      <c r="CA288" s="247"/>
      <c r="CB288" s="252"/>
      <c r="CC288" s="389"/>
      <c r="CD288" s="252"/>
      <c r="CE288" s="389"/>
      <c r="CF288" s="247"/>
      <c r="CG288" s="389"/>
      <c r="CH288" s="389"/>
      <c r="CI288" s="389"/>
      <c r="CJ288" s="389"/>
      <c r="CK288" s="247"/>
      <c r="CL288" s="389"/>
      <c r="CM288" s="389"/>
      <c r="CN288" s="389"/>
      <c r="CO288" s="389"/>
      <c r="CP288" s="247"/>
      <c r="CQ288" s="389"/>
      <c r="CR288" s="389"/>
      <c r="CS288" s="389"/>
      <c r="CT288" s="389"/>
      <c r="CU288" s="247"/>
      <c r="CV288" s="389"/>
      <c r="CW288" s="389"/>
      <c r="CX288" s="389"/>
      <c r="CY288" s="389"/>
      <c r="CZ288" s="247"/>
      <c r="DA288" s="389"/>
      <c r="DB288" s="389"/>
      <c r="DC288" s="389"/>
      <c r="DD288" s="389"/>
      <c r="DE288" s="247"/>
      <c r="DF288" s="389"/>
      <c r="DG288" s="389"/>
      <c r="DH288" s="389"/>
      <c r="DI288" s="389"/>
      <c r="DJ288" s="247"/>
      <c r="DK288" s="389"/>
      <c r="DL288" s="389"/>
      <c r="DM288" s="389"/>
      <c r="DN288" s="389"/>
      <c r="DO288" s="247"/>
      <c r="DP288" s="389"/>
      <c r="DQ288" s="389"/>
      <c r="DR288" s="389"/>
      <c r="DS288" s="389"/>
      <c r="DT288" s="247"/>
      <c r="DU288" s="247"/>
      <c r="DV288" s="247"/>
    </row>
    <row r="289" spans="1:126" s="15" customFormat="1" ht="12">
      <c r="A289" s="12"/>
      <c r="B289" s="339" t="s">
        <v>336</v>
      </c>
      <c r="C289" s="16"/>
      <c r="D289" s="16"/>
      <c r="E289" s="16"/>
      <c r="F289" s="16"/>
      <c r="G289" s="16"/>
      <c r="H289" s="16"/>
      <c r="I289" s="16"/>
      <c r="J289" s="12"/>
      <c r="K289" s="12"/>
      <c r="L289" s="12"/>
      <c r="M289" s="12"/>
      <c r="N289" s="16"/>
      <c r="O289" s="12"/>
      <c r="P289" s="12"/>
      <c r="Q289" s="12"/>
      <c r="R289" s="12"/>
      <c r="S289" s="16"/>
      <c r="T289" s="12"/>
      <c r="U289" s="12"/>
      <c r="V289" s="12"/>
      <c r="W289" s="12"/>
      <c r="X289" s="16"/>
      <c r="Y289" s="12"/>
      <c r="Z289" s="12"/>
      <c r="AA289" s="12"/>
      <c r="AB289" s="12"/>
      <c r="AC289" s="16"/>
      <c r="AD289" s="12"/>
      <c r="AE289" s="12"/>
      <c r="AF289" s="12"/>
      <c r="AG289" s="12"/>
      <c r="AH289" s="16"/>
      <c r="AI289" s="12"/>
      <c r="AJ289" s="12"/>
      <c r="AK289" s="12"/>
      <c r="AL289" s="128"/>
      <c r="AM289" s="16"/>
      <c r="AN289" s="128"/>
      <c r="AO289" s="128"/>
      <c r="AP289" s="252"/>
      <c r="AQ289" s="252"/>
      <c r="AR289" s="16"/>
      <c r="AS289" s="252"/>
      <c r="AT289" s="252"/>
      <c r="AU289" s="252"/>
      <c r="AV289" s="252"/>
      <c r="AW289" s="16"/>
      <c r="AX289" s="252"/>
      <c r="AY289" s="252"/>
      <c r="AZ289" s="252"/>
      <c r="BA289" s="252"/>
      <c r="BB289" s="247"/>
      <c r="BC289" s="252"/>
      <c r="BD289" s="252"/>
      <c r="BE289" s="252"/>
      <c r="BF289" s="252"/>
      <c r="BG289" s="247"/>
      <c r="BH289" s="252"/>
      <c r="BI289" s="389"/>
      <c r="BJ289" s="252"/>
      <c r="BK289" s="389"/>
      <c r="BL289" s="247"/>
      <c r="BM289" s="252"/>
      <c r="BN289" s="389"/>
      <c r="BO289" s="252"/>
      <c r="BP289" s="389"/>
      <c r="BQ289" s="247"/>
      <c r="BR289" s="252"/>
      <c r="BS289" s="389"/>
      <c r="BT289" s="252"/>
      <c r="BU289" s="389"/>
      <c r="BV289" s="247"/>
      <c r="BW289" s="252"/>
      <c r="BX289" s="399"/>
      <c r="BY289" s="252"/>
      <c r="BZ289" s="389"/>
      <c r="CA289" s="247"/>
      <c r="CB289" s="252"/>
      <c r="CC289" s="389"/>
      <c r="CD289" s="252"/>
      <c r="CE289" s="389"/>
      <c r="CF289" s="247"/>
      <c r="CG289" s="389"/>
      <c r="CH289" s="389"/>
      <c r="CI289" s="389"/>
      <c r="CJ289" s="389"/>
      <c r="CK289" s="247"/>
      <c r="CL289" s="389"/>
      <c r="CM289" s="389"/>
      <c r="CN289" s="389"/>
      <c r="CO289" s="389"/>
      <c r="CP289" s="247"/>
      <c r="CQ289" s="389"/>
      <c r="CR289" s="389"/>
      <c r="CS289" s="389"/>
      <c r="CT289" s="389"/>
      <c r="CU289" s="247"/>
      <c r="CV289" s="389"/>
      <c r="CW289" s="389"/>
      <c r="CX289" s="389"/>
      <c r="CY289" s="389"/>
      <c r="CZ289" s="247"/>
      <c r="DA289" s="389"/>
      <c r="DB289" s="389"/>
      <c r="DC289" s="389"/>
      <c r="DD289" s="389"/>
      <c r="DE289" s="247"/>
      <c r="DF289" s="389"/>
      <c r="DG289" s="389"/>
      <c r="DH289" s="389"/>
      <c r="DI289" s="389"/>
      <c r="DJ289" s="247"/>
      <c r="DK289" s="389"/>
      <c r="DL289" s="389"/>
      <c r="DM289" s="389"/>
      <c r="DN289" s="389"/>
      <c r="DO289" s="247"/>
      <c r="DP289" s="389"/>
      <c r="DQ289" s="389"/>
      <c r="DR289" s="389"/>
      <c r="DS289" s="389"/>
      <c r="DT289" s="247"/>
      <c r="DU289" s="247"/>
      <c r="DV289" s="247"/>
    </row>
    <row r="290" spans="1:126" s="15" customFormat="1">
      <c r="A290" s="12"/>
      <c r="B290" s="313" t="s">
        <v>337</v>
      </c>
      <c r="C290" s="16"/>
      <c r="D290" s="16"/>
      <c r="E290" s="16"/>
      <c r="F290" s="16"/>
      <c r="G290" s="16"/>
      <c r="H290" s="16"/>
      <c r="I290" s="16"/>
      <c r="J290" s="12"/>
      <c r="K290" s="12"/>
      <c r="L290" s="12"/>
      <c r="M290" s="12"/>
      <c r="N290" s="16"/>
      <c r="O290" s="12"/>
      <c r="P290" s="12"/>
      <c r="Q290" s="12"/>
      <c r="R290" s="12"/>
      <c r="S290" s="16"/>
      <c r="T290" s="12"/>
      <c r="U290" s="12"/>
      <c r="V290" s="12"/>
      <c r="W290" s="12"/>
      <c r="X290" s="16"/>
      <c r="Y290" s="12"/>
      <c r="Z290" s="12"/>
      <c r="AA290" s="12"/>
      <c r="AB290" s="12"/>
      <c r="AC290" s="16"/>
      <c r="AD290" s="12"/>
      <c r="AE290" s="12"/>
      <c r="AF290" s="12"/>
      <c r="AG290" s="12"/>
      <c r="AH290" s="16"/>
      <c r="AI290" s="12"/>
      <c r="AJ290" s="12"/>
      <c r="AK290" s="12"/>
      <c r="AL290" s="128"/>
      <c r="AM290" s="16"/>
      <c r="AN290" s="128"/>
      <c r="AO290" s="128"/>
      <c r="AP290" s="252"/>
      <c r="AQ290" s="252"/>
      <c r="AR290" s="16"/>
      <c r="AS290" s="252"/>
      <c r="AT290" s="252"/>
      <c r="AU290" s="252"/>
      <c r="AV290" s="252"/>
      <c r="AW290" s="16"/>
      <c r="AX290" s="252"/>
      <c r="AY290" s="252"/>
      <c r="AZ290" s="252"/>
      <c r="BA290" s="252"/>
      <c r="BB290" s="247"/>
      <c r="BC290" s="252"/>
      <c r="BD290" s="252"/>
      <c r="BE290" s="252"/>
      <c r="BF290" s="252"/>
      <c r="BG290" s="247"/>
      <c r="BH290" s="252"/>
      <c r="BI290" s="389"/>
      <c r="BJ290" s="252"/>
      <c r="BK290" s="389"/>
      <c r="BL290" s="247"/>
      <c r="BM290" s="252"/>
      <c r="BN290" s="389"/>
      <c r="BO290" s="252"/>
      <c r="BP290" s="389"/>
      <c r="BQ290" s="164">
        <v>0</v>
      </c>
      <c r="BR290" s="252"/>
      <c r="BS290" s="389"/>
      <c r="BT290" s="252"/>
      <c r="BU290" s="389"/>
      <c r="BV290" s="164">
        <v>0</v>
      </c>
      <c r="BW290" s="252"/>
      <c r="BX290" s="399"/>
      <c r="BY290" s="252"/>
      <c r="BZ290" s="389"/>
      <c r="CA290" s="353">
        <f>BV290</f>
        <v>0</v>
      </c>
      <c r="CB290" s="252"/>
      <c r="CC290" s="389"/>
      <c r="CD290" s="252"/>
      <c r="CE290" s="389"/>
      <c r="CF290" s="353">
        <f>CA290</f>
        <v>0</v>
      </c>
      <c r="CG290" s="389"/>
      <c r="CH290" s="389"/>
      <c r="CI290" s="389"/>
      <c r="CJ290" s="389"/>
      <c r="CK290" s="353">
        <f>CF290</f>
        <v>0</v>
      </c>
      <c r="CL290" s="389"/>
      <c r="CM290" s="389"/>
      <c r="CN290" s="389"/>
      <c r="CO290" s="389"/>
      <c r="CP290" s="353">
        <f>CK290</f>
        <v>0</v>
      </c>
      <c r="CQ290" s="389"/>
      <c r="CR290" s="389"/>
      <c r="CS290" s="389"/>
      <c r="CT290" s="389"/>
      <c r="CU290" s="353">
        <f>CP290</f>
        <v>0</v>
      </c>
      <c r="CV290" s="389"/>
      <c r="CW290" s="389"/>
      <c r="CX290" s="389"/>
      <c r="CY290" s="389"/>
      <c r="CZ290" s="353">
        <f>CU290</f>
        <v>0</v>
      </c>
      <c r="DA290" s="389"/>
      <c r="DB290" s="389"/>
      <c r="DC290" s="389"/>
      <c r="DD290" s="389"/>
      <c r="DE290" s="353">
        <f>CZ290</f>
        <v>0</v>
      </c>
      <c r="DF290" s="389"/>
      <c r="DG290" s="389"/>
      <c r="DH290" s="389"/>
      <c r="DI290" s="389"/>
      <c r="DJ290" s="353">
        <f>DE290</f>
        <v>0</v>
      </c>
      <c r="DK290" s="389"/>
      <c r="DL290" s="389"/>
      <c r="DM290" s="389"/>
      <c r="DN290" s="389"/>
      <c r="DO290" s="353">
        <f>DJ290</f>
        <v>0</v>
      </c>
      <c r="DP290" s="389"/>
      <c r="DQ290" s="389"/>
      <c r="DR290" s="389"/>
      <c r="DS290" s="389"/>
      <c r="DT290" s="353">
        <f>DO290</f>
        <v>0</v>
      </c>
      <c r="DU290" s="353">
        <f t="shared" ref="DU290:DV290" si="652">DT290</f>
        <v>0</v>
      </c>
      <c r="DV290" s="353">
        <f t="shared" si="652"/>
        <v>0</v>
      </c>
    </row>
    <row r="291" spans="1:126" s="15" customFormat="1">
      <c r="A291" s="12"/>
      <c r="B291" s="313" t="s">
        <v>338</v>
      </c>
      <c r="C291" s="16"/>
      <c r="D291" s="16"/>
      <c r="E291" s="16"/>
      <c r="F291" s="16"/>
      <c r="G291" s="16"/>
      <c r="H291" s="16"/>
      <c r="I291" s="16"/>
      <c r="J291" s="12"/>
      <c r="K291" s="12"/>
      <c r="L291" s="12"/>
      <c r="M291" s="12"/>
      <c r="N291" s="16"/>
      <c r="O291" s="12"/>
      <c r="P291" s="12"/>
      <c r="Q291" s="12"/>
      <c r="R291" s="12"/>
      <c r="S291" s="16"/>
      <c r="T291" s="12"/>
      <c r="U291" s="12"/>
      <c r="V291" s="12"/>
      <c r="W291" s="12"/>
      <c r="X291" s="16"/>
      <c r="Y291" s="12"/>
      <c r="Z291" s="12"/>
      <c r="AA291" s="12"/>
      <c r="AB291" s="12"/>
      <c r="AC291" s="16"/>
      <c r="AD291" s="12"/>
      <c r="AE291" s="12"/>
      <c r="AF291" s="12"/>
      <c r="AG291" s="12"/>
      <c r="AH291" s="16"/>
      <c r="AI291" s="12"/>
      <c r="AJ291" s="12"/>
      <c r="AK291" s="12"/>
      <c r="AL291" s="128"/>
      <c r="AM291" s="16"/>
      <c r="AN291" s="128"/>
      <c r="AO291" s="128"/>
      <c r="AP291" s="252"/>
      <c r="AQ291" s="252"/>
      <c r="AR291" s="16"/>
      <c r="AS291" s="252"/>
      <c r="AT291" s="252"/>
      <c r="AU291" s="252"/>
      <c r="AV291" s="252"/>
      <c r="AW291" s="16"/>
      <c r="AX291" s="252"/>
      <c r="AY291" s="252"/>
      <c r="AZ291" s="252"/>
      <c r="BA291" s="252"/>
      <c r="BB291" s="247"/>
      <c r="BC291" s="252"/>
      <c r="BD291" s="252"/>
      <c r="BE291" s="252"/>
      <c r="BF291" s="252"/>
      <c r="BG291" s="247"/>
      <c r="BH291" s="252"/>
      <c r="BI291" s="389"/>
      <c r="BJ291" s="252"/>
      <c r="BK291" s="389"/>
      <c r="BL291" s="247"/>
      <c r="BM291" s="252"/>
      <c r="BN291" s="389"/>
      <c r="BO291" s="252"/>
      <c r="BP291" s="389"/>
      <c r="BQ291" s="164">
        <v>0</v>
      </c>
      <c r="BR291" s="252"/>
      <c r="BS291" s="389"/>
      <c r="BT291" s="252"/>
      <c r="BU291" s="389"/>
      <c r="BV291" s="164">
        <v>0</v>
      </c>
      <c r="BW291" s="252"/>
      <c r="BX291" s="399"/>
      <c r="BY291" s="252"/>
      <c r="BZ291" s="389"/>
      <c r="CA291" s="353">
        <f>BV291</f>
        <v>0</v>
      </c>
      <c r="CB291" s="252"/>
      <c r="CC291" s="389"/>
      <c r="CD291" s="252"/>
      <c r="CE291" s="389"/>
      <c r="CF291" s="353">
        <f>CA291</f>
        <v>0</v>
      </c>
      <c r="CG291" s="389"/>
      <c r="CH291" s="389"/>
      <c r="CI291" s="389"/>
      <c r="CJ291" s="389"/>
      <c r="CK291" s="353">
        <f>CF291</f>
        <v>0</v>
      </c>
      <c r="CL291" s="389"/>
      <c r="CM291" s="389"/>
      <c r="CN291" s="389"/>
      <c r="CO291" s="389"/>
      <c r="CP291" s="353">
        <f>CK291</f>
        <v>0</v>
      </c>
      <c r="CQ291" s="389"/>
      <c r="CR291" s="389"/>
      <c r="CS291" s="389"/>
      <c r="CT291" s="389"/>
      <c r="CU291" s="353">
        <f>CP291</f>
        <v>0</v>
      </c>
      <c r="CV291" s="389"/>
      <c r="CW291" s="389"/>
      <c r="CX291" s="389"/>
      <c r="CY291" s="389"/>
      <c r="CZ291" s="353">
        <f>CU291</f>
        <v>0</v>
      </c>
      <c r="DA291" s="389"/>
      <c r="DB291" s="389"/>
      <c r="DC291" s="389"/>
      <c r="DD291" s="389"/>
      <c r="DE291" s="353">
        <f>CZ291</f>
        <v>0</v>
      </c>
      <c r="DF291" s="389"/>
      <c r="DG291" s="389"/>
      <c r="DH291" s="389"/>
      <c r="DI291" s="389"/>
      <c r="DJ291" s="353">
        <f>DE291</f>
        <v>0</v>
      </c>
      <c r="DK291" s="389"/>
      <c r="DL291" s="389"/>
      <c r="DM291" s="389"/>
      <c r="DN291" s="389"/>
      <c r="DO291" s="353">
        <f>DJ291</f>
        <v>0</v>
      </c>
      <c r="DP291" s="389"/>
      <c r="DQ291" s="389"/>
      <c r="DR291" s="389"/>
      <c r="DS291" s="389"/>
      <c r="DT291" s="353">
        <f>DO291</f>
        <v>0</v>
      </c>
      <c r="DU291" s="353">
        <f t="shared" ref="DU291:DV291" si="653">DT291</f>
        <v>0</v>
      </c>
      <c r="DV291" s="353">
        <f t="shared" si="653"/>
        <v>0</v>
      </c>
    </row>
    <row r="292" spans="1:126" s="15" customFormat="1">
      <c r="A292" s="12"/>
      <c r="B292" s="301"/>
      <c r="C292" s="16"/>
      <c r="D292" s="16"/>
      <c r="E292" s="16"/>
      <c r="F292" s="16"/>
      <c r="G292" s="16"/>
      <c r="H292" s="16"/>
      <c r="I292" s="16"/>
      <c r="J292" s="12"/>
      <c r="K292" s="12"/>
      <c r="L292" s="12"/>
      <c r="M292" s="12"/>
      <c r="N292" s="16"/>
      <c r="O292" s="12"/>
      <c r="P292" s="12"/>
      <c r="Q292" s="12"/>
      <c r="R292" s="12"/>
      <c r="S292" s="16"/>
      <c r="T292" s="12"/>
      <c r="U292" s="12"/>
      <c r="V292" s="12"/>
      <c r="W292" s="12"/>
      <c r="X292" s="16"/>
      <c r="Y292" s="12"/>
      <c r="Z292" s="12"/>
      <c r="AA292" s="12"/>
      <c r="AB292" s="12"/>
      <c r="AC292" s="16"/>
      <c r="AD292" s="12"/>
      <c r="AE292" s="12"/>
      <c r="AF292" s="12"/>
      <c r="AG292" s="12"/>
      <c r="AH292" s="16"/>
      <c r="AI292" s="12"/>
      <c r="AJ292" s="12"/>
      <c r="AK292" s="12"/>
      <c r="AL292" s="128"/>
      <c r="AM292" s="16"/>
      <c r="AN292" s="128"/>
      <c r="AO292" s="128"/>
      <c r="AP292" s="252"/>
      <c r="AQ292" s="252"/>
      <c r="AR292" s="16"/>
      <c r="AS292" s="252"/>
      <c r="AT292" s="252"/>
      <c r="AU292" s="252"/>
      <c r="AV292" s="252"/>
      <c r="AW292" s="16"/>
      <c r="AX292" s="252"/>
      <c r="AY292" s="252"/>
      <c r="AZ292" s="252"/>
      <c r="BA292" s="252"/>
      <c r="BB292" s="247"/>
      <c r="BC292" s="252"/>
      <c r="BD292" s="252"/>
      <c r="BE292" s="252"/>
      <c r="BF292" s="252"/>
      <c r="BG292" s="247"/>
      <c r="BH292" s="252"/>
      <c r="BI292" s="389"/>
      <c r="BJ292" s="252"/>
      <c r="BK292" s="389"/>
      <c r="BL292" s="247"/>
      <c r="BM292" s="252"/>
      <c r="BN292" s="389"/>
      <c r="BO292" s="252"/>
      <c r="BP292" s="389"/>
      <c r="BQ292" s="247"/>
      <c r="BR292" s="252"/>
      <c r="BS292" s="389"/>
      <c r="BT292" s="252"/>
      <c r="BU292" s="389"/>
      <c r="BV292" s="247"/>
      <c r="BW292" s="252"/>
      <c r="BX292" s="399"/>
      <c r="BY292" s="252"/>
      <c r="BZ292" s="389"/>
      <c r="CA292" s="247"/>
      <c r="CB292" s="252"/>
      <c r="CC292" s="389"/>
      <c r="CD292" s="252"/>
      <c r="CE292" s="389"/>
      <c r="CF292" s="247"/>
      <c r="CG292" s="389"/>
      <c r="CH292" s="389"/>
      <c r="CI292" s="389"/>
      <c r="CJ292" s="389"/>
      <c r="CK292" s="247"/>
      <c r="CL292" s="389"/>
      <c r="CM292" s="389"/>
      <c r="CN292" s="389"/>
      <c r="CO292" s="389"/>
      <c r="CP292" s="247"/>
      <c r="CQ292" s="389"/>
      <c r="CR292" s="389"/>
      <c r="CS292" s="389"/>
      <c r="CT292" s="389"/>
      <c r="CU292" s="247"/>
      <c r="CV292" s="389"/>
      <c r="CW292" s="389"/>
      <c r="CX292" s="389"/>
      <c r="CY292" s="389"/>
      <c r="CZ292" s="247"/>
      <c r="DA292" s="389"/>
      <c r="DB292" s="389"/>
      <c r="DC292" s="389"/>
      <c r="DD292" s="389"/>
      <c r="DE292" s="247"/>
      <c r="DF292" s="389"/>
      <c r="DG292" s="389"/>
      <c r="DH292" s="389"/>
      <c r="DI292" s="389"/>
      <c r="DJ292" s="247"/>
      <c r="DK292" s="389"/>
      <c r="DL292" s="389"/>
      <c r="DM292" s="389"/>
      <c r="DN292" s="389"/>
      <c r="DO292" s="247"/>
      <c r="DP292" s="389"/>
      <c r="DQ292" s="389"/>
      <c r="DR292" s="389"/>
      <c r="DS292" s="389"/>
      <c r="DT292" s="247"/>
      <c r="DU292" s="247"/>
      <c r="DV292" s="247"/>
    </row>
    <row r="293" spans="1:126" s="15" customFormat="1" ht="12">
      <c r="A293" s="12"/>
      <c r="B293" s="110" t="s">
        <v>225</v>
      </c>
      <c r="C293" s="16"/>
      <c r="D293" s="16"/>
      <c r="E293" s="16"/>
      <c r="F293" s="16"/>
      <c r="G293" s="16"/>
      <c r="H293" s="16"/>
      <c r="I293" s="16"/>
      <c r="J293" s="12"/>
      <c r="K293" s="12"/>
      <c r="L293" s="12"/>
      <c r="M293" s="12"/>
      <c r="N293" s="16"/>
      <c r="O293" s="12"/>
      <c r="P293" s="12"/>
      <c r="Q293" s="12"/>
      <c r="R293" s="12"/>
      <c r="S293" s="16"/>
      <c r="T293" s="12"/>
      <c r="U293" s="12"/>
      <c r="V293" s="12"/>
      <c r="W293" s="12"/>
      <c r="X293" s="16"/>
      <c r="Y293" s="12"/>
      <c r="Z293" s="12"/>
      <c r="AA293" s="12"/>
      <c r="AB293" s="12"/>
      <c r="AC293" s="16"/>
      <c r="AD293" s="12"/>
      <c r="AE293" s="12"/>
      <c r="AF293" s="12"/>
      <c r="AG293" s="12"/>
      <c r="AH293" s="16"/>
      <c r="AI293" s="12"/>
      <c r="AJ293" s="12"/>
      <c r="AK293" s="12"/>
      <c r="AL293" s="128"/>
      <c r="AM293" s="16"/>
      <c r="AN293" s="128"/>
      <c r="AO293" s="128"/>
      <c r="AP293" s="252"/>
      <c r="AQ293" s="252"/>
      <c r="AR293" s="16"/>
      <c r="AS293" s="252"/>
      <c r="AT293" s="252"/>
      <c r="AU293" s="252"/>
      <c r="AV293" s="252"/>
      <c r="AW293" s="16"/>
      <c r="AX293" s="252"/>
      <c r="AY293" s="252"/>
      <c r="AZ293" s="252"/>
      <c r="BA293" s="252"/>
      <c r="BB293" s="247"/>
      <c r="BC293" s="252"/>
      <c r="BD293" s="252"/>
      <c r="BE293" s="252"/>
      <c r="BF293" s="252"/>
      <c r="BG293" s="247"/>
      <c r="BH293" s="252"/>
      <c r="BI293" s="389"/>
      <c r="BJ293" s="252"/>
      <c r="BK293" s="389"/>
      <c r="BL293" s="247"/>
      <c r="BM293" s="252"/>
      <c r="BN293" s="389"/>
      <c r="BO293" s="252"/>
      <c r="BP293" s="389"/>
      <c r="BQ293" s="247"/>
      <c r="BR293" s="252"/>
      <c r="BS293" s="389"/>
      <c r="BT293" s="252"/>
      <c r="BU293" s="389"/>
      <c r="BV293" s="247"/>
      <c r="BW293" s="252"/>
      <c r="BX293" s="399"/>
      <c r="BY293" s="252"/>
      <c r="BZ293" s="389"/>
      <c r="CA293" s="247"/>
      <c r="CB293" s="252"/>
      <c r="CC293" s="389"/>
      <c r="CD293" s="252"/>
      <c r="CE293" s="389"/>
      <c r="CF293" s="247"/>
      <c r="CG293" s="389"/>
      <c r="CH293" s="389"/>
      <c r="CI293" s="389"/>
      <c r="CJ293" s="389"/>
      <c r="CK293" s="247"/>
      <c r="CL293" s="389"/>
      <c r="CM293" s="389"/>
      <c r="CN293" s="389"/>
      <c r="CO293" s="389"/>
      <c r="CP293" s="247"/>
      <c r="CQ293" s="389"/>
      <c r="CR293" s="389"/>
      <c r="CS293" s="389"/>
      <c r="CT293" s="389"/>
      <c r="CU293" s="247"/>
      <c r="CV293" s="389"/>
      <c r="CW293" s="389"/>
      <c r="CX293" s="389"/>
      <c r="CY293" s="389"/>
      <c r="CZ293" s="247"/>
      <c r="DA293" s="389"/>
      <c r="DB293" s="389"/>
      <c r="DC293" s="389"/>
      <c r="DD293" s="389"/>
      <c r="DE293" s="247"/>
      <c r="DF293" s="389"/>
      <c r="DG293" s="389"/>
      <c r="DH293" s="389"/>
      <c r="DI293" s="389"/>
      <c r="DJ293" s="247"/>
      <c r="DK293" s="389"/>
      <c r="DL293" s="389"/>
      <c r="DM293" s="389"/>
      <c r="DN293" s="389"/>
      <c r="DO293" s="247"/>
      <c r="DP293" s="389"/>
      <c r="DQ293" s="389"/>
      <c r="DR293" s="389"/>
      <c r="DS293" s="389"/>
      <c r="DT293" s="247"/>
      <c r="DU293" s="247"/>
      <c r="DV293" s="247"/>
    </row>
    <row r="294" spans="1:126" s="15" customFormat="1">
      <c r="A294" s="12"/>
      <c r="B294" s="301" t="s">
        <v>228</v>
      </c>
      <c r="C294" s="16"/>
      <c r="D294" s="16"/>
      <c r="E294" s="16"/>
      <c r="F294" s="16"/>
      <c r="G294" s="16"/>
      <c r="H294" s="16"/>
      <c r="I294" s="16"/>
      <c r="J294" s="12"/>
      <c r="K294" s="12"/>
      <c r="L294" s="12"/>
      <c r="M294" s="12"/>
      <c r="N294" s="16"/>
      <c r="O294" s="12"/>
      <c r="P294" s="12"/>
      <c r="Q294" s="12"/>
      <c r="R294" s="12"/>
      <c r="S294" s="16"/>
      <c r="T294" s="12"/>
      <c r="U294" s="12"/>
      <c r="V294" s="12"/>
      <c r="W294" s="12"/>
      <c r="X294" s="16"/>
      <c r="Y294" s="12"/>
      <c r="Z294" s="12"/>
      <c r="AA294" s="12"/>
      <c r="AB294" s="12"/>
      <c r="AC294" s="16"/>
      <c r="AD294" s="12"/>
      <c r="AE294" s="12"/>
      <c r="AF294" s="12"/>
      <c r="AG294" s="12"/>
      <c r="AH294" s="16"/>
      <c r="AI294" s="12"/>
      <c r="AJ294" s="12"/>
      <c r="AK294" s="12"/>
      <c r="AL294" s="128"/>
      <c r="AM294" s="16"/>
      <c r="AN294" s="128"/>
      <c r="AO294" s="128"/>
      <c r="AP294" s="252"/>
      <c r="AQ294" s="252"/>
      <c r="AR294" s="16"/>
      <c r="AS294" s="252"/>
      <c r="AT294" s="252"/>
      <c r="AU294" s="252"/>
      <c r="AV294" s="252"/>
      <c r="AW294" s="16"/>
      <c r="AX294" s="252"/>
      <c r="AY294" s="252"/>
      <c r="AZ294" s="252"/>
      <c r="BA294" s="252"/>
      <c r="BB294" s="354"/>
      <c r="BC294" s="252"/>
      <c r="BD294" s="252"/>
      <c r="BE294" s="252"/>
      <c r="BF294" s="252"/>
      <c r="BG294" s="354"/>
      <c r="BH294" s="252"/>
      <c r="BI294" s="389"/>
      <c r="BJ294" s="252"/>
      <c r="BK294" s="389"/>
      <c r="BL294" s="354"/>
      <c r="BM294" s="252"/>
      <c r="BN294" s="389"/>
      <c r="BO294" s="252"/>
      <c r="BP294" s="389"/>
      <c r="BQ294" s="354"/>
      <c r="BR294" s="252"/>
      <c r="BS294" s="389"/>
      <c r="BT294" s="252"/>
      <c r="BU294" s="389"/>
      <c r="BV294" s="354"/>
      <c r="BW294" s="252"/>
      <c r="BX294" s="399"/>
      <c r="BY294" s="252"/>
      <c r="BZ294" s="389"/>
      <c r="CA294" s="354"/>
      <c r="CB294" s="252"/>
      <c r="CC294" s="389"/>
      <c r="CD294" s="252"/>
      <c r="CE294" s="389"/>
      <c r="CF294" s="354"/>
      <c r="CG294" s="389"/>
      <c r="CH294" s="389"/>
      <c r="CI294" s="389"/>
      <c r="CJ294" s="389"/>
      <c r="CK294" s="354"/>
      <c r="CL294" s="389"/>
      <c r="CM294" s="389"/>
      <c r="CN294" s="389"/>
      <c r="CO294" s="389"/>
      <c r="CP294" s="354"/>
      <c r="CQ294" s="389"/>
      <c r="CR294" s="389"/>
      <c r="CS294" s="389"/>
      <c r="CT294" s="389"/>
      <c r="CU294" s="354"/>
      <c r="CV294" s="389"/>
      <c r="CW294" s="389"/>
      <c r="CX294" s="389"/>
      <c r="CY294" s="389"/>
      <c r="CZ294" s="354"/>
      <c r="DA294" s="389"/>
      <c r="DB294" s="389"/>
      <c r="DC294" s="389"/>
      <c r="DD294" s="389"/>
      <c r="DE294" s="354"/>
      <c r="DF294" s="389"/>
      <c r="DG294" s="389"/>
      <c r="DH294" s="389"/>
      <c r="DI294" s="389"/>
      <c r="DJ294" s="354"/>
      <c r="DK294" s="389"/>
      <c r="DL294" s="389"/>
      <c r="DM294" s="389"/>
      <c r="DN294" s="389"/>
      <c r="DO294" s="354"/>
      <c r="DP294" s="389"/>
      <c r="DQ294" s="389"/>
      <c r="DR294" s="389"/>
      <c r="DS294" s="389"/>
      <c r="DT294" s="354"/>
      <c r="DU294" s="354"/>
      <c r="DV294" s="354"/>
    </row>
    <row r="295" spans="1:126" s="15" customFormat="1">
      <c r="A295" s="12"/>
      <c r="B295" s="301" t="s">
        <v>245</v>
      </c>
      <c r="C295" s="16"/>
      <c r="D295" s="16"/>
      <c r="E295" s="16"/>
      <c r="F295" s="16"/>
      <c r="G295" s="16"/>
      <c r="H295" s="16"/>
      <c r="I295" s="16"/>
      <c r="J295" s="12"/>
      <c r="K295" s="12"/>
      <c r="L295" s="12"/>
      <c r="M295" s="12"/>
      <c r="N295" s="16"/>
      <c r="O295" s="12"/>
      <c r="P295" s="12"/>
      <c r="Q295" s="12"/>
      <c r="R295" s="12"/>
      <c r="S295" s="16"/>
      <c r="T295" s="12"/>
      <c r="U295" s="12"/>
      <c r="V295" s="12"/>
      <c r="W295" s="12"/>
      <c r="X295" s="16"/>
      <c r="Y295" s="12"/>
      <c r="Z295" s="12"/>
      <c r="AA295" s="12"/>
      <c r="AB295" s="12"/>
      <c r="AC295" s="16"/>
      <c r="AD295" s="12"/>
      <c r="AE295" s="12"/>
      <c r="AF295" s="12"/>
      <c r="AG295" s="12"/>
      <c r="AH295" s="16"/>
      <c r="AI295" s="12"/>
      <c r="AJ295" s="12"/>
      <c r="AK295" s="12"/>
      <c r="AL295" s="128"/>
      <c r="AM295" s="16"/>
      <c r="AN295" s="128"/>
      <c r="AO295" s="128"/>
      <c r="AP295" s="252"/>
      <c r="AQ295" s="252"/>
      <c r="AR295" s="16"/>
      <c r="AS295" s="252"/>
      <c r="AT295" s="252"/>
      <c r="AU295" s="252"/>
      <c r="AV295" s="252"/>
      <c r="AW295" s="16"/>
      <c r="AX295" s="252"/>
      <c r="AY295" s="252"/>
      <c r="AZ295" s="252"/>
      <c r="BA295" s="252"/>
      <c r="BB295" s="354"/>
      <c r="BC295" s="252"/>
      <c r="BD295" s="252"/>
      <c r="BE295" s="252"/>
      <c r="BF295" s="252"/>
      <c r="BG295" s="354"/>
      <c r="BH295" s="252"/>
      <c r="BI295" s="389"/>
      <c r="BJ295" s="252"/>
      <c r="BK295" s="389"/>
      <c r="BL295" s="354"/>
      <c r="BM295" s="252"/>
      <c r="BN295" s="389"/>
      <c r="BO295" s="252"/>
      <c r="BP295" s="389"/>
      <c r="BQ295" s="354"/>
      <c r="BR295" s="252"/>
      <c r="BS295" s="389"/>
      <c r="BT295" s="252"/>
      <c r="BU295" s="389"/>
      <c r="BV295" s="354"/>
      <c r="BW295" s="252"/>
      <c r="BX295" s="399"/>
      <c r="BY295" s="252"/>
      <c r="BZ295" s="389"/>
      <c r="CA295" s="354"/>
      <c r="CB295" s="252"/>
      <c r="CC295" s="389"/>
      <c r="CD295" s="252"/>
      <c r="CE295" s="389"/>
      <c r="CF295" s="354"/>
      <c r="CG295" s="389"/>
      <c r="CH295" s="389"/>
      <c r="CI295" s="389"/>
      <c r="CJ295" s="389"/>
      <c r="CK295" s="354"/>
      <c r="CL295" s="389"/>
      <c r="CM295" s="389"/>
      <c r="CN295" s="389"/>
      <c r="CO295" s="389"/>
      <c r="CP295" s="354"/>
      <c r="CQ295" s="389"/>
      <c r="CR295" s="389"/>
      <c r="CS295" s="389"/>
      <c r="CT295" s="389"/>
      <c r="CU295" s="354"/>
      <c r="CV295" s="389"/>
      <c r="CW295" s="389"/>
      <c r="CX295" s="389"/>
      <c r="CY295" s="389"/>
      <c r="CZ295" s="354"/>
      <c r="DA295" s="389"/>
      <c r="DB295" s="389"/>
      <c r="DC295" s="389"/>
      <c r="DD295" s="389"/>
      <c r="DE295" s="354"/>
      <c r="DF295" s="389"/>
      <c r="DG295" s="389"/>
      <c r="DH295" s="389"/>
      <c r="DI295" s="389"/>
      <c r="DJ295" s="354"/>
      <c r="DK295" s="389"/>
      <c r="DL295" s="389"/>
      <c r="DM295" s="389"/>
      <c r="DN295" s="389"/>
      <c r="DO295" s="354"/>
      <c r="DP295" s="389"/>
      <c r="DQ295" s="389"/>
      <c r="DR295" s="389"/>
      <c r="DS295" s="389"/>
      <c r="DT295" s="354"/>
      <c r="DU295" s="354"/>
      <c r="DV295" s="354"/>
    </row>
    <row r="296" spans="1:126" s="15" customFormat="1">
      <c r="A296" s="12"/>
      <c r="B296" s="301"/>
      <c r="C296" s="16"/>
      <c r="D296" s="16"/>
      <c r="E296" s="16"/>
      <c r="F296" s="16"/>
      <c r="G296" s="16"/>
      <c r="H296" s="16"/>
      <c r="I296" s="16"/>
      <c r="J296" s="12"/>
      <c r="K296" s="12"/>
      <c r="L296" s="12"/>
      <c r="M296" s="12"/>
      <c r="N296" s="16"/>
      <c r="O296" s="12"/>
      <c r="P296" s="12"/>
      <c r="Q296" s="12"/>
      <c r="R296" s="12"/>
      <c r="S296" s="16"/>
      <c r="T296" s="12"/>
      <c r="U296" s="12"/>
      <c r="V296" s="12"/>
      <c r="W296" s="12"/>
      <c r="X296" s="16"/>
      <c r="Y296" s="12"/>
      <c r="Z296" s="12"/>
      <c r="AA296" s="12"/>
      <c r="AB296" s="12"/>
      <c r="AC296" s="16"/>
      <c r="AD296" s="12"/>
      <c r="AE296" s="12"/>
      <c r="AF296" s="12"/>
      <c r="AG296" s="12"/>
      <c r="AH296" s="16"/>
      <c r="AI296" s="12"/>
      <c r="AJ296" s="12"/>
      <c r="AK296" s="12"/>
      <c r="AL296" s="128"/>
      <c r="AM296" s="16"/>
      <c r="AN296" s="128"/>
      <c r="AO296" s="128"/>
      <c r="AP296" s="252"/>
      <c r="AQ296" s="252"/>
      <c r="AR296" s="16"/>
      <c r="AS296" s="252"/>
      <c r="AT296" s="252"/>
      <c r="AU296" s="252"/>
      <c r="AV296" s="252"/>
      <c r="AW296" s="16"/>
      <c r="AX296" s="252"/>
      <c r="AY296" s="252"/>
      <c r="AZ296" s="252"/>
      <c r="BA296" s="252"/>
      <c r="BB296" s="247"/>
      <c r="BC296" s="252"/>
      <c r="BD296" s="252"/>
      <c r="BE296" s="252"/>
      <c r="BF296" s="252"/>
      <c r="BG296" s="247"/>
      <c r="BH296" s="252"/>
      <c r="BI296" s="389"/>
      <c r="BJ296" s="252"/>
      <c r="BK296" s="389"/>
      <c r="BL296" s="247"/>
      <c r="BM296" s="252"/>
      <c r="BN296" s="389"/>
      <c r="BO296" s="252"/>
      <c r="BP296" s="389"/>
      <c r="BQ296" s="247"/>
      <c r="BR296" s="252"/>
      <c r="BS296" s="389"/>
      <c r="BT296" s="252"/>
      <c r="BU296" s="389"/>
      <c r="BV296" s="247"/>
      <c r="BW296" s="252"/>
      <c r="BX296" s="399"/>
      <c r="BY296" s="252"/>
      <c r="BZ296" s="389"/>
      <c r="CA296" s="247"/>
      <c r="CB296" s="252"/>
      <c r="CC296" s="389"/>
      <c r="CD296" s="252"/>
      <c r="CE296" s="389"/>
      <c r="CF296" s="247"/>
      <c r="CG296" s="389"/>
      <c r="CH296" s="389"/>
      <c r="CI296" s="389"/>
      <c r="CJ296" s="389"/>
      <c r="CK296" s="247"/>
      <c r="CL296" s="389"/>
      <c r="CM296" s="389"/>
      <c r="CN296" s="389"/>
      <c r="CO296" s="389"/>
      <c r="CP296" s="247"/>
      <c r="CQ296" s="389"/>
      <c r="CR296" s="389"/>
      <c r="CS296" s="389"/>
      <c r="CT296" s="389"/>
      <c r="CU296" s="247"/>
      <c r="CV296" s="389"/>
      <c r="CW296" s="389"/>
      <c r="CX296" s="389"/>
      <c r="CY296" s="389"/>
      <c r="CZ296" s="247"/>
      <c r="DA296" s="389"/>
      <c r="DB296" s="389"/>
      <c r="DC296" s="389"/>
      <c r="DD296" s="389"/>
      <c r="DE296" s="247"/>
      <c r="DF296" s="389"/>
      <c r="DG296" s="389"/>
      <c r="DH296" s="389"/>
      <c r="DI296" s="389"/>
      <c r="DJ296" s="247"/>
      <c r="DK296" s="389"/>
      <c r="DL296" s="389"/>
      <c r="DM296" s="389"/>
      <c r="DN296" s="389"/>
      <c r="DO296" s="247"/>
      <c r="DP296" s="389"/>
      <c r="DQ296" s="389"/>
      <c r="DR296" s="389"/>
      <c r="DS296" s="389"/>
      <c r="DT296" s="247"/>
      <c r="DU296" s="247"/>
      <c r="DV296" s="247"/>
    </row>
    <row r="297" spans="1:126" s="15" customFormat="1" ht="12">
      <c r="A297" s="12"/>
      <c r="B297" s="110" t="s">
        <v>226</v>
      </c>
      <c r="C297" s="16"/>
      <c r="D297" s="16"/>
      <c r="E297" s="16"/>
      <c r="F297" s="16"/>
      <c r="G297" s="16"/>
      <c r="H297" s="16"/>
      <c r="I297" s="16"/>
      <c r="J297" s="12"/>
      <c r="K297" s="12"/>
      <c r="L297" s="12"/>
      <c r="M297" s="12"/>
      <c r="N297" s="16"/>
      <c r="O297" s="12"/>
      <c r="P297" s="12"/>
      <c r="Q297" s="12"/>
      <c r="R297" s="12"/>
      <c r="S297" s="16"/>
      <c r="T297" s="12"/>
      <c r="U297" s="12"/>
      <c r="V297" s="12"/>
      <c r="W297" s="12"/>
      <c r="X297" s="16"/>
      <c r="Y297" s="12"/>
      <c r="Z297" s="12"/>
      <c r="AA297" s="12"/>
      <c r="AB297" s="12"/>
      <c r="AC297" s="16"/>
      <c r="AD297" s="12"/>
      <c r="AE297" s="12"/>
      <c r="AF297" s="12"/>
      <c r="AG297" s="12"/>
      <c r="AH297" s="16"/>
      <c r="AI297" s="12"/>
      <c r="AJ297" s="12"/>
      <c r="AK297" s="12"/>
      <c r="AL297" s="128"/>
      <c r="AM297" s="16"/>
      <c r="AN297" s="128"/>
      <c r="AO297" s="128"/>
      <c r="AP297" s="252"/>
      <c r="AQ297" s="252"/>
      <c r="AR297" s="16"/>
      <c r="AS297" s="252"/>
      <c r="AT297" s="252"/>
      <c r="AU297" s="252"/>
      <c r="AV297" s="252"/>
      <c r="AW297" s="16"/>
      <c r="AX297" s="252"/>
      <c r="AY297" s="252"/>
      <c r="AZ297" s="252"/>
      <c r="BA297" s="252"/>
      <c r="BB297" s="354"/>
      <c r="BC297" s="252"/>
      <c r="BD297" s="252"/>
      <c r="BE297" s="252"/>
      <c r="BF297" s="252"/>
      <c r="BG297" s="247"/>
      <c r="BH297" s="252"/>
      <c r="BI297" s="389"/>
      <c r="BJ297" s="252"/>
      <c r="BK297" s="389"/>
      <c r="BL297" s="247"/>
      <c r="BM297" s="252"/>
      <c r="BN297" s="389"/>
      <c r="BO297" s="252"/>
      <c r="BP297" s="389"/>
      <c r="BQ297" s="247"/>
      <c r="BR297" s="252"/>
      <c r="BS297" s="389"/>
      <c r="BT297" s="252"/>
      <c r="BU297" s="389"/>
      <c r="BV297" s="247"/>
      <c r="BW297" s="252"/>
      <c r="BX297" s="399"/>
      <c r="BY297" s="252"/>
      <c r="BZ297" s="389"/>
      <c r="CA297" s="247"/>
      <c r="CB297" s="252"/>
      <c r="CC297" s="389"/>
      <c r="CD297" s="252"/>
      <c r="CE297" s="389"/>
      <c r="CF297" s="247"/>
      <c r="CG297" s="389"/>
      <c r="CH297" s="389"/>
      <c r="CI297" s="389"/>
      <c r="CJ297" s="389"/>
      <c r="CK297" s="247"/>
      <c r="CL297" s="389"/>
      <c r="CM297" s="389"/>
      <c r="CN297" s="389"/>
      <c r="CO297" s="389"/>
      <c r="CP297" s="247"/>
      <c r="CQ297" s="389"/>
      <c r="CR297" s="389"/>
      <c r="CS297" s="389"/>
      <c r="CT297" s="389"/>
      <c r="CU297" s="247"/>
      <c r="CV297" s="389"/>
      <c r="CW297" s="389"/>
      <c r="CX297" s="389"/>
      <c r="CY297" s="389"/>
      <c r="CZ297" s="247"/>
      <c r="DA297" s="389"/>
      <c r="DB297" s="389"/>
      <c r="DC297" s="389"/>
      <c r="DD297" s="389"/>
      <c r="DE297" s="247"/>
      <c r="DF297" s="389"/>
      <c r="DG297" s="389"/>
      <c r="DH297" s="389"/>
      <c r="DI297" s="389"/>
      <c r="DJ297" s="247"/>
      <c r="DK297" s="389"/>
      <c r="DL297" s="389"/>
      <c r="DM297" s="389"/>
      <c r="DN297" s="389"/>
      <c r="DO297" s="247"/>
      <c r="DP297" s="389"/>
      <c r="DQ297" s="389"/>
      <c r="DR297" s="389"/>
      <c r="DS297" s="389"/>
      <c r="DT297" s="247"/>
      <c r="DU297" s="247"/>
      <c r="DV297" s="247"/>
    </row>
    <row r="298" spans="1:126" s="15" customFormat="1">
      <c r="A298" s="12"/>
      <c r="B298" s="301" t="s">
        <v>229</v>
      </c>
      <c r="C298" s="16"/>
      <c r="D298" s="16"/>
      <c r="E298" s="16"/>
      <c r="F298" s="16"/>
      <c r="G298" s="16"/>
      <c r="H298" s="16"/>
      <c r="I298" s="16"/>
      <c r="J298" s="12"/>
      <c r="K298" s="12"/>
      <c r="L298" s="12"/>
      <c r="M298" s="12"/>
      <c r="N298" s="16"/>
      <c r="O298" s="12"/>
      <c r="P298" s="12"/>
      <c r="Q298" s="12"/>
      <c r="R298" s="12"/>
      <c r="S298" s="16"/>
      <c r="T298" s="12"/>
      <c r="U298" s="12"/>
      <c r="V298" s="12"/>
      <c r="W298" s="12"/>
      <c r="X298" s="16"/>
      <c r="Y298" s="12"/>
      <c r="Z298" s="12"/>
      <c r="AA298" s="12"/>
      <c r="AB298" s="12"/>
      <c r="AC298" s="16"/>
      <c r="AD298" s="12"/>
      <c r="AE298" s="12"/>
      <c r="AF298" s="12"/>
      <c r="AG298" s="12"/>
      <c r="AH298" s="16"/>
      <c r="AI298" s="12"/>
      <c r="AJ298" s="12"/>
      <c r="AK298" s="12"/>
      <c r="AL298" s="128"/>
      <c r="AM298" s="16"/>
      <c r="AN298" s="128"/>
      <c r="AO298" s="128"/>
      <c r="AP298" s="252"/>
      <c r="AQ298" s="252"/>
      <c r="AR298" s="16"/>
      <c r="AS298" s="252"/>
      <c r="AT298" s="252"/>
      <c r="AU298" s="252"/>
      <c r="AV298" s="252"/>
      <c r="AW298" s="16"/>
      <c r="AX298" s="252"/>
      <c r="AY298" s="252"/>
      <c r="AZ298" s="252"/>
      <c r="BA298" s="252"/>
      <c r="BB298" s="354"/>
      <c r="BC298" s="252"/>
      <c r="BD298" s="252"/>
      <c r="BE298" s="252"/>
      <c r="BF298" s="252"/>
      <c r="BG298" s="354"/>
      <c r="BH298" s="252"/>
      <c r="BI298" s="389"/>
      <c r="BJ298" s="252"/>
      <c r="BK298" s="389"/>
      <c r="BL298" s="354"/>
      <c r="BM298" s="252"/>
      <c r="BN298" s="389"/>
      <c r="BO298" s="252"/>
      <c r="BP298" s="389"/>
      <c r="BQ298" s="354"/>
      <c r="BR298" s="252"/>
      <c r="BS298" s="389"/>
      <c r="BT298" s="252"/>
      <c r="BU298" s="389"/>
      <c r="BV298" s="354"/>
      <c r="BW298" s="252"/>
      <c r="BX298" s="399"/>
      <c r="BY298" s="252"/>
      <c r="BZ298" s="389"/>
      <c r="CA298" s="354"/>
      <c r="CB298" s="252"/>
      <c r="CC298" s="389"/>
      <c r="CD298" s="252"/>
      <c r="CE298" s="389"/>
      <c r="CF298" s="354"/>
      <c r="CG298" s="389"/>
      <c r="CH298" s="389"/>
      <c r="CI298" s="389"/>
      <c r="CJ298" s="389"/>
      <c r="CK298" s="354"/>
      <c r="CL298" s="389"/>
      <c r="CM298" s="389"/>
      <c r="CN298" s="389"/>
      <c r="CO298" s="389"/>
      <c r="CP298" s="354"/>
      <c r="CQ298" s="389"/>
      <c r="CR298" s="389"/>
      <c r="CS298" s="389"/>
      <c r="CT298" s="389"/>
      <c r="CU298" s="354"/>
      <c r="CV298" s="389"/>
      <c r="CW298" s="389"/>
      <c r="CX298" s="389"/>
      <c r="CY298" s="389"/>
      <c r="CZ298" s="354"/>
      <c r="DA298" s="389"/>
      <c r="DB298" s="389"/>
      <c r="DC298" s="389"/>
      <c r="DD298" s="389"/>
      <c r="DE298" s="354"/>
      <c r="DF298" s="389"/>
      <c r="DG298" s="389"/>
      <c r="DH298" s="389"/>
      <c r="DI298" s="389"/>
      <c r="DJ298" s="354"/>
      <c r="DK298" s="389"/>
      <c r="DL298" s="389"/>
      <c r="DM298" s="389"/>
      <c r="DN298" s="389"/>
      <c r="DO298" s="354"/>
      <c r="DP298" s="389"/>
      <c r="DQ298" s="389"/>
      <c r="DR298" s="389"/>
      <c r="DS298" s="389"/>
      <c r="DT298" s="354"/>
      <c r="DU298" s="354"/>
      <c r="DV298" s="354"/>
    </row>
    <row r="299" spans="1:126" s="15" customFormat="1">
      <c r="A299" s="12"/>
      <c r="B299" s="301" t="s">
        <v>246</v>
      </c>
      <c r="C299" s="16"/>
      <c r="D299" s="16"/>
      <c r="E299" s="16"/>
      <c r="F299" s="16"/>
      <c r="G299" s="16"/>
      <c r="H299" s="16"/>
      <c r="I299" s="16"/>
      <c r="J299" s="12"/>
      <c r="K299" s="12"/>
      <c r="L299" s="12"/>
      <c r="M299" s="12"/>
      <c r="N299" s="16"/>
      <c r="O299" s="12"/>
      <c r="P299" s="12"/>
      <c r="Q299" s="12"/>
      <c r="R299" s="12"/>
      <c r="S299" s="16"/>
      <c r="T299" s="12"/>
      <c r="U299" s="12"/>
      <c r="V299" s="12"/>
      <c r="W299" s="12"/>
      <c r="X299" s="16"/>
      <c r="Y299" s="12"/>
      <c r="Z299" s="12"/>
      <c r="AA299" s="12"/>
      <c r="AB299" s="12"/>
      <c r="AC299" s="16"/>
      <c r="AD299" s="12"/>
      <c r="AE299" s="12"/>
      <c r="AF299" s="12"/>
      <c r="AG299" s="12"/>
      <c r="AH299" s="16"/>
      <c r="AI299" s="12"/>
      <c r="AJ299" s="12"/>
      <c r="AK299" s="12"/>
      <c r="AL299" s="128"/>
      <c r="AM299" s="16"/>
      <c r="AN299" s="128"/>
      <c r="AO299" s="128"/>
      <c r="AP299" s="252"/>
      <c r="AQ299" s="252"/>
      <c r="AR299" s="16"/>
      <c r="AS299" s="252"/>
      <c r="AT299" s="252"/>
      <c r="AU299" s="252"/>
      <c r="AV299" s="252"/>
      <c r="AW299" s="16"/>
      <c r="AX299" s="252"/>
      <c r="AY299" s="252"/>
      <c r="AZ299" s="252"/>
      <c r="BA299" s="252"/>
      <c r="BB299" s="354"/>
      <c r="BC299" s="252"/>
      <c r="BD299" s="252"/>
      <c r="BE299" s="252"/>
      <c r="BF299" s="252"/>
      <c r="BG299" s="354"/>
      <c r="BH299" s="252"/>
      <c r="BI299" s="389"/>
      <c r="BJ299" s="252"/>
      <c r="BK299" s="389"/>
      <c r="BL299" s="354"/>
      <c r="BM299" s="252"/>
      <c r="BN299" s="389"/>
      <c r="BO299" s="252"/>
      <c r="BP299" s="389"/>
      <c r="BQ299" s="354"/>
      <c r="BR299" s="252"/>
      <c r="BS299" s="389"/>
      <c r="BT299" s="252"/>
      <c r="BU299" s="389"/>
      <c r="BV299" s="354"/>
      <c r="BW299" s="252"/>
      <c r="BX299" s="399"/>
      <c r="BY299" s="252"/>
      <c r="BZ299" s="389"/>
      <c r="CA299" s="354"/>
      <c r="CB299" s="252"/>
      <c r="CC299" s="389"/>
      <c r="CD299" s="252"/>
      <c r="CE299" s="389"/>
      <c r="CF299" s="354"/>
      <c r="CG299" s="389"/>
      <c r="CH299" s="389"/>
      <c r="CI299" s="389"/>
      <c r="CJ299" s="389"/>
      <c r="CK299" s="354"/>
      <c r="CL299" s="389"/>
      <c r="CM299" s="389"/>
      <c r="CN299" s="389"/>
      <c r="CO299" s="389"/>
      <c r="CP299" s="354"/>
      <c r="CQ299" s="389"/>
      <c r="CR299" s="389"/>
      <c r="CS299" s="389"/>
      <c r="CT299" s="389"/>
      <c r="CU299" s="354"/>
      <c r="CV299" s="389"/>
      <c r="CW299" s="389"/>
      <c r="CX299" s="389"/>
      <c r="CY299" s="389"/>
      <c r="CZ299" s="354"/>
      <c r="DA299" s="389"/>
      <c r="DB299" s="389"/>
      <c r="DC299" s="389"/>
      <c r="DD299" s="389"/>
      <c r="DE299" s="354"/>
      <c r="DF299" s="389"/>
      <c r="DG299" s="389"/>
      <c r="DH299" s="389"/>
      <c r="DI299" s="389"/>
      <c r="DJ299" s="354"/>
      <c r="DK299" s="389"/>
      <c r="DL299" s="389"/>
      <c r="DM299" s="389"/>
      <c r="DN299" s="389"/>
      <c r="DO299" s="354"/>
      <c r="DP299" s="389"/>
      <c r="DQ299" s="389"/>
      <c r="DR299" s="389"/>
      <c r="DS299" s="389"/>
      <c r="DT299" s="354"/>
      <c r="DU299" s="354"/>
      <c r="DV299" s="354"/>
    </row>
    <row r="300" spans="1:126" s="15" customFormat="1">
      <c r="A300" s="12"/>
      <c r="B300" s="301" t="s">
        <v>247</v>
      </c>
      <c r="C300" s="16"/>
      <c r="D300" s="16"/>
      <c r="E300" s="16"/>
      <c r="F300" s="16"/>
      <c r="G300" s="16"/>
      <c r="H300" s="16"/>
      <c r="I300" s="16"/>
      <c r="J300" s="12"/>
      <c r="K300" s="12"/>
      <c r="L300" s="12"/>
      <c r="M300" s="12"/>
      <c r="N300" s="16"/>
      <c r="O300" s="12"/>
      <c r="P300" s="12"/>
      <c r="Q300" s="12"/>
      <c r="R300" s="12"/>
      <c r="S300" s="16"/>
      <c r="T300" s="12"/>
      <c r="U300" s="12"/>
      <c r="V300" s="12"/>
      <c r="W300" s="12"/>
      <c r="X300" s="16"/>
      <c r="Y300" s="12"/>
      <c r="Z300" s="12"/>
      <c r="AA300" s="12"/>
      <c r="AB300" s="12"/>
      <c r="AC300" s="16"/>
      <c r="AD300" s="12"/>
      <c r="AE300" s="12"/>
      <c r="AF300" s="12"/>
      <c r="AG300" s="12"/>
      <c r="AH300" s="16"/>
      <c r="AI300" s="12"/>
      <c r="AJ300" s="12"/>
      <c r="AK300" s="12"/>
      <c r="AL300" s="128"/>
      <c r="AM300" s="16"/>
      <c r="AN300" s="128"/>
      <c r="AO300" s="128"/>
      <c r="AP300" s="252"/>
      <c r="AQ300" s="252"/>
      <c r="AR300" s="16"/>
      <c r="AS300" s="252"/>
      <c r="AT300" s="252"/>
      <c r="AU300" s="252"/>
      <c r="AV300" s="252"/>
      <c r="AW300" s="16"/>
      <c r="AX300" s="252"/>
      <c r="AY300" s="252"/>
      <c r="AZ300" s="252"/>
      <c r="BA300" s="252"/>
      <c r="BB300" s="354"/>
      <c r="BC300" s="252"/>
      <c r="BD300" s="252"/>
      <c r="BE300" s="252"/>
      <c r="BF300" s="252"/>
      <c r="BG300" s="247"/>
      <c r="BH300" s="252"/>
      <c r="BI300" s="389"/>
      <c r="BJ300" s="252"/>
      <c r="BK300" s="389"/>
      <c r="BL300" s="247"/>
      <c r="BM300" s="252"/>
      <c r="BN300" s="389"/>
      <c r="BO300" s="252"/>
      <c r="BP300" s="389"/>
      <c r="BQ300" s="247"/>
      <c r="BR300" s="252"/>
      <c r="BS300" s="389"/>
      <c r="BT300" s="252"/>
      <c r="BU300" s="389"/>
      <c r="BV300" s="247"/>
      <c r="BW300" s="252"/>
      <c r="BX300" s="399"/>
      <c r="BY300" s="252"/>
      <c r="BZ300" s="389"/>
      <c r="CA300" s="247"/>
      <c r="CB300" s="252"/>
      <c r="CC300" s="389"/>
      <c r="CD300" s="252"/>
      <c r="CE300" s="389"/>
      <c r="CF300" s="247"/>
      <c r="CG300" s="389"/>
      <c r="CH300" s="389"/>
      <c r="CI300" s="389"/>
      <c r="CJ300" s="389"/>
      <c r="CK300" s="247"/>
      <c r="CL300" s="389"/>
      <c r="CM300" s="389"/>
      <c r="CN300" s="389"/>
      <c r="CO300" s="389"/>
      <c r="CP300" s="247"/>
      <c r="CQ300" s="389"/>
      <c r="CR300" s="389"/>
      <c r="CS300" s="389"/>
      <c r="CT300" s="389"/>
      <c r="CU300" s="247"/>
      <c r="CV300" s="389"/>
      <c r="CW300" s="389"/>
      <c r="CX300" s="389"/>
      <c r="CY300" s="389"/>
      <c r="CZ300" s="247"/>
      <c r="DA300" s="389"/>
      <c r="DB300" s="389"/>
      <c r="DC300" s="389"/>
      <c r="DD300" s="389"/>
      <c r="DE300" s="247"/>
      <c r="DF300" s="389"/>
      <c r="DG300" s="389"/>
      <c r="DH300" s="389"/>
      <c r="DI300" s="389"/>
      <c r="DJ300" s="247"/>
      <c r="DK300" s="389"/>
      <c r="DL300" s="389"/>
      <c r="DM300" s="389"/>
      <c r="DN300" s="389"/>
      <c r="DO300" s="247"/>
      <c r="DP300" s="389"/>
      <c r="DQ300" s="389"/>
      <c r="DR300" s="389"/>
      <c r="DS300" s="389"/>
      <c r="DT300" s="247"/>
      <c r="DU300" s="247"/>
      <c r="DV300" s="247"/>
    </row>
    <row r="301" spans="1:126" s="15" customFormat="1">
      <c r="A301" s="12"/>
      <c r="B301" s="301" t="s">
        <v>248</v>
      </c>
      <c r="C301" s="16"/>
      <c r="D301" s="16"/>
      <c r="E301" s="16"/>
      <c r="F301" s="16"/>
      <c r="G301" s="16"/>
      <c r="H301" s="16"/>
      <c r="I301" s="16"/>
      <c r="J301" s="12"/>
      <c r="K301" s="12"/>
      <c r="L301" s="12"/>
      <c r="M301" s="12"/>
      <c r="N301" s="16"/>
      <c r="O301" s="12"/>
      <c r="P301" s="12"/>
      <c r="Q301" s="12"/>
      <c r="R301" s="12"/>
      <c r="S301" s="16"/>
      <c r="T301" s="12"/>
      <c r="U301" s="12"/>
      <c r="V301" s="12"/>
      <c r="W301" s="12"/>
      <c r="X301" s="16"/>
      <c r="Y301" s="12"/>
      <c r="Z301" s="12"/>
      <c r="AA301" s="12"/>
      <c r="AB301" s="12"/>
      <c r="AC301" s="16"/>
      <c r="AD301" s="12"/>
      <c r="AE301" s="12"/>
      <c r="AF301" s="12"/>
      <c r="AG301" s="12"/>
      <c r="AH301" s="16"/>
      <c r="AI301" s="12"/>
      <c r="AJ301" s="12"/>
      <c r="AK301" s="12"/>
      <c r="AL301" s="128"/>
      <c r="AM301" s="16"/>
      <c r="AN301" s="128"/>
      <c r="AO301" s="128"/>
      <c r="AP301" s="252"/>
      <c r="AQ301" s="252"/>
      <c r="AR301" s="16"/>
      <c r="AS301" s="252"/>
      <c r="AT301" s="252"/>
      <c r="AU301" s="252"/>
      <c r="AV301" s="252"/>
      <c r="AW301" s="16"/>
      <c r="AX301" s="252"/>
      <c r="AY301" s="252"/>
      <c r="AZ301" s="252"/>
      <c r="BA301" s="252"/>
      <c r="BB301" s="354"/>
      <c r="BC301" s="252"/>
      <c r="BD301" s="252"/>
      <c r="BE301" s="252"/>
      <c r="BF301" s="252"/>
      <c r="BG301" s="354"/>
      <c r="BH301" s="252"/>
      <c r="BI301" s="389"/>
      <c r="BJ301" s="252"/>
      <c r="BK301" s="389"/>
      <c r="BL301" s="247"/>
      <c r="BM301" s="252"/>
      <c r="BN301" s="389"/>
      <c r="BO301" s="252"/>
      <c r="BP301" s="389"/>
      <c r="BQ301" s="247"/>
      <c r="BR301" s="252"/>
      <c r="BS301" s="389"/>
      <c r="BT301" s="252"/>
      <c r="BU301" s="389"/>
      <c r="BV301" s="247"/>
      <c r="BW301" s="252"/>
      <c r="BX301" s="399"/>
      <c r="BY301" s="252"/>
      <c r="BZ301" s="389"/>
      <c r="CA301" s="247"/>
      <c r="CB301" s="252"/>
      <c r="CC301" s="389"/>
      <c r="CD301" s="252"/>
      <c r="CE301" s="389"/>
      <c r="CF301" s="247"/>
      <c r="CG301" s="389"/>
      <c r="CH301" s="389"/>
      <c r="CI301" s="389"/>
      <c r="CJ301" s="389"/>
      <c r="CK301" s="247"/>
      <c r="CL301" s="389"/>
      <c r="CM301" s="389"/>
      <c r="CN301" s="389"/>
      <c r="CO301" s="389"/>
      <c r="CP301" s="247"/>
      <c r="CQ301" s="389"/>
      <c r="CR301" s="389"/>
      <c r="CS301" s="389"/>
      <c r="CT301" s="389"/>
      <c r="CU301" s="247"/>
      <c r="CV301" s="389"/>
      <c r="CW301" s="389"/>
      <c r="CX301" s="389"/>
      <c r="CY301" s="389"/>
      <c r="CZ301" s="247"/>
      <c r="DA301" s="389"/>
      <c r="DB301" s="389"/>
      <c r="DC301" s="389"/>
      <c r="DD301" s="389"/>
      <c r="DE301" s="247"/>
      <c r="DF301" s="389"/>
      <c r="DG301" s="389"/>
      <c r="DH301" s="389"/>
      <c r="DI301" s="389"/>
      <c r="DJ301" s="247"/>
      <c r="DK301" s="389"/>
      <c r="DL301" s="389"/>
      <c r="DM301" s="389"/>
      <c r="DN301" s="389"/>
      <c r="DO301" s="247"/>
      <c r="DP301" s="389"/>
      <c r="DQ301" s="389"/>
      <c r="DR301" s="389"/>
      <c r="DS301" s="389"/>
      <c r="DT301" s="247"/>
      <c r="DU301" s="247"/>
      <c r="DV301" s="247"/>
    </row>
    <row r="302" spans="1:126" s="15" customFormat="1">
      <c r="A302" s="12"/>
      <c r="B302" s="301" t="s">
        <v>249</v>
      </c>
      <c r="C302" s="16"/>
      <c r="D302" s="16"/>
      <c r="E302" s="16"/>
      <c r="F302" s="16"/>
      <c r="G302" s="16"/>
      <c r="H302" s="16"/>
      <c r="I302" s="16"/>
      <c r="J302" s="12"/>
      <c r="K302" s="12"/>
      <c r="L302" s="12"/>
      <c r="M302" s="12"/>
      <c r="N302" s="16"/>
      <c r="O302" s="12"/>
      <c r="P302" s="12"/>
      <c r="Q302" s="12"/>
      <c r="R302" s="12"/>
      <c r="S302" s="16"/>
      <c r="T302" s="12"/>
      <c r="U302" s="12"/>
      <c r="V302" s="12"/>
      <c r="W302" s="12"/>
      <c r="X302" s="16"/>
      <c r="Y302" s="12"/>
      <c r="Z302" s="12"/>
      <c r="AA302" s="12"/>
      <c r="AB302" s="12"/>
      <c r="AC302" s="16"/>
      <c r="AD302" s="12"/>
      <c r="AE302" s="12"/>
      <c r="AF302" s="12"/>
      <c r="AG302" s="12"/>
      <c r="AH302" s="16"/>
      <c r="AI302" s="12"/>
      <c r="AJ302" s="12"/>
      <c r="AK302" s="12"/>
      <c r="AL302" s="128"/>
      <c r="AM302" s="16"/>
      <c r="AN302" s="128"/>
      <c r="AO302" s="128"/>
      <c r="AP302" s="252"/>
      <c r="AQ302" s="252"/>
      <c r="AR302" s="16"/>
      <c r="AS302" s="252"/>
      <c r="AT302" s="252"/>
      <c r="AU302" s="252"/>
      <c r="AV302" s="252"/>
      <c r="AW302" s="16"/>
      <c r="AX302" s="252"/>
      <c r="AY302" s="252"/>
      <c r="AZ302" s="252"/>
      <c r="BA302" s="252"/>
      <c r="BB302" s="354"/>
      <c r="BC302" s="252"/>
      <c r="BD302" s="252"/>
      <c r="BE302" s="252"/>
      <c r="BF302" s="252"/>
      <c r="BG302" s="354"/>
      <c r="BH302" s="252"/>
      <c r="BI302" s="389"/>
      <c r="BJ302" s="252"/>
      <c r="BK302" s="389"/>
      <c r="BL302" s="247"/>
      <c r="BM302" s="252"/>
      <c r="BN302" s="389"/>
      <c r="BO302" s="252"/>
      <c r="BP302" s="389"/>
      <c r="BQ302" s="247"/>
      <c r="BR302" s="252"/>
      <c r="BS302" s="389"/>
      <c r="BT302" s="252"/>
      <c r="BU302" s="389"/>
      <c r="BV302" s="247"/>
      <c r="BW302" s="252"/>
      <c r="BX302" s="399"/>
      <c r="BY302" s="252"/>
      <c r="BZ302" s="389"/>
      <c r="CA302" s="247"/>
      <c r="CB302" s="252"/>
      <c r="CC302" s="389"/>
      <c r="CD302" s="252"/>
      <c r="CE302" s="389"/>
      <c r="CF302" s="247"/>
      <c r="CG302" s="389"/>
      <c r="CH302" s="389"/>
      <c r="CI302" s="389"/>
      <c r="CJ302" s="389"/>
      <c r="CK302" s="247"/>
      <c r="CL302" s="389"/>
      <c r="CM302" s="389"/>
      <c r="CN302" s="389"/>
      <c r="CO302" s="389"/>
      <c r="CP302" s="247"/>
      <c r="CQ302" s="389"/>
      <c r="CR302" s="389"/>
      <c r="CS302" s="389"/>
      <c r="CT302" s="389"/>
      <c r="CU302" s="247"/>
      <c r="CV302" s="389"/>
      <c r="CW302" s="389"/>
      <c r="CX302" s="389"/>
      <c r="CY302" s="389"/>
      <c r="CZ302" s="247"/>
      <c r="DA302" s="389"/>
      <c r="DB302" s="389"/>
      <c r="DC302" s="389"/>
      <c r="DD302" s="389"/>
      <c r="DE302" s="247"/>
      <c r="DF302" s="389"/>
      <c r="DG302" s="389"/>
      <c r="DH302" s="389"/>
      <c r="DI302" s="389"/>
      <c r="DJ302" s="247"/>
      <c r="DK302" s="389"/>
      <c r="DL302" s="389"/>
      <c r="DM302" s="389"/>
      <c r="DN302" s="389"/>
      <c r="DO302" s="247"/>
      <c r="DP302" s="389"/>
      <c r="DQ302" s="389"/>
      <c r="DR302" s="389"/>
      <c r="DS302" s="389"/>
      <c r="DT302" s="247"/>
      <c r="DU302" s="247"/>
      <c r="DV302" s="247"/>
    </row>
    <row r="303" spans="1:126" s="15" customFormat="1">
      <c r="A303" s="12"/>
      <c r="B303" s="301" t="s">
        <v>250</v>
      </c>
      <c r="C303" s="16"/>
      <c r="D303" s="16"/>
      <c r="E303" s="16"/>
      <c r="F303" s="16"/>
      <c r="G303" s="16"/>
      <c r="H303" s="16"/>
      <c r="I303" s="16"/>
      <c r="J303" s="12"/>
      <c r="K303" s="12"/>
      <c r="L303" s="12"/>
      <c r="M303" s="12"/>
      <c r="N303" s="16"/>
      <c r="O303" s="12"/>
      <c r="P303" s="12"/>
      <c r="Q303" s="12"/>
      <c r="R303" s="12"/>
      <c r="S303" s="16"/>
      <c r="T303" s="12"/>
      <c r="U303" s="12"/>
      <c r="V303" s="12"/>
      <c r="W303" s="12"/>
      <c r="X303" s="16"/>
      <c r="Y303" s="12"/>
      <c r="Z303" s="12"/>
      <c r="AA303" s="12"/>
      <c r="AB303" s="12"/>
      <c r="AC303" s="16"/>
      <c r="AD303" s="12"/>
      <c r="AE303" s="12"/>
      <c r="AF303" s="12"/>
      <c r="AG303" s="12"/>
      <c r="AH303" s="16"/>
      <c r="AI303" s="12"/>
      <c r="AJ303" s="12"/>
      <c r="AK303" s="12"/>
      <c r="AL303" s="128"/>
      <c r="AM303" s="16"/>
      <c r="AN303" s="128"/>
      <c r="AO303" s="128"/>
      <c r="AP303" s="252"/>
      <c r="AQ303" s="252"/>
      <c r="AR303" s="16"/>
      <c r="AS303" s="252"/>
      <c r="AT303" s="252"/>
      <c r="AU303" s="252"/>
      <c r="AV303" s="252"/>
      <c r="AW303" s="16"/>
      <c r="AX303" s="252"/>
      <c r="AY303" s="252"/>
      <c r="AZ303" s="252"/>
      <c r="BA303" s="252"/>
      <c r="BB303" s="354"/>
      <c r="BC303" s="252"/>
      <c r="BD303" s="252"/>
      <c r="BE303" s="252"/>
      <c r="BF303" s="252"/>
      <c r="BG303" s="354"/>
      <c r="BH303" s="252"/>
      <c r="BI303" s="389"/>
      <c r="BJ303" s="252"/>
      <c r="BK303" s="389"/>
      <c r="BL303" s="247"/>
      <c r="BM303" s="252"/>
      <c r="BN303" s="389"/>
      <c r="BO303" s="252"/>
      <c r="BP303" s="389"/>
      <c r="BQ303" s="247"/>
      <c r="BR303" s="252"/>
      <c r="BS303" s="389"/>
      <c r="BT303" s="252"/>
      <c r="BU303" s="389"/>
      <c r="BV303" s="247"/>
      <c r="BW303" s="252"/>
      <c r="BX303" s="399"/>
      <c r="BY303" s="252"/>
      <c r="BZ303" s="389"/>
      <c r="CA303" s="247"/>
      <c r="CB303" s="252"/>
      <c r="CC303" s="389"/>
      <c r="CD303" s="252"/>
      <c r="CE303" s="389"/>
      <c r="CF303" s="247"/>
      <c r="CG303" s="389"/>
      <c r="CH303" s="389"/>
      <c r="CI303" s="389"/>
      <c r="CJ303" s="389"/>
      <c r="CK303" s="247"/>
      <c r="CL303" s="389"/>
      <c r="CM303" s="389"/>
      <c r="CN303" s="389"/>
      <c r="CO303" s="389"/>
      <c r="CP303" s="247"/>
      <c r="CQ303" s="389"/>
      <c r="CR303" s="389"/>
      <c r="CS303" s="389"/>
      <c r="CT303" s="389"/>
      <c r="CU303" s="247"/>
      <c r="CV303" s="389"/>
      <c r="CW303" s="389"/>
      <c r="CX303" s="389"/>
      <c r="CY303" s="389"/>
      <c r="CZ303" s="247"/>
      <c r="DA303" s="389"/>
      <c r="DB303" s="389"/>
      <c r="DC303" s="389"/>
      <c r="DD303" s="389"/>
      <c r="DE303" s="247"/>
      <c r="DF303" s="389"/>
      <c r="DG303" s="389"/>
      <c r="DH303" s="389"/>
      <c r="DI303" s="389"/>
      <c r="DJ303" s="247"/>
      <c r="DK303" s="389"/>
      <c r="DL303" s="389"/>
      <c r="DM303" s="389"/>
      <c r="DN303" s="389"/>
      <c r="DO303" s="247"/>
      <c r="DP303" s="389"/>
      <c r="DQ303" s="389"/>
      <c r="DR303" s="389"/>
      <c r="DS303" s="389"/>
      <c r="DT303" s="247"/>
      <c r="DU303" s="247"/>
      <c r="DV303" s="247"/>
    </row>
    <row r="304" spans="1:126" s="15" customFormat="1">
      <c r="A304" s="12"/>
      <c r="B304" s="301" t="s">
        <v>251</v>
      </c>
      <c r="C304" s="16"/>
      <c r="D304" s="16"/>
      <c r="E304" s="16"/>
      <c r="F304" s="16"/>
      <c r="G304" s="16"/>
      <c r="H304" s="16"/>
      <c r="I304" s="16"/>
      <c r="J304" s="12"/>
      <c r="K304" s="12"/>
      <c r="L304" s="12"/>
      <c r="M304" s="12"/>
      <c r="N304" s="16"/>
      <c r="O304" s="12"/>
      <c r="P304" s="12"/>
      <c r="Q304" s="12"/>
      <c r="R304" s="12"/>
      <c r="S304" s="16"/>
      <c r="T304" s="12"/>
      <c r="U304" s="12"/>
      <c r="V304" s="12"/>
      <c r="W304" s="12"/>
      <c r="X304" s="16"/>
      <c r="Y304" s="12"/>
      <c r="Z304" s="12"/>
      <c r="AA304" s="12"/>
      <c r="AB304" s="12"/>
      <c r="AC304" s="16"/>
      <c r="AD304" s="12"/>
      <c r="AE304" s="12"/>
      <c r="AF304" s="12"/>
      <c r="AG304" s="12"/>
      <c r="AH304" s="16"/>
      <c r="AI304" s="12"/>
      <c r="AJ304" s="12"/>
      <c r="AK304" s="12"/>
      <c r="AL304" s="128"/>
      <c r="AM304" s="16"/>
      <c r="AN304" s="128"/>
      <c r="AO304" s="128"/>
      <c r="AP304" s="252"/>
      <c r="AQ304" s="252"/>
      <c r="AR304" s="16"/>
      <c r="AS304" s="252"/>
      <c r="AT304" s="252"/>
      <c r="AU304" s="252"/>
      <c r="AV304" s="252"/>
      <c r="AW304" s="16"/>
      <c r="AX304" s="252"/>
      <c r="AY304" s="252"/>
      <c r="AZ304" s="252"/>
      <c r="BA304" s="252"/>
      <c r="BB304" s="354"/>
      <c r="BC304" s="252"/>
      <c r="BD304" s="252"/>
      <c r="BE304" s="252"/>
      <c r="BF304" s="252"/>
      <c r="BG304" s="354"/>
      <c r="BH304" s="252"/>
      <c r="BI304" s="389"/>
      <c r="BJ304" s="252"/>
      <c r="BK304" s="389"/>
      <c r="BL304" s="247"/>
      <c r="BM304" s="252"/>
      <c r="BN304" s="389"/>
      <c r="BO304" s="252"/>
      <c r="BP304" s="389"/>
      <c r="BQ304" s="247"/>
      <c r="BR304" s="252"/>
      <c r="BS304" s="389"/>
      <c r="BT304" s="252"/>
      <c r="BU304" s="389"/>
      <c r="BV304" s="247"/>
      <c r="BW304" s="252"/>
      <c r="BX304" s="399"/>
      <c r="BY304" s="252"/>
      <c r="BZ304" s="389"/>
      <c r="CA304" s="247"/>
      <c r="CB304" s="252"/>
      <c r="CC304" s="389"/>
      <c r="CD304" s="252"/>
      <c r="CE304" s="389"/>
      <c r="CF304" s="247"/>
      <c r="CG304" s="389"/>
      <c r="CH304" s="389"/>
      <c r="CI304" s="389"/>
      <c r="CJ304" s="389"/>
      <c r="CK304" s="247"/>
      <c r="CL304" s="389"/>
      <c r="CM304" s="389"/>
      <c r="CN304" s="389"/>
      <c r="CO304" s="389"/>
      <c r="CP304" s="247"/>
      <c r="CQ304" s="389"/>
      <c r="CR304" s="389"/>
      <c r="CS304" s="389"/>
      <c r="CT304" s="389"/>
      <c r="CU304" s="247"/>
      <c r="CV304" s="389"/>
      <c r="CW304" s="389"/>
      <c r="CX304" s="389"/>
      <c r="CY304" s="389"/>
      <c r="CZ304" s="247"/>
      <c r="DA304" s="389"/>
      <c r="DB304" s="389"/>
      <c r="DC304" s="389"/>
      <c r="DD304" s="389"/>
      <c r="DE304" s="247"/>
      <c r="DF304" s="389"/>
      <c r="DG304" s="389"/>
      <c r="DH304" s="389"/>
      <c r="DI304" s="389"/>
      <c r="DJ304" s="247"/>
      <c r="DK304" s="389"/>
      <c r="DL304" s="389"/>
      <c r="DM304" s="389"/>
      <c r="DN304" s="389"/>
      <c r="DO304" s="247"/>
      <c r="DP304" s="389"/>
      <c r="DQ304" s="389"/>
      <c r="DR304" s="389"/>
      <c r="DS304" s="389"/>
      <c r="DT304" s="247"/>
      <c r="DU304" s="247"/>
      <c r="DV304" s="247"/>
    </row>
    <row r="305" spans="1:126" s="15" customFormat="1">
      <c r="A305" s="12"/>
      <c r="B305" s="301" t="s">
        <v>252</v>
      </c>
      <c r="C305" s="16"/>
      <c r="D305" s="16"/>
      <c r="E305" s="16"/>
      <c r="F305" s="16"/>
      <c r="G305" s="16"/>
      <c r="H305" s="16"/>
      <c r="I305" s="16"/>
      <c r="J305" s="12"/>
      <c r="K305" s="12"/>
      <c r="L305" s="12"/>
      <c r="M305" s="12"/>
      <c r="N305" s="16"/>
      <c r="O305" s="12"/>
      <c r="P305" s="12"/>
      <c r="Q305" s="12"/>
      <c r="R305" s="12"/>
      <c r="S305" s="16"/>
      <c r="T305" s="12"/>
      <c r="U305" s="12"/>
      <c r="V305" s="12"/>
      <c r="W305" s="12"/>
      <c r="X305" s="16"/>
      <c r="Y305" s="12"/>
      <c r="Z305" s="12"/>
      <c r="AA305" s="12"/>
      <c r="AB305" s="12"/>
      <c r="AC305" s="16"/>
      <c r="AD305" s="12"/>
      <c r="AE305" s="12"/>
      <c r="AF305" s="12"/>
      <c r="AG305" s="12"/>
      <c r="AH305" s="16"/>
      <c r="AI305" s="12"/>
      <c r="AJ305" s="12"/>
      <c r="AK305" s="12"/>
      <c r="AL305" s="128"/>
      <c r="AM305" s="16"/>
      <c r="AN305" s="128"/>
      <c r="AO305" s="128"/>
      <c r="AP305" s="252"/>
      <c r="AQ305" s="252"/>
      <c r="AR305" s="16"/>
      <c r="AS305" s="252"/>
      <c r="AT305" s="252"/>
      <c r="AU305" s="252"/>
      <c r="AV305" s="252"/>
      <c r="AW305" s="16"/>
      <c r="AX305" s="252"/>
      <c r="AY305" s="252"/>
      <c r="AZ305" s="252"/>
      <c r="BA305" s="252"/>
      <c r="BB305" s="354"/>
      <c r="BC305" s="252"/>
      <c r="BD305" s="252"/>
      <c r="BE305" s="252"/>
      <c r="BF305" s="252"/>
      <c r="BG305" s="354"/>
      <c r="BH305" s="252"/>
      <c r="BI305" s="389"/>
      <c r="BJ305" s="252"/>
      <c r="BK305" s="389"/>
      <c r="BL305" s="247"/>
      <c r="BM305" s="252"/>
      <c r="BN305" s="389"/>
      <c r="BO305" s="252"/>
      <c r="BP305" s="389"/>
      <c r="BQ305" s="247"/>
      <c r="BR305" s="252"/>
      <c r="BS305" s="389"/>
      <c r="BT305" s="252"/>
      <c r="BU305" s="389"/>
      <c r="BV305" s="247"/>
      <c r="BW305" s="252"/>
      <c r="BX305" s="399"/>
      <c r="BY305" s="252"/>
      <c r="BZ305" s="389"/>
      <c r="CA305" s="247"/>
      <c r="CB305" s="252"/>
      <c r="CC305" s="389"/>
      <c r="CD305" s="252"/>
      <c r="CE305" s="389"/>
      <c r="CF305" s="247"/>
      <c r="CG305" s="389"/>
      <c r="CH305" s="389"/>
      <c r="CI305" s="389"/>
      <c r="CJ305" s="389"/>
      <c r="CK305" s="247"/>
      <c r="CL305" s="389"/>
      <c r="CM305" s="389"/>
      <c r="CN305" s="389"/>
      <c r="CO305" s="389"/>
      <c r="CP305" s="247"/>
      <c r="CQ305" s="389"/>
      <c r="CR305" s="389"/>
      <c r="CS305" s="389"/>
      <c r="CT305" s="389"/>
      <c r="CU305" s="247"/>
      <c r="CV305" s="389"/>
      <c r="CW305" s="389"/>
      <c r="CX305" s="389"/>
      <c r="CY305" s="389"/>
      <c r="CZ305" s="247"/>
      <c r="DA305" s="389"/>
      <c r="DB305" s="389"/>
      <c r="DC305" s="389"/>
      <c r="DD305" s="389"/>
      <c r="DE305" s="247"/>
      <c r="DF305" s="389"/>
      <c r="DG305" s="389"/>
      <c r="DH305" s="389"/>
      <c r="DI305" s="389"/>
      <c r="DJ305" s="247"/>
      <c r="DK305" s="389"/>
      <c r="DL305" s="389"/>
      <c r="DM305" s="389"/>
      <c r="DN305" s="389"/>
      <c r="DO305" s="247"/>
      <c r="DP305" s="389"/>
      <c r="DQ305" s="389"/>
      <c r="DR305" s="389"/>
      <c r="DS305" s="389"/>
      <c r="DT305" s="247"/>
      <c r="DU305" s="247"/>
      <c r="DV305" s="247"/>
    </row>
    <row r="306" spans="1:126" s="15" customFormat="1">
      <c r="A306" s="12"/>
      <c r="B306" s="301" t="s">
        <v>253</v>
      </c>
      <c r="C306" s="16"/>
      <c r="D306" s="16"/>
      <c r="E306" s="16"/>
      <c r="F306" s="16"/>
      <c r="G306" s="16"/>
      <c r="H306" s="16"/>
      <c r="I306" s="16"/>
      <c r="J306" s="12"/>
      <c r="K306" s="12"/>
      <c r="L306" s="12"/>
      <c r="M306" s="12"/>
      <c r="N306" s="16"/>
      <c r="O306" s="12"/>
      <c r="P306" s="12"/>
      <c r="Q306" s="12"/>
      <c r="R306" s="12"/>
      <c r="S306" s="16"/>
      <c r="T306" s="12"/>
      <c r="U306" s="12"/>
      <c r="V306" s="12"/>
      <c r="W306" s="12"/>
      <c r="X306" s="16"/>
      <c r="Y306" s="12"/>
      <c r="Z306" s="12"/>
      <c r="AA306" s="12"/>
      <c r="AB306" s="12"/>
      <c r="AC306" s="16"/>
      <c r="AD306" s="12"/>
      <c r="AE306" s="12"/>
      <c r="AF306" s="12"/>
      <c r="AG306" s="12"/>
      <c r="AH306" s="16"/>
      <c r="AI306" s="12"/>
      <c r="AJ306" s="12"/>
      <c r="AK306" s="12"/>
      <c r="AL306" s="128"/>
      <c r="AM306" s="16"/>
      <c r="AN306" s="128"/>
      <c r="AO306" s="128"/>
      <c r="AP306" s="252"/>
      <c r="AQ306" s="252"/>
      <c r="AR306" s="16"/>
      <c r="AS306" s="252"/>
      <c r="AT306" s="252"/>
      <c r="AU306" s="252"/>
      <c r="AV306" s="252"/>
      <c r="AW306" s="16"/>
      <c r="AX306" s="252"/>
      <c r="AY306" s="252"/>
      <c r="AZ306" s="252"/>
      <c r="BA306" s="252"/>
      <c r="BB306" s="354"/>
      <c r="BC306" s="252"/>
      <c r="BD306" s="252"/>
      <c r="BE306" s="252"/>
      <c r="BF306" s="252"/>
      <c r="BG306" s="354"/>
      <c r="BH306" s="252"/>
      <c r="BI306" s="389"/>
      <c r="BJ306" s="252"/>
      <c r="BK306" s="389"/>
      <c r="BL306" s="354"/>
      <c r="BM306" s="252"/>
      <c r="BN306" s="389"/>
      <c r="BO306" s="252"/>
      <c r="BP306" s="389"/>
      <c r="BQ306" s="354"/>
      <c r="BR306" s="252"/>
      <c r="BS306" s="389"/>
      <c r="BT306" s="252"/>
      <c r="BU306" s="389"/>
      <c r="BV306" s="354"/>
      <c r="BW306" s="252"/>
      <c r="BX306" s="399"/>
      <c r="BY306" s="252"/>
      <c r="BZ306" s="389"/>
      <c r="CA306" s="354"/>
      <c r="CB306" s="252"/>
      <c r="CC306" s="389"/>
      <c r="CD306" s="252"/>
      <c r="CE306" s="389"/>
      <c r="CF306" s="354"/>
      <c r="CG306" s="389"/>
      <c r="CH306" s="389"/>
      <c r="CI306" s="389"/>
      <c r="CJ306" s="389"/>
      <c r="CK306" s="354"/>
      <c r="CL306" s="389"/>
      <c r="CM306" s="389"/>
      <c r="CN306" s="389"/>
      <c r="CO306" s="389"/>
      <c r="CP306" s="354"/>
      <c r="CQ306" s="389"/>
      <c r="CR306" s="389"/>
      <c r="CS306" s="389"/>
      <c r="CT306" s="389"/>
      <c r="CU306" s="354"/>
      <c r="CV306" s="389"/>
      <c r="CW306" s="389"/>
      <c r="CX306" s="389"/>
      <c r="CY306" s="389"/>
      <c r="CZ306" s="354"/>
      <c r="DA306" s="389"/>
      <c r="DB306" s="389"/>
      <c r="DC306" s="389"/>
      <c r="DD306" s="389"/>
      <c r="DE306" s="354"/>
      <c r="DF306" s="389"/>
      <c r="DG306" s="389"/>
      <c r="DH306" s="389"/>
      <c r="DI306" s="389"/>
      <c r="DJ306" s="354"/>
      <c r="DK306" s="389"/>
      <c r="DL306" s="389"/>
      <c r="DM306" s="389"/>
      <c r="DN306" s="389"/>
      <c r="DO306" s="354"/>
      <c r="DP306" s="389"/>
      <c r="DQ306" s="389"/>
      <c r="DR306" s="389"/>
      <c r="DS306" s="389"/>
      <c r="DT306" s="354"/>
      <c r="DU306" s="354"/>
      <c r="DV306" s="354"/>
    </row>
    <row r="307" spans="1:126" s="15" customFormat="1">
      <c r="A307" s="12"/>
      <c r="B307" s="301" t="s">
        <v>254</v>
      </c>
      <c r="C307" s="16"/>
      <c r="D307" s="16"/>
      <c r="E307" s="16"/>
      <c r="F307" s="16"/>
      <c r="G307" s="16"/>
      <c r="H307" s="16"/>
      <c r="I307" s="16"/>
      <c r="J307" s="12"/>
      <c r="K307" s="12"/>
      <c r="L307" s="12"/>
      <c r="M307" s="12"/>
      <c r="N307" s="16"/>
      <c r="O307" s="12"/>
      <c r="P307" s="12"/>
      <c r="Q307" s="12"/>
      <c r="R307" s="12"/>
      <c r="S307" s="16"/>
      <c r="T307" s="12"/>
      <c r="U307" s="12"/>
      <c r="V307" s="12"/>
      <c r="W307" s="12"/>
      <c r="X307" s="16"/>
      <c r="Y307" s="12"/>
      <c r="Z307" s="12"/>
      <c r="AA307" s="12"/>
      <c r="AB307" s="12"/>
      <c r="AC307" s="16"/>
      <c r="AD307" s="12"/>
      <c r="AE307" s="12"/>
      <c r="AF307" s="12"/>
      <c r="AG307" s="12"/>
      <c r="AH307" s="16"/>
      <c r="AI307" s="12"/>
      <c r="AJ307" s="12"/>
      <c r="AK307" s="12"/>
      <c r="AL307" s="128"/>
      <c r="AM307" s="16"/>
      <c r="AN307" s="128"/>
      <c r="AO307" s="128"/>
      <c r="AP307" s="252"/>
      <c r="AQ307" s="252"/>
      <c r="AR307" s="16"/>
      <c r="AS307" s="252"/>
      <c r="AT307" s="252"/>
      <c r="AU307" s="252"/>
      <c r="AV307" s="252"/>
      <c r="AW307" s="16"/>
      <c r="AX307" s="252"/>
      <c r="AY307" s="252"/>
      <c r="AZ307" s="252"/>
      <c r="BA307" s="252"/>
      <c r="BB307" s="354"/>
      <c r="BC307" s="252"/>
      <c r="BD307" s="252"/>
      <c r="BE307" s="252"/>
      <c r="BF307" s="252"/>
      <c r="BG307" s="354"/>
      <c r="BH307" s="252"/>
      <c r="BI307" s="389"/>
      <c r="BJ307" s="252"/>
      <c r="BK307" s="389"/>
      <c r="BL307" s="354"/>
      <c r="BM307" s="252"/>
      <c r="BN307" s="389"/>
      <c r="BO307" s="252"/>
      <c r="BP307" s="389"/>
      <c r="BQ307" s="354"/>
      <c r="BR307" s="252"/>
      <c r="BS307" s="389"/>
      <c r="BT307" s="252"/>
      <c r="BU307" s="389"/>
      <c r="BV307" s="354"/>
      <c r="BW307" s="252"/>
      <c r="BX307" s="399"/>
      <c r="BY307" s="252"/>
      <c r="BZ307" s="389"/>
      <c r="CA307" s="354"/>
      <c r="CB307" s="252"/>
      <c r="CC307" s="389"/>
      <c r="CD307" s="252"/>
      <c r="CE307" s="389"/>
      <c r="CF307" s="354"/>
      <c r="CG307" s="389"/>
      <c r="CH307" s="389"/>
      <c r="CI307" s="389"/>
      <c r="CJ307" s="389"/>
      <c r="CK307" s="354"/>
      <c r="CL307" s="389"/>
      <c r="CM307" s="389"/>
      <c r="CN307" s="389"/>
      <c r="CO307" s="389"/>
      <c r="CP307" s="354"/>
      <c r="CQ307" s="389"/>
      <c r="CR307" s="389"/>
      <c r="CS307" s="389"/>
      <c r="CT307" s="389"/>
      <c r="CU307" s="354"/>
      <c r="CV307" s="389"/>
      <c r="CW307" s="389"/>
      <c r="CX307" s="389"/>
      <c r="CY307" s="389"/>
      <c r="CZ307" s="354"/>
      <c r="DA307" s="389"/>
      <c r="DB307" s="389"/>
      <c r="DC307" s="389"/>
      <c r="DD307" s="389"/>
      <c r="DE307" s="354"/>
      <c r="DF307" s="389"/>
      <c r="DG307" s="389"/>
      <c r="DH307" s="389"/>
      <c r="DI307" s="389"/>
      <c r="DJ307" s="354"/>
      <c r="DK307" s="389"/>
      <c r="DL307" s="389"/>
      <c r="DM307" s="389"/>
      <c r="DN307" s="389"/>
      <c r="DO307" s="354"/>
      <c r="DP307" s="389"/>
      <c r="DQ307" s="389"/>
      <c r="DR307" s="389"/>
      <c r="DS307" s="389"/>
      <c r="DT307" s="354"/>
      <c r="DU307" s="354"/>
      <c r="DV307" s="354"/>
    </row>
    <row r="308" spans="1:126" s="15" customFormat="1">
      <c r="A308" s="12"/>
      <c r="B308" s="301" t="s">
        <v>255</v>
      </c>
      <c r="C308" s="16"/>
      <c r="D308" s="16"/>
      <c r="E308" s="16"/>
      <c r="F308" s="16"/>
      <c r="G308" s="16"/>
      <c r="H308" s="16"/>
      <c r="I308" s="16"/>
      <c r="J308" s="12"/>
      <c r="K308" s="12"/>
      <c r="L308" s="12"/>
      <c r="M308" s="12"/>
      <c r="N308" s="16"/>
      <c r="O308" s="12"/>
      <c r="P308" s="12"/>
      <c r="Q308" s="12"/>
      <c r="R308" s="12"/>
      <c r="S308" s="16"/>
      <c r="T308" s="12"/>
      <c r="U308" s="12"/>
      <c r="V308" s="12"/>
      <c r="W308" s="12"/>
      <c r="X308" s="16"/>
      <c r="Y308" s="12"/>
      <c r="Z308" s="12"/>
      <c r="AA308" s="12"/>
      <c r="AB308" s="12"/>
      <c r="AC308" s="16"/>
      <c r="AD308" s="12"/>
      <c r="AE308" s="12"/>
      <c r="AF308" s="12"/>
      <c r="AG308" s="12"/>
      <c r="AH308" s="16"/>
      <c r="AI308" s="12"/>
      <c r="AJ308" s="12"/>
      <c r="AK308" s="12"/>
      <c r="AL308" s="128"/>
      <c r="AM308" s="16"/>
      <c r="AN308" s="128"/>
      <c r="AO308" s="128"/>
      <c r="AP308" s="252"/>
      <c r="AQ308" s="252"/>
      <c r="AR308" s="16"/>
      <c r="AS308" s="252"/>
      <c r="AT308" s="252"/>
      <c r="AU308" s="252"/>
      <c r="AV308" s="252"/>
      <c r="AW308" s="16"/>
      <c r="AX308" s="252"/>
      <c r="AY308" s="252"/>
      <c r="AZ308" s="252"/>
      <c r="BA308" s="252"/>
      <c r="BB308" s="354"/>
      <c r="BC308" s="252"/>
      <c r="BD308" s="252"/>
      <c r="BE308" s="252"/>
      <c r="BF308" s="252"/>
      <c r="BG308" s="354"/>
      <c r="BH308" s="252"/>
      <c r="BI308" s="389"/>
      <c r="BJ308" s="252"/>
      <c r="BK308" s="389"/>
      <c r="BL308" s="354"/>
      <c r="BM308" s="252"/>
      <c r="BN308" s="389"/>
      <c r="BO308" s="252"/>
      <c r="BP308" s="389"/>
      <c r="BQ308" s="354"/>
      <c r="BR308" s="252"/>
      <c r="BS308" s="389"/>
      <c r="BT308" s="252"/>
      <c r="BU308" s="389"/>
      <c r="BV308" s="354"/>
      <c r="BW308" s="252"/>
      <c r="BX308" s="399"/>
      <c r="BY308" s="252"/>
      <c r="BZ308" s="389"/>
      <c r="CA308" s="354"/>
      <c r="CB308" s="252"/>
      <c r="CC308" s="389"/>
      <c r="CD308" s="252"/>
      <c r="CE308" s="389"/>
      <c r="CF308" s="354"/>
      <c r="CG308" s="389"/>
      <c r="CH308" s="389"/>
      <c r="CI308" s="389"/>
      <c r="CJ308" s="389"/>
      <c r="CK308" s="354"/>
      <c r="CL308" s="389"/>
      <c r="CM308" s="389"/>
      <c r="CN308" s="389"/>
      <c r="CO308" s="389"/>
      <c r="CP308" s="354"/>
      <c r="CQ308" s="389"/>
      <c r="CR308" s="389"/>
      <c r="CS308" s="389"/>
      <c r="CT308" s="389"/>
      <c r="CU308" s="354"/>
      <c r="CV308" s="389"/>
      <c r="CW308" s="389"/>
      <c r="CX308" s="389"/>
      <c r="CY308" s="389"/>
      <c r="CZ308" s="354"/>
      <c r="DA308" s="389"/>
      <c r="DB308" s="389"/>
      <c r="DC308" s="389"/>
      <c r="DD308" s="389"/>
      <c r="DE308" s="354"/>
      <c r="DF308" s="389"/>
      <c r="DG308" s="389"/>
      <c r="DH308" s="389"/>
      <c r="DI308" s="389"/>
      <c r="DJ308" s="354"/>
      <c r="DK308" s="389"/>
      <c r="DL308" s="389"/>
      <c r="DM308" s="389"/>
      <c r="DN308" s="389"/>
      <c r="DO308" s="354"/>
      <c r="DP308" s="389"/>
      <c r="DQ308" s="389"/>
      <c r="DR308" s="389"/>
      <c r="DS308" s="389"/>
      <c r="DT308" s="354"/>
      <c r="DU308" s="354"/>
      <c r="DV308" s="354"/>
    </row>
    <row r="309" spans="1:126" s="15" customFormat="1">
      <c r="A309" s="12"/>
      <c r="B309" s="301" t="s">
        <v>256</v>
      </c>
      <c r="C309" s="16"/>
      <c r="D309" s="16"/>
      <c r="E309" s="16"/>
      <c r="F309" s="16"/>
      <c r="G309" s="16"/>
      <c r="H309" s="16"/>
      <c r="I309" s="16"/>
      <c r="J309" s="12"/>
      <c r="K309" s="12"/>
      <c r="L309" s="12"/>
      <c r="M309" s="12"/>
      <c r="N309" s="16"/>
      <c r="O309" s="12"/>
      <c r="P309" s="12"/>
      <c r="Q309" s="12"/>
      <c r="R309" s="12"/>
      <c r="S309" s="16"/>
      <c r="T309" s="12"/>
      <c r="U309" s="12"/>
      <c r="V309" s="12"/>
      <c r="W309" s="12"/>
      <c r="X309" s="16"/>
      <c r="Y309" s="12"/>
      <c r="Z309" s="12"/>
      <c r="AA309" s="12"/>
      <c r="AB309" s="12"/>
      <c r="AC309" s="16"/>
      <c r="AD309" s="12"/>
      <c r="AE309" s="12"/>
      <c r="AF309" s="12"/>
      <c r="AG309" s="12"/>
      <c r="AH309" s="16"/>
      <c r="AI309" s="12"/>
      <c r="AJ309" s="12"/>
      <c r="AK309" s="12"/>
      <c r="AL309" s="128"/>
      <c r="AM309" s="16"/>
      <c r="AN309" s="128"/>
      <c r="AO309" s="128"/>
      <c r="AP309" s="252"/>
      <c r="AQ309" s="252"/>
      <c r="AR309" s="16"/>
      <c r="AS309" s="252"/>
      <c r="AT309" s="252"/>
      <c r="AU309" s="252"/>
      <c r="AV309" s="252"/>
      <c r="AW309" s="16"/>
      <c r="AX309" s="252"/>
      <c r="AY309" s="252"/>
      <c r="AZ309" s="252"/>
      <c r="BA309" s="252"/>
      <c r="BB309" s="354"/>
      <c r="BC309" s="252"/>
      <c r="BD309" s="252"/>
      <c r="BE309" s="252"/>
      <c r="BF309" s="252"/>
      <c r="BG309" s="354"/>
      <c r="BH309" s="252"/>
      <c r="BI309" s="389"/>
      <c r="BJ309" s="252"/>
      <c r="BK309" s="389"/>
      <c r="BL309" s="354"/>
      <c r="BM309" s="252"/>
      <c r="BN309" s="389"/>
      <c r="BO309" s="252"/>
      <c r="BP309" s="389"/>
      <c r="BQ309" s="354"/>
      <c r="BR309" s="252"/>
      <c r="BS309" s="389"/>
      <c r="BT309" s="252"/>
      <c r="BU309" s="389"/>
      <c r="BV309" s="354"/>
      <c r="BW309" s="252"/>
      <c r="BX309" s="399"/>
      <c r="BY309" s="252"/>
      <c r="BZ309" s="389"/>
      <c r="CA309" s="354"/>
      <c r="CB309" s="252"/>
      <c r="CC309" s="389"/>
      <c r="CD309" s="252"/>
      <c r="CE309" s="389"/>
      <c r="CF309" s="354"/>
      <c r="CG309" s="389"/>
      <c r="CH309" s="389"/>
      <c r="CI309" s="389"/>
      <c r="CJ309" s="389"/>
      <c r="CK309" s="354"/>
      <c r="CL309" s="389"/>
      <c r="CM309" s="389"/>
      <c r="CN309" s="389"/>
      <c r="CO309" s="389"/>
      <c r="CP309" s="354"/>
      <c r="CQ309" s="389"/>
      <c r="CR309" s="389"/>
      <c r="CS309" s="389"/>
      <c r="CT309" s="389"/>
      <c r="CU309" s="354"/>
      <c r="CV309" s="389"/>
      <c r="CW309" s="389"/>
      <c r="CX309" s="389"/>
      <c r="CY309" s="389"/>
      <c r="CZ309" s="354"/>
      <c r="DA309" s="389"/>
      <c r="DB309" s="389"/>
      <c r="DC309" s="389"/>
      <c r="DD309" s="389"/>
      <c r="DE309" s="354"/>
      <c r="DF309" s="389"/>
      <c r="DG309" s="389"/>
      <c r="DH309" s="389"/>
      <c r="DI309" s="389"/>
      <c r="DJ309" s="354"/>
      <c r="DK309" s="389"/>
      <c r="DL309" s="389"/>
      <c r="DM309" s="389"/>
      <c r="DN309" s="389"/>
      <c r="DO309" s="354"/>
      <c r="DP309" s="389"/>
      <c r="DQ309" s="389"/>
      <c r="DR309" s="389"/>
      <c r="DS309" s="389"/>
      <c r="DT309" s="354"/>
      <c r="DU309" s="354"/>
      <c r="DV309" s="354"/>
    </row>
    <row r="310" spans="1:126" s="15" customFormat="1">
      <c r="A310" s="12"/>
      <c r="B310" s="301" t="s">
        <v>257</v>
      </c>
      <c r="C310" s="16"/>
      <c r="D310" s="16"/>
      <c r="E310" s="16"/>
      <c r="F310" s="16"/>
      <c r="G310" s="16"/>
      <c r="H310" s="16"/>
      <c r="I310" s="16"/>
      <c r="J310" s="12"/>
      <c r="K310" s="12"/>
      <c r="L310" s="12"/>
      <c r="M310" s="12"/>
      <c r="N310" s="16"/>
      <c r="O310" s="12"/>
      <c r="P310" s="12"/>
      <c r="Q310" s="12"/>
      <c r="R310" s="12"/>
      <c r="S310" s="16"/>
      <c r="T310" s="12"/>
      <c r="U310" s="12"/>
      <c r="V310" s="12"/>
      <c r="W310" s="12"/>
      <c r="X310" s="16"/>
      <c r="Y310" s="12"/>
      <c r="Z310" s="12"/>
      <c r="AA310" s="12"/>
      <c r="AB310" s="12"/>
      <c r="AC310" s="16"/>
      <c r="AD310" s="12"/>
      <c r="AE310" s="12"/>
      <c r="AF310" s="12"/>
      <c r="AG310" s="12"/>
      <c r="AH310" s="16"/>
      <c r="AI310" s="12"/>
      <c r="AJ310" s="12"/>
      <c r="AK310" s="12"/>
      <c r="AL310" s="128"/>
      <c r="AM310" s="16"/>
      <c r="AN310" s="128"/>
      <c r="AO310" s="128"/>
      <c r="AP310" s="252"/>
      <c r="AQ310" s="252"/>
      <c r="AR310" s="16"/>
      <c r="AS310" s="252"/>
      <c r="AT310" s="252"/>
      <c r="AU310" s="252"/>
      <c r="AV310" s="252"/>
      <c r="AW310" s="16"/>
      <c r="AX310" s="252"/>
      <c r="AY310" s="252"/>
      <c r="AZ310" s="252"/>
      <c r="BA310" s="252"/>
      <c r="BB310" s="352"/>
      <c r="BC310" s="252"/>
      <c r="BD310" s="252"/>
      <c r="BE310" s="252"/>
      <c r="BF310" s="252"/>
      <c r="BG310" s="352"/>
      <c r="BH310" s="252"/>
      <c r="BI310" s="389"/>
      <c r="BJ310" s="252"/>
      <c r="BK310" s="389"/>
      <c r="BL310" s="352"/>
      <c r="BM310" s="252"/>
      <c r="BN310" s="389"/>
      <c r="BO310" s="252"/>
      <c r="BP310" s="389"/>
      <c r="BQ310" s="352"/>
      <c r="BR310" s="252"/>
      <c r="BS310" s="389"/>
      <c r="BT310" s="252"/>
      <c r="BU310" s="389"/>
      <c r="BV310" s="352"/>
      <c r="BW310" s="252"/>
      <c r="BX310" s="399"/>
      <c r="BY310" s="252"/>
      <c r="BZ310" s="389"/>
      <c r="CA310" s="352"/>
      <c r="CB310" s="252"/>
      <c r="CC310" s="389"/>
      <c r="CD310" s="252"/>
      <c r="CE310" s="389"/>
      <c r="CF310" s="352"/>
      <c r="CG310" s="389"/>
      <c r="CH310" s="389"/>
      <c r="CI310" s="389"/>
      <c r="CJ310" s="389"/>
      <c r="CK310" s="352"/>
      <c r="CL310" s="389"/>
      <c r="CM310" s="389"/>
      <c r="CN310" s="389"/>
      <c r="CO310" s="389"/>
      <c r="CP310" s="352"/>
      <c r="CQ310" s="389"/>
      <c r="CR310" s="389"/>
      <c r="CS310" s="389"/>
      <c r="CT310" s="389"/>
      <c r="CU310" s="352"/>
      <c r="CV310" s="389"/>
      <c r="CW310" s="389"/>
      <c r="CX310" s="389"/>
      <c r="CY310" s="389"/>
      <c r="CZ310" s="352"/>
      <c r="DA310" s="389"/>
      <c r="DB310" s="389"/>
      <c r="DC310" s="389"/>
      <c r="DD310" s="389"/>
      <c r="DE310" s="352"/>
      <c r="DF310" s="389"/>
      <c r="DG310" s="389"/>
      <c r="DH310" s="389"/>
      <c r="DI310" s="389"/>
      <c r="DJ310" s="352"/>
      <c r="DK310" s="389"/>
      <c r="DL310" s="389"/>
      <c r="DM310" s="389"/>
      <c r="DN310" s="389"/>
      <c r="DO310" s="352"/>
      <c r="DP310" s="389"/>
      <c r="DQ310" s="389"/>
      <c r="DR310" s="389"/>
      <c r="DS310" s="389"/>
      <c r="DT310" s="352"/>
      <c r="DU310" s="352"/>
      <c r="DV310" s="352"/>
    </row>
    <row r="311" spans="1:126" s="15" customFormat="1">
      <c r="A311" s="12"/>
      <c r="B311" s="301" t="s">
        <v>258</v>
      </c>
      <c r="C311" s="16"/>
      <c r="D311" s="16"/>
      <c r="E311" s="16"/>
      <c r="F311" s="16"/>
      <c r="G311" s="16"/>
      <c r="H311" s="16"/>
      <c r="I311" s="16"/>
      <c r="J311" s="12"/>
      <c r="K311" s="12"/>
      <c r="L311" s="12"/>
      <c r="M311" s="12"/>
      <c r="N311" s="16"/>
      <c r="O311" s="12"/>
      <c r="P311" s="12"/>
      <c r="Q311" s="12"/>
      <c r="R311" s="12"/>
      <c r="S311" s="16"/>
      <c r="T311" s="12"/>
      <c r="U311" s="12"/>
      <c r="V311" s="12"/>
      <c r="W311" s="12"/>
      <c r="X311" s="16"/>
      <c r="Y311" s="12"/>
      <c r="Z311" s="12"/>
      <c r="AA311" s="12"/>
      <c r="AB311" s="12"/>
      <c r="AC311" s="16"/>
      <c r="AD311" s="12"/>
      <c r="AE311" s="12"/>
      <c r="AF311" s="12"/>
      <c r="AG311" s="12"/>
      <c r="AH311" s="16"/>
      <c r="AI311" s="12"/>
      <c r="AJ311" s="12"/>
      <c r="AK311" s="12"/>
      <c r="AL311" s="128"/>
      <c r="AM311" s="16"/>
      <c r="AN311" s="128"/>
      <c r="AO311" s="128"/>
      <c r="AP311" s="252"/>
      <c r="AQ311" s="252"/>
      <c r="AR311" s="16"/>
      <c r="AS311" s="252"/>
      <c r="AT311" s="252"/>
      <c r="AU311" s="252"/>
      <c r="AV311" s="252"/>
      <c r="AW311" s="16"/>
      <c r="AX311" s="252"/>
      <c r="AY311" s="252"/>
      <c r="AZ311" s="252"/>
      <c r="BA311" s="252"/>
      <c r="BB311" s="354"/>
      <c r="BC311" s="252"/>
      <c r="BD311" s="252"/>
      <c r="BE311" s="252"/>
      <c r="BF311" s="252"/>
      <c r="BG311" s="354"/>
      <c r="BH311" s="252"/>
      <c r="BI311" s="389"/>
      <c r="BJ311" s="252"/>
      <c r="BK311" s="252"/>
      <c r="BL311" s="354"/>
      <c r="BM311" s="252"/>
      <c r="BN311" s="389"/>
      <c r="BO311" s="252"/>
      <c r="BP311" s="252"/>
      <c r="BQ311" s="354"/>
      <c r="BR311" s="252"/>
      <c r="BS311" s="389"/>
      <c r="BT311" s="252"/>
      <c r="BU311" s="252"/>
      <c r="BV311" s="354"/>
      <c r="BW311" s="252"/>
      <c r="BX311" s="399"/>
      <c r="BY311" s="252"/>
      <c r="BZ311" s="252"/>
      <c r="CA311" s="354"/>
      <c r="CB311" s="252"/>
      <c r="CC311" s="389"/>
      <c r="CD311" s="252"/>
      <c r="CE311" s="252"/>
      <c r="CF311" s="354"/>
      <c r="CG311" s="389"/>
      <c r="CH311" s="389"/>
      <c r="CI311" s="389"/>
      <c r="CJ311" s="389"/>
      <c r="CK311" s="354"/>
      <c r="CL311" s="389"/>
      <c r="CM311" s="389"/>
      <c r="CN311" s="389"/>
      <c r="CO311" s="389"/>
      <c r="CP311" s="354"/>
      <c r="CQ311" s="389"/>
      <c r="CR311" s="389"/>
      <c r="CS311" s="389"/>
      <c r="CT311" s="389"/>
      <c r="CU311" s="354"/>
      <c r="CV311" s="389"/>
      <c r="CW311" s="389"/>
      <c r="CX311" s="389"/>
      <c r="CY311" s="389"/>
      <c r="CZ311" s="354"/>
      <c r="DA311" s="389"/>
      <c r="DB311" s="389"/>
      <c r="DC311" s="389"/>
      <c r="DD311" s="389"/>
      <c r="DE311" s="354"/>
      <c r="DF311" s="389"/>
      <c r="DG311" s="389"/>
      <c r="DH311" s="389"/>
      <c r="DI311" s="389"/>
      <c r="DJ311" s="354"/>
      <c r="DK311" s="389"/>
      <c r="DL311" s="389"/>
      <c r="DM311" s="389"/>
      <c r="DN311" s="389"/>
      <c r="DO311" s="354"/>
      <c r="DP311" s="389"/>
      <c r="DQ311" s="389"/>
      <c r="DR311" s="389"/>
      <c r="DS311" s="389"/>
      <c r="DT311" s="354"/>
      <c r="DU311" s="354"/>
      <c r="DV311" s="354"/>
    </row>
    <row r="312" spans="1:126" s="15" customFormat="1">
      <c r="A312" s="12"/>
      <c r="B312" s="301" t="s">
        <v>259</v>
      </c>
      <c r="C312" s="16"/>
      <c r="D312" s="16"/>
      <c r="E312" s="16"/>
      <c r="F312" s="16"/>
      <c r="G312" s="16"/>
      <c r="H312" s="16"/>
      <c r="I312" s="16"/>
      <c r="J312" s="12"/>
      <c r="K312" s="12"/>
      <c r="L312" s="12"/>
      <c r="M312" s="12"/>
      <c r="N312" s="16"/>
      <c r="O312" s="12"/>
      <c r="P312" s="12"/>
      <c r="Q312" s="12"/>
      <c r="R312" s="12"/>
      <c r="S312" s="16"/>
      <c r="T312" s="12"/>
      <c r="U312" s="12"/>
      <c r="V312" s="12"/>
      <c r="W312" s="12"/>
      <c r="X312" s="16"/>
      <c r="Y312" s="12"/>
      <c r="Z312" s="12"/>
      <c r="AA312" s="12"/>
      <c r="AB312" s="12"/>
      <c r="AC312" s="16"/>
      <c r="AD312" s="12"/>
      <c r="AE312" s="12"/>
      <c r="AF312" s="12"/>
      <c r="AG312" s="12"/>
      <c r="AH312" s="16"/>
      <c r="AI312" s="12"/>
      <c r="AJ312" s="12"/>
      <c r="AK312" s="12"/>
      <c r="AL312" s="128"/>
      <c r="AM312" s="16"/>
      <c r="AN312" s="128"/>
      <c r="AO312" s="128"/>
      <c r="AP312" s="252"/>
      <c r="AQ312" s="252"/>
      <c r="AR312" s="16"/>
      <c r="AS312" s="252"/>
      <c r="AT312" s="252"/>
      <c r="AU312" s="252"/>
      <c r="AV312" s="252"/>
      <c r="AW312" s="16"/>
      <c r="AX312" s="252"/>
      <c r="AY312" s="252"/>
      <c r="AZ312" s="252"/>
      <c r="BA312" s="252"/>
      <c r="BB312" s="354"/>
      <c r="BC312" s="252"/>
      <c r="BD312" s="252"/>
      <c r="BE312" s="252"/>
      <c r="BF312" s="252"/>
      <c r="BG312" s="354"/>
      <c r="BH312" s="252"/>
      <c r="BI312" s="389"/>
      <c r="BJ312" s="252"/>
      <c r="BK312" s="252"/>
      <c r="BL312" s="354"/>
      <c r="BM312" s="252"/>
      <c r="BN312" s="389"/>
      <c r="BO312" s="252"/>
      <c r="BP312" s="252"/>
      <c r="BQ312" s="354"/>
      <c r="BR312" s="252"/>
      <c r="BS312" s="389"/>
      <c r="BT312" s="252"/>
      <c r="BU312" s="252"/>
      <c r="BV312" s="354"/>
      <c r="BW312" s="252"/>
      <c r="BX312" s="399"/>
      <c r="BY312" s="252"/>
      <c r="BZ312" s="252"/>
      <c r="CA312" s="354"/>
      <c r="CB312" s="252"/>
      <c r="CC312" s="389"/>
      <c r="CD312" s="252"/>
      <c r="CE312" s="252"/>
      <c r="CF312" s="354"/>
      <c r="CG312" s="389"/>
      <c r="CH312" s="389"/>
      <c r="CI312" s="389"/>
      <c r="CJ312" s="389"/>
      <c r="CK312" s="354"/>
      <c r="CL312" s="389"/>
      <c r="CM312" s="389"/>
      <c r="CN312" s="389"/>
      <c r="CO312" s="389"/>
      <c r="CP312" s="354"/>
      <c r="CQ312" s="389"/>
      <c r="CR312" s="389"/>
      <c r="CS312" s="389"/>
      <c r="CT312" s="389"/>
      <c r="CU312" s="354"/>
      <c r="CV312" s="389"/>
      <c r="CW312" s="389"/>
      <c r="CX312" s="389"/>
      <c r="CY312" s="389"/>
      <c r="CZ312" s="354"/>
      <c r="DA312" s="389"/>
      <c r="DB312" s="389"/>
      <c r="DC312" s="389"/>
      <c r="DD312" s="389"/>
      <c r="DE312" s="354"/>
      <c r="DF312" s="389"/>
      <c r="DG312" s="389"/>
      <c r="DH312" s="389"/>
      <c r="DI312" s="389"/>
      <c r="DJ312" s="354"/>
      <c r="DK312" s="389"/>
      <c r="DL312" s="389"/>
      <c r="DM312" s="389"/>
      <c r="DN312" s="389"/>
      <c r="DO312" s="354"/>
      <c r="DP312" s="389"/>
      <c r="DQ312" s="389"/>
      <c r="DR312" s="389"/>
      <c r="DS312" s="389"/>
      <c r="DT312" s="354"/>
      <c r="DU312" s="354"/>
      <c r="DV312" s="354"/>
    </row>
    <row r="313" spans="1:126" s="15" customFormat="1">
      <c r="A313" s="12"/>
      <c r="B313" s="301" t="s">
        <v>260</v>
      </c>
      <c r="C313" s="16"/>
      <c r="D313" s="16"/>
      <c r="E313" s="16"/>
      <c r="F313" s="16"/>
      <c r="G313" s="16"/>
      <c r="H313" s="16"/>
      <c r="I313" s="16"/>
      <c r="J313" s="12"/>
      <c r="K313" s="12"/>
      <c r="L313" s="12"/>
      <c r="M313" s="12"/>
      <c r="N313" s="16"/>
      <c r="O313" s="12"/>
      <c r="P313" s="12"/>
      <c r="Q313" s="12"/>
      <c r="R313" s="12"/>
      <c r="S313" s="16"/>
      <c r="T313" s="12"/>
      <c r="U313" s="12"/>
      <c r="V313" s="12"/>
      <c r="W313" s="12"/>
      <c r="X313" s="16"/>
      <c r="Y313" s="12"/>
      <c r="Z313" s="12"/>
      <c r="AA313" s="12"/>
      <c r="AB313" s="12"/>
      <c r="AC313" s="16"/>
      <c r="AD313" s="12"/>
      <c r="AE313" s="12"/>
      <c r="AF313" s="12"/>
      <c r="AG313" s="12"/>
      <c r="AH313" s="16"/>
      <c r="AI313" s="12"/>
      <c r="AJ313" s="12"/>
      <c r="AK313" s="12"/>
      <c r="AL313" s="128"/>
      <c r="AM313" s="16"/>
      <c r="AN313" s="128"/>
      <c r="AO313" s="128"/>
      <c r="AP313" s="252"/>
      <c r="AQ313" s="252"/>
      <c r="AR313" s="16"/>
      <c r="AS313" s="252"/>
      <c r="AT313" s="252"/>
      <c r="AU313" s="252"/>
      <c r="AV313" s="252"/>
      <c r="AW313" s="16"/>
      <c r="AX313" s="252"/>
      <c r="AY313" s="252"/>
      <c r="AZ313" s="252"/>
      <c r="BA313" s="252"/>
      <c r="BB313" s="354"/>
      <c r="BC313" s="252"/>
      <c r="BD313" s="252"/>
      <c r="BE313" s="252"/>
      <c r="BF313" s="252"/>
      <c r="BG313" s="354"/>
      <c r="BH313" s="252"/>
      <c r="BI313" s="389"/>
      <c r="BJ313" s="252"/>
      <c r="BK313" s="252"/>
      <c r="BL313" s="354"/>
      <c r="BM313" s="252"/>
      <c r="BN313" s="389"/>
      <c r="BO313" s="252"/>
      <c r="BP313" s="252"/>
      <c r="BQ313" s="354"/>
      <c r="BR313" s="252"/>
      <c r="BS313" s="389"/>
      <c r="BT313" s="252"/>
      <c r="BU313" s="252"/>
      <c r="BV313" s="354"/>
      <c r="BW313" s="252"/>
      <c r="BX313" s="399"/>
      <c r="BY313" s="252"/>
      <c r="BZ313" s="252"/>
      <c r="CA313" s="354"/>
      <c r="CB313" s="252"/>
      <c r="CC313" s="389"/>
      <c r="CD313" s="252"/>
      <c r="CE313" s="252"/>
      <c r="CF313" s="354"/>
      <c r="CG313" s="389"/>
      <c r="CH313" s="389"/>
      <c r="CI313" s="389"/>
      <c r="CJ313" s="389"/>
      <c r="CK313" s="354"/>
      <c r="CL313" s="389"/>
      <c r="CM313" s="389"/>
      <c r="CN313" s="389"/>
      <c r="CO313" s="389"/>
      <c r="CP313" s="354"/>
      <c r="CQ313" s="389"/>
      <c r="CR313" s="389"/>
      <c r="CS313" s="389"/>
      <c r="CT313" s="389"/>
      <c r="CU313" s="354"/>
      <c r="CV313" s="389"/>
      <c r="CW313" s="389"/>
      <c r="CX313" s="389"/>
      <c r="CY313" s="389"/>
      <c r="CZ313" s="354"/>
      <c r="DA313" s="389"/>
      <c r="DB313" s="389"/>
      <c r="DC313" s="389"/>
      <c r="DD313" s="389"/>
      <c r="DE313" s="354"/>
      <c r="DF313" s="389"/>
      <c r="DG313" s="389"/>
      <c r="DH313" s="389"/>
      <c r="DI313" s="389"/>
      <c r="DJ313" s="354"/>
      <c r="DK313" s="389"/>
      <c r="DL313" s="389"/>
      <c r="DM313" s="389"/>
      <c r="DN313" s="389"/>
      <c r="DO313" s="354"/>
      <c r="DP313" s="389"/>
      <c r="DQ313" s="389"/>
      <c r="DR313" s="389"/>
      <c r="DS313" s="389"/>
      <c r="DT313" s="354"/>
      <c r="DU313" s="354"/>
      <c r="DV313" s="354"/>
    </row>
    <row r="314" spans="1:126" s="15" customFormat="1">
      <c r="A314" s="12"/>
      <c r="B314" s="301" t="s">
        <v>261</v>
      </c>
      <c r="C314" s="16"/>
      <c r="D314" s="16"/>
      <c r="E314" s="16"/>
      <c r="F314" s="16"/>
      <c r="G314" s="16"/>
      <c r="H314" s="16"/>
      <c r="I314" s="16"/>
      <c r="J314" s="12"/>
      <c r="K314" s="12"/>
      <c r="L314" s="12"/>
      <c r="M314" s="12"/>
      <c r="N314" s="16"/>
      <c r="O314" s="12"/>
      <c r="P314" s="12"/>
      <c r="Q314" s="12"/>
      <c r="R314" s="12"/>
      <c r="S314" s="16"/>
      <c r="T314" s="12"/>
      <c r="U314" s="12"/>
      <c r="V314" s="12"/>
      <c r="W314" s="12"/>
      <c r="X314" s="16"/>
      <c r="Y314" s="12"/>
      <c r="Z314" s="12"/>
      <c r="AA314" s="12"/>
      <c r="AB314" s="12"/>
      <c r="AC314" s="16"/>
      <c r="AD314" s="12"/>
      <c r="AE314" s="12"/>
      <c r="AF314" s="12"/>
      <c r="AG314" s="12"/>
      <c r="AH314" s="16"/>
      <c r="AI314" s="12"/>
      <c r="AJ314" s="12"/>
      <c r="AK314" s="12"/>
      <c r="AL314" s="128"/>
      <c r="AM314" s="16"/>
      <c r="AN314" s="128"/>
      <c r="AO314" s="128"/>
      <c r="AP314" s="252"/>
      <c r="AQ314" s="252"/>
      <c r="AR314" s="16"/>
      <c r="AS314" s="252"/>
      <c r="AT314" s="252"/>
      <c r="AU314" s="252"/>
      <c r="AV314" s="252"/>
      <c r="AW314" s="16"/>
      <c r="AX314" s="252"/>
      <c r="AY314" s="252"/>
      <c r="AZ314" s="252"/>
      <c r="BA314" s="252"/>
      <c r="BB314" s="354"/>
      <c r="BC314" s="252"/>
      <c r="BD314" s="252"/>
      <c r="BE314" s="252"/>
      <c r="BF314" s="252"/>
      <c r="BG314" s="354"/>
      <c r="BH314" s="252"/>
      <c r="BI314" s="389"/>
      <c r="BJ314" s="252"/>
      <c r="BK314" s="252"/>
      <c r="BL314" s="354"/>
      <c r="BM314" s="252"/>
      <c r="BN314" s="389"/>
      <c r="BO314" s="252"/>
      <c r="BP314" s="252"/>
      <c r="BQ314" s="354"/>
      <c r="BR314" s="252"/>
      <c r="BS314" s="389"/>
      <c r="BT314" s="252"/>
      <c r="BU314" s="252"/>
      <c r="BV314" s="354"/>
      <c r="BW314" s="252"/>
      <c r="BX314" s="399"/>
      <c r="BY314" s="252"/>
      <c r="BZ314" s="252"/>
      <c r="CA314" s="354"/>
      <c r="CB314" s="252"/>
      <c r="CC314" s="389"/>
      <c r="CD314" s="252"/>
      <c r="CE314" s="252"/>
      <c r="CF314" s="354"/>
      <c r="CG314" s="389"/>
      <c r="CH314" s="389"/>
      <c r="CI314" s="389"/>
      <c r="CJ314" s="389"/>
      <c r="CK314" s="354"/>
      <c r="CL314" s="389"/>
      <c r="CM314" s="389"/>
      <c r="CN314" s="389"/>
      <c r="CO314" s="389"/>
      <c r="CP314" s="354"/>
      <c r="CQ314" s="389"/>
      <c r="CR314" s="389"/>
      <c r="CS314" s="389"/>
      <c r="CT314" s="389"/>
      <c r="CU314" s="354"/>
      <c r="CV314" s="389"/>
      <c r="CW314" s="389"/>
      <c r="CX314" s="389"/>
      <c r="CY314" s="389"/>
      <c r="CZ314" s="354"/>
      <c r="DA314" s="389"/>
      <c r="DB314" s="389"/>
      <c r="DC314" s="389"/>
      <c r="DD314" s="389"/>
      <c r="DE314" s="354"/>
      <c r="DF314" s="389"/>
      <c r="DG314" s="389"/>
      <c r="DH314" s="389"/>
      <c r="DI314" s="389"/>
      <c r="DJ314" s="354"/>
      <c r="DK314" s="389"/>
      <c r="DL314" s="389"/>
      <c r="DM314" s="389"/>
      <c r="DN314" s="389"/>
      <c r="DO314" s="354"/>
      <c r="DP314" s="389"/>
      <c r="DQ314" s="389"/>
      <c r="DR314" s="389"/>
      <c r="DS314" s="389"/>
      <c r="DT314" s="354"/>
      <c r="DU314" s="354"/>
      <c r="DV314" s="354"/>
    </row>
    <row r="315" spans="1:126" s="15" customFormat="1">
      <c r="A315" s="12"/>
      <c r="B315" s="301"/>
      <c r="C315" s="16"/>
      <c r="D315" s="16"/>
      <c r="E315" s="16"/>
      <c r="F315" s="16"/>
      <c r="G315" s="16"/>
      <c r="H315" s="16"/>
      <c r="I315" s="16"/>
      <c r="J315" s="12"/>
      <c r="K315" s="12"/>
      <c r="L315" s="12"/>
      <c r="M315" s="12"/>
      <c r="N315" s="16"/>
      <c r="O315" s="12"/>
      <c r="P315" s="12"/>
      <c r="Q315" s="12"/>
      <c r="R315" s="12"/>
      <c r="S315" s="16"/>
      <c r="T315" s="12"/>
      <c r="U315" s="12"/>
      <c r="V315" s="12"/>
      <c r="W315" s="12"/>
      <c r="X315" s="16"/>
      <c r="Y315" s="12"/>
      <c r="Z315" s="12"/>
      <c r="AA315" s="12"/>
      <c r="AB315" s="12"/>
      <c r="AC315" s="16"/>
      <c r="AD315" s="12"/>
      <c r="AE315" s="12"/>
      <c r="AF315" s="12"/>
      <c r="AG315" s="12"/>
      <c r="AH315" s="16"/>
      <c r="AI315" s="12"/>
      <c r="AJ315" s="12"/>
      <c r="AK315" s="12"/>
      <c r="AL315" s="128"/>
      <c r="AM315" s="16"/>
      <c r="AN315" s="128"/>
      <c r="AO315" s="128"/>
      <c r="AP315" s="252"/>
      <c r="AQ315" s="252"/>
      <c r="AR315" s="16"/>
      <c r="AS315" s="252"/>
      <c r="AT315" s="252"/>
      <c r="AU315" s="252"/>
      <c r="AV315" s="252"/>
      <c r="AW315" s="16"/>
      <c r="AX315" s="252"/>
      <c r="AY315" s="252"/>
      <c r="AZ315" s="252"/>
      <c r="BA315" s="252"/>
      <c r="BB315" s="247"/>
      <c r="BC315" s="252"/>
      <c r="BD315" s="252"/>
      <c r="BE315" s="252"/>
      <c r="BF315" s="252"/>
      <c r="BG315" s="247"/>
      <c r="BH315" s="252"/>
      <c r="BI315" s="389"/>
      <c r="BJ315" s="252"/>
      <c r="BK315" s="252"/>
      <c r="BL315" s="247"/>
      <c r="BM315" s="252"/>
      <c r="BN315" s="389"/>
      <c r="BO315" s="252"/>
      <c r="BP315" s="252"/>
      <c r="BQ315" s="247"/>
      <c r="BR315" s="252"/>
      <c r="BS315" s="389"/>
      <c r="BT315" s="252"/>
      <c r="BU315" s="252"/>
      <c r="BV315" s="247"/>
      <c r="BW315" s="252"/>
      <c r="BX315" s="399"/>
      <c r="BY315" s="252"/>
      <c r="BZ315" s="252"/>
      <c r="CA315" s="247"/>
      <c r="CB315" s="252"/>
      <c r="CC315" s="389"/>
      <c r="CD315" s="252"/>
      <c r="CE315" s="252"/>
      <c r="CF315" s="247"/>
      <c r="CG315" s="389"/>
      <c r="CH315" s="389"/>
      <c r="CI315" s="389"/>
      <c r="CJ315" s="389"/>
      <c r="CK315" s="247"/>
      <c r="CL315" s="389"/>
      <c r="CM315" s="389"/>
      <c r="CN315" s="389"/>
      <c r="CO315" s="389"/>
      <c r="CP315" s="247"/>
      <c r="CQ315" s="389"/>
      <c r="CR315" s="389"/>
      <c r="CS315" s="389"/>
      <c r="CT315" s="389"/>
      <c r="CU315" s="247"/>
      <c r="CV315" s="389"/>
      <c r="CW315" s="389"/>
      <c r="CX315" s="389"/>
      <c r="CY315" s="389"/>
      <c r="CZ315" s="247"/>
      <c r="DA315" s="389"/>
      <c r="DB315" s="389"/>
      <c r="DC315" s="389"/>
      <c r="DD315" s="389"/>
      <c r="DE315" s="247"/>
      <c r="DF315" s="389"/>
      <c r="DG315" s="389"/>
      <c r="DH315" s="389"/>
      <c r="DI315" s="389"/>
      <c r="DJ315" s="247"/>
      <c r="DK315" s="389"/>
      <c r="DL315" s="389"/>
      <c r="DM315" s="389"/>
      <c r="DN315" s="389"/>
      <c r="DO315" s="247"/>
      <c r="DP315" s="389"/>
      <c r="DQ315" s="389"/>
      <c r="DR315" s="389"/>
      <c r="DS315" s="389"/>
      <c r="DT315" s="247"/>
      <c r="DU315" s="247"/>
      <c r="DV315" s="247"/>
    </row>
    <row r="316" spans="1:126" s="15" customFormat="1" ht="12">
      <c r="A316" s="12"/>
      <c r="B316" s="110" t="s">
        <v>227</v>
      </c>
      <c r="C316" s="16"/>
      <c r="D316" s="16"/>
      <c r="E316" s="16"/>
      <c r="F316" s="16"/>
      <c r="G316" s="16"/>
      <c r="H316" s="16"/>
      <c r="I316" s="16"/>
      <c r="J316" s="12"/>
      <c r="K316" s="12"/>
      <c r="L316" s="12"/>
      <c r="M316" s="12"/>
      <c r="N316" s="16"/>
      <c r="O316" s="12"/>
      <c r="P316" s="12"/>
      <c r="Q316" s="12"/>
      <c r="R316" s="12"/>
      <c r="S316" s="16"/>
      <c r="T316" s="12"/>
      <c r="U316" s="12"/>
      <c r="V316" s="12"/>
      <c r="W316" s="12"/>
      <c r="X316" s="16"/>
      <c r="Y316" s="12"/>
      <c r="Z316" s="12"/>
      <c r="AA316" s="12"/>
      <c r="AB316" s="12"/>
      <c r="AC316" s="16"/>
      <c r="AD316" s="12"/>
      <c r="AE316" s="12"/>
      <c r="AF316" s="12"/>
      <c r="AG316" s="12"/>
      <c r="AH316" s="16"/>
      <c r="AI316" s="12"/>
      <c r="AJ316" s="12"/>
      <c r="AK316" s="12"/>
      <c r="AL316" s="128"/>
      <c r="AM316" s="16"/>
      <c r="AN316" s="128"/>
      <c r="AO316" s="128"/>
      <c r="AP316" s="252"/>
      <c r="AQ316" s="252"/>
      <c r="AR316" s="16"/>
      <c r="AS316" s="252"/>
      <c r="AT316" s="252"/>
      <c r="AU316" s="252"/>
      <c r="AV316" s="252"/>
      <c r="AW316" s="16"/>
      <c r="AX316" s="252"/>
      <c r="AY316" s="252"/>
      <c r="AZ316" s="252"/>
      <c r="BA316" s="252"/>
      <c r="BB316" s="222"/>
      <c r="BC316" s="252"/>
      <c r="BD316" s="252"/>
      <c r="BE316" s="252"/>
      <c r="BF316" s="252"/>
      <c r="BG316" s="222"/>
      <c r="BH316" s="252"/>
      <c r="BI316" s="389"/>
      <c r="BJ316" s="252"/>
      <c r="BK316" s="252"/>
      <c r="BL316" s="222"/>
      <c r="BM316" s="252"/>
      <c r="BN316" s="389"/>
      <c r="BO316" s="252"/>
      <c r="BP316" s="252"/>
      <c r="BQ316" s="222"/>
      <c r="BR316" s="252"/>
      <c r="BS316" s="389"/>
      <c r="BT316" s="252"/>
      <c r="BU316" s="252"/>
      <c r="BV316" s="222"/>
      <c r="BW316" s="252"/>
      <c r="BX316" s="399"/>
      <c r="BY316" s="252"/>
      <c r="BZ316" s="252"/>
      <c r="CA316" s="222"/>
      <c r="CB316" s="252"/>
      <c r="CC316" s="389"/>
      <c r="CD316" s="252"/>
      <c r="CE316" s="252"/>
      <c r="CF316" s="354"/>
      <c r="CG316" s="389"/>
      <c r="CH316" s="389"/>
      <c r="CI316" s="389"/>
      <c r="CJ316" s="389"/>
      <c r="CK316" s="354"/>
      <c r="CL316" s="389"/>
      <c r="CM316" s="389"/>
      <c r="CN316" s="389"/>
      <c r="CO316" s="389"/>
      <c r="CP316" s="354"/>
      <c r="CQ316" s="389"/>
      <c r="CR316" s="389"/>
      <c r="CS316" s="389"/>
      <c r="CT316" s="389"/>
      <c r="CU316" s="354"/>
      <c r="CV316" s="389"/>
      <c r="CW316" s="389"/>
      <c r="CX316" s="389"/>
      <c r="CY316" s="389"/>
      <c r="CZ316" s="354"/>
      <c r="DA316" s="389"/>
      <c r="DB316" s="389"/>
      <c r="DC316" s="389"/>
      <c r="DD316" s="389"/>
      <c r="DE316" s="354"/>
      <c r="DF316" s="389"/>
      <c r="DG316" s="389"/>
      <c r="DH316" s="389"/>
      <c r="DI316" s="389"/>
      <c r="DJ316" s="354"/>
      <c r="DK316" s="389"/>
      <c r="DL316" s="389"/>
      <c r="DM316" s="389"/>
      <c r="DN316" s="389"/>
      <c r="DO316" s="354"/>
      <c r="DP316" s="389"/>
      <c r="DQ316" s="389"/>
      <c r="DR316" s="389"/>
      <c r="DS316" s="389"/>
      <c r="DT316" s="354"/>
      <c r="DU316" s="354"/>
      <c r="DV316" s="354"/>
    </row>
    <row r="317" spans="1:126" s="15" customFormat="1">
      <c r="A317" s="12"/>
      <c r="B317" s="301" t="s">
        <v>230</v>
      </c>
      <c r="C317" s="16"/>
      <c r="D317" s="16"/>
      <c r="E317" s="16"/>
      <c r="F317" s="16"/>
      <c r="G317" s="16"/>
      <c r="H317" s="16"/>
      <c r="I317" s="16"/>
      <c r="J317" s="12"/>
      <c r="K317" s="12"/>
      <c r="L317" s="12"/>
      <c r="M317" s="12"/>
      <c r="N317" s="16"/>
      <c r="O317" s="12"/>
      <c r="P317" s="12"/>
      <c r="Q317" s="12"/>
      <c r="R317" s="12"/>
      <c r="S317" s="16"/>
      <c r="T317" s="12"/>
      <c r="U317" s="12"/>
      <c r="V317" s="12"/>
      <c r="W317" s="12"/>
      <c r="X317" s="16"/>
      <c r="Y317" s="12"/>
      <c r="Z317" s="12"/>
      <c r="AA317" s="12"/>
      <c r="AB317" s="12"/>
      <c r="AC317" s="16"/>
      <c r="AD317" s="12"/>
      <c r="AE317" s="12"/>
      <c r="AF317" s="12"/>
      <c r="AG317" s="12"/>
      <c r="AH317" s="16"/>
      <c r="AI317" s="12"/>
      <c r="AJ317" s="12"/>
      <c r="AK317" s="12"/>
      <c r="AL317" s="128"/>
      <c r="AM317" s="16"/>
      <c r="AN317" s="128"/>
      <c r="AO317" s="128"/>
      <c r="AP317" s="252"/>
      <c r="AQ317" s="252"/>
      <c r="AR317" s="16"/>
      <c r="AS317" s="252"/>
      <c r="AT317" s="252"/>
      <c r="AU317" s="252"/>
      <c r="AV317" s="252"/>
      <c r="AW317" s="16"/>
      <c r="AX317" s="252"/>
      <c r="AY317" s="252"/>
      <c r="AZ317" s="252"/>
      <c r="BA317" s="252"/>
      <c r="BB317" s="354"/>
      <c r="BC317" s="252"/>
      <c r="BD317" s="252"/>
      <c r="BE317" s="252"/>
      <c r="BF317" s="252"/>
      <c r="BG317" s="354"/>
      <c r="BH317" s="252"/>
      <c r="BI317" s="389"/>
      <c r="BJ317" s="252"/>
      <c r="BK317" s="252"/>
      <c r="BL317" s="354"/>
      <c r="BM317" s="252"/>
      <c r="BN317" s="389"/>
      <c r="BO317" s="252"/>
      <c r="BP317" s="252"/>
      <c r="BQ317" s="354"/>
      <c r="BR317" s="252"/>
      <c r="BS317" s="389"/>
      <c r="BT317" s="252"/>
      <c r="BU317" s="252"/>
      <c r="BV317" s="354"/>
      <c r="BW317" s="252"/>
      <c r="BX317" s="399"/>
      <c r="BY317" s="252"/>
      <c r="BZ317" s="252"/>
      <c r="CA317" s="354"/>
      <c r="CB317" s="252"/>
      <c r="CC317" s="389"/>
      <c r="CD317" s="252"/>
      <c r="CE317" s="252"/>
      <c r="CF317" s="354"/>
      <c r="CG317" s="389"/>
      <c r="CH317" s="389"/>
      <c r="CI317" s="389"/>
      <c r="CJ317" s="389"/>
      <c r="CK317" s="354"/>
      <c r="CL317" s="389"/>
      <c r="CM317" s="389"/>
      <c r="CN317" s="389"/>
      <c r="CO317" s="389"/>
      <c r="CP317" s="354"/>
      <c r="CQ317" s="389"/>
      <c r="CR317" s="389"/>
      <c r="CS317" s="389"/>
      <c r="CT317" s="389"/>
      <c r="CU317" s="354"/>
      <c r="CV317" s="389"/>
      <c r="CW317" s="389"/>
      <c r="CX317" s="389"/>
      <c r="CY317" s="389"/>
      <c r="CZ317" s="354"/>
      <c r="DA317" s="389"/>
      <c r="DB317" s="389"/>
      <c r="DC317" s="389"/>
      <c r="DD317" s="389"/>
      <c r="DE317" s="354"/>
      <c r="DF317" s="389"/>
      <c r="DG317" s="389"/>
      <c r="DH317" s="389"/>
      <c r="DI317" s="389"/>
      <c r="DJ317" s="354"/>
      <c r="DK317" s="389"/>
      <c r="DL317" s="389"/>
      <c r="DM317" s="389"/>
      <c r="DN317" s="389"/>
      <c r="DO317" s="354"/>
      <c r="DP317" s="389"/>
      <c r="DQ317" s="389"/>
      <c r="DR317" s="389"/>
      <c r="DS317" s="389"/>
      <c r="DT317" s="354"/>
      <c r="DU317" s="354"/>
      <c r="DV317" s="354"/>
    </row>
    <row r="318" spans="1:126" s="15" customFormat="1">
      <c r="A318" s="12"/>
      <c r="B318" s="301" t="s">
        <v>231</v>
      </c>
      <c r="C318" s="16"/>
      <c r="D318" s="16"/>
      <c r="E318" s="16"/>
      <c r="F318" s="16"/>
      <c r="G318" s="16"/>
      <c r="H318" s="16"/>
      <c r="I318" s="16"/>
      <c r="J318" s="12"/>
      <c r="K318" s="12"/>
      <c r="L318" s="12"/>
      <c r="M318" s="12"/>
      <c r="N318" s="16"/>
      <c r="O318" s="12"/>
      <c r="P318" s="12"/>
      <c r="Q318" s="12"/>
      <c r="R318" s="12"/>
      <c r="S318" s="16"/>
      <c r="T318" s="12"/>
      <c r="U318" s="12"/>
      <c r="V318" s="12"/>
      <c r="W318" s="12"/>
      <c r="X318" s="16"/>
      <c r="Y318" s="12"/>
      <c r="Z318" s="12"/>
      <c r="AA318" s="12"/>
      <c r="AB318" s="12"/>
      <c r="AC318" s="16"/>
      <c r="AD318" s="12"/>
      <c r="AE318" s="12"/>
      <c r="AF318" s="12"/>
      <c r="AG318" s="12"/>
      <c r="AH318" s="16"/>
      <c r="AI318" s="12"/>
      <c r="AJ318" s="12"/>
      <c r="AK318" s="12"/>
      <c r="AL318" s="128"/>
      <c r="AM318" s="16"/>
      <c r="AN318" s="128"/>
      <c r="AO318" s="128"/>
      <c r="AP318" s="252"/>
      <c r="AQ318" s="252"/>
      <c r="AR318" s="16"/>
      <c r="AS318" s="252"/>
      <c r="AT318" s="252"/>
      <c r="AU318" s="252"/>
      <c r="AV318" s="252"/>
      <c r="AW318" s="16"/>
      <c r="AX318" s="252"/>
      <c r="AY318" s="252"/>
      <c r="AZ318" s="252"/>
      <c r="BA318" s="252"/>
      <c r="BB318" s="354"/>
      <c r="BC318" s="252"/>
      <c r="BD318" s="252"/>
      <c r="BE318" s="252"/>
      <c r="BF318" s="252"/>
      <c r="BG318" s="354"/>
      <c r="BH318" s="252"/>
      <c r="BI318" s="389"/>
      <c r="BJ318" s="252"/>
      <c r="BK318" s="252"/>
      <c r="BL318" s="354"/>
      <c r="BM318" s="252"/>
      <c r="BN318" s="389"/>
      <c r="BO318" s="252"/>
      <c r="BP318" s="252"/>
      <c r="BQ318" s="354"/>
      <c r="BR318" s="252"/>
      <c r="BS318" s="389"/>
      <c r="BT318" s="252"/>
      <c r="BU318" s="252"/>
      <c r="BV318" s="354"/>
      <c r="BW318" s="252"/>
      <c r="BX318" s="399"/>
      <c r="BY318" s="252"/>
      <c r="BZ318" s="252"/>
      <c r="CA318" s="354"/>
      <c r="CB318" s="252"/>
      <c r="CC318" s="389"/>
      <c r="CD318" s="252"/>
      <c r="CE318" s="252"/>
      <c r="CF318" s="354"/>
      <c r="CG318" s="389"/>
      <c r="CH318" s="389"/>
      <c r="CI318" s="389"/>
      <c r="CJ318" s="389"/>
      <c r="CK318" s="354"/>
      <c r="CL318" s="389"/>
      <c r="CM318" s="389"/>
      <c r="CN318" s="389"/>
      <c r="CO318" s="389"/>
      <c r="CP318" s="354"/>
      <c r="CQ318" s="389"/>
      <c r="CR318" s="389"/>
      <c r="CS318" s="389"/>
      <c r="CT318" s="389"/>
      <c r="CU318" s="354"/>
      <c r="CV318" s="389"/>
      <c r="CW318" s="389"/>
      <c r="CX318" s="389"/>
      <c r="CY318" s="389"/>
      <c r="CZ318" s="354"/>
      <c r="DA318" s="389"/>
      <c r="DB318" s="389"/>
      <c r="DC318" s="389"/>
      <c r="DD318" s="389"/>
      <c r="DE318" s="354"/>
      <c r="DF318" s="389"/>
      <c r="DG318" s="389"/>
      <c r="DH318" s="389"/>
      <c r="DI318" s="389"/>
      <c r="DJ318" s="354"/>
      <c r="DK318" s="389"/>
      <c r="DL318" s="389"/>
      <c r="DM318" s="389"/>
      <c r="DN318" s="389"/>
      <c r="DO318" s="354"/>
      <c r="DP318" s="389"/>
      <c r="DQ318" s="389"/>
      <c r="DR318" s="389"/>
      <c r="DS318" s="389"/>
      <c r="DT318" s="354"/>
      <c r="DU318" s="354"/>
      <c r="DV318" s="354"/>
    </row>
    <row r="319" spans="1:126" s="15" customFormat="1">
      <c r="A319" s="12"/>
      <c r="B319" s="301" t="s">
        <v>232</v>
      </c>
      <c r="C319" s="16"/>
      <c r="D319" s="16"/>
      <c r="E319" s="16"/>
      <c r="F319" s="16"/>
      <c r="G319" s="16"/>
      <c r="H319" s="16"/>
      <c r="I319" s="16"/>
      <c r="J319" s="12"/>
      <c r="K319" s="12"/>
      <c r="L319" s="12"/>
      <c r="M319" s="12"/>
      <c r="N319" s="16"/>
      <c r="O319" s="12"/>
      <c r="P319" s="12"/>
      <c r="Q319" s="12"/>
      <c r="R319" s="12"/>
      <c r="S319" s="16"/>
      <c r="T319" s="12"/>
      <c r="U319" s="12"/>
      <c r="V319" s="12"/>
      <c r="W319" s="12"/>
      <c r="X319" s="16"/>
      <c r="Y319" s="12"/>
      <c r="Z319" s="12"/>
      <c r="AA319" s="12"/>
      <c r="AB319" s="12"/>
      <c r="AC319" s="16"/>
      <c r="AD319" s="12"/>
      <c r="AE319" s="12"/>
      <c r="AF319" s="12"/>
      <c r="AG319" s="12"/>
      <c r="AH319" s="16"/>
      <c r="AI319" s="12"/>
      <c r="AJ319" s="12"/>
      <c r="AK319" s="12"/>
      <c r="AL319" s="128"/>
      <c r="AM319" s="16"/>
      <c r="AN319" s="128"/>
      <c r="AO319" s="128"/>
      <c r="AP319" s="252"/>
      <c r="AQ319" s="252"/>
      <c r="AR319" s="16"/>
      <c r="AS319" s="252"/>
      <c r="AT319" s="252"/>
      <c r="AU319" s="252"/>
      <c r="AV319" s="252"/>
      <c r="AW319" s="16"/>
      <c r="AX319" s="252"/>
      <c r="AY319" s="252"/>
      <c r="AZ319" s="252"/>
      <c r="BA319" s="252"/>
      <c r="BB319" s="354"/>
      <c r="BC319" s="252"/>
      <c r="BD319" s="252"/>
      <c r="BE319" s="252"/>
      <c r="BF319" s="252"/>
      <c r="BG319" s="354"/>
      <c r="BH319" s="252"/>
      <c r="BI319" s="389"/>
      <c r="BJ319" s="252"/>
      <c r="BK319" s="252"/>
      <c r="BL319" s="354"/>
      <c r="BM319" s="252"/>
      <c r="BN319" s="389"/>
      <c r="BO319" s="252"/>
      <c r="BP319" s="252"/>
      <c r="BQ319" s="354"/>
      <c r="BR319" s="252"/>
      <c r="BS319" s="389"/>
      <c r="BT319" s="252"/>
      <c r="BU319" s="252"/>
      <c r="BV319" s="354"/>
      <c r="BW319" s="252"/>
      <c r="BX319" s="399"/>
      <c r="BY319" s="252"/>
      <c r="BZ319" s="252"/>
      <c r="CA319" s="354"/>
      <c r="CB319" s="252"/>
      <c r="CC319" s="389"/>
      <c r="CD319" s="252"/>
      <c r="CE319" s="252"/>
      <c r="CF319" s="352"/>
      <c r="CG319" s="389"/>
      <c r="CH319" s="389"/>
      <c r="CI319" s="389"/>
      <c r="CJ319" s="389"/>
      <c r="CK319" s="352"/>
      <c r="CL319" s="389"/>
      <c r="CM319" s="389"/>
      <c r="CN319" s="389"/>
      <c r="CO319" s="389"/>
      <c r="CP319" s="352"/>
      <c r="CQ319" s="389"/>
      <c r="CR319" s="389"/>
      <c r="CS319" s="389"/>
      <c r="CT319" s="389"/>
      <c r="CU319" s="352"/>
      <c r="CV319" s="389"/>
      <c r="CW319" s="389"/>
      <c r="CX319" s="389"/>
      <c r="CY319" s="389"/>
      <c r="CZ319" s="352"/>
      <c r="DA319" s="389"/>
      <c r="DB319" s="389"/>
      <c r="DC319" s="389"/>
      <c r="DD319" s="389"/>
      <c r="DE319" s="352"/>
      <c r="DF319" s="389"/>
      <c r="DG319" s="389"/>
      <c r="DH319" s="389"/>
      <c r="DI319" s="389"/>
      <c r="DJ319" s="352"/>
      <c r="DK319" s="389"/>
      <c r="DL319" s="389"/>
      <c r="DM319" s="389"/>
      <c r="DN319" s="389"/>
      <c r="DO319" s="352"/>
      <c r="DP319" s="389"/>
      <c r="DQ319" s="389"/>
      <c r="DR319" s="389"/>
      <c r="DS319" s="389"/>
      <c r="DT319" s="352"/>
      <c r="DU319" s="352"/>
      <c r="DV319" s="352"/>
    </row>
    <row r="320" spans="1:126" s="15" customFormat="1">
      <c r="A320" s="12"/>
      <c r="B320" s="301" t="s">
        <v>233</v>
      </c>
      <c r="C320" s="16"/>
      <c r="D320" s="16"/>
      <c r="E320" s="16"/>
      <c r="F320" s="16"/>
      <c r="G320" s="16"/>
      <c r="H320" s="16"/>
      <c r="I320" s="16"/>
      <c r="J320" s="12"/>
      <c r="K320" s="12"/>
      <c r="L320" s="12"/>
      <c r="M320" s="12"/>
      <c r="N320" s="16"/>
      <c r="O320" s="12"/>
      <c r="P320" s="12"/>
      <c r="Q320" s="12"/>
      <c r="R320" s="12"/>
      <c r="S320" s="16"/>
      <c r="T320" s="12"/>
      <c r="U320" s="12"/>
      <c r="V320" s="12"/>
      <c r="W320" s="12"/>
      <c r="X320" s="16"/>
      <c r="Y320" s="12"/>
      <c r="Z320" s="12"/>
      <c r="AA320" s="12"/>
      <c r="AB320" s="12"/>
      <c r="AC320" s="16"/>
      <c r="AD320" s="12"/>
      <c r="AE320" s="12"/>
      <c r="AF320" s="12"/>
      <c r="AG320" s="12"/>
      <c r="AH320" s="16"/>
      <c r="AI320" s="12"/>
      <c r="AJ320" s="12"/>
      <c r="AK320" s="12"/>
      <c r="AL320" s="128"/>
      <c r="AM320" s="16"/>
      <c r="AN320" s="128"/>
      <c r="AO320" s="128"/>
      <c r="AP320" s="252"/>
      <c r="AQ320" s="252"/>
      <c r="AR320" s="16"/>
      <c r="AS320" s="252"/>
      <c r="AT320" s="252"/>
      <c r="AU320" s="252"/>
      <c r="AV320" s="252"/>
      <c r="AW320" s="16"/>
      <c r="AX320" s="252"/>
      <c r="AY320" s="252"/>
      <c r="AZ320" s="252"/>
      <c r="BA320" s="252"/>
      <c r="BB320" s="352"/>
      <c r="BC320" s="252"/>
      <c r="BD320" s="252"/>
      <c r="BE320" s="252"/>
      <c r="BF320" s="252"/>
      <c r="BG320" s="352"/>
      <c r="BH320" s="252"/>
      <c r="BI320" s="389"/>
      <c r="BJ320" s="252"/>
      <c r="BK320" s="252"/>
      <c r="BL320" s="352"/>
      <c r="BM320" s="252"/>
      <c r="BN320" s="389"/>
      <c r="BO320" s="252"/>
      <c r="BP320" s="252"/>
      <c r="BQ320" s="352"/>
      <c r="BR320" s="252"/>
      <c r="BS320" s="389"/>
      <c r="BT320" s="252"/>
      <c r="BU320" s="252"/>
      <c r="BV320" s="352"/>
      <c r="BW320" s="252"/>
      <c r="BX320" s="399"/>
      <c r="BY320" s="252"/>
      <c r="BZ320" s="252"/>
      <c r="CA320" s="352"/>
      <c r="CB320" s="252"/>
      <c r="CC320" s="389"/>
      <c r="CD320" s="252"/>
      <c r="CE320" s="252"/>
      <c r="CF320" s="352"/>
      <c r="CG320" s="389"/>
      <c r="CH320" s="389"/>
      <c r="CI320" s="389"/>
      <c r="CJ320" s="389"/>
      <c r="CK320" s="352"/>
      <c r="CL320" s="389"/>
      <c r="CM320" s="389"/>
      <c r="CN320" s="389"/>
      <c r="CO320" s="389"/>
      <c r="CP320" s="352"/>
      <c r="CQ320" s="389"/>
      <c r="CR320" s="389"/>
      <c r="CS320" s="389"/>
      <c r="CT320" s="389"/>
      <c r="CU320" s="352"/>
      <c r="CV320" s="389"/>
      <c r="CW320" s="389"/>
      <c r="CX320" s="389"/>
      <c r="CY320" s="389"/>
      <c r="CZ320" s="352"/>
      <c r="DA320" s="389"/>
      <c r="DB320" s="389"/>
      <c r="DC320" s="389"/>
      <c r="DD320" s="389"/>
      <c r="DE320" s="352"/>
      <c r="DF320" s="389"/>
      <c r="DG320" s="389"/>
      <c r="DH320" s="389"/>
      <c r="DI320" s="389"/>
      <c r="DJ320" s="352"/>
      <c r="DK320" s="389"/>
      <c r="DL320" s="389"/>
      <c r="DM320" s="389"/>
      <c r="DN320" s="389"/>
      <c r="DO320" s="352"/>
      <c r="DP320" s="389"/>
      <c r="DQ320" s="389"/>
      <c r="DR320" s="389"/>
      <c r="DS320" s="389"/>
      <c r="DT320" s="352"/>
      <c r="DU320" s="352"/>
      <c r="DV320" s="352"/>
    </row>
    <row r="321" spans="1:126" s="15" customFormat="1">
      <c r="A321" s="12"/>
      <c r="B321" s="301" t="s">
        <v>234</v>
      </c>
      <c r="C321" s="16"/>
      <c r="D321" s="16"/>
      <c r="E321" s="16"/>
      <c r="F321" s="16"/>
      <c r="G321" s="16"/>
      <c r="H321" s="16"/>
      <c r="I321" s="16"/>
      <c r="J321" s="12"/>
      <c r="K321" s="12"/>
      <c r="L321" s="12"/>
      <c r="M321" s="12"/>
      <c r="N321" s="16"/>
      <c r="O321" s="12"/>
      <c r="P321" s="12"/>
      <c r="Q321" s="12"/>
      <c r="R321" s="12"/>
      <c r="S321" s="16"/>
      <c r="T321" s="12"/>
      <c r="U321" s="12"/>
      <c r="V321" s="12"/>
      <c r="W321" s="12"/>
      <c r="X321" s="16"/>
      <c r="Y321" s="12"/>
      <c r="Z321" s="12"/>
      <c r="AA321" s="12"/>
      <c r="AB321" s="12"/>
      <c r="AC321" s="16"/>
      <c r="AD321" s="12"/>
      <c r="AE321" s="12"/>
      <c r="AF321" s="12"/>
      <c r="AG321" s="12"/>
      <c r="AH321" s="16"/>
      <c r="AI321" s="12"/>
      <c r="AJ321" s="12"/>
      <c r="AK321" s="12"/>
      <c r="AL321" s="128"/>
      <c r="AM321" s="16"/>
      <c r="AN321" s="128"/>
      <c r="AO321" s="128"/>
      <c r="AP321" s="252"/>
      <c r="AQ321" s="252"/>
      <c r="AR321" s="16"/>
      <c r="AS321" s="252"/>
      <c r="AT321" s="252"/>
      <c r="AU321" s="252"/>
      <c r="AV321" s="252"/>
      <c r="AW321" s="16"/>
      <c r="AX321" s="252"/>
      <c r="AY321" s="252"/>
      <c r="AZ321" s="252"/>
      <c r="BA321" s="252"/>
      <c r="BB321" s="354"/>
      <c r="BC321" s="252"/>
      <c r="BD321" s="252"/>
      <c r="BE321" s="252"/>
      <c r="BF321" s="252"/>
      <c r="BG321" s="354"/>
      <c r="BH321" s="252"/>
      <c r="BI321" s="389"/>
      <c r="BJ321" s="252"/>
      <c r="BK321" s="252"/>
      <c r="BL321" s="354"/>
      <c r="BM321" s="252"/>
      <c r="BN321" s="389"/>
      <c r="BO321" s="252"/>
      <c r="BP321" s="252"/>
      <c r="BQ321" s="354"/>
      <c r="BR321" s="252"/>
      <c r="BS321" s="389"/>
      <c r="BT321" s="252"/>
      <c r="BU321" s="252"/>
      <c r="BV321" s="354"/>
      <c r="BW321" s="252"/>
      <c r="BX321" s="399"/>
      <c r="BY321" s="252"/>
      <c r="BZ321" s="252"/>
      <c r="CA321" s="354"/>
      <c r="CB321" s="252"/>
      <c r="CC321" s="389"/>
      <c r="CD321" s="252"/>
      <c r="CE321" s="252"/>
      <c r="CF321" s="354"/>
      <c r="CG321" s="389"/>
      <c r="CH321" s="389"/>
      <c r="CI321" s="389"/>
      <c r="CJ321" s="389"/>
      <c r="CK321" s="354"/>
      <c r="CL321" s="389"/>
      <c r="CM321" s="389"/>
      <c r="CN321" s="389"/>
      <c r="CO321" s="389"/>
      <c r="CP321" s="354"/>
      <c r="CQ321" s="389"/>
      <c r="CR321" s="389"/>
      <c r="CS321" s="389"/>
      <c r="CT321" s="389"/>
      <c r="CU321" s="354"/>
      <c r="CV321" s="389"/>
      <c r="CW321" s="389"/>
      <c r="CX321" s="389"/>
      <c r="CY321" s="389"/>
      <c r="CZ321" s="354"/>
      <c r="DA321" s="389"/>
      <c r="DB321" s="389"/>
      <c r="DC321" s="389"/>
      <c r="DD321" s="389"/>
      <c r="DE321" s="354"/>
      <c r="DF321" s="389"/>
      <c r="DG321" s="389"/>
      <c r="DH321" s="389"/>
      <c r="DI321" s="389"/>
      <c r="DJ321" s="354"/>
      <c r="DK321" s="389"/>
      <c r="DL321" s="389"/>
      <c r="DM321" s="389"/>
      <c r="DN321" s="389"/>
      <c r="DO321" s="354"/>
      <c r="DP321" s="389"/>
      <c r="DQ321" s="389"/>
      <c r="DR321" s="389"/>
      <c r="DS321" s="389"/>
      <c r="DT321" s="354"/>
      <c r="DU321" s="354"/>
      <c r="DV321" s="354"/>
    </row>
    <row r="322" spans="1:126" s="15" customFormat="1">
      <c r="A322" s="12"/>
      <c r="B322" s="301" t="s">
        <v>235</v>
      </c>
      <c r="C322" s="16"/>
      <c r="D322" s="16"/>
      <c r="E322" s="16"/>
      <c r="F322" s="16"/>
      <c r="G322" s="16"/>
      <c r="H322" s="16"/>
      <c r="I322" s="16"/>
      <c r="J322" s="12"/>
      <c r="K322" s="12"/>
      <c r="L322" s="12"/>
      <c r="M322" s="12"/>
      <c r="N322" s="16"/>
      <c r="O322" s="12"/>
      <c r="P322" s="12"/>
      <c r="Q322" s="12"/>
      <c r="R322" s="12"/>
      <c r="S322" s="16"/>
      <c r="T322" s="12"/>
      <c r="U322" s="12"/>
      <c r="V322" s="12"/>
      <c r="W322" s="12"/>
      <c r="X322" s="16"/>
      <c r="Y322" s="12"/>
      <c r="Z322" s="12"/>
      <c r="AA322" s="12"/>
      <c r="AB322" s="12"/>
      <c r="AC322" s="16"/>
      <c r="AD322" s="12"/>
      <c r="AE322" s="12"/>
      <c r="AF322" s="12"/>
      <c r="AG322" s="12"/>
      <c r="AH322" s="16"/>
      <c r="AI322" s="12"/>
      <c r="AJ322" s="12"/>
      <c r="AK322" s="12"/>
      <c r="AL322" s="128"/>
      <c r="AM322" s="16"/>
      <c r="AN322" s="128"/>
      <c r="AO322" s="128"/>
      <c r="AP322" s="252"/>
      <c r="AQ322" s="252"/>
      <c r="AR322" s="16"/>
      <c r="AS322" s="252"/>
      <c r="AT322" s="252"/>
      <c r="AU322" s="252"/>
      <c r="AV322" s="252"/>
      <c r="AW322" s="16"/>
      <c r="AX322" s="252"/>
      <c r="AY322" s="252"/>
      <c r="AZ322" s="252"/>
      <c r="BA322" s="252"/>
      <c r="BB322" s="354"/>
      <c r="BC322" s="252"/>
      <c r="BD322" s="252"/>
      <c r="BE322" s="252"/>
      <c r="BF322" s="252"/>
      <c r="BG322" s="354"/>
      <c r="BH322" s="252"/>
      <c r="BI322" s="252"/>
      <c r="BJ322" s="252"/>
      <c r="BK322" s="252"/>
      <c r="BL322" s="354"/>
      <c r="BM322" s="252"/>
      <c r="BN322" s="252"/>
      <c r="BO322" s="252"/>
      <c r="BP322" s="252"/>
      <c r="BQ322" s="354"/>
      <c r="BR322" s="252"/>
      <c r="BS322" s="252"/>
      <c r="BT322" s="252"/>
      <c r="BU322" s="252"/>
      <c r="BV322" s="354"/>
      <c r="BW322" s="252"/>
      <c r="BX322" s="399"/>
      <c r="BY322" s="252"/>
      <c r="BZ322" s="252"/>
      <c r="CA322" s="354"/>
      <c r="CB322" s="252"/>
      <c r="CC322" s="252"/>
      <c r="CD322" s="252"/>
      <c r="CE322" s="252"/>
      <c r="CF322" s="354"/>
      <c r="CG322" s="252"/>
      <c r="CH322" s="252"/>
      <c r="CI322" s="252"/>
      <c r="CJ322" s="252"/>
      <c r="CK322" s="354"/>
      <c r="CL322" s="252"/>
      <c r="CM322" s="252"/>
      <c r="CN322" s="252"/>
      <c r="CO322" s="252"/>
      <c r="CP322" s="354"/>
      <c r="CQ322" s="252"/>
      <c r="CR322" s="252"/>
      <c r="CS322" s="252"/>
      <c r="CT322" s="252"/>
      <c r="CU322" s="354"/>
      <c r="CV322" s="252"/>
      <c r="CW322" s="252"/>
      <c r="CX322" s="252"/>
      <c r="CY322" s="252"/>
      <c r="CZ322" s="354"/>
      <c r="DA322" s="252"/>
      <c r="DB322" s="252"/>
      <c r="DC322" s="252"/>
      <c r="DD322" s="252"/>
      <c r="DE322" s="354"/>
      <c r="DF322" s="252"/>
      <c r="DG322" s="252"/>
      <c r="DH322" s="252"/>
      <c r="DI322" s="252"/>
      <c r="DJ322" s="354"/>
      <c r="DK322" s="252"/>
      <c r="DL322" s="252"/>
      <c r="DM322" s="252"/>
      <c r="DN322" s="252"/>
      <c r="DO322" s="354"/>
      <c r="DP322" s="252"/>
      <c r="DQ322" s="252"/>
      <c r="DR322" s="252"/>
      <c r="DS322" s="252"/>
      <c r="DT322" s="354"/>
      <c r="DU322" s="354"/>
      <c r="DV322" s="354"/>
    </row>
    <row r="323" spans="1:126" s="15" customFormat="1">
      <c r="A323" s="12"/>
      <c r="B323" s="301" t="s">
        <v>236</v>
      </c>
      <c r="C323" s="16"/>
      <c r="D323" s="16"/>
      <c r="E323" s="16"/>
      <c r="F323" s="16"/>
      <c r="G323" s="16"/>
      <c r="H323" s="16"/>
      <c r="I323" s="16"/>
      <c r="J323" s="12"/>
      <c r="K323" s="12"/>
      <c r="L323" s="12"/>
      <c r="M323" s="12"/>
      <c r="N323" s="16"/>
      <c r="O323" s="12"/>
      <c r="P323" s="12"/>
      <c r="Q323" s="12"/>
      <c r="R323" s="12"/>
      <c r="S323" s="16"/>
      <c r="T323" s="12"/>
      <c r="U323" s="12"/>
      <c r="V323" s="12"/>
      <c r="W323" s="12"/>
      <c r="X323" s="16"/>
      <c r="Y323" s="12"/>
      <c r="Z323" s="12"/>
      <c r="AA323" s="12"/>
      <c r="AB323" s="12"/>
      <c r="AC323" s="16"/>
      <c r="AD323" s="12"/>
      <c r="AE323" s="12"/>
      <c r="AF323" s="12"/>
      <c r="AG323" s="12"/>
      <c r="AH323" s="16"/>
      <c r="AI323" s="12"/>
      <c r="AJ323" s="12"/>
      <c r="AK323" s="12"/>
      <c r="AL323" s="128"/>
      <c r="AM323" s="16"/>
      <c r="AN323" s="128"/>
      <c r="AO323" s="128"/>
      <c r="AP323" s="252"/>
      <c r="AQ323" s="252"/>
      <c r="AR323" s="16"/>
      <c r="AS323" s="252"/>
      <c r="AT323" s="252"/>
      <c r="AU323" s="252"/>
      <c r="AV323" s="252"/>
      <c r="AW323" s="16"/>
      <c r="AX323" s="252"/>
      <c r="AY323" s="252"/>
      <c r="AZ323" s="252"/>
      <c r="BA323" s="252"/>
      <c r="BB323" s="354"/>
      <c r="BC323" s="252"/>
      <c r="BD323" s="252"/>
      <c r="BE323" s="252"/>
      <c r="BF323" s="252"/>
      <c r="BG323" s="354"/>
      <c r="BH323" s="252"/>
      <c r="BI323" s="252"/>
      <c r="BJ323" s="252"/>
      <c r="BK323" s="252"/>
      <c r="BL323" s="354"/>
      <c r="BM323" s="252"/>
      <c r="BN323" s="252"/>
      <c r="BO323" s="252"/>
      <c r="BP323" s="252"/>
      <c r="BQ323" s="354"/>
      <c r="BR323" s="252"/>
      <c r="BS323" s="252"/>
      <c r="BT323" s="252"/>
      <c r="BU323" s="252"/>
      <c r="BV323" s="354"/>
      <c r="BW323" s="252"/>
      <c r="BX323" s="399"/>
      <c r="BY323" s="252"/>
      <c r="BZ323" s="252"/>
      <c r="CA323" s="354"/>
      <c r="CB323" s="252"/>
      <c r="CC323" s="252"/>
      <c r="CD323" s="252"/>
      <c r="CE323" s="252"/>
      <c r="CF323" s="354"/>
      <c r="CG323" s="252"/>
      <c r="CH323" s="252"/>
      <c r="CI323" s="252"/>
      <c r="CJ323" s="252"/>
      <c r="CK323" s="354"/>
      <c r="CL323" s="252"/>
      <c r="CM323" s="252"/>
      <c r="CN323" s="252"/>
      <c r="CO323" s="252"/>
      <c r="CP323" s="354"/>
      <c r="CQ323" s="252"/>
      <c r="CR323" s="252"/>
      <c r="CS323" s="252"/>
      <c r="CT323" s="252"/>
      <c r="CU323" s="354"/>
      <c r="CV323" s="252"/>
      <c r="CW323" s="252"/>
      <c r="CX323" s="252"/>
      <c r="CY323" s="252"/>
      <c r="CZ323" s="354"/>
      <c r="DA323" s="252"/>
      <c r="DB323" s="252"/>
      <c r="DC323" s="252"/>
      <c r="DD323" s="252"/>
      <c r="DE323" s="354"/>
      <c r="DF323" s="252"/>
      <c r="DG323" s="252"/>
      <c r="DH323" s="252"/>
      <c r="DI323" s="252"/>
      <c r="DJ323" s="354"/>
      <c r="DK323" s="252"/>
      <c r="DL323" s="252"/>
      <c r="DM323" s="252"/>
      <c r="DN323" s="252"/>
      <c r="DO323" s="354"/>
      <c r="DP323" s="252"/>
      <c r="DQ323" s="252"/>
      <c r="DR323" s="252"/>
      <c r="DS323" s="252"/>
      <c r="DT323" s="354"/>
      <c r="DU323" s="354"/>
      <c r="DV323" s="354"/>
    </row>
    <row r="324" spans="1:126" s="15" customFormat="1">
      <c r="A324" s="12"/>
      <c r="B324" s="301" t="s">
        <v>237</v>
      </c>
      <c r="C324" s="16"/>
      <c r="D324" s="16"/>
      <c r="E324" s="16"/>
      <c r="F324" s="16"/>
      <c r="G324" s="16"/>
      <c r="H324" s="16"/>
      <c r="I324" s="16"/>
      <c r="J324" s="12"/>
      <c r="K324" s="12"/>
      <c r="L324" s="12"/>
      <c r="M324" s="12"/>
      <c r="N324" s="16"/>
      <c r="O324" s="12"/>
      <c r="P324" s="12"/>
      <c r="Q324" s="12"/>
      <c r="R324" s="12"/>
      <c r="S324" s="16"/>
      <c r="T324" s="12"/>
      <c r="U324" s="12"/>
      <c r="V324" s="12"/>
      <c r="W324" s="12"/>
      <c r="X324" s="16"/>
      <c r="Y324" s="12"/>
      <c r="Z324" s="12"/>
      <c r="AA324" s="12"/>
      <c r="AB324" s="12"/>
      <c r="AC324" s="16"/>
      <c r="AD324" s="12"/>
      <c r="AE324" s="12"/>
      <c r="AF324" s="12"/>
      <c r="AG324" s="12"/>
      <c r="AH324" s="16"/>
      <c r="AI324" s="12"/>
      <c r="AJ324" s="12"/>
      <c r="AK324" s="12"/>
      <c r="AL324" s="128"/>
      <c r="AM324" s="16"/>
      <c r="AN324" s="128"/>
      <c r="AO324" s="128"/>
      <c r="AP324" s="252"/>
      <c r="AQ324" s="252"/>
      <c r="AR324" s="16"/>
      <c r="AS324" s="252"/>
      <c r="AT324" s="252"/>
      <c r="AU324" s="252"/>
      <c r="AV324" s="252"/>
      <c r="AW324" s="16"/>
      <c r="AX324" s="252"/>
      <c r="AY324" s="252"/>
      <c r="AZ324" s="252"/>
      <c r="BA324" s="252"/>
      <c r="BB324" s="354"/>
      <c r="BC324" s="252"/>
      <c r="BD324" s="252"/>
      <c r="BE324" s="252"/>
      <c r="BF324" s="252"/>
      <c r="BG324" s="354"/>
      <c r="BH324" s="252"/>
      <c r="BI324" s="252"/>
      <c r="BJ324" s="252"/>
      <c r="BK324" s="252"/>
      <c r="BL324" s="354"/>
      <c r="BM324" s="252"/>
      <c r="BN324" s="252"/>
      <c r="BO324" s="252"/>
      <c r="BP324" s="252"/>
      <c r="BQ324" s="354"/>
      <c r="BR324" s="252"/>
      <c r="BS324" s="252"/>
      <c r="BT324" s="252"/>
      <c r="BU324" s="252"/>
      <c r="BV324" s="354"/>
      <c r="BW324" s="252"/>
      <c r="BX324" s="399"/>
      <c r="BY324" s="252"/>
      <c r="BZ324" s="252"/>
      <c r="CA324" s="354"/>
      <c r="CB324" s="252"/>
      <c r="CC324" s="252"/>
      <c r="CD324" s="252"/>
      <c r="CE324" s="252"/>
      <c r="CF324" s="354"/>
      <c r="CG324" s="252"/>
      <c r="CH324" s="252"/>
      <c r="CI324" s="252"/>
      <c r="CJ324" s="252"/>
      <c r="CK324" s="354"/>
      <c r="CL324" s="252"/>
      <c r="CM324" s="252"/>
      <c r="CN324" s="252"/>
      <c r="CO324" s="252"/>
      <c r="CP324" s="354"/>
      <c r="CQ324" s="252"/>
      <c r="CR324" s="252"/>
      <c r="CS324" s="252"/>
      <c r="CT324" s="252"/>
      <c r="CU324" s="354"/>
      <c r="CV324" s="252"/>
      <c r="CW324" s="252"/>
      <c r="CX324" s="252"/>
      <c r="CY324" s="252"/>
      <c r="CZ324" s="354"/>
      <c r="DA324" s="252"/>
      <c r="DB324" s="252"/>
      <c r="DC324" s="252"/>
      <c r="DD324" s="252"/>
      <c r="DE324" s="354"/>
      <c r="DF324" s="252"/>
      <c r="DG324" s="252"/>
      <c r="DH324" s="252"/>
      <c r="DI324" s="252"/>
      <c r="DJ324" s="354"/>
      <c r="DK324" s="252"/>
      <c r="DL324" s="252"/>
      <c r="DM324" s="252"/>
      <c r="DN324" s="252"/>
      <c r="DO324" s="354"/>
      <c r="DP324" s="252"/>
      <c r="DQ324" s="252"/>
      <c r="DR324" s="252"/>
      <c r="DS324" s="252"/>
      <c r="DT324" s="354"/>
      <c r="DU324" s="354"/>
      <c r="DV324" s="354"/>
    </row>
    <row r="325" spans="1:126" s="15" customFormat="1">
      <c r="A325" s="12"/>
      <c r="B325" s="301" t="s">
        <v>238</v>
      </c>
      <c r="C325" s="16"/>
      <c r="D325" s="16"/>
      <c r="E325" s="16"/>
      <c r="F325" s="16"/>
      <c r="G325" s="16"/>
      <c r="H325" s="16"/>
      <c r="I325" s="16"/>
      <c r="J325" s="12"/>
      <c r="K325" s="12"/>
      <c r="L325" s="12"/>
      <c r="M325" s="12"/>
      <c r="N325" s="16"/>
      <c r="O325" s="12"/>
      <c r="P325" s="12"/>
      <c r="Q325" s="12"/>
      <c r="R325" s="12"/>
      <c r="S325" s="16"/>
      <c r="T325" s="12"/>
      <c r="U325" s="12"/>
      <c r="V325" s="12"/>
      <c r="W325" s="12"/>
      <c r="X325" s="16"/>
      <c r="Y325" s="12"/>
      <c r="Z325" s="12"/>
      <c r="AA325" s="12"/>
      <c r="AB325" s="12"/>
      <c r="AC325" s="16"/>
      <c r="AD325" s="12"/>
      <c r="AE325" s="12"/>
      <c r="AF325" s="12"/>
      <c r="AG325" s="12"/>
      <c r="AH325" s="16"/>
      <c r="AI325" s="12"/>
      <c r="AJ325" s="12"/>
      <c r="AK325" s="12"/>
      <c r="AL325" s="128"/>
      <c r="AM325" s="16"/>
      <c r="AN325" s="128"/>
      <c r="AO325" s="128"/>
      <c r="AP325" s="252"/>
      <c r="AQ325" s="252"/>
      <c r="AR325" s="16"/>
      <c r="AS325" s="252"/>
      <c r="AT325" s="252"/>
      <c r="AU325" s="252"/>
      <c r="AV325" s="252"/>
      <c r="AW325" s="16"/>
      <c r="AX325" s="252"/>
      <c r="AY325" s="252"/>
      <c r="AZ325" s="252"/>
      <c r="BA325" s="252"/>
      <c r="BB325" s="354"/>
      <c r="BC325" s="252"/>
      <c r="BD325" s="252"/>
      <c r="BE325" s="252"/>
      <c r="BF325" s="252"/>
      <c r="BG325" s="354"/>
      <c r="BH325" s="252"/>
      <c r="BI325" s="252"/>
      <c r="BJ325" s="252"/>
      <c r="BK325" s="252"/>
      <c r="BL325" s="354"/>
      <c r="BM325" s="252"/>
      <c r="BN325" s="252"/>
      <c r="BO325" s="252"/>
      <c r="BP325" s="252"/>
      <c r="BQ325" s="354"/>
      <c r="BR325" s="252"/>
      <c r="BS325" s="252"/>
      <c r="BT325" s="252"/>
      <c r="BU325" s="252"/>
      <c r="BV325" s="354"/>
      <c r="BW325" s="252"/>
      <c r="BX325" s="399"/>
      <c r="BY325" s="252"/>
      <c r="BZ325" s="252"/>
      <c r="CA325" s="354"/>
      <c r="CB325" s="252"/>
      <c r="CC325" s="252"/>
      <c r="CD325" s="252"/>
      <c r="CE325" s="252"/>
      <c r="CF325" s="354"/>
      <c r="CG325" s="252"/>
      <c r="CH325" s="252"/>
      <c r="CI325" s="252"/>
      <c r="CJ325" s="252"/>
      <c r="CK325" s="354"/>
      <c r="CL325" s="252"/>
      <c r="CM325" s="252"/>
      <c r="CN325" s="252"/>
      <c r="CO325" s="252"/>
      <c r="CP325" s="354"/>
      <c r="CQ325" s="252"/>
      <c r="CR325" s="252"/>
      <c r="CS325" s="252"/>
      <c r="CT325" s="252"/>
      <c r="CU325" s="354"/>
      <c r="CV325" s="252"/>
      <c r="CW325" s="252"/>
      <c r="CX325" s="252"/>
      <c r="CY325" s="252"/>
      <c r="CZ325" s="354"/>
      <c r="DA325" s="252"/>
      <c r="DB325" s="252"/>
      <c r="DC325" s="252"/>
      <c r="DD325" s="252"/>
      <c r="DE325" s="354"/>
      <c r="DF325" s="252"/>
      <c r="DG325" s="252"/>
      <c r="DH325" s="252"/>
      <c r="DI325" s="252"/>
      <c r="DJ325" s="354"/>
      <c r="DK325" s="252"/>
      <c r="DL325" s="252"/>
      <c r="DM325" s="252"/>
      <c r="DN325" s="252"/>
      <c r="DO325" s="354"/>
      <c r="DP325" s="252"/>
      <c r="DQ325" s="252"/>
      <c r="DR325" s="252"/>
      <c r="DS325" s="252"/>
      <c r="DT325" s="354"/>
      <c r="DU325" s="354"/>
      <c r="DV325" s="354"/>
    </row>
    <row r="326" spans="1:126" s="15" customFormat="1">
      <c r="A326" s="12"/>
      <c r="B326" s="301" t="s">
        <v>239</v>
      </c>
      <c r="C326" s="16"/>
      <c r="D326" s="16"/>
      <c r="E326" s="16"/>
      <c r="F326" s="16"/>
      <c r="G326" s="16"/>
      <c r="H326" s="16"/>
      <c r="I326" s="16"/>
      <c r="J326" s="12"/>
      <c r="K326" s="12"/>
      <c r="L326" s="12"/>
      <c r="M326" s="12"/>
      <c r="N326" s="16"/>
      <c r="O326" s="12"/>
      <c r="P326" s="12"/>
      <c r="Q326" s="12"/>
      <c r="R326" s="12"/>
      <c r="S326" s="16"/>
      <c r="T326" s="12"/>
      <c r="U326" s="12"/>
      <c r="V326" s="12"/>
      <c r="W326" s="12"/>
      <c r="X326" s="16"/>
      <c r="Y326" s="12"/>
      <c r="Z326" s="12"/>
      <c r="AA326" s="12"/>
      <c r="AB326" s="12"/>
      <c r="AC326" s="16"/>
      <c r="AD326" s="12"/>
      <c r="AE326" s="12"/>
      <c r="AF326" s="12"/>
      <c r="AG326" s="12"/>
      <c r="AH326" s="16"/>
      <c r="AI326" s="12"/>
      <c r="AJ326" s="12"/>
      <c r="AK326" s="12"/>
      <c r="AL326" s="128"/>
      <c r="AM326" s="16"/>
      <c r="AN326" s="128"/>
      <c r="AO326" s="128"/>
      <c r="AP326" s="252"/>
      <c r="AQ326" s="252"/>
      <c r="AR326" s="16"/>
      <c r="AS326" s="252"/>
      <c r="AT326" s="252"/>
      <c r="AU326" s="252"/>
      <c r="AV326" s="252"/>
      <c r="AW326" s="16"/>
      <c r="AX326" s="252"/>
      <c r="AY326" s="252"/>
      <c r="AZ326" s="252"/>
      <c r="BA326" s="252"/>
      <c r="BB326" s="354"/>
      <c r="BC326" s="252"/>
      <c r="BD326" s="252"/>
      <c r="BE326" s="252"/>
      <c r="BF326" s="252"/>
      <c r="BG326" s="354"/>
      <c r="BH326" s="252"/>
      <c r="BI326" s="252"/>
      <c r="BJ326" s="252"/>
      <c r="BK326" s="252"/>
      <c r="BL326" s="354"/>
      <c r="BM326" s="252"/>
      <c r="BN326" s="252"/>
      <c r="BO326" s="252"/>
      <c r="BP326" s="252"/>
      <c r="BQ326" s="354"/>
      <c r="BR326" s="252"/>
      <c r="BS326" s="252"/>
      <c r="BT326" s="252"/>
      <c r="BU326" s="252"/>
      <c r="BV326" s="354"/>
      <c r="BW326" s="252"/>
      <c r="BX326" s="399"/>
      <c r="BY326" s="252"/>
      <c r="BZ326" s="252"/>
      <c r="CA326" s="354"/>
      <c r="CB326" s="252"/>
      <c r="CC326" s="252"/>
      <c r="CD326" s="252"/>
      <c r="CE326" s="252"/>
      <c r="CF326" s="354"/>
      <c r="CG326" s="252"/>
      <c r="CH326" s="252"/>
      <c r="CI326" s="252"/>
      <c r="CJ326" s="252"/>
      <c r="CK326" s="354"/>
      <c r="CL326" s="252"/>
      <c r="CM326" s="252"/>
      <c r="CN326" s="252"/>
      <c r="CO326" s="252"/>
      <c r="CP326" s="354"/>
      <c r="CQ326" s="252"/>
      <c r="CR326" s="252"/>
      <c r="CS326" s="252"/>
      <c r="CT326" s="252"/>
      <c r="CU326" s="354"/>
      <c r="CV326" s="252"/>
      <c r="CW326" s="252"/>
      <c r="CX326" s="252"/>
      <c r="CY326" s="252"/>
      <c r="CZ326" s="354"/>
      <c r="DA326" s="252"/>
      <c r="DB326" s="252"/>
      <c r="DC326" s="252"/>
      <c r="DD326" s="252"/>
      <c r="DE326" s="354"/>
      <c r="DF326" s="252"/>
      <c r="DG326" s="252"/>
      <c r="DH326" s="252"/>
      <c r="DI326" s="252"/>
      <c r="DJ326" s="354"/>
      <c r="DK326" s="252"/>
      <c r="DL326" s="252"/>
      <c r="DM326" s="252"/>
      <c r="DN326" s="252"/>
      <c r="DO326" s="354"/>
      <c r="DP326" s="252"/>
      <c r="DQ326" s="252"/>
      <c r="DR326" s="252"/>
      <c r="DS326" s="252"/>
      <c r="DT326" s="354"/>
      <c r="DU326" s="354"/>
      <c r="DV326" s="354"/>
    </row>
    <row r="327" spans="1:126" s="15" customFormat="1">
      <c r="A327" s="12"/>
      <c r="B327" s="301" t="s">
        <v>240</v>
      </c>
      <c r="C327" s="16"/>
      <c r="D327" s="16"/>
      <c r="E327" s="16"/>
      <c r="F327" s="16"/>
      <c r="G327" s="16"/>
      <c r="H327" s="16"/>
      <c r="I327" s="16"/>
      <c r="J327" s="12"/>
      <c r="K327" s="12"/>
      <c r="L327" s="12"/>
      <c r="M327" s="12"/>
      <c r="N327" s="16"/>
      <c r="O327" s="12"/>
      <c r="P327" s="12"/>
      <c r="Q327" s="12"/>
      <c r="R327" s="12"/>
      <c r="S327" s="16"/>
      <c r="T327" s="12"/>
      <c r="U327" s="12"/>
      <c r="V327" s="12"/>
      <c r="W327" s="12"/>
      <c r="X327" s="16"/>
      <c r="Y327" s="12"/>
      <c r="Z327" s="12"/>
      <c r="AA327" s="12"/>
      <c r="AB327" s="12"/>
      <c r="AC327" s="16"/>
      <c r="AD327" s="12"/>
      <c r="AE327" s="12"/>
      <c r="AF327" s="12"/>
      <c r="AG327" s="12"/>
      <c r="AH327" s="16"/>
      <c r="AI327" s="12"/>
      <c r="AJ327" s="12"/>
      <c r="AK327" s="12"/>
      <c r="AL327" s="128"/>
      <c r="AM327" s="16"/>
      <c r="AN327" s="128"/>
      <c r="AO327" s="128"/>
      <c r="AP327" s="252"/>
      <c r="AQ327" s="252"/>
      <c r="AR327" s="16"/>
      <c r="AS327" s="252"/>
      <c r="AT327" s="252"/>
      <c r="AU327" s="252"/>
      <c r="AV327" s="252"/>
      <c r="AW327" s="16"/>
      <c r="AX327" s="252"/>
      <c r="AY327" s="252"/>
      <c r="AZ327" s="252"/>
      <c r="BA327" s="252"/>
      <c r="BB327" s="354"/>
      <c r="BC327" s="252"/>
      <c r="BD327" s="252"/>
      <c r="BE327" s="252"/>
      <c r="BF327" s="252"/>
      <c r="BG327" s="354"/>
      <c r="BH327" s="252"/>
      <c r="BI327" s="252"/>
      <c r="BJ327" s="252"/>
      <c r="BK327" s="252"/>
      <c r="BL327" s="354"/>
      <c r="BM327" s="252"/>
      <c r="BN327" s="252"/>
      <c r="BO327" s="252"/>
      <c r="BP327" s="252"/>
      <c r="BQ327" s="354"/>
      <c r="BR327" s="252"/>
      <c r="BS327" s="252"/>
      <c r="BT327" s="252"/>
      <c r="BU327" s="252"/>
      <c r="BV327" s="354"/>
      <c r="BW327" s="252"/>
      <c r="BX327" s="399"/>
      <c r="BY327" s="252"/>
      <c r="BZ327" s="252"/>
      <c r="CA327" s="354"/>
      <c r="CB327" s="252"/>
      <c r="CC327" s="252"/>
      <c r="CD327" s="252"/>
      <c r="CE327" s="252"/>
      <c r="CF327" s="354"/>
      <c r="CG327" s="252"/>
      <c r="CH327" s="252"/>
      <c r="CI327" s="252"/>
      <c r="CJ327" s="252"/>
      <c r="CK327" s="354"/>
      <c r="CL327" s="252"/>
      <c r="CM327" s="252"/>
      <c r="CN327" s="252"/>
      <c r="CO327" s="252"/>
      <c r="CP327" s="354"/>
      <c r="CQ327" s="252"/>
      <c r="CR327" s="252"/>
      <c r="CS327" s="252"/>
      <c r="CT327" s="252"/>
      <c r="CU327" s="354"/>
      <c r="CV327" s="252"/>
      <c r="CW327" s="252"/>
      <c r="CX327" s="252"/>
      <c r="CY327" s="252"/>
      <c r="CZ327" s="354"/>
      <c r="DA327" s="252"/>
      <c r="DB327" s="252"/>
      <c r="DC327" s="252"/>
      <c r="DD327" s="252"/>
      <c r="DE327" s="354"/>
      <c r="DF327" s="252"/>
      <c r="DG327" s="252"/>
      <c r="DH327" s="252"/>
      <c r="DI327" s="252"/>
      <c r="DJ327" s="354"/>
      <c r="DK327" s="252"/>
      <c r="DL327" s="252"/>
      <c r="DM327" s="252"/>
      <c r="DN327" s="252"/>
      <c r="DO327" s="354"/>
      <c r="DP327" s="252"/>
      <c r="DQ327" s="252"/>
      <c r="DR327" s="252"/>
      <c r="DS327" s="252"/>
      <c r="DT327" s="354"/>
      <c r="DU327" s="354"/>
      <c r="DV327" s="354"/>
    </row>
    <row r="328" spans="1:126" s="15" customFormat="1">
      <c r="A328" s="12"/>
      <c r="B328" s="301" t="s">
        <v>241</v>
      </c>
      <c r="C328" s="16"/>
      <c r="D328" s="16"/>
      <c r="E328" s="16"/>
      <c r="F328" s="16"/>
      <c r="G328" s="16"/>
      <c r="H328" s="16"/>
      <c r="I328" s="16"/>
      <c r="J328" s="12"/>
      <c r="K328" s="12"/>
      <c r="L328" s="12"/>
      <c r="M328" s="12"/>
      <c r="N328" s="16"/>
      <c r="O328" s="12"/>
      <c r="P328" s="12"/>
      <c r="Q328" s="12"/>
      <c r="R328" s="12"/>
      <c r="S328" s="16"/>
      <c r="T328" s="12"/>
      <c r="U328" s="12"/>
      <c r="V328" s="12"/>
      <c r="W328" s="12"/>
      <c r="X328" s="16"/>
      <c r="Y328" s="12"/>
      <c r="Z328" s="12"/>
      <c r="AA328" s="12"/>
      <c r="AB328" s="12"/>
      <c r="AC328" s="16"/>
      <c r="AD328" s="12"/>
      <c r="AE328" s="12"/>
      <c r="AF328" s="12"/>
      <c r="AG328" s="12"/>
      <c r="AH328" s="16"/>
      <c r="AI328" s="12"/>
      <c r="AJ328" s="12"/>
      <c r="AK328" s="12"/>
      <c r="AL328" s="128"/>
      <c r="AM328" s="16"/>
      <c r="AN328" s="128"/>
      <c r="AO328" s="128"/>
      <c r="AP328" s="252"/>
      <c r="AQ328" s="252"/>
      <c r="AR328" s="16"/>
      <c r="AS328" s="252"/>
      <c r="AT328" s="252"/>
      <c r="AU328" s="252"/>
      <c r="AV328" s="252"/>
      <c r="AW328" s="16"/>
      <c r="AX328" s="252"/>
      <c r="AY328" s="252"/>
      <c r="AZ328" s="252"/>
      <c r="BA328" s="252"/>
      <c r="BB328" s="354"/>
      <c r="BC328" s="252"/>
      <c r="BD328" s="252"/>
      <c r="BE328" s="252"/>
      <c r="BF328" s="252"/>
      <c r="BG328" s="354"/>
      <c r="BH328" s="252"/>
      <c r="BI328" s="252"/>
      <c r="BJ328" s="252"/>
      <c r="BK328" s="252"/>
      <c r="BL328" s="354"/>
      <c r="BM328" s="252"/>
      <c r="BN328" s="252"/>
      <c r="BO328" s="252"/>
      <c r="BP328" s="252"/>
      <c r="BQ328" s="354"/>
      <c r="BR328" s="252"/>
      <c r="BS328" s="252"/>
      <c r="BT328" s="252"/>
      <c r="BU328" s="252"/>
      <c r="BV328" s="354"/>
      <c r="BW328" s="252"/>
      <c r="BX328" s="399"/>
      <c r="BY328" s="252"/>
      <c r="BZ328" s="252"/>
      <c r="CA328" s="354"/>
      <c r="CB328" s="252"/>
      <c r="CC328" s="252"/>
      <c r="CD328" s="252"/>
      <c r="CE328" s="252"/>
      <c r="CF328" s="354"/>
      <c r="CG328" s="252"/>
      <c r="CH328" s="252"/>
      <c r="CI328" s="252"/>
      <c r="CJ328" s="252"/>
      <c r="CK328" s="354"/>
      <c r="CL328" s="252"/>
      <c r="CM328" s="252"/>
      <c r="CN328" s="252"/>
      <c r="CO328" s="252"/>
      <c r="CP328" s="354"/>
      <c r="CQ328" s="252"/>
      <c r="CR328" s="252"/>
      <c r="CS328" s="252"/>
      <c r="CT328" s="252"/>
      <c r="CU328" s="354"/>
      <c r="CV328" s="252"/>
      <c r="CW328" s="252"/>
      <c r="CX328" s="252"/>
      <c r="CY328" s="252"/>
      <c r="CZ328" s="354"/>
      <c r="DA328" s="252"/>
      <c r="DB328" s="252"/>
      <c r="DC328" s="252"/>
      <c r="DD328" s="252"/>
      <c r="DE328" s="354"/>
      <c r="DF328" s="252"/>
      <c r="DG328" s="252"/>
      <c r="DH328" s="252"/>
      <c r="DI328" s="252"/>
      <c r="DJ328" s="354"/>
      <c r="DK328" s="252"/>
      <c r="DL328" s="252"/>
      <c r="DM328" s="252"/>
      <c r="DN328" s="252"/>
      <c r="DO328" s="354"/>
      <c r="DP328" s="252"/>
      <c r="DQ328" s="252"/>
      <c r="DR328" s="252"/>
      <c r="DS328" s="252"/>
      <c r="DT328" s="354"/>
      <c r="DU328" s="354"/>
      <c r="DV328" s="354"/>
    </row>
    <row r="329" spans="1:126" s="15" customFormat="1">
      <c r="A329" s="12"/>
      <c r="B329" s="301" t="s">
        <v>242</v>
      </c>
      <c r="C329" s="16"/>
      <c r="D329" s="16"/>
      <c r="E329" s="16"/>
      <c r="F329" s="16"/>
      <c r="G329" s="16"/>
      <c r="H329" s="16"/>
      <c r="I329" s="16"/>
      <c r="J329" s="12"/>
      <c r="K329" s="12"/>
      <c r="L329" s="12"/>
      <c r="M329" s="12"/>
      <c r="N329" s="16"/>
      <c r="O329" s="12"/>
      <c r="P329" s="12"/>
      <c r="Q329" s="12"/>
      <c r="R329" s="12"/>
      <c r="S329" s="16"/>
      <c r="T329" s="12"/>
      <c r="U329" s="12"/>
      <c r="V329" s="12"/>
      <c r="W329" s="12"/>
      <c r="X329" s="16"/>
      <c r="Y329" s="12"/>
      <c r="Z329" s="12"/>
      <c r="AA329" s="12"/>
      <c r="AB329" s="12"/>
      <c r="AC329" s="16"/>
      <c r="AD329" s="12"/>
      <c r="AE329" s="12"/>
      <c r="AF329" s="12"/>
      <c r="AG329" s="12"/>
      <c r="AH329" s="16"/>
      <c r="AI329" s="12"/>
      <c r="AJ329" s="12"/>
      <c r="AK329" s="12"/>
      <c r="AL329" s="128"/>
      <c r="AM329" s="16"/>
      <c r="AN329" s="128"/>
      <c r="AO329" s="128"/>
      <c r="AP329" s="252"/>
      <c r="AQ329" s="252"/>
      <c r="AR329" s="16"/>
      <c r="AS329" s="252"/>
      <c r="AT329" s="252"/>
      <c r="AU329" s="252"/>
      <c r="AV329" s="252"/>
      <c r="AW329" s="16"/>
      <c r="AX329" s="252"/>
      <c r="AY329" s="252"/>
      <c r="AZ329" s="252"/>
      <c r="BA329" s="252"/>
      <c r="BB329" s="354"/>
      <c r="BC329" s="252"/>
      <c r="BD329" s="252"/>
      <c r="BE329" s="252"/>
      <c r="BF329" s="252"/>
      <c r="BG329" s="354"/>
      <c r="BH329" s="252"/>
      <c r="BI329" s="252"/>
      <c r="BJ329" s="252"/>
      <c r="BK329" s="252"/>
      <c r="BL329" s="354"/>
      <c r="BM329" s="252"/>
      <c r="BN329" s="252"/>
      <c r="BO329" s="252"/>
      <c r="BP329" s="252"/>
      <c r="BQ329" s="354"/>
      <c r="BR329" s="252"/>
      <c r="BS329" s="252"/>
      <c r="BT329" s="252"/>
      <c r="BU329" s="252"/>
      <c r="BV329" s="354"/>
      <c r="BW329" s="252"/>
      <c r="BX329" s="399"/>
      <c r="BY329" s="252"/>
      <c r="BZ329" s="252"/>
      <c r="CA329" s="354"/>
      <c r="CB329" s="252"/>
      <c r="CC329" s="252"/>
      <c r="CD329" s="252"/>
      <c r="CE329" s="252"/>
      <c r="CF329" s="354"/>
      <c r="CG329" s="252"/>
      <c r="CH329" s="252"/>
      <c r="CI329" s="252"/>
      <c r="CJ329" s="252"/>
      <c r="CK329" s="354"/>
      <c r="CL329" s="252"/>
      <c r="CM329" s="252"/>
      <c r="CN329" s="252"/>
      <c r="CO329" s="252"/>
      <c r="CP329" s="354"/>
      <c r="CQ329" s="252"/>
      <c r="CR329" s="252"/>
      <c r="CS329" s="252"/>
      <c r="CT329" s="252"/>
      <c r="CU329" s="354"/>
      <c r="CV329" s="252"/>
      <c r="CW329" s="252"/>
      <c r="CX329" s="252"/>
      <c r="CY329" s="252"/>
      <c r="CZ329" s="354"/>
      <c r="DA329" s="252"/>
      <c r="DB329" s="252"/>
      <c r="DC329" s="252"/>
      <c r="DD329" s="252"/>
      <c r="DE329" s="354"/>
      <c r="DF329" s="252"/>
      <c r="DG329" s="252"/>
      <c r="DH329" s="252"/>
      <c r="DI329" s="252"/>
      <c r="DJ329" s="354"/>
      <c r="DK329" s="252"/>
      <c r="DL329" s="252"/>
      <c r="DM329" s="252"/>
      <c r="DN329" s="252"/>
      <c r="DO329" s="354"/>
      <c r="DP329" s="252"/>
      <c r="DQ329" s="252"/>
      <c r="DR329" s="252"/>
      <c r="DS329" s="252"/>
      <c r="DT329" s="354"/>
      <c r="DU329" s="354"/>
      <c r="DV329" s="354"/>
    </row>
    <row r="330" spans="1:126" s="15" customFormat="1">
      <c r="A330" s="12"/>
      <c r="B330" s="301" t="s">
        <v>243</v>
      </c>
      <c r="C330" s="16"/>
      <c r="D330" s="16"/>
      <c r="E330" s="16"/>
      <c r="F330" s="16"/>
      <c r="G330" s="16"/>
      <c r="H330" s="16"/>
      <c r="I330" s="16"/>
      <c r="J330" s="12"/>
      <c r="K330" s="12"/>
      <c r="L330" s="12"/>
      <c r="M330" s="12"/>
      <c r="N330" s="16"/>
      <c r="O330" s="12"/>
      <c r="P330" s="12"/>
      <c r="Q330" s="12"/>
      <c r="R330" s="12"/>
      <c r="S330" s="16"/>
      <c r="T330" s="12"/>
      <c r="U330" s="12"/>
      <c r="V330" s="12"/>
      <c r="W330" s="12"/>
      <c r="X330" s="16"/>
      <c r="Y330" s="12"/>
      <c r="Z330" s="12"/>
      <c r="AA330" s="12"/>
      <c r="AB330" s="12"/>
      <c r="AC330" s="16"/>
      <c r="AD330" s="12"/>
      <c r="AE330" s="12"/>
      <c r="AF330" s="12"/>
      <c r="AG330" s="12"/>
      <c r="AH330" s="16"/>
      <c r="AI330" s="12"/>
      <c r="AJ330" s="12"/>
      <c r="AK330" s="12"/>
      <c r="AL330" s="128"/>
      <c r="AM330" s="16"/>
      <c r="AN330" s="128"/>
      <c r="AO330" s="128"/>
      <c r="AP330" s="252"/>
      <c r="AQ330" s="252"/>
      <c r="AR330" s="16"/>
      <c r="AS330" s="252"/>
      <c r="AT330" s="252"/>
      <c r="AU330" s="252"/>
      <c r="AV330" s="252"/>
      <c r="AW330" s="16"/>
      <c r="AX330" s="252"/>
      <c r="AY330" s="252"/>
      <c r="AZ330" s="252"/>
      <c r="BA330" s="252"/>
      <c r="BB330" s="354"/>
      <c r="BC330" s="252"/>
      <c r="BD330" s="252"/>
      <c r="BE330" s="252"/>
      <c r="BF330" s="252"/>
      <c r="BG330" s="354"/>
      <c r="BH330" s="252"/>
      <c r="BI330" s="252"/>
      <c r="BJ330" s="252"/>
      <c r="BK330" s="252"/>
      <c r="BL330" s="354"/>
      <c r="BM330" s="252"/>
      <c r="BN330" s="252"/>
      <c r="BO330" s="252"/>
      <c r="BP330" s="252"/>
      <c r="BQ330" s="354"/>
      <c r="BR330" s="252"/>
      <c r="BS330" s="252"/>
      <c r="BT330" s="252"/>
      <c r="BU330" s="252"/>
      <c r="BV330" s="354"/>
      <c r="BW330" s="252"/>
      <c r="BX330" s="399"/>
      <c r="BY330" s="252"/>
      <c r="BZ330" s="252"/>
      <c r="CA330" s="354"/>
      <c r="CB330" s="252"/>
      <c r="CC330" s="252"/>
      <c r="CD330" s="252"/>
      <c r="CE330" s="252"/>
      <c r="CF330" s="354"/>
      <c r="CG330" s="252"/>
      <c r="CH330" s="252"/>
      <c r="CI330" s="252"/>
      <c r="CJ330" s="252"/>
      <c r="CK330" s="354"/>
      <c r="CL330" s="252"/>
      <c r="CM330" s="252"/>
      <c r="CN330" s="252"/>
      <c r="CO330" s="252"/>
      <c r="CP330" s="354"/>
      <c r="CQ330" s="252"/>
      <c r="CR330" s="252"/>
      <c r="CS330" s="252"/>
      <c r="CT330" s="252"/>
      <c r="CU330" s="354"/>
      <c r="CV330" s="252"/>
      <c r="CW330" s="252"/>
      <c r="CX330" s="252"/>
      <c r="CY330" s="252"/>
      <c r="CZ330" s="354"/>
      <c r="DA330" s="252"/>
      <c r="DB330" s="252"/>
      <c r="DC330" s="252"/>
      <c r="DD330" s="252"/>
      <c r="DE330" s="354"/>
      <c r="DF330" s="252"/>
      <c r="DG330" s="252"/>
      <c r="DH330" s="252"/>
      <c r="DI330" s="252"/>
      <c r="DJ330" s="354"/>
      <c r="DK330" s="252"/>
      <c r="DL330" s="252"/>
      <c r="DM330" s="252"/>
      <c r="DN330" s="252"/>
      <c r="DO330" s="354"/>
      <c r="DP330" s="252"/>
      <c r="DQ330" s="252"/>
      <c r="DR330" s="252"/>
      <c r="DS330" s="252"/>
      <c r="DT330" s="354"/>
      <c r="DU330" s="354"/>
      <c r="DV330" s="354"/>
    </row>
    <row r="331" spans="1:126" s="15" customFormat="1">
      <c r="A331" s="12"/>
      <c r="B331" s="301" t="s">
        <v>244</v>
      </c>
      <c r="C331" s="16"/>
      <c r="D331" s="16"/>
      <c r="E331" s="16"/>
      <c r="F331" s="16"/>
      <c r="G331" s="16"/>
      <c r="H331" s="16"/>
      <c r="I331" s="16"/>
      <c r="J331" s="12"/>
      <c r="K331" s="12"/>
      <c r="L331" s="12"/>
      <c r="M331" s="12"/>
      <c r="N331" s="16"/>
      <c r="O331" s="12"/>
      <c r="P331" s="12"/>
      <c r="Q331" s="12"/>
      <c r="R331" s="12"/>
      <c r="S331" s="16"/>
      <c r="T331" s="12"/>
      <c r="U331" s="12"/>
      <c r="V331" s="12"/>
      <c r="W331" s="12"/>
      <c r="X331" s="16"/>
      <c r="Y331" s="12"/>
      <c r="Z331" s="12"/>
      <c r="AA331" s="12"/>
      <c r="AB331" s="12"/>
      <c r="AC331" s="16"/>
      <c r="AD331" s="12"/>
      <c r="AE331" s="12"/>
      <c r="AF331" s="12"/>
      <c r="AG331" s="12"/>
      <c r="AH331" s="16"/>
      <c r="AI331" s="12"/>
      <c r="AJ331" s="12"/>
      <c r="AK331" s="12"/>
      <c r="AL331" s="128"/>
      <c r="AM331" s="16"/>
      <c r="AN331" s="128"/>
      <c r="AO331" s="128"/>
      <c r="AP331" s="252"/>
      <c r="AQ331" s="252"/>
      <c r="AR331" s="16"/>
      <c r="AS331" s="252"/>
      <c r="AT331" s="252"/>
      <c r="AU331" s="252"/>
      <c r="AV331" s="252"/>
      <c r="AW331" s="16"/>
      <c r="AX331" s="252"/>
      <c r="AY331" s="252"/>
      <c r="AZ331" s="252"/>
      <c r="BA331" s="252"/>
      <c r="BB331" s="352">
        <f>1-SUM(BB317:BB330)</f>
        <v>1</v>
      </c>
      <c r="BC331" s="252"/>
      <c r="BD331" s="252"/>
      <c r="BE331" s="252"/>
      <c r="BF331" s="252"/>
      <c r="BG331" s="352">
        <f>1-SUM(BG317:BG330)</f>
        <v>1</v>
      </c>
      <c r="BH331" s="252"/>
      <c r="BI331" s="252"/>
      <c r="BJ331" s="252"/>
      <c r="BK331" s="252"/>
      <c r="BL331" s="352">
        <f>1-SUM(BL317:BL330)</f>
        <v>1</v>
      </c>
      <c r="BM331" s="252"/>
      <c r="BN331" s="252"/>
      <c r="BO331" s="252"/>
      <c r="BP331" s="252"/>
      <c r="BQ331" s="352">
        <f>1-SUM(BQ317:BQ330)</f>
        <v>1</v>
      </c>
      <c r="BR331" s="252"/>
      <c r="BS331" s="252"/>
      <c r="BT331" s="252"/>
      <c r="BU331" s="252"/>
      <c r="BV331" s="352">
        <f>1-SUM(BV317:BV330)</f>
        <v>1</v>
      </c>
      <c r="BW331" s="252"/>
      <c r="BX331" s="399"/>
      <c r="BY331" s="252"/>
      <c r="BZ331" s="252"/>
      <c r="CA331" s="352">
        <f>1-SUM(CA317:CA330)</f>
        <v>1</v>
      </c>
      <c r="CB331" s="252"/>
      <c r="CC331" s="252"/>
      <c r="CD331" s="252"/>
      <c r="CE331" s="252"/>
      <c r="CF331" s="352">
        <f>1-SUM(CF317:CF330)</f>
        <v>1</v>
      </c>
      <c r="CG331" s="252"/>
      <c r="CH331" s="252"/>
      <c r="CI331" s="252"/>
      <c r="CJ331" s="252"/>
      <c r="CK331" s="352">
        <f>1-SUM(CK317:CK330)</f>
        <v>1</v>
      </c>
      <c r="CL331" s="252"/>
      <c r="CM331" s="252"/>
      <c r="CN331" s="252"/>
      <c r="CO331" s="252"/>
      <c r="CP331" s="352">
        <f>1-SUM(CP317:CP330)</f>
        <v>1</v>
      </c>
      <c r="CQ331" s="252"/>
      <c r="CR331" s="252"/>
      <c r="CS331" s="252"/>
      <c r="CT331" s="252"/>
      <c r="CU331" s="352">
        <f>1-SUM(CU317:CU330)</f>
        <v>1</v>
      </c>
      <c r="CV331" s="252"/>
      <c r="CW331" s="252"/>
      <c r="CX331" s="252"/>
      <c r="CY331" s="252"/>
      <c r="CZ331" s="352">
        <f>1-SUM(CZ317:CZ330)</f>
        <v>1</v>
      </c>
      <c r="DA331" s="252"/>
      <c r="DB331" s="252"/>
      <c r="DC331" s="252"/>
      <c r="DD331" s="252"/>
      <c r="DE331" s="352">
        <f>1-SUM(DE317:DE330)</f>
        <v>1</v>
      </c>
      <c r="DF331" s="252"/>
      <c r="DG331" s="252"/>
      <c r="DH331" s="252"/>
      <c r="DI331" s="252"/>
      <c r="DJ331" s="352">
        <f>1-SUM(DJ317:DJ330)</f>
        <v>1</v>
      </c>
      <c r="DK331" s="252"/>
      <c r="DL331" s="252"/>
      <c r="DM331" s="252"/>
      <c r="DN331" s="252"/>
      <c r="DO331" s="352">
        <f>1-SUM(DO317:DO330)</f>
        <v>1</v>
      </c>
      <c r="DP331" s="252"/>
      <c r="DQ331" s="252"/>
      <c r="DR331" s="252"/>
      <c r="DS331" s="252"/>
      <c r="DT331" s="352">
        <f>1-SUM(DT317:DT330)</f>
        <v>1</v>
      </c>
      <c r="DU331" s="352">
        <f>1-SUM(DU317:DU330)</f>
        <v>1</v>
      </c>
      <c r="DV331" s="352">
        <f>1-SUM(DV317:DV330)</f>
        <v>1</v>
      </c>
    </row>
    <row r="332" spans="1:126" ht="12.75" customHeight="1" thickBot="1">
      <c r="A332" s="328"/>
      <c r="B332" s="328"/>
      <c r="C332" s="329"/>
      <c r="D332" s="329"/>
      <c r="E332" s="329"/>
      <c r="F332" s="329"/>
      <c r="G332" s="329"/>
      <c r="H332" s="329"/>
      <c r="I332" s="329"/>
      <c r="J332" s="328"/>
      <c r="K332" s="328"/>
      <c r="L332" s="328"/>
      <c r="M332" s="328"/>
      <c r="N332" s="329"/>
      <c r="O332" s="328"/>
      <c r="P332" s="328"/>
      <c r="Q332" s="328"/>
      <c r="R332" s="328"/>
      <c r="S332" s="329"/>
      <c r="T332" s="328"/>
      <c r="U332" s="328"/>
      <c r="V332" s="328"/>
      <c r="W332" s="328"/>
      <c r="X332" s="329"/>
      <c r="Y332" s="328"/>
      <c r="Z332" s="328"/>
      <c r="AA332" s="328"/>
      <c r="AB332" s="328"/>
      <c r="AC332" s="329"/>
      <c r="AD332" s="328"/>
      <c r="AE332" s="328"/>
      <c r="AF332" s="328"/>
      <c r="AG332" s="328"/>
      <c r="AH332" s="329"/>
      <c r="AI332" s="328"/>
      <c r="AJ332" s="328"/>
      <c r="AK332" s="328"/>
      <c r="AL332" s="328"/>
      <c r="AM332" s="329"/>
      <c r="AN332" s="328"/>
      <c r="AO332" s="328"/>
      <c r="AP332" s="328"/>
      <c r="AQ332" s="328"/>
      <c r="AR332" s="329"/>
      <c r="AS332" s="328"/>
      <c r="AT332" s="328"/>
      <c r="AU332" s="328"/>
      <c r="AV332" s="328"/>
      <c r="AW332" s="329"/>
      <c r="AX332" s="328"/>
      <c r="AY332" s="328"/>
      <c r="AZ332" s="328"/>
      <c r="BA332" s="328"/>
      <c r="BB332" s="329"/>
      <c r="BC332" s="328"/>
      <c r="BD332" s="328"/>
      <c r="BE332" s="328"/>
      <c r="BF332" s="328"/>
      <c r="BG332" s="329"/>
      <c r="BH332" s="328"/>
      <c r="BI332" s="376"/>
      <c r="BJ332" s="328"/>
      <c r="BK332" s="328"/>
      <c r="BL332" s="329"/>
      <c r="BM332" s="328"/>
      <c r="BN332" s="376"/>
      <c r="BO332" s="328"/>
      <c r="BP332" s="328"/>
      <c r="BQ332" s="329"/>
      <c r="BR332" s="328"/>
      <c r="BS332" s="376"/>
      <c r="BT332" s="328"/>
      <c r="BU332" s="328"/>
      <c r="BV332" s="329"/>
      <c r="BW332" s="328"/>
      <c r="BX332" s="431"/>
      <c r="BY332" s="328"/>
      <c r="BZ332" s="328"/>
      <c r="CA332" s="329"/>
      <c r="CB332" s="328"/>
      <c r="CC332" s="376"/>
      <c r="CD332" s="328"/>
      <c r="CE332" s="328"/>
      <c r="CF332" s="329"/>
      <c r="CG332" s="376"/>
      <c r="CH332" s="376"/>
      <c r="CI332" s="376"/>
      <c r="CJ332" s="376"/>
      <c r="CK332" s="329"/>
      <c r="CL332" s="376"/>
      <c r="CM332" s="376"/>
      <c r="CN332" s="376"/>
      <c r="CO332" s="376"/>
      <c r="CP332" s="329"/>
      <c r="CQ332" s="376"/>
      <c r="CR332" s="376"/>
      <c r="CS332" s="376"/>
      <c r="CT332" s="376"/>
      <c r="CU332" s="329"/>
      <c r="CV332" s="376"/>
      <c r="CW332" s="376"/>
      <c r="CX332" s="376"/>
      <c r="CY332" s="376"/>
      <c r="CZ332" s="329"/>
      <c r="DA332" s="376"/>
      <c r="DB332" s="376"/>
      <c r="DC332" s="376"/>
      <c r="DD332" s="376"/>
      <c r="DE332" s="329"/>
      <c r="DF332" s="376"/>
      <c r="DG332" s="376"/>
      <c r="DH332" s="376"/>
      <c r="DI332" s="376"/>
      <c r="DJ332" s="329"/>
      <c r="DK332" s="376"/>
      <c r="DL332" s="376"/>
      <c r="DM332" s="376"/>
      <c r="DN332" s="376"/>
      <c r="DO332" s="329"/>
      <c r="DP332" s="376"/>
      <c r="DQ332" s="376"/>
      <c r="DR332" s="376"/>
      <c r="DS332" s="376"/>
      <c r="DT332" s="329"/>
      <c r="DU332" s="329"/>
      <c r="DV332" s="329"/>
    </row>
  </sheetData>
  <phoneticPr fontId="11" type="noConversion"/>
  <pageMargins left="0.8" right="0.3" top="0.7" bottom="0.7" header="0.5" footer="0.5"/>
  <pageSetup scale="55" fitToHeight="2" orientation="portrait" r:id="rId1"/>
  <headerFooter alignWithMargins="0"/>
  <rowBreaks count="1" manualBreakCount="1">
    <brk id="147" min="1" max="70" man="1"/>
  </rowBreaks>
  <customProperties>
    <customPr name="Qube.Worksheet.Visibility" r:id="rId2"/>
    <customPr name="QXL_SHEET_ID" r:id="rId3"/>
  </customProperties>
  <ignoredErrors>
    <ignoredError sqref="C33:I33 D41:I43 C37:I38 AR148:AR151 R142:R143 M59:N59 AB142:AB143 AL69:AL70 C42:C43 R76:X76 AG142:AJ143 AL148:AM149 AK148 M6:N6 R6:AJ6 AL95:AL98 AB76:AJ76 AK96:AK98 M142:N143 AG117:AJ117 AB117 R117 AB59:AJ59 R59:X59 R111 AB111 AG111:AJ111 AB68:AJ70 R68:X70 AB94:AJ98 AG129:AJ129 AB129 R129 AG148:AJ149 M148:N152 C29:I29 M139:N139 AG139:AJ139 AB139 R139" formula="1"/>
    <ignoredError sqref="AJ46:AJ49 C176:F176 O46:O50 C170:L170 AL46:AO50 AL59 AN59 S159:X159 S170:Z170 S168:Z168 AC177:AW180 AC170:AU170 AC167:AO167 C159:L159 AH159:AR159 AW168 AW170 AC168:AU168 C168:L168 C160" formulaRange="1"/>
    <ignoredError sqref="AG46:AI49 AB46:AB49 R46:R49 S46:V49 W46:W49 X46:AA49 AC46:AF49 N46:N50 M46:M50 M170:N170 AM59 M159:N159 M168:N168" formula="1" formulaRange="1"/>
  </ignoredErrors>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E405-C5FB-42BE-85E4-0D64F8079170}">
  <sheetPr codeName="Sheet7">
    <pageSetUpPr fitToPage="1"/>
  </sheetPr>
  <dimension ref="A1:DV179"/>
  <sheetViews>
    <sheetView showGridLines="0" zoomScaleNormal="100" workbookViewId="0">
      <pane xSplit="2" ySplit="4" topLeftCell="C5" activePane="bottomRight" state="frozen"/>
      <selection pane="topRight" activeCell="C1" sqref="C1"/>
      <selection pane="bottomLeft" activeCell="A5" sqref="A5"/>
      <selection pane="bottomRight" activeCell="CK5" sqref="CK5"/>
    </sheetView>
  </sheetViews>
  <sheetFormatPr defaultColWidth="9.875" defaultRowHeight="12.9" customHeight="1" outlineLevelRow="1" outlineLevelCol="1"/>
  <cols>
    <col min="1" max="1" width="1.375" style="516" customWidth="1"/>
    <col min="2" max="2" width="40.625" style="516" customWidth="1"/>
    <col min="3" max="9" width="9.875" style="516" hidden="1" customWidth="1" outlineLevel="1" collapsed="1"/>
    <col min="10" max="13" width="9.875" style="516" hidden="1" customWidth="1" outlineLevel="1"/>
    <col min="14" max="14" width="9.875" style="516" hidden="1" customWidth="1" outlineLevel="1" collapsed="1"/>
    <col min="15" max="18" width="9.875" style="516" hidden="1" customWidth="1" outlineLevel="1"/>
    <col min="19" max="19" width="9.875" style="516" hidden="1" customWidth="1" outlineLevel="1" collapsed="1"/>
    <col min="20" max="23" width="9.875" style="516" hidden="1" customWidth="1" outlineLevel="1"/>
    <col min="24" max="24" width="9.875" style="516" hidden="1" customWidth="1" outlineLevel="1" collapsed="1"/>
    <col min="25" max="28" width="9.875" style="516" hidden="1" customWidth="1" outlineLevel="1"/>
    <col min="29" max="29" width="9.875" style="516" hidden="1" customWidth="1" outlineLevel="1" collapsed="1"/>
    <col min="30" max="33" width="9.875" style="516" hidden="1" customWidth="1" outlineLevel="1"/>
    <col min="34" max="34" width="9.875" style="516" hidden="1" customWidth="1" outlineLevel="1" collapsed="1"/>
    <col min="35" max="38" width="9.875" style="516" hidden="1" customWidth="1" outlineLevel="1"/>
    <col min="39" max="39" width="9.875" style="516" hidden="1" customWidth="1" outlineLevel="1" collapsed="1"/>
    <col min="40" max="43" width="9.875" style="516" hidden="1" customWidth="1" outlineLevel="1"/>
    <col min="44" max="44" width="9.875" style="516" hidden="1" customWidth="1" outlineLevel="1" collapsed="1"/>
    <col min="45" max="48" width="9.875" style="516" hidden="1" customWidth="1" outlineLevel="1"/>
    <col min="49" max="49" width="9.875" style="516" hidden="1" customWidth="1" outlineLevel="1" collapsed="1"/>
    <col min="50" max="53" width="9.875" style="516" hidden="1" customWidth="1" outlineLevel="1"/>
    <col min="54" max="54" width="9.875" style="516" hidden="1" customWidth="1" outlineLevel="1" collapsed="1"/>
    <col min="55" max="58" width="9.875" style="516" hidden="1" customWidth="1" outlineLevel="1"/>
    <col min="59" max="59" width="9.875" style="516" hidden="1" customWidth="1" outlineLevel="1" collapsed="1"/>
    <col min="60" max="63" width="9.875" style="516" hidden="1" customWidth="1" outlineLevel="1"/>
    <col min="64" max="64" width="9.875" style="516" hidden="1" customWidth="1" outlineLevel="1" collapsed="1"/>
    <col min="65" max="68" width="9.875" style="516" hidden="1" customWidth="1" outlineLevel="1"/>
    <col min="69" max="70" width="9.875" style="516" hidden="1" customWidth="1" outlineLevel="1" collapsed="1"/>
    <col min="71" max="73" width="9.875" style="516" hidden="1" customWidth="1" outlineLevel="1"/>
    <col min="74" max="74" width="9.875" style="516" hidden="1" customWidth="1" outlineLevel="1" collapsed="1"/>
    <col min="75" max="78" width="9.875" style="516" hidden="1" customWidth="1" outlineLevel="1"/>
    <col min="79" max="79" width="9.875" style="516" hidden="1" customWidth="1" outlineLevel="1" collapsed="1"/>
    <col min="80" max="83" width="9.875" style="516" hidden="1" customWidth="1" outlineLevel="1"/>
    <col min="84" max="85" width="9.875" style="516" hidden="1" customWidth="1" outlineLevel="1" collapsed="1"/>
    <col min="86" max="88" width="9.875" style="516" hidden="1" customWidth="1" outlineLevel="1"/>
    <col min="89" max="89" width="9.875" style="516" customWidth="1" collapsed="1"/>
    <col min="90" max="93" width="9.875" style="516" hidden="1" customWidth="1" outlineLevel="1"/>
    <col min="94" max="94" width="9.875" style="516" customWidth="1" collapsed="1"/>
    <col min="95" max="97" width="9.875" style="516" hidden="1" customWidth="1" outlineLevel="1"/>
    <col min="98" max="98" width="10.625" style="516" hidden="1" customWidth="1" outlineLevel="1"/>
    <col min="99" max="99" width="9.875" style="516" customWidth="1" collapsed="1"/>
    <col min="100" max="100" width="10.75" style="516" hidden="1" customWidth="1" outlineLevel="1"/>
    <col min="101" max="103" width="10" style="516" hidden="1" customWidth="1" outlineLevel="1"/>
    <col min="104" max="104" width="9.875" style="516" customWidth="1" collapsed="1"/>
    <col min="105" max="108" width="10" style="516" hidden="1" customWidth="1" outlineLevel="1"/>
    <col min="109" max="109" width="9.875" style="516" customWidth="1" collapsed="1"/>
    <col min="110" max="113" width="10" style="516" hidden="1" customWidth="1" outlineLevel="1"/>
    <col min="114" max="114" width="9.875" style="516" customWidth="1" collapsed="1"/>
    <col min="115" max="118" width="10" style="516" customWidth="1" outlineLevel="1"/>
    <col min="119" max="119" width="9.875" style="516" customWidth="1"/>
    <col min="120" max="123" width="10" style="516" hidden="1" customWidth="1" outlineLevel="1"/>
    <col min="124" max="126" width="9.875" style="516" customWidth="1" collapsed="1"/>
    <col min="127" max="16384" width="9.875" style="516"/>
  </cols>
  <sheetData>
    <row r="1" spans="1:126" s="518" customFormat="1" ht="12.9" customHeight="1" thickBot="1">
      <c r="B1" s="519"/>
      <c r="CL1" s="935"/>
      <c r="CM1" s="936"/>
      <c r="CN1" s="937"/>
      <c r="CO1" s="937"/>
      <c r="CP1" s="936"/>
      <c r="CQ1" s="937"/>
      <c r="CR1" s="937"/>
      <c r="CS1" s="938"/>
      <c r="CT1" s="937"/>
      <c r="CU1" s="936"/>
      <c r="CV1" s="937"/>
      <c r="CW1" s="937"/>
      <c r="CX1" s="937"/>
      <c r="CY1" s="937"/>
      <c r="CZ1" s="936"/>
      <c r="DA1" s="937"/>
      <c r="DB1" s="937"/>
      <c r="DC1" s="937"/>
      <c r="DD1" s="937"/>
      <c r="DF1" s="517"/>
      <c r="DG1" s="517"/>
      <c r="DH1" s="517"/>
      <c r="DI1" s="520"/>
      <c r="DK1" s="517"/>
      <c r="DL1" s="517"/>
      <c r="DM1" s="517"/>
      <c r="DN1" s="520"/>
      <c r="DP1" s="517"/>
      <c r="DQ1" s="517"/>
      <c r="DR1" s="517"/>
      <c r="DS1" s="520"/>
    </row>
    <row r="2" spans="1:126" customFormat="1" ht="6" customHeight="1">
      <c r="A2" s="296"/>
      <c r="B2" s="522"/>
      <c r="C2" s="129"/>
      <c r="D2" s="129"/>
      <c r="E2" s="129"/>
      <c r="F2" s="129"/>
      <c r="G2" s="129"/>
      <c r="H2" s="129"/>
      <c r="I2" s="129"/>
      <c r="J2" s="131"/>
      <c r="K2" s="131"/>
      <c r="L2" s="131"/>
      <c r="M2" s="131"/>
      <c r="N2" s="129"/>
      <c r="O2" s="131"/>
      <c r="P2" s="131"/>
      <c r="Q2" s="131"/>
      <c r="R2" s="131"/>
      <c r="S2" s="129"/>
      <c r="T2" s="131"/>
      <c r="U2" s="131"/>
      <c r="V2" s="131"/>
      <c r="W2" s="131"/>
      <c r="X2" s="129"/>
      <c r="Y2" s="131"/>
      <c r="Z2" s="131"/>
      <c r="AA2" s="131"/>
      <c r="AB2" s="131"/>
      <c r="AC2" s="129"/>
      <c r="AD2" s="131"/>
      <c r="AE2" s="131"/>
      <c r="AF2" s="131"/>
      <c r="AG2" s="131"/>
      <c r="AH2" s="129"/>
      <c r="AI2" s="131"/>
      <c r="AJ2" s="131"/>
      <c r="AK2" s="131"/>
      <c r="AL2" s="131"/>
      <c r="AM2" s="129"/>
      <c r="AN2" s="131"/>
      <c r="AO2" s="131"/>
      <c r="AP2" s="131"/>
      <c r="AQ2" s="131"/>
      <c r="AR2" s="129"/>
      <c r="AS2" s="131"/>
      <c r="AT2" s="131"/>
      <c r="AU2" s="131"/>
      <c r="AV2" s="131"/>
      <c r="AW2" s="129"/>
      <c r="AX2" s="131"/>
      <c r="AY2" s="131"/>
      <c r="AZ2" s="131"/>
      <c r="BA2" s="131"/>
      <c r="BB2" s="129"/>
      <c r="BC2" s="131"/>
      <c r="BD2" s="131"/>
      <c r="BE2" s="131"/>
      <c r="BF2" s="131"/>
      <c r="BG2" s="129"/>
      <c r="BH2" s="131"/>
      <c r="BI2" s="221"/>
      <c r="BJ2" s="131"/>
      <c r="BK2" s="131"/>
      <c r="BL2" s="129"/>
      <c r="BM2" s="131"/>
      <c r="BN2" s="221"/>
      <c r="BO2" s="131"/>
      <c r="BP2" s="131"/>
      <c r="BQ2" s="129"/>
      <c r="BR2" s="131"/>
      <c r="BS2" s="221"/>
      <c r="BT2" s="131"/>
      <c r="BU2" s="131"/>
      <c r="BV2" s="129"/>
      <c r="BW2" s="221"/>
      <c r="BX2" s="394"/>
      <c r="BY2" s="221"/>
      <c r="BZ2" s="131"/>
      <c r="CA2" s="129"/>
      <c r="CB2" s="131"/>
      <c r="CC2" s="221"/>
      <c r="CD2" s="131"/>
      <c r="CE2" s="131"/>
      <c r="CF2" s="129"/>
      <c r="CG2" s="221"/>
      <c r="CH2" s="221"/>
      <c r="CI2" s="221"/>
      <c r="CJ2" s="221"/>
      <c r="CK2" s="129"/>
      <c r="CL2" s="221"/>
      <c r="CM2" s="221"/>
      <c r="CN2" s="221"/>
      <c r="CO2" s="221"/>
      <c r="CP2" s="129"/>
      <c r="CQ2" s="221"/>
      <c r="CR2" s="221"/>
      <c r="CS2" s="221"/>
      <c r="CT2" s="221"/>
      <c r="CU2" s="864"/>
      <c r="CV2" s="221"/>
      <c r="CW2" s="221"/>
      <c r="CX2" s="221"/>
      <c r="CY2" s="221"/>
      <c r="CZ2" s="864"/>
      <c r="DA2" s="221"/>
      <c r="DB2" s="221"/>
      <c r="DC2" s="221"/>
      <c r="DD2" s="221"/>
      <c r="DE2" s="864"/>
      <c r="DF2" s="221"/>
      <c r="DG2" s="221"/>
      <c r="DH2" s="221"/>
      <c r="DI2" s="221"/>
      <c r="DJ2" s="129"/>
      <c r="DK2" s="221"/>
      <c r="DL2" s="221"/>
      <c r="DM2" s="221"/>
      <c r="DN2" s="221"/>
      <c r="DO2" s="129"/>
      <c r="DP2" s="221"/>
      <c r="DQ2" s="221"/>
      <c r="DR2" s="221"/>
      <c r="DS2" s="221"/>
      <c r="DT2" s="129"/>
      <c r="DU2" s="129"/>
      <c r="DV2" s="129"/>
    </row>
    <row r="3" spans="1:126" s="116" customFormat="1" ht="15.6">
      <c r="A3" s="126"/>
      <c r="B3" s="120" t="s">
        <v>384</v>
      </c>
      <c r="C3" s="368">
        <v>1997</v>
      </c>
      <c r="D3" s="368">
        <v>1998</v>
      </c>
      <c r="E3" s="368">
        <v>1999</v>
      </c>
      <c r="F3" s="368">
        <v>2000</v>
      </c>
      <c r="G3" s="368">
        <v>2001</v>
      </c>
      <c r="H3" s="368">
        <v>2002</v>
      </c>
      <c r="I3" s="368">
        <v>2003</v>
      </c>
      <c r="J3" s="210" t="s">
        <v>0</v>
      </c>
      <c r="K3" s="210" t="s">
        <v>1</v>
      </c>
      <c r="L3" s="210" t="s">
        <v>2</v>
      </c>
      <c r="M3" s="210" t="s">
        <v>3</v>
      </c>
      <c r="N3" s="368">
        <v>2004</v>
      </c>
      <c r="O3" s="210" t="s">
        <v>4</v>
      </c>
      <c r="P3" s="210" t="s">
        <v>5</v>
      </c>
      <c r="Q3" s="210" t="s">
        <v>6</v>
      </c>
      <c r="R3" s="210" t="s">
        <v>7</v>
      </c>
      <c r="S3" s="368">
        <v>2005</v>
      </c>
      <c r="T3" s="210" t="s">
        <v>8</v>
      </c>
      <c r="U3" s="210" t="s">
        <v>9</v>
      </c>
      <c r="V3" s="210" t="s">
        <v>10</v>
      </c>
      <c r="W3" s="210" t="s">
        <v>11</v>
      </c>
      <c r="X3" s="368">
        <v>2006</v>
      </c>
      <c r="Y3" s="210" t="s">
        <v>12</v>
      </c>
      <c r="Z3" s="210" t="s">
        <v>13</v>
      </c>
      <c r="AA3" s="210" t="s">
        <v>14</v>
      </c>
      <c r="AB3" s="210" t="s">
        <v>15</v>
      </c>
      <c r="AC3" s="368">
        <v>2007</v>
      </c>
      <c r="AD3" s="210" t="s">
        <v>16</v>
      </c>
      <c r="AE3" s="210" t="s">
        <v>17</v>
      </c>
      <c r="AF3" s="210" t="s">
        <v>18</v>
      </c>
      <c r="AG3" s="210" t="s">
        <v>19</v>
      </c>
      <c r="AH3" s="368">
        <v>2008</v>
      </c>
      <c r="AI3" s="210" t="s">
        <v>20</v>
      </c>
      <c r="AJ3" s="210" t="s">
        <v>21</v>
      </c>
      <c r="AK3" s="210" t="s">
        <v>22</v>
      </c>
      <c r="AL3" s="210" t="s">
        <v>179</v>
      </c>
      <c r="AM3" s="368">
        <v>2009</v>
      </c>
      <c r="AN3" s="210" t="s">
        <v>139</v>
      </c>
      <c r="AO3" s="118" t="s">
        <v>180</v>
      </c>
      <c r="AP3" s="118" t="s">
        <v>181</v>
      </c>
      <c r="AQ3" s="118" t="s">
        <v>182</v>
      </c>
      <c r="AR3" s="368">
        <v>2010</v>
      </c>
      <c r="AS3" s="118" t="s">
        <v>183</v>
      </c>
      <c r="AT3" s="118" t="s">
        <v>184</v>
      </c>
      <c r="AU3" s="118" t="s">
        <v>185</v>
      </c>
      <c r="AV3" s="118" t="s">
        <v>186</v>
      </c>
      <c r="AW3" s="368">
        <v>2011</v>
      </c>
      <c r="AX3" s="118" t="s">
        <v>210</v>
      </c>
      <c r="AY3" s="118" t="s">
        <v>211</v>
      </c>
      <c r="AZ3" s="118" t="s">
        <v>212</v>
      </c>
      <c r="BA3" s="118" t="s">
        <v>213</v>
      </c>
      <c r="BB3" s="368">
        <v>2012</v>
      </c>
      <c r="BC3" s="118" t="s">
        <v>217</v>
      </c>
      <c r="BD3" s="118" t="s">
        <v>218</v>
      </c>
      <c r="BE3" s="118" t="s">
        <v>219</v>
      </c>
      <c r="BF3" s="118" t="s">
        <v>220</v>
      </c>
      <c r="BG3" s="368">
        <v>2013</v>
      </c>
      <c r="BH3" s="118" t="s">
        <v>221</v>
      </c>
      <c r="BI3" s="118" t="s">
        <v>222</v>
      </c>
      <c r="BJ3" s="118" t="s">
        <v>223</v>
      </c>
      <c r="BK3" s="118" t="s">
        <v>224</v>
      </c>
      <c r="BL3" s="368">
        <v>2014</v>
      </c>
      <c r="BM3" s="118" t="s">
        <v>265</v>
      </c>
      <c r="BN3" s="118" t="s">
        <v>266</v>
      </c>
      <c r="BO3" s="118" t="s">
        <v>267</v>
      </c>
      <c r="BP3" s="118" t="s">
        <v>268</v>
      </c>
      <c r="BQ3" s="368">
        <v>2015</v>
      </c>
      <c r="BR3" s="118" t="s">
        <v>269</v>
      </c>
      <c r="BS3" s="118" t="s">
        <v>270</v>
      </c>
      <c r="BT3" s="118" t="s">
        <v>271</v>
      </c>
      <c r="BU3" s="118" t="s">
        <v>272</v>
      </c>
      <c r="BV3" s="368">
        <v>2016</v>
      </c>
      <c r="BW3" s="118" t="s">
        <v>273</v>
      </c>
      <c r="BX3" s="118" t="s">
        <v>274</v>
      </c>
      <c r="BY3" s="118" t="s">
        <v>275</v>
      </c>
      <c r="BZ3" s="118" t="s">
        <v>276</v>
      </c>
      <c r="CA3" s="368">
        <v>2017</v>
      </c>
      <c r="CB3" s="118" t="s">
        <v>327</v>
      </c>
      <c r="CC3" s="118" t="s">
        <v>328</v>
      </c>
      <c r="CD3" s="118" t="s">
        <v>329</v>
      </c>
      <c r="CE3" s="118" t="s">
        <v>330</v>
      </c>
      <c r="CF3" s="368">
        <v>2018</v>
      </c>
      <c r="CG3" s="118" t="s">
        <v>341</v>
      </c>
      <c r="CH3" s="118" t="s">
        <v>342</v>
      </c>
      <c r="CI3" s="118" t="s">
        <v>343</v>
      </c>
      <c r="CJ3" s="118" t="s">
        <v>344</v>
      </c>
      <c r="CK3" s="368">
        <v>2019</v>
      </c>
      <c r="CL3" s="121" t="s">
        <v>346</v>
      </c>
      <c r="CM3" s="121" t="s">
        <v>347</v>
      </c>
      <c r="CN3" s="121" t="s">
        <v>348</v>
      </c>
      <c r="CO3" s="121" t="s">
        <v>349</v>
      </c>
      <c r="CP3" s="368">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8">
        <v>2024</v>
      </c>
      <c r="DK3" s="121" t="s">
        <v>461</v>
      </c>
      <c r="DL3" s="121" t="s">
        <v>462</v>
      </c>
      <c r="DM3" s="121" t="s">
        <v>543</v>
      </c>
      <c r="DN3" s="121" t="s">
        <v>544</v>
      </c>
      <c r="DO3" s="368">
        <v>2025</v>
      </c>
      <c r="DP3" s="121" t="s">
        <v>649</v>
      </c>
      <c r="DQ3" s="121" t="s">
        <v>650</v>
      </c>
      <c r="DR3" s="121" t="s">
        <v>651</v>
      </c>
      <c r="DS3" s="121" t="s">
        <v>652</v>
      </c>
      <c r="DT3" s="368">
        <v>2026</v>
      </c>
      <c r="DU3" s="368">
        <v>2027</v>
      </c>
      <c r="DV3" s="368">
        <v>2028</v>
      </c>
    </row>
    <row r="4" spans="1:126" s="187" customFormat="1" ht="13.2">
      <c r="A4" s="116"/>
      <c r="B4" s="184" t="s">
        <v>81</v>
      </c>
      <c r="C4" s="185">
        <v>35795</v>
      </c>
      <c r="D4" s="185">
        <v>36160</v>
      </c>
      <c r="E4" s="185">
        <v>36525</v>
      </c>
      <c r="F4" s="185">
        <v>36891</v>
      </c>
      <c r="G4" s="185">
        <v>37256</v>
      </c>
      <c r="H4" s="185">
        <v>37621</v>
      </c>
      <c r="I4" s="185">
        <v>37986</v>
      </c>
      <c r="J4" s="211">
        <v>38077</v>
      </c>
      <c r="K4" s="211">
        <v>38168</v>
      </c>
      <c r="L4" s="211">
        <v>38260</v>
      </c>
      <c r="M4" s="211">
        <v>38352</v>
      </c>
      <c r="N4" s="185">
        <v>38352</v>
      </c>
      <c r="O4" s="211">
        <v>38442</v>
      </c>
      <c r="P4" s="211">
        <v>38533</v>
      </c>
      <c r="Q4" s="211">
        <v>38625</v>
      </c>
      <c r="R4" s="211">
        <v>38717</v>
      </c>
      <c r="S4" s="185">
        <v>38717</v>
      </c>
      <c r="T4" s="211">
        <v>38807</v>
      </c>
      <c r="U4" s="211">
        <v>38898</v>
      </c>
      <c r="V4" s="211">
        <v>38990</v>
      </c>
      <c r="W4" s="211">
        <v>39082</v>
      </c>
      <c r="X4" s="185">
        <v>39082</v>
      </c>
      <c r="Y4" s="211">
        <v>39172</v>
      </c>
      <c r="Z4" s="211">
        <v>39263</v>
      </c>
      <c r="AA4" s="211">
        <v>39355</v>
      </c>
      <c r="AB4" s="211">
        <v>39447</v>
      </c>
      <c r="AC4" s="185">
        <v>39447</v>
      </c>
      <c r="AD4" s="211">
        <v>39538</v>
      </c>
      <c r="AE4" s="211">
        <v>39629</v>
      </c>
      <c r="AF4" s="211">
        <v>39721</v>
      </c>
      <c r="AG4" s="211">
        <v>39813</v>
      </c>
      <c r="AH4" s="185">
        <v>39813</v>
      </c>
      <c r="AI4" s="211">
        <v>39903</v>
      </c>
      <c r="AJ4" s="211">
        <v>39994</v>
      </c>
      <c r="AK4" s="211">
        <v>40086</v>
      </c>
      <c r="AL4" s="212">
        <v>40178</v>
      </c>
      <c r="AM4" s="185">
        <v>40178</v>
      </c>
      <c r="AN4" s="211">
        <v>40268</v>
      </c>
      <c r="AO4" s="211">
        <v>40359</v>
      </c>
      <c r="AP4" s="211">
        <v>40451</v>
      </c>
      <c r="AQ4" s="212">
        <v>40543</v>
      </c>
      <c r="AR4" s="185">
        <v>40543</v>
      </c>
      <c r="AS4" s="211">
        <v>40633</v>
      </c>
      <c r="AT4" s="211">
        <v>40724</v>
      </c>
      <c r="AU4" s="211">
        <v>40816</v>
      </c>
      <c r="AV4" s="212">
        <v>40908</v>
      </c>
      <c r="AW4" s="185">
        <v>40908</v>
      </c>
      <c r="AX4" s="211">
        <v>40999</v>
      </c>
      <c r="AY4" s="211">
        <v>41090</v>
      </c>
      <c r="AZ4" s="211">
        <v>41182</v>
      </c>
      <c r="BA4" s="212">
        <v>41274</v>
      </c>
      <c r="BB4" s="185">
        <v>41274</v>
      </c>
      <c r="BC4" s="211">
        <v>41364</v>
      </c>
      <c r="BD4" s="211">
        <v>41455</v>
      </c>
      <c r="BE4" s="211">
        <v>41547</v>
      </c>
      <c r="BF4" s="212">
        <v>41639</v>
      </c>
      <c r="BG4" s="185">
        <v>41639</v>
      </c>
      <c r="BH4" s="211">
        <v>41729</v>
      </c>
      <c r="BI4" s="373">
        <v>41820</v>
      </c>
      <c r="BJ4" s="211">
        <v>41912</v>
      </c>
      <c r="BK4" s="212">
        <v>42004</v>
      </c>
      <c r="BL4" s="185">
        <v>42004</v>
      </c>
      <c r="BM4" s="211">
        <v>42094</v>
      </c>
      <c r="BN4" s="373">
        <v>42185</v>
      </c>
      <c r="BO4" s="211">
        <v>42277</v>
      </c>
      <c r="BP4" s="212">
        <v>42369</v>
      </c>
      <c r="BQ4" s="185">
        <v>42369</v>
      </c>
      <c r="BR4" s="211">
        <v>42460</v>
      </c>
      <c r="BS4" s="373">
        <v>42551</v>
      </c>
      <c r="BT4" s="211">
        <v>42643</v>
      </c>
      <c r="BU4" s="212">
        <v>42735</v>
      </c>
      <c r="BV4" s="185">
        <v>42735</v>
      </c>
      <c r="BW4" s="373">
        <v>42825</v>
      </c>
      <c r="BX4" s="373">
        <v>42916</v>
      </c>
      <c r="BY4" s="373">
        <v>43008</v>
      </c>
      <c r="BZ4" s="212">
        <v>43100</v>
      </c>
      <c r="CA4" s="185">
        <v>43100</v>
      </c>
      <c r="CB4" s="211">
        <v>43190</v>
      </c>
      <c r="CC4" s="373">
        <v>43281</v>
      </c>
      <c r="CD4" s="211">
        <v>43373</v>
      </c>
      <c r="CE4" s="212">
        <v>43465</v>
      </c>
      <c r="CF4" s="185">
        <v>43465</v>
      </c>
      <c r="CG4" s="211">
        <v>43555</v>
      </c>
      <c r="CH4" s="373">
        <v>43646</v>
      </c>
      <c r="CI4" s="211">
        <v>43738</v>
      </c>
      <c r="CJ4" s="212">
        <v>43830</v>
      </c>
      <c r="CK4" s="185">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85">
        <v>45657</v>
      </c>
      <c r="DK4" s="123">
        <v>45747</v>
      </c>
      <c r="DL4" s="123">
        <v>45838</v>
      </c>
      <c r="DM4" s="123">
        <v>45930</v>
      </c>
      <c r="DN4" s="123">
        <v>46022</v>
      </c>
      <c r="DO4" s="185">
        <v>46022</v>
      </c>
      <c r="DP4" s="123">
        <v>46112</v>
      </c>
      <c r="DQ4" s="123">
        <v>46203</v>
      </c>
      <c r="DR4" s="123">
        <v>46295</v>
      </c>
      <c r="DS4" s="123">
        <v>46387</v>
      </c>
      <c r="DT4" s="185">
        <v>46387</v>
      </c>
      <c r="DU4" s="185">
        <v>46752</v>
      </c>
      <c r="DV4" s="185">
        <v>47118</v>
      </c>
    </row>
    <row r="5" spans="1:126" s="289" customFormat="1" ht="13.2">
      <c r="A5" s="283"/>
      <c r="B5" s="284"/>
      <c r="C5" s="285"/>
      <c r="D5" s="285"/>
      <c r="E5" s="285"/>
      <c r="F5" s="285"/>
      <c r="G5" s="285"/>
      <c r="H5" s="285"/>
      <c r="I5" s="285"/>
      <c r="J5" s="287"/>
      <c r="K5" s="287"/>
      <c r="L5" s="287"/>
      <c r="M5" s="287"/>
      <c r="N5" s="285"/>
      <c r="O5" s="287"/>
      <c r="P5" s="287"/>
      <c r="Q5" s="287"/>
      <c r="R5" s="287"/>
      <c r="S5" s="285"/>
      <c r="T5" s="287"/>
      <c r="U5" s="287"/>
      <c r="V5" s="287"/>
      <c r="W5" s="287"/>
      <c r="X5" s="285"/>
      <c r="Y5" s="287"/>
      <c r="Z5" s="287"/>
      <c r="AA5" s="287"/>
      <c r="AB5" s="287"/>
      <c r="AC5" s="285"/>
      <c r="AD5" s="287"/>
      <c r="AE5" s="287"/>
      <c r="AF5" s="287"/>
      <c r="AG5" s="287"/>
      <c r="AH5" s="285"/>
      <c r="AI5" s="287"/>
      <c r="AJ5" s="287"/>
      <c r="AK5" s="287"/>
      <c r="AL5" s="288"/>
      <c r="AM5" s="285"/>
      <c r="AN5" s="287"/>
      <c r="AO5" s="287"/>
      <c r="AP5" s="287"/>
      <c r="AQ5" s="288"/>
      <c r="AR5" s="285"/>
      <c r="AS5" s="287"/>
      <c r="AT5" s="287"/>
      <c r="AU5" s="287"/>
      <c r="AV5" s="288"/>
      <c r="AW5" s="285"/>
      <c r="AX5" s="287"/>
      <c r="AY5" s="287"/>
      <c r="AZ5" s="287"/>
      <c r="BA5" s="288"/>
      <c r="BB5" s="285"/>
      <c r="BC5" s="287"/>
      <c r="BD5" s="287"/>
      <c r="BE5" s="287"/>
      <c r="BF5" s="288"/>
      <c r="BG5" s="285"/>
      <c r="BH5" s="287"/>
      <c r="BI5" s="374"/>
      <c r="BJ5" s="287"/>
      <c r="BK5" s="288"/>
      <c r="BL5" s="285"/>
      <c r="BM5" s="287"/>
      <c r="BN5" s="374"/>
      <c r="BO5" s="287"/>
      <c r="BP5" s="288"/>
      <c r="BQ5" s="285"/>
      <c r="BR5" s="287"/>
      <c r="BS5" s="374"/>
      <c r="BT5" s="287"/>
      <c r="BU5" s="288"/>
      <c r="BV5" s="285"/>
      <c r="BW5" s="374"/>
      <c r="BX5" s="426"/>
      <c r="BY5" s="374"/>
      <c r="BZ5" s="288"/>
      <c r="CA5" s="285"/>
      <c r="CB5" s="287"/>
      <c r="CC5" s="374"/>
      <c r="CD5" s="287"/>
      <c r="CE5" s="288"/>
      <c r="CF5" s="285"/>
      <c r="CG5" s="374"/>
      <c r="CH5" s="374"/>
      <c r="CI5" s="374"/>
      <c r="CJ5" s="374"/>
      <c r="CK5" s="285"/>
      <c r="CL5" s="374"/>
      <c r="CM5" s="374"/>
      <c r="CN5" s="374"/>
      <c r="CO5" s="374"/>
      <c r="CP5" s="285"/>
      <c r="CQ5" s="374"/>
      <c r="CR5" s="374"/>
      <c r="CS5" s="374"/>
      <c r="CT5" s="374"/>
      <c r="CU5" s="865"/>
      <c r="CV5" s="374"/>
      <c r="CW5" s="374"/>
      <c r="CX5" s="374"/>
      <c r="CY5" s="374"/>
      <c r="CZ5" s="865"/>
      <c r="DA5" s="374"/>
      <c r="DB5" s="374"/>
      <c r="DC5" s="374"/>
      <c r="DD5" s="374"/>
      <c r="DE5" s="865"/>
      <c r="DF5" s="374"/>
      <c r="DG5" s="374"/>
      <c r="DH5" s="374"/>
      <c r="DI5" s="374"/>
      <c r="DJ5" s="285"/>
      <c r="DK5" s="374"/>
      <c r="DL5" s="374"/>
      <c r="DM5" s="374"/>
      <c r="DN5" s="374"/>
      <c r="DO5" s="285"/>
      <c r="DP5" s="374"/>
      <c r="DQ5" s="374"/>
      <c r="DR5" s="374"/>
      <c r="DS5" s="374"/>
      <c r="DT5" s="285"/>
      <c r="DU5" s="285"/>
      <c r="DV5" s="285"/>
    </row>
    <row r="6" spans="1:126" s="521" customFormat="1" ht="12.9" customHeight="1">
      <c r="B6" s="526" t="s">
        <v>451</v>
      </c>
      <c r="C6" s="523"/>
      <c r="D6" s="523"/>
      <c r="E6" s="523"/>
      <c r="F6" s="523"/>
      <c r="G6" s="523"/>
      <c r="H6" s="523"/>
      <c r="I6" s="523"/>
      <c r="J6" s="524"/>
      <c r="K6" s="524"/>
      <c r="L6" s="524"/>
      <c r="M6" s="525"/>
      <c r="N6" s="523"/>
      <c r="O6" s="524"/>
      <c r="P6" s="524"/>
      <c r="Q6" s="524"/>
      <c r="R6" s="525"/>
      <c r="S6" s="523"/>
      <c r="T6" s="524"/>
      <c r="U6" s="524"/>
      <c r="V6" s="524"/>
      <c r="W6" s="525"/>
      <c r="X6" s="523"/>
      <c r="Y6" s="524"/>
      <c r="Z6" s="524"/>
      <c r="AA6" s="524"/>
      <c r="AB6" s="525"/>
      <c r="AC6" s="523"/>
      <c r="AD6" s="524"/>
      <c r="AE6" s="524"/>
      <c r="AF6" s="524"/>
      <c r="AG6" s="525"/>
      <c r="AH6" s="523"/>
      <c r="AI6" s="524"/>
      <c r="AJ6" s="524"/>
      <c r="AK6" s="524"/>
      <c r="AL6" s="525"/>
      <c r="AM6" s="523"/>
      <c r="AN6" s="524"/>
      <c r="AO6" s="524"/>
      <c r="AP6" s="524"/>
      <c r="AQ6" s="525"/>
      <c r="AR6" s="523"/>
      <c r="AS6" s="524"/>
      <c r="AT6" s="524"/>
      <c r="AU6" s="524"/>
      <c r="AV6" s="525"/>
      <c r="AW6" s="523"/>
      <c r="AX6" s="524"/>
      <c r="AY6" s="524"/>
      <c r="AZ6" s="524"/>
      <c r="BA6" s="525"/>
      <c r="BB6" s="523"/>
      <c r="BC6" s="524"/>
      <c r="BD6" s="524"/>
      <c r="BE6" s="524"/>
      <c r="BF6" s="525"/>
      <c r="BG6" s="523"/>
      <c r="BH6" s="524"/>
      <c r="BI6" s="524"/>
      <c r="BJ6" s="524"/>
      <c r="BK6" s="525"/>
      <c r="BL6" s="523"/>
      <c r="BM6" s="524"/>
      <c r="BN6" s="524"/>
      <c r="BO6" s="524"/>
      <c r="BP6" s="525"/>
      <c r="BQ6" s="523"/>
      <c r="BR6" s="524"/>
      <c r="BS6" s="524"/>
      <c r="BT6" s="524"/>
      <c r="BU6" s="525"/>
      <c r="BV6" s="523"/>
      <c r="BW6" s="524"/>
      <c r="BX6" s="524"/>
      <c r="BY6" s="524"/>
      <c r="BZ6" s="525"/>
      <c r="CA6" s="523"/>
      <c r="CB6" s="524"/>
      <c r="CC6" s="524"/>
      <c r="CD6" s="524"/>
      <c r="CE6" s="525"/>
      <c r="CF6" s="523"/>
      <c r="CG6" s="524"/>
      <c r="CH6" s="524"/>
      <c r="CI6" s="524"/>
      <c r="CJ6" s="525"/>
      <c r="CK6" s="523"/>
      <c r="CL6" s="524"/>
      <c r="CM6" s="524"/>
      <c r="CN6" s="524"/>
      <c r="CO6" s="525"/>
      <c r="CP6" s="523"/>
      <c r="CQ6" s="524"/>
      <c r="CR6" s="524"/>
      <c r="CS6" s="524"/>
      <c r="CT6" s="525"/>
      <c r="CU6" s="523"/>
      <c r="CV6" s="524"/>
      <c r="CW6" s="524"/>
      <c r="CX6" s="524"/>
      <c r="CY6" s="525"/>
      <c r="CZ6" s="523"/>
      <c r="DA6" s="524"/>
      <c r="DB6" s="524"/>
      <c r="DC6" s="524"/>
      <c r="DD6" s="525"/>
      <c r="DE6" s="523"/>
      <c r="DF6" s="524"/>
      <c r="DG6" s="524"/>
      <c r="DH6" s="524"/>
      <c r="DI6" s="525"/>
      <c r="DJ6" s="523"/>
      <c r="DK6" s="524"/>
      <c r="DL6" s="524"/>
      <c r="DM6" s="524"/>
      <c r="DN6" s="525"/>
      <c r="DO6" s="523"/>
      <c r="DP6" s="524"/>
      <c r="DQ6" s="524"/>
      <c r="DR6" s="524"/>
      <c r="DS6" s="525"/>
      <c r="DT6" s="523"/>
      <c r="DU6" s="523"/>
      <c r="DV6" s="523"/>
    </row>
    <row r="7" spans="1:126" s="527" customFormat="1" ht="12.9" customHeight="1">
      <c r="B7" s="528" t="s">
        <v>442</v>
      </c>
      <c r="C7" s="529"/>
      <c r="D7" s="529"/>
      <c r="E7" s="529"/>
      <c r="F7" s="529"/>
      <c r="G7" s="529"/>
      <c r="H7" s="529">
        <v>11141</v>
      </c>
      <c r="I7" s="529">
        <v>10509</v>
      </c>
      <c r="J7" s="528"/>
      <c r="K7" s="528"/>
      <c r="L7" s="528"/>
      <c r="M7" s="528"/>
      <c r="N7" s="529">
        <v>11094</v>
      </c>
      <c r="O7" s="528"/>
      <c r="P7" s="528"/>
      <c r="Q7" s="528"/>
      <c r="R7" s="528"/>
      <c r="S7" s="529">
        <v>11826</v>
      </c>
      <c r="T7" s="530">
        <v>3010</v>
      </c>
      <c r="U7" s="530">
        <v>3287</v>
      </c>
      <c r="V7" s="530">
        <v>3133</v>
      </c>
      <c r="W7" s="530">
        <v>3587</v>
      </c>
      <c r="X7" s="529">
        <f>T7+U7+V7+W7</f>
        <v>13017</v>
      </c>
      <c r="Y7" s="530">
        <v>3451</v>
      </c>
      <c r="Z7" s="530">
        <v>4079</v>
      </c>
      <c r="AA7" s="530">
        <v>4240</v>
      </c>
      <c r="AB7" s="530">
        <v>5049</v>
      </c>
      <c r="AC7" s="529">
        <f>Y7+Z7+AA7+AB7</f>
        <v>16819</v>
      </c>
      <c r="AD7" s="528">
        <v>4320</v>
      </c>
      <c r="AE7" s="528">
        <v>4923</v>
      </c>
      <c r="AF7" s="528">
        <v>4841</v>
      </c>
      <c r="AG7" s="528">
        <v>5155</v>
      </c>
      <c r="AH7" s="529">
        <f>AD7+AE7+AF7+AG7</f>
        <v>19239</v>
      </c>
      <c r="AI7" s="528">
        <v>4817</v>
      </c>
      <c r="AJ7" s="528">
        <v>4619</v>
      </c>
      <c r="AK7" s="528">
        <v>4542</v>
      </c>
      <c r="AL7" s="528">
        <v>4750</v>
      </c>
      <c r="AM7" s="529">
        <f>AI7+AJ7+AK7+AL7</f>
        <v>18728</v>
      </c>
      <c r="AN7" s="528">
        <v>4165</v>
      </c>
      <c r="AO7" s="528">
        <v>4259</v>
      </c>
      <c r="AP7" s="528">
        <v>4391</v>
      </c>
      <c r="AQ7" s="528">
        <v>4804</v>
      </c>
      <c r="AR7" s="529">
        <f>AN7+AO7+AP7+AQ7</f>
        <v>17619</v>
      </c>
      <c r="AS7" s="528">
        <v>4368</v>
      </c>
      <c r="AT7" s="528">
        <v>4732</v>
      </c>
      <c r="AU7" s="528">
        <v>4835</v>
      </c>
      <c r="AV7" s="528">
        <v>4924</v>
      </c>
      <c r="AW7" s="529">
        <f>AS7+AT7+AU7+AV7</f>
        <v>18859</v>
      </c>
      <c r="AX7" s="528">
        <v>4891</v>
      </c>
      <c r="AY7" s="528">
        <v>4855</v>
      </c>
      <c r="AZ7" s="528">
        <v>4781</v>
      </c>
      <c r="BA7" s="528">
        <v>5467</v>
      </c>
      <c r="BB7" s="529">
        <f>AX7+AY7+AZ7+BA7</f>
        <v>19994</v>
      </c>
      <c r="BC7" s="528">
        <v>5074</v>
      </c>
      <c r="BD7" s="528">
        <v>5303</v>
      </c>
      <c r="BE7" s="528">
        <v>5364</v>
      </c>
      <c r="BF7" s="528">
        <v>6170</v>
      </c>
      <c r="BG7" s="529">
        <f>BC7+BD7+BE7+BF7</f>
        <v>21911</v>
      </c>
      <c r="BH7" s="528">
        <v>5778</v>
      </c>
      <c r="BI7" s="528">
        <v>6090</v>
      </c>
      <c r="BJ7" s="528">
        <v>5698</v>
      </c>
      <c r="BK7" s="528">
        <v>6424</v>
      </c>
      <c r="BL7" s="529">
        <f>BH7+BI7+BJ7+BK7</f>
        <v>23990</v>
      </c>
      <c r="BM7" s="528">
        <v>5674</v>
      </c>
      <c r="BN7" s="528">
        <v>6252</v>
      </c>
      <c r="BO7" s="528">
        <v>6001</v>
      </c>
      <c r="BP7" s="528">
        <v>6734</v>
      </c>
      <c r="BQ7" s="529">
        <f>BM7+BN7+BO7+BP7</f>
        <v>24661</v>
      </c>
      <c r="BR7" s="528">
        <v>6262</v>
      </c>
      <c r="BS7" s="528">
        <v>6511</v>
      </c>
      <c r="BT7" s="528">
        <v>6300</v>
      </c>
      <c r="BU7" s="528">
        <v>7187</v>
      </c>
      <c r="BV7" s="529">
        <f>BR7+BS7+BT7+BU7</f>
        <v>26260</v>
      </c>
      <c r="BW7" s="528">
        <v>6673</v>
      </c>
      <c r="BX7" s="528">
        <v>6634</v>
      </c>
      <c r="BY7" s="528">
        <v>6696</v>
      </c>
      <c r="BZ7" s="531">
        <v>7010</v>
      </c>
      <c r="CA7" s="529">
        <f>BW7+BX7+BY7+BZ7</f>
        <v>27013</v>
      </c>
      <c r="CB7" s="531">
        <v>7112</v>
      </c>
      <c r="CC7" s="531">
        <v>7519</v>
      </c>
      <c r="CD7" s="531">
        <v>7480</v>
      </c>
      <c r="CE7" s="531">
        <v>8456</v>
      </c>
      <c r="CF7" s="529">
        <f>CB7+CC7+CD7+CE7</f>
        <v>30567</v>
      </c>
      <c r="CG7" s="531">
        <v>7954</v>
      </c>
      <c r="CH7" s="531">
        <v>7877</v>
      </c>
      <c r="CI7" s="531">
        <v>8109</v>
      </c>
      <c r="CJ7" s="531">
        <v>8936</v>
      </c>
      <c r="CK7" s="529">
        <f>CG7+CH7+CI7+CJ7</f>
        <v>32876</v>
      </c>
      <c r="CL7" s="831">
        <v>6892</v>
      </c>
      <c r="CM7" s="831">
        <v>4384</v>
      </c>
      <c r="CN7" s="831">
        <v>4919</v>
      </c>
      <c r="CO7" s="831">
        <v>5847</v>
      </c>
      <c r="CP7" s="529">
        <f>CL7+CM7+CN7+CO7</f>
        <v>22042</v>
      </c>
      <c r="CQ7" s="831">
        <v>4992</v>
      </c>
      <c r="CR7" s="831">
        <v>4840</v>
      </c>
      <c r="CS7" s="831">
        <v>5398</v>
      </c>
      <c r="CT7" s="831">
        <v>6080</v>
      </c>
      <c r="CU7" s="529">
        <f>CQ7+CR7+CS7+CT7</f>
        <v>21310</v>
      </c>
      <c r="CV7" s="831">
        <v>5603</v>
      </c>
      <c r="CW7" s="831">
        <v>6127</v>
      </c>
      <c r="CX7" s="831">
        <v>6705</v>
      </c>
      <c r="CY7" s="831">
        <v>7615</v>
      </c>
      <c r="CZ7" s="529">
        <f>CV7+CW7+CX7+CY7</f>
        <v>26050</v>
      </c>
      <c r="DA7" s="831">
        <v>6981</v>
      </c>
      <c r="DB7" s="831">
        <v>7860</v>
      </c>
      <c r="DC7" s="831">
        <v>8409</v>
      </c>
      <c r="DD7" s="831">
        <v>8520</v>
      </c>
      <c r="DE7" s="529">
        <f>DA7+DB7+DC7+DD7</f>
        <v>31770</v>
      </c>
      <c r="DF7" s="528">
        <f>SEG!DF11</f>
        <v>8076</v>
      </c>
      <c r="DG7" s="528">
        <f>SEG!DG11</f>
        <v>8223</v>
      </c>
      <c r="DH7" s="528">
        <f>SEG!DH11</f>
        <v>8943</v>
      </c>
      <c r="DI7" s="528">
        <f>SEG!DI11</f>
        <v>9879</v>
      </c>
      <c r="DJ7" s="529">
        <f>SEG!DJ11</f>
        <v>35121</v>
      </c>
      <c r="DK7" s="528">
        <f>SEG!DK11</f>
        <v>9001</v>
      </c>
      <c r="DL7" s="528">
        <f>SEG!DL11</f>
        <v>10151</v>
      </c>
      <c r="DM7" s="528">
        <f>SEG!DM11</f>
        <v>10065.86</v>
      </c>
      <c r="DN7" s="528">
        <f>SEG!DN11</f>
        <v>10605.49</v>
      </c>
      <c r="DO7" s="529">
        <f>SEG!DO11</f>
        <v>39823.350000000006</v>
      </c>
      <c r="DP7" s="528">
        <f>SEG!DP11</f>
        <v>10243.379999999999</v>
      </c>
      <c r="DQ7" s="528">
        <f>SEG!DQ11</f>
        <v>11474.75</v>
      </c>
      <c r="DR7" s="528">
        <f>SEG!DR11</f>
        <v>11360.270600000002</v>
      </c>
      <c r="DS7" s="528">
        <f>SEG!DS11</f>
        <v>12246.250067999999</v>
      </c>
      <c r="DT7" s="529">
        <f>SEG!DT11</f>
        <v>45324.650668000002</v>
      </c>
      <c r="DU7" s="529">
        <f>SEG!DU11</f>
        <v>49201.10449810799</v>
      </c>
      <c r="DV7" s="529">
        <f>SEG!DV11</f>
        <v>52592.721880817982</v>
      </c>
    </row>
    <row r="8" spans="1:126" s="532" customFormat="1" ht="12.9" customHeight="1">
      <c r="B8" s="533" t="s">
        <v>443</v>
      </c>
      <c r="C8" s="534"/>
      <c r="D8" s="534"/>
      <c r="E8" s="534"/>
      <c r="F8" s="534"/>
      <c r="G8" s="534"/>
      <c r="H8" s="534">
        <f>H7-H9</f>
        <v>9081</v>
      </c>
      <c r="I8" s="534">
        <f>I7-I9</f>
        <v>8361</v>
      </c>
      <c r="J8" s="533"/>
      <c r="K8" s="533"/>
      <c r="L8" s="533"/>
      <c r="M8" s="533"/>
      <c r="N8" s="534">
        <f>N7-N9</f>
        <v>8856.1</v>
      </c>
      <c r="O8" s="533"/>
      <c r="P8" s="533"/>
      <c r="Q8" s="533"/>
      <c r="R8" s="533"/>
      <c r="S8" s="534">
        <f t="shared" ref="S8:CD8" si="0">S7-S9</f>
        <v>9301</v>
      </c>
      <c r="T8" s="535">
        <f t="shared" si="0"/>
        <v>2383</v>
      </c>
      <c r="U8" s="535">
        <f t="shared" si="0"/>
        <v>2559</v>
      </c>
      <c r="V8" s="536">
        <f t="shared" si="0"/>
        <v>2444</v>
      </c>
      <c r="W8" s="535">
        <f t="shared" si="0"/>
        <v>2829</v>
      </c>
      <c r="X8" s="534">
        <f t="shared" si="0"/>
        <v>10215</v>
      </c>
      <c r="Y8" s="535">
        <f t="shared" si="0"/>
        <v>2752</v>
      </c>
      <c r="Z8" s="535">
        <f t="shared" si="0"/>
        <v>3251</v>
      </c>
      <c r="AA8" s="535">
        <f t="shared" si="0"/>
        <v>3504</v>
      </c>
      <c r="AB8" s="535">
        <f t="shared" si="0"/>
        <v>4090</v>
      </c>
      <c r="AC8" s="534">
        <f t="shared" si="0"/>
        <v>13597</v>
      </c>
      <c r="AD8" s="533">
        <f t="shared" si="0"/>
        <v>3545</v>
      </c>
      <c r="AE8" s="533">
        <f t="shared" si="0"/>
        <v>4009</v>
      </c>
      <c r="AF8" s="533">
        <f t="shared" si="0"/>
        <v>4007</v>
      </c>
      <c r="AG8" s="533">
        <f t="shared" si="0"/>
        <v>3994</v>
      </c>
      <c r="AH8" s="534">
        <f t="shared" si="0"/>
        <v>15555</v>
      </c>
      <c r="AI8" s="533">
        <f t="shared" si="0"/>
        <v>3737</v>
      </c>
      <c r="AJ8" s="533">
        <f t="shared" si="0"/>
        <v>3696</v>
      </c>
      <c r="AK8" s="533">
        <f t="shared" si="0"/>
        <v>3572</v>
      </c>
      <c r="AL8" s="533">
        <f t="shared" si="0"/>
        <v>3800</v>
      </c>
      <c r="AM8" s="534">
        <f t="shared" si="0"/>
        <v>14805</v>
      </c>
      <c r="AN8" s="533">
        <f t="shared" si="0"/>
        <v>3366</v>
      </c>
      <c r="AO8" s="533">
        <f t="shared" si="0"/>
        <v>3380</v>
      </c>
      <c r="AP8" s="533">
        <f t="shared" si="0"/>
        <v>3586</v>
      </c>
      <c r="AQ8" s="533">
        <f t="shared" si="0"/>
        <v>3983</v>
      </c>
      <c r="AR8" s="534">
        <f t="shared" si="0"/>
        <v>14315</v>
      </c>
      <c r="AS8" s="533">
        <f t="shared" si="0"/>
        <v>3527</v>
      </c>
      <c r="AT8" s="533">
        <f t="shared" si="0"/>
        <v>3773</v>
      </c>
      <c r="AU8" s="533">
        <f t="shared" si="0"/>
        <v>3973</v>
      </c>
      <c r="AV8" s="533">
        <f t="shared" si="0"/>
        <v>4074</v>
      </c>
      <c r="AW8" s="534">
        <f t="shared" si="0"/>
        <v>15347</v>
      </c>
      <c r="AX8" s="533">
        <f t="shared" si="0"/>
        <v>4029</v>
      </c>
      <c r="AY8" s="533">
        <f t="shared" si="0"/>
        <v>3933</v>
      </c>
      <c r="AZ8" s="533">
        <f t="shared" si="0"/>
        <v>3857</v>
      </c>
      <c r="BA8" s="533">
        <f t="shared" si="0"/>
        <v>4428</v>
      </c>
      <c r="BB8" s="534">
        <f t="shared" si="0"/>
        <v>16247</v>
      </c>
      <c r="BC8" s="533">
        <f t="shared" si="0"/>
        <v>4138</v>
      </c>
      <c r="BD8" s="533">
        <f t="shared" si="0"/>
        <v>4236</v>
      </c>
      <c r="BE8" s="533">
        <f t="shared" si="0"/>
        <v>4273</v>
      </c>
      <c r="BF8" s="533">
        <f t="shared" si="0"/>
        <v>4919</v>
      </c>
      <c r="BG8" s="534">
        <f t="shared" si="0"/>
        <v>17566</v>
      </c>
      <c r="BH8" s="533">
        <f t="shared" si="0"/>
        <v>4663</v>
      </c>
      <c r="BI8" s="533">
        <f t="shared" si="0"/>
        <v>4893</v>
      </c>
      <c r="BJ8" s="533">
        <f t="shared" si="0"/>
        <v>4434</v>
      </c>
      <c r="BK8" s="533">
        <f t="shared" si="0"/>
        <v>5027</v>
      </c>
      <c r="BL8" s="534">
        <f t="shared" si="0"/>
        <v>19017</v>
      </c>
      <c r="BM8" s="533">
        <f t="shared" si="0"/>
        <v>4360</v>
      </c>
      <c r="BN8" s="533">
        <f t="shared" si="0"/>
        <v>4983</v>
      </c>
      <c r="BO8" s="533">
        <f t="shared" si="0"/>
        <v>4648</v>
      </c>
      <c r="BP8" s="533">
        <f t="shared" si="0"/>
        <v>5163</v>
      </c>
      <c r="BQ8" s="534">
        <f t="shared" si="0"/>
        <v>19154</v>
      </c>
      <c r="BR8" s="533">
        <f t="shared" si="0"/>
        <v>4738</v>
      </c>
      <c r="BS8" s="533">
        <f t="shared" si="0"/>
        <v>5163</v>
      </c>
      <c r="BT8" s="533">
        <f t="shared" si="0"/>
        <v>4806</v>
      </c>
      <c r="BU8" s="533">
        <f t="shared" si="0"/>
        <v>5438</v>
      </c>
      <c r="BV8" s="534">
        <f t="shared" si="0"/>
        <v>20145</v>
      </c>
      <c r="BW8" s="533">
        <f t="shared" si="0"/>
        <v>5400</v>
      </c>
      <c r="BX8" s="533">
        <f t="shared" si="0"/>
        <v>5260</v>
      </c>
      <c r="BY8" s="533">
        <f t="shared" si="0"/>
        <v>5361</v>
      </c>
      <c r="BZ8" s="533">
        <f t="shared" si="0"/>
        <v>5622</v>
      </c>
      <c r="CA8" s="534">
        <f t="shared" si="0"/>
        <v>21643</v>
      </c>
      <c r="CB8" s="533">
        <f t="shared" si="0"/>
        <v>5509</v>
      </c>
      <c r="CC8" s="533">
        <f t="shared" si="0"/>
        <v>6044</v>
      </c>
      <c r="CD8" s="533">
        <f t="shared" si="0"/>
        <v>5815</v>
      </c>
      <c r="CE8" s="533">
        <f t="shared" ref="CE8:DJ8" si="1">CE7-CE9</f>
        <v>6733</v>
      </c>
      <c r="CF8" s="534">
        <f t="shared" si="1"/>
        <v>24101</v>
      </c>
      <c r="CG8" s="533">
        <f t="shared" si="1"/>
        <v>6294</v>
      </c>
      <c r="CH8" s="533">
        <f t="shared" si="1"/>
        <v>6492</v>
      </c>
      <c r="CI8" s="533">
        <f t="shared" si="1"/>
        <v>6391</v>
      </c>
      <c r="CJ8" s="533">
        <f t="shared" si="1"/>
        <v>6880</v>
      </c>
      <c r="CK8" s="534">
        <f t="shared" si="1"/>
        <v>26057</v>
      </c>
      <c r="CL8" s="533">
        <f t="shared" si="1"/>
        <v>5889.0722610800003</v>
      </c>
      <c r="CM8" s="533">
        <f t="shared" si="1"/>
        <v>5070.998099299999</v>
      </c>
      <c r="CN8" s="533">
        <f t="shared" si="1"/>
        <v>4569.4446840599985</v>
      </c>
      <c r="CO8" s="533">
        <f t="shared" si="1"/>
        <v>5283.2061712499999</v>
      </c>
      <c r="CP8" s="534">
        <f t="shared" si="1"/>
        <v>20812.721215689999</v>
      </c>
      <c r="CQ8" s="533">
        <f t="shared" si="1"/>
        <v>4351</v>
      </c>
      <c r="CR8" s="533">
        <f t="shared" si="1"/>
        <v>4664</v>
      </c>
      <c r="CS8" s="533">
        <f t="shared" si="1"/>
        <v>4552</v>
      </c>
      <c r="CT8" s="533">
        <f t="shared" si="1"/>
        <v>4862</v>
      </c>
      <c r="CU8" s="534">
        <f t="shared" si="1"/>
        <v>18429</v>
      </c>
      <c r="CV8" s="533">
        <f t="shared" si="1"/>
        <v>4695</v>
      </c>
      <c r="CW8" s="533">
        <f t="shared" si="1"/>
        <v>4979</v>
      </c>
      <c r="CX8" s="533">
        <f t="shared" si="1"/>
        <v>5421</v>
      </c>
      <c r="CY8" s="533">
        <f t="shared" si="1"/>
        <v>6181</v>
      </c>
      <c r="CZ8" s="534">
        <f t="shared" si="1"/>
        <v>21276</v>
      </c>
      <c r="DA8" s="533">
        <f t="shared" si="1"/>
        <v>5655</v>
      </c>
      <c r="DB8" s="533">
        <f t="shared" si="1"/>
        <v>6381</v>
      </c>
      <c r="DC8" s="533">
        <f t="shared" si="1"/>
        <v>6697</v>
      </c>
      <c r="DD8" s="533">
        <f t="shared" si="1"/>
        <v>6922</v>
      </c>
      <c r="DE8" s="534">
        <f t="shared" si="1"/>
        <v>25655</v>
      </c>
      <c r="DF8" s="533">
        <f t="shared" si="1"/>
        <v>6526</v>
      </c>
      <c r="DG8" s="533">
        <f t="shared" ref="DG8:DH8" si="2">DG7-DG9</f>
        <v>6326</v>
      </c>
      <c r="DH8" s="533">
        <f t="shared" si="2"/>
        <v>7125</v>
      </c>
      <c r="DI8" s="533">
        <f t="shared" si="1"/>
        <v>7891</v>
      </c>
      <c r="DJ8" s="534">
        <f t="shared" si="1"/>
        <v>27868</v>
      </c>
      <c r="DK8" s="533">
        <f t="shared" ref="DK8:DN8" si="3">DK7-DK9</f>
        <v>6855</v>
      </c>
      <c r="DL8" s="533">
        <f t="shared" si="3"/>
        <v>7814</v>
      </c>
      <c r="DM8" s="533">
        <f t="shared" si="3"/>
        <v>7924.6331200000004</v>
      </c>
      <c r="DN8" s="533">
        <f t="shared" si="3"/>
        <v>8567.5668000000005</v>
      </c>
      <c r="DO8" s="534">
        <f t="shared" ref="DO8:DS8" si="4">DO7-DO9</f>
        <v>31161.199920000006</v>
      </c>
      <c r="DP8" s="533">
        <f t="shared" si="4"/>
        <v>7864.5231599999988</v>
      </c>
      <c r="DQ8" s="533">
        <f t="shared" si="4"/>
        <v>8879.0342500000006</v>
      </c>
      <c r="DR8" s="533">
        <f t="shared" si="4"/>
        <v>8857.3674798000011</v>
      </c>
      <c r="DS8" s="533">
        <f t="shared" si="4"/>
        <v>9657.4058677279991</v>
      </c>
      <c r="DT8" s="534">
        <f t="shared" ref="DT8" si="5">DT7-DT9</f>
        <v>35258.330757528005</v>
      </c>
      <c r="DU8" s="534">
        <f t="shared" ref="DU8:DV8" si="6">DU7-DU9</f>
        <v>38163.806422291265</v>
      </c>
      <c r="DV8" s="534">
        <f t="shared" si="6"/>
        <v>40686.573166414717</v>
      </c>
    </row>
    <row r="9" spans="1:126" s="537" customFormat="1" ht="12.9" customHeight="1">
      <c r="B9" s="528" t="s">
        <v>385</v>
      </c>
      <c r="C9" s="538"/>
      <c r="D9" s="538"/>
      <c r="E9" s="538"/>
      <c r="F9" s="538"/>
      <c r="G9" s="538"/>
      <c r="H9" s="538">
        <v>2060</v>
      </c>
      <c r="I9" s="538">
        <v>2148</v>
      </c>
      <c r="J9" s="531"/>
      <c r="K9" s="531"/>
      <c r="L9" s="531"/>
      <c r="M9" s="531"/>
      <c r="N9" s="538">
        <v>2237.9</v>
      </c>
      <c r="O9" s="531"/>
      <c r="P9" s="531"/>
      <c r="Q9" s="531"/>
      <c r="R9" s="531"/>
      <c r="S9" s="538">
        <v>2525</v>
      </c>
      <c r="T9" s="531">
        <v>627</v>
      </c>
      <c r="U9" s="531">
        <v>728</v>
      </c>
      <c r="V9" s="531">
        <v>689</v>
      </c>
      <c r="W9" s="531">
        <v>758</v>
      </c>
      <c r="X9" s="538">
        <f>W9+V9+U9+T9</f>
        <v>2802</v>
      </c>
      <c r="Y9" s="531">
        <v>699</v>
      </c>
      <c r="Z9" s="531">
        <v>828</v>
      </c>
      <c r="AA9" s="531">
        <v>736</v>
      </c>
      <c r="AB9" s="531">
        <v>959</v>
      </c>
      <c r="AC9" s="538">
        <f>AB9+AA9+Z9+Y9</f>
        <v>3222</v>
      </c>
      <c r="AD9" s="531">
        <v>775</v>
      </c>
      <c r="AE9" s="531">
        <v>914</v>
      </c>
      <c r="AF9" s="531">
        <v>834</v>
      </c>
      <c r="AG9" s="531">
        <v>1161</v>
      </c>
      <c r="AH9" s="538">
        <f>AD9+AE9+AF9+AG9</f>
        <v>3684</v>
      </c>
      <c r="AI9" s="531">
        <f>1080</f>
        <v>1080</v>
      </c>
      <c r="AJ9" s="531">
        <v>923</v>
      </c>
      <c r="AK9" s="531">
        <v>970</v>
      </c>
      <c r="AL9" s="531">
        <v>950</v>
      </c>
      <c r="AM9" s="538">
        <f>AI9+AJ9+AK9+AL9</f>
        <v>3923</v>
      </c>
      <c r="AN9" s="531">
        <v>799</v>
      </c>
      <c r="AO9" s="531">
        <v>879</v>
      </c>
      <c r="AP9" s="531">
        <v>805</v>
      </c>
      <c r="AQ9" s="531">
        <v>821</v>
      </c>
      <c r="AR9" s="538">
        <f>AN9+AO9+AP9+AQ9</f>
        <v>3304</v>
      </c>
      <c r="AS9" s="531">
        <v>841</v>
      </c>
      <c r="AT9" s="531">
        <v>959</v>
      </c>
      <c r="AU9" s="531">
        <v>862</v>
      </c>
      <c r="AV9" s="531">
        <v>850</v>
      </c>
      <c r="AW9" s="538">
        <f>AS9+AT9+AU9+AV9</f>
        <v>3512</v>
      </c>
      <c r="AX9" s="531">
        <v>862</v>
      </c>
      <c r="AY9" s="531">
        <v>922</v>
      </c>
      <c r="AZ9" s="531">
        <v>924</v>
      </c>
      <c r="BA9" s="531">
        <v>1039</v>
      </c>
      <c r="BB9" s="538">
        <f>AX9+AY9+AZ9+BA9</f>
        <v>3747</v>
      </c>
      <c r="BC9" s="531">
        <v>936</v>
      </c>
      <c r="BD9" s="531">
        <f>BD11+BD10</f>
        <v>1067</v>
      </c>
      <c r="BE9" s="531">
        <f>BE11+BE10</f>
        <v>1091</v>
      </c>
      <c r="BF9" s="531">
        <f>BF11+BF10</f>
        <v>1251</v>
      </c>
      <c r="BG9" s="538">
        <f>BC9+BD9+BE9+BF9</f>
        <v>4345</v>
      </c>
      <c r="BH9" s="531">
        <f>BH11+BH10</f>
        <v>1115</v>
      </c>
      <c r="BI9" s="531">
        <f>BI11+BI10</f>
        <v>1197</v>
      </c>
      <c r="BJ9" s="531">
        <f>BJ11+BJ10</f>
        <v>1264</v>
      </c>
      <c r="BK9" s="531">
        <f>BK11+BK10</f>
        <v>1397</v>
      </c>
      <c r="BL9" s="538">
        <f>BH9+BI9+BJ9+BK9</f>
        <v>4973</v>
      </c>
      <c r="BM9" s="531">
        <f>BM11+BM10</f>
        <v>1314</v>
      </c>
      <c r="BN9" s="531">
        <f>BN11+BN10</f>
        <v>1269</v>
      </c>
      <c r="BO9" s="531">
        <f>BO11+BO10</f>
        <v>1353</v>
      </c>
      <c r="BP9" s="531">
        <f>BP11+BP10</f>
        <v>1571</v>
      </c>
      <c r="BQ9" s="538">
        <f>BM9+BN9+BO9+BP9</f>
        <v>5507</v>
      </c>
      <c r="BR9" s="531">
        <f>BR11+BR10</f>
        <v>1524</v>
      </c>
      <c r="BS9" s="531">
        <f>BS11+BS10</f>
        <v>1348</v>
      </c>
      <c r="BT9" s="531">
        <f>BT11+BT10</f>
        <v>1494</v>
      </c>
      <c r="BU9" s="531">
        <f>BU11+BU10</f>
        <v>1749</v>
      </c>
      <c r="BV9" s="538">
        <f>BR9+BS9+BT9+BU9</f>
        <v>6115</v>
      </c>
      <c r="BW9" s="531">
        <f>BW11+BW10</f>
        <v>1273</v>
      </c>
      <c r="BX9" s="531">
        <f>BX11+BX10</f>
        <v>1374</v>
      </c>
      <c r="BY9" s="531">
        <f>BY11+BY10</f>
        <v>1335</v>
      </c>
      <c r="BZ9" s="531">
        <f>BZ11+BZ10</f>
        <v>1388</v>
      </c>
      <c r="CA9" s="538">
        <f>BW9+BX9+BY9+BZ9</f>
        <v>5370</v>
      </c>
      <c r="CB9" s="531">
        <f>CB11+CB10</f>
        <v>1603</v>
      </c>
      <c r="CC9" s="531">
        <f>CC11+CC10</f>
        <v>1475</v>
      </c>
      <c r="CD9" s="531">
        <f>CD11+CD10</f>
        <v>1665</v>
      </c>
      <c r="CE9" s="531">
        <f>CE11+CE10</f>
        <v>1723</v>
      </c>
      <c r="CF9" s="538">
        <f>CB9+CC9+CD9+CE9</f>
        <v>6466</v>
      </c>
      <c r="CG9" s="531">
        <f>CG11+CG10</f>
        <v>1660</v>
      </c>
      <c r="CH9" s="531">
        <f>CH11+CH10</f>
        <v>1385</v>
      </c>
      <c r="CI9" s="531">
        <f>CI11+CI10</f>
        <v>1718</v>
      </c>
      <c r="CJ9" s="531">
        <v>2056</v>
      </c>
      <c r="CK9" s="538">
        <f>CG9+CH9+CI9+CJ9</f>
        <v>6819</v>
      </c>
      <c r="CL9" s="832">
        <v>1002.9277389199993</v>
      </c>
      <c r="CM9" s="832">
        <v>-686.99809929999935</v>
      </c>
      <c r="CN9" s="832">
        <v>349.55531594000149</v>
      </c>
      <c r="CO9" s="832">
        <v>563.79382874999988</v>
      </c>
      <c r="CP9" s="538">
        <f>CL9+CM9+CN9+CO9</f>
        <v>1229.2787843100014</v>
      </c>
      <c r="CQ9" s="832">
        <v>641</v>
      </c>
      <c r="CR9" s="832">
        <v>176</v>
      </c>
      <c r="CS9" s="832">
        <v>846</v>
      </c>
      <c r="CT9" s="832">
        <v>1218</v>
      </c>
      <c r="CU9" s="538">
        <f>SUM(CQ9:CT9)</f>
        <v>2881</v>
      </c>
      <c r="CV9" s="832">
        <v>908</v>
      </c>
      <c r="CW9" s="832">
        <v>1148</v>
      </c>
      <c r="CX9" s="832">
        <v>1284</v>
      </c>
      <c r="CY9" s="832">
        <v>1434</v>
      </c>
      <c r="CZ9" s="538">
        <f>SUM(CV9:CY9)</f>
        <v>4774</v>
      </c>
      <c r="DA9" s="832">
        <v>1326</v>
      </c>
      <c r="DB9" s="832">
        <v>1479</v>
      </c>
      <c r="DC9" s="832">
        <v>1712</v>
      </c>
      <c r="DD9" s="832">
        <v>1598</v>
      </c>
      <c r="DE9" s="538">
        <f>SUM(DA9:DD9)</f>
        <v>6115</v>
      </c>
      <c r="DF9" s="539">
        <f>DF20*DF7</f>
        <v>1550</v>
      </c>
      <c r="DG9" s="539">
        <f>DG20*DG7</f>
        <v>1897</v>
      </c>
      <c r="DH9" s="539">
        <f>DH20*DH7</f>
        <v>1818</v>
      </c>
      <c r="DI9" s="539">
        <f>DI20*DI7</f>
        <v>1988</v>
      </c>
      <c r="DJ9" s="538">
        <f t="shared" ref="DJ9:DJ11" si="7">SUM(DF9:DI9)</f>
        <v>7253</v>
      </c>
      <c r="DK9" s="539">
        <f>DK20*DK7</f>
        <v>2146</v>
      </c>
      <c r="DL9" s="539">
        <f>DL20*DL7</f>
        <v>2337</v>
      </c>
      <c r="DM9" s="539">
        <f>DM20*DM7</f>
        <v>2141.2268800000002</v>
      </c>
      <c r="DN9" s="539">
        <f>DN20*DN7</f>
        <v>2037.9231999999997</v>
      </c>
      <c r="DO9" s="538">
        <f>SUM(DK9:DN9)</f>
        <v>8662.1500799999994</v>
      </c>
      <c r="DP9" s="539">
        <f>DP20*DP7</f>
        <v>2378.8568399999999</v>
      </c>
      <c r="DQ9" s="539">
        <f>DQ20*DQ7</f>
        <v>2595.7157500000003</v>
      </c>
      <c r="DR9" s="539">
        <f>DR20*DR7</f>
        <v>2502.9031202000006</v>
      </c>
      <c r="DS9" s="539">
        <f>DS20*DS7</f>
        <v>2588.8442002719999</v>
      </c>
      <c r="DT9" s="538">
        <f>SUM(DP9:DS9)</f>
        <v>10066.319910472001</v>
      </c>
      <c r="DU9" s="538">
        <f t="shared" ref="DU9:DV9" si="8">DU20*DU7</f>
        <v>11037.298075816725</v>
      </c>
      <c r="DV9" s="538">
        <f t="shared" si="8"/>
        <v>11906.148714403262</v>
      </c>
    </row>
    <row r="10" spans="1:126" s="532" customFormat="1" ht="12.9" customHeight="1">
      <c r="B10" s="540" t="s">
        <v>386</v>
      </c>
      <c r="C10" s="541"/>
      <c r="D10" s="541"/>
      <c r="E10" s="541"/>
      <c r="F10" s="541"/>
      <c r="G10" s="541"/>
      <c r="H10" s="541"/>
      <c r="I10" s="541"/>
      <c r="J10" s="542"/>
      <c r="K10" s="542"/>
      <c r="L10" s="542"/>
      <c r="M10" s="543"/>
      <c r="N10" s="541"/>
      <c r="O10" s="542"/>
      <c r="P10" s="542"/>
      <c r="Q10" s="542"/>
      <c r="R10" s="543"/>
      <c r="S10" s="541"/>
      <c r="T10" s="542"/>
      <c r="U10" s="542"/>
      <c r="V10" s="542"/>
      <c r="W10" s="543"/>
      <c r="X10" s="541"/>
      <c r="Y10" s="542"/>
      <c r="Z10" s="542"/>
      <c r="AA10" s="542"/>
      <c r="AB10" s="543"/>
      <c r="AC10" s="541"/>
      <c r="AD10" s="542"/>
      <c r="AE10" s="542"/>
      <c r="AF10" s="542"/>
      <c r="AG10" s="543"/>
      <c r="AH10" s="541"/>
      <c r="AI10" s="542"/>
      <c r="AJ10" s="542"/>
      <c r="AK10" s="542"/>
      <c r="AL10" s="543"/>
      <c r="AM10" s="541"/>
      <c r="AN10" s="542"/>
      <c r="AO10" s="542"/>
      <c r="AP10" s="542"/>
      <c r="AQ10" s="543"/>
      <c r="AR10" s="541"/>
      <c r="AS10" s="542"/>
      <c r="AT10" s="542"/>
      <c r="AU10" s="542"/>
      <c r="AV10" s="543"/>
      <c r="AW10" s="541"/>
      <c r="AX10" s="542"/>
      <c r="AY10" s="542"/>
      <c r="AZ10" s="542"/>
      <c r="BA10" s="543"/>
      <c r="BB10" s="541"/>
      <c r="BC10" s="544"/>
      <c r="BD10" s="544"/>
      <c r="BE10" s="544"/>
      <c r="BF10" s="544"/>
      <c r="BG10" s="541">
        <v>0</v>
      </c>
      <c r="BH10" s="545">
        <v>0</v>
      </c>
      <c r="BI10" s="545">
        <v>0</v>
      </c>
      <c r="BJ10" s="545">
        <v>0</v>
      </c>
      <c r="BK10" s="545">
        <v>0</v>
      </c>
      <c r="BL10" s="541">
        <v>0</v>
      </c>
      <c r="BM10" s="545">
        <v>0</v>
      </c>
      <c r="BN10" s="545">
        <v>0</v>
      </c>
      <c r="BO10" s="545">
        <v>0</v>
      </c>
      <c r="BP10" s="545">
        <v>0</v>
      </c>
      <c r="BQ10" s="541">
        <v>0</v>
      </c>
      <c r="BR10" s="545">
        <v>0</v>
      </c>
      <c r="BS10" s="545">
        <v>0</v>
      </c>
      <c r="BT10" s="545">
        <v>0</v>
      </c>
      <c r="BU10" s="545">
        <v>0</v>
      </c>
      <c r="BV10" s="541">
        <f>BR10+BS10+BT10+BU10</f>
        <v>0</v>
      </c>
      <c r="BW10" s="545">
        <v>0</v>
      </c>
      <c r="BX10" s="545">
        <v>0</v>
      </c>
      <c r="BY10" s="545">
        <v>0</v>
      </c>
      <c r="BZ10" s="545">
        <v>0</v>
      </c>
      <c r="CA10" s="541">
        <f>BW10+BX10+BY10+BZ10</f>
        <v>0</v>
      </c>
      <c r="CB10" s="545">
        <v>0</v>
      </c>
      <c r="CC10" s="545">
        <v>0</v>
      </c>
      <c r="CD10" s="545">
        <v>0</v>
      </c>
      <c r="CE10" s="545">
        <v>0</v>
      </c>
      <c r="CF10" s="541">
        <f>CB10+CC10+CD10+CE10</f>
        <v>0</v>
      </c>
      <c r="CG10" s="545">
        <v>0</v>
      </c>
      <c r="CH10" s="545">
        <v>0</v>
      </c>
      <c r="CI10" s="545">
        <v>0</v>
      </c>
      <c r="CJ10" s="545">
        <v>0</v>
      </c>
      <c r="CK10" s="541">
        <f>CG10+CH10+CI10+CJ10</f>
        <v>0</v>
      </c>
      <c r="CL10" s="833">
        <v>-2.3717349999999868</v>
      </c>
      <c r="CM10" s="849">
        <v>-7.0771482100000185</v>
      </c>
      <c r="CN10" s="849">
        <v>-6.201729880000002</v>
      </c>
      <c r="CO10" s="855">
        <v>-10.008452780000001</v>
      </c>
      <c r="CP10" s="541">
        <f>SUM(CL10:CO10)</f>
        <v>-25.659065870000006</v>
      </c>
      <c r="CQ10" s="533">
        <v>0</v>
      </c>
      <c r="CR10" s="533">
        <v>0</v>
      </c>
      <c r="CS10" s="533">
        <v>0</v>
      </c>
      <c r="CT10" s="533">
        <v>0</v>
      </c>
      <c r="CU10" s="541">
        <f>SUM(CQ10:CT10)</f>
        <v>0</v>
      </c>
      <c r="CV10" s="533">
        <v>0</v>
      </c>
      <c r="CW10" s="533">
        <v>0</v>
      </c>
      <c r="CX10" s="533">
        <v>0</v>
      </c>
      <c r="CY10" s="533">
        <v>0</v>
      </c>
      <c r="CZ10" s="541">
        <f>SUM(CV10:CY10)</f>
        <v>0</v>
      </c>
      <c r="DA10" s="533">
        <v>0</v>
      </c>
      <c r="DB10" s="533">
        <v>0</v>
      </c>
      <c r="DC10" s="533">
        <v>0</v>
      </c>
      <c r="DD10" s="533">
        <v>0</v>
      </c>
      <c r="DE10" s="541">
        <f>SUM(DA10:DD10)</f>
        <v>0</v>
      </c>
      <c r="DF10" s="546">
        <v>0</v>
      </c>
      <c r="DG10" s="546">
        <v>0</v>
      </c>
      <c r="DH10" s="546">
        <v>0</v>
      </c>
      <c r="DI10" s="546">
        <v>0</v>
      </c>
      <c r="DJ10" s="541">
        <f t="shared" si="7"/>
        <v>0</v>
      </c>
      <c r="DK10" s="546">
        <v>0</v>
      </c>
      <c r="DL10" s="546">
        <v>0</v>
      </c>
      <c r="DM10" s="546">
        <v>0</v>
      </c>
      <c r="DN10" s="546">
        <v>0</v>
      </c>
      <c r="DO10" s="541">
        <f>SUM(DG10:DJ10)</f>
        <v>0</v>
      </c>
      <c r="DP10" s="546">
        <v>0</v>
      </c>
      <c r="DQ10" s="546">
        <v>0</v>
      </c>
      <c r="DR10" s="546">
        <v>0</v>
      </c>
      <c r="DS10" s="546">
        <v>0</v>
      </c>
      <c r="DT10" s="541">
        <f>SUM(DL10:DO10)</f>
        <v>0</v>
      </c>
      <c r="DU10" s="541">
        <f>SUM(DI10:DT10)</f>
        <v>0</v>
      </c>
      <c r="DV10" s="541">
        <f>SUM(DJ10:DU10)</f>
        <v>0</v>
      </c>
    </row>
    <row r="11" spans="1:126" s="547" customFormat="1" ht="12.9" customHeight="1">
      <c r="B11" s="548" t="s">
        <v>387</v>
      </c>
      <c r="C11" s="549"/>
      <c r="D11" s="549"/>
      <c r="E11" s="549"/>
      <c r="F11" s="549"/>
      <c r="G11" s="549"/>
      <c r="H11" s="549">
        <f>H9-H10</f>
        <v>2060</v>
      </c>
      <c r="I11" s="549">
        <f>I9-I10</f>
        <v>2148</v>
      </c>
      <c r="J11" s="550"/>
      <c r="K11" s="550"/>
      <c r="L11" s="550"/>
      <c r="M11" s="550"/>
      <c r="N11" s="549">
        <f>N9-N10</f>
        <v>2237.9</v>
      </c>
      <c r="O11" s="550"/>
      <c r="P11" s="550"/>
      <c r="Q11" s="550"/>
      <c r="R11" s="550"/>
      <c r="S11" s="549">
        <f t="shared" ref="S11:BC11" si="9">S9-S10</f>
        <v>2525</v>
      </c>
      <c r="T11" s="551">
        <f t="shared" si="9"/>
        <v>627</v>
      </c>
      <c r="U11" s="551">
        <f t="shared" si="9"/>
        <v>728</v>
      </c>
      <c r="V11" s="551">
        <f t="shared" si="9"/>
        <v>689</v>
      </c>
      <c r="W11" s="551">
        <f t="shared" si="9"/>
        <v>758</v>
      </c>
      <c r="X11" s="549">
        <f t="shared" si="9"/>
        <v>2802</v>
      </c>
      <c r="Y11" s="551">
        <f t="shared" si="9"/>
        <v>699</v>
      </c>
      <c r="Z11" s="551">
        <f t="shared" si="9"/>
        <v>828</v>
      </c>
      <c r="AA11" s="551">
        <f t="shared" si="9"/>
        <v>736</v>
      </c>
      <c r="AB11" s="552">
        <f t="shared" si="9"/>
        <v>959</v>
      </c>
      <c r="AC11" s="549">
        <f t="shared" si="9"/>
        <v>3222</v>
      </c>
      <c r="AD11" s="550">
        <f t="shared" si="9"/>
        <v>775</v>
      </c>
      <c r="AE11" s="550">
        <f t="shared" si="9"/>
        <v>914</v>
      </c>
      <c r="AF11" s="550">
        <f t="shared" si="9"/>
        <v>834</v>
      </c>
      <c r="AG11" s="553">
        <f t="shared" si="9"/>
        <v>1161</v>
      </c>
      <c r="AH11" s="549">
        <f t="shared" si="9"/>
        <v>3684</v>
      </c>
      <c r="AI11" s="550">
        <f t="shared" si="9"/>
        <v>1080</v>
      </c>
      <c r="AJ11" s="550">
        <f t="shared" si="9"/>
        <v>923</v>
      </c>
      <c r="AK11" s="550">
        <f t="shared" si="9"/>
        <v>970</v>
      </c>
      <c r="AL11" s="553">
        <f t="shared" si="9"/>
        <v>950</v>
      </c>
      <c r="AM11" s="549">
        <f t="shared" si="9"/>
        <v>3923</v>
      </c>
      <c r="AN11" s="550">
        <f t="shared" si="9"/>
        <v>799</v>
      </c>
      <c r="AO11" s="550">
        <f t="shared" si="9"/>
        <v>879</v>
      </c>
      <c r="AP11" s="550">
        <f t="shared" si="9"/>
        <v>805</v>
      </c>
      <c r="AQ11" s="553">
        <f t="shared" si="9"/>
        <v>821</v>
      </c>
      <c r="AR11" s="549">
        <f t="shared" si="9"/>
        <v>3304</v>
      </c>
      <c r="AS11" s="550">
        <f t="shared" si="9"/>
        <v>841</v>
      </c>
      <c r="AT11" s="550">
        <f t="shared" si="9"/>
        <v>959</v>
      </c>
      <c r="AU11" s="550">
        <f t="shared" si="9"/>
        <v>862</v>
      </c>
      <c r="AV11" s="553">
        <f t="shared" si="9"/>
        <v>850</v>
      </c>
      <c r="AW11" s="549">
        <f t="shared" si="9"/>
        <v>3512</v>
      </c>
      <c r="AX11" s="550">
        <f t="shared" si="9"/>
        <v>862</v>
      </c>
      <c r="AY11" s="550">
        <f t="shared" si="9"/>
        <v>922</v>
      </c>
      <c r="AZ11" s="550">
        <f t="shared" si="9"/>
        <v>924</v>
      </c>
      <c r="BA11" s="550">
        <f t="shared" si="9"/>
        <v>1039</v>
      </c>
      <c r="BB11" s="549">
        <f t="shared" si="9"/>
        <v>3747</v>
      </c>
      <c r="BC11" s="554">
        <f t="shared" si="9"/>
        <v>936</v>
      </c>
      <c r="BD11" s="554">
        <v>1067</v>
      </c>
      <c r="BE11" s="554">
        <v>1091</v>
      </c>
      <c r="BF11" s="554">
        <v>1251</v>
      </c>
      <c r="BG11" s="549">
        <f>BG9-BG10</f>
        <v>4345</v>
      </c>
      <c r="BH11" s="554">
        <v>1115</v>
      </c>
      <c r="BI11" s="554">
        <v>1197</v>
      </c>
      <c r="BJ11" s="554">
        <v>1264</v>
      </c>
      <c r="BK11" s="554">
        <v>1397</v>
      </c>
      <c r="BL11" s="549">
        <f>BL9-BL10</f>
        <v>4973</v>
      </c>
      <c r="BM11" s="554">
        <v>1314</v>
      </c>
      <c r="BN11" s="554">
        <v>1269</v>
      </c>
      <c r="BO11" s="554">
        <v>1353</v>
      </c>
      <c r="BP11" s="554">
        <v>1571</v>
      </c>
      <c r="BQ11" s="549">
        <f>BQ9-BQ10</f>
        <v>5507</v>
      </c>
      <c r="BR11" s="554">
        <v>1524</v>
      </c>
      <c r="BS11" s="554">
        <v>1348</v>
      </c>
      <c r="BT11" s="554">
        <v>1494</v>
      </c>
      <c r="BU11" s="554">
        <v>1749</v>
      </c>
      <c r="BV11" s="549">
        <f>BR11+BS11+BT11+BU11</f>
        <v>6115</v>
      </c>
      <c r="BW11" s="554">
        <v>1273</v>
      </c>
      <c r="BX11" s="554">
        <v>1374</v>
      </c>
      <c r="BY11" s="554">
        <v>1335</v>
      </c>
      <c r="BZ11" s="555">
        <v>1388</v>
      </c>
      <c r="CA11" s="549">
        <f>BW11+BX11+BY11+BZ11</f>
        <v>5370</v>
      </c>
      <c r="CB11" s="555">
        <v>1603</v>
      </c>
      <c r="CC11" s="555">
        <v>1475</v>
      </c>
      <c r="CD11" s="555">
        <v>1665</v>
      </c>
      <c r="CE11" s="555">
        <v>1723</v>
      </c>
      <c r="CF11" s="549">
        <f>CB11+CC11+CD11+CE11</f>
        <v>6466</v>
      </c>
      <c r="CG11" s="555">
        <v>1660</v>
      </c>
      <c r="CH11" s="555">
        <v>1385</v>
      </c>
      <c r="CI11" s="555">
        <v>1718</v>
      </c>
      <c r="CJ11" s="555">
        <v>2056</v>
      </c>
      <c r="CK11" s="549">
        <f>CG11+CH11+CI11+CJ11</f>
        <v>6819</v>
      </c>
      <c r="CL11" s="832">
        <v>1005.2994739199993</v>
      </c>
      <c r="CM11" s="832">
        <v>-679.92095108999933</v>
      </c>
      <c r="CN11" s="832">
        <v>355.75704582000151</v>
      </c>
      <c r="CO11" s="832">
        <v>573.80228152999985</v>
      </c>
      <c r="CP11" s="549">
        <f>CL11+CM11+CN11+CO11</f>
        <v>1254.9378501800013</v>
      </c>
      <c r="CQ11" s="818">
        <f>CQ9-CQ10</f>
        <v>641</v>
      </c>
      <c r="CR11" s="818">
        <f>CR9-CR10</f>
        <v>176</v>
      </c>
      <c r="CS11" s="818">
        <f>CS9-CS10</f>
        <v>846</v>
      </c>
      <c r="CT11" s="818">
        <f>CT9-CT10</f>
        <v>1218</v>
      </c>
      <c r="CU11" s="549">
        <f>SUM(CQ11:CT11)</f>
        <v>2881</v>
      </c>
      <c r="CV11" s="531">
        <f>CV9-CV10</f>
        <v>908</v>
      </c>
      <c r="CW11" s="531">
        <f>CW9-CW10</f>
        <v>1148</v>
      </c>
      <c r="CX11" s="531">
        <f>CX9-CX10</f>
        <v>1284</v>
      </c>
      <c r="CY11" s="531">
        <f>CY9-CY10</f>
        <v>1434</v>
      </c>
      <c r="CZ11" s="549">
        <f>SUM(CV11:CY11)</f>
        <v>4774</v>
      </c>
      <c r="DA11" s="531">
        <f>DA9-DA10</f>
        <v>1326</v>
      </c>
      <c r="DB11" s="531">
        <f>DB9-DB10</f>
        <v>1479</v>
      </c>
      <c r="DC11" s="531">
        <f>DC9-DC10</f>
        <v>1712</v>
      </c>
      <c r="DD11" s="531">
        <f>DD9-DD10</f>
        <v>1598</v>
      </c>
      <c r="DE11" s="549">
        <f>SUM(DA11:DD11)</f>
        <v>6115</v>
      </c>
      <c r="DF11" s="531">
        <f>DF9-DF10</f>
        <v>1550</v>
      </c>
      <c r="DG11" s="531">
        <f>DG9-DG10</f>
        <v>1897</v>
      </c>
      <c r="DH11" s="531">
        <f>DH9-DH10</f>
        <v>1818</v>
      </c>
      <c r="DI11" s="531">
        <f>DI9-DI10</f>
        <v>1988</v>
      </c>
      <c r="DJ11" s="549">
        <f t="shared" si="7"/>
        <v>7253</v>
      </c>
      <c r="DK11" s="531">
        <f>DK9-DK10</f>
        <v>2146</v>
      </c>
      <c r="DL11" s="531">
        <f>DL9-DL10</f>
        <v>2337</v>
      </c>
      <c r="DM11" s="531">
        <f>DM9-DM10</f>
        <v>2141.2268800000002</v>
      </c>
      <c r="DN11" s="531">
        <f>DN9-DN10</f>
        <v>2037.9231999999997</v>
      </c>
      <c r="DO11" s="549">
        <f t="shared" ref="DO11" si="10">SUM(DK11:DN11)</f>
        <v>8662.1500799999994</v>
      </c>
      <c r="DP11" s="531">
        <f>DP9-DP10</f>
        <v>2378.8568399999999</v>
      </c>
      <c r="DQ11" s="531">
        <f>DQ9-DQ10</f>
        <v>2595.7157500000003</v>
      </c>
      <c r="DR11" s="531">
        <f>DR9-DR10</f>
        <v>2502.9031202000006</v>
      </c>
      <c r="DS11" s="531">
        <f>DS9-DS10</f>
        <v>2588.8442002719999</v>
      </c>
      <c r="DT11" s="549">
        <f t="shared" ref="DT11" si="11">SUM(DP11:DS11)</f>
        <v>10066.319910472001</v>
      </c>
      <c r="DU11" s="549">
        <f>DU9+DU10</f>
        <v>11037.298075816725</v>
      </c>
      <c r="DV11" s="549">
        <f>DV9+DV10</f>
        <v>11906.148714403262</v>
      </c>
    </row>
    <row r="12" spans="1:126" s="532" customFormat="1" ht="12.9" customHeight="1">
      <c r="C12" s="556"/>
      <c r="D12" s="556"/>
      <c r="E12" s="556"/>
      <c r="F12" s="556"/>
      <c r="G12" s="556"/>
      <c r="H12" s="556"/>
      <c r="I12" s="556"/>
      <c r="J12" s="557"/>
      <c r="K12" s="557"/>
      <c r="L12" s="557"/>
      <c r="M12" s="557"/>
      <c r="N12" s="556"/>
      <c r="O12" s="557"/>
      <c r="P12" s="557"/>
      <c r="Q12" s="557"/>
      <c r="R12" s="557"/>
      <c r="S12" s="556"/>
      <c r="T12" s="557"/>
      <c r="U12" s="557"/>
      <c r="V12" s="557"/>
      <c r="W12" s="557"/>
      <c r="X12" s="556"/>
      <c r="Y12" s="557"/>
      <c r="Z12" s="557"/>
      <c r="AA12" s="557"/>
      <c r="AB12" s="557"/>
      <c r="AC12" s="556"/>
      <c r="AD12" s="557"/>
      <c r="AE12" s="557"/>
      <c r="AF12" s="557"/>
      <c r="AG12" s="557"/>
      <c r="AH12" s="556"/>
      <c r="AI12" s="557"/>
      <c r="AJ12" s="557"/>
      <c r="AK12" s="557"/>
      <c r="AL12" s="557"/>
      <c r="AM12" s="556"/>
      <c r="AN12" s="557"/>
      <c r="AO12" s="557"/>
      <c r="AP12" s="557"/>
      <c r="AQ12" s="557"/>
      <c r="AR12" s="556"/>
      <c r="AS12" s="557"/>
      <c r="AT12" s="557"/>
      <c r="AU12" s="557"/>
      <c r="AV12" s="557"/>
      <c r="AW12" s="556"/>
      <c r="AX12" s="557"/>
      <c r="AY12" s="557"/>
      <c r="AZ12" s="557"/>
      <c r="BA12" s="558"/>
      <c r="BB12" s="556"/>
      <c r="BC12" s="559"/>
      <c r="BD12" s="560"/>
      <c r="BE12" s="559"/>
      <c r="BF12" s="559"/>
      <c r="BG12" s="556"/>
      <c r="BH12" s="559"/>
      <c r="BI12" s="559"/>
      <c r="BJ12" s="559"/>
      <c r="BK12" s="559"/>
      <c r="BL12" s="556"/>
      <c r="BM12" s="559"/>
      <c r="BN12" s="559"/>
      <c r="BO12" s="559"/>
      <c r="BP12" s="559"/>
      <c r="BQ12" s="556"/>
      <c r="BR12" s="559"/>
      <c r="BS12" s="559"/>
      <c r="BT12" s="559"/>
      <c r="BU12" s="559"/>
      <c r="BV12" s="556"/>
      <c r="BW12" s="559"/>
      <c r="BX12" s="559"/>
      <c r="BY12" s="559"/>
      <c r="BZ12" s="559"/>
      <c r="CA12" s="556"/>
      <c r="CB12" s="559"/>
      <c r="CC12" s="559"/>
      <c r="CD12" s="559"/>
      <c r="CE12" s="559"/>
      <c r="CF12" s="556"/>
      <c r="CG12" s="561"/>
      <c r="CH12" s="561"/>
      <c r="CI12" s="561"/>
      <c r="CJ12" s="561"/>
      <c r="CK12" s="556"/>
      <c r="CL12" s="559"/>
      <c r="CM12" s="559"/>
      <c r="CN12" s="559"/>
      <c r="CO12" s="559"/>
      <c r="CP12" s="556"/>
      <c r="CQ12" s="559"/>
      <c r="CR12" s="562"/>
      <c r="CS12" s="559"/>
      <c r="CT12" s="559"/>
      <c r="CU12" s="556"/>
      <c r="CV12" s="563"/>
      <c r="CW12" s="563"/>
      <c r="CX12" s="563"/>
      <c r="CY12" s="559"/>
      <c r="CZ12" s="556"/>
      <c r="DA12" s="563"/>
      <c r="DB12" s="563"/>
      <c r="DD12" s="563"/>
      <c r="DE12" s="556"/>
      <c r="DF12" s="563"/>
      <c r="DG12" s="563"/>
      <c r="DH12" s="563"/>
      <c r="DI12" s="563"/>
      <c r="DJ12" s="556"/>
      <c r="DK12" s="563"/>
      <c r="DL12" s="563"/>
      <c r="DM12" s="563"/>
      <c r="DN12" s="563"/>
      <c r="DO12" s="556"/>
      <c r="DP12" s="563"/>
      <c r="DQ12" s="563"/>
      <c r="DR12" s="563"/>
      <c r="DS12" s="563"/>
      <c r="DT12" s="556"/>
      <c r="DU12" s="556"/>
      <c r="DV12" s="556"/>
    </row>
    <row r="13" spans="1:126" s="521" customFormat="1" ht="12.9" customHeight="1">
      <c r="B13" s="526" t="s">
        <v>453</v>
      </c>
      <c r="C13" s="523"/>
      <c r="D13" s="523"/>
      <c r="E13" s="523"/>
      <c r="F13" s="523"/>
      <c r="G13" s="523"/>
      <c r="H13" s="523"/>
      <c r="I13" s="523"/>
      <c r="J13" s="524"/>
      <c r="K13" s="524"/>
      <c r="L13" s="524"/>
      <c r="M13" s="525"/>
      <c r="N13" s="523"/>
      <c r="O13" s="524"/>
      <c r="P13" s="524"/>
      <c r="Q13" s="524"/>
      <c r="R13" s="525"/>
      <c r="S13" s="523"/>
      <c r="T13" s="524"/>
      <c r="U13" s="524"/>
      <c r="V13" s="524"/>
      <c r="W13" s="525"/>
      <c r="X13" s="523"/>
      <c r="Y13" s="524"/>
      <c r="Z13" s="524"/>
      <c r="AA13" s="524"/>
      <c r="AB13" s="525"/>
      <c r="AC13" s="523"/>
      <c r="AD13" s="524"/>
      <c r="AE13" s="524"/>
      <c r="AF13" s="524"/>
      <c r="AG13" s="525"/>
      <c r="AH13" s="523"/>
      <c r="AI13" s="524"/>
      <c r="AJ13" s="524"/>
      <c r="AK13" s="524"/>
      <c r="AL13" s="525"/>
      <c r="AM13" s="523"/>
      <c r="AN13" s="524"/>
      <c r="AO13" s="524"/>
      <c r="AP13" s="524"/>
      <c r="AQ13" s="525"/>
      <c r="AR13" s="523"/>
      <c r="AS13" s="524"/>
      <c r="AT13" s="524"/>
      <c r="AU13" s="524"/>
      <c r="AV13" s="525"/>
      <c r="AW13" s="523"/>
      <c r="AX13" s="524"/>
      <c r="AY13" s="524"/>
      <c r="AZ13" s="524"/>
      <c r="BA13" s="525"/>
      <c r="BB13" s="523"/>
      <c r="BC13" s="524"/>
      <c r="BD13" s="524"/>
      <c r="BE13" s="524"/>
      <c r="BF13" s="525"/>
      <c r="BG13" s="523"/>
      <c r="BH13" s="524"/>
      <c r="BI13" s="524"/>
      <c r="BJ13" s="524"/>
      <c r="BK13" s="525"/>
      <c r="BL13" s="523"/>
      <c r="BM13" s="524"/>
      <c r="BN13" s="524"/>
      <c r="BO13" s="524"/>
      <c r="BP13" s="525"/>
      <c r="BQ13" s="523"/>
      <c r="BR13" s="524"/>
      <c r="BS13" s="524"/>
      <c r="BT13" s="524"/>
      <c r="BU13" s="525"/>
      <c r="BV13" s="523"/>
      <c r="BW13" s="524"/>
      <c r="BX13" s="524"/>
      <c r="BY13" s="524"/>
      <c r="BZ13" s="525"/>
      <c r="CA13" s="523"/>
      <c r="CB13" s="524"/>
      <c r="CC13" s="524"/>
      <c r="CD13" s="524"/>
      <c r="CE13" s="525"/>
      <c r="CF13" s="523"/>
      <c r="CG13" s="524"/>
      <c r="CH13" s="524"/>
      <c r="CI13" s="524"/>
      <c r="CJ13" s="525"/>
      <c r="CK13" s="523"/>
      <c r="CL13" s="524"/>
      <c r="CM13" s="524"/>
      <c r="CN13" s="524"/>
      <c r="CO13" s="525"/>
      <c r="CP13" s="523"/>
      <c r="CQ13" s="524"/>
      <c r="CR13" s="524"/>
      <c r="CS13" s="524"/>
      <c r="CT13" s="525"/>
      <c r="CU13" s="523"/>
      <c r="CV13" s="524"/>
      <c r="CW13" s="524"/>
      <c r="CX13" s="524"/>
      <c r="CY13" s="525"/>
      <c r="CZ13" s="523"/>
      <c r="DA13" s="524"/>
      <c r="DB13" s="524"/>
      <c r="DC13" s="524"/>
      <c r="DD13" s="525"/>
      <c r="DE13" s="523"/>
      <c r="DF13" s="524"/>
      <c r="DG13" s="524"/>
      <c r="DH13" s="524"/>
      <c r="DI13" s="525"/>
      <c r="DJ13" s="523"/>
      <c r="DK13" s="524"/>
      <c r="DL13" s="524"/>
      <c r="DM13" s="524"/>
      <c r="DN13" s="525"/>
      <c r="DO13" s="523"/>
      <c r="DP13" s="524"/>
      <c r="DQ13" s="524"/>
      <c r="DR13" s="524"/>
      <c r="DS13" s="525"/>
      <c r="DT13" s="523"/>
      <c r="DU13" s="523"/>
      <c r="DV13" s="523"/>
    </row>
    <row r="14" spans="1:126" s="547" customFormat="1" ht="12.9" customHeight="1">
      <c r="B14" s="564" t="s">
        <v>388</v>
      </c>
      <c r="C14" s="565"/>
      <c r="D14" s="565"/>
      <c r="E14" s="565"/>
      <c r="F14" s="565"/>
      <c r="G14" s="565"/>
      <c r="H14" s="565"/>
      <c r="I14" s="565"/>
      <c r="J14" s="563"/>
      <c r="K14" s="563"/>
      <c r="L14" s="563"/>
      <c r="M14" s="563"/>
      <c r="N14" s="565"/>
      <c r="O14" s="563"/>
      <c r="P14" s="563"/>
      <c r="Q14" s="563"/>
      <c r="R14" s="563"/>
      <c r="S14" s="565"/>
      <c r="T14" s="563"/>
      <c r="U14" s="563"/>
      <c r="V14" s="563"/>
      <c r="W14" s="563"/>
      <c r="X14" s="565"/>
      <c r="Y14" s="563"/>
      <c r="Z14" s="563"/>
      <c r="AA14" s="563"/>
      <c r="AB14" s="563"/>
      <c r="AC14" s="565"/>
      <c r="AD14" s="563"/>
      <c r="AE14" s="563"/>
      <c r="AF14" s="563"/>
      <c r="AG14" s="563">
        <v>0.08</v>
      </c>
      <c r="AH14" s="565">
        <f>Aerospace!AH17-Aerospace!AH16-Aerospace!AH15</f>
        <v>0.13307222208323854</v>
      </c>
      <c r="AI14" s="563">
        <v>0</v>
      </c>
      <c r="AJ14" s="563">
        <v>0</v>
      </c>
      <c r="AK14" s="563">
        <v>0</v>
      </c>
      <c r="AL14" s="563">
        <v>0</v>
      </c>
      <c r="AM14" s="565">
        <f>Aerospace!AM17-Aerospace!AM16-Aerospace!AM15</f>
        <v>-1.9700457710688249E-2</v>
      </c>
      <c r="AN14" s="563">
        <v>0.03</v>
      </c>
      <c r="AO14" s="563">
        <v>0.03</v>
      </c>
      <c r="AP14" s="563">
        <v>0.03</v>
      </c>
      <c r="AQ14" s="563">
        <v>0.03</v>
      </c>
      <c r="AR14" s="565">
        <f>Aerospace!AR17-Aerospace!AR16-Aerospace!AR15</f>
        <v>-5.2389966856693712E-2</v>
      </c>
      <c r="AS14" s="563">
        <v>0</v>
      </c>
      <c r="AT14" s="563">
        <v>0</v>
      </c>
      <c r="AU14" s="563">
        <v>0</v>
      </c>
      <c r="AV14" s="563">
        <v>0</v>
      </c>
      <c r="AW14" s="565">
        <f>(1100+200-100)/AR7</f>
        <v>6.8108292184573468E-2</v>
      </c>
      <c r="AX14" s="563"/>
      <c r="AY14" s="563"/>
      <c r="AZ14" s="563"/>
      <c r="BA14" s="563"/>
      <c r="BB14" s="565">
        <f>(800+400)/AW7</f>
        <v>6.3630097035897976E-2</v>
      </c>
      <c r="BC14" s="563">
        <f>BC17</f>
        <v>3.7415661418932711E-2</v>
      </c>
      <c r="BD14" s="563">
        <f>BD17</f>
        <v>9.2276004119464572E-2</v>
      </c>
      <c r="BE14" s="563">
        <v>0.1</v>
      </c>
      <c r="BF14" s="563">
        <v>7.0000000000000007E-2</v>
      </c>
      <c r="BG14" s="565">
        <f>+SUMPRODUCT(BC14:BF14,AX$7:BA$7)/BB$7</f>
        <v>7.4611883565069537E-2</v>
      </c>
      <c r="BH14" s="563">
        <v>0.10199999999999999</v>
      </c>
      <c r="BI14" s="563">
        <v>0.1</v>
      </c>
      <c r="BJ14" s="563">
        <v>4.2000000000000003E-2</v>
      </c>
      <c r="BK14" s="563">
        <v>0.05</v>
      </c>
      <c r="BL14" s="565">
        <f>+SUMPRODUCT(BH14:BK14,BC$7:BF$7)/BG$7</f>
        <v>7.2184564830450451E-2</v>
      </c>
      <c r="BM14" s="563">
        <v>-0.01</v>
      </c>
      <c r="BN14" s="566">
        <v>0.04</v>
      </c>
      <c r="BO14" s="566">
        <v>5.2999999999999999E-2</v>
      </c>
      <c r="BP14" s="563">
        <v>0.05</v>
      </c>
      <c r="BQ14" s="565">
        <f>+SUMPRODUCT(BM14:BP14,BH$7:BK$7)/BL$7</f>
        <v>3.3722967903293037E-2</v>
      </c>
      <c r="BR14" s="563">
        <v>0.104</v>
      </c>
      <c r="BS14" s="566">
        <v>0.04</v>
      </c>
      <c r="BT14" s="566">
        <v>0.05</v>
      </c>
      <c r="BU14" s="563">
        <v>0.06</v>
      </c>
      <c r="BV14" s="565">
        <f>+SUMPRODUCT(BR14:BU14,BM$7:BP$7)/BQ$7</f>
        <v>6.2619763999837805E-2</v>
      </c>
      <c r="BW14" s="567">
        <f>6752/BR7-1</f>
        <v>7.824976045991705E-2</v>
      </c>
      <c r="BX14" s="568">
        <v>3.0000000000000001E-3</v>
      </c>
      <c r="BY14" s="568">
        <v>0.08</v>
      </c>
      <c r="BZ14" s="567">
        <v>4.0000000000000001E-3</v>
      </c>
      <c r="CA14" s="565">
        <f>+SUMPRODUCT(BW14:BZ14,BR$7:BU$7)/BV$7</f>
        <v>3.9690822543792866E-2</v>
      </c>
      <c r="CB14" s="568">
        <v>0.06</v>
      </c>
      <c r="CC14" s="567">
        <v>0.13</v>
      </c>
      <c r="CD14" s="567">
        <v>0.12</v>
      </c>
      <c r="CE14" s="568">
        <v>0.21</v>
      </c>
      <c r="CF14" s="565">
        <f>+SUMPRODUCT(CB14:CE14,BW$7:BZ$7)/CA$7</f>
        <v>0.13098952356272905</v>
      </c>
      <c r="CG14" s="568">
        <f>7961/7112-1</f>
        <v>0.11937570303712031</v>
      </c>
      <c r="CH14" s="567">
        <f>7885/7413-1</f>
        <v>6.3671927694590513E-2</v>
      </c>
      <c r="CI14" s="567">
        <f>8086/7363-1</f>
        <v>9.8193671057992704E-2</v>
      </c>
      <c r="CJ14" s="567">
        <f>8941/8361-1</f>
        <v>6.9369692620499857E-2</v>
      </c>
      <c r="CK14" s="565">
        <f>+SUMPRODUCT(CG14:CJ14,CB$7:CE$7)/CF$7</f>
        <v>8.6656459732664587E-2</v>
      </c>
      <c r="CL14" s="834">
        <f>6882/7774-1</f>
        <v>-0.1147414458451248</v>
      </c>
      <c r="CM14" s="834">
        <f>4389/7831-1</f>
        <v>-0.43953518069212105</v>
      </c>
      <c r="CN14" s="834">
        <f>4913/8036-1</f>
        <v>-0.38862618218018918</v>
      </c>
      <c r="CO14" s="834">
        <f>5848/8866-1</f>
        <v>-0.34040153394992101</v>
      </c>
      <c r="CP14" s="565">
        <f>+SUMPRODUCT(CL14:CO14,CG$7:CJ$7)/CK$7</f>
        <v>-0.32145242417689524</v>
      </c>
      <c r="CQ14" s="837">
        <f>4992/6892-1</f>
        <v>-0.27568195008705743</v>
      </c>
      <c r="CR14" s="837">
        <f>4828/4372-1</f>
        <v>0.10430009149130837</v>
      </c>
      <c r="CS14" s="837">
        <f>5408/4908-1</f>
        <v>0.10187449062754683</v>
      </c>
      <c r="CT14" s="837">
        <f>6072/5847-1</f>
        <v>3.8481272447408843E-2</v>
      </c>
      <c r="CU14" s="565">
        <f>+SUMPRODUCT(CQ14:CT14,CL$7:CO$7)/CP$7</f>
        <v>-3.2511921763233892E-2</v>
      </c>
      <c r="CV14" s="837">
        <f>5612/4991-1</f>
        <v>0.12442396313364057</v>
      </c>
      <c r="CW14" s="837">
        <f>6146/4839-1</f>
        <v>0.27009712750568293</v>
      </c>
      <c r="CX14" s="837">
        <f>6726/5398-1</f>
        <v>0.24601704334938868</v>
      </c>
      <c r="CY14" s="837">
        <f>7645/6082-1</f>
        <v>0.25698783294968752</v>
      </c>
      <c r="CZ14" s="565">
        <f>+SUMPRODUCT(CV14:CY14,CQ$7:CT$7)/CU$7</f>
        <v>0.22613235783316468</v>
      </c>
      <c r="DA14" s="837">
        <f>6987/5604-1</f>
        <v>0.24678800856531047</v>
      </c>
      <c r="DB14" s="837">
        <f>7858/6130-1</f>
        <v>0.2818923327895595</v>
      </c>
      <c r="DC14" s="837">
        <f>8401/6710-1</f>
        <v>0.25201192250372584</v>
      </c>
      <c r="DD14" s="837">
        <f>8510/7624-1</f>
        <v>0.1162119622245541</v>
      </c>
      <c r="DE14" s="565">
        <f>+SUMPRODUCT(DA14:DD14,CV$7:CY$7)/CZ$7</f>
        <v>0.21821887016201638</v>
      </c>
      <c r="DF14" s="922">
        <f>DF102</f>
        <v>0.14691270404542212</v>
      </c>
      <c r="DG14" s="922">
        <f>DG102</f>
        <v>3.5917541418995613E-2</v>
      </c>
      <c r="DH14" s="922">
        <f t="shared" ref="DH14:DI14" si="12">DH102</f>
        <v>5.6967261553008131E-2</v>
      </c>
      <c r="DI14" s="922">
        <f t="shared" si="12"/>
        <v>0.15584415584415567</v>
      </c>
      <c r="DJ14" s="923">
        <f t="shared" ref="DJ14:DJ16" si="13">+SUMPRODUCT(DF14:DI14,DA$7:DD$7)/DE$7</f>
        <v>9.8040269835878158E-2</v>
      </c>
      <c r="DK14" s="922">
        <f t="shared" ref="DK14:DV14" si="14">DK102</f>
        <v>0.11398514851485131</v>
      </c>
      <c r="DL14" s="922">
        <f t="shared" si="14"/>
        <v>0.23928702234159482</v>
      </c>
      <c r="DM14" s="922">
        <f t="shared" si="14"/>
        <v>0.12555741921055596</v>
      </c>
      <c r="DN14" s="922">
        <f t="shared" si="14"/>
        <v>7.3538819718595105E-2</v>
      </c>
      <c r="DO14" s="923">
        <f t="shared" ref="DO14:DO16" si="15">+SUMPRODUCT(DK14:DN14,DF$7:DI$7)/DJ$7</f>
        <v>0.13489226514395594</v>
      </c>
      <c r="DP14" s="922">
        <f t="shared" ref="DP14:DS14" si="16">DP102</f>
        <v>0.13802688590156675</v>
      </c>
      <c r="DQ14" s="922">
        <f t="shared" si="16"/>
        <v>0.13040587134272497</v>
      </c>
      <c r="DR14" s="922">
        <f t="shared" si="16"/>
        <v>0.12859413900054251</v>
      </c>
      <c r="DS14" s="922">
        <f t="shared" si="16"/>
        <v>0.15470855830329389</v>
      </c>
      <c r="DT14" s="923">
        <f t="shared" ref="DT14:DT16" si="17">+SUMPRODUCT(DP14:DS14,DK$7:DN$7)/DO$7</f>
        <v>0.13814258890826625</v>
      </c>
      <c r="DU14" s="923">
        <f t="shared" si="14"/>
        <v>8.5526391775256005E-2</v>
      </c>
      <c r="DV14" s="923">
        <f t="shared" si="14"/>
        <v>6.8933765152374038E-2</v>
      </c>
    </row>
    <row r="15" spans="1:126" s="547" customFormat="1" ht="12.9" customHeight="1">
      <c r="B15" s="564" t="s">
        <v>389</v>
      </c>
      <c r="C15" s="565"/>
      <c r="D15" s="565"/>
      <c r="E15" s="565"/>
      <c r="F15" s="565"/>
      <c r="G15" s="565"/>
      <c r="H15" s="565"/>
      <c r="I15" s="565"/>
      <c r="J15" s="563"/>
      <c r="K15" s="563"/>
      <c r="L15" s="563"/>
      <c r="M15" s="563"/>
      <c r="N15" s="565"/>
      <c r="O15" s="563"/>
      <c r="P15" s="563"/>
      <c r="Q15" s="563"/>
      <c r="R15" s="563"/>
      <c r="S15" s="565"/>
      <c r="T15" s="563"/>
      <c r="U15" s="563"/>
      <c r="V15" s="563"/>
      <c r="W15" s="563"/>
      <c r="X15" s="565"/>
      <c r="Y15" s="563"/>
      <c r="Z15" s="563"/>
      <c r="AA15" s="563"/>
      <c r="AB15" s="563"/>
      <c r="AC15" s="565"/>
      <c r="AD15" s="563"/>
      <c r="AE15" s="563"/>
      <c r="AF15" s="563"/>
      <c r="AG15" s="563">
        <v>0</v>
      </c>
      <c r="AH15" s="565"/>
      <c r="AI15" s="563">
        <v>0</v>
      </c>
      <c r="AJ15" s="563">
        <v>0</v>
      </c>
      <c r="AK15" s="563">
        <v>0</v>
      </c>
      <c r="AL15" s="563">
        <v>0</v>
      </c>
      <c r="AM15" s="565">
        <f>AVERAGE(AI15:AL15)</f>
        <v>0</v>
      </c>
      <c r="AN15" s="563">
        <v>8.8343379436456541E-3</v>
      </c>
      <c r="AO15" s="563">
        <v>-9.7138178569314611E-3</v>
      </c>
      <c r="AP15" s="563">
        <v>-1.4711018431319755E-2</v>
      </c>
      <c r="AQ15" s="563">
        <v>-1.1714222011618491E-2</v>
      </c>
      <c r="AR15" s="565"/>
      <c r="AS15" s="563">
        <v>0</v>
      </c>
      <c r="AT15" s="563">
        <v>0</v>
      </c>
      <c r="AU15" s="563">
        <v>0</v>
      </c>
      <c r="AV15" s="563">
        <v>0</v>
      </c>
      <c r="AW15" s="565">
        <v>0</v>
      </c>
      <c r="AX15" s="563">
        <v>0</v>
      </c>
      <c r="AY15" s="563">
        <v>0</v>
      </c>
      <c r="AZ15" s="563">
        <v>0</v>
      </c>
      <c r="BA15" s="563">
        <v>0</v>
      </c>
      <c r="BB15" s="565"/>
      <c r="BC15" s="563">
        <v>0</v>
      </c>
      <c r="BD15" s="563">
        <v>0</v>
      </c>
      <c r="BE15" s="563">
        <v>2.1999999999999999E-2</v>
      </c>
      <c r="BF15" s="563">
        <f>BF17-BF14</f>
        <v>5.8589720139015811E-2</v>
      </c>
      <c r="BG15" s="565">
        <f>+SUMPRODUCT(BC15:BF15,AX$7:BA$7)/BB$7</f>
        <v>2.1280984295288557E-2</v>
      </c>
      <c r="BH15" s="563">
        <v>4.2999999999999997E-2</v>
      </c>
      <c r="BI15" s="563">
        <f>((3/12)*1300)/BD7</f>
        <v>6.1286064491797097E-2</v>
      </c>
      <c r="BJ15" s="563">
        <f>((1/12)*1300)/BE7</f>
        <v>2.0196370867511807E-2</v>
      </c>
      <c r="BK15" s="563">
        <v>0</v>
      </c>
      <c r="BL15" s="565">
        <f>+SUMPRODUCT(BH15:BK15,BC$7:BF$7)/BG$7</f>
        <v>2.9734623400727186E-2</v>
      </c>
      <c r="BM15" s="563">
        <v>0</v>
      </c>
      <c r="BN15" s="563">
        <v>0</v>
      </c>
      <c r="BO15" s="563">
        <v>0</v>
      </c>
      <c r="BP15" s="563">
        <v>0</v>
      </c>
      <c r="BQ15" s="565">
        <f>+SUMPRODUCT(BM15:BP15,BH$7:BK$7)/BL$7</f>
        <v>0</v>
      </c>
      <c r="BR15" s="563">
        <v>0</v>
      </c>
      <c r="BS15" s="563">
        <v>0</v>
      </c>
      <c r="BT15" s="563">
        <v>0</v>
      </c>
      <c r="BU15" s="563">
        <v>0</v>
      </c>
      <c r="BV15" s="565">
        <f>+SUMPRODUCT(BR15:BU15,BM$7:BP$7)/BQ$7</f>
        <v>0</v>
      </c>
      <c r="BW15" s="567">
        <v>0</v>
      </c>
      <c r="BX15" s="567">
        <v>0</v>
      </c>
      <c r="BY15" s="567">
        <v>0</v>
      </c>
      <c r="BZ15" s="567">
        <v>0</v>
      </c>
      <c r="CA15" s="565">
        <f>+SUMPRODUCT(BW15:BZ15,BR$7:BU$7)/BV$7</f>
        <v>0</v>
      </c>
      <c r="CB15" s="568">
        <v>0</v>
      </c>
      <c r="CC15" s="567">
        <v>0</v>
      </c>
      <c r="CD15" s="567">
        <v>0</v>
      </c>
      <c r="CE15" s="567">
        <v>0</v>
      </c>
      <c r="CF15" s="565">
        <f>+SUMPRODUCT(CB15:CE15,BW$7:BZ$7)/CA$7</f>
        <v>0</v>
      </c>
      <c r="CG15" s="567">
        <v>0</v>
      </c>
      <c r="CH15" s="567">
        <f>(0-105)/CC7</f>
        <v>-1.396462295518021E-2</v>
      </c>
      <c r="CI15" s="569">
        <f>(25-117)/CD7</f>
        <v>-1.229946524064171E-2</v>
      </c>
      <c r="CJ15" s="569">
        <f>(0-95)/CE7</f>
        <v>-1.1234626300851466E-2</v>
      </c>
      <c r="CK15" s="565">
        <f>+SUMPRODUCT(CG15:CJ15,CB$7:CE$7)/CF$7</f>
        <v>-9.5527856839074821E-3</v>
      </c>
      <c r="CL15" s="835">
        <f>(13-180)/CG7</f>
        <v>-2.0995725421171736E-2</v>
      </c>
      <c r="CM15" s="835">
        <f>(0-46)/CH7</f>
        <v>-5.8397867208328045E-3</v>
      </c>
      <c r="CN15" s="835">
        <f>(0-73)/CI7</f>
        <v>-9.0023430755950175E-3</v>
      </c>
      <c r="CO15" s="835">
        <f>(0-70)/CJ7</f>
        <v>-7.83348254252462E-3</v>
      </c>
      <c r="CP15" s="565">
        <f>+SUMPRODUCT(CL15:CO15,CG$7:CJ$7)/CK$7</f>
        <v>-1.0828567952305633E-2</v>
      </c>
      <c r="CQ15" s="838">
        <f>(0-25)/CL7</f>
        <v>-3.6273940800928611E-3</v>
      </c>
      <c r="CR15" s="838">
        <f>(0-11)/CM7</f>
        <v>-2.5091240875912408E-3</v>
      </c>
      <c r="CS15" s="838">
        <f>(0-12)/CN7</f>
        <v>-2.4395202276885548E-3</v>
      </c>
      <c r="CT15" s="838">
        <f>(0-0)/CO7</f>
        <v>0</v>
      </c>
      <c r="CU15" s="565">
        <f>+SUMPRODUCT(CQ15:CT15,CL$7:CO$7)/CP$7</f>
        <v>-2.1776608293258325E-3</v>
      </c>
      <c r="CV15" s="838">
        <f>(0-0)/CQ7</f>
        <v>0</v>
      </c>
      <c r="CW15" s="838">
        <f>(0-0)/CR7</f>
        <v>0</v>
      </c>
      <c r="CX15" s="838">
        <f>(0-0)/CS7</f>
        <v>0</v>
      </c>
      <c r="CY15" s="838">
        <v>0</v>
      </c>
      <c r="CZ15" s="565">
        <f>+SUMPRODUCT(CV15:CY15,CQ$7:CT$7)/CU$7</f>
        <v>0</v>
      </c>
      <c r="DA15" s="838">
        <f>(0-0)/CV7</f>
        <v>0</v>
      </c>
      <c r="DB15" s="838">
        <v>0</v>
      </c>
      <c r="DC15" s="838">
        <v>0</v>
      </c>
      <c r="DD15" s="838">
        <v>0</v>
      </c>
      <c r="DE15" s="565">
        <f>+SUMPRODUCT(DA15:DD15,CV$7:CY$7)/CZ$7</f>
        <v>0</v>
      </c>
      <c r="DF15" s="924">
        <v>0</v>
      </c>
      <c r="DG15" s="924">
        <v>0</v>
      </c>
      <c r="DH15" s="924">
        <v>0</v>
      </c>
      <c r="DI15" s="924">
        <v>0</v>
      </c>
      <c r="DJ15" s="923">
        <f t="shared" si="13"/>
        <v>0</v>
      </c>
      <c r="DK15" s="924">
        <v>0</v>
      </c>
      <c r="DL15" s="924">
        <v>0</v>
      </c>
      <c r="DM15" s="924">
        <v>0</v>
      </c>
      <c r="DN15" s="924">
        <v>0</v>
      </c>
      <c r="DO15" s="923">
        <f t="shared" si="15"/>
        <v>0</v>
      </c>
      <c r="DP15" s="924">
        <v>0</v>
      </c>
      <c r="DQ15" s="924">
        <v>0</v>
      </c>
      <c r="DR15" s="924">
        <v>0</v>
      </c>
      <c r="DS15" s="924">
        <v>0</v>
      </c>
      <c r="DT15" s="923">
        <f t="shared" si="17"/>
        <v>0</v>
      </c>
      <c r="DU15" s="923">
        <v>0</v>
      </c>
      <c r="DV15" s="923">
        <v>0</v>
      </c>
    </row>
    <row r="16" spans="1:126" s="547" customFormat="1" ht="12.9" customHeight="1">
      <c r="B16" s="571" t="s">
        <v>390</v>
      </c>
      <c r="C16" s="572"/>
      <c r="D16" s="572"/>
      <c r="E16" s="572"/>
      <c r="F16" s="572"/>
      <c r="G16" s="572"/>
      <c r="H16" s="572"/>
      <c r="I16" s="572"/>
      <c r="J16" s="573"/>
      <c r="K16" s="573"/>
      <c r="L16" s="573"/>
      <c r="M16" s="573"/>
      <c r="N16" s="572"/>
      <c r="O16" s="573"/>
      <c r="P16" s="573"/>
      <c r="Q16" s="573"/>
      <c r="R16" s="573"/>
      <c r="S16" s="572"/>
      <c r="T16" s="573"/>
      <c r="U16" s="573"/>
      <c r="V16" s="573"/>
      <c r="W16" s="573"/>
      <c r="X16" s="572"/>
      <c r="Y16" s="573"/>
      <c r="Z16" s="573"/>
      <c r="AA16" s="573"/>
      <c r="AB16" s="573"/>
      <c r="AC16" s="572"/>
      <c r="AD16" s="573"/>
      <c r="AE16" s="573"/>
      <c r="AF16" s="573"/>
      <c r="AG16" s="573">
        <v>-1.3941211598434094E-2</v>
      </c>
      <c r="AH16" s="572">
        <v>1.0812670003092394E-2</v>
      </c>
      <c r="AI16" s="573">
        <v>-1.9402313525819514E-2</v>
      </c>
      <c r="AJ16" s="573">
        <v>-1.8985537571542869E-2</v>
      </c>
      <c r="AK16" s="573">
        <v>-7.3645414096341726E-3</v>
      </c>
      <c r="AL16" s="573">
        <v>1.8311695151818429E-2</v>
      </c>
      <c r="AM16" s="572">
        <f>AVERAGE(AI16:AL16)</f>
        <v>-6.8601743387945325E-3</v>
      </c>
      <c r="AN16" s="573">
        <v>8.8343379436456541E-3</v>
      </c>
      <c r="AO16" s="573">
        <v>-9.7138178569314611E-3</v>
      </c>
      <c r="AP16" s="573">
        <v>-1.4711018431319755E-2</v>
      </c>
      <c r="AQ16" s="573">
        <v>-1.1714222011618491E-2</v>
      </c>
      <c r="AR16" s="572">
        <f>AVERAGE(AN16:AQ16)</f>
        <v>-6.8261800890560137E-3</v>
      </c>
      <c r="AS16" s="573">
        <v>0</v>
      </c>
      <c r="AT16" s="573">
        <v>0</v>
      </c>
      <c r="AU16" s="573">
        <v>0</v>
      </c>
      <c r="AV16" s="573">
        <v>0</v>
      </c>
      <c r="AW16" s="572">
        <v>0</v>
      </c>
      <c r="AX16" s="573"/>
      <c r="AY16" s="573"/>
      <c r="AZ16" s="573"/>
      <c r="BA16" s="573"/>
      <c r="BB16" s="572"/>
      <c r="BC16" s="573"/>
      <c r="BD16" s="573"/>
      <c r="BE16" s="573"/>
      <c r="BF16" s="573"/>
      <c r="BG16" s="572">
        <f>+SUMPRODUCT(BC16:BF16,AX$7:BA$7)/BB$7</f>
        <v>0</v>
      </c>
      <c r="BH16" s="573">
        <v>-6.0000000000000001E-3</v>
      </c>
      <c r="BI16" s="573"/>
      <c r="BJ16" s="573"/>
      <c r="BK16" s="573"/>
      <c r="BL16" s="572">
        <f>+SUMPRODUCT(BH16:BK16,BC$7:BF$7)/BG$7</f>
        <v>-1.3894390945187348E-3</v>
      </c>
      <c r="BM16" s="573">
        <v>-0.01</v>
      </c>
      <c r="BN16" s="573">
        <v>-0.01</v>
      </c>
      <c r="BO16" s="573">
        <v>0</v>
      </c>
      <c r="BP16" s="573">
        <v>0</v>
      </c>
      <c r="BQ16" s="572">
        <f>+SUMPRODUCT(BM16:BP16,BH$7:BK$7)/BL$7</f>
        <v>-4.9470612755314718E-3</v>
      </c>
      <c r="BR16" s="573">
        <v>0</v>
      </c>
      <c r="BS16" s="573">
        <v>0</v>
      </c>
      <c r="BT16" s="573">
        <v>0</v>
      </c>
      <c r="BU16" s="573">
        <v>0.01</v>
      </c>
      <c r="BV16" s="572">
        <f>+SUMPRODUCT(BR16:BU16,BM$7:BP$7)/BQ$7</f>
        <v>2.7306273062730627E-3</v>
      </c>
      <c r="BW16" s="574">
        <v>1.0999999999999999E-2</v>
      </c>
      <c r="BX16" s="574">
        <v>0</v>
      </c>
      <c r="BY16" s="574">
        <v>2E-3</v>
      </c>
      <c r="BZ16" s="574">
        <v>0</v>
      </c>
      <c r="CA16" s="572">
        <f>+SUMPRODUCT(BW16:BZ16,BR$7:BU$7)/BV$7</f>
        <v>3.1028941355674025E-3</v>
      </c>
      <c r="CB16" s="575">
        <v>6.0000000000000001E-3</v>
      </c>
      <c r="CC16" s="574">
        <v>3.0000000000000001E-3</v>
      </c>
      <c r="CD16" s="574">
        <v>0</v>
      </c>
      <c r="CE16" s="574">
        <v>-4.0000000000000001E-3</v>
      </c>
      <c r="CF16" s="572">
        <f>+SUMPRODUCT(CB16:CE16,BW$7:BZ$7)/CA$7</f>
        <v>1.1809128937918783E-3</v>
      </c>
      <c r="CG16" s="574">
        <f>-7/CB7</f>
        <v>-9.8425196850393699E-4</v>
      </c>
      <c r="CH16" s="574">
        <f>-8/CC7</f>
        <v>-1.0639712727756351E-3</v>
      </c>
      <c r="CI16" s="574">
        <f>-3/CD7</f>
        <v>-4.0106951871657755E-4</v>
      </c>
      <c r="CJ16" s="574">
        <f>-5/CE7</f>
        <v>-5.912961210974456E-4</v>
      </c>
      <c r="CK16" s="572">
        <f>+SUMPRODUCT(CG16:CJ16,CB$7:CE$7)/CF$7</f>
        <v>-7.5244544770504136E-4</v>
      </c>
      <c r="CL16" s="836">
        <f>-2/CG7</f>
        <v>-2.5144581342720644E-4</v>
      </c>
      <c r="CM16" s="836">
        <f>-5/CH7</f>
        <v>-6.3475942617747876E-4</v>
      </c>
      <c r="CN16" s="836">
        <f>6/CI7</f>
        <v>7.3991860895301518E-4</v>
      </c>
      <c r="CO16" s="836">
        <f>-1/CJ7</f>
        <v>-1.1190689346463742E-4</v>
      </c>
      <c r="CP16" s="572">
        <f>+SUMPRODUCT(CL16:CO16,CG$7:CJ$7)/CK$7</f>
        <v>-6.0834651417447376E-5</v>
      </c>
      <c r="CQ16" s="839">
        <f>10/CL7</f>
        <v>1.4509576320371445E-3</v>
      </c>
      <c r="CR16" s="839">
        <f>12/CM7</f>
        <v>2.7372262773722629E-3</v>
      </c>
      <c r="CS16" s="839">
        <f>-9/CN7</f>
        <v>-1.829640170766416E-3</v>
      </c>
      <c r="CT16" s="839">
        <f>8/CO7</f>
        <v>1.3682230203523175E-3</v>
      </c>
      <c r="CU16" s="572">
        <f>+SUMPRODUCT(CQ16:CT16,CL$7:CO$7)/CP$7</f>
        <v>9.5272661283005177E-4</v>
      </c>
      <c r="CV16" s="839">
        <f>(-9-1)/CQ7</f>
        <v>-2.003205128205128E-3</v>
      </c>
      <c r="CW16" s="839">
        <f>-19/CR7</f>
        <v>-3.9256198347107441E-3</v>
      </c>
      <c r="CX16" s="839">
        <f>-22/CS7</f>
        <v>-4.0755835494627642E-3</v>
      </c>
      <c r="CY16" s="839">
        <f>(-29-1)/CT7</f>
        <v>-4.9342105263157892E-3</v>
      </c>
      <c r="CZ16" s="572">
        <f>+SUMPRODUCT(CV16:CY16,CQ$7:CT$7)/CU$7</f>
        <v>-3.8010323791647115E-3</v>
      </c>
      <c r="DA16" s="839">
        <f>(-6-1)/CV7</f>
        <v>-1.2493307156880244E-3</v>
      </c>
      <c r="DB16" s="839">
        <f>(2-3)/CW7</f>
        <v>-1.6321201240411296E-4</v>
      </c>
      <c r="DC16" s="839">
        <f>(8--5)/CX7</f>
        <v>1.9388516032811335E-3</v>
      </c>
      <c r="DD16" s="839">
        <f>(10--9)/CY7</f>
        <v>2.4950755088640839E-3</v>
      </c>
      <c r="DE16" s="572">
        <f>+SUMPRODUCT(DA16:DD16,CV$7:CY$7)/CZ$7</f>
        <v>9.2130518234165065E-4</v>
      </c>
      <c r="DF16" s="925">
        <v>0</v>
      </c>
      <c r="DG16" s="925">
        <v>0</v>
      </c>
      <c r="DH16" s="925">
        <v>0</v>
      </c>
      <c r="DI16" s="925">
        <v>0</v>
      </c>
      <c r="DJ16" s="926">
        <f t="shared" si="13"/>
        <v>0</v>
      </c>
      <c r="DK16" s="925">
        <v>0</v>
      </c>
      <c r="DL16" s="925">
        <v>0</v>
      </c>
      <c r="DM16" s="925">
        <v>0</v>
      </c>
      <c r="DN16" s="925">
        <v>0</v>
      </c>
      <c r="DO16" s="926">
        <f t="shared" si="15"/>
        <v>0</v>
      </c>
      <c r="DP16" s="925">
        <v>0</v>
      </c>
      <c r="DQ16" s="925">
        <v>0</v>
      </c>
      <c r="DR16" s="925">
        <v>0</v>
      </c>
      <c r="DS16" s="925">
        <v>0</v>
      </c>
      <c r="DT16" s="926">
        <f t="shared" si="17"/>
        <v>0</v>
      </c>
      <c r="DU16" s="926">
        <v>0</v>
      </c>
      <c r="DV16" s="926">
        <v>0</v>
      </c>
    </row>
    <row r="17" spans="2:126" s="547" customFormat="1" ht="12.9" customHeight="1">
      <c r="B17" s="576" t="s">
        <v>70</v>
      </c>
      <c r="C17" s="565"/>
      <c r="D17" s="565"/>
      <c r="E17" s="565"/>
      <c r="F17" s="565"/>
      <c r="G17" s="565"/>
      <c r="H17" s="565"/>
      <c r="I17" s="565">
        <f>I7/H7-1</f>
        <v>-5.6727403285162903E-2</v>
      </c>
      <c r="J17" s="577"/>
      <c r="K17" s="577"/>
      <c r="L17" s="577"/>
      <c r="M17" s="577"/>
      <c r="N17" s="565">
        <f>N7/I7-1</f>
        <v>5.56665715101341E-2</v>
      </c>
      <c r="O17" s="577"/>
      <c r="P17" s="577"/>
      <c r="Q17" s="577"/>
      <c r="R17" s="577"/>
      <c r="S17" s="565">
        <f>S7/N7-1</f>
        <v>6.5981611681990238E-2</v>
      </c>
      <c r="T17" s="577"/>
      <c r="U17" s="577"/>
      <c r="V17" s="577"/>
      <c r="W17" s="577"/>
      <c r="X17" s="565">
        <f t="shared" ref="X17:BD17" si="18">X7/S7-1</f>
        <v>0.10071029934043629</v>
      </c>
      <c r="Y17" s="577">
        <f t="shared" si="18"/>
        <v>0.14651162790697669</v>
      </c>
      <c r="Z17" s="577">
        <f t="shared" si="18"/>
        <v>0.24094919379373292</v>
      </c>
      <c r="AA17" s="577">
        <f t="shared" si="18"/>
        <v>0.35333546121927872</v>
      </c>
      <c r="AB17" s="577">
        <f t="shared" si="18"/>
        <v>0.40758293838862558</v>
      </c>
      <c r="AC17" s="565">
        <f t="shared" si="18"/>
        <v>0.29207958823077518</v>
      </c>
      <c r="AD17" s="577">
        <f t="shared" si="18"/>
        <v>0.2518110692552884</v>
      </c>
      <c r="AE17" s="577">
        <f t="shared" si="18"/>
        <v>0.20691345918117188</v>
      </c>
      <c r="AF17" s="577">
        <f t="shared" si="18"/>
        <v>0.14174528301886791</v>
      </c>
      <c r="AG17" s="577">
        <f t="shared" si="18"/>
        <v>2.0994256288374036E-2</v>
      </c>
      <c r="AH17" s="565">
        <f t="shared" si="18"/>
        <v>0.14388489208633093</v>
      </c>
      <c r="AI17" s="577">
        <f t="shared" si="18"/>
        <v>0.11504629629629637</v>
      </c>
      <c r="AJ17" s="577">
        <f t="shared" si="18"/>
        <v>-6.1750964858825919E-2</v>
      </c>
      <c r="AK17" s="577">
        <f t="shared" si="18"/>
        <v>-6.1764098326791972E-2</v>
      </c>
      <c r="AL17" s="577">
        <f t="shared" si="18"/>
        <v>-7.8564500484966104E-2</v>
      </c>
      <c r="AM17" s="565">
        <f t="shared" si="18"/>
        <v>-2.656063204948278E-2</v>
      </c>
      <c r="AN17" s="577">
        <f t="shared" si="18"/>
        <v>-0.13535395474361633</v>
      </c>
      <c r="AO17" s="577">
        <f t="shared" si="18"/>
        <v>-7.7938947824204408E-2</v>
      </c>
      <c r="AP17" s="577">
        <f t="shared" si="18"/>
        <v>-3.3245266402465834E-2</v>
      </c>
      <c r="AQ17" s="577">
        <f t="shared" si="18"/>
        <v>1.1368421052631472E-2</v>
      </c>
      <c r="AR17" s="565">
        <f t="shared" si="18"/>
        <v>-5.9216146945749726E-2</v>
      </c>
      <c r="AS17" s="577">
        <f t="shared" si="18"/>
        <v>4.8739495798319377E-2</v>
      </c>
      <c r="AT17" s="577">
        <f t="shared" si="18"/>
        <v>0.1110589340220709</v>
      </c>
      <c r="AU17" s="577">
        <f t="shared" si="18"/>
        <v>0.1011159189250741</v>
      </c>
      <c r="AV17" s="577">
        <f t="shared" si="18"/>
        <v>2.497918401332222E-2</v>
      </c>
      <c r="AW17" s="565">
        <f t="shared" si="18"/>
        <v>7.0378568590725887E-2</v>
      </c>
      <c r="AX17" s="577">
        <f t="shared" si="18"/>
        <v>0.11973443223443225</v>
      </c>
      <c r="AY17" s="577">
        <f t="shared" si="18"/>
        <v>2.5993237531699132E-2</v>
      </c>
      <c r="AZ17" s="577">
        <f t="shared" si="18"/>
        <v>-1.1168562564632833E-2</v>
      </c>
      <c r="BA17" s="577">
        <f t="shared" si="18"/>
        <v>0.11027619821283507</v>
      </c>
      <c r="BB17" s="565">
        <f t="shared" si="18"/>
        <v>6.018346677978692E-2</v>
      </c>
      <c r="BC17" s="577">
        <f t="shared" si="18"/>
        <v>3.7415661418932711E-2</v>
      </c>
      <c r="BD17" s="577">
        <f t="shared" si="18"/>
        <v>9.2276004119464572E-2</v>
      </c>
      <c r="BE17" s="577">
        <f>SUM(BE14:BE16)</f>
        <v>0.122</v>
      </c>
      <c r="BF17" s="577">
        <f>BF7/BA7-1</f>
        <v>0.12858972013901582</v>
      </c>
      <c r="BG17" s="565">
        <f t="shared" ref="BG17:BL17" si="19">SUM(BG14:BG16)</f>
        <v>9.5892867860358097E-2</v>
      </c>
      <c r="BH17" s="577">
        <f t="shared" si="19"/>
        <v>0.13899999999999998</v>
      </c>
      <c r="BI17" s="577">
        <f t="shared" si="19"/>
        <v>0.16128606449179711</v>
      </c>
      <c r="BJ17" s="577">
        <f t="shared" si="19"/>
        <v>6.2196370867511813E-2</v>
      </c>
      <c r="BK17" s="577">
        <f t="shared" si="19"/>
        <v>0.05</v>
      </c>
      <c r="BL17" s="565">
        <f t="shared" si="19"/>
        <v>0.10052974913665891</v>
      </c>
      <c r="BM17" s="578">
        <f>BM7/BH7-1</f>
        <v>-1.7999307718933877E-2</v>
      </c>
      <c r="BN17" s="577">
        <f t="shared" ref="BN17:CS17" si="20">SUM(BN14:BN16)</f>
        <v>0.03</v>
      </c>
      <c r="BO17" s="577">
        <f t="shared" si="20"/>
        <v>5.2999999999999999E-2</v>
      </c>
      <c r="BP17" s="577">
        <f t="shared" si="20"/>
        <v>0.05</v>
      </c>
      <c r="BQ17" s="565">
        <f t="shared" si="20"/>
        <v>2.8775906627761565E-2</v>
      </c>
      <c r="BR17" s="577">
        <f t="shared" si="20"/>
        <v>0.104</v>
      </c>
      <c r="BS17" s="577">
        <f t="shared" si="20"/>
        <v>0.04</v>
      </c>
      <c r="BT17" s="577">
        <f t="shared" si="20"/>
        <v>0.05</v>
      </c>
      <c r="BU17" s="577">
        <f t="shared" si="20"/>
        <v>6.9999999999999993E-2</v>
      </c>
      <c r="BV17" s="565">
        <f t="shared" si="20"/>
        <v>6.5350391306110867E-2</v>
      </c>
      <c r="BW17" s="579">
        <f t="shared" si="20"/>
        <v>8.9249760459917046E-2</v>
      </c>
      <c r="BX17" s="579">
        <f t="shared" si="20"/>
        <v>3.0000000000000001E-3</v>
      </c>
      <c r="BY17" s="579">
        <f t="shared" si="20"/>
        <v>8.2000000000000003E-2</v>
      </c>
      <c r="BZ17" s="579">
        <f t="shared" si="20"/>
        <v>4.0000000000000001E-3</v>
      </c>
      <c r="CA17" s="565">
        <f t="shared" si="20"/>
        <v>4.2793716679360265E-2</v>
      </c>
      <c r="CB17" s="579">
        <f t="shared" si="20"/>
        <v>6.6000000000000003E-2</v>
      </c>
      <c r="CC17" s="579">
        <f t="shared" si="20"/>
        <v>0.13300000000000001</v>
      </c>
      <c r="CD17" s="579">
        <f t="shared" si="20"/>
        <v>0.12</v>
      </c>
      <c r="CE17" s="579">
        <f t="shared" si="20"/>
        <v>0.20599999999999999</v>
      </c>
      <c r="CF17" s="565">
        <f t="shared" si="20"/>
        <v>0.13217043645652093</v>
      </c>
      <c r="CG17" s="579">
        <f t="shared" si="20"/>
        <v>0.11839145106861637</v>
      </c>
      <c r="CH17" s="579">
        <f t="shared" si="20"/>
        <v>4.8643333466634672E-2</v>
      </c>
      <c r="CI17" s="579">
        <f t="shared" si="20"/>
        <v>8.549313629863442E-2</v>
      </c>
      <c r="CJ17" s="579">
        <f t="shared" si="20"/>
        <v>5.7543770198550948E-2</v>
      </c>
      <c r="CK17" s="565">
        <f t="shared" si="20"/>
        <v>7.6351228601052062E-2</v>
      </c>
      <c r="CL17" s="577">
        <f t="shared" si="20"/>
        <v>-0.13598861707972373</v>
      </c>
      <c r="CM17" s="577">
        <f t="shared" si="20"/>
        <v>-0.44600972683913132</v>
      </c>
      <c r="CN17" s="577">
        <f t="shared" si="20"/>
        <v>-0.39688860664683118</v>
      </c>
      <c r="CO17" s="577">
        <f t="shared" si="20"/>
        <v>-0.34834692338591028</v>
      </c>
      <c r="CP17" s="565">
        <f t="shared" si="20"/>
        <v>-0.3323418267806183</v>
      </c>
      <c r="CQ17" s="577">
        <f t="shared" si="20"/>
        <v>-0.27785838653511319</v>
      </c>
      <c r="CR17" s="577">
        <f t="shared" si="20"/>
        <v>0.10452819368108938</v>
      </c>
      <c r="CS17" s="577">
        <f t="shared" si="20"/>
        <v>9.7605330229091861E-2</v>
      </c>
      <c r="CT17" s="577">
        <f t="shared" ref="CT17:DJ17" si="21">SUM(CT14:CT16)</f>
        <v>3.9849495467761162E-2</v>
      </c>
      <c r="CU17" s="565">
        <f t="shared" si="21"/>
        <v>-3.3736855979729675E-2</v>
      </c>
      <c r="CV17" s="577">
        <f t="shared" si="21"/>
        <v>0.12242075800543545</v>
      </c>
      <c r="CW17" s="577">
        <f t="shared" si="21"/>
        <v>0.2661715076709722</v>
      </c>
      <c r="CX17" s="579">
        <f t="shared" si="21"/>
        <v>0.2419414597999259</v>
      </c>
      <c r="CY17" s="577">
        <f t="shared" si="21"/>
        <v>0.25205362242337176</v>
      </c>
      <c r="CZ17" s="565">
        <f t="shared" si="21"/>
        <v>0.22233132545399997</v>
      </c>
      <c r="DA17" s="577">
        <f t="shared" si="21"/>
        <v>0.24553867784962244</v>
      </c>
      <c r="DB17" s="577">
        <f t="shared" si="21"/>
        <v>0.2817291207771554</v>
      </c>
      <c r="DC17" s="577">
        <f t="shared" si="21"/>
        <v>0.25395077410700695</v>
      </c>
      <c r="DD17" s="577">
        <f t="shared" si="21"/>
        <v>0.11870703773341819</v>
      </c>
      <c r="DE17" s="565">
        <f t="shared" si="21"/>
        <v>0.21914017534435803</v>
      </c>
      <c r="DF17" s="577">
        <f t="shared" si="21"/>
        <v>0.14691270404542212</v>
      </c>
      <c r="DG17" s="577">
        <f t="shared" ref="DG17" si="22">SUM(DG14:DG16)</f>
        <v>3.5917541418995613E-2</v>
      </c>
      <c r="DH17" s="577">
        <f t="shared" si="21"/>
        <v>5.6967261553008131E-2</v>
      </c>
      <c r="DI17" s="577">
        <f t="shared" si="21"/>
        <v>0.15584415584415567</v>
      </c>
      <c r="DJ17" s="565">
        <f t="shared" si="21"/>
        <v>9.8040269835878158E-2</v>
      </c>
      <c r="DK17" s="577">
        <f t="shared" ref="DK17:DO17" si="23">SUM(DK14:DK16)</f>
        <v>0.11398514851485131</v>
      </c>
      <c r="DL17" s="577">
        <f t="shared" si="23"/>
        <v>0.23928702234159482</v>
      </c>
      <c r="DM17" s="577">
        <f t="shared" si="23"/>
        <v>0.12555741921055596</v>
      </c>
      <c r="DN17" s="577">
        <f t="shared" si="23"/>
        <v>7.3538819718595105E-2</v>
      </c>
      <c r="DO17" s="565">
        <f t="shared" si="23"/>
        <v>0.13489226514395594</v>
      </c>
      <c r="DP17" s="577">
        <f t="shared" ref="DP17:DT17" si="24">SUM(DP14:DP16)</f>
        <v>0.13802688590156675</v>
      </c>
      <c r="DQ17" s="577">
        <f t="shared" si="24"/>
        <v>0.13040587134272497</v>
      </c>
      <c r="DR17" s="577">
        <f t="shared" si="24"/>
        <v>0.12859413900054251</v>
      </c>
      <c r="DS17" s="577">
        <f t="shared" si="24"/>
        <v>0.15470855830329389</v>
      </c>
      <c r="DT17" s="565">
        <f t="shared" si="24"/>
        <v>0.13814258890826625</v>
      </c>
      <c r="DU17" s="565">
        <f t="shared" ref="DU17:DV17" si="25">SUM(DU14:DU16)</f>
        <v>8.5526391775256005E-2</v>
      </c>
      <c r="DV17" s="565">
        <f t="shared" si="25"/>
        <v>6.8933765152374038E-2</v>
      </c>
    </row>
    <row r="18" spans="2:126" s="532" customFormat="1" ht="12.9" customHeight="1">
      <c r="C18" s="556"/>
      <c r="D18" s="556"/>
      <c r="E18" s="556"/>
      <c r="F18" s="556"/>
      <c r="G18" s="556"/>
      <c r="H18" s="556"/>
      <c r="I18" s="556"/>
      <c r="J18" s="557"/>
      <c r="K18" s="557"/>
      <c r="L18" s="557"/>
      <c r="M18" s="557"/>
      <c r="N18" s="556"/>
      <c r="O18" s="557"/>
      <c r="P18" s="557"/>
      <c r="Q18" s="557"/>
      <c r="R18" s="557"/>
      <c r="S18" s="556"/>
      <c r="T18" s="557"/>
      <c r="U18" s="557"/>
      <c r="V18" s="557"/>
      <c r="W18" s="557"/>
      <c r="X18" s="556"/>
      <c r="Y18" s="557"/>
      <c r="Z18" s="557"/>
      <c r="AA18" s="557"/>
      <c r="AB18" s="557"/>
      <c r="AC18" s="556"/>
      <c r="AD18" s="557"/>
      <c r="AE18" s="557"/>
      <c r="AF18" s="557"/>
      <c r="AG18" s="557"/>
      <c r="AH18" s="556"/>
      <c r="AI18" s="557"/>
      <c r="AJ18" s="557"/>
      <c r="AK18" s="557"/>
      <c r="AL18" s="557"/>
      <c r="AM18" s="556"/>
      <c r="AN18" s="557"/>
      <c r="AO18" s="557"/>
      <c r="AP18" s="557"/>
      <c r="AQ18" s="557"/>
      <c r="AR18" s="556"/>
      <c r="AS18" s="557"/>
      <c r="AT18" s="557"/>
      <c r="AU18" s="557"/>
      <c r="AV18" s="557"/>
      <c r="AW18" s="556"/>
      <c r="AX18" s="557"/>
      <c r="AY18" s="557"/>
      <c r="AZ18" s="557"/>
      <c r="BA18" s="557"/>
      <c r="BB18" s="556"/>
      <c r="BC18" s="557"/>
      <c r="BD18" s="559"/>
      <c r="BE18" s="560"/>
      <c r="BF18" s="559"/>
      <c r="BG18" s="556"/>
      <c r="BH18" s="559"/>
      <c r="BI18" s="559"/>
      <c r="BJ18" s="559"/>
      <c r="BK18" s="559"/>
      <c r="BL18" s="556"/>
      <c r="BM18" s="559"/>
      <c r="BN18" s="559"/>
      <c r="BO18" s="559"/>
      <c r="BP18" s="559"/>
      <c r="BQ18" s="556"/>
      <c r="BR18" s="559"/>
      <c r="BS18" s="559"/>
      <c r="BT18" s="559"/>
      <c r="BU18" s="559"/>
      <c r="BV18" s="556"/>
      <c r="BW18" s="559"/>
      <c r="BX18" s="559"/>
      <c r="BY18" s="559"/>
      <c r="BZ18" s="559"/>
      <c r="CA18" s="556"/>
      <c r="CB18" s="570"/>
      <c r="CC18" s="570"/>
      <c r="CD18" s="570"/>
      <c r="CE18" s="570"/>
      <c r="CF18" s="556"/>
      <c r="CG18" s="580"/>
      <c r="CH18" s="580"/>
      <c r="CI18" s="580"/>
      <c r="CJ18" s="580"/>
      <c r="CK18" s="556"/>
      <c r="CL18" s="580"/>
      <c r="CM18" s="580"/>
      <c r="CN18" s="580"/>
      <c r="CO18" s="580"/>
      <c r="CP18" s="556"/>
      <c r="CQ18" s="559"/>
      <c r="CR18" s="559"/>
      <c r="CS18" s="559"/>
      <c r="CT18" s="559"/>
      <c r="CU18" s="556"/>
      <c r="CV18" s="559"/>
      <c r="CW18" s="559"/>
      <c r="CX18" s="559"/>
      <c r="CY18" s="559"/>
      <c r="CZ18" s="556"/>
      <c r="DA18" s="559"/>
      <c r="DB18" s="866"/>
      <c r="DC18" s="559"/>
      <c r="DD18" s="559"/>
      <c r="DE18" s="556"/>
      <c r="DF18" s="559"/>
      <c r="DG18" s="559"/>
      <c r="DH18" s="559"/>
      <c r="DI18" s="559"/>
      <c r="DJ18" s="556"/>
      <c r="DK18" s="559"/>
      <c r="DL18" s="559"/>
      <c r="DM18" s="559"/>
      <c r="DN18" s="559"/>
      <c r="DO18" s="556"/>
      <c r="DP18" s="559"/>
      <c r="DQ18" s="559"/>
      <c r="DR18" s="559"/>
      <c r="DS18" s="559"/>
      <c r="DT18" s="556"/>
      <c r="DU18" s="556"/>
      <c r="DV18" s="556"/>
    </row>
    <row r="19" spans="2:126" s="521" customFormat="1" ht="12.9" customHeight="1">
      <c r="B19" s="526" t="s">
        <v>454</v>
      </c>
      <c r="C19" s="523"/>
      <c r="D19" s="523"/>
      <c r="E19" s="523"/>
      <c r="F19" s="523"/>
      <c r="G19" s="523"/>
      <c r="H19" s="523"/>
      <c r="I19" s="523"/>
      <c r="J19" s="524"/>
      <c r="K19" s="524"/>
      <c r="L19" s="524"/>
      <c r="M19" s="525"/>
      <c r="N19" s="523"/>
      <c r="O19" s="524"/>
      <c r="P19" s="524"/>
      <c r="Q19" s="524"/>
      <c r="R19" s="525"/>
      <c r="S19" s="523"/>
      <c r="T19" s="524"/>
      <c r="U19" s="524"/>
      <c r="V19" s="524"/>
      <c r="W19" s="525"/>
      <c r="X19" s="523"/>
      <c r="Y19" s="524"/>
      <c r="Z19" s="524"/>
      <c r="AA19" s="524"/>
      <c r="AB19" s="525"/>
      <c r="AC19" s="523"/>
      <c r="AD19" s="524"/>
      <c r="AE19" s="524"/>
      <c r="AF19" s="524"/>
      <c r="AG19" s="525"/>
      <c r="AH19" s="523"/>
      <c r="AI19" s="524"/>
      <c r="AJ19" s="524"/>
      <c r="AK19" s="524"/>
      <c r="AL19" s="525"/>
      <c r="AM19" s="523"/>
      <c r="AN19" s="524"/>
      <c r="AO19" s="524"/>
      <c r="AP19" s="524"/>
      <c r="AQ19" s="525"/>
      <c r="AR19" s="523"/>
      <c r="AS19" s="524"/>
      <c r="AT19" s="524"/>
      <c r="AU19" s="524"/>
      <c r="AV19" s="525"/>
      <c r="AW19" s="523"/>
      <c r="AX19" s="524"/>
      <c r="AY19" s="524"/>
      <c r="AZ19" s="524"/>
      <c r="BA19" s="525"/>
      <c r="BB19" s="523"/>
      <c r="BC19" s="524"/>
      <c r="BD19" s="524"/>
      <c r="BE19" s="524"/>
      <c r="BF19" s="525"/>
      <c r="BG19" s="523"/>
      <c r="BH19" s="524"/>
      <c r="BI19" s="524"/>
      <c r="BJ19" s="524"/>
      <c r="BK19" s="525"/>
      <c r="BL19" s="523"/>
      <c r="BM19" s="524"/>
      <c r="BN19" s="524"/>
      <c r="BO19" s="524"/>
      <c r="BP19" s="525"/>
      <c r="BQ19" s="523"/>
      <c r="BR19" s="524"/>
      <c r="BS19" s="524"/>
      <c r="BT19" s="524"/>
      <c r="BU19" s="525"/>
      <c r="BV19" s="523"/>
      <c r="BW19" s="524"/>
      <c r="BX19" s="524"/>
      <c r="BY19" s="524"/>
      <c r="BZ19" s="525"/>
      <c r="CA19" s="523"/>
      <c r="CB19" s="524"/>
      <c r="CC19" s="524"/>
      <c r="CD19" s="524"/>
      <c r="CE19" s="525"/>
      <c r="CF19" s="523"/>
      <c r="CG19" s="524"/>
      <c r="CH19" s="524"/>
      <c r="CI19" s="524"/>
      <c r="CJ19" s="524"/>
      <c r="CK19" s="523"/>
      <c r="CL19" s="524" t="s">
        <v>394</v>
      </c>
      <c r="CM19" s="524"/>
      <c r="CN19" s="524"/>
      <c r="CO19" s="525"/>
      <c r="CP19" s="523"/>
      <c r="CQ19" s="524"/>
      <c r="CR19" s="524"/>
      <c r="CS19" s="524"/>
      <c r="CT19" s="525"/>
      <c r="CU19" s="523"/>
      <c r="CV19" s="524"/>
      <c r="CW19" s="524"/>
      <c r="CX19" s="524"/>
      <c r="CY19" s="525"/>
      <c r="CZ19" s="523"/>
      <c r="DA19" s="524"/>
      <c r="DB19" s="524"/>
      <c r="DC19" s="524"/>
      <c r="DD19" s="525"/>
      <c r="DE19" s="523"/>
      <c r="DF19" s="524"/>
      <c r="DG19" s="524"/>
      <c r="DH19" s="524"/>
      <c r="DI19" s="525"/>
      <c r="DJ19" s="523"/>
      <c r="DK19" s="524"/>
      <c r="DL19" s="524"/>
      <c r="DM19" s="524"/>
      <c r="DN19" s="525"/>
      <c r="DO19" s="523"/>
      <c r="DP19" s="524"/>
      <c r="DQ19" s="524"/>
      <c r="DR19" s="524"/>
      <c r="DS19" s="525"/>
      <c r="DT19" s="523"/>
      <c r="DU19" s="523"/>
      <c r="DV19" s="523"/>
    </row>
    <row r="20" spans="2:126" s="547" customFormat="1" ht="12.9" customHeight="1">
      <c r="B20" s="813" t="s">
        <v>391</v>
      </c>
      <c r="C20" s="565"/>
      <c r="D20" s="565"/>
      <c r="E20" s="565"/>
      <c r="F20" s="565"/>
      <c r="G20" s="565"/>
      <c r="H20" s="565">
        <f>Aerospace!H9/Aerospace!H7</f>
        <v>0.18490261197379051</v>
      </c>
      <c r="I20" s="565">
        <f>Aerospace!I9/Aerospace!I7</f>
        <v>0.20439623180131317</v>
      </c>
      <c r="J20" s="581"/>
      <c r="K20" s="581"/>
      <c r="L20" s="581"/>
      <c r="M20" s="581"/>
      <c r="N20" s="565">
        <f>Aerospace!N9/Aerospace!N7</f>
        <v>0.20172165134306833</v>
      </c>
      <c r="O20" s="581"/>
      <c r="P20" s="581"/>
      <c r="Q20" s="581"/>
      <c r="R20" s="581"/>
      <c r="S20" s="565">
        <f>Aerospace!S9/Aerospace!S7</f>
        <v>0.2135125993573482</v>
      </c>
      <c r="T20" s="581">
        <f>Aerospace!T9/Aerospace!T7</f>
        <v>0.20830564784053157</v>
      </c>
      <c r="U20" s="581">
        <f>Aerospace!U9/Aerospace!U7</f>
        <v>0.22147855187100698</v>
      </c>
      <c r="V20" s="581">
        <f>Aerospace!V9/Aerospace!V7</f>
        <v>0.21991701244813278</v>
      </c>
      <c r="W20" s="581">
        <f>Aerospace!W9/Aerospace!W7</f>
        <v>0.21131865068302202</v>
      </c>
      <c r="X20" s="565">
        <f>Aerospace!X9/Aerospace!X7</f>
        <v>0.21525697165245447</v>
      </c>
      <c r="Y20" s="581">
        <f>Aerospace!Y9/Aerospace!Y7</f>
        <v>0.20254998551144596</v>
      </c>
      <c r="Z20" s="581">
        <f>Aerospace!Z9/Aerospace!Z7</f>
        <v>0.20299092914930131</v>
      </c>
      <c r="AA20" s="581">
        <f>Aerospace!AA9/Aerospace!AA7</f>
        <v>0.17358490566037735</v>
      </c>
      <c r="AB20" s="581">
        <f>Aerospace!AB9/Aerospace!AB7</f>
        <v>0.18993860170330759</v>
      </c>
      <c r="AC20" s="565">
        <f>Aerospace!AC9/Aerospace!AC7</f>
        <v>0.19156905880254474</v>
      </c>
      <c r="AD20" s="581">
        <f>Aerospace!AD9/Aerospace!AD7</f>
        <v>0.17939814814814814</v>
      </c>
      <c r="AE20" s="581">
        <f>Aerospace!AE9/Aerospace!AE7</f>
        <v>0.18565915092423318</v>
      </c>
      <c r="AF20" s="581">
        <f>Aerospace!AF9/Aerospace!AF7</f>
        <v>0.17227845486469737</v>
      </c>
      <c r="AG20" s="581">
        <f>Aerospace!AG9/Aerospace!AG7</f>
        <v>0.22521823472356936</v>
      </c>
      <c r="AH20" s="565">
        <f>Aerospace!AH9/Aerospace!AH7</f>
        <v>0.19148604397317948</v>
      </c>
      <c r="AI20" s="581">
        <f>Aerospace!AI9/Aerospace!AI7</f>
        <v>0.2242059373053768</v>
      </c>
      <c r="AJ20" s="581">
        <f>Aerospace!AJ9/Aerospace!AJ7</f>
        <v>0.19982680233816844</v>
      </c>
      <c r="AK20" s="581">
        <f>Aerospace!AK9/Aerospace!AK7</f>
        <v>0.21356230735358872</v>
      </c>
      <c r="AL20" s="581">
        <f>Aerospace!AL9/Aerospace!AL7</f>
        <v>0.2</v>
      </c>
      <c r="AM20" s="565">
        <f>Aerospace!AM9/Aerospace!AM7</f>
        <v>0.20947244767193507</v>
      </c>
      <c r="AN20" s="581">
        <f>Aerospace!AN9/Aerospace!AN7</f>
        <v>0.19183673469387755</v>
      </c>
      <c r="AO20" s="581">
        <f>Aerospace!AO9/Aerospace!AO7</f>
        <v>0.20638647569852078</v>
      </c>
      <c r="AP20" s="581">
        <f>Aerospace!AP9/Aerospace!AP7</f>
        <v>0.18332953769073104</v>
      </c>
      <c r="AQ20" s="581">
        <f>Aerospace!AQ9/Aerospace!AQ7</f>
        <v>0.17089925062447961</v>
      </c>
      <c r="AR20" s="565">
        <f>Aerospace!AR9/Aerospace!AR7</f>
        <v>0.18752483114819229</v>
      </c>
      <c r="AS20" s="581">
        <f>Aerospace!AS9/Aerospace!AS7</f>
        <v>0.19253663003663005</v>
      </c>
      <c r="AT20" s="581">
        <f>Aerospace!AT9/Aerospace!AT7</f>
        <v>0.20266272189349113</v>
      </c>
      <c r="AU20" s="581">
        <f>Aerospace!AU9/Aerospace!AU7</f>
        <v>0.1782833505687694</v>
      </c>
      <c r="AV20" s="581">
        <f>Aerospace!AV9/Aerospace!AV7</f>
        <v>0.17262388302193338</v>
      </c>
      <c r="AW20" s="565">
        <f>Aerospace!AW9/Aerospace!AW7</f>
        <v>0.1862240839917281</v>
      </c>
      <c r="AX20" s="581">
        <f>Aerospace!AX11/Aerospace!AX7</f>
        <v>0.17624207728480884</v>
      </c>
      <c r="AY20" s="581">
        <f>Aerospace!AY11/Aerospace!AY7</f>
        <v>0.18990731204943356</v>
      </c>
      <c r="AZ20" s="581">
        <f>Aerospace!AZ11/Aerospace!AZ7</f>
        <v>0.19326500732064422</v>
      </c>
      <c r="BA20" s="581">
        <f>Aerospace!BA11/Aerospace!BA7</f>
        <v>0.19004938723248582</v>
      </c>
      <c r="BB20" s="565">
        <f>Aerospace!BB11/Aerospace!BB7</f>
        <v>0.18740622186655997</v>
      </c>
      <c r="BC20" s="581">
        <f>Aerospace!BC11/Aerospace!BC7</f>
        <v>0.18446984627512811</v>
      </c>
      <c r="BD20" s="581">
        <f>Aerospace!BD11/Aerospace!BD7</f>
        <v>0.20120686403922308</v>
      </c>
      <c r="BE20" s="581">
        <f>Aerospace!BE11/Aerospace!BE7</f>
        <v>0.20339299030574198</v>
      </c>
      <c r="BF20" s="581">
        <f>Aerospace!BF11/Aerospace!BF7</f>
        <v>0.20275526742301458</v>
      </c>
      <c r="BG20" s="565">
        <f>Aerospace!BG11/Aerospace!BG7</f>
        <v>0.19830222262790378</v>
      </c>
      <c r="BH20" s="581">
        <f>Aerospace!BH11/Aerospace!BH7</f>
        <v>0.19297334717895465</v>
      </c>
      <c r="BI20" s="581">
        <f>Aerospace!BI11/Aerospace!BI7</f>
        <v>0.19655172413793104</v>
      </c>
      <c r="BJ20" s="581">
        <f>Aerospace!BJ11/Aerospace!BJ7</f>
        <v>0.22183222183222184</v>
      </c>
      <c r="BK20" s="581">
        <f>Aerospace!BK11/Aerospace!BK7</f>
        <v>0.21746575342465754</v>
      </c>
      <c r="BL20" s="565">
        <f>Aerospace!BL11/Aerospace!BL7</f>
        <v>0.20729470612755316</v>
      </c>
      <c r="BM20" s="581">
        <f>Aerospace!BM11/Aerospace!BM7</f>
        <v>0.23158265773704617</v>
      </c>
      <c r="BN20" s="581">
        <f>Aerospace!BN11/Aerospace!BN7</f>
        <v>0.20297504798464491</v>
      </c>
      <c r="BO20" s="581">
        <f>Aerospace!BO11/Aerospace!BO7</f>
        <v>0.22546242292951174</v>
      </c>
      <c r="BP20" s="581">
        <f>Aerospace!BP11/Aerospace!BP7</f>
        <v>0.23329373329373329</v>
      </c>
      <c r="BQ20" s="565">
        <f>Aerospace!BQ11/Aerospace!BQ7</f>
        <v>0.22330805725639674</v>
      </c>
      <c r="BR20" s="581">
        <f>Aerospace!BR11/Aerospace!BR7</f>
        <v>0.24337272436921112</v>
      </c>
      <c r="BS20" s="581">
        <f>Aerospace!BS11/Aerospace!BS7</f>
        <v>0.20703424973122408</v>
      </c>
      <c r="BT20" s="581">
        <f>Aerospace!BT11/Aerospace!BT7</f>
        <v>0.23714285714285716</v>
      </c>
      <c r="BU20" s="581">
        <f>Aerospace!BU11/Aerospace!BU7</f>
        <v>0.24335605955196885</v>
      </c>
      <c r="BV20" s="565">
        <f>Aerospace!BV11/Aerospace!BV7</f>
        <v>0.23286367098248287</v>
      </c>
      <c r="BW20" s="581">
        <f>Aerospace!BW11/Aerospace!BW7</f>
        <v>0.19076876966881462</v>
      </c>
      <c r="BX20" s="581">
        <f>Aerospace!BX11/Aerospace!BX7</f>
        <v>0.20711486282785649</v>
      </c>
      <c r="BY20" s="581">
        <f>Aerospace!BY11/Aerospace!BY7</f>
        <v>0.19937275985663083</v>
      </c>
      <c r="BZ20" s="581">
        <f>Aerospace!BZ11/Aerospace!BZ7</f>
        <v>0.19800285306704707</v>
      </c>
      <c r="CA20" s="565">
        <f>Aerospace!CA11/Aerospace!CA7</f>
        <v>0.19879317365712804</v>
      </c>
      <c r="CB20" s="581">
        <f>Aerospace!CB11/Aerospace!CB7</f>
        <v>0.22539370078740156</v>
      </c>
      <c r="CC20" s="562">
        <f>Aerospace!CC11/Aerospace!CC7</f>
        <v>0.19616970341800771</v>
      </c>
      <c r="CD20" s="562">
        <f>Aerospace!CD11/Aerospace!CD7</f>
        <v>0.22259358288770054</v>
      </c>
      <c r="CE20" s="562">
        <f>Aerospace!CE11/Aerospace!CE7</f>
        <v>0.20376064333017976</v>
      </c>
      <c r="CF20" s="565">
        <f>Aerospace!CF11/Aerospace!CF7</f>
        <v>0.21153531586351293</v>
      </c>
      <c r="CG20" s="562">
        <f>Aerospace!CG11/Aerospace!CG7</f>
        <v>0.20870002514458133</v>
      </c>
      <c r="CH20" s="562">
        <f>Aerospace!CH11/Aerospace!CH7</f>
        <v>0.17582836105116162</v>
      </c>
      <c r="CI20" s="562">
        <f>Aerospace!CI11/Aerospace!CI7</f>
        <v>0.21186336169688</v>
      </c>
      <c r="CJ20" s="562">
        <f>Aerospace!CJ11/Aerospace!CJ7</f>
        <v>0.23008057296329454</v>
      </c>
      <c r="CK20" s="565">
        <f>Aerospace!CK11/Aerospace!CK7</f>
        <v>0.20741574400778684</v>
      </c>
      <c r="CL20" s="562">
        <f>Aerospace!CL9/Aerospace!CL7</f>
        <v>0.14552056571677296</v>
      </c>
      <c r="CM20" s="562">
        <f>Aerospace!CM9/Aerospace!CM7</f>
        <v>-0.15670577082572978</v>
      </c>
      <c r="CN20" s="562">
        <f>Aerospace!CN9/Aerospace!CN7</f>
        <v>7.106227199430809E-2</v>
      </c>
      <c r="CO20" s="562">
        <f>Aerospace!CO9/Aerospace!CO7</f>
        <v>9.6424461903540259E-2</v>
      </c>
      <c r="CP20" s="565">
        <f>Aerospace!CP9/Aerospace!CP7</f>
        <v>5.5769838685691013E-2</v>
      </c>
      <c r="CQ20" s="562">
        <f>Aerospace!CQ9/Aerospace!CQ7</f>
        <v>0.12840544871794871</v>
      </c>
      <c r="CR20" s="562">
        <f>Aerospace!CR9/Aerospace!CR7</f>
        <v>3.6363636363636362E-2</v>
      </c>
      <c r="CS20" s="562">
        <f>Aerospace!CS9/Aerospace!CS7</f>
        <v>0.15672471285661357</v>
      </c>
      <c r="CT20" s="562">
        <f>Aerospace!CT9/Aerospace!CT7</f>
        <v>0.20032894736842105</v>
      </c>
      <c r="CU20" s="565">
        <f>Aerospace!CU9/Aerospace!CU7</f>
        <v>0.13519474425152511</v>
      </c>
      <c r="CV20" s="562">
        <f>Aerospace!CV9/Aerospace!CV7</f>
        <v>0.16205604140638943</v>
      </c>
      <c r="CW20" s="562">
        <f>Aerospace!CW9/Aerospace!CW7</f>
        <v>0.18736739023992166</v>
      </c>
      <c r="CX20" s="562">
        <f>Aerospace!CX9/Aerospace!CX7</f>
        <v>0.19149888143176733</v>
      </c>
      <c r="CY20" s="562">
        <f>Aerospace!CY9/Aerospace!CY7</f>
        <v>0.18831254103742615</v>
      </c>
      <c r="CZ20" s="565">
        <f>Aerospace!CZ9/Aerospace!CZ7</f>
        <v>0.18326295585412669</v>
      </c>
      <c r="DA20" s="562">
        <f>Aerospace!DA9/Aerospace!DA7</f>
        <v>0.18994413407821228</v>
      </c>
      <c r="DB20" s="562">
        <f>Aerospace!DB9/Aerospace!DB7</f>
        <v>0.18816793893129771</v>
      </c>
      <c r="DC20" s="562">
        <f>Aerospace!DC9/Aerospace!DC7</f>
        <v>0.20359139017719111</v>
      </c>
      <c r="DD20" s="562">
        <f>Aerospace!DD9/Aerospace!DD7</f>
        <v>0.1875586854460094</v>
      </c>
      <c r="DE20" s="565">
        <f>Aerospace!DE9/Aerospace!DE7</f>
        <v>0.19247717972930437</v>
      </c>
      <c r="DF20" s="924">
        <f>SEG!DF89</f>
        <v>0.1919266963843487</v>
      </c>
      <c r="DG20" s="924">
        <f>SEG!DG89</f>
        <v>0.23069439377356196</v>
      </c>
      <c r="DH20" s="924">
        <f>SEG!DH89</f>
        <v>0.20328748742032876</v>
      </c>
      <c r="DI20" s="924">
        <f>SEG!DI89</f>
        <v>0.20123494280797652</v>
      </c>
      <c r="DJ20" s="923">
        <f>Aerospace!DJ9/Aerospace!DJ7</f>
        <v>0.20651462088209332</v>
      </c>
      <c r="DK20" s="924">
        <f>SEG!DK89</f>
        <v>0.23841795356071549</v>
      </c>
      <c r="DL20" s="924">
        <f>SEG!DL89</f>
        <v>0.23022362328834597</v>
      </c>
      <c r="DM20" s="924">
        <f>SEG!DM89</f>
        <v>0.21272170286493156</v>
      </c>
      <c r="DN20" s="924">
        <f>SEG!DN89</f>
        <v>0.19215738263861451</v>
      </c>
      <c r="DO20" s="923">
        <f>SEG!DO89</f>
        <v>0.21751434974707046</v>
      </c>
      <c r="DP20" s="924">
        <f>SEG!DP89</f>
        <v>0.232233583055593</v>
      </c>
      <c r="DQ20" s="924">
        <f>SEG!DQ89</f>
        <v>0.22621109392361491</v>
      </c>
      <c r="DR20" s="924">
        <f>SEG!DR89</f>
        <v>0.22032073075794517</v>
      </c>
      <c r="DS20" s="924">
        <f>SEG!DS89</f>
        <v>0.21139893321603531</v>
      </c>
      <c r="DT20" s="923">
        <f>SEG!DT89</f>
        <v>0.22209371196718344</v>
      </c>
      <c r="DU20" s="923">
        <f>SEG!DU89</f>
        <v>0.22433029072022478</v>
      </c>
      <c r="DV20" s="923">
        <f>SEG!DV89</f>
        <v>0.22638396129000812</v>
      </c>
    </row>
    <row r="21" spans="2:126" s="532" customFormat="1" ht="12.9" hidden="1" customHeight="1" outlineLevel="1">
      <c r="B21" s="582"/>
      <c r="C21" s="583"/>
      <c r="D21" s="583"/>
      <c r="E21" s="583"/>
      <c r="F21" s="583"/>
      <c r="G21" s="583"/>
      <c r="H21" s="583"/>
      <c r="I21" s="583"/>
      <c r="J21" s="584"/>
      <c r="K21" s="584"/>
      <c r="L21" s="584"/>
      <c r="M21" s="584"/>
      <c r="N21" s="583"/>
      <c r="O21" s="584"/>
      <c r="P21" s="584"/>
      <c r="Q21" s="584"/>
      <c r="R21" s="584"/>
      <c r="S21" s="583"/>
      <c r="T21" s="584"/>
      <c r="U21" s="584"/>
      <c r="V21" s="584"/>
      <c r="W21" s="584"/>
      <c r="X21" s="583"/>
      <c r="Y21" s="584"/>
      <c r="Z21" s="584"/>
      <c r="AA21" s="584"/>
      <c r="AB21" s="584"/>
      <c r="AC21" s="583"/>
      <c r="AD21" s="584"/>
      <c r="AE21" s="584"/>
      <c r="AF21" s="584"/>
      <c r="AG21" s="584"/>
      <c r="AH21" s="583"/>
      <c r="AI21" s="584"/>
      <c r="AJ21" s="584"/>
      <c r="AK21" s="584"/>
      <c r="AL21" s="584"/>
      <c r="AM21" s="583"/>
      <c r="AN21" s="584"/>
      <c r="AO21" s="584"/>
      <c r="AP21" s="584"/>
      <c r="AQ21" s="584"/>
      <c r="AR21" s="583"/>
      <c r="AS21" s="584"/>
      <c r="AT21" s="584"/>
      <c r="AU21" s="584"/>
      <c r="AV21" s="584"/>
      <c r="AW21" s="583"/>
      <c r="AX21" s="584"/>
      <c r="AY21" s="584"/>
      <c r="AZ21" s="584"/>
      <c r="BA21" s="584"/>
      <c r="BB21" s="583"/>
      <c r="BC21" s="584"/>
      <c r="BD21" s="584"/>
      <c r="BE21" s="584"/>
      <c r="BF21" s="584"/>
      <c r="BG21" s="583"/>
      <c r="BH21" s="584"/>
      <c r="BI21" s="584"/>
      <c r="BJ21" s="584"/>
      <c r="BK21" s="584"/>
      <c r="BL21" s="583"/>
      <c r="BM21" s="584"/>
      <c r="BN21" s="584"/>
      <c r="BO21" s="584"/>
      <c r="BP21" s="584"/>
      <c r="BQ21" s="583"/>
      <c r="BR21" s="584"/>
      <c r="BS21" s="584"/>
      <c r="BT21" s="584"/>
      <c r="BU21" s="584"/>
      <c r="BV21" s="583"/>
      <c r="BW21" s="584"/>
      <c r="BX21" s="584"/>
      <c r="BY21" s="584"/>
      <c r="BZ21" s="584"/>
      <c r="CA21" s="583"/>
      <c r="CB21" s="584"/>
      <c r="CC21" s="585"/>
      <c r="CD21" s="585"/>
      <c r="CE21" s="585"/>
      <c r="CF21" s="583"/>
      <c r="CG21" s="585"/>
      <c r="CH21" s="585"/>
      <c r="CI21" s="585"/>
      <c r="CJ21" s="585"/>
      <c r="CK21" s="583"/>
      <c r="CL21" s="586"/>
      <c r="CM21" s="586"/>
      <c r="CN21" s="586"/>
      <c r="CO21" s="586"/>
      <c r="CP21" s="583"/>
      <c r="CQ21" s="586"/>
      <c r="CR21" s="586"/>
      <c r="CS21" s="586"/>
      <c r="CT21" s="586"/>
      <c r="CU21" s="583"/>
      <c r="CV21" s="586"/>
      <c r="CW21" s="586"/>
      <c r="CX21" s="586"/>
      <c r="CY21" s="586"/>
      <c r="CZ21" s="583"/>
      <c r="DA21" s="586"/>
      <c r="DB21" s="586"/>
      <c r="DC21" s="586"/>
      <c r="DD21" s="586"/>
      <c r="DE21" s="583"/>
      <c r="DF21" s="587"/>
      <c r="DG21" s="587"/>
      <c r="DH21" s="587"/>
      <c r="DI21" s="587"/>
      <c r="DJ21" s="583"/>
      <c r="DK21" s="587"/>
      <c r="DL21" s="587"/>
      <c r="DM21" s="587"/>
      <c r="DN21" s="587"/>
      <c r="DO21" s="583"/>
      <c r="DP21" s="587"/>
      <c r="DQ21" s="587"/>
      <c r="DR21" s="587"/>
      <c r="DS21" s="587"/>
      <c r="DT21" s="583"/>
      <c r="DU21" s="583"/>
      <c r="DV21" s="583"/>
    </row>
    <row r="22" spans="2:126" s="532" customFormat="1" ht="12.9" hidden="1" customHeight="1" outlineLevel="1">
      <c r="B22" s="588"/>
      <c r="C22" s="589"/>
      <c r="D22" s="589"/>
      <c r="E22" s="589"/>
      <c r="F22" s="589"/>
      <c r="G22" s="589"/>
      <c r="H22" s="589"/>
      <c r="I22" s="589"/>
      <c r="J22" s="590"/>
      <c r="K22" s="590"/>
      <c r="L22" s="590"/>
      <c r="M22" s="590"/>
      <c r="N22" s="589"/>
      <c r="O22" s="590"/>
      <c r="P22" s="590"/>
      <c r="Q22" s="590"/>
      <c r="R22" s="590"/>
      <c r="S22" s="589"/>
      <c r="T22" s="590"/>
      <c r="U22" s="590"/>
      <c r="V22" s="590"/>
      <c r="W22" s="590"/>
      <c r="X22" s="589"/>
      <c r="Y22" s="590"/>
      <c r="Z22" s="590"/>
      <c r="AA22" s="590"/>
      <c r="AB22" s="590"/>
      <c r="AC22" s="589"/>
      <c r="AD22" s="590"/>
      <c r="AE22" s="590"/>
      <c r="AF22" s="590"/>
      <c r="AG22" s="590"/>
      <c r="AH22" s="589"/>
      <c r="AI22" s="590"/>
      <c r="AJ22" s="590"/>
      <c r="AK22" s="590"/>
      <c r="AL22" s="590"/>
      <c r="AM22" s="589"/>
      <c r="AN22" s="590"/>
      <c r="AO22" s="590"/>
      <c r="AP22" s="590"/>
      <c r="AQ22" s="590"/>
      <c r="AR22" s="589"/>
      <c r="AS22" s="590"/>
      <c r="AT22" s="590"/>
      <c r="AU22" s="590"/>
      <c r="AV22" s="590"/>
      <c r="AW22" s="589"/>
      <c r="AX22" s="590"/>
      <c r="AY22" s="590"/>
      <c r="AZ22" s="590"/>
      <c r="BA22" s="590"/>
      <c r="BB22" s="589"/>
      <c r="BC22" s="590"/>
      <c r="BD22" s="590"/>
      <c r="BE22" s="590"/>
      <c r="BF22" s="590"/>
      <c r="BG22" s="589"/>
      <c r="BH22" s="590"/>
      <c r="BI22" s="590"/>
      <c r="BJ22" s="590"/>
      <c r="BK22" s="590"/>
      <c r="BL22" s="589"/>
      <c r="BM22" s="590"/>
      <c r="BN22" s="590"/>
      <c r="BO22" s="590"/>
      <c r="BP22" s="590"/>
      <c r="BQ22" s="589"/>
      <c r="BR22" s="590"/>
      <c r="BS22" s="590"/>
      <c r="BT22" s="590"/>
      <c r="BU22" s="590"/>
      <c r="BV22" s="589"/>
      <c r="BW22" s="590"/>
      <c r="BX22" s="590"/>
      <c r="BY22" s="590"/>
      <c r="BZ22" s="590"/>
      <c r="CA22" s="589"/>
      <c r="CB22" s="590"/>
      <c r="CC22" s="590"/>
      <c r="CD22" s="590"/>
      <c r="CE22" s="590"/>
      <c r="CF22" s="589"/>
      <c r="CG22" s="590"/>
      <c r="CH22" s="590"/>
      <c r="CI22" s="590"/>
      <c r="CJ22" s="590"/>
      <c r="CK22" s="589"/>
      <c r="CL22" s="563"/>
      <c r="CM22" s="563"/>
      <c r="CN22" s="563"/>
      <c r="CO22" s="563"/>
      <c r="CP22" s="589"/>
      <c r="CQ22" s="563"/>
      <c r="CR22" s="563"/>
      <c r="CS22" s="590"/>
      <c r="CT22" s="590"/>
      <c r="CU22" s="589"/>
      <c r="CV22" s="590"/>
      <c r="CW22" s="563"/>
      <c r="CX22" s="563"/>
      <c r="CY22" s="590"/>
      <c r="CZ22" s="589"/>
      <c r="DA22" s="590"/>
      <c r="DB22" s="563"/>
      <c r="DC22" s="590"/>
      <c r="DD22" s="590"/>
      <c r="DE22" s="589"/>
      <c r="DF22" s="590"/>
      <c r="DG22" s="590"/>
      <c r="DH22" s="590"/>
      <c r="DI22" s="590"/>
      <c r="DJ22" s="589"/>
      <c r="DK22" s="590"/>
      <c r="DL22" s="590"/>
      <c r="DM22" s="590"/>
      <c r="DN22" s="590"/>
      <c r="DO22" s="589"/>
      <c r="DP22" s="590"/>
      <c r="DQ22" s="590"/>
      <c r="DR22" s="590"/>
      <c r="DS22" s="590"/>
      <c r="DT22" s="589"/>
      <c r="DU22" s="589"/>
      <c r="DV22" s="589"/>
    </row>
    <row r="23" spans="2:126" s="532" customFormat="1" ht="12.9" hidden="1" customHeight="1" outlineLevel="1">
      <c r="C23" s="556"/>
      <c r="D23" s="556"/>
      <c r="E23" s="556"/>
      <c r="F23" s="556"/>
      <c r="G23" s="556"/>
      <c r="H23" s="556"/>
      <c r="I23" s="556"/>
      <c r="J23" s="557"/>
      <c r="K23" s="557"/>
      <c r="L23" s="557"/>
      <c r="M23" s="557"/>
      <c r="N23" s="556"/>
      <c r="O23" s="557"/>
      <c r="P23" s="557"/>
      <c r="Q23" s="557"/>
      <c r="R23" s="557"/>
      <c r="S23" s="556"/>
      <c r="T23" s="557"/>
      <c r="U23" s="557"/>
      <c r="V23" s="557"/>
      <c r="W23" s="557"/>
      <c r="X23" s="556"/>
      <c r="Y23" s="557"/>
      <c r="Z23" s="557"/>
      <c r="AA23" s="557"/>
      <c r="AB23" s="557"/>
      <c r="AC23" s="556"/>
      <c r="AD23" s="557"/>
      <c r="AE23" s="557"/>
      <c r="AF23" s="557"/>
      <c r="AG23" s="557"/>
      <c r="AH23" s="556"/>
      <c r="AI23" s="557"/>
      <c r="AJ23" s="557"/>
      <c r="AK23" s="557"/>
      <c r="AL23" s="557"/>
      <c r="AM23" s="556"/>
      <c r="AN23" s="557"/>
      <c r="AO23" s="557"/>
      <c r="AP23" s="557"/>
      <c r="AQ23" s="557"/>
      <c r="AR23" s="556"/>
      <c r="AS23" s="557"/>
      <c r="AT23" s="557"/>
      <c r="AU23" s="557"/>
      <c r="AV23" s="557"/>
      <c r="AW23" s="556"/>
      <c r="AX23" s="557"/>
      <c r="AY23" s="557"/>
      <c r="AZ23" s="557"/>
      <c r="BA23" s="557"/>
      <c r="BB23" s="556"/>
      <c r="BC23" s="557"/>
      <c r="BD23" s="559"/>
      <c r="BE23" s="559"/>
      <c r="BF23" s="559"/>
      <c r="BG23" s="556"/>
      <c r="BH23" s="559"/>
      <c r="BI23" s="559"/>
      <c r="BJ23" s="559"/>
      <c r="BK23" s="559"/>
      <c r="BL23" s="556"/>
      <c r="BM23" s="559"/>
      <c r="BN23" s="559"/>
      <c r="BO23" s="559"/>
      <c r="BP23" s="559"/>
      <c r="BQ23" s="556"/>
      <c r="BR23" s="559"/>
      <c r="BS23" s="559"/>
      <c r="BT23" s="559"/>
      <c r="BU23" s="559"/>
      <c r="BV23" s="556"/>
      <c r="BW23" s="559"/>
      <c r="BX23" s="559"/>
      <c r="BY23" s="559"/>
      <c r="BZ23" s="559"/>
      <c r="CA23" s="556"/>
      <c r="CB23" s="559"/>
      <c r="CC23" s="559"/>
      <c r="CD23" s="559"/>
      <c r="CE23" s="559"/>
      <c r="CF23" s="556"/>
      <c r="CG23" s="591"/>
      <c r="CH23" s="592"/>
      <c r="CI23" s="592"/>
      <c r="CJ23" s="593"/>
      <c r="CK23" s="556"/>
      <c r="CL23" s="559"/>
      <c r="CM23" s="559"/>
      <c r="CN23" s="559"/>
      <c r="CO23" s="559"/>
      <c r="CP23" s="556"/>
      <c r="CQ23" s="559"/>
      <c r="CR23" s="559"/>
      <c r="CS23" s="559"/>
      <c r="CT23" s="559"/>
      <c r="CU23" s="556"/>
      <c r="CV23" s="559"/>
      <c r="CW23" s="559"/>
      <c r="CX23" s="559"/>
      <c r="CY23" s="559"/>
      <c r="CZ23" s="556"/>
      <c r="DA23" s="559"/>
      <c r="DB23" s="559"/>
      <c r="DC23" s="559"/>
      <c r="DD23" s="559"/>
      <c r="DE23" s="556"/>
      <c r="DF23" s="559"/>
      <c r="DG23" s="559"/>
      <c r="DH23" s="559"/>
      <c r="DI23" s="559"/>
      <c r="DJ23" s="556"/>
      <c r="DK23" s="559"/>
      <c r="DL23" s="559"/>
      <c r="DM23" s="559"/>
      <c r="DN23" s="559"/>
      <c r="DO23" s="556"/>
      <c r="DP23" s="559"/>
      <c r="DQ23" s="559"/>
      <c r="DR23" s="559"/>
      <c r="DS23" s="559"/>
      <c r="DT23" s="556"/>
      <c r="DU23" s="556"/>
      <c r="DV23" s="556"/>
    </row>
    <row r="24" spans="2:126" s="521" customFormat="1" ht="12.9" hidden="1" customHeight="1" outlineLevel="1">
      <c r="B24" s="526" t="s">
        <v>452</v>
      </c>
      <c r="C24" s="523"/>
      <c r="D24" s="523"/>
      <c r="E24" s="523"/>
      <c r="F24" s="523"/>
      <c r="G24" s="523"/>
      <c r="H24" s="523"/>
      <c r="I24" s="523"/>
      <c r="J24" s="524"/>
      <c r="K24" s="524"/>
      <c r="L24" s="524"/>
      <c r="M24" s="525"/>
      <c r="N24" s="523"/>
      <c r="O24" s="524"/>
      <c r="P24" s="524"/>
      <c r="Q24" s="524"/>
      <c r="R24" s="525"/>
      <c r="S24" s="523"/>
      <c r="T24" s="524"/>
      <c r="U24" s="524"/>
      <c r="V24" s="524"/>
      <c r="W24" s="525"/>
      <c r="X24" s="523"/>
      <c r="Y24" s="524"/>
      <c r="Z24" s="524"/>
      <c r="AA24" s="524"/>
      <c r="AB24" s="525"/>
      <c r="AC24" s="523"/>
      <c r="AD24" s="524"/>
      <c r="AE24" s="524"/>
      <c r="AF24" s="524"/>
      <c r="AG24" s="525"/>
      <c r="AH24" s="523"/>
      <c r="AI24" s="524"/>
      <c r="AJ24" s="524"/>
      <c r="AK24" s="524"/>
      <c r="AL24" s="525"/>
      <c r="AM24" s="523"/>
      <c r="AN24" s="524"/>
      <c r="AO24" s="524"/>
      <c r="AP24" s="524"/>
      <c r="AQ24" s="525"/>
      <c r="AR24" s="523"/>
      <c r="AS24" s="524"/>
      <c r="AT24" s="524"/>
      <c r="AU24" s="524"/>
      <c r="AV24" s="525"/>
      <c r="AW24" s="523"/>
      <c r="AX24" s="524"/>
      <c r="AY24" s="524"/>
      <c r="AZ24" s="524"/>
      <c r="BA24" s="525"/>
      <c r="BB24" s="523"/>
      <c r="BC24" s="524"/>
      <c r="BD24" s="524"/>
      <c r="BE24" s="524"/>
      <c r="BF24" s="525"/>
      <c r="BG24" s="523"/>
      <c r="BH24" s="524"/>
      <c r="BI24" s="524"/>
      <c r="BJ24" s="524"/>
      <c r="BK24" s="525"/>
      <c r="BL24" s="523"/>
      <c r="BM24" s="524"/>
      <c r="BN24" s="524"/>
      <c r="BO24" s="524"/>
      <c r="BP24" s="525"/>
      <c r="BQ24" s="523"/>
      <c r="BR24" s="524"/>
      <c r="BS24" s="524"/>
      <c r="BT24" s="524"/>
      <c r="BU24" s="525"/>
      <c r="BV24" s="523"/>
      <c r="BW24" s="524"/>
      <c r="BX24" s="524"/>
      <c r="BY24" s="524"/>
      <c r="BZ24" s="525"/>
      <c r="CA24" s="523"/>
      <c r="CB24" s="524"/>
      <c r="CC24" s="524"/>
      <c r="CD24" s="524"/>
      <c r="CE24" s="525"/>
      <c r="CF24" s="523"/>
      <c r="CG24" s="524"/>
      <c r="CH24" s="524"/>
      <c r="CI24" s="524"/>
      <c r="CJ24" s="525"/>
      <c r="CK24" s="523"/>
      <c r="CL24" s="524"/>
      <c r="CM24" s="524"/>
      <c r="CN24" s="524"/>
      <c r="CO24" s="525"/>
      <c r="CP24" s="523"/>
      <c r="CQ24" s="524"/>
      <c r="CR24" s="524"/>
      <c r="CS24" s="524"/>
      <c r="CT24" s="525"/>
      <c r="CU24" s="523"/>
      <c r="CV24" s="524"/>
      <c r="CW24" s="524"/>
      <c r="CX24" s="524"/>
      <c r="CY24" s="525"/>
      <c r="CZ24" s="523"/>
      <c r="DA24" s="524"/>
      <c r="DB24" s="524"/>
      <c r="DC24" s="524"/>
      <c r="DD24" s="525"/>
      <c r="DE24" s="523"/>
      <c r="DF24" s="524"/>
      <c r="DG24" s="524"/>
      <c r="DH24" s="524"/>
      <c r="DI24" s="525"/>
      <c r="DJ24" s="523"/>
      <c r="DK24" s="524"/>
      <c r="DL24" s="524"/>
      <c r="DM24" s="524"/>
      <c r="DN24" s="525"/>
      <c r="DO24" s="523"/>
      <c r="DP24" s="524"/>
      <c r="DQ24" s="524"/>
      <c r="DR24" s="524"/>
      <c r="DS24" s="525"/>
      <c r="DT24" s="523"/>
      <c r="DU24" s="523"/>
      <c r="DV24" s="523"/>
    </row>
    <row r="25" spans="2:126" s="594" customFormat="1" ht="12.9" hidden="1" customHeight="1" outlineLevel="1">
      <c r="B25" s="660" t="s">
        <v>392</v>
      </c>
      <c r="C25" s="789"/>
      <c r="D25" s="789"/>
      <c r="E25" s="789"/>
      <c r="F25" s="789"/>
      <c r="G25" s="789"/>
      <c r="H25" s="789"/>
      <c r="I25" s="789"/>
      <c r="J25" s="790"/>
      <c r="K25" s="790"/>
      <c r="L25" s="790"/>
      <c r="M25" s="790"/>
      <c r="N25" s="789"/>
      <c r="O25" s="790"/>
      <c r="P25" s="790"/>
      <c r="Q25" s="790"/>
      <c r="R25" s="790"/>
      <c r="S25" s="789"/>
      <c r="T25" s="790"/>
      <c r="U25" s="790"/>
      <c r="V25" s="790"/>
      <c r="W25" s="790"/>
      <c r="X25" s="789"/>
      <c r="Y25" s="790"/>
      <c r="Z25" s="790"/>
      <c r="AA25" s="790"/>
      <c r="AB25" s="790"/>
      <c r="AC25" s="789"/>
      <c r="AD25" s="790"/>
      <c r="AE25" s="790"/>
      <c r="AF25" s="790"/>
      <c r="AG25" s="790"/>
      <c r="AH25" s="789"/>
      <c r="AI25" s="790"/>
      <c r="AJ25" s="790"/>
      <c r="AK25" s="790"/>
      <c r="AL25" s="790"/>
      <c r="AM25" s="789"/>
      <c r="AN25" s="790"/>
      <c r="AO25" s="790"/>
      <c r="AP25" s="790"/>
      <c r="AQ25" s="790"/>
      <c r="AR25" s="789"/>
      <c r="AS25" s="790"/>
      <c r="AT25" s="790"/>
      <c r="AU25" s="790"/>
      <c r="AV25" s="790"/>
      <c r="AW25" s="789"/>
      <c r="AX25" s="790"/>
      <c r="AY25" s="790"/>
      <c r="AZ25" s="790"/>
      <c r="BA25" s="790"/>
      <c r="BB25" s="789"/>
      <c r="BC25" s="790"/>
      <c r="BD25" s="790"/>
      <c r="BE25" s="790"/>
      <c r="BF25" s="790"/>
      <c r="BG25" s="789"/>
      <c r="BH25" s="790"/>
      <c r="BI25" s="790"/>
      <c r="BJ25" s="790"/>
      <c r="BK25" s="790"/>
      <c r="BL25" s="789"/>
      <c r="BM25" s="790"/>
      <c r="BN25" s="790"/>
      <c r="BO25" s="790"/>
      <c r="BP25" s="790"/>
      <c r="BQ25" s="789"/>
      <c r="BR25" s="790"/>
      <c r="BS25" s="790"/>
      <c r="BT25" s="790"/>
      <c r="BU25" s="790"/>
      <c r="BV25" s="789"/>
      <c r="BW25" s="790"/>
      <c r="BX25" s="790"/>
      <c r="BY25" s="790"/>
      <c r="BZ25" s="790"/>
      <c r="CA25" s="789"/>
      <c r="CB25" s="790"/>
      <c r="CC25" s="790"/>
      <c r="CD25" s="790"/>
      <c r="CE25" s="790"/>
      <c r="CF25" s="789"/>
      <c r="CG25" s="791"/>
      <c r="CH25" s="790"/>
      <c r="CI25" s="790"/>
      <c r="CJ25" s="790"/>
      <c r="CK25" s="789"/>
      <c r="CL25" s="791"/>
      <c r="CM25" s="790"/>
      <c r="CN25" s="790"/>
      <c r="CO25" s="790"/>
      <c r="CP25" s="789"/>
      <c r="CQ25" s="790"/>
      <c r="CR25" s="790"/>
      <c r="CS25" s="790"/>
      <c r="CT25" s="790"/>
      <c r="CU25" s="789"/>
      <c r="CV25" s="790"/>
      <c r="CW25" s="790"/>
      <c r="CX25" s="790"/>
      <c r="CY25" s="790"/>
      <c r="CZ25" s="789"/>
      <c r="DA25" s="790"/>
      <c r="DB25" s="790"/>
      <c r="DC25" s="790"/>
      <c r="DD25" s="790"/>
      <c r="DE25" s="789"/>
      <c r="DF25" s="790"/>
      <c r="DG25" s="790"/>
      <c r="DH25" s="790"/>
      <c r="DI25" s="790"/>
      <c r="DJ25" s="789"/>
      <c r="DK25" s="790"/>
      <c r="DL25" s="790"/>
      <c r="DM25" s="790"/>
      <c r="DN25" s="790"/>
      <c r="DO25" s="789"/>
      <c r="DP25" s="790"/>
      <c r="DQ25" s="790"/>
      <c r="DR25" s="790"/>
      <c r="DS25" s="790"/>
      <c r="DT25" s="789"/>
      <c r="DU25" s="789"/>
      <c r="DV25" s="789"/>
    </row>
    <row r="26" spans="2:126" s="532" customFormat="1" ht="12.9" hidden="1" customHeight="1" outlineLevel="1">
      <c r="B26" s="595" t="s">
        <v>71</v>
      </c>
      <c r="C26" s="596"/>
      <c r="D26" s="596"/>
      <c r="E26" s="596"/>
      <c r="F26" s="596"/>
      <c r="G26" s="596"/>
      <c r="H26" s="596"/>
      <c r="I26" s="596">
        <f>Aerospace!I7/Aerospace!H7-1</f>
        <v>-5.6727403285162903E-2</v>
      </c>
      <c r="J26" s="563"/>
      <c r="K26" s="563"/>
      <c r="L26" s="563"/>
      <c r="M26" s="563"/>
      <c r="N26" s="596">
        <f>Aerospace!N7/Aerospace!I7-1</f>
        <v>5.56665715101341E-2</v>
      </c>
      <c r="O26" s="563"/>
      <c r="P26" s="563"/>
      <c r="Q26" s="563"/>
      <c r="R26" s="563"/>
      <c r="S26" s="596">
        <f>Aerospace!S7/Aerospace!N7-1</f>
        <v>6.5981611681990238E-2</v>
      </c>
      <c r="T26" s="563"/>
      <c r="U26" s="563"/>
      <c r="V26" s="563"/>
      <c r="W26" s="563"/>
      <c r="X26" s="596">
        <f>Aerospace!X7/Aerospace!S7-1</f>
        <v>0.10071029934043629</v>
      </c>
      <c r="Y26" s="563">
        <f>Aerospace!Y7/Aerospace!T7-1</f>
        <v>0.14651162790697669</v>
      </c>
      <c r="Z26" s="563">
        <f>Aerospace!Z7/Aerospace!U7-1</f>
        <v>0.24094919379373292</v>
      </c>
      <c r="AA26" s="563">
        <f>Aerospace!AA7/Aerospace!V7-1</f>
        <v>0.35333546121927872</v>
      </c>
      <c r="AB26" s="563">
        <f>Aerospace!AB7/Aerospace!W7-1</f>
        <v>0.40758293838862558</v>
      </c>
      <c r="AC26" s="596">
        <f>Aerospace!AC7/Aerospace!X7-1</f>
        <v>0.29207958823077518</v>
      </c>
      <c r="AD26" s="563">
        <f>Aerospace!AD7/Aerospace!Y7-1</f>
        <v>0.2518110692552884</v>
      </c>
      <c r="AE26" s="563">
        <f>Aerospace!AE7/Aerospace!Z7-1</f>
        <v>0.20691345918117188</v>
      </c>
      <c r="AF26" s="563">
        <f>Aerospace!AF7/Aerospace!AA7-1</f>
        <v>0.14174528301886791</v>
      </c>
      <c r="AG26" s="563">
        <f>Aerospace!AG7/Aerospace!AB7-1</f>
        <v>2.0994256288374036E-2</v>
      </c>
      <c r="AH26" s="596">
        <f>Aerospace!AH7/Aerospace!AC7-1</f>
        <v>0.14388489208633093</v>
      </c>
      <c r="AI26" s="563">
        <f>Aerospace!AI7/Aerospace!AD7-1</f>
        <v>0.11504629629629637</v>
      </c>
      <c r="AJ26" s="563">
        <f>Aerospace!AJ7/Aerospace!AE7-1</f>
        <v>-6.1750964858825919E-2</v>
      </c>
      <c r="AK26" s="563">
        <f>Aerospace!AK7/Aerospace!AF7-1</f>
        <v>-6.1764098326791972E-2</v>
      </c>
      <c r="AL26" s="563">
        <f>Aerospace!AL7/Aerospace!AG7-1</f>
        <v>-7.8564500484966104E-2</v>
      </c>
      <c r="AM26" s="596">
        <f>Aerospace!AM7/Aerospace!AH7-1</f>
        <v>-2.656063204948278E-2</v>
      </c>
      <c r="AN26" s="563">
        <f>Aerospace!AN7/Aerospace!AI7-1</f>
        <v>-0.13535395474361633</v>
      </c>
      <c r="AO26" s="563">
        <f>Aerospace!AO7/Aerospace!AJ7-1</f>
        <v>-7.7938947824204408E-2</v>
      </c>
      <c r="AP26" s="563">
        <f>Aerospace!AP7/Aerospace!AK7-1</f>
        <v>-3.3245266402465834E-2</v>
      </c>
      <c r="AQ26" s="563">
        <f>Aerospace!AQ7/Aerospace!AL7-1</f>
        <v>1.1368421052631472E-2</v>
      </c>
      <c r="AR26" s="596">
        <f>Aerospace!AR7/Aerospace!AM7-1</f>
        <v>-5.9216146945749726E-2</v>
      </c>
      <c r="AS26" s="563">
        <f>Aerospace!AS7/Aerospace!AN7-1</f>
        <v>4.8739495798319377E-2</v>
      </c>
      <c r="AT26" s="563">
        <f>Aerospace!AT7/Aerospace!AO7-1</f>
        <v>0.1110589340220709</v>
      </c>
      <c r="AU26" s="563">
        <f>Aerospace!AU7/Aerospace!AP7-1</f>
        <v>0.1011159189250741</v>
      </c>
      <c r="AV26" s="563">
        <f>Aerospace!AV7/Aerospace!AQ7-1</f>
        <v>2.497918401332222E-2</v>
      </c>
      <c r="AW26" s="596">
        <f>Aerospace!AW7/Aerospace!AR7-1</f>
        <v>7.0378568590725887E-2</v>
      </c>
      <c r="AX26" s="563">
        <f>Aerospace!AX7/Aerospace!AS7-1</f>
        <v>0.11973443223443225</v>
      </c>
      <c r="AY26" s="563">
        <f>Aerospace!AY7/Aerospace!AT7-1</f>
        <v>2.5993237531699132E-2</v>
      </c>
      <c r="AZ26" s="563">
        <f>Aerospace!AZ7/Aerospace!AU7-1</f>
        <v>-1.1168562564632833E-2</v>
      </c>
      <c r="BA26" s="563">
        <f>Aerospace!BA7/Aerospace!AV7-1</f>
        <v>0.11027619821283507</v>
      </c>
      <c r="BB26" s="596">
        <f>Aerospace!BB7/Aerospace!AW7-1</f>
        <v>6.018346677978692E-2</v>
      </c>
      <c r="BC26" s="563">
        <f>Aerospace!BC7/Aerospace!AX7-1</f>
        <v>3.7415661418932711E-2</v>
      </c>
      <c r="BD26" s="563">
        <f>Aerospace!BD7/Aerospace!AY7-1</f>
        <v>9.2276004119464572E-2</v>
      </c>
      <c r="BE26" s="563">
        <f>Aerospace!BE7/Aerospace!AZ7-1</f>
        <v>0.12194101652373979</v>
      </c>
      <c r="BF26" s="563">
        <f>Aerospace!BF7/Aerospace!BA7-1</f>
        <v>0.12858972013901582</v>
      </c>
      <c r="BG26" s="596">
        <f>Aerospace!BG7/Aerospace!BB7-1</f>
        <v>9.5878763629088759E-2</v>
      </c>
      <c r="BH26" s="563">
        <f>Aerospace!BH7/Aerospace!BC7-1</f>
        <v>0.1387465510445407</v>
      </c>
      <c r="BI26" s="563">
        <f>Aerospace!BI7/Aerospace!BD7-1</f>
        <v>0.14840656232321336</v>
      </c>
      <c r="BJ26" s="563">
        <f>Aerospace!BJ7/Aerospace!BE7-1</f>
        <v>6.2266964951528614E-2</v>
      </c>
      <c r="BK26" s="563">
        <f>Aerospace!BK7/Aerospace!BF7-1</f>
        <v>4.1166936790923758E-2</v>
      </c>
      <c r="BL26" s="596">
        <f>Aerospace!BL7/Aerospace!BG7-1</f>
        <v>9.488384829537666E-2</v>
      </c>
      <c r="BM26" s="563">
        <f>Aerospace!BM7/Aerospace!BH7-1</f>
        <v>-1.7999307718933877E-2</v>
      </c>
      <c r="BN26" s="563">
        <f>Aerospace!BN7/Aerospace!BI7-1</f>
        <v>2.6600985221674867E-2</v>
      </c>
      <c r="BO26" s="563">
        <f>Aerospace!BO7/Aerospace!BJ7-1</f>
        <v>5.3176553176553121E-2</v>
      </c>
      <c r="BP26" s="563">
        <f>Aerospace!BP7/Aerospace!BK7-1</f>
        <v>4.8256537982565462E-2</v>
      </c>
      <c r="BQ26" s="596">
        <f>Aerospace!BQ7/Aerospace!BL7-1</f>
        <v>2.7969987494789406E-2</v>
      </c>
      <c r="BR26" s="563">
        <f>Aerospace!BR7/Aerospace!BM7-1</f>
        <v>0.1036305956996828</v>
      </c>
      <c r="BS26" s="563">
        <f>Aerospace!BS7/Aerospace!BN7-1</f>
        <v>4.1426743442098513E-2</v>
      </c>
      <c r="BT26" s="563">
        <f>Aerospace!BT7/Aerospace!BO7-1</f>
        <v>4.9825029161806311E-2</v>
      </c>
      <c r="BU26" s="563">
        <f>Aerospace!BU7/Aerospace!BP7-1</f>
        <v>6.727056727056735E-2</v>
      </c>
      <c r="BV26" s="596">
        <f>Aerospace!BV7/Aerospace!BQ7-1</f>
        <v>6.4839219820769678E-2</v>
      </c>
      <c r="BW26" s="563">
        <f>Aerospace!BW7/Aerospace!BR7-1</f>
        <v>6.5633982753114051E-2</v>
      </c>
      <c r="BX26" s="563">
        <f>Aerospace!BX7/Aerospace!BS7-1</f>
        <v>1.889110735678079E-2</v>
      </c>
      <c r="BY26" s="563">
        <f>Aerospace!BY7/Aerospace!BT7-1</f>
        <v>6.2857142857142945E-2</v>
      </c>
      <c r="BZ26" s="563">
        <f>Aerospace!BZ7/Aerospace!BU7-1</f>
        <v>-2.4627800194796157E-2</v>
      </c>
      <c r="CA26" s="596">
        <f>Aerospace!CA7/Aerospace!BV7-1</f>
        <v>2.8674790555978769E-2</v>
      </c>
      <c r="CB26" s="563">
        <f>Aerospace!CB7/Aerospace!BW7-1</f>
        <v>6.5787501873220355E-2</v>
      </c>
      <c r="CC26" s="563">
        <f>Aerospace!CC7/Aerospace!BX7-1</f>
        <v>0.13340367802230935</v>
      </c>
      <c r="CD26" s="563">
        <f>Aerospace!CD7/Aerospace!BY7-1</f>
        <v>0.11708482676224619</v>
      </c>
      <c r="CE26" s="567">
        <f>Aerospace!CE7/Aerospace!BZ7-1</f>
        <v>0.20627674750356628</v>
      </c>
      <c r="CF26" s="596">
        <f>Aerospace!CF7/Aerospace!CA7-1</f>
        <v>0.1315662829008255</v>
      </c>
      <c r="CG26" s="567">
        <f>Aerospace!CG7/Aerospace!CB7-1</f>
        <v>0.11839145106861637</v>
      </c>
      <c r="CH26" s="567">
        <f>Aerospace!CH7/Aerospace!CC7-1</f>
        <v>4.7612714456709559E-2</v>
      </c>
      <c r="CI26" s="567">
        <f>Aerospace!CI7/Aerospace!CD7-1</f>
        <v>8.4090909090908994E-2</v>
      </c>
      <c r="CJ26" s="563">
        <f>Aerospace!CJ7/Aerospace!CE7-1</f>
        <v>5.6764427625354719E-2</v>
      </c>
      <c r="CK26" s="596">
        <f>Aerospace!CK7/Aerospace!CF7-1</f>
        <v>7.5538979945693141E-2</v>
      </c>
      <c r="CL26" s="563">
        <f>Aerospace!CL7/Aerospace!CG7-1</f>
        <v>-0.13351772692984665</v>
      </c>
      <c r="CM26" s="563">
        <f>Aerospace!CM7/Aerospace!CH7-1</f>
        <v>-0.44344293512758659</v>
      </c>
      <c r="CN26" s="563">
        <f>Aerospace!CN7/Aerospace!CI7-1</f>
        <v>-0.39339006042668645</v>
      </c>
      <c r="CO26" s="563">
        <f>Aerospace!CO7/Aerospace!CJ7-1</f>
        <v>-0.34568039391226502</v>
      </c>
      <c r="CP26" s="596">
        <f>Aerospace!CP7/Aerospace!CK7-1</f>
        <v>-0.3295413067283125</v>
      </c>
      <c r="CQ26" s="563">
        <f>Aerospace!CQ7/Aerospace!CL7-1</f>
        <v>-0.27568195008705743</v>
      </c>
      <c r="CR26" s="563">
        <f>Aerospace!CR7/Aerospace!CM7-1</f>
        <v>0.10401459854014594</v>
      </c>
      <c r="CS26" s="563">
        <f>Aerospace!CS7/Aerospace!CN7-1</f>
        <v>9.7377515755234789E-2</v>
      </c>
      <c r="CT26" s="563">
        <f>Aerospace!CT7/Aerospace!CO7-1</f>
        <v>3.9849495467761287E-2</v>
      </c>
      <c r="CU26" s="596">
        <f>Aerospace!CU7/Aerospace!CP7-1</f>
        <v>-3.3209327647218956E-2</v>
      </c>
      <c r="CV26" s="563">
        <f>Aerospace!CV7/Aerospace!CQ7-1</f>
        <v>0.12239583333333326</v>
      </c>
      <c r="CW26" s="563">
        <f>Aerospace!CW7/Aerospace!CR7-1</f>
        <v>0.26590909090909087</v>
      </c>
      <c r="CX26" s="563">
        <f>Aerospace!CX7/Aerospace!CS7-1</f>
        <v>0.24212671359762883</v>
      </c>
      <c r="CY26" s="563">
        <f>Aerospace!CY7/Aerospace!CT7-1</f>
        <v>0.25246710526315796</v>
      </c>
      <c r="CZ26" s="596">
        <f>Aerospace!CZ7/Aerospace!CU7-1</f>
        <v>0.22243078366963864</v>
      </c>
      <c r="DA26" s="563">
        <f>Aerospace!DA7/Aerospace!CV7-1</f>
        <v>0.24593967517401394</v>
      </c>
      <c r="DB26" s="563">
        <f>Aerospace!DB7/Aerospace!CW7-1</f>
        <v>0.28284641749632766</v>
      </c>
      <c r="DC26" s="563">
        <f>Aerospace!DC7/Aerospace!CX7-1</f>
        <v>0.25413870246085013</v>
      </c>
      <c r="DD26" s="563">
        <f>Aerospace!DD7/Aerospace!CY7-1</f>
        <v>0.11884438608010495</v>
      </c>
      <c r="DE26" s="596">
        <f>Aerospace!DE7/Aerospace!CZ7-1</f>
        <v>0.21957773512476009</v>
      </c>
      <c r="DF26" s="563">
        <f>Aerospace!DF7/Aerospace!DA7-1</f>
        <v>0.15685431886549206</v>
      </c>
      <c r="DG26" s="563">
        <f>Aerospace!DG7/Aerospace!DB7-1</f>
        <v>4.6183206106870323E-2</v>
      </c>
      <c r="DH26" s="563">
        <f>Aerospace!DH7/Aerospace!DC7-1</f>
        <v>6.3503389225829432E-2</v>
      </c>
      <c r="DI26" s="563">
        <f>Aerospace!DI7/Aerospace!DD7-1</f>
        <v>0.15950704225352119</v>
      </c>
      <c r="DJ26" s="596">
        <f>Aerospace!DJ7/Aerospace!DE7-1</f>
        <v>0.10547686496694997</v>
      </c>
      <c r="DK26" s="563">
        <f>Aerospace!DK7/Aerospace!DF7-1</f>
        <v>0.11453689945517587</v>
      </c>
      <c r="DL26" s="563">
        <f>Aerospace!DL7/Aerospace!DG7-1</f>
        <v>0.23446430743037827</v>
      </c>
      <c r="DM26" s="563">
        <f>Aerospace!DM7/Aerospace!DH7-1</f>
        <v>0.12555741921055574</v>
      </c>
      <c r="DN26" s="563">
        <f>Aerospace!DN7/Aerospace!DI7-1</f>
        <v>7.3538819718594883E-2</v>
      </c>
      <c r="DO26" s="596">
        <f>Aerospace!DO7/Aerospace!DF7-1</f>
        <v>3.931073551263002</v>
      </c>
      <c r="DP26" s="563">
        <f>Aerospace!DP7/Aerospace!DK7-1</f>
        <v>0.13802688590156631</v>
      </c>
      <c r="DQ26" s="563">
        <f>Aerospace!DQ7/Aerospace!DL7-1</f>
        <v>0.13040587134272474</v>
      </c>
      <c r="DR26" s="563">
        <f>Aerospace!DR7/Aerospace!DM7-1</f>
        <v>0.12859413900054251</v>
      </c>
      <c r="DS26" s="563">
        <f>Aerospace!DS7/Aerospace!DN7-1</f>
        <v>0.15470855830329389</v>
      </c>
      <c r="DT26" s="596">
        <f>Aerospace!DT7/Aerospace!DK7-1</f>
        <v>4.0355127950227754</v>
      </c>
      <c r="DU26" s="596">
        <f>Aerospace!DU7/Aerospace!DH7-1</f>
        <v>4.5016330647554499</v>
      </c>
      <c r="DV26" s="596">
        <f>Aerospace!DV7/Aerospace!DI7-1</f>
        <v>4.3236888228381396</v>
      </c>
    </row>
    <row r="27" spans="2:126" s="532" customFormat="1" ht="12.9" hidden="1" customHeight="1" outlineLevel="1">
      <c r="B27" s="595" t="s">
        <v>28</v>
      </c>
      <c r="C27" s="596"/>
      <c r="D27" s="596"/>
      <c r="E27" s="596"/>
      <c r="F27" s="596"/>
      <c r="G27" s="596"/>
      <c r="H27" s="596"/>
      <c r="I27" s="596">
        <f>Aerospace!I9/Aerospace!H9-1</f>
        <v>4.2718446601941684E-2</v>
      </c>
      <c r="J27" s="563"/>
      <c r="K27" s="563"/>
      <c r="L27" s="563"/>
      <c r="M27" s="563"/>
      <c r="N27" s="596">
        <f>Aerospace!N9/Aerospace!I9-1</f>
        <v>4.1852886405959078E-2</v>
      </c>
      <c r="O27" s="563"/>
      <c r="P27" s="563"/>
      <c r="Q27" s="563"/>
      <c r="R27" s="563"/>
      <c r="S27" s="596">
        <f>Aerospace!S9/Aerospace!N9-1</f>
        <v>0.12828991465212924</v>
      </c>
      <c r="T27" s="563"/>
      <c r="U27" s="563"/>
      <c r="V27" s="563"/>
      <c r="W27" s="563"/>
      <c r="X27" s="596">
        <f>Aerospace!X9/Aerospace!S9-1</f>
        <v>0.1097029702970298</v>
      </c>
      <c r="Y27" s="563">
        <f>Aerospace!Y9/Aerospace!T9-1</f>
        <v>0.1148325358851674</v>
      </c>
      <c r="Z27" s="563">
        <f>Aerospace!Z9/Aerospace!U9-1</f>
        <v>0.13736263736263732</v>
      </c>
      <c r="AA27" s="563">
        <f>Aerospace!AA9/Aerospace!V9-1</f>
        <v>6.8214804063860601E-2</v>
      </c>
      <c r="AB27" s="563">
        <f>Aerospace!AB9/Aerospace!W9-1</f>
        <v>0.26517150395778355</v>
      </c>
      <c r="AC27" s="596">
        <f>Aerospace!AC9/Aerospace!X9-1</f>
        <v>0.1498929336188437</v>
      </c>
      <c r="AD27" s="563">
        <f>Aerospace!AD9/Aerospace!Y9-1</f>
        <v>0.10872675250357644</v>
      </c>
      <c r="AE27" s="563">
        <f>Aerospace!AE9/Aerospace!Z9-1</f>
        <v>0.10386473429951693</v>
      </c>
      <c r="AF27" s="563">
        <f>Aerospace!AF9/Aerospace!AA9-1</f>
        <v>0.13315217391304346</v>
      </c>
      <c r="AG27" s="563">
        <f>Aerospace!AG9/Aerospace!AB9-1</f>
        <v>0.2106360792492179</v>
      </c>
      <c r="AH27" s="596">
        <f>Aerospace!AH9/Aerospace!AC9-1</f>
        <v>0.14338919925512106</v>
      </c>
      <c r="AI27" s="563">
        <f>Aerospace!AI9/Aerospace!AD9-1</f>
        <v>0.3935483870967742</v>
      </c>
      <c r="AJ27" s="563">
        <f>Aerospace!AJ9/Aerospace!AE9-1</f>
        <v>9.8468271334792856E-3</v>
      </c>
      <c r="AK27" s="563">
        <f>Aerospace!AK9/Aerospace!AF9-1</f>
        <v>0.16306954436450849</v>
      </c>
      <c r="AL27" s="563">
        <f>Aerospace!AL9/Aerospace!AG9-1</f>
        <v>-0.18173987941429803</v>
      </c>
      <c r="AM27" s="596">
        <f>Aerospace!AM9/Aerospace!AH9-1</f>
        <v>6.4875135722041177E-2</v>
      </c>
      <c r="AN27" s="563">
        <f>Aerospace!AN9/Aerospace!AI9-1</f>
        <v>-0.26018518518518519</v>
      </c>
      <c r="AO27" s="563">
        <f>Aerospace!AO9/Aerospace!AJ9-1</f>
        <v>-4.7670639219934974E-2</v>
      </c>
      <c r="AP27" s="563">
        <f>Aerospace!AP9/Aerospace!AK9-1</f>
        <v>-0.17010309278350511</v>
      </c>
      <c r="AQ27" s="563">
        <f>Aerospace!AQ9/Aerospace!AL9-1</f>
        <v>-0.13578947368421057</v>
      </c>
      <c r="AR27" s="596">
        <f>Aerospace!AR9/Aerospace!AM9-1</f>
        <v>-0.15778740759622734</v>
      </c>
      <c r="AS27" s="563">
        <f>Aerospace!AS9/Aerospace!AN9-1</f>
        <v>5.2565707133917394E-2</v>
      </c>
      <c r="AT27" s="563">
        <f>Aerospace!AT9/Aerospace!AO9-1</f>
        <v>9.1012514220705443E-2</v>
      </c>
      <c r="AU27" s="563">
        <f>Aerospace!AU9/Aerospace!AP9-1</f>
        <v>7.0807453416149135E-2</v>
      </c>
      <c r="AV27" s="563">
        <f>Aerospace!AV9/Aerospace!AQ9-1</f>
        <v>3.5322777101096214E-2</v>
      </c>
      <c r="AW27" s="596">
        <f>Aerospace!AW9/Aerospace!AR9-1</f>
        <v>6.2953995157384979E-2</v>
      </c>
      <c r="AX27" s="563">
        <f>Aerospace!AX9/Aerospace!AS9-1</f>
        <v>2.4970273483947647E-2</v>
      </c>
      <c r="AY27" s="563">
        <f>Aerospace!AY9/Aerospace!AT9-1</f>
        <v>-3.8581856100104228E-2</v>
      </c>
      <c r="AZ27" s="563">
        <f>Aerospace!AZ9/Aerospace!AU9-1</f>
        <v>7.1925754060324865E-2</v>
      </c>
      <c r="BA27" s="563">
        <f>Aerospace!BA9/Aerospace!AV9-1</f>
        <v>0.22235294117647064</v>
      </c>
      <c r="BB27" s="596">
        <f>Aerospace!BB9/Aerospace!AW9-1</f>
        <v>6.691343963553531E-2</v>
      </c>
      <c r="BC27" s="563">
        <f>Aerospace!BC9/Aerospace!AX9-1</f>
        <v>8.5846867749419964E-2</v>
      </c>
      <c r="BD27" s="563">
        <f>Aerospace!BD9/Aerospace!AY9-1</f>
        <v>0.15726681127982656</v>
      </c>
      <c r="BE27" s="563">
        <f>Aerospace!BE9/Aerospace!AZ9-1</f>
        <v>0.18073593073593064</v>
      </c>
      <c r="BF27" s="563">
        <f>Aerospace!BF9/Aerospace!BA9-1</f>
        <v>0.20404234841193447</v>
      </c>
      <c r="BG27" s="596">
        <f>Aerospace!BG9/Aerospace!BB9-1</f>
        <v>0.15959434214037893</v>
      </c>
      <c r="BH27" s="563">
        <f>Aerospace!BH9/Aerospace!BC9-1</f>
        <v>0.19123931623931623</v>
      </c>
      <c r="BI27" s="563">
        <f>Aerospace!BI9/Aerospace!BD9-1</f>
        <v>0.12183692596063733</v>
      </c>
      <c r="BJ27" s="563">
        <f>Aerospace!BJ9/Aerospace!BE9-1</f>
        <v>0.15857011915673702</v>
      </c>
      <c r="BK27" s="563">
        <f>Aerospace!BK9/Aerospace!BF9-1</f>
        <v>0.11670663469224629</v>
      </c>
      <c r="BL27" s="596">
        <f>Aerospace!BL9/Aerospace!BG9-1</f>
        <v>0.14453394706559264</v>
      </c>
      <c r="BM27" s="563">
        <f>Aerospace!BM9/Aerospace!BH9-1</f>
        <v>0.17847533632286994</v>
      </c>
      <c r="BN27" s="563">
        <f>Aerospace!BN9/Aerospace!BI9-1</f>
        <v>6.0150375939849621E-2</v>
      </c>
      <c r="BO27" s="563">
        <f>Aerospace!BO9/Aerospace!BJ9-1</f>
        <v>7.0411392405063333E-2</v>
      </c>
      <c r="BP27" s="563">
        <f>Aerospace!BP9/Aerospace!BK9-1</f>
        <v>0.12455261274158902</v>
      </c>
      <c r="BQ27" s="596">
        <f>Aerospace!BQ9/Aerospace!BL9-1</f>
        <v>0.10737985119646098</v>
      </c>
      <c r="BR27" s="563">
        <f>Aerospace!BR9/Aerospace!BM9-1</f>
        <v>0.15981735159817356</v>
      </c>
      <c r="BS27" s="563">
        <f>Aerospace!BS9/Aerospace!BN9-1</f>
        <v>6.2253743104806913E-2</v>
      </c>
      <c r="BT27" s="563">
        <f>Aerospace!BT9/Aerospace!BO9-1</f>
        <v>0.10421286031042132</v>
      </c>
      <c r="BU27" s="563">
        <f>Aerospace!BU9/Aerospace!BP9-1</f>
        <v>0.11330362826225326</v>
      </c>
      <c r="BV27" s="596">
        <f>Aerospace!BV9/Aerospace!BQ9-1</f>
        <v>0.11040493916833127</v>
      </c>
      <c r="BW27" s="563">
        <f>Aerospace!BW9/Aerospace!BR9-1</f>
        <v>-0.16469816272965876</v>
      </c>
      <c r="BX27" s="563">
        <f>Aerospace!BX9/Aerospace!BS9-1</f>
        <v>1.928783382789323E-2</v>
      </c>
      <c r="BY27" s="563">
        <f>Aerospace!BY9/Aerospace!BT9-1</f>
        <v>-0.10642570281124497</v>
      </c>
      <c r="BZ27" s="563">
        <f>Aerospace!BZ9/Aerospace!BU9-1</f>
        <v>-0.20640365923384796</v>
      </c>
      <c r="CA27" s="596">
        <f>Aerospace!CA9/Aerospace!BV9-1</f>
        <v>-0.12183156173344234</v>
      </c>
      <c r="CB27" s="563">
        <f>Aerospace!CB9/Aerospace!BW9-1</f>
        <v>0.25923016496465046</v>
      </c>
      <c r="CC27" s="563">
        <f>Aerospace!CC9/Aerospace!BX9-1</f>
        <v>7.3508005822416234E-2</v>
      </c>
      <c r="CD27" s="563">
        <f>Aerospace!CD9/Aerospace!BY9-1</f>
        <v>0.24719101123595499</v>
      </c>
      <c r="CE27" s="567">
        <f>Aerospace!CE9/Aerospace!BZ9-1</f>
        <v>0.2413544668587897</v>
      </c>
      <c r="CF27" s="596">
        <f>Aerospace!CF9/Aerospace!CA9-1</f>
        <v>0.20409683426443204</v>
      </c>
      <c r="CG27" s="567">
        <f>Aerospace!CG9/Aerospace!CB9-1</f>
        <v>3.5558328134747352E-2</v>
      </c>
      <c r="CH27" s="567">
        <f>Aerospace!CH9/Aerospace!CC9-1</f>
        <v>-6.101694915254241E-2</v>
      </c>
      <c r="CI27" s="567">
        <f>Aerospace!CI9/Aerospace!CD9-1</f>
        <v>3.1831831831831803E-2</v>
      </c>
      <c r="CJ27" s="563">
        <f>Aerospace!CJ9/Aerospace!CE9-1</f>
        <v>0.19326755658734762</v>
      </c>
      <c r="CK27" s="596">
        <f>Aerospace!CK9/Aerospace!CF9-1</f>
        <v>5.4593257036807952E-2</v>
      </c>
      <c r="CL27" s="563">
        <f>Aerospace!CL9/Aerospace!CG9-1</f>
        <v>-0.39582666330120519</v>
      </c>
      <c r="CM27" s="563">
        <f>Aerospace!CM9/Aerospace!CH9-1</f>
        <v>-1.4960275085198551</v>
      </c>
      <c r="CN27" s="563">
        <f>Aerospace!CN9/Aerospace!CI9-1</f>
        <v>-0.79653357628637866</v>
      </c>
      <c r="CO27" s="563">
        <f>Aerospace!CO9/Aerospace!CJ9-1</f>
        <v>-0.7257812116974709</v>
      </c>
      <c r="CP27" s="596">
        <f>Aerospace!CP9/Aerospace!CK9-1</f>
        <v>-0.8197274110118784</v>
      </c>
      <c r="CQ27" s="563">
        <f>Aerospace!CQ9/Aerospace!CL9-1</f>
        <v>-0.36087120225604741</v>
      </c>
      <c r="CR27" s="563">
        <f>Aerospace!CR9/Aerospace!CM9-1</f>
        <v>-1.2561870261057944</v>
      </c>
      <c r="CS27" s="563">
        <f>Aerospace!CS9/Aerospace!CN9-1</f>
        <v>1.4202178065150908</v>
      </c>
      <c r="CT27" s="563">
        <f>Aerospace!CT9/Aerospace!CO9-1</f>
        <v>1.1603641932378994</v>
      </c>
      <c r="CU27" s="596">
        <f>Aerospace!CU9/Aerospace!CP9-1</f>
        <v>1.343650632201479</v>
      </c>
      <c r="CV27" s="563">
        <f>Aerospace!CV9/Aerospace!CQ9-1</f>
        <v>0.41653666146645874</v>
      </c>
      <c r="CW27" s="563">
        <f>Aerospace!CW9/Aerospace!CR9-1</f>
        <v>5.5227272727272725</v>
      </c>
      <c r="CX27" s="563">
        <f>Aerospace!CX9/Aerospace!CS9-1</f>
        <v>0.51773049645390068</v>
      </c>
      <c r="CY27" s="563">
        <f>Aerospace!CY9/Aerospace!CT9-1</f>
        <v>0.17733990147783252</v>
      </c>
      <c r="CZ27" s="596">
        <f>Aerospace!CZ9/Aerospace!CU9-1</f>
        <v>0.65706351961124621</v>
      </c>
      <c r="DA27" s="563">
        <f>Aerospace!DA9/Aerospace!CV9-1</f>
        <v>0.4603524229074889</v>
      </c>
      <c r="DB27" s="563">
        <f>Aerospace!DB9/Aerospace!CW9-1</f>
        <v>0.28832752613240409</v>
      </c>
      <c r="DC27" s="563">
        <f>Aerospace!DC9/Aerospace!CX9-1</f>
        <v>0.33333333333333326</v>
      </c>
      <c r="DD27" s="563">
        <f>Aerospace!DD9/Aerospace!CY9-1</f>
        <v>0.11436541143654111</v>
      </c>
      <c r="DE27" s="596">
        <f>Aerospace!DE9/Aerospace!CZ9-1</f>
        <v>0.28089652283200661</v>
      </c>
      <c r="DF27" s="563">
        <f>Aerospace!DF9/Aerospace!DA9-1</f>
        <v>0.16892911010558076</v>
      </c>
      <c r="DG27" s="563">
        <f>Aerospace!DG9/Aerospace!DB9-1</f>
        <v>0.28262339418526028</v>
      </c>
      <c r="DH27" s="563">
        <f>Aerospace!DH9/Aerospace!DC9-1</f>
        <v>6.191588785046731E-2</v>
      </c>
      <c r="DI27" s="563">
        <f>Aerospace!DI9/Aerospace!DD9-1</f>
        <v>0.244055068836045</v>
      </c>
      <c r="DJ27" s="596">
        <f>Aerospace!DJ9/Aerospace!DE9-1</f>
        <v>0.18609975470155349</v>
      </c>
      <c r="DK27" s="563">
        <f>Aerospace!DK9/Aerospace!DF9-1</f>
        <v>0.38451612903225807</v>
      </c>
      <c r="DL27" s="563">
        <f>Aerospace!DL9/Aerospace!DG9-1</f>
        <v>0.23194517659462299</v>
      </c>
      <c r="DM27" s="563">
        <f>Aerospace!DM9/Aerospace!DH9-1</f>
        <v>0.17779256325632575</v>
      </c>
      <c r="DN27" s="563">
        <f>Aerospace!DN9/Aerospace!DI9-1</f>
        <v>2.511227364185098E-2</v>
      </c>
      <c r="DO27" s="596">
        <f>Aerospace!DO9/Aerospace!DF9-1</f>
        <v>4.5884839225806449</v>
      </c>
      <c r="DP27" s="563">
        <f>Aerospace!DP9/Aerospace!DK9-1</f>
        <v>0.10850738117427761</v>
      </c>
      <c r="DQ27" s="563">
        <f>Aerospace!DQ9/Aerospace!DL9-1</f>
        <v>0.11070421480530612</v>
      </c>
      <c r="DR27" s="563">
        <f>Aerospace!DR9/Aerospace!DM9-1</f>
        <v>0.16891075092425534</v>
      </c>
      <c r="DS27" s="563">
        <f>Aerospace!DS9/Aerospace!DN9-1</f>
        <v>0.27033452500663424</v>
      </c>
      <c r="DT27" s="596">
        <f>Aerospace!DT9/Aerospace!DK9-1</f>
        <v>3.6907362117763283</v>
      </c>
      <c r="DU27" s="596">
        <f>Aerospace!DU9/Aerospace!DH9-1</f>
        <v>5.0711210538045792</v>
      </c>
      <c r="DV27" s="596">
        <f>Aerospace!DV9/Aerospace!DI9-1</f>
        <v>4.9890084076475159</v>
      </c>
    </row>
    <row r="28" spans="2:126" s="532" customFormat="1" ht="12.9" hidden="1" customHeight="1" outlineLevel="1">
      <c r="B28" s="595"/>
      <c r="C28" s="596"/>
      <c r="D28" s="596"/>
      <c r="E28" s="596"/>
      <c r="F28" s="596"/>
      <c r="G28" s="596"/>
      <c r="H28" s="596"/>
      <c r="I28" s="596"/>
      <c r="J28" s="563"/>
      <c r="K28" s="563"/>
      <c r="L28" s="563"/>
      <c r="M28" s="563"/>
      <c r="N28" s="596"/>
      <c r="O28" s="563"/>
      <c r="P28" s="563"/>
      <c r="Q28" s="563"/>
      <c r="R28" s="563"/>
      <c r="S28" s="596"/>
      <c r="T28" s="563"/>
      <c r="U28" s="563"/>
      <c r="V28" s="563"/>
      <c r="W28" s="563"/>
      <c r="X28" s="596"/>
      <c r="Y28" s="563"/>
      <c r="Z28" s="563"/>
      <c r="AA28" s="563"/>
      <c r="AB28" s="563"/>
      <c r="AC28" s="596"/>
      <c r="AD28" s="563"/>
      <c r="AE28" s="563"/>
      <c r="AF28" s="563"/>
      <c r="AG28" s="563"/>
      <c r="AH28" s="596"/>
      <c r="AI28" s="563"/>
      <c r="AJ28" s="563"/>
      <c r="AK28" s="563"/>
      <c r="AL28" s="563"/>
      <c r="AM28" s="596"/>
      <c r="AN28" s="563"/>
      <c r="AO28" s="563"/>
      <c r="AP28" s="563"/>
      <c r="AQ28" s="563"/>
      <c r="AR28" s="596"/>
      <c r="AS28" s="563"/>
      <c r="AT28" s="563"/>
      <c r="AU28" s="563"/>
      <c r="AV28" s="563"/>
      <c r="AW28" s="596"/>
      <c r="AX28" s="563"/>
      <c r="AY28" s="563"/>
      <c r="AZ28" s="563"/>
      <c r="BA28" s="563"/>
      <c r="BB28" s="596"/>
      <c r="BC28" s="563"/>
      <c r="BD28" s="563"/>
      <c r="BE28" s="563"/>
      <c r="BF28" s="563"/>
      <c r="BG28" s="596"/>
      <c r="BH28" s="563"/>
      <c r="BI28" s="563"/>
      <c r="BJ28" s="563"/>
      <c r="BK28" s="563"/>
      <c r="BL28" s="596"/>
      <c r="BM28" s="563"/>
      <c r="BN28" s="563"/>
      <c r="BO28" s="563"/>
      <c r="BP28" s="563"/>
      <c r="BQ28" s="596"/>
      <c r="BR28" s="563"/>
      <c r="BS28" s="563"/>
      <c r="BT28" s="563"/>
      <c r="BU28" s="563"/>
      <c r="BV28" s="596"/>
      <c r="BW28" s="563"/>
      <c r="BX28" s="563"/>
      <c r="BY28" s="563"/>
      <c r="BZ28" s="563"/>
      <c r="CA28" s="596"/>
      <c r="CB28" s="563"/>
      <c r="CC28" s="563"/>
      <c r="CD28" s="563"/>
      <c r="CE28" s="563"/>
      <c r="CF28" s="596"/>
      <c r="CG28" s="563"/>
      <c r="CH28" s="563"/>
      <c r="CI28" s="563"/>
      <c r="CJ28" s="563"/>
      <c r="CK28" s="596"/>
      <c r="CL28" s="563"/>
      <c r="CM28" s="563"/>
      <c r="CN28" s="563"/>
      <c r="CO28" s="563"/>
      <c r="CP28" s="596"/>
      <c r="CQ28" s="563"/>
      <c r="CR28" s="563"/>
      <c r="CS28" s="563"/>
      <c r="CT28" s="563"/>
      <c r="CU28" s="596"/>
      <c r="CV28" s="563"/>
      <c r="CW28" s="563"/>
      <c r="CX28" s="563"/>
      <c r="CY28" s="563"/>
      <c r="CZ28" s="596"/>
      <c r="DA28" s="563"/>
      <c r="DB28" s="563"/>
      <c r="DC28" s="563"/>
      <c r="DD28" s="563"/>
      <c r="DE28" s="596"/>
      <c r="DF28" s="563"/>
      <c r="DG28" s="563"/>
      <c r="DH28" s="563"/>
      <c r="DI28" s="563"/>
      <c r="DJ28" s="596"/>
      <c r="DK28" s="563"/>
      <c r="DL28" s="563"/>
      <c r="DM28" s="563"/>
      <c r="DN28" s="563"/>
      <c r="DO28" s="596"/>
      <c r="DP28" s="563"/>
      <c r="DQ28" s="563"/>
      <c r="DR28" s="563"/>
      <c r="DS28" s="563"/>
      <c r="DT28" s="596"/>
      <c r="DU28" s="596"/>
      <c r="DV28" s="596"/>
    </row>
    <row r="29" spans="2:126" s="594" customFormat="1" ht="12.9" hidden="1" customHeight="1" outlineLevel="1">
      <c r="B29" s="660" t="s">
        <v>393</v>
      </c>
      <c r="C29" s="789"/>
      <c r="D29" s="789"/>
      <c r="E29" s="789"/>
      <c r="F29" s="789"/>
      <c r="G29" s="789"/>
      <c r="H29" s="789"/>
      <c r="I29" s="789"/>
      <c r="J29" s="790"/>
      <c r="K29" s="790"/>
      <c r="L29" s="790"/>
      <c r="M29" s="790"/>
      <c r="N29" s="789"/>
      <c r="O29" s="790"/>
      <c r="P29" s="790"/>
      <c r="Q29" s="790"/>
      <c r="R29" s="790"/>
      <c r="S29" s="789"/>
      <c r="T29" s="790"/>
      <c r="U29" s="790"/>
      <c r="V29" s="790"/>
      <c r="W29" s="790"/>
      <c r="X29" s="789"/>
      <c r="Y29" s="790"/>
      <c r="Z29" s="790"/>
      <c r="AA29" s="790"/>
      <c r="AB29" s="790"/>
      <c r="AC29" s="789"/>
      <c r="AD29" s="790"/>
      <c r="AE29" s="790"/>
      <c r="AF29" s="790"/>
      <c r="AG29" s="790"/>
      <c r="AH29" s="789"/>
      <c r="AI29" s="790"/>
      <c r="AJ29" s="790"/>
      <c r="AK29" s="790"/>
      <c r="AL29" s="790"/>
      <c r="AM29" s="789"/>
      <c r="AN29" s="790"/>
      <c r="AO29" s="790"/>
      <c r="AP29" s="790"/>
      <c r="AQ29" s="790"/>
      <c r="AR29" s="789"/>
      <c r="AS29" s="790"/>
      <c r="AT29" s="790"/>
      <c r="AU29" s="790"/>
      <c r="AV29" s="790"/>
      <c r="AW29" s="789"/>
      <c r="AX29" s="790"/>
      <c r="AY29" s="790"/>
      <c r="AZ29" s="790"/>
      <c r="BA29" s="790"/>
      <c r="BB29" s="789"/>
      <c r="BC29" s="790"/>
      <c r="BD29" s="790"/>
      <c r="BE29" s="790"/>
      <c r="BF29" s="790"/>
      <c r="BG29" s="789"/>
      <c r="BH29" s="790"/>
      <c r="BI29" s="790"/>
      <c r="BJ29" s="790"/>
      <c r="BK29" s="790"/>
      <c r="BL29" s="789"/>
      <c r="BM29" s="790"/>
      <c r="BN29" s="790"/>
      <c r="BO29" s="790"/>
      <c r="BP29" s="790"/>
      <c r="BQ29" s="789"/>
      <c r="BR29" s="790"/>
      <c r="BS29" s="790"/>
      <c r="BT29" s="790"/>
      <c r="BU29" s="790"/>
      <c r="BV29" s="789"/>
      <c r="BW29" s="790"/>
      <c r="BX29" s="790"/>
      <c r="BY29" s="790"/>
      <c r="BZ29" s="790"/>
      <c r="CA29" s="789"/>
      <c r="CB29" s="790"/>
      <c r="CC29" s="790"/>
      <c r="CD29" s="790"/>
      <c r="CE29" s="790"/>
      <c r="CF29" s="789"/>
      <c r="CG29" s="791"/>
      <c r="CH29" s="790"/>
      <c r="CI29" s="790"/>
      <c r="CJ29" s="790"/>
      <c r="CK29" s="789"/>
      <c r="CL29" s="791"/>
      <c r="CM29" s="790"/>
      <c r="CN29" s="790"/>
      <c r="CO29" s="790"/>
      <c r="CP29" s="789"/>
      <c r="CQ29" s="790"/>
      <c r="CR29" s="790"/>
      <c r="CS29" s="790"/>
      <c r="CT29" s="790"/>
      <c r="CU29" s="789"/>
      <c r="CV29" s="790"/>
      <c r="CW29" s="790"/>
      <c r="CX29" s="790"/>
      <c r="CY29" s="790"/>
      <c r="CZ29" s="789"/>
      <c r="DA29" s="790"/>
      <c r="DB29" s="790"/>
      <c r="DC29" s="790"/>
      <c r="DD29" s="790"/>
      <c r="DE29" s="789"/>
      <c r="DF29" s="790"/>
      <c r="DG29" s="790"/>
      <c r="DH29" s="790"/>
      <c r="DI29" s="790"/>
      <c r="DJ29" s="789"/>
      <c r="DK29" s="790"/>
      <c r="DL29" s="790"/>
      <c r="DM29" s="790"/>
      <c r="DN29" s="790"/>
      <c r="DO29" s="789"/>
      <c r="DP29" s="790"/>
      <c r="DQ29" s="790"/>
      <c r="DR29" s="790"/>
      <c r="DS29" s="790"/>
      <c r="DT29" s="789"/>
      <c r="DU29" s="789"/>
      <c r="DV29" s="789"/>
    </row>
    <row r="30" spans="2:126" s="532" customFormat="1" ht="12.9" hidden="1" customHeight="1" outlineLevel="1">
      <c r="B30" s="595" t="s">
        <v>71</v>
      </c>
      <c r="C30" s="597"/>
      <c r="D30" s="597"/>
      <c r="E30" s="597"/>
      <c r="F30" s="597"/>
      <c r="G30" s="597"/>
      <c r="H30" s="597"/>
      <c r="I30" s="597"/>
      <c r="J30" s="563"/>
      <c r="K30" s="563"/>
      <c r="L30" s="563"/>
      <c r="M30" s="563"/>
      <c r="N30" s="597"/>
      <c r="O30" s="563"/>
      <c r="P30" s="563"/>
      <c r="Q30" s="563"/>
      <c r="R30" s="563"/>
      <c r="S30" s="597"/>
      <c r="T30" s="563"/>
      <c r="U30" s="563">
        <f>Aerospace!U7/Aerospace!T7-1</f>
        <v>9.2026578073089782E-2</v>
      </c>
      <c r="V30" s="563">
        <f>Aerospace!V7/Aerospace!U7-1</f>
        <v>-4.6851232126559172E-2</v>
      </c>
      <c r="W30" s="563">
        <f>Aerospace!W7/Aerospace!V7-1</f>
        <v>0.14490903287583778</v>
      </c>
      <c r="X30" s="597"/>
      <c r="Y30" s="563">
        <f>Aerospace!Y7/Aerospace!W7-1</f>
        <v>-3.7914691943127909E-2</v>
      </c>
      <c r="Z30" s="563">
        <f>Aerospace!Z7/Aerospace!Y7-1</f>
        <v>0.18197623877137059</v>
      </c>
      <c r="AA30" s="563">
        <f>Aerospace!AA7/Aerospace!Z7-1</f>
        <v>3.947045844569752E-2</v>
      </c>
      <c r="AB30" s="563">
        <f>Aerospace!AB7/Aerospace!AA7-1</f>
        <v>0.1908018867924528</v>
      </c>
      <c r="AC30" s="597"/>
      <c r="AD30" s="563">
        <f>Aerospace!AD7/Aerospace!AB7-1</f>
        <v>-0.14438502673796794</v>
      </c>
      <c r="AE30" s="563">
        <f>Aerospace!AE7/Aerospace!AD7-1</f>
        <v>0.13958333333333339</v>
      </c>
      <c r="AF30" s="563">
        <f>Aerospace!AF7/Aerospace!AE7-1</f>
        <v>-1.6656510257972768E-2</v>
      </c>
      <c r="AG30" s="563">
        <f>Aerospace!AG7/Aerospace!AF7-1</f>
        <v>6.4862631687667927E-2</v>
      </c>
      <c r="AH30" s="597"/>
      <c r="AI30" s="563">
        <f>Aerospace!AI7/Aerospace!AG7-1</f>
        <v>-6.5567410281280325E-2</v>
      </c>
      <c r="AJ30" s="563">
        <f>Aerospace!AJ7/Aerospace!AI7-1</f>
        <v>-4.1104421839319061E-2</v>
      </c>
      <c r="AK30" s="563">
        <f>Aerospace!AK7/Aerospace!AJ7-1</f>
        <v>-1.6670274951288144E-2</v>
      </c>
      <c r="AL30" s="563">
        <f>Aerospace!AL7/Aerospace!AK7-1</f>
        <v>4.5794804051078719E-2</v>
      </c>
      <c r="AM30" s="597"/>
      <c r="AN30" s="563">
        <f>Aerospace!AN7/Aerospace!AL7-1</f>
        <v>-0.12315789473684213</v>
      </c>
      <c r="AO30" s="563">
        <f>Aerospace!AO7/Aerospace!AN7-1</f>
        <v>2.2569027611044401E-2</v>
      </c>
      <c r="AP30" s="563">
        <f>Aerospace!AP7/Aerospace!AO7-1</f>
        <v>3.0993190889880173E-2</v>
      </c>
      <c r="AQ30" s="563">
        <f>Aerospace!AQ7/Aerospace!AP7-1</f>
        <v>9.4056023684809809E-2</v>
      </c>
      <c r="AR30" s="597"/>
      <c r="AS30" s="563">
        <f>Aerospace!AS7/Aerospace!AQ7-1</f>
        <v>-9.0757701915070821E-2</v>
      </c>
      <c r="AT30" s="563">
        <f>Aerospace!AT7/Aerospace!AS7-1</f>
        <v>8.3333333333333259E-2</v>
      </c>
      <c r="AU30" s="563">
        <f>Aerospace!AU7/Aerospace!AT7-1</f>
        <v>2.1766694843617929E-2</v>
      </c>
      <c r="AV30" s="563">
        <f>Aerospace!AV7/Aerospace!AU7-1</f>
        <v>1.8407445708376491E-2</v>
      </c>
      <c r="AW30" s="597"/>
      <c r="AX30" s="563">
        <f>Aerospace!AX7/Aerospace!AV7-1</f>
        <v>-6.701868399675015E-3</v>
      </c>
      <c r="AY30" s="563">
        <f>Aerospace!AY7/Aerospace!AX7-1</f>
        <v>-7.3604579840523821E-3</v>
      </c>
      <c r="AZ30" s="563">
        <f>Aerospace!AZ7/Aerospace!AY7-1</f>
        <v>-1.5242018537590107E-2</v>
      </c>
      <c r="BA30" s="563">
        <f>Aerospace!BA7/Aerospace!AZ7-1</f>
        <v>0.14348462664714501</v>
      </c>
      <c r="BB30" s="597"/>
      <c r="BC30" s="563">
        <f>Aerospace!BC7/Aerospace!BA7-1</f>
        <v>-7.1885860618254971E-2</v>
      </c>
      <c r="BD30" s="563">
        <f>Aerospace!BD7/Aerospace!BC7-1</f>
        <v>4.5132045723295322E-2</v>
      </c>
      <c r="BE30" s="563">
        <f>Aerospace!BE7/Aerospace!BD7-1</f>
        <v>1.1502922873845023E-2</v>
      </c>
      <c r="BF30" s="563">
        <f>Aerospace!BF7/Aerospace!BE7-1</f>
        <v>0.15026099925428782</v>
      </c>
      <c r="BG30" s="597"/>
      <c r="BH30" s="563">
        <f>Aerospace!BH7/Aerospace!BF7-1</f>
        <v>-6.3533225283630479E-2</v>
      </c>
      <c r="BI30" s="563">
        <f>Aerospace!BI7/Aerospace!BH7-1</f>
        <v>5.3997923156801741E-2</v>
      </c>
      <c r="BJ30" s="563">
        <f>Aerospace!BJ7/Aerospace!BI7-1</f>
        <v>-6.4367816091954078E-2</v>
      </c>
      <c r="BK30" s="563">
        <f>Aerospace!BK7/Aerospace!BJ7-1</f>
        <v>0.12741312741312738</v>
      </c>
      <c r="BL30" s="597"/>
      <c r="BM30" s="563">
        <f>Aerospace!BM7/Aerospace!BK7-1</f>
        <v>-0.11674968866749691</v>
      </c>
      <c r="BN30" s="563">
        <f>Aerospace!BN7/Aerospace!BM7-1</f>
        <v>0.10186817060274933</v>
      </c>
      <c r="BO30" s="563">
        <f>Aerospace!BO7/Aerospace!BN7-1</f>
        <v>-4.0147152911068407E-2</v>
      </c>
      <c r="BP30" s="563">
        <f>Aerospace!BP7/Aerospace!BO7-1</f>
        <v>0.12214630894850864</v>
      </c>
      <c r="BQ30" s="597"/>
      <c r="BR30" s="563">
        <f>Aerospace!BR7/Aerospace!BP7-1</f>
        <v>-7.009207009207008E-2</v>
      </c>
      <c r="BS30" s="563">
        <f>Aerospace!BS7/Aerospace!BR7-1</f>
        <v>3.9763653784733233E-2</v>
      </c>
      <c r="BT30" s="563">
        <f>Aerospace!BT7/Aerospace!BS7-1</f>
        <v>-3.2406696360006149E-2</v>
      </c>
      <c r="BU30" s="563">
        <f>Aerospace!BU7/Aerospace!BT7-1</f>
        <v>0.14079365079365069</v>
      </c>
      <c r="BV30" s="597"/>
      <c r="BW30" s="563">
        <f>Aerospace!BW7/Aerospace!BU7-1</f>
        <v>-7.151801864477525E-2</v>
      </c>
      <c r="BX30" s="563">
        <f>Aerospace!BX7/Aerospace!BW7-1</f>
        <v>-5.8444477746141255E-3</v>
      </c>
      <c r="BY30" s="563">
        <f>Aerospace!BY7/Aerospace!BX7-1</f>
        <v>9.3457943925232545E-3</v>
      </c>
      <c r="BZ30" s="563">
        <f>Aerospace!BZ7/Aerospace!BY7-1</f>
        <v>4.6893667861409805E-2</v>
      </c>
      <c r="CA30" s="597"/>
      <c r="CB30" s="563">
        <f>Aerospace!CB7/Aerospace!BZ7-1</f>
        <v>1.4550641940085596E-2</v>
      </c>
      <c r="CC30" s="563">
        <f>Aerospace!CC7/Aerospace!CB7-1</f>
        <v>5.7227221597300426E-2</v>
      </c>
      <c r="CD30" s="563">
        <f>Aerospace!CD7/Aerospace!CC7-1</f>
        <v>-5.1868599547811867E-3</v>
      </c>
      <c r="CE30" s="563">
        <f>Aerospace!CE7/Aerospace!CD7-1</f>
        <v>0.13048128342245979</v>
      </c>
      <c r="CF30" s="597"/>
      <c r="CG30" s="563">
        <f>Aerospace!CG7/Aerospace!CE7-1</f>
        <v>-5.9366130558183516E-2</v>
      </c>
      <c r="CH30" s="563">
        <f>Aerospace!CH7/Aerospace!CG7-1</f>
        <v>-9.6806638169474324E-3</v>
      </c>
      <c r="CI30" s="563">
        <f>Aerospace!CI7/Aerospace!CH7-1</f>
        <v>2.9452837374634999E-2</v>
      </c>
      <c r="CJ30" s="563">
        <f>Aerospace!CJ7/Aerospace!CI7-1</f>
        <v>0.10198544826735723</v>
      </c>
      <c r="CK30" s="597"/>
      <c r="CL30" s="563">
        <f>Aerospace!CL7/Aerospace!CJ7-1</f>
        <v>-0.22873769024171886</v>
      </c>
      <c r="CM30" s="563">
        <f>Aerospace!CM7/Aerospace!CL7-1</f>
        <v>-0.36390017411491582</v>
      </c>
      <c r="CN30" s="563">
        <f>Aerospace!CN7/Aerospace!CM7-1</f>
        <v>0.12203467153284664</v>
      </c>
      <c r="CO30" s="563">
        <f>Aerospace!CO7/Aerospace!CN7-1</f>
        <v>0.18865623094124828</v>
      </c>
      <c r="CP30" s="597"/>
      <c r="CQ30" s="563">
        <f>Aerospace!CQ7/Aerospace!CO7-1</f>
        <v>-0.14622883530015396</v>
      </c>
      <c r="CR30" s="563">
        <f>Aerospace!CR7/Aerospace!CQ7-1</f>
        <v>-3.0448717948717952E-2</v>
      </c>
      <c r="CS30" s="563">
        <f>Aerospace!CS7/Aerospace!CR7-1</f>
        <v>0.11528925619834718</v>
      </c>
      <c r="CT30" s="563">
        <f>Aerospace!CT7/Aerospace!CS7-1</f>
        <v>0.12634309003334576</v>
      </c>
      <c r="CU30" s="597"/>
      <c r="CV30" s="563">
        <f>Aerospace!CV7/Aerospace!CT7-1</f>
        <v>-7.845394736842104E-2</v>
      </c>
      <c r="CW30" s="563">
        <f>Aerospace!CW7/Aerospace!CV7-1</f>
        <v>9.3521327860075054E-2</v>
      </c>
      <c r="CX30" s="563">
        <f>Aerospace!CX7/Aerospace!CW7-1</f>
        <v>9.4336543169577292E-2</v>
      </c>
      <c r="CY30" s="563">
        <f>Aerospace!CY7/Aerospace!CX7-1</f>
        <v>0.13571961222967932</v>
      </c>
      <c r="CZ30" s="597"/>
      <c r="DA30" s="563">
        <f>Aerospace!DA7/Aerospace!CY7-1</f>
        <v>-8.3256730137885704E-2</v>
      </c>
      <c r="DB30" s="563">
        <f>Aerospace!DB7/Aerospace!DA7-1</f>
        <v>0.12591319295229919</v>
      </c>
      <c r="DC30" s="563">
        <f>Aerospace!DC7/Aerospace!DB7-1</f>
        <v>6.9847328244274864E-2</v>
      </c>
      <c r="DD30" s="563">
        <f>Aerospace!DD7/Aerospace!DC7-1</f>
        <v>1.320014270424541E-2</v>
      </c>
      <c r="DE30" s="597"/>
      <c r="DF30" s="563">
        <f>Aerospace!DF7/Aerospace!DD7-1</f>
        <v>-5.211267605633807E-2</v>
      </c>
      <c r="DG30" s="563">
        <f>Aerospace!DG7/Aerospace!DE7-1</f>
        <v>-0.74117091595845142</v>
      </c>
      <c r="DH30" s="563">
        <f>Aerospace!DH7/Aerospace!DG7-1</f>
        <v>8.755928493250642E-2</v>
      </c>
      <c r="DI30" s="563">
        <f>Aerospace!DI7/Aerospace!DH7-1</f>
        <v>0.10466286481046638</v>
      </c>
      <c r="DJ30" s="597"/>
      <c r="DK30" s="563">
        <f>Aerospace!DK7/Aerospace!DI7-1</f>
        <v>-8.8875392246178797E-2</v>
      </c>
      <c r="DL30" s="563">
        <f>Aerospace!DL7/Aerospace!DK7-1</f>
        <v>0.12776358182424175</v>
      </c>
      <c r="DM30" s="563">
        <f>Aerospace!DM7/Aerospace!DL7-1</f>
        <v>-8.3873509999013995E-3</v>
      </c>
      <c r="DN30" s="563">
        <f>Aerospace!DN7/Aerospace!DM7-1</f>
        <v>5.3609925033727857E-2</v>
      </c>
      <c r="DO30" s="597"/>
      <c r="DP30" s="563">
        <f>Aerospace!DP7/Aerospace!DN7-1</f>
        <v>-3.4143636927666754E-2</v>
      </c>
      <c r="DQ30" s="563">
        <f>Aerospace!DQ7/Aerospace!DP7-1</f>
        <v>0.12021129744283643</v>
      </c>
      <c r="DR30" s="563">
        <f>Aerospace!DR7/Aerospace!DQ7-1</f>
        <v>-9.976635656550159E-3</v>
      </c>
      <c r="DS30" s="563">
        <f>Aerospace!DS7/Aerospace!DR7-1</f>
        <v>7.7989292614209171E-2</v>
      </c>
      <c r="DT30" s="597"/>
      <c r="DU30" s="597"/>
      <c r="DV30" s="597"/>
    </row>
    <row r="31" spans="2:126" s="594" customFormat="1" ht="12.9" hidden="1" customHeight="1" outlineLevel="1">
      <c r="B31" s="595" t="s">
        <v>28</v>
      </c>
      <c r="C31" s="598"/>
      <c r="D31" s="598"/>
      <c r="E31" s="598"/>
      <c r="F31" s="598"/>
      <c r="G31" s="598"/>
      <c r="H31" s="598"/>
      <c r="I31" s="598"/>
      <c r="J31" s="563"/>
      <c r="K31" s="563"/>
      <c r="L31" s="563"/>
      <c r="M31" s="563"/>
      <c r="N31" s="598"/>
      <c r="O31" s="563"/>
      <c r="P31" s="563"/>
      <c r="Q31" s="563"/>
      <c r="R31" s="563"/>
      <c r="S31" s="598"/>
      <c r="T31" s="599"/>
      <c r="U31" s="563">
        <f>Aerospace!U9/Aerospace!T9-1</f>
        <v>0.16108452950558205</v>
      </c>
      <c r="V31" s="563">
        <f>Aerospace!V9/Aerospace!U9-1</f>
        <v>-5.3571428571428603E-2</v>
      </c>
      <c r="W31" s="563">
        <f>Aerospace!W9/Aerospace!V9-1</f>
        <v>0.100145137880987</v>
      </c>
      <c r="X31" s="598"/>
      <c r="Y31" s="563">
        <f>Aerospace!Y9/Aerospace!W9-1</f>
        <v>-7.7836411609498724E-2</v>
      </c>
      <c r="Z31" s="563">
        <f>Aerospace!Z9/Aerospace!Y9-1</f>
        <v>0.18454935622317592</v>
      </c>
      <c r="AA31" s="563">
        <f>Aerospace!AA9/Aerospace!Z9-1</f>
        <v>-0.11111111111111116</v>
      </c>
      <c r="AB31" s="563">
        <f>Aerospace!AB9/Aerospace!AA9-1</f>
        <v>0.30298913043478271</v>
      </c>
      <c r="AC31" s="598"/>
      <c r="AD31" s="563">
        <f>Aerospace!AD9/Aerospace!AB9-1</f>
        <v>-0.19186652763295098</v>
      </c>
      <c r="AE31" s="563">
        <f>Aerospace!AE9/Aerospace!AD9-1</f>
        <v>0.1793548387096775</v>
      </c>
      <c r="AF31" s="563">
        <f>Aerospace!AF9/Aerospace!AE9-1</f>
        <v>-8.7527352297593009E-2</v>
      </c>
      <c r="AG31" s="563">
        <f>Aerospace!AG9/Aerospace!AF9-1</f>
        <v>0.3920863309352518</v>
      </c>
      <c r="AH31" s="598"/>
      <c r="AI31" s="563">
        <f>Aerospace!AI9/Aerospace!AG9-1</f>
        <v>-6.9767441860465129E-2</v>
      </c>
      <c r="AJ31" s="563">
        <f>Aerospace!AJ9/Aerospace!AI9-1</f>
        <v>-0.14537037037037037</v>
      </c>
      <c r="AK31" s="563">
        <f>Aerospace!AK9/Aerospace!AJ9-1</f>
        <v>5.0920910075839654E-2</v>
      </c>
      <c r="AL31" s="563">
        <f>Aerospace!AL9/Aerospace!AK9-1</f>
        <v>-2.0618556701030966E-2</v>
      </c>
      <c r="AM31" s="598"/>
      <c r="AN31" s="563">
        <f>Aerospace!AN9/Aerospace!AL9-1</f>
        <v>-0.15894736842105261</v>
      </c>
      <c r="AO31" s="563">
        <f>Aerospace!AO9/Aerospace!AN9-1</f>
        <v>0.10012515644555697</v>
      </c>
      <c r="AP31" s="563">
        <f>Aerospace!AP9/Aerospace!AO9-1</f>
        <v>-8.418657565415244E-2</v>
      </c>
      <c r="AQ31" s="563">
        <f>Aerospace!AQ9/Aerospace!AP9-1</f>
        <v>1.9875776397515477E-2</v>
      </c>
      <c r="AR31" s="598"/>
      <c r="AS31" s="563">
        <f>Aerospace!AS9/Aerospace!AQ9-1</f>
        <v>2.4360535931790439E-2</v>
      </c>
      <c r="AT31" s="563">
        <f>Aerospace!AT9/Aerospace!AS9-1</f>
        <v>0.14030915576694403</v>
      </c>
      <c r="AU31" s="563">
        <f>Aerospace!AU9/Aerospace!AT9-1</f>
        <v>-0.10114702815432741</v>
      </c>
      <c r="AV31" s="563">
        <f>Aerospace!AV9/Aerospace!AU9-1</f>
        <v>-1.3921113689095099E-2</v>
      </c>
      <c r="AW31" s="598"/>
      <c r="AX31" s="563">
        <f>Aerospace!AX9/Aerospace!AV9-1</f>
        <v>1.4117647058823568E-2</v>
      </c>
      <c r="AY31" s="563">
        <f>Aerospace!AY9/Aerospace!AX9-1</f>
        <v>6.9605568445475718E-2</v>
      </c>
      <c r="AZ31" s="563">
        <f>Aerospace!AZ9/Aerospace!AY9-1</f>
        <v>2.1691973969630851E-3</v>
      </c>
      <c r="BA31" s="563">
        <f>Aerospace!BA9/Aerospace!AZ9-1</f>
        <v>0.12445887445887438</v>
      </c>
      <c r="BB31" s="598"/>
      <c r="BC31" s="563">
        <f>Aerospace!BC9/Aerospace!BA9-1</f>
        <v>-9.9133782483156851E-2</v>
      </c>
      <c r="BD31" s="563">
        <f>Aerospace!BD9/Aerospace!BC9-1</f>
        <v>0.1399572649572649</v>
      </c>
      <c r="BE31" s="563">
        <f>Aerospace!BE9/Aerospace!BD9-1</f>
        <v>2.2492970946579094E-2</v>
      </c>
      <c r="BF31" s="563">
        <f>Aerospace!BF9/Aerospace!BE9-1</f>
        <v>0.1466544454628782</v>
      </c>
      <c r="BG31" s="598"/>
      <c r="BH31" s="563">
        <f>Aerospace!BH9/Aerospace!BF9-1</f>
        <v>-0.10871302957633888</v>
      </c>
      <c r="BI31" s="563">
        <f>Aerospace!BI9/Aerospace!BH9-1</f>
        <v>7.3542600896860932E-2</v>
      </c>
      <c r="BJ31" s="563">
        <f>Aerospace!BJ9/Aerospace!BI9-1</f>
        <v>5.597326649958223E-2</v>
      </c>
      <c r="BK31" s="563">
        <f>Aerospace!BK9/Aerospace!BJ9-1</f>
        <v>0.10522151898734178</v>
      </c>
      <c r="BL31" s="598"/>
      <c r="BM31" s="563">
        <f>Aerospace!BM9/Aerospace!BK9-1</f>
        <v>-5.94130279169649E-2</v>
      </c>
      <c r="BN31" s="563">
        <f>Aerospace!BN9/Aerospace!BM9-1</f>
        <v>-3.4246575342465779E-2</v>
      </c>
      <c r="BO31" s="563">
        <f>Aerospace!BO9/Aerospace!BN9-1</f>
        <v>6.6193853427896077E-2</v>
      </c>
      <c r="BP31" s="563">
        <f>Aerospace!BP9/Aerospace!BO9-1</f>
        <v>0.16112342941611235</v>
      </c>
      <c r="BQ31" s="598"/>
      <c r="BR31" s="563">
        <f>Aerospace!BR9/Aerospace!BP9-1</f>
        <v>-2.9917250159134268E-2</v>
      </c>
      <c r="BS31" s="563">
        <f>Aerospace!BS9/Aerospace!BR9-1</f>
        <v>-0.115485564304462</v>
      </c>
      <c r="BT31" s="563">
        <f>Aerospace!BT9/Aerospace!BS9-1</f>
        <v>0.10830860534124631</v>
      </c>
      <c r="BU31" s="563">
        <f>Aerospace!BU9/Aerospace!BT9-1</f>
        <v>0.17068273092369468</v>
      </c>
      <c r="BV31" s="598"/>
      <c r="BW31" s="563">
        <f>Aerospace!BW9/Aerospace!BU9-1</f>
        <v>-0.27215551743853628</v>
      </c>
      <c r="BX31" s="563">
        <f>Aerospace!BX9/Aerospace!BW9-1</f>
        <v>7.9340141398271724E-2</v>
      </c>
      <c r="BY31" s="563">
        <f>Aerospace!BY9/Aerospace!BX9-1</f>
        <v>-2.8384279475982543E-2</v>
      </c>
      <c r="BZ31" s="563">
        <f>Aerospace!BZ9/Aerospace!BY9-1</f>
        <v>3.970037453183517E-2</v>
      </c>
      <c r="CA31" s="598"/>
      <c r="CB31" s="563">
        <f>Aerospace!CB9/Aerospace!BZ9-1</f>
        <v>0.15489913544668599</v>
      </c>
      <c r="CC31" s="563">
        <f>Aerospace!CC9/Aerospace!CB9-1</f>
        <v>-7.9850280723643197E-2</v>
      </c>
      <c r="CD31" s="563">
        <f>Aerospace!CD9/Aerospace!CC9-1</f>
        <v>0.12881355932203387</v>
      </c>
      <c r="CE31" s="563">
        <f>Aerospace!CE9/Aerospace!CD9-1</f>
        <v>3.4834834834834849E-2</v>
      </c>
      <c r="CF31" s="598"/>
      <c r="CG31" s="563">
        <f>Aerospace!CG9/Aerospace!CE9-1</f>
        <v>-3.6564132327336019E-2</v>
      </c>
      <c r="CH31" s="563">
        <f>Aerospace!CH9/Aerospace!CG9-1</f>
        <v>-0.16566265060240959</v>
      </c>
      <c r="CI31" s="563">
        <f>Aerospace!CI9/Aerospace!CH9-1</f>
        <v>0.24043321299638998</v>
      </c>
      <c r="CJ31" s="563">
        <f>Aerospace!CJ9/Aerospace!CI9-1</f>
        <v>0.19674039580908032</v>
      </c>
      <c r="CK31" s="598"/>
      <c r="CL31" s="563">
        <f>Aerospace!CL9/Aerospace!CJ9-1</f>
        <v>-0.51219467951361897</v>
      </c>
      <c r="CM31" s="563">
        <f>Aerospace!CM9/Aerospace!CL9-1</f>
        <v>-1.6849926197472529</v>
      </c>
      <c r="CN31" s="563">
        <f>Aerospace!CN9/Aerospace!CM9-1</f>
        <v>-1.5088155502848881</v>
      </c>
      <c r="CO31" s="563">
        <f>Aerospace!CO9/Aerospace!CN9-1</f>
        <v>0.61288872759346269</v>
      </c>
      <c r="CP31" s="598"/>
      <c r="CQ31" s="563">
        <f>Aerospace!CQ9/Aerospace!CO9-1</f>
        <v>0.13694043338710471</v>
      </c>
      <c r="CR31" s="563">
        <f>Aerospace!CR9/Aerospace!CQ9-1</f>
        <v>-0.72542901716068642</v>
      </c>
      <c r="CS31" s="563">
        <f>Aerospace!CS9/Aerospace!CR9-1</f>
        <v>3.8068181818181817</v>
      </c>
      <c r="CT31" s="563">
        <f>Aerospace!CT9/Aerospace!CS9-1</f>
        <v>0.43971631205673756</v>
      </c>
      <c r="CU31" s="598"/>
      <c r="CV31" s="563">
        <f>Aerospace!CV9/Aerospace!CT9-1</f>
        <v>-0.25451559934318557</v>
      </c>
      <c r="CW31" s="563">
        <f>Aerospace!CW9/Aerospace!CV9-1</f>
        <v>0.26431718061674014</v>
      </c>
      <c r="CX31" s="567">
        <f>Aerospace!CX9/Aerospace!CW9-1</f>
        <v>0.11846689895470375</v>
      </c>
      <c r="CY31" s="563">
        <f>Aerospace!CY9/Aerospace!CX9-1</f>
        <v>0.11682242990654212</v>
      </c>
      <c r="CZ31" s="598"/>
      <c r="DA31" s="563">
        <f>Aerospace!DA9/Aerospace!CY9-1</f>
        <v>-7.5313807531380728E-2</v>
      </c>
      <c r="DB31" s="563">
        <f>Aerospace!DB9/Aerospace!DA9-1</f>
        <v>0.11538461538461542</v>
      </c>
      <c r="DC31" s="567">
        <f>Aerospace!DC9/Aerospace!DB9-1</f>
        <v>0.15753887762001351</v>
      </c>
      <c r="DD31" s="563">
        <f>Aerospace!DD9/Aerospace!DC9-1</f>
        <v>-6.6588785046728938E-2</v>
      </c>
      <c r="DE31" s="598"/>
      <c r="DF31" s="563">
        <f>Aerospace!DF9/Aerospace!DD9-1</f>
        <v>-3.0037546933667114E-2</v>
      </c>
      <c r="DG31" s="563">
        <f>Aerospace!DG9/Aerospace!DE9-1</f>
        <v>-0.68977923139820119</v>
      </c>
      <c r="DH31" s="567">
        <f>Aerospace!DH9/Aerospace!DG9-1</f>
        <v>-4.1644702161307334E-2</v>
      </c>
      <c r="DI31" s="563">
        <f>Aerospace!DI9/Aerospace!DH9-1</f>
        <v>9.3509350935093494E-2</v>
      </c>
      <c r="DJ31" s="598"/>
      <c r="DK31" s="563">
        <f>Aerospace!DK9/Aerospace!DI9-1</f>
        <v>7.9476861167002033E-2</v>
      </c>
      <c r="DL31" s="563">
        <f>Aerospace!DL9/Aerospace!DK9-1</f>
        <v>8.9002795899347564E-2</v>
      </c>
      <c r="DM31" s="567">
        <f>Aerospace!DM9/Aerospace!DL9-1</f>
        <v>-8.3771125374411559E-2</v>
      </c>
      <c r="DN31" s="563">
        <f>Aerospace!DN9/Aerospace!DM9-1</f>
        <v>-4.8245088348601528E-2</v>
      </c>
      <c r="DO31" s="598"/>
      <c r="DP31" s="563">
        <f>Aerospace!DP9/Aerospace!DN9-1</f>
        <v>0.16729464584337639</v>
      </c>
      <c r="DQ31" s="563">
        <f>Aerospace!DQ9/Aerospace!DP9-1</f>
        <v>9.1160975454075865E-2</v>
      </c>
      <c r="DR31" s="567">
        <f>Aerospace!DR9/Aerospace!DQ9-1</f>
        <v>-3.5756083769958091E-2</v>
      </c>
      <c r="DS31" s="563">
        <f>Aerospace!DS9/Aerospace!DR9-1</f>
        <v>3.433655876585906E-2</v>
      </c>
      <c r="DT31" s="598"/>
      <c r="DU31" s="598"/>
      <c r="DV31" s="598"/>
    </row>
    <row r="32" spans="2:126" s="594" customFormat="1" ht="12.9" hidden="1" customHeight="1" outlineLevel="1">
      <c r="B32" s="595"/>
      <c r="C32" s="598"/>
      <c r="D32" s="598"/>
      <c r="E32" s="598"/>
      <c r="F32" s="598"/>
      <c r="G32" s="598"/>
      <c r="H32" s="598"/>
      <c r="I32" s="598"/>
      <c r="J32" s="563"/>
      <c r="K32" s="563"/>
      <c r="L32" s="563"/>
      <c r="M32" s="563"/>
      <c r="N32" s="598"/>
      <c r="O32" s="563"/>
      <c r="P32" s="563"/>
      <c r="Q32" s="563"/>
      <c r="R32" s="563"/>
      <c r="S32" s="598"/>
      <c r="T32" s="599"/>
      <c r="U32" s="563"/>
      <c r="V32" s="563"/>
      <c r="W32" s="563"/>
      <c r="X32" s="598"/>
      <c r="Y32" s="563"/>
      <c r="Z32" s="563"/>
      <c r="AA32" s="563"/>
      <c r="AB32" s="563"/>
      <c r="AC32" s="598"/>
      <c r="AD32" s="563"/>
      <c r="AE32" s="563"/>
      <c r="AF32" s="563"/>
      <c r="AG32" s="563"/>
      <c r="AH32" s="598"/>
      <c r="AI32" s="563"/>
      <c r="AJ32" s="563"/>
      <c r="AK32" s="563"/>
      <c r="AL32" s="563"/>
      <c r="AM32" s="598"/>
      <c r="AN32" s="563"/>
      <c r="AO32" s="563"/>
      <c r="AP32" s="563"/>
      <c r="AQ32" s="563"/>
      <c r="AR32" s="598"/>
      <c r="AS32" s="563"/>
      <c r="AT32" s="563"/>
      <c r="AU32" s="563"/>
      <c r="AV32" s="563"/>
      <c r="AW32" s="598"/>
      <c r="AX32" s="563"/>
      <c r="AY32" s="563"/>
      <c r="AZ32" s="563"/>
      <c r="BA32" s="563"/>
      <c r="BB32" s="598"/>
      <c r="BC32" s="563"/>
      <c r="BD32" s="563"/>
      <c r="BE32" s="563"/>
      <c r="BF32" s="563"/>
      <c r="BG32" s="598"/>
      <c r="BH32" s="563"/>
      <c r="BI32" s="563"/>
      <c r="BJ32" s="563"/>
      <c r="BK32" s="563"/>
      <c r="BL32" s="598"/>
      <c r="BM32" s="563"/>
      <c r="BN32" s="563"/>
      <c r="BO32" s="563"/>
      <c r="BP32" s="563"/>
      <c r="BQ32" s="598"/>
      <c r="BR32" s="563"/>
      <c r="BS32" s="563"/>
      <c r="BT32" s="563"/>
      <c r="BU32" s="563"/>
      <c r="BV32" s="598"/>
      <c r="BW32" s="563"/>
      <c r="BX32" s="563"/>
      <c r="BY32" s="563"/>
      <c r="BZ32" s="563"/>
      <c r="CA32" s="598"/>
      <c r="CB32" s="563"/>
      <c r="CC32" s="563"/>
      <c r="CD32" s="563"/>
      <c r="CE32" s="563"/>
      <c r="CF32" s="598"/>
      <c r="CG32" s="563"/>
      <c r="CH32" s="563"/>
      <c r="CI32" s="563"/>
      <c r="CJ32" s="563"/>
      <c r="CK32" s="598"/>
      <c r="CL32" s="563"/>
      <c r="CM32" s="563"/>
      <c r="CN32" s="563"/>
      <c r="CO32" s="563"/>
      <c r="CP32" s="598"/>
      <c r="CQ32" s="563"/>
      <c r="CR32" s="563"/>
      <c r="CS32" s="563"/>
      <c r="CT32" s="563"/>
      <c r="CU32" s="598"/>
      <c r="CV32" s="563"/>
      <c r="CW32" s="563"/>
      <c r="CX32" s="563"/>
      <c r="CY32" s="563"/>
      <c r="CZ32" s="598"/>
      <c r="DA32" s="563"/>
      <c r="DB32" s="563"/>
      <c r="DC32" s="563"/>
      <c r="DD32" s="563"/>
      <c r="DE32" s="598"/>
      <c r="DF32" s="563"/>
      <c r="DG32" s="563"/>
      <c r="DH32" s="563"/>
      <c r="DI32" s="563"/>
      <c r="DJ32" s="598"/>
      <c r="DK32" s="563"/>
      <c r="DL32" s="563"/>
      <c r="DM32" s="563"/>
      <c r="DN32" s="563"/>
      <c r="DO32" s="598"/>
      <c r="DP32" s="563"/>
      <c r="DQ32" s="563"/>
      <c r="DR32" s="563"/>
      <c r="DS32" s="563"/>
      <c r="DT32" s="598"/>
      <c r="DU32" s="598"/>
      <c r="DV32" s="598"/>
    </row>
    <row r="33" spans="2:126" s="521" customFormat="1" ht="12.9" hidden="1" customHeight="1" outlineLevel="1">
      <c r="B33" s="526" t="s">
        <v>444</v>
      </c>
      <c r="C33" s="523"/>
      <c r="D33" s="523"/>
      <c r="E33" s="523"/>
      <c r="F33" s="523"/>
      <c r="G33" s="523"/>
      <c r="H33" s="523"/>
      <c r="I33" s="523"/>
      <c r="J33" s="524"/>
      <c r="K33" s="524"/>
      <c r="L33" s="524"/>
      <c r="M33" s="525"/>
      <c r="N33" s="523"/>
      <c r="O33" s="524"/>
      <c r="P33" s="524"/>
      <c r="Q33" s="524"/>
      <c r="R33" s="525"/>
      <c r="S33" s="523"/>
      <c r="T33" s="524"/>
      <c r="U33" s="524"/>
      <c r="V33" s="524"/>
      <c r="W33" s="525"/>
      <c r="X33" s="523"/>
      <c r="Y33" s="524"/>
      <c r="Z33" s="524"/>
      <c r="AA33" s="524"/>
      <c r="AB33" s="525"/>
      <c r="AC33" s="523"/>
      <c r="AD33" s="524"/>
      <c r="AE33" s="524"/>
      <c r="AF33" s="524"/>
      <c r="AG33" s="525"/>
      <c r="AH33" s="523"/>
      <c r="AI33" s="524"/>
      <c r="AJ33" s="524"/>
      <c r="AK33" s="524"/>
      <c r="AL33" s="525"/>
      <c r="AM33" s="523"/>
      <c r="AN33" s="524"/>
      <c r="AO33" s="524"/>
      <c r="AP33" s="524"/>
      <c r="AQ33" s="525"/>
      <c r="AR33" s="523"/>
      <c r="AS33" s="524"/>
      <c r="AT33" s="524"/>
      <c r="AU33" s="524"/>
      <c r="AV33" s="525"/>
      <c r="AW33" s="523"/>
      <c r="AX33" s="524"/>
      <c r="AY33" s="524"/>
      <c r="AZ33" s="524"/>
      <c r="BA33" s="525"/>
      <c r="BB33" s="523"/>
      <c r="BC33" s="524"/>
      <c r="BD33" s="524"/>
      <c r="BE33" s="524"/>
      <c r="BF33" s="525"/>
      <c r="BG33" s="523"/>
      <c r="BH33" s="524"/>
      <c r="BI33" s="524"/>
      <c r="BJ33" s="524"/>
      <c r="BK33" s="525"/>
      <c r="BL33" s="523"/>
      <c r="BM33" s="524"/>
      <c r="BN33" s="524"/>
      <c r="BO33" s="524"/>
      <c r="BP33" s="525"/>
      <c r="BQ33" s="523"/>
      <c r="BR33" s="524"/>
      <c r="BS33" s="524"/>
      <c r="BT33" s="524"/>
      <c r="BU33" s="525"/>
      <c r="BV33" s="523"/>
      <c r="BW33" s="524"/>
      <c r="BX33" s="524"/>
      <c r="BY33" s="524"/>
      <c r="BZ33" s="525"/>
      <c r="CA33" s="523"/>
      <c r="CB33" s="524"/>
      <c r="CC33" s="524"/>
      <c r="CD33" s="524"/>
      <c r="CE33" s="525"/>
      <c r="CF33" s="523"/>
      <c r="CG33" s="524"/>
      <c r="CH33" s="524"/>
      <c r="CI33" s="524"/>
      <c r="CJ33" s="525"/>
      <c r="CK33" s="523"/>
      <c r="CL33" s="524"/>
      <c r="CM33" s="524"/>
      <c r="CN33" s="524"/>
      <c r="CO33" s="525"/>
      <c r="CP33" s="523"/>
      <c r="CQ33" s="524"/>
      <c r="CR33" s="524"/>
      <c r="CS33" s="524"/>
      <c r="CT33" s="525"/>
      <c r="CU33" s="523"/>
      <c r="CV33" s="524"/>
      <c r="CW33" s="524"/>
      <c r="CX33" s="524"/>
      <c r="CY33" s="525"/>
      <c r="CZ33" s="523"/>
      <c r="DA33" s="524"/>
      <c r="DB33" s="524"/>
      <c r="DC33" s="524"/>
      <c r="DD33" s="525"/>
      <c r="DE33" s="523"/>
      <c r="DF33" s="524"/>
      <c r="DG33" s="524"/>
      <c r="DH33" s="524"/>
      <c r="DI33" s="525"/>
      <c r="DJ33" s="523"/>
      <c r="DK33" s="524"/>
      <c r="DL33" s="524"/>
      <c r="DM33" s="524"/>
      <c r="DN33" s="525"/>
      <c r="DO33" s="523"/>
      <c r="DP33" s="524"/>
      <c r="DQ33" s="524"/>
      <c r="DR33" s="524"/>
      <c r="DS33" s="525"/>
      <c r="DT33" s="523"/>
      <c r="DU33" s="523"/>
      <c r="DV33" s="523"/>
    </row>
    <row r="34" spans="2:126" s="532" customFormat="1" ht="12.9" hidden="1" customHeight="1" outlineLevel="1">
      <c r="B34" s="660" t="s">
        <v>153</v>
      </c>
      <c r="C34" s="789"/>
      <c r="D34" s="789"/>
      <c r="E34" s="789"/>
      <c r="F34" s="789"/>
      <c r="G34" s="789"/>
      <c r="H34" s="789"/>
      <c r="I34" s="789"/>
      <c r="J34" s="790"/>
      <c r="K34" s="790"/>
      <c r="L34" s="790"/>
      <c r="M34" s="790"/>
      <c r="N34" s="789"/>
      <c r="O34" s="790"/>
      <c r="P34" s="790"/>
      <c r="Q34" s="790"/>
      <c r="R34" s="790"/>
      <c r="S34" s="789"/>
      <c r="T34" s="790"/>
      <c r="U34" s="790"/>
      <c r="V34" s="790"/>
      <c r="W34" s="790"/>
      <c r="X34" s="789"/>
      <c r="Y34" s="790"/>
      <c r="Z34" s="790"/>
      <c r="AA34" s="790"/>
      <c r="AB34" s="790"/>
      <c r="AC34" s="789"/>
      <c r="AD34" s="790"/>
      <c r="AE34" s="790"/>
      <c r="AF34" s="790"/>
      <c r="AG34" s="790"/>
      <c r="AH34" s="789"/>
      <c r="AI34" s="790"/>
      <c r="AJ34" s="790"/>
      <c r="AK34" s="790"/>
      <c r="AL34" s="790"/>
      <c r="AM34" s="789"/>
      <c r="AN34" s="790"/>
      <c r="AO34" s="790"/>
      <c r="AP34" s="790"/>
      <c r="AQ34" s="790"/>
      <c r="AR34" s="789"/>
      <c r="AS34" s="790"/>
      <c r="AT34" s="790"/>
      <c r="AU34" s="790"/>
      <c r="AV34" s="790"/>
      <c r="AW34" s="789"/>
      <c r="AX34" s="790"/>
      <c r="AY34" s="790"/>
      <c r="AZ34" s="790"/>
      <c r="BA34" s="790"/>
      <c r="BB34" s="789"/>
      <c r="BC34" s="790"/>
      <c r="BD34" s="790"/>
      <c r="BE34" s="790"/>
      <c r="BF34" s="790"/>
      <c r="BG34" s="789"/>
      <c r="BH34" s="790"/>
      <c r="BI34" s="790"/>
      <c r="BJ34" s="790"/>
      <c r="BK34" s="790"/>
      <c r="BL34" s="789"/>
      <c r="BM34" s="790"/>
      <c r="BN34" s="790"/>
      <c r="BO34" s="790"/>
      <c r="BP34" s="790"/>
      <c r="BQ34" s="789"/>
      <c r="BR34" s="790"/>
      <c r="BS34" s="790"/>
      <c r="BT34" s="790"/>
      <c r="BU34" s="790"/>
      <c r="BV34" s="789"/>
      <c r="BW34" s="790"/>
      <c r="BX34" s="790"/>
      <c r="BY34" s="790"/>
      <c r="BZ34" s="790"/>
      <c r="CA34" s="789"/>
      <c r="CB34" s="790"/>
      <c r="CC34" s="790"/>
      <c r="CD34" s="790"/>
      <c r="CE34" s="790"/>
      <c r="CF34" s="789"/>
      <c r="CG34" s="791"/>
      <c r="CH34" s="790"/>
      <c r="CI34" s="790"/>
      <c r="CJ34" s="790"/>
      <c r="CK34" s="789"/>
      <c r="CL34" s="791"/>
      <c r="CM34" s="790"/>
      <c r="CN34" s="790"/>
      <c r="CO34" s="790"/>
      <c r="CP34" s="789"/>
      <c r="CQ34" s="790"/>
      <c r="CR34" s="790"/>
      <c r="CS34" s="790"/>
      <c r="CT34" s="790"/>
      <c r="CU34" s="789"/>
      <c r="CV34" s="790"/>
      <c r="CW34" s="790"/>
      <c r="CX34" s="790"/>
      <c r="CY34" s="790"/>
      <c r="CZ34" s="789"/>
      <c r="DA34" s="790"/>
      <c r="DB34" s="790"/>
      <c r="DC34" s="790"/>
      <c r="DD34" s="790"/>
      <c r="DE34" s="789"/>
      <c r="DF34" s="790"/>
      <c r="DG34" s="790"/>
      <c r="DH34" s="790"/>
      <c r="DI34" s="790"/>
      <c r="DJ34" s="789"/>
      <c r="DK34" s="790"/>
      <c r="DL34" s="790"/>
      <c r="DM34" s="790"/>
      <c r="DN34" s="790"/>
      <c r="DO34" s="789"/>
      <c r="DP34" s="790"/>
      <c r="DQ34" s="790"/>
      <c r="DR34" s="790"/>
      <c r="DS34" s="790"/>
      <c r="DT34" s="789"/>
      <c r="DU34" s="789"/>
      <c r="DV34" s="789"/>
    </row>
    <row r="35" spans="2:126" s="532" customFormat="1" ht="12.9" hidden="1" customHeight="1" outlineLevel="1">
      <c r="B35" s="600" t="s">
        <v>445</v>
      </c>
      <c r="C35" s="601"/>
      <c r="D35" s="601"/>
      <c r="E35" s="601"/>
      <c r="F35" s="601"/>
      <c r="G35" s="601"/>
      <c r="H35" s="601"/>
      <c r="I35" s="601"/>
      <c r="J35" s="602"/>
      <c r="K35" s="602"/>
      <c r="L35" s="602"/>
      <c r="M35" s="602"/>
      <c r="N35" s="601"/>
      <c r="O35" s="602"/>
      <c r="P35" s="602"/>
      <c r="Q35" s="602"/>
      <c r="R35" s="602"/>
      <c r="S35" s="601"/>
      <c r="T35" s="602"/>
      <c r="U35" s="602"/>
      <c r="V35" s="602"/>
      <c r="W35" s="602"/>
      <c r="X35" s="601"/>
      <c r="Y35" s="602"/>
      <c r="Z35" s="602"/>
      <c r="AA35" s="602"/>
      <c r="AB35" s="602"/>
      <c r="AC35" s="601"/>
      <c r="AD35" s="602"/>
      <c r="AE35" s="602"/>
      <c r="AF35" s="602"/>
      <c r="AG35" s="602"/>
      <c r="AH35" s="601"/>
      <c r="AI35" s="602"/>
      <c r="AJ35" s="602"/>
      <c r="AK35" s="602"/>
      <c r="AL35" s="602"/>
      <c r="AM35" s="601"/>
      <c r="AN35" s="602"/>
      <c r="AO35" s="602"/>
      <c r="AP35" s="602"/>
      <c r="AQ35" s="602"/>
      <c r="AR35" s="601"/>
      <c r="AS35" s="602"/>
      <c r="AT35" s="602"/>
      <c r="AU35" s="602"/>
      <c r="AV35" s="602"/>
      <c r="AW35" s="601"/>
      <c r="AX35" s="602"/>
      <c r="AY35" s="602"/>
      <c r="AZ35" s="602"/>
      <c r="BA35" s="602"/>
      <c r="BB35" s="601"/>
      <c r="BC35" s="602"/>
      <c r="BD35" s="602"/>
      <c r="BE35" s="602"/>
      <c r="BF35" s="602"/>
      <c r="BG35" s="601"/>
      <c r="BH35" s="602"/>
      <c r="BI35" s="602"/>
      <c r="BJ35" s="602"/>
      <c r="BK35" s="602"/>
      <c r="BL35" s="603">
        <f t="shared" ref="BL35:CQ35" si="26">BL42*BL$7</f>
        <v>9835.9</v>
      </c>
      <c r="BM35" s="604">
        <f t="shared" si="26"/>
        <v>2326.3399999999997</v>
      </c>
      <c r="BN35" s="604">
        <f t="shared" si="26"/>
        <v>2563.3199999999997</v>
      </c>
      <c r="BO35" s="604">
        <f t="shared" si="26"/>
        <v>2460.41</v>
      </c>
      <c r="BP35" s="604">
        <f t="shared" si="26"/>
        <v>2760.94</v>
      </c>
      <c r="BQ35" s="603">
        <f t="shared" si="26"/>
        <v>9617.7900000000009</v>
      </c>
      <c r="BR35" s="604">
        <f t="shared" si="26"/>
        <v>2442.1800000000003</v>
      </c>
      <c r="BS35" s="604">
        <f t="shared" si="26"/>
        <v>2539.29</v>
      </c>
      <c r="BT35" s="604">
        <f t="shared" si="26"/>
        <v>2457</v>
      </c>
      <c r="BU35" s="604">
        <f t="shared" si="26"/>
        <v>2802.9300000000003</v>
      </c>
      <c r="BV35" s="603">
        <f t="shared" si="26"/>
        <v>10583.878326996197</v>
      </c>
      <c r="BW35" s="604">
        <f t="shared" si="26"/>
        <v>2689.4980988593152</v>
      </c>
      <c r="BX35" s="604">
        <f t="shared" si="26"/>
        <v>2673.7794676806079</v>
      </c>
      <c r="BY35" s="604">
        <f t="shared" si="26"/>
        <v>2698.7680608365017</v>
      </c>
      <c r="BZ35" s="604">
        <f t="shared" si="26"/>
        <v>2825.3231939163493</v>
      </c>
      <c r="CA35" s="603">
        <f t="shared" si="26"/>
        <v>10805.2</v>
      </c>
      <c r="CB35" s="605">
        <f t="shared" si="26"/>
        <v>2844.8</v>
      </c>
      <c r="CC35" s="605">
        <f t="shared" si="26"/>
        <v>3007.6000000000004</v>
      </c>
      <c r="CD35" s="605">
        <f t="shared" si="26"/>
        <v>2992</v>
      </c>
      <c r="CE35" s="605">
        <f t="shared" si="26"/>
        <v>3382.4</v>
      </c>
      <c r="CF35" s="603">
        <f t="shared" si="26"/>
        <v>12486.519607843136</v>
      </c>
      <c r="CG35" s="605">
        <f t="shared" si="26"/>
        <v>3239.6231003039516</v>
      </c>
      <c r="CH35" s="605">
        <f t="shared" si="26"/>
        <v>3208.261398176292</v>
      </c>
      <c r="CI35" s="605">
        <f t="shared" si="26"/>
        <v>3302.7537993920973</v>
      </c>
      <c r="CJ35" s="605">
        <f t="shared" si="26"/>
        <v>3639.5866261398178</v>
      </c>
      <c r="CK35" s="603">
        <f t="shared" si="26"/>
        <v>13390.224924012158</v>
      </c>
      <c r="CL35" s="605">
        <f t="shared" si="26"/>
        <v>3514.1633245621997</v>
      </c>
      <c r="CM35" s="605">
        <f t="shared" si="26"/>
        <v>2235.3586788857638</v>
      </c>
      <c r="CN35" s="605">
        <f t="shared" si="26"/>
        <v>2508.1499410216861</v>
      </c>
      <c r="CO35" s="605">
        <f t="shared" si="26"/>
        <v>2981.3280555303513</v>
      </c>
      <c r="CP35" s="603">
        <f t="shared" si="26"/>
        <v>11239.000000000002</v>
      </c>
      <c r="CQ35" s="605">
        <f t="shared" si="26"/>
        <v>2266.428906616612</v>
      </c>
      <c r="CR35" s="605">
        <f t="shared" ref="CR35:DJ39" si="27">CR42*CR$7</f>
        <v>2197.4190520882216</v>
      </c>
      <c r="CS35" s="605">
        <f t="shared" si="27"/>
        <v>2450.7578601595496</v>
      </c>
      <c r="CT35" s="605">
        <f t="shared" si="27"/>
        <v>2760.3941811356176</v>
      </c>
      <c r="CU35" s="868">
        <f t="shared" si="27"/>
        <v>9675.0000000000018</v>
      </c>
      <c r="CV35" s="867">
        <f t="shared" si="27"/>
        <v>2306.1560844529749</v>
      </c>
      <c r="CW35" s="867">
        <f t="shared" si="27"/>
        <v>2521.8308637236082</v>
      </c>
      <c r="CX35" s="867">
        <f t="shared" si="27"/>
        <v>2759.7316698656427</v>
      </c>
      <c r="CY35" s="867">
        <f t="shared" si="27"/>
        <v>3134.2813819577732</v>
      </c>
      <c r="CZ35" s="868">
        <f t="shared" si="27"/>
        <v>10721.999999999998</v>
      </c>
      <c r="DA35" s="867">
        <f t="shared" si="27"/>
        <v>2963.3542965061379</v>
      </c>
      <c r="DB35" s="867">
        <f t="shared" si="27"/>
        <v>3336.4796978281402</v>
      </c>
      <c r="DC35" s="867">
        <f t="shared" si="27"/>
        <v>3569.5238904627008</v>
      </c>
      <c r="DD35" s="867">
        <f t="shared" si="27"/>
        <v>3616.6421152030221</v>
      </c>
      <c r="DE35" s="868">
        <f t="shared" si="27"/>
        <v>13486</v>
      </c>
      <c r="DF35" s="605">
        <f t="shared" si="27"/>
        <v>3428.1692162417376</v>
      </c>
      <c r="DG35" s="605">
        <f t="shared" ref="DG35" si="28">DG42*DG$7</f>
        <v>3490.5690273843252</v>
      </c>
      <c r="DH35" s="605">
        <f t="shared" si="27"/>
        <v>3796.2007554296511</v>
      </c>
      <c r="DI35" s="605">
        <f t="shared" si="27"/>
        <v>4193.5220018885748</v>
      </c>
      <c r="DJ35" s="603">
        <f t="shared" si="27"/>
        <v>14908.461000944288</v>
      </c>
      <c r="DK35" s="605">
        <f t="shared" ref="DK35:DN35" si="29">DK42*DK$7</f>
        <v>3820.8210890777464</v>
      </c>
      <c r="DL35" s="605">
        <f t="shared" si="29"/>
        <v>4308.9828769279193</v>
      </c>
      <c r="DM35" s="605">
        <f t="shared" si="29"/>
        <v>4272.84192508656</v>
      </c>
      <c r="DN35" s="605">
        <f t="shared" si="29"/>
        <v>4501.9086603714195</v>
      </c>
      <c r="DO35" s="603">
        <f t="shared" ref="DO35:DS38" si="30">DO42*DO$7</f>
        <v>16904.554551463647</v>
      </c>
      <c r="DP35" s="605">
        <f t="shared" si="30"/>
        <v>4348.197125590179</v>
      </c>
      <c r="DQ35" s="605">
        <f t="shared" si="30"/>
        <v>4870.8995435945862</v>
      </c>
      <c r="DR35" s="605">
        <f t="shared" si="30"/>
        <v>4822.3043535284869</v>
      </c>
      <c r="DS35" s="605">
        <f t="shared" si="30"/>
        <v>5198.3924588305954</v>
      </c>
      <c r="DT35" s="603">
        <f t="shared" ref="DT35" si="31">DT42*DT$7</f>
        <v>19239.793481543849</v>
      </c>
      <c r="DU35" s="603">
        <f t="shared" ref="DU35:DV35" si="32">DU42*DU$7</f>
        <v>20885.303596521386</v>
      </c>
      <c r="DV35" s="603">
        <f t="shared" si="32"/>
        <v>22325.006209780026</v>
      </c>
    </row>
    <row r="36" spans="2:126" s="532" customFormat="1" ht="12.9" hidden="1" customHeight="1" outlineLevel="1">
      <c r="B36" s="600" t="s">
        <v>446</v>
      </c>
      <c r="C36" s="601"/>
      <c r="D36" s="601"/>
      <c r="E36" s="601"/>
      <c r="F36" s="601"/>
      <c r="G36" s="601"/>
      <c r="H36" s="601"/>
      <c r="I36" s="601"/>
      <c r="J36" s="602"/>
      <c r="K36" s="602"/>
      <c r="L36" s="602"/>
      <c r="M36" s="602"/>
      <c r="N36" s="601"/>
      <c r="O36" s="602"/>
      <c r="P36" s="602"/>
      <c r="Q36" s="602"/>
      <c r="R36" s="602"/>
      <c r="S36" s="601"/>
      <c r="T36" s="602"/>
      <c r="U36" s="602"/>
      <c r="V36" s="602"/>
      <c r="W36" s="602"/>
      <c r="X36" s="601"/>
      <c r="Y36" s="602"/>
      <c r="Z36" s="602"/>
      <c r="AA36" s="602"/>
      <c r="AB36" s="602"/>
      <c r="AC36" s="601"/>
      <c r="AD36" s="602"/>
      <c r="AE36" s="602"/>
      <c r="AF36" s="602"/>
      <c r="AG36" s="602"/>
      <c r="AH36" s="601"/>
      <c r="AI36" s="602"/>
      <c r="AJ36" s="602"/>
      <c r="AK36" s="602"/>
      <c r="AL36" s="602"/>
      <c r="AM36" s="601"/>
      <c r="AN36" s="602"/>
      <c r="AO36" s="602"/>
      <c r="AP36" s="602"/>
      <c r="AQ36" s="602"/>
      <c r="AR36" s="601"/>
      <c r="AS36" s="602"/>
      <c r="AT36" s="602"/>
      <c r="AU36" s="602"/>
      <c r="AV36" s="602"/>
      <c r="AW36" s="601"/>
      <c r="AX36" s="602"/>
      <c r="AY36" s="602"/>
      <c r="AZ36" s="602"/>
      <c r="BA36" s="602"/>
      <c r="BB36" s="601"/>
      <c r="BC36" s="602"/>
      <c r="BD36" s="602"/>
      <c r="BE36" s="602"/>
      <c r="BF36" s="602"/>
      <c r="BG36" s="601"/>
      <c r="BH36" s="602"/>
      <c r="BI36" s="602"/>
      <c r="BJ36" s="602"/>
      <c r="BK36" s="602"/>
      <c r="BL36" s="603">
        <f t="shared" ref="BL36:CQ36" si="33">BL43*BL$7</f>
        <v>4078.3</v>
      </c>
      <c r="BM36" s="604">
        <f t="shared" si="33"/>
        <v>964.58</v>
      </c>
      <c r="BN36" s="604">
        <f t="shared" si="33"/>
        <v>1062.8400000000001</v>
      </c>
      <c r="BO36" s="604">
        <f t="shared" si="33"/>
        <v>1020.1700000000001</v>
      </c>
      <c r="BP36" s="604">
        <f t="shared" si="33"/>
        <v>1144.78</v>
      </c>
      <c r="BQ36" s="603">
        <f t="shared" si="33"/>
        <v>3945.76</v>
      </c>
      <c r="BR36" s="604">
        <f t="shared" si="33"/>
        <v>1001.9200000000001</v>
      </c>
      <c r="BS36" s="604">
        <f t="shared" si="33"/>
        <v>1041.76</v>
      </c>
      <c r="BT36" s="604">
        <f t="shared" si="33"/>
        <v>1008</v>
      </c>
      <c r="BU36" s="604">
        <f t="shared" si="33"/>
        <v>1149.92</v>
      </c>
      <c r="BV36" s="603">
        <f t="shared" si="33"/>
        <v>4493.1558935361218</v>
      </c>
      <c r="BW36" s="604">
        <f t="shared" si="33"/>
        <v>1141.7680608365019</v>
      </c>
      <c r="BX36" s="604">
        <f t="shared" si="33"/>
        <v>1135.0950570342204</v>
      </c>
      <c r="BY36" s="604">
        <f t="shared" si="33"/>
        <v>1145.7034220532319</v>
      </c>
      <c r="BZ36" s="604">
        <f t="shared" si="33"/>
        <v>1199.4296577946768</v>
      </c>
      <c r="CA36" s="603">
        <f t="shared" si="33"/>
        <v>6303.0333333333338</v>
      </c>
      <c r="CB36" s="605">
        <f t="shared" si="33"/>
        <v>1659.4666666666667</v>
      </c>
      <c r="CC36" s="605">
        <f t="shared" si="33"/>
        <v>1754.4333333333334</v>
      </c>
      <c r="CD36" s="605">
        <f t="shared" si="33"/>
        <v>1745.3333333333333</v>
      </c>
      <c r="CE36" s="605">
        <f t="shared" si="33"/>
        <v>1973.0666666666666</v>
      </c>
      <c r="CF36" s="603">
        <f t="shared" si="33"/>
        <v>6992.4509803921565</v>
      </c>
      <c r="CG36" s="605">
        <f t="shared" si="33"/>
        <v>1813.2218844984802</v>
      </c>
      <c r="CH36" s="605">
        <f t="shared" si="33"/>
        <v>1795.6686930091187</v>
      </c>
      <c r="CI36" s="605">
        <f t="shared" si="33"/>
        <v>1848.5562310030396</v>
      </c>
      <c r="CJ36" s="605">
        <f t="shared" si="33"/>
        <v>2037.0820668693009</v>
      </c>
      <c r="CK36" s="603">
        <f t="shared" si="33"/>
        <v>7494.5288753799396</v>
      </c>
      <c r="CL36" s="605">
        <f t="shared" si="33"/>
        <v>1340.7538335904183</v>
      </c>
      <c r="CM36" s="605">
        <f t="shared" si="33"/>
        <v>852.85328010162414</v>
      </c>
      <c r="CN36" s="605">
        <f t="shared" si="33"/>
        <v>956.93095000453673</v>
      </c>
      <c r="CO36" s="605">
        <f t="shared" si="33"/>
        <v>1137.4619363034208</v>
      </c>
      <c r="CP36" s="603">
        <f t="shared" si="33"/>
        <v>4288</v>
      </c>
      <c r="CQ36" s="605">
        <f t="shared" si="33"/>
        <v>918.2843735335523</v>
      </c>
      <c r="CR36" s="605">
        <f t="shared" ref="CR36:DJ36" si="34">CR43*CR$7</f>
        <v>890.32379164711404</v>
      </c>
      <c r="CS36" s="605">
        <f t="shared" si="34"/>
        <v>992.96855936180191</v>
      </c>
      <c r="CT36" s="605">
        <f t="shared" si="34"/>
        <v>1118.4232754575316</v>
      </c>
      <c r="CU36" s="868">
        <f t="shared" si="27"/>
        <v>3920</v>
      </c>
      <c r="CV36" s="867">
        <f t="shared" si="27"/>
        <v>1293.3143570057582</v>
      </c>
      <c r="CW36" s="867">
        <f t="shared" si="27"/>
        <v>1414.2668330134356</v>
      </c>
      <c r="CX36" s="867">
        <f t="shared" si="27"/>
        <v>1547.6838771593091</v>
      </c>
      <c r="CY36" s="867">
        <f t="shared" si="27"/>
        <v>1757.7349328214971</v>
      </c>
      <c r="CZ36" s="868">
        <f t="shared" si="27"/>
        <v>6013</v>
      </c>
      <c r="DA36" s="867">
        <f t="shared" si="27"/>
        <v>1587.5897072710102</v>
      </c>
      <c r="DB36" s="867">
        <f t="shared" si="27"/>
        <v>1787.4881964117092</v>
      </c>
      <c r="DC36" s="867">
        <f t="shared" si="27"/>
        <v>1912.3394711992444</v>
      </c>
      <c r="DD36" s="867">
        <f t="shared" si="27"/>
        <v>1937.5826251180358</v>
      </c>
      <c r="DE36" s="868">
        <f t="shared" si="27"/>
        <v>7225</v>
      </c>
      <c r="DF36" s="605">
        <f t="shared" si="34"/>
        <v>1836.6100094428705</v>
      </c>
      <c r="DG36" s="605">
        <f t="shared" ref="DG36" si="35">DG43*DG$7</f>
        <v>1870.0401322001887</v>
      </c>
      <c r="DH36" s="605">
        <f t="shared" si="34"/>
        <v>2033.779508970727</v>
      </c>
      <c r="DI36" s="605">
        <f t="shared" si="34"/>
        <v>2246.6406987724267</v>
      </c>
      <c r="DJ36" s="603">
        <f t="shared" si="34"/>
        <v>7987.0703493862129</v>
      </c>
      <c r="DK36" s="605">
        <f t="shared" ref="DK36:DN36" si="36">DK43*DK$7</f>
        <v>2046.969625432798</v>
      </c>
      <c r="DL36" s="605">
        <f t="shared" si="36"/>
        <v>2308.4977966635188</v>
      </c>
      <c r="DM36" s="605">
        <f t="shared" si="36"/>
        <v>2289.1356153604029</v>
      </c>
      <c r="DN36" s="605">
        <f t="shared" si="36"/>
        <v>2411.8560040919106</v>
      </c>
      <c r="DO36" s="603">
        <f t="shared" si="30"/>
        <v>9056.4590415486309</v>
      </c>
      <c r="DP36" s="605">
        <f t="shared" si="30"/>
        <v>2329.5064683663832</v>
      </c>
      <c r="DQ36" s="605">
        <f t="shared" si="30"/>
        <v>2609.5394633301858</v>
      </c>
      <c r="DR36" s="605">
        <f t="shared" si="30"/>
        <v>2583.5050388731511</v>
      </c>
      <c r="DS36" s="605">
        <f t="shared" si="30"/>
        <v>2784.990769320113</v>
      </c>
      <c r="DT36" s="603">
        <f t="shared" ref="DT36" si="37">DT43*DT$7</f>
        <v>10307.541739889833</v>
      </c>
      <c r="DU36" s="603">
        <f t="shared" ref="DU36:DV36" si="38">DU43*DU$7</f>
        <v>11189.108592975455</v>
      </c>
      <c r="DV36" s="603">
        <f t="shared" si="38"/>
        <v>11960.415976988035</v>
      </c>
    </row>
    <row r="37" spans="2:126" s="532" customFormat="1" ht="12.9" hidden="1" customHeight="1" outlineLevel="1">
      <c r="B37" s="600" t="s">
        <v>447</v>
      </c>
      <c r="C37" s="601"/>
      <c r="D37" s="601"/>
      <c r="E37" s="601"/>
      <c r="F37" s="601"/>
      <c r="G37" s="601"/>
      <c r="H37" s="601"/>
      <c r="I37" s="601"/>
      <c r="J37" s="602"/>
      <c r="K37" s="602"/>
      <c r="L37" s="602"/>
      <c r="M37" s="602"/>
      <c r="N37" s="601"/>
      <c r="O37" s="602"/>
      <c r="P37" s="602"/>
      <c r="Q37" s="602"/>
      <c r="R37" s="602"/>
      <c r="S37" s="601"/>
      <c r="T37" s="602"/>
      <c r="U37" s="602"/>
      <c r="V37" s="602"/>
      <c r="W37" s="602"/>
      <c r="X37" s="601"/>
      <c r="Y37" s="602"/>
      <c r="Z37" s="602"/>
      <c r="AA37" s="602"/>
      <c r="AB37" s="602"/>
      <c r="AC37" s="601"/>
      <c r="AD37" s="602"/>
      <c r="AE37" s="602"/>
      <c r="AF37" s="602"/>
      <c r="AG37" s="602"/>
      <c r="AH37" s="601"/>
      <c r="AI37" s="602"/>
      <c r="AJ37" s="602"/>
      <c r="AK37" s="602"/>
      <c r="AL37" s="602"/>
      <c r="AM37" s="601"/>
      <c r="AN37" s="602"/>
      <c r="AO37" s="602"/>
      <c r="AP37" s="602"/>
      <c r="AQ37" s="602"/>
      <c r="AR37" s="601"/>
      <c r="AS37" s="602"/>
      <c r="AT37" s="602"/>
      <c r="AU37" s="602"/>
      <c r="AV37" s="602"/>
      <c r="AW37" s="601"/>
      <c r="AX37" s="602"/>
      <c r="AY37" s="602"/>
      <c r="AZ37" s="602"/>
      <c r="BA37" s="602"/>
      <c r="BB37" s="601"/>
      <c r="BC37" s="602"/>
      <c r="BD37" s="602"/>
      <c r="BE37" s="602"/>
      <c r="BF37" s="602"/>
      <c r="BG37" s="601"/>
      <c r="BH37" s="602"/>
      <c r="BI37" s="602"/>
      <c r="BJ37" s="602"/>
      <c r="BK37" s="602"/>
      <c r="BL37" s="603">
        <f t="shared" ref="BL37:CQ37" si="39">BL44*BL$7</f>
        <v>5037.8999999999996</v>
      </c>
      <c r="BM37" s="604">
        <f t="shared" si="39"/>
        <v>1191.54</v>
      </c>
      <c r="BN37" s="604">
        <f t="shared" si="39"/>
        <v>1312.9199999999998</v>
      </c>
      <c r="BO37" s="604">
        <f t="shared" si="39"/>
        <v>1260.21</v>
      </c>
      <c r="BP37" s="604">
        <f t="shared" si="39"/>
        <v>1414.1399999999999</v>
      </c>
      <c r="BQ37" s="603">
        <f t="shared" si="39"/>
        <v>5425.42</v>
      </c>
      <c r="BR37" s="604">
        <f t="shared" si="39"/>
        <v>1377.64</v>
      </c>
      <c r="BS37" s="604">
        <f t="shared" si="39"/>
        <v>1432.42</v>
      </c>
      <c r="BT37" s="604">
        <f t="shared" si="39"/>
        <v>1386</v>
      </c>
      <c r="BU37" s="604">
        <f t="shared" si="39"/>
        <v>1581.14</v>
      </c>
      <c r="BV37" s="603">
        <f t="shared" si="39"/>
        <v>5092.2433460076045</v>
      </c>
      <c r="BW37" s="604">
        <f t="shared" si="39"/>
        <v>1294.0038022813687</v>
      </c>
      <c r="BX37" s="604">
        <f t="shared" si="39"/>
        <v>1286.4410646387832</v>
      </c>
      <c r="BY37" s="604">
        <f t="shared" si="39"/>
        <v>1298.4638783269961</v>
      </c>
      <c r="BZ37" s="604">
        <f t="shared" si="39"/>
        <v>1359.3536121673003</v>
      </c>
      <c r="CA37" s="603">
        <f t="shared" si="39"/>
        <v>5202.5037037037036</v>
      </c>
      <c r="CB37" s="605">
        <f t="shared" si="39"/>
        <v>1369.7185185185185</v>
      </c>
      <c r="CC37" s="605">
        <f t="shared" si="39"/>
        <v>1448.1037037037038</v>
      </c>
      <c r="CD37" s="605">
        <f t="shared" si="39"/>
        <v>1440.5925925925926</v>
      </c>
      <c r="CE37" s="605">
        <f t="shared" si="39"/>
        <v>1628.562962962963</v>
      </c>
      <c r="CF37" s="603">
        <f t="shared" si="39"/>
        <v>5793.7450980392159</v>
      </c>
      <c r="CG37" s="605">
        <f t="shared" si="39"/>
        <v>1595.6352583586627</v>
      </c>
      <c r="CH37" s="605">
        <f t="shared" si="39"/>
        <v>1580.1884498480242</v>
      </c>
      <c r="CI37" s="605">
        <f t="shared" si="39"/>
        <v>1626.7294832826747</v>
      </c>
      <c r="CJ37" s="605">
        <f t="shared" si="39"/>
        <v>1792.6322188449849</v>
      </c>
      <c r="CK37" s="603">
        <f t="shared" si="39"/>
        <v>6595.1854103343467</v>
      </c>
      <c r="CL37" s="605">
        <f t="shared" si="39"/>
        <v>1225.6891389166137</v>
      </c>
      <c r="CM37" s="605">
        <f t="shared" si="39"/>
        <v>779.66064785409662</v>
      </c>
      <c r="CN37" s="605">
        <f t="shared" si="39"/>
        <v>874.8062789220578</v>
      </c>
      <c r="CO37" s="605">
        <f t="shared" si="39"/>
        <v>1039.8439343072316</v>
      </c>
      <c r="CP37" s="603">
        <f t="shared" si="39"/>
        <v>3919.9999999999995</v>
      </c>
      <c r="CQ37" s="605">
        <f t="shared" si="39"/>
        <v>978.48822149225714</v>
      </c>
      <c r="CR37" s="605">
        <f t="shared" ref="CR37:DJ37" si="40">CR44*CR$7</f>
        <v>948.69450961989673</v>
      </c>
      <c r="CS37" s="605">
        <f t="shared" si="40"/>
        <v>1058.0687939934303</v>
      </c>
      <c r="CT37" s="605">
        <f t="shared" si="40"/>
        <v>1191.7484748944157</v>
      </c>
      <c r="CU37" s="868">
        <f t="shared" si="27"/>
        <v>4177</v>
      </c>
      <c r="CV37" s="867">
        <f t="shared" si="27"/>
        <v>1050.6969289827255</v>
      </c>
      <c r="CW37" s="867">
        <f t="shared" si="27"/>
        <v>1148.9595009596928</v>
      </c>
      <c r="CX37" s="867">
        <f t="shared" si="27"/>
        <v>1257.3483685220729</v>
      </c>
      <c r="CY37" s="867">
        <f t="shared" si="27"/>
        <v>1427.9952015355086</v>
      </c>
      <c r="CZ37" s="868">
        <f t="shared" si="27"/>
        <v>4885</v>
      </c>
      <c r="DA37" s="867">
        <f t="shared" si="27"/>
        <v>1274.9059490084985</v>
      </c>
      <c r="DB37" s="867">
        <f t="shared" si="27"/>
        <v>1435.4334277620396</v>
      </c>
      <c r="DC37" s="867">
        <f t="shared" si="27"/>
        <v>1535.6946175637395</v>
      </c>
      <c r="DD37" s="867">
        <f t="shared" si="27"/>
        <v>1555.9660056657224</v>
      </c>
      <c r="DE37" s="868">
        <f t="shared" si="27"/>
        <v>5802</v>
      </c>
      <c r="DF37" s="605">
        <f t="shared" si="40"/>
        <v>1474.8804532577904</v>
      </c>
      <c r="DG37" s="605">
        <f t="shared" ref="DG37" si="41">DG44*DG$7</f>
        <v>1501.7263456090652</v>
      </c>
      <c r="DH37" s="605">
        <f t="shared" si="40"/>
        <v>1633.2164305949009</v>
      </c>
      <c r="DI37" s="605">
        <f t="shared" si="40"/>
        <v>1804.1535410764873</v>
      </c>
      <c r="DJ37" s="603">
        <f t="shared" si="40"/>
        <v>6413.9767705382437</v>
      </c>
      <c r="DK37" s="605">
        <f t="shared" ref="DK37:DN37" si="42">DK44*DK$7</f>
        <v>1643.8086874409821</v>
      </c>
      <c r="DL37" s="605">
        <f t="shared" si="42"/>
        <v>1853.8275731822475</v>
      </c>
      <c r="DM37" s="605">
        <f t="shared" si="42"/>
        <v>1838.2788706326724</v>
      </c>
      <c r="DN37" s="605">
        <f t="shared" si="42"/>
        <v>1936.8288630783759</v>
      </c>
      <c r="DO37" s="603">
        <f t="shared" si="30"/>
        <v>7272.7439943342788</v>
      </c>
      <c r="DP37" s="605">
        <f t="shared" si="30"/>
        <v>1870.6984815864021</v>
      </c>
      <c r="DQ37" s="605">
        <f t="shared" si="30"/>
        <v>2095.5775731822473</v>
      </c>
      <c r="DR37" s="605">
        <f t="shared" si="30"/>
        <v>2074.6707592445705</v>
      </c>
      <c r="DS37" s="605">
        <f t="shared" si="30"/>
        <v>2236.4728641654392</v>
      </c>
      <c r="DT37" s="603">
        <f t="shared" ref="DT37" si="43">DT44*DT$7</f>
        <v>8277.4196781786595</v>
      </c>
      <c r="DU37" s="603">
        <f t="shared" ref="DU37:DV37" si="44">DU44*DU$7</f>
        <v>8985.3575164627819</v>
      </c>
      <c r="DV37" s="603">
        <f t="shared" si="44"/>
        <v>9604.7520413127459</v>
      </c>
    </row>
    <row r="38" spans="2:126" s="532" customFormat="1" ht="12.9" hidden="1" customHeight="1" outlineLevel="1">
      <c r="B38" s="600" t="s">
        <v>448</v>
      </c>
      <c r="C38" s="601"/>
      <c r="D38" s="601"/>
      <c r="E38" s="601"/>
      <c r="F38" s="601"/>
      <c r="G38" s="601"/>
      <c r="H38" s="601"/>
      <c r="I38" s="601"/>
      <c r="J38" s="602"/>
      <c r="K38" s="602"/>
      <c r="L38" s="602"/>
      <c r="M38" s="602"/>
      <c r="N38" s="601"/>
      <c r="O38" s="602"/>
      <c r="P38" s="602"/>
      <c r="Q38" s="602"/>
      <c r="R38" s="602"/>
      <c r="S38" s="601"/>
      <c r="T38" s="602"/>
      <c r="U38" s="602"/>
      <c r="V38" s="602"/>
      <c r="W38" s="602"/>
      <c r="X38" s="601"/>
      <c r="Y38" s="602"/>
      <c r="Z38" s="602"/>
      <c r="AA38" s="602"/>
      <c r="AB38" s="602"/>
      <c r="AC38" s="601"/>
      <c r="AD38" s="602"/>
      <c r="AE38" s="602"/>
      <c r="AF38" s="602"/>
      <c r="AG38" s="602"/>
      <c r="AH38" s="601"/>
      <c r="AI38" s="602"/>
      <c r="AJ38" s="602"/>
      <c r="AK38" s="602"/>
      <c r="AL38" s="602"/>
      <c r="AM38" s="601"/>
      <c r="AN38" s="602"/>
      <c r="AO38" s="602"/>
      <c r="AP38" s="602"/>
      <c r="AQ38" s="602"/>
      <c r="AR38" s="601"/>
      <c r="AS38" s="602"/>
      <c r="AT38" s="602"/>
      <c r="AU38" s="602"/>
      <c r="AV38" s="602"/>
      <c r="AW38" s="601"/>
      <c r="AX38" s="602"/>
      <c r="AY38" s="602"/>
      <c r="AZ38" s="602"/>
      <c r="BA38" s="602"/>
      <c r="BB38" s="601"/>
      <c r="BC38" s="602"/>
      <c r="BD38" s="602"/>
      <c r="BE38" s="602"/>
      <c r="BF38" s="602"/>
      <c r="BG38" s="601"/>
      <c r="BH38" s="602"/>
      <c r="BI38" s="602"/>
      <c r="BJ38" s="602"/>
      <c r="BK38" s="602"/>
      <c r="BL38" s="603">
        <f t="shared" ref="BL38:CQ38" si="45">BL45*BL$7</f>
        <v>1199.5</v>
      </c>
      <c r="BM38" s="604">
        <f t="shared" si="45"/>
        <v>283.7</v>
      </c>
      <c r="BN38" s="604">
        <f t="shared" si="45"/>
        <v>312.60000000000002</v>
      </c>
      <c r="BO38" s="604">
        <f t="shared" si="45"/>
        <v>300.05</v>
      </c>
      <c r="BP38" s="604">
        <f t="shared" si="45"/>
        <v>336.70000000000005</v>
      </c>
      <c r="BQ38" s="603">
        <f t="shared" si="45"/>
        <v>1972.88</v>
      </c>
      <c r="BR38" s="604">
        <f t="shared" si="45"/>
        <v>500.96000000000004</v>
      </c>
      <c r="BS38" s="604">
        <f t="shared" si="45"/>
        <v>520.88</v>
      </c>
      <c r="BT38" s="604">
        <f t="shared" si="45"/>
        <v>504</v>
      </c>
      <c r="BU38" s="604">
        <f t="shared" si="45"/>
        <v>574.96</v>
      </c>
      <c r="BV38" s="603">
        <f t="shared" si="45"/>
        <v>1597.5665399239545</v>
      </c>
      <c r="BW38" s="604">
        <f t="shared" si="45"/>
        <v>405.9619771863118</v>
      </c>
      <c r="BX38" s="604">
        <f t="shared" si="45"/>
        <v>403.58935361216732</v>
      </c>
      <c r="BY38" s="604">
        <f t="shared" si="45"/>
        <v>407.361216730038</v>
      </c>
      <c r="BZ38" s="604">
        <f t="shared" si="45"/>
        <v>426.46387832699622</v>
      </c>
      <c r="CA38" s="603">
        <f t="shared" si="45"/>
        <v>1100.5296296296297</v>
      </c>
      <c r="CB38" s="605">
        <f t="shared" si="45"/>
        <v>289.74814814814818</v>
      </c>
      <c r="CC38" s="605">
        <f t="shared" si="45"/>
        <v>306.32962962962966</v>
      </c>
      <c r="CD38" s="605">
        <f t="shared" si="45"/>
        <v>304.74074074074076</v>
      </c>
      <c r="CE38" s="605">
        <f t="shared" si="45"/>
        <v>344.50370370370371</v>
      </c>
      <c r="CF38" s="603">
        <f t="shared" si="45"/>
        <v>1498.3823529411764</v>
      </c>
      <c r="CG38" s="605">
        <f t="shared" si="45"/>
        <v>386.82066869300917</v>
      </c>
      <c r="CH38" s="605">
        <f t="shared" si="45"/>
        <v>383.07598784194533</v>
      </c>
      <c r="CI38" s="605">
        <f t="shared" si="45"/>
        <v>394.35866261398183</v>
      </c>
      <c r="CJ38" s="605">
        <f t="shared" si="45"/>
        <v>434.57750759878428</v>
      </c>
      <c r="CK38" s="603">
        <f t="shared" si="45"/>
        <v>1598.8328267477207</v>
      </c>
      <c r="CL38" s="605">
        <f t="shared" si="45"/>
        <v>275.78005625623808</v>
      </c>
      <c r="CM38" s="605">
        <f t="shared" si="45"/>
        <v>175.42364576717176</v>
      </c>
      <c r="CN38" s="605">
        <f t="shared" si="45"/>
        <v>196.83141275746303</v>
      </c>
      <c r="CO38" s="605">
        <f t="shared" si="45"/>
        <v>233.96488521912713</v>
      </c>
      <c r="CP38" s="603">
        <f t="shared" si="45"/>
        <v>882</v>
      </c>
      <c r="CQ38" s="605">
        <f t="shared" si="45"/>
        <v>306.87564523697796</v>
      </c>
      <c r="CR38" s="605">
        <f t="shared" ref="CR38:DJ38" si="46">CR45*CR$7</f>
        <v>297.53167526982639</v>
      </c>
      <c r="CS38" s="605">
        <f t="shared" si="46"/>
        <v>331.83388080713286</v>
      </c>
      <c r="CT38" s="605">
        <f t="shared" si="46"/>
        <v>373.7587986860629</v>
      </c>
      <c r="CU38" s="868">
        <f t="shared" si="27"/>
        <v>1310.0000000000002</v>
      </c>
      <c r="CV38" s="867">
        <f t="shared" si="27"/>
        <v>368.44295585412669</v>
      </c>
      <c r="CW38" s="867">
        <f t="shared" si="27"/>
        <v>402.90023032629563</v>
      </c>
      <c r="CX38" s="867">
        <f t="shared" si="27"/>
        <v>440.90844529750484</v>
      </c>
      <c r="CY38" s="867">
        <f t="shared" si="27"/>
        <v>500.74836852207295</v>
      </c>
      <c r="CZ38" s="868">
        <f t="shared" si="27"/>
        <v>1713.0000000000002</v>
      </c>
      <c r="DA38" s="867">
        <f t="shared" si="27"/>
        <v>409.80689329556185</v>
      </c>
      <c r="DB38" s="867">
        <f t="shared" si="27"/>
        <v>461.40698772426816</v>
      </c>
      <c r="DC38" s="867">
        <f t="shared" si="27"/>
        <v>493.63503305004718</v>
      </c>
      <c r="DD38" s="867">
        <f t="shared" si="27"/>
        <v>500.15108593012275</v>
      </c>
      <c r="DE38" s="868">
        <f t="shared" si="27"/>
        <v>1865</v>
      </c>
      <c r="DF38" s="605">
        <f t="shared" si="46"/>
        <v>474.08687440982055</v>
      </c>
      <c r="DG38" s="605">
        <f t="shared" ref="DG38" si="47">DG45*DG$7</f>
        <v>482.71624173748819</v>
      </c>
      <c r="DH38" s="605">
        <f t="shared" si="46"/>
        <v>524.98253068932956</v>
      </c>
      <c r="DI38" s="605">
        <f t="shared" si="46"/>
        <v>579.92870632672327</v>
      </c>
      <c r="DJ38" s="603">
        <f t="shared" si="46"/>
        <v>2061.7143531633615</v>
      </c>
      <c r="DK38" s="605">
        <f t="shared" ref="DK38:DN38" si="48">DK45*DK$7</f>
        <v>528.3873150771168</v>
      </c>
      <c r="DL38" s="605">
        <f t="shared" si="48"/>
        <v>595.89597104186339</v>
      </c>
      <c r="DM38" s="605">
        <f t="shared" si="48"/>
        <v>590.8979823733082</v>
      </c>
      <c r="DN38" s="605">
        <f t="shared" si="48"/>
        <v>622.57597891092223</v>
      </c>
      <c r="DO38" s="603">
        <f t="shared" si="30"/>
        <v>2337.7572474032108</v>
      </c>
      <c r="DP38" s="605">
        <f t="shared" si="30"/>
        <v>601.31897072710103</v>
      </c>
      <c r="DQ38" s="605">
        <f t="shared" si="30"/>
        <v>673.60430437519676</v>
      </c>
      <c r="DR38" s="605">
        <f t="shared" si="30"/>
        <v>666.88399965376152</v>
      </c>
      <c r="DS38" s="605">
        <f t="shared" si="30"/>
        <v>718.89381104249287</v>
      </c>
      <c r="DT38" s="603">
        <f t="shared" ref="DT38" si="49">DT45*DT$7</f>
        <v>2660.701085798552</v>
      </c>
      <c r="DU38" s="603">
        <f t="shared" ref="DU38:DV38" si="50">DU45*DU$7</f>
        <v>2888.261249259408</v>
      </c>
      <c r="DV38" s="603">
        <f t="shared" si="50"/>
        <v>3087.3599719145586</v>
      </c>
    </row>
    <row r="39" spans="2:126" s="532" customFormat="1" ht="12.9" hidden="1" customHeight="1" outlineLevel="1">
      <c r="B39" s="600" t="s">
        <v>449</v>
      </c>
      <c r="C39" s="601"/>
      <c r="D39" s="601"/>
      <c r="E39" s="601"/>
      <c r="F39" s="601"/>
      <c r="G39" s="601"/>
      <c r="H39" s="601"/>
      <c r="I39" s="601"/>
      <c r="J39" s="602"/>
      <c r="K39" s="602"/>
      <c r="L39" s="602"/>
      <c r="M39" s="602"/>
      <c r="N39" s="601"/>
      <c r="O39" s="602"/>
      <c r="P39" s="602"/>
      <c r="Q39" s="602"/>
      <c r="R39" s="602"/>
      <c r="S39" s="601"/>
      <c r="T39" s="602"/>
      <c r="U39" s="602"/>
      <c r="V39" s="602"/>
      <c r="W39" s="602"/>
      <c r="X39" s="601"/>
      <c r="Y39" s="602"/>
      <c r="Z39" s="602"/>
      <c r="AA39" s="602"/>
      <c r="AB39" s="602"/>
      <c r="AC39" s="601"/>
      <c r="AD39" s="602"/>
      <c r="AE39" s="602"/>
      <c r="AF39" s="602"/>
      <c r="AG39" s="602"/>
      <c r="AH39" s="601"/>
      <c r="AI39" s="602"/>
      <c r="AJ39" s="602"/>
      <c r="AK39" s="602"/>
      <c r="AL39" s="602"/>
      <c r="AM39" s="601"/>
      <c r="AN39" s="602"/>
      <c r="AO39" s="602"/>
      <c r="AP39" s="602"/>
      <c r="AQ39" s="602"/>
      <c r="AR39" s="601"/>
      <c r="AS39" s="602"/>
      <c r="AT39" s="602"/>
      <c r="AU39" s="602"/>
      <c r="AV39" s="602"/>
      <c r="AW39" s="601"/>
      <c r="AX39" s="602"/>
      <c r="AY39" s="602"/>
      <c r="AZ39" s="602"/>
      <c r="BA39" s="602"/>
      <c r="BB39" s="601"/>
      <c r="BC39" s="602"/>
      <c r="BD39" s="602"/>
      <c r="BE39" s="602"/>
      <c r="BF39" s="602"/>
      <c r="BG39" s="601"/>
      <c r="BH39" s="602"/>
      <c r="BI39" s="602"/>
      <c r="BJ39" s="602"/>
      <c r="BK39" s="602"/>
      <c r="BL39" s="603">
        <f t="shared" ref="BL39:CQ39" si="51">BL46*BL$7</f>
        <v>3838.4</v>
      </c>
      <c r="BM39" s="604">
        <f t="shared" si="51"/>
        <v>907.84</v>
      </c>
      <c r="BN39" s="604">
        <f t="shared" si="51"/>
        <v>1000.32</v>
      </c>
      <c r="BO39" s="604">
        <f t="shared" si="51"/>
        <v>960.16</v>
      </c>
      <c r="BP39" s="604">
        <f t="shared" si="51"/>
        <v>1077.44</v>
      </c>
      <c r="BQ39" s="603">
        <f t="shared" si="51"/>
        <v>3699.1499999999996</v>
      </c>
      <c r="BR39" s="604">
        <f t="shared" si="51"/>
        <v>939.3</v>
      </c>
      <c r="BS39" s="604">
        <f t="shared" si="51"/>
        <v>976.65</v>
      </c>
      <c r="BT39" s="604">
        <f t="shared" si="51"/>
        <v>945</v>
      </c>
      <c r="BU39" s="604">
        <f t="shared" si="51"/>
        <v>1078.05</v>
      </c>
      <c r="BV39" s="603">
        <f t="shared" si="51"/>
        <v>4493.1558935361218</v>
      </c>
      <c r="BW39" s="604">
        <f t="shared" si="51"/>
        <v>1141.7680608365019</v>
      </c>
      <c r="BX39" s="604">
        <f t="shared" si="51"/>
        <v>1135.0950570342204</v>
      </c>
      <c r="BY39" s="604">
        <f t="shared" si="51"/>
        <v>1145.7034220532319</v>
      </c>
      <c r="BZ39" s="604">
        <f t="shared" si="51"/>
        <v>1199.4296577946768</v>
      </c>
      <c r="CA39" s="603">
        <f t="shared" si="51"/>
        <v>3601.7333333333331</v>
      </c>
      <c r="CB39" s="605">
        <f t="shared" si="51"/>
        <v>948.26666666666665</v>
      </c>
      <c r="CC39" s="605">
        <f t="shared" si="51"/>
        <v>1002.5333333333333</v>
      </c>
      <c r="CD39" s="605">
        <f t="shared" si="51"/>
        <v>997.33333333333337</v>
      </c>
      <c r="CE39" s="605">
        <f t="shared" si="51"/>
        <v>1127.4666666666667</v>
      </c>
      <c r="CF39" s="603">
        <f t="shared" si="51"/>
        <v>3795.9019607843134</v>
      </c>
      <c r="CG39" s="605">
        <f t="shared" si="51"/>
        <v>918.69908814589667</v>
      </c>
      <c r="CH39" s="605">
        <f t="shared" si="51"/>
        <v>909.80547112462011</v>
      </c>
      <c r="CI39" s="605">
        <f t="shared" si="51"/>
        <v>936.60182370820667</v>
      </c>
      <c r="CJ39" s="605">
        <f t="shared" si="51"/>
        <v>1032.1215805471124</v>
      </c>
      <c r="CK39" s="603">
        <f t="shared" si="51"/>
        <v>3797.227963525836</v>
      </c>
      <c r="CL39" s="605">
        <f t="shared" si="51"/>
        <v>535.6136466745304</v>
      </c>
      <c r="CM39" s="605">
        <f t="shared" si="51"/>
        <v>340.70374739134377</v>
      </c>
      <c r="CN39" s="605">
        <f t="shared" si="51"/>
        <v>382.28141729425636</v>
      </c>
      <c r="CO39" s="605">
        <f t="shared" si="51"/>
        <v>454.4011886398693</v>
      </c>
      <c r="CP39" s="603">
        <f t="shared" si="51"/>
        <v>1712.9999999999998</v>
      </c>
      <c r="CQ39" s="605">
        <f t="shared" si="51"/>
        <v>521.92285312060073</v>
      </c>
      <c r="CR39" s="605">
        <f t="shared" ref="CR39:DJ39" si="52">CR46*CR$7</f>
        <v>506.03097137494143</v>
      </c>
      <c r="CS39" s="605">
        <f t="shared" si="52"/>
        <v>564.37090567808548</v>
      </c>
      <c r="CT39" s="605">
        <f t="shared" si="52"/>
        <v>635.67526982637276</v>
      </c>
      <c r="CU39" s="868">
        <f t="shared" si="27"/>
        <v>2228.0000000000005</v>
      </c>
      <c r="CV39" s="867">
        <f t="shared" si="27"/>
        <v>584.81984644913621</v>
      </c>
      <c r="CW39" s="867">
        <f t="shared" si="27"/>
        <v>639.51297504798458</v>
      </c>
      <c r="CX39" s="867">
        <f t="shared" si="27"/>
        <v>699.84241842610356</v>
      </c>
      <c r="CY39" s="867">
        <f t="shared" si="27"/>
        <v>794.82476007677542</v>
      </c>
      <c r="CZ39" s="868">
        <f t="shared" si="27"/>
        <v>2719</v>
      </c>
      <c r="DA39" s="867">
        <f t="shared" si="27"/>
        <v>745.56288951841361</v>
      </c>
      <c r="DB39" s="867">
        <f t="shared" si="27"/>
        <v>839.43909348441923</v>
      </c>
      <c r="DC39" s="867">
        <f t="shared" si="27"/>
        <v>898.07167138810189</v>
      </c>
      <c r="DD39" s="867">
        <f t="shared" si="27"/>
        <v>909.92634560906515</v>
      </c>
      <c r="DE39" s="868">
        <f t="shared" si="27"/>
        <v>3393</v>
      </c>
      <c r="DF39" s="605">
        <f t="shared" si="52"/>
        <v>862.50764872521245</v>
      </c>
      <c r="DG39" s="605">
        <f t="shared" ref="DG39" si="53">DG46*DG$7</f>
        <v>878.20708215297441</v>
      </c>
      <c r="DH39" s="605">
        <f t="shared" si="52"/>
        <v>955.1022662889518</v>
      </c>
      <c r="DI39" s="605">
        <f t="shared" si="52"/>
        <v>1055.0660056657223</v>
      </c>
      <c r="DJ39" s="603">
        <f t="shared" si="52"/>
        <v>3750.8830028328612</v>
      </c>
      <c r="DK39" s="605">
        <f t="shared" ref="DK39:DN39" si="54">DK46*DK$7</f>
        <v>961.29660056657224</v>
      </c>
      <c r="DL39" s="605">
        <f t="shared" si="54"/>
        <v>1084.1152974504248</v>
      </c>
      <c r="DM39" s="605">
        <f t="shared" si="54"/>
        <v>1075.0224419263457</v>
      </c>
      <c r="DN39" s="605">
        <f t="shared" si="54"/>
        <v>1132.654314447592</v>
      </c>
      <c r="DO39" s="603">
        <f t="shared" ref="DO39:DS39" si="55">DO46*DO$7</f>
        <v>4253.0886543909355</v>
      </c>
      <c r="DP39" s="605">
        <f t="shared" si="55"/>
        <v>1093.9813767705382</v>
      </c>
      <c r="DQ39" s="605">
        <f t="shared" si="55"/>
        <v>1225.4902974504248</v>
      </c>
      <c r="DR39" s="605">
        <f t="shared" si="55"/>
        <v>1213.2640272521248</v>
      </c>
      <c r="DS39" s="605">
        <f t="shared" si="55"/>
        <v>1307.8856304917845</v>
      </c>
      <c r="DT39" s="603">
        <f t="shared" ref="DT39" si="56">DT46*DT$7</f>
        <v>4840.6213319648723</v>
      </c>
      <c r="DU39" s="603">
        <f t="shared" ref="DU39:DV39" si="57">DU46*DU$7</f>
        <v>5254.6222084381616</v>
      </c>
      <c r="DV39" s="603">
        <f t="shared" si="57"/>
        <v>5616.8431017190878</v>
      </c>
    </row>
    <row r="40" spans="2:126" s="532" customFormat="1" ht="12.9" hidden="1" customHeight="1" outlineLevel="1">
      <c r="B40" s="600"/>
      <c r="C40" s="606"/>
      <c r="D40" s="606"/>
      <c r="E40" s="606"/>
      <c r="F40" s="606"/>
      <c r="G40" s="606"/>
      <c r="H40" s="606"/>
      <c r="I40" s="606"/>
      <c r="J40" s="607"/>
      <c r="K40" s="607"/>
      <c r="L40" s="607"/>
      <c r="M40" s="607"/>
      <c r="N40" s="606"/>
      <c r="O40" s="607"/>
      <c r="P40" s="607"/>
      <c r="Q40" s="607"/>
      <c r="R40" s="607"/>
      <c r="S40" s="606"/>
      <c r="T40" s="607"/>
      <c r="U40" s="607"/>
      <c r="V40" s="607"/>
      <c r="W40" s="607"/>
      <c r="X40" s="606"/>
      <c r="Y40" s="607"/>
      <c r="Z40" s="607"/>
      <c r="AA40" s="607"/>
      <c r="AB40" s="607"/>
      <c r="AC40" s="606"/>
      <c r="AD40" s="607"/>
      <c r="AE40" s="607"/>
      <c r="AF40" s="607"/>
      <c r="AG40" s="607"/>
      <c r="AH40" s="606"/>
      <c r="AI40" s="607"/>
      <c r="AJ40" s="607"/>
      <c r="AK40" s="607"/>
      <c r="AL40" s="607"/>
      <c r="AM40" s="606"/>
      <c r="AN40" s="607"/>
      <c r="AO40" s="607"/>
      <c r="AP40" s="607"/>
      <c r="AQ40" s="607"/>
      <c r="AR40" s="606"/>
      <c r="AS40" s="607"/>
      <c r="AT40" s="607"/>
      <c r="AU40" s="607"/>
      <c r="AV40" s="607"/>
      <c r="AW40" s="606"/>
      <c r="AX40" s="607"/>
      <c r="AY40" s="607"/>
      <c r="AZ40" s="607"/>
      <c r="BA40" s="607"/>
      <c r="BB40" s="606"/>
      <c r="BC40" s="607"/>
      <c r="BD40" s="607"/>
      <c r="BE40" s="607"/>
      <c r="BF40" s="607"/>
      <c r="BG40" s="606"/>
      <c r="BH40" s="607"/>
      <c r="BI40" s="607"/>
      <c r="BJ40" s="607"/>
      <c r="BK40" s="607"/>
      <c r="BL40" s="606"/>
      <c r="BM40" s="607"/>
      <c r="BN40" s="607"/>
      <c r="BO40" s="607"/>
      <c r="BP40" s="607"/>
      <c r="BQ40" s="606"/>
      <c r="BR40" s="607"/>
      <c r="BS40" s="607"/>
      <c r="BT40" s="607"/>
      <c r="BU40" s="607"/>
      <c r="BV40" s="606"/>
      <c r="BW40" s="607"/>
      <c r="BX40" s="607"/>
      <c r="BY40" s="607"/>
      <c r="BZ40" s="607"/>
      <c r="CA40" s="606"/>
      <c r="CB40" s="607"/>
      <c r="CC40" s="607"/>
      <c r="CD40" s="607"/>
      <c r="CE40" s="607"/>
      <c r="CF40" s="606"/>
      <c r="CG40" s="607"/>
      <c r="CH40" s="607"/>
      <c r="CI40" s="607"/>
      <c r="CJ40" s="607"/>
      <c r="CK40" s="606"/>
      <c r="CL40" s="607"/>
      <c r="CM40" s="607"/>
      <c r="CN40" s="607"/>
      <c r="CO40" s="607"/>
      <c r="CP40" s="606"/>
      <c r="CQ40" s="607"/>
      <c r="CR40" s="607"/>
      <c r="CS40" s="607"/>
      <c r="CT40" s="607"/>
      <c r="CU40" s="606"/>
      <c r="CV40" s="607"/>
      <c r="CW40" s="607"/>
      <c r="CX40" s="607"/>
      <c r="CY40" s="607"/>
      <c r="CZ40" s="606"/>
      <c r="DA40" s="607"/>
      <c r="DB40" s="607"/>
      <c r="DC40" s="607"/>
      <c r="DD40" s="607"/>
      <c r="DE40" s="606"/>
      <c r="DF40" s="607"/>
      <c r="DG40" s="607"/>
      <c r="DH40" s="607"/>
      <c r="DI40" s="607"/>
      <c r="DJ40" s="606"/>
      <c r="DK40" s="607"/>
      <c r="DL40" s="607"/>
      <c r="DM40" s="607"/>
      <c r="DN40" s="607"/>
      <c r="DO40" s="606"/>
      <c r="DP40" s="607"/>
      <c r="DQ40" s="607"/>
      <c r="DR40" s="607"/>
      <c r="DS40" s="607"/>
      <c r="DT40" s="606"/>
      <c r="DU40" s="606"/>
      <c r="DV40" s="606"/>
    </row>
    <row r="41" spans="2:126" s="532" customFormat="1" ht="12.9" hidden="1" customHeight="1" outlineLevel="1">
      <c r="B41" s="660" t="s">
        <v>450</v>
      </c>
      <c r="C41" s="789"/>
      <c r="D41" s="789"/>
      <c r="E41" s="789"/>
      <c r="F41" s="789"/>
      <c r="G41" s="789"/>
      <c r="H41" s="789"/>
      <c r="I41" s="789"/>
      <c r="J41" s="790"/>
      <c r="K41" s="790"/>
      <c r="L41" s="790"/>
      <c r="M41" s="790"/>
      <c r="N41" s="789"/>
      <c r="O41" s="790"/>
      <c r="P41" s="790"/>
      <c r="Q41" s="790"/>
      <c r="R41" s="790"/>
      <c r="S41" s="789"/>
      <c r="T41" s="790"/>
      <c r="U41" s="790"/>
      <c r="V41" s="790"/>
      <c r="W41" s="790"/>
      <c r="X41" s="789"/>
      <c r="Y41" s="790"/>
      <c r="Z41" s="790"/>
      <c r="AA41" s="790"/>
      <c r="AB41" s="790"/>
      <c r="AC41" s="789"/>
      <c r="AD41" s="790"/>
      <c r="AE41" s="790"/>
      <c r="AF41" s="790"/>
      <c r="AG41" s="790"/>
      <c r="AH41" s="789"/>
      <c r="AI41" s="790"/>
      <c r="AJ41" s="790"/>
      <c r="AK41" s="790"/>
      <c r="AL41" s="790"/>
      <c r="AM41" s="789"/>
      <c r="AN41" s="790"/>
      <c r="AO41" s="790"/>
      <c r="AP41" s="790"/>
      <c r="AQ41" s="790"/>
      <c r="AR41" s="789"/>
      <c r="AS41" s="790"/>
      <c r="AT41" s="790"/>
      <c r="AU41" s="790"/>
      <c r="AV41" s="790"/>
      <c r="AW41" s="789"/>
      <c r="AX41" s="790"/>
      <c r="AY41" s="790"/>
      <c r="AZ41" s="790"/>
      <c r="BA41" s="790"/>
      <c r="BB41" s="789"/>
      <c r="BC41" s="790"/>
      <c r="BD41" s="790"/>
      <c r="BE41" s="790"/>
      <c r="BF41" s="790"/>
      <c r="BG41" s="789"/>
      <c r="BH41" s="790"/>
      <c r="BI41" s="790"/>
      <c r="BJ41" s="790"/>
      <c r="BK41" s="790"/>
      <c r="BL41" s="789"/>
      <c r="BM41" s="790"/>
      <c r="BN41" s="790"/>
      <c r="BO41" s="790"/>
      <c r="BP41" s="790"/>
      <c r="BQ41" s="789"/>
      <c r="BR41" s="790"/>
      <c r="BS41" s="790"/>
      <c r="BT41" s="790"/>
      <c r="BU41" s="790"/>
      <c r="BV41" s="789"/>
      <c r="BW41" s="790"/>
      <c r="BX41" s="790"/>
      <c r="BY41" s="790"/>
      <c r="BZ41" s="790"/>
      <c r="CA41" s="789"/>
      <c r="CB41" s="790"/>
      <c r="CC41" s="790"/>
      <c r="CD41" s="790"/>
      <c r="CE41" s="790"/>
      <c r="CF41" s="789"/>
      <c r="CG41" s="791"/>
      <c r="CH41" s="790"/>
      <c r="CI41" s="790"/>
      <c r="CJ41" s="790"/>
      <c r="CK41" s="789"/>
      <c r="CL41" s="791"/>
      <c r="CM41" s="790"/>
      <c r="CN41" s="790"/>
      <c r="CO41" s="790"/>
      <c r="CP41" s="789"/>
      <c r="CQ41" s="790"/>
      <c r="CR41" s="790"/>
      <c r="CS41" s="790"/>
      <c r="CT41" s="790"/>
      <c r="CU41" s="789"/>
      <c r="CV41" s="790"/>
      <c r="CW41" s="790"/>
      <c r="CX41" s="790"/>
      <c r="CY41" s="790"/>
      <c r="CZ41" s="789"/>
      <c r="DA41" s="790"/>
      <c r="DB41" s="790"/>
      <c r="DC41" s="790"/>
      <c r="DD41" s="790"/>
      <c r="DE41" s="789"/>
      <c r="DF41" s="790"/>
      <c r="DG41" s="790"/>
      <c r="DH41" s="790"/>
      <c r="DI41" s="790"/>
      <c r="DJ41" s="789"/>
      <c r="DK41" s="790"/>
      <c r="DL41" s="790"/>
      <c r="DM41" s="790"/>
      <c r="DN41" s="790"/>
      <c r="DO41" s="789"/>
      <c r="DP41" s="790"/>
      <c r="DQ41" s="790"/>
      <c r="DR41" s="790"/>
      <c r="DS41" s="790"/>
      <c r="DT41" s="789"/>
      <c r="DU41" s="789"/>
      <c r="DV41" s="789"/>
    </row>
    <row r="42" spans="2:126" s="532" customFormat="1" ht="12.9" hidden="1" customHeight="1" outlineLevel="1">
      <c r="B42" s="608" t="s">
        <v>445</v>
      </c>
      <c r="C42" s="598"/>
      <c r="D42" s="598"/>
      <c r="E42" s="598"/>
      <c r="F42" s="598"/>
      <c r="G42" s="598"/>
      <c r="H42" s="598"/>
      <c r="I42" s="598"/>
      <c r="J42" s="609"/>
      <c r="K42" s="609"/>
      <c r="L42" s="609"/>
      <c r="M42" s="609"/>
      <c r="N42" s="598"/>
      <c r="O42" s="609"/>
      <c r="P42" s="609"/>
      <c r="Q42" s="609"/>
      <c r="R42" s="609"/>
      <c r="S42" s="598"/>
      <c r="T42" s="609"/>
      <c r="U42" s="609"/>
      <c r="V42" s="609"/>
      <c r="W42" s="609"/>
      <c r="X42" s="598"/>
      <c r="Y42" s="609"/>
      <c r="Z42" s="609"/>
      <c r="AA42" s="609"/>
      <c r="AB42" s="609"/>
      <c r="AC42" s="598"/>
      <c r="AD42" s="609"/>
      <c r="AE42" s="609"/>
      <c r="AF42" s="609"/>
      <c r="AG42" s="609"/>
      <c r="AH42" s="598"/>
      <c r="AI42" s="609"/>
      <c r="AJ42" s="609"/>
      <c r="AK42" s="609"/>
      <c r="AL42" s="609"/>
      <c r="AM42" s="598"/>
      <c r="AN42" s="609"/>
      <c r="AO42" s="609"/>
      <c r="AP42" s="609"/>
      <c r="AQ42" s="609"/>
      <c r="AR42" s="598"/>
      <c r="AS42" s="609"/>
      <c r="AT42" s="609"/>
      <c r="AU42" s="609"/>
      <c r="AV42" s="609"/>
      <c r="AW42" s="598"/>
      <c r="AX42" s="609"/>
      <c r="AY42" s="609"/>
      <c r="AZ42" s="609"/>
      <c r="BA42" s="609"/>
      <c r="BB42" s="598"/>
      <c r="BC42" s="609"/>
      <c r="BD42" s="609"/>
      <c r="BE42" s="609"/>
      <c r="BF42" s="609"/>
      <c r="BG42" s="598"/>
      <c r="BH42" s="609"/>
      <c r="BI42" s="609"/>
      <c r="BJ42" s="609"/>
      <c r="BK42" s="609"/>
      <c r="BL42" s="598">
        <v>0.41</v>
      </c>
      <c r="BM42" s="609">
        <f t="shared" ref="BM42:BP47" si="58">BL42</f>
        <v>0.41</v>
      </c>
      <c r="BN42" s="609">
        <f t="shared" si="58"/>
        <v>0.41</v>
      </c>
      <c r="BO42" s="609">
        <f t="shared" si="58"/>
        <v>0.41</v>
      </c>
      <c r="BP42" s="609">
        <f t="shared" si="58"/>
        <v>0.41</v>
      </c>
      <c r="BQ42" s="598">
        <v>0.39</v>
      </c>
      <c r="BR42" s="609">
        <f t="shared" ref="BR42:BU47" si="59">BQ42</f>
        <v>0.39</v>
      </c>
      <c r="BS42" s="609">
        <f t="shared" si="59"/>
        <v>0.39</v>
      </c>
      <c r="BT42" s="609">
        <f t="shared" si="59"/>
        <v>0.39</v>
      </c>
      <c r="BU42" s="609">
        <f t="shared" si="59"/>
        <v>0.39</v>
      </c>
      <c r="BV42" s="598">
        <f>10.6/26.3</f>
        <v>0.40304182509505698</v>
      </c>
      <c r="BW42" s="609">
        <f t="shared" ref="BW42:BZ46" si="60">BV42</f>
        <v>0.40304182509505698</v>
      </c>
      <c r="BX42" s="609">
        <f t="shared" si="60"/>
        <v>0.40304182509505698</v>
      </c>
      <c r="BY42" s="609">
        <f t="shared" si="60"/>
        <v>0.40304182509505698</v>
      </c>
      <c r="BZ42" s="609">
        <f t="shared" si="60"/>
        <v>0.40304182509505698</v>
      </c>
      <c r="CA42" s="598">
        <f>10.8/27</f>
        <v>0.4</v>
      </c>
      <c r="CB42" s="594">
        <f t="shared" ref="CB42:CE46" si="61">CA42</f>
        <v>0.4</v>
      </c>
      <c r="CC42" s="594">
        <f t="shared" si="61"/>
        <v>0.4</v>
      </c>
      <c r="CD42" s="594">
        <f t="shared" si="61"/>
        <v>0.4</v>
      </c>
      <c r="CE42" s="594">
        <f t="shared" si="61"/>
        <v>0.4</v>
      </c>
      <c r="CF42" s="598">
        <f>12.5/30.6</f>
        <v>0.40849673202614378</v>
      </c>
      <c r="CG42" s="609">
        <f t="shared" ref="CG42:CJ46" si="62">$CK42</f>
        <v>0.40729483282674772</v>
      </c>
      <c r="CH42" s="609">
        <f t="shared" si="62"/>
        <v>0.40729483282674772</v>
      </c>
      <c r="CI42" s="609">
        <f t="shared" si="62"/>
        <v>0.40729483282674772</v>
      </c>
      <c r="CJ42" s="609">
        <f t="shared" si="62"/>
        <v>0.40729483282674772</v>
      </c>
      <c r="CK42" s="598">
        <f>13.4/32.9</f>
        <v>0.40729483282674772</v>
      </c>
      <c r="CL42" s="609">
        <f t="shared" ref="CL42:CO46" si="63">$CP42</f>
        <v>0.50989020959985487</v>
      </c>
      <c r="CM42" s="609">
        <f t="shared" si="63"/>
        <v>0.50989020959985487</v>
      </c>
      <c r="CN42" s="609">
        <f t="shared" si="63"/>
        <v>0.50989020959985487</v>
      </c>
      <c r="CO42" s="609">
        <f t="shared" si="63"/>
        <v>0.50989020959985487</v>
      </c>
      <c r="CP42" s="598">
        <f>11.239/22.042</f>
        <v>0.50989020959985487</v>
      </c>
      <c r="CQ42" s="609">
        <f t="shared" ref="CQ42:CT46" si="64">$CU42</f>
        <v>0.45401220084467392</v>
      </c>
      <c r="CR42" s="609">
        <f t="shared" si="64"/>
        <v>0.45401220084467392</v>
      </c>
      <c r="CS42" s="609">
        <f t="shared" si="64"/>
        <v>0.45401220084467392</v>
      </c>
      <c r="CT42" s="609">
        <f t="shared" si="64"/>
        <v>0.45401220084467392</v>
      </c>
      <c r="CU42" s="840">
        <f>9.675/21.31</f>
        <v>0.45401220084467392</v>
      </c>
      <c r="CV42" s="609">
        <f>$CZ42</f>
        <v>0.41159309021113238</v>
      </c>
      <c r="CW42" s="609">
        <f t="shared" ref="CW42:CY42" si="65">$CZ42</f>
        <v>0.41159309021113238</v>
      </c>
      <c r="CX42" s="609">
        <f t="shared" si="65"/>
        <v>0.41159309021113238</v>
      </c>
      <c r="CY42" s="609">
        <f t="shared" si="65"/>
        <v>0.41159309021113238</v>
      </c>
      <c r="CZ42" s="840">
        <f>10.722/26.05</f>
        <v>0.41159309021113238</v>
      </c>
      <c r="DA42" s="609">
        <f>$DE42</f>
        <v>0.42448851117406361</v>
      </c>
      <c r="DB42" s="609">
        <f t="shared" ref="DB42:DD46" si="66">$DE42</f>
        <v>0.42448851117406361</v>
      </c>
      <c r="DC42" s="609">
        <f t="shared" si="66"/>
        <v>0.42448851117406361</v>
      </c>
      <c r="DD42" s="609">
        <f t="shared" si="66"/>
        <v>0.42448851117406361</v>
      </c>
      <c r="DE42" s="840">
        <f>13.486/31.77</f>
        <v>0.42448851117406361</v>
      </c>
      <c r="DF42" s="610">
        <f t="shared" ref="DF42:DV46" si="67">DE42</f>
        <v>0.42448851117406361</v>
      </c>
      <c r="DG42" s="610">
        <f t="shared" si="67"/>
        <v>0.42448851117406361</v>
      </c>
      <c r="DH42" s="610">
        <f t="shared" si="67"/>
        <v>0.42448851117406361</v>
      </c>
      <c r="DI42" s="610">
        <f t="shared" si="67"/>
        <v>0.42448851117406361</v>
      </c>
      <c r="DJ42" s="598">
        <f t="shared" si="67"/>
        <v>0.42448851117406361</v>
      </c>
      <c r="DK42" s="610">
        <f t="shared" ref="DK42:DK46" si="68">DJ42</f>
        <v>0.42448851117406361</v>
      </c>
      <c r="DL42" s="610">
        <f t="shared" ref="DL42:DL46" si="69">DK42</f>
        <v>0.42448851117406361</v>
      </c>
      <c r="DM42" s="610">
        <f t="shared" ref="DM42:DM46" si="70">DL42</f>
        <v>0.42448851117406361</v>
      </c>
      <c r="DN42" s="610">
        <f t="shared" ref="DN42:DN46" si="71">DM42</f>
        <v>0.42448851117406361</v>
      </c>
      <c r="DO42" s="598">
        <f>DJ42</f>
        <v>0.42448851117406361</v>
      </c>
      <c r="DP42" s="610">
        <f t="shared" ref="DP42:DP46" si="72">DO42</f>
        <v>0.42448851117406361</v>
      </c>
      <c r="DQ42" s="610">
        <f t="shared" ref="DQ42:DQ46" si="73">DP42</f>
        <v>0.42448851117406361</v>
      </c>
      <c r="DR42" s="610">
        <f t="shared" ref="DR42:DR46" si="74">DQ42</f>
        <v>0.42448851117406361</v>
      </c>
      <c r="DS42" s="610">
        <f t="shared" ref="DS42:DS46" si="75">DR42</f>
        <v>0.42448851117406361</v>
      </c>
      <c r="DT42" s="598">
        <f>DO42</f>
        <v>0.42448851117406361</v>
      </c>
      <c r="DU42" s="901">
        <f t="shared" si="67"/>
        <v>0.42448851117406361</v>
      </c>
      <c r="DV42" s="901">
        <f t="shared" si="67"/>
        <v>0.42448851117406361</v>
      </c>
    </row>
    <row r="43" spans="2:126" s="611" customFormat="1" ht="12.9" hidden="1" customHeight="1" outlineLevel="1">
      <c r="B43" s="608" t="s">
        <v>446</v>
      </c>
      <c r="C43" s="598"/>
      <c r="D43" s="598"/>
      <c r="E43" s="598"/>
      <c r="F43" s="598"/>
      <c r="G43" s="598"/>
      <c r="H43" s="598"/>
      <c r="I43" s="598"/>
      <c r="J43" s="609"/>
      <c r="K43" s="609"/>
      <c r="L43" s="609"/>
      <c r="M43" s="609"/>
      <c r="N43" s="598"/>
      <c r="O43" s="609"/>
      <c r="P43" s="609"/>
      <c r="Q43" s="609"/>
      <c r="R43" s="609"/>
      <c r="S43" s="598"/>
      <c r="T43" s="609"/>
      <c r="U43" s="609"/>
      <c r="V43" s="609"/>
      <c r="W43" s="609"/>
      <c r="X43" s="598"/>
      <c r="Y43" s="609"/>
      <c r="Z43" s="609"/>
      <c r="AA43" s="609"/>
      <c r="AB43" s="609"/>
      <c r="AC43" s="598"/>
      <c r="AD43" s="609"/>
      <c r="AE43" s="609"/>
      <c r="AF43" s="609"/>
      <c r="AG43" s="609"/>
      <c r="AH43" s="598"/>
      <c r="AI43" s="609"/>
      <c r="AJ43" s="609"/>
      <c r="AK43" s="609"/>
      <c r="AL43" s="609"/>
      <c r="AM43" s="598"/>
      <c r="AN43" s="609"/>
      <c r="AO43" s="609"/>
      <c r="AP43" s="609"/>
      <c r="AQ43" s="609"/>
      <c r="AR43" s="598"/>
      <c r="AS43" s="609"/>
      <c r="AT43" s="609"/>
      <c r="AU43" s="609"/>
      <c r="AV43" s="609"/>
      <c r="AW43" s="598"/>
      <c r="AX43" s="609"/>
      <c r="AY43" s="609"/>
      <c r="AZ43" s="609"/>
      <c r="BA43" s="609"/>
      <c r="BB43" s="598"/>
      <c r="BC43" s="609"/>
      <c r="BD43" s="609"/>
      <c r="BE43" s="609"/>
      <c r="BF43" s="609"/>
      <c r="BG43" s="598"/>
      <c r="BH43" s="609"/>
      <c r="BI43" s="609"/>
      <c r="BJ43" s="609"/>
      <c r="BK43" s="609"/>
      <c r="BL43" s="598">
        <v>0.17</v>
      </c>
      <c r="BM43" s="609">
        <f t="shared" si="58"/>
        <v>0.17</v>
      </c>
      <c r="BN43" s="609">
        <f t="shared" si="58"/>
        <v>0.17</v>
      </c>
      <c r="BO43" s="609">
        <f t="shared" si="58"/>
        <v>0.17</v>
      </c>
      <c r="BP43" s="609">
        <f t="shared" si="58"/>
        <v>0.17</v>
      </c>
      <c r="BQ43" s="598">
        <v>0.16</v>
      </c>
      <c r="BR43" s="609">
        <f t="shared" si="59"/>
        <v>0.16</v>
      </c>
      <c r="BS43" s="609">
        <f t="shared" si="59"/>
        <v>0.16</v>
      </c>
      <c r="BT43" s="609">
        <f t="shared" si="59"/>
        <v>0.16</v>
      </c>
      <c r="BU43" s="609">
        <f t="shared" si="59"/>
        <v>0.16</v>
      </c>
      <c r="BV43" s="598">
        <f>4.5/26.3</f>
        <v>0.17110266159695817</v>
      </c>
      <c r="BW43" s="609">
        <f t="shared" si="60"/>
        <v>0.17110266159695817</v>
      </c>
      <c r="BX43" s="609">
        <f t="shared" si="60"/>
        <v>0.17110266159695817</v>
      </c>
      <c r="BY43" s="609">
        <f t="shared" si="60"/>
        <v>0.17110266159695817</v>
      </c>
      <c r="BZ43" s="609">
        <f t="shared" si="60"/>
        <v>0.17110266159695817</v>
      </c>
      <c r="CA43" s="598">
        <f>6.3/27</f>
        <v>0.23333333333333334</v>
      </c>
      <c r="CB43" s="594">
        <f t="shared" si="61"/>
        <v>0.23333333333333334</v>
      </c>
      <c r="CC43" s="594">
        <f t="shared" si="61"/>
        <v>0.23333333333333334</v>
      </c>
      <c r="CD43" s="594">
        <f t="shared" si="61"/>
        <v>0.23333333333333334</v>
      </c>
      <c r="CE43" s="594">
        <f t="shared" si="61"/>
        <v>0.23333333333333334</v>
      </c>
      <c r="CF43" s="598">
        <f>7/30.6</f>
        <v>0.22875816993464052</v>
      </c>
      <c r="CG43" s="609">
        <f t="shared" si="62"/>
        <v>0.22796352583586627</v>
      </c>
      <c r="CH43" s="609">
        <f t="shared" si="62"/>
        <v>0.22796352583586627</v>
      </c>
      <c r="CI43" s="609">
        <f t="shared" si="62"/>
        <v>0.22796352583586627</v>
      </c>
      <c r="CJ43" s="609">
        <f t="shared" si="62"/>
        <v>0.22796352583586627</v>
      </c>
      <c r="CK43" s="598">
        <f>7.5/32.9</f>
        <v>0.22796352583586627</v>
      </c>
      <c r="CL43" s="609">
        <f t="shared" si="63"/>
        <v>0.1945377007531077</v>
      </c>
      <c r="CM43" s="609">
        <f t="shared" si="63"/>
        <v>0.1945377007531077</v>
      </c>
      <c r="CN43" s="609">
        <f t="shared" si="63"/>
        <v>0.1945377007531077</v>
      </c>
      <c r="CO43" s="609">
        <f t="shared" si="63"/>
        <v>0.1945377007531077</v>
      </c>
      <c r="CP43" s="598">
        <f>4.288/22.042</f>
        <v>0.1945377007531077</v>
      </c>
      <c r="CQ43" s="609">
        <f t="shared" si="64"/>
        <v>0.18395119662130455</v>
      </c>
      <c r="CR43" s="609">
        <f t="shared" si="64"/>
        <v>0.18395119662130455</v>
      </c>
      <c r="CS43" s="609">
        <f t="shared" si="64"/>
        <v>0.18395119662130455</v>
      </c>
      <c r="CT43" s="609">
        <f t="shared" si="64"/>
        <v>0.18395119662130455</v>
      </c>
      <c r="CU43" s="840">
        <f>3.92/21.31</f>
        <v>0.18395119662130455</v>
      </c>
      <c r="CV43" s="609">
        <f t="shared" ref="CV43:CY46" si="76">$CZ43</f>
        <v>0.23082533589251439</v>
      </c>
      <c r="CW43" s="609">
        <f t="shared" si="76"/>
        <v>0.23082533589251439</v>
      </c>
      <c r="CX43" s="609">
        <f t="shared" si="76"/>
        <v>0.23082533589251439</v>
      </c>
      <c r="CY43" s="609">
        <f t="shared" si="76"/>
        <v>0.23082533589251439</v>
      </c>
      <c r="CZ43" s="840">
        <f>6.013/26.05</f>
        <v>0.23082533589251439</v>
      </c>
      <c r="DA43" s="609">
        <f>$DE43</f>
        <v>0.22741580107019199</v>
      </c>
      <c r="DB43" s="609">
        <f t="shared" si="66"/>
        <v>0.22741580107019199</v>
      </c>
      <c r="DC43" s="609">
        <f t="shared" si="66"/>
        <v>0.22741580107019199</v>
      </c>
      <c r="DD43" s="609">
        <f t="shared" si="66"/>
        <v>0.22741580107019199</v>
      </c>
      <c r="DE43" s="840">
        <f>7.225/31.77</f>
        <v>0.22741580107019199</v>
      </c>
      <c r="DF43" s="610">
        <f t="shared" si="67"/>
        <v>0.22741580107019199</v>
      </c>
      <c r="DG43" s="610">
        <f t="shared" si="67"/>
        <v>0.22741580107019199</v>
      </c>
      <c r="DH43" s="610">
        <f t="shared" si="67"/>
        <v>0.22741580107019199</v>
      </c>
      <c r="DI43" s="610">
        <f t="shared" si="67"/>
        <v>0.22741580107019199</v>
      </c>
      <c r="DJ43" s="598">
        <f t="shared" si="67"/>
        <v>0.22741580107019199</v>
      </c>
      <c r="DK43" s="610">
        <f t="shared" si="68"/>
        <v>0.22741580107019199</v>
      </c>
      <c r="DL43" s="610">
        <f t="shared" si="69"/>
        <v>0.22741580107019199</v>
      </c>
      <c r="DM43" s="610">
        <f t="shared" si="70"/>
        <v>0.22741580107019199</v>
      </c>
      <c r="DN43" s="610">
        <f t="shared" si="71"/>
        <v>0.22741580107019199</v>
      </c>
      <c r="DO43" s="598">
        <f>DJ43</f>
        <v>0.22741580107019199</v>
      </c>
      <c r="DP43" s="610">
        <f t="shared" si="72"/>
        <v>0.22741580107019199</v>
      </c>
      <c r="DQ43" s="610">
        <f t="shared" si="73"/>
        <v>0.22741580107019199</v>
      </c>
      <c r="DR43" s="610">
        <f t="shared" si="74"/>
        <v>0.22741580107019199</v>
      </c>
      <c r="DS43" s="610">
        <f t="shared" si="75"/>
        <v>0.22741580107019199</v>
      </c>
      <c r="DT43" s="598">
        <f>DO43</f>
        <v>0.22741580107019199</v>
      </c>
      <c r="DU43" s="901">
        <f t="shared" si="67"/>
        <v>0.22741580107019199</v>
      </c>
      <c r="DV43" s="901">
        <f t="shared" si="67"/>
        <v>0.22741580107019199</v>
      </c>
    </row>
    <row r="44" spans="2:126" s="612" customFormat="1" ht="12.9" hidden="1" customHeight="1" outlineLevel="1">
      <c r="B44" s="608" t="s">
        <v>447</v>
      </c>
      <c r="C44" s="598"/>
      <c r="D44" s="598"/>
      <c r="E44" s="598"/>
      <c r="F44" s="598"/>
      <c r="G44" s="598"/>
      <c r="H44" s="598"/>
      <c r="I44" s="598"/>
      <c r="J44" s="609"/>
      <c r="K44" s="609"/>
      <c r="L44" s="609"/>
      <c r="M44" s="609"/>
      <c r="N44" s="598"/>
      <c r="O44" s="609"/>
      <c r="P44" s="609"/>
      <c r="Q44" s="609"/>
      <c r="R44" s="609"/>
      <c r="S44" s="598"/>
      <c r="T44" s="609"/>
      <c r="U44" s="609"/>
      <c r="V44" s="609"/>
      <c r="W44" s="609"/>
      <c r="X44" s="598"/>
      <c r="Y44" s="609"/>
      <c r="Z44" s="609"/>
      <c r="AA44" s="609"/>
      <c r="AB44" s="609"/>
      <c r="AC44" s="598"/>
      <c r="AD44" s="609"/>
      <c r="AE44" s="609"/>
      <c r="AF44" s="609"/>
      <c r="AG44" s="609"/>
      <c r="AH44" s="598"/>
      <c r="AI44" s="609"/>
      <c r="AJ44" s="609"/>
      <c r="AK44" s="609"/>
      <c r="AL44" s="609"/>
      <c r="AM44" s="598"/>
      <c r="AN44" s="609"/>
      <c r="AO44" s="609"/>
      <c r="AP44" s="609"/>
      <c r="AQ44" s="609"/>
      <c r="AR44" s="598"/>
      <c r="AS44" s="609"/>
      <c r="AT44" s="609"/>
      <c r="AU44" s="609"/>
      <c r="AV44" s="609"/>
      <c r="AW44" s="598"/>
      <c r="AX44" s="609"/>
      <c r="AY44" s="609"/>
      <c r="AZ44" s="609"/>
      <c r="BA44" s="609"/>
      <c r="BB44" s="598"/>
      <c r="BC44" s="609"/>
      <c r="BD44" s="609"/>
      <c r="BE44" s="609"/>
      <c r="BF44" s="609"/>
      <c r="BG44" s="598"/>
      <c r="BH44" s="609"/>
      <c r="BI44" s="609"/>
      <c r="BJ44" s="609"/>
      <c r="BK44" s="609"/>
      <c r="BL44" s="598">
        <v>0.21</v>
      </c>
      <c r="BM44" s="609">
        <f t="shared" si="58"/>
        <v>0.21</v>
      </c>
      <c r="BN44" s="609">
        <f t="shared" si="58"/>
        <v>0.21</v>
      </c>
      <c r="BO44" s="609">
        <f t="shared" si="58"/>
        <v>0.21</v>
      </c>
      <c r="BP44" s="609">
        <f t="shared" si="58"/>
        <v>0.21</v>
      </c>
      <c r="BQ44" s="598">
        <v>0.22</v>
      </c>
      <c r="BR44" s="609">
        <f t="shared" si="59"/>
        <v>0.22</v>
      </c>
      <c r="BS44" s="609">
        <f t="shared" si="59"/>
        <v>0.22</v>
      </c>
      <c r="BT44" s="609">
        <f t="shared" si="59"/>
        <v>0.22</v>
      </c>
      <c r="BU44" s="609">
        <f t="shared" si="59"/>
        <v>0.22</v>
      </c>
      <c r="BV44" s="598">
        <f>5.1/26.3</f>
        <v>0.19391634980988592</v>
      </c>
      <c r="BW44" s="609">
        <f t="shared" si="60"/>
        <v>0.19391634980988592</v>
      </c>
      <c r="BX44" s="609">
        <f t="shared" si="60"/>
        <v>0.19391634980988592</v>
      </c>
      <c r="BY44" s="609">
        <f t="shared" si="60"/>
        <v>0.19391634980988592</v>
      </c>
      <c r="BZ44" s="609">
        <f t="shared" si="60"/>
        <v>0.19391634980988592</v>
      </c>
      <c r="CA44" s="598">
        <f>5.2/27</f>
        <v>0.19259259259259259</v>
      </c>
      <c r="CB44" s="594">
        <f t="shared" si="61"/>
        <v>0.19259259259259259</v>
      </c>
      <c r="CC44" s="594">
        <f t="shared" si="61"/>
        <v>0.19259259259259259</v>
      </c>
      <c r="CD44" s="594">
        <f t="shared" si="61"/>
        <v>0.19259259259259259</v>
      </c>
      <c r="CE44" s="594">
        <f t="shared" si="61"/>
        <v>0.19259259259259259</v>
      </c>
      <c r="CF44" s="598">
        <f>5.8/30.6</f>
        <v>0.18954248366013071</v>
      </c>
      <c r="CG44" s="609">
        <f t="shared" si="62"/>
        <v>0.20060790273556231</v>
      </c>
      <c r="CH44" s="609">
        <f t="shared" si="62"/>
        <v>0.20060790273556231</v>
      </c>
      <c r="CI44" s="609">
        <f t="shared" si="62"/>
        <v>0.20060790273556231</v>
      </c>
      <c r="CJ44" s="609">
        <f t="shared" si="62"/>
        <v>0.20060790273556231</v>
      </c>
      <c r="CK44" s="598">
        <f>6.6/32.9</f>
        <v>0.20060790273556231</v>
      </c>
      <c r="CL44" s="609">
        <f t="shared" si="63"/>
        <v>0.17784230106160964</v>
      </c>
      <c r="CM44" s="609">
        <f t="shared" si="63"/>
        <v>0.17784230106160964</v>
      </c>
      <c r="CN44" s="609">
        <f t="shared" si="63"/>
        <v>0.17784230106160964</v>
      </c>
      <c r="CO44" s="609">
        <f t="shared" si="63"/>
        <v>0.17784230106160964</v>
      </c>
      <c r="CP44" s="598">
        <f>3.92/22.042</f>
        <v>0.17784230106160964</v>
      </c>
      <c r="CQ44" s="609">
        <f t="shared" si="64"/>
        <v>0.19601126231816049</v>
      </c>
      <c r="CR44" s="609">
        <f t="shared" si="64"/>
        <v>0.19601126231816049</v>
      </c>
      <c r="CS44" s="609">
        <f t="shared" si="64"/>
        <v>0.19601126231816049</v>
      </c>
      <c r="CT44" s="609">
        <f t="shared" si="64"/>
        <v>0.19601126231816049</v>
      </c>
      <c r="CU44" s="840">
        <f>(1.758+2.419)/21.31</f>
        <v>0.19601126231816049</v>
      </c>
      <c r="CV44" s="609">
        <f t="shared" si="76"/>
        <v>0.18752399232245681</v>
      </c>
      <c r="CW44" s="609">
        <f t="shared" si="76"/>
        <v>0.18752399232245681</v>
      </c>
      <c r="CX44" s="609">
        <f t="shared" si="76"/>
        <v>0.18752399232245681</v>
      </c>
      <c r="CY44" s="609">
        <f t="shared" si="76"/>
        <v>0.18752399232245681</v>
      </c>
      <c r="CZ44" s="840">
        <f>(2.154+2.731)/26.05</f>
        <v>0.18752399232245681</v>
      </c>
      <c r="DA44" s="609">
        <f>$DE44</f>
        <v>0.18262511803588291</v>
      </c>
      <c r="DB44" s="609">
        <f t="shared" si="66"/>
        <v>0.18262511803588291</v>
      </c>
      <c r="DC44" s="609">
        <f t="shared" si="66"/>
        <v>0.18262511803588291</v>
      </c>
      <c r="DD44" s="609">
        <f t="shared" si="66"/>
        <v>0.18262511803588291</v>
      </c>
      <c r="DE44" s="840">
        <f>(3.195+2.607)/31.77</f>
        <v>0.18262511803588291</v>
      </c>
      <c r="DF44" s="610">
        <f t="shared" si="67"/>
        <v>0.18262511803588291</v>
      </c>
      <c r="DG44" s="610">
        <f t="shared" si="67"/>
        <v>0.18262511803588291</v>
      </c>
      <c r="DH44" s="610">
        <f t="shared" si="67"/>
        <v>0.18262511803588291</v>
      </c>
      <c r="DI44" s="610">
        <f t="shared" si="67"/>
        <v>0.18262511803588291</v>
      </c>
      <c r="DJ44" s="598">
        <f t="shared" si="67"/>
        <v>0.18262511803588291</v>
      </c>
      <c r="DK44" s="610">
        <f t="shared" si="68"/>
        <v>0.18262511803588291</v>
      </c>
      <c r="DL44" s="610">
        <f t="shared" si="69"/>
        <v>0.18262511803588291</v>
      </c>
      <c r="DM44" s="610">
        <f t="shared" si="70"/>
        <v>0.18262511803588291</v>
      </c>
      <c r="DN44" s="610">
        <f t="shared" si="71"/>
        <v>0.18262511803588291</v>
      </c>
      <c r="DO44" s="598">
        <f>DJ44</f>
        <v>0.18262511803588291</v>
      </c>
      <c r="DP44" s="610">
        <f t="shared" si="72"/>
        <v>0.18262511803588291</v>
      </c>
      <c r="DQ44" s="610">
        <f t="shared" si="73"/>
        <v>0.18262511803588291</v>
      </c>
      <c r="DR44" s="610">
        <f t="shared" si="74"/>
        <v>0.18262511803588291</v>
      </c>
      <c r="DS44" s="610">
        <f t="shared" si="75"/>
        <v>0.18262511803588291</v>
      </c>
      <c r="DT44" s="598">
        <f>DO44</f>
        <v>0.18262511803588291</v>
      </c>
      <c r="DU44" s="901">
        <f t="shared" si="67"/>
        <v>0.18262511803588291</v>
      </c>
      <c r="DV44" s="901">
        <f t="shared" si="67"/>
        <v>0.18262511803588291</v>
      </c>
    </row>
    <row r="45" spans="2:126" s="612" customFormat="1" ht="12.9" hidden="1" customHeight="1" outlineLevel="1">
      <c r="B45" s="608" t="s">
        <v>448</v>
      </c>
      <c r="C45" s="598"/>
      <c r="D45" s="598"/>
      <c r="E45" s="598"/>
      <c r="F45" s="598"/>
      <c r="G45" s="598"/>
      <c r="H45" s="598"/>
      <c r="I45" s="598"/>
      <c r="J45" s="609"/>
      <c r="K45" s="609"/>
      <c r="L45" s="609"/>
      <c r="M45" s="609"/>
      <c r="N45" s="598"/>
      <c r="O45" s="609"/>
      <c r="P45" s="609"/>
      <c r="Q45" s="609"/>
      <c r="R45" s="609"/>
      <c r="S45" s="598"/>
      <c r="T45" s="609"/>
      <c r="U45" s="609"/>
      <c r="V45" s="609"/>
      <c r="W45" s="609"/>
      <c r="X45" s="598"/>
      <c r="Y45" s="609"/>
      <c r="Z45" s="609"/>
      <c r="AA45" s="609"/>
      <c r="AB45" s="609"/>
      <c r="AC45" s="598"/>
      <c r="AD45" s="609"/>
      <c r="AE45" s="609"/>
      <c r="AF45" s="609"/>
      <c r="AG45" s="609"/>
      <c r="AH45" s="598"/>
      <c r="AI45" s="609"/>
      <c r="AJ45" s="609"/>
      <c r="AK45" s="609"/>
      <c r="AL45" s="609"/>
      <c r="AM45" s="598"/>
      <c r="AN45" s="609"/>
      <c r="AO45" s="609"/>
      <c r="AP45" s="609"/>
      <c r="AQ45" s="609"/>
      <c r="AR45" s="598"/>
      <c r="AS45" s="609"/>
      <c r="AT45" s="609"/>
      <c r="AU45" s="609"/>
      <c r="AV45" s="609"/>
      <c r="AW45" s="598"/>
      <c r="AX45" s="609"/>
      <c r="AY45" s="609"/>
      <c r="AZ45" s="609"/>
      <c r="BA45" s="609"/>
      <c r="BB45" s="598"/>
      <c r="BC45" s="609"/>
      <c r="BD45" s="609"/>
      <c r="BE45" s="609"/>
      <c r="BF45" s="609"/>
      <c r="BG45" s="598"/>
      <c r="BH45" s="609"/>
      <c r="BI45" s="609"/>
      <c r="BJ45" s="609"/>
      <c r="BK45" s="609"/>
      <c r="BL45" s="598">
        <v>0.05</v>
      </c>
      <c r="BM45" s="609">
        <f t="shared" si="58"/>
        <v>0.05</v>
      </c>
      <c r="BN45" s="609">
        <f t="shared" si="58"/>
        <v>0.05</v>
      </c>
      <c r="BO45" s="609">
        <f t="shared" si="58"/>
        <v>0.05</v>
      </c>
      <c r="BP45" s="609">
        <f t="shared" si="58"/>
        <v>0.05</v>
      </c>
      <c r="BQ45" s="598">
        <v>0.08</v>
      </c>
      <c r="BR45" s="609">
        <f t="shared" si="59"/>
        <v>0.08</v>
      </c>
      <c r="BS45" s="609">
        <f t="shared" si="59"/>
        <v>0.08</v>
      </c>
      <c r="BT45" s="609">
        <f t="shared" si="59"/>
        <v>0.08</v>
      </c>
      <c r="BU45" s="609">
        <f t="shared" si="59"/>
        <v>0.08</v>
      </c>
      <c r="BV45" s="598">
        <f>1.6/26.3</f>
        <v>6.0836501901140684E-2</v>
      </c>
      <c r="BW45" s="609">
        <f t="shared" si="60"/>
        <v>6.0836501901140684E-2</v>
      </c>
      <c r="BX45" s="609">
        <f t="shared" si="60"/>
        <v>6.0836501901140684E-2</v>
      </c>
      <c r="BY45" s="609">
        <f t="shared" si="60"/>
        <v>6.0836501901140684E-2</v>
      </c>
      <c r="BZ45" s="609">
        <f t="shared" si="60"/>
        <v>6.0836501901140684E-2</v>
      </c>
      <c r="CA45" s="598">
        <f>1.1/27</f>
        <v>4.0740740740740744E-2</v>
      </c>
      <c r="CB45" s="594">
        <f t="shared" si="61"/>
        <v>4.0740740740740744E-2</v>
      </c>
      <c r="CC45" s="594">
        <f t="shared" si="61"/>
        <v>4.0740740740740744E-2</v>
      </c>
      <c r="CD45" s="594">
        <f t="shared" si="61"/>
        <v>4.0740740740740744E-2</v>
      </c>
      <c r="CE45" s="594">
        <f t="shared" si="61"/>
        <v>4.0740740740740744E-2</v>
      </c>
      <c r="CF45" s="598">
        <f>1.5/30.6</f>
        <v>4.9019607843137254E-2</v>
      </c>
      <c r="CG45" s="609">
        <f t="shared" si="62"/>
        <v>4.8632218844984809E-2</v>
      </c>
      <c r="CH45" s="609">
        <f t="shared" si="62"/>
        <v>4.8632218844984809E-2</v>
      </c>
      <c r="CI45" s="609">
        <f t="shared" si="62"/>
        <v>4.8632218844984809E-2</v>
      </c>
      <c r="CJ45" s="609">
        <f t="shared" si="62"/>
        <v>4.8632218844984809E-2</v>
      </c>
      <c r="CK45" s="598">
        <f>1.6/32.9</f>
        <v>4.8632218844984809E-2</v>
      </c>
      <c r="CL45" s="609">
        <f t="shared" si="63"/>
        <v>4.0014517738862172E-2</v>
      </c>
      <c r="CM45" s="609">
        <f t="shared" si="63"/>
        <v>4.0014517738862172E-2</v>
      </c>
      <c r="CN45" s="609">
        <f t="shared" si="63"/>
        <v>4.0014517738862172E-2</v>
      </c>
      <c r="CO45" s="609">
        <f t="shared" si="63"/>
        <v>4.0014517738862172E-2</v>
      </c>
      <c r="CP45" s="598">
        <f>0.882/22.042</f>
        <v>4.0014517738862172E-2</v>
      </c>
      <c r="CQ45" s="609">
        <f t="shared" si="64"/>
        <v>6.1473486625997192E-2</v>
      </c>
      <c r="CR45" s="609">
        <f t="shared" si="64"/>
        <v>6.1473486625997192E-2</v>
      </c>
      <c r="CS45" s="609">
        <f t="shared" si="64"/>
        <v>6.1473486625997192E-2</v>
      </c>
      <c r="CT45" s="609">
        <f t="shared" si="64"/>
        <v>6.1473486625997192E-2</v>
      </c>
      <c r="CU45" s="840">
        <f>1.31/21.31</f>
        <v>6.1473486625997192E-2</v>
      </c>
      <c r="CV45" s="609">
        <f t="shared" si="76"/>
        <v>6.5758157389635322E-2</v>
      </c>
      <c r="CW45" s="609">
        <f t="shared" si="76"/>
        <v>6.5758157389635322E-2</v>
      </c>
      <c r="CX45" s="609">
        <f t="shared" si="76"/>
        <v>6.5758157389635322E-2</v>
      </c>
      <c r="CY45" s="609">
        <f t="shared" si="76"/>
        <v>6.5758157389635322E-2</v>
      </c>
      <c r="CZ45" s="840">
        <f>1.713/26.05</f>
        <v>6.5758157389635322E-2</v>
      </c>
      <c r="DA45" s="609">
        <f>$DE45</f>
        <v>5.8703179099779665E-2</v>
      </c>
      <c r="DB45" s="609">
        <f t="shared" si="66"/>
        <v>5.8703179099779665E-2</v>
      </c>
      <c r="DC45" s="609">
        <f t="shared" si="66"/>
        <v>5.8703179099779665E-2</v>
      </c>
      <c r="DD45" s="609">
        <f t="shared" si="66"/>
        <v>5.8703179099779665E-2</v>
      </c>
      <c r="DE45" s="840">
        <f>1.865/31.77</f>
        <v>5.8703179099779665E-2</v>
      </c>
      <c r="DF45" s="610">
        <f t="shared" si="67"/>
        <v>5.8703179099779665E-2</v>
      </c>
      <c r="DG45" s="610">
        <f t="shared" si="67"/>
        <v>5.8703179099779665E-2</v>
      </c>
      <c r="DH45" s="610">
        <f t="shared" si="67"/>
        <v>5.8703179099779665E-2</v>
      </c>
      <c r="DI45" s="610">
        <f t="shared" si="67"/>
        <v>5.8703179099779665E-2</v>
      </c>
      <c r="DJ45" s="598">
        <f t="shared" si="67"/>
        <v>5.8703179099779665E-2</v>
      </c>
      <c r="DK45" s="610">
        <f t="shared" si="68"/>
        <v>5.8703179099779665E-2</v>
      </c>
      <c r="DL45" s="610">
        <f t="shared" si="69"/>
        <v>5.8703179099779665E-2</v>
      </c>
      <c r="DM45" s="610">
        <f t="shared" si="70"/>
        <v>5.8703179099779665E-2</v>
      </c>
      <c r="DN45" s="610">
        <f t="shared" si="71"/>
        <v>5.8703179099779665E-2</v>
      </c>
      <c r="DO45" s="598">
        <f>DJ45</f>
        <v>5.8703179099779665E-2</v>
      </c>
      <c r="DP45" s="610">
        <f t="shared" si="72"/>
        <v>5.8703179099779665E-2</v>
      </c>
      <c r="DQ45" s="610">
        <f t="shared" si="73"/>
        <v>5.8703179099779665E-2</v>
      </c>
      <c r="DR45" s="610">
        <f t="shared" si="74"/>
        <v>5.8703179099779665E-2</v>
      </c>
      <c r="DS45" s="610">
        <f t="shared" si="75"/>
        <v>5.8703179099779665E-2</v>
      </c>
      <c r="DT45" s="598">
        <f>DO45</f>
        <v>5.8703179099779665E-2</v>
      </c>
      <c r="DU45" s="901">
        <f t="shared" si="67"/>
        <v>5.8703179099779665E-2</v>
      </c>
      <c r="DV45" s="901">
        <f t="shared" si="67"/>
        <v>5.8703179099779665E-2</v>
      </c>
    </row>
    <row r="46" spans="2:126" s="611" customFormat="1" ht="12.9" hidden="1" customHeight="1" outlineLevel="1">
      <c r="B46" s="613" t="s">
        <v>449</v>
      </c>
      <c r="C46" s="614"/>
      <c r="D46" s="614"/>
      <c r="E46" s="614"/>
      <c r="F46" s="614"/>
      <c r="G46" s="614"/>
      <c r="H46" s="614"/>
      <c r="I46" s="614"/>
      <c r="J46" s="615"/>
      <c r="K46" s="615"/>
      <c r="L46" s="615"/>
      <c r="M46" s="615"/>
      <c r="N46" s="614"/>
      <c r="O46" s="615"/>
      <c r="P46" s="615"/>
      <c r="Q46" s="615"/>
      <c r="R46" s="615"/>
      <c r="S46" s="614"/>
      <c r="T46" s="615"/>
      <c r="U46" s="615"/>
      <c r="V46" s="615"/>
      <c r="W46" s="615"/>
      <c r="X46" s="614"/>
      <c r="Y46" s="615"/>
      <c r="Z46" s="615"/>
      <c r="AA46" s="615"/>
      <c r="AB46" s="615"/>
      <c r="AC46" s="614"/>
      <c r="AD46" s="615"/>
      <c r="AE46" s="615"/>
      <c r="AF46" s="615"/>
      <c r="AG46" s="615"/>
      <c r="AH46" s="614"/>
      <c r="AI46" s="615"/>
      <c r="AJ46" s="615"/>
      <c r="AK46" s="615"/>
      <c r="AL46" s="615"/>
      <c r="AM46" s="614"/>
      <c r="AN46" s="615"/>
      <c r="AO46" s="615"/>
      <c r="AP46" s="615"/>
      <c r="AQ46" s="615"/>
      <c r="AR46" s="614"/>
      <c r="AS46" s="615"/>
      <c r="AT46" s="615"/>
      <c r="AU46" s="615"/>
      <c r="AV46" s="615"/>
      <c r="AW46" s="614"/>
      <c r="AX46" s="615"/>
      <c r="AY46" s="615"/>
      <c r="AZ46" s="615"/>
      <c r="BA46" s="615"/>
      <c r="BB46" s="614"/>
      <c r="BC46" s="615"/>
      <c r="BD46" s="615"/>
      <c r="BE46" s="615"/>
      <c r="BF46" s="615"/>
      <c r="BG46" s="614"/>
      <c r="BH46" s="615"/>
      <c r="BI46" s="615"/>
      <c r="BJ46" s="615"/>
      <c r="BK46" s="615"/>
      <c r="BL46" s="614">
        <v>0.16</v>
      </c>
      <c r="BM46" s="615">
        <f t="shared" si="58"/>
        <v>0.16</v>
      </c>
      <c r="BN46" s="615">
        <f t="shared" si="58"/>
        <v>0.16</v>
      </c>
      <c r="BO46" s="615">
        <f t="shared" si="58"/>
        <v>0.16</v>
      </c>
      <c r="BP46" s="615">
        <f t="shared" si="58"/>
        <v>0.16</v>
      </c>
      <c r="BQ46" s="614">
        <v>0.15</v>
      </c>
      <c r="BR46" s="615">
        <f t="shared" si="59"/>
        <v>0.15</v>
      </c>
      <c r="BS46" s="615">
        <f t="shared" si="59"/>
        <v>0.15</v>
      </c>
      <c r="BT46" s="615">
        <f t="shared" si="59"/>
        <v>0.15</v>
      </c>
      <c r="BU46" s="615">
        <f t="shared" si="59"/>
        <v>0.15</v>
      </c>
      <c r="BV46" s="614">
        <f>4.5/26.3</f>
        <v>0.17110266159695817</v>
      </c>
      <c r="BW46" s="615">
        <f t="shared" si="60"/>
        <v>0.17110266159695817</v>
      </c>
      <c r="BX46" s="615">
        <f t="shared" si="60"/>
        <v>0.17110266159695817</v>
      </c>
      <c r="BY46" s="615">
        <f t="shared" si="60"/>
        <v>0.17110266159695817</v>
      </c>
      <c r="BZ46" s="615">
        <f t="shared" si="60"/>
        <v>0.17110266159695817</v>
      </c>
      <c r="CA46" s="614">
        <f>3.6/27</f>
        <v>0.13333333333333333</v>
      </c>
      <c r="CB46" s="616">
        <f t="shared" si="61"/>
        <v>0.13333333333333333</v>
      </c>
      <c r="CC46" s="616">
        <f t="shared" si="61"/>
        <v>0.13333333333333333</v>
      </c>
      <c r="CD46" s="616">
        <f t="shared" si="61"/>
        <v>0.13333333333333333</v>
      </c>
      <c r="CE46" s="616">
        <f t="shared" si="61"/>
        <v>0.13333333333333333</v>
      </c>
      <c r="CF46" s="614">
        <f>3.8/30.6</f>
        <v>0.1241830065359477</v>
      </c>
      <c r="CG46" s="615">
        <f t="shared" si="62"/>
        <v>0.11550151975683891</v>
      </c>
      <c r="CH46" s="615">
        <f t="shared" si="62"/>
        <v>0.11550151975683891</v>
      </c>
      <c r="CI46" s="615">
        <f t="shared" si="62"/>
        <v>0.11550151975683891</v>
      </c>
      <c r="CJ46" s="615">
        <f t="shared" si="62"/>
        <v>0.11550151975683891</v>
      </c>
      <c r="CK46" s="614">
        <f>3.8/32.9</f>
        <v>0.11550151975683891</v>
      </c>
      <c r="CL46" s="615">
        <f t="shared" si="63"/>
        <v>7.771527084656564E-2</v>
      </c>
      <c r="CM46" s="615">
        <f t="shared" si="63"/>
        <v>7.771527084656564E-2</v>
      </c>
      <c r="CN46" s="615">
        <f t="shared" si="63"/>
        <v>7.771527084656564E-2</v>
      </c>
      <c r="CO46" s="615">
        <f t="shared" si="63"/>
        <v>7.771527084656564E-2</v>
      </c>
      <c r="CP46" s="614">
        <f>1.713/22.042</f>
        <v>7.771527084656564E-2</v>
      </c>
      <c r="CQ46" s="615">
        <f t="shared" si="64"/>
        <v>0.10455185358986394</v>
      </c>
      <c r="CR46" s="615">
        <f t="shared" si="64"/>
        <v>0.10455185358986394</v>
      </c>
      <c r="CS46" s="615">
        <f t="shared" si="64"/>
        <v>0.10455185358986394</v>
      </c>
      <c r="CT46" s="615">
        <f t="shared" si="64"/>
        <v>0.10455185358986394</v>
      </c>
      <c r="CU46" s="841">
        <f>2.228/21.31</f>
        <v>0.10455185358986394</v>
      </c>
      <c r="CV46" s="869">
        <f t="shared" si="76"/>
        <v>0.10437619961612284</v>
      </c>
      <c r="CW46" s="615">
        <f t="shared" si="76"/>
        <v>0.10437619961612284</v>
      </c>
      <c r="CX46" s="615">
        <f t="shared" si="76"/>
        <v>0.10437619961612284</v>
      </c>
      <c r="CY46" s="615">
        <f t="shared" si="76"/>
        <v>0.10437619961612284</v>
      </c>
      <c r="CZ46" s="841">
        <f>2.719/26.05</f>
        <v>0.10437619961612284</v>
      </c>
      <c r="DA46" s="869">
        <f>$DE46</f>
        <v>0.10679886685552407</v>
      </c>
      <c r="DB46" s="615">
        <f t="shared" si="66"/>
        <v>0.10679886685552407</v>
      </c>
      <c r="DC46" s="615">
        <f t="shared" si="66"/>
        <v>0.10679886685552407</v>
      </c>
      <c r="DD46" s="615">
        <f t="shared" si="66"/>
        <v>0.10679886685552407</v>
      </c>
      <c r="DE46" s="841">
        <f>3.393/31.77</f>
        <v>0.10679886685552407</v>
      </c>
      <c r="DF46" s="617">
        <f t="shared" si="67"/>
        <v>0.10679886685552407</v>
      </c>
      <c r="DG46" s="617">
        <f t="shared" si="67"/>
        <v>0.10679886685552407</v>
      </c>
      <c r="DH46" s="617">
        <f t="shared" si="67"/>
        <v>0.10679886685552407</v>
      </c>
      <c r="DI46" s="617">
        <f t="shared" si="67"/>
        <v>0.10679886685552407</v>
      </c>
      <c r="DJ46" s="614">
        <f t="shared" si="67"/>
        <v>0.10679886685552407</v>
      </c>
      <c r="DK46" s="617">
        <f t="shared" si="68"/>
        <v>0.10679886685552407</v>
      </c>
      <c r="DL46" s="617">
        <f t="shared" si="69"/>
        <v>0.10679886685552407</v>
      </c>
      <c r="DM46" s="617">
        <f t="shared" si="70"/>
        <v>0.10679886685552407</v>
      </c>
      <c r="DN46" s="617">
        <f t="shared" si="71"/>
        <v>0.10679886685552407</v>
      </c>
      <c r="DO46" s="614">
        <f>DJ46</f>
        <v>0.10679886685552407</v>
      </c>
      <c r="DP46" s="617">
        <f t="shared" si="72"/>
        <v>0.10679886685552407</v>
      </c>
      <c r="DQ46" s="617">
        <f t="shared" si="73"/>
        <v>0.10679886685552407</v>
      </c>
      <c r="DR46" s="617">
        <f t="shared" si="74"/>
        <v>0.10679886685552407</v>
      </c>
      <c r="DS46" s="617">
        <f t="shared" si="75"/>
        <v>0.10679886685552407</v>
      </c>
      <c r="DT46" s="614">
        <f>DO46</f>
        <v>0.10679886685552407</v>
      </c>
      <c r="DU46" s="902">
        <f t="shared" si="67"/>
        <v>0.10679886685552407</v>
      </c>
      <c r="DV46" s="902">
        <f t="shared" si="67"/>
        <v>0.10679886685552407</v>
      </c>
    </row>
    <row r="47" spans="2:126" s="532" customFormat="1" ht="12.9" hidden="1" customHeight="1" outlineLevel="1">
      <c r="B47" s="608" t="s">
        <v>70</v>
      </c>
      <c r="C47" s="618"/>
      <c r="D47" s="618"/>
      <c r="E47" s="618"/>
      <c r="F47" s="618"/>
      <c r="G47" s="618"/>
      <c r="H47" s="618"/>
      <c r="I47" s="618"/>
      <c r="J47" s="619"/>
      <c r="K47" s="619"/>
      <c r="L47" s="619"/>
      <c r="M47" s="619"/>
      <c r="N47" s="618"/>
      <c r="O47" s="619"/>
      <c r="P47" s="619"/>
      <c r="Q47" s="619"/>
      <c r="R47" s="619"/>
      <c r="S47" s="618"/>
      <c r="T47" s="619"/>
      <c r="U47" s="619"/>
      <c r="V47" s="619"/>
      <c r="W47" s="619"/>
      <c r="X47" s="618"/>
      <c r="Y47" s="619"/>
      <c r="Z47" s="619"/>
      <c r="AA47" s="619"/>
      <c r="AB47" s="619"/>
      <c r="AC47" s="618"/>
      <c r="AD47" s="619"/>
      <c r="AE47" s="619"/>
      <c r="AF47" s="619"/>
      <c r="AG47" s="619"/>
      <c r="AH47" s="618"/>
      <c r="AI47" s="619"/>
      <c r="AJ47" s="619"/>
      <c r="AK47" s="619"/>
      <c r="AL47" s="619"/>
      <c r="AM47" s="618"/>
      <c r="AN47" s="619"/>
      <c r="AO47" s="619"/>
      <c r="AP47" s="619"/>
      <c r="AQ47" s="619"/>
      <c r="AR47" s="618"/>
      <c r="AS47" s="620"/>
      <c r="AT47" s="619"/>
      <c r="AU47" s="619"/>
      <c r="AV47" s="619"/>
      <c r="AW47" s="618"/>
      <c r="AX47" s="619"/>
      <c r="AY47" s="619"/>
      <c r="AZ47" s="619"/>
      <c r="BA47" s="619"/>
      <c r="BB47" s="618"/>
      <c r="BC47" s="619"/>
      <c r="BD47" s="619"/>
      <c r="BE47" s="619"/>
      <c r="BF47" s="619"/>
      <c r="BG47" s="618"/>
      <c r="BH47" s="619"/>
      <c r="BI47" s="619"/>
      <c r="BJ47" s="619"/>
      <c r="BK47" s="619"/>
      <c r="BL47" s="618">
        <f>SUM(BL42:BL46)</f>
        <v>1</v>
      </c>
      <c r="BM47" s="621">
        <f t="shared" si="58"/>
        <v>1</v>
      </c>
      <c r="BN47" s="621">
        <f t="shared" si="58"/>
        <v>1</v>
      </c>
      <c r="BO47" s="621">
        <f t="shared" si="58"/>
        <v>1</v>
      </c>
      <c r="BP47" s="621">
        <f t="shared" si="58"/>
        <v>1</v>
      </c>
      <c r="BQ47" s="618">
        <f>SUM(BQ42:BQ46)</f>
        <v>1</v>
      </c>
      <c r="BR47" s="621">
        <f t="shared" si="59"/>
        <v>1</v>
      </c>
      <c r="BS47" s="621">
        <f t="shared" si="59"/>
        <v>1</v>
      </c>
      <c r="BT47" s="621">
        <f t="shared" si="59"/>
        <v>1</v>
      </c>
      <c r="BU47" s="621">
        <f t="shared" si="59"/>
        <v>1</v>
      </c>
      <c r="BV47" s="618">
        <f t="shared" ref="BV47:DJ47" si="77">SUM(BV42:BV46)</f>
        <v>0.99999999999999989</v>
      </c>
      <c r="BW47" s="621">
        <f t="shared" si="77"/>
        <v>0.99999999999999989</v>
      </c>
      <c r="BX47" s="621">
        <f t="shared" si="77"/>
        <v>0.99999999999999989</v>
      </c>
      <c r="BY47" s="621">
        <f t="shared" si="77"/>
        <v>0.99999999999999989</v>
      </c>
      <c r="BZ47" s="621">
        <f t="shared" si="77"/>
        <v>0.99999999999999989</v>
      </c>
      <c r="CA47" s="618">
        <f t="shared" si="77"/>
        <v>1</v>
      </c>
      <c r="CB47" s="621">
        <f t="shared" si="77"/>
        <v>1</v>
      </c>
      <c r="CC47" s="621">
        <f t="shared" si="77"/>
        <v>1</v>
      </c>
      <c r="CD47" s="621">
        <f t="shared" si="77"/>
        <v>1</v>
      </c>
      <c r="CE47" s="621">
        <f t="shared" si="77"/>
        <v>1</v>
      </c>
      <c r="CF47" s="618">
        <f t="shared" si="77"/>
        <v>1</v>
      </c>
      <c r="CG47" s="621">
        <f t="shared" si="77"/>
        <v>0.99999999999999989</v>
      </c>
      <c r="CH47" s="621">
        <f t="shared" si="77"/>
        <v>0.99999999999999989</v>
      </c>
      <c r="CI47" s="621">
        <f t="shared" si="77"/>
        <v>0.99999999999999989</v>
      </c>
      <c r="CJ47" s="621">
        <f t="shared" si="77"/>
        <v>0.99999999999999989</v>
      </c>
      <c r="CK47" s="618">
        <f t="shared" si="77"/>
        <v>0.99999999999999989</v>
      </c>
      <c r="CL47" s="621">
        <f t="shared" si="77"/>
        <v>1</v>
      </c>
      <c r="CM47" s="621">
        <f t="shared" si="77"/>
        <v>1</v>
      </c>
      <c r="CN47" s="621">
        <f t="shared" si="77"/>
        <v>1</v>
      </c>
      <c r="CO47" s="621">
        <f t="shared" si="77"/>
        <v>1</v>
      </c>
      <c r="CP47" s="618">
        <f t="shared" si="77"/>
        <v>1</v>
      </c>
      <c r="CQ47" s="621">
        <f t="shared" si="77"/>
        <v>1</v>
      </c>
      <c r="CR47" s="621">
        <f t="shared" si="77"/>
        <v>1</v>
      </c>
      <c r="CS47" s="621">
        <f t="shared" si="77"/>
        <v>1</v>
      </c>
      <c r="CT47" s="621">
        <f t="shared" si="77"/>
        <v>1</v>
      </c>
      <c r="CU47" s="618">
        <f t="shared" si="77"/>
        <v>1</v>
      </c>
      <c r="CV47" s="621">
        <f t="shared" si="77"/>
        <v>1.0000767754318616</v>
      </c>
      <c r="CW47" s="621">
        <f t="shared" si="77"/>
        <v>1.0000767754318616</v>
      </c>
      <c r="CX47" s="621">
        <f t="shared" si="77"/>
        <v>1.0000767754318616</v>
      </c>
      <c r="CY47" s="621">
        <f t="shared" si="77"/>
        <v>1.0000767754318616</v>
      </c>
      <c r="CZ47" s="618">
        <f t="shared" si="77"/>
        <v>1.0000767754318616</v>
      </c>
      <c r="DA47" s="621">
        <f>SUM(DA42:DA46)</f>
        <v>1.0000314762354421</v>
      </c>
      <c r="DB47" s="621">
        <f t="shared" ref="DB47:DD47" si="78">SUM(DB42:DB46)</f>
        <v>1.0000314762354421</v>
      </c>
      <c r="DC47" s="621">
        <f t="shared" si="78"/>
        <v>1.0000314762354421</v>
      </c>
      <c r="DD47" s="621">
        <f t="shared" si="78"/>
        <v>1.0000314762354421</v>
      </c>
      <c r="DE47" s="618">
        <f t="shared" si="77"/>
        <v>1.0000314762354421</v>
      </c>
      <c r="DF47" s="621">
        <f t="shared" si="77"/>
        <v>1.0000314762354421</v>
      </c>
      <c r="DG47" s="621">
        <f t="shared" ref="DG47" si="79">SUM(DG42:DG46)</f>
        <v>1.0000314762354421</v>
      </c>
      <c r="DH47" s="621">
        <f t="shared" si="77"/>
        <v>1.0000314762354421</v>
      </c>
      <c r="DI47" s="621">
        <f t="shared" si="77"/>
        <v>1.0000314762354421</v>
      </c>
      <c r="DJ47" s="618">
        <f t="shared" si="77"/>
        <v>1.0000314762354421</v>
      </c>
      <c r="DK47" s="621">
        <f t="shared" ref="DK47:DN47" si="80">SUM(DK42:DK46)</f>
        <v>1.0000314762354421</v>
      </c>
      <c r="DL47" s="621">
        <f t="shared" si="80"/>
        <v>1.0000314762354421</v>
      </c>
      <c r="DM47" s="621">
        <f t="shared" si="80"/>
        <v>1.0000314762354421</v>
      </c>
      <c r="DN47" s="621">
        <f t="shared" si="80"/>
        <v>1.0000314762354421</v>
      </c>
      <c r="DO47" s="618">
        <f t="shared" ref="DO47:DS47" si="81">SUM(DO42:DO46)</f>
        <v>1.0000314762354421</v>
      </c>
      <c r="DP47" s="621">
        <f t="shared" si="81"/>
        <v>1.0000314762354421</v>
      </c>
      <c r="DQ47" s="621">
        <f t="shared" si="81"/>
        <v>1.0000314762354421</v>
      </c>
      <c r="DR47" s="621">
        <f t="shared" si="81"/>
        <v>1.0000314762354421</v>
      </c>
      <c r="DS47" s="621">
        <f t="shared" si="81"/>
        <v>1.0000314762354421</v>
      </c>
      <c r="DT47" s="618">
        <f t="shared" ref="DT47" si="82">SUM(DT42:DT46)</f>
        <v>1.0000314762354421</v>
      </c>
      <c r="DU47" s="618">
        <f t="shared" ref="DU47:DV47" si="83">SUM(DU42:DU46)</f>
        <v>1.0000314762354421</v>
      </c>
      <c r="DV47" s="618">
        <f t="shared" si="83"/>
        <v>1.0000314762354421</v>
      </c>
    </row>
    <row r="48" spans="2:126" s="532" customFormat="1" ht="12.9" customHeight="1" collapsed="1">
      <c r="C48" s="618"/>
      <c r="D48" s="618"/>
      <c r="E48" s="618"/>
      <c r="F48" s="618"/>
      <c r="G48" s="618"/>
      <c r="H48" s="618"/>
      <c r="I48" s="618"/>
      <c r="J48" s="619"/>
      <c r="K48" s="619"/>
      <c r="L48" s="619"/>
      <c r="M48" s="619"/>
      <c r="N48" s="618"/>
      <c r="O48" s="619"/>
      <c r="P48" s="619"/>
      <c r="Q48" s="619"/>
      <c r="R48" s="619"/>
      <c r="S48" s="618"/>
      <c r="U48" s="619"/>
      <c r="V48" s="619"/>
      <c r="W48" s="619"/>
      <c r="X48" s="618"/>
      <c r="Y48" s="619"/>
      <c r="Z48" s="619"/>
      <c r="AA48" s="619"/>
      <c r="AB48" s="619"/>
      <c r="AC48" s="618"/>
      <c r="AD48" s="619"/>
      <c r="AE48" s="619"/>
      <c r="AF48" s="619"/>
      <c r="AG48" s="619"/>
      <c r="AH48" s="618"/>
      <c r="AI48" s="619"/>
      <c r="AJ48" s="619"/>
      <c r="AK48" s="619"/>
      <c r="AL48" s="619"/>
      <c r="AM48" s="618"/>
      <c r="AN48" s="619"/>
      <c r="AO48" s="619"/>
      <c r="AP48" s="619"/>
      <c r="AQ48" s="619"/>
      <c r="AR48" s="618"/>
      <c r="AS48" s="620"/>
      <c r="AT48" s="619"/>
      <c r="AU48" s="619"/>
      <c r="AV48" s="619"/>
      <c r="AW48" s="618"/>
      <c r="AX48" s="619"/>
      <c r="AY48" s="619"/>
      <c r="AZ48" s="619"/>
      <c r="BA48" s="619"/>
      <c r="BB48" s="618"/>
      <c r="BC48" s="619"/>
      <c r="BD48" s="619"/>
      <c r="BE48" s="619"/>
      <c r="BF48" s="619"/>
      <c r="BG48" s="618"/>
      <c r="BH48" s="619"/>
      <c r="BI48" s="619"/>
      <c r="BJ48" s="619"/>
      <c r="BK48" s="619"/>
      <c r="BL48" s="618"/>
      <c r="BM48" s="619"/>
      <c r="BN48" s="619"/>
      <c r="BO48" s="619"/>
      <c r="BP48" s="619"/>
      <c r="BQ48" s="618"/>
      <c r="BR48" s="619"/>
      <c r="BS48" s="619"/>
      <c r="BT48" s="619"/>
      <c r="BU48" s="619"/>
      <c r="BV48" s="618"/>
      <c r="BW48" s="557"/>
      <c r="BX48" s="557"/>
      <c r="BY48" s="557"/>
      <c r="BZ48" s="557"/>
      <c r="CA48" s="618"/>
      <c r="CB48" s="557"/>
      <c r="CC48" s="557"/>
      <c r="CD48" s="557"/>
      <c r="CE48" s="557"/>
      <c r="CF48" s="618"/>
      <c r="CG48" s="557"/>
      <c r="CH48" s="557"/>
      <c r="CI48" s="557"/>
      <c r="CJ48" s="557"/>
      <c r="CK48" s="618"/>
      <c r="CL48" s="557"/>
      <c r="CM48" s="557"/>
      <c r="CN48" s="557"/>
      <c r="CO48" s="557"/>
      <c r="CP48" s="618"/>
      <c r="CQ48" s="557"/>
      <c r="CR48" s="557"/>
      <c r="CS48" s="557"/>
      <c r="CT48" s="557"/>
      <c r="CU48" s="618"/>
      <c r="CV48" s="557"/>
      <c r="CW48" s="557"/>
      <c r="CX48" s="557"/>
      <c r="CY48" s="557"/>
      <c r="CZ48" s="618"/>
      <c r="DA48" s="557"/>
      <c r="DB48" s="557"/>
      <c r="DC48" s="557"/>
      <c r="DD48" s="557"/>
      <c r="DE48" s="618"/>
      <c r="DF48" s="557"/>
      <c r="DG48" s="557"/>
      <c r="DH48" s="557"/>
      <c r="DI48" s="557"/>
      <c r="DJ48" s="618"/>
      <c r="DK48" s="557"/>
      <c r="DL48" s="557"/>
      <c r="DM48" s="557"/>
      <c r="DN48" s="557"/>
      <c r="DO48" s="618"/>
      <c r="DP48" s="557"/>
      <c r="DQ48" s="557"/>
      <c r="DR48" s="557"/>
      <c r="DS48" s="557"/>
      <c r="DT48" s="618"/>
      <c r="DU48" s="618"/>
      <c r="DV48" s="618"/>
    </row>
    <row r="49" spans="2:126" s="521" customFormat="1" ht="12.9" customHeight="1">
      <c r="B49" s="526" t="s">
        <v>395</v>
      </c>
      <c r="C49" s="523"/>
      <c r="D49" s="523"/>
      <c r="E49" s="523"/>
      <c r="F49" s="523"/>
      <c r="G49" s="523"/>
      <c r="H49" s="523"/>
      <c r="I49" s="523"/>
      <c r="J49" s="524"/>
      <c r="K49" s="524"/>
      <c r="L49" s="524"/>
      <c r="M49" s="525"/>
      <c r="N49" s="523"/>
      <c r="O49" s="524"/>
      <c r="P49" s="524"/>
      <c r="Q49" s="524"/>
      <c r="R49" s="525"/>
      <c r="S49" s="523"/>
      <c r="T49" s="524"/>
      <c r="U49" s="524"/>
      <c r="V49" s="524"/>
      <c r="W49" s="525"/>
      <c r="X49" s="523"/>
      <c r="Y49" s="524"/>
      <c r="Z49" s="524"/>
      <c r="AA49" s="524"/>
      <c r="AB49" s="525"/>
      <c r="AC49" s="523"/>
      <c r="AD49" s="524"/>
      <c r="AE49" s="524"/>
      <c r="AF49" s="524"/>
      <c r="AG49" s="525"/>
      <c r="AH49" s="523"/>
      <c r="AI49" s="524"/>
      <c r="AJ49" s="524"/>
      <c r="AK49" s="524"/>
      <c r="AL49" s="525"/>
      <c r="AM49" s="523"/>
      <c r="AN49" s="524"/>
      <c r="AO49" s="524"/>
      <c r="AP49" s="524"/>
      <c r="AQ49" s="525"/>
      <c r="AR49" s="523"/>
      <c r="AS49" s="524"/>
      <c r="AT49" s="524"/>
      <c r="AU49" s="524"/>
      <c r="AV49" s="525"/>
      <c r="AW49" s="523"/>
      <c r="AX49" s="524"/>
      <c r="AY49" s="524"/>
      <c r="AZ49" s="524"/>
      <c r="BA49" s="525"/>
      <c r="BB49" s="523"/>
      <c r="BC49" s="524"/>
      <c r="BD49" s="524"/>
      <c r="BE49" s="524"/>
      <c r="BF49" s="525"/>
      <c r="BG49" s="523"/>
      <c r="BH49" s="524"/>
      <c r="BI49" s="524"/>
      <c r="BJ49" s="524"/>
      <c r="BK49" s="525"/>
      <c r="BL49" s="523"/>
      <c r="BM49" s="524"/>
      <c r="BN49" s="524"/>
      <c r="BO49" s="524"/>
      <c r="BP49" s="525"/>
      <c r="BQ49" s="523"/>
      <c r="BR49" s="524"/>
      <c r="BS49" s="524"/>
      <c r="BT49" s="524"/>
      <c r="BU49" s="525"/>
      <c r="BV49" s="523"/>
      <c r="BW49" s="524"/>
      <c r="BX49" s="524"/>
      <c r="BY49" s="524"/>
      <c r="BZ49" s="525"/>
      <c r="CA49" s="523"/>
      <c r="CB49" s="524"/>
      <c r="CC49" s="524"/>
      <c r="CD49" s="524"/>
      <c r="CE49" s="525"/>
      <c r="CF49" s="523"/>
      <c r="CG49" s="524"/>
      <c r="CH49" s="524"/>
      <c r="CI49" s="524"/>
      <c r="CJ49" s="525"/>
      <c r="CK49" s="523"/>
      <c r="CL49" s="524"/>
      <c r="CM49" s="524"/>
      <c r="CN49" s="524"/>
      <c r="CO49" s="525"/>
      <c r="CP49" s="523"/>
      <c r="CQ49" s="524"/>
      <c r="CR49" s="524"/>
      <c r="CS49" s="524"/>
      <c r="CT49" s="525"/>
      <c r="CU49" s="523"/>
      <c r="CV49" s="524"/>
      <c r="CW49" s="524"/>
      <c r="CX49" s="524"/>
      <c r="CY49" s="525"/>
      <c r="CZ49" s="523"/>
      <c r="DA49" s="524"/>
      <c r="DB49" s="524"/>
      <c r="DC49" s="524"/>
      <c r="DD49" s="525"/>
      <c r="DE49" s="523"/>
      <c r="DF49" s="524"/>
      <c r="DG49" s="524"/>
      <c r="DH49" s="524"/>
      <c r="DI49" s="525"/>
      <c r="DJ49" s="523"/>
      <c r="DK49" s="524"/>
      <c r="DL49" s="524"/>
      <c r="DM49" s="524"/>
      <c r="DN49" s="525"/>
      <c r="DO49" s="523"/>
      <c r="DP49" s="524"/>
      <c r="DQ49" s="524"/>
      <c r="DR49" s="524"/>
      <c r="DS49" s="525"/>
      <c r="DT49" s="523"/>
      <c r="DU49" s="523"/>
      <c r="DV49" s="523"/>
    </row>
    <row r="50" spans="2:126" s="532" customFormat="1" ht="12.9" customHeight="1">
      <c r="B50" s="660" t="s">
        <v>396</v>
      </c>
      <c r="C50" s="789"/>
      <c r="D50" s="789"/>
      <c r="E50" s="789"/>
      <c r="F50" s="789"/>
      <c r="G50" s="789"/>
      <c r="H50" s="789"/>
      <c r="I50" s="789"/>
      <c r="J50" s="790"/>
      <c r="K50" s="790"/>
      <c r="L50" s="790"/>
      <c r="M50" s="790"/>
      <c r="N50" s="789"/>
      <c r="O50" s="790"/>
      <c r="P50" s="790"/>
      <c r="Q50" s="790"/>
      <c r="R50" s="790"/>
      <c r="S50" s="789"/>
      <c r="T50" s="790"/>
      <c r="U50" s="790"/>
      <c r="V50" s="790"/>
      <c r="W50" s="790"/>
      <c r="X50" s="789"/>
      <c r="Y50" s="790"/>
      <c r="Z50" s="790"/>
      <c r="AA50" s="790"/>
      <c r="AB50" s="790"/>
      <c r="AC50" s="789"/>
      <c r="AD50" s="790"/>
      <c r="AE50" s="790"/>
      <c r="AF50" s="790"/>
      <c r="AG50" s="790"/>
      <c r="AH50" s="789"/>
      <c r="AI50" s="790"/>
      <c r="AJ50" s="790"/>
      <c r="AK50" s="790"/>
      <c r="AL50" s="790"/>
      <c r="AM50" s="789"/>
      <c r="AN50" s="790"/>
      <c r="AO50" s="790"/>
      <c r="AP50" s="790"/>
      <c r="AQ50" s="790"/>
      <c r="AR50" s="789"/>
      <c r="AS50" s="790"/>
      <c r="AT50" s="790"/>
      <c r="AU50" s="790"/>
      <c r="AV50" s="790"/>
      <c r="AW50" s="789"/>
      <c r="AX50" s="790"/>
      <c r="AY50" s="790"/>
      <c r="AZ50" s="790"/>
      <c r="BA50" s="790"/>
      <c r="BB50" s="789"/>
      <c r="BC50" s="790"/>
      <c r="BD50" s="790"/>
      <c r="BE50" s="790"/>
      <c r="BF50" s="790"/>
      <c r="BG50" s="789"/>
      <c r="BH50" s="790"/>
      <c r="BI50" s="790"/>
      <c r="BJ50" s="790"/>
      <c r="BK50" s="790"/>
      <c r="BL50" s="789"/>
      <c r="BM50" s="790"/>
      <c r="BN50" s="790"/>
      <c r="BO50" s="790"/>
      <c r="BP50" s="790"/>
      <c r="BQ50" s="789"/>
      <c r="BR50" s="790"/>
      <c r="BS50" s="790"/>
      <c r="BT50" s="790"/>
      <c r="BU50" s="790"/>
      <c r="BV50" s="789"/>
      <c r="BW50" s="790"/>
      <c r="BX50" s="790"/>
      <c r="BY50" s="790"/>
      <c r="BZ50" s="790"/>
      <c r="CA50" s="789"/>
      <c r="CB50" s="790"/>
      <c r="CC50" s="790"/>
      <c r="CD50" s="790"/>
      <c r="CE50" s="790"/>
      <c r="CF50" s="789"/>
      <c r="CG50" s="791"/>
      <c r="CH50" s="790"/>
      <c r="CI50" s="790"/>
      <c r="CJ50" s="790"/>
      <c r="CK50" s="789"/>
      <c r="CL50" s="792"/>
      <c r="CM50" s="792"/>
      <c r="CN50" s="792"/>
      <c r="CO50" s="792"/>
      <c r="CP50" s="789"/>
      <c r="CQ50" s="793"/>
      <c r="CR50" s="790"/>
      <c r="CS50" s="790"/>
      <c r="CT50" s="790"/>
      <c r="CU50" s="789"/>
      <c r="CV50" s="790"/>
      <c r="CW50" s="790"/>
      <c r="CX50" s="790"/>
      <c r="CY50" s="790"/>
      <c r="CZ50" s="789"/>
      <c r="DA50" s="790"/>
      <c r="DB50" s="790"/>
      <c r="DC50" s="790"/>
      <c r="DD50" s="790"/>
      <c r="DE50" s="789"/>
      <c r="DF50" s="790"/>
      <c r="DG50" s="790"/>
      <c r="DH50" s="790"/>
      <c r="DI50" s="790"/>
      <c r="DJ50" s="789"/>
      <c r="DK50" s="790"/>
      <c r="DL50" s="790"/>
      <c r="DM50" s="790"/>
      <c r="DN50" s="790"/>
      <c r="DO50" s="789"/>
      <c r="DP50" s="790"/>
      <c r="DQ50" s="790"/>
      <c r="DR50" s="790"/>
      <c r="DS50" s="790"/>
      <c r="DT50" s="789"/>
      <c r="DU50" s="789"/>
      <c r="DV50" s="789"/>
    </row>
    <row r="51" spans="2:126" s="622" customFormat="1" ht="12.9" customHeight="1">
      <c r="B51" s="623" t="s">
        <v>397</v>
      </c>
      <c r="C51" s="538"/>
      <c r="D51" s="538"/>
      <c r="E51" s="538"/>
      <c r="F51" s="538"/>
      <c r="G51" s="538"/>
      <c r="H51" s="538"/>
      <c r="I51" s="538"/>
      <c r="J51" s="624"/>
      <c r="K51" s="624"/>
      <c r="L51" s="624"/>
      <c r="M51" s="624"/>
      <c r="N51" s="538"/>
      <c r="O51" s="624"/>
      <c r="P51" s="624"/>
      <c r="Q51" s="624"/>
      <c r="R51" s="624"/>
      <c r="S51" s="538"/>
      <c r="T51" s="624"/>
      <c r="U51" s="624"/>
      <c r="V51" s="624"/>
      <c r="W51" s="624"/>
      <c r="X51" s="538"/>
      <c r="Y51" s="624"/>
      <c r="Z51" s="624"/>
      <c r="AA51" s="624"/>
      <c r="AB51" s="624"/>
      <c r="AC51" s="538"/>
      <c r="AD51" s="624"/>
      <c r="AE51" s="624"/>
      <c r="AF51" s="624"/>
      <c r="AG51" s="624"/>
      <c r="AH51" s="538"/>
      <c r="AI51" s="624"/>
      <c r="AJ51" s="624"/>
      <c r="AK51" s="624"/>
      <c r="AL51" s="624"/>
      <c r="AM51" s="538"/>
      <c r="AN51" s="624"/>
      <c r="AO51" s="624"/>
      <c r="AP51" s="624"/>
      <c r="AQ51" s="624"/>
      <c r="AR51" s="538"/>
      <c r="AS51" s="624"/>
      <c r="AT51" s="624"/>
      <c r="AU51" s="624"/>
      <c r="AV51" s="624"/>
      <c r="AW51" s="538"/>
      <c r="AX51" s="624"/>
      <c r="AY51" s="624"/>
      <c r="AZ51" s="624"/>
      <c r="BA51" s="624"/>
      <c r="BB51" s="538"/>
      <c r="BC51" s="624"/>
      <c r="BD51" s="624"/>
      <c r="BE51" s="624"/>
      <c r="BF51" s="624"/>
      <c r="BG51" s="538"/>
      <c r="BH51" s="624">
        <v>796</v>
      </c>
      <c r="BI51" s="624">
        <v>1061</v>
      </c>
      <c r="BJ51" s="624">
        <v>1376</v>
      </c>
      <c r="BK51" s="624">
        <v>1568</v>
      </c>
      <c r="BL51" s="538">
        <f>SUM(BH51:BK51)</f>
        <v>4801</v>
      </c>
      <c r="BM51" s="624">
        <v>1219</v>
      </c>
      <c r="BN51" s="624">
        <v>981</v>
      </c>
      <c r="BO51" s="624">
        <v>883</v>
      </c>
      <c r="BP51" s="624">
        <v>515</v>
      </c>
      <c r="BQ51" s="538">
        <f>SUM(BM51:BP51)</f>
        <v>3598</v>
      </c>
      <c r="BR51" s="624">
        <v>702</v>
      </c>
      <c r="BS51" s="624">
        <v>753</v>
      </c>
      <c r="BT51" s="624">
        <v>625</v>
      </c>
      <c r="BU51" s="624">
        <v>578</v>
      </c>
      <c r="BV51" s="538">
        <f>SUM(BR51:BU51)</f>
        <v>2658</v>
      </c>
      <c r="BW51" s="624">
        <v>870</v>
      </c>
      <c r="BX51" s="624">
        <v>644</v>
      </c>
      <c r="BY51" s="624">
        <v>508</v>
      </c>
      <c r="BZ51" s="624">
        <v>543</v>
      </c>
      <c r="CA51" s="538">
        <f>SUM(BW51:BZ51)</f>
        <v>2565</v>
      </c>
      <c r="CB51" s="624">
        <v>1175</v>
      </c>
      <c r="CC51" s="624">
        <v>959</v>
      </c>
      <c r="CD51" s="624">
        <v>1779</v>
      </c>
      <c r="CE51" s="624">
        <v>859</v>
      </c>
      <c r="CF51" s="538">
        <f>SUM(CB51:CE51)</f>
        <v>4772</v>
      </c>
      <c r="CG51" s="624">
        <v>799</v>
      </c>
      <c r="CH51" s="624">
        <v>899</v>
      </c>
      <c r="CI51" s="624">
        <v>297</v>
      </c>
      <c r="CJ51" s="624">
        <v>395</v>
      </c>
      <c r="CK51" s="538">
        <f>SUM(CG51:CJ51)</f>
        <v>2390</v>
      </c>
      <c r="CL51" s="818">
        <v>168</v>
      </c>
      <c r="CM51" s="818">
        <v>74</v>
      </c>
      <c r="CN51" s="818">
        <v>94</v>
      </c>
      <c r="CO51" s="818">
        <v>402</v>
      </c>
      <c r="CP51" s="538">
        <f>SUM(CL51:CO51)</f>
        <v>738</v>
      </c>
      <c r="CQ51" s="818">
        <v>298</v>
      </c>
      <c r="CR51" s="818">
        <v>555</v>
      </c>
      <c r="CS51" s="818">
        <v>418</v>
      </c>
      <c r="CT51" s="818">
        <v>977</v>
      </c>
      <c r="CU51" s="538">
        <f>SUM(CQ51:CT51)</f>
        <v>2248</v>
      </c>
      <c r="CV51" s="818">
        <v>553</v>
      </c>
      <c r="CW51" s="818">
        <v>569</v>
      </c>
      <c r="CX51" s="818">
        <v>181</v>
      </c>
      <c r="CY51" s="818">
        <v>824</v>
      </c>
      <c r="CZ51" s="538">
        <f>SUM(CV51:CY51)</f>
        <v>2127</v>
      </c>
      <c r="DA51" s="818">
        <v>519</v>
      </c>
      <c r="DB51" s="818">
        <v>659</v>
      </c>
      <c r="DC51" s="818">
        <v>798</v>
      </c>
      <c r="DD51" s="818">
        <v>1269</v>
      </c>
      <c r="DE51" s="538">
        <f>SUM(DA51:DD51)</f>
        <v>3245</v>
      </c>
      <c r="DF51" s="624">
        <v>792</v>
      </c>
      <c r="DG51" s="624">
        <v>808</v>
      </c>
      <c r="DH51" s="624">
        <v>1090</v>
      </c>
      <c r="DI51" s="624">
        <v>1229</v>
      </c>
      <c r="DJ51" s="538">
        <f>SUM(DF51:DI51)</f>
        <v>3919</v>
      </c>
      <c r="DK51" s="624">
        <v>880</v>
      </c>
      <c r="DL51" s="624">
        <v>1049</v>
      </c>
      <c r="DM51" s="624"/>
      <c r="DN51" s="624"/>
      <c r="DO51" s="538"/>
      <c r="DP51" s="624"/>
      <c r="DQ51" s="624"/>
      <c r="DR51" s="624"/>
      <c r="DS51" s="624"/>
      <c r="DT51" s="538"/>
      <c r="DU51" s="538"/>
      <c r="DV51" s="538"/>
    </row>
    <row r="52" spans="2:126" s="622" customFormat="1" ht="12.9" customHeight="1">
      <c r="B52" s="625" t="s">
        <v>398</v>
      </c>
      <c r="C52" s="626"/>
      <c r="D52" s="626"/>
      <c r="E52" s="626"/>
      <c r="F52" s="626"/>
      <c r="G52" s="626"/>
      <c r="H52" s="626"/>
      <c r="I52" s="626"/>
      <c r="J52" s="627"/>
      <c r="K52" s="627"/>
      <c r="L52" s="627"/>
      <c r="M52" s="627"/>
      <c r="N52" s="626"/>
      <c r="O52" s="627"/>
      <c r="P52" s="627"/>
      <c r="Q52" s="627"/>
      <c r="R52" s="627"/>
      <c r="S52" s="626"/>
      <c r="T52" s="627"/>
      <c r="U52" s="627"/>
      <c r="V52" s="627"/>
      <c r="W52" s="627"/>
      <c r="X52" s="626"/>
      <c r="Y52" s="627"/>
      <c r="Z52" s="627"/>
      <c r="AA52" s="627"/>
      <c r="AB52" s="627"/>
      <c r="AC52" s="626"/>
      <c r="AD52" s="627"/>
      <c r="AE52" s="627"/>
      <c r="AF52" s="627"/>
      <c r="AG52" s="627"/>
      <c r="AH52" s="626"/>
      <c r="AI52" s="627"/>
      <c r="AJ52" s="627"/>
      <c r="AK52" s="627"/>
      <c r="AL52" s="627"/>
      <c r="AM52" s="626"/>
      <c r="AN52" s="627"/>
      <c r="AO52" s="627"/>
      <c r="AP52" s="627"/>
      <c r="AQ52" s="627"/>
      <c r="AR52" s="626"/>
      <c r="AS52" s="627"/>
      <c r="AT52" s="627"/>
      <c r="AU52" s="627"/>
      <c r="AV52" s="627"/>
      <c r="AW52" s="626"/>
      <c r="AX52" s="627"/>
      <c r="AY52" s="627"/>
      <c r="AZ52" s="627"/>
      <c r="BA52" s="627"/>
      <c r="BB52" s="626"/>
      <c r="BC52" s="627"/>
      <c r="BD52" s="627"/>
      <c r="BE52" s="627"/>
      <c r="BF52" s="627"/>
      <c r="BG52" s="626"/>
      <c r="BH52" s="627">
        <v>6</v>
      </c>
      <c r="BI52" s="627">
        <v>13</v>
      </c>
      <c r="BJ52" s="627">
        <v>16</v>
      </c>
      <c r="BK52" s="627">
        <v>165</v>
      </c>
      <c r="BL52" s="626">
        <f>SUM(BH52:BK52)</f>
        <v>200</v>
      </c>
      <c r="BM52" s="627">
        <v>47</v>
      </c>
      <c r="BN52" s="627">
        <v>38</v>
      </c>
      <c r="BO52" s="627">
        <v>84</v>
      </c>
      <c r="BP52" s="627">
        <v>68</v>
      </c>
      <c r="BQ52" s="626">
        <f>SUM(BM52:BP52)</f>
        <v>237</v>
      </c>
      <c r="BR52" s="627">
        <v>7</v>
      </c>
      <c r="BS52" s="627">
        <v>29</v>
      </c>
      <c r="BT52" s="627">
        <v>17</v>
      </c>
      <c r="BU52" s="627">
        <v>90</v>
      </c>
      <c r="BV52" s="626">
        <f>SUM(BR52:BU52)</f>
        <v>143</v>
      </c>
      <c r="BW52" s="627">
        <v>12</v>
      </c>
      <c r="BX52" s="627">
        <v>22</v>
      </c>
      <c r="BY52" s="627">
        <v>25</v>
      </c>
      <c r="BZ52" s="627">
        <v>33</v>
      </c>
      <c r="CA52" s="626">
        <f>SUM(BW52:BZ52)</f>
        <v>92</v>
      </c>
      <c r="CB52" s="627">
        <v>24</v>
      </c>
      <c r="CC52" s="627">
        <v>269</v>
      </c>
      <c r="CD52" s="627">
        <v>68</v>
      </c>
      <c r="CE52" s="627">
        <v>46</v>
      </c>
      <c r="CF52" s="626">
        <f>SUM(CB52:CE52)</f>
        <v>407</v>
      </c>
      <c r="CG52" s="627">
        <v>30</v>
      </c>
      <c r="CH52" s="627">
        <v>21</v>
      </c>
      <c r="CI52" s="627">
        <v>99</v>
      </c>
      <c r="CJ52" s="627">
        <v>14</v>
      </c>
      <c r="CK52" s="626">
        <f>SUM(CG52:CJ52)</f>
        <v>164</v>
      </c>
      <c r="CL52" s="628" t="s">
        <v>404</v>
      </c>
      <c r="CM52" s="628" t="s">
        <v>404</v>
      </c>
      <c r="CN52" s="856" t="s">
        <v>404</v>
      </c>
      <c r="CO52" s="857" t="s">
        <v>404</v>
      </c>
      <c r="CP52" s="870" t="s">
        <v>404</v>
      </c>
      <c r="CQ52" s="629" t="s">
        <v>404</v>
      </c>
      <c r="CR52" s="629" t="s">
        <v>404</v>
      </c>
      <c r="CS52" s="629" t="s">
        <v>404</v>
      </c>
      <c r="CT52" s="857" t="s">
        <v>404</v>
      </c>
      <c r="CU52" s="870" t="s">
        <v>404</v>
      </c>
      <c r="CV52" s="857" t="s">
        <v>404</v>
      </c>
      <c r="CW52" s="857" t="s">
        <v>404</v>
      </c>
      <c r="CX52" s="857" t="s">
        <v>404</v>
      </c>
      <c r="CY52" s="857"/>
      <c r="CZ52" s="870" t="s">
        <v>404</v>
      </c>
      <c r="DA52" s="857" t="s">
        <v>404</v>
      </c>
      <c r="DB52" s="857" t="s">
        <v>404</v>
      </c>
      <c r="DC52" s="857" t="s">
        <v>404</v>
      </c>
      <c r="DD52" s="857" t="s">
        <v>404</v>
      </c>
      <c r="DE52" s="870" t="s">
        <v>404</v>
      </c>
      <c r="DF52" s="627"/>
      <c r="DG52" s="627"/>
      <c r="DH52" s="627"/>
      <c r="DI52" s="627"/>
      <c r="DJ52" s="870" t="s">
        <v>404</v>
      </c>
      <c r="DK52" s="627"/>
      <c r="DL52" s="627"/>
      <c r="DM52" s="627"/>
      <c r="DN52" s="627"/>
      <c r="DO52" s="626"/>
      <c r="DP52" s="627"/>
      <c r="DQ52" s="627"/>
      <c r="DR52" s="627"/>
      <c r="DS52" s="627"/>
      <c r="DT52" s="626"/>
      <c r="DU52" s="626"/>
      <c r="DV52" s="626"/>
    </row>
    <row r="53" spans="2:126" s="532" customFormat="1" ht="12.9" customHeight="1">
      <c r="B53" s="625" t="s">
        <v>399</v>
      </c>
      <c r="C53" s="626"/>
      <c r="D53" s="626"/>
      <c r="E53" s="626"/>
      <c r="F53" s="626"/>
      <c r="G53" s="626"/>
      <c r="H53" s="626"/>
      <c r="I53" s="626"/>
      <c r="J53" s="627"/>
      <c r="K53" s="627"/>
      <c r="L53" s="627"/>
      <c r="M53" s="627"/>
      <c r="N53" s="626"/>
      <c r="O53" s="627"/>
      <c r="P53" s="627"/>
      <c r="Q53" s="627"/>
      <c r="R53" s="627"/>
      <c r="S53" s="626"/>
      <c r="T53" s="627"/>
      <c r="U53" s="627"/>
      <c r="V53" s="627"/>
      <c r="W53" s="627"/>
      <c r="X53" s="626"/>
      <c r="Y53" s="627"/>
      <c r="Z53" s="627"/>
      <c r="AA53" s="627"/>
      <c r="AB53" s="627"/>
      <c r="AC53" s="626"/>
      <c r="AD53" s="627"/>
      <c r="AE53" s="627"/>
      <c r="AF53" s="627"/>
      <c r="AG53" s="627"/>
      <c r="AH53" s="626"/>
      <c r="AI53" s="627"/>
      <c r="AJ53" s="627"/>
      <c r="AK53" s="627"/>
      <c r="AL53" s="627"/>
      <c r="AM53" s="626"/>
      <c r="AN53" s="627"/>
      <c r="AO53" s="627"/>
      <c r="AP53" s="627"/>
      <c r="AQ53" s="627"/>
      <c r="AR53" s="626"/>
      <c r="AS53" s="627"/>
      <c r="AT53" s="627"/>
      <c r="AU53" s="627"/>
      <c r="AV53" s="627"/>
      <c r="AW53" s="626"/>
      <c r="AX53" s="627"/>
      <c r="AY53" s="627"/>
      <c r="AZ53" s="627"/>
      <c r="BA53" s="627"/>
      <c r="BB53" s="626"/>
      <c r="BC53" s="627"/>
      <c r="BD53" s="627"/>
      <c r="BE53" s="627"/>
      <c r="BF53" s="627"/>
      <c r="BG53" s="626"/>
      <c r="BH53" s="627">
        <v>0</v>
      </c>
      <c r="BI53" s="627">
        <v>0</v>
      </c>
      <c r="BJ53" s="627">
        <v>0</v>
      </c>
      <c r="BK53" s="627">
        <v>0</v>
      </c>
      <c r="BL53" s="626">
        <f>SUM(BH53:BK53)</f>
        <v>0</v>
      </c>
      <c r="BM53" s="627">
        <v>415</v>
      </c>
      <c r="BN53" s="627">
        <v>218</v>
      </c>
      <c r="BO53" s="627">
        <v>342</v>
      </c>
      <c r="BP53" s="627">
        <v>0</v>
      </c>
      <c r="BQ53" s="626">
        <f>SUM(BM53:BP53)</f>
        <v>975</v>
      </c>
      <c r="BR53" s="627">
        <v>443</v>
      </c>
      <c r="BS53" s="627">
        <v>265</v>
      </c>
      <c r="BT53" s="627">
        <v>204</v>
      </c>
      <c r="BU53" s="627">
        <v>255</v>
      </c>
      <c r="BV53" s="626">
        <f>SUM(BR53:BU53)</f>
        <v>1167</v>
      </c>
      <c r="BW53" s="627">
        <v>653</v>
      </c>
      <c r="BX53" s="627">
        <v>368</v>
      </c>
      <c r="BY53" s="627">
        <v>54</v>
      </c>
      <c r="BZ53" s="627">
        <v>343</v>
      </c>
      <c r="CA53" s="626">
        <f>SUM(BW53:BZ53)</f>
        <v>1418</v>
      </c>
      <c r="CB53" s="627">
        <v>994</v>
      </c>
      <c r="CC53" s="627">
        <v>440</v>
      </c>
      <c r="CD53" s="627">
        <v>1555</v>
      </c>
      <c r="CE53" s="627">
        <v>648</v>
      </c>
      <c r="CF53" s="626">
        <f>SUM(CB53:CE53)</f>
        <v>3637</v>
      </c>
      <c r="CG53" s="627">
        <v>636</v>
      </c>
      <c r="CH53" s="627">
        <v>693</v>
      </c>
      <c r="CI53" s="627">
        <v>49</v>
      </c>
      <c r="CJ53" s="627">
        <v>190</v>
      </c>
      <c r="CK53" s="626">
        <f>SUM(CG53:CJ53)</f>
        <v>1568</v>
      </c>
      <c r="CL53" s="819">
        <v>6</v>
      </c>
      <c r="CM53" s="819">
        <v>24</v>
      </c>
      <c r="CN53" s="819">
        <v>16</v>
      </c>
      <c r="CO53" s="819">
        <v>305</v>
      </c>
      <c r="CP53" s="626">
        <f>SUM(CL53:CO53)</f>
        <v>351</v>
      </c>
      <c r="CQ53" s="819">
        <v>141</v>
      </c>
      <c r="CR53" s="819">
        <v>438</v>
      </c>
      <c r="CS53" s="819">
        <v>287</v>
      </c>
      <c r="CT53" s="819">
        <v>591</v>
      </c>
      <c r="CU53" s="626">
        <f>SUM(CQ53:CT53)</f>
        <v>1457</v>
      </c>
      <c r="CV53" s="819">
        <v>442</v>
      </c>
      <c r="CW53" s="819">
        <v>393</v>
      </c>
      <c r="CX53" s="819">
        <v>101</v>
      </c>
      <c r="CY53" s="819">
        <v>579</v>
      </c>
      <c r="CZ53" s="626">
        <f>SUM(CV53:CY53)</f>
        <v>1515</v>
      </c>
      <c r="DA53" s="819">
        <v>281</v>
      </c>
      <c r="DB53" s="819">
        <v>461</v>
      </c>
      <c r="DC53" s="819">
        <v>713</v>
      </c>
      <c r="DD53" s="819">
        <v>1053</v>
      </c>
      <c r="DE53" s="626">
        <f>SUM(DA53:DD53)</f>
        <v>2508</v>
      </c>
      <c r="DF53" s="627">
        <v>594</v>
      </c>
      <c r="DG53" s="627">
        <v>615</v>
      </c>
      <c r="DH53" s="627">
        <v>714</v>
      </c>
      <c r="DI53" s="627">
        <v>1091</v>
      </c>
      <c r="DJ53" s="626">
        <f>SUM(DF53:DI53)</f>
        <v>3014</v>
      </c>
      <c r="DK53" s="627">
        <v>796</v>
      </c>
      <c r="DL53" s="627">
        <v>860</v>
      </c>
      <c r="DM53" s="627"/>
      <c r="DN53" s="627"/>
      <c r="DO53" s="626"/>
      <c r="DP53" s="627"/>
      <c r="DQ53" s="627"/>
      <c r="DR53" s="627"/>
      <c r="DS53" s="627"/>
      <c r="DT53" s="626"/>
      <c r="DU53" s="626"/>
      <c r="DV53" s="626"/>
    </row>
    <row r="54" spans="2:126" s="532" customFormat="1" ht="12.9" customHeight="1">
      <c r="B54" s="625" t="s">
        <v>65</v>
      </c>
      <c r="C54" s="626"/>
      <c r="D54" s="626"/>
      <c r="E54" s="626"/>
      <c r="F54" s="626"/>
      <c r="G54" s="626"/>
      <c r="H54" s="626"/>
      <c r="I54" s="626"/>
      <c r="J54" s="627"/>
      <c r="K54" s="627"/>
      <c r="L54" s="627"/>
      <c r="M54" s="627"/>
      <c r="N54" s="626"/>
      <c r="O54" s="627"/>
      <c r="P54" s="627"/>
      <c r="Q54" s="627"/>
      <c r="R54" s="627"/>
      <c r="S54" s="626"/>
      <c r="T54" s="627"/>
      <c r="U54" s="627"/>
      <c r="V54" s="627"/>
      <c r="W54" s="627"/>
      <c r="X54" s="626"/>
      <c r="Y54" s="627"/>
      <c r="Z54" s="627"/>
      <c r="AA54" s="627"/>
      <c r="AB54" s="627"/>
      <c r="AC54" s="626"/>
      <c r="AD54" s="627"/>
      <c r="AE54" s="627"/>
      <c r="AF54" s="627"/>
      <c r="AG54" s="627"/>
      <c r="AH54" s="626"/>
      <c r="AI54" s="627"/>
      <c r="AJ54" s="627"/>
      <c r="AK54" s="627"/>
      <c r="AL54" s="627"/>
      <c r="AM54" s="626"/>
      <c r="AN54" s="627"/>
      <c r="AO54" s="627"/>
      <c r="AP54" s="627"/>
      <c r="AQ54" s="627"/>
      <c r="AR54" s="626"/>
      <c r="AS54" s="627"/>
      <c r="AT54" s="627"/>
      <c r="AU54" s="627"/>
      <c r="AV54" s="627"/>
      <c r="AW54" s="626"/>
      <c r="AX54" s="627"/>
      <c r="AY54" s="627"/>
      <c r="AZ54" s="627"/>
      <c r="BA54" s="627"/>
      <c r="BB54" s="626"/>
      <c r="BC54" s="627"/>
      <c r="BD54" s="627"/>
      <c r="BE54" s="627"/>
      <c r="BF54" s="627"/>
      <c r="BG54" s="626"/>
      <c r="BH54" s="627">
        <f>BH51-SUM(BH52:BH53)</f>
        <v>790</v>
      </c>
      <c r="BI54" s="627">
        <f>BI51-SUM(BI52:BI53)</f>
        <v>1048</v>
      </c>
      <c r="BJ54" s="627">
        <f>BJ51-SUM(BJ52:BJ53)</f>
        <v>1360</v>
      </c>
      <c r="BK54" s="627">
        <f>BK51-SUM(BK52:BK53)</f>
        <v>1403</v>
      </c>
      <c r="BL54" s="626">
        <f>SUM(BH54:BK54)</f>
        <v>4601</v>
      </c>
      <c r="BM54" s="627">
        <f>BM51-SUM(BM52:BM53)</f>
        <v>757</v>
      </c>
      <c r="BN54" s="627">
        <f>BN51-SUM(BN52:BN53)</f>
        <v>725</v>
      </c>
      <c r="BO54" s="627">
        <f>BO51-SUM(BO52:BO53)</f>
        <v>457</v>
      </c>
      <c r="BP54" s="627">
        <f>BP51-SUM(BP52:BP53)</f>
        <v>447</v>
      </c>
      <c r="BQ54" s="626">
        <f>SUM(BM54:BP54)</f>
        <v>2386</v>
      </c>
      <c r="BR54" s="627">
        <f>BR51-SUM(BR52:BR53)</f>
        <v>252</v>
      </c>
      <c r="BS54" s="627">
        <f>BS51-SUM(BS52:BS53)</f>
        <v>459</v>
      </c>
      <c r="BT54" s="627">
        <f>BT51-SUM(BT52:BT53)</f>
        <v>404</v>
      </c>
      <c r="BU54" s="627">
        <f>BU51-SUM(BU52:BU53)</f>
        <v>233</v>
      </c>
      <c r="BV54" s="626">
        <f>SUM(BR54:BU54)</f>
        <v>1348</v>
      </c>
      <c r="BW54" s="627">
        <f>BW51-SUM(BW52:BW53)</f>
        <v>205</v>
      </c>
      <c r="BX54" s="627">
        <f>BX51-SUM(BX52:BX53)</f>
        <v>254</v>
      </c>
      <c r="BY54" s="627">
        <f>BY51-SUM(BY52:BY53)</f>
        <v>429</v>
      </c>
      <c r="BZ54" s="627">
        <f>BZ51-SUM(BZ52:BZ53)</f>
        <v>167</v>
      </c>
      <c r="CA54" s="626">
        <f>SUM(BW54:BZ54)</f>
        <v>1055</v>
      </c>
      <c r="CB54" s="627">
        <f>CB51-SUM(CB52:CB53)</f>
        <v>157</v>
      </c>
      <c r="CC54" s="627">
        <f>CC51-SUM(CC52:CC53)</f>
        <v>250</v>
      </c>
      <c r="CD54" s="627">
        <f>CD51-SUM(CD52:CD53)</f>
        <v>156</v>
      </c>
      <c r="CE54" s="627">
        <f>CE51-SUM(CE52:CE53)</f>
        <v>165</v>
      </c>
      <c r="CF54" s="626">
        <f>SUM(CB54:CE54)</f>
        <v>728</v>
      </c>
      <c r="CG54" s="627">
        <f>CG51-SUM(CG52:CG53)</f>
        <v>133</v>
      </c>
      <c r="CH54" s="627">
        <f>CH51-SUM(CH52:CH53)</f>
        <v>185</v>
      </c>
      <c r="CI54" s="627">
        <f>CI51-SUM(CI52:CI53)</f>
        <v>149</v>
      </c>
      <c r="CJ54" s="627">
        <f>CJ51-SUM(CJ52:CJ53)</f>
        <v>191</v>
      </c>
      <c r="CK54" s="626">
        <f>SUM(CG54:CJ54)</f>
        <v>658</v>
      </c>
      <c r="CL54" s="628" t="s">
        <v>404</v>
      </c>
      <c r="CM54" s="821" t="s">
        <v>404</v>
      </c>
      <c r="CN54" s="821" t="s">
        <v>404</v>
      </c>
      <c r="CO54" s="857" t="s">
        <v>404</v>
      </c>
      <c r="CP54" s="870" t="s">
        <v>404</v>
      </c>
      <c r="CQ54" s="629" t="s">
        <v>404</v>
      </c>
      <c r="CR54" s="629" t="s">
        <v>404</v>
      </c>
      <c r="CS54" s="629" t="s">
        <v>404</v>
      </c>
      <c r="CT54" s="857" t="s">
        <v>404</v>
      </c>
      <c r="CU54" s="870" t="s">
        <v>404</v>
      </c>
      <c r="CV54" s="857" t="s">
        <v>404</v>
      </c>
      <c r="CW54" s="857" t="s">
        <v>404</v>
      </c>
      <c r="CX54" s="857" t="s">
        <v>404</v>
      </c>
      <c r="CY54" s="857"/>
      <c r="CZ54" s="870" t="s">
        <v>404</v>
      </c>
      <c r="DA54" s="857" t="s">
        <v>404</v>
      </c>
      <c r="DB54" s="857" t="s">
        <v>404</v>
      </c>
      <c r="DC54" s="857" t="s">
        <v>404</v>
      </c>
      <c r="DD54" s="857" t="s">
        <v>404</v>
      </c>
      <c r="DE54" s="870" t="s">
        <v>404</v>
      </c>
      <c r="DF54" s="627"/>
      <c r="DG54" s="627"/>
      <c r="DH54" s="627"/>
      <c r="DI54" s="627"/>
      <c r="DJ54" s="870" t="s">
        <v>404</v>
      </c>
      <c r="DK54" s="627">
        <f>+DK51-DK53</f>
        <v>84</v>
      </c>
      <c r="DL54" s="627">
        <f>+DL51-DL53</f>
        <v>189</v>
      </c>
      <c r="DM54" s="627"/>
      <c r="DN54" s="627"/>
      <c r="DO54" s="626"/>
      <c r="DP54" s="627"/>
      <c r="DQ54" s="627"/>
      <c r="DR54" s="627"/>
      <c r="DS54" s="627"/>
      <c r="DT54" s="626"/>
      <c r="DU54" s="626"/>
      <c r="DV54" s="626"/>
    </row>
    <row r="55" spans="2:126" s="630" customFormat="1" ht="12.9" customHeight="1">
      <c r="B55" s="623" t="s">
        <v>400</v>
      </c>
      <c r="C55" s="538"/>
      <c r="D55" s="538"/>
      <c r="E55" s="538"/>
      <c r="F55" s="538"/>
      <c r="G55" s="538"/>
      <c r="H55" s="538"/>
      <c r="I55" s="538"/>
      <c r="J55" s="624"/>
      <c r="K55" s="624"/>
      <c r="L55" s="624"/>
      <c r="M55" s="624"/>
      <c r="N55" s="538"/>
      <c r="O55" s="624"/>
      <c r="P55" s="624"/>
      <c r="Q55" s="624"/>
      <c r="R55" s="624"/>
      <c r="S55" s="538"/>
      <c r="T55" s="624"/>
      <c r="U55" s="624"/>
      <c r="V55" s="624"/>
      <c r="W55" s="624"/>
      <c r="X55" s="538"/>
      <c r="Y55" s="624"/>
      <c r="Z55" s="624"/>
      <c r="AA55" s="624"/>
      <c r="AB55" s="624"/>
      <c r="AC55" s="538"/>
      <c r="AD55" s="624"/>
      <c r="AE55" s="624"/>
      <c r="AF55" s="624"/>
      <c r="AG55" s="624"/>
      <c r="AH55" s="538"/>
      <c r="AI55" s="624"/>
      <c r="AJ55" s="624"/>
      <c r="AK55" s="624"/>
      <c r="AL55" s="624"/>
      <c r="AM55" s="538"/>
      <c r="AN55" s="624"/>
      <c r="AO55" s="624"/>
      <c r="AP55" s="624"/>
      <c r="AQ55" s="624"/>
      <c r="AR55" s="538"/>
      <c r="AS55" s="624"/>
      <c r="AT55" s="624"/>
      <c r="AU55" s="624"/>
      <c r="AV55" s="624"/>
      <c r="AW55" s="538"/>
      <c r="AX55" s="624"/>
      <c r="AY55" s="624"/>
      <c r="AZ55" s="624"/>
      <c r="BA55" s="624"/>
      <c r="BB55" s="538"/>
      <c r="BC55" s="624"/>
      <c r="BD55" s="624"/>
      <c r="BE55" s="624"/>
      <c r="BF55" s="624"/>
      <c r="BG55" s="538"/>
      <c r="BH55" s="624">
        <v>291</v>
      </c>
      <c r="BI55" s="624">
        <v>163</v>
      </c>
      <c r="BJ55" s="624">
        <v>222</v>
      </c>
      <c r="BK55" s="624">
        <v>63</v>
      </c>
      <c r="BL55" s="538">
        <f>SUM(BH55:BK55)</f>
        <v>739</v>
      </c>
      <c r="BM55" s="624">
        <v>135</v>
      </c>
      <c r="BN55" s="624">
        <v>177</v>
      </c>
      <c r="BO55" s="624">
        <v>3</v>
      </c>
      <c r="BP55" s="624">
        <v>72</v>
      </c>
      <c r="BQ55" s="538">
        <f>SUM(BM55:BP55)</f>
        <v>387</v>
      </c>
      <c r="BR55" s="624">
        <v>286</v>
      </c>
      <c r="BS55" s="624">
        <v>281</v>
      </c>
      <c r="BT55" s="624">
        <v>17</v>
      </c>
      <c r="BU55" s="624">
        <v>440</v>
      </c>
      <c r="BV55" s="538">
        <f>SUM(BR55:BU55)</f>
        <v>1024</v>
      </c>
      <c r="BW55" s="624">
        <v>653</v>
      </c>
      <c r="BX55" s="624">
        <v>174</v>
      </c>
      <c r="BY55" s="624">
        <v>183</v>
      </c>
      <c r="BZ55" s="624">
        <v>93</v>
      </c>
      <c r="CA55" s="538">
        <v>522</v>
      </c>
      <c r="CB55" s="624">
        <v>251</v>
      </c>
      <c r="CC55" s="624">
        <v>277</v>
      </c>
      <c r="CD55" s="624">
        <v>119</v>
      </c>
      <c r="CE55" s="624">
        <v>104</v>
      </c>
      <c r="CF55" s="538">
        <f>SUM(CB55:CE55)</f>
        <v>751</v>
      </c>
      <c r="CG55" s="624">
        <v>26</v>
      </c>
      <c r="CH55" s="624">
        <v>53</v>
      </c>
      <c r="CI55" s="624">
        <v>154</v>
      </c>
      <c r="CJ55" s="624">
        <v>568</v>
      </c>
      <c r="CK55" s="538">
        <f>SUM(CG55:CJ55)</f>
        <v>801</v>
      </c>
      <c r="CL55" s="818">
        <v>272</v>
      </c>
      <c r="CM55" s="818">
        <v>463</v>
      </c>
      <c r="CN55" s="818">
        <v>116</v>
      </c>
      <c r="CO55" s="818">
        <v>172</v>
      </c>
      <c r="CP55" s="538">
        <f>SUM(CL55:CO55)</f>
        <v>1023</v>
      </c>
      <c r="CQ55" s="818">
        <v>181</v>
      </c>
      <c r="CR55" s="818">
        <v>98</v>
      </c>
      <c r="CS55" s="818">
        <v>389</v>
      </c>
      <c r="CT55" s="818">
        <v>55</v>
      </c>
      <c r="CU55" s="538">
        <f>SUM(CQ55:CT55)</f>
        <v>723</v>
      </c>
      <c r="CV55" s="818">
        <v>19</v>
      </c>
      <c r="CW55" s="818">
        <v>14</v>
      </c>
      <c r="CX55" s="818">
        <v>126</v>
      </c>
      <c r="CY55" s="818">
        <v>373</v>
      </c>
      <c r="CZ55" s="538">
        <f>SUM(CV55:CY55)</f>
        <v>532</v>
      </c>
      <c r="DA55" s="818">
        <v>156</v>
      </c>
      <c r="DB55" s="818">
        <v>355</v>
      </c>
      <c r="DC55" s="818">
        <v>132</v>
      </c>
      <c r="DD55" s="818">
        <v>88</v>
      </c>
      <c r="DE55" s="538">
        <f>SUM(DA55:DD55)</f>
        <v>731</v>
      </c>
      <c r="DF55" s="624">
        <v>159</v>
      </c>
      <c r="DG55" s="624">
        <v>62</v>
      </c>
      <c r="DH55" s="624">
        <v>138</v>
      </c>
      <c r="DI55" s="624">
        <v>373</v>
      </c>
      <c r="DJ55" s="538">
        <f>SUM(DF55:DI55)</f>
        <v>732</v>
      </c>
      <c r="DK55" s="624">
        <v>169</v>
      </c>
      <c r="DL55" s="624">
        <v>245</v>
      </c>
      <c r="DM55" s="624"/>
      <c r="DN55" s="624"/>
      <c r="DO55" s="538"/>
      <c r="DP55" s="624"/>
      <c r="DQ55" s="624"/>
      <c r="DR55" s="624"/>
      <c r="DS55" s="624"/>
      <c r="DT55" s="538"/>
      <c r="DU55" s="538"/>
      <c r="DV55" s="538"/>
    </row>
    <row r="56" spans="2:126" s="532" customFormat="1" ht="12.9" customHeight="1">
      <c r="B56" s="631"/>
      <c r="C56" s="632"/>
      <c r="D56" s="632"/>
      <c r="E56" s="632"/>
      <c r="F56" s="632"/>
      <c r="G56" s="632"/>
      <c r="H56" s="632"/>
      <c r="I56" s="632"/>
      <c r="J56" s="633"/>
      <c r="K56" s="633"/>
      <c r="L56" s="633"/>
      <c r="M56" s="633"/>
      <c r="N56" s="632"/>
      <c r="O56" s="633"/>
      <c r="P56" s="633"/>
      <c r="Q56" s="633"/>
      <c r="R56" s="633"/>
      <c r="S56" s="632"/>
      <c r="T56" s="633"/>
      <c r="U56" s="633"/>
      <c r="V56" s="633"/>
      <c r="W56" s="633"/>
      <c r="X56" s="632"/>
      <c r="Y56" s="633"/>
      <c r="Z56" s="633"/>
      <c r="AA56" s="633"/>
      <c r="AB56" s="633"/>
      <c r="AC56" s="632"/>
      <c r="AD56" s="633"/>
      <c r="AE56" s="633"/>
      <c r="AF56" s="633"/>
      <c r="AG56" s="633"/>
      <c r="AH56" s="632"/>
      <c r="AI56" s="633"/>
      <c r="AJ56" s="633"/>
      <c r="AK56" s="633"/>
      <c r="AL56" s="633"/>
      <c r="AM56" s="632"/>
      <c r="AN56" s="633"/>
      <c r="AO56" s="633"/>
      <c r="AP56" s="633"/>
      <c r="AQ56" s="633"/>
      <c r="AR56" s="632"/>
      <c r="AS56" s="633"/>
      <c r="AT56" s="633"/>
      <c r="AU56" s="633"/>
      <c r="AV56" s="633"/>
      <c r="AW56" s="632"/>
      <c r="AX56" s="633"/>
      <c r="AY56" s="633"/>
      <c r="AZ56" s="633"/>
      <c r="BA56" s="633"/>
      <c r="BB56" s="632"/>
      <c r="BC56" s="633"/>
      <c r="BD56" s="633"/>
      <c r="BE56" s="633"/>
      <c r="BF56" s="633"/>
      <c r="BG56" s="632"/>
      <c r="BH56" s="633"/>
      <c r="BI56" s="633"/>
      <c r="BJ56" s="633"/>
      <c r="BK56" s="633"/>
      <c r="BL56" s="632"/>
      <c r="BM56" s="633"/>
      <c r="BN56" s="633"/>
      <c r="BO56" s="633"/>
      <c r="BP56" s="633"/>
      <c r="BQ56" s="632"/>
      <c r="BR56" s="633"/>
      <c r="BS56" s="633"/>
      <c r="BT56" s="633"/>
      <c r="BU56" s="633"/>
      <c r="BV56" s="632"/>
      <c r="BW56" s="633"/>
      <c r="BX56" s="633"/>
      <c r="BY56" s="633"/>
      <c r="BZ56" s="633"/>
      <c r="CA56" s="632"/>
      <c r="CB56" s="633"/>
      <c r="CC56" s="633"/>
      <c r="CD56" s="633"/>
      <c r="CE56" s="633"/>
      <c r="CF56" s="632"/>
      <c r="CG56" s="633"/>
      <c r="CH56" s="633"/>
      <c r="CI56" s="633"/>
      <c r="CJ56" s="633"/>
      <c r="CK56" s="632"/>
      <c r="CL56" s="633"/>
      <c r="CM56" s="633"/>
      <c r="CN56" s="633"/>
      <c r="CO56" s="633"/>
      <c r="CP56" s="632"/>
      <c r="CQ56" s="633"/>
      <c r="CR56" s="633"/>
      <c r="CS56" s="633"/>
      <c r="CT56" s="633"/>
      <c r="CU56" s="632"/>
      <c r="CV56" s="633"/>
      <c r="CW56" s="633"/>
      <c r="CX56" s="633"/>
      <c r="CY56" s="633"/>
      <c r="CZ56" s="632"/>
      <c r="DA56" s="633"/>
      <c r="DB56" s="633"/>
      <c r="DC56" s="633"/>
      <c r="DD56" s="633"/>
      <c r="DE56" s="632"/>
      <c r="DF56" s="633"/>
      <c r="DG56" s="633"/>
      <c r="DH56" s="633"/>
      <c r="DI56" s="633"/>
      <c r="DJ56" s="632"/>
      <c r="DK56" s="633"/>
      <c r="DL56" s="633"/>
      <c r="DM56" s="633"/>
      <c r="DN56" s="633"/>
      <c r="DO56" s="632"/>
      <c r="DP56" s="633"/>
      <c r="DQ56" s="633"/>
      <c r="DR56" s="633"/>
      <c r="DS56" s="633"/>
      <c r="DT56" s="632"/>
      <c r="DU56" s="632"/>
      <c r="DV56" s="632"/>
    </row>
    <row r="57" spans="2:126" s="532" customFormat="1" ht="12.9" customHeight="1">
      <c r="B57" s="660" t="s">
        <v>401</v>
      </c>
      <c r="C57" s="789"/>
      <c r="D57" s="789"/>
      <c r="E57" s="789"/>
      <c r="F57" s="789"/>
      <c r="G57" s="789"/>
      <c r="H57" s="789"/>
      <c r="I57" s="789"/>
      <c r="J57" s="790"/>
      <c r="K57" s="790"/>
      <c r="L57" s="790"/>
      <c r="M57" s="790"/>
      <c r="N57" s="789"/>
      <c r="O57" s="790"/>
      <c r="P57" s="790"/>
      <c r="Q57" s="790"/>
      <c r="R57" s="790"/>
      <c r="S57" s="789"/>
      <c r="T57" s="790"/>
      <c r="U57" s="790"/>
      <c r="V57" s="790"/>
      <c r="W57" s="790"/>
      <c r="X57" s="789"/>
      <c r="Y57" s="790"/>
      <c r="Z57" s="790"/>
      <c r="AA57" s="790"/>
      <c r="AB57" s="790"/>
      <c r="AC57" s="789"/>
      <c r="AD57" s="790"/>
      <c r="AE57" s="790"/>
      <c r="AF57" s="790"/>
      <c r="AG57" s="790"/>
      <c r="AH57" s="789"/>
      <c r="AI57" s="790"/>
      <c r="AJ57" s="790"/>
      <c r="AK57" s="790"/>
      <c r="AL57" s="790"/>
      <c r="AM57" s="789"/>
      <c r="AN57" s="790"/>
      <c r="AO57" s="790"/>
      <c r="AP57" s="790"/>
      <c r="AQ57" s="790"/>
      <c r="AR57" s="789"/>
      <c r="AS57" s="790"/>
      <c r="AT57" s="790"/>
      <c r="AU57" s="790"/>
      <c r="AV57" s="790"/>
      <c r="AW57" s="789"/>
      <c r="AX57" s="790"/>
      <c r="AY57" s="790"/>
      <c r="AZ57" s="790"/>
      <c r="BA57" s="790"/>
      <c r="BB57" s="789"/>
      <c r="BC57" s="790"/>
      <c r="BD57" s="790"/>
      <c r="BE57" s="790"/>
      <c r="BF57" s="790"/>
      <c r="BG57" s="789"/>
      <c r="BH57" s="790"/>
      <c r="BI57" s="790"/>
      <c r="BJ57" s="790"/>
      <c r="BK57" s="790"/>
      <c r="BL57" s="789"/>
      <c r="BM57" s="790"/>
      <c r="BN57" s="790"/>
      <c r="BO57" s="790"/>
      <c r="BP57" s="790"/>
      <c r="BQ57" s="789"/>
      <c r="BR57" s="790"/>
      <c r="BS57" s="790"/>
      <c r="BT57" s="790"/>
      <c r="BU57" s="790"/>
      <c r="BV57" s="789"/>
      <c r="BW57" s="790"/>
      <c r="BX57" s="790"/>
      <c r="BY57" s="790"/>
      <c r="BZ57" s="790"/>
      <c r="CA57" s="789"/>
      <c r="CB57" s="790"/>
      <c r="CC57" s="790"/>
      <c r="CD57" s="790"/>
      <c r="CE57" s="790"/>
      <c r="CF57" s="789"/>
      <c r="CG57" s="791"/>
      <c r="CH57" s="790"/>
      <c r="CI57" s="790"/>
      <c r="CJ57" s="790"/>
      <c r="CK57" s="789"/>
      <c r="CL57" s="791"/>
      <c r="CM57" s="790"/>
      <c r="CN57" s="790"/>
      <c r="CO57" s="790"/>
      <c r="CP57" s="789"/>
      <c r="CQ57" s="793"/>
      <c r="CR57" s="790"/>
      <c r="CS57" s="790"/>
      <c r="CT57" s="790"/>
      <c r="CU57" s="789"/>
      <c r="CV57" s="790"/>
      <c r="CW57" s="790"/>
      <c r="CX57" s="790"/>
      <c r="CY57" s="790"/>
      <c r="CZ57" s="789"/>
      <c r="DA57" s="790"/>
      <c r="DB57" s="790"/>
      <c r="DC57" s="790"/>
      <c r="DD57" s="790"/>
      <c r="DE57" s="789"/>
      <c r="DF57" s="790"/>
      <c r="DG57" s="790"/>
      <c r="DH57" s="790"/>
      <c r="DI57" s="790"/>
      <c r="DJ57" s="789"/>
      <c r="DK57" s="790"/>
      <c r="DL57" s="790"/>
      <c r="DM57" s="790"/>
      <c r="DN57" s="790"/>
      <c r="DO57" s="789"/>
      <c r="DP57" s="790"/>
      <c r="DQ57" s="790"/>
      <c r="DR57" s="790"/>
      <c r="DS57" s="790"/>
      <c r="DT57" s="789"/>
      <c r="DU57" s="789"/>
      <c r="DV57" s="789"/>
    </row>
    <row r="58" spans="2:126" s="634" customFormat="1" ht="12.9" customHeight="1">
      <c r="B58" s="635" t="s">
        <v>397</v>
      </c>
      <c r="C58" s="636"/>
      <c r="D58" s="636"/>
      <c r="E58" s="636"/>
      <c r="F58" s="636"/>
      <c r="G58" s="636"/>
      <c r="H58" s="636"/>
      <c r="I58" s="636"/>
      <c r="J58" s="637"/>
      <c r="K58" s="637"/>
      <c r="L58" s="637"/>
      <c r="M58" s="637"/>
      <c r="N58" s="636"/>
      <c r="O58" s="637"/>
      <c r="P58" s="637"/>
      <c r="Q58" s="637"/>
      <c r="R58" s="637"/>
      <c r="S58" s="636"/>
      <c r="T58" s="637"/>
      <c r="U58" s="637"/>
      <c r="V58" s="637"/>
      <c r="W58" s="637"/>
      <c r="X58" s="636"/>
      <c r="Y58" s="637"/>
      <c r="Z58" s="637"/>
      <c r="AA58" s="637"/>
      <c r="AB58" s="637"/>
      <c r="AC58" s="636"/>
      <c r="AD58" s="637"/>
      <c r="AE58" s="637"/>
      <c r="AF58" s="637"/>
      <c r="AG58" s="637"/>
      <c r="AH58" s="636"/>
      <c r="AI58" s="637"/>
      <c r="AJ58" s="637"/>
      <c r="AK58" s="637"/>
      <c r="AL58" s="637"/>
      <c r="AM58" s="636"/>
      <c r="AN58" s="637"/>
      <c r="AO58" s="637"/>
      <c r="AP58" s="637"/>
      <c r="AQ58" s="637"/>
      <c r="AR58" s="636"/>
      <c r="AS58" s="637"/>
      <c r="AT58" s="637"/>
      <c r="AU58" s="637"/>
      <c r="AV58" s="637"/>
      <c r="AW58" s="636"/>
      <c r="AX58" s="637"/>
      <c r="AY58" s="637"/>
      <c r="AZ58" s="637"/>
      <c r="BA58" s="637"/>
      <c r="BB58" s="636"/>
      <c r="BC58" s="637"/>
      <c r="BD58" s="637"/>
      <c r="BE58" s="637"/>
      <c r="BF58" s="637"/>
      <c r="BG58" s="636"/>
      <c r="BH58" s="637"/>
      <c r="BI58" s="637"/>
      <c r="BJ58" s="637"/>
      <c r="BK58" s="637"/>
      <c r="BL58" s="636"/>
      <c r="BM58" s="638">
        <f t="shared" ref="BM58:DB62" si="84">IFERROR(BM51/BH51-1,"")</f>
        <v>0.53140703517587951</v>
      </c>
      <c r="BN58" s="638">
        <f t="shared" si="84"/>
        <v>-7.5400565504241235E-2</v>
      </c>
      <c r="BO58" s="638">
        <f t="shared" si="84"/>
        <v>-0.35828488372093026</v>
      </c>
      <c r="BP58" s="638">
        <f t="shared" si="84"/>
        <v>-0.67155612244897966</v>
      </c>
      <c r="BQ58" s="636">
        <f t="shared" si="84"/>
        <v>-0.25057279733388882</v>
      </c>
      <c r="BR58" s="638">
        <f t="shared" si="84"/>
        <v>-0.42411812961443807</v>
      </c>
      <c r="BS58" s="638">
        <f t="shared" si="84"/>
        <v>-0.23241590214067276</v>
      </c>
      <c r="BT58" s="638">
        <f t="shared" si="84"/>
        <v>-0.29218573046432617</v>
      </c>
      <c r="BU58" s="638">
        <f t="shared" si="84"/>
        <v>0.12233009708737863</v>
      </c>
      <c r="BV58" s="636">
        <f t="shared" si="84"/>
        <v>-0.26125625347415227</v>
      </c>
      <c r="BW58" s="638">
        <f t="shared" si="84"/>
        <v>0.23931623931623935</v>
      </c>
      <c r="BX58" s="638">
        <f t="shared" si="84"/>
        <v>-0.14475431606905709</v>
      </c>
      <c r="BY58" s="638">
        <f t="shared" si="84"/>
        <v>-0.18720000000000003</v>
      </c>
      <c r="BZ58" s="638">
        <f t="shared" si="84"/>
        <v>-6.0553633217993119E-2</v>
      </c>
      <c r="CA58" s="636">
        <f t="shared" si="84"/>
        <v>-3.4988713318284459E-2</v>
      </c>
      <c r="CB58" s="638">
        <f t="shared" si="84"/>
        <v>0.35057471264367823</v>
      </c>
      <c r="CC58" s="638">
        <f t="shared" si="84"/>
        <v>0.48913043478260865</v>
      </c>
      <c r="CD58" s="638">
        <f t="shared" si="84"/>
        <v>2.5019685039370079</v>
      </c>
      <c r="CE58" s="638">
        <f t="shared" si="84"/>
        <v>0.58195211786372014</v>
      </c>
      <c r="CF58" s="636">
        <f t="shared" si="84"/>
        <v>0.8604288499025341</v>
      </c>
      <c r="CG58" s="638">
        <f t="shared" si="84"/>
        <v>-0.31999999999999995</v>
      </c>
      <c r="CH58" s="638">
        <f t="shared" si="84"/>
        <v>-6.2565172054223184E-2</v>
      </c>
      <c r="CI58" s="638">
        <f t="shared" si="84"/>
        <v>-0.83305227655986513</v>
      </c>
      <c r="CJ58" s="638">
        <f t="shared" si="84"/>
        <v>-0.54016298020954601</v>
      </c>
      <c r="CK58" s="636">
        <f t="shared" si="84"/>
        <v>-0.49916177703269071</v>
      </c>
      <c r="CL58" s="638">
        <f t="shared" si="84"/>
        <v>-0.78973717146433042</v>
      </c>
      <c r="CM58" s="638">
        <f t="shared" si="84"/>
        <v>-0.9176863181312569</v>
      </c>
      <c r="CN58" s="638">
        <f t="shared" si="84"/>
        <v>-0.6835016835016835</v>
      </c>
      <c r="CO58" s="639">
        <f t="shared" si="84"/>
        <v>1.7721518987341867E-2</v>
      </c>
      <c r="CP58" s="636">
        <f t="shared" si="84"/>
        <v>-0.69121338912133889</v>
      </c>
      <c r="CQ58" s="638">
        <f t="shared" si="84"/>
        <v>0.77380952380952372</v>
      </c>
      <c r="CR58" s="638">
        <f t="shared" si="84"/>
        <v>6.5</v>
      </c>
      <c r="CS58" s="638">
        <f t="shared" si="84"/>
        <v>3.4468085106382977</v>
      </c>
      <c r="CT58" s="639">
        <f t="shared" si="84"/>
        <v>1.4303482587064678</v>
      </c>
      <c r="CU58" s="871">
        <f t="shared" si="84"/>
        <v>2.0460704607046072</v>
      </c>
      <c r="CV58" s="638">
        <f t="shared" si="84"/>
        <v>0.85570469798657722</v>
      </c>
      <c r="CW58" s="638">
        <f t="shared" si="84"/>
        <v>2.522522522522519E-2</v>
      </c>
      <c r="CX58" s="638">
        <f t="shared" si="84"/>
        <v>-0.56698564593301437</v>
      </c>
      <c r="CY58" s="639">
        <f t="shared" si="84"/>
        <v>-0.15660184237461616</v>
      </c>
      <c r="CZ58" s="871">
        <f t="shared" si="84"/>
        <v>-5.3825622775800719E-2</v>
      </c>
      <c r="DA58" s="638">
        <f t="shared" si="84"/>
        <v>-6.1482820976491825E-2</v>
      </c>
      <c r="DB58" s="638">
        <f t="shared" si="84"/>
        <v>0.15817223198594021</v>
      </c>
      <c r="DC58" s="638">
        <f t="shared" ref="DC58:DL62" si="85">IFERROR(DC51/CX51-1,"")</f>
        <v>3.4088397790055245</v>
      </c>
      <c r="DD58" s="638">
        <f t="shared" si="85"/>
        <v>0.54004854368932032</v>
      </c>
      <c r="DE58" s="871">
        <f t="shared" si="85"/>
        <v>0.5256229431123649</v>
      </c>
      <c r="DF58" s="638">
        <f t="shared" si="85"/>
        <v>0.52601156069364152</v>
      </c>
      <c r="DG58" s="638">
        <f t="shared" si="85"/>
        <v>0.22610015174506826</v>
      </c>
      <c r="DH58" s="638">
        <f t="shared" si="85"/>
        <v>0.36591478696741864</v>
      </c>
      <c r="DI58" s="638">
        <f t="shared" si="85"/>
        <v>-3.1520882584712417E-2</v>
      </c>
      <c r="DJ58" s="871">
        <f t="shared" si="85"/>
        <v>0.20770416024653304</v>
      </c>
      <c r="DK58" s="638">
        <f t="shared" si="85"/>
        <v>0.11111111111111116</v>
      </c>
      <c r="DL58" s="638">
        <f t="shared" si="85"/>
        <v>0.2982673267326732</v>
      </c>
      <c r="DM58" s="637"/>
      <c r="DN58" s="637"/>
      <c r="DO58" s="636"/>
      <c r="DP58" s="638"/>
      <c r="DQ58" s="637"/>
      <c r="DR58" s="637"/>
      <c r="DS58" s="637"/>
      <c r="DT58" s="636"/>
      <c r="DU58" s="636"/>
      <c r="DV58" s="636"/>
    </row>
    <row r="59" spans="2:126" s="634" customFormat="1" ht="12.9" customHeight="1">
      <c r="B59" s="640" t="s">
        <v>398</v>
      </c>
      <c r="C59" s="641"/>
      <c r="D59" s="641"/>
      <c r="E59" s="641"/>
      <c r="F59" s="641"/>
      <c r="G59" s="641"/>
      <c r="H59" s="641"/>
      <c r="I59" s="641"/>
      <c r="J59" s="642"/>
      <c r="K59" s="642"/>
      <c r="L59" s="642"/>
      <c r="M59" s="642"/>
      <c r="N59" s="641"/>
      <c r="O59" s="642"/>
      <c r="P59" s="642"/>
      <c r="Q59" s="642"/>
      <c r="R59" s="642"/>
      <c r="S59" s="641"/>
      <c r="T59" s="642"/>
      <c r="U59" s="642"/>
      <c r="V59" s="642"/>
      <c r="W59" s="642"/>
      <c r="X59" s="641"/>
      <c r="Y59" s="642"/>
      <c r="Z59" s="642"/>
      <c r="AA59" s="642"/>
      <c r="AB59" s="642"/>
      <c r="AC59" s="641"/>
      <c r="AD59" s="642"/>
      <c r="AE59" s="642"/>
      <c r="AF59" s="642"/>
      <c r="AG59" s="642"/>
      <c r="AH59" s="641"/>
      <c r="AI59" s="642"/>
      <c r="AJ59" s="642"/>
      <c r="AK59" s="642"/>
      <c r="AL59" s="642"/>
      <c r="AM59" s="641"/>
      <c r="AN59" s="642"/>
      <c r="AO59" s="642"/>
      <c r="AP59" s="642"/>
      <c r="AQ59" s="642"/>
      <c r="AR59" s="641"/>
      <c r="AS59" s="642"/>
      <c r="AT59" s="642"/>
      <c r="AU59" s="642"/>
      <c r="AV59" s="642"/>
      <c r="AW59" s="641"/>
      <c r="AX59" s="642"/>
      <c r="AY59" s="642"/>
      <c r="AZ59" s="642"/>
      <c r="BA59" s="642"/>
      <c r="BB59" s="641"/>
      <c r="BC59" s="642"/>
      <c r="BD59" s="642"/>
      <c r="BE59" s="642"/>
      <c r="BF59" s="642"/>
      <c r="BG59" s="641"/>
      <c r="BH59" s="642"/>
      <c r="BI59" s="642"/>
      <c r="BJ59" s="642"/>
      <c r="BK59" s="642"/>
      <c r="BL59" s="641"/>
      <c r="BM59" s="643">
        <f t="shared" si="84"/>
        <v>6.833333333333333</v>
      </c>
      <c r="BN59" s="643">
        <f t="shared" si="84"/>
        <v>1.9230769230769229</v>
      </c>
      <c r="BO59" s="643">
        <f t="shared" si="84"/>
        <v>4.25</v>
      </c>
      <c r="BP59" s="643">
        <f t="shared" si="84"/>
        <v>-0.58787878787878789</v>
      </c>
      <c r="BQ59" s="641">
        <f t="shared" si="84"/>
        <v>0.18500000000000005</v>
      </c>
      <c r="BR59" s="643">
        <f t="shared" si="84"/>
        <v>-0.85106382978723405</v>
      </c>
      <c r="BS59" s="643">
        <f t="shared" si="84"/>
        <v>-0.23684210526315785</v>
      </c>
      <c r="BT59" s="643">
        <f t="shared" si="84"/>
        <v>-0.79761904761904767</v>
      </c>
      <c r="BU59" s="643">
        <f t="shared" si="84"/>
        <v>0.32352941176470584</v>
      </c>
      <c r="BV59" s="641">
        <f t="shared" si="84"/>
        <v>-0.3966244725738397</v>
      </c>
      <c r="BW59" s="643">
        <f t="shared" si="84"/>
        <v>0.71428571428571419</v>
      </c>
      <c r="BX59" s="643">
        <f t="shared" si="84"/>
        <v>-0.24137931034482762</v>
      </c>
      <c r="BY59" s="643">
        <f t="shared" si="84"/>
        <v>0.47058823529411775</v>
      </c>
      <c r="BZ59" s="643">
        <f t="shared" si="84"/>
        <v>-0.6333333333333333</v>
      </c>
      <c r="CA59" s="641">
        <f t="shared" si="84"/>
        <v>-0.35664335664335667</v>
      </c>
      <c r="CB59" s="643">
        <f t="shared" si="84"/>
        <v>1</v>
      </c>
      <c r="CC59" s="643">
        <f t="shared" si="84"/>
        <v>11.227272727272727</v>
      </c>
      <c r="CD59" s="643">
        <f t="shared" si="84"/>
        <v>1.7200000000000002</v>
      </c>
      <c r="CE59" s="643">
        <f t="shared" si="84"/>
        <v>0.39393939393939403</v>
      </c>
      <c r="CF59" s="641">
        <f t="shared" si="84"/>
        <v>3.4239130434782608</v>
      </c>
      <c r="CG59" s="643">
        <f t="shared" si="84"/>
        <v>0.25</v>
      </c>
      <c r="CH59" s="643">
        <f t="shared" si="84"/>
        <v>-0.92193308550185871</v>
      </c>
      <c r="CI59" s="643">
        <f t="shared" si="84"/>
        <v>0.45588235294117641</v>
      </c>
      <c r="CJ59" s="643">
        <f t="shared" si="84"/>
        <v>-0.69565217391304346</v>
      </c>
      <c r="CK59" s="641">
        <f t="shared" si="84"/>
        <v>-0.59705159705159705</v>
      </c>
      <c r="CL59" s="644" t="s">
        <v>404</v>
      </c>
      <c r="CM59" s="644" t="s">
        <v>404</v>
      </c>
      <c r="CN59" s="644" t="s">
        <v>404</v>
      </c>
      <c r="CO59" s="645" t="s">
        <v>404</v>
      </c>
      <c r="CP59" s="895" t="s">
        <v>404</v>
      </c>
      <c r="CQ59" s="644" t="s">
        <v>404</v>
      </c>
      <c r="CR59" s="644" t="s">
        <v>404</v>
      </c>
      <c r="CS59" s="644" t="s">
        <v>404</v>
      </c>
      <c r="CT59" s="645" t="s">
        <v>404</v>
      </c>
      <c r="CU59" s="895" t="s">
        <v>404</v>
      </c>
      <c r="CV59" s="644" t="s">
        <v>404</v>
      </c>
      <c r="CW59" s="644" t="s">
        <v>404</v>
      </c>
      <c r="CX59" s="644" t="s">
        <v>404</v>
      </c>
      <c r="CY59" s="645" t="s">
        <v>404</v>
      </c>
      <c r="CZ59" s="895" t="s">
        <v>404</v>
      </c>
      <c r="DA59" s="814" t="s">
        <v>404</v>
      </c>
      <c r="DB59" s="815" t="s">
        <v>404</v>
      </c>
      <c r="DC59" s="815" t="s">
        <v>404</v>
      </c>
      <c r="DD59" s="815" t="s">
        <v>404</v>
      </c>
      <c r="DE59" s="816" t="s">
        <v>404</v>
      </c>
      <c r="DF59" s="815" t="s">
        <v>404</v>
      </c>
      <c r="DG59" s="815" t="s">
        <v>404</v>
      </c>
      <c r="DH59" s="815" t="s">
        <v>404</v>
      </c>
      <c r="DI59" s="815" t="s">
        <v>404</v>
      </c>
      <c r="DJ59" s="816" t="s">
        <v>404</v>
      </c>
      <c r="DK59" s="815" t="s">
        <v>404</v>
      </c>
      <c r="DL59" s="815" t="s">
        <v>404</v>
      </c>
      <c r="DM59" s="642"/>
      <c r="DN59" s="642"/>
      <c r="DO59" s="641"/>
      <c r="DP59" s="815"/>
      <c r="DQ59" s="642"/>
      <c r="DR59" s="642"/>
      <c r="DS59" s="642"/>
      <c r="DT59" s="641"/>
      <c r="DU59" s="641"/>
      <c r="DV59" s="641"/>
    </row>
    <row r="60" spans="2:126" s="630" customFormat="1" ht="12.9" customHeight="1">
      <c r="B60" s="640" t="s">
        <v>399</v>
      </c>
      <c r="C60" s="641"/>
      <c r="D60" s="641"/>
      <c r="E60" s="641"/>
      <c r="F60" s="641"/>
      <c r="G60" s="641"/>
      <c r="H60" s="641"/>
      <c r="I60" s="641"/>
      <c r="J60" s="642"/>
      <c r="K60" s="642"/>
      <c r="L60" s="642"/>
      <c r="M60" s="642"/>
      <c r="N60" s="641"/>
      <c r="O60" s="642"/>
      <c r="P60" s="642"/>
      <c r="Q60" s="642"/>
      <c r="R60" s="642"/>
      <c r="S60" s="641"/>
      <c r="T60" s="642"/>
      <c r="U60" s="642"/>
      <c r="V60" s="642"/>
      <c r="W60" s="642"/>
      <c r="X60" s="641"/>
      <c r="Y60" s="642"/>
      <c r="Z60" s="642"/>
      <c r="AA60" s="642"/>
      <c r="AB60" s="642"/>
      <c r="AC60" s="641"/>
      <c r="AD60" s="642"/>
      <c r="AE60" s="642"/>
      <c r="AF60" s="642"/>
      <c r="AG60" s="642"/>
      <c r="AH60" s="641"/>
      <c r="AI60" s="642"/>
      <c r="AJ60" s="642"/>
      <c r="AK60" s="642"/>
      <c r="AL60" s="642"/>
      <c r="AM60" s="641"/>
      <c r="AN60" s="642"/>
      <c r="AO60" s="642"/>
      <c r="AP60" s="642"/>
      <c r="AQ60" s="642"/>
      <c r="AR60" s="641"/>
      <c r="AS60" s="642"/>
      <c r="AT60" s="642"/>
      <c r="AU60" s="642"/>
      <c r="AV60" s="642"/>
      <c r="AW60" s="641"/>
      <c r="AX60" s="642"/>
      <c r="AY60" s="642"/>
      <c r="AZ60" s="642"/>
      <c r="BA60" s="642"/>
      <c r="BB60" s="641"/>
      <c r="BC60" s="642"/>
      <c r="BD60" s="642"/>
      <c r="BE60" s="642"/>
      <c r="BF60" s="642"/>
      <c r="BG60" s="641"/>
      <c r="BH60" s="642"/>
      <c r="BI60" s="642"/>
      <c r="BJ60" s="642"/>
      <c r="BK60" s="642"/>
      <c r="BL60" s="641"/>
      <c r="BM60" s="643" t="str">
        <f t="shared" si="84"/>
        <v/>
      </c>
      <c r="BN60" s="643" t="str">
        <f t="shared" si="84"/>
        <v/>
      </c>
      <c r="BO60" s="643" t="str">
        <f t="shared" si="84"/>
        <v/>
      </c>
      <c r="BP60" s="643" t="str">
        <f t="shared" si="84"/>
        <v/>
      </c>
      <c r="BQ60" s="641" t="str">
        <f t="shared" si="84"/>
        <v/>
      </c>
      <c r="BR60" s="643">
        <f t="shared" si="84"/>
        <v>6.7469879518072373E-2</v>
      </c>
      <c r="BS60" s="643">
        <f t="shared" si="84"/>
        <v>0.21559633027522929</v>
      </c>
      <c r="BT60" s="643">
        <f t="shared" si="84"/>
        <v>-0.40350877192982459</v>
      </c>
      <c r="BU60" s="643" t="str">
        <f t="shared" si="84"/>
        <v/>
      </c>
      <c r="BV60" s="641">
        <f t="shared" si="84"/>
        <v>0.19692307692307698</v>
      </c>
      <c r="BW60" s="643">
        <f t="shared" si="84"/>
        <v>0.47404063205417613</v>
      </c>
      <c r="BX60" s="643">
        <f t="shared" si="84"/>
        <v>0.38867924528301878</v>
      </c>
      <c r="BY60" s="643">
        <f t="shared" si="84"/>
        <v>-0.73529411764705888</v>
      </c>
      <c r="BZ60" s="643">
        <f t="shared" si="84"/>
        <v>0.34509803921568638</v>
      </c>
      <c r="CA60" s="641">
        <f t="shared" si="84"/>
        <v>0.21508140531276787</v>
      </c>
      <c r="CB60" s="643">
        <f t="shared" si="84"/>
        <v>0.52220520673813176</v>
      </c>
      <c r="CC60" s="643">
        <f t="shared" si="84"/>
        <v>0.19565217391304346</v>
      </c>
      <c r="CD60" s="643">
        <f t="shared" si="84"/>
        <v>27.796296296296298</v>
      </c>
      <c r="CE60" s="643">
        <f t="shared" si="84"/>
        <v>0.88921282798833823</v>
      </c>
      <c r="CF60" s="641">
        <f t="shared" si="84"/>
        <v>1.5648801128349787</v>
      </c>
      <c r="CG60" s="643">
        <f t="shared" si="84"/>
        <v>-0.36016096579476864</v>
      </c>
      <c r="CH60" s="643">
        <f t="shared" si="84"/>
        <v>0.57499999999999996</v>
      </c>
      <c r="CI60" s="643">
        <f t="shared" si="84"/>
        <v>-0.96848874598070744</v>
      </c>
      <c r="CJ60" s="643">
        <f t="shared" si="84"/>
        <v>-0.70679012345679015</v>
      </c>
      <c r="CK60" s="641">
        <f t="shared" si="84"/>
        <v>-0.56887544679681057</v>
      </c>
      <c r="CL60" s="643">
        <f t="shared" si="84"/>
        <v>-0.99056603773584906</v>
      </c>
      <c r="CM60" s="643">
        <f t="shared" si="84"/>
        <v>-0.96536796536796532</v>
      </c>
      <c r="CN60" s="643">
        <f t="shared" si="84"/>
        <v>-0.67346938775510212</v>
      </c>
      <c r="CO60" s="645">
        <f t="shared" si="84"/>
        <v>0.60526315789473695</v>
      </c>
      <c r="CP60" s="641">
        <f t="shared" si="84"/>
        <v>-0.77614795918367352</v>
      </c>
      <c r="CQ60" s="643">
        <f t="shared" si="84"/>
        <v>22.5</v>
      </c>
      <c r="CR60" s="643">
        <f t="shared" si="84"/>
        <v>17.25</v>
      </c>
      <c r="CS60" s="643">
        <f t="shared" si="84"/>
        <v>16.9375</v>
      </c>
      <c r="CT60" s="645">
        <f t="shared" si="84"/>
        <v>0.93770491803278699</v>
      </c>
      <c r="CU60" s="618">
        <f t="shared" si="84"/>
        <v>3.1509971509971511</v>
      </c>
      <c r="CV60" s="643">
        <f t="shared" si="84"/>
        <v>2.1347517730496453</v>
      </c>
      <c r="CW60" s="643">
        <f t="shared" si="84"/>
        <v>-0.10273972602739723</v>
      </c>
      <c r="CX60" s="643">
        <f t="shared" si="84"/>
        <v>-0.6480836236933798</v>
      </c>
      <c r="CY60" s="645">
        <f t="shared" si="84"/>
        <v>-2.0304568527918732E-2</v>
      </c>
      <c r="CZ60" s="618">
        <f t="shared" si="84"/>
        <v>3.980782429649965E-2</v>
      </c>
      <c r="DA60" s="643">
        <f t="shared" si="84"/>
        <v>-0.36425339366515841</v>
      </c>
      <c r="DB60" s="643">
        <f t="shared" si="84"/>
        <v>0.17302798982188294</v>
      </c>
      <c r="DC60" s="643">
        <f t="shared" ref="DC60:DL60" si="86">IFERROR(DC53/CX53-1,"")</f>
        <v>6.0594059405940595</v>
      </c>
      <c r="DD60" s="643">
        <f t="shared" si="86"/>
        <v>0.81865284974093266</v>
      </c>
      <c r="DE60" s="618">
        <f t="shared" si="85"/>
        <v>0.65544554455445536</v>
      </c>
      <c r="DF60" s="643">
        <f t="shared" si="86"/>
        <v>1.1138790035587189</v>
      </c>
      <c r="DG60" s="643">
        <f t="shared" si="86"/>
        <v>0.3340563991323211</v>
      </c>
      <c r="DH60" s="643">
        <f t="shared" si="86"/>
        <v>1.4025245441795509E-3</v>
      </c>
      <c r="DI60" s="643">
        <f t="shared" si="86"/>
        <v>3.6087369420702675E-2</v>
      </c>
      <c r="DJ60" s="618">
        <f t="shared" si="85"/>
        <v>0.20175438596491224</v>
      </c>
      <c r="DK60" s="643">
        <f t="shared" si="86"/>
        <v>0.34006734006733996</v>
      </c>
      <c r="DL60" s="643">
        <f t="shared" si="86"/>
        <v>0.39837398373983746</v>
      </c>
      <c r="DM60" s="642"/>
      <c r="DN60" s="642"/>
      <c r="DO60" s="641"/>
      <c r="DP60" s="643"/>
      <c r="DQ60" s="642"/>
      <c r="DR60" s="642"/>
      <c r="DS60" s="642"/>
      <c r="DT60" s="641"/>
      <c r="DU60" s="641"/>
      <c r="DV60" s="641"/>
    </row>
    <row r="61" spans="2:126" s="532" customFormat="1" ht="12.9" customHeight="1">
      <c r="B61" s="640" t="s">
        <v>65</v>
      </c>
      <c r="C61" s="641"/>
      <c r="D61" s="641"/>
      <c r="E61" s="641"/>
      <c r="F61" s="641"/>
      <c r="G61" s="641"/>
      <c r="H61" s="641"/>
      <c r="I61" s="641"/>
      <c r="J61" s="642"/>
      <c r="K61" s="642"/>
      <c r="L61" s="642"/>
      <c r="M61" s="642"/>
      <c r="N61" s="641"/>
      <c r="O61" s="642"/>
      <c r="P61" s="642"/>
      <c r="Q61" s="642"/>
      <c r="R61" s="642"/>
      <c r="S61" s="641"/>
      <c r="T61" s="642"/>
      <c r="U61" s="642"/>
      <c r="V61" s="642"/>
      <c r="W61" s="642"/>
      <c r="X61" s="641"/>
      <c r="Y61" s="642"/>
      <c r="Z61" s="642"/>
      <c r="AA61" s="642"/>
      <c r="AB61" s="642"/>
      <c r="AC61" s="641"/>
      <c r="AD61" s="642"/>
      <c r="AE61" s="642"/>
      <c r="AF61" s="642"/>
      <c r="AG61" s="642"/>
      <c r="AH61" s="641"/>
      <c r="AI61" s="642"/>
      <c r="AJ61" s="642"/>
      <c r="AK61" s="642"/>
      <c r="AL61" s="642"/>
      <c r="AM61" s="641"/>
      <c r="AN61" s="642"/>
      <c r="AO61" s="642"/>
      <c r="AP61" s="642"/>
      <c r="AQ61" s="642"/>
      <c r="AR61" s="641"/>
      <c r="AS61" s="642"/>
      <c r="AT61" s="642"/>
      <c r="AU61" s="642"/>
      <c r="AV61" s="642"/>
      <c r="AW61" s="641"/>
      <c r="AX61" s="642"/>
      <c r="AY61" s="642"/>
      <c r="AZ61" s="642"/>
      <c r="BA61" s="642"/>
      <c r="BB61" s="641"/>
      <c r="BC61" s="642"/>
      <c r="BD61" s="642"/>
      <c r="BE61" s="642"/>
      <c r="BF61" s="642"/>
      <c r="BG61" s="641"/>
      <c r="BH61" s="642"/>
      <c r="BI61" s="642"/>
      <c r="BJ61" s="642"/>
      <c r="BK61" s="642"/>
      <c r="BL61" s="641"/>
      <c r="BM61" s="643">
        <f t="shared" si="84"/>
        <v>-4.1772151898734178E-2</v>
      </c>
      <c r="BN61" s="643">
        <f t="shared" si="84"/>
        <v>-0.30820610687022898</v>
      </c>
      <c r="BO61" s="643">
        <f t="shared" si="84"/>
        <v>-0.66397058823529409</v>
      </c>
      <c r="BP61" s="643">
        <f t="shared" si="84"/>
        <v>-0.68139700641482537</v>
      </c>
      <c r="BQ61" s="641">
        <f t="shared" si="84"/>
        <v>-0.48141708324277332</v>
      </c>
      <c r="BR61" s="643">
        <f t="shared" si="84"/>
        <v>-0.66710700132100398</v>
      </c>
      <c r="BS61" s="643">
        <f t="shared" si="84"/>
        <v>-0.36689655172413793</v>
      </c>
      <c r="BT61" s="643">
        <f t="shared" si="84"/>
        <v>-0.11597374179431075</v>
      </c>
      <c r="BU61" s="643">
        <f t="shared" si="84"/>
        <v>-0.47874720357941836</v>
      </c>
      <c r="BV61" s="641">
        <f t="shared" si="84"/>
        <v>-0.43503772003352892</v>
      </c>
      <c r="BW61" s="643">
        <f t="shared" si="84"/>
        <v>-0.18650793650793651</v>
      </c>
      <c r="BX61" s="643">
        <f t="shared" si="84"/>
        <v>-0.44662309368191722</v>
      </c>
      <c r="BY61" s="643">
        <f t="shared" si="84"/>
        <v>6.1881188118811936E-2</v>
      </c>
      <c r="BZ61" s="643">
        <f t="shared" si="84"/>
        <v>-0.28326180257510725</v>
      </c>
      <c r="CA61" s="641">
        <f t="shared" si="84"/>
        <v>-0.21735905044510384</v>
      </c>
      <c r="CB61" s="643">
        <f t="shared" si="84"/>
        <v>-0.23414634146341462</v>
      </c>
      <c r="CC61" s="643">
        <f t="shared" si="84"/>
        <v>-1.5748031496062964E-2</v>
      </c>
      <c r="CD61" s="643">
        <f t="shared" si="84"/>
        <v>-0.63636363636363635</v>
      </c>
      <c r="CE61" s="643">
        <f t="shared" si="84"/>
        <v>-1.19760479041916E-2</v>
      </c>
      <c r="CF61" s="641">
        <f t="shared" si="84"/>
        <v>-0.30995260663507107</v>
      </c>
      <c r="CG61" s="643">
        <f t="shared" si="84"/>
        <v>-0.15286624203821653</v>
      </c>
      <c r="CH61" s="643">
        <f t="shared" si="84"/>
        <v>-0.26</v>
      </c>
      <c r="CI61" s="643">
        <f t="shared" si="84"/>
        <v>-4.4871794871794823E-2</v>
      </c>
      <c r="CJ61" s="643">
        <f t="shared" si="84"/>
        <v>0.15757575757575748</v>
      </c>
      <c r="CK61" s="641">
        <f t="shared" si="84"/>
        <v>-9.6153846153846145E-2</v>
      </c>
      <c r="CL61" s="644" t="s">
        <v>404</v>
      </c>
      <c r="CM61" s="644" t="s">
        <v>404</v>
      </c>
      <c r="CN61" s="644" t="s">
        <v>404</v>
      </c>
      <c r="CO61" s="645" t="s">
        <v>404</v>
      </c>
      <c r="CP61" s="895" t="s">
        <v>404</v>
      </c>
      <c r="CQ61" s="644" t="s">
        <v>404</v>
      </c>
      <c r="CR61" s="644" t="s">
        <v>404</v>
      </c>
      <c r="CS61" s="644" t="s">
        <v>404</v>
      </c>
      <c r="CT61" s="645" t="s">
        <v>404</v>
      </c>
      <c r="CU61" s="896" t="s">
        <v>404</v>
      </c>
      <c r="CV61" s="644" t="s">
        <v>404</v>
      </c>
      <c r="CW61" s="644" t="s">
        <v>404</v>
      </c>
      <c r="CX61" s="644" t="s">
        <v>404</v>
      </c>
      <c r="CY61" s="645" t="s">
        <v>404</v>
      </c>
      <c r="CZ61" s="896" t="s">
        <v>404</v>
      </c>
      <c r="DA61" s="644" t="s">
        <v>404</v>
      </c>
      <c r="DB61" s="645" t="s">
        <v>404</v>
      </c>
      <c r="DC61" s="645" t="s">
        <v>404</v>
      </c>
      <c r="DD61" s="645" t="s">
        <v>404</v>
      </c>
      <c r="DE61" s="896" t="s">
        <v>404</v>
      </c>
      <c r="DF61" s="645" t="s">
        <v>404</v>
      </c>
      <c r="DG61" s="645" t="s">
        <v>404</v>
      </c>
      <c r="DH61" s="645" t="s">
        <v>404</v>
      </c>
      <c r="DI61" s="645" t="s">
        <v>404</v>
      </c>
      <c r="DJ61" s="896" t="s">
        <v>404</v>
      </c>
      <c r="DK61" s="645" t="s">
        <v>404</v>
      </c>
      <c r="DL61" s="645" t="s">
        <v>404</v>
      </c>
      <c r="DM61" s="642"/>
      <c r="DN61" s="642"/>
      <c r="DO61" s="641"/>
      <c r="DP61" s="645"/>
      <c r="DQ61" s="642"/>
      <c r="DR61" s="642"/>
      <c r="DS61" s="642"/>
      <c r="DT61" s="641"/>
      <c r="DU61" s="641"/>
      <c r="DV61" s="641"/>
    </row>
    <row r="62" spans="2:126" s="532" customFormat="1" ht="12.9" customHeight="1">
      <c r="B62" s="635" t="s">
        <v>400</v>
      </c>
      <c r="C62" s="636"/>
      <c r="D62" s="636"/>
      <c r="E62" s="636"/>
      <c r="F62" s="636"/>
      <c r="G62" s="636"/>
      <c r="H62" s="636"/>
      <c r="I62" s="636"/>
      <c r="J62" s="637"/>
      <c r="K62" s="637"/>
      <c r="L62" s="637"/>
      <c r="M62" s="637"/>
      <c r="N62" s="636"/>
      <c r="O62" s="637"/>
      <c r="P62" s="637"/>
      <c r="Q62" s="637"/>
      <c r="R62" s="637"/>
      <c r="S62" s="636"/>
      <c r="T62" s="637"/>
      <c r="U62" s="637"/>
      <c r="V62" s="637"/>
      <c r="W62" s="637"/>
      <c r="X62" s="636"/>
      <c r="Y62" s="637"/>
      <c r="Z62" s="637"/>
      <c r="AA62" s="637"/>
      <c r="AB62" s="637"/>
      <c r="AC62" s="636"/>
      <c r="AD62" s="637"/>
      <c r="AE62" s="637"/>
      <c r="AF62" s="637"/>
      <c r="AG62" s="637"/>
      <c r="AH62" s="636"/>
      <c r="AI62" s="637"/>
      <c r="AJ62" s="637"/>
      <c r="AK62" s="637"/>
      <c r="AL62" s="637"/>
      <c r="AM62" s="636"/>
      <c r="AN62" s="637"/>
      <c r="AO62" s="637"/>
      <c r="AP62" s="637"/>
      <c r="AQ62" s="637"/>
      <c r="AR62" s="636"/>
      <c r="AS62" s="637"/>
      <c r="AT62" s="637"/>
      <c r="AU62" s="637"/>
      <c r="AV62" s="637"/>
      <c r="AW62" s="636"/>
      <c r="AX62" s="637"/>
      <c r="AY62" s="637"/>
      <c r="AZ62" s="637"/>
      <c r="BA62" s="637"/>
      <c r="BB62" s="636"/>
      <c r="BC62" s="637"/>
      <c r="BD62" s="637"/>
      <c r="BE62" s="637"/>
      <c r="BF62" s="637"/>
      <c r="BG62" s="636"/>
      <c r="BH62" s="637"/>
      <c r="BI62" s="637"/>
      <c r="BJ62" s="637"/>
      <c r="BK62" s="637"/>
      <c r="BL62" s="636"/>
      <c r="BM62" s="638">
        <f t="shared" si="84"/>
        <v>-0.53608247422680411</v>
      </c>
      <c r="BN62" s="638">
        <f t="shared" si="84"/>
        <v>8.5889570552147187E-2</v>
      </c>
      <c r="BO62" s="638">
        <f t="shared" si="84"/>
        <v>-0.98648648648648651</v>
      </c>
      <c r="BP62" s="638">
        <f t="shared" si="84"/>
        <v>0.14285714285714279</v>
      </c>
      <c r="BQ62" s="636">
        <f t="shared" si="84"/>
        <v>-0.47631935047361296</v>
      </c>
      <c r="BR62" s="638">
        <f t="shared" si="84"/>
        <v>1.1185185185185187</v>
      </c>
      <c r="BS62" s="638">
        <f t="shared" si="84"/>
        <v>0.58757062146892647</v>
      </c>
      <c r="BT62" s="638">
        <f t="shared" si="84"/>
        <v>4.666666666666667</v>
      </c>
      <c r="BU62" s="638">
        <f t="shared" si="84"/>
        <v>5.1111111111111107</v>
      </c>
      <c r="BV62" s="636">
        <f t="shared" si="84"/>
        <v>1.6459948320413438</v>
      </c>
      <c r="BW62" s="638">
        <f t="shared" si="84"/>
        <v>1.2832167832167833</v>
      </c>
      <c r="BX62" s="638">
        <f t="shared" si="84"/>
        <v>-0.38078291814946619</v>
      </c>
      <c r="BY62" s="638">
        <f t="shared" si="84"/>
        <v>9.764705882352942</v>
      </c>
      <c r="BZ62" s="638">
        <f t="shared" si="84"/>
        <v>-0.78863636363636358</v>
      </c>
      <c r="CA62" s="636">
        <f t="shared" si="84"/>
        <v>-0.490234375</v>
      </c>
      <c r="CB62" s="638">
        <f t="shared" si="84"/>
        <v>-0.61562021439509951</v>
      </c>
      <c r="CC62" s="638">
        <f t="shared" si="84"/>
        <v>0.59195402298850586</v>
      </c>
      <c r="CD62" s="638">
        <f t="shared" si="84"/>
        <v>-0.34972677595628421</v>
      </c>
      <c r="CE62" s="638">
        <f t="shared" si="84"/>
        <v>0.11827956989247301</v>
      </c>
      <c r="CF62" s="636">
        <f t="shared" si="84"/>
        <v>0.43869731800766276</v>
      </c>
      <c r="CG62" s="638">
        <f t="shared" si="84"/>
        <v>-0.89641434262948205</v>
      </c>
      <c r="CH62" s="638">
        <f t="shared" si="84"/>
        <v>-0.80866425992779778</v>
      </c>
      <c r="CI62" s="638">
        <f t="shared" si="84"/>
        <v>0.29411764705882359</v>
      </c>
      <c r="CJ62" s="638">
        <f t="shared" si="84"/>
        <v>4.4615384615384617</v>
      </c>
      <c r="CK62" s="636">
        <f t="shared" si="84"/>
        <v>6.6577896138481973E-2</v>
      </c>
      <c r="CL62" s="638">
        <f t="shared" si="84"/>
        <v>9.4615384615384617</v>
      </c>
      <c r="CM62" s="638">
        <f t="shared" si="84"/>
        <v>7.7358490566037741</v>
      </c>
      <c r="CN62" s="638">
        <f t="shared" si="84"/>
        <v>-0.24675324675324672</v>
      </c>
      <c r="CO62" s="639">
        <f t="shared" si="84"/>
        <v>-0.69718309859154926</v>
      </c>
      <c r="CP62" s="636">
        <f t="shared" si="84"/>
        <v>0.27715355805243447</v>
      </c>
      <c r="CQ62" s="638">
        <f t="shared" si="84"/>
        <v>-0.3345588235294118</v>
      </c>
      <c r="CR62" s="638">
        <f t="shared" si="84"/>
        <v>-0.78833693304535635</v>
      </c>
      <c r="CS62" s="638">
        <f t="shared" si="84"/>
        <v>2.353448275862069</v>
      </c>
      <c r="CT62" s="639">
        <f t="shared" si="84"/>
        <v>-0.68023255813953487</v>
      </c>
      <c r="CU62" s="871">
        <f t="shared" si="84"/>
        <v>-0.29325513196480935</v>
      </c>
      <c r="CV62" s="638">
        <f t="shared" si="84"/>
        <v>-0.89502762430939231</v>
      </c>
      <c r="CW62" s="638">
        <f t="shared" si="84"/>
        <v>-0.85714285714285721</v>
      </c>
      <c r="CX62" s="638">
        <f t="shared" si="84"/>
        <v>-0.67609254498714655</v>
      </c>
      <c r="CY62" s="639">
        <f t="shared" si="84"/>
        <v>5.7818181818181822</v>
      </c>
      <c r="CZ62" s="871">
        <f t="shared" si="84"/>
        <v>-0.26417704011065002</v>
      </c>
      <c r="DA62" s="638">
        <f t="shared" si="84"/>
        <v>7.2105263157894743</v>
      </c>
      <c r="DB62" s="638">
        <f t="shared" si="84"/>
        <v>24.357142857142858</v>
      </c>
      <c r="DC62" s="638">
        <f t="shared" ref="DC62:DL62" si="87">IFERROR(DC55/CX55-1,"")</f>
        <v>4.7619047619047672E-2</v>
      </c>
      <c r="DD62" s="638">
        <f t="shared" si="87"/>
        <v>-0.76407506702412875</v>
      </c>
      <c r="DE62" s="871">
        <f t="shared" si="85"/>
        <v>0.37406015037593976</v>
      </c>
      <c r="DF62" s="638">
        <f t="shared" si="87"/>
        <v>1.9230769230769162E-2</v>
      </c>
      <c r="DG62" s="638">
        <f t="shared" si="87"/>
        <v>-0.82535211267605635</v>
      </c>
      <c r="DH62" s="638">
        <f t="shared" si="87"/>
        <v>4.5454545454545414E-2</v>
      </c>
      <c r="DI62" s="638">
        <f t="shared" si="87"/>
        <v>3.2386363636363633</v>
      </c>
      <c r="DJ62" s="871">
        <f t="shared" si="85"/>
        <v>1.3679890560875929E-3</v>
      </c>
      <c r="DK62" s="638">
        <f t="shared" si="87"/>
        <v>6.2893081761006275E-2</v>
      </c>
      <c r="DL62" s="638">
        <f t="shared" si="87"/>
        <v>2.9516129032258065</v>
      </c>
      <c r="DM62" s="637"/>
      <c r="DN62" s="637"/>
      <c r="DO62" s="636"/>
      <c r="DP62" s="638"/>
      <c r="DQ62" s="637"/>
      <c r="DR62" s="637"/>
      <c r="DS62" s="637"/>
      <c r="DT62" s="636"/>
      <c r="DU62" s="636"/>
      <c r="DV62" s="636"/>
    </row>
    <row r="63" spans="2:126" s="634" customFormat="1" ht="12.9" customHeight="1">
      <c r="B63" s="646"/>
      <c r="C63" s="636"/>
      <c r="D63" s="636"/>
      <c r="E63" s="636"/>
      <c r="F63" s="636"/>
      <c r="G63" s="636"/>
      <c r="H63" s="636"/>
      <c r="I63" s="636"/>
      <c r="J63" s="637"/>
      <c r="K63" s="637"/>
      <c r="L63" s="637"/>
      <c r="M63" s="637"/>
      <c r="N63" s="636"/>
      <c r="O63" s="637"/>
      <c r="P63" s="637"/>
      <c r="Q63" s="637"/>
      <c r="R63" s="637"/>
      <c r="S63" s="636"/>
      <c r="T63" s="637"/>
      <c r="U63" s="637"/>
      <c r="V63" s="637"/>
      <c r="W63" s="637"/>
      <c r="X63" s="636"/>
      <c r="Y63" s="637"/>
      <c r="Z63" s="637"/>
      <c r="AA63" s="637"/>
      <c r="AB63" s="637"/>
      <c r="AC63" s="636"/>
      <c r="AD63" s="637"/>
      <c r="AE63" s="637"/>
      <c r="AF63" s="637"/>
      <c r="AG63" s="637"/>
      <c r="AH63" s="636"/>
      <c r="AI63" s="637"/>
      <c r="AJ63" s="637"/>
      <c r="AK63" s="637"/>
      <c r="AL63" s="637"/>
      <c r="AM63" s="636"/>
      <c r="AN63" s="637"/>
      <c r="AO63" s="637"/>
      <c r="AP63" s="637"/>
      <c r="AQ63" s="637"/>
      <c r="AR63" s="636"/>
      <c r="AS63" s="637"/>
      <c r="AT63" s="637"/>
      <c r="AU63" s="637"/>
      <c r="AV63" s="637"/>
      <c r="AW63" s="636"/>
      <c r="AX63" s="637"/>
      <c r="AY63" s="637"/>
      <c r="AZ63" s="637"/>
      <c r="BA63" s="637"/>
      <c r="BB63" s="636"/>
      <c r="BC63" s="637"/>
      <c r="BD63" s="637"/>
      <c r="BE63" s="637"/>
      <c r="BF63" s="637"/>
      <c r="BG63" s="636"/>
      <c r="BH63" s="637"/>
      <c r="BI63" s="637"/>
      <c r="BJ63" s="637"/>
      <c r="BK63" s="637"/>
      <c r="BL63" s="636"/>
      <c r="BM63" s="637"/>
      <c r="BN63" s="637"/>
      <c r="BO63" s="637"/>
      <c r="BP63" s="637"/>
      <c r="BQ63" s="636"/>
      <c r="BR63" s="637"/>
      <c r="BS63" s="637"/>
      <c r="BT63" s="637"/>
      <c r="BU63" s="637"/>
      <c r="BV63" s="636"/>
      <c r="BW63" s="637"/>
      <c r="BX63" s="637"/>
      <c r="BY63" s="637"/>
      <c r="BZ63" s="637"/>
      <c r="CA63" s="636"/>
      <c r="CB63" s="637"/>
      <c r="CC63" s="637"/>
      <c r="CD63" s="637"/>
      <c r="CE63" s="637"/>
      <c r="CF63" s="636"/>
      <c r="CG63" s="637"/>
      <c r="CH63" s="637"/>
      <c r="CI63" s="637"/>
      <c r="CJ63" s="637"/>
      <c r="CK63" s="636"/>
      <c r="CL63" s="637"/>
      <c r="CM63" s="637"/>
      <c r="CN63" s="637"/>
      <c r="CO63" s="637"/>
      <c r="CP63" s="636"/>
      <c r="CQ63" s="637"/>
      <c r="CR63" s="637"/>
      <c r="CS63" s="637"/>
      <c r="CT63" s="637"/>
      <c r="CU63" s="636"/>
      <c r="CV63" s="637"/>
      <c r="CW63" s="637"/>
      <c r="CX63" s="637"/>
      <c r="CY63" s="637"/>
      <c r="CZ63" s="636"/>
      <c r="DA63" s="637"/>
      <c r="DB63" s="637"/>
      <c r="DC63" s="637"/>
      <c r="DD63" s="637"/>
      <c r="DE63" s="636"/>
      <c r="DF63" s="637"/>
      <c r="DG63" s="637"/>
      <c r="DH63" s="637"/>
      <c r="DI63" s="637"/>
      <c r="DJ63" s="636"/>
      <c r="DK63" s="637"/>
      <c r="DL63" s="637"/>
      <c r="DM63" s="637"/>
      <c r="DN63" s="637"/>
      <c r="DO63" s="636"/>
      <c r="DP63" s="637"/>
      <c r="DQ63" s="637"/>
      <c r="DR63" s="637"/>
      <c r="DS63" s="637"/>
      <c r="DT63" s="636"/>
      <c r="DU63" s="636"/>
      <c r="DV63" s="636"/>
    </row>
    <row r="64" spans="2:126" s="540" customFormat="1" ht="12.9" customHeight="1">
      <c r="B64" s="660" t="s">
        <v>403</v>
      </c>
      <c r="C64" s="789"/>
      <c r="D64" s="789"/>
      <c r="E64" s="789"/>
      <c r="F64" s="789"/>
      <c r="G64" s="789"/>
      <c r="H64" s="789"/>
      <c r="I64" s="789"/>
      <c r="J64" s="790"/>
      <c r="K64" s="790"/>
      <c r="L64" s="790"/>
      <c r="M64" s="790"/>
      <c r="N64" s="789"/>
      <c r="O64" s="790"/>
      <c r="P64" s="790"/>
      <c r="Q64" s="790"/>
      <c r="R64" s="790"/>
      <c r="S64" s="789"/>
      <c r="T64" s="790"/>
      <c r="U64" s="790"/>
      <c r="V64" s="790"/>
      <c r="W64" s="790"/>
      <c r="X64" s="789"/>
      <c r="Y64" s="790"/>
      <c r="Z64" s="790"/>
      <c r="AA64" s="790"/>
      <c r="AB64" s="790"/>
      <c r="AC64" s="789"/>
      <c r="AD64" s="790"/>
      <c r="AE64" s="790"/>
      <c r="AF64" s="790"/>
      <c r="AG64" s="790"/>
      <c r="AH64" s="789"/>
      <c r="AI64" s="790"/>
      <c r="AJ64" s="790"/>
      <c r="AK64" s="790"/>
      <c r="AL64" s="790"/>
      <c r="AM64" s="789"/>
      <c r="AN64" s="790"/>
      <c r="AO64" s="790"/>
      <c r="AP64" s="790"/>
      <c r="AQ64" s="790"/>
      <c r="AR64" s="789"/>
      <c r="AS64" s="790"/>
      <c r="AT64" s="790"/>
      <c r="AU64" s="790"/>
      <c r="AV64" s="790"/>
      <c r="AW64" s="789"/>
      <c r="AX64" s="790"/>
      <c r="AY64" s="790"/>
      <c r="AZ64" s="790"/>
      <c r="BA64" s="790"/>
      <c r="BB64" s="789"/>
      <c r="BC64" s="790"/>
      <c r="BD64" s="790"/>
      <c r="BE64" s="790"/>
      <c r="BF64" s="790"/>
      <c r="BG64" s="789"/>
      <c r="BH64" s="790"/>
      <c r="BI64" s="790"/>
      <c r="BJ64" s="790"/>
      <c r="BK64" s="790"/>
      <c r="BL64" s="789"/>
      <c r="BM64" s="790"/>
      <c r="BN64" s="790"/>
      <c r="BO64" s="790"/>
      <c r="BP64" s="790"/>
      <c r="BQ64" s="789"/>
      <c r="BR64" s="790"/>
      <c r="BS64" s="790"/>
      <c r="BT64" s="790"/>
      <c r="BU64" s="790"/>
      <c r="BV64" s="789"/>
      <c r="BW64" s="790"/>
      <c r="BX64" s="790"/>
      <c r="BY64" s="790"/>
      <c r="BZ64" s="790"/>
      <c r="CA64" s="789"/>
      <c r="CB64" s="790"/>
      <c r="CC64" s="790"/>
      <c r="CD64" s="790"/>
      <c r="CE64" s="790"/>
      <c r="CF64" s="789"/>
      <c r="CG64" s="791"/>
      <c r="CH64" s="790"/>
      <c r="CI64" s="790"/>
      <c r="CJ64" s="790"/>
      <c r="CK64" s="789"/>
      <c r="CL64" s="791"/>
      <c r="CM64" s="790"/>
      <c r="CN64" s="790"/>
      <c r="CO64" s="790"/>
      <c r="CP64" s="789"/>
      <c r="CQ64" s="793"/>
      <c r="CR64" s="793"/>
      <c r="CS64" s="790"/>
      <c r="CT64" s="790"/>
      <c r="CU64" s="789"/>
      <c r="CV64" s="790"/>
      <c r="CW64" s="790"/>
      <c r="CX64" s="790"/>
      <c r="CY64" s="790"/>
      <c r="CZ64" s="789"/>
      <c r="DA64" s="790"/>
      <c r="DB64" s="790"/>
      <c r="DC64" s="790"/>
      <c r="DD64" s="790"/>
      <c r="DE64" s="789"/>
      <c r="DF64" s="790"/>
      <c r="DG64" s="790"/>
      <c r="DH64" s="790"/>
      <c r="DI64" s="790"/>
      <c r="DJ64" s="789"/>
      <c r="DK64" s="790"/>
      <c r="DL64" s="790"/>
      <c r="DM64" s="790"/>
      <c r="DN64" s="790"/>
      <c r="DO64" s="789"/>
      <c r="DP64" s="790"/>
      <c r="DQ64" s="790"/>
      <c r="DR64" s="790"/>
      <c r="DS64" s="790"/>
      <c r="DT64" s="789"/>
      <c r="DU64" s="789"/>
      <c r="DV64" s="789"/>
    </row>
    <row r="65" spans="1:126" s="662" customFormat="1" ht="12.9" customHeight="1">
      <c r="B65" s="663" t="s">
        <v>402</v>
      </c>
      <c r="C65" s="664"/>
      <c r="D65" s="664"/>
      <c r="E65" s="664"/>
      <c r="F65" s="664"/>
      <c r="G65" s="664"/>
      <c r="H65" s="664"/>
      <c r="I65" s="664"/>
      <c r="J65" s="651"/>
      <c r="K65" s="651"/>
      <c r="L65" s="651"/>
      <c r="M65" s="651"/>
      <c r="N65" s="664"/>
      <c r="O65" s="651"/>
      <c r="P65" s="651"/>
      <c r="Q65" s="651"/>
      <c r="R65" s="651"/>
      <c r="S65" s="664"/>
      <c r="T65" s="651"/>
      <c r="U65" s="651"/>
      <c r="V65" s="651"/>
      <c r="W65" s="651"/>
      <c r="X65" s="664"/>
      <c r="Y65" s="651"/>
      <c r="Z65" s="651"/>
      <c r="AA65" s="651"/>
      <c r="AB65" s="651"/>
      <c r="AC65" s="664"/>
      <c r="AD65" s="651"/>
      <c r="AE65" s="651"/>
      <c r="AF65" s="651"/>
      <c r="AG65" s="651"/>
      <c r="AH65" s="664"/>
      <c r="AI65" s="651"/>
      <c r="AJ65" s="651"/>
      <c r="AK65" s="651"/>
      <c r="AL65" s="651"/>
      <c r="AM65" s="664"/>
      <c r="AN65" s="651"/>
      <c r="AO65" s="651"/>
      <c r="AP65" s="651"/>
      <c r="AQ65" s="651"/>
      <c r="AR65" s="664"/>
      <c r="AS65" s="651"/>
      <c r="AT65" s="651"/>
      <c r="AU65" s="651"/>
      <c r="AV65" s="651"/>
      <c r="AW65" s="664"/>
      <c r="AX65" s="651"/>
      <c r="AY65" s="651"/>
      <c r="AZ65" s="651"/>
      <c r="BA65" s="651"/>
      <c r="BB65" s="664"/>
      <c r="BC65" s="651"/>
      <c r="BD65" s="651"/>
      <c r="BE65" s="651"/>
      <c r="BF65" s="594">
        <v>-0.15</v>
      </c>
      <c r="BG65" s="664"/>
      <c r="BH65" s="651"/>
      <c r="BI65" s="651"/>
      <c r="BJ65" s="651"/>
      <c r="BK65" s="651"/>
      <c r="BL65" s="664"/>
      <c r="BM65" s="594"/>
      <c r="BN65" s="594"/>
      <c r="BO65" s="594"/>
      <c r="BP65" s="594"/>
      <c r="BQ65" s="354">
        <f t="shared" ref="BQ65:BZ67" si="88">BQ84/BL84-1</f>
        <v>-0.17575757575757578</v>
      </c>
      <c r="BR65" s="801">
        <f t="shared" si="88"/>
        <v>-0.33333333333333348</v>
      </c>
      <c r="BS65" s="801">
        <f t="shared" si="88"/>
        <v>-0.375</v>
      </c>
      <c r="BT65" s="801">
        <f t="shared" si="88"/>
        <v>-0.24999999999999989</v>
      </c>
      <c r="BU65" s="801">
        <f t="shared" si="88"/>
        <v>-3.4482758620689502E-2</v>
      </c>
      <c r="BV65" s="354">
        <f t="shared" si="88"/>
        <v>-0.26470588235294112</v>
      </c>
      <c r="BW65" s="801">
        <f t="shared" si="88"/>
        <v>3.8461538461538769E-2</v>
      </c>
      <c r="BX65" s="801">
        <f t="shared" si="88"/>
        <v>0.11999999999999988</v>
      </c>
      <c r="BY65" s="801">
        <f t="shared" si="88"/>
        <v>4.7619047619047672E-2</v>
      </c>
      <c r="BZ65" s="801">
        <f t="shared" si="88"/>
        <v>3.5714285714285365E-2</v>
      </c>
      <c r="CA65" s="354">
        <f t="shared" ref="CA65:CJ67" si="89">CA84/BV84-1</f>
        <v>6.0000000000000053E-2</v>
      </c>
      <c r="CB65" s="801">
        <f t="shared" si="89"/>
        <v>0.18518518518518512</v>
      </c>
      <c r="CC65" s="801">
        <f t="shared" si="89"/>
        <v>0.60714285714285721</v>
      </c>
      <c r="CD65" s="801">
        <f t="shared" si="89"/>
        <v>0.86363636363636331</v>
      </c>
      <c r="CE65" s="801">
        <f t="shared" si="89"/>
        <v>0.20689655172413812</v>
      </c>
      <c r="CF65" s="354">
        <f t="shared" si="89"/>
        <v>0.44339622641509435</v>
      </c>
      <c r="CG65" s="801">
        <f t="shared" si="89"/>
        <v>0</v>
      </c>
      <c r="CH65" s="801">
        <f t="shared" si="89"/>
        <v>-0.22222222222222221</v>
      </c>
      <c r="CI65" s="801">
        <f t="shared" si="89"/>
        <v>-0.2753658536585365</v>
      </c>
      <c r="CJ65" s="801">
        <f t="shared" si="89"/>
        <v>0.37971428571428589</v>
      </c>
      <c r="CK65" s="354">
        <f t="shared" ref="CK65:CU67" si="90">CK84/CF84-1</f>
        <v>-5.2287581699346442E-2</v>
      </c>
      <c r="CL65" s="801">
        <f t="shared" si="90"/>
        <v>-0.30374999999999996</v>
      </c>
      <c r="CM65" s="801">
        <f t="shared" si="90"/>
        <v>-0.4285714285714286</v>
      </c>
      <c r="CN65" s="801">
        <f t="shared" si="90"/>
        <v>-0.61730057219791323</v>
      </c>
      <c r="CO65" s="801">
        <f t="shared" si="90"/>
        <v>-0.42969558914889228</v>
      </c>
      <c r="CP65" s="354">
        <f t="shared" si="90"/>
        <v>-0.44006896551724139</v>
      </c>
      <c r="CQ65" s="801">
        <f t="shared" si="90"/>
        <v>-0.1005385996409337</v>
      </c>
      <c r="CR65" s="801">
        <f t="shared" si="90"/>
        <v>0</v>
      </c>
      <c r="CS65" s="801">
        <f t="shared" si="90"/>
        <v>1.462620932277924</v>
      </c>
      <c r="CT65" s="801">
        <f t="shared" si="90"/>
        <v>8.9324618736383643E-2</v>
      </c>
      <c r="CU65" s="873">
        <f t="shared" si="90"/>
        <v>0.20753787412242874</v>
      </c>
      <c r="CV65" s="872">
        <f t="shared" ref="CV65:DI67" si="91">CV84/CQ84-1</f>
        <v>0.24750499001996018</v>
      </c>
      <c r="CW65" s="872">
        <f t="shared" si="91"/>
        <v>0.19999999999999996</v>
      </c>
      <c r="CX65" s="872">
        <f t="shared" si="91"/>
        <v>-0.24999999999999989</v>
      </c>
      <c r="CY65" s="872">
        <f t="shared" si="91"/>
        <v>0.46666666666666679</v>
      </c>
      <c r="CZ65" s="873">
        <f t="shared" si="91"/>
        <v>0.16279069767441889</v>
      </c>
      <c r="DA65" s="872">
        <f t="shared" si="91"/>
        <v>0</v>
      </c>
      <c r="DB65" s="872">
        <f t="shared" si="91"/>
        <v>0.5</v>
      </c>
      <c r="DC65" s="872">
        <f t="shared" si="91"/>
        <v>0.52380952380952372</v>
      </c>
      <c r="DD65" s="872">
        <f t="shared" si="91"/>
        <v>-4.5454545454545525E-2</v>
      </c>
      <c r="DE65" s="873">
        <f t="shared" si="91"/>
        <v>0.18421052631578938</v>
      </c>
      <c r="DF65" s="872">
        <f t="shared" si="91"/>
        <v>0.8</v>
      </c>
      <c r="DG65" s="872">
        <f t="shared" si="91"/>
        <v>-2.777777777777779E-2</v>
      </c>
      <c r="DH65" s="872">
        <f t="shared" si="91"/>
        <v>0.49999999999999978</v>
      </c>
      <c r="DI65" s="872">
        <f t="shared" si="91"/>
        <v>0.61904761904761885</v>
      </c>
      <c r="DJ65" s="873">
        <f t="shared" ref="DJ65:DJ67" si="92">DJ84/DE84-1</f>
        <v>0.45185185185185195</v>
      </c>
      <c r="DK65" s="872">
        <f t="shared" ref="DK65:DL67" si="93">DK84/DF84-1</f>
        <v>-0.1333333333333333</v>
      </c>
      <c r="DL65" s="872">
        <f t="shared" si="93"/>
        <v>2.8571428571428692E-2</v>
      </c>
      <c r="DM65" s="651"/>
      <c r="DN65" s="651"/>
      <c r="DO65" s="664"/>
      <c r="DP65" s="872"/>
      <c r="DQ65" s="651"/>
      <c r="DR65" s="651"/>
      <c r="DS65" s="651"/>
      <c r="DT65" s="664"/>
      <c r="DU65" s="664"/>
      <c r="DV65" s="664"/>
    </row>
    <row r="66" spans="1:126" s="665" customFormat="1" ht="12.9" customHeight="1">
      <c r="B66" s="666" t="s">
        <v>24</v>
      </c>
      <c r="C66" s="667"/>
      <c r="D66" s="667"/>
      <c r="E66" s="667"/>
      <c r="F66" s="667"/>
      <c r="G66" s="667"/>
      <c r="H66" s="667"/>
      <c r="I66" s="667"/>
      <c r="J66" s="656"/>
      <c r="K66" s="656"/>
      <c r="L66" s="656"/>
      <c r="M66" s="656"/>
      <c r="N66" s="667"/>
      <c r="O66" s="656"/>
      <c r="P66" s="656"/>
      <c r="Q66" s="656"/>
      <c r="R66" s="656"/>
      <c r="S66" s="667"/>
      <c r="T66" s="656"/>
      <c r="U66" s="656"/>
      <c r="V66" s="656"/>
      <c r="W66" s="656"/>
      <c r="X66" s="667"/>
      <c r="Y66" s="656"/>
      <c r="Z66" s="656"/>
      <c r="AA66" s="656"/>
      <c r="AB66" s="656"/>
      <c r="AC66" s="667"/>
      <c r="AD66" s="656"/>
      <c r="AE66" s="656"/>
      <c r="AF66" s="656"/>
      <c r="AG66" s="656"/>
      <c r="AH66" s="667"/>
      <c r="AI66" s="656"/>
      <c r="AJ66" s="656"/>
      <c r="AK66" s="656"/>
      <c r="AL66" s="656"/>
      <c r="AM66" s="667"/>
      <c r="AN66" s="656"/>
      <c r="AO66" s="656"/>
      <c r="AP66" s="656"/>
      <c r="AQ66" s="656"/>
      <c r="AR66" s="667"/>
      <c r="AS66" s="656"/>
      <c r="AT66" s="656"/>
      <c r="AU66" s="656"/>
      <c r="AV66" s="656"/>
      <c r="AW66" s="667"/>
      <c r="AX66" s="656"/>
      <c r="AY66" s="656"/>
      <c r="AZ66" s="656"/>
      <c r="BA66" s="656"/>
      <c r="BB66" s="667"/>
      <c r="BC66" s="656"/>
      <c r="BD66" s="656"/>
      <c r="BE66" s="656"/>
      <c r="BF66" s="616">
        <v>0.11</v>
      </c>
      <c r="BG66" s="667"/>
      <c r="BH66" s="656"/>
      <c r="BI66" s="656"/>
      <c r="BJ66" s="656"/>
      <c r="BK66" s="656"/>
      <c r="BL66" s="667"/>
      <c r="BM66" s="616"/>
      <c r="BN66" s="616"/>
      <c r="BO66" s="616"/>
      <c r="BP66" s="616"/>
      <c r="BQ66" s="802">
        <f t="shared" si="88"/>
        <v>0.13846153846153841</v>
      </c>
      <c r="BR66" s="803">
        <f t="shared" si="88"/>
        <v>0.14285714285714302</v>
      </c>
      <c r="BS66" s="803">
        <f t="shared" si="88"/>
        <v>8.3333333333333259E-2</v>
      </c>
      <c r="BT66" s="803">
        <f t="shared" si="88"/>
        <v>0.10810810810810789</v>
      </c>
      <c r="BU66" s="803">
        <f t="shared" si="88"/>
        <v>7.5000000000000178E-2</v>
      </c>
      <c r="BV66" s="802">
        <f t="shared" si="88"/>
        <v>0.10135135135135132</v>
      </c>
      <c r="BW66" s="803">
        <f t="shared" si="88"/>
        <v>0.125</v>
      </c>
      <c r="BX66" s="803">
        <f t="shared" si="88"/>
        <v>0.17948717948717952</v>
      </c>
      <c r="BY66" s="803">
        <f t="shared" si="88"/>
        <v>9.7560975609756184E-2</v>
      </c>
      <c r="BZ66" s="803">
        <f t="shared" si="88"/>
        <v>0.13953488372093004</v>
      </c>
      <c r="CA66" s="802">
        <f t="shared" si="89"/>
        <v>0.13496932515337412</v>
      </c>
      <c r="CB66" s="803">
        <f t="shared" si="89"/>
        <v>0.11111111111111116</v>
      </c>
      <c r="CC66" s="803">
        <f t="shared" si="89"/>
        <v>8.6956521739130599E-2</v>
      </c>
      <c r="CD66" s="803">
        <f t="shared" si="89"/>
        <v>8.8888888888889017E-2</v>
      </c>
      <c r="CE66" s="803">
        <f t="shared" si="89"/>
        <v>8.1632653061224358E-2</v>
      </c>
      <c r="CF66" s="802">
        <f t="shared" si="89"/>
        <v>9.1891891891891841E-2</v>
      </c>
      <c r="CG66" s="803">
        <f t="shared" si="89"/>
        <v>0.10000000000000009</v>
      </c>
      <c r="CH66" s="803">
        <f t="shared" si="89"/>
        <v>2.0000000000000018E-2</v>
      </c>
      <c r="CI66" s="803">
        <f t="shared" si="89"/>
        <v>0.18877551020408156</v>
      </c>
      <c r="CJ66" s="803">
        <f t="shared" si="89"/>
        <v>0.10773584905660361</v>
      </c>
      <c r="CK66" s="802">
        <f t="shared" si="90"/>
        <v>0.10376237623762385</v>
      </c>
      <c r="CL66" s="803">
        <f t="shared" si="90"/>
        <v>-5.0727272727272732E-2</v>
      </c>
      <c r="CM66" s="803">
        <f t="shared" si="90"/>
        <v>-0.66666666666666663</v>
      </c>
      <c r="CN66" s="803">
        <f t="shared" si="90"/>
        <v>-0.49613733905579405</v>
      </c>
      <c r="CO66" s="803">
        <f t="shared" si="90"/>
        <v>-0.38426162493612659</v>
      </c>
      <c r="CP66" s="802">
        <f t="shared" si="90"/>
        <v>-0.39581090778614991</v>
      </c>
      <c r="CQ66" s="803">
        <f t="shared" si="90"/>
        <v>-0.33192874928174676</v>
      </c>
      <c r="CR66" s="803">
        <f t="shared" si="90"/>
        <v>1.0588235294117649</v>
      </c>
      <c r="CS66" s="803">
        <f t="shared" si="90"/>
        <v>0.39693356047700146</v>
      </c>
      <c r="CT66" s="803">
        <f t="shared" si="90"/>
        <v>0.30013831258644541</v>
      </c>
      <c r="CU66" s="875">
        <f t="shared" si="90"/>
        <v>0.17199910919753547</v>
      </c>
      <c r="CV66" s="874">
        <f t="shared" si="91"/>
        <v>0.34747706422018365</v>
      </c>
      <c r="CW66" s="874">
        <f t="shared" si="91"/>
        <v>0.28571428571428581</v>
      </c>
      <c r="CX66" s="874">
        <f t="shared" si="91"/>
        <v>0.26829268292682951</v>
      </c>
      <c r="CY66" s="874">
        <f t="shared" si="91"/>
        <v>0.12765957446808507</v>
      </c>
      <c r="CZ66" s="875">
        <f t="shared" si="91"/>
        <v>0.24778312642513289</v>
      </c>
      <c r="DA66" s="874">
        <f t="shared" si="91"/>
        <v>0.2127659574468086</v>
      </c>
      <c r="DB66" s="874">
        <f t="shared" si="91"/>
        <v>0.28888888888888875</v>
      </c>
      <c r="DC66" s="874">
        <f t="shared" si="91"/>
        <v>0.26923076923076916</v>
      </c>
      <c r="DD66" s="874">
        <f t="shared" si="91"/>
        <v>0.20754716981132093</v>
      </c>
      <c r="DE66" s="875">
        <f t="shared" si="91"/>
        <v>0.24365482233502544</v>
      </c>
      <c r="DF66" s="874">
        <f t="shared" si="91"/>
        <v>0.14035087719298245</v>
      </c>
      <c r="DG66" s="874">
        <f t="shared" si="91"/>
        <v>0.32758620689655182</v>
      </c>
      <c r="DH66" s="874">
        <f t="shared" si="91"/>
        <v>0.18181818181818188</v>
      </c>
      <c r="DI66" s="874">
        <f t="shared" si="91"/>
        <v>0.35937499999999978</v>
      </c>
      <c r="DJ66" s="875">
        <f t="shared" si="92"/>
        <v>0.25306122448979584</v>
      </c>
      <c r="DK66" s="874">
        <f t="shared" si="93"/>
        <v>0.29230769230769238</v>
      </c>
      <c r="DL66" s="874">
        <f t="shared" si="93"/>
        <v>5.1948051948051965E-2</v>
      </c>
      <c r="DM66" s="656"/>
      <c r="DN66" s="656"/>
      <c r="DO66" s="667"/>
      <c r="DP66" s="874"/>
      <c r="DQ66" s="656"/>
      <c r="DR66" s="656"/>
      <c r="DS66" s="656"/>
      <c r="DT66" s="667"/>
      <c r="DU66" s="667"/>
      <c r="DV66" s="667"/>
    </row>
    <row r="67" spans="1:126" s="665" customFormat="1" ht="12.9" customHeight="1">
      <c r="B67" s="668" t="s">
        <v>70</v>
      </c>
      <c r="C67" s="669"/>
      <c r="D67" s="669"/>
      <c r="E67" s="669"/>
      <c r="F67" s="669"/>
      <c r="G67" s="669"/>
      <c r="H67" s="669"/>
      <c r="I67" s="669"/>
      <c r="J67" s="547"/>
      <c r="K67" s="547"/>
      <c r="L67" s="547"/>
      <c r="M67" s="547"/>
      <c r="N67" s="669"/>
      <c r="O67" s="547"/>
      <c r="P67" s="547"/>
      <c r="Q67" s="547"/>
      <c r="R67" s="547"/>
      <c r="S67" s="669"/>
      <c r="T67" s="547"/>
      <c r="U67" s="547"/>
      <c r="V67" s="547"/>
      <c r="W67" s="547"/>
      <c r="X67" s="669"/>
      <c r="Y67" s="547"/>
      <c r="Z67" s="547"/>
      <c r="AA67" s="547"/>
      <c r="AB67" s="547"/>
      <c r="AC67" s="669"/>
      <c r="AD67" s="547"/>
      <c r="AE67" s="547"/>
      <c r="AF67" s="547"/>
      <c r="AG67" s="547"/>
      <c r="AH67" s="669"/>
      <c r="AI67" s="547"/>
      <c r="AJ67" s="547"/>
      <c r="AK67" s="547"/>
      <c r="AL67" s="547"/>
      <c r="AM67" s="669"/>
      <c r="AN67" s="547"/>
      <c r="AO67" s="547"/>
      <c r="AP67" s="547"/>
      <c r="AQ67" s="547"/>
      <c r="AR67" s="669"/>
      <c r="AS67" s="547"/>
      <c r="AT67" s="547"/>
      <c r="AU67" s="547"/>
      <c r="AV67" s="547"/>
      <c r="AW67" s="669"/>
      <c r="AX67" s="547"/>
      <c r="AY67" s="547"/>
      <c r="AZ67" s="547"/>
      <c r="BA67" s="547"/>
      <c r="BB67" s="669"/>
      <c r="BC67" s="547"/>
      <c r="BD67" s="547"/>
      <c r="BE67" s="547"/>
      <c r="BF67" s="670"/>
      <c r="BG67" s="669"/>
      <c r="BH67" s="547"/>
      <c r="BI67" s="547"/>
      <c r="BJ67" s="547"/>
      <c r="BK67" s="547"/>
      <c r="BL67" s="669"/>
      <c r="BM67" s="670"/>
      <c r="BN67" s="670"/>
      <c r="BO67" s="670"/>
      <c r="BP67" s="670"/>
      <c r="BQ67" s="799">
        <f t="shared" si="88"/>
        <v>-3.7288135593220417E-2</v>
      </c>
      <c r="BR67" s="800">
        <f t="shared" si="88"/>
        <v>-0.10810810810810823</v>
      </c>
      <c r="BS67" s="800">
        <f t="shared" si="88"/>
        <v>-0.1578947368421052</v>
      </c>
      <c r="BT67" s="800">
        <f t="shared" si="88"/>
        <v>-4.6153846153846212E-2</v>
      </c>
      <c r="BU67" s="800">
        <f t="shared" si="88"/>
        <v>2.898550724637694E-2</v>
      </c>
      <c r="BV67" s="799">
        <f t="shared" si="88"/>
        <v>-7.3943661971830887E-2</v>
      </c>
      <c r="BW67" s="800">
        <f t="shared" si="88"/>
        <v>9.090909090909105E-2</v>
      </c>
      <c r="BX67" s="800">
        <f t="shared" si="88"/>
        <v>0.15624999999999978</v>
      </c>
      <c r="BY67" s="800">
        <f t="shared" si="88"/>
        <v>8.0645161290322731E-2</v>
      </c>
      <c r="BZ67" s="800">
        <f t="shared" si="88"/>
        <v>9.8591549295774517E-2</v>
      </c>
      <c r="CA67" s="799">
        <f t="shared" si="89"/>
        <v>0.10646387832699622</v>
      </c>
      <c r="CB67" s="800">
        <f t="shared" si="89"/>
        <v>0.13888888888888884</v>
      </c>
      <c r="CC67" s="800">
        <f t="shared" si="89"/>
        <v>0.28378378378378377</v>
      </c>
      <c r="CD67" s="800">
        <f t="shared" si="89"/>
        <v>0.34328358208955212</v>
      </c>
      <c r="CE67" s="800">
        <f t="shared" si="89"/>
        <v>0.12820512820512819</v>
      </c>
      <c r="CF67" s="799">
        <f t="shared" si="89"/>
        <v>0.21993127147766312</v>
      </c>
      <c r="CG67" s="800">
        <f t="shared" si="89"/>
        <v>6.0975609756097615E-2</v>
      </c>
      <c r="CH67" s="800">
        <f t="shared" si="89"/>
        <v>-9.473684210526323E-2</v>
      </c>
      <c r="CI67" s="800">
        <f t="shared" si="89"/>
        <v>-2.2666666666666724E-2</v>
      </c>
      <c r="CJ67" s="800">
        <f t="shared" si="89"/>
        <v>0.21590909090909083</v>
      </c>
      <c r="CK67" s="799">
        <f t="shared" si="90"/>
        <v>3.6507042253520972E-2</v>
      </c>
      <c r="CL67" s="800">
        <f t="shared" si="90"/>
        <v>-0.14379310344827578</v>
      </c>
      <c r="CM67" s="800">
        <f t="shared" si="90"/>
        <v>-0.56523255813953488</v>
      </c>
      <c r="CN67" s="800">
        <f t="shared" si="90"/>
        <v>-0.53706230104592989</v>
      </c>
      <c r="CO67" s="800">
        <f t="shared" si="90"/>
        <v>-0.40841121495327082</v>
      </c>
      <c r="CP67" s="799">
        <f t="shared" si="90"/>
        <v>-0.41325144037395356</v>
      </c>
      <c r="CQ67" s="800">
        <f t="shared" si="90"/>
        <v>-0.26271982816485429</v>
      </c>
      <c r="CR67" s="800">
        <f t="shared" si="90"/>
        <v>0.46884193634661675</v>
      </c>
      <c r="CS67" s="800">
        <f t="shared" si="90"/>
        <v>0.69449901768172873</v>
      </c>
      <c r="CT67" s="800">
        <f t="shared" si="90"/>
        <v>0.21642969984202187</v>
      </c>
      <c r="CU67" s="877">
        <f t="shared" si="90"/>
        <v>0.18499305233904595</v>
      </c>
      <c r="CV67" s="876">
        <f t="shared" si="91"/>
        <v>0.31099781500364165</v>
      </c>
      <c r="CW67" s="876">
        <f t="shared" si="91"/>
        <v>0.25965040058266564</v>
      </c>
      <c r="CX67" s="876">
        <f t="shared" si="91"/>
        <v>5.7971014492753659E-2</v>
      </c>
      <c r="CY67" s="876">
        <f t="shared" si="91"/>
        <v>0.25740259740259752</v>
      </c>
      <c r="CZ67" s="877">
        <f t="shared" si="91"/>
        <v>0.21560350218886803</v>
      </c>
      <c r="DA67" s="876">
        <f t="shared" si="91"/>
        <v>0.14069444444444423</v>
      </c>
      <c r="DB67" s="876">
        <f t="shared" si="91"/>
        <v>0.36614628505348379</v>
      </c>
      <c r="DC67" s="876">
        <f t="shared" si="91"/>
        <v>0.34150684931506836</v>
      </c>
      <c r="DD67" s="876">
        <f t="shared" si="91"/>
        <v>9.6880809750051533E-2</v>
      </c>
      <c r="DE67" s="877">
        <f t="shared" si="91"/>
        <v>0.22434083601286159</v>
      </c>
      <c r="DF67" s="876">
        <f t="shared" si="91"/>
        <v>0.33934007061974936</v>
      </c>
      <c r="DG67" s="876">
        <f t="shared" si="91"/>
        <v>0.18505978203364704</v>
      </c>
      <c r="DH67" s="876">
        <f t="shared" si="91"/>
        <v>0.28663330950679056</v>
      </c>
      <c r="DI67" s="876">
        <f t="shared" si="91"/>
        <v>0.45951035781544269</v>
      </c>
      <c r="DJ67" s="877">
        <f t="shared" si="92"/>
        <v>0.32100743230821749</v>
      </c>
      <c r="DK67" s="876">
        <f t="shared" si="93"/>
        <v>0.11818181818181817</v>
      </c>
      <c r="DL67" s="876">
        <f t="shared" si="93"/>
        <v>4.4642857142857206E-2</v>
      </c>
      <c r="DM67" s="547"/>
      <c r="DN67" s="547"/>
      <c r="DO67" s="669"/>
      <c r="DP67" s="876"/>
      <c r="DQ67" s="547"/>
      <c r="DR67" s="547"/>
      <c r="DS67" s="547"/>
      <c r="DT67" s="669"/>
      <c r="DU67" s="669"/>
      <c r="DV67" s="669"/>
    </row>
    <row r="68" spans="1:126" s="651" customFormat="1" ht="12.9" customHeight="1">
      <c r="B68" s="671"/>
      <c r="C68" s="641"/>
      <c r="D68" s="641"/>
      <c r="E68" s="641"/>
      <c r="F68" s="641"/>
      <c r="G68" s="641"/>
      <c r="H68" s="641"/>
      <c r="I68" s="641"/>
      <c r="J68" s="642"/>
      <c r="K68" s="642"/>
      <c r="L68" s="642"/>
      <c r="M68" s="642"/>
      <c r="N68" s="641"/>
      <c r="O68" s="642"/>
      <c r="P68" s="642"/>
      <c r="Q68" s="642"/>
      <c r="R68" s="642"/>
      <c r="S68" s="641"/>
      <c r="T68" s="642"/>
      <c r="U68" s="642"/>
      <c r="V68" s="642"/>
      <c r="W68" s="642"/>
      <c r="X68" s="641"/>
      <c r="Y68" s="642"/>
      <c r="Z68" s="642"/>
      <c r="AA68" s="642"/>
      <c r="AB68" s="642"/>
      <c r="AC68" s="641"/>
      <c r="AD68" s="642"/>
      <c r="AE68" s="642"/>
      <c r="AF68" s="642"/>
      <c r="AG68" s="642"/>
      <c r="AH68" s="641"/>
      <c r="AI68" s="642"/>
      <c r="AJ68" s="642"/>
      <c r="AK68" s="642"/>
      <c r="AL68" s="642"/>
      <c r="AM68" s="641"/>
      <c r="AN68" s="642"/>
      <c r="AO68" s="642"/>
      <c r="AP68" s="642"/>
      <c r="AQ68" s="642"/>
      <c r="AR68" s="641"/>
      <c r="AS68" s="642"/>
      <c r="AT68" s="642"/>
      <c r="AU68" s="642"/>
      <c r="AV68" s="642"/>
      <c r="AW68" s="641"/>
      <c r="AX68" s="642"/>
      <c r="AY68" s="642"/>
      <c r="AZ68" s="642"/>
      <c r="BA68" s="642"/>
      <c r="BB68" s="641"/>
      <c r="BC68" s="642"/>
      <c r="BD68" s="642"/>
      <c r="BE68" s="642"/>
      <c r="BF68" s="642"/>
      <c r="BG68" s="641"/>
      <c r="BH68" s="642"/>
      <c r="BI68" s="642"/>
      <c r="BJ68" s="642"/>
      <c r="BK68" s="642"/>
      <c r="BL68" s="641"/>
      <c r="BM68" s="642"/>
      <c r="BN68" s="642"/>
      <c r="BO68" s="642"/>
      <c r="BP68" s="642"/>
      <c r="BQ68" s="641"/>
      <c r="BR68" s="642"/>
      <c r="BS68" s="642"/>
      <c r="BT68" s="642"/>
      <c r="BU68" s="642"/>
      <c r="BV68" s="641"/>
      <c r="BW68" s="642"/>
      <c r="BX68" s="642"/>
      <c r="BY68" s="642"/>
      <c r="BZ68" s="642"/>
      <c r="CA68" s="641"/>
      <c r="CB68" s="642"/>
      <c r="CC68" s="642"/>
      <c r="CD68" s="642"/>
      <c r="CE68" s="642"/>
      <c r="CF68" s="641"/>
      <c r="CG68" s="642"/>
      <c r="CH68" s="642"/>
      <c r="CI68" s="642"/>
      <c r="CJ68" s="672"/>
      <c r="CK68" s="641"/>
      <c r="CL68" s="642"/>
      <c r="CM68" s="642"/>
      <c r="CN68" s="642"/>
      <c r="CO68" s="642"/>
      <c r="CP68" s="641"/>
      <c r="CQ68" s="642"/>
      <c r="CR68" s="642"/>
      <c r="CS68" s="642"/>
      <c r="CT68" s="642"/>
      <c r="CU68" s="641"/>
      <c r="CV68" s="642"/>
      <c r="CW68" s="642"/>
      <c r="CX68" s="642"/>
      <c r="CY68" s="642"/>
      <c r="CZ68" s="641"/>
      <c r="DA68" s="642"/>
      <c r="DB68" s="642"/>
      <c r="DC68" s="642"/>
      <c r="DD68" s="642"/>
      <c r="DE68" s="641"/>
      <c r="DF68" s="642"/>
      <c r="DG68" s="642"/>
      <c r="DH68" s="642"/>
      <c r="DI68" s="642"/>
      <c r="DJ68" s="641"/>
      <c r="DK68" s="642"/>
      <c r="DL68" s="642"/>
      <c r="DM68" s="642"/>
      <c r="DN68" s="642"/>
      <c r="DO68" s="641"/>
      <c r="DP68" s="642"/>
      <c r="DQ68" s="642"/>
      <c r="DR68" s="642"/>
      <c r="DS68" s="642"/>
      <c r="DT68" s="641"/>
      <c r="DU68" s="641"/>
      <c r="DV68" s="641"/>
    </row>
    <row r="69" spans="1:126" s="521" customFormat="1" ht="12.9" customHeight="1">
      <c r="B69" s="526" t="s">
        <v>405</v>
      </c>
      <c r="C69" s="523"/>
      <c r="D69" s="523"/>
      <c r="E69" s="523"/>
      <c r="F69" s="523"/>
      <c r="G69" s="523"/>
      <c r="H69" s="523"/>
      <c r="I69" s="523"/>
      <c r="J69" s="524"/>
      <c r="K69" s="524"/>
      <c r="L69" s="524"/>
      <c r="M69" s="525"/>
      <c r="N69" s="523"/>
      <c r="O69" s="524"/>
      <c r="P69" s="524"/>
      <c r="Q69" s="524"/>
      <c r="R69" s="525"/>
      <c r="S69" s="523"/>
      <c r="T69" s="524"/>
      <c r="U69" s="524"/>
      <c r="V69" s="524"/>
      <c r="W69" s="525"/>
      <c r="X69" s="523"/>
      <c r="Y69" s="524"/>
      <c r="Z69" s="524"/>
      <c r="AA69" s="524"/>
      <c r="AB69" s="525"/>
      <c r="AC69" s="523"/>
      <c r="AD69" s="524"/>
      <c r="AE69" s="524"/>
      <c r="AF69" s="524"/>
      <c r="AG69" s="525"/>
      <c r="AH69" s="523"/>
      <c r="AI69" s="524"/>
      <c r="AJ69" s="524"/>
      <c r="AK69" s="524"/>
      <c r="AL69" s="525"/>
      <c r="AM69" s="523"/>
      <c r="AN69" s="524"/>
      <c r="AO69" s="524"/>
      <c r="AP69" s="524"/>
      <c r="AQ69" s="525"/>
      <c r="AR69" s="523"/>
      <c r="AS69" s="524"/>
      <c r="AT69" s="524"/>
      <c r="AU69" s="524"/>
      <c r="AV69" s="525"/>
      <c r="AW69" s="523"/>
      <c r="AX69" s="524"/>
      <c r="AY69" s="524"/>
      <c r="AZ69" s="524"/>
      <c r="BA69" s="525"/>
      <c r="BB69" s="523"/>
      <c r="BC69" s="524"/>
      <c r="BD69" s="524"/>
      <c r="BE69" s="524"/>
      <c r="BF69" s="525"/>
      <c r="BG69" s="523"/>
      <c r="BH69" s="524"/>
      <c r="BI69" s="524"/>
      <c r="BJ69" s="524"/>
      <c r="BK69" s="525"/>
      <c r="BL69" s="523"/>
      <c r="BM69" s="524"/>
      <c r="BN69" s="524"/>
      <c r="BO69" s="524"/>
      <c r="BP69" s="525"/>
      <c r="BQ69" s="523"/>
      <c r="BR69" s="524"/>
      <c r="BS69" s="524"/>
      <c r="BT69" s="524"/>
      <c r="BU69" s="525"/>
      <c r="BV69" s="523"/>
      <c r="BW69" s="524"/>
      <c r="BX69" s="524"/>
      <c r="BY69" s="524"/>
      <c r="BZ69" s="525"/>
      <c r="CA69" s="523"/>
      <c r="CB69" s="524"/>
      <c r="CC69" s="524"/>
      <c r="CD69" s="524"/>
      <c r="CE69" s="525"/>
      <c r="CF69" s="523"/>
      <c r="CG69" s="817">
        <v>100</v>
      </c>
      <c r="CH69" s="524"/>
      <c r="CI69" s="524"/>
      <c r="CJ69" s="525"/>
      <c r="CK69" s="523"/>
      <c r="CL69" s="524"/>
      <c r="CM69" s="524"/>
      <c r="CN69" s="524"/>
      <c r="CO69" s="525"/>
      <c r="CP69" s="523"/>
      <c r="CQ69" s="524"/>
      <c r="CR69" s="524"/>
      <c r="CS69" s="524"/>
      <c r="CT69" s="525"/>
      <c r="CU69" s="523"/>
      <c r="CV69" s="524"/>
      <c r="CW69" s="524"/>
      <c r="CX69" s="524"/>
      <c r="CY69" s="525"/>
      <c r="CZ69" s="523"/>
      <c r="DA69" s="524"/>
      <c r="DB69" s="524"/>
      <c r="DC69" s="524"/>
      <c r="DD69" s="525"/>
      <c r="DE69" s="523"/>
      <c r="DF69" s="524"/>
      <c r="DG69" s="524"/>
      <c r="DH69" s="524"/>
      <c r="DI69" s="525"/>
      <c r="DJ69" s="523"/>
      <c r="DK69" s="524"/>
      <c r="DL69" s="524"/>
      <c r="DM69" s="524"/>
      <c r="DN69" s="525"/>
      <c r="DO69" s="523"/>
      <c r="DP69" s="524"/>
      <c r="DQ69" s="524"/>
      <c r="DR69" s="524"/>
      <c r="DS69" s="525"/>
      <c r="DT69" s="523"/>
      <c r="DU69" s="523"/>
      <c r="DV69" s="523"/>
    </row>
    <row r="70" spans="1:126" s="532" customFormat="1" ht="12.9" customHeight="1">
      <c r="B70" s="660" t="s">
        <v>406</v>
      </c>
      <c r="C70" s="789"/>
      <c r="D70" s="789"/>
      <c r="E70" s="789"/>
      <c r="F70" s="789"/>
      <c r="G70" s="789"/>
      <c r="H70" s="789"/>
      <c r="I70" s="789"/>
      <c r="J70" s="790"/>
      <c r="K70" s="790"/>
      <c r="L70" s="790"/>
      <c r="M70" s="790"/>
      <c r="N70" s="789"/>
      <c r="O70" s="790"/>
      <c r="P70" s="790"/>
      <c r="Q70" s="790"/>
      <c r="R70" s="790"/>
      <c r="S70" s="789"/>
      <c r="T70" s="790"/>
      <c r="U70" s="790"/>
      <c r="V70" s="790"/>
      <c r="W70" s="790"/>
      <c r="X70" s="789"/>
      <c r="Y70" s="790"/>
      <c r="Z70" s="790"/>
      <c r="AA70" s="790"/>
      <c r="AB70" s="790"/>
      <c r="AC70" s="789"/>
      <c r="AD70" s="790"/>
      <c r="AE70" s="790"/>
      <c r="AF70" s="790"/>
      <c r="AG70" s="790"/>
      <c r="AH70" s="789"/>
      <c r="AI70" s="790"/>
      <c r="AJ70" s="790"/>
      <c r="AK70" s="790"/>
      <c r="AL70" s="790"/>
      <c r="AM70" s="789"/>
      <c r="AN70" s="790"/>
      <c r="AO70" s="790"/>
      <c r="AP70" s="790"/>
      <c r="AQ70" s="790"/>
      <c r="AR70" s="789"/>
      <c r="AS70" s="790"/>
      <c r="AT70" s="790"/>
      <c r="AU70" s="790"/>
      <c r="AV70" s="790"/>
      <c r="AW70" s="789"/>
      <c r="AX70" s="790"/>
      <c r="AY70" s="790"/>
      <c r="AZ70" s="790"/>
      <c r="BA70" s="790"/>
      <c r="BB70" s="789"/>
      <c r="BC70" s="790"/>
      <c r="BD70" s="790"/>
      <c r="BE70" s="790"/>
      <c r="BF70" s="790"/>
      <c r="BG70" s="789"/>
      <c r="BH70" s="790"/>
      <c r="BI70" s="790"/>
      <c r="BJ70" s="790"/>
      <c r="BK70" s="790"/>
      <c r="BL70" s="789"/>
      <c r="BM70" s="790"/>
      <c r="BN70" s="790"/>
      <c r="BO70" s="790"/>
      <c r="BP70" s="790"/>
      <c r="BQ70" s="789"/>
      <c r="BR70" s="790"/>
      <c r="BS70" s="790"/>
      <c r="BT70" s="790"/>
      <c r="BU70" s="790"/>
      <c r="BV70" s="789"/>
      <c r="BW70" s="790"/>
      <c r="BX70" s="790"/>
      <c r="BY70" s="790"/>
      <c r="BZ70" s="790"/>
      <c r="CA70" s="789"/>
      <c r="CB70" s="790"/>
      <c r="CC70" s="790"/>
      <c r="CD70" s="790"/>
      <c r="CE70" s="790"/>
      <c r="CF70" s="789"/>
      <c r="CG70" s="791"/>
      <c r="CH70" s="790"/>
      <c r="CI70" s="790"/>
      <c r="CJ70" s="790"/>
      <c r="CK70" s="789"/>
      <c r="CL70" s="791"/>
      <c r="CM70" s="794"/>
      <c r="CN70" s="790"/>
      <c r="CO70" s="790"/>
      <c r="CP70" s="789"/>
      <c r="CQ70" s="790"/>
      <c r="CR70" s="790"/>
      <c r="CS70" s="790"/>
      <c r="CT70" s="790"/>
      <c r="CU70" s="789"/>
      <c r="CV70" s="790"/>
      <c r="CW70" s="790"/>
      <c r="CX70" s="790"/>
      <c r="CY70" s="792"/>
      <c r="CZ70" s="789"/>
      <c r="DA70" s="794"/>
      <c r="DB70" s="790"/>
      <c r="DC70" s="790"/>
      <c r="DD70" s="878"/>
      <c r="DE70" s="789"/>
      <c r="DF70" s="790"/>
      <c r="DG70" s="790"/>
      <c r="DH70" s="790"/>
      <c r="DI70" s="790"/>
      <c r="DJ70" s="789"/>
      <c r="DK70" s="790"/>
      <c r="DL70" s="790"/>
      <c r="DM70" s="790"/>
      <c r="DN70" s="790"/>
      <c r="DO70" s="789"/>
      <c r="DP70" s="790"/>
      <c r="DQ70" s="790"/>
      <c r="DR70" s="790"/>
      <c r="DS70" s="790"/>
      <c r="DT70" s="789"/>
      <c r="DU70" s="789"/>
      <c r="DV70" s="789"/>
    </row>
    <row r="71" spans="1:126" s="651" customFormat="1" ht="12.9" customHeight="1">
      <c r="B71" s="663" t="s">
        <v>397</v>
      </c>
      <c r="C71" s="664"/>
      <c r="D71" s="664"/>
      <c r="E71" s="664"/>
      <c r="F71" s="664"/>
      <c r="G71" s="664"/>
      <c r="H71" s="664"/>
      <c r="I71" s="664"/>
      <c r="N71" s="664"/>
      <c r="S71" s="664"/>
      <c r="X71" s="664"/>
      <c r="AC71" s="664"/>
      <c r="AH71" s="664"/>
      <c r="AM71" s="664"/>
      <c r="AR71" s="664"/>
      <c r="AW71" s="664"/>
      <c r="BB71" s="664"/>
      <c r="BG71" s="664"/>
      <c r="BL71" s="664">
        <f t="shared" ref="BL71:BV71" si="94">BL$81*BL90</f>
        <v>16.792999999999999</v>
      </c>
      <c r="BM71" s="651">
        <f t="shared" si="94"/>
        <v>3.9718</v>
      </c>
      <c r="BN71" s="651">
        <f t="shared" si="94"/>
        <v>4.3763999999999994</v>
      </c>
      <c r="BO71" s="651">
        <f t="shared" si="94"/>
        <v>4.2007000000000003</v>
      </c>
      <c r="BP71" s="651">
        <f t="shared" si="94"/>
        <v>4.7138</v>
      </c>
      <c r="BQ71" s="664">
        <f t="shared" si="94"/>
        <v>18.00253</v>
      </c>
      <c r="BR71" s="673">
        <f t="shared" si="94"/>
        <v>4.5712599999999997</v>
      </c>
      <c r="BS71" s="673">
        <f t="shared" si="94"/>
        <v>4.8181399999999996</v>
      </c>
      <c r="BT71" s="651">
        <f t="shared" si="94"/>
        <v>4.6619999999999999</v>
      </c>
      <c r="BU71" s="651">
        <f t="shared" si="94"/>
        <v>5.3183800000000003</v>
      </c>
      <c r="BV71" s="664">
        <f t="shared" si="94"/>
        <v>19.432400000000001</v>
      </c>
      <c r="BW71" s="651">
        <v>5</v>
      </c>
      <c r="BX71" s="651">
        <v>4.9000000000000004</v>
      </c>
      <c r="BY71" s="651">
        <v>4.8</v>
      </c>
      <c r="BZ71" s="651">
        <f>CA71-SUM(BW71:BY71)</f>
        <v>5</v>
      </c>
      <c r="CA71" s="664">
        <v>19.7</v>
      </c>
      <c r="CB71" s="651">
        <v>5.3</v>
      </c>
      <c r="CC71" s="651">
        <v>5.5339999999999998</v>
      </c>
      <c r="CD71" s="651">
        <v>5.6</v>
      </c>
      <c r="CE71" s="651">
        <v>6.3</v>
      </c>
      <c r="CF71" s="664">
        <f>SUM(CB71:CE71)</f>
        <v>22.733999999999998</v>
      </c>
      <c r="CG71" s="651">
        <v>5.9489999999999998</v>
      </c>
      <c r="CH71" s="651">
        <v>5.8479999999999999</v>
      </c>
      <c r="CI71" s="651">
        <v>5.9969999999999999</v>
      </c>
      <c r="CJ71" s="651">
        <f>CK71-SUM(CG71:CI71)</f>
        <v>6.4229999999999983</v>
      </c>
      <c r="CK71" s="664">
        <v>24.216999999999999</v>
      </c>
      <c r="CL71" s="820">
        <v>5.1130000000000004</v>
      </c>
      <c r="CM71" s="820">
        <v>2.5190000000000001</v>
      </c>
      <c r="CN71" s="820">
        <v>3.0870000000000002</v>
      </c>
      <c r="CO71" s="651">
        <f>SUM(CO72:CO73)</f>
        <v>3.7610000000000001</v>
      </c>
      <c r="CP71" s="664">
        <f>SUM(CL71:CO71)</f>
        <v>14.48</v>
      </c>
      <c r="CQ71" s="820">
        <v>3.3540000000000001</v>
      </c>
      <c r="CR71" s="820">
        <v>3.1150000000000002</v>
      </c>
      <c r="CS71" s="820">
        <v>3.6019999999999999</v>
      </c>
      <c r="CT71" s="820">
        <f>SUM(CT72:CT73)</f>
        <v>4.2889999999999997</v>
      </c>
      <c r="CU71" s="664">
        <f>SUM(CQ71:CT71)</f>
        <v>14.36</v>
      </c>
      <c r="CV71" s="820">
        <v>3.8530000000000002</v>
      </c>
      <c r="CW71" s="820">
        <v>4.306</v>
      </c>
      <c r="CX71" s="820">
        <v>4.9710000000000001</v>
      </c>
      <c r="CY71" s="651">
        <f>CZ71-SUM(CV71:CX71)</f>
        <v>5.5349999999999984</v>
      </c>
      <c r="CZ71" s="860">
        <v>18.664999999999999</v>
      </c>
      <c r="DA71" s="651">
        <f>data!DA153/1000</f>
        <v>5.2320000000000002</v>
      </c>
      <c r="DB71" s="651">
        <f>data!DB153/1000</f>
        <v>5.7370000000000001</v>
      </c>
      <c r="DC71" s="651">
        <f>data!DC153/1000</f>
        <v>6.4569999999999999</v>
      </c>
      <c r="DD71" s="651">
        <f>data!DD153/1000</f>
        <v>6.4290000000000003</v>
      </c>
      <c r="DE71" s="664">
        <f>data!DE153/1000</f>
        <v>23.855</v>
      </c>
      <c r="DF71" s="651">
        <f>SUM(DF72:DF73)</f>
        <v>6.1000000000000005</v>
      </c>
      <c r="DG71" s="651">
        <f>SUM(DG72:DG73)</f>
        <v>6.1</v>
      </c>
      <c r="DH71" s="651">
        <f>SEG!DH7/1000</f>
        <v>7.0030000000000001</v>
      </c>
      <c r="DI71" s="651">
        <f>SEG!DI7/1000</f>
        <v>7.65</v>
      </c>
      <c r="DJ71" s="664">
        <f>SEG!DJ7/1000</f>
        <v>26.881</v>
      </c>
      <c r="DK71" s="651">
        <f>SEG!DK7/1000</f>
        <v>6.9770000000000003</v>
      </c>
      <c r="DL71" s="651">
        <f>SEG!DL7/1000</f>
        <v>7.99</v>
      </c>
      <c r="DM71" s="651">
        <f>SEG!DM7/1000</f>
        <v>7.9834200000000006</v>
      </c>
      <c r="DN71" s="651">
        <f>SEG!DN7/1000</f>
        <v>8.2558799999999994</v>
      </c>
      <c r="DO71" s="664">
        <f>SEG!DO7/1000</f>
        <v>31.206300000000002</v>
      </c>
      <c r="DP71" s="651">
        <f>SEG!DP7/1000</f>
        <v>8.0933200000000003</v>
      </c>
      <c r="DQ71" s="651">
        <f>SEG!DQ7/1000</f>
        <v>9.1086000000000009</v>
      </c>
      <c r="DR71" s="651">
        <f>SEG!DR7/1000</f>
        <v>9.1809330000000013</v>
      </c>
      <c r="DS71" s="651">
        <f>SEG!DS7/1000</f>
        <v>9.7716595679999987</v>
      </c>
      <c r="DT71" s="664">
        <f>SEG!DT7/1000</f>
        <v>36.154512568000001</v>
      </c>
      <c r="DU71" s="664">
        <f>SEG!DU7/1000</f>
        <v>39.534959493107991</v>
      </c>
      <c r="DV71" s="664">
        <f>SEG!DV7/1000</f>
        <v>42.460546495597981</v>
      </c>
    </row>
    <row r="72" spans="1:126" s="651" customFormat="1" ht="12.9" customHeight="1">
      <c r="A72" s="939"/>
      <c r="B72" s="674" t="s">
        <v>407</v>
      </c>
      <c r="C72" s="675"/>
      <c r="D72" s="675"/>
      <c r="E72" s="675"/>
      <c r="F72" s="675"/>
      <c r="G72" s="675"/>
      <c r="H72" s="675"/>
      <c r="I72" s="675"/>
      <c r="J72" s="676"/>
      <c r="K72" s="676"/>
      <c r="L72" s="676"/>
      <c r="M72" s="676"/>
      <c r="N72" s="675"/>
      <c r="O72" s="676"/>
      <c r="P72" s="676"/>
      <c r="Q72" s="676"/>
      <c r="R72" s="676"/>
      <c r="S72" s="675"/>
      <c r="T72" s="676"/>
      <c r="U72" s="676"/>
      <c r="V72" s="676"/>
      <c r="W72" s="676"/>
      <c r="X72" s="675"/>
      <c r="Y72" s="676"/>
      <c r="Z72" s="676"/>
      <c r="AA72" s="676"/>
      <c r="AB72" s="676"/>
      <c r="AC72" s="675"/>
      <c r="AD72" s="676"/>
      <c r="AE72" s="676"/>
      <c r="AF72" s="676"/>
      <c r="AG72" s="676"/>
      <c r="AH72" s="675"/>
      <c r="AI72" s="676"/>
      <c r="AJ72" s="676"/>
      <c r="AK72" s="676"/>
      <c r="AL72" s="676"/>
      <c r="AM72" s="675"/>
      <c r="AN72" s="676"/>
      <c r="AO72" s="676"/>
      <c r="AP72" s="676"/>
      <c r="AQ72" s="676"/>
      <c r="AR72" s="675"/>
      <c r="AS72" s="676"/>
      <c r="AT72" s="676"/>
      <c r="AU72" s="676"/>
      <c r="AV72" s="676"/>
      <c r="AW72" s="675"/>
      <c r="AX72" s="676"/>
      <c r="AY72" s="676"/>
      <c r="AZ72" s="676"/>
      <c r="BA72" s="676"/>
      <c r="BB72" s="675"/>
      <c r="BC72" s="676"/>
      <c r="BD72" s="676"/>
      <c r="BE72" s="676"/>
      <c r="BF72" s="676"/>
      <c r="BG72" s="675"/>
      <c r="BH72" s="676"/>
      <c r="BI72" s="676"/>
      <c r="BJ72" s="676"/>
      <c r="BK72" s="676"/>
      <c r="BL72" s="675"/>
      <c r="BM72" s="676"/>
      <c r="BN72" s="676"/>
      <c r="BO72" s="676"/>
      <c r="BP72" s="676"/>
      <c r="BQ72" s="675"/>
      <c r="BR72" s="676"/>
      <c r="BS72" s="676"/>
      <c r="BT72" s="676"/>
      <c r="BU72" s="676"/>
      <c r="BV72" s="675"/>
      <c r="BW72" s="676">
        <f t="shared" ref="BW72:BZ73" si="95">BW91*BW$71</f>
        <v>1.9</v>
      </c>
      <c r="BX72" s="676">
        <f t="shared" si="95"/>
        <v>1.9110000000000003</v>
      </c>
      <c r="BY72" s="676">
        <f t="shared" si="95"/>
        <v>1.8719999999999999</v>
      </c>
      <c r="BZ72" s="676">
        <f t="shared" si="95"/>
        <v>2</v>
      </c>
      <c r="CA72" s="675">
        <f>SUM(BW72:BZ72)</f>
        <v>7.6829999999999998</v>
      </c>
      <c r="CB72" s="676">
        <f t="shared" ref="CB72:CE73" si="96">CB91*CB$71</f>
        <v>1.8019999999999998</v>
      </c>
      <c r="CC72" s="676">
        <f t="shared" si="96"/>
        <v>2.1582599999999998</v>
      </c>
      <c r="CD72" s="676">
        <f t="shared" si="96"/>
        <v>2.1839999999999997</v>
      </c>
      <c r="CE72" s="676">
        <f t="shared" si="96"/>
        <v>2.4569999999999999</v>
      </c>
      <c r="CF72" s="675">
        <f>SUM(CB72:CE72)</f>
        <v>8.6012599999999999</v>
      </c>
      <c r="CG72" s="676">
        <f>CG71-CG73</f>
        <v>2.2489999999999997</v>
      </c>
      <c r="CH72" s="676">
        <f>CH71-CH73</f>
        <v>2.194</v>
      </c>
      <c r="CI72" s="676">
        <f>CI71-CI73</f>
        <v>2.1959999999999997</v>
      </c>
      <c r="CJ72" s="676">
        <v>2.3180000000000001</v>
      </c>
      <c r="CK72" s="675">
        <v>9</v>
      </c>
      <c r="CL72" s="842">
        <v>1.819</v>
      </c>
      <c r="CM72" s="842">
        <v>1.349</v>
      </c>
      <c r="CN72" s="842">
        <v>1.4560000000000002</v>
      </c>
      <c r="CO72" s="842">
        <v>1.6779999999999999</v>
      </c>
      <c r="CP72" s="675">
        <f>SUM(CL72:CO72)</f>
        <v>6.3020000000000005</v>
      </c>
      <c r="CQ72" s="842">
        <v>1.365</v>
      </c>
      <c r="CR72" s="842">
        <v>1.758</v>
      </c>
      <c r="CS72" s="842">
        <v>1.2170000000000001</v>
      </c>
      <c r="CT72" s="842">
        <v>1.425</v>
      </c>
      <c r="CU72" s="675">
        <f>SUM(CQ72:CT72)</f>
        <v>5.7649999999999997</v>
      </c>
      <c r="CV72" s="842">
        <v>1.133</v>
      </c>
      <c r="CW72" s="842">
        <v>1.349</v>
      </c>
      <c r="CX72" s="842">
        <v>1.4690000000000003</v>
      </c>
      <c r="CY72" s="842">
        <v>1.855</v>
      </c>
      <c r="CZ72" s="675">
        <f>SUM(CV72:CY72)</f>
        <v>5.8060000000000009</v>
      </c>
      <c r="DA72" s="842">
        <v>1.5230000000000001</v>
      </c>
      <c r="DB72" s="842">
        <v>1.8180000000000001</v>
      </c>
      <c r="DC72" s="842">
        <v>1.8109999999999999</v>
      </c>
      <c r="DD72" s="842">
        <v>1.875</v>
      </c>
      <c r="DE72" s="675">
        <f>SUM(DA72:DD72)</f>
        <v>7.0270000000000001</v>
      </c>
      <c r="DF72" s="676">
        <v>1.7</v>
      </c>
      <c r="DG72" s="676">
        <v>1.4</v>
      </c>
      <c r="DH72" s="676">
        <v>1.7</v>
      </c>
      <c r="DI72" s="676">
        <v>2.2999999999999998</v>
      </c>
      <c r="DJ72" s="675">
        <f>SUM(DF72:DI72)</f>
        <v>7.1</v>
      </c>
      <c r="DK72" s="676">
        <v>1.9</v>
      </c>
      <c r="DL72" s="676">
        <v>1.9</v>
      </c>
      <c r="DM72" s="676"/>
      <c r="DN72" s="676"/>
      <c r="DO72" s="675"/>
      <c r="DP72" s="676"/>
      <c r="DQ72" s="676"/>
      <c r="DR72" s="676"/>
      <c r="DS72" s="676"/>
      <c r="DT72" s="675"/>
      <c r="DU72" s="675"/>
      <c r="DV72" s="675"/>
    </row>
    <row r="73" spans="1:126" s="651" customFormat="1" ht="12.9" customHeight="1">
      <c r="A73" s="939"/>
      <c r="B73" s="674" t="s">
        <v>408</v>
      </c>
      <c r="C73" s="675"/>
      <c r="D73" s="675"/>
      <c r="E73" s="675"/>
      <c r="F73" s="675"/>
      <c r="G73" s="675"/>
      <c r="H73" s="675"/>
      <c r="I73" s="675"/>
      <c r="J73" s="676"/>
      <c r="K73" s="676"/>
      <c r="L73" s="676"/>
      <c r="M73" s="676"/>
      <c r="N73" s="675"/>
      <c r="O73" s="676"/>
      <c r="P73" s="676"/>
      <c r="Q73" s="676"/>
      <c r="R73" s="676"/>
      <c r="S73" s="675"/>
      <c r="T73" s="676"/>
      <c r="U73" s="676"/>
      <c r="V73" s="676"/>
      <c r="W73" s="676"/>
      <c r="X73" s="675"/>
      <c r="Y73" s="676"/>
      <c r="Z73" s="676"/>
      <c r="AA73" s="676"/>
      <c r="AB73" s="676"/>
      <c r="AC73" s="675"/>
      <c r="AD73" s="676"/>
      <c r="AE73" s="676"/>
      <c r="AF73" s="676"/>
      <c r="AG73" s="676"/>
      <c r="AH73" s="675"/>
      <c r="AI73" s="676"/>
      <c r="AJ73" s="676"/>
      <c r="AK73" s="676"/>
      <c r="AL73" s="676"/>
      <c r="AM73" s="675"/>
      <c r="AN73" s="676"/>
      <c r="AO73" s="676"/>
      <c r="AP73" s="676"/>
      <c r="AQ73" s="676"/>
      <c r="AR73" s="675"/>
      <c r="AS73" s="676"/>
      <c r="AT73" s="676"/>
      <c r="AU73" s="676"/>
      <c r="AV73" s="676"/>
      <c r="AW73" s="675"/>
      <c r="AX73" s="676"/>
      <c r="AY73" s="676"/>
      <c r="AZ73" s="676"/>
      <c r="BA73" s="676"/>
      <c r="BB73" s="675"/>
      <c r="BC73" s="676"/>
      <c r="BD73" s="676"/>
      <c r="BE73" s="676"/>
      <c r="BF73" s="676"/>
      <c r="BG73" s="675"/>
      <c r="BH73" s="676"/>
      <c r="BI73" s="676"/>
      <c r="BJ73" s="676"/>
      <c r="BK73" s="676"/>
      <c r="BL73" s="675"/>
      <c r="BM73" s="676"/>
      <c r="BN73" s="676"/>
      <c r="BO73" s="676"/>
      <c r="BP73" s="676"/>
      <c r="BQ73" s="675"/>
      <c r="BR73" s="676"/>
      <c r="BS73" s="676"/>
      <c r="BT73" s="676"/>
      <c r="BU73" s="676"/>
      <c r="BV73" s="675"/>
      <c r="BW73" s="676">
        <f t="shared" si="95"/>
        <v>3.1</v>
      </c>
      <c r="BX73" s="676">
        <f t="shared" si="95"/>
        <v>2.9890000000000003</v>
      </c>
      <c r="BY73" s="676">
        <f t="shared" si="95"/>
        <v>2.9279999999999999</v>
      </c>
      <c r="BZ73" s="676">
        <f t="shared" si="95"/>
        <v>3</v>
      </c>
      <c r="CA73" s="675">
        <f>SUM(BW73:BZ73)</f>
        <v>12.016999999999999</v>
      </c>
      <c r="CB73" s="676">
        <f t="shared" si="96"/>
        <v>3.4980000000000002</v>
      </c>
      <c r="CC73" s="676">
        <f t="shared" si="96"/>
        <v>3.37574</v>
      </c>
      <c r="CD73" s="676">
        <f t="shared" si="96"/>
        <v>3.4159999999999999</v>
      </c>
      <c r="CE73" s="676">
        <f t="shared" si="96"/>
        <v>3.843</v>
      </c>
      <c r="CF73" s="675">
        <f>SUM(CB73:CE73)</f>
        <v>14.13274</v>
      </c>
      <c r="CG73" s="676">
        <f>7.354-CH73</f>
        <v>3.7</v>
      </c>
      <c r="CH73" s="676">
        <v>3.6539999999999999</v>
      </c>
      <c r="CI73" s="676">
        <v>3.8010000000000002</v>
      </c>
      <c r="CJ73" s="676">
        <v>4.1040000000000001</v>
      </c>
      <c r="CK73" s="675">
        <f>CK71-CK72</f>
        <v>15.216999999999999</v>
      </c>
      <c r="CL73" s="843">
        <v>3.294</v>
      </c>
      <c r="CM73" s="842">
        <v>1.17</v>
      </c>
      <c r="CN73" s="842">
        <v>1.631</v>
      </c>
      <c r="CO73" s="842">
        <v>2.0830000000000002</v>
      </c>
      <c r="CP73" s="675">
        <f>SUM(CL73:CO73)</f>
        <v>8.1780000000000008</v>
      </c>
      <c r="CQ73" s="842">
        <v>1.988</v>
      </c>
      <c r="CR73" s="842">
        <v>1.357</v>
      </c>
      <c r="CS73" s="842">
        <v>2.3849999999999998</v>
      </c>
      <c r="CT73" s="842">
        <v>2.8639999999999999</v>
      </c>
      <c r="CU73" s="675">
        <f>SUM(CQ73:CT73)</f>
        <v>8.5939999999999994</v>
      </c>
      <c r="CV73" s="842">
        <v>2.72</v>
      </c>
      <c r="CW73" s="842">
        <v>2.956</v>
      </c>
      <c r="CX73" s="842">
        <v>3.5019999999999998</v>
      </c>
      <c r="CY73" s="842">
        <v>3.68</v>
      </c>
      <c r="CZ73" s="675">
        <f>SUM(CV73:CY73)</f>
        <v>12.858000000000001</v>
      </c>
      <c r="DA73" s="842">
        <v>3.6709999999999998</v>
      </c>
      <c r="DB73" s="842">
        <v>3.883</v>
      </c>
      <c r="DC73" s="842">
        <v>4.5880000000000001</v>
      </c>
      <c r="DD73" s="842">
        <v>4.516</v>
      </c>
      <c r="DE73" s="675">
        <f>SUM(DA73:DD73)</f>
        <v>16.658000000000001</v>
      </c>
      <c r="DF73" s="676">
        <v>4.4000000000000004</v>
      </c>
      <c r="DG73" s="676">
        <v>4.7</v>
      </c>
      <c r="DH73" s="676">
        <v>5.3</v>
      </c>
      <c r="DI73" s="676">
        <v>5.4</v>
      </c>
      <c r="DJ73" s="675">
        <f>SUM(DF73:DI73)</f>
        <v>19.800000000000004</v>
      </c>
      <c r="DK73" s="676">
        <v>5.0999999999999996</v>
      </c>
      <c r="DL73" s="676">
        <v>6.1</v>
      </c>
      <c r="DM73" s="676"/>
      <c r="DN73" s="676"/>
      <c r="DO73" s="675"/>
      <c r="DP73" s="676"/>
      <c r="DQ73" s="676"/>
      <c r="DR73" s="676"/>
      <c r="DS73" s="676"/>
      <c r="DT73" s="675"/>
      <c r="DU73" s="675"/>
      <c r="DV73" s="675"/>
    </row>
    <row r="74" spans="1:126" s="677" customFormat="1" ht="12.75" hidden="1" customHeight="1" outlineLevel="1">
      <c r="B74" s="663" t="s">
        <v>561</v>
      </c>
      <c r="C74" s="664"/>
      <c r="D74" s="664"/>
      <c r="E74" s="664"/>
      <c r="F74" s="664"/>
      <c r="G74" s="664"/>
      <c r="H74" s="664"/>
      <c r="I74" s="664"/>
      <c r="J74" s="651"/>
      <c r="K74" s="651"/>
      <c r="L74" s="651"/>
      <c r="M74" s="651"/>
      <c r="N74" s="664"/>
      <c r="O74" s="651"/>
      <c r="P74" s="651"/>
      <c r="Q74" s="651"/>
      <c r="R74" s="651"/>
      <c r="S74" s="664"/>
      <c r="T74" s="651"/>
      <c r="U74" s="651"/>
      <c r="V74" s="651"/>
      <c r="W74" s="651"/>
      <c r="X74" s="664"/>
      <c r="Y74" s="651"/>
      <c r="Z74" s="651"/>
      <c r="AA74" s="651"/>
      <c r="AB74" s="651"/>
      <c r="AC74" s="664"/>
      <c r="AD74" s="651"/>
      <c r="AE74" s="651"/>
      <c r="AF74" s="651"/>
      <c r="AG74" s="651"/>
      <c r="AH74" s="664"/>
      <c r="AI74" s="651"/>
      <c r="AJ74" s="651"/>
      <c r="AK74" s="651"/>
      <c r="AL74" s="651"/>
      <c r="AM74" s="664"/>
      <c r="AN74" s="651"/>
      <c r="AO74" s="651"/>
      <c r="AP74" s="651"/>
      <c r="AQ74" s="651"/>
      <c r="AR74" s="664"/>
      <c r="AS74" s="651"/>
      <c r="AT74" s="651"/>
      <c r="AU74" s="651"/>
      <c r="AV74" s="651"/>
      <c r="AW74" s="664"/>
      <c r="AX74" s="651"/>
      <c r="AY74" s="651"/>
      <c r="AZ74" s="651"/>
      <c r="BA74" s="651"/>
      <c r="BB74" s="664"/>
      <c r="BC74" s="651"/>
      <c r="BD74" s="651"/>
      <c r="BE74" s="651"/>
      <c r="BF74" s="651"/>
      <c r="BG74" s="664"/>
      <c r="BH74" s="651"/>
      <c r="BI74" s="651"/>
      <c r="BJ74" s="651"/>
      <c r="BK74" s="651"/>
      <c r="BL74" s="664">
        <f t="shared" ref="BL74:BV74" si="97">BL$81*BL93</f>
        <v>4.0782999999999996</v>
      </c>
      <c r="BM74" s="651">
        <f t="shared" si="97"/>
        <v>0.9645800000000001</v>
      </c>
      <c r="BN74" s="651">
        <f t="shared" si="97"/>
        <v>1.06284</v>
      </c>
      <c r="BO74" s="651">
        <f t="shared" si="97"/>
        <v>1.02017</v>
      </c>
      <c r="BP74" s="651">
        <f t="shared" si="97"/>
        <v>1.1447800000000001</v>
      </c>
      <c r="BQ74" s="664">
        <f t="shared" si="97"/>
        <v>3.6991499999999999</v>
      </c>
      <c r="BR74" s="673">
        <f t="shared" si="97"/>
        <v>0.87668000000000001</v>
      </c>
      <c r="BS74" s="673">
        <f t="shared" si="97"/>
        <v>0.84643000000000002</v>
      </c>
      <c r="BT74" s="651">
        <f t="shared" si="97"/>
        <v>0.81899999999999995</v>
      </c>
      <c r="BU74" s="651">
        <f t="shared" si="97"/>
        <v>0.93431000000000008</v>
      </c>
      <c r="BV74" s="664">
        <f t="shared" si="97"/>
        <v>3.4138000000000002</v>
      </c>
      <c r="BW74" s="651">
        <v>0.9</v>
      </c>
      <c r="BX74" s="651">
        <v>0.9</v>
      </c>
      <c r="BY74" s="651">
        <v>1</v>
      </c>
      <c r="BZ74" s="651">
        <f>CA74-SUM(BW74:BY74)</f>
        <v>1.2000000000000002</v>
      </c>
      <c r="CA74" s="664">
        <v>4</v>
      </c>
      <c r="CB74" s="651">
        <v>1</v>
      </c>
      <c r="CC74" s="651">
        <v>1.073</v>
      </c>
      <c r="CD74" s="651">
        <v>0.9</v>
      </c>
      <c r="CE74" s="651">
        <v>1.1000000000000001</v>
      </c>
      <c r="CF74" s="664">
        <f>SUM(CB74:CE74)</f>
        <v>4.0730000000000004</v>
      </c>
      <c r="CG74" s="651">
        <v>1.036</v>
      </c>
      <c r="CH74" s="651">
        <v>0.97599999999999998</v>
      </c>
      <c r="CI74" s="651">
        <v>1.0609999999999999</v>
      </c>
      <c r="CJ74" s="651">
        <v>1.3160000000000001</v>
      </c>
      <c r="CK74" s="664">
        <v>4.3890000000000002</v>
      </c>
      <c r="CL74" s="820">
        <v>0.96</v>
      </c>
      <c r="CM74" s="820">
        <v>1.161</v>
      </c>
      <c r="CN74" s="820">
        <v>1.137</v>
      </c>
      <c r="CO74" s="820">
        <v>1.3140000000000001</v>
      </c>
      <c r="CP74" s="664">
        <f>SUM(CL74:CO74)</f>
        <v>4.5720000000000001</v>
      </c>
      <c r="CQ74" s="820">
        <v>0.95599999999999996</v>
      </c>
      <c r="CR74" s="820">
        <v>1.0409999999999999</v>
      </c>
      <c r="CS74" s="820">
        <v>1.107</v>
      </c>
      <c r="CT74" s="820">
        <v>1.032</v>
      </c>
      <c r="CU74" s="664">
        <f>SUM(CQ74:CT74)</f>
        <v>4.1360000000000001</v>
      </c>
      <c r="CV74" s="820">
        <v>1.036</v>
      </c>
      <c r="CW74" s="820">
        <v>1.0960000000000001</v>
      </c>
      <c r="CX74" s="820">
        <v>1.0720000000000001</v>
      </c>
      <c r="CY74" s="820">
        <v>1.2509999999999999</v>
      </c>
      <c r="CZ74" s="664">
        <f>SUM(CV74:CY74)</f>
        <v>4.4550000000000001</v>
      </c>
      <c r="DA74" s="651">
        <f>SEG!DA8/1000</f>
        <v>1.966</v>
      </c>
      <c r="DB74" s="651">
        <f>SEG!DB8/1000</f>
        <v>2.375</v>
      </c>
      <c r="DC74" s="651">
        <f>SEG!DC8/1000</f>
        <v>2.2050000000000001</v>
      </c>
      <c r="DD74" s="651">
        <f>SEG!DD8/1000</f>
        <v>2.4159999999999999</v>
      </c>
      <c r="DE74" s="664">
        <f>data!DE155/1000</f>
        <v>5.6749999999999998</v>
      </c>
      <c r="DF74" s="651">
        <f>SEG!DF8/1000</f>
        <v>2.3119999999999998</v>
      </c>
      <c r="DG74" s="651">
        <f>SEG!DG8/1000</f>
        <v>2.4009999999999998</v>
      </c>
      <c r="DH74" s="651">
        <f>SEG!DH8/1000</f>
        <v>2.2429999999999999</v>
      </c>
      <c r="DI74" s="651">
        <f>SEG!DI8/1000</f>
        <v>2.5230000000000001</v>
      </c>
      <c r="DJ74" s="664">
        <f>SEG!DJ8/1000</f>
        <v>9.4789999999999992</v>
      </c>
      <c r="DK74" s="651">
        <f>SEG!DK8/1000</f>
        <v>2.3239999999999998</v>
      </c>
      <c r="DL74" s="651">
        <f>SEG!DL8/1000</f>
        <v>2.5630000000000002</v>
      </c>
      <c r="DM74" s="651">
        <f>SEG!DM8/1000</f>
        <v>2.4224399999999999</v>
      </c>
      <c r="DN74" s="651">
        <f>SEG!DN8/1000</f>
        <v>2.6996100000000003</v>
      </c>
      <c r="DO74" s="664">
        <f>SEG!DO8/1000</f>
        <v>10.00905</v>
      </c>
      <c r="DP74" s="651">
        <f>SEG!DP8/1000</f>
        <v>2.47506</v>
      </c>
      <c r="DQ74" s="651">
        <f>SEG!DQ8/1000</f>
        <v>2.6911499999999999</v>
      </c>
      <c r="DR74" s="651">
        <f>SEG!DR8/1000</f>
        <v>2.5193376000000005</v>
      </c>
      <c r="DS74" s="651">
        <f>SEG!DS8/1000</f>
        <v>2.8345905000000005</v>
      </c>
      <c r="DT74" s="664">
        <f>SEG!DT8/1000</f>
        <v>10.5201381</v>
      </c>
      <c r="DU74" s="664">
        <f>SEG!DU8/1000</f>
        <v>11.046145005</v>
      </c>
      <c r="DV74" s="664">
        <f>SEG!DV8/1000</f>
        <v>11.53217538522</v>
      </c>
    </row>
    <row r="75" spans="1:126" s="651" customFormat="1" ht="12.9" hidden="1" customHeight="1" outlineLevel="1">
      <c r="B75" s="663" t="s">
        <v>382</v>
      </c>
      <c r="C75" s="664"/>
      <c r="D75" s="664"/>
      <c r="E75" s="664"/>
      <c r="F75" s="664"/>
      <c r="G75" s="664"/>
      <c r="H75" s="664"/>
      <c r="I75" s="664"/>
      <c r="N75" s="664"/>
      <c r="S75" s="664"/>
      <c r="X75" s="664"/>
      <c r="AC75" s="664"/>
      <c r="AH75" s="664"/>
      <c r="AM75" s="664"/>
      <c r="AR75" s="664"/>
      <c r="AW75" s="664"/>
      <c r="BB75" s="664"/>
      <c r="BG75" s="664"/>
      <c r="BL75" s="664">
        <f>BL$81*BL94</f>
        <v>3.1187</v>
      </c>
      <c r="BM75" s="651">
        <f>BM81-SUM(BM71,BM74)</f>
        <v>0.73762000000000061</v>
      </c>
      <c r="BN75" s="651">
        <f>BN81-SUM(BN71,BN74)</f>
        <v>0.81275999999999993</v>
      </c>
      <c r="BO75" s="651">
        <f>BO81-SUM(BO71,BO74)</f>
        <v>0.78012999999999977</v>
      </c>
      <c r="BP75" s="651">
        <f>BP81-SUM(BP71,BP74)</f>
        <v>0.87542000000000009</v>
      </c>
      <c r="BQ75" s="664">
        <f>SUM(BM75:BP75)</f>
        <v>3.2059300000000004</v>
      </c>
      <c r="BR75" s="651">
        <f>BR81-SUM(BR71,BR74)</f>
        <v>0.81405999999999956</v>
      </c>
      <c r="BS75" s="651">
        <f>BS81-SUM(BS71,BS74)</f>
        <v>0.84643000000000068</v>
      </c>
      <c r="BT75" s="651">
        <f>BT81-SUM(BT71,BT74)</f>
        <v>0.81899999999999995</v>
      </c>
      <c r="BU75" s="651">
        <f>BU81-SUM(BU71,BU74)</f>
        <v>0.93430999999999997</v>
      </c>
      <c r="BV75" s="664">
        <f>SUM(BR75:BU75)</f>
        <v>3.4138000000000002</v>
      </c>
      <c r="BW75" s="651">
        <f>BW81-SUM(BW71,BW74)</f>
        <v>0.77299999999999969</v>
      </c>
      <c r="BX75" s="651">
        <f>BX81-SUM(BX71,BX74)</f>
        <v>0.83399999999999963</v>
      </c>
      <c r="BY75" s="651">
        <f>BY81-SUM(BY71,BY74)</f>
        <v>0.89599999999999991</v>
      </c>
      <c r="BZ75" s="651">
        <f>BZ81-SUM(BZ71,BZ74)</f>
        <v>0.80999999999999961</v>
      </c>
      <c r="CA75" s="664">
        <f>SUM(BW75:BZ75)</f>
        <v>3.3129999999999988</v>
      </c>
      <c r="CB75" s="651">
        <f>CB81-SUM(CB71,CB74)</f>
        <v>0.81200000000000028</v>
      </c>
      <c r="CC75" s="651">
        <v>0.91100000000000003</v>
      </c>
      <c r="CD75" s="651">
        <f>CD81-SUM(CD71,CD74)</f>
        <v>0.98000000000000043</v>
      </c>
      <c r="CE75" s="651">
        <f>CE81-SUM(CE71,CE74)</f>
        <v>1.0559999999999992</v>
      </c>
      <c r="CF75" s="664">
        <f>SUM(CB75:CE75)</f>
        <v>3.7589999999999999</v>
      </c>
      <c r="CG75" s="651">
        <v>0.96899999999999997</v>
      </c>
      <c r="CH75" s="651">
        <f>1.052+0.001</f>
        <v>1.0529999999999999</v>
      </c>
      <c r="CI75" s="651">
        <f>1.05+0.001</f>
        <v>1.0509999999999999</v>
      </c>
      <c r="CJ75" s="651">
        <f>CK75-SUM(CG75:CI75)+0.001</f>
        <v>1.1970000000000005</v>
      </c>
      <c r="CK75" s="664">
        <v>4.2690000000000001</v>
      </c>
      <c r="CL75" s="820">
        <v>0.82</v>
      </c>
      <c r="CM75" s="820">
        <v>0.70299999999999996</v>
      </c>
      <c r="CN75" s="820">
        <v>0.69599999999999995</v>
      </c>
      <c r="CO75" s="651">
        <f>CP75-SUM(CL75:CN75)</f>
        <v>0.77200000000000024</v>
      </c>
      <c r="CP75" s="860">
        <v>2.9910000000000001</v>
      </c>
      <c r="CQ75" s="820">
        <v>0.68200000000000005</v>
      </c>
      <c r="CR75" s="820">
        <v>0.68400000000000005</v>
      </c>
      <c r="CS75" s="820">
        <v>0.68899999999999995</v>
      </c>
      <c r="CT75" s="651">
        <f>CU75-SUM(CQ75:CS75)</f>
        <v>0.7589999999999999</v>
      </c>
      <c r="CU75" s="860">
        <v>2.8140000000000001</v>
      </c>
      <c r="CV75" s="820">
        <v>0.71399999999999997</v>
      </c>
      <c r="CW75" s="820">
        <v>0.72499999999999998</v>
      </c>
      <c r="CX75" s="820">
        <v>0.70699999999999996</v>
      </c>
      <c r="CY75" s="651">
        <f>CZ75-SUM(CV75:CX75)</f>
        <v>0.82900000000000018</v>
      </c>
      <c r="CZ75" s="860">
        <v>2.9750000000000001</v>
      </c>
      <c r="DA75" s="651">
        <f>data!DA156/1000</f>
        <v>-0.153</v>
      </c>
      <c r="DB75" s="651">
        <f>data!DB156/1000</f>
        <v>-0.20499999999999999</v>
      </c>
      <c r="DC75" s="651">
        <f>data!DC156/1000</f>
        <v>-0.20100000000000001</v>
      </c>
      <c r="DD75" s="651">
        <f>data!DD156/1000</f>
        <v>-0.29799999999999999</v>
      </c>
      <c r="DE75" s="664">
        <f>data!DE156/1000</f>
        <v>3.3719999999999999</v>
      </c>
      <c r="DF75" s="651">
        <f>data!DF156/1000</f>
        <v>-0.33200000000000002</v>
      </c>
      <c r="DG75" s="651">
        <f>data!DG156/1000</f>
        <v>-0.31</v>
      </c>
      <c r="DH75" s="651">
        <f>data!DH156/1000</f>
        <v>-0.30299999999999999</v>
      </c>
      <c r="DI75" s="651">
        <f>SEG!DI10/1000</f>
        <v>-0.29399999999999998</v>
      </c>
      <c r="DJ75" s="664">
        <f>SEG!DJ10/1000</f>
        <v>-1.2390000000000001</v>
      </c>
      <c r="DK75" s="651">
        <f>SEG!DK10/1000</f>
        <v>-0.3</v>
      </c>
      <c r="DL75" s="651">
        <f>SEG!DL10/1000</f>
        <v>-0.40200000000000002</v>
      </c>
      <c r="DM75" s="651">
        <f>SEG!DM10/1000</f>
        <v>-0.34</v>
      </c>
      <c r="DN75" s="651">
        <f>SEG!DN10/1000</f>
        <v>-0.35</v>
      </c>
      <c r="DO75" s="664">
        <f>SEG!DO10/1000</f>
        <v>-1.3919999999999999</v>
      </c>
      <c r="DP75" s="651">
        <f>SEG!DP10/1000</f>
        <v>-0.32500000000000001</v>
      </c>
      <c r="DQ75" s="651">
        <f>SEG!DQ10/1000</f>
        <v>-0.32500000000000001</v>
      </c>
      <c r="DR75" s="651">
        <f>SEG!DR10/1000</f>
        <v>-0.34</v>
      </c>
      <c r="DS75" s="651">
        <f>SEG!DS10/1000</f>
        <v>-0.36</v>
      </c>
      <c r="DT75" s="664">
        <f>SEG!DT10/1000</f>
        <v>-1.35</v>
      </c>
      <c r="DU75" s="664">
        <f>SEG!DU10/1000</f>
        <v>-1.38</v>
      </c>
      <c r="DV75" s="664">
        <f>SEG!DV10/1000</f>
        <v>-1.4</v>
      </c>
    </row>
    <row r="76" spans="1:126" s="678" customFormat="1" ht="12.9" hidden="1" customHeight="1" outlineLevel="1">
      <c r="B76" s="679" t="s">
        <v>409</v>
      </c>
      <c r="C76" s="680"/>
      <c r="D76" s="680"/>
      <c r="E76" s="680"/>
      <c r="F76" s="680"/>
      <c r="G76" s="680"/>
      <c r="H76" s="680"/>
      <c r="I76" s="680"/>
      <c r="J76" s="681"/>
      <c r="K76" s="681"/>
      <c r="L76" s="681"/>
      <c r="M76" s="681"/>
      <c r="N76" s="680"/>
      <c r="O76" s="681"/>
      <c r="P76" s="681"/>
      <c r="Q76" s="681"/>
      <c r="R76" s="681"/>
      <c r="S76" s="680"/>
      <c r="T76" s="681"/>
      <c r="U76" s="681"/>
      <c r="V76" s="681"/>
      <c r="W76" s="681"/>
      <c r="X76" s="680"/>
      <c r="Y76" s="681"/>
      <c r="Z76" s="681"/>
      <c r="AA76" s="681"/>
      <c r="AB76" s="681"/>
      <c r="AC76" s="680"/>
      <c r="AD76" s="681"/>
      <c r="AE76" s="681"/>
      <c r="AF76" s="681"/>
      <c r="AG76" s="681"/>
      <c r="AH76" s="680"/>
      <c r="AI76" s="681"/>
      <c r="AJ76" s="681"/>
      <c r="AK76" s="681"/>
      <c r="AL76" s="681"/>
      <c r="AM76" s="680"/>
      <c r="AN76" s="681"/>
      <c r="AO76" s="681"/>
      <c r="AP76" s="681"/>
      <c r="AQ76" s="681"/>
      <c r="AR76" s="680"/>
      <c r="AS76" s="681"/>
      <c r="AT76" s="681"/>
      <c r="AU76" s="681"/>
      <c r="AV76" s="681"/>
      <c r="AW76" s="680"/>
      <c r="AX76" s="681"/>
      <c r="AY76" s="681"/>
      <c r="AZ76" s="681"/>
      <c r="BA76" s="681"/>
      <c r="BB76" s="680"/>
      <c r="BC76" s="681"/>
      <c r="BD76" s="681"/>
      <c r="BE76" s="681"/>
      <c r="BF76" s="681"/>
      <c r="BG76" s="680"/>
      <c r="BH76" s="681"/>
      <c r="BI76" s="681"/>
      <c r="BJ76" s="681"/>
      <c r="BK76" s="681"/>
      <c r="BL76" s="680"/>
      <c r="BM76" s="681"/>
      <c r="BN76" s="681"/>
      <c r="BO76" s="681"/>
      <c r="BP76" s="681"/>
      <c r="BQ76" s="680"/>
      <c r="BR76" s="682"/>
      <c r="BS76" s="682"/>
      <c r="BT76" s="681"/>
      <c r="BU76" s="681"/>
      <c r="BV76" s="680"/>
      <c r="BW76" s="681"/>
      <c r="BX76" s="681"/>
      <c r="BY76" s="681"/>
      <c r="BZ76" s="681"/>
      <c r="CA76" s="680"/>
      <c r="CB76" s="681"/>
      <c r="CC76" s="681"/>
      <c r="CD76" s="681"/>
      <c r="CE76" s="681"/>
      <c r="CF76" s="680">
        <v>1.6</v>
      </c>
      <c r="CG76" s="681"/>
      <c r="CH76" s="681"/>
      <c r="CI76" s="681"/>
      <c r="CJ76" s="681"/>
      <c r="CK76" s="680"/>
      <c r="CL76" s="681"/>
      <c r="CM76" s="681"/>
      <c r="CN76" s="681"/>
      <c r="CO76" s="681"/>
      <c r="CP76" s="680">
        <f>14.5-CP71</f>
        <v>1.9999999999999574E-2</v>
      </c>
      <c r="CQ76" s="681"/>
      <c r="CR76" s="681"/>
      <c r="CS76" s="681"/>
      <c r="CT76" s="681"/>
      <c r="CU76" s="680"/>
      <c r="CV76" s="683"/>
      <c r="CW76" s="683"/>
      <c r="CX76" s="683"/>
      <c r="CY76" s="683"/>
      <c r="CZ76" s="680"/>
      <c r="DA76" s="683"/>
      <c r="DB76" s="683"/>
      <c r="DC76" s="683"/>
      <c r="DD76" s="684"/>
      <c r="DE76" s="680"/>
      <c r="DF76" s="683"/>
      <c r="DG76" s="683"/>
      <c r="DH76" s="683"/>
      <c r="DI76" s="683"/>
      <c r="DJ76" s="680"/>
      <c r="DK76" s="683"/>
      <c r="DL76" s="683"/>
      <c r="DM76" s="683"/>
      <c r="DN76" s="683"/>
      <c r="DO76" s="680"/>
      <c r="DP76" s="683"/>
      <c r="DQ76" s="683"/>
      <c r="DR76" s="683"/>
      <c r="DS76" s="683"/>
      <c r="DT76" s="680"/>
      <c r="DU76" s="680"/>
      <c r="DV76" s="680"/>
    </row>
    <row r="77" spans="1:126" s="678" customFormat="1" ht="12.9" hidden="1" customHeight="1" outlineLevel="1">
      <c r="B77" s="679" t="s">
        <v>410</v>
      </c>
      <c r="C77" s="680"/>
      <c r="D77" s="680"/>
      <c r="E77" s="680"/>
      <c r="F77" s="680"/>
      <c r="G77" s="680"/>
      <c r="H77" s="680"/>
      <c r="I77" s="680"/>
      <c r="J77" s="681"/>
      <c r="K77" s="681"/>
      <c r="L77" s="681"/>
      <c r="M77" s="681"/>
      <c r="N77" s="680"/>
      <c r="O77" s="681"/>
      <c r="P77" s="681"/>
      <c r="Q77" s="681"/>
      <c r="R77" s="681"/>
      <c r="S77" s="680"/>
      <c r="T77" s="681"/>
      <c r="U77" s="681"/>
      <c r="V77" s="681"/>
      <c r="W77" s="681"/>
      <c r="X77" s="680"/>
      <c r="Y77" s="681"/>
      <c r="Z77" s="681"/>
      <c r="AA77" s="681"/>
      <c r="AB77" s="681"/>
      <c r="AC77" s="680"/>
      <c r="AD77" s="681"/>
      <c r="AE77" s="681"/>
      <c r="AF77" s="681"/>
      <c r="AG77" s="681"/>
      <c r="AH77" s="680"/>
      <c r="AI77" s="681"/>
      <c r="AJ77" s="681"/>
      <c r="AK77" s="681"/>
      <c r="AL77" s="681"/>
      <c r="AM77" s="680"/>
      <c r="AN77" s="681"/>
      <c r="AO77" s="681"/>
      <c r="AP77" s="681"/>
      <c r="AQ77" s="681"/>
      <c r="AR77" s="680"/>
      <c r="AS77" s="681"/>
      <c r="AT77" s="681"/>
      <c r="AU77" s="681"/>
      <c r="AV77" s="681"/>
      <c r="AW77" s="680"/>
      <c r="AX77" s="681"/>
      <c r="AY77" s="681"/>
      <c r="AZ77" s="681"/>
      <c r="BA77" s="681"/>
      <c r="BB77" s="680"/>
      <c r="BC77" s="681"/>
      <c r="BD77" s="681"/>
      <c r="BE77" s="681"/>
      <c r="BF77" s="681"/>
      <c r="BG77" s="680"/>
      <c r="BH77" s="681"/>
      <c r="BI77" s="681"/>
      <c r="BJ77" s="681"/>
      <c r="BK77" s="681"/>
      <c r="BL77" s="680"/>
      <c r="BM77" s="681"/>
      <c r="BN77" s="681"/>
      <c r="BO77" s="681"/>
      <c r="BP77" s="681"/>
      <c r="BQ77" s="680"/>
      <c r="BR77" s="682"/>
      <c r="BS77" s="682"/>
      <c r="BT77" s="681"/>
      <c r="BU77" s="681"/>
      <c r="BV77" s="680"/>
      <c r="BW77" s="681"/>
      <c r="BX77" s="681"/>
      <c r="BY77" s="681"/>
      <c r="BZ77" s="681"/>
      <c r="CA77" s="680"/>
      <c r="CB77" s="681"/>
      <c r="CC77" s="681"/>
      <c r="CD77" s="681"/>
      <c r="CE77" s="681"/>
      <c r="CF77" s="680">
        <v>1</v>
      </c>
      <c r="CG77" s="681"/>
      <c r="CH77" s="681"/>
      <c r="CI77" s="681"/>
      <c r="CJ77" s="681"/>
      <c r="CK77" s="680"/>
      <c r="CL77" s="681"/>
      <c r="CM77" s="681"/>
      <c r="CN77" s="681"/>
      <c r="CO77" s="681"/>
      <c r="CP77" s="680">
        <v>0.8</v>
      </c>
      <c r="CQ77" s="681"/>
      <c r="CR77" s="681"/>
      <c r="CS77" s="681"/>
      <c r="CT77" s="681"/>
      <c r="CU77" s="680"/>
      <c r="CV77" s="683"/>
      <c r="CW77" s="683"/>
      <c r="CX77" s="683"/>
      <c r="CY77" s="683"/>
      <c r="CZ77" s="680"/>
      <c r="DA77" s="683"/>
      <c r="DB77" s="683"/>
      <c r="DC77" s="683"/>
      <c r="DD77" s="684"/>
      <c r="DE77" s="680"/>
      <c r="DF77" s="683"/>
      <c r="DG77" s="683"/>
      <c r="DH77" s="683"/>
      <c r="DI77" s="683"/>
      <c r="DJ77" s="680"/>
      <c r="DK77" s="683"/>
      <c r="DL77" s="683"/>
      <c r="DM77" s="683"/>
      <c r="DN77" s="683"/>
      <c r="DO77" s="680"/>
      <c r="DP77" s="683"/>
      <c r="DQ77" s="683"/>
      <c r="DR77" s="683"/>
      <c r="DS77" s="683"/>
      <c r="DT77" s="680"/>
      <c r="DU77" s="680"/>
      <c r="DV77" s="680"/>
    </row>
    <row r="78" spans="1:126" s="678" customFormat="1" ht="12.9" hidden="1" customHeight="1" outlineLevel="1">
      <c r="B78" s="679" t="s">
        <v>411</v>
      </c>
      <c r="C78" s="680"/>
      <c r="D78" s="680"/>
      <c r="E78" s="680"/>
      <c r="F78" s="680"/>
      <c r="G78" s="680"/>
      <c r="H78" s="680"/>
      <c r="I78" s="680"/>
      <c r="J78" s="681"/>
      <c r="K78" s="681"/>
      <c r="L78" s="681"/>
      <c r="M78" s="681"/>
      <c r="N78" s="680"/>
      <c r="O78" s="681"/>
      <c r="P78" s="681"/>
      <c r="Q78" s="681"/>
      <c r="R78" s="681"/>
      <c r="S78" s="680"/>
      <c r="T78" s="681"/>
      <c r="U78" s="681"/>
      <c r="V78" s="681"/>
      <c r="W78" s="681"/>
      <c r="X78" s="680"/>
      <c r="Y78" s="681"/>
      <c r="Z78" s="681"/>
      <c r="AA78" s="681"/>
      <c r="AB78" s="681"/>
      <c r="AC78" s="680"/>
      <c r="AD78" s="681"/>
      <c r="AE78" s="681"/>
      <c r="AF78" s="681"/>
      <c r="AG78" s="681"/>
      <c r="AH78" s="680"/>
      <c r="AI78" s="681"/>
      <c r="AJ78" s="681"/>
      <c r="AK78" s="681"/>
      <c r="AL78" s="681"/>
      <c r="AM78" s="680"/>
      <c r="AN78" s="681"/>
      <c r="AO78" s="681"/>
      <c r="AP78" s="681"/>
      <c r="AQ78" s="681"/>
      <c r="AR78" s="680"/>
      <c r="AS78" s="681"/>
      <c r="AT78" s="681"/>
      <c r="AU78" s="681"/>
      <c r="AV78" s="681"/>
      <c r="AW78" s="680"/>
      <c r="AX78" s="681"/>
      <c r="AY78" s="681"/>
      <c r="AZ78" s="681"/>
      <c r="BA78" s="681"/>
      <c r="BB78" s="680"/>
      <c r="BC78" s="681"/>
      <c r="BD78" s="681"/>
      <c r="BE78" s="681"/>
      <c r="BF78" s="681"/>
      <c r="BG78" s="680"/>
      <c r="BH78" s="681"/>
      <c r="BI78" s="681"/>
      <c r="BJ78" s="681"/>
      <c r="BK78" s="681"/>
      <c r="BL78" s="680"/>
      <c r="BM78" s="681"/>
      <c r="BN78" s="681"/>
      <c r="BO78" s="681"/>
      <c r="BP78" s="681"/>
      <c r="BQ78" s="680"/>
      <c r="BR78" s="682"/>
      <c r="BS78" s="682"/>
      <c r="BT78" s="681"/>
      <c r="BU78" s="681"/>
      <c r="BV78" s="680"/>
      <c r="BW78" s="681"/>
      <c r="BX78" s="681"/>
      <c r="BY78" s="681"/>
      <c r="BZ78" s="681"/>
      <c r="CA78" s="680"/>
      <c r="CB78" s="681"/>
      <c r="CC78" s="681"/>
      <c r="CD78" s="681"/>
      <c r="CE78" s="681"/>
      <c r="CF78" s="680">
        <v>0.8</v>
      </c>
      <c r="CG78" s="681"/>
      <c r="CH78" s="681"/>
      <c r="CI78" s="681"/>
      <c r="CJ78" s="681"/>
      <c r="CK78" s="680"/>
      <c r="CL78" s="681"/>
      <c r="CM78" s="681"/>
      <c r="CN78" s="681"/>
      <c r="CO78" s="681"/>
      <c r="CP78" s="680"/>
      <c r="CQ78" s="681"/>
      <c r="CR78" s="681"/>
      <c r="CS78" s="681"/>
      <c r="CT78" s="681"/>
      <c r="CU78" s="680"/>
      <c r="CV78" s="683"/>
      <c r="CW78" s="683"/>
      <c r="CX78" s="683"/>
      <c r="CY78" s="683"/>
      <c r="CZ78" s="680"/>
      <c r="DA78" s="683"/>
      <c r="DB78" s="683"/>
      <c r="DC78" s="683"/>
      <c r="DD78" s="684"/>
      <c r="DE78" s="680"/>
      <c r="DF78" s="683"/>
      <c r="DG78" s="683"/>
      <c r="DH78" s="683"/>
      <c r="DI78" s="683"/>
      <c r="DJ78" s="680"/>
      <c r="DK78" s="683"/>
      <c r="DL78" s="683"/>
      <c r="DM78" s="683"/>
      <c r="DN78" s="683"/>
      <c r="DO78" s="680"/>
      <c r="DP78" s="683"/>
      <c r="DQ78" s="683"/>
      <c r="DR78" s="683"/>
      <c r="DS78" s="683"/>
      <c r="DT78" s="680"/>
      <c r="DU78" s="680"/>
      <c r="DV78" s="680"/>
    </row>
    <row r="79" spans="1:126" s="678" customFormat="1" ht="12.9" hidden="1" customHeight="1" outlineLevel="1">
      <c r="B79" s="679" t="s">
        <v>412</v>
      </c>
      <c r="C79" s="680"/>
      <c r="D79" s="680"/>
      <c r="E79" s="680"/>
      <c r="F79" s="680"/>
      <c r="G79" s="680"/>
      <c r="H79" s="680"/>
      <c r="I79" s="680"/>
      <c r="J79" s="681"/>
      <c r="K79" s="681"/>
      <c r="L79" s="681"/>
      <c r="M79" s="681"/>
      <c r="N79" s="680"/>
      <c r="O79" s="681"/>
      <c r="P79" s="681"/>
      <c r="Q79" s="681"/>
      <c r="R79" s="681"/>
      <c r="S79" s="680"/>
      <c r="T79" s="681"/>
      <c r="U79" s="681"/>
      <c r="V79" s="681"/>
      <c r="W79" s="681"/>
      <c r="X79" s="680"/>
      <c r="Y79" s="681"/>
      <c r="Z79" s="681"/>
      <c r="AA79" s="681"/>
      <c r="AB79" s="681"/>
      <c r="AC79" s="680"/>
      <c r="AD79" s="681"/>
      <c r="AE79" s="681"/>
      <c r="AF79" s="681"/>
      <c r="AG79" s="681"/>
      <c r="AH79" s="680"/>
      <c r="AI79" s="681"/>
      <c r="AJ79" s="681"/>
      <c r="AK79" s="681"/>
      <c r="AL79" s="681"/>
      <c r="AM79" s="680"/>
      <c r="AN79" s="681"/>
      <c r="AO79" s="681"/>
      <c r="AP79" s="681"/>
      <c r="AQ79" s="681"/>
      <c r="AR79" s="680"/>
      <c r="AS79" s="681"/>
      <c r="AT79" s="681"/>
      <c r="AU79" s="681"/>
      <c r="AV79" s="681"/>
      <c r="AW79" s="680"/>
      <c r="AX79" s="681"/>
      <c r="AY79" s="681"/>
      <c r="AZ79" s="681"/>
      <c r="BA79" s="681"/>
      <c r="BB79" s="680"/>
      <c r="BC79" s="681"/>
      <c r="BD79" s="681"/>
      <c r="BE79" s="681"/>
      <c r="BF79" s="681"/>
      <c r="BG79" s="680"/>
      <c r="BH79" s="681"/>
      <c r="BI79" s="681"/>
      <c r="BJ79" s="681"/>
      <c r="BK79" s="681"/>
      <c r="BL79" s="680"/>
      <c r="BM79" s="681"/>
      <c r="BN79" s="681"/>
      <c r="BO79" s="681"/>
      <c r="BP79" s="681"/>
      <c r="BQ79" s="680"/>
      <c r="BR79" s="682"/>
      <c r="BS79" s="682"/>
      <c r="BT79" s="681"/>
      <c r="BU79" s="681"/>
      <c r="BV79" s="680"/>
      <c r="BW79" s="681"/>
      <c r="BX79" s="681"/>
      <c r="BY79" s="681"/>
      <c r="BZ79" s="681"/>
      <c r="CA79" s="680"/>
      <c r="CB79" s="681"/>
      <c r="CC79" s="681"/>
      <c r="CD79" s="681"/>
      <c r="CE79" s="681"/>
      <c r="CF79" s="680">
        <v>0.4</v>
      </c>
      <c r="CG79" s="681"/>
      <c r="CH79" s="681"/>
      <c r="CI79" s="681"/>
      <c r="CJ79" s="681"/>
      <c r="CK79" s="680"/>
      <c r="CL79" s="681"/>
      <c r="CM79" s="681"/>
      <c r="CN79" s="681"/>
      <c r="CO79" s="681"/>
      <c r="CP79" s="680">
        <v>0.4</v>
      </c>
      <c r="CQ79" s="681"/>
      <c r="CR79" s="681"/>
      <c r="CS79" s="681"/>
      <c r="CT79" s="681"/>
      <c r="CU79" s="680"/>
      <c r="CV79" s="683"/>
      <c r="CW79" s="683"/>
      <c r="CX79" s="683"/>
      <c r="CY79" s="683"/>
      <c r="CZ79" s="680"/>
      <c r="DA79" s="683"/>
      <c r="DB79" s="683"/>
      <c r="DC79" s="683"/>
      <c r="DD79" s="684"/>
      <c r="DE79" s="680"/>
      <c r="DF79" s="683"/>
      <c r="DG79" s="683"/>
      <c r="DH79" s="683"/>
      <c r="DI79" s="683"/>
      <c r="DJ79" s="680"/>
      <c r="DK79" s="683"/>
      <c r="DL79" s="683"/>
      <c r="DM79" s="683"/>
      <c r="DN79" s="683"/>
      <c r="DO79" s="680"/>
      <c r="DP79" s="683"/>
      <c r="DQ79" s="683"/>
      <c r="DR79" s="683"/>
      <c r="DS79" s="683"/>
      <c r="DT79" s="680"/>
      <c r="DU79" s="680"/>
      <c r="DV79" s="680"/>
    </row>
    <row r="80" spans="1:126" s="678" customFormat="1" ht="12.9" hidden="1" customHeight="1" outlineLevel="1">
      <c r="B80" s="685" t="s">
        <v>413</v>
      </c>
      <c r="C80" s="686"/>
      <c r="D80" s="686"/>
      <c r="E80" s="686"/>
      <c r="F80" s="686"/>
      <c r="G80" s="686"/>
      <c r="H80" s="686"/>
      <c r="I80" s="686"/>
      <c r="J80" s="687"/>
      <c r="K80" s="687"/>
      <c r="L80" s="687"/>
      <c r="M80" s="687"/>
      <c r="N80" s="686"/>
      <c r="O80" s="687"/>
      <c r="P80" s="687"/>
      <c r="Q80" s="687"/>
      <c r="R80" s="687"/>
      <c r="S80" s="686"/>
      <c r="T80" s="687"/>
      <c r="U80" s="687"/>
      <c r="V80" s="687"/>
      <c r="W80" s="687"/>
      <c r="X80" s="686"/>
      <c r="Y80" s="687"/>
      <c r="Z80" s="687"/>
      <c r="AA80" s="687"/>
      <c r="AB80" s="687"/>
      <c r="AC80" s="686"/>
      <c r="AD80" s="687"/>
      <c r="AE80" s="687"/>
      <c r="AF80" s="687"/>
      <c r="AG80" s="687"/>
      <c r="AH80" s="686"/>
      <c r="AI80" s="687"/>
      <c r="AJ80" s="687"/>
      <c r="AK80" s="687"/>
      <c r="AL80" s="687"/>
      <c r="AM80" s="686"/>
      <c r="AN80" s="687"/>
      <c r="AO80" s="687"/>
      <c r="AP80" s="687"/>
      <c r="AQ80" s="687"/>
      <c r="AR80" s="686"/>
      <c r="AS80" s="687"/>
      <c r="AT80" s="687"/>
      <c r="AU80" s="687"/>
      <c r="AV80" s="687"/>
      <c r="AW80" s="686"/>
      <c r="AX80" s="687"/>
      <c r="AY80" s="687"/>
      <c r="AZ80" s="687"/>
      <c r="BA80" s="687"/>
      <c r="BB80" s="686"/>
      <c r="BC80" s="687"/>
      <c r="BD80" s="687"/>
      <c r="BE80" s="687"/>
      <c r="BF80" s="687"/>
      <c r="BG80" s="686"/>
      <c r="BH80" s="687"/>
      <c r="BI80" s="687"/>
      <c r="BJ80" s="687"/>
      <c r="BK80" s="687"/>
      <c r="BL80" s="686"/>
      <c r="BM80" s="687"/>
      <c r="BN80" s="687"/>
      <c r="BO80" s="687"/>
      <c r="BP80" s="687"/>
      <c r="BQ80" s="686"/>
      <c r="BR80" s="688"/>
      <c r="BS80" s="688"/>
      <c r="BT80" s="687"/>
      <c r="BU80" s="687"/>
      <c r="BV80" s="686"/>
      <c r="BW80" s="687"/>
      <c r="BX80" s="687"/>
      <c r="BY80" s="687"/>
      <c r="BZ80" s="687"/>
      <c r="CA80" s="686"/>
      <c r="CB80" s="687"/>
      <c r="CC80" s="687"/>
      <c r="CD80" s="687"/>
      <c r="CE80" s="687"/>
      <c r="CF80" s="686"/>
      <c r="CG80" s="687"/>
      <c r="CH80" s="687"/>
      <c r="CI80" s="687"/>
      <c r="CJ80" s="687"/>
      <c r="CK80" s="686"/>
      <c r="CL80" s="687"/>
      <c r="CM80" s="687"/>
      <c r="CN80" s="687"/>
      <c r="CO80" s="687"/>
      <c r="CP80" s="686">
        <v>1.7</v>
      </c>
      <c r="CQ80" s="687"/>
      <c r="CR80" s="687"/>
      <c r="CS80" s="687"/>
      <c r="CT80" s="687"/>
      <c r="CU80" s="686"/>
      <c r="CV80" s="689"/>
      <c r="CW80" s="689"/>
      <c r="CX80" s="689"/>
      <c r="CY80" s="689"/>
      <c r="CZ80" s="686"/>
      <c r="DA80" s="689"/>
      <c r="DB80" s="689"/>
      <c r="DC80" s="689"/>
      <c r="DD80" s="690"/>
      <c r="DE80" s="686"/>
      <c r="DF80" s="689"/>
      <c r="DG80" s="689"/>
      <c r="DH80" s="689"/>
      <c r="DI80" s="689"/>
      <c r="DJ80" s="686"/>
      <c r="DK80" s="689"/>
      <c r="DL80" s="689"/>
      <c r="DM80" s="689"/>
      <c r="DN80" s="689"/>
      <c r="DO80" s="686"/>
      <c r="DP80" s="689"/>
      <c r="DQ80" s="689"/>
      <c r="DR80" s="689"/>
      <c r="DS80" s="689"/>
      <c r="DT80" s="686"/>
      <c r="DU80" s="686"/>
      <c r="DV80" s="686"/>
    </row>
    <row r="81" spans="2:126" s="651" customFormat="1" ht="12.9" customHeight="1" collapsed="1">
      <c r="B81" s="668" t="s">
        <v>70</v>
      </c>
      <c r="C81" s="691"/>
      <c r="D81" s="691"/>
      <c r="E81" s="691"/>
      <c r="F81" s="691"/>
      <c r="G81" s="691"/>
      <c r="H81" s="691"/>
      <c r="I81" s="691"/>
      <c r="J81" s="660"/>
      <c r="K81" s="660"/>
      <c r="L81" s="660"/>
      <c r="M81" s="660"/>
      <c r="N81" s="691"/>
      <c r="O81" s="660"/>
      <c r="P81" s="660"/>
      <c r="Q81" s="660"/>
      <c r="R81" s="660"/>
      <c r="S81" s="691"/>
      <c r="T81" s="660"/>
      <c r="U81" s="660"/>
      <c r="V81" s="660"/>
      <c r="W81" s="660"/>
      <c r="X81" s="691"/>
      <c r="Y81" s="660"/>
      <c r="Z81" s="660"/>
      <c r="AA81" s="660"/>
      <c r="AB81" s="660"/>
      <c r="AC81" s="691"/>
      <c r="AD81" s="660"/>
      <c r="AE81" s="660"/>
      <c r="AF81" s="660"/>
      <c r="AG81" s="660"/>
      <c r="AH81" s="691"/>
      <c r="AI81" s="660"/>
      <c r="AJ81" s="660"/>
      <c r="AK81" s="660"/>
      <c r="AL81" s="660"/>
      <c r="AM81" s="691"/>
      <c r="AN81" s="660"/>
      <c r="AO81" s="660"/>
      <c r="AP81" s="660"/>
      <c r="AQ81" s="660"/>
      <c r="AR81" s="691"/>
      <c r="AS81" s="660"/>
      <c r="AT81" s="660"/>
      <c r="AU81" s="660"/>
      <c r="AV81" s="660"/>
      <c r="AW81" s="691"/>
      <c r="AX81" s="660"/>
      <c r="AY81" s="660"/>
      <c r="AZ81" s="660"/>
      <c r="BA81" s="660"/>
      <c r="BB81" s="691"/>
      <c r="BC81" s="660"/>
      <c r="BD81" s="660"/>
      <c r="BE81" s="660"/>
      <c r="BF81" s="660"/>
      <c r="BG81" s="691"/>
      <c r="BH81" s="660"/>
      <c r="BI81" s="660"/>
      <c r="BJ81" s="660"/>
      <c r="BK81" s="660"/>
      <c r="BL81" s="691">
        <f t="shared" ref="BL81:BZ81" si="98">BL$7/1000</f>
        <v>23.99</v>
      </c>
      <c r="BM81" s="660">
        <f t="shared" si="98"/>
        <v>5.6740000000000004</v>
      </c>
      <c r="BN81" s="660">
        <f t="shared" si="98"/>
        <v>6.2519999999999998</v>
      </c>
      <c r="BO81" s="660">
        <f t="shared" si="98"/>
        <v>6.0010000000000003</v>
      </c>
      <c r="BP81" s="660">
        <f t="shared" si="98"/>
        <v>6.734</v>
      </c>
      <c r="BQ81" s="691">
        <f t="shared" si="98"/>
        <v>24.661000000000001</v>
      </c>
      <c r="BR81" s="692">
        <f t="shared" si="98"/>
        <v>6.2619999999999996</v>
      </c>
      <c r="BS81" s="692">
        <f t="shared" si="98"/>
        <v>6.5110000000000001</v>
      </c>
      <c r="BT81" s="660">
        <f t="shared" si="98"/>
        <v>6.3</v>
      </c>
      <c r="BU81" s="660">
        <f t="shared" si="98"/>
        <v>7.1870000000000003</v>
      </c>
      <c r="BV81" s="691">
        <f t="shared" si="98"/>
        <v>26.26</v>
      </c>
      <c r="BW81" s="660">
        <f t="shared" si="98"/>
        <v>6.673</v>
      </c>
      <c r="BX81" s="660">
        <f t="shared" si="98"/>
        <v>6.6340000000000003</v>
      </c>
      <c r="BY81" s="660">
        <f t="shared" si="98"/>
        <v>6.6959999999999997</v>
      </c>
      <c r="BZ81" s="660">
        <f t="shared" si="98"/>
        <v>7.01</v>
      </c>
      <c r="CA81" s="691">
        <f>SUM(BW81:BZ81)</f>
        <v>27.012999999999998</v>
      </c>
      <c r="CB81" s="660">
        <f>CB$7/1000</f>
        <v>7.1120000000000001</v>
      </c>
      <c r="CC81" s="660">
        <f>SUM(CC71,CC74,CC75)</f>
        <v>7.5179999999999989</v>
      </c>
      <c r="CD81" s="660">
        <f>CD$7/1000</f>
        <v>7.48</v>
      </c>
      <c r="CE81" s="660">
        <f>CE$7/1000</f>
        <v>8.4559999999999995</v>
      </c>
      <c r="CF81" s="691">
        <f>SUM(CB81:CE81)</f>
        <v>30.565999999999999</v>
      </c>
      <c r="CG81" s="660">
        <f>SUM(CG71,CG74,CG75)</f>
        <v>7.9539999999999997</v>
      </c>
      <c r="CH81" s="660">
        <f>SUM(CH71,CH74,CH75)</f>
        <v>7.8769999999999998</v>
      </c>
      <c r="CI81" s="660">
        <f>SUM(CI71,CI74,CI75)</f>
        <v>8.109</v>
      </c>
      <c r="CJ81" s="660">
        <f>SUM(CJ71,CJ74,CJ75)</f>
        <v>8.9359999999999982</v>
      </c>
      <c r="CK81" s="691">
        <f>SUM(CG81:CJ81)</f>
        <v>32.875999999999998</v>
      </c>
      <c r="CL81" s="660">
        <f>SUM(CL71,CL74,CL75)</f>
        <v>6.8930000000000007</v>
      </c>
      <c r="CM81" s="660">
        <f>SUM(CM71,CM74,CM75)</f>
        <v>4.383</v>
      </c>
      <c r="CN81" s="660">
        <f>SUM(CN71,CN74,CN75)</f>
        <v>4.92</v>
      </c>
      <c r="CO81" s="660">
        <f>CO7/1000</f>
        <v>5.8470000000000004</v>
      </c>
      <c r="CP81" s="691">
        <f>CP7/1000</f>
        <v>22.042000000000002</v>
      </c>
      <c r="CQ81" s="660">
        <f>CQ7/1000</f>
        <v>4.992</v>
      </c>
      <c r="CR81" s="660">
        <f>CR7/1000</f>
        <v>4.84</v>
      </c>
      <c r="CS81" s="660">
        <f>SUM(CS71,CS74,CS75)</f>
        <v>5.3979999999999997</v>
      </c>
      <c r="CT81" s="660">
        <f>CT7/1000</f>
        <v>6.08</v>
      </c>
      <c r="CU81" s="691">
        <f t="shared" ref="CU81" si="99">SUM(CU71,CU74,CU75)</f>
        <v>21.31</v>
      </c>
      <c r="CV81" s="660">
        <f t="shared" ref="CV81:DJ81" si="100">SUM(CV71,CV74,CV75)</f>
        <v>5.6029999999999998</v>
      </c>
      <c r="CW81" s="660">
        <f t="shared" si="100"/>
        <v>6.1269999999999998</v>
      </c>
      <c r="CX81" s="660">
        <f t="shared" si="100"/>
        <v>6.75</v>
      </c>
      <c r="CY81" s="660">
        <f t="shared" si="100"/>
        <v>7.6149999999999984</v>
      </c>
      <c r="CZ81" s="691">
        <f t="shared" si="100"/>
        <v>26.094999999999999</v>
      </c>
      <c r="DA81" s="660">
        <f t="shared" si="100"/>
        <v>7.0450000000000008</v>
      </c>
      <c r="DB81" s="660">
        <f t="shared" si="100"/>
        <v>7.907</v>
      </c>
      <c r="DC81" s="660">
        <f t="shared" si="100"/>
        <v>8.4609999999999985</v>
      </c>
      <c r="DD81" s="660">
        <f t="shared" si="100"/>
        <v>8.5470000000000006</v>
      </c>
      <c r="DE81" s="691">
        <f t="shared" si="100"/>
        <v>32.902000000000001</v>
      </c>
      <c r="DF81" s="660">
        <f t="shared" si="100"/>
        <v>8.08</v>
      </c>
      <c r="DG81" s="660">
        <f t="shared" si="100"/>
        <v>8.1909999999999989</v>
      </c>
      <c r="DH81" s="660">
        <f t="shared" si="100"/>
        <v>8.9429999999999996</v>
      </c>
      <c r="DI81" s="660">
        <f t="shared" si="100"/>
        <v>9.8789999999999996</v>
      </c>
      <c r="DJ81" s="691">
        <f t="shared" si="100"/>
        <v>35.121000000000002</v>
      </c>
      <c r="DK81" s="660">
        <f t="shared" ref="DK81:DO81" si="101">SUM(DK71,DK74,DK75)</f>
        <v>9.0009999999999994</v>
      </c>
      <c r="DL81" s="660">
        <f t="shared" si="101"/>
        <v>10.151000000000002</v>
      </c>
      <c r="DM81" s="660">
        <f t="shared" si="101"/>
        <v>10.065860000000001</v>
      </c>
      <c r="DN81" s="660">
        <f t="shared" si="101"/>
        <v>10.60549</v>
      </c>
      <c r="DO81" s="691">
        <f t="shared" si="101"/>
        <v>39.823349999999998</v>
      </c>
      <c r="DP81" s="660">
        <f t="shared" ref="DP81:DT81" si="102">SUM(DP71,DP74,DP75)</f>
        <v>10.243380000000002</v>
      </c>
      <c r="DQ81" s="660">
        <f t="shared" si="102"/>
        <v>11.474750000000002</v>
      </c>
      <c r="DR81" s="660">
        <f t="shared" si="102"/>
        <v>11.360270600000002</v>
      </c>
      <c r="DS81" s="660">
        <f t="shared" si="102"/>
        <v>12.246250068</v>
      </c>
      <c r="DT81" s="691">
        <f t="shared" si="102"/>
        <v>45.324650667999997</v>
      </c>
      <c r="DU81" s="691">
        <f t="shared" ref="DU81" si="103">SUM(DU71,DU74,DU75)</f>
        <v>49.201104498107988</v>
      </c>
      <c r="DV81" s="691">
        <f t="shared" ref="DV81" si="104">SUM(DV71,DV74,DV75)</f>
        <v>52.592721880817983</v>
      </c>
    </row>
    <row r="82" spans="2:126" s="651" customFormat="1" ht="12.9" customHeight="1">
      <c r="B82" s="668"/>
      <c r="C82" s="691"/>
      <c r="D82" s="691"/>
      <c r="E82" s="691"/>
      <c r="F82" s="691"/>
      <c r="G82" s="691"/>
      <c r="H82" s="691"/>
      <c r="I82" s="691"/>
      <c r="J82" s="660"/>
      <c r="K82" s="660"/>
      <c r="L82" s="660"/>
      <c r="M82" s="660"/>
      <c r="N82" s="691"/>
      <c r="O82" s="660"/>
      <c r="P82" s="660"/>
      <c r="Q82" s="660"/>
      <c r="R82" s="660"/>
      <c r="S82" s="691"/>
      <c r="T82" s="660"/>
      <c r="U82" s="660"/>
      <c r="V82" s="660"/>
      <c r="W82" s="660"/>
      <c r="X82" s="691"/>
      <c r="Y82" s="660"/>
      <c r="Z82" s="660"/>
      <c r="AA82" s="660"/>
      <c r="AB82" s="660"/>
      <c r="AC82" s="691"/>
      <c r="AD82" s="660"/>
      <c r="AE82" s="660"/>
      <c r="AF82" s="660"/>
      <c r="AG82" s="660"/>
      <c r="AH82" s="691"/>
      <c r="AI82" s="660"/>
      <c r="AJ82" s="660"/>
      <c r="AK82" s="660"/>
      <c r="AL82" s="660"/>
      <c r="AM82" s="691"/>
      <c r="AN82" s="660"/>
      <c r="AO82" s="660"/>
      <c r="AP82" s="660"/>
      <c r="AQ82" s="660"/>
      <c r="AR82" s="691"/>
      <c r="AS82" s="660"/>
      <c r="AT82" s="660"/>
      <c r="AU82" s="660"/>
      <c r="AV82" s="660"/>
      <c r="AW82" s="691"/>
      <c r="AX82" s="660"/>
      <c r="AY82" s="660"/>
      <c r="AZ82" s="660"/>
      <c r="BA82" s="660"/>
      <c r="BB82" s="691"/>
      <c r="BC82" s="660"/>
      <c r="BD82" s="660"/>
      <c r="BE82" s="660"/>
      <c r="BF82" s="660"/>
      <c r="BG82" s="691"/>
      <c r="BH82" s="660"/>
      <c r="BI82" s="660"/>
      <c r="BJ82" s="660"/>
      <c r="BK82" s="660"/>
      <c r="BL82" s="691"/>
      <c r="BM82" s="660"/>
      <c r="BN82" s="660"/>
      <c r="BO82" s="660"/>
      <c r="BP82" s="660"/>
      <c r="BQ82" s="691"/>
      <c r="BR82" s="692"/>
      <c r="BS82" s="692"/>
      <c r="BT82" s="660"/>
      <c r="BU82" s="660"/>
      <c r="BV82" s="691"/>
      <c r="BW82" s="660"/>
      <c r="BX82" s="660"/>
      <c r="BY82" s="660"/>
      <c r="BZ82" s="660"/>
      <c r="CA82" s="691"/>
      <c r="CB82" s="660"/>
      <c r="CC82" s="660"/>
      <c r="CD82" s="660"/>
      <c r="CE82" s="660"/>
      <c r="CF82" s="691"/>
      <c r="CG82" s="660"/>
      <c r="CH82" s="660"/>
      <c r="CI82" s="660"/>
      <c r="CJ82" s="660"/>
      <c r="CK82" s="691"/>
      <c r="CL82" s="660"/>
      <c r="CM82" s="660"/>
      <c r="CN82" s="660"/>
      <c r="CO82" s="660"/>
      <c r="CP82" s="691"/>
      <c r="CQ82" s="660"/>
      <c r="CR82" s="660"/>
      <c r="CS82" s="660"/>
      <c r="CT82" s="660"/>
      <c r="CU82" s="691"/>
      <c r="CV82" s="660"/>
      <c r="CW82" s="660"/>
      <c r="CX82" s="660"/>
      <c r="CY82" s="660"/>
      <c r="CZ82" s="691"/>
      <c r="DA82" s="660"/>
      <c r="DB82" s="660"/>
      <c r="DC82" s="660"/>
      <c r="DD82" s="660"/>
      <c r="DE82" s="691"/>
      <c r="DF82" s="660"/>
      <c r="DG82" s="660"/>
      <c r="DH82" s="660"/>
      <c r="DI82" s="660"/>
      <c r="DJ82" s="691"/>
      <c r="DK82" s="694"/>
      <c r="DL82" s="694"/>
      <c r="DM82" s="694"/>
      <c r="DN82" s="694"/>
      <c r="DO82" s="691"/>
      <c r="DP82" s="694"/>
      <c r="DQ82" s="694"/>
      <c r="DR82" s="694"/>
      <c r="DS82" s="694"/>
      <c r="DT82" s="691"/>
      <c r="DU82" s="691"/>
      <c r="DV82" s="691"/>
    </row>
    <row r="83" spans="2:126" s="634" customFormat="1" ht="12.9" customHeight="1">
      <c r="B83" s="660" t="s">
        <v>395</v>
      </c>
      <c r="C83" s="789"/>
      <c r="D83" s="789"/>
      <c r="E83" s="789"/>
      <c r="F83" s="789"/>
      <c r="G83" s="789"/>
      <c r="H83" s="789"/>
      <c r="I83" s="789"/>
      <c r="J83" s="790"/>
      <c r="K83" s="790"/>
      <c r="L83" s="790"/>
      <c r="M83" s="790"/>
      <c r="N83" s="789"/>
      <c r="O83" s="790"/>
      <c r="P83" s="790"/>
      <c r="Q83" s="790"/>
      <c r="R83" s="790"/>
      <c r="S83" s="789"/>
      <c r="T83" s="790"/>
      <c r="U83" s="790"/>
      <c r="V83" s="790"/>
      <c r="W83" s="790"/>
      <c r="X83" s="789"/>
      <c r="Y83" s="790"/>
      <c r="Z83" s="790"/>
      <c r="AA83" s="790"/>
      <c r="AB83" s="790"/>
      <c r="AC83" s="789"/>
      <c r="AD83" s="790"/>
      <c r="AE83" s="790"/>
      <c r="AF83" s="790"/>
      <c r="AG83" s="790"/>
      <c r="AH83" s="789"/>
      <c r="AI83" s="790"/>
      <c r="AJ83" s="790"/>
      <c r="AK83" s="790"/>
      <c r="AL83" s="790"/>
      <c r="AM83" s="789"/>
      <c r="AN83" s="790"/>
      <c r="AO83" s="790"/>
      <c r="AP83" s="790"/>
      <c r="AQ83" s="790"/>
      <c r="AR83" s="789"/>
      <c r="AS83" s="790"/>
      <c r="AT83" s="790"/>
      <c r="AU83" s="790"/>
      <c r="AV83" s="790"/>
      <c r="AW83" s="789"/>
      <c r="AX83" s="790"/>
      <c r="AY83" s="790"/>
      <c r="AZ83" s="790"/>
      <c r="BA83" s="790"/>
      <c r="BB83" s="789"/>
      <c r="BC83" s="790"/>
      <c r="BD83" s="790"/>
      <c r="BE83" s="790"/>
      <c r="BF83" s="790"/>
      <c r="BG83" s="789"/>
      <c r="BH83" s="790"/>
      <c r="BI83" s="790"/>
      <c r="BJ83" s="790"/>
      <c r="BK83" s="790"/>
      <c r="BL83" s="789"/>
      <c r="BM83" s="790"/>
      <c r="BN83" s="790"/>
      <c r="BO83" s="790"/>
      <c r="BP83" s="790"/>
      <c r="BQ83" s="789"/>
      <c r="BR83" s="790"/>
      <c r="BS83" s="790"/>
      <c r="BT83" s="790"/>
      <c r="BU83" s="790"/>
      <c r="BV83" s="789"/>
      <c r="BW83" s="790"/>
      <c r="BX83" s="790"/>
      <c r="BY83" s="790"/>
      <c r="BZ83" s="790"/>
      <c r="CA83" s="789"/>
      <c r="CB83" s="790"/>
      <c r="CC83" s="790"/>
      <c r="CD83" s="790"/>
      <c r="CE83" s="790"/>
      <c r="CF83" s="789"/>
      <c r="CG83" s="791"/>
      <c r="CH83" s="790"/>
      <c r="CI83" s="790"/>
      <c r="CJ83" s="790"/>
      <c r="CK83" s="789"/>
      <c r="CL83" s="791"/>
      <c r="CM83" s="790"/>
      <c r="CN83" s="790"/>
      <c r="CO83" s="790"/>
      <c r="CP83" s="789"/>
      <c r="CQ83" s="793"/>
      <c r="CR83" s="793"/>
      <c r="CS83" s="790"/>
      <c r="CT83" s="790"/>
      <c r="CU83" s="789"/>
      <c r="CV83" s="790"/>
      <c r="CW83" s="790"/>
      <c r="CX83" s="790"/>
      <c r="CY83" s="790"/>
      <c r="CZ83" s="789"/>
      <c r="DA83" s="790"/>
      <c r="DB83" s="790"/>
      <c r="DC83" s="790"/>
      <c r="DD83" s="790"/>
      <c r="DE83" s="789"/>
      <c r="DF83" s="790"/>
      <c r="DG83" s="790"/>
      <c r="DH83" s="790"/>
      <c r="DI83" s="790"/>
      <c r="DJ83" s="789"/>
      <c r="DK83" s="790"/>
      <c r="DL83" s="790"/>
      <c r="DM83" s="790"/>
      <c r="DN83" s="790"/>
      <c r="DO83" s="789"/>
      <c r="DP83" s="790"/>
      <c r="DQ83" s="790"/>
      <c r="DR83" s="790"/>
      <c r="DS83" s="790"/>
      <c r="DT83" s="789"/>
      <c r="DU83" s="789"/>
      <c r="DV83" s="789"/>
    </row>
    <row r="84" spans="2:126" s="532" customFormat="1" ht="12.9" customHeight="1">
      <c r="B84" s="647" t="s">
        <v>402</v>
      </c>
      <c r="C84" s="648"/>
      <c r="D84" s="648"/>
      <c r="E84" s="648"/>
      <c r="F84" s="648"/>
      <c r="G84" s="648"/>
      <c r="H84" s="648"/>
      <c r="I84" s="648"/>
      <c r="J84" s="649"/>
      <c r="K84" s="649"/>
      <c r="L84" s="649"/>
      <c r="M84" s="649"/>
      <c r="N84" s="648"/>
      <c r="O84" s="649"/>
      <c r="P84" s="649"/>
      <c r="Q84" s="649"/>
      <c r="R84" s="649"/>
      <c r="S84" s="648"/>
      <c r="T84" s="649"/>
      <c r="U84" s="649"/>
      <c r="V84" s="649"/>
      <c r="W84" s="649"/>
      <c r="X84" s="648"/>
      <c r="Y84" s="649"/>
      <c r="Z84" s="649"/>
      <c r="AA84" s="649"/>
      <c r="AB84" s="649"/>
      <c r="AC84" s="648"/>
      <c r="AD84" s="649"/>
      <c r="AE84" s="649"/>
      <c r="AF84" s="649"/>
      <c r="AG84" s="649"/>
      <c r="AH84" s="648"/>
      <c r="AI84" s="649"/>
      <c r="AJ84" s="649"/>
      <c r="AK84" s="649"/>
      <c r="AL84" s="649"/>
      <c r="AM84" s="648"/>
      <c r="AN84" s="649"/>
      <c r="AO84" s="649"/>
      <c r="AP84" s="649"/>
      <c r="AQ84" s="649"/>
      <c r="AR84" s="648"/>
      <c r="AS84" s="649"/>
      <c r="AT84" s="649"/>
      <c r="AU84" s="649"/>
      <c r="AV84" s="649"/>
      <c r="AW84" s="648"/>
      <c r="AX84" s="649"/>
      <c r="AY84" s="649"/>
      <c r="AZ84" s="649"/>
      <c r="BA84" s="649"/>
      <c r="BB84" s="648"/>
      <c r="BC84" s="649"/>
      <c r="BD84" s="649"/>
      <c r="BE84" s="649"/>
      <c r="BF84" s="649"/>
      <c r="BG84" s="648">
        <v>16.100000000000001</v>
      </c>
      <c r="BH84" s="649"/>
      <c r="BI84" s="649"/>
      <c r="BJ84" s="649"/>
      <c r="BK84" s="649"/>
      <c r="BL84" s="648">
        <v>16.5</v>
      </c>
      <c r="BM84" s="649">
        <f>7.9-BN84</f>
        <v>3.9000000000000004</v>
      </c>
      <c r="BN84" s="649">
        <v>4</v>
      </c>
      <c r="BO84" s="649">
        <v>2.8</v>
      </c>
      <c r="BP84" s="649">
        <f>BQ84-SUM(BM84:BO84)</f>
        <v>2.9000000000000004</v>
      </c>
      <c r="BQ84" s="648">
        <v>13.6</v>
      </c>
      <c r="BR84" s="650">
        <f>5.1-BS84</f>
        <v>2.5999999999999996</v>
      </c>
      <c r="BS84" s="650">
        <v>2.5</v>
      </c>
      <c r="BT84" s="649">
        <v>2.1</v>
      </c>
      <c r="BU84" s="649">
        <f>BV84-SUM(BR84:BT84)</f>
        <v>2.8000000000000007</v>
      </c>
      <c r="BV84" s="648">
        <v>10</v>
      </c>
      <c r="BW84" s="649">
        <v>2.7</v>
      </c>
      <c r="BX84" s="649">
        <v>2.8</v>
      </c>
      <c r="BY84" s="649">
        <v>2.2000000000000002</v>
      </c>
      <c r="BZ84" s="649">
        <f>CA84-SUM(BW84:BY84)</f>
        <v>2.8999999999999995</v>
      </c>
      <c r="CA84" s="648">
        <v>10.6</v>
      </c>
      <c r="CB84" s="649">
        <v>3.2</v>
      </c>
      <c r="CC84" s="649">
        <v>4.5</v>
      </c>
      <c r="CD84" s="649">
        <v>4.0999999999999996</v>
      </c>
      <c r="CE84" s="649">
        <v>3.5</v>
      </c>
      <c r="CF84" s="648">
        <f>SUM(CB84:CE84)</f>
        <v>15.3</v>
      </c>
      <c r="CG84" s="649">
        <v>3.2</v>
      </c>
      <c r="CH84" s="649">
        <v>3.5</v>
      </c>
      <c r="CI84" s="649">
        <v>2.9710000000000001</v>
      </c>
      <c r="CJ84" s="649">
        <f>CK84-SUM(CG84:CI84)</f>
        <v>4.8290000000000006</v>
      </c>
      <c r="CK84" s="648">
        <v>14.5</v>
      </c>
      <c r="CL84" s="822">
        <v>2.2280000000000002</v>
      </c>
      <c r="CM84" s="853">
        <v>2</v>
      </c>
      <c r="CN84" s="853">
        <v>1.137</v>
      </c>
      <c r="CO84" s="853">
        <f>CP84-SUM(CL84:CN84)</f>
        <v>2.7539999999999996</v>
      </c>
      <c r="CP84" s="648">
        <v>8.1189999999999998</v>
      </c>
      <c r="CQ84" s="824">
        <v>2.004</v>
      </c>
      <c r="CR84" s="820">
        <v>2</v>
      </c>
      <c r="CS84" s="820">
        <v>2.8</v>
      </c>
      <c r="CT84" s="820">
        <v>3</v>
      </c>
      <c r="CU84" s="648">
        <f>SUM(CQ84:CT84)</f>
        <v>9.8039999999999985</v>
      </c>
      <c r="CV84" s="820">
        <v>2.5</v>
      </c>
      <c r="CW84" s="820">
        <v>2.4</v>
      </c>
      <c r="CX84" s="820">
        <v>2.1</v>
      </c>
      <c r="CY84" s="820">
        <v>4.4000000000000004</v>
      </c>
      <c r="CZ84" s="648">
        <f>SUM(CV84:CY84)</f>
        <v>11.4</v>
      </c>
      <c r="DA84" s="820">
        <v>2.5</v>
      </c>
      <c r="DB84" s="820">
        <v>3.6</v>
      </c>
      <c r="DC84" s="820">
        <v>3.2</v>
      </c>
      <c r="DD84" s="820">
        <v>4.2</v>
      </c>
      <c r="DE84" s="648">
        <f>SUM(DA84:DD84)</f>
        <v>13.5</v>
      </c>
      <c r="DF84" s="820">
        <v>4.5</v>
      </c>
      <c r="DG84" s="651">
        <v>3.5</v>
      </c>
      <c r="DH84" s="651">
        <v>4.8</v>
      </c>
      <c r="DI84" s="651">
        <v>6.8</v>
      </c>
      <c r="DJ84" s="648">
        <f>SUM(DF84:DI84)</f>
        <v>19.600000000000001</v>
      </c>
      <c r="DK84" s="651">
        <v>3.9</v>
      </c>
      <c r="DL84" s="651">
        <v>3.6</v>
      </c>
      <c r="DM84" s="651"/>
      <c r="DN84" s="651"/>
      <c r="DO84" s="648"/>
      <c r="DP84" s="651"/>
      <c r="DQ84" s="651"/>
      <c r="DR84" s="651"/>
      <c r="DS84" s="651"/>
      <c r="DT84" s="648"/>
      <c r="DU84" s="648"/>
      <c r="DV84" s="648"/>
    </row>
    <row r="85" spans="2:126" s="547" customFormat="1" ht="12.9" customHeight="1">
      <c r="B85" s="652" t="s">
        <v>24</v>
      </c>
      <c r="C85" s="653"/>
      <c r="D85" s="653"/>
      <c r="E85" s="653"/>
      <c r="F85" s="653"/>
      <c r="G85" s="653"/>
      <c r="H85" s="653"/>
      <c r="I85" s="653"/>
      <c r="J85" s="654"/>
      <c r="K85" s="654"/>
      <c r="L85" s="654"/>
      <c r="M85" s="654"/>
      <c r="N85" s="653"/>
      <c r="O85" s="654"/>
      <c r="P85" s="654"/>
      <c r="Q85" s="654"/>
      <c r="R85" s="654"/>
      <c r="S85" s="653"/>
      <c r="T85" s="654"/>
      <c r="U85" s="654"/>
      <c r="V85" s="654"/>
      <c r="W85" s="654"/>
      <c r="X85" s="653"/>
      <c r="Y85" s="654"/>
      <c r="Z85" s="654"/>
      <c r="AA85" s="654"/>
      <c r="AB85" s="654"/>
      <c r="AC85" s="653"/>
      <c r="AD85" s="654"/>
      <c r="AE85" s="654"/>
      <c r="AF85" s="654"/>
      <c r="AG85" s="654"/>
      <c r="AH85" s="653"/>
      <c r="AI85" s="654"/>
      <c r="AJ85" s="654"/>
      <c r="AK85" s="654"/>
      <c r="AL85" s="654"/>
      <c r="AM85" s="653"/>
      <c r="AN85" s="654"/>
      <c r="AO85" s="654"/>
      <c r="AP85" s="654"/>
      <c r="AQ85" s="654"/>
      <c r="AR85" s="653"/>
      <c r="AS85" s="654"/>
      <c r="AT85" s="654"/>
      <c r="AU85" s="654"/>
      <c r="AV85" s="654"/>
      <c r="AW85" s="653"/>
      <c r="AX85" s="654"/>
      <c r="AY85" s="654"/>
      <c r="AZ85" s="654"/>
      <c r="BA85" s="654"/>
      <c r="BB85" s="653"/>
      <c r="BC85" s="654"/>
      <c r="BD85" s="654"/>
      <c r="BE85" s="654"/>
      <c r="BF85" s="654"/>
      <c r="BG85" s="653">
        <v>11.1</v>
      </c>
      <c r="BH85" s="654"/>
      <c r="BI85" s="654"/>
      <c r="BJ85" s="654"/>
      <c r="BK85" s="654"/>
      <c r="BL85" s="653">
        <v>13</v>
      </c>
      <c r="BM85" s="654">
        <f>7.1-BN85</f>
        <v>3.4999999999999996</v>
      </c>
      <c r="BN85" s="654">
        <v>3.6</v>
      </c>
      <c r="BO85" s="654">
        <v>3.7</v>
      </c>
      <c r="BP85" s="654">
        <f>BQ85-SUM(BM85:BO85)</f>
        <v>4</v>
      </c>
      <c r="BQ85" s="653">
        <v>14.8</v>
      </c>
      <c r="BR85" s="655">
        <f>7.9-BS85</f>
        <v>4</v>
      </c>
      <c r="BS85" s="655">
        <v>3.9</v>
      </c>
      <c r="BT85" s="654">
        <v>4.0999999999999996</v>
      </c>
      <c r="BU85" s="654">
        <f>BV85-SUM(BR85:BT85)</f>
        <v>4.3000000000000007</v>
      </c>
      <c r="BV85" s="653">
        <v>16.3</v>
      </c>
      <c r="BW85" s="654">
        <v>4.5</v>
      </c>
      <c r="BX85" s="654">
        <v>4.5999999999999996</v>
      </c>
      <c r="BY85" s="654">
        <v>4.5</v>
      </c>
      <c r="BZ85" s="654">
        <f>CA85-SUM(BW85:BY85)</f>
        <v>4.9000000000000004</v>
      </c>
      <c r="CA85" s="653">
        <v>18.5</v>
      </c>
      <c r="CB85" s="654">
        <v>5</v>
      </c>
      <c r="CC85" s="654">
        <v>5</v>
      </c>
      <c r="CD85" s="654">
        <f>CD86-CD84</f>
        <v>4.9000000000000004</v>
      </c>
      <c r="CE85" s="654">
        <v>5.3</v>
      </c>
      <c r="CF85" s="653">
        <f>SUM(CB85:CE85)</f>
        <v>20.2</v>
      </c>
      <c r="CG85" s="654">
        <v>5.5</v>
      </c>
      <c r="CH85" s="654">
        <v>5.0999999999999996</v>
      </c>
      <c r="CI85" s="654">
        <v>5.8250000000000002</v>
      </c>
      <c r="CJ85" s="654">
        <f>CJ86-CJ84</f>
        <v>5.8709999999999987</v>
      </c>
      <c r="CK85" s="653">
        <f>SUM(CG85:CJ85)</f>
        <v>22.295999999999999</v>
      </c>
      <c r="CL85" s="823">
        <v>5.2210000000000001</v>
      </c>
      <c r="CM85" s="854">
        <v>1.7</v>
      </c>
      <c r="CN85" s="854">
        <v>2.9350000000000001</v>
      </c>
      <c r="CO85" s="854">
        <f>CP85-SUM(CL85:CN85)</f>
        <v>3.6150000000000002</v>
      </c>
      <c r="CP85" s="653">
        <v>13.471</v>
      </c>
      <c r="CQ85" s="825">
        <v>3.488</v>
      </c>
      <c r="CR85" s="830">
        <v>3.5</v>
      </c>
      <c r="CS85" s="830">
        <v>4.0999999999999996</v>
      </c>
      <c r="CT85" s="830">
        <v>4.7</v>
      </c>
      <c r="CU85" s="653">
        <f>SUM(CQ85:CT85)</f>
        <v>15.788</v>
      </c>
      <c r="CV85" s="830">
        <v>4.7</v>
      </c>
      <c r="CW85" s="830">
        <v>4.5</v>
      </c>
      <c r="CX85" s="830">
        <v>5.2</v>
      </c>
      <c r="CY85" s="830">
        <v>5.3</v>
      </c>
      <c r="CZ85" s="653">
        <f>SUM(CV85:CY85)</f>
        <v>19.7</v>
      </c>
      <c r="DA85" s="830">
        <v>5.7</v>
      </c>
      <c r="DB85" s="830">
        <v>5.8</v>
      </c>
      <c r="DC85" s="830">
        <v>6.6</v>
      </c>
      <c r="DD85" s="830">
        <v>6.4</v>
      </c>
      <c r="DE85" s="653">
        <f>SUM(DA85:DD85)</f>
        <v>24.5</v>
      </c>
      <c r="DF85" s="830">
        <v>6.5</v>
      </c>
      <c r="DG85" s="656">
        <v>7.7</v>
      </c>
      <c r="DH85" s="656">
        <v>7.8</v>
      </c>
      <c r="DI85" s="656">
        <v>8.6999999999999993</v>
      </c>
      <c r="DJ85" s="653">
        <f>SUM(DF85:DI85)</f>
        <v>30.7</v>
      </c>
      <c r="DK85" s="656">
        <v>8.4</v>
      </c>
      <c r="DL85" s="656">
        <v>8.1</v>
      </c>
      <c r="DM85" s="656"/>
      <c r="DN85" s="656"/>
      <c r="DO85" s="653"/>
      <c r="DP85" s="656"/>
      <c r="DQ85" s="656"/>
      <c r="DR85" s="656"/>
      <c r="DS85" s="656"/>
      <c r="DT85" s="653"/>
      <c r="DU85" s="653"/>
      <c r="DV85" s="653"/>
    </row>
    <row r="86" spans="2:126" s="547" customFormat="1" ht="12.9" customHeight="1">
      <c r="B86" s="657" t="s">
        <v>70</v>
      </c>
      <c r="C86" s="658"/>
      <c r="D86" s="658"/>
      <c r="E86" s="658"/>
      <c r="F86" s="658"/>
      <c r="G86" s="658"/>
      <c r="H86" s="658"/>
      <c r="I86" s="658"/>
      <c r="J86" s="659"/>
      <c r="K86" s="659"/>
      <c r="L86" s="659"/>
      <c r="M86" s="659"/>
      <c r="N86" s="658"/>
      <c r="O86" s="659"/>
      <c r="P86" s="659"/>
      <c r="Q86" s="659"/>
      <c r="R86" s="659"/>
      <c r="S86" s="658"/>
      <c r="T86" s="659"/>
      <c r="U86" s="659"/>
      <c r="V86" s="659"/>
      <c r="W86" s="659"/>
      <c r="X86" s="658"/>
      <c r="Y86" s="659"/>
      <c r="Z86" s="659"/>
      <c r="AA86" s="659"/>
      <c r="AB86" s="659"/>
      <c r="AC86" s="658"/>
      <c r="AD86" s="659"/>
      <c r="AE86" s="659"/>
      <c r="AF86" s="659"/>
      <c r="AG86" s="659"/>
      <c r="AH86" s="658"/>
      <c r="AI86" s="659"/>
      <c r="AJ86" s="659"/>
      <c r="AK86" s="659"/>
      <c r="AL86" s="659"/>
      <c r="AM86" s="658"/>
      <c r="AN86" s="659"/>
      <c r="AO86" s="659"/>
      <c r="AP86" s="659"/>
      <c r="AQ86" s="659"/>
      <c r="AR86" s="658"/>
      <c r="AS86" s="659"/>
      <c r="AT86" s="659"/>
      <c r="AU86" s="659"/>
      <c r="AV86" s="659"/>
      <c r="AW86" s="658"/>
      <c r="AX86" s="659"/>
      <c r="AY86" s="659"/>
      <c r="AZ86" s="659"/>
      <c r="BA86" s="659"/>
      <c r="BB86" s="658"/>
      <c r="BC86" s="659"/>
      <c r="BD86" s="659"/>
      <c r="BE86" s="659"/>
      <c r="BF86" s="659">
        <v>7</v>
      </c>
      <c r="BG86" s="658">
        <f>SUM(BG84:BG85)</f>
        <v>27.200000000000003</v>
      </c>
      <c r="BH86" s="659"/>
      <c r="BI86" s="659"/>
      <c r="BJ86" s="659"/>
      <c r="BK86" s="659"/>
      <c r="BL86" s="658">
        <f t="shared" ref="BL86:BY86" si="105">SUM(BL84:BL85)</f>
        <v>29.5</v>
      </c>
      <c r="BM86" s="659">
        <f t="shared" si="105"/>
        <v>7.4</v>
      </c>
      <c r="BN86" s="659">
        <f t="shared" si="105"/>
        <v>7.6</v>
      </c>
      <c r="BO86" s="659">
        <f t="shared" si="105"/>
        <v>6.5</v>
      </c>
      <c r="BP86" s="659">
        <f t="shared" si="105"/>
        <v>6.9</v>
      </c>
      <c r="BQ86" s="658">
        <f t="shared" si="105"/>
        <v>28.4</v>
      </c>
      <c r="BR86" s="659">
        <f t="shared" si="105"/>
        <v>6.6</v>
      </c>
      <c r="BS86" s="659">
        <f t="shared" si="105"/>
        <v>6.4</v>
      </c>
      <c r="BT86" s="659">
        <f t="shared" si="105"/>
        <v>6.1999999999999993</v>
      </c>
      <c r="BU86" s="659">
        <f t="shared" si="105"/>
        <v>7.1000000000000014</v>
      </c>
      <c r="BV86" s="658">
        <f t="shared" si="105"/>
        <v>26.3</v>
      </c>
      <c r="BW86" s="659">
        <f t="shared" si="105"/>
        <v>7.2</v>
      </c>
      <c r="BX86" s="659">
        <f t="shared" si="105"/>
        <v>7.3999999999999995</v>
      </c>
      <c r="BY86" s="659">
        <f t="shared" si="105"/>
        <v>6.7</v>
      </c>
      <c r="BZ86" s="649">
        <f>CA86-SUM(BW86:BY86)</f>
        <v>7.8000000000000007</v>
      </c>
      <c r="CA86" s="658">
        <f>SUM(CA84:CA85)</f>
        <v>29.1</v>
      </c>
      <c r="CB86" s="659">
        <f>SUM(CB84:CB85)</f>
        <v>8.1999999999999993</v>
      </c>
      <c r="CC86" s="659">
        <f>SUM(CC84:CC85)</f>
        <v>9.5</v>
      </c>
      <c r="CD86" s="659">
        <v>9</v>
      </c>
      <c r="CE86" s="659">
        <f>SUM(CE84:CE85)</f>
        <v>8.8000000000000007</v>
      </c>
      <c r="CF86" s="658">
        <f>SUM(CB86:CE86)</f>
        <v>35.5</v>
      </c>
      <c r="CG86" s="659">
        <f>SUM(CG84:CG85)</f>
        <v>8.6999999999999993</v>
      </c>
      <c r="CH86" s="659">
        <f>SUM(CH84:CH85)</f>
        <v>8.6</v>
      </c>
      <c r="CI86" s="659">
        <f>SUM(CI84:CI85)</f>
        <v>8.7959999999999994</v>
      </c>
      <c r="CJ86" s="659">
        <v>10.7</v>
      </c>
      <c r="CK86" s="658">
        <f>SUM(CG86:CJ86)</f>
        <v>36.795999999999992</v>
      </c>
      <c r="CL86" s="659">
        <f>SUM(CL84:CL85)</f>
        <v>7.4489999999999998</v>
      </c>
      <c r="CM86" s="852">
        <v>3.7389999999999999</v>
      </c>
      <c r="CN86" s="852">
        <f>SUM(CN84:CN85)</f>
        <v>4.0720000000000001</v>
      </c>
      <c r="CO86" s="852">
        <f>CP86-SUM(CL86:CN86)</f>
        <v>6.3300000000000018</v>
      </c>
      <c r="CP86" s="658">
        <f>SUM(CP84:CP85)</f>
        <v>21.59</v>
      </c>
      <c r="CQ86" s="659">
        <f>SUM(CQ84:CQ85)</f>
        <v>5.492</v>
      </c>
      <c r="CR86" s="852">
        <v>5.492</v>
      </c>
      <c r="CS86" s="852">
        <f>SUM(CS84:CS85)</f>
        <v>6.8999999999999995</v>
      </c>
      <c r="CT86" s="859">
        <f>SUM(CT84:CT85)</f>
        <v>7.7</v>
      </c>
      <c r="CU86" s="658">
        <f>SUM(CQ86:CT86)</f>
        <v>25.584</v>
      </c>
      <c r="CV86" s="859">
        <f>SUM(CV84:CV85)</f>
        <v>7.2</v>
      </c>
      <c r="CW86" s="859">
        <v>6.9180000000000001</v>
      </c>
      <c r="CX86" s="859">
        <v>7.3</v>
      </c>
      <c r="CY86" s="859">
        <v>9.6820000000000004</v>
      </c>
      <c r="CZ86" s="658">
        <f>SUM(CV86:CY86)</f>
        <v>31.1</v>
      </c>
      <c r="DA86" s="859">
        <v>8.2129999999999992</v>
      </c>
      <c r="DB86" s="859">
        <v>9.4510000000000005</v>
      </c>
      <c r="DC86" s="859">
        <v>9.7929999999999993</v>
      </c>
      <c r="DD86" s="859">
        <v>10.62</v>
      </c>
      <c r="DE86" s="658">
        <f>SUM(DA86:DD86)</f>
        <v>38.076999999999998</v>
      </c>
      <c r="DF86" s="859">
        <v>11</v>
      </c>
      <c r="DG86" s="660">
        <f>SUM(DG84:DG85)</f>
        <v>11.2</v>
      </c>
      <c r="DH86" s="660">
        <f>SUM(DH84:DH85)</f>
        <v>12.6</v>
      </c>
      <c r="DI86" s="660">
        <f>SUM(DI84:DI85)</f>
        <v>15.5</v>
      </c>
      <c r="DJ86" s="658">
        <f>SUM(DF86:DI86)</f>
        <v>50.3</v>
      </c>
      <c r="DK86" s="660">
        <f>SUM(DK84:DK85)</f>
        <v>12.3</v>
      </c>
      <c r="DL86" s="660">
        <f>SUM(DL84:DL85)</f>
        <v>11.7</v>
      </c>
      <c r="DO86" s="658"/>
      <c r="DP86" s="660"/>
      <c r="DT86" s="658"/>
      <c r="DU86" s="658"/>
      <c r="DV86" s="658"/>
    </row>
    <row r="87" spans="2:126" s="651" customFormat="1" ht="12.9" hidden="1" customHeight="1" outlineLevel="1">
      <c r="B87" s="646"/>
      <c r="C87" s="636"/>
      <c r="D87" s="636"/>
      <c r="E87" s="636"/>
      <c r="F87" s="636"/>
      <c r="G87" s="636"/>
      <c r="H87" s="636"/>
      <c r="I87" s="636"/>
      <c r="J87" s="637"/>
      <c r="K87" s="637"/>
      <c r="L87" s="637"/>
      <c r="M87" s="637"/>
      <c r="N87" s="636"/>
      <c r="O87" s="637"/>
      <c r="P87" s="637"/>
      <c r="Q87" s="637"/>
      <c r="R87" s="637"/>
      <c r="S87" s="636"/>
      <c r="T87" s="637"/>
      <c r="U87" s="637"/>
      <c r="V87" s="637"/>
      <c r="W87" s="637"/>
      <c r="X87" s="636"/>
      <c r="Y87" s="637"/>
      <c r="Z87" s="637"/>
      <c r="AA87" s="637"/>
      <c r="AB87" s="637"/>
      <c r="AC87" s="636"/>
      <c r="AD87" s="637"/>
      <c r="AE87" s="637"/>
      <c r="AF87" s="637"/>
      <c r="AG87" s="637"/>
      <c r="AH87" s="636"/>
      <c r="AI87" s="637"/>
      <c r="AJ87" s="637"/>
      <c r="AK87" s="637"/>
      <c r="AL87" s="637"/>
      <c r="AM87" s="636"/>
      <c r="AN87" s="637"/>
      <c r="AO87" s="637"/>
      <c r="AP87" s="637"/>
      <c r="AQ87" s="637"/>
      <c r="AR87" s="636"/>
      <c r="AS87" s="637"/>
      <c r="AT87" s="637"/>
      <c r="AU87" s="637"/>
      <c r="AV87" s="637"/>
      <c r="AW87" s="636"/>
      <c r="AX87" s="637"/>
      <c r="AY87" s="637"/>
      <c r="AZ87" s="637"/>
      <c r="BA87" s="637"/>
      <c r="BB87" s="636"/>
      <c r="BC87" s="637"/>
      <c r="BD87" s="637"/>
      <c r="BE87" s="637"/>
      <c r="BF87" s="637"/>
      <c r="BG87" s="636"/>
      <c r="BH87" s="637"/>
      <c r="BI87" s="637"/>
      <c r="BJ87" s="637"/>
      <c r="BK87" s="637"/>
      <c r="BL87" s="636"/>
      <c r="BM87" s="637"/>
      <c r="BN87" s="637"/>
      <c r="BO87" s="637"/>
      <c r="BP87" s="637"/>
      <c r="BQ87" s="636"/>
      <c r="BR87" s="637"/>
      <c r="BS87" s="637"/>
      <c r="BT87" s="637"/>
      <c r="BU87" s="637"/>
      <c r="BV87" s="636"/>
      <c r="BW87" s="637"/>
      <c r="BX87" s="637"/>
      <c r="BY87" s="637"/>
      <c r="BZ87" s="637"/>
      <c r="CA87" s="636"/>
      <c r="CB87" s="637"/>
      <c r="CC87" s="637"/>
      <c r="CD87" s="637"/>
      <c r="CE87" s="637"/>
      <c r="CF87" s="636"/>
      <c r="CG87" s="637"/>
      <c r="CH87" s="637"/>
      <c r="CI87" s="637"/>
      <c r="CJ87" s="661"/>
      <c r="CK87" s="636"/>
      <c r="CL87" s="637"/>
      <c r="CM87" s="637"/>
      <c r="CN87" s="637"/>
      <c r="CO87" s="637"/>
      <c r="CP87" s="636"/>
      <c r="CQ87" s="637"/>
      <c r="CR87" s="637"/>
      <c r="CS87" s="637"/>
      <c r="CT87" s="637"/>
      <c r="CU87" s="636"/>
      <c r="CV87" s="879"/>
      <c r="CW87" s="880"/>
      <c r="CX87" s="637"/>
      <c r="CY87" s="637"/>
      <c r="CZ87" s="636"/>
      <c r="DA87" s="879"/>
      <c r="DB87" s="879"/>
      <c r="DC87" s="637"/>
      <c r="DD87" s="879"/>
      <c r="DE87" s="636"/>
      <c r="DF87" s="637"/>
      <c r="DG87" s="637"/>
      <c r="DH87" s="637"/>
      <c r="DI87" s="637"/>
      <c r="DJ87" s="636"/>
      <c r="DK87" s="637"/>
      <c r="DL87" s="637"/>
      <c r="DM87" s="637"/>
      <c r="DN87" s="637"/>
      <c r="DO87" s="636"/>
      <c r="DP87" s="637"/>
      <c r="DQ87" s="637"/>
      <c r="DR87" s="637"/>
      <c r="DS87" s="637"/>
      <c r="DT87" s="636"/>
      <c r="DU87" s="636"/>
      <c r="DV87" s="636"/>
    </row>
    <row r="88" spans="2:126" s="532" customFormat="1" ht="12.9" hidden="1" customHeight="1" outlineLevel="1">
      <c r="C88" s="669"/>
      <c r="D88" s="669"/>
      <c r="E88" s="669"/>
      <c r="F88" s="669"/>
      <c r="G88" s="669"/>
      <c r="H88" s="669"/>
      <c r="I88" s="669"/>
      <c r="J88" s="547"/>
      <c r="K88" s="547"/>
      <c r="L88" s="547"/>
      <c r="M88" s="547"/>
      <c r="N88" s="669"/>
      <c r="O88" s="547"/>
      <c r="P88" s="547"/>
      <c r="Q88" s="547"/>
      <c r="R88" s="547"/>
      <c r="S88" s="669"/>
      <c r="T88" s="547"/>
      <c r="U88" s="547"/>
      <c r="V88" s="547"/>
      <c r="W88" s="547"/>
      <c r="X88" s="669"/>
      <c r="Y88" s="547"/>
      <c r="Z88" s="547"/>
      <c r="AA88" s="547"/>
      <c r="AB88" s="547"/>
      <c r="AC88" s="669"/>
      <c r="AD88" s="547"/>
      <c r="AE88" s="547"/>
      <c r="AF88" s="547"/>
      <c r="AG88" s="547"/>
      <c r="AH88" s="669"/>
      <c r="AI88" s="547"/>
      <c r="AJ88" s="547"/>
      <c r="AK88" s="547"/>
      <c r="AL88" s="547"/>
      <c r="AM88" s="669"/>
      <c r="AN88" s="547"/>
      <c r="AO88" s="547"/>
      <c r="AP88" s="547"/>
      <c r="AQ88" s="547"/>
      <c r="AR88" s="669"/>
      <c r="AS88" s="547"/>
      <c r="AT88" s="547"/>
      <c r="AU88" s="547"/>
      <c r="AV88" s="547"/>
      <c r="AW88" s="669"/>
      <c r="AX88" s="547"/>
      <c r="AY88" s="547"/>
      <c r="AZ88" s="547"/>
      <c r="BA88" s="547"/>
      <c r="BB88" s="669"/>
      <c r="BC88" s="547"/>
      <c r="BD88" s="547"/>
      <c r="BE88" s="547"/>
      <c r="BF88" s="547"/>
      <c r="BG88" s="669"/>
      <c r="BH88" s="547"/>
      <c r="BI88" s="547"/>
      <c r="BJ88" s="547"/>
      <c r="BK88" s="547"/>
      <c r="BL88" s="669"/>
      <c r="BM88" s="547"/>
      <c r="BN88" s="547"/>
      <c r="BO88" s="547"/>
      <c r="BP88" s="547"/>
      <c r="BQ88" s="669"/>
      <c r="BR88" s="670"/>
      <c r="BS88" s="670"/>
      <c r="BT88" s="547"/>
      <c r="BU88" s="547"/>
      <c r="BV88" s="669"/>
      <c r="BW88" s="547"/>
      <c r="BX88" s="547"/>
      <c r="BY88" s="547"/>
      <c r="BZ88" s="547"/>
      <c r="CA88" s="669"/>
      <c r="CB88" s="547"/>
      <c r="CC88" s="547"/>
      <c r="CD88" s="547"/>
      <c r="CE88" s="547"/>
      <c r="CF88" s="669"/>
      <c r="CG88" s="693"/>
      <c r="CH88" s="693"/>
      <c r="CI88" s="694"/>
      <c r="CJ88" s="694"/>
      <c r="CK88" s="669"/>
      <c r="CL88" s="694"/>
      <c r="CM88" s="694"/>
      <c r="CN88" s="694"/>
      <c r="CO88" s="693"/>
      <c r="CP88" s="669"/>
      <c r="CQ88" s="693"/>
      <c r="CR88" s="693"/>
      <c r="CS88" s="693"/>
      <c r="CT88" s="693"/>
      <c r="CU88" s="669"/>
      <c r="CV88" s="693"/>
      <c r="CW88" s="693"/>
      <c r="CX88" s="693"/>
      <c r="CY88" s="693"/>
      <c r="CZ88" s="669"/>
      <c r="DA88" s="693"/>
      <c r="DB88" s="693"/>
      <c r="DC88" s="693"/>
      <c r="DD88" s="693"/>
      <c r="DE88" s="669"/>
      <c r="DF88" s="693"/>
      <c r="DG88" s="693"/>
      <c r="DH88" s="693"/>
      <c r="DI88" s="693"/>
      <c r="DJ88" s="669"/>
      <c r="DK88" s="693"/>
      <c r="DL88" s="693"/>
      <c r="DM88" s="693"/>
      <c r="DN88" s="693"/>
      <c r="DO88" s="669"/>
      <c r="DP88" s="693"/>
      <c r="DQ88" s="693"/>
      <c r="DR88" s="693"/>
      <c r="DS88" s="693"/>
      <c r="DT88" s="669"/>
      <c r="DU88" s="669"/>
      <c r="DV88" s="669"/>
    </row>
    <row r="89" spans="2:126" s="532" customFormat="1" ht="12.9" hidden="1" customHeight="1" outlineLevel="1">
      <c r="B89" s="660" t="s">
        <v>414</v>
      </c>
      <c r="C89" s="789"/>
      <c r="D89" s="789"/>
      <c r="E89" s="789"/>
      <c r="F89" s="789"/>
      <c r="G89" s="789"/>
      <c r="H89" s="789"/>
      <c r="I89" s="789"/>
      <c r="J89" s="790"/>
      <c r="K89" s="790"/>
      <c r="L89" s="790"/>
      <c r="M89" s="790"/>
      <c r="N89" s="789"/>
      <c r="O89" s="790"/>
      <c r="P89" s="790"/>
      <c r="Q89" s="790"/>
      <c r="R89" s="790"/>
      <c r="S89" s="789"/>
      <c r="T89" s="790"/>
      <c r="U89" s="790"/>
      <c r="V89" s="790"/>
      <c r="W89" s="790"/>
      <c r="X89" s="789"/>
      <c r="Y89" s="790"/>
      <c r="Z89" s="790"/>
      <c r="AA89" s="790"/>
      <c r="AB89" s="790"/>
      <c r="AC89" s="789"/>
      <c r="AD89" s="790"/>
      <c r="AE89" s="790"/>
      <c r="AF89" s="790"/>
      <c r="AG89" s="790"/>
      <c r="AH89" s="789"/>
      <c r="AI89" s="790"/>
      <c r="AJ89" s="790"/>
      <c r="AK89" s="790"/>
      <c r="AL89" s="790"/>
      <c r="AM89" s="789"/>
      <c r="AN89" s="790"/>
      <c r="AO89" s="790"/>
      <c r="AP89" s="790"/>
      <c r="AQ89" s="790"/>
      <c r="AR89" s="789"/>
      <c r="AS89" s="790"/>
      <c r="AT89" s="790"/>
      <c r="AU89" s="790"/>
      <c r="AV89" s="790"/>
      <c r="AW89" s="789"/>
      <c r="AX89" s="790"/>
      <c r="AY89" s="790"/>
      <c r="AZ89" s="790"/>
      <c r="BA89" s="790"/>
      <c r="BB89" s="789"/>
      <c r="BC89" s="790"/>
      <c r="BD89" s="790"/>
      <c r="BE89" s="790"/>
      <c r="BF89" s="790"/>
      <c r="BG89" s="789"/>
      <c r="BH89" s="790"/>
      <c r="BI89" s="790"/>
      <c r="BJ89" s="790"/>
      <c r="BK89" s="790"/>
      <c r="BL89" s="789"/>
      <c r="BM89" s="790"/>
      <c r="BN89" s="790"/>
      <c r="BO89" s="790"/>
      <c r="BP89" s="790"/>
      <c r="BQ89" s="789"/>
      <c r="BR89" s="790"/>
      <c r="BS89" s="790"/>
      <c r="BT89" s="790"/>
      <c r="BU89" s="790"/>
      <c r="BV89" s="789"/>
      <c r="BW89" s="790"/>
      <c r="BX89" s="790"/>
      <c r="BY89" s="790"/>
      <c r="BZ89" s="790"/>
      <c r="CA89" s="789"/>
      <c r="CB89" s="790"/>
      <c r="CC89" s="790"/>
      <c r="CD89" s="790"/>
      <c r="CE89" s="790"/>
      <c r="CF89" s="789"/>
      <c r="CG89" s="791"/>
      <c r="CH89" s="790"/>
      <c r="CI89" s="790"/>
      <c r="CJ89" s="790"/>
      <c r="CK89" s="789"/>
      <c r="CL89" s="791"/>
      <c r="CM89" s="790"/>
      <c r="CN89" s="790"/>
      <c r="CO89" s="790"/>
      <c r="CP89" s="789"/>
      <c r="CQ89" s="790"/>
      <c r="CR89" s="790"/>
      <c r="CS89" s="790"/>
      <c r="CT89" s="790"/>
      <c r="CU89" s="789"/>
      <c r="CV89" s="790"/>
      <c r="CW89" s="790"/>
      <c r="CX89" s="790"/>
      <c r="CY89" s="790"/>
      <c r="CZ89" s="789"/>
      <c r="DA89" s="790"/>
      <c r="DB89" s="790"/>
      <c r="DC89" s="790"/>
      <c r="DD89" s="790"/>
      <c r="DE89" s="789"/>
      <c r="DF89" s="790"/>
      <c r="DG89" s="790"/>
      <c r="DH89" s="790"/>
      <c r="DI89" s="790"/>
      <c r="DJ89" s="789"/>
      <c r="DK89" s="790"/>
      <c r="DL89" s="790"/>
      <c r="DM89" s="790"/>
      <c r="DN89" s="790"/>
      <c r="DO89" s="789"/>
      <c r="DP89" s="790"/>
      <c r="DQ89" s="790"/>
      <c r="DR89" s="790"/>
      <c r="DS89" s="790"/>
      <c r="DT89" s="789"/>
      <c r="DU89" s="789"/>
      <c r="DV89" s="789"/>
    </row>
    <row r="90" spans="2:126" s="630" customFormat="1" ht="12.9" hidden="1" customHeight="1" outlineLevel="1">
      <c r="B90" s="695" t="s">
        <v>397</v>
      </c>
      <c r="C90" s="696"/>
      <c r="D90" s="696"/>
      <c r="E90" s="696"/>
      <c r="F90" s="696"/>
      <c r="G90" s="696"/>
      <c r="H90" s="696"/>
      <c r="I90" s="696"/>
      <c r="J90" s="594"/>
      <c r="K90" s="594"/>
      <c r="L90" s="594"/>
      <c r="M90" s="594"/>
      <c r="N90" s="696"/>
      <c r="O90" s="594"/>
      <c r="P90" s="594"/>
      <c r="Q90" s="594"/>
      <c r="R90" s="594"/>
      <c r="S90" s="696"/>
      <c r="T90" s="594"/>
      <c r="U90" s="594"/>
      <c r="V90" s="594"/>
      <c r="W90" s="594"/>
      <c r="X90" s="696"/>
      <c r="Y90" s="594"/>
      <c r="Z90" s="594"/>
      <c r="AA90" s="594"/>
      <c r="AB90" s="594"/>
      <c r="AC90" s="696"/>
      <c r="AD90" s="594"/>
      <c r="AE90" s="594"/>
      <c r="AF90" s="594"/>
      <c r="AG90" s="594"/>
      <c r="AH90" s="696"/>
      <c r="AI90" s="594"/>
      <c r="AJ90" s="594"/>
      <c r="AK90" s="594"/>
      <c r="AL90" s="594"/>
      <c r="AM90" s="696"/>
      <c r="AN90" s="594"/>
      <c r="AO90" s="594"/>
      <c r="AP90" s="594"/>
      <c r="AQ90" s="594"/>
      <c r="AR90" s="696"/>
      <c r="AS90" s="594"/>
      <c r="AT90" s="594"/>
      <c r="AU90" s="594"/>
      <c r="AV90" s="594"/>
      <c r="AW90" s="696"/>
      <c r="AX90" s="594"/>
      <c r="AY90" s="594"/>
      <c r="AZ90" s="594"/>
      <c r="BA90" s="594"/>
      <c r="BB90" s="696"/>
      <c r="BC90" s="594"/>
      <c r="BD90" s="594"/>
      <c r="BE90" s="594"/>
      <c r="BF90" s="594"/>
      <c r="BG90" s="696"/>
      <c r="BH90" s="594"/>
      <c r="BI90" s="594"/>
      <c r="BJ90" s="594"/>
      <c r="BK90" s="594"/>
      <c r="BL90" s="696">
        <v>0.7</v>
      </c>
      <c r="BM90" s="594">
        <f>BL90</f>
        <v>0.7</v>
      </c>
      <c r="BN90" s="594">
        <f>BM90</f>
        <v>0.7</v>
      </c>
      <c r="BO90" s="594">
        <f>BN90</f>
        <v>0.7</v>
      </c>
      <c r="BP90" s="594">
        <f>BO90</f>
        <v>0.7</v>
      </c>
      <c r="BQ90" s="696">
        <v>0.73</v>
      </c>
      <c r="BR90" s="594">
        <v>0.73</v>
      </c>
      <c r="BS90" s="594">
        <v>0.74</v>
      </c>
      <c r="BT90" s="594">
        <v>0.74</v>
      </c>
      <c r="BU90" s="594">
        <f>BT90</f>
        <v>0.74</v>
      </c>
      <c r="BV90" s="696">
        <v>0.74</v>
      </c>
      <c r="BW90" s="594">
        <f t="shared" ref="BW90:DE90" si="106">BW71/BW$81</f>
        <v>0.74928817623257904</v>
      </c>
      <c r="BX90" s="594">
        <f t="shared" si="106"/>
        <v>0.73861923424781428</v>
      </c>
      <c r="BY90" s="594">
        <f t="shared" si="106"/>
        <v>0.71684587813620071</v>
      </c>
      <c r="BZ90" s="594">
        <f t="shared" si="106"/>
        <v>0.71326676176890158</v>
      </c>
      <c r="CA90" s="696">
        <f t="shared" si="106"/>
        <v>0.72927849553918489</v>
      </c>
      <c r="CB90" s="594">
        <f t="shared" si="106"/>
        <v>0.74521934758155228</v>
      </c>
      <c r="CC90" s="594">
        <f t="shared" si="106"/>
        <v>0.73610002660282003</v>
      </c>
      <c r="CD90" s="594">
        <f t="shared" si="106"/>
        <v>0.74866310160427796</v>
      </c>
      <c r="CE90" s="594">
        <f t="shared" si="106"/>
        <v>0.74503311258278149</v>
      </c>
      <c r="CF90" s="696">
        <f t="shared" si="106"/>
        <v>0.7437675848982529</v>
      </c>
      <c r="CG90" s="594">
        <f t="shared" si="106"/>
        <v>0.74792557203922561</v>
      </c>
      <c r="CH90" s="594">
        <f t="shared" si="106"/>
        <v>0.74241462485717913</v>
      </c>
      <c r="CI90" s="594">
        <f t="shared" si="106"/>
        <v>0.73954864964853861</v>
      </c>
      <c r="CJ90" s="594">
        <f t="shared" si="106"/>
        <v>0.71877797672336607</v>
      </c>
      <c r="CK90" s="696">
        <f t="shared" si="106"/>
        <v>0.7366163766881616</v>
      </c>
      <c r="CL90" s="594">
        <f t="shared" si="106"/>
        <v>0.74176701001015521</v>
      </c>
      <c r="CM90" s="594">
        <f t="shared" si="106"/>
        <v>0.57472051106548028</v>
      </c>
      <c r="CN90" s="594">
        <f t="shared" si="106"/>
        <v>0.6274390243902439</v>
      </c>
      <c r="CO90" s="594">
        <f t="shared" si="106"/>
        <v>0.64323584744313322</v>
      </c>
      <c r="CP90" s="696">
        <f t="shared" si="106"/>
        <v>0.65692768351329278</v>
      </c>
      <c r="CQ90" s="594">
        <f t="shared" si="106"/>
        <v>0.671875</v>
      </c>
      <c r="CR90" s="594">
        <f t="shared" si="106"/>
        <v>0.64359504132231415</v>
      </c>
      <c r="CS90" s="594">
        <f t="shared" si="106"/>
        <v>0.66728417932567619</v>
      </c>
      <c r="CT90" s="594">
        <f t="shared" si="106"/>
        <v>0.70542763157894728</v>
      </c>
      <c r="CU90" s="696">
        <f t="shared" si="106"/>
        <v>0.67386203660253408</v>
      </c>
      <c r="CV90" s="594">
        <f t="shared" si="106"/>
        <v>0.687667321077994</v>
      </c>
      <c r="CW90" s="594">
        <f t="shared" si="106"/>
        <v>0.70279092541211041</v>
      </c>
      <c r="CX90" s="594">
        <f t="shared" si="106"/>
        <v>0.73644444444444446</v>
      </c>
      <c r="CY90" s="594">
        <f t="shared" si="106"/>
        <v>0.72685489166119499</v>
      </c>
      <c r="CZ90" s="696">
        <f t="shared" si="106"/>
        <v>0.71527112473653953</v>
      </c>
      <c r="DA90" s="594">
        <f t="shared" si="106"/>
        <v>0.74265436479772884</v>
      </c>
      <c r="DB90" s="594">
        <f t="shared" si="106"/>
        <v>0.72555963070696849</v>
      </c>
      <c r="DC90" s="594">
        <f t="shared" si="106"/>
        <v>0.76314856399952735</v>
      </c>
      <c r="DD90" s="594">
        <f t="shared" si="106"/>
        <v>0.75219375219375217</v>
      </c>
      <c r="DE90" s="696">
        <f t="shared" si="106"/>
        <v>0.72503191295361979</v>
      </c>
      <c r="DF90" s="594">
        <f t="shared" ref="DF90:DJ90" si="107">DF71/DF$81</f>
        <v>0.75495049504950495</v>
      </c>
      <c r="DG90" s="594">
        <f>DG71/DG$81</f>
        <v>0.74471981443047253</v>
      </c>
      <c r="DH90" s="594">
        <f t="shared" si="107"/>
        <v>0.78307055797830705</v>
      </c>
      <c r="DI90" s="594">
        <f t="shared" si="107"/>
        <v>0.77436987549347103</v>
      </c>
      <c r="DJ90" s="696">
        <f t="shared" si="107"/>
        <v>0.76538253466586936</v>
      </c>
      <c r="DK90" s="594">
        <f t="shared" ref="DK90:DO90" si="108">DK71/DK$81</f>
        <v>0.77513609598933464</v>
      </c>
      <c r="DL90" s="594">
        <f t="shared" si="108"/>
        <v>0.78711456999310403</v>
      </c>
      <c r="DM90" s="594">
        <f t="shared" si="108"/>
        <v>0.79311852141794148</v>
      </c>
      <c r="DN90" s="594">
        <f t="shared" si="108"/>
        <v>0.7784534236513353</v>
      </c>
      <c r="DO90" s="696">
        <f t="shared" si="108"/>
        <v>0.78361815367115029</v>
      </c>
      <c r="DP90" s="594"/>
      <c r="DQ90" s="594">
        <f t="shared" ref="DQ90:DT90" si="109">DQ71/DQ$81</f>
        <v>0.79379507178805631</v>
      </c>
      <c r="DR90" s="594">
        <f t="shared" si="109"/>
        <v>0.80816147108326808</v>
      </c>
      <c r="DS90" s="594">
        <f t="shared" si="109"/>
        <v>0.79793075543457848</v>
      </c>
      <c r="DT90" s="696">
        <f t="shared" si="109"/>
        <v>0.79767879145565534</v>
      </c>
      <c r="DU90" s="696">
        <f t="shared" ref="DU90" si="110">DU71/DU$81</f>
        <v>0.80353804851328681</v>
      </c>
      <c r="DV90" s="696">
        <f t="shared" ref="DV90" si="111">DV71/DV$81</f>
        <v>0.80734643458498223</v>
      </c>
    </row>
    <row r="91" spans="2:126" s="532" customFormat="1" ht="12.9" hidden="1" customHeight="1" outlineLevel="1">
      <c r="B91" s="697" t="s">
        <v>407</v>
      </c>
      <c r="C91" s="698"/>
      <c r="D91" s="698"/>
      <c r="E91" s="698"/>
      <c r="F91" s="698"/>
      <c r="G91" s="698"/>
      <c r="H91" s="698"/>
      <c r="I91" s="698"/>
      <c r="J91" s="699"/>
      <c r="K91" s="699"/>
      <c r="L91" s="699"/>
      <c r="M91" s="699"/>
      <c r="N91" s="698"/>
      <c r="O91" s="699"/>
      <c r="P91" s="699"/>
      <c r="Q91" s="699"/>
      <c r="R91" s="699"/>
      <c r="S91" s="698"/>
      <c r="T91" s="699"/>
      <c r="U91" s="699"/>
      <c r="V91" s="699"/>
      <c r="W91" s="699"/>
      <c r="X91" s="698"/>
      <c r="Y91" s="699"/>
      <c r="Z91" s="699"/>
      <c r="AA91" s="699"/>
      <c r="AB91" s="699"/>
      <c r="AC91" s="698"/>
      <c r="AD91" s="699"/>
      <c r="AE91" s="699"/>
      <c r="AF91" s="699"/>
      <c r="AG91" s="699"/>
      <c r="AH91" s="698"/>
      <c r="AI91" s="699"/>
      <c r="AJ91" s="699"/>
      <c r="AK91" s="699"/>
      <c r="AL91" s="699"/>
      <c r="AM91" s="698"/>
      <c r="AN91" s="699"/>
      <c r="AO91" s="699"/>
      <c r="AP91" s="699"/>
      <c r="AQ91" s="699"/>
      <c r="AR91" s="698"/>
      <c r="AS91" s="699"/>
      <c r="AT91" s="699"/>
      <c r="AU91" s="699"/>
      <c r="AV91" s="699"/>
      <c r="AW91" s="698"/>
      <c r="AX91" s="699"/>
      <c r="AY91" s="699"/>
      <c r="AZ91" s="699"/>
      <c r="BA91" s="699"/>
      <c r="BB91" s="698"/>
      <c r="BC91" s="699"/>
      <c r="BD91" s="699"/>
      <c r="BE91" s="699"/>
      <c r="BF91" s="699"/>
      <c r="BG91" s="698"/>
      <c r="BH91" s="699"/>
      <c r="BI91" s="699"/>
      <c r="BJ91" s="699"/>
      <c r="BK91" s="699"/>
      <c r="BL91" s="698"/>
      <c r="BM91" s="700"/>
      <c r="BN91" s="700"/>
      <c r="BO91" s="700"/>
      <c r="BP91" s="700"/>
      <c r="BQ91" s="698"/>
      <c r="BR91" s="701"/>
      <c r="BS91" s="701"/>
      <c r="BT91" s="701"/>
      <c r="BU91" s="701"/>
      <c r="BV91" s="698"/>
      <c r="BW91" s="701">
        <f>100%-BW92</f>
        <v>0.38</v>
      </c>
      <c r="BX91" s="701">
        <f>100%-BX92</f>
        <v>0.39</v>
      </c>
      <c r="BY91" s="701">
        <f>100%-BY92</f>
        <v>0.39</v>
      </c>
      <c r="BZ91" s="701">
        <f>100%-BZ92</f>
        <v>0.4</v>
      </c>
      <c r="CA91" s="698"/>
      <c r="CB91" s="701">
        <f>100%-CB92</f>
        <v>0.33999999999999997</v>
      </c>
      <c r="CC91" s="701">
        <f>100%-CC92</f>
        <v>0.39</v>
      </c>
      <c r="CD91" s="701">
        <f>100%-CD92</f>
        <v>0.39</v>
      </c>
      <c r="CE91" s="701">
        <f>100%-CE92</f>
        <v>0.39</v>
      </c>
      <c r="CF91" s="698"/>
      <c r="CG91" s="701">
        <f t="shared" ref="CG91:DE92" si="112">CG72/CG$71</f>
        <v>0.37804673054294835</v>
      </c>
      <c r="CH91" s="701">
        <f t="shared" si="112"/>
        <v>0.37517099863201092</v>
      </c>
      <c r="CI91" s="701">
        <f t="shared" si="112"/>
        <v>0.36618309154577283</v>
      </c>
      <c r="CJ91" s="702">
        <f t="shared" si="112"/>
        <v>0.36089054958742034</v>
      </c>
      <c r="CK91" s="698">
        <f t="shared" si="112"/>
        <v>0.37163975719535863</v>
      </c>
      <c r="CL91" s="701">
        <f t="shared" si="112"/>
        <v>0.3557598278896929</v>
      </c>
      <c r="CM91" s="701">
        <f t="shared" si="112"/>
        <v>0.53552997221119492</v>
      </c>
      <c r="CN91" s="701">
        <f t="shared" si="112"/>
        <v>0.47165532879818595</v>
      </c>
      <c r="CO91" s="702">
        <f t="shared" si="112"/>
        <v>0.4461579367189577</v>
      </c>
      <c r="CP91" s="698">
        <f t="shared" si="112"/>
        <v>0.43522099447513812</v>
      </c>
      <c r="CQ91" s="702">
        <f t="shared" si="112"/>
        <v>0.40697674418604651</v>
      </c>
      <c r="CR91" s="702">
        <f t="shared" si="112"/>
        <v>0.56436597110754405</v>
      </c>
      <c r="CS91" s="702">
        <f t="shared" si="112"/>
        <v>0.33786785119378127</v>
      </c>
      <c r="CT91" s="702">
        <f t="shared" si="112"/>
        <v>0.33224527861972492</v>
      </c>
      <c r="CU91" s="698">
        <f t="shared" si="112"/>
        <v>0.40146239554317548</v>
      </c>
      <c r="CV91" s="702">
        <f t="shared" si="112"/>
        <v>0.2940565792888658</v>
      </c>
      <c r="CW91" s="702">
        <f t="shared" si="112"/>
        <v>0.31328379006038087</v>
      </c>
      <c r="CX91" s="702">
        <f t="shared" si="112"/>
        <v>0.29551398109032395</v>
      </c>
      <c r="CY91" s="702">
        <f t="shared" si="112"/>
        <v>0.33514001806684746</v>
      </c>
      <c r="CZ91" s="698">
        <f t="shared" si="112"/>
        <v>0.3110634878114118</v>
      </c>
      <c r="DA91" s="702">
        <f t="shared" si="112"/>
        <v>0.29109327217125386</v>
      </c>
      <c r="DB91" s="702">
        <f t="shared" si="112"/>
        <v>0.31689036081575739</v>
      </c>
      <c r="DC91" s="702">
        <f t="shared" si="112"/>
        <v>0.28047080687625831</v>
      </c>
      <c r="DD91" s="702">
        <f t="shared" si="112"/>
        <v>0.29164722351843209</v>
      </c>
      <c r="DE91" s="698">
        <f t="shared" si="112"/>
        <v>0.29457136868581008</v>
      </c>
      <c r="DF91" s="702">
        <f t="shared" ref="DF91:DJ91" si="113">DF72/DF$71</f>
        <v>0.27868852459016391</v>
      </c>
      <c r="DG91" s="702">
        <f>DG72/DG$71</f>
        <v>0.22950819672131148</v>
      </c>
      <c r="DH91" s="702">
        <f t="shared" si="113"/>
        <v>0.24275310581179493</v>
      </c>
      <c r="DI91" s="702">
        <f t="shared" si="113"/>
        <v>0.30065359477124182</v>
      </c>
      <c r="DJ91" s="698">
        <f t="shared" si="113"/>
        <v>0.26412707860570661</v>
      </c>
      <c r="DK91" s="702">
        <f t="shared" ref="DK91:DO91" si="114">DK72/DK$71</f>
        <v>0.27232334814390136</v>
      </c>
      <c r="DL91" s="702">
        <f t="shared" si="114"/>
        <v>0.23779724655819773</v>
      </c>
      <c r="DM91" s="702">
        <f t="shared" si="114"/>
        <v>0</v>
      </c>
      <c r="DN91" s="702">
        <f t="shared" si="114"/>
        <v>0</v>
      </c>
      <c r="DO91" s="698">
        <f t="shared" si="114"/>
        <v>0</v>
      </c>
      <c r="DP91" s="702"/>
      <c r="DQ91" s="702">
        <f t="shared" ref="DQ91:DT91" si="115">DQ72/DQ$71</f>
        <v>0</v>
      </c>
      <c r="DR91" s="702">
        <f t="shared" si="115"/>
        <v>0</v>
      </c>
      <c r="DS91" s="702">
        <f t="shared" si="115"/>
        <v>0</v>
      </c>
      <c r="DT91" s="698">
        <f t="shared" si="115"/>
        <v>0</v>
      </c>
      <c r="DU91" s="698">
        <f t="shared" ref="DU91" si="116">DU72/DU$71</f>
        <v>0</v>
      </c>
      <c r="DV91" s="698">
        <f t="shared" ref="DV91" si="117">DV72/DV$71</f>
        <v>0</v>
      </c>
    </row>
    <row r="92" spans="2:126" s="532" customFormat="1" ht="12.9" hidden="1" customHeight="1" outlineLevel="1">
      <c r="B92" s="697" t="s">
        <v>408</v>
      </c>
      <c r="C92" s="698"/>
      <c r="D92" s="698"/>
      <c r="E92" s="698"/>
      <c r="F92" s="698"/>
      <c r="G92" s="698"/>
      <c r="H92" s="698"/>
      <c r="I92" s="698"/>
      <c r="J92" s="699"/>
      <c r="K92" s="699"/>
      <c r="L92" s="699"/>
      <c r="M92" s="699"/>
      <c r="N92" s="698"/>
      <c r="O92" s="699"/>
      <c r="P92" s="699"/>
      <c r="Q92" s="699"/>
      <c r="R92" s="699"/>
      <c r="S92" s="698"/>
      <c r="T92" s="699"/>
      <c r="U92" s="699"/>
      <c r="V92" s="699"/>
      <c r="W92" s="699"/>
      <c r="X92" s="698"/>
      <c r="Y92" s="699"/>
      <c r="Z92" s="699"/>
      <c r="AA92" s="699"/>
      <c r="AB92" s="699"/>
      <c r="AC92" s="698"/>
      <c r="AD92" s="699"/>
      <c r="AE92" s="699"/>
      <c r="AF92" s="699"/>
      <c r="AG92" s="699"/>
      <c r="AH92" s="698"/>
      <c r="AI92" s="699"/>
      <c r="AJ92" s="699"/>
      <c r="AK92" s="699"/>
      <c r="AL92" s="699"/>
      <c r="AM92" s="698"/>
      <c r="AN92" s="699"/>
      <c r="AO92" s="699"/>
      <c r="AP92" s="699"/>
      <c r="AQ92" s="699"/>
      <c r="AR92" s="698"/>
      <c r="AS92" s="699"/>
      <c r="AT92" s="699"/>
      <c r="AU92" s="699"/>
      <c r="AV92" s="699"/>
      <c r="AW92" s="698"/>
      <c r="AX92" s="699"/>
      <c r="AY92" s="699"/>
      <c r="AZ92" s="699"/>
      <c r="BA92" s="699"/>
      <c r="BB92" s="698"/>
      <c r="BC92" s="699"/>
      <c r="BD92" s="699"/>
      <c r="BE92" s="699"/>
      <c r="BF92" s="699"/>
      <c r="BG92" s="698"/>
      <c r="BH92" s="699"/>
      <c r="BI92" s="699"/>
      <c r="BJ92" s="699"/>
      <c r="BK92" s="699"/>
      <c r="BL92" s="698"/>
      <c r="BM92" s="700"/>
      <c r="BN92" s="700"/>
      <c r="BO92" s="700"/>
      <c r="BP92" s="700"/>
      <c r="BQ92" s="698"/>
      <c r="BR92" s="701"/>
      <c r="BS92" s="701"/>
      <c r="BT92" s="701"/>
      <c r="BU92" s="701"/>
      <c r="BV92" s="698"/>
      <c r="BW92" s="701">
        <v>0.62</v>
      </c>
      <c r="BX92" s="701">
        <v>0.61</v>
      </c>
      <c r="BY92" s="701">
        <v>0.61</v>
      </c>
      <c r="BZ92" s="701">
        <v>0.6</v>
      </c>
      <c r="CA92" s="698"/>
      <c r="CB92" s="701">
        <v>0.66</v>
      </c>
      <c r="CC92" s="701">
        <v>0.61</v>
      </c>
      <c r="CD92" s="701">
        <v>0.61</v>
      </c>
      <c r="CE92" s="701">
        <v>0.61</v>
      </c>
      <c r="CF92" s="698"/>
      <c r="CG92" s="701">
        <f t="shared" ref="CG92:CT92" si="118">CG73/CG$71</f>
        <v>0.62195326945705165</v>
      </c>
      <c r="CH92" s="701">
        <f t="shared" si="118"/>
        <v>0.62482900136798902</v>
      </c>
      <c r="CI92" s="701">
        <f t="shared" si="118"/>
        <v>0.63381690845422711</v>
      </c>
      <c r="CJ92" s="702">
        <f t="shared" si="118"/>
        <v>0.63895375992526871</v>
      </c>
      <c r="CK92" s="698">
        <f t="shared" si="118"/>
        <v>0.62836024280464131</v>
      </c>
      <c r="CL92" s="701">
        <f t="shared" si="118"/>
        <v>0.64424017211030704</v>
      </c>
      <c r="CM92" s="701">
        <f t="shared" si="118"/>
        <v>0.46447002778880503</v>
      </c>
      <c r="CN92" s="701">
        <f t="shared" si="118"/>
        <v>0.52834467120181405</v>
      </c>
      <c r="CO92" s="702">
        <f t="shared" si="118"/>
        <v>0.55384206328104235</v>
      </c>
      <c r="CP92" s="698">
        <f t="shared" si="118"/>
        <v>0.56477900552486193</v>
      </c>
      <c r="CQ92" s="702">
        <f t="shared" si="118"/>
        <v>0.59272510435301129</v>
      </c>
      <c r="CR92" s="702">
        <f t="shared" si="118"/>
        <v>0.43563402889245584</v>
      </c>
      <c r="CS92" s="702">
        <f t="shared" si="118"/>
        <v>0.66213214880621873</v>
      </c>
      <c r="CT92" s="702">
        <f t="shared" si="118"/>
        <v>0.66775472138027514</v>
      </c>
      <c r="CU92" s="698">
        <f t="shared" si="112"/>
        <v>0.59846796657381618</v>
      </c>
      <c r="CV92" s="702">
        <f t="shared" si="112"/>
        <v>0.70594342071113414</v>
      </c>
      <c r="CW92" s="702">
        <f t="shared" si="112"/>
        <v>0.68648397584765442</v>
      </c>
      <c r="CX92" s="702">
        <f t="shared" si="112"/>
        <v>0.7044860189096761</v>
      </c>
      <c r="CY92" s="702">
        <f t="shared" si="112"/>
        <v>0.66485998193315288</v>
      </c>
      <c r="CZ92" s="698">
        <f t="shared" si="112"/>
        <v>0.68888293597642658</v>
      </c>
      <c r="DA92" s="702">
        <f t="shared" si="112"/>
        <v>0.70164373088685006</v>
      </c>
      <c r="DB92" s="702">
        <f t="shared" si="112"/>
        <v>0.67683458253442563</v>
      </c>
      <c r="DC92" s="702">
        <f t="shared" si="112"/>
        <v>0.71054669351091837</v>
      </c>
      <c r="DD92" s="702">
        <f t="shared" si="112"/>
        <v>0.70244205941826099</v>
      </c>
      <c r="DE92" s="698">
        <f t="shared" si="112"/>
        <v>0.69830224271641173</v>
      </c>
      <c r="DF92" s="702">
        <f t="shared" ref="DF92:DJ92" si="119">DF73/DF$71</f>
        <v>0.72131147540983609</v>
      </c>
      <c r="DG92" s="702">
        <f>DG73/DG$71</f>
        <v>0.7704918032786886</v>
      </c>
      <c r="DH92" s="702">
        <f t="shared" si="119"/>
        <v>0.7568185063544195</v>
      </c>
      <c r="DI92" s="702">
        <f t="shared" si="119"/>
        <v>0.70588235294117652</v>
      </c>
      <c r="DJ92" s="698">
        <f t="shared" si="119"/>
        <v>0.73657974033704121</v>
      </c>
      <c r="DK92" s="702">
        <f t="shared" ref="DK92:DO92" si="120">DK73/DK$71</f>
        <v>0.73097319764941948</v>
      </c>
      <c r="DL92" s="702">
        <f t="shared" si="120"/>
        <v>0.76345431789737161</v>
      </c>
      <c r="DM92" s="702">
        <f t="shared" si="120"/>
        <v>0</v>
      </c>
      <c r="DN92" s="702">
        <f t="shared" si="120"/>
        <v>0</v>
      </c>
      <c r="DO92" s="698">
        <f t="shared" si="120"/>
        <v>0</v>
      </c>
      <c r="DP92" s="702"/>
      <c r="DQ92" s="702">
        <f t="shared" ref="DQ92:DT92" si="121">DQ73/DQ$71</f>
        <v>0</v>
      </c>
      <c r="DR92" s="702">
        <f t="shared" si="121"/>
        <v>0</v>
      </c>
      <c r="DS92" s="702">
        <f t="shared" si="121"/>
        <v>0</v>
      </c>
      <c r="DT92" s="698">
        <f t="shared" si="121"/>
        <v>0</v>
      </c>
      <c r="DU92" s="698">
        <f t="shared" ref="DU92" si="122">DU73/DU$71</f>
        <v>0</v>
      </c>
      <c r="DV92" s="698">
        <f t="shared" ref="DV92" si="123">DV73/DV$71</f>
        <v>0</v>
      </c>
    </row>
    <row r="93" spans="2:126" s="532" customFormat="1" ht="12.9" hidden="1" customHeight="1" outlineLevel="1">
      <c r="B93" s="695" t="s">
        <v>400</v>
      </c>
      <c r="C93" s="696"/>
      <c r="D93" s="696"/>
      <c r="E93" s="696"/>
      <c r="F93" s="696"/>
      <c r="G93" s="696"/>
      <c r="H93" s="696"/>
      <c r="I93" s="696"/>
      <c r="J93" s="594"/>
      <c r="K93" s="594"/>
      <c r="L93" s="594"/>
      <c r="M93" s="594"/>
      <c r="N93" s="696"/>
      <c r="O93" s="594"/>
      <c r="P93" s="594"/>
      <c r="Q93" s="594"/>
      <c r="R93" s="594"/>
      <c r="S93" s="696"/>
      <c r="T93" s="594"/>
      <c r="U93" s="594"/>
      <c r="V93" s="594"/>
      <c r="W93" s="594"/>
      <c r="X93" s="696"/>
      <c r="Y93" s="594"/>
      <c r="Z93" s="594"/>
      <c r="AA93" s="594"/>
      <c r="AB93" s="594"/>
      <c r="AC93" s="696"/>
      <c r="AD93" s="594"/>
      <c r="AE93" s="594"/>
      <c r="AF93" s="594"/>
      <c r="AG93" s="594"/>
      <c r="AH93" s="696"/>
      <c r="AI93" s="594"/>
      <c r="AJ93" s="594"/>
      <c r="AK93" s="594"/>
      <c r="AL93" s="594"/>
      <c r="AM93" s="696"/>
      <c r="AN93" s="594"/>
      <c r="AO93" s="594"/>
      <c r="AP93" s="594"/>
      <c r="AQ93" s="594"/>
      <c r="AR93" s="696"/>
      <c r="AS93" s="594"/>
      <c r="AT93" s="594"/>
      <c r="AU93" s="594"/>
      <c r="AV93" s="594"/>
      <c r="AW93" s="696"/>
      <c r="AX93" s="594"/>
      <c r="AY93" s="594"/>
      <c r="AZ93" s="594"/>
      <c r="BA93" s="594"/>
      <c r="BB93" s="696"/>
      <c r="BC93" s="594"/>
      <c r="BD93" s="594"/>
      <c r="BE93" s="594"/>
      <c r="BF93" s="594"/>
      <c r="BG93" s="696"/>
      <c r="BH93" s="594"/>
      <c r="BI93" s="594"/>
      <c r="BJ93" s="594"/>
      <c r="BK93" s="594"/>
      <c r="BL93" s="696">
        <v>0.17</v>
      </c>
      <c r="BM93" s="594">
        <f t="shared" ref="BM93:BP94" si="124">BL93</f>
        <v>0.17</v>
      </c>
      <c r="BN93" s="594">
        <f t="shared" si="124"/>
        <v>0.17</v>
      </c>
      <c r="BO93" s="594">
        <f t="shared" si="124"/>
        <v>0.17</v>
      </c>
      <c r="BP93" s="594">
        <f t="shared" si="124"/>
        <v>0.17</v>
      </c>
      <c r="BQ93" s="696">
        <v>0.15</v>
      </c>
      <c r="BR93" s="594">
        <v>0.14000000000000001</v>
      </c>
      <c r="BS93" s="594">
        <v>0.13</v>
      </c>
      <c r="BT93" s="594">
        <v>0.13</v>
      </c>
      <c r="BU93" s="594">
        <f>BT93</f>
        <v>0.13</v>
      </c>
      <c r="BV93" s="696">
        <v>0.13</v>
      </c>
      <c r="BW93" s="594">
        <f t="shared" ref="BW93:DE93" si="125">BW74/BW$81</f>
        <v>0.13487187172186424</v>
      </c>
      <c r="BX93" s="594">
        <f t="shared" si="125"/>
        <v>0.13566475731082303</v>
      </c>
      <c r="BY93" s="594">
        <f t="shared" si="125"/>
        <v>0.14934289127837516</v>
      </c>
      <c r="BZ93" s="594">
        <f t="shared" si="125"/>
        <v>0.1711840228245364</v>
      </c>
      <c r="CA93" s="696">
        <f t="shared" si="125"/>
        <v>0.1480768518861289</v>
      </c>
      <c r="CB93" s="594">
        <f t="shared" si="125"/>
        <v>0.14060742407199101</v>
      </c>
      <c r="CC93" s="594">
        <f t="shared" si="125"/>
        <v>0.14272412875764834</v>
      </c>
      <c r="CD93" s="594">
        <f t="shared" si="125"/>
        <v>0.12032085561497326</v>
      </c>
      <c r="CE93" s="594">
        <f t="shared" si="125"/>
        <v>0.13008514664143805</v>
      </c>
      <c r="CF93" s="696">
        <f t="shared" si="125"/>
        <v>0.13325263364522674</v>
      </c>
      <c r="CG93" s="594">
        <f t="shared" si="125"/>
        <v>0.13024893135529295</v>
      </c>
      <c r="CH93" s="594">
        <f t="shared" si="125"/>
        <v>0.12390503998984385</v>
      </c>
      <c r="CI93" s="594">
        <f t="shared" si="125"/>
        <v>0.13084227401652485</v>
      </c>
      <c r="CJ93" s="594">
        <f t="shared" si="125"/>
        <v>0.14726947179946287</v>
      </c>
      <c r="CK93" s="696">
        <f t="shared" si="125"/>
        <v>0.1335016425355883</v>
      </c>
      <c r="CL93" s="594">
        <f t="shared" si="125"/>
        <v>0.13927172493834322</v>
      </c>
      <c r="CM93" s="594">
        <f t="shared" si="125"/>
        <v>0.26488706365503079</v>
      </c>
      <c r="CN93" s="594">
        <f t="shared" si="125"/>
        <v>0.23109756097560977</v>
      </c>
      <c r="CO93" s="594">
        <f t="shared" si="125"/>
        <v>0.22473063109286814</v>
      </c>
      <c r="CP93" s="696">
        <f t="shared" si="125"/>
        <v>0.20742219399328554</v>
      </c>
      <c r="CQ93" s="594">
        <f t="shared" si="125"/>
        <v>0.19150641025641024</v>
      </c>
      <c r="CR93" s="594">
        <f t="shared" si="125"/>
        <v>0.21508264462809917</v>
      </c>
      <c r="CS93" s="594">
        <f t="shared" si="125"/>
        <v>0.20507595405705817</v>
      </c>
      <c r="CT93" s="594">
        <f t="shared" si="125"/>
        <v>0.16973684210526316</v>
      </c>
      <c r="CU93" s="696">
        <f t="shared" si="125"/>
        <v>0.19408728296574379</v>
      </c>
      <c r="CV93" s="594">
        <f t="shared" si="125"/>
        <v>0.1849009459218276</v>
      </c>
      <c r="CW93" s="594">
        <f t="shared" si="125"/>
        <v>0.1788803655949078</v>
      </c>
      <c r="CX93" s="594">
        <f t="shared" si="125"/>
        <v>0.15881481481481483</v>
      </c>
      <c r="CY93" s="594">
        <f t="shared" si="125"/>
        <v>0.16428102429415628</v>
      </c>
      <c r="CZ93" s="696">
        <f t="shared" si="125"/>
        <v>0.17072236060547999</v>
      </c>
      <c r="DA93" s="594">
        <f t="shared" si="125"/>
        <v>0.2790631653655074</v>
      </c>
      <c r="DB93" s="594">
        <f t="shared" si="125"/>
        <v>0.3003667636271658</v>
      </c>
      <c r="DC93" s="594">
        <f t="shared" si="125"/>
        <v>0.26060749320411303</v>
      </c>
      <c r="DD93" s="594">
        <f t="shared" si="125"/>
        <v>0.28267228267228267</v>
      </c>
      <c r="DE93" s="696">
        <f t="shared" si="125"/>
        <v>0.17248191599294874</v>
      </c>
      <c r="DF93" s="594">
        <f t="shared" ref="DF93:DJ93" si="126">DF74/DF$81</f>
        <v>0.28613861386138612</v>
      </c>
      <c r="DG93" s="594">
        <f>DG74/DG$81</f>
        <v>0.29312660236845317</v>
      </c>
      <c r="DH93" s="594">
        <f t="shared" si="126"/>
        <v>0.25081068992508104</v>
      </c>
      <c r="DI93" s="594">
        <f t="shared" si="126"/>
        <v>0.25539022168235653</v>
      </c>
      <c r="DJ93" s="696">
        <f t="shared" si="126"/>
        <v>0.26989550411434748</v>
      </c>
      <c r="DK93" s="594">
        <f t="shared" ref="DK93:DO93" si="127">DK74/DK$81</f>
        <v>0.25819353405177203</v>
      </c>
      <c r="DL93" s="594">
        <f t="shared" si="127"/>
        <v>0.25248743966111709</v>
      </c>
      <c r="DM93" s="594">
        <f t="shared" si="127"/>
        <v>0.24065901969628029</v>
      </c>
      <c r="DN93" s="594">
        <f t="shared" si="127"/>
        <v>0.25454835184418639</v>
      </c>
      <c r="DO93" s="696">
        <f t="shared" si="127"/>
        <v>0.25133621355310393</v>
      </c>
      <c r="DP93" s="594"/>
      <c r="DQ93" s="594">
        <f t="shared" ref="DQ93:DT93" si="128">DQ74/DQ$81</f>
        <v>0.23452798535915811</v>
      </c>
      <c r="DR93" s="594">
        <f t="shared" si="128"/>
        <v>0.22176739346332122</v>
      </c>
      <c r="DS93" s="594">
        <f t="shared" si="128"/>
        <v>0.23146599851058997</v>
      </c>
      <c r="DT93" s="696">
        <f t="shared" si="128"/>
        <v>0.23210632503401518</v>
      </c>
      <c r="DU93" s="696">
        <f t="shared" ref="DU93" si="129">DU74/DU$81</f>
        <v>0.22451010231741395</v>
      </c>
      <c r="DV93" s="696">
        <f t="shared" ref="DV93" si="130">DV74/DV$81</f>
        <v>0.21927321828585758</v>
      </c>
    </row>
    <row r="94" spans="2:126" s="532" customFormat="1" ht="12.9" hidden="1" customHeight="1" outlineLevel="1">
      <c r="B94" s="695" t="s">
        <v>382</v>
      </c>
      <c r="C94" s="696"/>
      <c r="D94" s="696"/>
      <c r="E94" s="696"/>
      <c r="F94" s="696"/>
      <c r="G94" s="696"/>
      <c r="H94" s="696"/>
      <c r="I94" s="696"/>
      <c r="J94" s="594"/>
      <c r="K94" s="594"/>
      <c r="L94" s="594"/>
      <c r="M94" s="594"/>
      <c r="N94" s="696"/>
      <c r="O94" s="594"/>
      <c r="P94" s="594"/>
      <c r="Q94" s="594"/>
      <c r="R94" s="594"/>
      <c r="S94" s="696"/>
      <c r="T94" s="594"/>
      <c r="U94" s="594"/>
      <c r="V94" s="594"/>
      <c r="W94" s="594"/>
      <c r="X94" s="696"/>
      <c r="Y94" s="594"/>
      <c r="Z94" s="594"/>
      <c r="AA94" s="594"/>
      <c r="AB94" s="594"/>
      <c r="AC94" s="696"/>
      <c r="AD94" s="594"/>
      <c r="AE94" s="594"/>
      <c r="AF94" s="594"/>
      <c r="AG94" s="594"/>
      <c r="AH94" s="696"/>
      <c r="AI94" s="594"/>
      <c r="AJ94" s="594"/>
      <c r="AK94" s="594"/>
      <c r="AL94" s="594"/>
      <c r="AM94" s="696"/>
      <c r="AN94" s="594"/>
      <c r="AO94" s="594"/>
      <c r="AP94" s="594"/>
      <c r="AQ94" s="594"/>
      <c r="AR94" s="696"/>
      <c r="AS94" s="594"/>
      <c r="AT94" s="594"/>
      <c r="AU94" s="594"/>
      <c r="AV94" s="594"/>
      <c r="AW94" s="696"/>
      <c r="AX94" s="594"/>
      <c r="AY94" s="594"/>
      <c r="AZ94" s="594"/>
      <c r="BA94" s="594"/>
      <c r="BB94" s="696"/>
      <c r="BC94" s="594"/>
      <c r="BD94" s="594"/>
      <c r="BE94" s="594"/>
      <c r="BF94" s="594"/>
      <c r="BG94" s="696"/>
      <c r="BH94" s="594"/>
      <c r="BI94" s="594"/>
      <c r="BJ94" s="594"/>
      <c r="BK94" s="594"/>
      <c r="BL94" s="696">
        <v>0.13</v>
      </c>
      <c r="BM94" s="594">
        <f t="shared" si="124"/>
        <v>0.13</v>
      </c>
      <c r="BN94" s="594">
        <f t="shared" si="124"/>
        <v>0.13</v>
      </c>
      <c r="BO94" s="594">
        <f t="shared" si="124"/>
        <v>0.13</v>
      </c>
      <c r="BP94" s="594">
        <f t="shared" si="124"/>
        <v>0.13</v>
      </c>
      <c r="BQ94" s="696">
        <v>0.12</v>
      </c>
      <c r="BR94" s="594">
        <v>0.13</v>
      </c>
      <c r="BS94" s="594">
        <v>0.13</v>
      </c>
      <c r="BT94" s="594">
        <v>0.13</v>
      </c>
      <c r="BU94" s="594">
        <f>BT94</f>
        <v>0.13</v>
      </c>
      <c r="BV94" s="696">
        <v>0.13</v>
      </c>
      <c r="BW94" s="594">
        <f t="shared" ref="BW94:CF94" si="131">BW75/BW$81</f>
        <v>0.11583995204555668</v>
      </c>
      <c r="BX94" s="594">
        <f t="shared" si="131"/>
        <v>0.1257160084413626</v>
      </c>
      <c r="BY94" s="594">
        <f t="shared" si="131"/>
        <v>0.13381123058542413</v>
      </c>
      <c r="BZ94" s="594">
        <f t="shared" si="131"/>
        <v>0.115549215406562</v>
      </c>
      <c r="CA94" s="696">
        <f t="shared" si="131"/>
        <v>0.12264465257468622</v>
      </c>
      <c r="CB94" s="594">
        <f t="shared" si="131"/>
        <v>0.11417322834645673</v>
      </c>
      <c r="CC94" s="594">
        <f t="shared" si="131"/>
        <v>0.12117584463953181</v>
      </c>
      <c r="CD94" s="594">
        <f t="shared" si="131"/>
        <v>0.13101604278074871</v>
      </c>
      <c r="CE94" s="594">
        <f t="shared" si="131"/>
        <v>0.12488174077578042</v>
      </c>
      <c r="CF94" s="696">
        <f t="shared" si="131"/>
        <v>0.12297978145652032</v>
      </c>
      <c r="CG94" s="594">
        <f t="shared" ref="CG94:DE94" si="132">100%-SUM(CG90,CG93)</f>
        <v>0.12182549660548148</v>
      </c>
      <c r="CH94" s="594">
        <f t="shared" si="132"/>
        <v>0.13368033515297706</v>
      </c>
      <c r="CI94" s="594">
        <f t="shared" si="132"/>
        <v>0.12960907633493657</v>
      </c>
      <c r="CJ94" s="594">
        <f t="shared" si="132"/>
        <v>0.13395255147717111</v>
      </c>
      <c r="CK94" s="696">
        <f t="shared" si="132"/>
        <v>0.12988198077625013</v>
      </c>
      <c r="CL94" s="594">
        <f t="shared" si="132"/>
        <v>0.11896126505150151</v>
      </c>
      <c r="CM94" s="594">
        <f t="shared" si="132"/>
        <v>0.16039242527948894</v>
      </c>
      <c r="CN94" s="594">
        <f t="shared" si="132"/>
        <v>0.14146341463414636</v>
      </c>
      <c r="CO94" s="594">
        <f t="shared" si="132"/>
        <v>0.1320335214639986</v>
      </c>
      <c r="CP94" s="696">
        <f t="shared" si="132"/>
        <v>0.13565012249342168</v>
      </c>
      <c r="CQ94" s="594">
        <f t="shared" si="132"/>
        <v>0.13661858974358976</v>
      </c>
      <c r="CR94" s="594">
        <f t="shared" si="132"/>
        <v>0.14132231404958673</v>
      </c>
      <c r="CS94" s="594">
        <f t="shared" si="132"/>
        <v>0.12763986661726567</v>
      </c>
      <c r="CT94" s="594">
        <f t="shared" si="132"/>
        <v>0.12483552631578954</v>
      </c>
      <c r="CU94" s="696">
        <f t="shared" si="132"/>
        <v>0.13205068043172208</v>
      </c>
      <c r="CV94" s="594">
        <f t="shared" si="132"/>
        <v>0.1274317330001784</v>
      </c>
      <c r="CW94" s="594">
        <f t="shared" si="132"/>
        <v>0.11832870899298176</v>
      </c>
      <c r="CX94" s="594">
        <f t="shared" si="132"/>
        <v>0.10474074074074069</v>
      </c>
      <c r="CY94" s="594">
        <f t="shared" si="132"/>
        <v>0.10886408404464876</v>
      </c>
      <c r="CZ94" s="696">
        <f t="shared" si="132"/>
        <v>0.11400651465798051</v>
      </c>
      <c r="DA94" s="594">
        <f t="shared" si="132"/>
        <v>-2.1717530163236187E-2</v>
      </c>
      <c r="DB94" s="594">
        <f t="shared" si="132"/>
        <v>-2.5926394334134351E-2</v>
      </c>
      <c r="DC94" s="594">
        <f t="shared" si="132"/>
        <v>-2.3756057203640379E-2</v>
      </c>
      <c r="DD94" s="594">
        <f t="shared" si="132"/>
        <v>-3.486603486603479E-2</v>
      </c>
      <c r="DE94" s="696">
        <f t="shared" si="132"/>
        <v>0.1024861710534315</v>
      </c>
      <c r="DF94" s="594">
        <f t="shared" ref="DF94:DJ94" si="133">100%-SUM(DF90,DF93)</f>
        <v>-4.1089108910891126E-2</v>
      </c>
      <c r="DG94" s="594">
        <f>100%-SUM(DG90,DG93)</f>
        <v>-3.7846416798925642E-2</v>
      </c>
      <c r="DH94" s="594">
        <f t="shared" si="133"/>
        <v>-3.388124790338809E-2</v>
      </c>
      <c r="DI94" s="594">
        <f t="shared" si="133"/>
        <v>-2.9760097175827616E-2</v>
      </c>
      <c r="DJ94" s="696">
        <f t="shared" si="133"/>
        <v>-3.5278038780216736E-2</v>
      </c>
      <c r="DK94" s="594">
        <f t="shared" ref="DK94:DO94" si="134">100%-SUM(DK90,DK93)</f>
        <v>-3.3329630041106562E-2</v>
      </c>
      <c r="DL94" s="594">
        <f t="shared" si="134"/>
        <v>-3.9602009654221115E-2</v>
      </c>
      <c r="DM94" s="594">
        <f t="shared" si="134"/>
        <v>-3.3777541114221821E-2</v>
      </c>
      <c r="DN94" s="594">
        <f t="shared" si="134"/>
        <v>-3.3001775495521635E-2</v>
      </c>
      <c r="DO94" s="696">
        <f t="shared" si="134"/>
        <v>-3.4954367224254268E-2</v>
      </c>
      <c r="DP94" s="594"/>
      <c r="DQ94" s="594">
        <f t="shared" ref="DQ94:DT94" si="135">100%-SUM(DQ90,DQ93)</f>
        <v>-2.8323057147214392E-2</v>
      </c>
      <c r="DR94" s="594">
        <f t="shared" si="135"/>
        <v>-2.9928864546589384E-2</v>
      </c>
      <c r="DS94" s="594">
        <f t="shared" si="135"/>
        <v>-2.9396753945168497E-2</v>
      </c>
      <c r="DT94" s="696">
        <f t="shared" si="135"/>
        <v>-2.9785116489670527E-2</v>
      </c>
      <c r="DU94" s="696">
        <f t="shared" ref="DU94" si="136">100%-SUM(DU90,DU93)</f>
        <v>-2.8048150830700669E-2</v>
      </c>
      <c r="DV94" s="696">
        <f t="shared" ref="DV94" si="137">100%-SUM(DV90,DV93)</f>
        <v>-2.6619652870839783E-2</v>
      </c>
    </row>
    <row r="95" spans="2:126" s="634" customFormat="1" ht="12.9" customHeight="1" collapsed="1">
      <c r="B95" s="532"/>
      <c r="C95" s="669"/>
      <c r="D95" s="669"/>
      <c r="E95" s="669"/>
      <c r="F95" s="669"/>
      <c r="G95" s="669"/>
      <c r="H95" s="669"/>
      <c r="I95" s="669"/>
      <c r="J95" s="547"/>
      <c r="K95" s="547"/>
      <c r="L95" s="547"/>
      <c r="M95" s="547"/>
      <c r="N95" s="669"/>
      <c r="O95" s="547"/>
      <c r="P95" s="547"/>
      <c r="Q95" s="547"/>
      <c r="R95" s="547"/>
      <c r="S95" s="669"/>
      <c r="T95" s="547"/>
      <c r="U95" s="547"/>
      <c r="V95" s="547"/>
      <c r="W95" s="547"/>
      <c r="X95" s="669"/>
      <c r="Y95" s="547"/>
      <c r="Z95" s="547"/>
      <c r="AA95" s="547"/>
      <c r="AB95" s="547"/>
      <c r="AC95" s="669"/>
      <c r="AD95" s="547"/>
      <c r="AE95" s="547"/>
      <c r="AF95" s="547"/>
      <c r="AG95" s="547"/>
      <c r="AH95" s="669"/>
      <c r="AI95" s="547"/>
      <c r="AJ95" s="547"/>
      <c r="AK95" s="547"/>
      <c r="AL95" s="547"/>
      <c r="AM95" s="669"/>
      <c r="AN95" s="547"/>
      <c r="AO95" s="547"/>
      <c r="AP95" s="547"/>
      <c r="AQ95" s="547"/>
      <c r="AR95" s="669"/>
      <c r="AS95" s="547"/>
      <c r="AT95" s="547"/>
      <c r="AU95" s="547"/>
      <c r="AV95" s="547"/>
      <c r="AW95" s="669"/>
      <c r="AX95" s="547"/>
      <c r="AY95" s="547"/>
      <c r="AZ95" s="547"/>
      <c r="BA95" s="547"/>
      <c r="BB95" s="669"/>
      <c r="BC95" s="547"/>
      <c r="BD95" s="547"/>
      <c r="BE95" s="547"/>
      <c r="BF95" s="547"/>
      <c r="BG95" s="669"/>
      <c r="BH95" s="547"/>
      <c r="BI95" s="547"/>
      <c r="BJ95" s="547"/>
      <c r="BK95" s="547"/>
      <c r="BL95" s="669"/>
      <c r="BM95" s="547"/>
      <c r="BN95" s="547"/>
      <c r="BO95" s="547"/>
      <c r="BP95" s="547"/>
      <c r="BQ95" s="669"/>
      <c r="BR95" s="670"/>
      <c r="BS95" s="670"/>
      <c r="BT95" s="547"/>
      <c r="BU95" s="547"/>
      <c r="BV95" s="669"/>
      <c r="BW95" s="547"/>
      <c r="BX95" s="547"/>
      <c r="BY95" s="547"/>
      <c r="BZ95" s="547"/>
      <c r="CA95" s="669"/>
      <c r="CB95" s="547"/>
      <c r="CC95" s="547"/>
      <c r="CD95" s="547"/>
      <c r="CE95" s="547"/>
      <c r="CF95" s="669"/>
      <c r="CG95" s="547"/>
      <c r="CH95" s="547"/>
      <c r="CI95" s="547"/>
      <c r="CJ95" s="547"/>
      <c r="CK95" s="669"/>
      <c r="CL95" s="547"/>
      <c r="CM95" s="547"/>
      <c r="CN95" s="547"/>
      <c r="CO95" s="547"/>
      <c r="CP95" s="669"/>
      <c r="CQ95" s="547"/>
      <c r="CR95" s="547"/>
      <c r="CS95" s="547"/>
      <c r="CT95" s="547"/>
      <c r="CU95" s="669"/>
      <c r="CV95" s="547"/>
      <c r="CW95" s="547"/>
      <c r="CX95" s="547"/>
      <c r="CY95" s="547"/>
      <c r="CZ95" s="669"/>
      <c r="DA95" s="547"/>
      <c r="DB95" s="547"/>
      <c r="DC95" s="547"/>
      <c r="DD95" s="547"/>
      <c r="DE95" s="669"/>
      <c r="DF95" s="547"/>
      <c r="DG95" s="547"/>
      <c r="DH95" s="547"/>
      <c r="DI95" s="547"/>
      <c r="DJ95" s="669"/>
      <c r="DK95" s="547"/>
      <c r="DL95" s="547"/>
      <c r="DM95" s="547"/>
      <c r="DN95" s="547"/>
      <c r="DO95" s="669"/>
      <c r="DP95" s="547"/>
      <c r="DQ95" s="547"/>
      <c r="DR95" s="547"/>
      <c r="DS95" s="547"/>
      <c r="DT95" s="669"/>
      <c r="DU95" s="669"/>
      <c r="DV95" s="669"/>
    </row>
    <row r="96" spans="2:126" s="630" customFormat="1" ht="12.9" customHeight="1">
      <c r="B96" s="660" t="s">
        <v>415</v>
      </c>
      <c r="C96" s="789"/>
      <c r="D96" s="789"/>
      <c r="E96" s="789"/>
      <c r="F96" s="789"/>
      <c r="G96" s="789"/>
      <c r="H96" s="789"/>
      <c r="I96" s="789"/>
      <c r="J96" s="790"/>
      <c r="K96" s="790"/>
      <c r="L96" s="790"/>
      <c r="M96" s="790"/>
      <c r="N96" s="789"/>
      <c r="O96" s="790"/>
      <c r="P96" s="790"/>
      <c r="Q96" s="790"/>
      <c r="R96" s="790"/>
      <c r="S96" s="789"/>
      <c r="T96" s="790"/>
      <c r="U96" s="790"/>
      <c r="V96" s="790"/>
      <c r="W96" s="790"/>
      <c r="X96" s="789"/>
      <c r="Y96" s="790"/>
      <c r="Z96" s="790"/>
      <c r="AA96" s="790"/>
      <c r="AB96" s="790"/>
      <c r="AC96" s="789"/>
      <c r="AD96" s="790"/>
      <c r="AE96" s="790"/>
      <c r="AF96" s="790"/>
      <c r="AG96" s="790"/>
      <c r="AH96" s="789"/>
      <c r="AI96" s="790"/>
      <c r="AJ96" s="790"/>
      <c r="AK96" s="790"/>
      <c r="AL96" s="790"/>
      <c r="AM96" s="789"/>
      <c r="AN96" s="790"/>
      <c r="AO96" s="790"/>
      <c r="AP96" s="790"/>
      <c r="AQ96" s="790"/>
      <c r="AR96" s="789"/>
      <c r="AS96" s="790"/>
      <c r="AT96" s="790"/>
      <c r="AU96" s="790"/>
      <c r="AV96" s="790"/>
      <c r="AW96" s="789"/>
      <c r="AX96" s="790"/>
      <c r="AY96" s="790"/>
      <c r="AZ96" s="790"/>
      <c r="BA96" s="790"/>
      <c r="BB96" s="789"/>
      <c r="BC96" s="790"/>
      <c r="BD96" s="790"/>
      <c r="BE96" s="790"/>
      <c r="BF96" s="790"/>
      <c r="BG96" s="789"/>
      <c r="BH96" s="790"/>
      <c r="BI96" s="790"/>
      <c r="BJ96" s="790"/>
      <c r="BK96" s="790"/>
      <c r="BL96" s="789"/>
      <c r="BM96" s="790"/>
      <c r="BN96" s="790"/>
      <c r="BO96" s="790"/>
      <c r="BP96" s="790"/>
      <c r="BQ96" s="789"/>
      <c r="BR96" s="790"/>
      <c r="BS96" s="790"/>
      <c r="BT96" s="790"/>
      <c r="BU96" s="790"/>
      <c r="BV96" s="789"/>
      <c r="BW96" s="790"/>
      <c r="BX96" s="790"/>
      <c r="BY96" s="790"/>
      <c r="BZ96" s="790"/>
      <c r="CA96" s="789"/>
      <c r="CB96" s="790"/>
      <c r="CC96" s="790"/>
      <c r="CD96" s="790"/>
      <c r="CE96" s="790"/>
      <c r="CF96" s="789"/>
      <c r="CG96" s="791"/>
      <c r="CH96" s="790"/>
      <c r="CI96" s="790"/>
      <c r="CJ96" s="790"/>
      <c r="CK96" s="789"/>
      <c r="CL96" s="795"/>
      <c r="CM96" s="795"/>
      <c r="CN96" s="795"/>
      <c r="CO96" s="795"/>
      <c r="CP96" s="789"/>
      <c r="CQ96" s="795"/>
      <c r="CR96" s="795"/>
      <c r="CS96" s="795"/>
      <c r="CT96" s="795"/>
      <c r="CU96" s="789"/>
      <c r="CV96" s="795"/>
      <c r="CW96" s="795"/>
      <c r="CX96" s="795"/>
      <c r="CY96" s="795"/>
      <c r="CZ96" s="789"/>
      <c r="DA96" s="795"/>
      <c r="DB96" s="795"/>
      <c r="DC96" s="795"/>
      <c r="DD96" s="795"/>
      <c r="DE96" s="789"/>
      <c r="DF96" s="795"/>
      <c r="DG96" s="795"/>
      <c r="DH96" s="795"/>
      <c r="DI96" s="795"/>
      <c r="DJ96" s="789"/>
      <c r="DK96" s="795"/>
      <c r="DL96" s="795"/>
      <c r="DM96" s="795"/>
      <c r="DN96" s="795"/>
      <c r="DO96" s="789"/>
      <c r="DP96" s="795"/>
      <c r="DQ96" s="795"/>
      <c r="DR96" s="795"/>
      <c r="DS96" s="795"/>
      <c r="DT96" s="789"/>
      <c r="DU96" s="789"/>
      <c r="DV96" s="789"/>
    </row>
    <row r="97" spans="2:126" s="532" customFormat="1" ht="12.9" customHeight="1">
      <c r="B97" s="663" t="s">
        <v>397</v>
      </c>
      <c r="C97" s="664"/>
      <c r="D97" s="664"/>
      <c r="E97" s="664"/>
      <c r="F97" s="664"/>
      <c r="G97" s="664"/>
      <c r="H97" s="664"/>
      <c r="I97" s="664"/>
      <c r="J97" s="651"/>
      <c r="K97" s="651"/>
      <c r="L97" s="651"/>
      <c r="M97" s="651"/>
      <c r="N97" s="664"/>
      <c r="O97" s="651"/>
      <c r="P97" s="651"/>
      <c r="Q97" s="651"/>
      <c r="R97" s="651"/>
      <c r="S97" s="664"/>
      <c r="T97" s="651"/>
      <c r="U97" s="651"/>
      <c r="V97" s="651"/>
      <c r="W97" s="651"/>
      <c r="X97" s="664"/>
      <c r="Y97" s="651"/>
      <c r="Z97" s="651"/>
      <c r="AA97" s="651"/>
      <c r="AB97" s="651"/>
      <c r="AC97" s="664"/>
      <c r="AD97" s="651"/>
      <c r="AE97" s="651"/>
      <c r="AF97" s="651"/>
      <c r="AG97" s="651"/>
      <c r="AH97" s="664"/>
      <c r="AI97" s="651"/>
      <c r="AJ97" s="651"/>
      <c r="AK97" s="651"/>
      <c r="AL97" s="651"/>
      <c r="AM97" s="664"/>
      <c r="AN97" s="651"/>
      <c r="AO97" s="651"/>
      <c r="AP97" s="651"/>
      <c r="AQ97" s="651"/>
      <c r="AR97" s="664"/>
      <c r="AS97" s="651"/>
      <c r="AT97" s="651"/>
      <c r="AU97" s="651"/>
      <c r="AV97" s="651"/>
      <c r="AW97" s="664"/>
      <c r="AX97" s="651"/>
      <c r="AY97" s="651"/>
      <c r="AZ97" s="651"/>
      <c r="BA97" s="651"/>
      <c r="BB97" s="664"/>
      <c r="BC97" s="651"/>
      <c r="BD97" s="651"/>
      <c r="BE97" s="651"/>
      <c r="BF97" s="651"/>
      <c r="BG97" s="664"/>
      <c r="BH97" s="651"/>
      <c r="BI97" s="651"/>
      <c r="BJ97" s="651"/>
      <c r="BK97" s="651"/>
      <c r="BL97" s="664"/>
      <c r="BM97" s="651"/>
      <c r="BN97" s="651"/>
      <c r="BO97" s="651"/>
      <c r="BP97" s="651"/>
      <c r="BQ97" s="352">
        <f t="shared" ref="BQ97:DL101" si="138">BQ71/BL71-1</f>
        <v>7.2025844101709202E-2</v>
      </c>
      <c r="BR97" s="804">
        <f t="shared" si="138"/>
        <v>0.15092904980109756</v>
      </c>
      <c r="BS97" s="804">
        <f t="shared" si="138"/>
        <v>0.10093684306736139</v>
      </c>
      <c r="BT97" s="804">
        <f t="shared" si="138"/>
        <v>0.1098150308281951</v>
      </c>
      <c r="BU97" s="804">
        <f t="shared" si="138"/>
        <v>0.12825745682888545</v>
      </c>
      <c r="BV97" s="352">
        <f t="shared" si="138"/>
        <v>7.9426058448451409E-2</v>
      </c>
      <c r="BW97" s="804">
        <f t="shared" si="138"/>
        <v>9.3790333518548596E-2</v>
      </c>
      <c r="BX97" s="804">
        <f t="shared" si="138"/>
        <v>1.6989958780774472E-2</v>
      </c>
      <c r="BY97" s="804">
        <f t="shared" si="138"/>
        <v>2.9601029601029616E-2</v>
      </c>
      <c r="BZ97" s="804">
        <f t="shared" si="138"/>
        <v>-5.986409395342196E-2</v>
      </c>
      <c r="CA97" s="352">
        <f t="shared" si="138"/>
        <v>1.3770815751013687E-2</v>
      </c>
      <c r="CB97" s="804">
        <f t="shared" si="138"/>
        <v>6.0000000000000053E-2</v>
      </c>
      <c r="CC97" s="804">
        <f t="shared" si="138"/>
        <v>0.12938775510204059</v>
      </c>
      <c r="CD97" s="804">
        <f t="shared" si="138"/>
        <v>0.16666666666666674</v>
      </c>
      <c r="CE97" s="804">
        <f t="shared" si="138"/>
        <v>0.26</v>
      </c>
      <c r="CF97" s="352">
        <f t="shared" si="138"/>
        <v>0.15401015228426385</v>
      </c>
      <c r="CG97" s="804">
        <f t="shared" si="138"/>
        <v>0.12245283018867936</v>
      </c>
      <c r="CH97" s="804">
        <f t="shared" si="138"/>
        <v>5.6740151788941207E-2</v>
      </c>
      <c r="CI97" s="804">
        <f t="shared" si="138"/>
        <v>7.0892857142857091E-2</v>
      </c>
      <c r="CJ97" s="804">
        <f t="shared" si="138"/>
        <v>1.9523809523809277E-2</v>
      </c>
      <c r="CK97" s="352">
        <f t="shared" si="138"/>
        <v>6.5232691123427555E-2</v>
      </c>
      <c r="CL97" s="804">
        <f t="shared" si="138"/>
        <v>-0.14052781980164719</v>
      </c>
      <c r="CM97" s="804">
        <f t="shared" si="138"/>
        <v>-0.5692544459644322</v>
      </c>
      <c r="CN97" s="804">
        <f t="shared" si="138"/>
        <v>-0.48524262131065532</v>
      </c>
      <c r="CO97" s="804">
        <f t="shared" si="138"/>
        <v>-0.41444807722248156</v>
      </c>
      <c r="CP97" s="352">
        <f t="shared" si="138"/>
        <v>-0.40207292397902294</v>
      </c>
      <c r="CQ97" s="804">
        <f t="shared" si="138"/>
        <v>-0.34402503422648156</v>
      </c>
      <c r="CR97" s="804">
        <f t="shared" si="138"/>
        <v>0.23660182612147684</v>
      </c>
      <c r="CS97" s="804">
        <f t="shared" si="138"/>
        <v>0.1668286362163911</v>
      </c>
      <c r="CT97" s="804">
        <f t="shared" si="138"/>
        <v>0.14038819462908791</v>
      </c>
      <c r="CU97" s="882">
        <f t="shared" si="138"/>
        <v>-8.2872928176795924E-3</v>
      </c>
      <c r="CV97" s="881">
        <f t="shared" si="138"/>
        <v>0.14877757901013711</v>
      </c>
      <c r="CW97" s="881">
        <f t="shared" si="138"/>
        <v>0.38234349919743171</v>
      </c>
      <c r="CX97" s="881">
        <f t="shared" si="138"/>
        <v>0.38006662965019444</v>
      </c>
      <c r="CY97" s="881">
        <f t="shared" si="138"/>
        <v>0.29051060853345745</v>
      </c>
      <c r="CZ97" s="882">
        <f t="shared" si="138"/>
        <v>0.29979108635097496</v>
      </c>
      <c r="DA97" s="881">
        <f t="shared" si="138"/>
        <v>0.35790293277965213</v>
      </c>
      <c r="DB97" s="881">
        <f t="shared" si="138"/>
        <v>0.33232698560148632</v>
      </c>
      <c r="DC97" s="881">
        <f t="shared" si="138"/>
        <v>0.29893381613357461</v>
      </c>
      <c r="DD97" s="881">
        <f t="shared" si="138"/>
        <v>0.16151761517615215</v>
      </c>
      <c r="DE97" s="882">
        <f t="shared" si="138"/>
        <v>0.27806054111974299</v>
      </c>
      <c r="DF97" s="881">
        <f t="shared" si="138"/>
        <v>0.16590214067278297</v>
      </c>
      <c r="DG97" s="881">
        <f t="shared" si="138"/>
        <v>6.3273487885654456E-2</v>
      </c>
      <c r="DH97" s="881">
        <f t="shared" ref="DH97" si="139">DH71/DC71-1</f>
        <v>8.4559392906922826E-2</v>
      </c>
      <c r="DI97" s="881">
        <f t="shared" ref="DI97:DJ97" si="140">DI71/DD71-1</f>
        <v>0.1899206719552029</v>
      </c>
      <c r="DJ97" s="882">
        <f t="shared" si="140"/>
        <v>0.12684971704045278</v>
      </c>
      <c r="DK97" s="567">
        <f t="shared" ref="DK97" si="141">DK71/DF71-1</f>
        <v>0.14377049180327872</v>
      </c>
      <c r="DL97" s="567">
        <f t="shared" ref="DL97" si="142">DL71/DG71-1</f>
        <v>0.30983606557377064</v>
      </c>
      <c r="DM97" s="567">
        <f t="shared" ref="DM97" si="143">DM71/DH71-1</f>
        <v>0.14000000000000012</v>
      </c>
      <c r="DN97" s="567">
        <f t="shared" ref="DN97:DO97" si="144">DN71/DI71-1</f>
        <v>7.9199999999999937E-2</v>
      </c>
      <c r="DO97" s="882">
        <f t="shared" si="144"/>
        <v>0.16090547226665675</v>
      </c>
      <c r="DP97" s="567">
        <f t="shared" ref="DP97:DP101" si="145">DP71/DK71-1</f>
        <v>0.15999999999999992</v>
      </c>
      <c r="DQ97" s="567">
        <f t="shared" ref="DQ97" si="146">DQ71/DL71-1</f>
        <v>0.14000000000000012</v>
      </c>
      <c r="DR97" s="567">
        <f t="shared" ref="DR97" si="147">DR71/DM71-1</f>
        <v>0.15000000000000013</v>
      </c>
      <c r="DS97" s="567">
        <f t="shared" ref="DS97" si="148">DS71/DN71-1</f>
        <v>0.18359999999999999</v>
      </c>
      <c r="DT97" s="882">
        <f t="shared" ref="DT97" si="149">DT71/DO71-1</f>
        <v>0.15856453882709576</v>
      </c>
      <c r="DU97" s="882">
        <f>DU71/DT71-1</f>
        <v>9.3499999999999694E-2</v>
      </c>
      <c r="DV97" s="882">
        <f>DV71/DU71-1</f>
        <v>7.4000000000000066E-2</v>
      </c>
    </row>
    <row r="98" spans="2:126" s="532" customFormat="1" ht="12.9" customHeight="1">
      <c r="B98" s="674" t="s">
        <v>407</v>
      </c>
      <c r="C98" s="675"/>
      <c r="D98" s="675"/>
      <c r="E98" s="675"/>
      <c r="F98" s="675"/>
      <c r="G98" s="675"/>
      <c r="H98" s="675"/>
      <c r="I98" s="675"/>
      <c r="J98" s="676"/>
      <c r="K98" s="676"/>
      <c r="L98" s="676"/>
      <c r="M98" s="676"/>
      <c r="N98" s="675"/>
      <c r="O98" s="676"/>
      <c r="P98" s="676"/>
      <c r="Q98" s="676"/>
      <c r="R98" s="676"/>
      <c r="S98" s="675"/>
      <c r="T98" s="676"/>
      <c r="U98" s="676"/>
      <c r="V98" s="676"/>
      <c r="W98" s="676"/>
      <c r="X98" s="675"/>
      <c r="Y98" s="676"/>
      <c r="Z98" s="676"/>
      <c r="AA98" s="676"/>
      <c r="AB98" s="676"/>
      <c r="AC98" s="675"/>
      <c r="AD98" s="676"/>
      <c r="AE98" s="676"/>
      <c r="AF98" s="676"/>
      <c r="AG98" s="676"/>
      <c r="AH98" s="675"/>
      <c r="AI98" s="676"/>
      <c r="AJ98" s="676"/>
      <c r="AK98" s="676"/>
      <c r="AL98" s="676"/>
      <c r="AM98" s="675"/>
      <c r="AN98" s="676"/>
      <c r="AO98" s="676"/>
      <c r="AP98" s="676"/>
      <c r="AQ98" s="676"/>
      <c r="AR98" s="675"/>
      <c r="AS98" s="676"/>
      <c r="AT98" s="676"/>
      <c r="AU98" s="676"/>
      <c r="AV98" s="676"/>
      <c r="AW98" s="675"/>
      <c r="AX98" s="676"/>
      <c r="AY98" s="676"/>
      <c r="AZ98" s="676"/>
      <c r="BA98" s="676"/>
      <c r="BB98" s="675"/>
      <c r="BC98" s="676"/>
      <c r="BD98" s="676"/>
      <c r="BE98" s="676"/>
      <c r="BF98" s="676"/>
      <c r="BG98" s="675"/>
      <c r="BH98" s="676"/>
      <c r="BI98" s="676"/>
      <c r="BJ98" s="676"/>
      <c r="BK98" s="676"/>
      <c r="BL98" s="675"/>
      <c r="BM98" s="676"/>
      <c r="BN98" s="676"/>
      <c r="BO98" s="676"/>
      <c r="BP98" s="676"/>
      <c r="BQ98" s="805"/>
      <c r="BR98" s="806"/>
      <c r="BS98" s="806"/>
      <c r="BT98" s="806"/>
      <c r="BU98" s="806"/>
      <c r="BV98" s="805"/>
      <c r="BW98" s="806"/>
      <c r="BX98" s="806"/>
      <c r="BY98" s="806"/>
      <c r="BZ98" s="806"/>
      <c r="CA98" s="805"/>
      <c r="CB98" s="806">
        <f t="shared" ref="CB98:CO101" si="150">CB72/BW72-1</f>
        <v>-5.1578947368421058E-2</v>
      </c>
      <c r="CC98" s="806">
        <f t="shared" si="150"/>
        <v>0.12938775510204059</v>
      </c>
      <c r="CD98" s="806">
        <f t="shared" si="150"/>
        <v>0.16666666666666652</v>
      </c>
      <c r="CE98" s="806">
        <f t="shared" si="150"/>
        <v>0.22849999999999993</v>
      </c>
      <c r="CF98" s="805">
        <f t="shared" si="150"/>
        <v>0.11951841728491486</v>
      </c>
      <c r="CG98" s="807">
        <f t="shared" si="150"/>
        <v>0.24805771365149831</v>
      </c>
      <c r="CH98" s="806">
        <f t="shared" si="150"/>
        <v>1.6559636003076639E-2</v>
      </c>
      <c r="CI98" s="806">
        <f t="shared" si="150"/>
        <v>5.494505494505475E-3</v>
      </c>
      <c r="CJ98" s="806">
        <f t="shared" si="150"/>
        <v>-5.6573056573056446E-2</v>
      </c>
      <c r="CK98" s="805">
        <f t="shared" si="150"/>
        <v>4.6358324245517446E-2</v>
      </c>
      <c r="CL98" s="806">
        <f t="shared" si="150"/>
        <v>-0.19119608714984426</v>
      </c>
      <c r="CM98" s="808">
        <f t="shared" si="150"/>
        <v>-0.38514129443938017</v>
      </c>
      <c r="CN98" s="808">
        <f t="shared" si="150"/>
        <v>-0.33697632058287774</v>
      </c>
      <c r="CO98" s="808">
        <f t="shared" si="150"/>
        <v>-0.27610008628127702</v>
      </c>
      <c r="CP98" s="805">
        <f>CP$72/CK$72-1</f>
        <v>-0.2997777777777777</v>
      </c>
      <c r="CQ98" s="806">
        <f t="shared" ref="CQ98:CT101" si="151">CQ72/CL72-1</f>
        <v>-0.24958768554150634</v>
      </c>
      <c r="CR98" s="806">
        <f t="shared" si="151"/>
        <v>0.30318754633061529</v>
      </c>
      <c r="CS98" s="806">
        <f t="shared" si="151"/>
        <v>-0.16414835164835173</v>
      </c>
      <c r="CT98" s="806">
        <f t="shared" si="151"/>
        <v>-0.15077473182359946</v>
      </c>
      <c r="CU98" s="884">
        <f t="shared" si="138"/>
        <v>-8.5211044112980083E-2</v>
      </c>
      <c r="CV98" s="883">
        <f t="shared" si="138"/>
        <v>-0.16996336996336991</v>
      </c>
      <c r="CW98" s="883">
        <f t="shared" si="138"/>
        <v>-0.23265073947667803</v>
      </c>
      <c r="CX98" s="883">
        <f t="shared" si="138"/>
        <v>0.20706655710764199</v>
      </c>
      <c r="CY98" s="883">
        <f t="shared" si="138"/>
        <v>0.30175438596491233</v>
      </c>
      <c r="CZ98" s="884">
        <f t="shared" si="138"/>
        <v>7.1118820468345501E-3</v>
      </c>
      <c r="DA98" s="883">
        <f t="shared" si="138"/>
        <v>0.34421888790820843</v>
      </c>
      <c r="DB98" s="883">
        <f t="shared" si="138"/>
        <v>0.34766493699036327</v>
      </c>
      <c r="DC98" s="883">
        <f t="shared" si="138"/>
        <v>0.232811436351259</v>
      </c>
      <c r="DD98" s="883">
        <f t="shared" si="138"/>
        <v>1.0781671159029615E-2</v>
      </c>
      <c r="DE98" s="884">
        <f t="shared" si="138"/>
        <v>0.21029968997588688</v>
      </c>
      <c r="DF98" s="883">
        <f t="shared" si="138"/>
        <v>0.11621799080761641</v>
      </c>
      <c r="DG98" s="883">
        <f t="shared" si="138"/>
        <v>-0.22992299229922997</v>
      </c>
      <c r="DH98" s="883">
        <f t="shared" si="138"/>
        <v>-6.1292103810049681E-2</v>
      </c>
      <c r="DI98" s="883">
        <f t="shared" si="138"/>
        <v>0.22666666666666657</v>
      </c>
      <c r="DJ98" s="884">
        <f t="shared" si="138"/>
        <v>1.0388501494236424E-2</v>
      </c>
      <c r="DK98" s="883">
        <f t="shared" si="138"/>
        <v>0.11764705882352944</v>
      </c>
      <c r="DL98" s="883">
        <f t="shared" si="138"/>
        <v>0.35714285714285721</v>
      </c>
      <c r="DM98" s="703"/>
      <c r="DN98" s="703"/>
      <c r="DO98" s="884"/>
      <c r="DP98" s="883"/>
      <c r="DQ98" s="703"/>
      <c r="DR98" s="703"/>
      <c r="DS98" s="703"/>
      <c r="DT98" s="884"/>
      <c r="DU98" s="900"/>
      <c r="DV98" s="900"/>
    </row>
    <row r="99" spans="2:126" s="532" customFormat="1" ht="12.9" customHeight="1">
      <c r="B99" s="674" t="s">
        <v>408</v>
      </c>
      <c r="C99" s="675"/>
      <c r="D99" s="675"/>
      <c r="E99" s="675"/>
      <c r="F99" s="675"/>
      <c r="G99" s="675"/>
      <c r="H99" s="675"/>
      <c r="I99" s="675"/>
      <c r="J99" s="676"/>
      <c r="K99" s="676"/>
      <c r="L99" s="676"/>
      <c r="M99" s="676"/>
      <c r="N99" s="675"/>
      <c r="O99" s="676"/>
      <c r="P99" s="676"/>
      <c r="Q99" s="676"/>
      <c r="R99" s="676"/>
      <c r="S99" s="675"/>
      <c r="T99" s="676"/>
      <c r="U99" s="676"/>
      <c r="V99" s="676"/>
      <c r="W99" s="676"/>
      <c r="X99" s="675"/>
      <c r="Y99" s="676"/>
      <c r="Z99" s="676"/>
      <c r="AA99" s="676"/>
      <c r="AB99" s="676"/>
      <c r="AC99" s="675"/>
      <c r="AD99" s="676"/>
      <c r="AE99" s="676"/>
      <c r="AF99" s="676"/>
      <c r="AG99" s="676"/>
      <c r="AH99" s="675"/>
      <c r="AI99" s="676"/>
      <c r="AJ99" s="676"/>
      <c r="AK99" s="676"/>
      <c r="AL99" s="676"/>
      <c r="AM99" s="675"/>
      <c r="AN99" s="676"/>
      <c r="AO99" s="676"/>
      <c r="AP99" s="676"/>
      <c r="AQ99" s="676"/>
      <c r="AR99" s="675"/>
      <c r="AS99" s="676"/>
      <c r="AT99" s="676"/>
      <c r="AU99" s="676"/>
      <c r="AV99" s="676"/>
      <c r="AW99" s="675"/>
      <c r="AX99" s="676"/>
      <c r="AY99" s="676"/>
      <c r="AZ99" s="676"/>
      <c r="BA99" s="676"/>
      <c r="BB99" s="675"/>
      <c r="BC99" s="676"/>
      <c r="BD99" s="676"/>
      <c r="BE99" s="676"/>
      <c r="BF99" s="676"/>
      <c r="BG99" s="675"/>
      <c r="BH99" s="676"/>
      <c r="BI99" s="676"/>
      <c r="BJ99" s="676"/>
      <c r="BK99" s="676"/>
      <c r="BL99" s="675"/>
      <c r="BM99" s="676"/>
      <c r="BN99" s="676"/>
      <c r="BO99" s="676"/>
      <c r="BP99" s="676"/>
      <c r="BQ99" s="805"/>
      <c r="BR99" s="806"/>
      <c r="BS99" s="806"/>
      <c r="BT99" s="806"/>
      <c r="BU99" s="806"/>
      <c r="BV99" s="805"/>
      <c r="BW99" s="806"/>
      <c r="BX99" s="806"/>
      <c r="BY99" s="806"/>
      <c r="BZ99" s="806"/>
      <c r="CA99" s="805"/>
      <c r="CB99" s="806">
        <f t="shared" si="150"/>
        <v>0.12838709677419358</v>
      </c>
      <c r="CC99" s="806">
        <f t="shared" si="150"/>
        <v>0.12938775510204059</v>
      </c>
      <c r="CD99" s="806">
        <f t="shared" si="150"/>
        <v>0.16666666666666674</v>
      </c>
      <c r="CE99" s="806">
        <f t="shared" si="150"/>
        <v>0.28099999999999992</v>
      </c>
      <c r="CF99" s="805">
        <f t="shared" si="150"/>
        <v>0.1760622451527003</v>
      </c>
      <c r="CG99" s="806">
        <f t="shared" si="150"/>
        <v>5.7747284162378509E-2</v>
      </c>
      <c r="CH99" s="806">
        <f t="shared" si="150"/>
        <v>8.2429334012690481E-2</v>
      </c>
      <c r="CI99" s="806">
        <f t="shared" si="150"/>
        <v>0.11270491803278704</v>
      </c>
      <c r="CJ99" s="806">
        <f t="shared" si="150"/>
        <v>6.7915690866510614E-2</v>
      </c>
      <c r="CK99" s="805">
        <f t="shared" si="150"/>
        <v>7.6719730215089044E-2</v>
      </c>
      <c r="CL99" s="806">
        <f t="shared" si="150"/>
        <v>-0.10972972972972972</v>
      </c>
      <c r="CM99" s="808">
        <f t="shared" si="150"/>
        <v>-0.67980295566502469</v>
      </c>
      <c r="CN99" s="808">
        <f t="shared" si="150"/>
        <v>-0.57090239410681409</v>
      </c>
      <c r="CO99" s="808">
        <f t="shared" si="150"/>
        <v>-0.49244639376218324</v>
      </c>
      <c r="CP99" s="805">
        <f>CP$73/CK$73-1</f>
        <v>-0.46257475192219222</v>
      </c>
      <c r="CQ99" s="806">
        <f t="shared" si="151"/>
        <v>-0.39647844565877355</v>
      </c>
      <c r="CR99" s="806">
        <f t="shared" si="151"/>
        <v>0.15982905982905993</v>
      </c>
      <c r="CS99" s="806">
        <f t="shared" si="151"/>
        <v>0.46229307173513168</v>
      </c>
      <c r="CT99" s="806">
        <f t="shared" si="151"/>
        <v>0.3749399903984636</v>
      </c>
      <c r="CU99" s="884">
        <f t="shared" si="138"/>
        <v>5.0868182929811434E-2</v>
      </c>
      <c r="CV99" s="883">
        <f t="shared" si="138"/>
        <v>0.36820925553319928</v>
      </c>
      <c r="CW99" s="883">
        <f t="shared" si="138"/>
        <v>1.1783345615327927</v>
      </c>
      <c r="CX99" s="883">
        <f t="shared" si="138"/>
        <v>0.4683438155136268</v>
      </c>
      <c r="CY99" s="883">
        <f t="shared" si="138"/>
        <v>0.28491620111731852</v>
      </c>
      <c r="CZ99" s="884">
        <f t="shared" si="138"/>
        <v>0.4961601117058414</v>
      </c>
      <c r="DA99" s="883">
        <f t="shared" si="138"/>
        <v>0.34963235294117623</v>
      </c>
      <c r="DB99" s="883">
        <f t="shared" si="138"/>
        <v>0.31359945872801087</v>
      </c>
      <c r="DC99" s="883">
        <f t="shared" si="138"/>
        <v>0.3101085094231868</v>
      </c>
      <c r="DD99" s="883">
        <f t="shared" si="138"/>
        <v>0.22717391304347823</v>
      </c>
      <c r="DE99" s="884">
        <f t="shared" si="138"/>
        <v>0.29553585316534448</v>
      </c>
      <c r="DF99" s="883">
        <f t="shared" si="138"/>
        <v>0.198583492236448</v>
      </c>
      <c r="DG99" s="883">
        <f t="shared" si="138"/>
        <v>0.21040432655163532</v>
      </c>
      <c r="DH99" s="883">
        <f t="shared" si="138"/>
        <v>0.15518744551002617</v>
      </c>
      <c r="DI99" s="883">
        <f t="shared" si="138"/>
        <v>0.19574844995571317</v>
      </c>
      <c r="DJ99" s="884">
        <f t="shared" si="138"/>
        <v>0.18861808140232927</v>
      </c>
      <c r="DK99" s="883">
        <f t="shared" si="138"/>
        <v>0.15909090909090895</v>
      </c>
      <c r="DL99" s="883">
        <f t="shared" si="138"/>
        <v>0.2978723404255319</v>
      </c>
      <c r="DM99" s="703"/>
      <c r="DN99" s="703"/>
      <c r="DO99" s="884"/>
      <c r="DP99" s="883"/>
      <c r="DQ99" s="703"/>
      <c r="DR99" s="703"/>
      <c r="DS99" s="703"/>
      <c r="DT99" s="884"/>
      <c r="DU99" s="900"/>
      <c r="DV99" s="900"/>
    </row>
    <row r="100" spans="2:126" s="532" customFormat="1" ht="12.9" hidden="1" customHeight="1" outlineLevel="1">
      <c r="B100" s="663" t="s">
        <v>400</v>
      </c>
      <c r="C100" s="664"/>
      <c r="D100" s="664"/>
      <c r="E100" s="664"/>
      <c r="F100" s="664"/>
      <c r="G100" s="664"/>
      <c r="H100" s="664"/>
      <c r="I100" s="664"/>
      <c r="J100" s="651"/>
      <c r="K100" s="651"/>
      <c r="L100" s="651"/>
      <c r="M100" s="651"/>
      <c r="N100" s="664"/>
      <c r="O100" s="651"/>
      <c r="P100" s="651"/>
      <c r="Q100" s="651"/>
      <c r="R100" s="651"/>
      <c r="S100" s="664"/>
      <c r="T100" s="651"/>
      <c r="U100" s="651"/>
      <c r="V100" s="651"/>
      <c r="W100" s="651"/>
      <c r="X100" s="664"/>
      <c r="Y100" s="651"/>
      <c r="Z100" s="651"/>
      <c r="AA100" s="651"/>
      <c r="AB100" s="651"/>
      <c r="AC100" s="664"/>
      <c r="AD100" s="651"/>
      <c r="AE100" s="651"/>
      <c r="AF100" s="651"/>
      <c r="AG100" s="651"/>
      <c r="AH100" s="664"/>
      <c r="AI100" s="651"/>
      <c r="AJ100" s="651"/>
      <c r="AK100" s="651"/>
      <c r="AL100" s="651"/>
      <c r="AM100" s="664"/>
      <c r="AN100" s="651"/>
      <c r="AO100" s="651"/>
      <c r="AP100" s="651"/>
      <c r="AQ100" s="651"/>
      <c r="AR100" s="664"/>
      <c r="AS100" s="651"/>
      <c r="AT100" s="651"/>
      <c r="AU100" s="651"/>
      <c r="AV100" s="651"/>
      <c r="AW100" s="664"/>
      <c r="AX100" s="651"/>
      <c r="AY100" s="651"/>
      <c r="AZ100" s="651"/>
      <c r="BA100" s="651"/>
      <c r="BB100" s="664"/>
      <c r="BC100" s="651"/>
      <c r="BD100" s="651"/>
      <c r="BE100" s="651"/>
      <c r="BF100" s="651"/>
      <c r="BG100" s="664"/>
      <c r="BH100" s="651"/>
      <c r="BI100" s="651"/>
      <c r="BJ100" s="651"/>
      <c r="BK100" s="651"/>
      <c r="BL100" s="664"/>
      <c r="BM100" s="651"/>
      <c r="BN100" s="651"/>
      <c r="BO100" s="651"/>
      <c r="BP100" s="651"/>
      <c r="BQ100" s="352">
        <f t="shared" ref="BQ100:CA101" si="152">BQ74/BL74-1</f>
        <v>-9.2967658092832695E-2</v>
      </c>
      <c r="BR100" s="804">
        <f t="shared" si="152"/>
        <v>-9.112774471790841E-2</v>
      </c>
      <c r="BS100" s="804">
        <f t="shared" si="152"/>
        <v>-0.20361484325015999</v>
      </c>
      <c r="BT100" s="804">
        <f t="shared" si="152"/>
        <v>-0.19719262475861876</v>
      </c>
      <c r="BU100" s="804">
        <f t="shared" si="152"/>
        <v>-0.18385191914603682</v>
      </c>
      <c r="BV100" s="352">
        <f t="shared" si="152"/>
        <v>-7.7139342821999635E-2</v>
      </c>
      <c r="BW100" s="804">
        <f t="shared" si="152"/>
        <v>2.6600355888123373E-2</v>
      </c>
      <c r="BX100" s="804">
        <f t="shared" si="152"/>
        <v>6.328934465933389E-2</v>
      </c>
      <c r="BY100" s="804">
        <f t="shared" si="152"/>
        <v>0.2210012210012211</v>
      </c>
      <c r="BZ100" s="804">
        <f t="shared" si="152"/>
        <v>0.28437028395286368</v>
      </c>
      <c r="CA100" s="352">
        <f t="shared" si="152"/>
        <v>0.17171480461655619</v>
      </c>
      <c r="CB100" s="804">
        <f t="shared" si="150"/>
        <v>0.11111111111111116</v>
      </c>
      <c r="CC100" s="804">
        <f t="shared" si="150"/>
        <v>0.19222222222222207</v>
      </c>
      <c r="CD100" s="804">
        <f t="shared" si="150"/>
        <v>-9.9999999999999978E-2</v>
      </c>
      <c r="CE100" s="804">
        <f t="shared" si="150"/>
        <v>-8.333333333333337E-2</v>
      </c>
      <c r="CF100" s="352">
        <f t="shared" si="150"/>
        <v>1.8250000000000099E-2</v>
      </c>
      <c r="CG100" s="804">
        <f t="shared" si="150"/>
        <v>3.6000000000000032E-2</v>
      </c>
      <c r="CH100" s="804">
        <f t="shared" si="150"/>
        <v>-9.0400745573159358E-2</v>
      </c>
      <c r="CI100" s="804">
        <f t="shared" si="150"/>
        <v>0.17888888888888888</v>
      </c>
      <c r="CJ100" s="804">
        <f t="shared" si="150"/>
        <v>0.1963636363636363</v>
      </c>
      <c r="CK100" s="352">
        <f t="shared" si="150"/>
        <v>7.7584090351092483E-2</v>
      </c>
      <c r="CL100" s="804">
        <f t="shared" si="150"/>
        <v>-7.3359073359073435E-2</v>
      </c>
      <c r="CM100" s="804">
        <f t="shared" si="150"/>
        <v>0.18954918032786883</v>
      </c>
      <c r="CN100" s="804">
        <f t="shared" si="150"/>
        <v>7.1630537229029345E-2</v>
      </c>
      <c r="CO100" s="804">
        <f t="shared" si="150"/>
        <v>-1.5197568389058169E-3</v>
      </c>
      <c r="CP100" s="352">
        <f>CP74/CK74-1</f>
        <v>4.1695146958304896E-2</v>
      </c>
      <c r="CQ100" s="804">
        <f t="shared" si="151"/>
        <v>-4.1666666666666519E-3</v>
      </c>
      <c r="CR100" s="804">
        <f t="shared" si="151"/>
        <v>-0.10335917312661502</v>
      </c>
      <c r="CS100" s="804">
        <f t="shared" si="151"/>
        <v>-2.6385224274406371E-2</v>
      </c>
      <c r="CT100" s="804">
        <f t="shared" si="151"/>
        <v>-0.21461187214611877</v>
      </c>
      <c r="CU100" s="882">
        <f t="shared" si="138"/>
        <v>-9.5363079615048085E-2</v>
      </c>
      <c r="CV100" s="881">
        <f t="shared" si="138"/>
        <v>8.3682008368200833E-2</v>
      </c>
      <c r="CW100" s="881">
        <f t="shared" si="138"/>
        <v>5.2833813640730254E-2</v>
      </c>
      <c r="CX100" s="881">
        <f t="shared" si="138"/>
        <v>-3.1616982836494945E-2</v>
      </c>
      <c r="CY100" s="881">
        <f t="shared" si="138"/>
        <v>0.21220930232558133</v>
      </c>
      <c r="CZ100" s="882">
        <f t="shared" si="138"/>
        <v>7.7127659574468099E-2</v>
      </c>
      <c r="DA100" s="881">
        <f t="shared" si="138"/>
        <v>0.89768339768339755</v>
      </c>
      <c r="DB100" s="881">
        <f t="shared" si="138"/>
        <v>1.1669708029197077</v>
      </c>
      <c r="DC100" s="881">
        <f t="shared" si="138"/>
        <v>1.0569029850746268</v>
      </c>
      <c r="DD100" s="881">
        <f t="shared" si="138"/>
        <v>0.9312549960031975</v>
      </c>
      <c r="DE100" s="882">
        <f t="shared" si="138"/>
        <v>0.27384960718294038</v>
      </c>
      <c r="DF100" s="881">
        <f t="shared" si="138"/>
        <v>0.17599186164801628</v>
      </c>
      <c r="DG100" s="881">
        <f t="shared" ref="DG100:DG101" si="153">DG74/DB74-1</f>
        <v>1.0947368421052595E-2</v>
      </c>
      <c r="DH100" s="1072">
        <f t="shared" ref="DH100:DH101" si="154">DH74/DC74-1</f>
        <v>1.723356009070276E-2</v>
      </c>
      <c r="DI100" s="1072">
        <f t="shared" ref="DI100:DI101" si="155">DI74/DD74-1</f>
        <v>4.4288079470198749E-2</v>
      </c>
      <c r="DJ100" s="1073">
        <f t="shared" ref="DJ100:DJ101" si="156">DJ74/DE74-1</f>
        <v>0.67030837004405286</v>
      </c>
      <c r="DK100" s="1072">
        <f t="shared" ref="DK100:DK101" si="157">DK74/DF74-1</f>
        <v>5.1903114186850896E-3</v>
      </c>
      <c r="DL100" s="1072">
        <f t="shared" ref="DL100:DL101" si="158">DL74/DG74-1</f>
        <v>6.7471886713869278E-2</v>
      </c>
      <c r="DM100" s="1072">
        <f t="shared" ref="DM100:DM101" si="159">DM74/DH74-1</f>
        <v>8.0000000000000071E-2</v>
      </c>
      <c r="DN100" s="1072">
        <f t="shared" ref="DN100:DN101" si="160">DN74/DI74-1</f>
        <v>7.0000000000000062E-2</v>
      </c>
      <c r="DO100" s="1073">
        <f t="shared" ref="DO100:DO101" si="161">DO74/DJ74-1</f>
        <v>5.5918345817069337E-2</v>
      </c>
      <c r="DP100" s="1072">
        <f t="shared" si="145"/>
        <v>6.5000000000000169E-2</v>
      </c>
      <c r="DQ100" s="1072">
        <f t="shared" ref="DQ100:DQ101" si="162">DQ74/DL74-1</f>
        <v>4.9999999999999822E-2</v>
      </c>
      <c r="DR100" s="1072">
        <f t="shared" ref="DR100:DR101" si="163">DR74/DM74-1</f>
        <v>4.0000000000000258E-2</v>
      </c>
      <c r="DS100" s="1072">
        <f t="shared" ref="DS100:DS101" si="164">DS74/DN74-1</f>
        <v>5.0000000000000044E-2</v>
      </c>
      <c r="DT100" s="1073">
        <f t="shared" ref="DT100:DT101" si="165">DT74/DO74-1</f>
        <v>5.1062598348494692E-2</v>
      </c>
      <c r="DU100" s="1073">
        <f t="shared" ref="DU100:DV101" si="166">DU74/DT74-1</f>
        <v>4.9999999999999822E-2</v>
      </c>
      <c r="DV100" s="1073">
        <f t="shared" si="166"/>
        <v>4.4000000000000039E-2</v>
      </c>
    </row>
    <row r="101" spans="2:126" s="704" customFormat="1" ht="12.9" hidden="1" customHeight="1" outlineLevel="1">
      <c r="B101" s="666" t="s">
        <v>382</v>
      </c>
      <c r="C101" s="667"/>
      <c r="D101" s="667"/>
      <c r="E101" s="667"/>
      <c r="F101" s="667"/>
      <c r="G101" s="667"/>
      <c r="H101" s="667"/>
      <c r="I101" s="667"/>
      <c r="J101" s="656"/>
      <c r="K101" s="656"/>
      <c r="L101" s="656"/>
      <c r="M101" s="656"/>
      <c r="N101" s="667"/>
      <c r="O101" s="656"/>
      <c r="P101" s="656"/>
      <c r="Q101" s="656"/>
      <c r="R101" s="656"/>
      <c r="S101" s="667"/>
      <c r="T101" s="656"/>
      <c r="U101" s="656"/>
      <c r="V101" s="656"/>
      <c r="W101" s="656"/>
      <c r="X101" s="667"/>
      <c r="Y101" s="656"/>
      <c r="Z101" s="656"/>
      <c r="AA101" s="656"/>
      <c r="AB101" s="656"/>
      <c r="AC101" s="667"/>
      <c r="AD101" s="656"/>
      <c r="AE101" s="656"/>
      <c r="AF101" s="656"/>
      <c r="AG101" s="656"/>
      <c r="AH101" s="667"/>
      <c r="AI101" s="656"/>
      <c r="AJ101" s="656"/>
      <c r="AK101" s="656"/>
      <c r="AL101" s="656"/>
      <c r="AM101" s="667"/>
      <c r="AN101" s="656"/>
      <c r="AO101" s="656"/>
      <c r="AP101" s="656"/>
      <c r="AQ101" s="656"/>
      <c r="AR101" s="667"/>
      <c r="AS101" s="656"/>
      <c r="AT101" s="656"/>
      <c r="AU101" s="656"/>
      <c r="AV101" s="656"/>
      <c r="AW101" s="667"/>
      <c r="AX101" s="656"/>
      <c r="AY101" s="656"/>
      <c r="AZ101" s="656"/>
      <c r="BA101" s="656"/>
      <c r="BB101" s="667"/>
      <c r="BC101" s="656"/>
      <c r="BD101" s="656"/>
      <c r="BE101" s="656"/>
      <c r="BF101" s="656"/>
      <c r="BG101" s="667"/>
      <c r="BH101" s="656"/>
      <c r="BI101" s="656"/>
      <c r="BJ101" s="656"/>
      <c r="BK101" s="656"/>
      <c r="BL101" s="667"/>
      <c r="BM101" s="656"/>
      <c r="BN101" s="656"/>
      <c r="BO101" s="656"/>
      <c r="BP101" s="656"/>
      <c r="BQ101" s="809">
        <f t="shared" si="152"/>
        <v>2.7969987494789628E-2</v>
      </c>
      <c r="BR101" s="810">
        <f t="shared" si="152"/>
        <v>0.10363059569968125</v>
      </c>
      <c r="BS101" s="810">
        <f t="shared" si="152"/>
        <v>4.1426743442099401E-2</v>
      </c>
      <c r="BT101" s="810">
        <f t="shared" si="152"/>
        <v>4.9825029161806533E-2</v>
      </c>
      <c r="BU101" s="810">
        <f t="shared" si="152"/>
        <v>6.7270567270567128E-2</v>
      </c>
      <c r="BV101" s="809">
        <f t="shared" si="152"/>
        <v>6.4839219820769456E-2</v>
      </c>
      <c r="BW101" s="810">
        <f t="shared" si="152"/>
        <v>-5.0438542613566395E-2</v>
      </c>
      <c r="BX101" s="810">
        <f t="shared" si="152"/>
        <v>-1.4685207282351787E-2</v>
      </c>
      <c r="BY101" s="810">
        <f t="shared" si="152"/>
        <v>9.4017094017093905E-2</v>
      </c>
      <c r="BZ101" s="810">
        <f t="shared" si="152"/>
        <v>-0.13305005833181749</v>
      </c>
      <c r="CA101" s="809">
        <f t="shared" si="152"/>
        <v>-2.9527213076337655E-2</v>
      </c>
      <c r="CB101" s="810">
        <f t="shared" si="150"/>
        <v>5.0452781371281619E-2</v>
      </c>
      <c r="CC101" s="810">
        <f t="shared" si="150"/>
        <v>9.2326139088729553E-2</v>
      </c>
      <c r="CD101" s="810">
        <f t="shared" si="150"/>
        <v>9.3750000000000666E-2</v>
      </c>
      <c r="CE101" s="810">
        <f t="shared" si="150"/>
        <v>0.30370370370370336</v>
      </c>
      <c r="CF101" s="809">
        <f t="shared" si="150"/>
        <v>0.13462118925445243</v>
      </c>
      <c r="CG101" s="810">
        <f t="shared" si="150"/>
        <v>0.19334975369458074</v>
      </c>
      <c r="CH101" s="810">
        <f t="shared" si="150"/>
        <v>0.15587266739846317</v>
      </c>
      <c r="CI101" s="810">
        <f t="shared" si="150"/>
        <v>7.244897959183616E-2</v>
      </c>
      <c r="CJ101" s="810">
        <f t="shared" si="150"/>
        <v>0.13352272727272863</v>
      </c>
      <c r="CK101" s="809">
        <f t="shared" si="150"/>
        <v>0.13567438148443745</v>
      </c>
      <c r="CL101" s="810">
        <f t="shared" si="150"/>
        <v>-0.15376676986584115</v>
      </c>
      <c r="CM101" s="810">
        <f t="shared" si="150"/>
        <v>-0.33238366571699907</v>
      </c>
      <c r="CN101" s="810">
        <f t="shared" si="150"/>
        <v>-0.33777354900095147</v>
      </c>
      <c r="CO101" s="810">
        <f t="shared" si="150"/>
        <v>-0.35505430242272351</v>
      </c>
      <c r="CP101" s="809">
        <f>CP75/CK75-1</f>
        <v>-0.29936753338018274</v>
      </c>
      <c r="CQ101" s="810">
        <f t="shared" si="151"/>
        <v>-0.1682926829268292</v>
      </c>
      <c r="CR101" s="810">
        <f t="shared" si="151"/>
        <v>-2.7027027027026862E-2</v>
      </c>
      <c r="CS101" s="810">
        <f t="shared" si="151"/>
        <v>-1.0057471264367845E-2</v>
      </c>
      <c r="CT101" s="810">
        <f t="shared" si="151"/>
        <v>-1.6839378238342362E-2</v>
      </c>
      <c r="CU101" s="886">
        <f t="shared" si="138"/>
        <v>-5.9177532597793348E-2</v>
      </c>
      <c r="CV101" s="885">
        <f t="shared" si="138"/>
        <v>4.692082111436946E-2</v>
      </c>
      <c r="CW101" s="885">
        <f t="shared" si="138"/>
        <v>5.9941520467836185E-2</v>
      </c>
      <c r="CX101" s="885">
        <f t="shared" si="138"/>
        <v>2.6124818577648812E-2</v>
      </c>
      <c r="CY101" s="885">
        <f t="shared" si="138"/>
        <v>9.222661396574483E-2</v>
      </c>
      <c r="CZ101" s="886">
        <f t="shared" si="138"/>
        <v>5.7213930348258613E-2</v>
      </c>
      <c r="DA101" s="885">
        <f t="shared" si="138"/>
        <v>-1.2142857142857144</v>
      </c>
      <c r="DB101" s="885">
        <f t="shared" si="138"/>
        <v>-1.2827586206896551</v>
      </c>
      <c r="DC101" s="885">
        <f t="shared" si="138"/>
        <v>-1.2842998585572842</v>
      </c>
      <c r="DD101" s="885">
        <f t="shared" si="138"/>
        <v>-1.3594692400482509</v>
      </c>
      <c r="DE101" s="886">
        <f t="shared" si="138"/>
        <v>0.13344537815126034</v>
      </c>
      <c r="DF101" s="885">
        <f t="shared" si="138"/>
        <v>1.1699346405228761</v>
      </c>
      <c r="DG101" s="885">
        <f t="shared" si="153"/>
        <v>0.51219512195121952</v>
      </c>
      <c r="DH101" s="885">
        <f t="shared" si="154"/>
        <v>0.50746268656716409</v>
      </c>
      <c r="DI101" s="885">
        <f t="shared" si="155"/>
        <v>-1.3422818791946289E-2</v>
      </c>
      <c r="DJ101" s="1067">
        <f t="shared" si="156"/>
        <v>-1.367437722419929</v>
      </c>
      <c r="DK101" s="885">
        <f t="shared" si="157"/>
        <v>-9.6385542168674787E-2</v>
      </c>
      <c r="DL101" s="885">
        <f t="shared" si="158"/>
        <v>0.29677419354838719</v>
      </c>
      <c r="DM101" s="885">
        <f t="shared" si="159"/>
        <v>0.12211221122112215</v>
      </c>
      <c r="DN101" s="885">
        <f t="shared" si="160"/>
        <v>0.19047619047619047</v>
      </c>
      <c r="DO101" s="1067">
        <f t="shared" si="161"/>
        <v>0.12348668280871644</v>
      </c>
      <c r="DP101" s="885">
        <f t="shared" si="145"/>
        <v>8.3333333333333481E-2</v>
      </c>
      <c r="DQ101" s="885">
        <f t="shared" si="162"/>
        <v>-0.191542288557214</v>
      </c>
      <c r="DR101" s="885">
        <f t="shared" si="163"/>
        <v>0</v>
      </c>
      <c r="DS101" s="885">
        <f t="shared" si="164"/>
        <v>2.8571428571428692E-2</v>
      </c>
      <c r="DT101" s="1067">
        <f t="shared" si="165"/>
        <v>-3.0172413793103314E-2</v>
      </c>
      <c r="DU101" s="1067">
        <f t="shared" si="166"/>
        <v>2.2222222222222143E-2</v>
      </c>
      <c r="DV101" s="1067">
        <f t="shared" si="166"/>
        <v>1.449275362318847E-2</v>
      </c>
    </row>
    <row r="102" spans="2:126" s="532" customFormat="1" ht="12.9" customHeight="1" collapsed="1">
      <c r="B102" s="705" t="s">
        <v>416</v>
      </c>
      <c r="C102" s="669"/>
      <c r="D102" s="669"/>
      <c r="E102" s="669"/>
      <c r="F102" s="669"/>
      <c r="G102" s="669"/>
      <c r="H102" s="669"/>
      <c r="I102" s="669"/>
      <c r="J102" s="547"/>
      <c r="K102" s="547"/>
      <c r="L102" s="547"/>
      <c r="M102" s="547"/>
      <c r="N102" s="669"/>
      <c r="O102" s="547"/>
      <c r="P102" s="547"/>
      <c r="Q102" s="547"/>
      <c r="R102" s="547"/>
      <c r="S102" s="669"/>
      <c r="T102" s="547"/>
      <c r="U102" s="547"/>
      <c r="V102" s="547"/>
      <c r="W102" s="547"/>
      <c r="X102" s="669"/>
      <c r="Y102" s="547"/>
      <c r="Z102" s="547"/>
      <c r="AA102" s="547"/>
      <c r="AB102" s="547"/>
      <c r="AC102" s="669"/>
      <c r="AD102" s="547"/>
      <c r="AE102" s="547"/>
      <c r="AF102" s="547"/>
      <c r="AG102" s="547"/>
      <c r="AH102" s="669"/>
      <c r="AI102" s="547"/>
      <c r="AJ102" s="547"/>
      <c r="AK102" s="547"/>
      <c r="AL102" s="547"/>
      <c r="AM102" s="669"/>
      <c r="AN102" s="547"/>
      <c r="AO102" s="547"/>
      <c r="AP102" s="547"/>
      <c r="AQ102" s="547"/>
      <c r="AR102" s="669"/>
      <c r="AS102" s="547"/>
      <c r="AT102" s="547"/>
      <c r="AU102" s="547"/>
      <c r="AV102" s="547"/>
      <c r="AW102" s="669"/>
      <c r="AX102" s="547"/>
      <c r="AY102" s="547"/>
      <c r="AZ102" s="547"/>
      <c r="BA102" s="547"/>
      <c r="BB102" s="669"/>
      <c r="BC102" s="547"/>
      <c r="BD102" s="547"/>
      <c r="BE102" s="547"/>
      <c r="BF102" s="547"/>
      <c r="BG102" s="669"/>
      <c r="BH102" s="547"/>
      <c r="BI102" s="547"/>
      <c r="BJ102" s="547"/>
      <c r="BK102" s="547"/>
      <c r="BL102" s="669"/>
      <c r="BM102" s="547"/>
      <c r="BN102" s="547"/>
      <c r="BO102" s="547"/>
      <c r="BP102" s="547"/>
      <c r="BQ102" s="811">
        <f t="shared" ref="BQ102:DG102" si="167">BQ81/BL81-1</f>
        <v>2.7969987494789628E-2</v>
      </c>
      <c r="BR102" s="812">
        <f t="shared" si="167"/>
        <v>0.10363059569968258</v>
      </c>
      <c r="BS102" s="812">
        <f t="shared" si="167"/>
        <v>4.1426743442098513E-2</v>
      </c>
      <c r="BT102" s="812">
        <f t="shared" si="167"/>
        <v>4.9825029161806311E-2</v>
      </c>
      <c r="BU102" s="812">
        <f t="shared" si="167"/>
        <v>6.727056727056735E-2</v>
      </c>
      <c r="BV102" s="811">
        <f t="shared" si="167"/>
        <v>6.4839219820769678E-2</v>
      </c>
      <c r="BW102" s="812">
        <f t="shared" si="167"/>
        <v>6.5633982753114051E-2</v>
      </c>
      <c r="BX102" s="812">
        <f t="shared" si="167"/>
        <v>1.889110735678079E-2</v>
      </c>
      <c r="BY102" s="812">
        <f t="shared" si="167"/>
        <v>6.2857142857142945E-2</v>
      </c>
      <c r="BZ102" s="812">
        <f t="shared" si="167"/>
        <v>-2.4627800194796268E-2</v>
      </c>
      <c r="CA102" s="811">
        <f t="shared" si="167"/>
        <v>2.8674790555978547E-2</v>
      </c>
      <c r="CB102" s="812">
        <f t="shared" si="167"/>
        <v>6.5787501873220355E-2</v>
      </c>
      <c r="CC102" s="812">
        <f t="shared" si="167"/>
        <v>0.13325293940307481</v>
      </c>
      <c r="CD102" s="812">
        <f t="shared" si="167"/>
        <v>0.11708482676224619</v>
      </c>
      <c r="CE102" s="812">
        <f t="shared" si="167"/>
        <v>0.20627674750356628</v>
      </c>
      <c r="CF102" s="811">
        <f t="shared" si="167"/>
        <v>0.131529263687854</v>
      </c>
      <c r="CG102" s="812">
        <f t="shared" si="167"/>
        <v>0.11839145106861637</v>
      </c>
      <c r="CH102" s="812">
        <f t="shared" si="167"/>
        <v>4.7752061718542294E-2</v>
      </c>
      <c r="CI102" s="812">
        <f t="shared" si="167"/>
        <v>8.4090909090908994E-2</v>
      </c>
      <c r="CJ102" s="812">
        <f t="shared" si="167"/>
        <v>5.6764427625354719E-2</v>
      </c>
      <c r="CK102" s="811">
        <f t="shared" si="167"/>
        <v>7.5574167375515255E-2</v>
      </c>
      <c r="CL102" s="812">
        <f t="shared" si="167"/>
        <v>-0.13339200402313289</v>
      </c>
      <c r="CM102" s="812">
        <f t="shared" si="167"/>
        <v>-0.44356988701282207</v>
      </c>
      <c r="CN102" s="812">
        <f t="shared" si="167"/>
        <v>-0.39326674065852762</v>
      </c>
      <c r="CO102" s="812">
        <f t="shared" si="167"/>
        <v>-0.34568039391226479</v>
      </c>
      <c r="CP102" s="811">
        <f t="shared" si="167"/>
        <v>-0.32954130672831239</v>
      </c>
      <c r="CQ102" s="812">
        <f t="shared" si="167"/>
        <v>-0.27578703032061513</v>
      </c>
      <c r="CR102" s="812">
        <f t="shared" si="167"/>
        <v>0.10426648414328077</v>
      </c>
      <c r="CS102" s="812">
        <f t="shared" si="167"/>
        <v>9.7154471544715459E-2</v>
      </c>
      <c r="CT102" s="812">
        <f t="shared" si="167"/>
        <v>3.9849495467761287E-2</v>
      </c>
      <c r="CU102" s="888">
        <f t="shared" si="167"/>
        <v>-3.3209327647219067E-2</v>
      </c>
      <c r="CV102" s="887">
        <f t="shared" si="167"/>
        <v>0.12239583333333326</v>
      </c>
      <c r="CW102" s="887">
        <f t="shared" si="167"/>
        <v>0.26590909090909087</v>
      </c>
      <c r="CX102" s="887">
        <f t="shared" si="167"/>
        <v>0.25046313449425717</v>
      </c>
      <c r="CY102" s="887">
        <f t="shared" si="167"/>
        <v>0.25246710526315752</v>
      </c>
      <c r="CZ102" s="888">
        <f t="shared" si="167"/>
        <v>0.22454246832473013</v>
      </c>
      <c r="DA102" s="887">
        <f t="shared" si="167"/>
        <v>0.25736212743173326</v>
      </c>
      <c r="DB102" s="887">
        <f t="shared" si="167"/>
        <v>0.29051738207932098</v>
      </c>
      <c r="DC102" s="887">
        <f t="shared" si="167"/>
        <v>0.2534814814814812</v>
      </c>
      <c r="DD102" s="887">
        <f t="shared" si="167"/>
        <v>0.12239001969796481</v>
      </c>
      <c r="DE102" s="888">
        <f t="shared" si="167"/>
        <v>0.26085456984096589</v>
      </c>
      <c r="DF102" s="887">
        <f t="shared" si="167"/>
        <v>0.14691270404542212</v>
      </c>
      <c r="DG102" s="887">
        <f t="shared" si="167"/>
        <v>3.5917541418995613E-2</v>
      </c>
      <c r="DH102" s="562">
        <f t="shared" ref="DH102:DI102" si="168">DH81/DC81-1</f>
        <v>5.6967261553008131E-2</v>
      </c>
      <c r="DI102" s="562">
        <f t="shared" si="168"/>
        <v>0.15584415584415567</v>
      </c>
      <c r="DJ102" s="888">
        <f t="shared" ref="DJ102" si="169">DJ81/DE81-1</f>
        <v>6.7442708649930072E-2</v>
      </c>
      <c r="DK102" s="562">
        <f>DK81/DF81-1</f>
        <v>0.11398514851485131</v>
      </c>
      <c r="DL102" s="562">
        <f t="shared" ref="DL102" si="170">DL81/DG81-1</f>
        <v>0.23928702234159482</v>
      </c>
      <c r="DM102" s="562">
        <f t="shared" ref="DM102" si="171">DM81/DH81-1</f>
        <v>0.12555741921055596</v>
      </c>
      <c r="DN102" s="562">
        <f t="shared" ref="DN102:DO102" si="172">DN81/DI81-1</f>
        <v>7.3538819718595105E-2</v>
      </c>
      <c r="DO102" s="888">
        <f t="shared" si="172"/>
        <v>0.13388998035363442</v>
      </c>
      <c r="DP102" s="562">
        <f>DP81/DK81-1</f>
        <v>0.13802688590156675</v>
      </c>
      <c r="DQ102" s="562">
        <f t="shared" ref="DQ102" si="173">DQ81/DL81-1</f>
        <v>0.13040587134272497</v>
      </c>
      <c r="DR102" s="562">
        <f t="shared" ref="DR102" si="174">DR81/DM81-1</f>
        <v>0.12859413900054251</v>
      </c>
      <c r="DS102" s="562">
        <f t="shared" ref="DS102" si="175">DS81/DN81-1</f>
        <v>0.15470855830329389</v>
      </c>
      <c r="DT102" s="888">
        <f t="shared" ref="DT102" si="176">DT81/DO81-1</f>
        <v>0.13814258890826614</v>
      </c>
      <c r="DU102" s="888">
        <f>DU81/DT81-1</f>
        <v>8.5526391775256005E-2</v>
      </c>
      <c r="DV102" s="888">
        <f>DV81/DU81-1</f>
        <v>6.8933765152374038E-2</v>
      </c>
    </row>
    <row r="103" spans="2:126" s="665" customFormat="1" ht="12.9" customHeight="1">
      <c r="B103" s="668"/>
      <c r="C103" s="669"/>
      <c r="D103" s="669"/>
      <c r="E103" s="669"/>
      <c r="F103" s="669"/>
      <c r="G103" s="669"/>
      <c r="H103" s="669"/>
      <c r="I103" s="669"/>
      <c r="J103" s="547"/>
      <c r="K103" s="547"/>
      <c r="L103" s="547"/>
      <c r="M103" s="547"/>
      <c r="N103" s="669"/>
      <c r="O103" s="547"/>
      <c r="P103" s="547"/>
      <c r="Q103" s="547"/>
      <c r="R103" s="547"/>
      <c r="S103" s="669"/>
      <c r="T103" s="547"/>
      <c r="U103" s="547"/>
      <c r="V103" s="547"/>
      <c r="W103" s="547"/>
      <c r="X103" s="669"/>
      <c r="Y103" s="547"/>
      <c r="Z103" s="547"/>
      <c r="AA103" s="547"/>
      <c r="AB103" s="547"/>
      <c r="AC103" s="669"/>
      <c r="AD103" s="547"/>
      <c r="AE103" s="547"/>
      <c r="AF103" s="547"/>
      <c r="AG103" s="547"/>
      <c r="AH103" s="669"/>
      <c r="AI103" s="547"/>
      <c r="AJ103" s="547"/>
      <c r="AK103" s="547"/>
      <c r="AL103" s="547"/>
      <c r="AM103" s="669"/>
      <c r="AN103" s="547"/>
      <c r="AO103" s="547"/>
      <c r="AP103" s="547"/>
      <c r="AQ103" s="547"/>
      <c r="AR103" s="669"/>
      <c r="AS103" s="547"/>
      <c r="AT103" s="547"/>
      <c r="AU103" s="547"/>
      <c r="AV103" s="547"/>
      <c r="AW103" s="669"/>
      <c r="AX103" s="547"/>
      <c r="AY103" s="547"/>
      <c r="AZ103" s="547"/>
      <c r="BA103" s="547"/>
      <c r="BB103" s="669"/>
      <c r="BC103" s="547"/>
      <c r="BD103" s="547"/>
      <c r="BE103" s="547"/>
      <c r="BF103" s="547"/>
      <c r="BG103" s="669"/>
      <c r="BH103" s="547"/>
      <c r="BI103" s="547"/>
      <c r="BJ103" s="547"/>
      <c r="BK103" s="547"/>
      <c r="BL103" s="669"/>
      <c r="BM103" s="547"/>
      <c r="BN103" s="547"/>
      <c r="BO103" s="547"/>
      <c r="BP103" s="547"/>
      <c r="BQ103" s="669"/>
      <c r="BR103" s="670"/>
      <c r="BS103" s="670"/>
      <c r="BT103" s="547"/>
      <c r="BU103" s="547"/>
      <c r="BV103" s="669"/>
      <c r="BW103" s="547"/>
      <c r="BX103" s="547"/>
      <c r="BY103" s="547"/>
      <c r="BZ103" s="547"/>
      <c r="CA103" s="669"/>
      <c r="CB103" s="670"/>
      <c r="CC103" s="670"/>
      <c r="CD103" s="670"/>
      <c r="CE103" s="670"/>
      <c r="CF103" s="669"/>
      <c r="CG103" s="670"/>
      <c r="CH103" s="670"/>
      <c r="CI103" s="670"/>
      <c r="CJ103" s="670"/>
      <c r="CK103" s="669"/>
      <c r="CL103" s="547"/>
      <c r="CM103" s="547"/>
      <c r="CN103" s="547"/>
      <c r="CO103" s="547"/>
      <c r="CP103" s="669"/>
      <c r="CQ103" s="706"/>
      <c r="CR103" s="547"/>
      <c r="CS103" s="547"/>
      <c r="CT103" s="547"/>
      <c r="CU103" s="669"/>
      <c r="CV103" s="547"/>
      <c r="CW103" s="547"/>
      <c r="CX103" s="547"/>
      <c r="CY103" s="547"/>
      <c r="CZ103" s="669"/>
      <c r="DA103" s="547"/>
      <c r="DB103" s="547"/>
      <c r="DC103" s="547"/>
      <c r="DD103" s="547"/>
      <c r="DE103" s="669"/>
      <c r="DF103" s="547"/>
      <c r="DG103" s="547"/>
      <c r="DH103" s="547"/>
      <c r="DI103" s="547"/>
      <c r="DJ103" s="669"/>
      <c r="DK103" s="547"/>
      <c r="DL103" s="547"/>
      <c r="DM103" s="547"/>
      <c r="DN103" s="547"/>
      <c r="DO103" s="669"/>
      <c r="DP103" s="547"/>
      <c r="DQ103" s="547"/>
      <c r="DR103" s="547"/>
      <c r="DS103" s="547"/>
      <c r="DT103" s="669"/>
      <c r="DU103" s="669"/>
      <c r="DV103" s="669"/>
    </row>
    <row r="104" spans="2:126" s="521" customFormat="1" ht="12.9" customHeight="1">
      <c r="B104" s="526" t="s">
        <v>417</v>
      </c>
      <c r="C104" s="523"/>
      <c r="D104" s="523"/>
      <c r="E104" s="523"/>
      <c r="F104" s="523"/>
      <c r="G104" s="523"/>
      <c r="H104" s="523"/>
      <c r="I104" s="523"/>
      <c r="J104" s="524"/>
      <c r="K104" s="524"/>
      <c r="L104" s="524"/>
      <c r="M104" s="525"/>
      <c r="N104" s="523"/>
      <c r="O104" s="524"/>
      <c r="P104" s="524"/>
      <c r="Q104" s="524"/>
      <c r="R104" s="525"/>
      <c r="S104" s="523"/>
      <c r="T104" s="524"/>
      <c r="U104" s="524"/>
      <c r="V104" s="524"/>
      <c r="W104" s="525"/>
      <c r="X104" s="523"/>
      <c r="Y104" s="524"/>
      <c r="Z104" s="524"/>
      <c r="AA104" s="524"/>
      <c r="AB104" s="525"/>
      <c r="AC104" s="523"/>
      <c r="AD104" s="524"/>
      <c r="AE104" s="524"/>
      <c r="AF104" s="524"/>
      <c r="AG104" s="525"/>
      <c r="AH104" s="523"/>
      <c r="AI104" s="524"/>
      <c r="AJ104" s="524"/>
      <c r="AK104" s="524"/>
      <c r="AL104" s="525"/>
      <c r="AM104" s="523"/>
      <c r="AN104" s="524"/>
      <c r="AO104" s="524"/>
      <c r="AP104" s="524"/>
      <c r="AQ104" s="525"/>
      <c r="AR104" s="523"/>
      <c r="AS104" s="524"/>
      <c r="AT104" s="524"/>
      <c r="AU104" s="524"/>
      <c r="AV104" s="525"/>
      <c r="AW104" s="523"/>
      <c r="AX104" s="524"/>
      <c r="AY104" s="524"/>
      <c r="AZ104" s="524"/>
      <c r="BA104" s="525"/>
      <c r="BB104" s="523"/>
      <c r="BC104" s="524"/>
      <c r="BD104" s="524"/>
      <c r="BE104" s="524"/>
      <c r="BF104" s="525"/>
      <c r="BG104" s="523"/>
      <c r="BH104" s="524"/>
      <c r="BI104" s="524"/>
      <c r="BJ104" s="524"/>
      <c r="BK104" s="525"/>
      <c r="BL104" s="523"/>
      <c r="BM104" s="524"/>
      <c r="BN104" s="524"/>
      <c r="BO104" s="524"/>
      <c r="BP104" s="525"/>
      <c r="BQ104" s="523"/>
      <c r="BR104" s="524"/>
      <c r="BS104" s="524"/>
      <c r="BT104" s="524"/>
      <c r="BU104" s="525"/>
      <c r="BV104" s="523"/>
      <c r="BW104" s="524"/>
      <c r="BX104" s="524"/>
      <c r="BY104" s="524"/>
      <c r="BZ104" s="525"/>
      <c r="CA104" s="523"/>
      <c r="CB104" s="524"/>
      <c r="CC104" s="524"/>
      <c r="CD104" s="524"/>
      <c r="CE104" s="525"/>
      <c r="CF104" s="523"/>
      <c r="CG104" s="524"/>
      <c r="CH104" s="524"/>
      <c r="CI104" s="524"/>
      <c r="CJ104" s="525"/>
      <c r="CK104" s="523"/>
      <c r="CL104" s="524"/>
      <c r="CM104" s="524"/>
      <c r="CN104" s="524"/>
      <c r="CO104" s="525"/>
      <c r="CP104" s="523"/>
      <c r="CQ104" s="524"/>
      <c r="CR104" s="524"/>
      <c r="CS104" s="524"/>
      <c r="CT104" s="525"/>
      <c r="CU104" s="523"/>
      <c r="CV104" s="524"/>
      <c r="CW104" s="524"/>
      <c r="CX104" s="524"/>
      <c r="CY104" s="525"/>
      <c r="CZ104" s="523"/>
      <c r="DA104" s="524"/>
      <c r="DB104" s="524"/>
      <c r="DC104" s="524"/>
      <c r="DD104" s="525"/>
      <c r="DE104" s="523"/>
      <c r="DF104" s="524"/>
      <c r="DG104" s="524"/>
      <c r="DH104" s="524"/>
      <c r="DI104" s="525"/>
      <c r="DJ104" s="523"/>
      <c r="DK104" s="524"/>
      <c r="DL104" s="524"/>
      <c r="DM104" s="524"/>
      <c r="DN104" s="525"/>
      <c r="DO104" s="523"/>
      <c r="DP104" s="524"/>
      <c r="DQ104" s="524"/>
      <c r="DR104" s="524"/>
      <c r="DS104" s="525"/>
      <c r="DT104" s="523"/>
      <c r="DU104" s="523"/>
      <c r="DV104" s="523"/>
    </row>
    <row r="105" spans="2:126" s="612" customFormat="1" ht="12.9" customHeight="1">
      <c r="B105" s="660" t="s">
        <v>418</v>
      </c>
      <c r="C105" s="789"/>
      <c r="D105" s="789"/>
      <c r="E105" s="789"/>
      <c r="F105" s="789"/>
      <c r="G105" s="789"/>
      <c r="H105" s="789"/>
      <c r="I105" s="789"/>
      <c r="J105" s="790"/>
      <c r="K105" s="790"/>
      <c r="L105" s="790"/>
      <c r="M105" s="790"/>
      <c r="N105" s="789"/>
      <c r="O105" s="790"/>
      <c r="P105" s="790"/>
      <c r="Q105" s="790"/>
      <c r="R105" s="790"/>
      <c r="S105" s="789"/>
      <c r="T105" s="790"/>
      <c r="U105" s="790"/>
      <c r="V105" s="790"/>
      <c r="W105" s="790"/>
      <c r="X105" s="789"/>
      <c r="Y105" s="790"/>
      <c r="Z105" s="790"/>
      <c r="AA105" s="790"/>
      <c r="AB105" s="790"/>
      <c r="AC105" s="789"/>
      <c r="AD105" s="790"/>
      <c r="AE105" s="790"/>
      <c r="AF105" s="790"/>
      <c r="AG105" s="790"/>
      <c r="AH105" s="789"/>
      <c r="AI105" s="790"/>
      <c r="AJ105" s="790"/>
      <c r="AK105" s="790"/>
      <c r="AL105" s="790"/>
      <c r="AM105" s="789"/>
      <c r="AN105" s="790"/>
      <c r="AO105" s="790"/>
      <c r="AP105" s="790"/>
      <c r="AQ105" s="790"/>
      <c r="AR105" s="789"/>
      <c r="AS105" s="790"/>
      <c r="AT105" s="790"/>
      <c r="AU105" s="790"/>
      <c r="AV105" s="790"/>
      <c r="AW105" s="789"/>
      <c r="AX105" s="790"/>
      <c r="AY105" s="790"/>
      <c r="AZ105" s="790"/>
      <c r="BA105" s="790"/>
      <c r="BB105" s="789"/>
      <c r="BC105" s="790"/>
      <c r="BD105" s="790"/>
      <c r="BE105" s="790"/>
      <c r="BF105" s="790"/>
      <c r="BG105" s="789"/>
      <c r="BH105" s="790"/>
      <c r="BI105" s="790"/>
      <c r="BJ105" s="790"/>
      <c r="BK105" s="790"/>
      <c r="BL105" s="789"/>
      <c r="BM105" s="790"/>
      <c r="BN105" s="790"/>
      <c r="BO105" s="790"/>
      <c r="BP105" s="790"/>
      <c r="BQ105" s="789"/>
      <c r="BR105" s="790"/>
      <c r="BS105" s="790"/>
      <c r="BT105" s="790"/>
      <c r="BU105" s="790"/>
      <c r="BV105" s="789"/>
      <c r="BW105" s="790"/>
      <c r="BX105" s="790"/>
      <c r="BY105" s="790"/>
      <c r="BZ105" s="790"/>
      <c r="CA105" s="789"/>
      <c r="CB105" s="790"/>
      <c r="CC105" s="790"/>
      <c r="CD105" s="790"/>
      <c r="CE105" s="790"/>
      <c r="CF105" s="789"/>
      <c r="CG105" s="791"/>
      <c r="CH105" s="790"/>
      <c r="CI105" s="790"/>
      <c r="CJ105" s="790"/>
      <c r="CK105" s="789"/>
      <c r="CL105" s="791"/>
      <c r="CM105" s="790"/>
      <c r="CN105" s="790"/>
      <c r="CO105" s="790"/>
      <c r="CP105" s="789"/>
      <c r="CQ105" s="790"/>
      <c r="CR105" s="790"/>
      <c r="CS105" s="790"/>
      <c r="CT105" s="790"/>
      <c r="CU105" s="789"/>
      <c r="CV105" s="790"/>
      <c r="CW105" s="790"/>
      <c r="CX105" s="790"/>
      <c r="CY105" s="790"/>
      <c r="CZ105" s="789"/>
      <c r="DA105" s="790"/>
      <c r="DB105" s="790"/>
      <c r="DC105" s="790"/>
      <c r="DD105" s="790"/>
      <c r="DE105" s="789"/>
      <c r="DF105" s="790"/>
      <c r="DG105" s="790"/>
      <c r="DH105" s="790"/>
      <c r="DI105" s="790"/>
      <c r="DJ105" s="789"/>
      <c r="DK105" s="790"/>
      <c r="DL105" s="790"/>
      <c r="DM105" s="790"/>
      <c r="DN105" s="790"/>
      <c r="DO105" s="789"/>
      <c r="DP105" s="790"/>
      <c r="DQ105" s="790"/>
      <c r="DR105" s="790"/>
      <c r="DS105" s="790"/>
      <c r="DT105" s="789"/>
      <c r="DU105" s="789"/>
      <c r="DV105" s="789"/>
    </row>
    <row r="106" spans="2:126" s="612" customFormat="1" ht="12.9" customHeight="1">
      <c r="B106" s="623" t="s">
        <v>397</v>
      </c>
      <c r="C106" s="538"/>
      <c r="D106" s="538"/>
      <c r="E106" s="538"/>
      <c r="F106" s="538"/>
      <c r="G106" s="538"/>
      <c r="H106" s="538"/>
      <c r="I106" s="538"/>
      <c r="J106" s="624"/>
      <c r="K106" s="624"/>
      <c r="L106" s="624"/>
      <c r="M106" s="624"/>
      <c r="N106" s="538"/>
      <c r="O106" s="624"/>
      <c r="P106" s="624"/>
      <c r="Q106" s="624"/>
      <c r="R106" s="624"/>
      <c r="S106" s="538"/>
      <c r="T106" s="624"/>
      <c r="U106" s="624"/>
      <c r="V106" s="624"/>
      <c r="W106" s="624"/>
      <c r="X106" s="538"/>
      <c r="Y106" s="624"/>
      <c r="Z106" s="624"/>
      <c r="AA106" s="624"/>
      <c r="AB106" s="624"/>
      <c r="AC106" s="538"/>
      <c r="AD106" s="624"/>
      <c r="AE106" s="624"/>
      <c r="AF106" s="624"/>
      <c r="AG106" s="624"/>
      <c r="AH106" s="538"/>
      <c r="AI106" s="624"/>
      <c r="AJ106" s="624"/>
      <c r="AK106" s="624"/>
      <c r="AL106" s="624"/>
      <c r="AM106" s="538"/>
      <c r="AN106" s="624"/>
      <c r="AO106" s="624"/>
      <c r="AP106" s="624"/>
      <c r="AQ106" s="624"/>
      <c r="AR106" s="538"/>
      <c r="AS106" s="624"/>
      <c r="AT106" s="624"/>
      <c r="AU106" s="624"/>
      <c r="AV106" s="624"/>
      <c r="AW106" s="538"/>
      <c r="AX106" s="624"/>
      <c r="AY106" s="624"/>
      <c r="AZ106" s="624"/>
      <c r="BA106" s="624"/>
      <c r="BB106" s="538"/>
      <c r="BC106" s="624"/>
      <c r="BD106" s="624"/>
      <c r="BE106" s="624"/>
      <c r="BF106" s="624"/>
      <c r="BG106" s="538">
        <v>2378</v>
      </c>
      <c r="BH106" s="707">
        <v>646</v>
      </c>
      <c r="BI106" s="707">
        <v>652</v>
      </c>
      <c r="BJ106" s="707">
        <v>615</v>
      </c>
      <c r="BK106" s="707">
        <v>658</v>
      </c>
      <c r="BL106" s="538">
        <f>SUM(BH106:BK106)</f>
        <v>2571</v>
      </c>
      <c r="BM106" s="707">
        <v>649</v>
      </c>
      <c r="BN106" s="707">
        <v>685</v>
      </c>
      <c r="BO106" s="707">
        <v>611</v>
      </c>
      <c r="BP106" s="707">
        <v>643</v>
      </c>
      <c r="BQ106" s="538">
        <f>SUM(BM106:BP106)</f>
        <v>2588</v>
      </c>
      <c r="BR106" s="707">
        <v>677</v>
      </c>
      <c r="BS106" s="707">
        <v>724</v>
      </c>
      <c r="BT106" s="707">
        <v>654</v>
      </c>
      <c r="BU106" s="707">
        <v>692</v>
      </c>
      <c r="BV106" s="538">
        <f>SUM(BR106:BU106)</f>
        <v>2747</v>
      </c>
      <c r="BW106" s="707">
        <v>627</v>
      </c>
      <c r="BX106" s="707">
        <v>627</v>
      </c>
      <c r="BY106" s="707">
        <v>641</v>
      </c>
      <c r="BZ106" s="707">
        <v>735</v>
      </c>
      <c r="CA106" s="538">
        <f>SUM(BW106:BZ106)</f>
        <v>2630</v>
      </c>
      <c r="CB106" s="707">
        <v>651</v>
      </c>
      <c r="CC106" s="707">
        <v>697</v>
      </c>
      <c r="CD106" s="707">
        <v>714</v>
      </c>
      <c r="CE106" s="707">
        <v>763</v>
      </c>
      <c r="CF106" s="538">
        <f>SUM(CB106:CE106)</f>
        <v>2825</v>
      </c>
      <c r="CG106" s="707">
        <v>751</v>
      </c>
      <c r="CH106" s="707">
        <v>723</v>
      </c>
      <c r="CI106" s="707">
        <v>714</v>
      </c>
      <c r="CJ106" s="707">
        <v>675</v>
      </c>
      <c r="CK106" s="538">
        <f>SUM(CG106:CJ106)</f>
        <v>2863</v>
      </c>
      <c r="CL106" s="826">
        <v>530</v>
      </c>
      <c r="CM106" s="826">
        <v>362</v>
      </c>
      <c r="CN106" s="826">
        <v>391</v>
      </c>
      <c r="CO106" s="826">
        <v>437</v>
      </c>
      <c r="CP106" s="538">
        <f>SUM(CL106:CO106)</f>
        <v>1720</v>
      </c>
      <c r="CQ106" s="826">
        <v>359</v>
      </c>
      <c r="CR106" s="826">
        <v>383</v>
      </c>
      <c r="CS106" s="826">
        <v>377</v>
      </c>
      <c r="CT106" s="826">
        <v>368</v>
      </c>
      <c r="CU106" s="538">
        <f>SUM(CQ106:CT106)</f>
        <v>1487</v>
      </c>
      <c r="CV106" s="826">
        <v>343</v>
      </c>
      <c r="CW106" s="826">
        <v>355</v>
      </c>
      <c r="CX106" s="826">
        <v>489</v>
      </c>
      <c r="CY106" s="826">
        <v>476</v>
      </c>
      <c r="CZ106" s="538">
        <f>SUM(CV106:CY106)</f>
        <v>1663</v>
      </c>
      <c r="DA106" s="826">
        <v>481</v>
      </c>
      <c r="DB106" s="826">
        <v>543</v>
      </c>
      <c r="DC106" s="826">
        <v>520</v>
      </c>
      <c r="DD106" s="826">
        <v>531</v>
      </c>
      <c r="DE106" s="538">
        <f>SUM(DA106:DD106)</f>
        <v>2075</v>
      </c>
      <c r="DF106" s="826">
        <v>489</v>
      </c>
      <c r="DG106" s="707">
        <v>402</v>
      </c>
      <c r="DH106" s="707">
        <v>501</v>
      </c>
      <c r="DI106" s="707">
        <v>519</v>
      </c>
      <c r="DJ106" s="538">
        <f>SUM(DF106:DI106)</f>
        <v>1911</v>
      </c>
      <c r="DK106" s="707">
        <v>444</v>
      </c>
      <c r="DL106" s="707">
        <v>551</v>
      </c>
      <c r="DM106" s="707"/>
      <c r="DN106" s="707"/>
      <c r="DO106" s="538"/>
      <c r="DP106" s="707"/>
      <c r="DQ106" s="707"/>
      <c r="DR106" s="707"/>
      <c r="DS106" s="707"/>
      <c r="DT106" s="538"/>
      <c r="DU106" s="538"/>
      <c r="DV106" s="538"/>
    </row>
    <row r="107" spans="2:126" s="611" customFormat="1" ht="12.9" customHeight="1">
      <c r="B107" s="625" t="s">
        <v>419</v>
      </c>
      <c r="C107" s="626"/>
      <c r="D107" s="626"/>
      <c r="E107" s="626"/>
      <c r="F107" s="626"/>
      <c r="G107" s="626"/>
      <c r="H107" s="626"/>
      <c r="I107" s="626"/>
      <c r="J107" s="627"/>
      <c r="K107" s="627"/>
      <c r="L107" s="627"/>
      <c r="M107" s="627"/>
      <c r="N107" s="626"/>
      <c r="O107" s="627"/>
      <c r="P107" s="627"/>
      <c r="Q107" s="627"/>
      <c r="R107" s="627"/>
      <c r="S107" s="626"/>
      <c r="T107" s="627"/>
      <c r="U107" s="627"/>
      <c r="V107" s="627"/>
      <c r="W107" s="627"/>
      <c r="X107" s="626"/>
      <c r="Y107" s="627"/>
      <c r="Z107" s="627"/>
      <c r="AA107" s="627"/>
      <c r="AB107" s="627"/>
      <c r="AC107" s="626"/>
      <c r="AD107" s="627"/>
      <c r="AE107" s="627"/>
      <c r="AF107" s="627"/>
      <c r="AG107" s="627"/>
      <c r="AH107" s="626"/>
      <c r="AI107" s="627"/>
      <c r="AJ107" s="627"/>
      <c r="AK107" s="627"/>
      <c r="AL107" s="627"/>
      <c r="AM107" s="626"/>
      <c r="AN107" s="627"/>
      <c r="AO107" s="627"/>
      <c r="AP107" s="627"/>
      <c r="AQ107" s="627"/>
      <c r="AR107" s="626"/>
      <c r="AS107" s="627"/>
      <c r="AT107" s="627"/>
      <c r="AU107" s="627"/>
      <c r="AV107" s="627"/>
      <c r="AW107" s="626"/>
      <c r="AX107" s="627"/>
      <c r="AY107" s="627"/>
      <c r="AZ107" s="627"/>
      <c r="BA107" s="627"/>
      <c r="BB107" s="626"/>
      <c r="BC107" s="627"/>
      <c r="BD107" s="627"/>
      <c r="BE107" s="627"/>
      <c r="BF107" s="627"/>
      <c r="BG107" s="626">
        <v>180</v>
      </c>
      <c r="BH107" s="627">
        <v>70</v>
      </c>
      <c r="BI107" s="627">
        <v>75</v>
      </c>
      <c r="BJ107" s="627">
        <v>65</v>
      </c>
      <c r="BK107" s="627">
        <v>77</v>
      </c>
      <c r="BL107" s="626">
        <f>SUM(BH107:BK107)</f>
        <v>287</v>
      </c>
      <c r="BM107" s="627">
        <v>51</v>
      </c>
      <c r="BN107" s="627">
        <v>86</v>
      </c>
      <c r="BO107" s="627">
        <v>64</v>
      </c>
      <c r="BP107" s="627">
        <v>59</v>
      </c>
      <c r="BQ107" s="626">
        <f>SUM(BM107:BP107)</f>
        <v>260</v>
      </c>
      <c r="BR107" s="627">
        <v>53</v>
      </c>
      <c r="BS107" s="627">
        <v>78</v>
      </c>
      <c r="BT107" s="627">
        <v>53</v>
      </c>
      <c r="BU107" s="627">
        <v>75</v>
      </c>
      <c r="BV107" s="626">
        <f>SUM(BR107:BU107)</f>
        <v>259</v>
      </c>
      <c r="BW107" s="627">
        <v>69</v>
      </c>
      <c r="BX107" s="627">
        <v>60</v>
      </c>
      <c r="BY107" s="627">
        <v>48</v>
      </c>
      <c r="BZ107" s="627">
        <v>57</v>
      </c>
      <c r="CA107" s="626">
        <f>SUM(BW107:BZ107)</f>
        <v>234</v>
      </c>
      <c r="CB107" s="627">
        <v>50</v>
      </c>
      <c r="CC107" s="627">
        <v>57</v>
      </c>
      <c r="CD107" s="627">
        <v>65</v>
      </c>
      <c r="CE107" s="627">
        <v>79</v>
      </c>
      <c r="CF107" s="626">
        <f>SUM(CB107:CE107)</f>
        <v>251</v>
      </c>
      <c r="CG107" s="627">
        <v>78</v>
      </c>
      <c r="CH107" s="627">
        <v>70</v>
      </c>
      <c r="CI107" s="627">
        <v>73</v>
      </c>
      <c r="CJ107" s="627">
        <v>75</v>
      </c>
      <c r="CK107" s="626">
        <f>SUM(CG107:CJ107)</f>
        <v>296</v>
      </c>
      <c r="CL107" s="708">
        <v>70</v>
      </c>
      <c r="CM107" s="628" t="s">
        <v>404</v>
      </c>
      <c r="CN107" s="857" t="s">
        <v>404</v>
      </c>
      <c r="CO107" s="857" t="s">
        <v>404</v>
      </c>
      <c r="CP107" s="870" t="s">
        <v>404</v>
      </c>
      <c r="CQ107" s="708" t="s">
        <v>404</v>
      </c>
      <c r="CR107" s="708" t="s">
        <v>404</v>
      </c>
      <c r="CS107" s="856" t="s">
        <v>404</v>
      </c>
      <c r="CT107" s="856" t="s">
        <v>404</v>
      </c>
      <c r="CU107" s="870" t="s">
        <v>404</v>
      </c>
      <c r="CV107" s="708" t="s">
        <v>404</v>
      </c>
      <c r="CW107" s="708" t="s">
        <v>404</v>
      </c>
      <c r="CX107" s="856" t="s">
        <v>404</v>
      </c>
      <c r="CY107" s="856" t="s">
        <v>404</v>
      </c>
      <c r="CZ107" s="870" t="s">
        <v>404</v>
      </c>
      <c r="DA107" s="708" t="s">
        <v>404</v>
      </c>
      <c r="DB107" s="708" t="s">
        <v>404</v>
      </c>
      <c r="DC107" s="856" t="s">
        <v>404</v>
      </c>
      <c r="DD107" s="856" t="s">
        <v>404</v>
      </c>
      <c r="DE107" s="870" t="s">
        <v>404</v>
      </c>
      <c r="DF107" s="856"/>
      <c r="DG107" s="709"/>
      <c r="DH107" s="709"/>
      <c r="DI107" s="709"/>
      <c r="DJ107" s="870" t="s">
        <v>404</v>
      </c>
      <c r="DK107" s="709"/>
      <c r="DL107" s="709"/>
      <c r="DM107" s="709"/>
      <c r="DN107" s="709"/>
      <c r="DO107" s="626"/>
      <c r="DP107" s="709"/>
      <c r="DQ107" s="709"/>
      <c r="DR107" s="709"/>
      <c r="DS107" s="709"/>
      <c r="DT107" s="626"/>
      <c r="DU107" s="626"/>
      <c r="DV107" s="626"/>
    </row>
    <row r="108" spans="2:126" s="611" customFormat="1" ht="12.9" customHeight="1">
      <c r="B108" s="625" t="s">
        <v>420</v>
      </c>
      <c r="C108" s="626"/>
      <c r="D108" s="626"/>
      <c r="E108" s="626"/>
      <c r="F108" s="626"/>
      <c r="G108" s="626"/>
      <c r="H108" s="626"/>
      <c r="I108" s="626"/>
      <c r="J108" s="627"/>
      <c r="K108" s="627"/>
      <c r="L108" s="627"/>
      <c r="M108" s="627"/>
      <c r="N108" s="626"/>
      <c r="O108" s="627"/>
      <c r="P108" s="627"/>
      <c r="Q108" s="627"/>
      <c r="R108" s="627"/>
      <c r="S108" s="626"/>
      <c r="T108" s="627"/>
      <c r="U108" s="627"/>
      <c r="V108" s="627"/>
      <c r="W108" s="627"/>
      <c r="X108" s="626"/>
      <c r="Y108" s="627"/>
      <c r="Z108" s="627"/>
      <c r="AA108" s="627"/>
      <c r="AB108" s="627"/>
      <c r="AC108" s="626"/>
      <c r="AD108" s="627"/>
      <c r="AE108" s="627"/>
      <c r="AF108" s="627"/>
      <c r="AG108" s="627"/>
      <c r="AH108" s="626"/>
      <c r="AI108" s="627"/>
      <c r="AJ108" s="627"/>
      <c r="AK108" s="627"/>
      <c r="AL108" s="627"/>
      <c r="AM108" s="626"/>
      <c r="AN108" s="627"/>
      <c r="AO108" s="627"/>
      <c r="AP108" s="627"/>
      <c r="AQ108" s="627"/>
      <c r="AR108" s="626"/>
      <c r="AS108" s="627"/>
      <c r="AT108" s="627"/>
      <c r="AU108" s="627"/>
      <c r="AV108" s="627"/>
      <c r="AW108" s="626"/>
      <c r="AX108" s="627"/>
      <c r="AY108" s="627"/>
      <c r="AZ108" s="627"/>
      <c r="BA108" s="627"/>
      <c r="BB108" s="626"/>
      <c r="BC108" s="627"/>
      <c r="BD108" s="627"/>
      <c r="BE108" s="627"/>
      <c r="BF108" s="627"/>
      <c r="BG108" s="626">
        <v>0</v>
      </c>
      <c r="BH108" s="627">
        <v>0</v>
      </c>
      <c r="BI108" s="627">
        <v>0</v>
      </c>
      <c r="BJ108" s="627">
        <v>0</v>
      </c>
      <c r="BK108" s="627">
        <v>0</v>
      </c>
      <c r="BL108" s="626">
        <f>SUM(BH108:BK108)</f>
        <v>0</v>
      </c>
      <c r="BM108" s="627">
        <v>0</v>
      </c>
      <c r="BN108" s="627">
        <v>0</v>
      </c>
      <c r="BO108" s="627">
        <v>0</v>
      </c>
      <c r="BP108" s="627">
        <v>0</v>
      </c>
      <c r="BQ108" s="626">
        <f>SUM(BM108:BP108)</f>
        <v>0</v>
      </c>
      <c r="BR108" s="627">
        <v>0</v>
      </c>
      <c r="BS108" s="627">
        <v>11</v>
      </c>
      <c r="BT108" s="627">
        <v>22</v>
      </c>
      <c r="BU108" s="627">
        <v>44</v>
      </c>
      <c r="BV108" s="626">
        <f>SUM(BR108:BU108)</f>
        <v>77</v>
      </c>
      <c r="BW108" s="627">
        <v>77</v>
      </c>
      <c r="BX108" s="627">
        <v>69</v>
      </c>
      <c r="BY108" s="627">
        <v>111</v>
      </c>
      <c r="BZ108" s="627">
        <v>202</v>
      </c>
      <c r="CA108" s="626">
        <f>SUM(BW108:BZ108)</f>
        <v>459</v>
      </c>
      <c r="CB108" s="627">
        <v>186</v>
      </c>
      <c r="CC108" s="627">
        <v>250</v>
      </c>
      <c r="CD108" s="627">
        <v>303</v>
      </c>
      <c r="CE108" s="627">
        <v>379</v>
      </c>
      <c r="CF108" s="626">
        <f>SUM(CB108:CE108)</f>
        <v>1118</v>
      </c>
      <c r="CG108" s="627">
        <v>424</v>
      </c>
      <c r="CH108" s="627">
        <v>437</v>
      </c>
      <c r="CI108" s="627">
        <v>455</v>
      </c>
      <c r="CJ108" s="627">
        <v>420</v>
      </c>
      <c r="CK108" s="626">
        <f>SUM(CG108:CJ108)</f>
        <v>1736</v>
      </c>
      <c r="CL108" s="819">
        <v>272</v>
      </c>
      <c r="CM108" s="819">
        <v>178</v>
      </c>
      <c r="CN108" s="819">
        <v>172</v>
      </c>
      <c r="CO108" s="819">
        <v>193</v>
      </c>
      <c r="CP108" s="626">
        <f>SUM(CL108:CO108)</f>
        <v>815</v>
      </c>
      <c r="CQ108" s="819">
        <v>188</v>
      </c>
      <c r="CR108" s="819">
        <v>211</v>
      </c>
      <c r="CS108" s="819">
        <v>226</v>
      </c>
      <c r="CT108" s="819">
        <v>220</v>
      </c>
      <c r="CU108" s="626">
        <f>SUM(CQ108:CT108)</f>
        <v>845</v>
      </c>
      <c r="CV108" s="819">
        <v>239</v>
      </c>
      <c r="CW108" s="819">
        <v>226</v>
      </c>
      <c r="CX108" s="819">
        <v>347</v>
      </c>
      <c r="CY108" s="819">
        <v>324</v>
      </c>
      <c r="CZ108" s="626">
        <f>SUM(CV108:CY108)</f>
        <v>1136</v>
      </c>
      <c r="DA108" s="819">
        <v>366</v>
      </c>
      <c r="DB108" s="819">
        <v>419</v>
      </c>
      <c r="DC108" s="819">
        <v>389</v>
      </c>
      <c r="DD108" s="819">
        <v>396</v>
      </c>
      <c r="DE108" s="626">
        <f>SUM(DA108:DD108)</f>
        <v>1570</v>
      </c>
      <c r="DF108" s="819">
        <v>367</v>
      </c>
      <c r="DG108" s="710">
        <v>297</v>
      </c>
      <c r="DH108" s="710">
        <v>365</v>
      </c>
      <c r="DI108" s="710">
        <v>378</v>
      </c>
      <c r="DJ108" s="626">
        <f>SUM(DF108:DI108)</f>
        <v>1407</v>
      </c>
      <c r="DK108" s="710">
        <v>319</v>
      </c>
      <c r="DL108" s="710">
        <v>410</v>
      </c>
      <c r="DM108" s="710"/>
      <c r="DN108" s="710"/>
      <c r="DO108" s="626"/>
      <c r="DP108" s="710"/>
      <c r="DQ108" s="710"/>
      <c r="DR108" s="710"/>
      <c r="DS108" s="710"/>
      <c r="DT108" s="626"/>
      <c r="DU108" s="626"/>
      <c r="DV108" s="626"/>
    </row>
    <row r="109" spans="2:126" s="611" customFormat="1" ht="12.9" customHeight="1">
      <c r="B109" s="625" t="s">
        <v>65</v>
      </c>
      <c r="C109" s="626"/>
      <c r="D109" s="626"/>
      <c r="E109" s="626"/>
      <c r="F109" s="626"/>
      <c r="G109" s="626"/>
      <c r="H109" s="626"/>
      <c r="I109" s="626"/>
      <c r="J109" s="627"/>
      <c r="K109" s="627"/>
      <c r="L109" s="627"/>
      <c r="M109" s="627"/>
      <c r="N109" s="626"/>
      <c r="O109" s="627"/>
      <c r="P109" s="627"/>
      <c r="Q109" s="627"/>
      <c r="R109" s="627"/>
      <c r="S109" s="626"/>
      <c r="T109" s="627"/>
      <c r="U109" s="627"/>
      <c r="V109" s="627"/>
      <c r="W109" s="627"/>
      <c r="X109" s="626"/>
      <c r="Y109" s="627"/>
      <c r="Z109" s="627"/>
      <c r="AA109" s="627"/>
      <c r="AB109" s="627"/>
      <c r="AC109" s="626"/>
      <c r="AD109" s="627"/>
      <c r="AE109" s="627"/>
      <c r="AF109" s="627"/>
      <c r="AG109" s="627"/>
      <c r="AH109" s="626"/>
      <c r="AI109" s="627"/>
      <c r="AJ109" s="627"/>
      <c r="AK109" s="627"/>
      <c r="AL109" s="627"/>
      <c r="AM109" s="626"/>
      <c r="AN109" s="627"/>
      <c r="AO109" s="627"/>
      <c r="AP109" s="627"/>
      <c r="AQ109" s="627"/>
      <c r="AR109" s="626"/>
      <c r="AS109" s="627"/>
      <c r="AT109" s="627"/>
      <c r="AU109" s="627"/>
      <c r="AV109" s="627"/>
      <c r="AW109" s="626"/>
      <c r="AX109" s="627"/>
      <c r="AY109" s="627"/>
      <c r="AZ109" s="627"/>
      <c r="BA109" s="627"/>
      <c r="BB109" s="626"/>
      <c r="BC109" s="627"/>
      <c r="BD109" s="627"/>
      <c r="BE109" s="627"/>
      <c r="BF109" s="627"/>
      <c r="BG109" s="626">
        <f t="shared" ref="BG109:CL109" si="177">BG106-SUM(BG107:BG108)</f>
        <v>2198</v>
      </c>
      <c r="BH109" s="627">
        <f t="shared" si="177"/>
        <v>576</v>
      </c>
      <c r="BI109" s="627">
        <f t="shared" si="177"/>
        <v>577</v>
      </c>
      <c r="BJ109" s="627">
        <f t="shared" si="177"/>
        <v>550</v>
      </c>
      <c r="BK109" s="627">
        <f t="shared" si="177"/>
        <v>581</v>
      </c>
      <c r="BL109" s="626">
        <f t="shared" si="177"/>
        <v>2284</v>
      </c>
      <c r="BM109" s="627">
        <f t="shared" si="177"/>
        <v>598</v>
      </c>
      <c r="BN109" s="627">
        <f t="shared" si="177"/>
        <v>599</v>
      </c>
      <c r="BO109" s="627">
        <f t="shared" si="177"/>
        <v>547</v>
      </c>
      <c r="BP109" s="627">
        <f t="shared" si="177"/>
        <v>584</v>
      </c>
      <c r="BQ109" s="626">
        <f t="shared" si="177"/>
        <v>2328</v>
      </c>
      <c r="BR109" s="627">
        <f t="shared" si="177"/>
        <v>624</v>
      </c>
      <c r="BS109" s="627">
        <f t="shared" si="177"/>
        <v>635</v>
      </c>
      <c r="BT109" s="627">
        <f t="shared" si="177"/>
        <v>579</v>
      </c>
      <c r="BU109" s="627">
        <f t="shared" si="177"/>
        <v>573</v>
      </c>
      <c r="BV109" s="626">
        <f t="shared" si="177"/>
        <v>2411</v>
      </c>
      <c r="BW109" s="627">
        <f t="shared" si="177"/>
        <v>481</v>
      </c>
      <c r="BX109" s="627">
        <f t="shared" si="177"/>
        <v>498</v>
      </c>
      <c r="BY109" s="627">
        <f t="shared" si="177"/>
        <v>482</v>
      </c>
      <c r="BZ109" s="627">
        <f t="shared" si="177"/>
        <v>476</v>
      </c>
      <c r="CA109" s="626">
        <f t="shared" si="177"/>
        <v>1937</v>
      </c>
      <c r="CB109" s="627">
        <f t="shared" si="177"/>
        <v>415</v>
      </c>
      <c r="CC109" s="627">
        <f t="shared" si="177"/>
        <v>390</v>
      </c>
      <c r="CD109" s="627">
        <f t="shared" si="177"/>
        <v>346</v>
      </c>
      <c r="CE109" s="627">
        <f t="shared" si="177"/>
        <v>305</v>
      </c>
      <c r="CF109" s="626">
        <f t="shared" si="177"/>
        <v>1456</v>
      </c>
      <c r="CG109" s="627">
        <f t="shared" si="177"/>
        <v>249</v>
      </c>
      <c r="CH109" s="627">
        <f t="shared" si="177"/>
        <v>216</v>
      </c>
      <c r="CI109" s="627">
        <f t="shared" si="177"/>
        <v>186</v>
      </c>
      <c r="CJ109" s="627">
        <f t="shared" si="177"/>
        <v>180</v>
      </c>
      <c r="CK109" s="626">
        <f t="shared" si="177"/>
        <v>831</v>
      </c>
      <c r="CL109" s="627">
        <f t="shared" si="177"/>
        <v>188</v>
      </c>
      <c r="CM109" s="628" t="s">
        <v>404</v>
      </c>
      <c r="CN109" s="857" t="s">
        <v>404</v>
      </c>
      <c r="CO109" s="629" t="s">
        <v>404</v>
      </c>
      <c r="CP109" s="870" t="s">
        <v>404</v>
      </c>
      <c r="CQ109" s="708" t="s">
        <v>404</v>
      </c>
      <c r="CR109" s="708" t="s">
        <v>404</v>
      </c>
      <c r="CS109" s="856" t="s">
        <v>404</v>
      </c>
      <c r="CT109" s="856" t="s">
        <v>404</v>
      </c>
      <c r="CU109" s="870" t="s">
        <v>404</v>
      </c>
      <c r="CV109" s="708" t="s">
        <v>404</v>
      </c>
      <c r="CW109" s="708" t="s">
        <v>404</v>
      </c>
      <c r="CX109" s="856" t="s">
        <v>404</v>
      </c>
      <c r="CY109" s="856" t="s">
        <v>404</v>
      </c>
      <c r="CZ109" s="870" t="s">
        <v>404</v>
      </c>
      <c r="DA109" s="708" t="s">
        <v>404</v>
      </c>
      <c r="DB109" s="708" t="s">
        <v>404</v>
      </c>
      <c r="DC109" s="856" t="s">
        <v>404</v>
      </c>
      <c r="DD109" s="856" t="s">
        <v>404</v>
      </c>
      <c r="DE109" s="870" t="s">
        <v>404</v>
      </c>
      <c r="DF109" s="856"/>
      <c r="DG109" s="627"/>
      <c r="DH109" s="627"/>
      <c r="DI109" s="627"/>
      <c r="DJ109" s="870" t="s">
        <v>404</v>
      </c>
      <c r="DK109" s="627"/>
      <c r="DL109" s="627"/>
      <c r="DM109" s="627"/>
      <c r="DN109" s="627"/>
      <c r="DO109" s="626"/>
      <c r="DP109" s="627"/>
      <c r="DQ109" s="627"/>
      <c r="DR109" s="627"/>
      <c r="DS109" s="627"/>
      <c r="DT109" s="626"/>
      <c r="DU109" s="626"/>
      <c r="DV109" s="626"/>
    </row>
    <row r="110" spans="2:126" s="611" customFormat="1" ht="12.9" customHeight="1">
      <c r="B110" s="711" t="s">
        <v>421</v>
      </c>
      <c r="C110" s="626"/>
      <c r="D110" s="626"/>
      <c r="E110" s="626"/>
      <c r="F110" s="626"/>
      <c r="G110" s="626"/>
      <c r="H110" s="626"/>
      <c r="I110" s="626"/>
      <c r="J110" s="627"/>
      <c r="K110" s="627"/>
      <c r="L110" s="627"/>
      <c r="M110" s="627"/>
      <c r="N110" s="626"/>
      <c r="O110" s="627"/>
      <c r="P110" s="627"/>
      <c r="Q110" s="627"/>
      <c r="R110" s="627"/>
      <c r="S110" s="626"/>
      <c r="T110" s="627"/>
      <c r="U110" s="627"/>
      <c r="V110" s="627"/>
      <c r="W110" s="627"/>
      <c r="X110" s="626"/>
      <c r="Y110" s="627"/>
      <c r="Z110" s="627"/>
      <c r="AA110" s="627"/>
      <c r="AB110" s="627"/>
      <c r="AC110" s="626"/>
      <c r="AD110" s="627"/>
      <c r="AE110" s="627"/>
      <c r="AF110" s="627"/>
      <c r="AG110" s="627"/>
      <c r="AH110" s="626"/>
      <c r="AI110" s="627"/>
      <c r="AJ110" s="627"/>
      <c r="AK110" s="627"/>
      <c r="AL110" s="627"/>
      <c r="AM110" s="626"/>
      <c r="AN110" s="627"/>
      <c r="AO110" s="627"/>
      <c r="AP110" s="627"/>
      <c r="AQ110" s="627"/>
      <c r="AR110" s="626"/>
      <c r="AS110" s="627"/>
      <c r="AT110" s="627"/>
      <c r="AU110" s="627"/>
      <c r="AV110" s="627"/>
      <c r="AW110" s="626"/>
      <c r="AX110" s="627"/>
      <c r="AY110" s="627"/>
      <c r="AZ110" s="627"/>
      <c r="BA110" s="627"/>
      <c r="BB110" s="626"/>
      <c r="BC110" s="627"/>
      <c r="BD110" s="627"/>
      <c r="BE110" s="627"/>
      <c r="BF110" s="627"/>
      <c r="BG110" s="626">
        <v>1502</v>
      </c>
      <c r="BH110" s="627"/>
      <c r="BI110" s="627"/>
      <c r="BJ110" s="627"/>
      <c r="BK110" s="627"/>
      <c r="BL110" s="626">
        <v>1560</v>
      </c>
      <c r="BM110" s="627"/>
      <c r="BN110" s="627"/>
      <c r="BO110" s="627"/>
      <c r="BP110" s="627"/>
      <c r="BQ110" s="626">
        <v>1612</v>
      </c>
      <c r="BR110" s="627"/>
      <c r="BS110" s="627"/>
      <c r="BT110" s="627"/>
      <c r="BU110" s="627"/>
      <c r="BV110" s="626">
        <v>1693</v>
      </c>
      <c r="BW110" s="627"/>
      <c r="BX110" s="627"/>
      <c r="BY110" s="627"/>
      <c r="BZ110" s="627"/>
      <c r="CA110" s="626">
        <v>1444</v>
      </c>
      <c r="CB110" s="627"/>
      <c r="CC110" s="627"/>
      <c r="CD110" s="627"/>
      <c r="CE110" s="627"/>
      <c r="CF110" s="626">
        <v>1044</v>
      </c>
      <c r="CG110" s="627">
        <v>153</v>
      </c>
      <c r="CH110" s="627">
        <f>327-SUM(CG110,CI110)</f>
        <v>105</v>
      </c>
      <c r="CI110" s="627">
        <v>69</v>
      </c>
      <c r="CJ110" s="627">
        <f>CK110-327</f>
        <v>64</v>
      </c>
      <c r="CK110" s="626">
        <v>391</v>
      </c>
      <c r="CL110" s="850">
        <v>54</v>
      </c>
      <c r="CM110" s="850">
        <f>123-SUM(CL110,CN110)</f>
        <v>30</v>
      </c>
      <c r="CN110" s="850">
        <v>39</v>
      </c>
      <c r="CO110" s="851">
        <f>CP110-SUM(CL110:CN110)</f>
        <v>27</v>
      </c>
      <c r="CP110" s="626">
        <v>150</v>
      </c>
      <c r="CQ110" s="708" t="s">
        <v>404</v>
      </c>
      <c r="CR110" s="708" t="s">
        <v>404</v>
      </c>
      <c r="CS110" s="856" t="s">
        <v>404</v>
      </c>
      <c r="CT110" s="856" t="s">
        <v>404</v>
      </c>
      <c r="CU110" s="870" t="s">
        <v>404</v>
      </c>
      <c r="CV110" s="708" t="s">
        <v>404</v>
      </c>
      <c r="CW110" s="708" t="s">
        <v>404</v>
      </c>
      <c r="CX110" s="856" t="s">
        <v>404</v>
      </c>
      <c r="CY110" s="856" t="s">
        <v>404</v>
      </c>
      <c r="CZ110" s="870" t="s">
        <v>404</v>
      </c>
      <c r="DA110" s="708" t="s">
        <v>404</v>
      </c>
      <c r="DB110" s="708" t="s">
        <v>404</v>
      </c>
      <c r="DC110" s="856" t="s">
        <v>404</v>
      </c>
      <c r="DD110" s="856" t="s">
        <v>404</v>
      </c>
      <c r="DE110" s="870"/>
      <c r="DF110" s="856"/>
      <c r="DG110" s="627"/>
      <c r="DH110" s="627"/>
      <c r="DI110" s="627"/>
      <c r="DJ110" s="870"/>
      <c r="DK110" s="627"/>
      <c r="DL110" s="627"/>
      <c r="DM110" s="627"/>
      <c r="DN110" s="627"/>
      <c r="DO110" s="626"/>
      <c r="DP110" s="627"/>
      <c r="DQ110" s="627"/>
      <c r="DR110" s="627"/>
      <c r="DS110" s="627"/>
      <c r="DT110" s="626"/>
      <c r="DU110" s="626"/>
      <c r="DV110" s="626"/>
    </row>
    <row r="111" spans="2:126" s="547" customFormat="1" ht="12.9" customHeight="1">
      <c r="B111" s="712" t="s">
        <v>400</v>
      </c>
      <c r="C111" s="713"/>
      <c r="D111" s="713"/>
      <c r="E111" s="713"/>
      <c r="F111" s="713"/>
      <c r="G111" s="713"/>
      <c r="H111" s="713"/>
      <c r="I111" s="713"/>
      <c r="J111" s="714"/>
      <c r="K111" s="714"/>
      <c r="L111" s="714"/>
      <c r="M111" s="714"/>
      <c r="N111" s="713"/>
      <c r="O111" s="714"/>
      <c r="P111" s="714"/>
      <c r="Q111" s="714"/>
      <c r="R111" s="714"/>
      <c r="S111" s="713"/>
      <c r="T111" s="714"/>
      <c r="U111" s="714"/>
      <c r="V111" s="714"/>
      <c r="W111" s="714"/>
      <c r="X111" s="713"/>
      <c r="Y111" s="714"/>
      <c r="Z111" s="714"/>
      <c r="AA111" s="714"/>
      <c r="AB111" s="714"/>
      <c r="AC111" s="713"/>
      <c r="AD111" s="714"/>
      <c r="AE111" s="714"/>
      <c r="AF111" s="714"/>
      <c r="AG111" s="714"/>
      <c r="AH111" s="713"/>
      <c r="AI111" s="714"/>
      <c r="AJ111" s="714"/>
      <c r="AK111" s="714"/>
      <c r="AL111" s="714"/>
      <c r="AM111" s="713"/>
      <c r="AN111" s="714"/>
      <c r="AO111" s="714"/>
      <c r="AP111" s="714"/>
      <c r="AQ111" s="714"/>
      <c r="AR111" s="713"/>
      <c r="AS111" s="714"/>
      <c r="AT111" s="714"/>
      <c r="AU111" s="714"/>
      <c r="AV111" s="714"/>
      <c r="AW111" s="713"/>
      <c r="AX111" s="714"/>
      <c r="AY111" s="714"/>
      <c r="AZ111" s="714"/>
      <c r="BA111" s="714"/>
      <c r="BB111" s="713"/>
      <c r="BC111" s="714"/>
      <c r="BD111" s="714"/>
      <c r="BE111" s="714"/>
      <c r="BF111" s="714"/>
      <c r="BG111" s="713">
        <v>1071</v>
      </c>
      <c r="BH111" s="715">
        <v>248</v>
      </c>
      <c r="BI111" s="715">
        <v>261</v>
      </c>
      <c r="BJ111" s="715">
        <v>295</v>
      </c>
      <c r="BK111" s="715">
        <v>264</v>
      </c>
      <c r="BL111" s="713">
        <f>SUM(BH111:BK111)</f>
        <v>1068</v>
      </c>
      <c r="BM111" s="715">
        <v>169</v>
      </c>
      <c r="BN111" s="715">
        <v>174</v>
      </c>
      <c r="BO111" s="715">
        <v>158</v>
      </c>
      <c r="BP111" s="715">
        <v>265</v>
      </c>
      <c r="BQ111" s="713">
        <f>SUM(BM111:BP111)</f>
        <v>766</v>
      </c>
      <c r="BR111" s="715">
        <v>151</v>
      </c>
      <c r="BS111" s="715">
        <v>151</v>
      </c>
      <c r="BT111" s="715">
        <v>100</v>
      </c>
      <c r="BU111" s="715">
        <v>169</v>
      </c>
      <c r="BV111" s="713">
        <f>SUM(BR111:BU111)</f>
        <v>571</v>
      </c>
      <c r="BW111" s="715">
        <v>120</v>
      </c>
      <c r="BX111" s="715">
        <v>137</v>
      </c>
      <c r="BY111" s="715">
        <v>145</v>
      </c>
      <c r="BZ111" s="715">
        <v>215</v>
      </c>
      <c r="CA111" s="713">
        <f>SUM(BW111:BZ111)</f>
        <v>617</v>
      </c>
      <c r="CB111" s="715">
        <v>138</v>
      </c>
      <c r="CC111" s="715">
        <v>204</v>
      </c>
      <c r="CD111" s="715">
        <v>160</v>
      </c>
      <c r="CE111" s="715">
        <v>172</v>
      </c>
      <c r="CF111" s="713">
        <f>SUM(CB111:CE111)</f>
        <v>674</v>
      </c>
      <c r="CG111" s="715">
        <v>161</v>
      </c>
      <c r="CH111" s="715">
        <v>143</v>
      </c>
      <c r="CI111" s="715">
        <v>186</v>
      </c>
      <c r="CJ111" s="715">
        <v>227</v>
      </c>
      <c r="CK111" s="713">
        <f>SUM(CG111:CJ111)</f>
        <v>717</v>
      </c>
      <c r="CL111" s="827">
        <v>146</v>
      </c>
      <c r="CM111" s="827">
        <v>204</v>
      </c>
      <c r="CN111" s="827">
        <v>107</v>
      </c>
      <c r="CO111" s="827">
        <v>226</v>
      </c>
      <c r="CP111" s="713">
        <f>SUM(CL111:CO111)</f>
        <v>683</v>
      </c>
      <c r="CQ111" s="827">
        <v>96</v>
      </c>
      <c r="CR111" s="827">
        <v>155</v>
      </c>
      <c r="CS111" s="827">
        <v>154</v>
      </c>
      <c r="CT111" s="827">
        <v>148</v>
      </c>
      <c r="CU111" s="713">
        <f>SUM(CQ111:CT111)</f>
        <v>553</v>
      </c>
      <c r="CV111" s="827">
        <v>184</v>
      </c>
      <c r="CW111" s="827">
        <v>131</v>
      </c>
      <c r="CX111" s="827">
        <v>151</v>
      </c>
      <c r="CY111" s="827">
        <v>166</v>
      </c>
      <c r="CZ111" s="713">
        <f>SUM(CV111:CY111)</f>
        <v>632</v>
      </c>
      <c r="DA111" s="827">
        <v>80</v>
      </c>
      <c r="DB111" s="827">
        <v>228</v>
      </c>
      <c r="DC111" s="827">
        <v>95</v>
      </c>
      <c r="DD111" s="827">
        <v>153</v>
      </c>
      <c r="DE111" s="713">
        <f>SUM(DA111:DD111)</f>
        <v>556</v>
      </c>
      <c r="DF111" s="827">
        <v>125</v>
      </c>
      <c r="DG111" s="715">
        <v>87</v>
      </c>
      <c r="DH111" s="715">
        <v>94</v>
      </c>
      <c r="DI111" s="715">
        <v>184</v>
      </c>
      <c r="DJ111" s="713">
        <f>SUM(DF111:DI111)</f>
        <v>490</v>
      </c>
      <c r="DK111" s="715">
        <v>131</v>
      </c>
      <c r="DL111" s="715">
        <v>160</v>
      </c>
      <c r="DM111" s="715"/>
      <c r="DN111" s="715"/>
      <c r="DO111" s="713"/>
      <c r="DP111" s="715"/>
      <c r="DQ111" s="715"/>
      <c r="DR111" s="715"/>
      <c r="DS111" s="715"/>
      <c r="DT111" s="713"/>
      <c r="DU111" s="713"/>
      <c r="DV111" s="713"/>
    </row>
    <row r="112" spans="2:126" s="547" customFormat="1" ht="12.9" customHeight="1">
      <c r="B112" s="635" t="s">
        <v>422</v>
      </c>
      <c r="C112" s="636"/>
      <c r="D112" s="636"/>
      <c r="E112" s="636"/>
      <c r="F112" s="636"/>
      <c r="G112" s="636"/>
      <c r="H112" s="636"/>
      <c r="I112" s="636"/>
      <c r="J112" s="637"/>
      <c r="K112" s="637"/>
      <c r="L112" s="637"/>
      <c r="M112" s="637"/>
      <c r="N112" s="636"/>
      <c r="O112" s="637"/>
      <c r="P112" s="637"/>
      <c r="Q112" s="637"/>
      <c r="R112" s="637"/>
      <c r="S112" s="636"/>
      <c r="T112" s="637"/>
      <c r="U112" s="637"/>
      <c r="V112" s="637"/>
      <c r="W112" s="637"/>
      <c r="X112" s="636"/>
      <c r="Y112" s="637"/>
      <c r="Z112" s="637"/>
      <c r="AA112" s="637"/>
      <c r="AB112" s="637"/>
      <c r="AC112" s="636"/>
      <c r="AD112" s="637"/>
      <c r="AE112" s="637"/>
      <c r="AF112" s="637"/>
      <c r="AG112" s="637"/>
      <c r="AH112" s="636"/>
      <c r="AI112" s="637"/>
      <c r="AJ112" s="637"/>
      <c r="AK112" s="637"/>
      <c r="AL112" s="637"/>
      <c r="AM112" s="636"/>
      <c r="AN112" s="637"/>
      <c r="AO112" s="637"/>
      <c r="AP112" s="637"/>
      <c r="AQ112" s="637"/>
      <c r="AR112" s="636"/>
      <c r="AS112" s="637"/>
      <c r="AT112" s="637"/>
      <c r="AU112" s="637"/>
      <c r="AV112" s="637"/>
      <c r="AW112" s="636"/>
      <c r="AX112" s="637"/>
      <c r="AY112" s="637"/>
      <c r="AZ112" s="637"/>
      <c r="BA112" s="637"/>
      <c r="BB112" s="636"/>
      <c r="BC112" s="637"/>
      <c r="BD112" s="637"/>
      <c r="BE112" s="637"/>
      <c r="BF112" s="637"/>
      <c r="BG112" s="636">
        <f t="shared" ref="BG112:DL112" si="178">SUM(BG111,BG106)</f>
        <v>3449</v>
      </c>
      <c r="BH112" s="624">
        <f t="shared" si="178"/>
        <v>894</v>
      </c>
      <c r="BI112" s="624">
        <f t="shared" si="178"/>
        <v>913</v>
      </c>
      <c r="BJ112" s="624">
        <f t="shared" si="178"/>
        <v>910</v>
      </c>
      <c r="BK112" s="624">
        <f t="shared" si="178"/>
        <v>922</v>
      </c>
      <c r="BL112" s="636">
        <f t="shared" si="178"/>
        <v>3639</v>
      </c>
      <c r="BM112" s="624">
        <f t="shared" si="178"/>
        <v>818</v>
      </c>
      <c r="BN112" s="624">
        <f t="shared" si="178"/>
        <v>859</v>
      </c>
      <c r="BO112" s="624">
        <f t="shared" si="178"/>
        <v>769</v>
      </c>
      <c r="BP112" s="624">
        <f t="shared" si="178"/>
        <v>908</v>
      </c>
      <c r="BQ112" s="636">
        <f t="shared" si="178"/>
        <v>3354</v>
      </c>
      <c r="BR112" s="624">
        <f t="shared" si="178"/>
        <v>828</v>
      </c>
      <c r="BS112" s="624">
        <f t="shared" si="178"/>
        <v>875</v>
      </c>
      <c r="BT112" s="624">
        <f t="shared" si="178"/>
        <v>754</v>
      </c>
      <c r="BU112" s="624">
        <f t="shared" si="178"/>
        <v>861</v>
      </c>
      <c r="BV112" s="636">
        <f t="shared" si="178"/>
        <v>3318</v>
      </c>
      <c r="BW112" s="624">
        <f t="shared" si="178"/>
        <v>747</v>
      </c>
      <c r="BX112" s="624">
        <f t="shared" si="178"/>
        <v>764</v>
      </c>
      <c r="BY112" s="624">
        <f t="shared" si="178"/>
        <v>786</v>
      </c>
      <c r="BZ112" s="624">
        <f t="shared" si="178"/>
        <v>950</v>
      </c>
      <c r="CA112" s="636">
        <f t="shared" si="178"/>
        <v>3247</v>
      </c>
      <c r="CB112" s="624">
        <f t="shared" si="178"/>
        <v>789</v>
      </c>
      <c r="CC112" s="624">
        <f t="shared" si="178"/>
        <v>901</v>
      </c>
      <c r="CD112" s="624">
        <f t="shared" si="178"/>
        <v>874</v>
      </c>
      <c r="CE112" s="624">
        <f t="shared" si="178"/>
        <v>935</v>
      </c>
      <c r="CF112" s="636">
        <f t="shared" si="178"/>
        <v>3499</v>
      </c>
      <c r="CG112" s="624">
        <f t="shared" si="178"/>
        <v>912</v>
      </c>
      <c r="CH112" s="624">
        <f t="shared" si="178"/>
        <v>866</v>
      </c>
      <c r="CI112" s="624">
        <f t="shared" si="178"/>
        <v>900</v>
      </c>
      <c r="CJ112" s="624">
        <f t="shared" si="178"/>
        <v>902</v>
      </c>
      <c r="CK112" s="636">
        <f t="shared" si="178"/>
        <v>3580</v>
      </c>
      <c r="CL112" s="624">
        <f t="shared" si="178"/>
        <v>676</v>
      </c>
      <c r="CM112" s="624">
        <f t="shared" si="178"/>
        <v>566</v>
      </c>
      <c r="CN112" s="624">
        <f t="shared" si="178"/>
        <v>498</v>
      </c>
      <c r="CO112" s="624">
        <f t="shared" si="178"/>
        <v>663</v>
      </c>
      <c r="CP112" s="636">
        <f t="shared" si="178"/>
        <v>2403</v>
      </c>
      <c r="CQ112" s="624">
        <f t="shared" si="178"/>
        <v>455</v>
      </c>
      <c r="CR112" s="624">
        <f t="shared" si="178"/>
        <v>538</v>
      </c>
      <c r="CS112" s="624">
        <f t="shared" si="178"/>
        <v>531</v>
      </c>
      <c r="CT112" s="624">
        <f t="shared" si="178"/>
        <v>516</v>
      </c>
      <c r="CU112" s="636">
        <f t="shared" si="178"/>
        <v>2040</v>
      </c>
      <c r="CV112" s="624">
        <f t="shared" si="178"/>
        <v>527</v>
      </c>
      <c r="CW112" s="624">
        <f t="shared" si="178"/>
        <v>486</v>
      </c>
      <c r="CX112" s="624">
        <f t="shared" si="178"/>
        <v>640</v>
      </c>
      <c r="CY112" s="624">
        <f t="shared" si="178"/>
        <v>642</v>
      </c>
      <c r="CZ112" s="636">
        <f t="shared" si="178"/>
        <v>2295</v>
      </c>
      <c r="DA112" s="624">
        <f t="shared" si="178"/>
        <v>561</v>
      </c>
      <c r="DB112" s="624">
        <f t="shared" si="178"/>
        <v>771</v>
      </c>
      <c r="DC112" s="624">
        <f t="shared" si="178"/>
        <v>615</v>
      </c>
      <c r="DD112" s="624">
        <f t="shared" si="178"/>
        <v>684</v>
      </c>
      <c r="DE112" s="636">
        <f t="shared" si="178"/>
        <v>2631</v>
      </c>
      <c r="DF112" s="624">
        <f t="shared" si="178"/>
        <v>614</v>
      </c>
      <c r="DG112" s="624">
        <f t="shared" si="178"/>
        <v>489</v>
      </c>
      <c r="DH112" s="624">
        <f t="shared" si="178"/>
        <v>595</v>
      </c>
      <c r="DI112" s="624">
        <f t="shared" si="178"/>
        <v>703</v>
      </c>
      <c r="DJ112" s="636">
        <f t="shared" ref="DJ112" si="179">SUM(DJ111,DJ106)</f>
        <v>2401</v>
      </c>
      <c r="DK112" s="624">
        <f t="shared" si="178"/>
        <v>575</v>
      </c>
      <c r="DL112" s="624">
        <f t="shared" si="178"/>
        <v>711</v>
      </c>
      <c r="DM112" s="707"/>
      <c r="DN112" s="707"/>
      <c r="DO112" s="636"/>
      <c r="DP112" s="624"/>
      <c r="DQ112" s="707"/>
      <c r="DR112" s="707"/>
      <c r="DS112" s="707"/>
      <c r="DT112" s="636"/>
      <c r="DU112" s="636"/>
      <c r="DV112" s="636"/>
    </row>
    <row r="113" spans="2:126" s="547" customFormat="1" ht="12.9" customHeight="1">
      <c r="B113" s="635"/>
      <c r="C113" s="636"/>
      <c r="D113" s="636"/>
      <c r="E113" s="636"/>
      <c r="F113" s="636"/>
      <c r="G113" s="636"/>
      <c r="H113" s="636"/>
      <c r="I113" s="636"/>
      <c r="J113" s="637"/>
      <c r="K113" s="637"/>
      <c r="L113" s="637"/>
      <c r="M113" s="637"/>
      <c r="N113" s="636"/>
      <c r="O113" s="637"/>
      <c r="P113" s="637"/>
      <c r="Q113" s="637"/>
      <c r="R113" s="637"/>
      <c r="S113" s="636"/>
      <c r="T113" s="637"/>
      <c r="U113" s="637"/>
      <c r="V113" s="637"/>
      <c r="W113" s="637"/>
      <c r="X113" s="636"/>
      <c r="Y113" s="637"/>
      <c r="Z113" s="637"/>
      <c r="AA113" s="637"/>
      <c r="AB113" s="637"/>
      <c r="AC113" s="636"/>
      <c r="AD113" s="637"/>
      <c r="AE113" s="637"/>
      <c r="AF113" s="637"/>
      <c r="AG113" s="637"/>
      <c r="AH113" s="636"/>
      <c r="AI113" s="637"/>
      <c r="AJ113" s="637"/>
      <c r="AK113" s="637"/>
      <c r="AL113" s="637"/>
      <c r="AM113" s="636"/>
      <c r="AN113" s="637"/>
      <c r="AO113" s="637"/>
      <c r="AP113" s="637"/>
      <c r="AQ113" s="637"/>
      <c r="AR113" s="636"/>
      <c r="AS113" s="637"/>
      <c r="AT113" s="637"/>
      <c r="AU113" s="637"/>
      <c r="AV113" s="637"/>
      <c r="AW113" s="636"/>
      <c r="AX113" s="637"/>
      <c r="AY113" s="637"/>
      <c r="AZ113" s="637"/>
      <c r="BA113" s="637"/>
      <c r="BB113" s="636"/>
      <c r="BC113" s="637"/>
      <c r="BD113" s="637"/>
      <c r="BE113" s="637"/>
      <c r="BF113" s="637"/>
      <c r="BG113" s="636"/>
      <c r="BH113" s="707"/>
      <c r="BI113" s="707"/>
      <c r="BJ113" s="707"/>
      <c r="BK113" s="707"/>
      <c r="BL113" s="636"/>
      <c r="BM113" s="707"/>
      <c r="BN113" s="707"/>
      <c r="BO113" s="707"/>
      <c r="BP113" s="707"/>
      <c r="BQ113" s="636"/>
      <c r="BR113" s="707"/>
      <c r="BS113" s="707"/>
      <c r="BT113" s="707"/>
      <c r="BU113" s="707"/>
      <c r="BV113" s="636"/>
      <c r="BW113" s="707"/>
      <c r="BX113" s="707"/>
      <c r="BY113" s="707"/>
      <c r="BZ113" s="707"/>
      <c r="CA113" s="636"/>
      <c r="CB113" s="707"/>
      <c r="CC113" s="707"/>
      <c r="CD113" s="707"/>
      <c r="CE113" s="707"/>
      <c r="CF113" s="636"/>
      <c r="CG113" s="707"/>
      <c r="CH113" s="707"/>
      <c r="CI113" s="707"/>
      <c r="CJ113" s="707"/>
      <c r="CK113" s="636"/>
      <c r="CL113" s="707"/>
      <c r="CM113" s="707"/>
      <c r="CN113" s="707"/>
      <c r="CO113" s="707"/>
      <c r="CP113" s="636"/>
      <c r="CQ113" s="707"/>
      <c r="CR113" s="707"/>
      <c r="CS113" s="707"/>
      <c r="CT113" s="707"/>
      <c r="CU113" s="636"/>
      <c r="CV113" s="643"/>
      <c r="CW113" s="643"/>
      <c r="CX113" s="643"/>
      <c r="CY113" s="643"/>
      <c r="CZ113" s="636"/>
      <c r="DA113" s="643"/>
      <c r="DB113" s="643"/>
      <c r="DC113" s="643"/>
      <c r="DD113" s="643"/>
      <c r="DE113" s="636"/>
      <c r="DF113" s="707"/>
      <c r="DG113" s="707"/>
      <c r="DH113" s="707"/>
      <c r="DI113" s="707"/>
      <c r="DJ113" s="636"/>
      <c r="DK113" s="707"/>
      <c r="DL113" s="707"/>
      <c r="DM113" s="707"/>
      <c r="DN113" s="707"/>
      <c r="DO113" s="636"/>
      <c r="DP113" s="707"/>
      <c r="DQ113" s="707"/>
      <c r="DR113" s="707"/>
      <c r="DS113" s="707"/>
      <c r="DT113" s="636"/>
      <c r="DU113" s="636"/>
      <c r="DV113" s="636"/>
    </row>
    <row r="114" spans="2:126" s="651" customFormat="1" ht="12.9" customHeight="1">
      <c r="B114" s="716" t="s">
        <v>423</v>
      </c>
      <c r="C114" s="717"/>
      <c r="D114" s="717"/>
      <c r="E114" s="717"/>
      <c r="F114" s="717"/>
      <c r="G114" s="717"/>
      <c r="H114" s="717"/>
      <c r="I114" s="717"/>
      <c r="J114" s="718"/>
      <c r="K114" s="718"/>
      <c r="L114" s="718"/>
      <c r="M114" s="718"/>
      <c r="N114" s="717"/>
      <c r="O114" s="718"/>
      <c r="P114" s="718"/>
      <c r="Q114" s="718"/>
      <c r="R114" s="718"/>
      <c r="S114" s="717"/>
      <c r="T114" s="718"/>
      <c r="U114" s="718"/>
      <c r="V114" s="718"/>
      <c r="W114" s="718"/>
      <c r="X114" s="717"/>
      <c r="Y114" s="718"/>
      <c r="Z114" s="718"/>
      <c r="AA114" s="718"/>
      <c r="AB114" s="718"/>
      <c r="AC114" s="717"/>
      <c r="AD114" s="718"/>
      <c r="AE114" s="718"/>
      <c r="AF114" s="718"/>
      <c r="AG114" s="718"/>
      <c r="AH114" s="717"/>
      <c r="AI114" s="718"/>
      <c r="AJ114" s="718"/>
      <c r="AK114" s="718"/>
      <c r="AL114" s="718"/>
      <c r="AM114" s="717"/>
      <c r="AN114" s="718"/>
      <c r="AO114" s="718"/>
      <c r="AP114" s="718"/>
      <c r="AQ114" s="718"/>
      <c r="AR114" s="717"/>
      <c r="AS114" s="718"/>
      <c r="AT114" s="718"/>
      <c r="AU114" s="718"/>
      <c r="AV114" s="718"/>
      <c r="AW114" s="717"/>
      <c r="AX114" s="718"/>
      <c r="AY114" s="718"/>
      <c r="AZ114" s="718"/>
      <c r="BA114" s="718"/>
      <c r="BB114" s="717"/>
      <c r="BC114" s="718"/>
      <c r="BD114" s="718"/>
      <c r="BE114" s="718"/>
      <c r="BF114" s="718"/>
      <c r="BG114" s="717">
        <v>25.2</v>
      </c>
      <c r="BH114" s="719">
        <v>28.5</v>
      </c>
      <c r="BI114" s="719">
        <v>28.7</v>
      </c>
      <c r="BJ114" s="719">
        <v>30.9</v>
      </c>
      <c r="BK114" s="719">
        <v>32.700000000000003</v>
      </c>
      <c r="BL114" s="717">
        <f>AVERAGE(BH114:BK114)</f>
        <v>30.2</v>
      </c>
      <c r="BM114" s="719">
        <v>36.5</v>
      </c>
      <c r="BN114" s="719">
        <v>37.200000000000003</v>
      </c>
      <c r="BO114" s="719">
        <v>37.6</v>
      </c>
      <c r="BP114" s="719">
        <v>37</v>
      </c>
      <c r="BQ114" s="717">
        <f>AVERAGE(BM114:BP114)</f>
        <v>37.075000000000003</v>
      </c>
      <c r="BR114" s="719">
        <v>17.3</v>
      </c>
      <c r="BS114" s="719">
        <v>19</v>
      </c>
      <c r="BT114" s="719">
        <v>39.700000000000003</v>
      </c>
      <c r="BU114" s="719">
        <v>43.5</v>
      </c>
      <c r="BV114" s="717">
        <f>AVERAGE(BR114:BU114)</f>
        <v>29.875</v>
      </c>
      <c r="BW114" s="719">
        <v>21.7</v>
      </c>
      <c r="BX114" s="719">
        <v>21.6</v>
      </c>
      <c r="BY114" s="719">
        <v>23.2</v>
      </c>
      <c r="BZ114" s="719">
        <v>27.4</v>
      </c>
      <c r="CA114" s="717">
        <f>AVERAGE(BW114:BZ114)</f>
        <v>23.475000000000001</v>
      </c>
      <c r="CB114" s="719">
        <v>25.2</v>
      </c>
      <c r="CC114" s="719">
        <v>26.6</v>
      </c>
      <c r="CD114" s="719">
        <v>28</v>
      </c>
      <c r="CE114" s="719">
        <v>30.2</v>
      </c>
      <c r="CF114" s="717">
        <f>AVERAGE(CB114:CE114)</f>
        <v>27.5</v>
      </c>
      <c r="CG114" s="719">
        <v>30.6</v>
      </c>
      <c r="CH114" s="719">
        <v>27</v>
      </c>
      <c r="CI114" s="719">
        <v>30</v>
      </c>
      <c r="CJ114" s="719">
        <v>36.799999999999997</v>
      </c>
      <c r="CK114" s="717">
        <v>31</v>
      </c>
      <c r="CL114" s="828">
        <v>26.9</v>
      </c>
      <c r="CM114" s="828">
        <v>13.1</v>
      </c>
      <c r="CN114" s="828">
        <v>14.4</v>
      </c>
      <c r="CO114" s="828">
        <v>17.5</v>
      </c>
      <c r="CP114" s="717">
        <v>18</v>
      </c>
      <c r="CQ114" s="828">
        <v>13.2</v>
      </c>
      <c r="CR114" s="828">
        <v>15</v>
      </c>
      <c r="CS114" s="828">
        <v>19.3</v>
      </c>
      <c r="CT114" s="828">
        <v>23.8</v>
      </c>
      <c r="CU114" s="717">
        <v>17.8</v>
      </c>
      <c r="CV114" s="828">
        <v>22.8</v>
      </c>
      <c r="CW114" s="828">
        <v>23.5</v>
      </c>
      <c r="CX114" s="828">
        <v>29.4</v>
      </c>
      <c r="CY114" s="828">
        <v>31.9</v>
      </c>
      <c r="CZ114" s="717">
        <f>AVERAGE(CV114:CY114)</f>
        <v>26.9</v>
      </c>
      <c r="DA114" s="828">
        <v>31.1</v>
      </c>
      <c r="DB114" s="828">
        <v>32.6</v>
      </c>
      <c r="DC114" s="828">
        <v>42.4</v>
      </c>
      <c r="DD114" s="828">
        <v>38.299999999999997</v>
      </c>
      <c r="DE114" s="717">
        <f>AVERAGE(DA114:DD114)</f>
        <v>36.099999999999994</v>
      </c>
      <c r="DF114" s="720"/>
      <c r="DG114" s="720"/>
      <c r="DH114" s="720"/>
      <c r="DI114" s="720"/>
      <c r="DJ114" s="717"/>
      <c r="DK114" s="720"/>
      <c r="DL114" s="720"/>
      <c r="DM114" s="720"/>
      <c r="DN114" s="720"/>
      <c r="DO114" s="717"/>
      <c r="DP114" s="720"/>
      <c r="DQ114" s="720"/>
      <c r="DR114" s="720"/>
      <c r="DS114" s="720"/>
      <c r="DT114" s="717"/>
      <c r="DU114" s="717"/>
      <c r="DV114" s="717"/>
    </row>
    <row r="115" spans="2:126" s="651" customFormat="1" ht="12.9" customHeight="1">
      <c r="B115" s="716"/>
      <c r="C115" s="717"/>
      <c r="D115" s="717"/>
      <c r="E115" s="717"/>
      <c r="F115" s="717"/>
      <c r="G115" s="717"/>
      <c r="H115" s="717"/>
      <c r="I115" s="717"/>
      <c r="J115" s="718"/>
      <c r="K115" s="718"/>
      <c r="L115" s="718"/>
      <c r="M115" s="718"/>
      <c r="N115" s="717"/>
      <c r="O115" s="718"/>
      <c r="P115" s="718"/>
      <c r="Q115" s="718"/>
      <c r="R115" s="718"/>
      <c r="S115" s="717"/>
      <c r="T115" s="718"/>
      <c r="U115" s="718"/>
      <c r="V115" s="718"/>
      <c r="W115" s="718"/>
      <c r="X115" s="717"/>
      <c r="Y115" s="718"/>
      <c r="Z115" s="718"/>
      <c r="AA115" s="718"/>
      <c r="AB115" s="718"/>
      <c r="AC115" s="717"/>
      <c r="AD115" s="718"/>
      <c r="AE115" s="718"/>
      <c r="AF115" s="718"/>
      <c r="AG115" s="718"/>
      <c r="AH115" s="717"/>
      <c r="AI115" s="718"/>
      <c r="AJ115" s="718"/>
      <c r="AK115" s="718"/>
      <c r="AL115" s="718"/>
      <c r="AM115" s="717"/>
      <c r="AN115" s="718"/>
      <c r="AO115" s="718"/>
      <c r="AP115" s="718"/>
      <c r="AQ115" s="718"/>
      <c r="AR115" s="717"/>
      <c r="AS115" s="718"/>
      <c r="AT115" s="718"/>
      <c r="AU115" s="718"/>
      <c r="AV115" s="718"/>
      <c r="AW115" s="717"/>
      <c r="AX115" s="718"/>
      <c r="AY115" s="718"/>
      <c r="AZ115" s="718"/>
      <c r="BA115" s="718"/>
      <c r="BB115" s="717"/>
      <c r="BC115" s="718"/>
      <c r="BD115" s="718"/>
      <c r="BE115" s="718"/>
      <c r="BF115" s="718"/>
      <c r="BG115" s="717"/>
      <c r="BH115" s="719"/>
      <c r="BI115" s="719"/>
      <c r="BJ115" s="719"/>
      <c r="BK115" s="719"/>
      <c r="BL115" s="717"/>
      <c r="BM115" s="719"/>
      <c r="BN115" s="719"/>
      <c r="BO115" s="719"/>
      <c r="BP115" s="719"/>
      <c r="BQ115" s="717"/>
      <c r="BR115" s="719"/>
      <c r="BS115" s="719"/>
      <c r="BT115" s="719"/>
      <c r="BU115" s="719"/>
      <c r="BV115" s="717"/>
      <c r="BW115" s="719"/>
      <c r="BX115" s="719"/>
      <c r="BY115" s="719"/>
      <c r="BZ115" s="719"/>
      <c r="CA115" s="717"/>
      <c r="CB115" s="719"/>
      <c r="CC115" s="719"/>
      <c r="CD115" s="719"/>
      <c r="CE115" s="719"/>
      <c r="CF115" s="717"/>
      <c r="CG115" s="719"/>
      <c r="CH115" s="719"/>
      <c r="CI115" s="719"/>
      <c r="CJ115" s="719"/>
      <c r="CK115" s="717"/>
      <c r="CL115" s="719"/>
      <c r="CM115" s="719"/>
      <c r="CN115" s="720"/>
      <c r="CO115" s="672"/>
      <c r="CP115" s="717"/>
      <c r="CQ115" s="720"/>
      <c r="CR115" s="720"/>
      <c r="CS115" s="643"/>
      <c r="CT115" s="720"/>
      <c r="CU115" s="717"/>
      <c r="CV115" s="720"/>
      <c r="CW115" s="720"/>
      <c r="CX115" s="720"/>
      <c r="CY115" s="720"/>
      <c r="CZ115" s="717"/>
      <c r="DA115" s="720"/>
      <c r="DB115" s="720"/>
      <c r="DC115" s="720"/>
      <c r="DD115" s="720"/>
      <c r="DE115" s="717"/>
      <c r="DF115" s="720"/>
      <c r="DG115" s="720"/>
      <c r="DH115" s="720"/>
      <c r="DI115" s="720"/>
      <c r="DJ115" s="717"/>
      <c r="DK115" s="720"/>
      <c r="DL115" s="720"/>
      <c r="DM115" s="720"/>
      <c r="DN115" s="720"/>
      <c r="DO115" s="717"/>
      <c r="DP115" s="720"/>
      <c r="DQ115" s="720"/>
      <c r="DR115" s="720"/>
      <c r="DS115" s="720"/>
      <c r="DT115" s="717"/>
      <c r="DU115" s="717"/>
      <c r="DV115" s="717"/>
    </row>
    <row r="116" spans="2:126" s="721" customFormat="1" ht="12.9" customHeight="1">
      <c r="B116" s="722" t="s">
        <v>424</v>
      </c>
      <c r="C116" s="723"/>
      <c r="D116" s="723"/>
      <c r="E116" s="723"/>
      <c r="F116" s="723"/>
      <c r="G116" s="723"/>
      <c r="H116" s="723"/>
      <c r="I116" s="723"/>
      <c r="J116" s="599"/>
      <c r="K116" s="599"/>
      <c r="L116" s="599"/>
      <c r="M116" s="599"/>
      <c r="N116" s="723"/>
      <c r="O116" s="599"/>
      <c r="P116" s="599"/>
      <c r="Q116" s="599"/>
      <c r="R116" s="599"/>
      <c r="S116" s="723"/>
      <c r="T116" s="599"/>
      <c r="U116" s="599"/>
      <c r="V116" s="599"/>
      <c r="W116" s="599"/>
      <c r="X116" s="723"/>
      <c r="Y116" s="599"/>
      <c r="Z116" s="599"/>
      <c r="AA116" s="599"/>
      <c r="AB116" s="599"/>
      <c r="AC116" s="723"/>
      <c r="AD116" s="599"/>
      <c r="AE116" s="599"/>
      <c r="AF116" s="599"/>
      <c r="AG116" s="599"/>
      <c r="AH116" s="723"/>
      <c r="AI116" s="599"/>
      <c r="AJ116" s="599"/>
      <c r="AK116" s="599"/>
      <c r="AL116" s="599"/>
      <c r="AM116" s="723"/>
      <c r="AN116" s="599"/>
      <c r="AO116" s="599"/>
      <c r="AP116" s="599"/>
      <c r="AQ116" s="599"/>
      <c r="AR116" s="723"/>
      <c r="AS116" s="599"/>
      <c r="AT116" s="599"/>
      <c r="AU116" s="599"/>
      <c r="AV116" s="599"/>
      <c r="AW116" s="723"/>
      <c r="AX116" s="599"/>
      <c r="AY116" s="599"/>
      <c r="AZ116" s="599"/>
      <c r="BA116" s="599"/>
      <c r="BB116" s="723"/>
      <c r="BC116" s="599"/>
      <c r="BD116" s="599"/>
      <c r="BE116" s="599"/>
      <c r="BF116" s="599"/>
      <c r="BG116" s="723"/>
      <c r="BH116" s="599"/>
      <c r="BI116" s="599"/>
      <c r="BJ116" s="599"/>
      <c r="BK116" s="599"/>
      <c r="BL116" s="723"/>
      <c r="BM116" s="599"/>
      <c r="BN116" s="599"/>
      <c r="BO116" s="599"/>
      <c r="BP116" s="599"/>
      <c r="BQ116" s="723"/>
      <c r="BR116" s="599"/>
      <c r="BS116" s="599"/>
      <c r="BT116" s="599"/>
      <c r="BU116" s="599"/>
      <c r="BV116" s="723"/>
      <c r="BW116" s="599"/>
      <c r="BX116" s="599"/>
      <c r="BY116" s="599"/>
      <c r="BZ116" s="599"/>
      <c r="CA116" s="723"/>
      <c r="CB116" s="599"/>
      <c r="CC116" s="599"/>
      <c r="CD116" s="599"/>
      <c r="CE116" s="599"/>
      <c r="CF116" s="723">
        <f t="shared" ref="CF116:DG116" si="180">SUM(CF110,CF108)/CF106</f>
        <v>0.76530973451327433</v>
      </c>
      <c r="CG116" s="599">
        <f t="shared" si="180"/>
        <v>0.7683089214380826</v>
      </c>
      <c r="CH116" s="599">
        <f t="shared" si="180"/>
        <v>0.74965421853388658</v>
      </c>
      <c r="CI116" s="599">
        <f t="shared" si="180"/>
        <v>0.73389355742296913</v>
      </c>
      <c r="CJ116" s="599">
        <f t="shared" si="180"/>
        <v>0.71703703703703703</v>
      </c>
      <c r="CK116" s="723">
        <f t="shared" si="180"/>
        <v>0.74292699965071607</v>
      </c>
      <c r="CL116" s="599">
        <f t="shared" si="180"/>
        <v>0.61509433962264148</v>
      </c>
      <c r="CM116" s="599">
        <f t="shared" si="180"/>
        <v>0.574585635359116</v>
      </c>
      <c r="CN116" s="599">
        <f t="shared" si="180"/>
        <v>0.53964194373401531</v>
      </c>
      <c r="CO116" s="599">
        <f t="shared" si="180"/>
        <v>0.50343249427917625</v>
      </c>
      <c r="CP116" s="723">
        <f t="shared" si="180"/>
        <v>0.56104651162790697</v>
      </c>
      <c r="CQ116" s="599">
        <f t="shared" si="180"/>
        <v>0.5236768802228412</v>
      </c>
      <c r="CR116" s="599">
        <f t="shared" si="180"/>
        <v>0.55091383812010442</v>
      </c>
      <c r="CS116" s="599">
        <f t="shared" si="180"/>
        <v>0.59946949602122013</v>
      </c>
      <c r="CT116" s="599">
        <f t="shared" si="180"/>
        <v>0.59782608695652173</v>
      </c>
      <c r="CU116" s="723">
        <f t="shared" si="180"/>
        <v>0.56825823806321452</v>
      </c>
      <c r="CV116" s="599">
        <f t="shared" si="180"/>
        <v>0.69679300291545188</v>
      </c>
      <c r="CW116" s="599">
        <f t="shared" si="180"/>
        <v>0.63661971830985919</v>
      </c>
      <c r="CX116" s="599">
        <f t="shared" si="180"/>
        <v>0.70961145194274033</v>
      </c>
      <c r="CY116" s="599">
        <f t="shared" si="180"/>
        <v>0.68067226890756305</v>
      </c>
      <c r="CZ116" s="723">
        <f t="shared" si="180"/>
        <v>0.68310282621767893</v>
      </c>
      <c r="DA116" s="599">
        <f t="shared" si="180"/>
        <v>0.76091476091476096</v>
      </c>
      <c r="DB116" s="599">
        <f t="shared" si="180"/>
        <v>0.77163904235727443</v>
      </c>
      <c r="DC116" s="599">
        <f t="shared" si="180"/>
        <v>0.74807692307692308</v>
      </c>
      <c r="DD116" s="599">
        <f t="shared" si="180"/>
        <v>0.74576271186440679</v>
      </c>
      <c r="DE116" s="723">
        <f t="shared" si="180"/>
        <v>0.75662650602409642</v>
      </c>
      <c r="DF116" s="599">
        <f t="shared" si="180"/>
        <v>0.75051124744376274</v>
      </c>
      <c r="DG116" s="599">
        <f t="shared" si="180"/>
        <v>0.73880597014925375</v>
      </c>
      <c r="DH116" s="599">
        <f t="shared" ref="DH116:DJ116" si="181">SUM(DH110,DH108)/DH106</f>
        <v>0.72854291417165673</v>
      </c>
      <c r="DI116" s="599">
        <f t="shared" si="181"/>
        <v>0.72832369942196529</v>
      </c>
      <c r="DJ116" s="723">
        <f t="shared" si="181"/>
        <v>0.73626373626373631</v>
      </c>
      <c r="DK116" s="599">
        <f t="shared" ref="DK116:DL116" si="182">SUM(DK110,DK108)/DK106</f>
        <v>0.71846846846846846</v>
      </c>
      <c r="DL116" s="599">
        <f t="shared" si="182"/>
        <v>0.7441016333938294</v>
      </c>
      <c r="DM116" s="599"/>
      <c r="DN116" s="599"/>
      <c r="DO116" s="723"/>
      <c r="DP116" s="599"/>
      <c r="DQ116" s="599"/>
      <c r="DR116" s="599"/>
      <c r="DS116" s="599"/>
      <c r="DT116" s="723"/>
      <c r="DU116" s="723"/>
      <c r="DV116" s="723"/>
    </row>
    <row r="117" spans="2:126" s="721" customFormat="1" ht="12.9" customHeight="1">
      <c r="B117" s="722" t="s">
        <v>425</v>
      </c>
      <c r="C117" s="723"/>
      <c r="D117" s="723"/>
      <c r="E117" s="723"/>
      <c r="F117" s="723"/>
      <c r="G117" s="723"/>
      <c r="H117" s="723"/>
      <c r="I117" s="723"/>
      <c r="J117" s="599"/>
      <c r="K117" s="599"/>
      <c r="L117" s="599"/>
      <c r="M117" s="599"/>
      <c r="N117" s="723"/>
      <c r="O117" s="599"/>
      <c r="P117" s="599"/>
      <c r="Q117" s="599"/>
      <c r="R117" s="599"/>
      <c r="S117" s="723"/>
      <c r="T117" s="599"/>
      <c r="U117" s="599"/>
      <c r="V117" s="599"/>
      <c r="W117" s="599"/>
      <c r="X117" s="723"/>
      <c r="Y117" s="599"/>
      <c r="Z117" s="599"/>
      <c r="AA117" s="599"/>
      <c r="AB117" s="599"/>
      <c r="AC117" s="723"/>
      <c r="AD117" s="599"/>
      <c r="AE117" s="599"/>
      <c r="AF117" s="599"/>
      <c r="AG117" s="599"/>
      <c r="AH117" s="723"/>
      <c r="AI117" s="599"/>
      <c r="AJ117" s="599"/>
      <c r="AK117" s="599"/>
      <c r="AL117" s="599"/>
      <c r="AM117" s="723"/>
      <c r="AN117" s="599"/>
      <c r="AO117" s="599"/>
      <c r="AP117" s="599"/>
      <c r="AQ117" s="599"/>
      <c r="AR117" s="723"/>
      <c r="AS117" s="599"/>
      <c r="AT117" s="599"/>
      <c r="AU117" s="599"/>
      <c r="AV117" s="599"/>
      <c r="AW117" s="723"/>
      <c r="AX117" s="599"/>
      <c r="AY117" s="599"/>
      <c r="AZ117" s="599"/>
      <c r="BA117" s="599"/>
      <c r="BB117" s="723"/>
      <c r="BC117" s="599"/>
      <c r="BD117" s="599"/>
      <c r="BE117" s="599"/>
      <c r="BF117" s="599"/>
      <c r="BG117" s="723"/>
      <c r="BH117" s="599"/>
      <c r="BI117" s="599"/>
      <c r="BJ117" s="599"/>
      <c r="BK117" s="599"/>
      <c r="BL117" s="723"/>
      <c r="BM117" s="599"/>
      <c r="BN117" s="599"/>
      <c r="BO117" s="599"/>
      <c r="BP117" s="599"/>
      <c r="BQ117" s="723"/>
      <c r="BR117" s="599"/>
      <c r="BS117" s="599"/>
      <c r="BT117" s="599"/>
      <c r="BU117" s="599"/>
      <c r="BV117" s="723"/>
      <c r="BW117" s="599"/>
      <c r="BX117" s="599"/>
      <c r="BY117" s="599"/>
      <c r="BZ117" s="599"/>
      <c r="CA117" s="723"/>
      <c r="CB117" s="599"/>
      <c r="CC117" s="599"/>
      <c r="CD117" s="599"/>
      <c r="CE117" s="599"/>
      <c r="CF117" s="723">
        <f t="shared" ref="CF117:CU117" si="183">100%-CF116</f>
        <v>0.23469026548672567</v>
      </c>
      <c r="CG117" s="599">
        <f t="shared" si="183"/>
        <v>0.2316910785619174</v>
      </c>
      <c r="CH117" s="599">
        <f t="shared" si="183"/>
        <v>0.25034578146611342</v>
      </c>
      <c r="CI117" s="599">
        <f t="shared" si="183"/>
        <v>0.26610644257703087</v>
      </c>
      <c r="CJ117" s="599">
        <f t="shared" si="183"/>
        <v>0.28296296296296297</v>
      </c>
      <c r="CK117" s="723">
        <f t="shared" si="183"/>
        <v>0.25707300034928393</v>
      </c>
      <c r="CL117" s="599">
        <f t="shared" si="183"/>
        <v>0.38490566037735852</v>
      </c>
      <c r="CM117" s="599">
        <f t="shared" si="183"/>
        <v>0.425414364640884</v>
      </c>
      <c r="CN117" s="599">
        <f t="shared" si="183"/>
        <v>0.46035805626598469</v>
      </c>
      <c r="CO117" s="599">
        <f t="shared" si="183"/>
        <v>0.49656750572082375</v>
      </c>
      <c r="CP117" s="723">
        <f t="shared" si="183"/>
        <v>0.43895348837209303</v>
      </c>
      <c r="CQ117" s="599">
        <f t="shared" si="183"/>
        <v>0.4763231197771588</v>
      </c>
      <c r="CR117" s="599">
        <f t="shared" si="183"/>
        <v>0.44908616187989558</v>
      </c>
      <c r="CS117" s="599">
        <f t="shared" si="183"/>
        <v>0.40053050397877987</v>
      </c>
      <c r="CT117" s="599">
        <f t="shared" si="183"/>
        <v>0.40217391304347827</v>
      </c>
      <c r="CU117" s="723">
        <f t="shared" si="183"/>
        <v>0.43174176193678548</v>
      </c>
      <c r="CV117" s="599">
        <f>100%-CV116</f>
        <v>0.30320699708454812</v>
      </c>
      <c r="CW117" s="599">
        <f>100%-CW116</f>
        <v>0.36338028169014081</v>
      </c>
      <c r="CX117" s="599">
        <f>100%-CX116</f>
        <v>0.29038854805725967</v>
      </c>
      <c r="CY117" s="599">
        <f>100%-CY116</f>
        <v>0.31932773109243695</v>
      </c>
      <c r="CZ117" s="723">
        <f t="shared" ref="CZ117" si="184">100%-CZ116</f>
        <v>0.31689717378232107</v>
      </c>
      <c r="DA117" s="599">
        <f>100%-DA116</f>
        <v>0.23908523908523904</v>
      </c>
      <c r="DB117" s="599">
        <f>100%-DB116</f>
        <v>0.22836095764272557</v>
      </c>
      <c r="DC117" s="599">
        <f t="shared" ref="DC117:DE117" si="185">100%-DC116</f>
        <v>0.25192307692307692</v>
      </c>
      <c r="DD117" s="599">
        <f t="shared" si="185"/>
        <v>0.25423728813559321</v>
      </c>
      <c r="DE117" s="723">
        <f t="shared" si="185"/>
        <v>0.24337349397590358</v>
      </c>
      <c r="DF117" s="599">
        <f t="shared" ref="DF117:DG117" si="186">100%-DF116</f>
        <v>0.24948875255623726</v>
      </c>
      <c r="DG117" s="599">
        <f t="shared" si="186"/>
        <v>0.26119402985074625</v>
      </c>
      <c r="DH117" s="599">
        <f t="shared" ref="DH117:DJ117" si="187">100%-DH116</f>
        <v>0.27145708582834327</v>
      </c>
      <c r="DI117" s="599">
        <f t="shared" si="187"/>
        <v>0.27167630057803471</v>
      </c>
      <c r="DJ117" s="723">
        <f t="shared" si="187"/>
        <v>0.26373626373626369</v>
      </c>
      <c r="DK117" s="599">
        <f t="shared" ref="DK117:DL117" si="188">100%-DK116</f>
        <v>0.28153153153153154</v>
      </c>
      <c r="DL117" s="599">
        <f t="shared" si="188"/>
        <v>0.2558983666061706</v>
      </c>
      <c r="DM117" s="599"/>
      <c r="DN117" s="599"/>
      <c r="DO117" s="723"/>
      <c r="DP117" s="599"/>
      <c r="DQ117" s="599"/>
      <c r="DR117" s="599"/>
      <c r="DS117" s="599"/>
      <c r="DT117" s="723"/>
      <c r="DU117" s="723"/>
      <c r="DV117" s="723"/>
    </row>
    <row r="118" spans="2:126" s="651" customFormat="1" ht="12.9" customHeight="1">
      <c r="B118" s="595"/>
      <c r="C118" s="696"/>
      <c r="D118" s="696"/>
      <c r="E118" s="696"/>
      <c r="F118" s="696"/>
      <c r="G118" s="696"/>
      <c r="H118" s="696"/>
      <c r="I118" s="696"/>
      <c r="J118" s="599"/>
      <c r="K118" s="599"/>
      <c r="L118" s="599"/>
      <c r="M118" s="599"/>
      <c r="N118" s="696"/>
      <c r="O118" s="599"/>
      <c r="P118" s="599"/>
      <c r="Q118" s="599"/>
      <c r="R118" s="599"/>
      <c r="S118" s="696"/>
      <c r="T118" s="599"/>
      <c r="U118" s="599"/>
      <c r="V118" s="599"/>
      <c r="W118" s="599"/>
      <c r="X118" s="696"/>
      <c r="Y118" s="599"/>
      <c r="Z118" s="599"/>
      <c r="AA118" s="599"/>
      <c r="AB118" s="599"/>
      <c r="AC118" s="696"/>
      <c r="AD118" s="599"/>
      <c r="AE118" s="599"/>
      <c r="AF118" s="599"/>
      <c r="AG118" s="599"/>
      <c r="AH118" s="696"/>
      <c r="AI118" s="599"/>
      <c r="AJ118" s="599"/>
      <c r="AK118" s="599"/>
      <c r="AL118" s="599"/>
      <c r="AM118" s="696"/>
      <c r="AN118" s="599"/>
      <c r="AO118" s="599"/>
      <c r="AP118" s="599"/>
      <c r="AQ118" s="599"/>
      <c r="AR118" s="696"/>
      <c r="AS118" s="599"/>
      <c r="AT118" s="599"/>
      <c r="AU118" s="599"/>
      <c r="AV118" s="599"/>
      <c r="AW118" s="696"/>
      <c r="AX118" s="599"/>
      <c r="AY118" s="599"/>
      <c r="AZ118" s="599"/>
      <c r="BA118" s="599"/>
      <c r="BB118" s="696"/>
      <c r="BC118" s="599"/>
      <c r="BD118" s="599"/>
      <c r="BE118" s="599"/>
      <c r="BF118" s="599"/>
      <c r="BG118" s="696"/>
      <c r="BH118" s="599"/>
      <c r="BI118" s="599"/>
      <c r="BJ118" s="599"/>
      <c r="BK118" s="599"/>
      <c r="BL118" s="696"/>
      <c r="BM118" s="599"/>
      <c r="BN118" s="599"/>
      <c r="BO118" s="599"/>
      <c r="BP118" s="599"/>
      <c r="BQ118" s="696"/>
      <c r="BR118" s="599"/>
      <c r="BS118" s="599"/>
      <c r="BT118" s="599"/>
      <c r="BU118" s="599"/>
      <c r="BV118" s="696"/>
      <c r="BW118" s="599"/>
      <c r="BX118" s="599"/>
      <c r="BY118" s="599"/>
      <c r="BZ118" s="599"/>
      <c r="CA118" s="696"/>
      <c r="CB118" s="599"/>
      <c r="CC118" s="599"/>
      <c r="CD118" s="599"/>
      <c r="CE118" s="599"/>
      <c r="CF118" s="696"/>
      <c r="CG118" s="599"/>
      <c r="CH118" s="599"/>
      <c r="CI118" s="599"/>
      <c r="CJ118" s="599"/>
      <c r="CK118" s="696"/>
      <c r="CL118" s="599"/>
      <c r="CM118" s="599"/>
      <c r="CN118" s="599"/>
      <c r="CO118" s="599"/>
      <c r="CP118" s="696"/>
      <c r="CQ118" s="599"/>
      <c r="CR118" s="599"/>
      <c r="CS118" s="599"/>
      <c r="CT118" s="599"/>
      <c r="CU118" s="696"/>
      <c r="CV118" s="599"/>
      <c r="CW118" s="599"/>
      <c r="CX118" s="599"/>
      <c r="CY118" s="599"/>
      <c r="CZ118" s="696"/>
      <c r="DA118" s="599"/>
      <c r="DB118" s="599"/>
      <c r="DC118" s="599"/>
      <c r="DD118" s="599"/>
      <c r="DE118" s="696"/>
      <c r="DF118" s="599"/>
      <c r="DG118" s="599"/>
      <c r="DH118" s="599"/>
      <c r="DI118" s="599"/>
      <c r="DJ118" s="696"/>
      <c r="DK118" s="599"/>
      <c r="DL118" s="599"/>
      <c r="DM118" s="599"/>
      <c r="DN118" s="599"/>
      <c r="DO118" s="696"/>
      <c r="DP118" s="599"/>
      <c r="DQ118" s="599"/>
      <c r="DR118" s="599"/>
      <c r="DS118" s="599"/>
      <c r="DT118" s="696"/>
      <c r="DU118" s="696"/>
      <c r="DV118" s="696"/>
    </row>
    <row r="119" spans="2:126" s="547" customFormat="1" ht="12.9" customHeight="1">
      <c r="B119" s="660" t="s">
        <v>426</v>
      </c>
      <c r="C119" s="789"/>
      <c r="D119" s="789"/>
      <c r="E119" s="789"/>
      <c r="F119" s="789"/>
      <c r="G119" s="789"/>
      <c r="H119" s="789"/>
      <c r="I119" s="789"/>
      <c r="J119" s="790"/>
      <c r="K119" s="790"/>
      <c r="L119" s="790"/>
      <c r="M119" s="790"/>
      <c r="N119" s="789"/>
      <c r="O119" s="790"/>
      <c r="P119" s="790"/>
      <c r="Q119" s="790"/>
      <c r="R119" s="790"/>
      <c r="S119" s="789"/>
      <c r="T119" s="790"/>
      <c r="U119" s="790"/>
      <c r="V119" s="790"/>
      <c r="W119" s="790"/>
      <c r="X119" s="789"/>
      <c r="Y119" s="790"/>
      <c r="Z119" s="790"/>
      <c r="AA119" s="790"/>
      <c r="AB119" s="790"/>
      <c r="AC119" s="789"/>
      <c r="AD119" s="790"/>
      <c r="AE119" s="790"/>
      <c r="AF119" s="790"/>
      <c r="AG119" s="790"/>
      <c r="AH119" s="789"/>
      <c r="AI119" s="790"/>
      <c r="AJ119" s="790"/>
      <c r="AK119" s="790"/>
      <c r="AL119" s="790"/>
      <c r="AM119" s="789"/>
      <c r="AN119" s="790"/>
      <c r="AO119" s="790"/>
      <c r="AP119" s="790"/>
      <c r="AQ119" s="790"/>
      <c r="AR119" s="789"/>
      <c r="AS119" s="790"/>
      <c r="AT119" s="790"/>
      <c r="AU119" s="790"/>
      <c r="AV119" s="790"/>
      <c r="AW119" s="789"/>
      <c r="AX119" s="790"/>
      <c r="AY119" s="790"/>
      <c r="AZ119" s="790"/>
      <c r="BA119" s="790"/>
      <c r="BB119" s="789"/>
      <c r="BC119" s="790"/>
      <c r="BD119" s="790"/>
      <c r="BE119" s="790"/>
      <c r="BF119" s="790"/>
      <c r="BG119" s="789"/>
      <c r="BH119" s="790"/>
      <c r="BI119" s="790"/>
      <c r="BJ119" s="790"/>
      <c r="BK119" s="790"/>
      <c r="BL119" s="789"/>
      <c r="BM119" s="790"/>
      <c r="BN119" s="790"/>
      <c r="BO119" s="790"/>
      <c r="BP119" s="790"/>
      <c r="BQ119" s="789"/>
      <c r="BR119" s="790"/>
      <c r="BS119" s="790"/>
      <c r="BT119" s="790"/>
      <c r="BU119" s="790"/>
      <c r="BV119" s="789"/>
      <c r="BW119" s="790"/>
      <c r="BX119" s="790"/>
      <c r="BY119" s="790"/>
      <c r="BZ119" s="790"/>
      <c r="CA119" s="789"/>
      <c r="CB119" s="790"/>
      <c r="CC119" s="790"/>
      <c r="CD119" s="790"/>
      <c r="CE119" s="790"/>
      <c r="CF119" s="789"/>
      <c r="CG119" s="791"/>
      <c r="CH119" s="790"/>
      <c r="CI119" s="790"/>
      <c r="CJ119" s="790"/>
      <c r="CK119" s="789"/>
      <c r="CL119" s="791"/>
      <c r="CM119" s="790"/>
      <c r="CN119" s="790"/>
      <c r="CO119" s="790"/>
      <c r="CP119" s="789"/>
      <c r="CQ119" s="791"/>
      <c r="CR119" s="790"/>
      <c r="CS119" s="790"/>
      <c r="CT119" s="790"/>
      <c r="CU119" s="789"/>
      <c r="CV119" s="790"/>
      <c r="CW119" s="790"/>
      <c r="CX119" s="790"/>
      <c r="CY119" s="790"/>
      <c r="CZ119" s="789"/>
      <c r="DA119" s="790"/>
      <c r="DB119" s="790"/>
      <c r="DC119" s="790"/>
      <c r="DD119" s="790"/>
      <c r="DE119" s="789"/>
      <c r="DF119" s="790"/>
      <c r="DG119" s="790"/>
      <c r="DH119" s="790"/>
      <c r="DI119" s="790"/>
      <c r="DJ119" s="789"/>
      <c r="DK119" s="790"/>
      <c r="DL119" s="790"/>
      <c r="DM119" s="790"/>
      <c r="DN119" s="790"/>
      <c r="DO119" s="789"/>
      <c r="DP119" s="790"/>
      <c r="DQ119" s="790"/>
      <c r="DR119" s="790"/>
      <c r="DS119" s="790"/>
      <c r="DT119" s="789"/>
      <c r="DU119" s="789"/>
      <c r="DV119" s="789"/>
    </row>
    <row r="120" spans="2:126" s="547" customFormat="1" ht="12.9" customHeight="1">
      <c r="B120" s="724" t="s">
        <v>397</v>
      </c>
      <c r="C120" s="725"/>
      <c r="D120" s="725"/>
      <c r="E120" s="725"/>
      <c r="F120" s="725"/>
      <c r="G120" s="725"/>
      <c r="H120" s="725"/>
      <c r="I120" s="725"/>
      <c r="J120" s="726"/>
      <c r="K120" s="726"/>
      <c r="L120" s="726"/>
      <c r="M120" s="726"/>
      <c r="N120" s="725"/>
      <c r="O120" s="726"/>
      <c r="P120" s="726"/>
      <c r="Q120" s="726"/>
      <c r="R120" s="726"/>
      <c r="S120" s="725"/>
      <c r="T120" s="726"/>
      <c r="U120" s="726"/>
      <c r="V120" s="726"/>
      <c r="W120" s="726"/>
      <c r="X120" s="725"/>
      <c r="Y120" s="726"/>
      <c r="Z120" s="726"/>
      <c r="AA120" s="726"/>
      <c r="AB120" s="726"/>
      <c r="AC120" s="725"/>
      <c r="AD120" s="726"/>
      <c r="AE120" s="726"/>
      <c r="AF120" s="726"/>
      <c r="AG120" s="726"/>
      <c r="AH120" s="725"/>
      <c r="AI120" s="726"/>
      <c r="AJ120" s="726"/>
      <c r="AK120" s="726"/>
      <c r="AL120" s="726"/>
      <c r="AM120" s="725"/>
      <c r="AN120" s="726"/>
      <c r="AO120" s="726"/>
      <c r="AP120" s="726"/>
      <c r="AQ120" s="726"/>
      <c r="AR120" s="725"/>
      <c r="AS120" s="726"/>
      <c r="AT120" s="726"/>
      <c r="AU120" s="726"/>
      <c r="AV120" s="726"/>
      <c r="AW120" s="725"/>
      <c r="AX120" s="726"/>
      <c r="AY120" s="726"/>
      <c r="AZ120" s="726"/>
      <c r="BA120" s="726"/>
      <c r="BB120" s="725"/>
      <c r="BC120" s="726"/>
      <c r="BD120" s="726"/>
      <c r="BE120" s="726"/>
      <c r="BF120" s="726"/>
      <c r="BG120" s="725"/>
      <c r="BH120" s="726"/>
      <c r="BI120" s="726"/>
      <c r="BJ120" s="726"/>
      <c r="BK120" s="726"/>
      <c r="BL120" s="725">
        <f t="shared" ref="BL120:DL120" si="189">IFERROR(BL106/BG106-1,"")</f>
        <v>8.1160639192598749E-2</v>
      </c>
      <c r="BM120" s="672">
        <f t="shared" si="189"/>
        <v>4.6439628482972672E-3</v>
      </c>
      <c r="BN120" s="672">
        <f t="shared" si="189"/>
        <v>5.0613496932515378E-2</v>
      </c>
      <c r="BO120" s="672">
        <f t="shared" si="189"/>
        <v>-6.5040650406503753E-3</v>
      </c>
      <c r="BP120" s="672">
        <f t="shared" si="189"/>
        <v>-2.2796352583586588E-2</v>
      </c>
      <c r="BQ120" s="725">
        <f t="shared" si="189"/>
        <v>6.612213146635515E-3</v>
      </c>
      <c r="BR120" s="672">
        <f t="shared" si="189"/>
        <v>4.3143297380585421E-2</v>
      </c>
      <c r="BS120" s="672">
        <f t="shared" si="189"/>
        <v>5.6934306569343063E-2</v>
      </c>
      <c r="BT120" s="672">
        <f t="shared" si="189"/>
        <v>7.0376432078559814E-2</v>
      </c>
      <c r="BU120" s="672">
        <f t="shared" si="189"/>
        <v>7.6205287713841274E-2</v>
      </c>
      <c r="BV120" s="725">
        <f t="shared" si="189"/>
        <v>6.1437403400309121E-2</v>
      </c>
      <c r="BW120" s="672">
        <f t="shared" si="189"/>
        <v>-7.3855243722304231E-2</v>
      </c>
      <c r="BX120" s="672">
        <f t="shared" si="189"/>
        <v>-0.13397790055248615</v>
      </c>
      <c r="BY120" s="672">
        <f t="shared" si="189"/>
        <v>-1.9877675840978548E-2</v>
      </c>
      <c r="BZ120" s="672">
        <f t="shared" si="189"/>
        <v>6.2138728323699377E-2</v>
      </c>
      <c r="CA120" s="725">
        <f t="shared" si="189"/>
        <v>-4.2591918456498012E-2</v>
      </c>
      <c r="CB120" s="672">
        <f t="shared" si="189"/>
        <v>3.8277511961722466E-2</v>
      </c>
      <c r="CC120" s="672">
        <f t="shared" si="189"/>
        <v>0.11164274322169065</v>
      </c>
      <c r="CD120" s="672">
        <f t="shared" si="189"/>
        <v>0.1138845553822152</v>
      </c>
      <c r="CE120" s="672">
        <f t="shared" si="189"/>
        <v>3.8095238095238182E-2</v>
      </c>
      <c r="CF120" s="725">
        <f t="shared" si="189"/>
        <v>7.4144486692015121E-2</v>
      </c>
      <c r="CG120" s="672">
        <f t="shared" si="189"/>
        <v>0.15360983102918579</v>
      </c>
      <c r="CH120" s="672">
        <f t="shared" si="189"/>
        <v>3.7302725968436201E-2</v>
      </c>
      <c r="CI120" s="672">
        <f t="shared" si="189"/>
        <v>0</v>
      </c>
      <c r="CJ120" s="672">
        <f t="shared" si="189"/>
        <v>-0.11533420707732633</v>
      </c>
      <c r="CK120" s="725">
        <f t="shared" si="189"/>
        <v>1.3451327433628313E-2</v>
      </c>
      <c r="CL120" s="672">
        <f t="shared" si="189"/>
        <v>-0.2942743009320905</v>
      </c>
      <c r="CM120" s="672">
        <f t="shared" si="189"/>
        <v>-0.49930843706777317</v>
      </c>
      <c r="CN120" s="672">
        <f t="shared" si="189"/>
        <v>-0.45238095238095233</v>
      </c>
      <c r="CO120" s="727">
        <f t="shared" si="189"/>
        <v>-0.35259259259259257</v>
      </c>
      <c r="CP120" s="725">
        <f t="shared" si="189"/>
        <v>-0.39923157527069508</v>
      </c>
      <c r="CQ120" s="672">
        <f t="shared" si="189"/>
        <v>-0.3226415094339623</v>
      </c>
      <c r="CR120" s="672">
        <f t="shared" si="189"/>
        <v>5.8011049723756924E-2</v>
      </c>
      <c r="CS120" s="672">
        <f t="shared" si="189"/>
        <v>-3.5805626598465423E-2</v>
      </c>
      <c r="CT120" s="672">
        <f t="shared" si="189"/>
        <v>-0.15789473684210531</v>
      </c>
      <c r="CU120" s="725">
        <f t="shared" si="189"/>
        <v>-0.13546511627906976</v>
      </c>
      <c r="CV120" s="672">
        <f t="shared" si="189"/>
        <v>-4.4568245125348183E-2</v>
      </c>
      <c r="CW120" s="672">
        <f t="shared" si="189"/>
        <v>-7.3107049608355124E-2</v>
      </c>
      <c r="CX120" s="672">
        <f t="shared" si="189"/>
        <v>0.29708222811671092</v>
      </c>
      <c r="CY120" s="672">
        <f t="shared" si="189"/>
        <v>0.29347826086956519</v>
      </c>
      <c r="CZ120" s="725">
        <f t="shared" si="189"/>
        <v>0.11835911230665763</v>
      </c>
      <c r="DA120" s="672">
        <f t="shared" si="189"/>
        <v>0.40233236151603502</v>
      </c>
      <c r="DB120" s="672">
        <f t="shared" si="189"/>
        <v>0.52957746478873235</v>
      </c>
      <c r="DC120" s="672">
        <f t="shared" si="189"/>
        <v>6.3394683026584797E-2</v>
      </c>
      <c r="DD120" s="672">
        <f t="shared" si="189"/>
        <v>0.11554621848739499</v>
      </c>
      <c r="DE120" s="725">
        <f t="shared" si="189"/>
        <v>0.24774503908598922</v>
      </c>
      <c r="DF120" s="672">
        <f t="shared" si="189"/>
        <v>1.6632016632016633E-2</v>
      </c>
      <c r="DG120" s="672">
        <f t="shared" si="189"/>
        <v>-0.25966850828729282</v>
      </c>
      <c r="DH120" s="672">
        <f t="shared" si="189"/>
        <v>-3.653846153846152E-2</v>
      </c>
      <c r="DI120" s="672">
        <f t="shared" si="189"/>
        <v>-2.2598870056497189E-2</v>
      </c>
      <c r="DJ120" s="725">
        <f t="shared" si="189"/>
        <v>-7.9036144578313205E-2</v>
      </c>
      <c r="DK120" s="672">
        <f t="shared" si="189"/>
        <v>-9.2024539877300637E-2</v>
      </c>
      <c r="DL120" s="672">
        <f t="shared" si="189"/>
        <v>0.37064676616915415</v>
      </c>
      <c r="DM120" s="672"/>
      <c r="DN120" s="672"/>
      <c r="DO120" s="725"/>
      <c r="DP120" s="672"/>
      <c r="DQ120" s="672"/>
      <c r="DR120" s="672"/>
      <c r="DS120" s="672"/>
      <c r="DT120" s="725"/>
      <c r="DU120" s="725"/>
      <c r="DV120" s="725"/>
    </row>
    <row r="121" spans="2:126" s="562" customFormat="1" ht="12.9" customHeight="1">
      <c r="B121" s="728" t="s">
        <v>398</v>
      </c>
      <c r="C121" s="729"/>
      <c r="D121" s="729"/>
      <c r="E121" s="729"/>
      <c r="F121" s="729"/>
      <c r="G121" s="729"/>
      <c r="H121" s="729"/>
      <c r="I121" s="729"/>
      <c r="J121" s="730"/>
      <c r="K121" s="730"/>
      <c r="L121" s="730"/>
      <c r="M121" s="730"/>
      <c r="N121" s="729"/>
      <c r="O121" s="730"/>
      <c r="P121" s="730"/>
      <c r="Q121" s="730"/>
      <c r="R121" s="730"/>
      <c r="S121" s="729"/>
      <c r="T121" s="730"/>
      <c r="U121" s="730"/>
      <c r="V121" s="730"/>
      <c r="W121" s="730"/>
      <c r="X121" s="729"/>
      <c r="Y121" s="730"/>
      <c r="Z121" s="730"/>
      <c r="AA121" s="730"/>
      <c r="AB121" s="730"/>
      <c r="AC121" s="729"/>
      <c r="AD121" s="730"/>
      <c r="AE121" s="730"/>
      <c r="AF121" s="730"/>
      <c r="AG121" s="730"/>
      <c r="AH121" s="729"/>
      <c r="AI121" s="730"/>
      <c r="AJ121" s="730"/>
      <c r="AK121" s="730"/>
      <c r="AL121" s="730"/>
      <c r="AM121" s="729"/>
      <c r="AN121" s="730"/>
      <c r="AO121" s="730"/>
      <c r="AP121" s="730"/>
      <c r="AQ121" s="730"/>
      <c r="AR121" s="729"/>
      <c r="AS121" s="730"/>
      <c r="AT121" s="730"/>
      <c r="AU121" s="730"/>
      <c r="AV121" s="730"/>
      <c r="AW121" s="729"/>
      <c r="AX121" s="730"/>
      <c r="AY121" s="730"/>
      <c r="AZ121" s="730"/>
      <c r="BA121" s="730"/>
      <c r="BB121" s="729"/>
      <c r="BC121" s="730"/>
      <c r="BD121" s="730"/>
      <c r="BE121" s="730"/>
      <c r="BF121" s="730"/>
      <c r="BG121" s="729"/>
      <c r="BH121" s="730"/>
      <c r="BI121" s="730"/>
      <c r="BJ121" s="730"/>
      <c r="BK121" s="730"/>
      <c r="BL121" s="729">
        <f t="shared" ref="BL121:BU123" si="190">IFERROR(BL107/BG107-1,"")</f>
        <v>0.59444444444444455</v>
      </c>
      <c r="BM121" s="731">
        <f t="shared" si="190"/>
        <v>-0.27142857142857146</v>
      </c>
      <c r="BN121" s="731">
        <f t="shared" si="190"/>
        <v>0.14666666666666672</v>
      </c>
      <c r="BO121" s="731">
        <f t="shared" si="190"/>
        <v>-1.538461538461533E-2</v>
      </c>
      <c r="BP121" s="731">
        <f t="shared" si="190"/>
        <v>-0.23376623376623373</v>
      </c>
      <c r="BQ121" s="729">
        <f t="shared" si="190"/>
        <v>-9.4076655052264813E-2</v>
      </c>
      <c r="BR121" s="731">
        <f t="shared" si="190"/>
        <v>3.9215686274509887E-2</v>
      </c>
      <c r="BS121" s="731">
        <f t="shared" si="190"/>
        <v>-9.3023255813953543E-2</v>
      </c>
      <c r="BT121" s="731">
        <f t="shared" si="190"/>
        <v>-0.171875</v>
      </c>
      <c r="BU121" s="731">
        <f t="shared" si="190"/>
        <v>0.27118644067796605</v>
      </c>
      <c r="BV121" s="729">
        <f t="shared" ref="BV121:CE123" si="191">IFERROR(BV107/BQ107-1,"")</f>
        <v>-3.8461538461538325E-3</v>
      </c>
      <c r="BW121" s="731">
        <f t="shared" si="191"/>
        <v>0.30188679245283012</v>
      </c>
      <c r="BX121" s="731">
        <f t="shared" si="191"/>
        <v>-0.23076923076923073</v>
      </c>
      <c r="BY121" s="731">
        <f t="shared" si="191"/>
        <v>-9.4339622641509413E-2</v>
      </c>
      <c r="BZ121" s="731">
        <f t="shared" si="191"/>
        <v>-0.24</v>
      </c>
      <c r="CA121" s="729">
        <f t="shared" si="191"/>
        <v>-9.6525096525096554E-2</v>
      </c>
      <c r="CB121" s="731">
        <f t="shared" si="191"/>
        <v>-0.27536231884057971</v>
      </c>
      <c r="CC121" s="731">
        <f t="shared" si="191"/>
        <v>-5.0000000000000044E-2</v>
      </c>
      <c r="CD121" s="731">
        <f t="shared" si="191"/>
        <v>0.35416666666666674</v>
      </c>
      <c r="CE121" s="731">
        <f t="shared" si="191"/>
        <v>0.38596491228070184</v>
      </c>
      <c r="CF121" s="729">
        <f t="shared" ref="CF121:CL123" si="192">IFERROR(CF107/CA107-1,"")</f>
        <v>7.2649572649572614E-2</v>
      </c>
      <c r="CG121" s="731">
        <f t="shared" si="192"/>
        <v>0.56000000000000005</v>
      </c>
      <c r="CH121" s="731">
        <f t="shared" si="192"/>
        <v>0.22807017543859653</v>
      </c>
      <c r="CI121" s="731">
        <f t="shared" si="192"/>
        <v>0.12307692307692308</v>
      </c>
      <c r="CJ121" s="731">
        <f t="shared" si="192"/>
        <v>-5.0632911392405111E-2</v>
      </c>
      <c r="CK121" s="729">
        <f t="shared" si="192"/>
        <v>0.17928286852589648</v>
      </c>
      <c r="CL121" s="731">
        <f t="shared" si="192"/>
        <v>-0.10256410256410253</v>
      </c>
      <c r="CM121" s="732" t="s">
        <v>404</v>
      </c>
      <c r="CN121" s="732" t="s">
        <v>404</v>
      </c>
      <c r="CO121" s="733" t="s">
        <v>404</v>
      </c>
      <c r="CP121" s="889" t="s">
        <v>404</v>
      </c>
      <c r="CQ121" s="732" t="s">
        <v>404</v>
      </c>
      <c r="CR121" s="732" t="s">
        <v>404</v>
      </c>
      <c r="CS121" s="732" t="s">
        <v>404</v>
      </c>
      <c r="CT121" s="731" t="s">
        <v>404</v>
      </c>
      <c r="CU121" s="889" t="s">
        <v>404</v>
      </c>
      <c r="CV121" s="732" t="s">
        <v>404</v>
      </c>
      <c r="CW121" s="732" t="s">
        <v>404</v>
      </c>
      <c r="CX121" s="732" t="s">
        <v>404</v>
      </c>
      <c r="CY121" s="733" t="s">
        <v>404</v>
      </c>
      <c r="CZ121" s="889" t="s">
        <v>404</v>
      </c>
      <c r="DA121" s="732" t="s">
        <v>404</v>
      </c>
      <c r="DB121" s="733" t="s">
        <v>404</v>
      </c>
      <c r="DC121" s="733" t="s">
        <v>404</v>
      </c>
      <c r="DD121" s="733" t="s">
        <v>404</v>
      </c>
      <c r="DE121" s="889" t="s">
        <v>404</v>
      </c>
      <c r="DF121" s="733" t="s">
        <v>404</v>
      </c>
      <c r="DG121" s="733" t="s">
        <v>404</v>
      </c>
      <c r="DH121" s="733" t="s">
        <v>404</v>
      </c>
      <c r="DI121" s="733" t="s">
        <v>404</v>
      </c>
      <c r="DJ121" s="889" t="s">
        <v>404</v>
      </c>
      <c r="DK121" s="733" t="s">
        <v>404</v>
      </c>
      <c r="DL121" s="733" t="s">
        <v>404</v>
      </c>
      <c r="DM121" s="731"/>
      <c r="DN121" s="731"/>
      <c r="DO121" s="729"/>
      <c r="DP121" s="733"/>
      <c r="DQ121" s="731"/>
      <c r="DR121" s="731"/>
      <c r="DS121" s="731"/>
      <c r="DT121" s="729"/>
      <c r="DU121" s="729"/>
      <c r="DV121" s="729"/>
    </row>
    <row r="122" spans="2:126" s="562" customFormat="1" ht="12.9" customHeight="1">
      <c r="B122" s="728" t="s">
        <v>399</v>
      </c>
      <c r="C122" s="729"/>
      <c r="D122" s="729"/>
      <c r="E122" s="729"/>
      <c r="F122" s="729"/>
      <c r="G122" s="729"/>
      <c r="H122" s="729"/>
      <c r="I122" s="729"/>
      <c r="J122" s="730"/>
      <c r="K122" s="730"/>
      <c r="L122" s="730"/>
      <c r="M122" s="730"/>
      <c r="N122" s="729"/>
      <c r="O122" s="730"/>
      <c r="P122" s="730"/>
      <c r="Q122" s="730"/>
      <c r="R122" s="730"/>
      <c r="S122" s="729"/>
      <c r="T122" s="730"/>
      <c r="U122" s="730"/>
      <c r="V122" s="730"/>
      <c r="W122" s="730"/>
      <c r="X122" s="729"/>
      <c r="Y122" s="730"/>
      <c r="Z122" s="730"/>
      <c r="AA122" s="730"/>
      <c r="AB122" s="730"/>
      <c r="AC122" s="729"/>
      <c r="AD122" s="730"/>
      <c r="AE122" s="730"/>
      <c r="AF122" s="730"/>
      <c r="AG122" s="730"/>
      <c r="AH122" s="729"/>
      <c r="AI122" s="730"/>
      <c r="AJ122" s="730"/>
      <c r="AK122" s="730"/>
      <c r="AL122" s="730"/>
      <c r="AM122" s="729"/>
      <c r="AN122" s="730"/>
      <c r="AO122" s="730"/>
      <c r="AP122" s="730"/>
      <c r="AQ122" s="730"/>
      <c r="AR122" s="729"/>
      <c r="AS122" s="730"/>
      <c r="AT122" s="730"/>
      <c r="AU122" s="730"/>
      <c r="AV122" s="730"/>
      <c r="AW122" s="729"/>
      <c r="AX122" s="730"/>
      <c r="AY122" s="730"/>
      <c r="AZ122" s="730"/>
      <c r="BA122" s="730"/>
      <c r="BB122" s="729"/>
      <c r="BC122" s="730"/>
      <c r="BD122" s="730"/>
      <c r="BE122" s="730"/>
      <c r="BF122" s="730"/>
      <c r="BG122" s="729"/>
      <c r="BH122" s="730"/>
      <c r="BI122" s="730"/>
      <c r="BJ122" s="730"/>
      <c r="BK122" s="730"/>
      <c r="BL122" s="729" t="str">
        <f t="shared" si="190"/>
        <v/>
      </c>
      <c r="BM122" s="731" t="str">
        <f t="shared" si="190"/>
        <v/>
      </c>
      <c r="BN122" s="731" t="str">
        <f t="shared" si="190"/>
        <v/>
      </c>
      <c r="BO122" s="731" t="str">
        <f t="shared" si="190"/>
        <v/>
      </c>
      <c r="BP122" s="731" t="str">
        <f t="shared" si="190"/>
        <v/>
      </c>
      <c r="BQ122" s="729" t="str">
        <f t="shared" si="190"/>
        <v/>
      </c>
      <c r="BR122" s="731" t="str">
        <f t="shared" si="190"/>
        <v/>
      </c>
      <c r="BS122" s="731" t="str">
        <f t="shared" si="190"/>
        <v/>
      </c>
      <c r="BT122" s="731" t="str">
        <f t="shared" si="190"/>
        <v/>
      </c>
      <c r="BU122" s="731" t="str">
        <f t="shared" si="190"/>
        <v/>
      </c>
      <c r="BV122" s="729" t="str">
        <f t="shared" si="191"/>
        <v/>
      </c>
      <c r="BW122" s="731" t="str">
        <f t="shared" si="191"/>
        <v/>
      </c>
      <c r="BX122" s="731">
        <f t="shared" si="191"/>
        <v>5.2727272727272725</v>
      </c>
      <c r="BY122" s="731">
        <f t="shared" si="191"/>
        <v>4.0454545454545459</v>
      </c>
      <c r="BZ122" s="731">
        <f t="shared" si="191"/>
        <v>3.5909090909090908</v>
      </c>
      <c r="CA122" s="729">
        <f t="shared" si="191"/>
        <v>4.9610389610389607</v>
      </c>
      <c r="CB122" s="731">
        <f t="shared" si="191"/>
        <v>1.4155844155844157</v>
      </c>
      <c r="CC122" s="731">
        <f t="shared" si="191"/>
        <v>2.6231884057971016</v>
      </c>
      <c r="CD122" s="731">
        <f t="shared" si="191"/>
        <v>1.7297297297297298</v>
      </c>
      <c r="CE122" s="731">
        <f t="shared" si="191"/>
        <v>0.87623762376237613</v>
      </c>
      <c r="CF122" s="729">
        <f t="shared" si="192"/>
        <v>1.4357298474945535</v>
      </c>
      <c r="CG122" s="731">
        <f t="shared" si="192"/>
        <v>1.2795698924731185</v>
      </c>
      <c r="CH122" s="731">
        <f t="shared" si="192"/>
        <v>0.748</v>
      </c>
      <c r="CI122" s="731">
        <f t="shared" si="192"/>
        <v>0.50165016501650173</v>
      </c>
      <c r="CJ122" s="731">
        <f t="shared" si="192"/>
        <v>0.10817941952506605</v>
      </c>
      <c r="CK122" s="729">
        <f t="shared" si="192"/>
        <v>0.55277280858676203</v>
      </c>
      <c r="CL122" s="731">
        <f t="shared" si="192"/>
        <v>-0.35849056603773588</v>
      </c>
      <c r="CM122" s="731">
        <f t="shared" ref="CM122:DL122" si="193">IFERROR(CM108/CH108-1,"")</f>
        <v>-0.59267734553775742</v>
      </c>
      <c r="CN122" s="731">
        <f t="shared" si="193"/>
        <v>-0.62197802197802199</v>
      </c>
      <c r="CO122" s="733">
        <f t="shared" si="193"/>
        <v>-0.54047619047619055</v>
      </c>
      <c r="CP122" s="729">
        <f t="shared" si="193"/>
        <v>-0.53052995391705071</v>
      </c>
      <c r="CQ122" s="731">
        <f t="shared" si="193"/>
        <v>-0.30882352941176472</v>
      </c>
      <c r="CR122" s="731">
        <f t="shared" si="193"/>
        <v>0.18539325842696619</v>
      </c>
      <c r="CS122" s="731">
        <f t="shared" si="193"/>
        <v>0.31395348837209291</v>
      </c>
      <c r="CT122" s="731">
        <f t="shared" si="193"/>
        <v>0.13989637305699487</v>
      </c>
      <c r="CU122" s="729">
        <f t="shared" si="193"/>
        <v>3.6809815950920255E-2</v>
      </c>
      <c r="CV122" s="731">
        <f t="shared" si="193"/>
        <v>0.27127659574468077</v>
      </c>
      <c r="CW122" s="731">
        <f t="shared" si="193"/>
        <v>7.1090047393364886E-2</v>
      </c>
      <c r="CX122" s="731">
        <f t="shared" si="193"/>
        <v>0.53539823008849563</v>
      </c>
      <c r="CY122" s="731">
        <f t="shared" si="193"/>
        <v>0.47272727272727266</v>
      </c>
      <c r="CZ122" s="729">
        <f t="shared" si="193"/>
        <v>0.34437869822485201</v>
      </c>
      <c r="DA122" s="731">
        <f t="shared" si="193"/>
        <v>0.53138075313807542</v>
      </c>
      <c r="DB122" s="731">
        <f t="shared" si="193"/>
        <v>0.85398230088495586</v>
      </c>
      <c r="DC122" s="731">
        <f t="shared" si="193"/>
        <v>0.12103746397694515</v>
      </c>
      <c r="DD122" s="731">
        <f t="shared" si="193"/>
        <v>0.22222222222222232</v>
      </c>
      <c r="DE122" s="729">
        <f t="shared" si="193"/>
        <v>0.38204225352112675</v>
      </c>
      <c r="DF122" s="731">
        <f t="shared" si="193"/>
        <v>2.732240437158362E-3</v>
      </c>
      <c r="DG122" s="731">
        <f t="shared" si="193"/>
        <v>-0.29116945107398573</v>
      </c>
      <c r="DH122" s="731">
        <f t="shared" si="193"/>
        <v>-6.169665809768643E-2</v>
      </c>
      <c r="DI122" s="731">
        <f t="shared" si="193"/>
        <v>-4.5454545454545414E-2</v>
      </c>
      <c r="DJ122" s="729">
        <f t="shared" si="193"/>
        <v>-0.10382165605095539</v>
      </c>
      <c r="DK122" s="731">
        <f t="shared" si="193"/>
        <v>-0.13079019073569487</v>
      </c>
      <c r="DL122" s="731">
        <f t="shared" si="193"/>
        <v>0.3804713804713804</v>
      </c>
      <c r="DM122" s="731"/>
      <c r="DN122" s="731"/>
      <c r="DO122" s="729"/>
      <c r="DP122" s="731"/>
      <c r="DQ122" s="731"/>
      <c r="DR122" s="731"/>
      <c r="DS122" s="731"/>
      <c r="DT122" s="729"/>
      <c r="DU122" s="729"/>
      <c r="DV122" s="729"/>
    </row>
    <row r="123" spans="2:126" s="567" customFormat="1" ht="12.9" customHeight="1">
      <c r="B123" s="728" t="s">
        <v>65</v>
      </c>
      <c r="C123" s="729"/>
      <c r="D123" s="729"/>
      <c r="E123" s="729"/>
      <c r="F123" s="729"/>
      <c r="G123" s="729"/>
      <c r="H123" s="729"/>
      <c r="I123" s="729"/>
      <c r="J123" s="730"/>
      <c r="K123" s="730"/>
      <c r="L123" s="730"/>
      <c r="M123" s="730"/>
      <c r="N123" s="729"/>
      <c r="O123" s="730"/>
      <c r="P123" s="730"/>
      <c r="Q123" s="730"/>
      <c r="R123" s="730"/>
      <c r="S123" s="729"/>
      <c r="T123" s="730"/>
      <c r="U123" s="730"/>
      <c r="V123" s="730"/>
      <c r="W123" s="730"/>
      <c r="X123" s="729"/>
      <c r="Y123" s="730"/>
      <c r="Z123" s="730"/>
      <c r="AA123" s="730"/>
      <c r="AB123" s="730"/>
      <c r="AC123" s="729"/>
      <c r="AD123" s="730"/>
      <c r="AE123" s="730"/>
      <c r="AF123" s="730"/>
      <c r="AG123" s="730"/>
      <c r="AH123" s="729"/>
      <c r="AI123" s="730"/>
      <c r="AJ123" s="730"/>
      <c r="AK123" s="730"/>
      <c r="AL123" s="730"/>
      <c r="AM123" s="729"/>
      <c r="AN123" s="730"/>
      <c r="AO123" s="730"/>
      <c r="AP123" s="730"/>
      <c r="AQ123" s="730"/>
      <c r="AR123" s="729"/>
      <c r="AS123" s="730"/>
      <c r="AT123" s="730"/>
      <c r="AU123" s="730"/>
      <c r="AV123" s="730"/>
      <c r="AW123" s="729"/>
      <c r="AX123" s="730"/>
      <c r="AY123" s="730"/>
      <c r="AZ123" s="730"/>
      <c r="BA123" s="730"/>
      <c r="BB123" s="729"/>
      <c r="BC123" s="730"/>
      <c r="BD123" s="730"/>
      <c r="BE123" s="730"/>
      <c r="BF123" s="730"/>
      <c r="BG123" s="729"/>
      <c r="BH123" s="730"/>
      <c r="BI123" s="730"/>
      <c r="BJ123" s="730"/>
      <c r="BK123" s="730"/>
      <c r="BL123" s="729">
        <f t="shared" si="190"/>
        <v>3.9126478616924532E-2</v>
      </c>
      <c r="BM123" s="731">
        <f t="shared" si="190"/>
        <v>3.819444444444442E-2</v>
      </c>
      <c r="BN123" s="731">
        <f t="shared" si="190"/>
        <v>3.8128249566724337E-2</v>
      </c>
      <c r="BO123" s="731">
        <f t="shared" si="190"/>
        <v>-5.4545454545454897E-3</v>
      </c>
      <c r="BP123" s="731">
        <f t="shared" si="190"/>
        <v>5.1635111876076056E-3</v>
      </c>
      <c r="BQ123" s="729">
        <f t="shared" si="190"/>
        <v>1.9264448336252293E-2</v>
      </c>
      <c r="BR123" s="731">
        <f t="shared" si="190"/>
        <v>4.3478260869565188E-2</v>
      </c>
      <c r="BS123" s="731">
        <f t="shared" si="190"/>
        <v>6.0100166944908162E-2</v>
      </c>
      <c r="BT123" s="731">
        <f t="shared" si="190"/>
        <v>5.8500914076782484E-2</v>
      </c>
      <c r="BU123" s="731">
        <f t="shared" si="190"/>
        <v>-1.8835616438356184E-2</v>
      </c>
      <c r="BV123" s="729">
        <f t="shared" si="191"/>
        <v>3.5652920962199408E-2</v>
      </c>
      <c r="BW123" s="731">
        <f t="shared" si="191"/>
        <v>-0.22916666666666663</v>
      </c>
      <c r="BX123" s="731">
        <f t="shared" si="191"/>
        <v>-0.21574803149606303</v>
      </c>
      <c r="BY123" s="731">
        <f t="shared" si="191"/>
        <v>-0.16753022452504318</v>
      </c>
      <c r="BZ123" s="731">
        <f t="shared" si="191"/>
        <v>-0.16928446771378713</v>
      </c>
      <c r="CA123" s="729">
        <f t="shared" si="191"/>
        <v>-0.19659892160929071</v>
      </c>
      <c r="CB123" s="731">
        <f t="shared" si="191"/>
        <v>-0.13721413721413722</v>
      </c>
      <c r="CC123" s="731">
        <f t="shared" si="191"/>
        <v>-0.2168674698795181</v>
      </c>
      <c r="CD123" s="731">
        <f t="shared" si="191"/>
        <v>-0.28215767634854771</v>
      </c>
      <c r="CE123" s="731">
        <f t="shared" si="191"/>
        <v>-0.35924369747899154</v>
      </c>
      <c r="CF123" s="729">
        <f t="shared" si="192"/>
        <v>-0.24832214765100669</v>
      </c>
      <c r="CG123" s="731">
        <f t="shared" si="192"/>
        <v>-0.4</v>
      </c>
      <c r="CH123" s="731">
        <f t="shared" si="192"/>
        <v>-0.44615384615384612</v>
      </c>
      <c r="CI123" s="731">
        <f t="shared" si="192"/>
        <v>-0.46242774566473988</v>
      </c>
      <c r="CJ123" s="731">
        <f t="shared" si="192"/>
        <v>-0.4098360655737705</v>
      </c>
      <c r="CK123" s="729">
        <f t="shared" si="192"/>
        <v>-0.42925824175824179</v>
      </c>
      <c r="CL123" s="731">
        <f t="shared" si="192"/>
        <v>-0.24497991967871491</v>
      </c>
      <c r="CM123" s="732" t="s">
        <v>404</v>
      </c>
      <c r="CN123" s="732" t="s">
        <v>404</v>
      </c>
      <c r="CO123" s="733" t="s">
        <v>404</v>
      </c>
      <c r="CP123" s="889" t="s">
        <v>404</v>
      </c>
      <c r="CQ123" s="732" t="s">
        <v>404</v>
      </c>
      <c r="CR123" s="732" t="s">
        <v>404</v>
      </c>
      <c r="CS123" s="732" t="s">
        <v>404</v>
      </c>
      <c r="CT123" s="731" t="s">
        <v>404</v>
      </c>
      <c r="CU123" s="889" t="s">
        <v>404</v>
      </c>
      <c r="CV123" s="732" t="s">
        <v>404</v>
      </c>
      <c r="CW123" s="732" t="s">
        <v>404</v>
      </c>
      <c r="CX123" s="732" t="s">
        <v>404</v>
      </c>
      <c r="CY123" s="733" t="s">
        <v>404</v>
      </c>
      <c r="CZ123" s="889" t="s">
        <v>404</v>
      </c>
      <c r="DA123" s="732" t="s">
        <v>404</v>
      </c>
      <c r="DB123" s="733" t="s">
        <v>404</v>
      </c>
      <c r="DC123" s="733" t="s">
        <v>404</v>
      </c>
      <c r="DD123" s="733" t="s">
        <v>404</v>
      </c>
      <c r="DE123" s="889" t="s">
        <v>404</v>
      </c>
      <c r="DF123" s="733" t="s">
        <v>404</v>
      </c>
      <c r="DG123" s="733" t="s">
        <v>404</v>
      </c>
      <c r="DH123" s="733" t="s">
        <v>404</v>
      </c>
      <c r="DI123" s="733" t="s">
        <v>404</v>
      </c>
      <c r="DJ123" s="889" t="s">
        <v>404</v>
      </c>
      <c r="DK123" s="733" t="s">
        <v>404</v>
      </c>
      <c r="DL123" s="733" t="s">
        <v>404</v>
      </c>
      <c r="DM123" s="731"/>
      <c r="DN123" s="731"/>
      <c r="DO123" s="729"/>
      <c r="DP123" s="733"/>
      <c r="DQ123" s="731"/>
      <c r="DR123" s="731"/>
      <c r="DS123" s="731"/>
      <c r="DT123" s="729"/>
      <c r="DU123" s="729"/>
      <c r="DV123" s="729"/>
    </row>
    <row r="124" spans="2:126" s="562" customFormat="1" ht="12.9" customHeight="1">
      <c r="B124" s="734" t="s">
        <v>400</v>
      </c>
      <c r="C124" s="735"/>
      <c r="D124" s="735"/>
      <c r="E124" s="735"/>
      <c r="F124" s="735"/>
      <c r="G124" s="735"/>
      <c r="H124" s="735"/>
      <c r="I124" s="735"/>
      <c r="J124" s="736"/>
      <c r="K124" s="736"/>
      <c r="L124" s="736"/>
      <c r="M124" s="736"/>
      <c r="N124" s="735"/>
      <c r="O124" s="736"/>
      <c r="P124" s="736"/>
      <c r="Q124" s="736"/>
      <c r="R124" s="736"/>
      <c r="S124" s="735"/>
      <c r="T124" s="736"/>
      <c r="U124" s="736"/>
      <c r="V124" s="736"/>
      <c r="W124" s="736"/>
      <c r="X124" s="735"/>
      <c r="Y124" s="736"/>
      <c r="Z124" s="736"/>
      <c r="AA124" s="736"/>
      <c r="AB124" s="736"/>
      <c r="AC124" s="735"/>
      <c r="AD124" s="736"/>
      <c r="AE124" s="736"/>
      <c r="AF124" s="736"/>
      <c r="AG124" s="736"/>
      <c r="AH124" s="735"/>
      <c r="AI124" s="736"/>
      <c r="AJ124" s="736"/>
      <c r="AK124" s="736"/>
      <c r="AL124" s="736"/>
      <c r="AM124" s="735"/>
      <c r="AN124" s="736"/>
      <c r="AO124" s="736"/>
      <c r="AP124" s="736"/>
      <c r="AQ124" s="736"/>
      <c r="AR124" s="735"/>
      <c r="AS124" s="736"/>
      <c r="AT124" s="736"/>
      <c r="AU124" s="736"/>
      <c r="AV124" s="736"/>
      <c r="AW124" s="735"/>
      <c r="AX124" s="736"/>
      <c r="AY124" s="736"/>
      <c r="AZ124" s="736"/>
      <c r="BA124" s="736"/>
      <c r="BB124" s="735"/>
      <c r="BC124" s="736"/>
      <c r="BD124" s="736"/>
      <c r="BE124" s="736"/>
      <c r="BF124" s="736"/>
      <c r="BG124" s="735"/>
      <c r="BH124" s="736"/>
      <c r="BI124" s="736"/>
      <c r="BJ124" s="736"/>
      <c r="BK124" s="736"/>
      <c r="BL124" s="735">
        <f t="shared" ref="BL124:BU125" si="194">IFERROR(BL111/BG111-1,"")</f>
        <v>-2.8011204481792618E-3</v>
      </c>
      <c r="BM124" s="737">
        <f t="shared" si="194"/>
        <v>-0.31854838709677424</v>
      </c>
      <c r="BN124" s="737">
        <f t="shared" si="194"/>
        <v>-0.33333333333333337</v>
      </c>
      <c r="BO124" s="737">
        <f t="shared" si="194"/>
        <v>-0.46440677966101696</v>
      </c>
      <c r="BP124" s="737">
        <f t="shared" si="194"/>
        <v>3.7878787878788955E-3</v>
      </c>
      <c r="BQ124" s="735">
        <f t="shared" si="194"/>
        <v>-0.28277153558052437</v>
      </c>
      <c r="BR124" s="737">
        <f t="shared" si="194"/>
        <v>-0.10650887573964496</v>
      </c>
      <c r="BS124" s="737">
        <f t="shared" si="194"/>
        <v>-0.13218390804597702</v>
      </c>
      <c r="BT124" s="737">
        <f t="shared" si="194"/>
        <v>-0.36708860759493667</v>
      </c>
      <c r="BU124" s="737">
        <f t="shared" si="194"/>
        <v>-0.36226415094339626</v>
      </c>
      <c r="BV124" s="735">
        <f t="shared" ref="BV124:CE125" si="195">IFERROR(BV111/BQ111-1,"")</f>
        <v>-0.25456919060052219</v>
      </c>
      <c r="BW124" s="737">
        <f t="shared" si="195"/>
        <v>-0.20529801324503316</v>
      </c>
      <c r="BX124" s="737">
        <f t="shared" si="195"/>
        <v>-9.27152317880795E-2</v>
      </c>
      <c r="BY124" s="737">
        <f t="shared" si="195"/>
        <v>0.44999999999999996</v>
      </c>
      <c r="BZ124" s="737">
        <f t="shared" si="195"/>
        <v>0.27218934911242609</v>
      </c>
      <c r="CA124" s="735">
        <f t="shared" si="195"/>
        <v>8.0560420315236358E-2</v>
      </c>
      <c r="CB124" s="737">
        <f t="shared" si="195"/>
        <v>0.14999999999999991</v>
      </c>
      <c r="CC124" s="737">
        <f t="shared" si="195"/>
        <v>0.48905109489051091</v>
      </c>
      <c r="CD124" s="737">
        <f t="shared" si="195"/>
        <v>0.10344827586206895</v>
      </c>
      <c r="CE124" s="737">
        <f t="shared" si="195"/>
        <v>-0.19999999999999996</v>
      </c>
      <c r="CF124" s="735">
        <f t="shared" ref="CF124:CO125" si="196">IFERROR(CF111/CA111-1,"")</f>
        <v>9.2382495948136079E-2</v>
      </c>
      <c r="CG124" s="737">
        <f t="shared" si="196"/>
        <v>0.16666666666666674</v>
      </c>
      <c r="CH124" s="737">
        <f t="shared" si="196"/>
        <v>-0.2990196078431373</v>
      </c>
      <c r="CI124" s="737">
        <f t="shared" si="196"/>
        <v>0.16250000000000009</v>
      </c>
      <c r="CJ124" s="737">
        <f t="shared" si="196"/>
        <v>0.31976744186046502</v>
      </c>
      <c r="CK124" s="735">
        <f t="shared" si="196"/>
        <v>6.379821958456966E-2</v>
      </c>
      <c r="CL124" s="737">
        <f t="shared" si="196"/>
        <v>-9.3167701863353991E-2</v>
      </c>
      <c r="CM124" s="737">
        <f t="shared" si="196"/>
        <v>0.42657342657342667</v>
      </c>
      <c r="CN124" s="737">
        <f t="shared" si="196"/>
        <v>-0.42473118279569888</v>
      </c>
      <c r="CO124" s="738">
        <f t="shared" si="196"/>
        <v>-4.405286343612369E-3</v>
      </c>
      <c r="CP124" s="735">
        <f t="shared" ref="CP124:CY125" si="197">IFERROR(CP111/CK111-1,"")</f>
        <v>-4.7419804741980487E-2</v>
      </c>
      <c r="CQ124" s="737">
        <f t="shared" si="197"/>
        <v>-0.34246575342465757</v>
      </c>
      <c r="CR124" s="737">
        <f t="shared" si="197"/>
        <v>-0.24019607843137258</v>
      </c>
      <c r="CS124" s="737">
        <f t="shared" si="197"/>
        <v>0.43925233644859807</v>
      </c>
      <c r="CT124" s="737">
        <f t="shared" si="197"/>
        <v>-0.34513274336283184</v>
      </c>
      <c r="CU124" s="735">
        <f t="shared" si="197"/>
        <v>-0.19033674963396774</v>
      </c>
      <c r="CV124" s="737">
        <f t="shared" si="197"/>
        <v>0.91666666666666674</v>
      </c>
      <c r="CW124" s="737">
        <f t="shared" si="197"/>
        <v>-0.15483870967741931</v>
      </c>
      <c r="CX124" s="737">
        <f t="shared" si="197"/>
        <v>-1.9480519480519431E-2</v>
      </c>
      <c r="CY124" s="737">
        <f t="shared" si="197"/>
        <v>0.12162162162162171</v>
      </c>
      <c r="CZ124" s="735">
        <f t="shared" ref="CZ124:DL125" si="198">IFERROR(CZ111/CU111-1,"")</f>
        <v>0.14285714285714279</v>
      </c>
      <c r="DA124" s="737">
        <f t="shared" si="198"/>
        <v>-0.56521739130434789</v>
      </c>
      <c r="DB124" s="737">
        <f t="shared" si="198"/>
        <v>0.74045801526717558</v>
      </c>
      <c r="DC124" s="737">
        <f t="shared" si="198"/>
        <v>-0.37086092715231789</v>
      </c>
      <c r="DD124" s="737">
        <f t="shared" si="198"/>
        <v>-7.8313253012048167E-2</v>
      </c>
      <c r="DE124" s="735">
        <f t="shared" si="198"/>
        <v>-0.120253164556962</v>
      </c>
      <c r="DF124" s="737">
        <f t="shared" si="198"/>
        <v>0.5625</v>
      </c>
      <c r="DG124" s="737">
        <f t="shared" si="198"/>
        <v>-0.61842105263157898</v>
      </c>
      <c r="DH124" s="737">
        <f t="shared" si="198"/>
        <v>-1.0526315789473717E-2</v>
      </c>
      <c r="DI124" s="737">
        <f t="shared" si="198"/>
        <v>0.20261437908496727</v>
      </c>
      <c r="DJ124" s="735">
        <f t="shared" si="198"/>
        <v>-0.11870503597122306</v>
      </c>
      <c r="DK124" s="737">
        <f t="shared" si="198"/>
        <v>4.8000000000000043E-2</v>
      </c>
      <c r="DL124" s="737">
        <f t="shared" si="198"/>
        <v>0.83908045977011492</v>
      </c>
      <c r="DM124" s="737"/>
      <c r="DN124" s="737"/>
      <c r="DO124" s="735"/>
      <c r="DP124" s="737"/>
      <c r="DQ124" s="737"/>
      <c r="DR124" s="737"/>
      <c r="DS124" s="737"/>
      <c r="DT124" s="735"/>
      <c r="DU124" s="735"/>
      <c r="DV124" s="735"/>
    </row>
    <row r="125" spans="2:126" s="562" customFormat="1" ht="12.9" customHeight="1">
      <c r="B125" s="724" t="s">
        <v>422</v>
      </c>
      <c r="C125" s="725"/>
      <c r="D125" s="725"/>
      <c r="E125" s="725"/>
      <c r="F125" s="725"/>
      <c r="G125" s="725"/>
      <c r="H125" s="725"/>
      <c r="I125" s="725"/>
      <c r="J125" s="726"/>
      <c r="K125" s="726"/>
      <c r="L125" s="726"/>
      <c r="M125" s="726"/>
      <c r="N125" s="725"/>
      <c r="O125" s="726"/>
      <c r="P125" s="726"/>
      <c r="Q125" s="726"/>
      <c r="R125" s="726"/>
      <c r="S125" s="725"/>
      <c r="T125" s="726"/>
      <c r="U125" s="726"/>
      <c r="V125" s="726"/>
      <c r="W125" s="726"/>
      <c r="X125" s="725"/>
      <c r="Y125" s="726"/>
      <c r="Z125" s="726"/>
      <c r="AA125" s="726"/>
      <c r="AB125" s="726"/>
      <c r="AC125" s="725"/>
      <c r="AD125" s="726"/>
      <c r="AE125" s="726"/>
      <c r="AF125" s="726"/>
      <c r="AG125" s="726"/>
      <c r="AH125" s="725"/>
      <c r="AI125" s="726"/>
      <c r="AJ125" s="726"/>
      <c r="AK125" s="726"/>
      <c r="AL125" s="726"/>
      <c r="AM125" s="725"/>
      <c r="AN125" s="726"/>
      <c r="AO125" s="726"/>
      <c r="AP125" s="726"/>
      <c r="AQ125" s="726"/>
      <c r="AR125" s="725"/>
      <c r="AS125" s="726"/>
      <c r="AT125" s="726"/>
      <c r="AU125" s="726"/>
      <c r="AV125" s="726"/>
      <c r="AW125" s="725"/>
      <c r="AX125" s="726"/>
      <c r="AY125" s="726"/>
      <c r="AZ125" s="726"/>
      <c r="BA125" s="726"/>
      <c r="BB125" s="725"/>
      <c r="BC125" s="726"/>
      <c r="BD125" s="726"/>
      <c r="BE125" s="726"/>
      <c r="BF125" s="726"/>
      <c r="BG125" s="725"/>
      <c r="BH125" s="726"/>
      <c r="BI125" s="726"/>
      <c r="BJ125" s="726"/>
      <c r="BK125" s="726"/>
      <c r="BL125" s="725">
        <f t="shared" si="194"/>
        <v>5.5088431429399787E-2</v>
      </c>
      <c r="BM125" s="661">
        <f t="shared" si="194"/>
        <v>-8.5011185682326573E-2</v>
      </c>
      <c r="BN125" s="661">
        <f t="shared" si="194"/>
        <v>-5.9145673603504978E-2</v>
      </c>
      <c r="BO125" s="661">
        <f t="shared" si="194"/>
        <v>-0.15494505494505495</v>
      </c>
      <c r="BP125" s="661">
        <f t="shared" si="194"/>
        <v>-1.5184381778741818E-2</v>
      </c>
      <c r="BQ125" s="725">
        <f t="shared" si="194"/>
        <v>-7.8318219291014013E-2</v>
      </c>
      <c r="BR125" s="661">
        <f t="shared" si="194"/>
        <v>1.2224938875305513E-2</v>
      </c>
      <c r="BS125" s="661">
        <f t="shared" si="194"/>
        <v>1.8626309662398199E-2</v>
      </c>
      <c r="BT125" s="661">
        <f t="shared" si="194"/>
        <v>-1.950585175552666E-2</v>
      </c>
      <c r="BU125" s="661">
        <f t="shared" si="194"/>
        <v>-5.1762114537444948E-2</v>
      </c>
      <c r="BV125" s="725">
        <f t="shared" si="195"/>
        <v>-1.0733452593917669E-2</v>
      </c>
      <c r="BW125" s="661">
        <f t="shared" si="195"/>
        <v>-9.7826086956521729E-2</v>
      </c>
      <c r="BX125" s="661">
        <f t="shared" si="195"/>
        <v>-0.12685714285714289</v>
      </c>
      <c r="BY125" s="661">
        <f t="shared" si="195"/>
        <v>4.244031830238737E-2</v>
      </c>
      <c r="BZ125" s="661">
        <f t="shared" si="195"/>
        <v>0.10336817653890829</v>
      </c>
      <c r="CA125" s="725">
        <f t="shared" si="195"/>
        <v>-2.1398432790837862E-2</v>
      </c>
      <c r="CB125" s="661">
        <f t="shared" si="195"/>
        <v>5.6224899598393607E-2</v>
      </c>
      <c r="CC125" s="661">
        <f t="shared" si="195"/>
        <v>0.17931937172774859</v>
      </c>
      <c r="CD125" s="661">
        <f t="shared" si="195"/>
        <v>0.11195928753180651</v>
      </c>
      <c r="CE125" s="661">
        <f t="shared" si="195"/>
        <v>-1.5789473684210575E-2</v>
      </c>
      <c r="CF125" s="725">
        <f t="shared" si="196"/>
        <v>7.7610101632275885E-2</v>
      </c>
      <c r="CG125" s="661">
        <f t="shared" si="196"/>
        <v>0.15589353612167289</v>
      </c>
      <c r="CH125" s="661">
        <f t="shared" si="196"/>
        <v>-3.8845726970033301E-2</v>
      </c>
      <c r="CI125" s="661">
        <f t="shared" si="196"/>
        <v>2.9748283752860427E-2</v>
      </c>
      <c r="CJ125" s="661">
        <f t="shared" si="196"/>
        <v>-3.5294117647058809E-2</v>
      </c>
      <c r="CK125" s="725">
        <f t="shared" si="196"/>
        <v>2.3149471277507772E-2</v>
      </c>
      <c r="CL125" s="661">
        <f t="shared" si="196"/>
        <v>-0.25877192982456143</v>
      </c>
      <c r="CM125" s="661">
        <f t="shared" si="196"/>
        <v>-0.3464203233256351</v>
      </c>
      <c r="CN125" s="661">
        <f t="shared" si="196"/>
        <v>-0.44666666666666666</v>
      </c>
      <c r="CO125" s="739">
        <f t="shared" si="196"/>
        <v>-0.26496674057649672</v>
      </c>
      <c r="CP125" s="725">
        <f t="shared" si="197"/>
        <v>-0.32877094972067034</v>
      </c>
      <c r="CQ125" s="661">
        <f t="shared" si="197"/>
        <v>-0.32692307692307687</v>
      </c>
      <c r="CR125" s="661">
        <f t="shared" si="197"/>
        <v>-4.9469964664310973E-2</v>
      </c>
      <c r="CS125" s="661">
        <f t="shared" si="197"/>
        <v>6.6265060240963791E-2</v>
      </c>
      <c r="CT125" s="661">
        <f t="shared" si="197"/>
        <v>-0.22171945701357465</v>
      </c>
      <c r="CU125" s="725">
        <f t="shared" si="197"/>
        <v>-0.15106117353308368</v>
      </c>
      <c r="CV125" s="661">
        <f t="shared" si="197"/>
        <v>0.15824175824175835</v>
      </c>
      <c r="CW125" s="661">
        <f t="shared" si="197"/>
        <v>-9.6654275092936781E-2</v>
      </c>
      <c r="CX125" s="661">
        <f t="shared" si="197"/>
        <v>0.20527306967984926</v>
      </c>
      <c r="CY125" s="661">
        <f t="shared" si="197"/>
        <v>0.2441860465116279</v>
      </c>
      <c r="CZ125" s="725">
        <f t="shared" si="198"/>
        <v>0.125</v>
      </c>
      <c r="DA125" s="661">
        <f t="shared" si="198"/>
        <v>6.4516129032258007E-2</v>
      </c>
      <c r="DB125" s="661">
        <f t="shared" si="198"/>
        <v>0.58641975308641969</v>
      </c>
      <c r="DC125" s="661">
        <f t="shared" si="198"/>
        <v>-3.90625E-2</v>
      </c>
      <c r="DD125" s="661">
        <f t="shared" si="198"/>
        <v>6.5420560747663448E-2</v>
      </c>
      <c r="DE125" s="725">
        <f t="shared" si="198"/>
        <v>0.14640522875816986</v>
      </c>
      <c r="DF125" s="661">
        <f t="shared" si="198"/>
        <v>9.4474153297682717E-2</v>
      </c>
      <c r="DG125" s="661">
        <f t="shared" si="198"/>
        <v>-0.36575875486381326</v>
      </c>
      <c r="DH125" s="661">
        <f t="shared" si="198"/>
        <v>-3.2520325203251987E-2</v>
      </c>
      <c r="DI125" s="661">
        <f t="shared" si="198"/>
        <v>2.7777777777777679E-2</v>
      </c>
      <c r="DJ125" s="725">
        <f t="shared" si="198"/>
        <v>-8.7419232231090827E-2</v>
      </c>
      <c r="DK125" s="661">
        <f t="shared" si="198"/>
        <v>-6.3517915309446282E-2</v>
      </c>
      <c r="DL125" s="661">
        <f t="shared" si="198"/>
        <v>0.45398773006134974</v>
      </c>
      <c r="DM125" s="661"/>
      <c r="DN125" s="661"/>
      <c r="DO125" s="725"/>
      <c r="DP125" s="661"/>
      <c r="DQ125" s="661"/>
      <c r="DR125" s="661"/>
      <c r="DS125" s="661"/>
      <c r="DT125" s="725"/>
      <c r="DU125" s="725"/>
      <c r="DV125" s="725"/>
    </row>
    <row r="126" spans="2:126" s="562" customFormat="1" ht="12.9" customHeight="1">
      <c r="B126" s="724"/>
      <c r="C126" s="725"/>
      <c r="D126" s="725"/>
      <c r="E126" s="725"/>
      <c r="F126" s="725"/>
      <c r="G126" s="725"/>
      <c r="H126" s="725"/>
      <c r="I126" s="725"/>
      <c r="J126" s="726"/>
      <c r="K126" s="726"/>
      <c r="L126" s="726"/>
      <c r="M126" s="726"/>
      <c r="N126" s="725"/>
      <c r="O126" s="726"/>
      <c r="P126" s="726"/>
      <c r="Q126" s="726"/>
      <c r="R126" s="726"/>
      <c r="S126" s="725"/>
      <c r="T126" s="726"/>
      <c r="U126" s="726"/>
      <c r="V126" s="726"/>
      <c r="W126" s="726"/>
      <c r="X126" s="725"/>
      <c r="Y126" s="726"/>
      <c r="Z126" s="726"/>
      <c r="AA126" s="726"/>
      <c r="AB126" s="726"/>
      <c r="AC126" s="725"/>
      <c r="AD126" s="726"/>
      <c r="AE126" s="726"/>
      <c r="AF126" s="726"/>
      <c r="AG126" s="726"/>
      <c r="AH126" s="725"/>
      <c r="AI126" s="726"/>
      <c r="AJ126" s="726"/>
      <c r="AK126" s="726"/>
      <c r="AL126" s="726"/>
      <c r="AM126" s="725"/>
      <c r="AN126" s="726"/>
      <c r="AO126" s="726"/>
      <c r="AP126" s="726"/>
      <c r="AQ126" s="726"/>
      <c r="AR126" s="725"/>
      <c r="AS126" s="726"/>
      <c r="AT126" s="726"/>
      <c r="AU126" s="726"/>
      <c r="AV126" s="726"/>
      <c r="AW126" s="725"/>
      <c r="AX126" s="726"/>
      <c r="AY126" s="726"/>
      <c r="AZ126" s="726"/>
      <c r="BA126" s="726"/>
      <c r="BB126" s="725"/>
      <c r="BC126" s="726"/>
      <c r="BD126" s="726"/>
      <c r="BE126" s="726"/>
      <c r="BF126" s="726"/>
      <c r="BG126" s="725"/>
      <c r="BH126" s="726"/>
      <c r="BI126" s="726"/>
      <c r="BJ126" s="726"/>
      <c r="BK126" s="726"/>
      <c r="BL126" s="725"/>
      <c r="BM126" s="672"/>
      <c r="BN126" s="672"/>
      <c r="BO126" s="672"/>
      <c r="BP126" s="672"/>
      <c r="BQ126" s="725"/>
      <c r="BR126" s="672"/>
      <c r="BS126" s="672"/>
      <c r="BT126" s="672"/>
      <c r="BU126" s="672"/>
      <c r="BV126" s="725"/>
      <c r="BW126" s="672"/>
      <c r="BX126" s="672"/>
      <c r="BY126" s="672"/>
      <c r="BZ126" s="672"/>
      <c r="CA126" s="725"/>
      <c r="CB126" s="672"/>
      <c r="CC126" s="672"/>
      <c r="CD126" s="672"/>
      <c r="CE126" s="672"/>
      <c r="CF126" s="725"/>
      <c r="CG126" s="672"/>
      <c r="CH126" s="672"/>
      <c r="CI126" s="672"/>
      <c r="CJ126" s="672"/>
      <c r="CK126" s="725"/>
      <c r="CL126" s="672"/>
      <c r="CM126" s="672"/>
      <c r="CN126" s="672"/>
      <c r="CO126" s="672"/>
      <c r="CP126" s="725"/>
      <c r="CQ126" s="672"/>
      <c r="CR126" s="672"/>
      <c r="CS126" s="672"/>
      <c r="CT126" s="672"/>
      <c r="CU126" s="725"/>
      <c r="CV126" s="672"/>
      <c r="CW126" s="672"/>
      <c r="CX126" s="672"/>
      <c r="CY126" s="672"/>
      <c r="CZ126" s="725"/>
      <c r="DA126" s="672"/>
      <c r="DB126" s="672"/>
      <c r="DC126" s="672"/>
      <c r="DD126" s="672"/>
      <c r="DE126" s="725"/>
      <c r="DF126" s="672"/>
      <c r="DG126" s="672"/>
      <c r="DH126" s="672"/>
      <c r="DI126" s="672"/>
      <c r="DJ126" s="725"/>
      <c r="DK126" s="672"/>
      <c r="DL126" s="672"/>
      <c r="DM126" s="672"/>
      <c r="DN126" s="672"/>
      <c r="DO126" s="725"/>
      <c r="DP126" s="672"/>
      <c r="DQ126" s="672"/>
      <c r="DR126" s="672"/>
      <c r="DS126" s="672"/>
      <c r="DT126" s="725"/>
      <c r="DU126" s="725"/>
      <c r="DV126" s="725"/>
    </row>
    <row r="127" spans="2:126" s="567" customFormat="1" ht="12.9" customHeight="1">
      <c r="B127" s="724" t="s">
        <v>427</v>
      </c>
      <c r="C127" s="725"/>
      <c r="D127" s="725"/>
      <c r="E127" s="725"/>
      <c r="F127" s="725"/>
      <c r="G127" s="725"/>
      <c r="H127" s="725"/>
      <c r="I127" s="725"/>
      <c r="J127" s="726"/>
      <c r="K127" s="726"/>
      <c r="L127" s="726"/>
      <c r="M127" s="726"/>
      <c r="N127" s="725"/>
      <c r="O127" s="726"/>
      <c r="P127" s="726"/>
      <c r="Q127" s="726"/>
      <c r="R127" s="726"/>
      <c r="S127" s="725"/>
      <c r="T127" s="726"/>
      <c r="U127" s="726"/>
      <c r="V127" s="726"/>
      <c r="W127" s="726"/>
      <c r="X127" s="725"/>
      <c r="Y127" s="726"/>
      <c r="Z127" s="726"/>
      <c r="AA127" s="726"/>
      <c r="AB127" s="726"/>
      <c r="AC127" s="725"/>
      <c r="AD127" s="726"/>
      <c r="AE127" s="726"/>
      <c r="AF127" s="726"/>
      <c r="AG127" s="726"/>
      <c r="AH127" s="725"/>
      <c r="AI127" s="726"/>
      <c r="AJ127" s="726"/>
      <c r="AK127" s="726"/>
      <c r="AL127" s="726"/>
      <c r="AM127" s="725"/>
      <c r="AN127" s="726"/>
      <c r="AO127" s="726"/>
      <c r="AP127" s="726"/>
      <c r="AQ127" s="726"/>
      <c r="AR127" s="725"/>
      <c r="AS127" s="726"/>
      <c r="AT127" s="726"/>
      <c r="AU127" s="726"/>
      <c r="AV127" s="726"/>
      <c r="AW127" s="725"/>
      <c r="AX127" s="726"/>
      <c r="AY127" s="726"/>
      <c r="AZ127" s="726"/>
      <c r="BA127" s="726"/>
      <c r="BB127" s="725"/>
      <c r="BC127" s="726"/>
      <c r="BD127" s="726"/>
      <c r="BE127" s="726"/>
      <c r="BF127" s="726"/>
      <c r="BG127" s="725"/>
      <c r="BH127" s="726"/>
      <c r="BI127" s="726"/>
      <c r="BJ127" s="726"/>
      <c r="BK127" s="726"/>
      <c r="BL127" s="725">
        <f t="shared" ref="BL127:DE127" si="199">IFERROR(BL114/BG114-1,"")</f>
        <v>0.19841269841269837</v>
      </c>
      <c r="BM127" s="672">
        <f t="shared" si="199"/>
        <v>0.2807017543859649</v>
      </c>
      <c r="BN127" s="672">
        <f t="shared" si="199"/>
        <v>0.29616724738675981</v>
      </c>
      <c r="BO127" s="672">
        <f t="shared" si="199"/>
        <v>0.21682847896440149</v>
      </c>
      <c r="BP127" s="672">
        <f t="shared" si="199"/>
        <v>0.13149847094801204</v>
      </c>
      <c r="BQ127" s="725">
        <f t="shared" si="199"/>
        <v>0.22764900662251675</v>
      </c>
      <c r="BR127" s="672">
        <f t="shared" si="199"/>
        <v>-0.52602739726027403</v>
      </c>
      <c r="BS127" s="672">
        <f t="shared" si="199"/>
        <v>-0.489247311827957</v>
      </c>
      <c r="BT127" s="672">
        <f t="shared" si="199"/>
        <v>5.5851063829787329E-2</v>
      </c>
      <c r="BU127" s="672">
        <f t="shared" si="199"/>
        <v>0.17567567567567566</v>
      </c>
      <c r="BV127" s="725">
        <f t="shared" si="199"/>
        <v>-0.19420094403236687</v>
      </c>
      <c r="BW127" s="672">
        <f t="shared" si="199"/>
        <v>0.25433526011560681</v>
      </c>
      <c r="BX127" s="672">
        <f t="shared" si="199"/>
        <v>0.13684210526315788</v>
      </c>
      <c r="BY127" s="672">
        <f t="shared" si="199"/>
        <v>-0.41561712846347609</v>
      </c>
      <c r="BZ127" s="672">
        <f t="shared" si="199"/>
        <v>-0.37011494252873567</v>
      </c>
      <c r="CA127" s="725">
        <f t="shared" si="199"/>
        <v>-0.2142259414225941</v>
      </c>
      <c r="CB127" s="672">
        <f t="shared" si="199"/>
        <v>0.16129032258064524</v>
      </c>
      <c r="CC127" s="672">
        <f t="shared" si="199"/>
        <v>0.2314814814814814</v>
      </c>
      <c r="CD127" s="672">
        <f t="shared" si="199"/>
        <v>0.2068965517241379</v>
      </c>
      <c r="CE127" s="672">
        <f t="shared" si="199"/>
        <v>0.10218978102189791</v>
      </c>
      <c r="CF127" s="725">
        <f t="shared" si="199"/>
        <v>0.17145899893503724</v>
      </c>
      <c r="CG127" s="672">
        <f t="shared" si="199"/>
        <v>0.21428571428571441</v>
      </c>
      <c r="CH127" s="672">
        <f t="shared" si="199"/>
        <v>1.5037593984962294E-2</v>
      </c>
      <c r="CI127" s="672">
        <f t="shared" si="199"/>
        <v>7.1428571428571397E-2</v>
      </c>
      <c r="CJ127" s="672">
        <f t="shared" si="199"/>
        <v>0.2185430463576159</v>
      </c>
      <c r="CK127" s="725">
        <f t="shared" si="199"/>
        <v>0.1272727272727272</v>
      </c>
      <c r="CL127" s="672">
        <f t="shared" si="199"/>
        <v>-0.12091503267973869</v>
      </c>
      <c r="CM127" s="672">
        <f t="shared" si="199"/>
        <v>-0.51481481481481484</v>
      </c>
      <c r="CN127" s="672">
        <f t="shared" si="199"/>
        <v>-0.52</v>
      </c>
      <c r="CO127" s="672">
        <f t="shared" si="199"/>
        <v>-0.52445652173913038</v>
      </c>
      <c r="CP127" s="725">
        <f t="shared" si="199"/>
        <v>-0.41935483870967738</v>
      </c>
      <c r="CQ127" s="672">
        <f t="shared" si="199"/>
        <v>-0.50929368029739774</v>
      </c>
      <c r="CR127" s="672">
        <f t="shared" si="199"/>
        <v>0.14503816793893143</v>
      </c>
      <c r="CS127" s="672">
        <f t="shared" si="199"/>
        <v>0.3402777777777779</v>
      </c>
      <c r="CT127" s="567">
        <f t="shared" si="199"/>
        <v>0.3600000000000001</v>
      </c>
      <c r="CU127" s="725">
        <f t="shared" si="199"/>
        <v>-1.1111111111111072E-2</v>
      </c>
      <c r="CV127" s="567">
        <f t="shared" si="199"/>
        <v>0.72727272727272751</v>
      </c>
      <c r="CW127" s="567">
        <f t="shared" si="199"/>
        <v>0.56666666666666665</v>
      </c>
      <c r="CX127" s="567">
        <f t="shared" si="199"/>
        <v>0.52331606217616566</v>
      </c>
      <c r="CY127" s="567">
        <f t="shared" si="199"/>
        <v>0.34033613445378141</v>
      </c>
      <c r="CZ127" s="725">
        <f t="shared" si="199"/>
        <v>0.51123595505617958</v>
      </c>
      <c r="DA127" s="567">
        <f t="shared" si="199"/>
        <v>0.36403508771929816</v>
      </c>
      <c r="DB127" s="567">
        <f t="shared" si="199"/>
        <v>0.38723404255319149</v>
      </c>
      <c r="DC127" s="567">
        <f t="shared" si="199"/>
        <v>0.44217687074829937</v>
      </c>
      <c r="DD127" s="567">
        <f t="shared" si="199"/>
        <v>0.20062695924764884</v>
      </c>
      <c r="DE127" s="725">
        <f t="shared" si="199"/>
        <v>0.34200743494423769</v>
      </c>
      <c r="DJ127" s="725"/>
      <c r="DO127" s="725"/>
      <c r="DT127" s="725"/>
      <c r="DU127" s="725"/>
      <c r="DV127" s="725"/>
    </row>
    <row r="128" spans="2:126" s="651" customFormat="1" ht="12.9" customHeight="1">
      <c r="B128" s="595"/>
      <c r="C128" s="598"/>
      <c r="D128" s="598"/>
      <c r="E128" s="598"/>
      <c r="F128" s="598"/>
      <c r="G128" s="598"/>
      <c r="H128" s="598"/>
      <c r="I128" s="598"/>
      <c r="J128" s="599"/>
      <c r="K128" s="599"/>
      <c r="L128" s="599"/>
      <c r="M128" s="599"/>
      <c r="N128" s="598"/>
      <c r="O128" s="599"/>
      <c r="P128" s="599"/>
      <c r="Q128" s="599"/>
      <c r="R128" s="599"/>
      <c r="S128" s="598"/>
      <c r="T128" s="599"/>
      <c r="U128" s="599"/>
      <c r="V128" s="599"/>
      <c r="W128" s="599"/>
      <c r="X128" s="598"/>
      <c r="Y128" s="599"/>
      <c r="Z128" s="599"/>
      <c r="AA128" s="599"/>
      <c r="AB128" s="599"/>
      <c r="AC128" s="598"/>
      <c r="AD128" s="599"/>
      <c r="AE128" s="599"/>
      <c r="AF128" s="599"/>
      <c r="AG128" s="599"/>
      <c r="AH128" s="598"/>
      <c r="AI128" s="599"/>
      <c r="AJ128" s="599"/>
      <c r="AK128" s="599"/>
      <c r="AL128" s="599"/>
      <c r="AM128" s="598"/>
      <c r="AN128" s="599"/>
      <c r="AO128" s="599"/>
      <c r="AP128" s="599"/>
      <c r="AQ128" s="599"/>
      <c r="AR128" s="598"/>
      <c r="AS128" s="599"/>
      <c r="AT128" s="599"/>
      <c r="AU128" s="599"/>
      <c r="AV128" s="599"/>
      <c r="AW128" s="598"/>
      <c r="AX128" s="599"/>
      <c r="AY128" s="599"/>
      <c r="AZ128" s="599"/>
      <c r="BA128" s="599"/>
      <c r="BB128" s="598"/>
      <c r="BC128" s="599"/>
      <c r="BD128" s="599"/>
      <c r="BE128" s="599"/>
      <c r="BF128" s="599"/>
      <c r="BG128" s="598"/>
      <c r="BH128" s="599"/>
      <c r="BI128" s="599"/>
      <c r="BJ128" s="599"/>
      <c r="BK128" s="599"/>
      <c r="BL128" s="598"/>
      <c r="BM128" s="599"/>
      <c r="BN128" s="599"/>
      <c r="BO128" s="599"/>
      <c r="BP128" s="599"/>
      <c r="BQ128" s="598"/>
      <c r="BR128" s="599"/>
      <c r="BS128" s="599"/>
      <c r="BT128" s="599"/>
      <c r="BU128" s="599"/>
      <c r="BV128" s="598"/>
      <c r="BW128" s="599"/>
      <c r="BX128" s="599"/>
      <c r="BY128" s="599"/>
      <c r="BZ128" s="599"/>
      <c r="CA128" s="598"/>
      <c r="CB128" s="599"/>
      <c r="CC128" s="599"/>
      <c r="CD128" s="599"/>
      <c r="CE128" s="599"/>
      <c r="CF128" s="598"/>
      <c r="CG128" s="740"/>
      <c r="CH128" s="740"/>
      <c r="CI128" s="740"/>
      <c r="CJ128" s="741"/>
      <c r="CK128" s="598"/>
      <c r="CL128" s="599"/>
      <c r="CM128" s="599"/>
      <c r="CN128" s="599"/>
      <c r="CO128" s="599"/>
      <c r="CP128" s="598"/>
      <c r="CQ128" s="599"/>
      <c r="CR128" s="599"/>
      <c r="CS128" s="599"/>
      <c r="CT128" s="599"/>
      <c r="CU128" s="598"/>
      <c r="CV128" s="599"/>
      <c r="CW128" s="599"/>
      <c r="CX128" s="599"/>
      <c r="CY128" s="599"/>
      <c r="CZ128" s="598"/>
      <c r="DA128" s="599"/>
      <c r="DB128" s="599"/>
      <c r="DC128" s="599"/>
      <c r="DD128" s="599"/>
      <c r="DE128" s="598"/>
      <c r="DF128" s="599"/>
      <c r="DG128" s="599"/>
      <c r="DH128" s="599"/>
      <c r="DI128" s="599"/>
      <c r="DJ128" s="598"/>
      <c r="DK128" s="599"/>
      <c r="DL128" s="599"/>
      <c r="DM128" s="599"/>
      <c r="DN128" s="599"/>
      <c r="DO128" s="598"/>
      <c r="DP128" s="599"/>
      <c r="DQ128" s="599"/>
      <c r="DR128" s="599"/>
      <c r="DS128" s="599"/>
      <c r="DT128" s="598"/>
      <c r="DU128" s="598"/>
      <c r="DV128" s="598"/>
    </row>
    <row r="129" spans="2:126" s="651" customFormat="1" ht="12.9" customHeight="1">
      <c r="B129" s="660" t="s">
        <v>428</v>
      </c>
      <c r="C129" s="789"/>
      <c r="D129" s="789"/>
      <c r="E129" s="789"/>
      <c r="F129" s="789"/>
      <c r="G129" s="789"/>
      <c r="H129" s="789"/>
      <c r="I129" s="789"/>
      <c r="J129" s="790"/>
      <c r="K129" s="790"/>
      <c r="L129" s="790"/>
      <c r="M129" s="790"/>
      <c r="N129" s="789"/>
      <c r="O129" s="790"/>
      <c r="P129" s="790"/>
      <c r="Q129" s="790"/>
      <c r="R129" s="790"/>
      <c r="S129" s="789"/>
      <c r="T129" s="790"/>
      <c r="U129" s="790"/>
      <c r="V129" s="790"/>
      <c r="W129" s="790"/>
      <c r="X129" s="789"/>
      <c r="Y129" s="790"/>
      <c r="Z129" s="790"/>
      <c r="AA129" s="790"/>
      <c r="AB129" s="790"/>
      <c r="AC129" s="789"/>
      <c r="AD129" s="790"/>
      <c r="AE129" s="790"/>
      <c r="AF129" s="790"/>
      <c r="AG129" s="790"/>
      <c r="AH129" s="789"/>
      <c r="AI129" s="790"/>
      <c r="AJ129" s="790"/>
      <c r="AK129" s="790"/>
      <c r="AL129" s="790"/>
      <c r="AM129" s="789"/>
      <c r="AN129" s="790"/>
      <c r="AO129" s="790"/>
      <c r="AP129" s="790"/>
      <c r="AQ129" s="790"/>
      <c r="AR129" s="789"/>
      <c r="AS129" s="790"/>
      <c r="AT129" s="790"/>
      <c r="AU129" s="790"/>
      <c r="AV129" s="790"/>
      <c r="AW129" s="789"/>
      <c r="AX129" s="790"/>
      <c r="AY129" s="790"/>
      <c r="AZ129" s="790"/>
      <c r="BA129" s="790"/>
      <c r="BB129" s="789"/>
      <c r="BC129" s="790"/>
      <c r="BD129" s="790"/>
      <c r="BE129" s="790"/>
      <c r="BF129" s="790"/>
      <c r="BG129" s="789"/>
      <c r="BH129" s="790"/>
      <c r="BI129" s="790"/>
      <c r="BJ129" s="790"/>
      <c r="BK129" s="790"/>
      <c r="BL129" s="789"/>
      <c r="BM129" s="790"/>
      <c r="BN129" s="790"/>
      <c r="BO129" s="790"/>
      <c r="BP129" s="790"/>
      <c r="BQ129" s="789"/>
      <c r="BR129" s="790"/>
      <c r="BS129" s="790"/>
      <c r="BT129" s="790"/>
      <c r="BU129" s="790"/>
      <c r="BV129" s="789"/>
      <c r="BW129" s="790"/>
      <c r="BX129" s="790"/>
      <c r="BY129" s="790"/>
      <c r="BZ129" s="790"/>
      <c r="CA129" s="789"/>
      <c r="CB129" s="790"/>
      <c r="CC129" s="790"/>
      <c r="CD129" s="790"/>
      <c r="CE129" s="790"/>
      <c r="CF129" s="789"/>
      <c r="CG129" s="791"/>
      <c r="CH129" s="790"/>
      <c r="CI129" s="790"/>
      <c r="CJ129" s="790"/>
      <c r="CK129" s="789"/>
      <c r="CL129" s="791"/>
      <c r="CM129" s="790"/>
      <c r="CN129" s="790"/>
      <c r="CO129" s="790"/>
      <c r="CP129" s="789"/>
      <c r="CQ129" s="790"/>
      <c r="CR129" s="790"/>
      <c r="CS129" s="790"/>
      <c r="CT129" s="790"/>
      <c r="CU129" s="789"/>
      <c r="CV129" s="790"/>
      <c r="CW129" s="790"/>
      <c r="CX129" s="790"/>
      <c r="CY129" s="790"/>
      <c r="CZ129" s="789"/>
      <c r="DA129" s="790"/>
      <c r="DB129" s="790"/>
      <c r="DC129" s="790"/>
      <c r="DD129" s="790"/>
      <c r="DE129" s="789"/>
      <c r="DF129" s="790"/>
      <c r="DG129" s="790"/>
      <c r="DH129" s="790"/>
      <c r="DI129" s="790"/>
      <c r="DJ129" s="789"/>
      <c r="DK129" s="790"/>
      <c r="DL129" s="790"/>
      <c r="DM129" s="790"/>
      <c r="DN129" s="790"/>
      <c r="DO129" s="789"/>
      <c r="DP129" s="790"/>
      <c r="DQ129" s="790"/>
      <c r="DR129" s="790"/>
      <c r="DS129" s="790"/>
      <c r="DT129" s="789"/>
      <c r="DU129" s="789"/>
      <c r="DV129" s="789"/>
    </row>
    <row r="130" spans="2:126" s="651" customFormat="1" ht="12.9" customHeight="1">
      <c r="B130" s="635" t="s">
        <v>397</v>
      </c>
      <c r="C130" s="696"/>
      <c r="D130" s="696"/>
      <c r="E130" s="696"/>
      <c r="F130" s="696"/>
      <c r="G130" s="696"/>
      <c r="H130" s="696"/>
      <c r="I130" s="696"/>
      <c r="J130" s="599"/>
      <c r="K130" s="599"/>
      <c r="L130" s="599"/>
      <c r="M130" s="599"/>
      <c r="N130" s="696"/>
      <c r="O130" s="599"/>
      <c r="P130" s="599"/>
      <c r="Q130" s="599"/>
      <c r="R130" s="599"/>
      <c r="S130" s="696"/>
      <c r="T130" s="599"/>
      <c r="U130" s="599"/>
      <c r="V130" s="599"/>
      <c r="W130" s="599"/>
      <c r="X130" s="696"/>
      <c r="Y130" s="599"/>
      <c r="Z130" s="599"/>
      <c r="AA130" s="599"/>
      <c r="AB130" s="599"/>
      <c r="AC130" s="696"/>
      <c r="AD130" s="599"/>
      <c r="AE130" s="599"/>
      <c r="AF130" s="599"/>
      <c r="AG130" s="599"/>
      <c r="AH130" s="696"/>
      <c r="AI130" s="599"/>
      <c r="AJ130" s="599"/>
      <c r="AK130" s="599"/>
      <c r="AL130" s="599"/>
      <c r="AM130" s="696"/>
      <c r="AN130" s="599"/>
      <c r="AO130" s="599"/>
      <c r="AP130" s="599"/>
      <c r="AQ130" s="599"/>
      <c r="AR130" s="696"/>
      <c r="AS130" s="599"/>
      <c r="AT130" s="599"/>
      <c r="AU130" s="599"/>
      <c r="AV130" s="599"/>
      <c r="AW130" s="696"/>
      <c r="AX130" s="599"/>
      <c r="AY130" s="599"/>
      <c r="AZ130" s="599"/>
      <c r="BA130" s="599"/>
      <c r="BB130" s="696"/>
      <c r="BC130" s="599"/>
      <c r="BD130" s="599"/>
      <c r="BE130" s="599"/>
      <c r="BF130" s="599"/>
      <c r="BG130" s="696">
        <f t="shared" ref="BG130:CL130" si="200">BG106/SUM(BG$106,BG$111)</f>
        <v>0.68947521020585678</v>
      </c>
      <c r="BH130" s="599">
        <f t="shared" si="200"/>
        <v>0.72259507829977632</v>
      </c>
      <c r="BI130" s="599">
        <f t="shared" si="200"/>
        <v>0.71412924424972613</v>
      </c>
      <c r="BJ130" s="599">
        <f t="shared" si="200"/>
        <v>0.67582417582417587</v>
      </c>
      <c r="BK130" s="599">
        <f t="shared" si="200"/>
        <v>0.71366594360086766</v>
      </c>
      <c r="BL130" s="696">
        <f t="shared" si="200"/>
        <v>0.70651277823577907</v>
      </c>
      <c r="BM130" s="599">
        <f t="shared" si="200"/>
        <v>0.79339853300733498</v>
      </c>
      <c r="BN130" s="599">
        <f t="shared" si="200"/>
        <v>0.79743888242142025</v>
      </c>
      <c r="BO130" s="599">
        <f t="shared" si="200"/>
        <v>0.79453836150845258</v>
      </c>
      <c r="BP130" s="599">
        <f t="shared" si="200"/>
        <v>0.70814977973568283</v>
      </c>
      <c r="BQ130" s="696">
        <f t="shared" si="200"/>
        <v>0.77161598091830652</v>
      </c>
      <c r="BR130" s="599">
        <f t="shared" si="200"/>
        <v>0.81763285024154586</v>
      </c>
      <c r="BS130" s="599">
        <f t="shared" si="200"/>
        <v>0.8274285714285714</v>
      </c>
      <c r="BT130" s="599">
        <f t="shared" si="200"/>
        <v>0.86737400530503983</v>
      </c>
      <c r="BU130" s="599">
        <f t="shared" si="200"/>
        <v>0.80371660859465732</v>
      </c>
      <c r="BV130" s="696">
        <f t="shared" si="200"/>
        <v>0.82790837854128996</v>
      </c>
      <c r="BW130" s="599">
        <f t="shared" si="200"/>
        <v>0.8393574297188755</v>
      </c>
      <c r="BX130" s="599">
        <f t="shared" si="200"/>
        <v>0.8206806282722513</v>
      </c>
      <c r="BY130" s="599">
        <f t="shared" si="200"/>
        <v>0.81552162849872778</v>
      </c>
      <c r="BZ130" s="599">
        <f t="shared" si="200"/>
        <v>0.77368421052631575</v>
      </c>
      <c r="CA130" s="696">
        <f t="shared" si="200"/>
        <v>0.80997844163843546</v>
      </c>
      <c r="CB130" s="599">
        <f t="shared" si="200"/>
        <v>0.82509505703422048</v>
      </c>
      <c r="CC130" s="599">
        <f t="shared" si="200"/>
        <v>0.77358490566037741</v>
      </c>
      <c r="CD130" s="599">
        <f t="shared" si="200"/>
        <v>0.81693363844393596</v>
      </c>
      <c r="CE130" s="599">
        <f t="shared" si="200"/>
        <v>0.8160427807486631</v>
      </c>
      <c r="CF130" s="696">
        <f t="shared" si="200"/>
        <v>0.80737353529579881</v>
      </c>
      <c r="CG130" s="599">
        <f t="shared" si="200"/>
        <v>0.82346491228070173</v>
      </c>
      <c r="CH130" s="599">
        <f t="shared" si="200"/>
        <v>0.83487297921478065</v>
      </c>
      <c r="CI130" s="599">
        <f t="shared" si="200"/>
        <v>0.79333333333333333</v>
      </c>
      <c r="CJ130" s="599">
        <f t="shared" si="200"/>
        <v>0.74833702882483366</v>
      </c>
      <c r="CK130" s="696">
        <f t="shared" si="200"/>
        <v>0.79972067039106143</v>
      </c>
      <c r="CL130" s="599">
        <f t="shared" si="200"/>
        <v>0.78402366863905326</v>
      </c>
      <c r="CM130" s="599">
        <f t="shared" ref="CM130:DG130" si="201">CM106/SUM(CM$106,CM$111)</f>
        <v>0.63957597173144876</v>
      </c>
      <c r="CN130" s="599">
        <f t="shared" si="201"/>
        <v>0.78514056224899598</v>
      </c>
      <c r="CO130" s="599">
        <f t="shared" si="201"/>
        <v>0.65912518853695323</v>
      </c>
      <c r="CP130" s="696">
        <f t="shared" si="201"/>
        <v>0.71577195172700792</v>
      </c>
      <c r="CQ130" s="599">
        <f t="shared" si="201"/>
        <v>0.78901098901098898</v>
      </c>
      <c r="CR130" s="599">
        <f t="shared" si="201"/>
        <v>0.71189591078066916</v>
      </c>
      <c r="CS130" s="599">
        <f t="shared" si="201"/>
        <v>0.70998116760828622</v>
      </c>
      <c r="CT130" s="599">
        <f t="shared" si="201"/>
        <v>0.71317829457364346</v>
      </c>
      <c r="CU130" s="696">
        <f t="shared" si="201"/>
        <v>0.72892156862745094</v>
      </c>
      <c r="CV130" s="599">
        <f t="shared" si="201"/>
        <v>0.65085388994307403</v>
      </c>
      <c r="CW130" s="599">
        <f t="shared" si="201"/>
        <v>0.73045267489711929</v>
      </c>
      <c r="CX130" s="599">
        <f t="shared" si="201"/>
        <v>0.76406249999999998</v>
      </c>
      <c r="CY130" s="599">
        <f t="shared" si="201"/>
        <v>0.74143302180685355</v>
      </c>
      <c r="CZ130" s="696">
        <f t="shared" si="201"/>
        <v>0.72461873638344232</v>
      </c>
      <c r="DA130" s="599">
        <f t="shared" si="201"/>
        <v>0.85739750445632801</v>
      </c>
      <c r="DB130" s="599">
        <f t="shared" si="201"/>
        <v>0.7042801556420234</v>
      </c>
      <c r="DC130" s="599">
        <f t="shared" si="201"/>
        <v>0.84552845528455289</v>
      </c>
      <c r="DD130" s="599">
        <f t="shared" si="201"/>
        <v>0.77631578947368418</v>
      </c>
      <c r="DE130" s="696">
        <f t="shared" si="201"/>
        <v>0.78867350817179782</v>
      </c>
      <c r="DF130" s="599">
        <f t="shared" si="201"/>
        <v>0.79641693811074921</v>
      </c>
      <c r="DG130" s="599">
        <f t="shared" si="201"/>
        <v>0.82208588957055218</v>
      </c>
      <c r="DH130" s="599">
        <f t="shared" ref="DH130:DK130" si="202">DH106/SUM(DH$106,DH$111)</f>
        <v>0.84201680672268908</v>
      </c>
      <c r="DI130" s="599">
        <f t="shared" si="202"/>
        <v>0.73826458036984355</v>
      </c>
      <c r="DJ130" s="696">
        <f t="shared" si="202"/>
        <v>0.79591836734693877</v>
      </c>
      <c r="DK130" s="599">
        <f t="shared" si="202"/>
        <v>0.77217391304347827</v>
      </c>
      <c r="DL130" s="599">
        <f t="shared" ref="DL130" si="203">DL106/SUM(DL$106,DL$111)</f>
        <v>0.77496483825597751</v>
      </c>
      <c r="DM130" s="599"/>
      <c r="DN130" s="599"/>
      <c r="DO130" s="696"/>
      <c r="DP130" s="599"/>
      <c r="DQ130" s="599"/>
      <c r="DR130" s="599"/>
      <c r="DS130" s="599"/>
      <c r="DT130" s="696"/>
      <c r="DU130" s="696"/>
      <c r="DV130" s="696"/>
    </row>
    <row r="131" spans="2:126" s="678" customFormat="1" ht="12.9" customHeight="1">
      <c r="B131" s="625" t="s">
        <v>398</v>
      </c>
      <c r="C131" s="742"/>
      <c r="D131" s="742"/>
      <c r="E131" s="742"/>
      <c r="F131" s="742"/>
      <c r="G131" s="742"/>
      <c r="H131" s="742"/>
      <c r="I131" s="742"/>
      <c r="J131" s="743"/>
      <c r="K131" s="743"/>
      <c r="L131" s="743"/>
      <c r="M131" s="743"/>
      <c r="N131" s="742"/>
      <c r="O131" s="743"/>
      <c r="P131" s="743"/>
      <c r="Q131" s="743"/>
      <c r="R131" s="743"/>
      <c r="S131" s="742"/>
      <c r="T131" s="743"/>
      <c r="U131" s="743"/>
      <c r="V131" s="743"/>
      <c r="W131" s="743"/>
      <c r="X131" s="742"/>
      <c r="Y131" s="743"/>
      <c r="Z131" s="743"/>
      <c r="AA131" s="743"/>
      <c r="AB131" s="743"/>
      <c r="AC131" s="742"/>
      <c r="AD131" s="743"/>
      <c r="AE131" s="743"/>
      <c r="AF131" s="743"/>
      <c r="AG131" s="743"/>
      <c r="AH131" s="742"/>
      <c r="AI131" s="743"/>
      <c r="AJ131" s="743"/>
      <c r="AK131" s="743"/>
      <c r="AL131" s="743"/>
      <c r="AM131" s="742"/>
      <c r="AN131" s="743"/>
      <c r="AO131" s="743"/>
      <c r="AP131" s="743"/>
      <c r="AQ131" s="743"/>
      <c r="AR131" s="742"/>
      <c r="AS131" s="743"/>
      <c r="AT131" s="743"/>
      <c r="AU131" s="743"/>
      <c r="AV131" s="743"/>
      <c r="AW131" s="742"/>
      <c r="AX131" s="743"/>
      <c r="AY131" s="743"/>
      <c r="AZ131" s="743"/>
      <c r="BA131" s="743"/>
      <c r="BB131" s="742"/>
      <c r="BC131" s="743"/>
      <c r="BD131" s="743"/>
      <c r="BE131" s="743"/>
      <c r="BF131" s="743"/>
      <c r="BG131" s="742">
        <f t="shared" ref="BG131:CL131" si="204">BG107/SUM(BG$106,BG$111)</f>
        <v>5.2189040301536677E-2</v>
      </c>
      <c r="BH131" s="743">
        <f t="shared" si="204"/>
        <v>7.829977628635347E-2</v>
      </c>
      <c r="BI131" s="743">
        <f t="shared" si="204"/>
        <v>8.2146768893756841E-2</v>
      </c>
      <c r="BJ131" s="743">
        <f t="shared" si="204"/>
        <v>7.1428571428571425E-2</v>
      </c>
      <c r="BK131" s="743">
        <f t="shared" si="204"/>
        <v>8.3514099783080262E-2</v>
      </c>
      <c r="BL131" s="742">
        <f t="shared" si="204"/>
        <v>7.8867820829898322E-2</v>
      </c>
      <c r="BM131" s="743">
        <f t="shared" si="204"/>
        <v>6.2347188264058682E-2</v>
      </c>
      <c r="BN131" s="743">
        <f t="shared" si="204"/>
        <v>0.10011641443538999</v>
      </c>
      <c r="BO131" s="743">
        <f t="shared" si="204"/>
        <v>8.3224967490247076E-2</v>
      </c>
      <c r="BP131" s="743">
        <f t="shared" si="204"/>
        <v>6.4977973568281944E-2</v>
      </c>
      <c r="BQ131" s="742">
        <f t="shared" si="204"/>
        <v>7.7519379844961239E-2</v>
      </c>
      <c r="BR131" s="743">
        <f t="shared" si="204"/>
        <v>6.4009661835748799E-2</v>
      </c>
      <c r="BS131" s="743">
        <f t="shared" si="204"/>
        <v>8.9142857142857149E-2</v>
      </c>
      <c r="BT131" s="743">
        <f t="shared" si="204"/>
        <v>7.0291777188328908E-2</v>
      </c>
      <c r="BU131" s="743">
        <f t="shared" si="204"/>
        <v>8.7108013937282236E-2</v>
      </c>
      <c r="BV131" s="742">
        <f t="shared" si="204"/>
        <v>7.805907172995781E-2</v>
      </c>
      <c r="BW131" s="743">
        <f t="shared" si="204"/>
        <v>9.2369477911646583E-2</v>
      </c>
      <c r="BX131" s="743">
        <f t="shared" si="204"/>
        <v>7.8534031413612565E-2</v>
      </c>
      <c r="BY131" s="743">
        <f t="shared" si="204"/>
        <v>6.1068702290076333E-2</v>
      </c>
      <c r="BZ131" s="743">
        <f t="shared" si="204"/>
        <v>0.06</v>
      </c>
      <c r="CA131" s="742">
        <f t="shared" si="204"/>
        <v>7.2066522944256237E-2</v>
      </c>
      <c r="CB131" s="743">
        <f t="shared" si="204"/>
        <v>6.3371356147021551E-2</v>
      </c>
      <c r="CC131" s="743">
        <f t="shared" si="204"/>
        <v>6.3263041065482792E-2</v>
      </c>
      <c r="CD131" s="743">
        <f t="shared" si="204"/>
        <v>7.4370709382151026E-2</v>
      </c>
      <c r="CE131" s="743">
        <f t="shared" si="204"/>
        <v>8.4491978609625665E-2</v>
      </c>
      <c r="CF131" s="742">
        <f t="shared" si="204"/>
        <v>7.1734781366104602E-2</v>
      </c>
      <c r="CG131" s="743">
        <f t="shared" si="204"/>
        <v>8.5526315789473686E-2</v>
      </c>
      <c r="CH131" s="743">
        <f t="shared" si="204"/>
        <v>8.0831408775981523E-2</v>
      </c>
      <c r="CI131" s="743">
        <f t="shared" si="204"/>
        <v>8.1111111111111106E-2</v>
      </c>
      <c r="CJ131" s="743">
        <f t="shared" si="204"/>
        <v>8.3148558758314853E-2</v>
      </c>
      <c r="CK131" s="742">
        <f t="shared" si="204"/>
        <v>8.2681564245810052E-2</v>
      </c>
      <c r="CL131" s="743">
        <f t="shared" si="204"/>
        <v>0.10355029585798817</v>
      </c>
      <c r="CM131" s="744" t="s">
        <v>404</v>
      </c>
      <c r="CN131" s="744" t="s">
        <v>404</v>
      </c>
      <c r="CO131" s="743" t="s">
        <v>404</v>
      </c>
      <c r="CP131" s="890" t="s">
        <v>404</v>
      </c>
      <c r="CQ131" s="743" t="s">
        <v>404</v>
      </c>
      <c r="CR131" s="743" t="s">
        <v>404</v>
      </c>
      <c r="CS131" s="743" t="s">
        <v>404</v>
      </c>
      <c r="CT131" s="743" t="s">
        <v>404</v>
      </c>
      <c r="CU131" s="890" t="s">
        <v>404</v>
      </c>
      <c r="CV131" s="743" t="s">
        <v>404</v>
      </c>
      <c r="CW131" s="743" t="s">
        <v>404</v>
      </c>
      <c r="CX131" s="743" t="s">
        <v>404</v>
      </c>
      <c r="CY131" s="743" t="s">
        <v>404</v>
      </c>
      <c r="CZ131" s="890" t="s">
        <v>404</v>
      </c>
      <c r="DA131" s="743" t="s">
        <v>404</v>
      </c>
      <c r="DB131" s="743" t="s">
        <v>404</v>
      </c>
      <c r="DC131" s="743" t="s">
        <v>404</v>
      </c>
      <c r="DD131" s="743" t="s">
        <v>404</v>
      </c>
      <c r="DE131" s="890" t="s">
        <v>404</v>
      </c>
      <c r="DF131" s="743" t="s">
        <v>404</v>
      </c>
      <c r="DG131" s="743" t="s">
        <v>404</v>
      </c>
      <c r="DH131" s="743" t="s">
        <v>404</v>
      </c>
      <c r="DI131" s="743" t="s">
        <v>404</v>
      </c>
      <c r="DJ131" s="890" t="s">
        <v>404</v>
      </c>
      <c r="DK131" s="743" t="s">
        <v>404</v>
      </c>
      <c r="DL131" s="743" t="s">
        <v>404</v>
      </c>
      <c r="DM131" s="743"/>
      <c r="DN131" s="743"/>
      <c r="DO131" s="742"/>
      <c r="DP131" s="743"/>
      <c r="DQ131" s="743"/>
      <c r="DR131" s="743"/>
      <c r="DS131" s="743"/>
      <c r="DT131" s="742"/>
      <c r="DU131" s="742"/>
      <c r="DV131" s="742"/>
    </row>
    <row r="132" spans="2:126" s="678" customFormat="1" ht="12.9" customHeight="1">
      <c r="B132" s="745" t="s">
        <v>399</v>
      </c>
      <c r="C132" s="742"/>
      <c r="D132" s="742"/>
      <c r="E132" s="742"/>
      <c r="F132" s="742"/>
      <c r="G132" s="742"/>
      <c r="H132" s="742"/>
      <c r="I132" s="742"/>
      <c r="J132" s="743"/>
      <c r="K132" s="743"/>
      <c r="L132" s="743"/>
      <c r="M132" s="743"/>
      <c r="N132" s="742"/>
      <c r="O132" s="743"/>
      <c r="P132" s="743"/>
      <c r="Q132" s="743"/>
      <c r="R132" s="743"/>
      <c r="S132" s="742"/>
      <c r="T132" s="743"/>
      <c r="U132" s="743"/>
      <c r="V132" s="743"/>
      <c r="W132" s="743"/>
      <c r="X132" s="742"/>
      <c r="Y132" s="743"/>
      <c r="Z132" s="743"/>
      <c r="AA132" s="743"/>
      <c r="AB132" s="743"/>
      <c r="AC132" s="742"/>
      <c r="AD132" s="743"/>
      <c r="AE132" s="743"/>
      <c r="AF132" s="743"/>
      <c r="AG132" s="743"/>
      <c r="AH132" s="742"/>
      <c r="AI132" s="743"/>
      <c r="AJ132" s="743"/>
      <c r="AK132" s="743"/>
      <c r="AL132" s="743"/>
      <c r="AM132" s="742"/>
      <c r="AN132" s="743"/>
      <c r="AO132" s="743"/>
      <c r="AP132" s="743"/>
      <c r="AQ132" s="743"/>
      <c r="AR132" s="742"/>
      <c r="AS132" s="743"/>
      <c r="AT132" s="743"/>
      <c r="AU132" s="743"/>
      <c r="AV132" s="743"/>
      <c r="AW132" s="742"/>
      <c r="AX132" s="743"/>
      <c r="AY132" s="743"/>
      <c r="AZ132" s="743"/>
      <c r="BA132" s="743"/>
      <c r="BB132" s="742"/>
      <c r="BC132" s="743"/>
      <c r="BD132" s="743"/>
      <c r="BE132" s="743"/>
      <c r="BF132" s="743"/>
      <c r="BG132" s="742">
        <f t="shared" ref="BG132:CL132" si="205">BG108/SUM(BG$106,BG$111)</f>
        <v>0</v>
      </c>
      <c r="BH132" s="743">
        <f t="shared" si="205"/>
        <v>0</v>
      </c>
      <c r="BI132" s="743">
        <f t="shared" si="205"/>
        <v>0</v>
      </c>
      <c r="BJ132" s="743">
        <f t="shared" si="205"/>
        <v>0</v>
      </c>
      <c r="BK132" s="743">
        <f t="shared" si="205"/>
        <v>0</v>
      </c>
      <c r="BL132" s="742">
        <f t="shared" si="205"/>
        <v>0</v>
      </c>
      <c r="BM132" s="743">
        <f t="shared" si="205"/>
        <v>0</v>
      </c>
      <c r="BN132" s="743">
        <f t="shared" si="205"/>
        <v>0</v>
      </c>
      <c r="BO132" s="743">
        <f t="shared" si="205"/>
        <v>0</v>
      </c>
      <c r="BP132" s="743">
        <f t="shared" si="205"/>
        <v>0</v>
      </c>
      <c r="BQ132" s="742">
        <f t="shared" si="205"/>
        <v>0</v>
      </c>
      <c r="BR132" s="743">
        <f t="shared" si="205"/>
        <v>0</v>
      </c>
      <c r="BS132" s="743">
        <f t="shared" si="205"/>
        <v>1.2571428571428572E-2</v>
      </c>
      <c r="BT132" s="743">
        <f t="shared" si="205"/>
        <v>2.9177718832891247E-2</v>
      </c>
      <c r="BU132" s="743">
        <f t="shared" si="205"/>
        <v>5.1103368176538912E-2</v>
      </c>
      <c r="BV132" s="742">
        <f t="shared" si="205"/>
        <v>2.3206751054852322E-2</v>
      </c>
      <c r="BW132" s="743">
        <f t="shared" si="205"/>
        <v>0.10307898259705489</v>
      </c>
      <c r="BX132" s="743">
        <f t="shared" si="205"/>
        <v>9.0314136125654448E-2</v>
      </c>
      <c r="BY132" s="743">
        <f t="shared" si="205"/>
        <v>0.14122137404580154</v>
      </c>
      <c r="BZ132" s="743">
        <f t="shared" si="205"/>
        <v>0.21263157894736842</v>
      </c>
      <c r="CA132" s="742">
        <f t="shared" si="205"/>
        <v>0.14136125654450263</v>
      </c>
      <c r="CB132" s="743">
        <f t="shared" si="205"/>
        <v>0.23574144486692014</v>
      </c>
      <c r="CC132" s="743">
        <f t="shared" si="205"/>
        <v>0.27746947835738067</v>
      </c>
      <c r="CD132" s="743">
        <f t="shared" si="205"/>
        <v>0.34668192219679633</v>
      </c>
      <c r="CE132" s="743">
        <f t="shared" si="205"/>
        <v>0.40534759358288769</v>
      </c>
      <c r="CF132" s="742">
        <f t="shared" si="205"/>
        <v>0.31951986281794797</v>
      </c>
      <c r="CG132" s="743">
        <f t="shared" si="205"/>
        <v>0.46491228070175439</v>
      </c>
      <c r="CH132" s="743">
        <f t="shared" si="205"/>
        <v>0.50461893764434185</v>
      </c>
      <c r="CI132" s="743">
        <f t="shared" si="205"/>
        <v>0.50555555555555554</v>
      </c>
      <c r="CJ132" s="743">
        <f t="shared" si="205"/>
        <v>0.4656319290465632</v>
      </c>
      <c r="CK132" s="742">
        <f t="shared" si="205"/>
        <v>0.48491620111731842</v>
      </c>
      <c r="CL132" s="743">
        <f t="shared" si="205"/>
        <v>0.40236686390532544</v>
      </c>
      <c r="CM132" s="743">
        <f t="shared" ref="CM132:DG132" si="206">CM108/SUM(CM$106,CM$111)</f>
        <v>0.31448763250883394</v>
      </c>
      <c r="CN132" s="743">
        <f t="shared" si="206"/>
        <v>0.34538152610441769</v>
      </c>
      <c r="CO132" s="743">
        <f t="shared" si="206"/>
        <v>0.29110105580693818</v>
      </c>
      <c r="CP132" s="742">
        <f t="shared" si="206"/>
        <v>0.33915938410320434</v>
      </c>
      <c r="CQ132" s="743">
        <f t="shared" si="206"/>
        <v>0.41318681318681316</v>
      </c>
      <c r="CR132" s="743">
        <f t="shared" si="206"/>
        <v>0.39219330855018586</v>
      </c>
      <c r="CS132" s="743">
        <f t="shared" si="206"/>
        <v>0.4256120527306968</v>
      </c>
      <c r="CT132" s="743">
        <f t="shared" si="206"/>
        <v>0.4263565891472868</v>
      </c>
      <c r="CU132" s="742">
        <f t="shared" si="206"/>
        <v>0.41421568627450983</v>
      </c>
      <c r="CV132" s="743">
        <f t="shared" si="206"/>
        <v>0.45351043643263755</v>
      </c>
      <c r="CW132" s="743">
        <f t="shared" si="206"/>
        <v>0.46502057613168724</v>
      </c>
      <c r="CX132" s="743">
        <f t="shared" si="206"/>
        <v>0.54218750000000004</v>
      </c>
      <c r="CY132" s="743">
        <f t="shared" si="206"/>
        <v>0.50467289719626163</v>
      </c>
      <c r="CZ132" s="742">
        <f t="shared" si="206"/>
        <v>0.49498910675381264</v>
      </c>
      <c r="DA132" s="743">
        <f t="shared" si="206"/>
        <v>0.65240641711229952</v>
      </c>
      <c r="DB132" s="743">
        <f t="shared" si="206"/>
        <v>0.54345006485084302</v>
      </c>
      <c r="DC132" s="743">
        <f t="shared" si="206"/>
        <v>0.63252032520325208</v>
      </c>
      <c r="DD132" s="743">
        <f t="shared" si="206"/>
        <v>0.57894736842105265</v>
      </c>
      <c r="DE132" s="742">
        <f t="shared" si="206"/>
        <v>0.59673128088179395</v>
      </c>
      <c r="DF132" s="743">
        <f t="shared" si="206"/>
        <v>0.59771986970684043</v>
      </c>
      <c r="DG132" s="743">
        <f t="shared" si="206"/>
        <v>0.6073619631901841</v>
      </c>
      <c r="DH132" s="743">
        <f t="shared" ref="DH132:DK132" si="207">DH108/SUM(DH$106,DH$111)</f>
        <v>0.61344537815126055</v>
      </c>
      <c r="DI132" s="743">
        <f t="shared" si="207"/>
        <v>0.53769559032716929</v>
      </c>
      <c r="DJ132" s="742">
        <f t="shared" si="207"/>
        <v>0.5860058309037901</v>
      </c>
      <c r="DK132" s="743">
        <f t="shared" si="207"/>
        <v>0.55478260869565221</v>
      </c>
      <c r="DL132" s="743">
        <f t="shared" ref="DL132" si="208">DL108/SUM(DL$106,DL$111)</f>
        <v>0.57665260196905765</v>
      </c>
      <c r="DM132" s="743"/>
      <c r="DN132" s="743"/>
      <c r="DO132" s="742"/>
      <c r="DP132" s="743"/>
      <c r="DQ132" s="743"/>
      <c r="DR132" s="743"/>
      <c r="DS132" s="743"/>
      <c r="DT132" s="742"/>
      <c r="DU132" s="742"/>
      <c r="DV132" s="742"/>
    </row>
    <row r="133" spans="2:126" s="678" customFormat="1" ht="12.9" customHeight="1">
      <c r="B133" s="745" t="s">
        <v>65</v>
      </c>
      <c r="C133" s="742"/>
      <c r="D133" s="742"/>
      <c r="E133" s="742"/>
      <c r="F133" s="742"/>
      <c r="G133" s="742"/>
      <c r="H133" s="742"/>
      <c r="I133" s="742"/>
      <c r="J133" s="743"/>
      <c r="K133" s="743"/>
      <c r="L133" s="743"/>
      <c r="M133" s="743"/>
      <c r="N133" s="742"/>
      <c r="O133" s="743"/>
      <c r="P133" s="743"/>
      <c r="Q133" s="743"/>
      <c r="R133" s="743"/>
      <c r="S133" s="742"/>
      <c r="T133" s="743"/>
      <c r="U133" s="743"/>
      <c r="V133" s="743"/>
      <c r="W133" s="743"/>
      <c r="X133" s="742"/>
      <c r="Y133" s="743"/>
      <c r="Z133" s="743"/>
      <c r="AA133" s="743"/>
      <c r="AB133" s="743"/>
      <c r="AC133" s="742"/>
      <c r="AD133" s="743"/>
      <c r="AE133" s="743"/>
      <c r="AF133" s="743"/>
      <c r="AG133" s="743"/>
      <c r="AH133" s="742"/>
      <c r="AI133" s="743"/>
      <c r="AJ133" s="743"/>
      <c r="AK133" s="743"/>
      <c r="AL133" s="743"/>
      <c r="AM133" s="742"/>
      <c r="AN133" s="743"/>
      <c r="AO133" s="743"/>
      <c r="AP133" s="743"/>
      <c r="AQ133" s="743"/>
      <c r="AR133" s="742"/>
      <c r="AS133" s="743"/>
      <c r="AT133" s="743"/>
      <c r="AU133" s="743"/>
      <c r="AV133" s="743"/>
      <c r="AW133" s="742"/>
      <c r="AX133" s="743"/>
      <c r="AY133" s="743"/>
      <c r="AZ133" s="743"/>
      <c r="BA133" s="743"/>
      <c r="BB133" s="742"/>
      <c r="BC133" s="743"/>
      <c r="BD133" s="743"/>
      <c r="BE133" s="743"/>
      <c r="BF133" s="743"/>
      <c r="BG133" s="742">
        <f t="shared" ref="BG133:CL133" si="209">BG109/SUM(BG$106,BG$111)</f>
        <v>0.63728616990432008</v>
      </c>
      <c r="BH133" s="743">
        <f t="shared" si="209"/>
        <v>0.64429530201342278</v>
      </c>
      <c r="BI133" s="743">
        <f t="shared" si="209"/>
        <v>0.6319824753559693</v>
      </c>
      <c r="BJ133" s="743">
        <f t="shared" si="209"/>
        <v>0.60439560439560436</v>
      </c>
      <c r="BK133" s="743">
        <f t="shared" si="209"/>
        <v>0.63015184381778744</v>
      </c>
      <c r="BL133" s="742">
        <f t="shared" si="209"/>
        <v>0.62764495740588078</v>
      </c>
      <c r="BM133" s="743">
        <f t="shared" si="209"/>
        <v>0.73105134474327627</v>
      </c>
      <c r="BN133" s="743">
        <f t="shared" si="209"/>
        <v>0.69732246798603026</v>
      </c>
      <c r="BO133" s="743">
        <f t="shared" si="209"/>
        <v>0.71131339401820548</v>
      </c>
      <c r="BP133" s="743">
        <f t="shared" si="209"/>
        <v>0.64317180616740088</v>
      </c>
      <c r="BQ133" s="742">
        <f t="shared" si="209"/>
        <v>0.69409660107334525</v>
      </c>
      <c r="BR133" s="743">
        <f t="shared" si="209"/>
        <v>0.75362318840579712</v>
      </c>
      <c r="BS133" s="743">
        <f t="shared" si="209"/>
        <v>0.72571428571428576</v>
      </c>
      <c r="BT133" s="743">
        <f t="shared" si="209"/>
        <v>0.76790450928381959</v>
      </c>
      <c r="BU133" s="743">
        <f t="shared" si="209"/>
        <v>0.66550522648083621</v>
      </c>
      <c r="BV133" s="742">
        <f t="shared" si="209"/>
        <v>0.72664255575647985</v>
      </c>
      <c r="BW133" s="743">
        <f t="shared" si="209"/>
        <v>0.64390896921017404</v>
      </c>
      <c r="BX133" s="743">
        <f t="shared" si="209"/>
        <v>0.65183246073298429</v>
      </c>
      <c r="BY133" s="743">
        <f t="shared" si="209"/>
        <v>0.61323155216284986</v>
      </c>
      <c r="BZ133" s="743">
        <f t="shared" si="209"/>
        <v>0.50105263157894742</v>
      </c>
      <c r="CA133" s="742">
        <f t="shared" si="209"/>
        <v>0.59655066214967667</v>
      </c>
      <c r="CB133" s="743">
        <f t="shared" si="209"/>
        <v>0.52598225602027882</v>
      </c>
      <c r="CC133" s="743">
        <f t="shared" si="209"/>
        <v>0.43285238623751388</v>
      </c>
      <c r="CD133" s="743">
        <f t="shared" si="209"/>
        <v>0.39588100686498856</v>
      </c>
      <c r="CE133" s="743">
        <f t="shared" si="209"/>
        <v>0.32620320855614976</v>
      </c>
      <c r="CF133" s="742">
        <f t="shared" si="209"/>
        <v>0.41611889111174621</v>
      </c>
      <c r="CG133" s="743">
        <f t="shared" si="209"/>
        <v>0.27302631578947367</v>
      </c>
      <c r="CH133" s="743">
        <f t="shared" si="209"/>
        <v>0.24942263279445728</v>
      </c>
      <c r="CI133" s="743">
        <f t="shared" si="209"/>
        <v>0.20666666666666667</v>
      </c>
      <c r="CJ133" s="743">
        <f t="shared" si="209"/>
        <v>0.19955654101995565</v>
      </c>
      <c r="CK133" s="742">
        <f t="shared" si="209"/>
        <v>0.23212290502793295</v>
      </c>
      <c r="CL133" s="743">
        <f t="shared" si="209"/>
        <v>0.27810650887573962</v>
      </c>
      <c r="CM133" s="744" t="s">
        <v>404</v>
      </c>
      <c r="CN133" s="744" t="s">
        <v>404</v>
      </c>
      <c r="CO133" s="743" t="s">
        <v>404</v>
      </c>
      <c r="CP133" s="890" t="s">
        <v>404</v>
      </c>
      <c r="CQ133" s="743" t="s">
        <v>404</v>
      </c>
      <c r="CR133" s="743" t="s">
        <v>404</v>
      </c>
      <c r="CS133" s="743" t="s">
        <v>404</v>
      </c>
      <c r="CT133" s="743" t="s">
        <v>404</v>
      </c>
      <c r="CU133" s="890" t="s">
        <v>404</v>
      </c>
      <c r="CV133" s="743" t="s">
        <v>404</v>
      </c>
      <c r="CW133" s="743" t="s">
        <v>404</v>
      </c>
      <c r="CX133" s="743" t="s">
        <v>404</v>
      </c>
      <c r="CY133" s="743" t="s">
        <v>404</v>
      </c>
      <c r="CZ133" s="890" t="s">
        <v>404</v>
      </c>
      <c r="DA133" s="743" t="s">
        <v>404</v>
      </c>
      <c r="DB133" s="743" t="s">
        <v>404</v>
      </c>
      <c r="DC133" s="743" t="s">
        <v>404</v>
      </c>
      <c r="DD133" s="743" t="s">
        <v>404</v>
      </c>
      <c r="DE133" s="890" t="s">
        <v>404</v>
      </c>
      <c r="DF133" s="743" t="s">
        <v>404</v>
      </c>
      <c r="DG133" s="743" t="s">
        <v>404</v>
      </c>
      <c r="DH133" s="743" t="s">
        <v>404</v>
      </c>
      <c r="DI133" s="743" t="s">
        <v>404</v>
      </c>
      <c r="DJ133" s="890" t="s">
        <v>404</v>
      </c>
      <c r="DK133" s="743" t="s">
        <v>404</v>
      </c>
      <c r="DL133" s="743" t="s">
        <v>404</v>
      </c>
      <c r="DM133" s="743"/>
      <c r="DN133" s="743"/>
      <c r="DO133" s="742"/>
      <c r="DP133" s="743"/>
      <c r="DQ133" s="743"/>
      <c r="DR133" s="743"/>
      <c r="DS133" s="743"/>
      <c r="DT133" s="742"/>
      <c r="DU133" s="742"/>
      <c r="DV133" s="742"/>
    </row>
    <row r="134" spans="2:126" s="651" customFormat="1" ht="12.9" customHeight="1">
      <c r="B134" s="635" t="s">
        <v>400</v>
      </c>
      <c r="C134" s="696"/>
      <c r="D134" s="696"/>
      <c r="E134" s="696"/>
      <c r="F134" s="696"/>
      <c r="G134" s="696"/>
      <c r="H134" s="696"/>
      <c r="I134" s="696"/>
      <c r="J134" s="599"/>
      <c r="K134" s="599"/>
      <c r="L134" s="599"/>
      <c r="M134" s="599"/>
      <c r="N134" s="696"/>
      <c r="O134" s="599"/>
      <c r="P134" s="599"/>
      <c r="Q134" s="599"/>
      <c r="R134" s="599"/>
      <c r="S134" s="696"/>
      <c r="T134" s="599"/>
      <c r="U134" s="599"/>
      <c r="V134" s="599"/>
      <c r="W134" s="599"/>
      <c r="X134" s="696"/>
      <c r="Y134" s="599"/>
      <c r="Z134" s="599"/>
      <c r="AA134" s="599"/>
      <c r="AB134" s="599"/>
      <c r="AC134" s="696"/>
      <c r="AD134" s="599"/>
      <c r="AE134" s="599"/>
      <c r="AF134" s="599"/>
      <c r="AG134" s="599"/>
      <c r="AH134" s="696"/>
      <c r="AI134" s="599"/>
      <c r="AJ134" s="599"/>
      <c r="AK134" s="599"/>
      <c r="AL134" s="599"/>
      <c r="AM134" s="696"/>
      <c r="AN134" s="599"/>
      <c r="AO134" s="599"/>
      <c r="AP134" s="599"/>
      <c r="AQ134" s="599"/>
      <c r="AR134" s="696"/>
      <c r="AS134" s="599"/>
      <c r="AT134" s="599"/>
      <c r="AU134" s="599"/>
      <c r="AV134" s="599"/>
      <c r="AW134" s="696"/>
      <c r="AX134" s="599"/>
      <c r="AY134" s="599"/>
      <c r="AZ134" s="599"/>
      <c r="BA134" s="599"/>
      <c r="BB134" s="696"/>
      <c r="BC134" s="599"/>
      <c r="BD134" s="599"/>
      <c r="BE134" s="599"/>
      <c r="BF134" s="599"/>
      <c r="BG134" s="696">
        <f t="shared" ref="BG134:CL134" si="210">BG111/SUM(BG$106,BG$111)</f>
        <v>0.31052478979414322</v>
      </c>
      <c r="BH134" s="599">
        <f t="shared" si="210"/>
        <v>0.27740492170022374</v>
      </c>
      <c r="BI134" s="599">
        <f t="shared" si="210"/>
        <v>0.28587075575027382</v>
      </c>
      <c r="BJ134" s="599">
        <f t="shared" si="210"/>
        <v>0.32417582417582419</v>
      </c>
      <c r="BK134" s="599">
        <f t="shared" si="210"/>
        <v>0.28633405639913234</v>
      </c>
      <c r="BL134" s="696">
        <f t="shared" si="210"/>
        <v>0.29348722176422093</v>
      </c>
      <c r="BM134" s="599">
        <f t="shared" si="210"/>
        <v>0.20660146699266504</v>
      </c>
      <c r="BN134" s="599">
        <f t="shared" si="210"/>
        <v>0.20256111757857975</v>
      </c>
      <c r="BO134" s="599">
        <f t="shared" si="210"/>
        <v>0.20546163849154747</v>
      </c>
      <c r="BP134" s="599">
        <f t="shared" si="210"/>
        <v>0.29185022026431717</v>
      </c>
      <c r="BQ134" s="696">
        <f t="shared" si="210"/>
        <v>0.22838401908169351</v>
      </c>
      <c r="BR134" s="599">
        <f t="shared" si="210"/>
        <v>0.18236714975845411</v>
      </c>
      <c r="BS134" s="599">
        <f t="shared" si="210"/>
        <v>0.17257142857142857</v>
      </c>
      <c r="BT134" s="599">
        <f t="shared" si="210"/>
        <v>0.13262599469496023</v>
      </c>
      <c r="BU134" s="599">
        <f t="shared" si="210"/>
        <v>0.19628339140534262</v>
      </c>
      <c r="BV134" s="696">
        <f t="shared" si="210"/>
        <v>0.17209162145871007</v>
      </c>
      <c r="BW134" s="599">
        <f t="shared" si="210"/>
        <v>0.1606425702811245</v>
      </c>
      <c r="BX134" s="599">
        <f t="shared" si="210"/>
        <v>0.1793193717277487</v>
      </c>
      <c r="BY134" s="599">
        <f t="shared" si="210"/>
        <v>0.18447837150127228</v>
      </c>
      <c r="BZ134" s="599">
        <f t="shared" si="210"/>
        <v>0.22631578947368422</v>
      </c>
      <c r="CA134" s="696">
        <f t="shared" si="210"/>
        <v>0.19002155836156451</v>
      </c>
      <c r="CB134" s="599">
        <f t="shared" si="210"/>
        <v>0.17490494296577946</v>
      </c>
      <c r="CC134" s="599">
        <f t="shared" si="210"/>
        <v>0.22641509433962265</v>
      </c>
      <c r="CD134" s="599">
        <f t="shared" si="210"/>
        <v>0.18306636155606407</v>
      </c>
      <c r="CE134" s="599">
        <f t="shared" si="210"/>
        <v>0.1839572192513369</v>
      </c>
      <c r="CF134" s="696">
        <f t="shared" si="210"/>
        <v>0.19262646470420119</v>
      </c>
      <c r="CG134" s="599">
        <f t="shared" si="210"/>
        <v>0.17653508771929824</v>
      </c>
      <c r="CH134" s="599">
        <f t="shared" si="210"/>
        <v>0.1651270207852194</v>
      </c>
      <c r="CI134" s="599">
        <f t="shared" si="210"/>
        <v>0.20666666666666667</v>
      </c>
      <c r="CJ134" s="599">
        <f t="shared" si="210"/>
        <v>0.25166297117516628</v>
      </c>
      <c r="CK134" s="696">
        <f t="shared" si="210"/>
        <v>0.20027932960893854</v>
      </c>
      <c r="CL134" s="599">
        <f t="shared" si="210"/>
        <v>0.21597633136094674</v>
      </c>
      <c r="CM134" s="599">
        <f t="shared" ref="CM134:DG134" si="211">CM111/SUM(CM$106,CM$111)</f>
        <v>0.36042402826855124</v>
      </c>
      <c r="CN134" s="599">
        <f t="shared" si="211"/>
        <v>0.21485943775100402</v>
      </c>
      <c r="CO134" s="599">
        <f t="shared" si="211"/>
        <v>0.34087481146304677</v>
      </c>
      <c r="CP134" s="696">
        <f t="shared" si="211"/>
        <v>0.28422804827299208</v>
      </c>
      <c r="CQ134" s="599">
        <f t="shared" si="211"/>
        <v>0.21098901098901099</v>
      </c>
      <c r="CR134" s="599">
        <f t="shared" si="211"/>
        <v>0.28810408921933084</v>
      </c>
      <c r="CS134" s="599">
        <f t="shared" si="211"/>
        <v>0.29001883239171372</v>
      </c>
      <c r="CT134" s="599">
        <f t="shared" si="211"/>
        <v>0.2868217054263566</v>
      </c>
      <c r="CU134" s="696">
        <f t="shared" si="211"/>
        <v>0.271078431372549</v>
      </c>
      <c r="CV134" s="599">
        <f t="shared" si="211"/>
        <v>0.34914611005692597</v>
      </c>
      <c r="CW134" s="599">
        <f t="shared" si="211"/>
        <v>0.26954732510288065</v>
      </c>
      <c r="CX134" s="599">
        <f t="shared" si="211"/>
        <v>0.23593749999999999</v>
      </c>
      <c r="CY134" s="599">
        <f t="shared" si="211"/>
        <v>0.25856697819314639</v>
      </c>
      <c r="CZ134" s="696">
        <f t="shared" si="211"/>
        <v>0.27538126361655774</v>
      </c>
      <c r="DA134" s="599">
        <f t="shared" si="211"/>
        <v>0.14260249554367202</v>
      </c>
      <c r="DB134" s="599">
        <f t="shared" si="211"/>
        <v>0.29571984435797666</v>
      </c>
      <c r="DC134" s="599">
        <f t="shared" si="211"/>
        <v>0.15447154471544716</v>
      </c>
      <c r="DD134" s="599">
        <f t="shared" si="211"/>
        <v>0.22368421052631579</v>
      </c>
      <c r="DE134" s="696">
        <f t="shared" si="211"/>
        <v>0.21132649182820221</v>
      </c>
      <c r="DF134" s="599">
        <f t="shared" si="211"/>
        <v>0.20358306188925082</v>
      </c>
      <c r="DG134" s="599">
        <f t="shared" si="211"/>
        <v>0.17791411042944785</v>
      </c>
      <c r="DH134" s="599">
        <f t="shared" ref="DH134:DK134" si="212">DH111/SUM(DH$106,DH$111)</f>
        <v>0.15798319327731092</v>
      </c>
      <c r="DI134" s="599">
        <f t="shared" si="212"/>
        <v>0.26173541963015645</v>
      </c>
      <c r="DJ134" s="696">
        <f t="shared" si="212"/>
        <v>0.20408163265306123</v>
      </c>
      <c r="DK134" s="599">
        <f t="shared" si="212"/>
        <v>0.22782608695652173</v>
      </c>
      <c r="DL134" s="599">
        <f t="shared" ref="DL134" si="213">DL111/SUM(DL$106,DL$111)</f>
        <v>0.22503516174402249</v>
      </c>
      <c r="DM134" s="599"/>
      <c r="DN134" s="599"/>
      <c r="DO134" s="696"/>
      <c r="DP134" s="599"/>
      <c r="DQ134" s="599"/>
      <c r="DR134" s="599"/>
      <c r="DS134" s="599"/>
      <c r="DT134" s="696"/>
      <c r="DU134" s="696"/>
      <c r="DV134" s="696"/>
    </row>
    <row r="135" spans="2:126" s="567" customFormat="1" ht="12.9" customHeight="1">
      <c r="B135" s="532"/>
      <c r="C135" s="669"/>
      <c r="D135" s="669"/>
      <c r="E135" s="669"/>
      <c r="F135" s="669"/>
      <c r="G135" s="669"/>
      <c r="H135" s="669"/>
      <c r="I135" s="669"/>
      <c r="J135" s="547"/>
      <c r="K135" s="547"/>
      <c r="L135" s="547"/>
      <c r="M135" s="547"/>
      <c r="N135" s="669"/>
      <c r="O135" s="547"/>
      <c r="P135" s="547"/>
      <c r="Q135" s="547"/>
      <c r="R135" s="547"/>
      <c r="S135" s="669"/>
      <c r="T135" s="547"/>
      <c r="U135" s="547"/>
      <c r="V135" s="547"/>
      <c r="W135" s="547"/>
      <c r="X135" s="669"/>
      <c r="Y135" s="547"/>
      <c r="Z135" s="547"/>
      <c r="AA135" s="547"/>
      <c r="AB135" s="547"/>
      <c r="AC135" s="669"/>
      <c r="AD135" s="547"/>
      <c r="AE135" s="547"/>
      <c r="AF135" s="547"/>
      <c r="AG135" s="547"/>
      <c r="AH135" s="669"/>
      <c r="AI135" s="547"/>
      <c r="AJ135" s="547"/>
      <c r="AK135" s="547"/>
      <c r="AL135" s="547"/>
      <c r="AM135" s="669"/>
      <c r="AN135" s="547"/>
      <c r="AO135" s="547"/>
      <c r="AP135" s="547"/>
      <c r="AQ135" s="547"/>
      <c r="AR135" s="669"/>
      <c r="AS135" s="547"/>
      <c r="AT135" s="547"/>
      <c r="AU135" s="547"/>
      <c r="AV135" s="547"/>
      <c r="AW135" s="669"/>
      <c r="AX135" s="547"/>
      <c r="AY135" s="547"/>
      <c r="AZ135" s="547"/>
      <c r="BA135" s="547"/>
      <c r="BB135" s="669"/>
      <c r="BC135" s="547"/>
      <c r="BD135" s="547"/>
      <c r="BE135" s="547"/>
      <c r="BF135" s="547"/>
      <c r="BG135" s="669"/>
      <c r="BH135" s="547"/>
      <c r="BI135" s="547"/>
      <c r="BJ135" s="547"/>
      <c r="BK135" s="547"/>
      <c r="BL135" s="669"/>
      <c r="BM135" s="547"/>
      <c r="BN135" s="547"/>
      <c r="BO135" s="547"/>
      <c r="BP135" s="547"/>
      <c r="BQ135" s="669"/>
      <c r="BR135" s="670"/>
      <c r="BS135" s="670"/>
      <c r="BT135" s="547"/>
      <c r="BU135" s="547"/>
      <c r="BV135" s="669"/>
      <c r="BW135" s="547"/>
      <c r="BX135" s="547"/>
      <c r="BY135" s="547"/>
      <c r="BZ135" s="547"/>
      <c r="CA135" s="669"/>
      <c r="CB135" s="547"/>
      <c r="CC135" s="547"/>
      <c r="CD135" s="547"/>
      <c r="CE135" s="547"/>
      <c r="CF135" s="669"/>
      <c r="CG135" s="547"/>
      <c r="CH135" s="547"/>
      <c r="CI135" s="547"/>
      <c r="CJ135" s="547"/>
      <c r="CK135" s="669"/>
      <c r="CL135" s="547"/>
      <c r="CM135" s="547"/>
      <c r="CN135" s="547"/>
      <c r="CO135" s="547"/>
      <c r="CP135" s="669"/>
      <c r="CQ135" s="547"/>
      <c r="CR135" s="547"/>
      <c r="CS135" s="547"/>
      <c r="CT135" s="547"/>
      <c r="CU135" s="669"/>
      <c r="CV135" s="547"/>
      <c r="CW135" s="547"/>
      <c r="CX135" s="547"/>
      <c r="CY135" s="547"/>
      <c r="CZ135" s="669"/>
      <c r="DA135" s="547"/>
      <c r="DB135" s="547"/>
      <c r="DC135" s="547"/>
      <c r="DD135" s="547"/>
      <c r="DE135" s="669"/>
      <c r="DF135" s="547"/>
      <c r="DG135" s="547"/>
      <c r="DH135" s="547"/>
      <c r="DI135" s="547"/>
      <c r="DJ135" s="669"/>
      <c r="DK135" s="547"/>
      <c r="DL135" s="547"/>
      <c r="DM135" s="547"/>
      <c r="DN135" s="547"/>
      <c r="DO135" s="669"/>
      <c r="DP135" s="547"/>
      <c r="DQ135" s="547"/>
      <c r="DR135" s="547"/>
      <c r="DS135" s="547"/>
      <c r="DT135" s="669"/>
      <c r="DU135" s="669"/>
      <c r="DV135" s="669"/>
    </row>
    <row r="136" spans="2:126" s="594" customFormat="1" ht="12.9" customHeight="1">
      <c r="B136" s="660" t="s">
        <v>429</v>
      </c>
      <c r="C136" s="789"/>
      <c r="D136" s="789"/>
      <c r="E136" s="789"/>
      <c r="F136" s="789"/>
      <c r="G136" s="789"/>
      <c r="H136" s="789"/>
      <c r="I136" s="789"/>
      <c r="J136" s="790"/>
      <c r="K136" s="790"/>
      <c r="L136" s="790"/>
      <c r="M136" s="790"/>
      <c r="N136" s="789"/>
      <c r="O136" s="790"/>
      <c r="P136" s="790"/>
      <c r="Q136" s="790"/>
      <c r="R136" s="790"/>
      <c r="S136" s="789"/>
      <c r="T136" s="790"/>
      <c r="U136" s="790"/>
      <c r="V136" s="790"/>
      <c r="W136" s="790"/>
      <c r="X136" s="789"/>
      <c r="Y136" s="790"/>
      <c r="Z136" s="790"/>
      <c r="AA136" s="790"/>
      <c r="AB136" s="790"/>
      <c r="AC136" s="789"/>
      <c r="AD136" s="790"/>
      <c r="AE136" s="790"/>
      <c r="AF136" s="790"/>
      <c r="AG136" s="790"/>
      <c r="AH136" s="789"/>
      <c r="AI136" s="790"/>
      <c r="AJ136" s="790"/>
      <c r="AK136" s="790"/>
      <c r="AL136" s="790"/>
      <c r="AM136" s="789"/>
      <c r="AN136" s="790"/>
      <c r="AO136" s="790"/>
      <c r="AP136" s="790"/>
      <c r="AQ136" s="790"/>
      <c r="AR136" s="789"/>
      <c r="AS136" s="790"/>
      <c r="AT136" s="790"/>
      <c r="AU136" s="790"/>
      <c r="AV136" s="790"/>
      <c r="AW136" s="789"/>
      <c r="AX136" s="790"/>
      <c r="AY136" s="790"/>
      <c r="AZ136" s="790"/>
      <c r="BA136" s="790"/>
      <c r="BB136" s="789"/>
      <c r="BC136" s="790"/>
      <c r="BD136" s="790"/>
      <c r="BE136" s="790"/>
      <c r="BF136" s="790"/>
      <c r="BG136" s="789"/>
      <c r="BH136" s="790"/>
      <c r="BI136" s="790"/>
      <c r="BJ136" s="790"/>
      <c r="BK136" s="790"/>
      <c r="BL136" s="789"/>
      <c r="BM136" s="790"/>
      <c r="BN136" s="790"/>
      <c r="BO136" s="790"/>
      <c r="BP136" s="790"/>
      <c r="BQ136" s="789"/>
      <c r="BR136" s="790"/>
      <c r="BS136" s="790"/>
      <c r="BT136" s="790"/>
      <c r="BU136" s="790"/>
      <c r="BV136" s="789"/>
      <c r="BW136" s="790"/>
      <c r="BX136" s="790"/>
      <c r="BY136" s="790"/>
      <c r="BZ136" s="790"/>
      <c r="CA136" s="789"/>
      <c r="CB136" s="790"/>
      <c r="CC136" s="790"/>
      <c r="CD136" s="790"/>
      <c r="CE136" s="790"/>
      <c r="CF136" s="789"/>
      <c r="CG136" s="791"/>
      <c r="CH136" s="790"/>
      <c r="CI136" s="790"/>
      <c r="CJ136" s="790"/>
      <c r="CK136" s="789"/>
      <c r="CL136" s="791"/>
      <c r="CM136" s="790"/>
      <c r="CN136" s="790"/>
      <c r="CO136" s="790"/>
      <c r="CP136" s="789"/>
      <c r="CQ136" s="790"/>
      <c r="CR136" s="790"/>
      <c r="CS136" s="790"/>
      <c r="CT136" s="790"/>
      <c r="CU136" s="789"/>
      <c r="CV136" s="790"/>
      <c r="CW136" s="790"/>
      <c r="CX136" s="790"/>
      <c r="CY136" s="790"/>
      <c r="CZ136" s="789"/>
      <c r="DA136" s="790"/>
      <c r="DB136" s="790"/>
      <c r="DC136" s="790"/>
      <c r="DD136" s="790"/>
      <c r="DE136" s="789"/>
      <c r="DF136" s="790"/>
      <c r="DG136" s="790"/>
      <c r="DH136" s="790"/>
      <c r="DI136" s="790"/>
      <c r="DJ136" s="789"/>
      <c r="DK136" s="790"/>
      <c r="DL136" s="790"/>
      <c r="DM136" s="790"/>
      <c r="DN136" s="790"/>
      <c r="DO136" s="789"/>
      <c r="DP136" s="790"/>
      <c r="DQ136" s="790"/>
      <c r="DR136" s="790"/>
      <c r="DS136" s="790"/>
      <c r="DT136" s="789"/>
      <c r="DU136" s="789"/>
      <c r="DV136" s="789"/>
    </row>
    <row r="137" spans="2:126" s="694" customFormat="1" ht="12.9" customHeight="1">
      <c r="B137" s="746" t="s">
        <v>402</v>
      </c>
      <c r="C137" s="747"/>
      <c r="D137" s="747"/>
      <c r="E137" s="747"/>
      <c r="F137" s="747"/>
      <c r="G137" s="747"/>
      <c r="H137" s="747"/>
      <c r="I137" s="747"/>
      <c r="J137" s="748"/>
      <c r="K137" s="748"/>
      <c r="L137" s="748"/>
      <c r="M137" s="748"/>
      <c r="N137" s="747"/>
      <c r="O137" s="748"/>
      <c r="P137" s="748"/>
      <c r="Q137" s="748"/>
      <c r="R137" s="748"/>
      <c r="S137" s="747"/>
      <c r="T137" s="748"/>
      <c r="U137" s="748"/>
      <c r="V137" s="748"/>
      <c r="W137" s="748"/>
      <c r="X137" s="747"/>
      <c r="Y137" s="748"/>
      <c r="Z137" s="748"/>
      <c r="AA137" s="748"/>
      <c r="AB137" s="748"/>
      <c r="AC137" s="747"/>
      <c r="AD137" s="748"/>
      <c r="AE137" s="748"/>
      <c r="AF137" s="748"/>
      <c r="AG137" s="748"/>
      <c r="AH137" s="747"/>
      <c r="AI137" s="748"/>
      <c r="AJ137" s="748"/>
      <c r="AK137" s="748"/>
      <c r="AL137" s="748"/>
      <c r="AM137" s="747"/>
      <c r="AN137" s="748"/>
      <c r="AO137" s="748"/>
      <c r="AP137" s="748"/>
      <c r="AQ137" s="748"/>
      <c r="AR137" s="747"/>
      <c r="AS137" s="748"/>
      <c r="AT137" s="748"/>
      <c r="AU137" s="748"/>
      <c r="AV137" s="748"/>
      <c r="AW137" s="747"/>
      <c r="AX137" s="748"/>
      <c r="AY137" s="748"/>
      <c r="AZ137" s="748"/>
      <c r="BA137" s="748"/>
      <c r="BB137" s="747"/>
      <c r="BC137" s="748"/>
      <c r="BD137" s="748"/>
      <c r="BE137" s="748"/>
      <c r="BF137" s="748"/>
      <c r="BG137" s="747">
        <f t="shared" ref="BG137:BJ138" si="214">BG142*BG$139</f>
        <v>11.174610000000001</v>
      </c>
      <c r="BH137" s="748">
        <f t="shared" si="214"/>
        <v>2.8889999999999998</v>
      </c>
      <c r="BI137" s="748">
        <f t="shared" si="214"/>
        <v>3.1667999999999998</v>
      </c>
      <c r="BJ137" s="748">
        <f t="shared" si="214"/>
        <v>2.9629600000000003</v>
      </c>
      <c r="BK137" s="748">
        <f>BL137-SUM(BH137:BJ137)</f>
        <v>3.4560399999999998</v>
      </c>
      <c r="BL137" s="747">
        <f t="shared" ref="BL137:BO138" si="215">BL142*BL$139</f>
        <v>12.4748</v>
      </c>
      <c r="BM137" s="748">
        <f t="shared" si="215"/>
        <v>2.6667800000000002</v>
      </c>
      <c r="BN137" s="748">
        <f t="shared" si="215"/>
        <v>3.1259999999999999</v>
      </c>
      <c r="BO137" s="748">
        <f t="shared" si="215"/>
        <v>2.7604600000000001</v>
      </c>
      <c r="BP137" s="748">
        <f>BQ137-SUM(BM137:BO137)</f>
        <v>3.2840399999999992</v>
      </c>
      <c r="BQ137" s="747">
        <f t="shared" ref="BQ137:BT138" si="216">BQ142*BQ$139</f>
        <v>11.83728</v>
      </c>
      <c r="BR137" s="748">
        <f t="shared" si="216"/>
        <v>2.7552799999999995</v>
      </c>
      <c r="BS137" s="748">
        <f t="shared" si="216"/>
        <v>2.9299499999999998</v>
      </c>
      <c r="BT137" s="748">
        <f t="shared" si="216"/>
        <v>2.7090000000000001</v>
      </c>
      <c r="BU137" s="748">
        <f>BV137-SUM(BR137:BT137)</f>
        <v>3.1601700000000026</v>
      </c>
      <c r="BV137" s="747">
        <f>BV142*BV$139</f>
        <v>11.554400000000001</v>
      </c>
      <c r="BW137" s="748">
        <v>2.6</v>
      </c>
      <c r="BX137" s="748">
        <v>2.4</v>
      </c>
      <c r="BY137" s="748">
        <v>2.4</v>
      </c>
      <c r="BZ137" s="748">
        <f>CA137-SUM(BW137:BY137)</f>
        <v>2.7999999999999989</v>
      </c>
      <c r="CA137" s="747">
        <v>10.199999999999999</v>
      </c>
      <c r="CB137" s="748">
        <v>2.5</v>
      </c>
      <c r="CC137" s="748">
        <v>2.9</v>
      </c>
      <c r="CD137" s="748">
        <v>2.8</v>
      </c>
      <c r="CE137" s="748">
        <v>3.3</v>
      </c>
      <c r="CF137" s="747">
        <f>SUM(CB137:CE137)</f>
        <v>11.5</v>
      </c>
      <c r="CG137" s="748">
        <v>3.1</v>
      </c>
      <c r="CH137" s="748">
        <v>3</v>
      </c>
      <c r="CI137" s="748">
        <v>3.149</v>
      </c>
      <c r="CJ137" s="748">
        <v>3.5</v>
      </c>
      <c r="CK137" s="747">
        <f>SUM(CG137:CJ137)</f>
        <v>12.748999999999999</v>
      </c>
      <c r="CL137" s="829">
        <v>2.3639999999999999</v>
      </c>
      <c r="CM137" s="829">
        <v>1.9379999999999999</v>
      </c>
      <c r="CN137" s="829">
        <v>1.9330000000000001</v>
      </c>
      <c r="CO137" s="829">
        <v>2.3479999999999999</v>
      </c>
      <c r="CP137" s="747">
        <f>SUM(CL137:CO137)</f>
        <v>8.5829999999999984</v>
      </c>
      <c r="CQ137" s="829">
        <v>1.847</v>
      </c>
      <c r="CR137" s="829">
        <v>1.865</v>
      </c>
      <c r="CS137" s="829">
        <v>1.837</v>
      </c>
      <c r="CT137" s="829">
        <v>1.982</v>
      </c>
      <c r="CU137" s="747">
        <f>SUM(CQ137:CT137)</f>
        <v>7.5309999999999997</v>
      </c>
      <c r="CV137" s="829">
        <v>1.6539999999999999</v>
      </c>
      <c r="CW137" s="829">
        <v>1.7569999999999999</v>
      </c>
      <c r="CX137" s="829">
        <v>1.968</v>
      </c>
      <c r="CY137" s="829">
        <v>2.4630000000000001</v>
      </c>
      <c r="CZ137" s="747">
        <f>SUM(CV137:CY137)</f>
        <v>7.8419999999999996</v>
      </c>
      <c r="DA137" s="829">
        <v>1.9739999999999998</v>
      </c>
      <c r="DB137" s="829">
        <v>2.5329999999999999</v>
      </c>
      <c r="DC137" s="829">
        <v>2.2989999999999999</v>
      </c>
      <c r="DD137" s="829">
        <v>2.5139999999999998</v>
      </c>
      <c r="DE137" s="747">
        <f>SUM(DA137:DD137)</f>
        <v>9.3199999999999985</v>
      </c>
      <c r="DF137" s="829">
        <v>2.4209999999999998</v>
      </c>
      <c r="DG137" s="829">
        <f>data!DG7/1000</f>
        <v>2.1749999999999998</v>
      </c>
      <c r="DH137" s="829">
        <f>data!DH7/1000</f>
        <v>2.448</v>
      </c>
      <c r="DI137" s="829">
        <f>data!DI7/1000</f>
        <v>3.23</v>
      </c>
      <c r="DJ137" s="747">
        <f>SUM(DF137:DI137)</f>
        <v>10.274000000000001</v>
      </c>
      <c r="DK137" s="749">
        <f>data!DK7/1000</f>
        <v>2.653</v>
      </c>
      <c r="DL137" s="749">
        <f>data!DL7/1000</f>
        <v>2.8420000000000001</v>
      </c>
      <c r="DM137" s="749">
        <f t="shared" ref="DM137:DN137" si="217">DM139*DM142</f>
        <v>2.7553645622274408</v>
      </c>
      <c r="DN137" s="749">
        <f t="shared" si="217"/>
        <v>3.4675303876910619</v>
      </c>
      <c r="DO137" s="747">
        <f>SUM(DK137:DN137)</f>
        <v>11.717894949918502</v>
      </c>
      <c r="DP137" s="749">
        <f>data!DP7/1000</f>
        <v>0</v>
      </c>
      <c r="DQ137" s="749">
        <f t="shared" ref="DQ137:DS137" si="218">DQ139*DQ142</f>
        <v>3.2126134863560241</v>
      </c>
      <c r="DR137" s="749">
        <f t="shared" si="218"/>
        <v>3.109688295739685</v>
      </c>
      <c r="DS137" s="749">
        <f t="shared" si="218"/>
        <v>4.0039870148436076</v>
      </c>
      <c r="DT137" s="747">
        <f>SUM(DP137:DS137)</f>
        <v>10.326288796939316</v>
      </c>
      <c r="DU137" s="747">
        <f t="shared" ref="DU137" si="219">DU139*DU142</f>
        <v>14.392874565461163</v>
      </c>
      <c r="DV137" s="747">
        <f t="shared" ref="DV137" si="220">DV139*DV142</f>
        <v>15.385029600624241</v>
      </c>
    </row>
    <row r="138" spans="2:126" s="748" customFormat="1" ht="12.9" customHeight="1">
      <c r="B138" s="750" t="s">
        <v>24</v>
      </c>
      <c r="C138" s="751"/>
      <c r="D138" s="751"/>
      <c r="E138" s="751"/>
      <c r="F138" s="751"/>
      <c r="G138" s="751"/>
      <c r="H138" s="751"/>
      <c r="I138" s="751"/>
      <c r="J138" s="752"/>
      <c r="K138" s="752"/>
      <c r="L138" s="752"/>
      <c r="M138" s="752"/>
      <c r="N138" s="751"/>
      <c r="O138" s="752"/>
      <c r="P138" s="752"/>
      <c r="Q138" s="752"/>
      <c r="R138" s="752"/>
      <c r="S138" s="751"/>
      <c r="T138" s="752"/>
      <c r="U138" s="752"/>
      <c r="V138" s="752"/>
      <c r="W138" s="752"/>
      <c r="X138" s="751"/>
      <c r="Y138" s="752"/>
      <c r="Z138" s="752"/>
      <c r="AA138" s="752"/>
      <c r="AB138" s="752"/>
      <c r="AC138" s="751"/>
      <c r="AD138" s="752"/>
      <c r="AE138" s="752"/>
      <c r="AF138" s="752"/>
      <c r="AG138" s="752"/>
      <c r="AH138" s="751"/>
      <c r="AI138" s="752"/>
      <c r="AJ138" s="752"/>
      <c r="AK138" s="752"/>
      <c r="AL138" s="752"/>
      <c r="AM138" s="751"/>
      <c r="AN138" s="752"/>
      <c r="AO138" s="752"/>
      <c r="AP138" s="752"/>
      <c r="AQ138" s="752"/>
      <c r="AR138" s="751"/>
      <c r="AS138" s="752"/>
      <c r="AT138" s="752"/>
      <c r="AU138" s="752"/>
      <c r="AV138" s="752"/>
      <c r="AW138" s="751"/>
      <c r="AX138" s="752"/>
      <c r="AY138" s="752"/>
      <c r="AZ138" s="752"/>
      <c r="BA138" s="752"/>
      <c r="BB138" s="751"/>
      <c r="BC138" s="752"/>
      <c r="BD138" s="752"/>
      <c r="BE138" s="752"/>
      <c r="BF138" s="752"/>
      <c r="BG138" s="751">
        <f t="shared" si="214"/>
        <v>10.73639</v>
      </c>
      <c r="BH138" s="752">
        <f t="shared" si="214"/>
        <v>2.8889999999999998</v>
      </c>
      <c r="BI138" s="752">
        <f t="shared" si="214"/>
        <v>2.9232</v>
      </c>
      <c r="BJ138" s="752">
        <f t="shared" si="214"/>
        <v>2.7350400000000001</v>
      </c>
      <c r="BK138" s="753">
        <f>BL138-SUM(BH138:BJ138)</f>
        <v>2.9679599999999979</v>
      </c>
      <c r="BL138" s="751">
        <f t="shared" si="215"/>
        <v>11.515199999999998</v>
      </c>
      <c r="BM138" s="752">
        <f t="shared" si="215"/>
        <v>3.0072200000000002</v>
      </c>
      <c r="BN138" s="752">
        <f t="shared" si="215"/>
        <v>3.1259999999999999</v>
      </c>
      <c r="BO138" s="752">
        <f t="shared" si="215"/>
        <v>3.2405400000000002</v>
      </c>
      <c r="BP138" s="753">
        <f>BQ138-SUM(BM138:BO138)</f>
        <v>3.4499600000000008</v>
      </c>
      <c r="BQ138" s="751">
        <f t="shared" si="216"/>
        <v>12.823720000000002</v>
      </c>
      <c r="BR138" s="752">
        <f t="shared" si="216"/>
        <v>3.5067200000000001</v>
      </c>
      <c r="BS138" s="752">
        <f t="shared" si="216"/>
        <v>3.5810500000000003</v>
      </c>
      <c r="BT138" s="752">
        <f t="shared" si="216"/>
        <v>3.5909999999999997</v>
      </c>
      <c r="BU138" s="753">
        <f>BV138-SUM(BR138:BT138)</f>
        <v>4.0268300000000021</v>
      </c>
      <c r="BV138" s="751">
        <f>BV143*BV$139</f>
        <v>14.705600000000002</v>
      </c>
      <c r="BW138" s="752">
        <v>4.0999999999999996</v>
      </c>
      <c r="BX138" s="752">
        <f>BX139-BX137</f>
        <v>4.234</v>
      </c>
      <c r="BY138" s="752">
        <v>4.3</v>
      </c>
      <c r="BZ138" s="753">
        <f>CA138-SUM(BW138:BY138)</f>
        <v>4.1660000000000004</v>
      </c>
      <c r="CA138" s="751">
        <v>16.8</v>
      </c>
      <c r="CB138" s="752">
        <f>CB139-CB137</f>
        <v>4.6120000000000001</v>
      </c>
      <c r="CC138" s="752">
        <f>CC139-CC137</f>
        <v>4.6189999999999998</v>
      </c>
      <c r="CD138" s="752">
        <f>CD139-CD137</f>
        <v>4.6800000000000006</v>
      </c>
      <c r="CE138" s="752">
        <f>CE139-CE137</f>
        <v>5.1559999999999997</v>
      </c>
      <c r="CF138" s="751">
        <f>SUM(CB138:CE138)</f>
        <v>19.067</v>
      </c>
      <c r="CG138" s="752">
        <f>CG139-CG137</f>
        <v>4.8539999999999992</v>
      </c>
      <c r="CH138" s="752">
        <f>CH139-CH137</f>
        <v>4.8769999999999998</v>
      </c>
      <c r="CI138" s="752">
        <f>CI139-CI137</f>
        <v>4.96</v>
      </c>
      <c r="CJ138" s="752">
        <f>CJ139-CJ137</f>
        <v>5.4359999999999999</v>
      </c>
      <c r="CK138" s="751">
        <f>SUM(CG138:CJ138)</f>
        <v>20.126999999999999</v>
      </c>
      <c r="CL138" s="754">
        <f>CL139-CL137</f>
        <v>4.5280000000000005</v>
      </c>
      <c r="CM138" s="858">
        <v>2.4460000000000002</v>
      </c>
      <c r="CN138" s="858">
        <v>2.9870000000000001</v>
      </c>
      <c r="CO138" s="858">
        <v>3.4980000000000002</v>
      </c>
      <c r="CP138" s="751">
        <f>SUM(CL138:CO138)</f>
        <v>13.459</v>
      </c>
      <c r="CQ138" s="858">
        <f>CQ139-CQ137</f>
        <v>3.145</v>
      </c>
      <c r="CR138" s="858">
        <v>2.9740000000000002</v>
      </c>
      <c r="CS138" s="858">
        <v>3.5619999999999998</v>
      </c>
      <c r="CT138" s="858">
        <v>4.0990000000000002</v>
      </c>
      <c r="CU138" s="751">
        <f>SUM(CQ138:CT138)</f>
        <v>13.78</v>
      </c>
      <c r="CV138" s="858">
        <v>3.9489999999999998</v>
      </c>
      <c r="CW138" s="858">
        <v>4.37</v>
      </c>
      <c r="CX138" s="858">
        <v>4.7359999999999998</v>
      </c>
      <c r="CY138" s="858">
        <v>5.152000000000001</v>
      </c>
      <c r="CZ138" s="751">
        <f>SUM(CV138:CY138)</f>
        <v>18.207000000000001</v>
      </c>
      <c r="DA138" s="858">
        <v>5.0069999999999997</v>
      </c>
      <c r="DB138" s="858">
        <v>5.327</v>
      </c>
      <c r="DC138" s="858">
        <v>6.1109999999999998</v>
      </c>
      <c r="DD138" s="858">
        <v>6.0060000000000002</v>
      </c>
      <c r="DE138" s="751">
        <f>SUM(DA138:DD138)</f>
        <v>22.451000000000001</v>
      </c>
      <c r="DF138" s="858">
        <v>5.6429999999999998</v>
      </c>
      <c r="DG138" s="858">
        <f>data!DG8/1000</f>
        <v>6.0469999999999997</v>
      </c>
      <c r="DH138" s="858">
        <f>data!DH8/1000</f>
        <v>6.4950000000000001</v>
      </c>
      <c r="DI138" s="858">
        <f>data!DI8/1000</f>
        <v>6.649</v>
      </c>
      <c r="DJ138" s="751">
        <f>SUM(DF138:DI138)</f>
        <v>24.834</v>
      </c>
      <c r="DK138" s="754">
        <f>data!DK8/1000</f>
        <v>6.3470000000000004</v>
      </c>
      <c r="DL138" s="754">
        <f>data!DL8/1000</f>
        <v>7.3079999999999998</v>
      </c>
      <c r="DM138" s="754">
        <f t="shared" ref="DM138" si="221">DM139*DM143</f>
        <v>7.3104954377725599</v>
      </c>
      <c r="DN138" s="754">
        <f t="shared" ref="DN138:DV138" si="222">DN139*DN143</f>
        <v>7.1379596123089373</v>
      </c>
      <c r="DO138" s="751">
        <f>SUM(DK138:DN138)</f>
        <v>28.103455050081497</v>
      </c>
      <c r="DP138" s="754">
        <f>data!DP8/1000</f>
        <v>0</v>
      </c>
      <c r="DQ138" s="754">
        <f t="shared" ref="DQ138:DS138" si="223">DQ139*DQ143</f>
        <v>8.2621365136439753</v>
      </c>
      <c r="DR138" s="754">
        <f t="shared" si="223"/>
        <v>8.2505823042603161</v>
      </c>
      <c r="DS138" s="754">
        <f t="shared" si="223"/>
        <v>8.2422630531563907</v>
      </c>
      <c r="DT138" s="751">
        <f>SUM(DP138:DS138)</f>
        <v>24.754981871060686</v>
      </c>
      <c r="DU138" s="751">
        <f t="shared" si="222"/>
        <v>34.79001819726129</v>
      </c>
      <c r="DV138" s="751">
        <f t="shared" si="222"/>
        <v>37.188225141318121</v>
      </c>
    </row>
    <row r="139" spans="2:126" s="748" customFormat="1" ht="12.9" customHeight="1">
      <c r="B139" s="755" t="s">
        <v>430</v>
      </c>
      <c r="C139" s="756"/>
      <c r="D139" s="756"/>
      <c r="E139" s="756"/>
      <c r="F139" s="756"/>
      <c r="G139" s="756"/>
      <c r="H139" s="756"/>
      <c r="I139" s="756"/>
      <c r="J139" s="694"/>
      <c r="K139" s="694"/>
      <c r="L139" s="694"/>
      <c r="M139" s="694"/>
      <c r="N139" s="756"/>
      <c r="O139" s="694"/>
      <c r="P139" s="694"/>
      <c r="Q139" s="694"/>
      <c r="R139" s="694"/>
      <c r="S139" s="756"/>
      <c r="T139" s="694"/>
      <c r="U139" s="694"/>
      <c r="V139" s="694"/>
      <c r="W139" s="694"/>
      <c r="X139" s="756"/>
      <c r="Y139" s="694"/>
      <c r="Z139" s="694"/>
      <c r="AA139" s="694"/>
      <c r="AB139" s="694"/>
      <c r="AC139" s="756"/>
      <c r="AD139" s="694"/>
      <c r="AE139" s="694"/>
      <c r="AF139" s="694"/>
      <c r="AG139" s="694"/>
      <c r="AH139" s="756"/>
      <c r="AI139" s="694"/>
      <c r="AJ139" s="694"/>
      <c r="AK139" s="694"/>
      <c r="AL139" s="694"/>
      <c r="AM139" s="756"/>
      <c r="AN139" s="694"/>
      <c r="AO139" s="694"/>
      <c r="AP139" s="694"/>
      <c r="AQ139" s="694"/>
      <c r="AR139" s="756"/>
      <c r="AS139" s="694"/>
      <c r="AT139" s="694"/>
      <c r="AU139" s="694"/>
      <c r="AV139" s="694"/>
      <c r="AW139" s="756">
        <f t="shared" ref="AW139:CO139" si="224">AW$7/1000</f>
        <v>18.859000000000002</v>
      </c>
      <c r="AX139" s="694">
        <f t="shared" si="224"/>
        <v>4.891</v>
      </c>
      <c r="AY139" s="694">
        <f t="shared" si="224"/>
        <v>4.8550000000000004</v>
      </c>
      <c r="AZ139" s="694">
        <f t="shared" si="224"/>
        <v>4.7809999999999997</v>
      </c>
      <c r="BA139" s="694">
        <f t="shared" si="224"/>
        <v>5.4669999999999996</v>
      </c>
      <c r="BB139" s="756">
        <f t="shared" si="224"/>
        <v>19.994</v>
      </c>
      <c r="BC139" s="694">
        <f t="shared" si="224"/>
        <v>5.0739999999999998</v>
      </c>
      <c r="BD139" s="694">
        <f t="shared" si="224"/>
        <v>5.3029999999999999</v>
      </c>
      <c r="BE139" s="694">
        <f t="shared" si="224"/>
        <v>5.3639999999999999</v>
      </c>
      <c r="BF139" s="694">
        <f t="shared" si="224"/>
        <v>6.17</v>
      </c>
      <c r="BG139" s="756">
        <f t="shared" si="224"/>
        <v>21.911000000000001</v>
      </c>
      <c r="BH139" s="694">
        <f t="shared" si="224"/>
        <v>5.7779999999999996</v>
      </c>
      <c r="BI139" s="694">
        <f t="shared" si="224"/>
        <v>6.09</v>
      </c>
      <c r="BJ139" s="694">
        <f t="shared" si="224"/>
        <v>5.6980000000000004</v>
      </c>
      <c r="BK139" s="694">
        <f t="shared" si="224"/>
        <v>6.4240000000000004</v>
      </c>
      <c r="BL139" s="756">
        <f t="shared" si="224"/>
        <v>23.99</v>
      </c>
      <c r="BM139" s="694">
        <f t="shared" si="224"/>
        <v>5.6740000000000004</v>
      </c>
      <c r="BN139" s="694">
        <f t="shared" si="224"/>
        <v>6.2519999999999998</v>
      </c>
      <c r="BO139" s="694">
        <f t="shared" si="224"/>
        <v>6.0010000000000003</v>
      </c>
      <c r="BP139" s="694">
        <f t="shared" si="224"/>
        <v>6.734</v>
      </c>
      <c r="BQ139" s="756">
        <f t="shared" si="224"/>
        <v>24.661000000000001</v>
      </c>
      <c r="BR139" s="757">
        <f t="shared" si="224"/>
        <v>6.2619999999999996</v>
      </c>
      <c r="BS139" s="757">
        <f t="shared" si="224"/>
        <v>6.5110000000000001</v>
      </c>
      <c r="BT139" s="694">
        <f t="shared" si="224"/>
        <v>6.3</v>
      </c>
      <c r="BU139" s="694">
        <f t="shared" si="224"/>
        <v>7.1870000000000003</v>
      </c>
      <c r="BV139" s="756">
        <f t="shared" si="224"/>
        <v>26.26</v>
      </c>
      <c r="BW139" s="694">
        <f t="shared" si="224"/>
        <v>6.673</v>
      </c>
      <c r="BX139" s="694">
        <f t="shared" si="224"/>
        <v>6.6340000000000003</v>
      </c>
      <c r="BY139" s="694">
        <f t="shared" si="224"/>
        <v>6.6959999999999997</v>
      </c>
      <c r="BZ139" s="694">
        <f t="shared" si="224"/>
        <v>7.01</v>
      </c>
      <c r="CA139" s="756">
        <f t="shared" si="224"/>
        <v>27.013000000000002</v>
      </c>
      <c r="CB139" s="694">
        <f t="shared" si="224"/>
        <v>7.1120000000000001</v>
      </c>
      <c r="CC139" s="694">
        <f t="shared" si="224"/>
        <v>7.5190000000000001</v>
      </c>
      <c r="CD139" s="694">
        <f t="shared" si="224"/>
        <v>7.48</v>
      </c>
      <c r="CE139" s="694">
        <f t="shared" si="224"/>
        <v>8.4559999999999995</v>
      </c>
      <c r="CF139" s="756">
        <f t="shared" si="224"/>
        <v>30.567</v>
      </c>
      <c r="CG139" s="694">
        <f t="shared" si="224"/>
        <v>7.9539999999999997</v>
      </c>
      <c r="CH139" s="694">
        <f t="shared" si="224"/>
        <v>7.8769999999999998</v>
      </c>
      <c r="CI139" s="694">
        <f t="shared" si="224"/>
        <v>8.109</v>
      </c>
      <c r="CJ139" s="694">
        <f t="shared" si="224"/>
        <v>8.9359999999999999</v>
      </c>
      <c r="CK139" s="756">
        <f t="shared" si="224"/>
        <v>32.875999999999998</v>
      </c>
      <c r="CL139" s="694">
        <f t="shared" si="224"/>
        <v>6.8920000000000003</v>
      </c>
      <c r="CM139" s="694">
        <f t="shared" si="224"/>
        <v>4.3840000000000003</v>
      </c>
      <c r="CN139" s="694">
        <f t="shared" si="224"/>
        <v>4.9189999999999996</v>
      </c>
      <c r="CO139" s="694">
        <f t="shared" si="224"/>
        <v>5.8470000000000004</v>
      </c>
      <c r="CP139" s="756">
        <f>SUM(CL139:CO139)</f>
        <v>22.042000000000002</v>
      </c>
      <c r="CQ139" s="694">
        <f>CQ$7/1000</f>
        <v>4.992</v>
      </c>
      <c r="CR139" s="694">
        <f>CR$7/1000</f>
        <v>4.84</v>
      </c>
      <c r="CS139" s="694">
        <f>CS$7/1000</f>
        <v>5.3979999999999997</v>
      </c>
      <c r="CT139" s="694">
        <f>CT$7/1000</f>
        <v>6.08</v>
      </c>
      <c r="CU139" s="756">
        <f>SUM(CQ139:CT139)</f>
        <v>21.310000000000002</v>
      </c>
      <c r="CV139" s="694">
        <f t="shared" ref="CV139:DE139" si="225">CV$7/1000</f>
        <v>5.6029999999999998</v>
      </c>
      <c r="CW139" s="694">
        <f t="shared" si="225"/>
        <v>6.1269999999999998</v>
      </c>
      <c r="CX139" s="694">
        <f t="shared" si="225"/>
        <v>6.7050000000000001</v>
      </c>
      <c r="CY139" s="694">
        <f t="shared" si="225"/>
        <v>7.6150000000000002</v>
      </c>
      <c r="CZ139" s="756">
        <f t="shared" si="225"/>
        <v>26.05</v>
      </c>
      <c r="DA139" s="694">
        <f t="shared" si="225"/>
        <v>6.9809999999999999</v>
      </c>
      <c r="DB139" s="694">
        <f t="shared" si="225"/>
        <v>7.86</v>
      </c>
      <c r="DC139" s="694">
        <f t="shared" si="225"/>
        <v>8.4090000000000007</v>
      </c>
      <c r="DD139" s="694">
        <f t="shared" si="225"/>
        <v>8.52</v>
      </c>
      <c r="DE139" s="756">
        <f t="shared" si="225"/>
        <v>31.77</v>
      </c>
      <c r="DF139" s="694">
        <f>SUM(DF137:DF138)</f>
        <v>8.0640000000000001</v>
      </c>
      <c r="DG139" s="694">
        <f t="shared" ref="DG139:DH139" si="226">SUM(DG137:DG138)</f>
        <v>8.2219999999999995</v>
      </c>
      <c r="DH139" s="694">
        <f t="shared" si="226"/>
        <v>8.9429999999999996</v>
      </c>
      <c r="DI139" s="694">
        <f t="shared" ref="DI139" si="227">SUM(DI137:DI138)</f>
        <v>9.8789999999999996</v>
      </c>
      <c r="DJ139" s="756">
        <f t="shared" ref="DJ139" si="228">DJ$7/1000</f>
        <v>35.121000000000002</v>
      </c>
      <c r="DK139" s="694">
        <f>DK7/1000</f>
        <v>9.0009999999999994</v>
      </c>
      <c r="DL139" s="694">
        <f>DL7/1000</f>
        <v>10.151</v>
      </c>
      <c r="DM139" s="694">
        <f>DM7/1000</f>
        <v>10.065860000000001</v>
      </c>
      <c r="DN139" s="694">
        <f>DN7/1000</f>
        <v>10.60549</v>
      </c>
      <c r="DO139" s="756">
        <f t="shared" ref="DO139" si="229">DO$7/1000</f>
        <v>39.823350000000005</v>
      </c>
      <c r="DP139" s="694">
        <f>DP7/1000</f>
        <v>10.243379999999998</v>
      </c>
      <c r="DQ139" s="694">
        <f>DQ7/1000</f>
        <v>11.47475</v>
      </c>
      <c r="DR139" s="694">
        <f>DR7/1000</f>
        <v>11.360270600000002</v>
      </c>
      <c r="DS139" s="694">
        <f>DS7/1000</f>
        <v>12.246250068</v>
      </c>
      <c r="DT139" s="756">
        <f t="shared" ref="DT139" si="230">DT$7/1000</f>
        <v>45.324650668000004</v>
      </c>
      <c r="DU139" s="756">
        <f>DU7/1000</f>
        <v>49.201104498107988</v>
      </c>
      <c r="DV139" s="756">
        <f>DV7/1000</f>
        <v>52.592721880817983</v>
      </c>
    </row>
    <row r="140" spans="2:126" s="532" customFormat="1" ht="12.9" customHeight="1">
      <c r="C140" s="669"/>
      <c r="D140" s="669"/>
      <c r="E140" s="669"/>
      <c r="F140" s="669"/>
      <c r="G140" s="669"/>
      <c r="H140" s="669"/>
      <c r="I140" s="669"/>
      <c r="J140" s="547"/>
      <c r="K140" s="547"/>
      <c r="L140" s="547"/>
      <c r="M140" s="547"/>
      <c r="N140" s="669"/>
      <c r="O140" s="547"/>
      <c r="P140" s="547"/>
      <c r="Q140" s="547"/>
      <c r="R140" s="547"/>
      <c r="S140" s="669"/>
      <c r="T140" s="547"/>
      <c r="U140" s="547"/>
      <c r="V140" s="547"/>
      <c r="W140" s="547"/>
      <c r="X140" s="669"/>
      <c r="Y140" s="547"/>
      <c r="Z140" s="547"/>
      <c r="AA140" s="547"/>
      <c r="AB140" s="547"/>
      <c r="AC140" s="669"/>
      <c r="AD140" s="547"/>
      <c r="AE140" s="547"/>
      <c r="AF140" s="547"/>
      <c r="AG140" s="547"/>
      <c r="AH140" s="669"/>
      <c r="AI140" s="547"/>
      <c r="AJ140" s="547"/>
      <c r="AK140" s="547"/>
      <c r="AL140" s="547"/>
      <c r="AM140" s="669"/>
      <c r="AN140" s="547"/>
      <c r="AO140" s="547"/>
      <c r="AP140" s="547"/>
      <c r="AQ140" s="547"/>
      <c r="AR140" s="669"/>
      <c r="AS140" s="547"/>
      <c r="AT140" s="547"/>
      <c r="AU140" s="547"/>
      <c r="AV140" s="547"/>
      <c r="AW140" s="669"/>
      <c r="AX140" s="547"/>
      <c r="AY140" s="547"/>
      <c r="AZ140" s="547"/>
      <c r="BA140" s="547"/>
      <c r="BB140" s="669"/>
      <c r="BC140" s="547"/>
      <c r="BD140" s="547"/>
      <c r="BE140" s="547"/>
      <c r="BF140" s="547"/>
      <c r="BG140" s="669"/>
      <c r="BH140" s="547"/>
      <c r="BI140" s="547"/>
      <c r="BJ140" s="547"/>
      <c r="BK140" s="547"/>
      <c r="BL140" s="669"/>
      <c r="BM140" s="547"/>
      <c r="BN140" s="547"/>
      <c r="BO140" s="547"/>
      <c r="BP140" s="547"/>
      <c r="BQ140" s="669"/>
      <c r="BR140" s="670"/>
      <c r="BS140" s="670"/>
      <c r="BT140" s="547"/>
      <c r="BU140" s="547"/>
      <c r="BV140" s="669"/>
      <c r="BW140" s="547"/>
      <c r="BX140" s="547"/>
      <c r="BY140" s="547"/>
      <c r="BZ140" s="547"/>
      <c r="CA140" s="669"/>
      <c r="CB140" s="547"/>
      <c r="CC140" s="547"/>
      <c r="CD140" s="547"/>
      <c r="CE140" s="547"/>
      <c r="CF140" s="669"/>
      <c r="CG140" s="758"/>
      <c r="CH140" s="758"/>
      <c r="CI140" s="758"/>
      <c r="CJ140" s="758"/>
      <c r="CK140" s="669"/>
      <c r="CL140" s="758"/>
      <c r="CM140" s="758"/>
      <c r="CN140" s="758"/>
      <c r="CO140" s="547"/>
      <c r="CP140" s="669"/>
      <c r="CQ140" s="547"/>
      <c r="CR140" s="547"/>
      <c r="CS140" s="547"/>
      <c r="CT140" s="547"/>
      <c r="CU140" s="669"/>
      <c r="CV140" s="547"/>
      <c r="CW140" s="547"/>
      <c r="CX140" s="547"/>
      <c r="CY140" s="547"/>
      <c r="CZ140" s="669"/>
      <c r="DA140" s="547"/>
      <c r="DB140" s="547"/>
      <c r="DC140" s="547"/>
      <c r="DD140" s="547"/>
      <c r="DE140" s="669"/>
      <c r="DF140" s="547"/>
      <c r="DG140" s="547"/>
      <c r="DH140" s="547"/>
      <c r="DI140" s="547"/>
      <c r="DJ140" s="669"/>
      <c r="DK140" s="547"/>
      <c r="DL140" s="547"/>
      <c r="DM140" s="547"/>
      <c r="DN140" s="547"/>
      <c r="DO140" s="669"/>
      <c r="DP140" s="547"/>
      <c r="DQ140" s="547"/>
      <c r="DR140" s="547"/>
      <c r="DS140" s="547"/>
      <c r="DT140" s="669"/>
      <c r="DU140" s="669"/>
      <c r="DV140" s="669"/>
    </row>
    <row r="141" spans="2:126" s="532" customFormat="1" ht="12.9" customHeight="1">
      <c r="B141" s="660" t="s">
        <v>431</v>
      </c>
      <c r="C141" s="789"/>
      <c r="D141" s="789"/>
      <c r="E141" s="789"/>
      <c r="F141" s="789"/>
      <c r="G141" s="789"/>
      <c r="H141" s="789"/>
      <c r="I141" s="789"/>
      <c r="J141" s="790"/>
      <c r="K141" s="790"/>
      <c r="L141" s="790"/>
      <c r="M141" s="790"/>
      <c r="N141" s="789"/>
      <c r="O141" s="790"/>
      <c r="P141" s="790"/>
      <c r="Q141" s="790"/>
      <c r="R141" s="790"/>
      <c r="S141" s="789"/>
      <c r="T141" s="790"/>
      <c r="U141" s="790"/>
      <c r="V141" s="790"/>
      <c r="W141" s="790"/>
      <c r="X141" s="789"/>
      <c r="Y141" s="790"/>
      <c r="Z141" s="790"/>
      <c r="AA141" s="790"/>
      <c r="AB141" s="790"/>
      <c r="AC141" s="789"/>
      <c r="AD141" s="790"/>
      <c r="AE141" s="790"/>
      <c r="AF141" s="790"/>
      <c r="AG141" s="790"/>
      <c r="AH141" s="789"/>
      <c r="AI141" s="790"/>
      <c r="AJ141" s="790"/>
      <c r="AK141" s="790"/>
      <c r="AL141" s="790"/>
      <c r="AM141" s="789"/>
      <c r="AN141" s="790"/>
      <c r="AO141" s="790"/>
      <c r="AP141" s="790"/>
      <c r="AQ141" s="790"/>
      <c r="AR141" s="789"/>
      <c r="AS141" s="790"/>
      <c r="AT141" s="790"/>
      <c r="AU141" s="790"/>
      <c r="AV141" s="790"/>
      <c r="AW141" s="789"/>
      <c r="AX141" s="790"/>
      <c r="AY141" s="790"/>
      <c r="AZ141" s="790"/>
      <c r="BA141" s="790"/>
      <c r="BB141" s="789"/>
      <c r="BC141" s="790"/>
      <c r="BD141" s="790"/>
      <c r="BE141" s="790"/>
      <c r="BF141" s="790"/>
      <c r="BG141" s="789"/>
      <c r="BH141" s="790"/>
      <c r="BI141" s="790"/>
      <c r="BJ141" s="790"/>
      <c r="BK141" s="790"/>
      <c r="BL141" s="789"/>
      <c r="BM141" s="790"/>
      <c r="BN141" s="790"/>
      <c r="BO141" s="790"/>
      <c r="BP141" s="790"/>
      <c r="BQ141" s="789"/>
      <c r="BR141" s="790"/>
      <c r="BS141" s="790"/>
      <c r="BT141" s="790"/>
      <c r="BU141" s="790"/>
      <c r="BV141" s="789"/>
      <c r="BW141" s="790"/>
      <c r="BX141" s="790"/>
      <c r="BY141" s="790"/>
      <c r="BZ141" s="790"/>
      <c r="CA141" s="789"/>
      <c r="CB141" s="790"/>
      <c r="CC141" s="790"/>
      <c r="CD141" s="790"/>
      <c r="CE141" s="790"/>
      <c r="CF141" s="789"/>
      <c r="CG141" s="791"/>
      <c r="CH141" s="790"/>
      <c r="CI141" s="790"/>
      <c r="CJ141" s="790"/>
      <c r="CK141" s="789"/>
      <c r="CL141" s="791"/>
      <c r="CM141" s="790"/>
      <c r="CN141" s="790"/>
      <c r="CO141" s="790"/>
      <c r="CP141" s="789"/>
      <c r="CQ141" s="790"/>
      <c r="CR141" s="790"/>
      <c r="CS141" s="790"/>
      <c r="CT141" s="790"/>
      <c r="CU141" s="789"/>
      <c r="CV141" s="790"/>
      <c r="CW141" s="790"/>
      <c r="CX141" s="790"/>
      <c r="CY141" s="790"/>
      <c r="CZ141" s="789"/>
      <c r="DA141" s="790"/>
      <c r="DB141" s="790"/>
      <c r="DC141" s="790"/>
      <c r="DD141" s="790"/>
      <c r="DE141" s="789"/>
      <c r="DF141" s="790"/>
      <c r="DG141" s="790"/>
      <c r="DH141" s="790"/>
      <c r="DI141" s="790"/>
      <c r="DJ141" s="789"/>
      <c r="DK141" s="790"/>
      <c r="DL141" s="790"/>
      <c r="DM141" s="790"/>
      <c r="DN141" s="790"/>
      <c r="DO141" s="789"/>
      <c r="DP141" s="790"/>
      <c r="DQ141" s="790"/>
      <c r="DR141" s="790"/>
      <c r="DS141" s="790"/>
      <c r="DT141" s="789"/>
      <c r="DU141" s="789"/>
      <c r="DV141" s="789"/>
    </row>
    <row r="142" spans="2:126" s="619" customFormat="1" ht="12.9" customHeight="1">
      <c r="B142" s="796" t="s">
        <v>402</v>
      </c>
      <c r="C142" s="618"/>
      <c r="D142" s="618"/>
      <c r="E142" s="618"/>
      <c r="F142" s="618"/>
      <c r="G142" s="618"/>
      <c r="H142" s="618"/>
      <c r="I142" s="618"/>
      <c r="N142" s="618"/>
      <c r="S142" s="618"/>
      <c r="X142" s="618"/>
      <c r="AC142" s="618"/>
      <c r="AH142" s="618"/>
      <c r="AM142" s="618"/>
      <c r="AR142" s="618"/>
      <c r="AW142" s="618"/>
      <c r="BB142" s="618"/>
      <c r="BG142" s="618">
        <v>0.51</v>
      </c>
      <c r="BH142" s="619">
        <v>0.5</v>
      </c>
      <c r="BI142" s="619">
        <v>0.52</v>
      </c>
      <c r="BJ142" s="619">
        <v>0.52</v>
      </c>
      <c r="BK142" s="594">
        <f>BK137/BK$139</f>
        <v>0.53798879202988781</v>
      </c>
      <c r="BL142" s="618">
        <v>0.52</v>
      </c>
      <c r="BM142" s="619">
        <f>100%-BM143</f>
        <v>0.47</v>
      </c>
      <c r="BN142" s="619">
        <f>100%-BN143</f>
        <v>0.5</v>
      </c>
      <c r="BO142" s="619">
        <f>100%-BO143</f>
        <v>0.45999999999999996</v>
      </c>
      <c r="BP142" s="594">
        <f>BP137/BP$139</f>
        <v>0.48768042768042758</v>
      </c>
      <c r="BQ142" s="618">
        <v>0.48</v>
      </c>
      <c r="BR142" s="619">
        <f>100%-BR143</f>
        <v>0.43999999999999995</v>
      </c>
      <c r="BS142" s="619">
        <f>100%-BS143</f>
        <v>0.44999999999999996</v>
      </c>
      <c r="BT142" s="619">
        <f>100%-BT143</f>
        <v>0.43000000000000005</v>
      </c>
      <c r="BU142" s="594">
        <f>BU137/BU$139</f>
        <v>0.43970641435926011</v>
      </c>
      <c r="BV142" s="618">
        <v>0.44</v>
      </c>
      <c r="BW142" s="594">
        <f t="shared" ref="BW142:DB143" si="231">BW137/BW$139</f>
        <v>0.38962985164094111</v>
      </c>
      <c r="BX142" s="594">
        <f t="shared" si="231"/>
        <v>0.36177268616219471</v>
      </c>
      <c r="BY142" s="594">
        <f t="shared" si="231"/>
        <v>0.35842293906810035</v>
      </c>
      <c r="BZ142" s="594">
        <f t="shared" si="231"/>
        <v>0.39942938659058475</v>
      </c>
      <c r="CA142" s="618">
        <f t="shared" si="231"/>
        <v>0.37759597230962866</v>
      </c>
      <c r="CB142" s="594">
        <f t="shared" si="231"/>
        <v>0.35151856017997751</v>
      </c>
      <c r="CC142" s="594">
        <f t="shared" si="231"/>
        <v>0.38568958638116768</v>
      </c>
      <c r="CD142" s="594">
        <f t="shared" si="231"/>
        <v>0.37433155080213898</v>
      </c>
      <c r="CE142" s="594">
        <f t="shared" si="231"/>
        <v>0.39025543992431411</v>
      </c>
      <c r="CF142" s="618">
        <f t="shared" si="231"/>
        <v>0.3762227238525207</v>
      </c>
      <c r="CG142" s="594">
        <f t="shared" si="231"/>
        <v>0.38974101081217</v>
      </c>
      <c r="CH142" s="594">
        <f t="shared" si="231"/>
        <v>0.38085565570648727</v>
      </c>
      <c r="CI142" s="594">
        <f t="shared" si="231"/>
        <v>0.38833394993217413</v>
      </c>
      <c r="CJ142" s="594">
        <f t="shared" si="231"/>
        <v>0.39167412712623095</v>
      </c>
      <c r="CK142" s="618">
        <f t="shared" si="231"/>
        <v>0.38779048546051831</v>
      </c>
      <c r="CL142" s="594">
        <f t="shared" si="231"/>
        <v>0.34300638421358093</v>
      </c>
      <c r="CM142" s="594">
        <f t="shared" si="231"/>
        <v>0.44206204379562042</v>
      </c>
      <c r="CN142" s="594">
        <f t="shared" si="231"/>
        <v>0.39296605001016471</v>
      </c>
      <c r="CO142" s="594">
        <f t="shared" si="231"/>
        <v>0.40157345647340509</v>
      </c>
      <c r="CP142" s="618">
        <f t="shared" si="231"/>
        <v>0.38939297704382531</v>
      </c>
      <c r="CQ142" s="594">
        <f t="shared" si="231"/>
        <v>0.36999198717948717</v>
      </c>
      <c r="CR142" s="594">
        <f t="shared" si="231"/>
        <v>0.38533057851239672</v>
      </c>
      <c r="CS142" s="594">
        <f t="shared" si="231"/>
        <v>0.34031122638014083</v>
      </c>
      <c r="CT142" s="594">
        <f t="shared" si="231"/>
        <v>0.32598684210526313</v>
      </c>
      <c r="CU142" s="618">
        <f t="shared" si="231"/>
        <v>0.35340215861098073</v>
      </c>
      <c r="CV142" s="594">
        <f t="shared" si="231"/>
        <v>0.29519900053542747</v>
      </c>
      <c r="CW142" s="594">
        <f t="shared" si="231"/>
        <v>0.28676350579402643</v>
      </c>
      <c r="CX142" s="594">
        <f t="shared" si="231"/>
        <v>0.2935123042505593</v>
      </c>
      <c r="CY142" s="594">
        <f t="shared" si="231"/>
        <v>0.32344057780695995</v>
      </c>
      <c r="CZ142" s="618">
        <f t="shared" si="231"/>
        <v>0.30103646833013431</v>
      </c>
      <c r="DA142" s="594">
        <f t="shared" si="231"/>
        <v>0.28276751181779114</v>
      </c>
      <c r="DB142" s="594">
        <f t="shared" si="231"/>
        <v>0.32226463104325698</v>
      </c>
      <c r="DC142" s="594">
        <f t="shared" ref="DC142:DE143" si="232">DC137/DC$139</f>
        <v>0.27339755024378637</v>
      </c>
      <c r="DD142" s="594">
        <f t="shared" si="232"/>
        <v>0.29507042253521126</v>
      </c>
      <c r="DE142" s="618">
        <f t="shared" si="232"/>
        <v>0.29335851432168708</v>
      </c>
      <c r="DF142" s="594">
        <f t="shared" ref="DF142" si="233">DF137/DF$139</f>
        <v>0.30022321428571425</v>
      </c>
      <c r="DG142" s="594">
        <f t="shared" ref="DG142:DH142" si="234">DG137/DG$139</f>
        <v>0.26453417659936757</v>
      </c>
      <c r="DH142" s="594">
        <f t="shared" si="234"/>
        <v>0.27373364642737336</v>
      </c>
      <c r="DI142" s="594">
        <f t="shared" ref="DI142:DK142" si="235">DI137/DI$139</f>
        <v>0.32695616965279889</v>
      </c>
      <c r="DJ142" s="618">
        <f t="shared" si="235"/>
        <v>0.29253153384015262</v>
      </c>
      <c r="DK142" s="594">
        <f t="shared" si="235"/>
        <v>0.29474502833018557</v>
      </c>
      <c r="DL142" s="594">
        <f t="shared" ref="DL142" si="236">DL137/DL$139</f>
        <v>0.2799724165106886</v>
      </c>
      <c r="DM142" s="903">
        <f t="shared" ref="DM142:DM143" si="237">DH142</f>
        <v>0.27373364642737336</v>
      </c>
      <c r="DN142" s="903">
        <f t="shared" ref="DN142:DN143" si="238">DI142</f>
        <v>0.32695616965279889</v>
      </c>
      <c r="DO142" s="904">
        <f t="shared" ref="DO142:DO143" si="239">DJ142</f>
        <v>0.29253153384015262</v>
      </c>
      <c r="DP142" s="903">
        <f t="shared" ref="DP142:DQ143" si="240">DK142</f>
        <v>0.29474502833018557</v>
      </c>
      <c r="DQ142" s="903">
        <f t="shared" si="240"/>
        <v>0.2799724165106886</v>
      </c>
      <c r="DR142" s="903">
        <f t="shared" ref="DR142:DR143" si="241">DM142</f>
        <v>0.27373364642737336</v>
      </c>
      <c r="DS142" s="903">
        <f t="shared" ref="DS142:DS143" si="242">DN142</f>
        <v>0.32695616965279889</v>
      </c>
      <c r="DT142" s="904">
        <f t="shared" ref="DT142:DT143" si="243">DO142</f>
        <v>0.29253153384015262</v>
      </c>
      <c r="DU142" s="904">
        <f t="shared" ref="DU142:DV143" si="244">DT142</f>
        <v>0.29253153384015262</v>
      </c>
      <c r="DV142" s="904">
        <f t="shared" si="244"/>
        <v>0.29253153384015262</v>
      </c>
    </row>
    <row r="143" spans="2:126" s="619" customFormat="1" ht="12.9" customHeight="1">
      <c r="B143" s="796" t="s">
        <v>24</v>
      </c>
      <c r="C143" s="618"/>
      <c r="D143" s="618"/>
      <c r="E143" s="618"/>
      <c r="F143" s="618"/>
      <c r="G143" s="618"/>
      <c r="H143" s="618"/>
      <c r="I143" s="618"/>
      <c r="N143" s="618"/>
      <c r="S143" s="618"/>
      <c r="X143" s="618"/>
      <c r="AC143" s="618"/>
      <c r="AH143" s="618"/>
      <c r="AM143" s="618"/>
      <c r="AR143" s="618"/>
      <c r="AW143" s="618"/>
      <c r="BB143" s="618"/>
      <c r="BG143" s="618">
        <v>0.49</v>
      </c>
      <c r="BH143" s="619">
        <v>0.5</v>
      </c>
      <c r="BI143" s="619">
        <v>0.48</v>
      </c>
      <c r="BJ143" s="619">
        <v>0.48</v>
      </c>
      <c r="BK143" s="594">
        <f>BK138/BK$139</f>
        <v>0.46201120797011175</v>
      </c>
      <c r="BL143" s="618">
        <v>0.48</v>
      </c>
      <c r="BM143" s="594">
        <v>0.53</v>
      </c>
      <c r="BN143" s="594">
        <v>0.5</v>
      </c>
      <c r="BO143" s="619">
        <v>0.54</v>
      </c>
      <c r="BP143" s="594">
        <f>BP138/BP$139</f>
        <v>0.51231957231957248</v>
      </c>
      <c r="BQ143" s="618">
        <v>0.52</v>
      </c>
      <c r="BR143" s="594">
        <v>0.56000000000000005</v>
      </c>
      <c r="BS143" s="594">
        <v>0.55000000000000004</v>
      </c>
      <c r="BT143" s="619">
        <v>0.56999999999999995</v>
      </c>
      <c r="BU143" s="594">
        <f>BU138/BU$139</f>
        <v>0.5602935856407405</v>
      </c>
      <c r="BV143" s="618">
        <v>0.56000000000000005</v>
      </c>
      <c r="BW143" s="594">
        <f t="shared" si="231"/>
        <v>0.61441630451071472</v>
      </c>
      <c r="BX143" s="594">
        <f t="shared" si="231"/>
        <v>0.63822731383780518</v>
      </c>
      <c r="BY143" s="594">
        <f t="shared" si="231"/>
        <v>0.64217443249701311</v>
      </c>
      <c r="BZ143" s="594">
        <f t="shared" si="231"/>
        <v>0.59429386590584887</v>
      </c>
      <c r="CA143" s="618">
        <f t="shared" si="231"/>
        <v>0.62192277792174133</v>
      </c>
      <c r="CB143" s="594">
        <f t="shared" si="231"/>
        <v>0.64848143982002249</v>
      </c>
      <c r="CC143" s="594">
        <f t="shared" si="231"/>
        <v>0.61431041361883221</v>
      </c>
      <c r="CD143" s="594">
        <f t="shared" si="231"/>
        <v>0.62566844919786102</v>
      </c>
      <c r="CE143" s="594">
        <f t="shared" si="231"/>
        <v>0.60974456007568589</v>
      </c>
      <c r="CF143" s="618">
        <f t="shared" si="231"/>
        <v>0.62377727614747935</v>
      </c>
      <c r="CG143" s="594">
        <f t="shared" si="231"/>
        <v>0.61025898918782995</v>
      </c>
      <c r="CH143" s="594">
        <f t="shared" si="231"/>
        <v>0.61914434429351273</v>
      </c>
      <c r="CI143" s="594">
        <f t="shared" si="231"/>
        <v>0.61166605006782582</v>
      </c>
      <c r="CJ143" s="594">
        <f t="shared" si="231"/>
        <v>0.60832587287376905</v>
      </c>
      <c r="CK143" s="618">
        <f t="shared" si="231"/>
        <v>0.61220951453948169</v>
      </c>
      <c r="CL143" s="594">
        <f t="shared" si="231"/>
        <v>0.65699361578641902</v>
      </c>
      <c r="CM143" s="594">
        <f t="shared" si="231"/>
        <v>0.55793795620437958</v>
      </c>
      <c r="CN143" s="594">
        <f t="shared" si="231"/>
        <v>0.6072372433421428</v>
      </c>
      <c r="CO143" s="594">
        <f t="shared" si="231"/>
        <v>0.59825551564905077</v>
      </c>
      <c r="CP143" s="618">
        <f t="shared" si="231"/>
        <v>0.61060702295617453</v>
      </c>
      <c r="CQ143" s="594">
        <f t="shared" si="231"/>
        <v>0.63000801282051277</v>
      </c>
      <c r="CR143" s="594">
        <f t="shared" si="231"/>
        <v>0.61446280991735547</v>
      </c>
      <c r="CS143" s="594">
        <f t="shared" si="231"/>
        <v>0.65987402741756207</v>
      </c>
      <c r="CT143" s="594">
        <f t="shared" si="231"/>
        <v>0.67417763157894739</v>
      </c>
      <c r="CU143" s="618">
        <f t="shared" si="231"/>
        <v>0.64664476771468782</v>
      </c>
      <c r="CV143" s="594">
        <f>1-CV142</f>
        <v>0.70480099946457253</v>
      </c>
      <c r="CW143" s="594">
        <f>1-CW142</f>
        <v>0.71323649420597357</v>
      </c>
      <c r="CX143" s="594">
        <f>1-CX142</f>
        <v>0.7064876957494407</v>
      </c>
      <c r="CY143" s="594">
        <f>1-CY142</f>
        <v>0.67655942219303999</v>
      </c>
      <c r="CZ143" s="618">
        <f t="shared" si="231"/>
        <v>0.69892514395393479</v>
      </c>
      <c r="DA143" s="594">
        <f>1-DA142</f>
        <v>0.71723248818220886</v>
      </c>
      <c r="DB143" s="594">
        <f>1-DB142</f>
        <v>0.67773536895674302</v>
      </c>
      <c r="DC143" s="594">
        <f>1-DC142</f>
        <v>0.72660244975621358</v>
      </c>
      <c r="DD143" s="594">
        <f>1-DD142</f>
        <v>0.70492957746478879</v>
      </c>
      <c r="DE143" s="618">
        <f t="shared" si="232"/>
        <v>0.70667296191375517</v>
      </c>
      <c r="DF143" s="594">
        <f>1-DF142</f>
        <v>0.69977678571428581</v>
      </c>
      <c r="DG143" s="594">
        <f>1-DG142</f>
        <v>0.73546582340063238</v>
      </c>
      <c r="DH143" s="594">
        <f>1-DH142</f>
        <v>0.72626635357262659</v>
      </c>
      <c r="DI143" s="594">
        <f>1-DI142</f>
        <v>0.67304383034720106</v>
      </c>
      <c r="DJ143" s="618">
        <f t="shared" ref="DJ143" si="245">DJ138/DJ$139</f>
        <v>0.70709831724609207</v>
      </c>
      <c r="DK143" s="594">
        <f>1-DK142</f>
        <v>0.70525497166981443</v>
      </c>
      <c r="DL143" s="594">
        <f>1-DL142</f>
        <v>0.7200275834893114</v>
      </c>
      <c r="DM143" s="903">
        <f t="shared" si="237"/>
        <v>0.72626635357262659</v>
      </c>
      <c r="DN143" s="903">
        <f t="shared" si="238"/>
        <v>0.67304383034720106</v>
      </c>
      <c r="DO143" s="904">
        <f t="shared" si="239"/>
        <v>0.70709831724609207</v>
      </c>
      <c r="DP143" s="903">
        <f t="shared" si="240"/>
        <v>0.70525497166981443</v>
      </c>
      <c r="DQ143" s="903">
        <f t="shared" si="240"/>
        <v>0.7200275834893114</v>
      </c>
      <c r="DR143" s="903">
        <f t="shared" si="241"/>
        <v>0.72626635357262659</v>
      </c>
      <c r="DS143" s="903">
        <f t="shared" si="242"/>
        <v>0.67304383034720106</v>
      </c>
      <c r="DT143" s="904">
        <f t="shared" si="243"/>
        <v>0.70709831724609207</v>
      </c>
      <c r="DU143" s="904">
        <f t="shared" si="244"/>
        <v>0.70709831724609207</v>
      </c>
      <c r="DV143" s="904">
        <f t="shared" si="244"/>
        <v>0.70709831724609207</v>
      </c>
    </row>
    <row r="144" spans="2:126" s="547" customFormat="1" ht="12.9" customHeight="1">
      <c r="B144" s="532"/>
      <c r="C144" s="669"/>
      <c r="D144" s="669"/>
      <c r="E144" s="669"/>
      <c r="F144" s="669"/>
      <c r="G144" s="669"/>
      <c r="H144" s="669"/>
      <c r="I144" s="669"/>
      <c r="N144" s="669"/>
      <c r="S144" s="669"/>
      <c r="X144" s="669"/>
      <c r="AC144" s="669"/>
      <c r="AH144" s="669"/>
      <c r="AM144" s="669"/>
      <c r="AR144" s="669"/>
      <c r="AW144" s="669"/>
      <c r="BB144" s="669"/>
      <c r="BG144" s="669"/>
      <c r="BL144" s="669"/>
      <c r="BQ144" s="669"/>
      <c r="BR144" s="670"/>
      <c r="BS144" s="670"/>
      <c r="BV144" s="669"/>
      <c r="CA144" s="669"/>
      <c r="CF144" s="669"/>
      <c r="CK144" s="669"/>
      <c r="CO144" s="532"/>
      <c r="CP144" s="669"/>
      <c r="CT144" s="532"/>
      <c r="CU144" s="669"/>
      <c r="CZ144" s="669"/>
      <c r="DE144" s="669"/>
      <c r="DJ144" s="669"/>
      <c r="DO144" s="669"/>
      <c r="DT144" s="669"/>
      <c r="DU144" s="669"/>
      <c r="DV144" s="669"/>
    </row>
    <row r="145" spans="1:126" s="532" customFormat="1" ht="12.9" customHeight="1">
      <c r="B145" s="660" t="s">
        <v>432</v>
      </c>
      <c r="C145" s="789"/>
      <c r="D145" s="789"/>
      <c r="E145" s="789"/>
      <c r="F145" s="789"/>
      <c r="G145" s="789"/>
      <c r="H145" s="789"/>
      <c r="I145" s="789"/>
      <c r="J145" s="790"/>
      <c r="K145" s="790"/>
      <c r="L145" s="790"/>
      <c r="M145" s="790"/>
      <c r="N145" s="789"/>
      <c r="O145" s="790"/>
      <c r="P145" s="790"/>
      <c r="Q145" s="790"/>
      <c r="R145" s="790"/>
      <c r="S145" s="789"/>
      <c r="T145" s="790"/>
      <c r="U145" s="790"/>
      <c r="V145" s="790"/>
      <c r="W145" s="790"/>
      <c r="X145" s="789"/>
      <c r="Y145" s="790"/>
      <c r="Z145" s="790"/>
      <c r="AA145" s="790"/>
      <c r="AB145" s="790"/>
      <c r="AC145" s="789"/>
      <c r="AD145" s="790"/>
      <c r="AE145" s="790"/>
      <c r="AF145" s="790"/>
      <c r="AG145" s="790"/>
      <c r="AH145" s="789"/>
      <c r="AI145" s="790"/>
      <c r="AJ145" s="790"/>
      <c r="AK145" s="790"/>
      <c r="AL145" s="790"/>
      <c r="AM145" s="789"/>
      <c r="AN145" s="790"/>
      <c r="AO145" s="790"/>
      <c r="AP145" s="790"/>
      <c r="AQ145" s="790"/>
      <c r="AR145" s="789"/>
      <c r="AS145" s="790"/>
      <c r="AT145" s="790"/>
      <c r="AU145" s="790"/>
      <c r="AV145" s="790"/>
      <c r="AW145" s="789"/>
      <c r="AX145" s="790"/>
      <c r="AY145" s="790"/>
      <c r="AZ145" s="790"/>
      <c r="BA145" s="790"/>
      <c r="BB145" s="789"/>
      <c r="BC145" s="790"/>
      <c r="BD145" s="790"/>
      <c r="BE145" s="790"/>
      <c r="BF145" s="790"/>
      <c r="BG145" s="789"/>
      <c r="BH145" s="790"/>
      <c r="BI145" s="790"/>
      <c r="BJ145" s="790"/>
      <c r="BK145" s="790"/>
      <c r="BL145" s="789"/>
      <c r="BM145" s="790"/>
      <c r="BN145" s="790"/>
      <c r="BO145" s="790"/>
      <c r="BP145" s="790"/>
      <c r="BQ145" s="789"/>
      <c r="BR145" s="790"/>
      <c r="BS145" s="790"/>
      <c r="BT145" s="790"/>
      <c r="BU145" s="790"/>
      <c r="BV145" s="789"/>
      <c r="BW145" s="790"/>
      <c r="BX145" s="790"/>
      <c r="BY145" s="790"/>
      <c r="BZ145" s="790"/>
      <c r="CA145" s="789"/>
      <c r="CB145" s="790"/>
      <c r="CC145" s="790"/>
      <c r="CD145" s="790"/>
      <c r="CE145" s="790"/>
      <c r="CF145" s="789"/>
      <c r="CG145" s="791"/>
      <c r="CH145" s="790"/>
      <c r="CI145" s="790"/>
      <c r="CJ145" s="790"/>
      <c r="CK145" s="789"/>
      <c r="CL145" s="791"/>
      <c r="CM145" s="790"/>
      <c r="CN145" s="790"/>
      <c r="CO145" s="797"/>
      <c r="CP145" s="789"/>
      <c r="CQ145" s="791"/>
      <c r="CR145" s="790"/>
      <c r="CS145" s="790"/>
      <c r="CT145" s="797"/>
      <c r="CU145" s="789"/>
      <c r="CV145" s="791"/>
      <c r="CW145" s="791"/>
      <c r="CX145" s="791"/>
      <c r="CY145" s="790"/>
      <c r="CZ145" s="789"/>
      <c r="DA145" s="791"/>
      <c r="DB145" s="791"/>
      <c r="DC145" s="791"/>
      <c r="DD145" s="791"/>
      <c r="DE145" s="789"/>
      <c r="DF145" s="790"/>
      <c r="DG145" s="790"/>
      <c r="DH145" s="790"/>
      <c r="DI145" s="790"/>
      <c r="DJ145" s="789"/>
      <c r="DK145" s="790"/>
      <c r="DL145" s="790"/>
      <c r="DM145" s="790"/>
      <c r="DN145" s="790"/>
      <c r="DO145" s="789"/>
      <c r="DP145" s="790"/>
      <c r="DQ145" s="790"/>
      <c r="DR145" s="790"/>
      <c r="DS145" s="790"/>
      <c r="DT145" s="789"/>
      <c r="DU145" s="789"/>
      <c r="DV145" s="789"/>
    </row>
    <row r="146" spans="1:126" s="532" customFormat="1" ht="12.9" customHeight="1">
      <c r="B146" s="695" t="s">
        <v>402</v>
      </c>
      <c r="C146" s="696"/>
      <c r="D146" s="696"/>
      <c r="E146" s="696"/>
      <c r="F146" s="696"/>
      <c r="G146" s="696"/>
      <c r="H146" s="696"/>
      <c r="I146" s="696"/>
      <c r="J146" s="594"/>
      <c r="K146" s="594"/>
      <c r="L146" s="594"/>
      <c r="M146" s="594"/>
      <c r="N146" s="696"/>
      <c r="O146" s="594"/>
      <c r="P146" s="594"/>
      <c r="Q146" s="594"/>
      <c r="R146" s="594"/>
      <c r="S146" s="696"/>
      <c r="T146" s="594"/>
      <c r="U146" s="594"/>
      <c r="V146" s="594"/>
      <c r="W146" s="594"/>
      <c r="X146" s="696"/>
      <c r="Y146" s="594"/>
      <c r="Z146" s="594"/>
      <c r="AA146" s="594"/>
      <c r="AB146" s="594"/>
      <c r="AC146" s="696"/>
      <c r="AD146" s="594"/>
      <c r="AE146" s="594"/>
      <c r="AF146" s="594"/>
      <c r="AG146" s="594"/>
      <c r="AH146" s="696"/>
      <c r="AI146" s="594"/>
      <c r="AJ146" s="594"/>
      <c r="AK146" s="594"/>
      <c r="AL146" s="594"/>
      <c r="AM146" s="696"/>
      <c r="AN146" s="594"/>
      <c r="AO146" s="594"/>
      <c r="AP146" s="594"/>
      <c r="AQ146" s="594"/>
      <c r="AR146" s="696"/>
      <c r="AS146" s="594"/>
      <c r="AT146" s="594"/>
      <c r="AU146" s="594"/>
      <c r="AV146" s="594"/>
      <c r="AW146" s="696"/>
      <c r="AX146" s="594"/>
      <c r="AY146" s="594"/>
      <c r="AZ146" s="594"/>
      <c r="BA146" s="594"/>
      <c r="BB146" s="696"/>
      <c r="BC146" s="594"/>
      <c r="BD146" s="594"/>
      <c r="BE146" s="594"/>
      <c r="BF146" s="594">
        <v>0.16</v>
      </c>
      <c r="BG146" s="696"/>
      <c r="BH146" s="594"/>
      <c r="BI146" s="594"/>
      <c r="BJ146" s="594"/>
      <c r="BK146" s="594"/>
      <c r="BL146" s="696">
        <f t="shared" ref="BL146:DB148" si="246">BL137/BG137-1</f>
        <v>0.11635215904626639</v>
      </c>
      <c r="BM146" s="594">
        <f t="shared" si="246"/>
        <v>-7.6919349255797687E-2</v>
      </c>
      <c r="BN146" s="594">
        <f t="shared" si="246"/>
        <v>-1.2883668056081876E-2</v>
      </c>
      <c r="BO146" s="594">
        <f t="shared" si="246"/>
        <v>-6.8343818343818419E-2</v>
      </c>
      <c r="BP146" s="594">
        <f t="shared" si="246"/>
        <v>-4.976794250066563E-2</v>
      </c>
      <c r="BQ146" s="696">
        <f t="shared" si="246"/>
        <v>-5.1104626927886643E-2</v>
      </c>
      <c r="BR146" s="594">
        <f t="shared" si="246"/>
        <v>3.318608959119218E-2</v>
      </c>
      <c r="BS146" s="594">
        <f t="shared" si="246"/>
        <v>-6.2715930902111361E-2</v>
      </c>
      <c r="BT146" s="594">
        <f t="shared" si="246"/>
        <v>-1.8641820566137501E-2</v>
      </c>
      <c r="BU146" s="594">
        <f t="shared" si="246"/>
        <v>-3.7718785398471621E-2</v>
      </c>
      <c r="BV146" s="696">
        <f t="shared" si="246"/>
        <v>-2.3897381830961018E-2</v>
      </c>
      <c r="BW146" s="594">
        <f t="shared" si="246"/>
        <v>-5.6357248628088441E-2</v>
      </c>
      <c r="BX146" s="594">
        <f t="shared" si="246"/>
        <v>-0.18087339374392053</v>
      </c>
      <c r="BY146" s="594">
        <f t="shared" si="246"/>
        <v>-0.11406423034330015</v>
      </c>
      <c r="BZ146" s="594">
        <f t="shared" si="246"/>
        <v>-0.11397171671144379</v>
      </c>
      <c r="CA146" s="696">
        <f t="shared" si="246"/>
        <v>-0.11721941424911742</v>
      </c>
      <c r="CB146" s="594">
        <f t="shared" si="246"/>
        <v>-3.8461538461538547E-2</v>
      </c>
      <c r="CC146" s="594">
        <f t="shared" si="246"/>
        <v>0.20833333333333326</v>
      </c>
      <c r="CD146" s="594">
        <f t="shared" si="246"/>
        <v>0.16666666666666674</v>
      </c>
      <c r="CE146" s="567">
        <f t="shared" si="246"/>
        <v>0.17857142857142905</v>
      </c>
      <c r="CF146" s="696">
        <f t="shared" si="246"/>
        <v>0.12745098039215685</v>
      </c>
      <c r="CG146" s="594">
        <f t="shared" si="246"/>
        <v>0.24</v>
      </c>
      <c r="CH146" s="594">
        <f t="shared" si="246"/>
        <v>3.4482758620689724E-2</v>
      </c>
      <c r="CI146" s="594">
        <f t="shared" si="246"/>
        <v>0.12464285714285728</v>
      </c>
      <c r="CJ146" s="567">
        <f t="shared" si="246"/>
        <v>6.0606060606060552E-2</v>
      </c>
      <c r="CK146" s="696">
        <f t="shared" si="246"/>
        <v>0.1086086956521739</v>
      </c>
      <c r="CL146" s="594">
        <f t="shared" si="246"/>
        <v>-0.23741935483870968</v>
      </c>
      <c r="CM146" s="594">
        <f t="shared" si="246"/>
        <v>-0.35399999999999998</v>
      </c>
      <c r="CN146" s="594">
        <f t="shared" si="246"/>
        <v>-0.3861543347094315</v>
      </c>
      <c r="CO146" s="594">
        <f t="shared" si="246"/>
        <v>-0.32914285714285718</v>
      </c>
      <c r="CP146" s="696">
        <f t="shared" si="246"/>
        <v>-0.32677072711585231</v>
      </c>
      <c r="CQ146" s="594">
        <f t="shared" si="246"/>
        <v>-0.21869712351945847</v>
      </c>
      <c r="CR146" s="594">
        <f t="shared" si="246"/>
        <v>-3.7667698658410687E-2</v>
      </c>
      <c r="CS146" s="594">
        <f t="shared" si="246"/>
        <v>-4.9663735126746045E-2</v>
      </c>
      <c r="CT146" s="594">
        <f t="shared" si="246"/>
        <v>-0.15587734241908002</v>
      </c>
      <c r="CU146" s="696">
        <f t="shared" si="246"/>
        <v>-0.12256786671327025</v>
      </c>
      <c r="CV146" s="594">
        <f t="shared" si="246"/>
        <v>-0.10449377368706014</v>
      </c>
      <c r="CW146" s="594">
        <f t="shared" si="246"/>
        <v>-5.7908847184986678E-2</v>
      </c>
      <c r="CX146" s="594">
        <f t="shared" si="246"/>
        <v>7.1311921611322715E-2</v>
      </c>
      <c r="CY146" s="594">
        <f t="shared" si="246"/>
        <v>0.24268415741675087</v>
      </c>
      <c r="CZ146" s="696">
        <f t="shared" si="246"/>
        <v>4.1295976629929676E-2</v>
      </c>
      <c r="DA146" s="594">
        <f t="shared" si="246"/>
        <v>0.1934703748488511</v>
      </c>
      <c r="DB146" s="594">
        <f t="shared" si="246"/>
        <v>0.441661923733637</v>
      </c>
      <c r="DC146" s="594">
        <f t="shared" ref="DC146:DE148" si="247">DC137/CX137-1</f>
        <v>0.16819105691056913</v>
      </c>
      <c r="DD146" s="594">
        <f t="shared" si="247"/>
        <v>2.0706455542021773E-2</v>
      </c>
      <c r="DE146" s="696">
        <f t="shared" si="247"/>
        <v>0.18847232848763062</v>
      </c>
      <c r="DF146" s="594">
        <f t="shared" ref="DF146:DF148" si="248">DF137/DA137-1</f>
        <v>0.2264437689969605</v>
      </c>
      <c r="DG146" s="594">
        <f t="shared" ref="DG146:DG148" si="249">DG137/DB137-1</f>
        <v>-0.14133438610343474</v>
      </c>
      <c r="DH146" s="594">
        <f t="shared" ref="DH146:DI148" si="250">DH137/DC137-1</f>
        <v>6.4810787298825501E-2</v>
      </c>
      <c r="DI146" s="594">
        <f t="shared" si="250"/>
        <v>0.28480509148766919</v>
      </c>
      <c r="DJ146" s="696">
        <f t="shared" ref="DJ146:DJ148" si="251">DJ137/DE137-1</f>
        <v>0.10236051502145949</v>
      </c>
      <c r="DK146" s="594">
        <f t="shared" ref="DK146:DK148" si="252">DK137/DF137-1</f>
        <v>9.5828170177612693E-2</v>
      </c>
      <c r="DL146" s="594">
        <f t="shared" ref="DL146:DL148" si="253">DL137/DG137-1</f>
        <v>0.30666666666666687</v>
      </c>
      <c r="DM146" s="594">
        <f t="shared" ref="DM146:DM148" si="254">DM137/DH137-1</f>
        <v>0.12555741921055596</v>
      </c>
      <c r="DN146" s="594">
        <f t="shared" ref="DN146:DN148" si="255">DN137/DI137-1</f>
        <v>7.3538819718595105E-2</v>
      </c>
      <c r="DO146" s="696">
        <f t="shared" ref="DO146:DO148" si="256">DO137/DJ137-1</f>
        <v>0.14053873368877756</v>
      </c>
      <c r="DP146" s="594">
        <f t="shared" ref="DP146:DP148" si="257">DP137/DK137-1</f>
        <v>-1</v>
      </c>
      <c r="DQ146" s="594">
        <f t="shared" ref="DQ146:DQ148" si="258">DQ137/DL137-1</f>
        <v>0.13040587134272474</v>
      </c>
      <c r="DR146" s="594">
        <f t="shared" ref="DR146:DR148" si="259">DR137/DM137-1</f>
        <v>0.12859413900054251</v>
      </c>
      <c r="DS146" s="594">
        <f t="shared" ref="DS146:DS148" si="260">DS137/DN137-1</f>
        <v>0.15470855830329389</v>
      </c>
      <c r="DT146" s="696">
        <f t="shared" ref="DT146:DT148" si="261">DT137/DO137-1</f>
        <v>-0.1187590568892124</v>
      </c>
      <c r="DU146" s="696">
        <f t="shared" ref="DU146:DV146" si="262">DU137/DT137-1</f>
        <v>0.39380902940920759</v>
      </c>
      <c r="DV146" s="696">
        <f t="shared" si="262"/>
        <v>6.8933765152374038E-2</v>
      </c>
    </row>
    <row r="147" spans="1:126" s="532" customFormat="1" ht="12.9" customHeight="1">
      <c r="B147" s="759" t="s">
        <v>24</v>
      </c>
      <c r="C147" s="760"/>
      <c r="D147" s="760"/>
      <c r="E147" s="760"/>
      <c r="F147" s="760"/>
      <c r="G147" s="760"/>
      <c r="H147" s="760"/>
      <c r="I147" s="760"/>
      <c r="J147" s="616"/>
      <c r="K147" s="616"/>
      <c r="L147" s="616"/>
      <c r="M147" s="616"/>
      <c r="N147" s="760"/>
      <c r="O147" s="616"/>
      <c r="P147" s="616"/>
      <c r="Q147" s="616"/>
      <c r="R147" s="616"/>
      <c r="S147" s="760"/>
      <c r="T147" s="616"/>
      <c r="U147" s="616"/>
      <c r="V147" s="616"/>
      <c r="W147" s="616"/>
      <c r="X147" s="760"/>
      <c r="Y147" s="616"/>
      <c r="Z147" s="616"/>
      <c r="AA147" s="616"/>
      <c r="AB147" s="616"/>
      <c r="AC147" s="760"/>
      <c r="AD147" s="616"/>
      <c r="AE147" s="616"/>
      <c r="AF147" s="616"/>
      <c r="AG147" s="616"/>
      <c r="AH147" s="760"/>
      <c r="AI147" s="616"/>
      <c r="AJ147" s="616"/>
      <c r="AK147" s="616"/>
      <c r="AL147" s="616"/>
      <c r="AM147" s="760"/>
      <c r="AN147" s="616"/>
      <c r="AO147" s="616"/>
      <c r="AP147" s="616"/>
      <c r="AQ147" s="616"/>
      <c r="AR147" s="760"/>
      <c r="AS147" s="616"/>
      <c r="AT147" s="616"/>
      <c r="AU147" s="616"/>
      <c r="AV147" s="616"/>
      <c r="AW147" s="760"/>
      <c r="AX147" s="616"/>
      <c r="AY147" s="616"/>
      <c r="AZ147" s="616"/>
      <c r="BA147" s="616"/>
      <c r="BB147" s="760"/>
      <c r="BC147" s="616"/>
      <c r="BD147" s="616"/>
      <c r="BE147" s="616"/>
      <c r="BF147" s="616">
        <v>0.1</v>
      </c>
      <c r="BG147" s="760"/>
      <c r="BH147" s="616"/>
      <c r="BI147" s="616"/>
      <c r="BJ147" s="616"/>
      <c r="BK147" s="616"/>
      <c r="BL147" s="760">
        <f t="shared" si="246"/>
        <v>7.2539279962817949E-2</v>
      </c>
      <c r="BM147" s="616">
        <f t="shared" si="246"/>
        <v>4.0920733817930266E-2</v>
      </c>
      <c r="BN147" s="616">
        <f t="shared" si="246"/>
        <v>6.9376026272577995E-2</v>
      </c>
      <c r="BO147" s="616">
        <f t="shared" si="246"/>
        <v>0.18482362232362237</v>
      </c>
      <c r="BP147" s="616">
        <f t="shared" si="246"/>
        <v>0.16240111052709705</v>
      </c>
      <c r="BQ147" s="760">
        <f t="shared" si="246"/>
        <v>0.11363415311935565</v>
      </c>
      <c r="BR147" s="616">
        <f t="shared" si="246"/>
        <v>0.16610025206004209</v>
      </c>
      <c r="BS147" s="616">
        <f t="shared" si="246"/>
        <v>0.1455694177863085</v>
      </c>
      <c r="BT147" s="616">
        <f t="shared" si="246"/>
        <v>0.10814864189301776</v>
      </c>
      <c r="BU147" s="616">
        <f t="shared" si="246"/>
        <v>0.16721063432619543</v>
      </c>
      <c r="BV147" s="760">
        <f t="shared" si="246"/>
        <v>0.14674992903775186</v>
      </c>
      <c r="BW147" s="616">
        <f t="shared" si="246"/>
        <v>0.16918373865036251</v>
      </c>
      <c r="BX147" s="616">
        <f t="shared" si="246"/>
        <v>0.18233479007553632</v>
      </c>
      <c r="BY147" s="616">
        <f t="shared" si="246"/>
        <v>0.19743803954330263</v>
      </c>
      <c r="BZ147" s="616">
        <f t="shared" si="246"/>
        <v>3.45606842106565E-2</v>
      </c>
      <c r="CA147" s="760">
        <f t="shared" si="246"/>
        <v>0.14242193450114238</v>
      </c>
      <c r="CB147" s="616">
        <f t="shared" si="246"/>
        <v>0.12487804878048792</v>
      </c>
      <c r="CC147" s="616">
        <f t="shared" si="246"/>
        <v>9.0930562116202207E-2</v>
      </c>
      <c r="CD147" s="616">
        <f t="shared" si="246"/>
        <v>8.8372093023256104E-2</v>
      </c>
      <c r="CE147" s="574">
        <f t="shared" si="246"/>
        <v>0.23763802208353324</v>
      </c>
      <c r="CF147" s="760">
        <f t="shared" si="246"/>
        <v>0.13494047619047622</v>
      </c>
      <c r="CG147" s="616">
        <f t="shared" si="246"/>
        <v>5.2471812662619133E-2</v>
      </c>
      <c r="CH147" s="616">
        <f t="shared" si="246"/>
        <v>5.5856245940679727E-2</v>
      </c>
      <c r="CI147" s="616">
        <f t="shared" si="246"/>
        <v>5.9829059829059617E-2</v>
      </c>
      <c r="CJ147" s="574">
        <f t="shared" si="246"/>
        <v>5.4305663304887508E-2</v>
      </c>
      <c r="CK147" s="760">
        <f t="shared" si="246"/>
        <v>5.5593433681229376E-2</v>
      </c>
      <c r="CL147" s="616">
        <f t="shared" si="246"/>
        <v>-6.7161104243922298E-2</v>
      </c>
      <c r="CM147" s="616">
        <f t="shared" si="246"/>
        <v>-0.49846216936641374</v>
      </c>
      <c r="CN147" s="616">
        <f t="shared" si="246"/>
        <v>-0.39778225806451606</v>
      </c>
      <c r="CO147" s="616">
        <f t="shared" si="246"/>
        <v>-0.35651214128035313</v>
      </c>
      <c r="CP147" s="760">
        <f t="shared" si="246"/>
        <v>-0.33129626869379436</v>
      </c>
      <c r="CQ147" s="616">
        <f t="shared" si="246"/>
        <v>-0.30543286219081278</v>
      </c>
      <c r="CR147" s="616">
        <f t="shared" si="246"/>
        <v>0.21586263286999174</v>
      </c>
      <c r="CS147" s="616">
        <f t="shared" si="246"/>
        <v>0.19250083696016063</v>
      </c>
      <c r="CT147" s="616">
        <f t="shared" si="246"/>
        <v>0.17181246426529451</v>
      </c>
      <c r="CU147" s="760">
        <f t="shared" si="246"/>
        <v>2.3850211754216533E-2</v>
      </c>
      <c r="CV147" s="616">
        <f t="shared" si="246"/>
        <v>0.2556438791732909</v>
      </c>
      <c r="CW147" s="616">
        <f t="shared" si="246"/>
        <v>0.46940147948890387</v>
      </c>
      <c r="CX147" s="616">
        <f t="shared" si="246"/>
        <v>0.3295901179112859</v>
      </c>
      <c r="CY147" s="616">
        <f t="shared" si="246"/>
        <v>0.25689192485972212</v>
      </c>
      <c r="CZ147" s="760">
        <f t="shared" si="246"/>
        <v>0.32126269956458642</v>
      </c>
      <c r="DA147" s="616">
        <f t="shared" si="246"/>
        <v>0.26791592808305897</v>
      </c>
      <c r="DB147" s="616">
        <f t="shared" si="246"/>
        <v>0.21899313501144158</v>
      </c>
      <c r="DC147" s="616">
        <f t="shared" si="247"/>
        <v>0.29032939189189189</v>
      </c>
      <c r="DD147" s="616">
        <f t="shared" si="247"/>
        <v>0.16576086956521729</v>
      </c>
      <c r="DE147" s="760">
        <f t="shared" si="247"/>
        <v>0.23309716043280049</v>
      </c>
      <c r="DF147" s="616">
        <f t="shared" si="248"/>
        <v>0.1270221689634512</v>
      </c>
      <c r="DG147" s="616">
        <f t="shared" si="249"/>
        <v>0.13516050309742811</v>
      </c>
      <c r="DH147" s="616">
        <f t="shared" si="250"/>
        <v>6.2837506136475207E-2</v>
      </c>
      <c r="DI147" s="616">
        <f t="shared" si="250"/>
        <v>0.10705960705960704</v>
      </c>
      <c r="DJ147" s="760">
        <f t="shared" si="251"/>
        <v>0.10614226537793403</v>
      </c>
      <c r="DK147" s="616">
        <f t="shared" si="252"/>
        <v>0.12475633528265129</v>
      </c>
      <c r="DL147" s="616">
        <f t="shared" si="253"/>
        <v>0.20853315693732433</v>
      </c>
      <c r="DM147" s="616">
        <f t="shared" si="254"/>
        <v>0.12555741921055574</v>
      </c>
      <c r="DN147" s="616">
        <f t="shared" si="255"/>
        <v>7.3538819718594883E-2</v>
      </c>
      <c r="DO147" s="760">
        <f t="shared" si="256"/>
        <v>0.13165237376505989</v>
      </c>
      <c r="DP147" s="616">
        <f t="shared" si="257"/>
        <v>-1</v>
      </c>
      <c r="DQ147" s="616">
        <f t="shared" si="258"/>
        <v>0.13056055194909355</v>
      </c>
      <c r="DR147" s="616">
        <f t="shared" si="259"/>
        <v>0.12859413900054251</v>
      </c>
      <c r="DS147" s="616">
        <f t="shared" si="260"/>
        <v>0.15470855830329389</v>
      </c>
      <c r="DT147" s="760">
        <f t="shared" si="261"/>
        <v>-0.11914809666831694</v>
      </c>
      <c r="DU147" s="760">
        <f t="shared" ref="DU147:DV148" si="263">DU138/DT138-1</f>
        <v>0.40537441628797399</v>
      </c>
      <c r="DV147" s="760">
        <f t="shared" si="263"/>
        <v>6.8933765152374038E-2</v>
      </c>
    </row>
    <row r="148" spans="1:126" s="532" customFormat="1" ht="12.9" customHeight="1">
      <c r="B148" s="695" t="s">
        <v>430</v>
      </c>
      <c r="C148" s="696"/>
      <c r="D148" s="696"/>
      <c r="E148" s="696"/>
      <c r="F148" s="696"/>
      <c r="G148" s="696"/>
      <c r="H148" s="696"/>
      <c r="I148" s="696"/>
      <c r="J148" s="594"/>
      <c r="K148" s="594"/>
      <c r="L148" s="594"/>
      <c r="M148" s="594"/>
      <c r="N148" s="696"/>
      <c r="O148" s="594"/>
      <c r="P148" s="594"/>
      <c r="Q148" s="594"/>
      <c r="R148" s="594"/>
      <c r="S148" s="696"/>
      <c r="T148" s="594"/>
      <c r="U148" s="594"/>
      <c r="V148" s="594"/>
      <c r="W148" s="594"/>
      <c r="X148" s="696"/>
      <c r="Y148" s="594"/>
      <c r="Z148" s="594"/>
      <c r="AA148" s="594"/>
      <c r="AB148" s="594"/>
      <c r="AC148" s="696"/>
      <c r="AD148" s="594"/>
      <c r="AE148" s="594"/>
      <c r="AF148" s="594"/>
      <c r="AG148" s="594"/>
      <c r="AH148" s="696"/>
      <c r="AI148" s="594"/>
      <c r="AJ148" s="594"/>
      <c r="AK148" s="594"/>
      <c r="AL148" s="594"/>
      <c r="AM148" s="696"/>
      <c r="AN148" s="594"/>
      <c r="AO148" s="594"/>
      <c r="AP148" s="594"/>
      <c r="AQ148" s="594"/>
      <c r="AR148" s="696"/>
      <c r="AS148" s="594"/>
      <c r="AT148" s="594"/>
      <c r="AU148" s="594"/>
      <c r="AV148" s="594"/>
      <c r="AW148" s="696"/>
      <c r="AX148" s="594"/>
      <c r="AY148" s="594"/>
      <c r="AZ148" s="594"/>
      <c r="BA148" s="594"/>
      <c r="BB148" s="696">
        <f t="shared" ref="BB148:BK148" si="264">BB139/AW139-1</f>
        <v>6.0183466779786698E-2</v>
      </c>
      <c r="BC148" s="594">
        <f t="shared" si="264"/>
        <v>3.7415661418932711E-2</v>
      </c>
      <c r="BD148" s="594">
        <f t="shared" si="264"/>
        <v>9.227600411946435E-2</v>
      </c>
      <c r="BE148" s="594">
        <f t="shared" si="264"/>
        <v>0.12194101652373979</v>
      </c>
      <c r="BF148" s="594">
        <f t="shared" si="264"/>
        <v>0.12858972013901604</v>
      </c>
      <c r="BG148" s="696">
        <f t="shared" si="264"/>
        <v>9.5878763629088759E-2</v>
      </c>
      <c r="BH148" s="594">
        <f t="shared" si="264"/>
        <v>0.1387465510445407</v>
      </c>
      <c r="BI148" s="594">
        <f t="shared" si="264"/>
        <v>0.14840656232321336</v>
      </c>
      <c r="BJ148" s="594">
        <f t="shared" si="264"/>
        <v>6.2266964951528836E-2</v>
      </c>
      <c r="BK148" s="594">
        <f t="shared" si="264"/>
        <v>4.116693679092398E-2</v>
      </c>
      <c r="BL148" s="696">
        <f t="shared" si="246"/>
        <v>9.488384829537666E-2</v>
      </c>
      <c r="BM148" s="594">
        <f t="shared" si="246"/>
        <v>-1.7999307718933766E-2</v>
      </c>
      <c r="BN148" s="594">
        <f t="shared" si="246"/>
        <v>2.6600985221674867E-2</v>
      </c>
      <c r="BO148" s="594">
        <f t="shared" si="246"/>
        <v>5.3176553176553121E-2</v>
      </c>
      <c r="BP148" s="594">
        <f t="shared" si="246"/>
        <v>4.825653798256524E-2</v>
      </c>
      <c r="BQ148" s="696">
        <f t="shared" si="246"/>
        <v>2.7969987494789628E-2</v>
      </c>
      <c r="BR148" s="594">
        <f t="shared" si="246"/>
        <v>0.10363059569968258</v>
      </c>
      <c r="BS148" s="594">
        <f t="shared" si="246"/>
        <v>4.1426743442098513E-2</v>
      </c>
      <c r="BT148" s="594">
        <f t="shared" si="246"/>
        <v>4.9825029161806311E-2</v>
      </c>
      <c r="BU148" s="594">
        <f t="shared" si="246"/>
        <v>6.727056727056735E-2</v>
      </c>
      <c r="BV148" s="696">
        <f t="shared" si="246"/>
        <v>6.4839219820769678E-2</v>
      </c>
      <c r="BW148" s="594">
        <f t="shared" si="246"/>
        <v>6.5633982753114051E-2</v>
      </c>
      <c r="BX148" s="594">
        <f t="shared" si="246"/>
        <v>1.889110735678079E-2</v>
      </c>
      <c r="BY148" s="594">
        <f t="shared" si="246"/>
        <v>6.2857142857142945E-2</v>
      </c>
      <c r="BZ148" s="594">
        <f t="shared" si="246"/>
        <v>-2.4627800194796268E-2</v>
      </c>
      <c r="CA148" s="696">
        <f t="shared" si="246"/>
        <v>2.8674790555978769E-2</v>
      </c>
      <c r="CB148" s="594">
        <f t="shared" si="246"/>
        <v>6.5787501873220355E-2</v>
      </c>
      <c r="CC148" s="594">
        <f t="shared" si="246"/>
        <v>0.13340367802230935</v>
      </c>
      <c r="CD148" s="594">
        <f t="shared" si="246"/>
        <v>0.11708482676224619</v>
      </c>
      <c r="CE148" s="567">
        <f t="shared" si="246"/>
        <v>0.20627674750356628</v>
      </c>
      <c r="CF148" s="696">
        <f t="shared" si="246"/>
        <v>0.1315662829008255</v>
      </c>
      <c r="CG148" s="594">
        <f t="shared" si="246"/>
        <v>0.11839145106861637</v>
      </c>
      <c r="CH148" s="594">
        <f t="shared" si="246"/>
        <v>4.7612714456709559E-2</v>
      </c>
      <c r="CI148" s="594">
        <f t="shared" si="246"/>
        <v>8.4090909090908994E-2</v>
      </c>
      <c r="CJ148" s="567">
        <f t="shared" si="246"/>
        <v>5.6764427625354941E-2</v>
      </c>
      <c r="CK148" s="696">
        <f t="shared" si="246"/>
        <v>7.5538979945692919E-2</v>
      </c>
      <c r="CL148" s="594">
        <f t="shared" si="246"/>
        <v>-0.13351772692984654</v>
      </c>
      <c r="CM148" s="594">
        <f t="shared" si="246"/>
        <v>-0.44344293512758659</v>
      </c>
      <c r="CN148" s="594">
        <f t="shared" si="246"/>
        <v>-0.39339006042668645</v>
      </c>
      <c r="CO148" s="594">
        <f t="shared" si="246"/>
        <v>-0.3456803939122649</v>
      </c>
      <c r="CP148" s="696">
        <f t="shared" si="246"/>
        <v>-0.32954130672831239</v>
      </c>
      <c r="CQ148" s="594">
        <f t="shared" si="246"/>
        <v>-0.27568195008705754</v>
      </c>
      <c r="CR148" s="594">
        <f t="shared" si="246"/>
        <v>0.10401459854014594</v>
      </c>
      <c r="CS148" s="594">
        <f t="shared" si="246"/>
        <v>9.7377515755234789E-2</v>
      </c>
      <c r="CT148" s="594">
        <f t="shared" si="246"/>
        <v>3.9849495467761287E-2</v>
      </c>
      <c r="CU148" s="696">
        <f t="shared" si="246"/>
        <v>-3.3209327647218956E-2</v>
      </c>
      <c r="CV148" s="594">
        <f t="shared" si="246"/>
        <v>0.12239583333333326</v>
      </c>
      <c r="CW148" s="594">
        <f t="shared" si="246"/>
        <v>0.26590909090909087</v>
      </c>
      <c r="CX148" s="594">
        <f t="shared" si="246"/>
        <v>0.24212671359762883</v>
      </c>
      <c r="CY148" s="594">
        <f t="shared" si="246"/>
        <v>0.25246710526315796</v>
      </c>
      <c r="CZ148" s="696">
        <f t="shared" si="246"/>
        <v>0.22243078366963864</v>
      </c>
      <c r="DA148" s="594">
        <f t="shared" si="246"/>
        <v>0.24593967517401394</v>
      </c>
      <c r="DB148" s="594">
        <f t="shared" si="246"/>
        <v>0.28284641749632788</v>
      </c>
      <c r="DC148" s="594">
        <f t="shared" si="247"/>
        <v>0.25413870246085013</v>
      </c>
      <c r="DD148" s="594">
        <f t="shared" si="247"/>
        <v>0.11884438608010495</v>
      </c>
      <c r="DE148" s="696">
        <f t="shared" si="247"/>
        <v>0.21957773512476009</v>
      </c>
      <c r="DF148" s="594">
        <f t="shared" si="248"/>
        <v>0.1551353674258702</v>
      </c>
      <c r="DG148" s="594">
        <f t="shared" si="249"/>
        <v>4.6055979643765843E-2</v>
      </c>
      <c r="DH148" s="594">
        <f t="shared" si="250"/>
        <v>6.3503389225829432E-2</v>
      </c>
      <c r="DI148" s="594">
        <f t="shared" si="250"/>
        <v>0.15950704225352119</v>
      </c>
      <c r="DJ148" s="696">
        <f t="shared" si="251"/>
        <v>0.10547686496694997</v>
      </c>
      <c r="DK148" s="594">
        <f t="shared" si="252"/>
        <v>0.11619543650793651</v>
      </c>
      <c r="DL148" s="594">
        <f t="shared" si="253"/>
        <v>0.23461444903916329</v>
      </c>
      <c r="DM148" s="594">
        <f t="shared" si="254"/>
        <v>0.12555741921055596</v>
      </c>
      <c r="DN148" s="594">
        <f t="shared" si="255"/>
        <v>7.3538819718595105E-2</v>
      </c>
      <c r="DO148" s="696">
        <f t="shared" si="256"/>
        <v>0.13388998035363464</v>
      </c>
      <c r="DP148" s="594">
        <f t="shared" si="257"/>
        <v>0.13802688590156631</v>
      </c>
      <c r="DQ148" s="594">
        <f t="shared" si="258"/>
        <v>0.13040587134272497</v>
      </c>
      <c r="DR148" s="594">
        <f t="shared" si="259"/>
        <v>0.12859413900054251</v>
      </c>
      <c r="DS148" s="594">
        <f t="shared" si="260"/>
        <v>0.15470855830329389</v>
      </c>
      <c r="DT148" s="696">
        <f t="shared" si="261"/>
        <v>0.13814258890826614</v>
      </c>
      <c r="DU148" s="696">
        <f t="shared" si="263"/>
        <v>8.5526391775256005E-2</v>
      </c>
      <c r="DV148" s="696">
        <f t="shared" si="263"/>
        <v>6.8933765152374038E-2</v>
      </c>
    </row>
    <row r="149" spans="1:126" s="532" customFormat="1" ht="12.9" customHeight="1">
      <c r="B149" s="761"/>
      <c r="C149" s="669"/>
      <c r="D149" s="669"/>
      <c r="E149" s="669"/>
      <c r="F149" s="669"/>
      <c r="G149" s="669"/>
      <c r="H149" s="669"/>
      <c r="I149" s="669"/>
      <c r="J149" s="547"/>
      <c r="K149" s="547"/>
      <c r="L149" s="547"/>
      <c r="M149" s="547"/>
      <c r="N149" s="669"/>
      <c r="O149" s="547"/>
      <c r="P149" s="547"/>
      <c r="Q149" s="547"/>
      <c r="R149" s="547"/>
      <c r="S149" s="669"/>
      <c r="T149" s="547"/>
      <c r="U149" s="547"/>
      <c r="V149" s="547"/>
      <c r="W149" s="547"/>
      <c r="X149" s="669"/>
      <c r="Y149" s="547"/>
      <c r="Z149" s="547"/>
      <c r="AA149" s="547"/>
      <c r="AB149" s="547"/>
      <c r="AC149" s="669"/>
      <c r="AD149" s="547"/>
      <c r="AE149" s="547"/>
      <c r="AF149" s="547"/>
      <c r="AG149" s="547"/>
      <c r="AH149" s="669"/>
      <c r="AI149" s="547"/>
      <c r="AJ149" s="547"/>
      <c r="AK149" s="547"/>
      <c r="AL149" s="547"/>
      <c r="AM149" s="669"/>
      <c r="AN149" s="547"/>
      <c r="AO149" s="547"/>
      <c r="AP149" s="547"/>
      <c r="AQ149" s="547"/>
      <c r="AR149" s="669"/>
      <c r="AS149" s="547"/>
      <c r="AT149" s="547"/>
      <c r="AU149" s="547"/>
      <c r="AV149" s="547"/>
      <c r="AW149" s="669"/>
      <c r="AX149" s="547"/>
      <c r="AY149" s="547"/>
      <c r="AZ149" s="547"/>
      <c r="BA149" s="547"/>
      <c r="BB149" s="669"/>
      <c r="BC149" s="547"/>
      <c r="BD149" s="547"/>
      <c r="BE149" s="547"/>
      <c r="BF149" s="547"/>
      <c r="BG149" s="669"/>
      <c r="BH149" s="547"/>
      <c r="BI149" s="547"/>
      <c r="BJ149" s="547"/>
      <c r="BK149" s="547"/>
      <c r="BL149" s="669"/>
      <c r="BM149" s="547"/>
      <c r="BN149" s="547"/>
      <c r="BO149" s="547"/>
      <c r="BP149" s="547"/>
      <c r="BQ149" s="669"/>
      <c r="BR149" s="670"/>
      <c r="BS149" s="670"/>
      <c r="BT149" s="547"/>
      <c r="BU149" s="547"/>
      <c r="BV149" s="669"/>
      <c r="BW149" s="547"/>
      <c r="BX149" s="547"/>
      <c r="BY149" s="547"/>
      <c r="BZ149" s="547"/>
      <c r="CA149" s="669"/>
      <c r="CB149" s="547"/>
      <c r="CC149" s="547"/>
      <c r="CD149" s="547"/>
      <c r="CE149" s="547"/>
      <c r="CF149" s="669"/>
      <c r="CG149" s="547"/>
      <c r="CH149" s="547"/>
      <c r="CI149" s="547"/>
      <c r="CJ149" s="547"/>
      <c r="CK149" s="669"/>
      <c r="CL149" s="547"/>
      <c r="CM149" s="547"/>
      <c r="CN149" s="547"/>
      <c r="CO149" s="547"/>
      <c r="CP149" s="669"/>
      <c r="CQ149" s="547"/>
      <c r="CR149" s="547"/>
      <c r="CS149" s="547"/>
      <c r="CT149" s="547"/>
      <c r="CU149" s="669"/>
      <c r="CV149" s="547"/>
      <c r="CW149" s="547"/>
      <c r="CX149" s="547"/>
      <c r="CY149" s="547"/>
      <c r="CZ149" s="669"/>
      <c r="DA149" s="547"/>
      <c r="DB149" s="547"/>
      <c r="DC149" s="547"/>
      <c r="DD149" s="547"/>
      <c r="DE149" s="669"/>
      <c r="DF149" s="547"/>
      <c r="DG149" s="547"/>
      <c r="DH149" s="547"/>
      <c r="DI149" s="547"/>
      <c r="DJ149" s="669"/>
      <c r="DK149" s="547"/>
      <c r="DL149" s="547"/>
      <c r="DM149" s="547"/>
      <c r="DN149" s="547"/>
      <c r="DO149" s="669"/>
      <c r="DP149" s="547"/>
      <c r="DQ149" s="547"/>
      <c r="DR149" s="547"/>
      <c r="DS149" s="547"/>
      <c r="DT149" s="669"/>
      <c r="DU149" s="669"/>
      <c r="DV149" s="669"/>
    </row>
    <row r="150" spans="1:126" s="630" customFormat="1" ht="12.9" customHeight="1">
      <c r="B150" s="660" t="s">
        <v>433</v>
      </c>
      <c r="C150" s="789"/>
      <c r="D150" s="789"/>
      <c r="E150" s="789"/>
      <c r="F150" s="789"/>
      <c r="G150" s="789"/>
      <c r="H150" s="789"/>
      <c r="I150" s="789"/>
      <c r="J150" s="790"/>
      <c r="K150" s="790"/>
      <c r="L150" s="790"/>
      <c r="M150" s="790"/>
      <c r="N150" s="789"/>
      <c r="O150" s="790"/>
      <c r="P150" s="790"/>
      <c r="Q150" s="790"/>
      <c r="R150" s="790"/>
      <c r="S150" s="789"/>
      <c r="T150" s="790"/>
      <c r="U150" s="790"/>
      <c r="V150" s="790"/>
      <c r="W150" s="790"/>
      <c r="X150" s="789"/>
      <c r="Y150" s="790"/>
      <c r="Z150" s="790"/>
      <c r="AA150" s="790"/>
      <c r="AB150" s="790"/>
      <c r="AC150" s="789"/>
      <c r="AD150" s="790"/>
      <c r="AE150" s="790"/>
      <c r="AF150" s="790"/>
      <c r="AG150" s="790"/>
      <c r="AH150" s="789"/>
      <c r="AI150" s="790"/>
      <c r="AJ150" s="790"/>
      <c r="AK150" s="790"/>
      <c r="AL150" s="790"/>
      <c r="AM150" s="789"/>
      <c r="AN150" s="790"/>
      <c r="AO150" s="790"/>
      <c r="AP150" s="790"/>
      <c r="AQ150" s="790"/>
      <c r="AR150" s="789"/>
      <c r="AS150" s="790"/>
      <c r="AT150" s="790"/>
      <c r="AU150" s="790"/>
      <c r="AV150" s="790"/>
      <c r="AW150" s="789"/>
      <c r="AX150" s="790"/>
      <c r="AY150" s="790"/>
      <c r="AZ150" s="790"/>
      <c r="BA150" s="790"/>
      <c r="BB150" s="789"/>
      <c r="BC150" s="790"/>
      <c r="BD150" s="790"/>
      <c r="BE150" s="790"/>
      <c r="BF150" s="790"/>
      <c r="BG150" s="789"/>
      <c r="BH150" s="790"/>
      <c r="BI150" s="790"/>
      <c r="BJ150" s="790"/>
      <c r="BK150" s="790"/>
      <c r="BL150" s="789"/>
      <c r="BM150" s="790"/>
      <c r="BN150" s="790"/>
      <c r="BO150" s="790"/>
      <c r="BP150" s="790"/>
      <c r="BQ150" s="789"/>
      <c r="BR150" s="790"/>
      <c r="BS150" s="790"/>
      <c r="BT150" s="790"/>
      <c r="BU150" s="790"/>
      <c r="BV150" s="789"/>
      <c r="BW150" s="790"/>
      <c r="BX150" s="790"/>
      <c r="BY150" s="790"/>
      <c r="BZ150" s="790"/>
      <c r="CA150" s="789"/>
      <c r="CB150" s="790"/>
      <c r="CC150" s="790"/>
      <c r="CD150" s="790"/>
      <c r="CE150" s="790"/>
      <c r="CF150" s="789"/>
      <c r="CG150" s="791"/>
      <c r="CH150" s="790"/>
      <c r="CI150" s="790"/>
      <c r="CJ150" s="790"/>
      <c r="CK150" s="789"/>
      <c r="CL150" s="791"/>
      <c r="CM150" s="790"/>
      <c r="CN150" s="790"/>
      <c r="CO150" s="790"/>
      <c r="CP150" s="789"/>
      <c r="CQ150" s="791"/>
      <c r="CR150" s="790"/>
      <c r="CS150" s="790"/>
      <c r="CT150" s="790"/>
      <c r="CU150" s="789"/>
      <c r="CV150" s="790"/>
      <c r="CW150" s="790"/>
      <c r="CX150" s="790"/>
      <c r="CY150" s="790"/>
      <c r="CZ150" s="789"/>
      <c r="DA150" s="790"/>
      <c r="DB150" s="790"/>
      <c r="DC150" s="790"/>
      <c r="DD150" s="790"/>
      <c r="DE150" s="789"/>
      <c r="DF150" s="790"/>
      <c r="DG150" s="790"/>
      <c r="DH150" s="790"/>
      <c r="DI150" s="790"/>
      <c r="DJ150" s="789"/>
      <c r="DK150" s="790"/>
      <c r="DL150" s="790"/>
      <c r="DM150" s="790"/>
      <c r="DN150" s="790"/>
      <c r="DO150" s="789"/>
      <c r="DP150" s="790"/>
      <c r="DQ150" s="790"/>
      <c r="DR150" s="790"/>
      <c r="DS150" s="790"/>
      <c r="DT150" s="789"/>
      <c r="DU150" s="789"/>
      <c r="DV150" s="789"/>
    </row>
    <row r="151" spans="1:126" s="540" customFormat="1" ht="12.9" customHeight="1">
      <c r="A151" s="942"/>
      <c r="B151" s="762" t="s">
        <v>433</v>
      </c>
      <c r="C151" s="763"/>
      <c r="D151" s="763"/>
      <c r="E151" s="763"/>
      <c r="F151" s="763"/>
      <c r="G151" s="763"/>
      <c r="H151" s="763"/>
      <c r="I151" s="763"/>
      <c r="N151" s="763"/>
      <c r="S151" s="763"/>
      <c r="X151" s="763"/>
      <c r="AC151" s="763"/>
      <c r="AH151" s="763"/>
      <c r="AM151" s="763"/>
      <c r="AR151" s="763"/>
      <c r="AW151" s="763"/>
      <c r="BB151" s="763"/>
      <c r="BG151" s="763"/>
      <c r="BL151" s="763"/>
      <c r="BQ151" s="763"/>
      <c r="BR151" s="764"/>
      <c r="BS151" s="764"/>
      <c r="BV151" s="763"/>
      <c r="CA151" s="763"/>
      <c r="CB151" s="764"/>
      <c r="CC151" s="764"/>
      <c r="CD151" s="764"/>
      <c r="CE151" s="764"/>
      <c r="CF151" s="763">
        <v>5100</v>
      </c>
      <c r="CG151" s="764"/>
      <c r="CH151" s="764"/>
      <c r="CI151" s="764"/>
      <c r="CJ151" s="764"/>
      <c r="CK151" s="763">
        <v>5400</v>
      </c>
      <c r="CL151" s="764">
        <v>1100</v>
      </c>
      <c r="CM151" s="764"/>
      <c r="CN151" s="764"/>
      <c r="CO151" s="764"/>
      <c r="CP151" s="763">
        <v>2890</v>
      </c>
      <c r="CQ151" s="764"/>
      <c r="CR151" s="764"/>
      <c r="CS151" s="764"/>
      <c r="CT151" s="764"/>
      <c r="CU151" s="763">
        <v>2970</v>
      </c>
      <c r="CV151" s="764"/>
      <c r="CW151" s="764"/>
      <c r="CX151" s="764"/>
      <c r="CY151" s="764"/>
      <c r="CZ151" s="940">
        <v>4440</v>
      </c>
      <c r="DA151" s="941"/>
      <c r="DB151" s="941"/>
      <c r="DC151" s="941"/>
      <c r="DD151" s="941"/>
      <c r="DE151" s="940">
        <v>5200</v>
      </c>
      <c r="DF151" s="764"/>
      <c r="DG151" s="764"/>
      <c r="DH151" s="764"/>
      <c r="DI151" s="764"/>
      <c r="DJ151" s="763">
        <v>5980</v>
      </c>
      <c r="DK151" s="764"/>
      <c r="DL151" s="764"/>
      <c r="DM151" s="764"/>
      <c r="DN151" s="764"/>
      <c r="DO151" s="763">
        <v>5980</v>
      </c>
      <c r="DP151" s="764"/>
      <c r="DQ151" s="764"/>
      <c r="DR151" s="764"/>
      <c r="DS151" s="764"/>
      <c r="DT151" s="763">
        <v>5980</v>
      </c>
      <c r="DU151" s="763"/>
      <c r="DV151" s="763"/>
    </row>
    <row r="152" spans="1:126" s="651" customFormat="1" ht="12.9" customHeight="1">
      <c r="B152" s="663" t="s">
        <v>434</v>
      </c>
      <c r="C152" s="664"/>
      <c r="D152" s="664"/>
      <c r="E152" s="664"/>
      <c r="F152" s="664"/>
      <c r="G152" s="664"/>
      <c r="H152" s="664"/>
      <c r="I152" s="664"/>
      <c r="N152" s="664"/>
      <c r="S152" s="664"/>
      <c r="X152" s="664"/>
      <c r="AC152" s="664"/>
      <c r="AH152" s="664"/>
      <c r="AM152" s="664"/>
      <c r="AR152" s="664"/>
      <c r="AW152" s="664"/>
      <c r="BB152" s="664"/>
      <c r="BG152" s="664"/>
      <c r="BL152" s="664"/>
      <c r="BQ152" s="664"/>
      <c r="BR152" s="673"/>
      <c r="BS152" s="673"/>
      <c r="BV152" s="664"/>
      <c r="CA152" s="664"/>
      <c r="CB152" s="673"/>
      <c r="CC152" s="673"/>
      <c r="CD152" s="673"/>
      <c r="CE152" s="673"/>
      <c r="CF152" s="664"/>
      <c r="CG152" s="673"/>
      <c r="CH152" s="673"/>
      <c r="CI152" s="673"/>
      <c r="CJ152" s="673"/>
      <c r="CK152" s="664">
        <f>CK151/CF151-1</f>
        <v>5.8823529411764719E-2</v>
      </c>
      <c r="CL152" s="673"/>
      <c r="CM152" s="673"/>
      <c r="CN152" s="673"/>
      <c r="CO152" s="673"/>
      <c r="CP152" s="664">
        <f>CP151/CK151-1</f>
        <v>-0.46481481481481479</v>
      </c>
      <c r="CQ152" s="673"/>
      <c r="CR152" s="673"/>
      <c r="CS152" s="673"/>
      <c r="CT152" s="673"/>
      <c r="CU152" s="696">
        <f>CU151/CP151-1</f>
        <v>2.7681660899653959E-2</v>
      </c>
      <c r="CV152" s="673"/>
      <c r="CW152" s="673"/>
      <c r="CX152" s="673"/>
      <c r="CY152" s="673"/>
      <c r="CZ152" s="696">
        <f>CZ151/CU151-1</f>
        <v>0.49494949494949503</v>
      </c>
      <c r="DA152" s="673"/>
      <c r="DB152" s="594">
        <v>0.12</v>
      </c>
      <c r="DC152" s="673"/>
      <c r="DD152" s="673"/>
      <c r="DE152" s="664"/>
      <c r="DF152" s="673"/>
      <c r="DG152" s="594">
        <v>0.14000000000000001</v>
      </c>
      <c r="DH152" s="673"/>
      <c r="DI152" s="673"/>
      <c r="DJ152" s="664"/>
      <c r="DK152" s="673"/>
      <c r="DL152" s="673"/>
      <c r="DM152" s="673"/>
      <c r="DN152" s="673"/>
      <c r="DO152" s="664"/>
      <c r="DP152" s="673"/>
      <c r="DQ152" s="673"/>
      <c r="DR152" s="673"/>
      <c r="DS152" s="673"/>
      <c r="DT152" s="664"/>
      <c r="DU152" s="664"/>
      <c r="DV152" s="664"/>
    </row>
    <row r="153" spans="1:126" s="532" customFormat="1" ht="12.9" customHeight="1">
      <c r="B153" s="761"/>
      <c r="C153" s="669"/>
      <c r="D153" s="669"/>
      <c r="E153" s="669"/>
      <c r="F153" s="669"/>
      <c r="G153" s="669"/>
      <c r="H153" s="669"/>
      <c r="I153" s="669"/>
      <c r="J153" s="547"/>
      <c r="K153" s="547"/>
      <c r="L153" s="547"/>
      <c r="M153" s="547"/>
      <c r="N153" s="669"/>
      <c r="O153" s="547"/>
      <c r="P153" s="547"/>
      <c r="Q153" s="547"/>
      <c r="R153" s="547"/>
      <c r="S153" s="669"/>
      <c r="T153" s="547"/>
      <c r="U153" s="547"/>
      <c r="V153" s="547"/>
      <c r="W153" s="547"/>
      <c r="X153" s="669"/>
      <c r="Y153" s="547"/>
      <c r="Z153" s="547"/>
      <c r="AA153" s="547"/>
      <c r="AB153" s="547"/>
      <c r="AC153" s="669"/>
      <c r="AD153" s="547"/>
      <c r="AE153" s="547"/>
      <c r="AF153" s="547"/>
      <c r="AG153" s="547"/>
      <c r="AH153" s="669"/>
      <c r="AI153" s="547"/>
      <c r="AJ153" s="547"/>
      <c r="AK153" s="547"/>
      <c r="AL153" s="547"/>
      <c r="AM153" s="669"/>
      <c r="AN153" s="547"/>
      <c r="AO153" s="547"/>
      <c r="AP153" s="547"/>
      <c r="AQ153" s="547"/>
      <c r="AR153" s="669"/>
      <c r="AS153" s="547"/>
      <c r="AT153" s="547"/>
      <c r="AU153" s="547"/>
      <c r="AV153" s="547"/>
      <c r="AW153" s="669"/>
      <c r="AX153" s="547"/>
      <c r="AY153" s="547"/>
      <c r="AZ153" s="547"/>
      <c r="BA153" s="547"/>
      <c r="BB153" s="669"/>
      <c r="BC153" s="547"/>
      <c r="BD153" s="547"/>
      <c r="BE153" s="547"/>
      <c r="BF153" s="547"/>
      <c r="BG153" s="669"/>
      <c r="BH153" s="547"/>
      <c r="BI153" s="547"/>
      <c r="BJ153" s="547"/>
      <c r="BK153" s="547"/>
      <c r="BL153" s="669"/>
      <c r="BM153" s="547"/>
      <c r="BN153" s="547"/>
      <c r="BO153" s="547"/>
      <c r="BP153" s="547"/>
      <c r="BQ153" s="669"/>
      <c r="BR153" s="670"/>
      <c r="BS153" s="670"/>
      <c r="BT153" s="547"/>
      <c r="BU153" s="547"/>
      <c r="BV153" s="669"/>
      <c r="BW153" s="547"/>
      <c r="BX153" s="547"/>
      <c r="BY153" s="547"/>
      <c r="BZ153" s="547"/>
      <c r="CA153" s="669"/>
      <c r="CB153" s="547"/>
      <c r="CC153" s="547"/>
      <c r="CD153" s="547"/>
      <c r="CE153" s="547"/>
      <c r="CF153" s="669"/>
      <c r="CG153" s="547"/>
      <c r="CH153" s="547"/>
      <c r="CI153" s="547"/>
      <c r="CJ153" s="547"/>
      <c r="CK153" s="669"/>
      <c r="CL153" s="547"/>
      <c r="CM153" s="547"/>
      <c r="CN153" s="547"/>
      <c r="CO153" s="547"/>
      <c r="CP153" s="669"/>
      <c r="CQ153" s="547"/>
      <c r="CR153" s="547"/>
      <c r="CS153" s="547"/>
      <c r="CT153" s="547"/>
      <c r="CU153" s="669"/>
      <c r="CV153" s="547"/>
      <c r="CW153" s="547"/>
      <c r="CX153" s="547"/>
      <c r="CY153" s="547"/>
      <c r="CZ153" s="669"/>
      <c r="DA153" s="547"/>
      <c r="DB153" s="594"/>
      <c r="DC153" s="547"/>
      <c r="DD153" s="547"/>
      <c r="DE153" s="669"/>
      <c r="DF153" s="547"/>
      <c r="DG153" s="594"/>
      <c r="DH153" s="547"/>
      <c r="DI153" s="547"/>
      <c r="DJ153" s="669"/>
      <c r="DK153" s="547"/>
      <c r="DL153" s="547"/>
      <c r="DM153" s="547"/>
      <c r="DN153" s="547"/>
      <c r="DO153" s="669"/>
      <c r="DP153" s="547"/>
      <c r="DQ153" s="547"/>
      <c r="DR153" s="547"/>
      <c r="DS153" s="547"/>
      <c r="DT153" s="669"/>
      <c r="DU153" s="669"/>
      <c r="DV153" s="669"/>
    </row>
    <row r="154" spans="1:126" s="765" customFormat="1" ht="12.9" customHeight="1">
      <c r="B154" s="532"/>
      <c r="C154" s="618"/>
      <c r="D154" s="618"/>
      <c r="E154" s="618"/>
      <c r="F154" s="618"/>
      <c r="G154" s="618"/>
      <c r="H154" s="618"/>
      <c r="I154" s="618"/>
      <c r="J154" s="619"/>
      <c r="K154" s="619"/>
      <c r="L154" s="619"/>
      <c r="M154" s="619"/>
      <c r="N154" s="618"/>
      <c r="O154" s="619"/>
      <c r="P154" s="619"/>
      <c r="Q154" s="619"/>
      <c r="R154" s="619"/>
      <c r="S154" s="618"/>
      <c r="T154" s="532"/>
      <c r="U154" s="619"/>
      <c r="V154" s="619"/>
      <c r="W154" s="619"/>
      <c r="X154" s="618"/>
      <c r="Y154" s="619"/>
      <c r="Z154" s="619"/>
      <c r="AA154" s="619"/>
      <c r="AB154" s="619"/>
      <c r="AC154" s="618"/>
      <c r="AD154" s="619"/>
      <c r="AE154" s="619"/>
      <c r="AF154" s="619"/>
      <c r="AG154" s="619"/>
      <c r="AH154" s="618"/>
      <c r="AI154" s="619"/>
      <c r="AJ154" s="619"/>
      <c r="AK154" s="619"/>
      <c r="AL154" s="619"/>
      <c r="AM154" s="618"/>
      <c r="AN154" s="619"/>
      <c r="AO154" s="619"/>
      <c r="AP154" s="619"/>
      <c r="AQ154" s="619"/>
      <c r="AR154" s="618"/>
      <c r="AS154" s="620"/>
      <c r="AT154" s="619"/>
      <c r="AU154" s="619"/>
      <c r="AV154" s="619"/>
      <c r="AW154" s="618"/>
      <c r="AX154" s="619"/>
      <c r="AY154" s="619"/>
      <c r="AZ154" s="619"/>
      <c r="BA154" s="619"/>
      <c r="BB154" s="618"/>
      <c r="BC154" s="619"/>
      <c r="BD154" s="619"/>
      <c r="BE154" s="619"/>
      <c r="BF154" s="619"/>
      <c r="BG154" s="618"/>
      <c r="BH154" s="619"/>
      <c r="BI154" s="619"/>
      <c r="BJ154" s="619"/>
      <c r="BK154" s="619"/>
      <c r="BL154" s="618"/>
      <c r="BM154" s="619"/>
      <c r="BN154" s="619"/>
      <c r="BO154" s="619"/>
      <c r="BP154" s="619"/>
      <c r="BQ154" s="618"/>
      <c r="BR154" s="619"/>
      <c r="BS154" s="619"/>
      <c r="BT154" s="619"/>
      <c r="BU154" s="619"/>
      <c r="BV154" s="618"/>
      <c r="BW154" s="619"/>
      <c r="BX154" s="619"/>
      <c r="BY154" s="619"/>
      <c r="BZ154" s="619"/>
      <c r="CA154" s="618"/>
      <c r="CB154" s="619"/>
      <c r="CC154" s="651"/>
      <c r="CD154" s="651"/>
      <c r="CE154" s="619"/>
      <c r="CF154" s="618"/>
      <c r="CG154" s="619"/>
      <c r="CH154" s="651"/>
      <c r="CI154" s="651"/>
      <c r="CJ154" s="619"/>
      <c r="CK154" s="618"/>
      <c r="CL154" s="619"/>
      <c r="CM154" s="619"/>
      <c r="CN154" s="619"/>
      <c r="CO154" s="619"/>
      <c r="CP154" s="618"/>
      <c r="CQ154" s="619"/>
      <c r="CR154" s="619"/>
      <c r="CS154" s="619"/>
      <c r="CT154" s="619"/>
      <c r="CU154" s="618"/>
      <c r="CV154" s="619"/>
      <c r="CW154" s="619"/>
      <c r="CX154" s="619"/>
      <c r="CY154" s="619"/>
      <c r="CZ154" s="618"/>
      <c r="DA154" s="619"/>
      <c r="DB154" s="619"/>
      <c r="DC154" s="619"/>
      <c r="DD154" s="619"/>
      <c r="DE154" s="618"/>
      <c r="DF154" s="619"/>
      <c r="DG154" s="619"/>
      <c r="DH154" s="619"/>
      <c r="DI154" s="619"/>
      <c r="DJ154" s="618"/>
      <c r="DK154" s="619"/>
      <c r="DL154" s="619"/>
      <c r="DM154" s="619"/>
      <c r="DN154" s="619"/>
      <c r="DO154" s="618"/>
      <c r="DP154" s="619"/>
      <c r="DQ154" s="619"/>
      <c r="DR154" s="619"/>
      <c r="DS154" s="619"/>
      <c r="DT154" s="618"/>
      <c r="DU154" s="618"/>
      <c r="DV154" s="618"/>
    </row>
    <row r="155" spans="1:126" s="521" customFormat="1" ht="12.9" customHeight="1">
      <c r="B155" s="526" t="s">
        <v>76</v>
      </c>
      <c r="C155" s="523"/>
      <c r="D155" s="523"/>
      <c r="E155" s="523"/>
      <c r="F155" s="523"/>
      <c r="G155" s="523"/>
      <c r="H155" s="523"/>
      <c r="I155" s="523"/>
      <c r="J155" s="524"/>
      <c r="K155" s="524"/>
      <c r="L155" s="524"/>
      <c r="M155" s="525"/>
      <c r="N155" s="523"/>
      <c r="O155" s="524"/>
      <c r="P155" s="524"/>
      <c r="Q155" s="524"/>
      <c r="R155" s="525"/>
      <c r="S155" s="523"/>
      <c r="T155" s="524"/>
      <c r="U155" s="524"/>
      <c r="V155" s="524"/>
      <c r="W155" s="525"/>
      <c r="X155" s="523"/>
      <c r="Y155" s="524"/>
      <c r="Z155" s="524"/>
      <c r="AA155" s="524"/>
      <c r="AB155" s="525"/>
      <c r="AC155" s="523"/>
      <c r="AD155" s="524"/>
      <c r="AE155" s="524"/>
      <c r="AF155" s="524"/>
      <c r="AG155" s="525"/>
      <c r="AH155" s="523"/>
      <c r="AI155" s="524"/>
      <c r="AJ155" s="524"/>
      <c r="AK155" s="524"/>
      <c r="AL155" s="525"/>
      <c r="AM155" s="523"/>
      <c r="AN155" s="524"/>
      <c r="AO155" s="524"/>
      <c r="AP155" s="524"/>
      <c r="AQ155" s="525"/>
      <c r="AR155" s="523"/>
      <c r="AS155" s="524"/>
      <c r="AT155" s="524"/>
      <c r="AU155" s="524"/>
      <c r="AV155" s="525"/>
      <c r="AW155" s="523"/>
      <c r="AX155" s="524"/>
      <c r="AY155" s="524"/>
      <c r="AZ155" s="524"/>
      <c r="BA155" s="525"/>
      <c r="BB155" s="523"/>
      <c r="BC155" s="524"/>
      <c r="BD155" s="524"/>
      <c r="BE155" s="524"/>
      <c r="BF155" s="525"/>
      <c r="BG155" s="523"/>
      <c r="BH155" s="524"/>
      <c r="BI155" s="524"/>
      <c r="BJ155" s="524"/>
      <c r="BK155" s="525"/>
      <c r="BL155" s="523"/>
      <c r="BM155" s="524"/>
      <c r="BN155" s="524"/>
      <c r="BO155" s="524"/>
      <c r="BP155" s="525"/>
      <c r="BQ155" s="523"/>
      <c r="BR155" s="524"/>
      <c r="BS155" s="524"/>
      <c r="BT155" s="524"/>
      <c r="BU155" s="525"/>
      <c r="BV155" s="523"/>
      <c r="BW155" s="524"/>
      <c r="BX155" s="524"/>
      <c r="BY155" s="524"/>
      <c r="BZ155" s="525"/>
      <c r="CA155" s="523"/>
      <c r="CB155" s="524"/>
      <c r="CC155" s="524"/>
      <c r="CD155" s="524"/>
      <c r="CE155" s="525"/>
      <c r="CF155" s="523"/>
      <c r="CG155" s="524"/>
      <c r="CH155" s="524"/>
      <c r="CI155" s="524"/>
      <c r="CJ155" s="525"/>
      <c r="CK155" s="523"/>
      <c r="CL155" s="524"/>
      <c r="CM155" s="524"/>
      <c r="CN155" s="524"/>
      <c r="CO155" s="525"/>
      <c r="CP155" s="523"/>
      <c r="CQ155" s="524"/>
      <c r="CR155" s="524"/>
      <c r="CS155" s="524"/>
      <c r="CT155" s="525"/>
      <c r="CU155" s="523"/>
      <c r="CV155" s="524"/>
      <c r="CW155" s="524"/>
      <c r="CX155" s="524"/>
      <c r="CY155" s="525"/>
      <c r="CZ155" s="523"/>
      <c r="DA155" s="524"/>
      <c r="DB155" s="524"/>
      <c r="DC155" s="524"/>
      <c r="DD155" s="525"/>
      <c r="DE155" s="523"/>
      <c r="DF155" s="524"/>
      <c r="DG155" s="524"/>
      <c r="DH155" s="524"/>
      <c r="DI155" s="525"/>
      <c r="DJ155" s="523"/>
      <c r="DK155" s="524"/>
      <c r="DL155" s="524"/>
      <c r="DM155" s="524"/>
      <c r="DN155" s="525"/>
      <c r="DO155" s="523"/>
      <c r="DP155" s="524"/>
      <c r="DQ155" s="524"/>
      <c r="DR155" s="524"/>
      <c r="DS155" s="525"/>
      <c r="DT155" s="523"/>
      <c r="DU155" s="523"/>
      <c r="DV155" s="523"/>
    </row>
    <row r="156" spans="1:126" s="766" customFormat="1" ht="12.9" customHeight="1">
      <c r="B156" s="660" t="s">
        <v>435</v>
      </c>
      <c r="C156" s="789"/>
      <c r="D156" s="789"/>
      <c r="E156" s="789"/>
      <c r="F156" s="789"/>
      <c r="G156" s="789"/>
      <c r="H156" s="789"/>
      <c r="I156" s="789"/>
      <c r="J156" s="790"/>
      <c r="K156" s="790"/>
      <c r="L156" s="790"/>
      <c r="M156" s="790"/>
      <c r="N156" s="789"/>
      <c r="O156" s="790"/>
      <c r="P156" s="790"/>
      <c r="Q156" s="790"/>
      <c r="R156" s="790"/>
      <c r="S156" s="789"/>
      <c r="T156" s="790"/>
      <c r="U156" s="790"/>
      <c r="V156" s="790"/>
      <c r="W156" s="790"/>
      <c r="X156" s="789"/>
      <c r="Y156" s="790"/>
      <c r="Z156" s="790"/>
      <c r="AA156" s="790"/>
      <c r="AB156" s="790"/>
      <c r="AC156" s="789"/>
      <c r="AD156" s="790"/>
      <c r="AE156" s="790"/>
      <c r="AF156" s="790"/>
      <c r="AG156" s="790"/>
      <c r="AH156" s="789"/>
      <c r="AI156" s="790"/>
      <c r="AJ156" s="790"/>
      <c r="AK156" s="790"/>
      <c r="AL156" s="790"/>
      <c r="AM156" s="789"/>
      <c r="AN156" s="790"/>
      <c r="AO156" s="790"/>
      <c r="AP156" s="790"/>
      <c r="AQ156" s="790"/>
      <c r="AR156" s="789"/>
      <c r="AS156" s="790"/>
      <c r="AT156" s="790"/>
      <c r="AU156" s="790"/>
      <c r="AV156" s="790"/>
      <c r="AW156" s="789"/>
      <c r="AX156" s="790"/>
      <c r="AY156" s="790"/>
      <c r="AZ156" s="790"/>
      <c r="BA156" s="790"/>
      <c r="BB156" s="789"/>
      <c r="BC156" s="790"/>
      <c r="BD156" s="790"/>
      <c r="BE156" s="790"/>
      <c r="BF156" s="790"/>
      <c r="BG156" s="789"/>
      <c r="BH156" s="790"/>
      <c r="BI156" s="790"/>
      <c r="BJ156" s="790"/>
      <c r="BK156" s="790"/>
      <c r="BL156" s="789"/>
      <c r="BM156" s="790"/>
      <c r="BN156" s="790"/>
      <c r="BO156" s="790"/>
      <c r="BP156" s="790"/>
      <c r="BQ156" s="789"/>
      <c r="BR156" s="790"/>
      <c r="BS156" s="790"/>
      <c r="BT156" s="790"/>
      <c r="BU156" s="790"/>
      <c r="BV156" s="789"/>
      <c r="BW156" s="790"/>
      <c r="BX156" s="790"/>
      <c r="BY156" s="790"/>
      <c r="BZ156" s="790"/>
      <c r="CA156" s="789"/>
      <c r="CB156" s="790"/>
      <c r="CC156" s="790"/>
      <c r="CD156" s="790"/>
      <c r="CE156" s="790"/>
      <c r="CF156" s="789"/>
      <c r="CG156" s="791"/>
      <c r="CH156" s="790"/>
      <c r="CI156" s="790"/>
      <c r="CJ156" s="790"/>
      <c r="CK156" s="789"/>
      <c r="CL156" s="791"/>
      <c r="CM156" s="790"/>
      <c r="CN156" s="790"/>
      <c r="CO156" s="790"/>
      <c r="CP156" s="789"/>
      <c r="CQ156" s="790"/>
      <c r="CR156" s="791" t="s">
        <v>441</v>
      </c>
      <c r="CS156" s="790"/>
      <c r="CT156" s="790"/>
      <c r="CU156" s="789"/>
      <c r="CV156" s="790"/>
      <c r="CW156" s="790"/>
      <c r="CX156" s="790"/>
      <c r="CY156" s="790"/>
      <c r="CZ156" s="789"/>
      <c r="DA156" s="790"/>
      <c r="DB156" s="790"/>
      <c r="DC156" s="790"/>
      <c r="DD156" s="791" t="s">
        <v>441</v>
      </c>
      <c r="DE156" s="789"/>
      <c r="DF156" s="790"/>
      <c r="DG156" s="790"/>
      <c r="DH156" s="790"/>
      <c r="DI156" s="790"/>
      <c r="DJ156" s="789"/>
      <c r="DK156" s="790"/>
      <c r="DL156" s="790"/>
      <c r="DM156" s="790"/>
      <c r="DN156" s="790"/>
      <c r="DO156" s="789"/>
      <c r="DP156" s="790"/>
      <c r="DQ156" s="790"/>
      <c r="DR156" s="790"/>
      <c r="DS156" s="790"/>
      <c r="DT156" s="789"/>
      <c r="DU156" s="789"/>
      <c r="DV156" s="789"/>
    </row>
    <row r="157" spans="1:126" s="651" customFormat="1" ht="12.9" customHeight="1">
      <c r="B157" s="663" t="s">
        <v>402</v>
      </c>
      <c r="C157" s="664"/>
      <c r="D157" s="664"/>
      <c r="E157" s="664"/>
      <c r="F157" s="664"/>
      <c r="G157" s="664"/>
      <c r="H157" s="664"/>
      <c r="I157" s="664"/>
      <c r="N157" s="664"/>
      <c r="S157" s="664"/>
      <c r="X157" s="664"/>
      <c r="AC157" s="664"/>
      <c r="AH157" s="664"/>
      <c r="AM157" s="664"/>
      <c r="AR157" s="664"/>
      <c r="AW157" s="664"/>
      <c r="BB157" s="664"/>
      <c r="BG157" s="664">
        <v>28.4</v>
      </c>
      <c r="BL157" s="664">
        <v>32.799999999999997</v>
      </c>
      <c r="BM157" s="651">
        <v>34.1</v>
      </c>
      <c r="BN157" s="651">
        <v>35.299999999999997</v>
      </c>
      <c r="BO157" s="651">
        <v>35.299999999999997</v>
      </c>
      <c r="BP157" s="651">
        <f>BQ157</f>
        <v>34.9</v>
      </c>
      <c r="BQ157" s="664">
        <v>34.9</v>
      </c>
      <c r="BR157" s="673">
        <v>34.799999999999997</v>
      </c>
      <c r="BS157" s="673">
        <v>34.299999999999997</v>
      </c>
      <c r="BT157" s="651">
        <v>33.700000000000003</v>
      </c>
      <c r="BU157" s="651">
        <f>BV157</f>
        <v>33.299999999999997</v>
      </c>
      <c r="BV157" s="664">
        <v>33.299999999999997</v>
      </c>
      <c r="BW157" s="651">
        <v>34.5</v>
      </c>
      <c r="BX157" s="651">
        <v>34.9</v>
      </c>
      <c r="BY157" s="651">
        <v>34.700000000000003</v>
      </c>
      <c r="BZ157" s="651">
        <f>CA157</f>
        <v>34.1</v>
      </c>
      <c r="CA157" s="664">
        <v>34.1</v>
      </c>
      <c r="CB157" s="651">
        <v>34.5</v>
      </c>
      <c r="CC157" s="651">
        <v>36.1</v>
      </c>
      <c r="CD157" s="651">
        <v>37.799999999999997</v>
      </c>
      <c r="CE157" s="651">
        <f>CF157</f>
        <v>37.799999999999997</v>
      </c>
      <c r="CF157" s="664">
        <v>37.799999999999997</v>
      </c>
      <c r="CG157" s="651">
        <v>38</v>
      </c>
      <c r="CH157" s="651">
        <v>38.200000000000003</v>
      </c>
      <c r="CI157" s="651">
        <v>38.212000000000003</v>
      </c>
      <c r="CJ157" s="651">
        <v>39.131</v>
      </c>
      <c r="CK157" s="664">
        <f>CJ157</f>
        <v>39.131</v>
      </c>
      <c r="CL157" s="820">
        <v>39.154000000000003</v>
      </c>
      <c r="CM157" s="651">
        <v>36.700000000000003</v>
      </c>
      <c r="CN157" s="651">
        <v>34.777999999999999</v>
      </c>
      <c r="CO157" s="651">
        <v>34.485999999999997</v>
      </c>
      <c r="CP157" s="664">
        <f>CO157</f>
        <v>34.485999999999997</v>
      </c>
      <c r="CQ157" s="820">
        <v>34.332999999999998</v>
      </c>
      <c r="CT157" s="651">
        <v>36.299999999999997</v>
      </c>
      <c r="CU157" s="664">
        <f>CT157</f>
        <v>36.299999999999997</v>
      </c>
      <c r="CY157" s="820">
        <v>39.700000000000003</v>
      </c>
      <c r="CZ157" s="664">
        <f>CY157</f>
        <v>39.700000000000003</v>
      </c>
      <c r="DD157" s="820"/>
      <c r="DE157" s="664"/>
      <c r="DJ157" s="664"/>
      <c r="DO157" s="664"/>
      <c r="DT157" s="664"/>
      <c r="DU157" s="664"/>
      <c r="DV157" s="664"/>
    </row>
    <row r="158" spans="1:126" s="651" customFormat="1" ht="12.9" customHeight="1">
      <c r="B158" s="666" t="s">
        <v>24</v>
      </c>
      <c r="C158" s="667"/>
      <c r="D158" s="667"/>
      <c r="E158" s="667"/>
      <c r="F158" s="667"/>
      <c r="G158" s="667"/>
      <c r="H158" s="667"/>
      <c r="I158" s="667"/>
      <c r="J158" s="656"/>
      <c r="K158" s="656"/>
      <c r="L158" s="656"/>
      <c r="M158" s="656"/>
      <c r="N158" s="667"/>
      <c r="O158" s="656"/>
      <c r="P158" s="656"/>
      <c r="Q158" s="656"/>
      <c r="R158" s="656"/>
      <c r="S158" s="667"/>
      <c r="T158" s="656"/>
      <c r="U158" s="656"/>
      <c r="V158" s="656"/>
      <c r="W158" s="656"/>
      <c r="X158" s="667"/>
      <c r="Y158" s="656"/>
      <c r="Z158" s="656"/>
      <c r="AA158" s="656"/>
      <c r="AB158" s="656"/>
      <c r="AC158" s="667"/>
      <c r="AD158" s="656"/>
      <c r="AE158" s="656"/>
      <c r="AF158" s="656"/>
      <c r="AG158" s="656"/>
      <c r="AH158" s="667"/>
      <c r="AI158" s="656"/>
      <c r="AJ158" s="656"/>
      <c r="AK158" s="656"/>
      <c r="AL158" s="656"/>
      <c r="AM158" s="667"/>
      <c r="AN158" s="656"/>
      <c r="AO158" s="656"/>
      <c r="AP158" s="656"/>
      <c r="AQ158" s="656"/>
      <c r="AR158" s="667"/>
      <c r="AS158" s="656"/>
      <c r="AT158" s="656"/>
      <c r="AU158" s="656"/>
      <c r="AV158" s="656"/>
      <c r="AW158" s="667"/>
      <c r="AX158" s="656"/>
      <c r="AY158" s="656"/>
      <c r="AZ158" s="656"/>
      <c r="BA158" s="656"/>
      <c r="BB158" s="667"/>
      <c r="BC158" s="656"/>
      <c r="BD158" s="656"/>
      <c r="BE158" s="656"/>
      <c r="BF158" s="656"/>
      <c r="BG158" s="667">
        <v>96.7</v>
      </c>
      <c r="BH158" s="656"/>
      <c r="BI158" s="656"/>
      <c r="BJ158" s="656"/>
      <c r="BK158" s="656"/>
      <c r="BL158" s="667">
        <v>101.4</v>
      </c>
      <c r="BM158" s="656">
        <v>106.4</v>
      </c>
      <c r="BN158" s="656">
        <v>106.9</v>
      </c>
      <c r="BO158" s="656">
        <v>106.4</v>
      </c>
      <c r="BP158" s="656">
        <f>BQ158</f>
        <v>116.3</v>
      </c>
      <c r="BQ158" s="667">
        <v>116.3</v>
      </c>
      <c r="BR158" s="767">
        <v>118.6</v>
      </c>
      <c r="BS158" s="767">
        <v>121.8</v>
      </c>
      <c r="BT158" s="656">
        <v>122.1</v>
      </c>
      <c r="BU158" s="656">
        <f>BV158</f>
        <v>121.3</v>
      </c>
      <c r="BV158" s="667">
        <v>121.3</v>
      </c>
      <c r="BW158" s="656">
        <v>144.69999999999999</v>
      </c>
      <c r="BX158" s="656">
        <v>146.9</v>
      </c>
      <c r="BY158" s="656">
        <v>153.1</v>
      </c>
      <c r="BZ158" s="656">
        <f>CA158</f>
        <v>166.1</v>
      </c>
      <c r="CA158" s="667">
        <v>166.1</v>
      </c>
      <c r="CB158" s="656">
        <v>167.1</v>
      </c>
      <c r="CC158" s="656">
        <v>171.9</v>
      </c>
      <c r="CD158" s="656">
        <v>173.1</v>
      </c>
      <c r="CE158" s="656">
        <f>CF158</f>
        <v>185.7</v>
      </c>
      <c r="CF158" s="667">
        <v>185.7</v>
      </c>
      <c r="CG158" s="656">
        <v>185.4</v>
      </c>
      <c r="CH158" s="656">
        <v>205.7</v>
      </c>
      <c r="CI158" s="656">
        <v>214.68600000000001</v>
      </c>
      <c r="CJ158" s="656">
        <v>234.114</v>
      </c>
      <c r="CK158" s="667">
        <f>CJ158</f>
        <v>234.114</v>
      </c>
      <c r="CL158" s="830">
        <v>234.078</v>
      </c>
      <c r="CM158" s="656">
        <v>221.6</v>
      </c>
      <c r="CN158" s="656">
        <v>227.01300000000001</v>
      </c>
      <c r="CO158" s="656">
        <v>225.92699999999999</v>
      </c>
      <c r="CP158" s="667">
        <f>CO158</f>
        <v>225.92699999999999</v>
      </c>
      <c r="CQ158" s="830">
        <v>225.03200000000001</v>
      </c>
      <c r="CR158" s="656"/>
      <c r="CS158" s="656"/>
      <c r="CT158" s="656">
        <v>267.10000000000002</v>
      </c>
      <c r="CU158" s="667">
        <f>CT158</f>
        <v>267.10000000000002</v>
      </c>
      <c r="CV158" s="656"/>
      <c r="CW158" s="656"/>
      <c r="CX158" s="656"/>
      <c r="CY158" s="830">
        <v>312.89999999999998</v>
      </c>
      <c r="CZ158" s="667">
        <f>CY158</f>
        <v>312.89999999999998</v>
      </c>
      <c r="DA158" s="656"/>
      <c r="DB158" s="656"/>
      <c r="DC158" s="656"/>
      <c r="DD158" s="830"/>
      <c r="DE158" s="667"/>
      <c r="DF158" s="656"/>
      <c r="DG158" s="656"/>
      <c r="DH158" s="656"/>
      <c r="DI158" s="656"/>
      <c r="DJ158" s="667"/>
      <c r="DK158" s="656"/>
      <c r="DL158" s="656"/>
      <c r="DM158" s="656"/>
      <c r="DN158" s="656"/>
      <c r="DO158" s="667"/>
      <c r="DP158" s="656"/>
      <c r="DQ158" s="656"/>
      <c r="DR158" s="656"/>
      <c r="DS158" s="656"/>
      <c r="DT158" s="667"/>
      <c r="DU158" s="667"/>
      <c r="DV158" s="667"/>
    </row>
    <row r="159" spans="1:126" s="768" customFormat="1" ht="12.9" customHeight="1">
      <c r="B159" s="668" t="s">
        <v>430</v>
      </c>
      <c r="C159" s="691"/>
      <c r="D159" s="691"/>
      <c r="E159" s="691"/>
      <c r="F159" s="691"/>
      <c r="G159" s="691"/>
      <c r="H159" s="691"/>
      <c r="I159" s="691"/>
      <c r="J159" s="660"/>
      <c r="K159" s="660"/>
      <c r="L159" s="660"/>
      <c r="M159" s="660"/>
      <c r="N159" s="691"/>
      <c r="O159" s="660"/>
      <c r="P159" s="660"/>
      <c r="Q159" s="660"/>
      <c r="R159" s="660"/>
      <c r="S159" s="691"/>
      <c r="T159" s="660"/>
      <c r="U159" s="660"/>
      <c r="V159" s="660"/>
      <c r="W159" s="660"/>
      <c r="X159" s="691"/>
      <c r="Y159" s="660"/>
      <c r="Z159" s="660"/>
      <c r="AA159" s="660"/>
      <c r="AB159" s="660"/>
      <c r="AC159" s="691"/>
      <c r="AD159" s="660"/>
      <c r="AE159" s="660"/>
      <c r="AF159" s="660"/>
      <c r="AG159" s="660"/>
      <c r="AH159" s="691"/>
      <c r="AI159" s="660"/>
      <c r="AJ159" s="660"/>
      <c r="AK159" s="660"/>
      <c r="AL159" s="660"/>
      <c r="AM159" s="691"/>
      <c r="AN159" s="660"/>
      <c r="AO159" s="660"/>
      <c r="AP159" s="660"/>
      <c r="AQ159" s="660"/>
      <c r="AR159" s="691"/>
      <c r="AS159" s="660"/>
      <c r="AT159" s="660"/>
      <c r="AU159" s="660"/>
      <c r="AV159" s="660"/>
      <c r="AW159" s="691"/>
      <c r="AX159" s="660"/>
      <c r="AY159" s="660"/>
      <c r="AZ159" s="660"/>
      <c r="BA159" s="660"/>
      <c r="BB159" s="691"/>
      <c r="BC159" s="660"/>
      <c r="BD159" s="660"/>
      <c r="BE159" s="660"/>
      <c r="BF159" s="660"/>
      <c r="BG159" s="691">
        <f>SUM(BG157:BG158)</f>
        <v>125.1</v>
      </c>
      <c r="BH159" s="660"/>
      <c r="BI159" s="660"/>
      <c r="BJ159" s="660"/>
      <c r="BK159" s="660"/>
      <c r="BL159" s="691">
        <f>SUM(BL157:BL158)</f>
        <v>134.19999999999999</v>
      </c>
      <c r="BM159" s="660">
        <f>SUM(BM157:BM158)</f>
        <v>140.5</v>
      </c>
      <c r="BN159" s="660">
        <f>SUM(BN157:BN158)</f>
        <v>142.19999999999999</v>
      </c>
      <c r="BO159" s="660">
        <f>SUM(BO157:BO158)</f>
        <v>141.69999999999999</v>
      </c>
      <c r="BP159" s="660">
        <f>BQ159</f>
        <v>151.19999999999999</v>
      </c>
      <c r="BQ159" s="691">
        <f>SUM(BQ157:BQ158)</f>
        <v>151.19999999999999</v>
      </c>
      <c r="BR159" s="660">
        <f>SUM(BR157:BR158)</f>
        <v>153.39999999999998</v>
      </c>
      <c r="BS159" s="660">
        <f>SUM(BS157:BS158)</f>
        <v>156.1</v>
      </c>
      <c r="BT159" s="660">
        <f>SUM(BT157:BT158)</f>
        <v>155.80000000000001</v>
      </c>
      <c r="BU159" s="660">
        <f>BV159</f>
        <v>154.6</v>
      </c>
      <c r="BV159" s="691">
        <f>SUM(BV157:BV158)</f>
        <v>154.6</v>
      </c>
      <c r="BW159" s="660">
        <f>SUM(BW157:BW158)</f>
        <v>179.2</v>
      </c>
      <c r="BX159" s="660">
        <f>SUM(BX157:BX158)</f>
        <v>181.8</v>
      </c>
      <c r="BY159" s="660">
        <f>SUM(BY157:BY158)</f>
        <v>187.8</v>
      </c>
      <c r="BZ159" s="660">
        <f>CA159</f>
        <v>200.2</v>
      </c>
      <c r="CA159" s="691">
        <f t="shared" ref="CA159:CN159" si="265">SUM(CA157:CA158)</f>
        <v>200.2</v>
      </c>
      <c r="CB159" s="660">
        <f t="shared" si="265"/>
        <v>201.6</v>
      </c>
      <c r="CC159" s="660">
        <f t="shared" si="265"/>
        <v>208</v>
      </c>
      <c r="CD159" s="660">
        <f t="shared" si="265"/>
        <v>210.89999999999998</v>
      </c>
      <c r="CE159" s="769">
        <f t="shared" si="265"/>
        <v>223.5</v>
      </c>
      <c r="CF159" s="691">
        <f t="shared" si="265"/>
        <v>223.5</v>
      </c>
      <c r="CG159" s="660">
        <f t="shared" si="265"/>
        <v>223.4</v>
      </c>
      <c r="CH159" s="660">
        <f t="shared" si="265"/>
        <v>243.89999999999998</v>
      </c>
      <c r="CI159" s="660">
        <f t="shared" si="265"/>
        <v>252.89800000000002</v>
      </c>
      <c r="CJ159" s="660">
        <f t="shared" si="265"/>
        <v>273.245</v>
      </c>
      <c r="CK159" s="691">
        <f t="shared" si="265"/>
        <v>273.245</v>
      </c>
      <c r="CL159" s="660">
        <f t="shared" si="265"/>
        <v>273.23200000000003</v>
      </c>
      <c r="CM159" s="660">
        <f t="shared" si="265"/>
        <v>258.3</v>
      </c>
      <c r="CN159" s="660">
        <f t="shared" si="265"/>
        <v>261.791</v>
      </c>
      <c r="CO159" s="660">
        <v>260.39999999999998</v>
      </c>
      <c r="CP159" s="691">
        <f>CO159</f>
        <v>260.39999999999998</v>
      </c>
      <c r="CQ159" s="660">
        <f>SUM(CQ157:CQ158)</f>
        <v>259.36500000000001</v>
      </c>
      <c r="CR159" s="660"/>
      <c r="CS159" s="660"/>
      <c r="CT159" s="660">
        <f>SUM(CT157:CT158)</f>
        <v>303.40000000000003</v>
      </c>
      <c r="CU159" s="691">
        <f>CT159</f>
        <v>303.40000000000003</v>
      </c>
      <c r="CV159" s="660"/>
      <c r="CW159" s="660"/>
      <c r="CX159" s="660"/>
      <c r="CY159" s="660">
        <f>SUM(CY157:CY158)</f>
        <v>352.59999999999997</v>
      </c>
      <c r="CZ159" s="691">
        <f>CY159</f>
        <v>352.59999999999997</v>
      </c>
      <c r="DA159" s="660"/>
      <c r="DB159" s="660"/>
      <c r="DC159" s="660"/>
      <c r="DD159" s="660"/>
      <c r="DE159" s="691"/>
      <c r="DF159" s="660"/>
      <c r="DG159" s="660"/>
      <c r="DH159" s="660"/>
      <c r="DI159" s="660"/>
      <c r="DJ159" s="691"/>
      <c r="DK159" s="660"/>
      <c r="DL159" s="660"/>
      <c r="DM159" s="660"/>
      <c r="DN159" s="660"/>
      <c r="DO159" s="691"/>
      <c r="DP159" s="660"/>
      <c r="DQ159" s="660"/>
      <c r="DR159" s="660"/>
      <c r="DS159" s="660"/>
      <c r="DT159" s="691"/>
      <c r="DU159" s="691"/>
      <c r="DV159" s="691"/>
    </row>
    <row r="160" spans="1:126" s="766" customFormat="1" ht="12.9" customHeight="1">
      <c r="B160" s="646"/>
      <c r="C160" s="636"/>
      <c r="D160" s="636"/>
      <c r="E160" s="636"/>
      <c r="F160" s="636"/>
      <c r="G160" s="636"/>
      <c r="H160" s="636"/>
      <c r="I160" s="636"/>
      <c r="J160" s="637"/>
      <c r="K160" s="637"/>
      <c r="L160" s="637"/>
      <c r="M160" s="637"/>
      <c r="N160" s="636"/>
      <c r="O160" s="637"/>
      <c r="P160" s="637"/>
      <c r="Q160" s="637"/>
      <c r="R160" s="637"/>
      <c r="S160" s="636"/>
      <c r="T160" s="637"/>
      <c r="U160" s="637"/>
      <c r="V160" s="637"/>
      <c r="W160" s="637"/>
      <c r="X160" s="636"/>
      <c r="Y160" s="637"/>
      <c r="Z160" s="637"/>
      <c r="AA160" s="637"/>
      <c r="AB160" s="637"/>
      <c r="AC160" s="636"/>
      <c r="AD160" s="637"/>
      <c r="AE160" s="637"/>
      <c r="AF160" s="637"/>
      <c r="AG160" s="637"/>
      <c r="AH160" s="636"/>
      <c r="AI160" s="637"/>
      <c r="AJ160" s="637"/>
      <c r="AK160" s="637"/>
      <c r="AL160" s="637"/>
      <c r="AM160" s="636"/>
      <c r="AN160" s="637"/>
      <c r="AO160" s="637"/>
      <c r="AP160" s="637"/>
      <c r="AQ160" s="637"/>
      <c r="AR160" s="636"/>
      <c r="AS160" s="637"/>
      <c r="AT160" s="637"/>
      <c r="AU160" s="637"/>
      <c r="AV160" s="637"/>
      <c r="AW160" s="636"/>
      <c r="AX160" s="637"/>
      <c r="AY160" s="637"/>
      <c r="AZ160" s="637"/>
      <c r="BA160" s="637"/>
      <c r="BB160" s="636"/>
      <c r="BC160" s="637"/>
      <c r="BD160" s="637"/>
      <c r="BE160" s="637"/>
      <c r="BF160" s="637"/>
      <c r="BG160" s="636"/>
      <c r="BH160" s="637"/>
      <c r="BI160" s="637"/>
      <c r="BJ160" s="637"/>
      <c r="BK160" s="637"/>
      <c r="BL160" s="636"/>
      <c r="BM160" s="637"/>
      <c r="BN160" s="637"/>
      <c r="BO160" s="637"/>
      <c r="BP160" s="637"/>
      <c r="BQ160" s="636"/>
      <c r="BR160" s="637"/>
      <c r="BS160" s="637"/>
      <c r="BT160" s="637"/>
      <c r="BU160" s="637"/>
      <c r="BV160" s="636"/>
      <c r="BW160" s="637"/>
      <c r="BX160" s="637"/>
      <c r="BY160" s="637"/>
      <c r="BZ160" s="637"/>
      <c r="CA160" s="636"/>
      <c r="CB160" s="637"/>
      <c r="CC160" s="637"/>
      <c r="CD160" s="637"/>
      <c r="CE160" s="637"/>
      <c r="CF160" s="636"/>
      <c r="CG160" s="637"/>
      <c r="CH160" s="637"/>
      <c r="CI160" s="637"/>
      <c r="CJ160" s="638"/>
      <c r="CK160" s="636"/>
      <c r="CL160" s="637"/>
      <c r="CM160" s="637"/>
      <c r="CN160" s="637"/>
      <c r="CO160" s="637"/>
      <c r="CP160" s="636"/>
      <c r="CQ160" s="637"/>
      <c r="CR160" s="637"/>
      <c r="CS160" s="637"/>
      <c r="CT160" s="637"/>
      <c r="CU160" s="636"/>
      <c r="CV160" s="637"/>
      <c r="CW160" s="637"/>
      <c r="CX160" s="637"/>
      <c r="CY160" s="637"/>
      <c r="CZ160" s="636"/>
      <c r="DA160" s="637"/>
      <c r="DB160" s="637"/>
      <c r="DC160" s="637"/>
      <c r="DD160" s="637"/>
      <c r="DE160" s="636"/>
      <c r="DF160" s="637"/>
      <c r="DG160" s="637"/>
      <c r="DH160" s="637"/>
      <c r="DI160" s="637"/>
      <c r="DJ160" s="636"/>
      <c r="DK160" s="637"/>
      <c r="DL160" s="637"/>
      <c r="DM160" s="637"/>
      <c r="DN160" s="637"/>
      <c r="DO160" s="636"/>
      <c r="DP160" s="637"/>
      <c r="DQ160" s="637"/>
      <c r="DR160" s="637"/>
      <c r="DS160" s="637"/>
      <c r="DT160" s="636"/>
      <c r="DU160" s="636"/>
      <c r="DV160" s="636"/>
    </row>
    <row r="161" spans="2:126" s="766" customFormat="1" ht="12.9" customHeight="1">
      <c r="B161" s="660" t="s">
        <v>436</v>
      </c>
      <c r="C161" s="789"/>
      <c r="D161" s="789"/>
      <c r="E161" s="789"/>
      <c r="F161" s="789"/>
      <c r="G161" s="789"/>
      <c r="H161" s="789"/>
      <c r="I161" s="789"/>
      <c r="J161" s="790"/>
      <c r="K161" s="790"/>
      <c r="L161" s="790"/>
      <c r="M161" s="790"/>
      <c r="N161" s="789"/>
      <c r="O161" s="790"/>
      <c r="P161" s="790"/>
      <c r="Q161" s="790"/>
      <c r="R161" s="790"/>
      <c r="S161" s="789"/>
      <c r="T161" s="790"/>
      <c r="U161" s="790"/>
      <c r="V161" s="790"/>
      <c r="W161" s="790"/>
      <c r="X161" s="789"/>
      <c r="Y161" s="790"/>
      <c r="Z161" s="790"/>
      <c r="AA161" s="790"/>
      <c r="AB161" s="790"/>
      <c r="AC161" s="789"/>
      <c r="AD161" s="790"/>
      <c r="AE161" s="790"/>
      <c r="AF161" s="790"/>
      <c r="AG161" s="790"/>
      <c r="AH161" s="789"/>
      <c r="AI161" s="790"/>
      <c r="AJ161" s="790"/>
      <c r="AK161" s="790"/>
      <c r="AL161" s="790"/>
      <c r="AM161" s="789"/>
      <c r="AN161" s="790"/>
      <c r="AO161" s="790"/>
      <c r="AP161" s="790"/>
      <c r="AQ161" s="790"/>
      <c r="AR161" s="789"/>
      <c r="AS161" s="790"/>
      <c r="AT161" s="790"/>
      <c r="AU161" s="790"/>
      <c r="AV161" s="790"/>
      <c r="AW161" s="789"/>
      <c r="AX161" s="790"/>
      <c r="AY161" s="790"/>
      <c r="AZ161" s="790"/>
      <c r="BA161" s="790"/>
      <c r="BB161" s="789"/>
      <c r="BC161" s="790"/>
      <c r="BD161" s="790"/>
      <c r="BE161" s="790"/>
      <c r="BF161" s="790"/>
      <c r="BG161" s="789"/>
      <c r="BH161" s="790"/>
      <c r="BI161" s="790"/>
      <c r="BJ161" s="790"/>
      <c r="BK161" s="790"/>
      <c r="BL161" s="789"/>
      <c r="BM161" s="790"/>
      <c r="BN161" s="790"/>
      <c r="BO161" s="790"/>
      <c r="BP161" s="790"/>
      <c r="BQ161" s="789"/>
      <c r="BR161" s="790"/>
      <c r="BS161" s="790"/>
      <c r="BT161" s="790"/>
      <c r="BU161" s="790"/>
      <c r="BV161" s="789"/>
      <c r="BW161" s="790"/>
      <c r="BX161" s="790"/>
      <c r="BY161" s="790"/>
      <c r="BZ161" s="790"/>
      <c r="CA161" s="789"/>
      <c r="CB161" s="790"/>
      <c r="CC161" s="790"/>
      <c r="CD161" s="790"/>
      <c r="CE161" s="790"/>
      <c r="CF161" s="789"/>
      <c r="CG161" s="791"/>
      <c r="CH161" s="790"/>
      <c r="CI161" s="790"/>
      <c r="CJ161" s="790"/>
      <c r="CK161" s="789"/>
      <c r="CL161" s="791"/>
      <c r="CM161" s="790"/>
      <c r="CN161" s="790"/>
      <c r="CO161" s="790"/>
      <c r="CP161" s="789"/>
      <c r="CQ161" s="791"/>
      <c r="CR161" s="791" t="s">
        <v>441</v>
      </c>
      <c r="CS161" s="790"/>
      <c r="CT161" s="790"/>
      <c r="CU161" s="789"/>
      <c r="CV161" s="790"/>
      <c r="CW161" s="790"/>
      <c r="CX161" s="790"/>
      <c r="CY161" s="790"/>
      <c r="CZ161" s="789"/>
      <c r="DA161" s="790"/>
      <c r="DB161" s="790"/>
      <c r="DC161" s="790"/>
      <c r="DD161" s="790"/>
      <c r="DE161" s="789"/>
      <c r="DF161" s="790"/>
      <c r="DG161" s="790"/>
      <c r="DH161" s="790"/>
      <c r="DI161" s="790"/>
      <c r="DJ161" s="789"/>
      <c r="DK161" s="790"/>
      <c r="DL161" s="790"/>
      <c r="DM161" s="790"/>
      <c r="DN161" s="790"/>
      <c r="DO161" s="789"/>
      <c r="DP161" s="790"/>
      <c r="DQ161" s="790"/>
      <c r="DR161" s="790"/>
      <c r="DS161" s="790"/>
      <c r="DT161" s="789"/>
      <c r="DU161" s="789"/>
      <c r="DV161" s="789"/>
    </row>
    <row r="162" spans="2:126" s="579" customFormat="1" ht="12.9" customHeight="1" collapsed="1">
      <c r="B162" s="663" t="s">
        <v>402</v>
      </c>
      <c r="C162" s="664"/>
      <c r="D162" s="664"/>
      <c r="E162" s="664"/>
      <c r="F162" s="664"/>
      <c r="G162" s="664"/>
      <c r="H162" s="664"/>
      <c r="I162" s="664"/>
      <c r="J162" s="651"/>
      <c r="K162" s="651"/>
      <c r="L162" s="651"/>
      <c r="M162" s="651"/>
      <c r="N162" s="664"/>
      <c r="O162" s="651"/>
      <c r="P162" s="651"/>
      <c r="Q162" s="651"/>
      <c r="R162" s="651"/>
      <c r="S162" s="664"/>
      <c r="T162" s="651"/>
      <c r="U162" s="651"/>
      <c r="V162" s="651"/>
      <c r="W162" s="651"/>
      <c r="X162" s="664"/>
      <c r="Y162" s="651"/>
      <c r="Z162" s="651"/>
      <c r="AA162" s="651"/>
      <c r="AB162" s="651"/>
      <c r="AC162" s="664"/>
      <c r="AD162" s="651"/>
      <c r="AE162" s="651"/>
      <c r="AF162" s="651"/>
      <c r="AG162" s="651"/>
      <c r="AH162" s="664"/>
      <c r="AI162" s="651"/>
      <c r="AJ162" s="651"/>
      <c r="AK162" s="651"/>
      <c r="AL162" s="651"/>
      <c r="AM162" s="664"/>
      <c r="AN162" s="651"/>
      <c r="AO162" s="651"/>
      <c r="AP162" s="651"/>
      <c r="AQ162" s="651"/>
      <c r="AR162" s="664"/>
      <c r="AS162" s="651"/>
      <c r="AT162" s="651"/>
      <c r="AU162" s="651"/>
      <c r="AV162" s="651"/>
      <c r="AW162" s="664"/>
      <c r="AX162" s="651"/>
      <c r="AY162" s="651"/>
      <c r="AZ162" s="651"/>
      <c r="BA162" s="651"/>
      <c r="BB162" s="664"/>
      <c r="BC162" s="651"/>
      <c r="BD162" s="651"/>
      <c r="BE162" s="651"/>
      <c r="BF162" s="651"/>
      <c r="BG162" s="664"/>
      <c r="BH162" s="651"/>
      <c r="BI162" s="651"/>
      <c r="BJ162" s="651"/>
      <c r="BK162" s="651"/>
      <c r="BL162" s="664">
        <f>BL157/BG157-1</f>
        <v>0.15492957746478875</v>
      </c>
      <c r="BM162" s="651"/>
      <c r="BN162" s="651"/>
      <c r="BO162" s="651"/>
      <c r="BP162" s="651"/>
      <c r="BQ162" s="664">
        <f t="shared" ref="BQ162:CQ164" si="266">BQ157/BL157-1</f>
        <v>6.4024390243902385E-2</v>
      </c>
      <c r="BR162" s="594">
        <f t="shared" si="266"/>
        <v>2.0527859237536639E-2</v>
      </c>
      <c r="BS162" s="594">
        <f t="shared" si="266"/>
        <v>-2.8328611898017053E-2</v>
      </c>
      <c r="BT162" s="594">
        <f t="shared" si="266"/>
        <v>-4.5325779036826996E-2</v>
      </c>
      <c r="BU162" s="594">
        <f t="shared" si="266"/>
        <v>-4.5845272206303744E-2</v>
      </c>
      <c r="BV162" s="664">
        <f t="shared" si="266"/>
        <v>-4.5845272206303744E-2</v>
      </c>
      <c r="BW162" s="594">
        <f t="shared" si="266"/>
        <v>-8.6206896551723755E-3</v>
      </c>
      <c r="BX162" s="594">
        <f t="shared" si="266"/>
        <v>1.7492711370262537E-2</v>
      </c>
      <c r="BY162" s="594">
        <f t="shared" si="266"/>
        <v>2.9673590504450953E-2</v>
      </c>
      <c r="BZ162" s="594">
        <f t="shared" si="266"/>
        <v>2.4024024024024149E-2</v>
      </c>
      <c r="CA162" s="664">
        <f t="shared" si="266"/>
        <v>2.4024024024024149E-2</v>
      </c>
      <c r="CB162" s="567">
        <f t="shared" si="266"/>
        <v>0</v>
      </c>
      <c r="CC162" s="567">
        <f t="shared" si="266"/>
        <v>3.4383954154727947E-2</v>
      </c>
      <c r="CD162" s="567">
        <f t="shared" si="266"/>
        <v>8.9337175792506995E-2</v>
      </c>
      <c r="CE162" s="567">
        <f t="shared" si="266"/>
        <v>0.10850439882697938</v>
      </c>
      <c r="CF162" s="664">
        <f t="shared" si="266"/>
        <v>0.10850439882697938</v>
      </c>
      <c r="CG162" s="567">
        <f t="shared" si="266"/>
        <v>0.10144927536231885</v>
      </c>
      <c r="CH162" s="567">
        <f t="shared" si="266"/>
        <v>5.8171745152354681E-2</v>
      </c>
      <c r="CI162" s="567">
        <f t="shared" si="266"/>
        <v>1.0899470899470964E-2</v>
      </c>
      <c r="CJ162" s="567">
        <f t="shared" si="266"/>
        <v>3.5211640211640249E-2</v>
      </c>
      <c r="CK162" s="664">
        <f t="shared" si="266"/>
        <v>3.5211640211640249E-2</v>
      </c>
      <c r="CL162" s="567">
        <f t="shared" si="266"/>
        <v>3.03684210526316E-2</v>
      </c>
      <c r="CM162" s="567">
        <f t="shared" si="266"/>
        <v>-3.9267015706806241E-2</v>
      </c>
      <c r="CN162" s="567">
        <f t="shared" si="266"/>
        <v>-8.9867057468858036E-2</v>
      </c>
      <c r="CO162" s="567">
        <f t="shared" si="266"/>
        <v>-0.1187038409445198</v>
      </c>
      <c r="CP162" s="664">
        <f t="shared" si="266"/>
        <v>-0.1187038409445198</v>
      </c>
      <c r="CQ162" s="567">
        <f t="shared" si="266"/>
        <v>-0.12312918220360636</v>
      </c>
      <c r="CR162" s="651"/>
      <c r="CS162" s="651"/>
      <c r="CT162" s="567">
        <f t="shared" ref="CT162:CU164" si="267">CT157/CO157-1</f>
        <v>5.2601055500782978E-2</v>
      </c>
      <c r="CU162" s="597">
        <f t="shared" si="267"/>
        <v>5.2601055500782978E-2</v>
      </c>
      <c r="CV162" s="651"/>
      <c r="CW162" s="651"/>
      <c r="CX162" s="651"/>
      <c r="CY162" s="567">
        <f t="shared" ref="CY162:CZ164" si="268">CY157/CT157-1</f>
        <v>9.3663911845730086E-2</v>
      </c>
      <c r="CZ162" s="597">
        <f t="shared" si="268"/>
        <v>9.3663911845730086E-2</v>
      </c>
      <c r="DA162" s="651"/>
      <c r="DB162" s="651"/>
      <c r="DC162" s="651"/>
      <c r="DD162" s="567"/>
      <c r="DE162" s="597"/>
      <c r="DF162" s="651"/>
      <c r="DG162" s="651"/>
      <c r="DH162" s="651"/>
      <c r="DI162" s="651"/>
      <c r="DJ162" s="664"/>
      <c r="DK162" s="651"/>
      <c r="DL162" s="651"/>
      <c r="DM162" s="651"/>
      <c r="DN162" s="651"/>
      <c r="DO162" s="664"/>
      <c r="DP162" s="651"/>
      <c r="DQ162" s="651"/>
      <c r="DR162" s="651"/>
      <c r="DS162" s="651"/>
      <c r="DT162" s="664"/>
      <c r="DU162" s="664"/>
      <c r="DV162" s="664"/>
    </row>
    <row r="163" spans="2:126" s="594" customFormat="1" ht="12.9" customHeight="1">
      <c r="B163" s="666" t="s">
        <v>24</v>
      </c>
      <c r="C163" s="667"/>
      <c r="D163" s="667"/>
      <c r="E163" s="667"/>
      <c r="F163" s="667"/>
      <c r="G163" s="667"/>
      <c r="H163" s="667"/>
      <c r="I163" s="667"/>
      <c r="J163" s="656"/>
      <c r="K163" s="656"/>
      <c r="L163" s="656"/>
      <c r="M163" s="656"/>
      <c r="N163" s="667"/>
      <c r="O163" s="656"/>
      <c r="P163" s="656"/>
      <c r="Q163" s="656"/>
      <c r="R163" s="656"/>
      <c r="S163" s="667"/>
      <c r="T163" s="656"/>
      <c r="U163" s="656"/>
      <c r="V163" s="656"/>
      <c r="W163" s="656"/>
      <c r="X163" s="667"/>
      <c r="Y163" s="656"/>
      <c r="Z163" s="656"/>
      <c r="AA163" s="656"/>
      <c r="AB163" s="656"/>
      <c r="AC163" s="667"/>
      <c r="AD163" s="656"/>
      <c r="AE163" s="656"/>
      <c r="AF163" s="656"/>
      <c r="AG163" s="656"/>
      <c r="AH163" s="667"/>
      <c r="AI163" s="656"/>
      <c r="AJ163" s="656"/>
      <c r="AK163" s="656"/>
      <c r="AL163" s="656"/>
      <c r="AM163" s="667"/>
      <c r="AN163" s="656"/>
      <c r="AO163" s="656"/>
      <c r="AP163" s="656"/>
      <c r="AQ163" s="656"/>
      <c r="AR163" s="667"/>
      <c r="AS163" s="656"/>
      <c r="AT163" s="656"/>
      <c r="AU163" s="656"/>
      <c r="AV163" s="656"/>
      <c r="AW163" s="667"/>
      <c r="AX163" s="656"/>
      <c r="AY163" s="656"/>
      <c r="AZ163" s="656"/>
      <c r="BA163" s="656"/>
      <c r="BB163" s="667"/>
      <c r="BC163" s="656"/>
      <c r="BD163" s="656"/>
      <c r="BE163" s="656"/>
      <c r="BF163" s="656"/>
      <c r="BG163" s="667"/>
      <c r="BH163" s="656"/>
      <c r="BI163" s="656"/>
      <c r="BJ163" s="656"/>
      <c r="BK163" s="656"/>
      <c r="BL163" s="667">
        <f>BL158/BG158-1</f>
        <v>4.8603929679420954E-2</v>
      </c>
      <c r="BM163" s="656"/>
      <c r="BN163" s="656"/>
      <c r="BO163" s="656"/>
      <c r="BP163" s="656"/>
      <c r="BQ163" s="667">
        <f t="shared" si="266"/>
        <v>0.14694280078895461</v>
      </c>
      <c r="BR163" s="616">
        <f t="shared" si="266"/>
        <v>0.11466165413533824</v>
      </c>
      <c r="BS163" s="616">
        <f t="shared" si="266"/>
        <v>0.13938260056127216</v>
      </c>
      <c r="BT163" s="616">
        <f t="shared" si="266"/>
        <v>0.14755639097744355</v>
      </c>
      <c r="BU163" s="616">
        <f t="shared" si="266"/>
        <v>4.2992261392949205E-2</v>
      </c>
      <c r="BV163" s="667">
        <f t="shared" si="266"/>
        <v>4.2992261392949205E-2</v>
      </c>
      <c r="BW163" s="616">
        <f t="shared" si="266"/>
        <v>0.2200674536256324</v>
      </c>
      <c r="BX163" s="616">
        <f t="shared" si="266"/>
        <v>0.20607553366174058</v>
      </c>
      <c r="BY163" s="616">
        <f t="shared" si="266"/>
        <v>0.25389025389025388</v>
      </c>
      <c r="BZ163" s="616">
        <f t="shared" si="266"/>
        <v>0.36933223413025562</v>
      </c>
      <c r="CA163" s="667">
        <f t="shared" si="266"/>
        <v>0.36933223413025562</v>
      </c>
      <c r="CB163" s="574">
        <f t="shared" si="266"/>
        <v>0.1548030407740153</v>
      </c>
      <c r="CC163" s="574">
        <f t="shared" si="266"/>
        <v>0.17018379850238263</v>
      </c>
      <c r="CD163" s="574">
        <f t="shared" si="266"/>
        <v>0.13063357282821686</v>
      </c>
      <c r="CE163" s="574">
        <f t="shared" si="266"/>
        <v>0.11800120409391934</v>
      </c>
      <c r="CF163" s="667">
        <f t="shared" si="266"/>
        <v>0.11800120409391934</v>
      </c>
      <c r="CG163" s="574">
        <f t="shared" si="266"/>
        <v>0.10951526032315995</v>
      </c>
      <c r="CH163" s="574">
        <f t="shared" si="266"/>
        <v>0.19662594531704469</v>
      </c>
      <c r="CI163" s="574">
        <f t="shared" si="266"/>
        <v>0.2402426343154247</v>
      </c>
      <c r="CJ163" s="574">
        <f t="shared" si="266"/>
        <v>0.26071082390953171</v>
      </c>
      <c r="CK163" s="667">
        <f t="shared" si="266"/>
        <v>0.26071082390953171</v>
      </c>
      <c r="CL163" s="574">
        <f t="shared" si="266"/>
        <v>0.26255663430420717</v>
      </c>
      <c r="CM163" s="574">
        <f t="shared" si="266"/>
        <v>7.7297034516285779E-2</v>
      </c>
      <c r="CN163" s="574">
        <f t="shared" si="266"/>
        <v>5.741874179033557E-2</v>
      </c>
      <c r="CO163" s="574">
        <f t="shared" si="266"/>
        <v>-3.4970142750967548E-2</v>
      </c>
      <c r="CP163" s="667">
        <f t="shared" si="266"/>
        <v>-3.4970142750967548E-2</v>
      </c>
      <c r="CQ163" s="574">
        <f t="shared" si="266"/>
        <v>-3.8645237912148911E-2</v>
      </c>
      <c r="CR163" s="656"/>
      <c r="CS163" s="656"/>
      <c r="CT163" s="574">
        <f t="shared" si="267"/>
        <v>0.18224028115276192</v>
      </c>
      <c r="CU163" s="891">
        <f t="shared" si="267"/>
        <v>0.18224028115276192</v>
      </c>
      <c r="CV163" s="656"/>
      <c r="CW163" s="656"/>
      <c r="CX163" s="656"/>
      <c r="CY163" s="574">
        <f t="shared" si="268"/>
        <v>0.1714713590415573</v>
      </c>
      <c r="CZ163" s="891">
        <f t="shared" si="268"/>
        <v>0.1714713590415573</v>
      </c>
      <c r="DA163" s="656"/>
      <c r="DB163" s="656"/>
      <c r="DC163" s="656"/>
      <c r="DD163" s="574"/>
      <c r="DE163" s="891"/>
      <c r="DF163" s="656"/>
      <c r="DG163" s="656"/>
      <c r="DH163" s="656"/>
      <c r="DI163" s="656"/>
      <c r="DJ163" s="667"/>
      <c r="DK163" s="656"/>
      <c r="DL163" s="656"/>
      <c r="DM163" s="656"/>
      <c r="DN163" s="656"/>
      <c r="DO163" s="667"/>
      <c r="DP163" s="656"/>
      <c r="DQ163" s="656"/>
      <c r="DR163" s="656"/>
      <c r="DS163" s="656"/>
      <c r="DT163" s="667"/>
      <c r="DU163" s="667"/>
      <c r="DV163" s="667"/>
    </row>
    <row r="164" spans="2:126" s="532" customFormat="1" ht="12.9" customHeight="1">
      <c r="B164" s="770" t="s">
        <v>430</v>
      </c>
      <c r="C164" s="771"/>
      <c r="D164" s="771"/>
      <c r="E164" s="771"/>
      <c r="F164" s="771"/>
      <c r="G164" s="771"/>
      <c r="H164" s="771"/>
      <c r="I164" s="771"/>
      <c r="J164" s="772"/>
      <c r="K164" s="772"/>
      <c r="L164" s="772"/>
      <c r="M164" s="772"/>
      <c r="N164" s="771"/>
      <c r="O164" s="772"/>
      <c r="P164" s="772"/>
      <c r="Q164" s="772"/>
      <c r="R164" s="772"/>
      <c r="S164" s="771"/>
      <c r="T164" s="772"/>
      <c r="U164" s="772"/>
      <c r="V164" s="772"/>
      <c r="W164" s="772"/>
      <c r="X164" s="771"/>
      <c r="Y164" s="772"/>
      <c r="Z164" s="772"/>
      <c r="AA164" s="772"/>
      <c r="AB164" s="772"/>
      <c r="AC164" s="771"/>
      <c r="AD164" s="772"/>
      <c r="AE164" s="772"/>
      <c r="AF164" s="772"/>
      <c r="AG164" s="772"/>
      <c r="AH164" s="771"/>
      <c r="AI164" s="772"/>
      <c r="AJ164" s="772"/>
      <c r="AK164" s="772"/>
      <c r="AL164" s="772"/>
      <c r="AM164" s="771"/>
      <c r="AN164" s="772"/>
      <c r="AO164" s="772"/>
      <c r="AP164" s="772"/>
      <c r="AQ164" s="772"/>
      <c r="AR164" s="771"/>
      <c r="AS164" s="772"/>
      <c r="AT164" s="772"/>
      <c r="AU164" s="772"/>
      <c r="AV164" s="772"/>
      <c r="AW164" s="771"/>
      <c r="AX164" s="772"/>
      <c r="AY164" s="772"/>
      <c r="AZ164" s="772"/>
      <c r="BA164" s="772"/>
      <c r="BB164" s="771"/>
      <c r="BC164" s="772"/>
      <c r="BD164" s="772"/>
      <c r="BE164" s="772"/>
      <c r="BF164" s="772"/>
      <c r="BG164" s="771"/>
      <c r="BH164" s="772"/>
      <c r="BI164" s="772"/>
      <c r="BJ164" s="772"/>
      <c r="BK164" s="772"/>
      <c r="BL164" s="771">
        <f>BL159/BG159-1</f>
        <v>7.2741806554756261E-2</v>
      </c>
      <c r="BM164" s="772"/>
      <c r="BN164" s="772"/>
      <c r="BO164" s="772"/>
      <c r="BP164" s="772"/>
      <c r="BQ164" s="771">
        <f t="shared" si="266"/>
        <v>0.12667660208643827</v>
      </c>
      <c r="BR164" s="773">
        <f t="shared" si="266"/>
        <v>9.1814946619216853E-2</v>
      </c>
      <c r="BS164" s="773">
        <f t="shared" si="266"/>
        <v>9.7749648382559728E-2</v>
      </c>
      <c r="BT164" s="773">
        <f t="shared" si="266"/>
        <v>9.9505998588567568E-2</v>
      </c>
      <c r="BU164" s="773">
        <f t="shared" si="266"/>
        <v>2.2486772486772555E-2</v>
      </c>
      <c r="BV164" s="771">
        <f t="shared" si="266"/>
        <v>2.2486772486772555E-2</v>
      </c>
      <c r="BW164" s="773">
        <f t="shared" si="266"/>
        <v>0.16818774445893103</v>
      </c>
      <c r="BX164" s="773">
        <f t="shared" si="266"/>
        <v>0.1646380525304294</v>
      </c>
      <c r="BY164" s="773">
        <f t="shared" si="266"/>
        <v>0.20539152759948642</v>
      </c>
      <c r="BZ164" s="773">
        <f t="shared" si="266"/>
        <v>0.29495472186287186</v>
      </c>
      <c r="CA164" s="771">
        <f t="shared" si="266"/>
        <v>0.29495472186287186</v>
      </c>
      <c r="CB164" s="774">
        <f t="shared" si="266"/>
        <v>0.125</v>
      </c>
      <c r="CC164" s="774">
        <f t="shared" si="266"/>
        <v>0.14411441144114412</v>
      </c>
      <c r="CD164" s="774">
        <f t="shared" si="266"/>
        <v>0.12300319488817868</v>
      </c>
      <c r="CE164" s="775">
        <f t="shared" si="266"/>
        <v>0.11638361638361649</v>
      </c>
      <c r="CF164" s="771">
        <f t="shared" si="266"/>
        <v>0.11638361638361649</v>
      </c>
      <c r="CG164" s="774">
        <f t="shared" si="266"/>
        <v>0.10813492063492069</v>
      </c>
      <c r="CH164" s="774">
        <f t="shared" si="266"/>
        <v>0.17259615384615379</v>
      </c>
      <c r="CI164" s="774">
        <f t="shared" si="266"/>
        <v>0.19913703176861097</v>
      </c>
      <c r="CJ164" s="774">
        <f t="shared" si="266"/>
        <v>0.2225727069351231</v>
      </c>
      <c r="CK164" s="771">
        <f t="shared" si="266"/>
        <v>0.2225727069351231</v>
      </c>
      <c r="CL164" s="774">
        <f t="shared" si="266"/>
        <v>0.22306177260519267</v>
      </c>
      <c r="CM164" s="774">
        <f t="shared" si="266"/>
        <v>5.9040590405904148E-2</v>
      </c>
      <c r="CN164" s="774">
        <f t="shared" si="266"/>
        <v>3.5164374569984558E-2</v>
      </c>
      <c r="CO164" s="774">
        <f t="shared" si="266"/>
        <v>-4.7009094402459484E-2</v>
      </c>
      <c r="CP164" s="771">
        <f t="shared" si="266"/>
        <v>-4.7009094402459484E-2</v>
      </c>
      <c r="CQ164" s="774">
        <f t="shared" si="266"/>
        <v>-5.0751742109269804E-2</v>
      </c>
      <c r="CR164" s="772"/>
      <c r="CS164" s="772"/>
      <c r="CT164" s="774">
        <f t="shared" si="267"/>
        <v>0.16513056835637507</v>
      </c>
      <c r="CU164" s="894">
        <f t="shared" si="267"/>
        <v>0.16513056835637507</v>
      </c>
      <c r="CV164" s="892"/>
      <c r="CW164" s="892"/>
      <c r="CX164" s="892"/>
      <c r="CY164" s="893">
        <f t="shared" si="268"/>
        <v>0.16216216216216184</v>
      </c>
      <c r="CZ164" s="894">
        <f t="shared" si="268"/>
        <v>0.16216216216216184</v>
      </c>
      <c r="DA164" s="892"/>
      <c r="DB164" s="892"/>
      <c r="DC164" s="892"/>
      <c r="DD164" s="893"/>
      <c r="DE164" s="894"/>
      <c r="DF164" s="772"/>
      <c r="DG164" s="772"/>
      <c r="DH164" s="772"/>
      <c r="DI164" s="772"/>
      <c r="DJ164" s="771"/>
      <c r="DK164" s="772"/>
      <c r="DL164" s="772"/>
      <c r="DM164" s="772"/>
      <c r="DN164" s="772"/>
      <c r="DO164" s="771"/>
      <c r="DP164" s="772"/>
      <c r="DQ164" s="772"/>
      <c r="DR164" s="772"/>
      <c r="DS164" s="772"/>
      <c r="DT164" s="771"/>
      <c r="DU164" s="771"/>
      <c r="DV164" s="771"/>
    </row>
    <row r="165" spans="2:126" s="765" customFormat="1" ht="12.9" customHeight="1" collapsed="1">
      <c r="B165" s="532"/>
      <c r="C165" s="618"/>
      <c r="D165" s="618"/>
      <c r="E165" s="618"/>
      <c r="F165" s="618"/>
      <c r="G165" s="618"/>
      <c r="H165" s="618"/>
      <c r="I165" s="618"/>
      <c r="J165" s="619"/>
      <c r="K165" s="619"/>
      <c r="L165" s="619"/>
      <c r="M165" s="619"/>
      <c r="N165" s="618"/>
      <c r="O165" s="619"/>
      <c r="P165" s="619"/>
      <c r="Q165" s="619"/>
      <c r="R165" s="619"/>
      <c r="S165" s="618"/>
      <c r="T165" s="532"/>
      <c r="U165" s="619"/>
      <c r="V165" s="619"/>
      <c r="W165" s="619"/>
      <c r="X165" s="618"/>
      <c r="Y165" s="619"/>
      <c r="Z165" s="619"/>
      <c r="AA165" s="619"/>
      <c r="AB165" s="619"/>
      <c r="AC165" s="618"/>
      <c r="AD165" s="619"/>
      <c r="AE165" s="619"/>
      <c r="AF165" s="619"/>
      <c r="AG165" s="619"/>
      <c r="AH165" s="618"/>
      <c r="AI165" s="619"/>
      <c r="AJ165" s="619"/>
      <c r="AK165" s="619"/>
      <c r="AL165" s="619"/>
      <c r="AM165" s="618"/>
      <c r="AN165" s="619"/>
      <c r="AO165" s="619"/>
      <c r="AP165" s="619"/>
      <c r="AQ165" s="619"/>
      <c r="AR165" s="618"/>
      <c r="AS165" s="620"/>
      <c r="AT165" s="619"/>
      <c r="AU165" s="619"/>
      <c r="AV165" s="619"/>
      <c r="AW165" s="618"/>
      <c r="AX165" s="619"/>
      <c r="AY165" s="619"/>
      <c r="AZ165" s="619"/>
      <c r="BA165" s="619"/>
      <c r="BB165" s="618"/>
      <c r="BC165" s="619"/>
      <c r="BD165" s="619"/>
      <c r="BE165" s="619"/>
      <c r="BF165" s="619"/>
      <c r="BG165" s="618"/>
      <c r="BH165" s="619"/>
      <c r="BI165" s="619"/>
      <c r="BJ165" s="619"/>
      <c r="BK165" s="619"/>
      <c r="BL165" s="618"/>
      <c r="BM165" s="619"/>
      <c r="BN165" s="619"/>
      <c r="BO165" s="619"/>
      <c r="BP165" s="619"/>
      <c r="BQ165" s="618"/>
      <c r="BR165" s="619"/>
      <c r="BS165" s="619"/>
      <c r="BT165" s="619"/>
      <c r="BU165" s="619"/>
      <c r="BV165" s="618"/>
      <c r="BW165" s="619"/>
      <c r="BX165" s="619"/>
      <c r="BY165" s="619"/>
      <c r="BZ165" s="619"/>
      <c r="CA165" s="618"/>
      <c r="CB165" s="619"/>
      <c r="CC165" s="651"/>
      <c r="CD165" s="651"/>
      <c r="CE165" s="619"/>
      <c r="CF165" s="618"/>
      <c r="CG165" s="619"/>
      <c r="CH165" s="651"/>
      <c r="CI165" s="651"/>
      <c r="CJ165" s="619"/>
      <c r="CK165" s="618"/>
      <c r="CL165" s="619"/>
      <c r="CM165" s="619"/>
      <c r="CN165" s="619"/>
      <c r="CO165" s="619"/>
      <c r="CP165" s="618"/>
      <c r="CQ165" s="619"/>
      <c r="CR165" s="619"/>
      <c r="CS165" s="619"/>
      <c r="CT165" s="619"/>
      <c r="CU165" s="618"/>
      <c r="CV165" s="619"/>
      <c r="CW165" s="619"/>
      <c r="CX165" s="619"/>
      <c r="CY165" s="619"/>
      <c r="CZ165" s="618"/>
      <c r="DA165" s="619"/>
      <c r="DB165" s="619"/>
      <c r="DC165" s="619"/>
      <c r="DD165" s="619"/>
      <c r="DE165" s="618"/>
      <c r="DF165" s="619"/>
      <c r="DG165" s="619"/>
      <c r="DH165" s="619"/>
      <c r="DI165" s="619"/>
      <c r="DJ165" s="618"/>
      <c r="DK165" s="619"/>
      <c r="DL165" s="619"/>
      <c r="DM165" s="619"/>
      <c r="DN165" s="619"/>
      <c r="DO165" s="618"/>
      <c r="DP165" s="619"/>
      <c r="DQ165" s="619"/>
      <c r="DR165" s="619"/>
      <c r="DS165" s="619"/>
      <c r="DT165" s="618"/>
      <c r="DU165" s="618"/>
      <c r="DV165" s="618"/>
    </row>
    <row r="166" spans="2:126" s="521" customFormat="1" ht="12.9" customHeight="1">
      <c r="B166" s="526" t="s">
        <v>437</v>
      </c>
      <c r="C166" s="523"/>
      <c r="D166" s="523"/>
      <c r="E166" s="523"/>
      <c r="F166" s="523"/>
      <c r="G166" s="523"/>
      <c r="H166" s="523"/>
      <c r="I166" s="523"/>
      <c r="J166" s="524"/>
      <c r="K166" s="524"/>
      <c r="L166" s="524"/>
      <c r="M166" s="525"/>
      <c r="N166" s="523"/>
      <c r="O166" s="524"/>
      <c r="P166" s="524"/>
      <c r="Q166" s="524"/>
      <c r="R166" s="525"/>
      <c r="S166" s="523"/>
      <c r="T166" s="524"/>
      <c r="U166" s="524"/>
      <c r="V166" s="524"/>
      <c r="W166" s="525"/>
      <c r="X166" s="523"/>
      <c r="Y166" s="524"/>
      <c r="Z166" s="524"/>
      <c r="AA166" s="524"/>
      <c r="AB166" s="525"/>
      <c r="AC166" s="523"/>
      <c r="AD166" s="524"/>
      <c r="AE166" s="524"/>
      <c r="AF166" s="524"/>
      <c r="AG166" s="525"/>
      <c r="AH166" s="523"/>
      <c r="AI166" s="524"/>
      <c r="AJ166" s="524"/>
      <c r="AK166" s="524"/>
      <c r="AL166" s="525"/>
      <c r="AM166" s="523"/>
      <c r="AN166" s="524"/>
      <c r="AO166" s="524"/>
      <c r="AP166" s="524"/>
      <c r="AQ166" s="525"/>
      <c r="AR166" s="523"/>
      <c r="AS166" s="524"/>
      <c r="AT166" s="524"/>
      <c r="AU166" s="524"/>
      <c r="AV166" s="525"/>
      <c r="AW166" s="523"/>
      <c r="AX166" s="524"/>
      <c r="AY166" s="524"/>
      <c r="AZ166" s="524"/>
      <c r="BA166" s="525"/>
      <c r="BB166" s="523"/>
      <c r="BC166" s="524"/>
      <c r="BD166" s="524"/>
      <c r="BE166" s="524"/>
      <c r="BF166" s="525"/>
      <c r="BG166" s="523"/>
      <c r="BH166" s="524"/>
      <c r="BI166" s="524"/>
      <c r="BJ166" s="524"/>
      <c r="BK166" s="525"/>
      <c r="BL166" s="523"/>
      <c r="BM166" s="524"/>
      <c r="BN166" s="524"/>
      <c r="BO166" s="524"/>
      <c r="BP166" s="525"/>
      <c r="BQ166" s="523"/>
      <c r="BR166" s="524"/>
      <c r="BS166" s="524"/>
      <c r="BT166" s="524"/>
      <c r="BU166" s="525"/>
      <c r="BV166" s="523"/>
      <c r="BW166" s="524"/>
      <c r="BX166" s="524"/>
      <c r="BY166" s="524"/>
      <c r="BZ166" s="525"/>
      <c r="CA166" s="523"/>
      <c r="CB166" s="524"/>
      <c r="CC166" s="524"/>
      <c r="CD166" s="524"/>
      <c r="CE166" s="525"/>
      <c r="CF166" s="523"/>
      <c r="CG166" s="524"/>
      <c r="CH166" s="524"/>
      <c r="CI166" s="524"/>
      <c r="CJ166" s="525"/>
      <c r="CK166" s="523"/>
      <c r="CL166" s="524"/>
      <c r="CM166" s="524"/>
      <c r="CN166" s="524"/>
      <c r="CO166" s="525"/>
      <c r="CP166" s="523"/>
      <c r="CQ166" s="524"/>
      <c r="CR166" s="524"/>
      <c r="CS166" s="524"/>
      <c r="CT166" s="525"/>
      <c r="CU166" s="523"/>
      <c r="CV166" s="524"/>
      <c r="CW166" s="524"/>
      <c r="CX166" s="524"/>
      <c r="CY166" s="525"/>
      <c r="CZ166" s="523"/>
      <c r="DA166" s="524"/>
      <c r="DB166" s="524"/>
      <c r="DC166" s="524"/>
      <c r="DD166" s="525"/>
      <c r="DE166" s="523"/>
      <c r="DF166" s="524"/>
      <c r="DG166" s="524"/>
      <c r="DH166" s="524"/>
      <c r="DI166" s="525"/>
      <c r="DJ166" s="523"/>
      <c r="DK166" s="524"/>
      <c r="DL166" s="524"/>
      <c r="DM166" s="524"/>
      <c r="DN166" s="525"/>
      <c r="DO166" s="523"/>
      <c r="DP166" s="524"/>
      <c r="DQ166" s="524"/>
      <c r="DR166" s="524"/>
      <c r="DS166" s="525"/>
      <c r="DT166" s="523"/>
      <c r="DU166" s="523"/>
      <c r="DV166" s="523"/>
    </row>
    <row r="167" spans="2:126" s="766" customFormat="1" ht="12.9" customHeight="1">
      <c r="B167" s="660" t="s">
        <v>438</v>
      </c>
      <c r="C167" s="789"/>
      <c r="D167" s="789"/>
      <c r="E167" s="789"/>
      <c r="F167" s="789"/>
      <c r="G167" s="789"/>
      <c r="H167" s="789"/>
      <c r="I167" s="789"/>
      <c r="J167" s="790"/>
      <c r="K167" s="790"/>
      <c r="L167" s="790"/>
      <c r="M167" s="790"/>
      <c r="N167" s="789"/>
      <c r="O167" s="790"/>
      <c r="P167" s="790"/>
      <c r="Q167" s="790"/>
      <c r="R167" s="790"/>
      <c r="S167" s="789"/>
      <c r="T167" s="790"/>
      <c r="U167" s="790"/>
      <c r="V167" s="790"/>
      <c r="W167" s="790"/>
      <c r="X167" s="789"/>
      <c r="Y167" s="790"/>
      <c r="Z167" s="790"/>
      <c r="AA167" s="790"/>
      <c r="AB167" s="790"/>
      <c r="AC167" s="789"/>
      <c r="AD167" s="790"/>
      <c r="AE167" s="790"/>
      <c r="AF167" s="790"/>
      <c r="AG167" s="790"/>
      <c r="AH167" s="789"/>
      <c r="AI167" s="790"/>
      <c r="AJ167" s="790"/>
      <c r="AK167" s="790"/>
      <c r="AL167" s="790"/>
      <c r="AM167" s="789"/>
      <c r="AN167" s="790"/>
      <c r="AO167" s="790"/>
      <c r="AP167" s="790"/>
      <c r="AQ167" s="790"/>
      <c r="AR167" s="789"/>
      <c r="AS167" s="790"/>
      <c r="AT167" s="790"/>
      <c r="AU167" s="790"/>
      <c r="AV167" s="790"/>
      <c r="AW167" s="789"/>
      <c r="AX167" s="790"/>
      <c r="AY167" s="790"/>
      <c r="AZ167" s="790"/>
      <c r="BA167" s="790"/>
      <c r="BB167" s="789"/>
      <c r="BC167" s="790"/>
      <c r="BD167" s="790"/>
      <c r="BE167" s="790"/>
      <c r="BF167" s="790"/>
      <c r="BG167" s="789"/>
      <c r="BH167" s="790"/>
      <c r="BI167" s="790"/>
      <c r="BJ167" s="790"/>
      <c r="BK167" s="790"/>
      <c r="BL167" s="789"/>
      <c r="BM167" s="790"/>
      <c r="BN167" s="790"/>
      <c r="BO167" s="790"/>
      <c r="BP167" s="790"/>
      <c r="BQ167" s="789"/>
      <c r="BR167" s="790"/>
      <c r="BS167" s="790"/>
      <c r="BT167" s="790"/>
      <c r="BU167" s="790"/>
      <c r="BV167" s="789"/>
      <c r="BW167" s="790"/>
      <c r="BX167" s="790"/>
      <c r="BY167" s="790"/>
      <c r="BZ167" s="790"/>
      <c r="CA167" s="789"/>
      <c r="CB167" s="790"/>
      <c r="CC167" s="790"/>
      <c r="CD167" s="790"/>
      <c r="CE167" s="790"/>
      <c r="CF167" s="789"/>
      <c r="CG167" s="791"/>
      <c r="CH167" s="790"/>
      <c r="CI167" s="790"/>
      <c r="CJ167" s="790"/>
      <c r="CK167" s="789"/>
      <c r="CL167" s="791"/>
      <c r="CM167" s="790"/>
      <c r="CN167" s="790"/>
      <c r="CO167" s="790"/>
      <c r="CP167" s="789"/>
      <c r="CQ167" s="790"/>
      <c r="CR167" s="790"/>
      <c r="CS167" s="790"/>
      <c r="CT167" s="790"/>
      <c r="CU167" s="789"/>
      <c r="CV167" s="790"/>
      <c r="CW167" s="790"/>
      <c r="CX167" s="790"/>
      <c r="CY167" s="790"/>
      <c r="CZ167" s="789"/>
      <c r="DA167" s="790"/>
      <c r="DB167" s="790"/>
      <c r="DC167" s="790"/>
      <c r="DD167" s="790"/>
      <c r="DE167" s="789"/>
      <c r="DF167" s="790"/>
      <c r="DG167" s="790"/>
      <c r="DH167" s="790"/>
      <c r="DI167" s="790"/>
      <c r="DJ167" s="789"/>
      <c r="DK167" s="790"/>
      <c r="DL167" s="790"/>
      <c r="DM167" s="790"/>
      <c r="DN167" s="790"/>
      <c r="DO167" s="789"/>
      <c r="DP167" s="790"/>
      <c r="DQ167" s="790"/>
      <c r="DR167" s="790"/>
      <c r="DS167" s="790"/>
      <c r="DT167" s="789"/>
      <c r="DU167" s="789"/>
      <c r="DV167" s="789"/>
    </row>
    <row r="168" spans="2:126" s="651" customFormat="1" ht="12.9" customHeight="1">
      <c r="B168" s="663" t="s">
        <v>402</v>
      </c>
      <c r="C168" s="664"/>
      <c r="D168" s="664"/>
      <c r="E168" s="664"/>
      <c r="F168" s="664"/>
      <c r="G168" s="664"/>
      <c r="H168" s="664"/>
      <c r="I168" s="664"/>
      <c r="N168" s="664"/>
      <c r="S168" s="664"/>
      <c r="X168" s="664"/>
      <c r="AC168" s="664"/>
      <c r="AH168" s="664"/>
      <c r="AM168" s="664"/>
      <c r="AR168" s="664"/>
      <c r="AW168" s="664"/>
      <c r="BB168" s="664"/>
      <c r="BG168" s="664"/>
      <c r="BL168" s="664"/>
      <c r="BQ168" s="664"/>
      <c r="BR168" s="776"/>
      <c r="BS168" s="776"/>
      <c r="BV168" s="664"/>
      <c r="CA168" s="664"/>
      <c r="CF168" s="664"/>
      <c r="CK168" s="664">
        <v>11.234</v>
      </c>
      <c r="CM168" s="820">
        <v>11.496</v>
      </c>
      <c r="CN168" s="651">
        <v>10.372999999999999</v>
      </c>
      <c r="CO168" s="820">
        <v>10.597</v>
      </c>
      <c r="CP168" s="664">
        <f>CO168</f>
        <v>10.597</v>
      </c>
      <c r="CR168" s="820">
        <v>10.548</v>
      </c>
      <c r="CS168" s="820">
        <v>11.523</v>
      </c>
      <c r="CT168" s="820">
        <v>11.138999999999999</v>
      </c>
      <c r="CU168" s="664">
        <f>CT168</f>
        <v>11.138999999999999</v>
      </c>
      <c r="CV168" s="820">
        <v>11.923999999999999</v>
      </c>
      <c r="CW168" s="820">
        <v>11.866</v>
      </c>
      <c r="CX168" s="820">
        <v>12.324</v>
      </c>
      <c r="CY168" s="820">
        <v>13.747999999999999</v>
      </c>
      <c r="CZ168" s="664">
        <f>CY168</f>
        <v>13.747999999999999</v>
      </c>
      <c r="DA168" s="820">
        <v>14.316000000000001</v>
      </c>
      <c r="DB168" s="820">
        <v>15.146000000000001</v>
      </c>
      <c r="DC168" s="820">
        <v>15.909000000000001</v>
      </c>
      <c r="DD168" s="820">
        <v>16.247</v>
      </c>
      <c r="DE168" s="664">
        <f>DD168</f>
        <v>16.247</v>
      </c>
      <c r="DF168" s="820">
        <v>18.437999999999999</v>
      </c>
      <c r="DG168" s="820">
        <v>19.190999999999999</v>
      </c>
      <c r="DH168" s="820">
        <v>19.21</v>
      </c>
      <c r="DI168" s="820">
        <v>22.509</v>
      </c>
      <c r="DJ168" s="664">
        <f>DI168</f>
        <v>22.509</v>
      </c>
      <c r="DK168" s="820">
        <v>11.648999999999999</v>
      </c>
      <c r="DL168" s="820">
        <v>24.388999999999999</v>
      </c>
      <c r="DO168" s="664"/>
      <c r="DP168" s="820"/>
      <c r="DT168" s="664"/>
      <c r="DU168" s="664"/>
      <c r="DV168" s="664"/>
    </row>
    <row r="169" spans="2:126" s="651" customFormat="1" ht="12.9" customHeight="1">
      <c r="B169" s="666" t="s">
        <v>24</v>
      </c>
      <c r="C169" s="667"/>
      <c r="D169" s="667"/>
      <c r="E169" s="667"/>
      <c r="F169" s="667"/>
      <c r="G169" s="667"/>
      <c r="H169" s="667"/>
      <c r="I169" s="667"/>
      <c r="J169" s="656"/>
      <c r="K169" s="656"/>
      <c r="L169" s="656"/>
      <c r="M169" s="656"/>
      <c r="N169" s="667"/>
      <c r="O169" s="656"/>
      <c r="P169" s="656"/>
      <c r="Q169" s="656"/>
      <c r="R169" s="656"/>
      <c r="S169" s="667"/>
      <c r="T169" s="656"/>
      <c r="U169" s="656"/>
      <c r="V169" s="656"/>
      <c r="W169" s="656"/>
      <c r="X169" s="667"/>
      <c r="Y169" s="656"/>
      <c r="Z169" s="656"/>
      <c r="AA169" s="656"/>
      <c r="AB169" s="656"/>
      <c r="AC169" s="667"/>
      <c r="AD169" s="656"/>
      <c r="AE169" s="656"/>
      <c r="AF169" s="656"/>
      <c r="AG169" s="656"/>
      <c r="AH169" s="667"/>
      <c r="AI169" s="656"/>
      <c r="AJ169" s="656"/>
      <c r="AK169" s="656"/>
      <c r="AL169" s="656"/>
      <c r="AM169" s="667"/>
      <c r="AN169" s="656"/>
      <c r="AO169" s="656"/>
      <c r="AP169" s="656"/>
      <c r="AQ169" s="656"/>
      <c r="AR169" s="667"/>
      <c r="AS169" s="656"/>
      <c r="AT169" s="656"/>
      <c r="AU169" s="656"/>
      <c r="AV169" s="656"/>
      <c r="AW169" s="667"/>
      <c r="AX169" s="656"/>
      <c r="AY169" s="656"/>
      <c r="AZ169" s="656"/>
      <c r="BA169" s="656"/>
      <c r="BB169" s="667"/>
      <c r="BC169" s="656"/>
      <c r="BD169" s="656"/>
      <c r="BE169" s="656"/>
      <c r="BF169" s="656"/>
      <c r="BG169" s="667"/>
      <c r="BH169" s="656"/>
      <c r="BI169" s="656"/>
      <c r="BJ169" s="656"/>
      <c r="BK169" s="656"/>
      <c r="BL169" s="667"/>
      <c r="BM169" s="656"/>
      <c r="BN169" s="656"/>
      <c r="BO169" s="656"/>
      <c r="BP169" s="656"/>
      <c r="BQ169" s="667"/>
      <c r="BR169" s="767"/>
      <c r="BS169" s="767"/>
      <c r="BT169" s="656"/>
      <c r="BU169" s="656"/>
      <c r="BV169" s="667"/>
      <c r="BW169" s="656"/>
      <c r="BX169" s="656"/>
      <c r="BY169" s="656"/>
      <c r="BZ169" s="656"/>
      <c r="CA169" s="667"/>
      <c r="CB169" s="656"/>
      <c r="CC169" s="656"/>
      <c r="CD169" s="656"/>
      <c r="CE169" s="656"/>
      <c r="CF169" s="667"/>
      <c r="CG169" s="656"/>
      <c r="CH169" s="656"/>
      <c r="CI169" s="656"/>
      <c r="CJ169" s="656"/>
      <c r="CK169" s="667">
        <v>112.46599999999999</v>
      </c>
      <c r="CL169" s="656"/>
      <c r="CM169" s="830">
        <v>104.19</v>
      </c>
      <c r="CN169" s="656">
        <v>103.015</v>
      </c>
      <c r="CO169" s="830">
        <v>103.5</v>
      </c>
      <c r="CP169" s="667">
        <f>CO169</f>
        <v>103.5</v>
      </c>
      <c r="CQ169" s="656"/>
      <c r="CR169" s="830">
        <v>103.236</v>
      </c>
      <c r="CS169" s="830">
        <v>111.224</v>
      </c>
      <c r="CT169" s="830">
        <v>114.133</v>
      </c>
      <c r="CU169" s="667">
        <f>CT169</f>
        <v>114.133</v>
      </c>
      <c r="CV169" s="830">
        <v>115.57599999999999</v>
      </c>
      <c r="CW169" s="830">
        <v>118.26900000000001</v>
      </c>
      <c r="CX169" s="830">
        <v>117.785</v>
      </c>
      <c r="CY169" s="830">
        <v>121.511</v>
      </c>
      <c r="CZ169" s="667">
        <f>CY169</f>
        <v>121.511</v>
      </c>
      <c r="DA169" s="830">
        <v>123.114</v>
      </c>
      <c r="DB169" s="830">
        <v>121.723</v>
      </c>
      <c r="DC169" s="830">
        <v>126.863</v>
      </c>
      <c r="DD169" s="830">
        <v>137.61099999999999</v>
      </c>
      <c r="DE169" s="667">
        <f>DD169</f>
        <v>137.61099999999999</v>
      </c>
      <c r="DF169" s="830">
        <v>134.25800000000001</v>
      </c>
      <c r="DG169" s="830">
        <v>140.57400000000001</v>
      </c>
      <c r="DH169" s="830">
        <v>146.87899999999999</v>
      </c>
      <c r="DI169" s="830">
        <v>149.12700000000001</v>
      </c>
      <c r="DJ169" s="667">
        <f>DI169</f>
        <v>149.12700000000001</v>
      </c>
      <c r="DK169" s="830">
        <v>142.10300000000001</v>
      </c>
      <c r="DL169" s="830">
        <v>150.00800000000001</v>
      </c>
      <c r="DM169" s="656"/>
      <c r="DN169" s="656"/>
      <c r="DO169" s="667"/>
      <c r="DP169" s="830"/>
      <c r="DQ169" s="656"/>
      <c r="DR169" s="656"/>
      <c r="DS169" s="656"/>
      <c r="DT169" s="667"/>
      <c r="DU169" s="667"/>
      <c r="DV169" s="667"/>
    </row>
    <row r="170" spans="2:126" s="798" customFormat="1" ht="12.9" customHeight="1">
      <c r="B170" s="668" t="s">
        <v>439</v>
      </c>
      <c r="C170" s="691"/>
      <c r="D170" s="691"/>
      <c r="E170" s="691"/>
      <c r="F170" s="691"/>
      <c r="G170" s="691"/>
      <c r="H170" s="691"/>
      <c r="I170" s="691"/>
      <c r="J170" s="660"/>
      <c r="K170" s="660"/>
      <c r="L170" s="660"/>
      <c r="M170" s="660"/>
      <c r="N170" s="691"/>
      <c r="O170" s="660"/>
      <c r="P170" s="660"/>
      <c r="Q170" s="660"/>
      <c r="R170" s="660"/>
      <c r="S170" s="691"/>
      <c r="T170" s="660"/>
      <c r="U170" s="660"/>
      <c r="V170" s="660"/>
      <c r="W170" s="660"/>
      <c r="X170" s="691"/>
      <c r="Y170" s="660"/>
      <c r="Z170" s="660"/>
      <c r="AA170" s="660"/>
      <c r="AB170" s="660"/>
      <c r="AC170" s="691"/>
      <c r="AD170" s="660"/>
      <c r="AE170" s="660"/>
      <c r="AF170" s="660"/>
      <c r="AG170" s="660"/>
      <c r="AH170" s="691"/>
      <c r="AI170" s="660"/>
      <c r="AJ170" s="660"/>
      <c r="AK170" s="660"/>
      <c r="AL170" s="660"/>
      <c r="AM170" s="691"/>
      <c r="AN170" s="660"/>
      <c r="AO170" s="660"/>
      <c r="AP170" s="660"/>
      <c r="AQ170" s="660"/>
      <c r="AR170" s="691"/>
      <c r="AS170" s="660"/>
      <c r="AT170" s="660"/>
      <c r="AU170" s="660"/>
      <c r="AV170" s="660"/>
      <c r="AW170" s="691"/>
      <c r="AX170" s="660"/>
      <c r="AY170" s="660"/>
      <c r="AZ170" s="660"/>
      <c r="BA170" s="660"/>
      <c r="BB170" s="691"/>
      <c r="BC170" s="660"/>
      <c r="BD170" s="660"/>
      <c r="BE170" s="660"/>
      <c r="BF170" s="660"/>
      <c r="BG170" s="691"/>
      <c r="BH170" s="660"/>
      <c r="BI170" s="660"/>
      <c r="BJ170" s="660"/>
      <c r="BK170" s="660"/>
      <c r="BL170" s="691"/>
      <c r="BM170" s="660"/>
      <c r="BN170" s="660"/>
      <c r="BO170" s="660"/>
      <c r="BP170" s="660"/>
      <c r="BQ170" s="691"/>
      <c r="BR170" s="660"/>
      <c r="BS170" s="660"/>
      <c r="BT170" s="660"/>
      <c r="BU170" s="660"/>
      <c r="BV170" s="691"/>
      <c r="BW170" s="660"/>
      <c r="BX170" s="660"/>
      <c r="BY170" s="660"/>
      <c r="BZ170" s="660"/>
      <c r="CA170" s="691"/>
      <c r="CB170" s="660"/>
      <c r="CC170" s="660"/>
      <c r="CD170" s="660"/>
      <c r="CE170" s="769"/>
      <c r="CF170" s="691"/>
      <c r="CG170" s="660"/>
      <c r="CH170" s="660"/>
      <c r="CI170" s="660"/>
      <c r="CJ170" s="660"/>
      <c r="CK170" s="691">
        <f>SUM(CK168:CK169)</f>
        <v>123.69999999999999</v>
      </c>
      <c r="CL170" s="660"/>
      <c r="CM170" s="660">
        <f>SUM(CM168:CM169)</f>
        <v>115.68599999999999</v>
      </c>
      <c r="CN170" s="660">
        <f>SUM(CN168:CN169)</f>
        <v>113.38800000000001</v>
      </c>
      <c r="CO170" s="660">
        <f>SUM(CO168:CO169)</f>
        <v>114.09699999999999</v>
      </c>
      <c r="CP170" s="691">
        <f>SUM(CP168:CP169)</f>
        <v>114.09699999999999</v>
      </c>
      <c r="CQ170" s="660"/>
      <c r="CR170" s="660">
        <f t="shared" ref="CR170:CY170" si="269">SUM(CR168:CR169)</f>
        <v>113.78400000000001</v>
      </c>
      <c r="CS170" s="660">
        <f t="shared" si="269"/>
        <v>122.747</v>
      </c>
      <c r="CT170" s="660">
        <f t="shared" si="269"/>
        <v>125.27199999999999</v>
      </c>
      <c r="CU170" s="691">
        <f t="shared" si="269"/>
        <v>125.27199999999999</v>
      </c>
      <c r="CV170" s="660">
        <f t="shared" si="269"/>
        <v>127.5</v>
      </c>
      <c r="CW170" s="660">
        <f t="shared" si="269"/>
        <v>130.13499999999999</v>
      </c>
      <c r="CX170" s="660">
        <f t="shared" si="269"/>
        <v>130.10900000000001</v>
      </c>
      <c r="CY170" s="660">
        <f t="shared" si="269"/>
        <v>135.25899999999999</v>
      </c>
      <c r="CZ170" s="691">
        <f>CY170</f>
        <v>135.25899999999999</v>
      </c>
      <c r="DA170" s="660">
        <f>SUM(DA168:DA169)</f>
        <v>137.43</v>
      </c>
      <c r="DB170" s="660">
        <f>SUM(DB168:DB169)</f>
        <v>136.869</v>
      </c>
      <c r="DC170" s="660">
        <f>SUM(DC168:DC169)</f>
        <v>142.77199999999999</v>
      </c>
      <c r="DD170" s="660">
        <f t="shared" ref="DD170" si="270">SUM(DD168:DD169)</f>
        <v>153.858</v>
      </c>
      <c r="DE170" s="691">
        <f>DD170</f>
        <v>153.858</v>
      </c>
      <c r="DF170" s="1058">
        <f>+SUM(DF168:DF169)</f>
        <v>152.696</v>
      </c>
      <c r="DG170" s="892">
        <f t="shared" ref="DG170:DI170" si="271">+SUM(DG168:DG169)</f>
        <v>159.76500000000001</v>
      </c>
      <c r="DH170" s="892">
        <f t="shared" si="271"/>
        <v>166.089</v>
      </c>
      <c r="DI170" s="892">
        <f t="shared" si="271"/>
        <v>171.63600000000002</v>
      </c>
      <c r="DJ170" s="691">
        <f>DI170</f>
        <v>171.63600000000002</v>
      </c>
      <c r="DK170" s="1058">
        <f>+SUM(DK168:DK169)</f>
        <v>153.75200000000001</v>
      </c>
      <c r="DL170" s="892">
        <f>+SUM(DL168:DL169)</f>
        <v>174.39700000000002</v>
      </c>
      <c r="DM170" s="660"/>
      <c r="DN170" s="660"/>
      <c r="DO170" s="691"/>
      <c r="DP170" s="1058"/>
      <c r="DQ170" s="660"/>
      <c r="DR170" s="660"/>
      <c r="DS170" s="660"/>
      <c r="DT170" s="691"/>
      <c r="DU170" s="691"/>
      <c r="DV170" s="691"/>
    </row>
    <row r="171" spans="2:126" s="766" customFormat="1" ht="12.9" customHeight="1">
      <c r="B171" s="646"/>
      <c r="C171" s="636"/>
      <c r="D171" s="636"/>
      <c r="E171" s="636"/>
      <c r="F171" s="636"/>
      <c r="G171" s="636"/>
      <c r="H171" s="636"/>
      <c r="I171" s="636"/>
      <c r="J171" s="637"/>
      <c r="K171" s="637"/>
      <c r="L171" s="637"/>
      <c r="M171" s="637"/>
      <c r="N171" s="636"/>
      <c r="O171" s="637"/>
      <c r="P171" s="637"/>
      <c r="Q171" s="637"/>
      <c r="R171" s="637"/>
      <c r="S171" s="636"/>
      <c r="T171" s="637"/>
      <c r="U171" s="637"/>
      <c r="V171" s="637"/>
      <c r="W171" s="637"/>
      <c r="X171" s="636"/>
      <c r="Y171" s="637"/>
      <c r="Z171" s="637"/>
      <c r="AA171" s="637"/>
      <c r="AB171" s="637"/>
      <c r="AC171" s="636"/>
      <c r="AD171" s="637"/>
      <c r="AE171" s="637"/>
      <c r="AF171" s="637"/>
      <c r="AG171" s="637"/>
      <c r="AH171" s="636"/>
      <c r="AI171" s="637"/>
      <c r="AJ171" s="637"/>
      <c r="AK171" s="637"/>
      <c r="AL171" s="637"/>
      <c r="AM171" s="636"/>
      <c r="AN171" s="637"/>
      <c r="AO171" s="637"/>
      <c r="AP171" s="637"/>
      <c r="AQ171" s="637"/>
      <c r="AR171" s="636"/>
      <c r="AS171" s="637"/>
      <c r="AT171" s="637"/>
      <c r="AU171" s="637"/>
      <c r="AV171" s="637"/>
      <c r="AW171" s="636"/>
      <c r="AX171" s="637"/>
      <c r="AY171" s="637"/>
      <c r="AZ171" s="637"/>
      <c r="BA171" s="637"/>
      <c r="BB171" s="636"/>
      <c r="BC171" s="637"/>
      <c r="BD171" s="637"/>
      <c r="BE171" s="637"/>
      <c r="BF171" s="637"/>
      <c r="BG171" s="636"/>
      <c r="BH171" s="637"/>
      <c r="BI171" s="637"/>
      <c r="BJ171" s="637"/>
      <c r="BK171" s="637"/>
      <c r="BL171" s="636"/>
      <c r="BM171" s="637"/>
      <c r="BN171" s="637"/>
      <c r="BO171" s="637"/>
      <c r="BP171" s="637"/>
      <c r="BQ171" s="636"/>
      <c r="BR171" s="637"/>
      <c r="BS171" s="637"/>
      <c r="BT171" s="637"/>
      <c r="BU171" s="637"/>
      <c r="BV171" s="636"/>
      <c r="BW171" s="637"/>
      <c r="BX171" s="637"/>
      <c r="BY171" s="637"/>
      <c r="BZ171" s="637"/>
      <c r="CA171" s="636"/>
      <c r="CB171" s="637"/>
      <c r="CC171" s="637"/>
      <c r="CD171" s="637"/>
      <c r="CE171" s="637"/>
      <c r="CF171" s="636"/>
      <c r="CG171" s="637"/>
      <c r="CH171" s="637"/>
      <c r="CI171" s="637"/>
      <c r="CJ171" s="777"/>
      <c r="CK171" s="636"/>
      <c r="CL171" s="637"/>
      <c r="CM171" s="637"/>
      <c r="CN171" s="637"/>
      <c r="CO171" s="637"/>
      <c r="CP171" s="636"/>
      <c r="CQ171" s="637"/>
      <c r="CR171" s="637"/>
      <c r="CS171" s="637"/>
      <c r="CT171" s="637"/>
      <c r="CU171" s="636"/>
      <c r="CV171" s="637"/>
      <c r="CW171" s="637"/>
      <c r="CX171" s="637"/>
      <c r="CY171" s="637"/>
      <c r="CZ171" s="636"/>
      <c r="DA171" s="637"/>
      <c r="DB171" s="637"/>
      <c r="DC171" s="637"/>
      <c r="DD171" s="637"/>
      <c r="DE171" s="636"/>
      <c r="DF171" s="637"/>
      <c r="DG171" s="637"/>
      <c r="DH171" s="637"/>
      <c r="DI171" s="637"/>
      <c r="DJ171" s="636"/>
      <c r="DK171" s="637"/>
      <c r="DL171" s="637"/>
      <c r="DM171" s="637"/>
      <c r="DN171" s="637"/>
      <c r="DO171" s="636"/>
      <c r="DP171" s="637"/>
      <c r="DQ171" s="637"/>
      <c r="DR171" s="637"/>
      <c r="DS171" s="637"/>
      <c r="DT171" s="636"/>
      <c r="DU171" s="636"/>
      <c r="DV171" s="636"/>
    </row>
    <row r="172" spans="2:126" s="766" customFormat="1" ht="12.9" customHeight="1">
      <c r="B172" s="660" t="s">
        <v>440</v>
      </c>
      <c r="C172" s="789"/>
      <c r="D172" s="789"/>
      <c r="E172" s="789"/>
      <c r="F172" s="789"/>
      <c r="G172" s="789"/>
      <c r="H172" s="789"/>
      <c r="I172" s="789"/>
      <c r="J172" s="790"/>
      <c r="K172" s="790"/>
      <c r="L172" s="790"/>
      <c r="M172" s="790"/>
      <c r="N172" s="789"/>
      <c r="O172" s="790"/>
      <c r="P172" s="790"/>
      <c r="Q172" s="790"/>
      <c r="R172" s="790"/>
      <c r="S172" s="789"/>
      <c r="T172" s="790"/>
      <c r="U172" s="790"/>
      <c r="V172" s="790"/>
      <c r="W172" s="790"/>
      <c r="X172" s="789"/>
      <c r="Y172" s="790"/>
      <c r="Z172" s="790"/>
      <c r="AA172" s="790"/>
      <c r="AB172" s="790"/>
      <c r="AC172" s="789"/>
      <c r="AD172" s="790"/>
      <c r="AE172" s="790"/>
      <c r="AF172" s="790"/>
      <c r="AG172" s="790"/>
      <c r="AH172" s="789"/>
      <c r="AI172" s="790"/>
      <c r="AJ172" s="790"/>
      <c r="AK172" s="790"/>
      <c r="AL172" s="790"/>
      <c r="AM172" s="789"/>
      <c r="AN172" s="790"/>
      <c r="AO172" s="790"/>
      <c r="AP172" s="790"/>
      <c r="AQ172" s="790"/>
      <c r="AR172" s="789"/>
      <c r="AS172" s="790"/>
      <c r="AT172" s="790"/>
      <c r="AU172" s="790"/>
      <c r="AV172" s="790"/>
      <c r="AW172" s="789"/>
      <c r="AX172" s="790"/>
      <c r="AY172" s="790"/>
      <c r="AZ172" s="790"/>
      <c r="BA172" s="790"/>
      <c r="BB172" s="789"/>
      <c r="BC172" s="790"/>
      <c r="BD172" s="790"/>
      <c r="BE172" s="790"/>
      <c r="BF172" s="790"/>
      <c r="BG172" s="789"/>
      <c r="BH172" s="790"/>
      <c r="BI172" s="790"/>
      <c r="BJ172" s="790"/>
      <c r="BK172" s="790"/>
      <c r="BL172" s="789"/>
      <c r="BM172" s="790"/>
      <c r="BN172" s="790"/>
      <c r="BO172" s="790"/>
      <c r="BP172" s="790"/>
      <c r="BQ172" s="789"/>
      <c r="BR172" s="790"/>
      <c r="BS172" s="790"/>
      <c r="BT172" s="790"/>
      <c r="BU172" s="790"/>
      <c r="BV172" s="789"/>
      <c r="BW172" s="790"/>
      <c r="BX172" s="790"/>
      <c r="BY172" s="790"/>
      <c r="BZ172" s="790"/>
      <c r="CA172" s="789"/>
      <c r="CB172" s="790"/>
      <c r="CC172" s="790"/>
      <c r="CD172" s="790"/>
      <c r="CE172" s="790"/>
      <c r="CF172" s="789"/>
      <c r="CG172" s="791"/>
      <c r="CH172" s="790"/>
      <c r="CI172" s="790"/>
      <c r="CJ172" s="790"/>
      <c r="CK172" s="789"/>
      <c r="CL172" s="791"/>
      <c r="CM172" s="790"/>
      <c r="CN172" s="790"/>
      <c r="CO172" s="790"/>
      <c r="CP172" s="789"/>
      <c r="CQ172" s="791"/>
      <c r="CR172" s="790"/>
      <c r="CS172" s="790"/>
      <c r="CT172" s="790"/>
      <c r="CU172" s="789"/>
      <c r="CV172" s="790"/>
      <c r="CW172" s="790"/>
      <c r="CX172" s="790"/>
      <c r="CY172" s="790"/>
      <c r="CZ172" s="789"/>
      <c r="DA172" s="790"/>
      <c r="DB172" s="790"/>
      <c r="DC172" s="790"/>
      <c r="DD172" s="790"/>
      <c r="DE172" s="789"/>
      <c r="DF172" s="790"/>
      <c r="DG172" s="790"/>
      <c r="DH172" s="790"/>
      <c r="DI172" s="790"/>
      <c r="DJ172" s="789"/>
      <c r="DK172" s="790"/>
      <c r="DL172" s="790"/>
      <c r="DM172" s="790"/>
      <c r="DN172" s="790"/>
      <c r="DO172" s="789"/>
      <c r="DP172" s="790"/>
      <c r="DQ172" s="790"/>
      <c r="DR172" s="790"/>
      <c r="DS172" s="790"/>
      <c r="DT172" s="789"/>
      <c r="DU172" s="789"/>
      <c r="DV172" s="789"/>
    </row>
    <row r="173" spans="2:126" s="579" customFormat="1" ht="12.9" customHeight="1" collapsed="1">
      <c r="B173" s="778" t="s">
        <v>402</v>
      </c>
      <c r="C173" s="779"/>
      <c r="D173" s="779"/>
      <c r="E173" s="779"/>
      <c r="F173" s="779"/>
      <c r="G173" s="779"/>
      <c r="H173" s="779"/>
      <c r="I173" s="779"/>
      <c r="J173" s="569"/>
      <c r="K173" s="569"/>
      <c r="L173" s="569"/>
      <c r="M173" s="569"/>
      <c r="N173" s="779"/>
      <c r="O173" s="569"/>
      <c r="P173" s="569"/>
      <c r="Q173" s="569"/>
      <c r="R173" s="569"/>
      <c r="S173" s="779"/>
      <c r="T173" s="569"/>
      <c r="U173" s="569"/>
      <c r="V173" s="569"/>
      <c r="W173" s="569"/>
      <c r="X173" s="779"/>
      <c r="Y173" s="569"/>
      <c r="Z173" s="569"/>
      <c r="AA173" s="569"/>
      <c r="AB173" s="569"/>
      <c r="AC173" s="779"/>
      <c r="AD173" s="569"/>
      <c r="AE173" s="569"/>
      <c r="AF173" s="569"/>
      <c r="AG173" s="569"/>
      <c r="AH173" s="779"/>
      <c r="AI173" s="569"/>
      <c r="AJ173" s="569"/>
      <c r="AK173" s="569"/>
      <c r="AL173" s="569"/>
      <c r="AM173" s="779"/>
      <c r="AN173" s="569"/>
      <c r="AO173" s="569"/>
      <c r="AP173" s="569"/>
      <c r="AQ173" s="569"/>
      <c r="AR173" s="779"/>
      <c r="AS173" s="569"/>
      <c r="AT173" s="569"/>
      <c r="AU173" s="569"/>
      <c r="AV173" s="569"/>
      <c r="AW173" s="779"/>
      <c r="AX173" s="569"/>
      <c r="AY173" s="569"/>
      <c r="AZ173" s="569"/>
      <c r="BA173" s="569"/>
      <c r="BB173" s="779"/>
      <c r="BC173" s="569"/>
      <c r="BD173" s="569"/>
      <c r="BE173" s="569"/>
      <c r="BF173" s="569"/>
      <c r="BG173" s="779"/>
      <c r="BH173" s="569"/>
      <c r="BI173" s="569"/>
      <c r="BJ173" s="569"/>
      <c r="BK173" s="569"/>
      <c r="BL173" s="779"/>
      <c r="BM173" s="569"/>
      <c r="BN173" s="569"/>
      <c r="BO173" s="569"/>
      <c r="BP173" s="569"/>
      <c r="BQ173" s="779"/>
      <c r="BR173" s="569"/>
      <c r="BS173" s="569"/>
      <c r="BT173" s="569"/>
      <c r="BU173" s="569"/>
      <c r="BV173" s="779"/>
      <c r="BW173" s="569"/>
      <c r="BX173" s="569"/>
      <c r="BY173" s="569"/>
      <c r="BZ173" s="569"/>
      <c r="CA173" s="779"/>
      <c r="CB173" s="569"/>
      <c r="CC173" s="569"/>
      <c r="CD173" s="569"/>
      <c r="CE173" s="569"/>
      <c r="CF173" s="779"/>
      <c r="CG173" s="569"/>
      <c r="CH173" s="569"/>
      <c r="CI173" s="569"/>
      <c r="CJ173" s="569"/>
      <c r="CK173" s="779"/>
      <c r="CL173" s="569"/>
      <c r="CM173" s="569"/>
      <c r="CN173" s="569"/>
      <c r="CO173" s="569"/>
      <c r="CP173" s="779">
        <f>CP168/CK168-1</f>
        <v>-5.6702866298735999E-2</v>
      </c>
      <c r="CQ173" s="569"/>
      <c r="CR173" s="569">
        <f t="shared" ref="CR173:CU175" si="272">CR168/CM168-1</f>
        <v>-8.2463465553235915E-2</v>
      </c>
      <c r="CS173" s="569">
        <f t="shared" si="272"/>
        <v>0.11086474501108645</v>
      </c>
      <c r="CT173" s="569">
        <f t="shared" si="272"/>
        <v>5.1146550910635025E-2</v>
      </c>
      <c r="CU173" s="779">
        <f t="shared" si="272"/>
        <v>5.1146550910635025E-2</v>
      </c>
      <c r="CV173" s="569"/>
      <c r="CW173" s="569">
        <f t="shared" ref="CW173:DH175" si="273">CW168/CR168-1</f>
        <v>0.12495259764884326</v>
      </c>
      <c r="CX173" s="569">
        <f t="shared" si="273"/>
        <v>6.9513147617807913E-2</v>
      </c>
      <c r="CY173" s="569">
        <f t="shared" si="273"/>
        <v>0.23422210252266806</v>
      </c>
      <c r="CZ173" s="779">
        <f t="shared" si="273"/>
        <v>0.23422210252266806</v>
      </c>
      <c r="DA173" s="569">
        <f t="shared" si="273"/>
        <v>0.20060382422006051</v>
      </c>
      <c r="DB173" s="569">
        <f t="shared" si="273"/>
        <v>0.27642002359683149</v>
      </c>
      <c r="DC173" s="569">
        <f t="shared" si="273"/>
        <v>0.29089581304771195</v>
      </c>
      <c r="DD173" s="569">
        <f t="shared" si="273"/>
        <v>0.18177189409368633</v>
      </c>
      <c r="DE173" s="779">
        <f t="shared" si="273"/>
        <v>0.18177189409368633</v>
      </c>
      <c r="DF173" s="569">
        <f t="shared" si="273"/>
        <v>0.28792958927074586</v>
      </c>
      <c r="DG173" s="569">
        <f t="shared" si="273"/>
        <v>0.26706721246533727</v>
      </c>
      <c r="DH173" s="569">
        <f t="shared" si="273"/>
        <v>0.20749261424351007</v>
      </c>
      <c r="DI173" s="569">
        <f t="shared" ref="DI173:DI175" si="274">DI168/DD168-1</f>
        <v>0.3854250015387457</v>
      </c>
      <c r="DJ173" s="779">
        <f t="shared" ref="DJ173:DL175" si="275">DJ168/DE168-1</f>
        <v>0.3854250015387457</v>
      </c>
      <c r="DK173" s="569">
        <f t="shared" si="275"/>
        <v>-0.36820696387894569</v>
      </c>
      <c r="DL173" s="569">
        <f t="shared" si="275"/>
        <v>0.27085613047782808</v>
      </c>
      <c r="DM173" s="569"/>
      <c r="DN173" s="569"/>
      <c r="DO173" s="779"/>
      <c r="DP173" s="569"/>
      <c r="DQ173" s="569"/>
      <c r="DR173" s="569"/>
      <c r="DS173" s="569"/>
      <c r="DT173" s="779"/>
      <c r="DU173" s="779"/>
      <c r="DV173" s="779"/>
    </row>
    <row r="174" spans="2:126" s="567" customFormat="1" ht="12.9" customHeight="1">
      <c r="B174" s="780" t="s">
        <v>24</v>
      </c>
      <c r="C174" s="781"/>
      <c r="D174" s="781"/>
      <c r="E174" s="781"/>
      <c r="F174" s="781"/>
      <c r="G174" s="781"/>
      <c r="H174" s="781"/>
      <c r="I174" s="781"/>
      <c r="J174" s="574"/>
      <c r="K174" s="574"/>
      <c r="L174" s="574"/>
      <c r="M174" s="574"/>
      <c r="N174" s="781"/>
      <c r="O174" s="574"/>
      <c r="P174" s="574"/>
      <c r="Q174" s="574"/>
      <c r="R174" s="574"/>
      <c r="S174" s="781"/>
      <c r="T174" s="574"/>
      <c r="U174" s="574"/>
      <c r="V174" s="574"/>
      <c r="W174" s="574"/>
      <c r="X174" s="781"/>
      <c r="Y174" s="574"/>
      <c r="Z174" s="574"/>
      <c r="AA174" s="574"/>
      <c r="AB174" s="574"/>
      <c r="AC174" s="781"/>
      <c r="AD174" s="574"/>
      <c r="AE174" s="574"/>
      <c r="AF174" s="574"/>
      <c r="AG174" s="574"/>
      <c r="AH174" s="781"/>
      <c r="AI174" s="574"/>
      <c r="AJ174" s="574"/>
      <c r="AK174" s="574"/>
      <c r="AL174" s="574"/>
      <c r="AM174" s="781"/>
      <c r="AN174" s="574"/>
      <c r="AO174" s="574"/>
      <c r="AP174" s="574"/>
      <c r="AQ174" s="574"/>
      <c r="AR174" s="781"/>
      <c r="AS174" s="574"/>
      <c r="AT174" s="574"/>
      <c r="AU174" s="574"/>
      <c r="AV174" s="574"/>
      <c r="AW174" s="781"/>
      <c r="AX174" s="574"/>
      <c r="AY174" s="574"/>
      <c r="AZ174" s="574"/>
      <c r="BA174" s="574"/>
      <c r="BB174" s="781"/>
      <c r="BC174" s="574"/>
      <c r="BD174" s="574"/>
      <c r="BE174" s="574"/>
      <c r="BF174" s="574"/>
      <c r="BG174" s="781"/>
      <c r="BH174" s="574"/>
      <c r="BI174" s="574"/>
      <c r="BJ174" s="574"/>
      <c r="BK174" s="574"/>
      <c r="BL174" s="781"/>
      <c r="BM174" s="574"/>
      <c r="BN174" s="574"/>
      <c r="BO174" s="574"/>
      <c r="BP174" s="574"/>
      <c r="BQ174" s="781"/>
      <c r="BR174" s="574"/>
      <c r="BS174" s="574"/>
      <c r="BT174" s="574"/>
      <c r="BU174" s="574"/>
      <c r="BV174" s="781"/>
      <c r="BW174" s="574"/>
      <c r="BX174" s="574"/>
      <c r="BY174" s="574"/>
      <c r="BZ174" s="574"/>
      <c r="CA174" s="781"/>
      <c r="CB174" s="574"/>
      <c r="CC174" s="574"/>
      <c r="CD174" s="574"/>
      <c r="CE174" s="574"/>
      <c r="CF174" s="781"/>
      <c r="CG174" s="574"/>
      <c r="CH174" s="574"/>
      <c r="CI174" s="574"/>
      <c r="CJ174" s="574"/>
      <c r="CK174" s="781"/>
      <c r="CL174" s="574"/>
      <c r="CM174" s="574"/>
      <c r="CN174" s="574"/>
      <c r="CO174" s="574"/>
      <c r="CP174" s="781">
        <f>CP169/CK169-1</f>
        <v>-7.9721871498941832E-2</v>
      </c>
      <c r="CQ174" s="574"/>
      <c r="CR174" s="574">
        <f t="shared" si="272"/>
        <v>-9.1563489778289098E-3</v>
      </c>
      <c r="CS174" s="574">
        <f t="shared" si="272"/>
        <v>7.9687424161529963E-2</v>
      </c>
      <c r="CT174" s="574">
        <f t="shared" si="272"/>
        <v>0.10273429951690827</v>
      </c>
      <c r="CU174" s="781">
        <f t="shared" si="272"/>
        <v>0.10273429951690827</v>
      </c>
      <c r="CV174" s="574"/>
      <c r="CW174" s="574">
        <f t="shared" si="273"/>
        <v>0.14561780774148558</v>
      </c>
      <c r="CX174" s="574">
        <f t="shared" si="273"/>
        <v>5.8989067107818371E-2</v>
      </c>
      <c r="CY174" s="574">
        <f t="shared" si="273"/>
        <v>6.4643880385164776E-2</v>
      </c>
      <c r="CZ174" s="781">
        <f t="shared" si="273"/>
        <v>6.4643880385164776E-2</v>
      </c>
      <c r="DA174" s="574">
        <f t="shared" si="273"/>
        <v>6.5221153180591296E-2</v>
      </c>
      <c r="DB174" s="574">
        <f t="shared" si="273"/>
        <v>2.9204609830132844E-2</v>
      </c>
      <c r="DC174" s="574">
        <f t="shared" si="273"/>
        <v>7.707263233858308E-2</v>
      </c>
      <c r="DD174" s="574">
        <f t="shared" si="273"/>
        <v>0.13249829233567323</v>
      </c>
      <c r="DE174" s="781">
        <f t="shared" si="273"/>
        <v>0.13249829233567323</v>
      </c>
      <c r="DF174" s="574">
        <f t="shared" si="273"/>
        <v>9.0517731533375612E-2</v>
      </c>
      <c r="DG174" s="574">
        <f t="shared" si="273"/>
        <v>0.15486802001265176</v>
      </c>
      <c r="DH174" s="574">
        <f t="shared" si="273"/>
        <v>0.15777649905803881</v>
      </c>
      <c r="DI174" s="574">
        <f t="shared" si="274"/>
        <v>8.3685170516891949E-2</v>
      </c>
      <c r="DJ174" s="781">
        <f t="shared" si="275"/>
        <v>8.3685170516891949E-2</v>
      </c>
      <c r="DK174" s="574">
        <f t="shared" si="275"/>
        <v>5.8432272192346035E-2</v>
      </c>
      <c r="DL174" s="574">
        <f t="shared" si="275"/>
        <v>6.7110560985673029E-2</v>
      </c>
      <c r="DM174" s="574"/>
      <c r="DN174" s="574"/>
      <c r="DO174" s="781"/>
      <c r="DP174" s="574"/>
      <c r="DQ174" s="574"/>
      <c r="DR174" s="574"/>
      <c r="DS174" s="574"/>
      <c r="DT174" s="781"/>
      <c r="DU174" s="781"/>
      <c r="DV174" s="781"/>
    </row>
    <row r="175" spans="2:126" s="567" customFormat="1" ht="12.9" customHeight="1">
      <c r="B175" s="782" t="s">
        <v>439</v>
      </c>
      <c r="C175" s="783"/>
      <c r="D175" s="783"/>
      <c r="E175" s="783"/>
      <c r="F175" s="783"/>
      <c r="G175" s="783"/>
      <c r="H175" s="783"/>
      <c r="I175" s="783"/>
      <c r="J175" s="784"/>
      <c r="K175" s="784"/>
      <c r="L175" s="784"/>
      <c r="M175" s="784"/>
      <c r="N175" s="783"/>
      <c r="O175" s="784"/>
      <c r="P175" s="784"/>
      <c r="Q175" s="784"/>
      <c r="R175" s="784"/>
      <c r="S175" s="783"/>
      <c r="T175" s="784"/>
      <c r="U175" s="784"/>
      <c r="V175" s="784"/>
      <c r="W175" s="784"/>
      <c r="X175" s="783"/>
      <c r="Y175" s="784"/>
      <c r="Z175" s="784"/>
      <c r="AA175" s="784"/>
      <c r="AB175" s="784"/>
      <c r="AC175" s="783"/>
      <c r="AD175" s="784"/>
      <c r="AE175" s="784"/>
      <c r="AF175" s="784"/>
      <c r="AG175" s="784"/>
      <c r="AH175" s="783"/>
      <c r="AI175" s="784"/>
      <c r="AJ175" s="784"/>
      <c r="AK175" s="784"/>
      <c r="AL175" s="784"/>
      <c r="AM175" s="783"/>
      <c r="AN175" s="784"/>
      <c r="AO175" s="784"/>
      <c r="AP175" s="784"/>
      <c r="AQ175" s="784"/>
      <c r="AR175" s="783"/>
      <c r="AS175" s="784"/>
      <c r="AT175" s="784"/>
      <c r="AU175" s="784"/>
      <c r="AV175" s="784"/>
      <c r="AW175" s="783"/>
      <c r="AX175" s="784"/>
      <c r="AY175" s="784"/>
      <c r="AZ175" s="784"/>
      <c r="BA175" s="784"/>
      <c r="BB175" s="783"/>
      <c r="BC175" s="784"/>
      <c r="BD175" s="784"/>
      <c r="BE175" s="784"/>
      <c r="BF175" s="784"/>
      <c r="BG175" s="783"/>
      <c r="BH175" s="784"/>
      <c r="BI175" s="784"/>
      <c r="BJ175" s="784"/>
      <c r="BK175" s="784"/>
      <c r="BL175" s="783"/>
      <c r="BM175" s="784"/>
      <c r="BN175" s="784"/>
      <c r="BO175" s="784"/>
      <c r="BP175" s="784"/>
      <c r="BQ175" s="783"/>
      <c r="BR175" s="784"/>
      <c r="BS175" s="784"/>
      <c r="BT175" s="784"/>
      <c r="BU175" s="784"/>
      <c r="BV175" s="783"/>
      <c r="BW175" s="784"/>
      <c r="BX175" s="784"/>
      <c r="BY175" s="784"/>
      <c r="BZ175" s="784"/>
      <c r="CA175" s="783"/>
      <c r="CB175" s="784"/>
      <c r="CC175" s="784"/>
      <c r="CD175" s="784"/>
      <c r="CE175" s="785"/>
      <c r="CF175" s="783"/>
      <c r="CG175" s="784"/>
      <c r="CH175" s="784"/>
      <c r="CI175" s="784"/>
      <c r="CJ175" s="784"/>
      <c r="CK175" s="783"/>
      <c r="CL175" s="784"/>
      <c r="CM175" s="784"/>
      <c r="CN175" s="784"/>
      <c r="CO175" s="784"/>
      <c r="CP175" s="783">
        <f>CP170/CK170-1</f>
        <v>-7.763136620856903E-2</v>
      </c>
      <c r="CQ175" s="784"/>
      <c r="CR175" s="784">
        <f t="shared" si="272"/>
        <v>-1.6441055961827544E-2</v>
      </c>
      <c r="CS175" s="784">
        <f t="shared" si="272"/>
        <v>8.2539598546583326E-2</v>
      </c>
      <c r="CT175" s="784">
        <f t="shared" si="272"/>
        <v>9.7942978342988818E-2</v>
      </c>
      <c r="CU175" s="783">
        <f t="shared" si="272"/>
        <v>9.7942978342988818E-2</v>
      </c>
      <c r="CV175" s="784"/>
      <c r="CW175" s="784">
        <f t="shared" si="273"/>
        <v>0.14370210222878432</v>
      </c>
      <c r="CX175" s="784">
        <f t="shared" si="273"/>
        <v>5.9977025915093796E-2</v>
      </c>
      <c r="CY175" s="784">
        <f t="shared" si="273"/>
        <v>7.9722523788236854E-2</v>
      </c>
      <c r="CZ175" s="783">
        <f t="shared" si="273"/>
        <v>7.9722523788236854E-2</v>
      </c>
      <c r="DA175" s="784">
        <f t="shared" si="273"/>
        <v>7.7882352941176514E-2</v>
      </c>
      <c r="DB175" s="784">
        <f t="shared" si="273"/>
        <v>5.1746263495600742E-2</v>
      </c>
      <c r="DC175" s="784">
        <f t="shared" si="273"/>
        <v>9.7326088126109545E-2</v>
      </c>
      <c r="DD175" s="784">
        <f t="shared" si="273"/>
        <v>0.13750656148574225</v>
      </c>
      <c r="DE175" s="783">
        <f t="shared" si="273"/>
        <v>0.13750656148574225</v>
      </c>
      <c r="DF175" s="784">
        <f t="shared" si="273"/>
        <v>0.11108200538455937</v>
      </c>
      <c r="DG175" s="784">
        <f t="shared" si="273"/>
        <v>0.16728404532801444</v>
      </c>
      <c r="DH175" s="784">
        <f t="shared" si="273"/>
        <v>0.16331633653657596</v>
      </c>
      <c r="DI175" s="784">
        <f t="shared" si="274"/>
        <v>0.11554810279608474</v>
      </c>
      <c r="DJ175" s="783">
        <f t="shared" si="275"/>
        <v>0.11554810279608474</v>
      </c>
      <c r="DK175" s="784">
        <f t="shared" si="275"/>
        <v>6.9157017865564274E-3</v>
      </c>
      <c r="DL175" s="784">
        <f t="shared" si="275"/>
        <v>9.1584514756047897E-2</v>
      </c>
      <c r="DM175" s="784"/>
      <c r="DN175" s="784"/>
      <c r="DO175" s="783"/>
      <c r="DP175" s="784"/>
      <c r="DQ175" s="784"/>
      <c r="DR175" s="784"/>
      <c r="DS175" s="784"/>
      <c r="DT175" s="783"/>
      <c r="DU175" s="783"/>
      <c r="DV175" s="783"/>
    </row>
    <row r="176" spans="2:126" s="532" customFormat="1" ht="12.9" customHeight="1">
      <c r="B176" s="786"/>
      <c r="C176" s="556"/>
      <c r="D176" s="556"/>
      <c r="E176" s="556"/>
      <c r="F176" s="556"/>
      <c r="G176" s="556"/>
      <c r="H176" s="556"/>
      <c r="I176" s="556"/>
      <c r="N176" s="556"/>
      <c r="S176" s="556"/>
      <c r="X176" s="556"/>
      <c r="AC176" s="556"/>
      <c r="AH176" s="556"/>
      <c r="AM176" s="556"/>
      <c r="AR176" s="556"/>
      <c r="AW176" s="556"/>
      <c r="BB176" s="556"/>
      <c r="BG176" s="556"/>
      <c r="BL176" s="556"/>
      <c r="BQ176" s="556"/>
      <c r="BV176" s="556"/>
      <c r="CA176" s="556"/>
      <c r="CF176" s="556"/>
      <c r="CK176" s="556"/>
      <c r="CP176" s="556"/>
      <c r="CU176" s="556"/>
      <c r="CZ176" s="556"/>
      <c r="DE176" s="556"/>
      <c r="DJ176" s="556"/>
      <c r="DO176" s="556"/>
      <c r="DT176" s="556"/>
      <c r="DU176" s="556"/>
      <c r="DV176" s="556"/>
    </row>
    <row r="177" spans="2:126" s="532" customFormat="1" ht="12.9" customHeight="1">
      <c r="B177" s="787"/>
      <c r="C177" s="556"/>
      <c r="D177" s="556"/>
      <c r="E177" s="556"/>
      <c r="F177" s="556"/>
      <c r="G177" s="556"/>
      <c r="H177" s="556"/>
      <c r="I177" s="556"/>
      <c r="N177" s="556"/>
      <c r="S177" s="556"/>
      <c r="X177" s="556"/>
      <c r="AC177" s="556"/>
      <c r="AH177" s="556"/>
      <c r="AM177" s="556"/>
      <c r="AR177" s="556"/>
      <c r="AW177" s="556"/>
      <c r="BB177" s="556"/>
      <c r="BG177" s="556"/>
      <c r="BL177" s="556"/>
      <c r="BQ177" s="556"/>
      <c r="BV177" s="556"/>
      <c r="CA177" s="556"/>
      <c r="CF177" s="556"/>
      <c r="CK177" s="556"/>
      <c r="CP177" s="556"/>
      <c r="CU177" s="556"/>
      <c r="CZ177" s="556"/>
      <c r="DE177" s="556"/>
      <c r="DH177" s="1074"/>
      <c r="DJ177" s="556"/>
      <c r="DO177" s="556"/>
      <c r="DT177" s="556"/>
      <c r="DU177" s="556"/>
      <c r="DV177" s="556"/>
    </row>
    <row r="178" spans="2:126" s="532" customFormat="1" ht="12.9" customHeight="1">
      <c r="C178" s="556"/>
      <c r="D178" s="556"/>
      <c r="E178" s="556"/>
      <c r="F178" s="556"/>
      <c r="G178" s="556"/>
      <c r="H178" s="556"/>
      <c r="I178" s="556"/>
      <c r="N178" s="556"/>
      <c r="S178" s="556"/>
      <c r="X178" s="556"/>
      <c r="AC178" s="556"/>
      <c r="AH178" s="556"/>
      <c r="AM178" s="556"/>
      <c r="AR178" s="556"/>
      <c r="AW178" s="556"/>
      <c r="BB178" s="556"/>
      <c r="BG178" s="556"/>
      <c r="BL178" s="556"/>
      <c r="BQ178" s="556"/>
      <c r="BV178" s="556"/>
      <c r="CA178" s="556"/>
      <c r="CF178" s="556"/>
      <c r="CK178" s="556"/>
      <c r="CP178" s="556"/>
      <c r="CU178" s="556"/>
      <c r="CZ178" s="556"/>
      <c r="DE178" s="556"/>
      <c r="DH178" s="1075"/>
      <c r="DJ178" s="556"/>
      <c r="DO178" s="556"/>
      <c r="DT178" s="556"/>
      <c r="DU178" s="556"/>
      <c r="DV178" s="556"/>
    </row>
    <row r="179" spans="2:126" s="532" customFormat="1" ht="12.9" customHeight="1" thickBot="1">
      <c r="C179" s="788"/>
      <c r="D179" s="788"/>
      <c r="E179" s="788"/>
      <c r="F179" s="788"/>
      <c r="G179" s="788"/>
      <c r="H179" s="788"/>
      <c r="I179" s="788"/>
      <c r="N179" s="788"/>
      <c r="S179" s="788"/>
      <c r="X179" s="788"/>
      <c r="AC179" s="788"/>
      <c r="AH179" s="788"/>
      <c r="AM179" s="788"/>
      <c r="AR179" s="788"/>
      <c r="AW179" s="788"/>
      <c r="BB179" s="788"/>
      <c r="BG179" s="788"/>
      <c r="BL179" s="788"/>
      <c r="BQ179" s="788"/>
      <c r="BV179" s="788"/>
      <c r="CA179" s="788"/>
      <c r="CF179" s="788"/>
      <c r="CK179" s="788"/>
      <c r="CP179" s="788"/>
      <c r="CU179" s="788"/>
      <c r="CZ179" s="788"/>
      <c r="DE179" s="788"/>
      <c r="DH179" s="1075"/>
      <c r="DJ179" s="788"/>
      <c r="DO179" s="788"/>
      <c r="DT179" s="788"/>
      <c r="DU179" s="788"/>
      <c r="DV179" s="788"/>
    </row>
  </sheetData>
  <printOptions horizontalCentered="1" verticalCentered="1"/>
  <pageMargins left="0.7" right="0.7" top="0.75" bottom="0.75" header="0.3" footer="0.3"/>
  <pageSetup paperSize="9" scale="22" orientation="landscape" horizontalDpi="200" verticalDpi="200" r:id="rId1"/>
  <customProperties>
    <customPr name="Qube.Worksheet.Visibility" r:id="rId2"/>
    <customPr name="QXL_SHEET_ID" r:id="rId3"/>
  </customPropertie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4D3B-0B9A-47E6-8EA7-5E695209D627}">
  <sheetPr codeName="Sheet8">
    <pageSetUpPr fitToPage="1"/>
  </sheetPr>
  <dimension ref="A1:AR272"/>
  <sheetViews>
    <sheetView showGridLines="0" zoomScaleNormal="100" workbookViewId="0">
      <pane xSplit="2" ySplit="14" topLeftCell="C15" activePane="bottomRight" state="frozen"/>
      <selection pane="topRight" activeCell="C1" sqref="C1"/>
      <selection pane="bottomLeft" activeCell="A15" sqref="A15"/>
      <selection pane="bottomRight" activeCell="Y15" sqref="Y15"/>
    </sheetView>
  </sheetViews>
  <sheetFormatPr defaultColWidth="9.125" defaultRowHeight="11.4" outlineLevelRow="1" outlineLevelCol="1"/>
  <cols>
    <col min="1" max="1" width="9.125" style="952"/>
    <col min="2" max="2" width="37.375" style="952" bestFit="1" customWidth="1"/>
    <col min="3" max="8" width="9.125" style="952" hidden="1" customWidth="1" outlineLevel="1"/>
    <col min="9" max="14" width="9.625" style="952" hidden="1" customWidth="1" outlineLevel="1"/>
    <col min="15" max="15" width="11.125" style="952" hidden="1" customWidth="1" outlineLevel="1"/>
    <col min="16" max="17" width="10.625" style="952" hidden="1" customWidth="1" outlineLevel="1"/>
    <col min="18" max="19" width="11" style="952" hidden="1" customWidth="1" outlineLevel="1"/>
    <col min="20" max="24" width="10.625" style="952" hidden="1" customWidth="1" outlineLevel="1"/>
    <col min="25" max="25" width="10.625" style="952" customWidth="1" collapsed="1"/>
    <col min="26" max="31" width="10.625" style="952" bestFit="1" customWidth="1"/>
    <col min="32" max="33" width="10.625" style="952" customWidth="1"/>
    <col min="34" max="43" width="10.625" style="952" hidden="1" customWidth="1" outlineLevel="1"/>
    <col min="44" max="44" width="9.125" style="952" collapsed="1"/>
    <col min="45" max="16384" width="9.125" style="952"/>
  </cols>
  <sheetData>
    <row r="1" spans="1:43">
      <c r="O1" s="953"/>
      <c r="P1" s="953"/>
      <c r="Q1" s="954"/>
    </row>
    <row r="2" spans="1:43" ht="12" thickBot="1">
      <c r="Y2" s="955">
        <v>2022</v>
      </c>
      <c r="Z2" s="955">
        <v>2023</v>
      </c>
      <c r="AA2" s="955" t="s">
        <v>362</v>
      </c>
      <c r="AB2" s="955" t="s">
        <v>363</v>
      </c>
      <c r="AC2" s="955" t="s">
        <v>455</v>
      </c>
      <c r="AD2" s="955" t="s">
        <v>456</v>
      </c>
      <c r="AE2" s="955" t="s">
        <v>559</v>
      </c>
      <c r="AF2" s="955" t="s">
        <v>559</v>
      </c>
      <c r="AG2" s="955" t="s">
        <v>559</v>
      </c>
      <c r="AH2" s="955" t="s">
        <v>559</v>
      </c>
      <c r="AI2" s="955" t="s">
        <v>559</v>
      </c>
      <c r="AJ2" s="955" t="s">
        <v>559</v>
      </c>
      <c r="AK2" s="955" t="s">
        <v>559</v>
      </c>
      <c r="AL2" s="955" t="s">
        <v>559</v>
      </c>
      <c r="AM2" s="955" t="s">
        <v>559</v>
      </c>
      <c r="AN2" s="955" t="s">
        <v>559</v>
      </c>
      <c r="AO2" s="955" t="s">
        <v>559</v>
      </c>
      <c r="AP2" s="955" t="s">
        <v>559</v>
      </c>
      <c r="AQ2" s="955" t="s">
        <v>559</v>
      </c>
    </row>
    <row r="3" spans="1:43">
      <c r="C3" s="956"/>
      <c r="D3" s="956"/>
      <c r="E3" s="956"/>
      <c r="F3" s="956"/>
      <c r="G3" s="956"/>
      <c r="H3" s="956"/>
      <c r="I3" s="956"/>
      <c r="J3" s="956"/>
      <c r="K3" s="957"/>
      <c r="L3" s="956"/>
      <c r="M3" s="956"/>
      <c r="N3" s="956"/>
      <c r="O3" s="956"/>
      <c r="P3" s="956"/>
      <c r="Q3" s="956"/>
      <c r="R3" s="956"/>
      <c r="S3" s="956"/>
      <c r="T3" s="956"/>
      <c r="U3" s="956"/>
      <c r="V3" s="956"/>
      <c r="W3" s="956"/>
      <c r="X3" s="956"/>
      <c r="Y3" s="956"/>
      <c r="Z3" s="956"/>
      <c r="AA3" s="956"/>
      <c r="AB3" s="956"/>
      <c r="AC3" s="956"/>
      <c r="AD3" s="956"/>
      <c r="AE3" s="956"/>
      <c r="AF3" s="956"/>
      <c r="AG3" s="956"/>
      <c r="AH3" s="956"/>
      <c r="AI3" s="956"/>
      <c r="AJ3" s="956"/>
      <c r="AK3" s="956"/>
      <c r="AL3" s="956"/>
      <c r="AM3" s="956"/>
      <c r="AN3" s="956"/>
      <c r="AO3" s="956"/>
      <c r="AP3" s="956"/>
      <c r="AQ3" s="956"/>
    </row>
    <row r="4" spans="1:43" ht="13.8">
      <c r="B4" s="1004" t="s">
        <v>566</v>
      </c>
      <c r="C4" s="1005">
        <v>2000</v>
      </c>
      <c r="D4" s="1005">
        <v>2001</v>
      </c>
      <c r="E4" s="1005">
        <v>2002</v>
      </c>
      <c r="F4" s="1005">
        <v>2003</v>
      </c>
      <c r="G4" s="1005">
        <v>2004</v>
      </c>
      <c r="H4" s="1005">
        <v>2005</v>
      </c>
      <c r="I4" s="1005">
        <v>2006</v>
      </c>
      <c r="J4" s="1005">
        <v>2007</v>
      </c>
      <c r="K4" s="1006">
        <v>2008</v>
      </c>
      <c r="L4" s="1005">
        <v>2009</v>
      </c>
      <c r="M4" s="1005">
        <v>2010</v>
      </c>
      <c r="N4" s="1005">
        <v>2011</v>
      </c>
      <c r="O4" s="1005">
        <v>2012</v>
      </c>
      <c r="P4" s="1005">
        <v>2013</v>
      </c>
      <c r="Q4" s="1005">
        <v>2014</v>
      </c>
      <c r="R4" s="1005">
        <v>2015</v>
      </c>
      <c r="S4" s="1005">
        <v>2016</v>
      </c>
      <c r="T4" s="1005">
        <v>2017</v>
      </c>
      <c r="U4" s="1005">
        <v>2018</v>
      </c>
      <c r="V4" s="1005">
        <v>2019</v>
      </c>
      <c r="W4" s="1005">
        <v>2020</v>
      </c>
      <c r="X4" s="1005">
        <v>2021</v>
      </c>
      <c r="Y4" s="1005">
        <v>2022</v>
      </c>
      <c r="Z4" s="1005">
        <v>2023</v>
      </c>
      <c r="AA4" s="1005">
        <v>2024</v>
      </c>
      <c r="AB4" s="1005" t="s">
        <v>363</v>
      </c>
      <c r="AC4" s="1005" t="s">
        <v>455</v>
      </c>
      <c r="AD4" s="1005" t="s">
        <v>456</v>
      </c>
      <c r="AE4" s="1005" t="s">
        <v>559</v>
      </c>
      <c r="AF4" s="1005" t="s">
        <v>619</v>
      </c>
      <c r="AG4" s="1005" t="s">
        <v>620</v>
      </c>
      <c r="AH4" s="1005" t="s">
        <v>622</v>
      </c>
      <c r="AI4" s="1005" t="s">
        <v>623</v>
      </c>
      <c r="AJ4" s="1005" t="s">
        <v>624</v>
      </c>
      <c r="AK4" s="1005" t="s">
        <v>625</v>
      </c>
      <c r="AL4" s="1005" t="s">
        <v>626</v>
      </c>
      <c r="AM4" s="1005" t="s">
        <v>627</v>
      </c>
      <c r="AN4" s="1005" t="s">
        <v>628</v>
      </c>
      <c r="AO4" s="1005" t="s">
        <v>629</v>
      </c>
      <c r="AP4" s="1005" t="s">
        <v>630</v>
      </c>
      <c r="AQ4" s="1005" t="s">
        <v>621</v>
      </c>
    </row>
    <row r="5" spans="1:43" ht="12">
      <c r="B5" s="958"/>
      <c r="C5" s="959"/>
      <c r="D5" s="959"/>
      <c r="E5" s="959"/>
      <c r="F5" s="959"/>
      <c r="G5" s="959"/>
      <c r="H5" s="959"/>
      <c r="I5" s="959"/>
      <c r="J5" s="959"/>
      <c r="K5" s="960"/>
      <c r="L5" s="959"/>
      <c r="M5" s="959"/>
      <c r="N5" s="959"/>
      <c r="O5" s="959"/>
      <c r="P5" s="959"/>
      <c r="Q5" s="959"/>
      <c r="R5" s="959"/>
      <c r="S5" s="959"/>
      <c r="T5" s="959"/>
      <c r="U5" s="959"/>
      <c r="V5" s="959"/>
      <c r="W5" s="959"/>
      <c r="X5" s="959"/>
      <c r="Y5" s="959"/>
      <c r="Z5" s="959"/>
      <c r="AA5" s="959"/>
      <c r="AB5" s="959"/>
      <c r="AC5" s="959"/>
      <c r="AD5" s="959"/>
      <c r="AE5" s="959"/>
      <c r="AF5" s="959"/>
      <c r="AG5" s="959"/>
      <c r="AH5" s="959"/>
      <c r="AI5" s="959"/>
      <c r="AJ5" s="959"/>
      <c r="AK5" s="959"/>
      <c r="AL5" s="959"/>
      <c r="AM5" s="959"/>
      <c r="AN5" s="959"/>
      <c r="AO5" s="959"/>
      <c r="AP5" s="959"/>
      <c r="AQ5" s="959"/>
    </row>
    <row r="6" spans="1:43" ht="12">
      <c r="B6" s="1007" t="s">
        <v>567</v>
      </c>
      <c r="C6" s="959"/>
      <c r="D6" s="959"/>
      <c r="E6" s="959"/>
      <c r="F6" s="959"/>
      <c r="G6" s="959"/>
      <c r="H6" s="959"/>
      <c r="I6" s="959"/>
      <c r="J6" s="959"/>
      <c r="K6" s="960"/>
      <c r="L6" s="959"/>
      <c r="M6" s="959"/>
      <c r="N6" s="959"/>
      <c r="O6" s="959"/>
      <c r="P6" s="959"/>
      <c r="Q6" s="959"/>
      <c r="R6" s="959"/>
      <c r="S6" s="959"/>
      <c r="T6" s="959"/>
      <c r="U6" s="959"/>
      <c r="V6" s="959"/>
      <c r="W6" s="959"/>
      <c r="X6" s="959"/>
      <c r="Y6" s="959"/>
      <c r="Z6" s="959"/>
      <c r="AA6" s="959"/>
      <c r="AB6" s="959"/>
      <c r="AC6" s="959"/>
      <c r="AD6" s="959"/>
      <c r="AE6" s="959"/>
      <c r="AF6" s="959"/>
      <c r="AG6" s="959"/>
      <c r="AH6" s="959"/>
      <c r="AI6" s="959"/>
      <c r="AJ6" s="959"/>
      <c r="AK6" s="959"/>
      <c r="AL6" s="959"/>
      <c r="AM6" s="959"/>
      <c r="AN6" s="959"/>
      <c r="AO6" s="959"/>
      <c r="AP6" s="959"/>
      <c r="AQ6" s="959"/>
    </row>
    <row r="7" spans="1:43" ht="12">
      <c r="B7" s="961" t="s">
        <v>568</v>
      </c>
      <c r="C7" s="959"/>
      <c r="D7" s="959"/>
      <c r="E7" s="959"/>
      <c r="F7" s="959"/>
      <c r="G7" s="959"/>
      <c r="H7" s="959"/>
      <c r="I7" s="959"/>
      <c r="J7" s="959"/>
      <c r="K7" s="960"/>
      <c r="L7" s="959"/>
      <c r="M7" s="959"/>
      <c r="N7" s="959"/>
      <c r="O7" s="959"/>
      <c r="P7" s="959"/>
      <c r="Q7" s="959"/>
      <c r="R7" s="959"/>
      <c r="S7" s="959"/>
      <c r="T7" s="959"/>
      <c r="U7" s="959"/>
      <c r="V7" s="959"/>
      <c r="W7" s="959"/>
      <c r="X7" s="959"/>
      <c r="Y7" s="959"/>
      <c r="Z7" s="959"/>
      <c r="AA7" s="962"/>
      <c r="AB7" s="959"/>
      <c r="AC7" s="959"/>
      <c r="AD7" s="959"/>
      <c r="AE7" s="959"/>
      <c r="AF7" s="959"/>
      <c r="AG7" s="959"/>
      <c r="AH7" s="959"/>
      <c r="AI7" s="959"/>
      <c r="AJ7" s="959"/>
      <c r="AK7" s="959"/>
      <c r="AL7" s="959"/>
      <c r="AM7" s="959"/>
      <c r="AN7" s="959"/>
      <c r="AO7" s="959"/>
      <c r="AP7" s="959"/>
      <c r="AQ7" s="959"/>
    </row>
    <row r="8" spans="1:43">
      <c r="A8" s="955" t="s">
        <v>569</v>
      </c>
      <c r="B8" s="952" t="s">
        <v>570</v>
      </c>
      <c r="C8" s="963">
        <v>400</v>
      </c>
      <c r="D8" s="963">
        <v>500</v>
      </c>
      <c r="E8" s="963">
        <v>600</v>
      </c>
      <c r="F8" s="963">
        <v>650</v>
      </c>
      <c r="G8" s="963">
        <v>700</v>
      </c>
      <c r="H8" s="963">
        <v>750</v>
      </c>
      <c r="I8" s="964">
        <v>1067</v>
      </c>
      <c r="J8" s="964">
        <v>1243</v>
      </c>
      <c r="K8" s="965">
        <v>1268</v>
      </c>
      <c r="L8" s="964">
        <v>1263</v>
      </c>
      <c r="M8" s="964">
        <v>1251</v>
      </c>
      <c r="N8" s="964">
        <v>1308</v>
      </c>
      <c r="O8" s="964">
        <v>1406</v>
      </c>
      <c r="P8" s="964">
        <v>1502</v>
      </c>
      <c r="Q8" s="964">
        <v>1560</v>
      </c>
      <c r="R8" s="964">
        <v>1612</v>
      </c>
      <c r="S8" s="964">
        <v>1693</v>
      </c>
      <c r="T8" s="964">
        <v>1444</v>
      </c>
      <c r="U8" s="964">
        <v>1044</v>
      </c>
      <c r="V8" s="964">
        <v>391</v>
      </c>
      <c r="W8" s="964">
        <v>157</v>
      </c>
      <c r="X8" s="964">
        <v>107</v>
      </c>
      <c r="Y8" s="964">
        <v>60</v>
      </c>
      <c r="Z8" s="964">
        <v>52</v>
      </c>
      <c r="AA8" s="966">
        <v>50</v>
      </c>
      <c r="AB8" s="966">
        <v>50</v>
      </c>
      <c r="AC8" s="966">
        <v>50</v>
      </c>
      <c r="AD8" s="966">
        <v>50</v>
      </c>
      <c r="AE8" s="966">
        <v>50</v>
      </c>
      <c r="AF8" s="966">
        <v>0</v>
      </c>
      <c r="AG8" s="966">
        <v>0</v>
      </c>
      <c r="AH8" s="966">
        <v>0</v>
      </c>
      <c r="AI8" s="966">
        <v>0</v>
      </c>
      <c r="AJ8" s="966">
        <v>0</v>
      </c>
      <c r="AK8" s="966">
        <v>0</v>
      </c>
      <c r="AL8" s="966">
        <v>0</v>
      </c>
      <c r="AM8" s="966">
        <v>0</v>
      </c>
      <c r="AN8" s="966">
        <v>0</v>
      </c>
      <c r="AO8" s="966">
        <v>0</v>
      </c>
      <c r="AP8" s="966">
        <v>0</v>
      </c>
      <c r="AQ8" s="966">
        <v>0</v>
      </c>
    </row>
    <row r="9" spans="1:43">
      <c r="A9" s="955" t="s">
        <v>569</v>
      </c>
      <c r="B9" s="952" t="s">
        <v>571</v>
      </c>
      <c r="C9" s="963"/>
      <c r="D9" s="963"/>
      <c r="E9" s="963"/>
      <c r="F9" s="963"/>
      <c r="G9" s="963"/>
      <c r="H9" s="963"/>
      <c r="I9" s="964">
        <v>0</v>
      </c>
      <c r="J9" s="964">
        <v>0</v>
      </c>
      <c r="K9" s="965">
        <v>0</v>
      </c>
      <c r="L9" s="964">
        <v>0</v>
      </c>
      <c r="M9" s="964">
        <v>0</v>
      </c>
      <c r="N9" s="964">
        <v>0</v>
      </c>
      <c r="O9" s="964">
        <v>0</v>
      </c>
      <c r="P9" s="964">
        <v>0</v>
      </c>
      <c r="Q9" s="964">
        <v>0</v>
      </c>
      <c r="R9" s="964">
        <v>0</v>
      </c>
      <c r="S9" s="964">
        <v>77</v>
      </c>
      <c r="T9" s="964">
        <v>459</v>
      </c>
      <c r="U9" s="964">
        <v>1118</v>
      </c>
      <c r="V9" s="964">
        <v>1736</v>
      </c>
      <c r="W9" s="964">
        <v>815</v>
      </c>
      <c r="X9" s="964">
        <v>845</v>
      </c>
      <c r="Y9" s="964">
        <v>1136</v>
      </c>
      <c r="Z9" s="964">
        <v>1570</v>
      </c>
      <c r="AA9" s="966">
        <v>1600</v>
      </c>
      <c r="AB9" s="966">
        <f>AA9*1.15</f>
        <v>1839.9999999999998</v>
      </c>
      <c r="AC9" s="966">
        <f>AB9*1.12</f>
        <v>2060.7999999999997</v>
      </c>
      <c r="AD9" s="966">
        <f>AC9*1.1</f>
        <v>2266.88</v>
      </c>
      <c r="AE9" s="966">
        <f>AD9*1.1</f>
        <v>2493.5680000000002</v>
      </c>
      <c r="AF9" s="966">
        <f>AE9+50</f>
        <v>2543.5680000000002</v>
      </c>
      <c r="AG9" s="966">
        <f t="shared" ref="AG9:AI9" si="0">AF9+50</f>
        <v>2593.5680000000002</v>
      </c>
      <c r="AH9" s="966">
        <f t="shared" si="0"/>
        <v>2643.5680000000002</v>
      </c>
      <c r="AI9" s="966">
        <f t="shared" si="0"/>
        <v>2693.5680000000002</v>
      </c>
      <c r="AJ9" s="966">
        <v>2500</v>
      </c>
      <c r="AK9" s="966">
        <v>2200</v>
      </c>
      <c r="AL9" s="966">
        <v>2000</v>
      </c>
      <c r="AM9" s="966">
        <v>1800</v>
      </c>
      <c r="AN9" s="966">
        <v>1600</v>
      </c>
      <c r="AO9" s="966">
        <v>1200</v>
      </c>
      <c r="AP9" s="966">
        <v>800</v>
      </c>
      <c r="AQ9" s="966">
        <v>600</v>
      </c>
    </row>
    <row r="10" spans="1:43">
      <c r="A10" s="955" t="s">
        <v>572</v>
      </c>
      <c r="B10" s="952" t="s">
        <v>573</v>
      </c>
      <c r="C10" s="963">
        <v>25</v>
      </c>
      <c r="D10" s="963">
        <v>50</v>
      </c>
      <c r="E10" s="963">
        <v>60</v>
      </c>
      <c r="F10" s="963">
        <v>70</v>
      </c>
      <c r="G10" s="963">
        <v>80</v>
      </c>
      <c r="H10" s="963">
        <v>90</v>
      </c>
      <c r="I10" s="964">
        <v>96</v>
      </c>
      <c r="J10" s="964">
        <v>140</v>
      </c>
      <c r="K10" s="965">
        <v>116</v>
      </c>
      <c r="L10" s="964">
        <v>168</v>
      </c>
      <c r="M10" s="964">
        <v>146</v>
      </c>
      <c r="N10" s="964">
        <v>146</v>
      </c>
      <c r="O10" s="964">
        <v>160</v>
      </c>
      <c r="P10" s="964">
        <v>188</v>
      </c>
      <c r="Q10" s="964">
        <v>198</v>
      </c>
      <c r="R10" s="964">
        <v>221</v>
      </c>
      <c r="S10" s="964">
        <v>214</v>
      </c>
      <c r="T10" s="964">
        <v>162</v>
      </c>
      <c r="U10" s="964">
        <v>86</v>
      </c>
      <c r="V10" s="964">
        <v>90</v>
      </c>
      <c r="W10" s="964">
        <v>96</v>
      </c>
      <c r="X10" s="964">
        <v>96</v>
      </c>
      <c r="Y10" s="964">
        <v>96</v>
      </c>
      <c r="Z10" s="964">
        <v>104</v>
      </c>
      <c r="AA10" s="966">
        <v>100</v>
      </c>
      <c r="AB10" s="966">
        <v>80</v>
      </c>
      <c r="AC10" s="966">
        <v>60</v>
      </c>
      <c r="AD10" s="966">
        <v>50</v>
      </c>
      <c r="AE10" s="966">
        <v>40</v>
      </c>
      <c r="AF10" s="966">
        <v>0</v>
      </c>
      <c r="AG10" s="966">
        <v>0</v>
      </c>
      <c r="AH10" s="966">
        <v>0</v>
      </c>
      <c r="AI10" s="966">
        <v>0</v>
      </c>
      <c r="AJ10" s="966">
        <v>0</v>
      </c>
      <c r="AK10" s="966">
        <v>0</v>
      </c>
      <c r="AL10" s="966">
        <v>0</v>
      </c>
      <c r="AM10" s="966">
        <v>0</v>
      </c>
      <c r="AN10" s="966">
        <v>0</v>
      </c>
      <c r="AO10" s="966">
        <v>0</v>
      </c>
      <c r="AP10" s="966">
        <v>0</v>
      </c>
      <c r="AQ10" s="966">
        <v>0</v>
      </c>
    </row>
    <row r="11" spans="1:43">
      <c r="A11" s="955" t="s">
        <v>572</v>
      </c>
      <c r="B11" s="952" t="s">
        <v>574</v>
      </c>
      <c r="C11" s="963">
        <v>15</v>
      </c>
      <c r="D11" s="963">
        <v>40</v>
      </c>
      <c r="E11" s="963">
        <v>50</v>
      </c>
      <c r="F11" s="963">
        <v>60</v>
      </c>
      <c r="G11" s="963">
        <v>70</v>
      </c>
      <c r="H11" s="963">
        <v>80</v>
      </c>
      <c r="I11" s="964">
        <v>100</v>
      </c>
      <c r="J11" s="964">
        <v>144</v>
      </c>
      <c r="K11" s="965">
        <v>110</v>
      </c>
      <c r="L11" s="964">
        <v>70</v>
      </c>
      <c r="M11" s="964">
        <v>46</v>
      </c>
      <c r="N11" s="964">
        <v>66</v>
      </c>
      <c r="O11" s="964">
        <v>167</v>
      </c>
      <c r="P11" s="964">
        <v>130</v>
      </c>
      <c r="Q11" s="964">
        <v>133</v>
      </c>
      <c r="R11" s="964">
        <v>129</v>
      </c>
      <c r="S11" s="964">
        <v>117</v>
      </c>
      <c r="T11" s="964">
        <v>84</v>
      </c>
      <c r="U11" s="964">
        <v>71</v>
      </c>
      <c r="V11" s="964">
        <v>18</v>
      </c>
      <c r="W11" s="964">
        <v>0</v>
      </c>
      <c r="X11" s="964">
        <v>0</v>
      </c>
      <c r="Y11" s="964">
        <v>0</v>
      </c>
      <c r="Z11" s="964">
        <v>0</v>
      </c>
      <c r="AA11" s="966">
        <v>0</v>
      </c>
      <c r="AB11" s="966">
        <v>0</v>
      </c>
      <c r="AC11" s="966">
        <v>0</v>
      </c>
      <c r="AD11" s="966">
        <v>0</v>
      </c>
      <c r="AE11" s="966">
        <v>0</v>
      </c>
      <c r="AF11" s="966">
        <v>0</v>
      </c>
      <c r="AG11" s="966">
        <v>0</v>
      </c>
      <c r="AH11" s="966">
        <v>0</v>
      </c>
      <c r="AI11" s="966">
        <v>0</v>
      </c>
      <c r="AJ11" s="966">
        <v>0</v>
      </c>
      <c r="AK11" s="966">
        <v>0</v>
      </c>
      <c r="AL11" s="966">
        <v>0</v>
      </c>
      <c r="AM11" s="966">
        <v>0</v>
      </c>
      <c r="AN11" s="966">
        <v>0</v>
      </c>
      <c r="AO11" s="966">
        <v>0</v>
      </c>
      <c r="AP11" s="966">
        <v>0</v>
      </c>
      <c r="AQ11" s="966">
        <v>0</v>
      </c>
    </row>
    <row r="12" spans="1:43">
      <c r="A12" s="955" t="s">
        <v>572</v>
      </c>
      <c r="B12" s="952" t="s">
        <v>575</v>
      </c>
      <c r="C12" s="963"/>
      <c r="D12" s="963"/>
      <c r="E12" s="963"/>
      <c r="F12" s="963"/>
      <c r="G12" s="963"/>
      <c r="H12" s="963"/>
      <c r="I12" s="964">
        <v>0</v>
      </c>
      <c r="J12" s="964">
        <v>0</v>
      </c>
      <c r="K12" s="965">
        <v>16</v>
      </c>
      <c r="L12" s="964">
        <v>16</v>
      </c>
      <c r="M12" s="964">
        <v>44</v>
      </c>
      <c r="N12" s="964">
        <v>48</v>
      </c>
      <c r="O12" s="964">
        <v>62</v>
      </c>
      <c r="P12" s="964">
        <v>96</v>
      </c>
      <c r="Q12" s="964">
        <v>76</v>
      </c>
      <c r="R12" s="964">
        <v>76</v>
      </c>
      <c r="S12" s="964">
        <v>74</v>
      </c>
      <c r="T12" s="964">
        <v>9</v>
      </c>
      <c r="U12" s="964">
        <v>0</v>
      </c>
      <c r="V12" s="964">
        <v>0</v>
      </c>
      <c r="W12" s="964">
        <v>0</v>
      </c>
      <c r="X12" s="964">
        <v>0</v>
      </c>
      <c r="Y12" s="964">
        <v>0</v>
      </c>
      <c r="Z12" s="964">
        <v>0</v>
      </c>
      <c r="AA12" s="966">
        <v>0</v>
      </c>
      <c r="AB12" s="966">
        <v>0</v>
      </c>
      <c r="AC12" s="966">
        <v>0</v>
      </c>
      <c r="AD12" s="966">
        <v>0</v>
      </c>
      <c r="AE12" s="966">
        <v>0</v>
      </c>
      <c r="AF12" s="966">
        <v>0</v>
      </c>
      <c r="AG12" s="966">
        <v>0</v>
      </c>
      <c r="AH12" s="966">
        <v>0</v>
      </c>
      <c r="AI12" s="966">
        <v>0</v>
      </c>
      <c r="AJ12" s="966">
        <v>0</v>
      </c>
      <c r="AK12" s="966">
        <v>0</v>
      </c>
      <c r="AL12" s="966">
        <v>0</v>
      </c>
      <c r="AM12" s="966">
        <v>0</v>
      </c>
      <c r="AN12" s="966">
        <v>0</v>
      </c>
      <c r="AO12" s="966">
        <v>0</v>
      </c>
      <c r="AP12" s="966">
        <v>0</v>
      </c>
      <c r="AQ12" s="966">
        <v>0</v>
      </c>
    </row>
    <row r="13" spans="1:43">
      <c r="A13" s="955" t="s">
        <v>572</v>
      </c>
      <c r="B13" s="952" t="s">
        <v>576</v>
      </c>
      <c r="C13" s="967"/>
      <c r="D13" s="967"/>
      <c r="E13" s="967"/>
      <c r="F13" s="967"/>
      <c r="G13" s="967"/>
      <c r="H13" s="967"/>
      <c r="I13" s="964"/>
      <c r="J13" s="964"/>
      <c r="K13" s="965"/>
      <c r="L13" s="964"/>
      <c r="M13" s="964"/>
      <c r="N13" s="964"/>
      <c r="O13" s="964">
        <v>150.83333333333334</v>
      </c>
      <c r="P13" s="964">
        <v>181</v>
      </c>
      <c r="Q13" s="964">
        <v>227</v>
      </c>
      <c r="R13" s="964">
        <v>268</v>
      </c>
      <c r="S13" s="964">
        <v>281</v>
      </c>
      <c r="T13" s="964">
        <v>231</v>
      </c>
      <c r="U13" s="964">
        <v>278</v>
      </c>
      <c r="V13" s="964">
        <v>381</v>
      </c>
      <c r="W13" s="964">
        <v>273</v>
      </c>
      <c r="X13" s="964">
        <v>139</v>
      </c>
      <c r="Y13" s="964">
        <v>85</v>
      </c>
      <c r="Z13" s="964">
        <v>86</v>
      </c>
      <c r="AA13" s="966">
        <v>105</v>
      </c>
      <c r="AB13" s="966">
        <v>120</v>
      </c>
      <c r="AC13" s="966">
        <v>140</v>
      </c>
      <c r="AD13" s="966">
        <v>150</v>
      </c>
      <c r="AE13" s="966">
        <v>155</v>
      </c>
      <c r="AF13" s="966">
        <v>160</v>
      </c>
      <c r="AG13" s="966">
        <v>170</v>
      </c>
      <c r="AH13" s="966">
        <v>180</v>
      </c>
      <c r="AI13" s="966">
        <v>190</v>
      </c>
      <c r="AJ13" s="966">
        <v>200</v>
      </c>
      <c r="AK13" s="966">
        <v>180</v>
      </c>
      <c r="AL13" s="966">
        <v>160</v>
      </c>
      <c r="AM13" s="966">
        <v>140</v>
      </c>
      <c r="AN13" s="966">
        <v>100</v>
      </c>
      <c r="AO13" s="966">
        <v>100</v>
      </c>
      <c r="AP13" s="966">
        <v>80</v>
      </c>
      <c r="AQ13" s="966">
        <v>50</v>
      </c>
    </row>
    <row r="14" spans="1:43">
      <c r="A14" s="955" t="s">
        <v>572</v>
      </c>
      <c r="B14" s="952" t="s">
        <v>577</v>
      </c>
      <c r="C14" s="967"/>
      <c r="D14" s="967"/>
      <c r="E14" s="967"/>
      <c r="F14" s="967"/>
      <c r="G14" s="967"/>
      <c r="H14" s="967"/>
      <c r="I14" s="964"/>
      <c r="J14" s="964"/>
      <c r="K14" s="965"/>
      <c r="L14" s="964"/>
      <c r="M14" s="964"/>
      <c r="N14" s="964"/>
      <c r="O14" s="964"/>
      <c r="P14" s="964"/>
      <c r="Q14" s="964"/>
      <c r="R14" s="964"/>
      <c r="S14" s="964"/>
      <c r="T14" s="964"/>
      <c r="U14" s="964"/>
      <c r="V14" s="964"/>
      <c r="W14" s="964">
        <v>0</v>
      </c>
      <c r="X14" s="964">
        <v>0</v>
      </c>
      <c r="Y14" s="964">
        <v>0</v>
      </c>
      <c r="Z14" s="964">
        <v>0</v>
      </c>
      <c r="AA14" s="966">
        <v>10</v>
      </c>
      <c r="AB14" s="966">
        <v>40</v>
      </c>
      <c r="AC14" s="966">
        <v>70</v>
      </c>
      <c r="AD14" s="966">
        <v>90</v>
      </c>
      <c r="AE14" s="966">
        <v>100</v>
      </c>
      <c r="AF14" s="966">
        <f>AE14+5</f>
        <v>105</v>
      </c>
      <c r="AG14" s="966">
        <f t="shared" ref="AG14:AQ14" si="1">AF14+5</f>
        <v>110</v>
      </c>
      <c r="AH14" s="966">
        <f t="shared" si="1"/>
        <v>115</v>
      </c>
      <c r="AI14" s="966">
        <f t="shared" si="1"/>
        <v>120</v>
      </c>
      <c r="AJ14" s="966">
        <f t="shared" si="1"/>
        <v>125</v>
      </c>
      <c r="AK14" s="966">
        <f t="shared" si="1"/>
        <v>130</v>
      </c>
      <c r="AL14" s="966">
        <f t="shared" si="1"/>
        <v>135</v>
      </c>
      <c r="AM14" s="966">
        <f t="shared" si="1"/>
        <v>140</v>
      </c>
      <c r="AN14" s="966">
        <f t="shared" si="1"/>
        <v>145</v>
      </c>
      <c r="AO14" s="966">
        <f t="shared" si="1"/>
        <v>150</v>
      </c>
      <c r="AP14" s="966">
        <f t="shared" si="1"/>
        <v>155</v>
      </c>
      <c r="AQ14" s="966">
        <f t="shared" si="1"/>
        <v>160</v>
      </c>
    </row>
    <row r="15" spans="1:43">
      <c r="C15" s="967"/>
      <c r="D15" s="967"/>
      <c r="E15" s="967"/>
      <c r="F15" s="967"/>
      <c r="G15" s="967"/>
      <c r="H15" s="967"/>
      <c r="I15" s="967"/>
      <c r="J15" s="967"/>
      <c r="K15" s="968"/>
      <c r="L15" s="967"/>
      <c r="M15" s="967"/>
      <c r="N15" s="967"/>
      <c r="O15" s="967"/>
      <c r="P15" s="967"/>
      <c r="Q15" s="967"/>
      <c r="R15" s="967"/>
      <c r="S15" s="967"/>
      <c r="T15" s="967"/>
      <c r="U15" s="967"/>
      <c r="V15" s="967"/>
      <c r="W15" s="967"/>
      <c r="X15" s="967"/>
      <c r="Y15" s="967"/>
      <c r="Z15" s="1037"/>
      <c r="AA15" s="967"/>
      <c r="AB15" s="967"/>
      <c r="AC15" s="967"/>
      <c r="AD15" s="967"/>
      <c r="AE15" s="967"/>
      <c r="AF15" s="967"/>
      <c r="AG15" s="967"/>
      <c r="AH15" s="967"/>
      <c r="AI15" s="967"/>
      <c r="AJ15" s="967"/>
      <c r="AK15" s="967"/>
      <c r="AL15" s="967"/>
      <c r="AM15" s="967"/>
      <c r="AN15" s="967"/>
      <c r="AO15" s="967"/>
      <c r="AP15" s="967"/>
      <c r="AQ15" s="967"/>
    </row>
    <row r="16" spans="1:43" ht="12">
      <c r="B16" s="1007" t="s">
        <v>578</v>
      </c>
      <c r="C16" s="967"/>
      <c r="D16" s="967"/>
      <c r="E16" s="967"/>
      <c r="F16" s="967"/>
      <c r="G16" s="967"/>
      <c r="H16" s="967"/>
      <c r="I16" s="967"/>
      <c r="J16" s="967"/>
      <c r="K16" s="968"/>
      <c r="L16" s="967"/>
      <c r="M16" s="967"/>
      <c r="N16" s="967"/>
      <c r="O16" s="967"/>
      <c r="P16" s="967"/>
      <c r="Q16" s="967"/>
      <c r="R16" s="967"/>
      <c r="S16" s="967"/>
      <c r="T16" s="967"/>
      <c r="U16" s="967"/>
      <c r="V16" s="967"/>
      <c r="W16" s="967"/>
      <c r="X16" s="967"/>
      <c r="Y16" s="967"/>
      <c r="Z16" s="1037"/>
      <c r="AA16" s="967"/>
      <c r="AB16" s="967"/>
      <c r="AC16" s="967"/>
      <c r="AD16" s="967"/>
      <c r="AE16" s="967"/>
      <c r="AF16" s="967"/>
      <c r="AG16" s="967"/>
      <c r="AH16" s="967"/>
      <c r="AI16" s="967"/>
      <c r="AJ16" s="967"/>
      <c r="AK16" s="967"/>
      <c r="AL16" s="967"/>
      <c r="AM16" s="967"/>
      <c r="AN16" s="967"/>
      <c r="AO16" s="967"/>
      <c r="AP16" s="967"/>
      <c r="AQ16" s="967"/>
    </row>
    <row r="17" spans="2:43">
      <c r="B17" s="952" t="s">
        <v>570</v>
      </c>
      <c r="C17" s="967"/>
      <c r="D17" s="967"/>
      <c r="E17" s="967"/>
      <c r="F17" s="967"/>
      <c r="G17" s="967"/>
      <c r="H17" s="967"/>
      <c r="I17" s="967"/>
      <c r="J17" s="967"/>
      <c r="K17" s="968"/>
      <c r="L17" s="967"/>
      <c r="M17" s="967"/>
      <c r="N17" s="967"/>
      <c r="O17" s="1008">
        <f t="shared" ref="O17:X23" si="2">P17/(1+P74)</f>
        <v>14.254176444483674</v>
      </c>
      <c r="P17" s="1009">
        <f t="shared" si="2"/>
        <v>14.610530855595764</v>
      </c>
      <c r="Q17" s="1009">
        <f t="shared" si="2"/>
        <v>14.975794126985656</v>
      </c>
      <c r="R17" s="1009">
        <f t="shared" si="2"/>
        <v>15.350188980160297</v>
      </c>
      <c r="S17" s="1009">
        <f t="shared" si="2"/>
        <v>15.733943704664304</v>
      </c>
      <c r="T17" s="1009">
        <f t="shared" si="2"/>
        <v>16.12729229728091</v>
      </c>
      <c r="U17" s="1009">
        <f t="shared" si="2"/>
        <v>16.530474604712932</v>
      </c>
      <c r="V17" s="1009">
        <f t="shared" si="2"/>
        <v>16.943736469830753</v>
      </c>
      <c r="W17" s="1009">
        <f t="shared" si="2"/>
        <v>17.36732988157652</v>
      </c>
      <c r="X17" s="1009">
        <f t="shared" si="2"/>
        <v>17.80151312861593</v>
      </c>
      <c r="Y17" s="1009">
        <f t="shared" ref="Y17:Y21" si="3">Z17/(1+Z74)</f>
        <v>19.047619047619047</v>
      </c>
      <c r="Z17" s="1094">
        <v>20</v>
      </c>
      <c r="AA17" s="969">
        <f t="shared" ref="AA17:AH23" si="4">Z17*(1+AA74)</f>
        <v>21</v>
      </c>
      <c r="AB17" s="969">
        <f t="shared" si="4"/>
        <v>21.63</v>
      </c>
      <c r="AC17" s="969">
        <f t="shared" si="4"/>
        <v>22.2789</v>
      </c>
      <c r="AD17" s="969">
        <f t="shared" si="4"/>
        <v>22.947267</v>
      </c>
      <c r="AE17" s="969">
        <f t="shared" si="4"/>
        <v>23.63568501</v>
      </c>
      <c r="AF17" s="969">
        <f t="shared" si="4"/>
        <v>24.344755560300001</v>
      </c>
      <c r="AG17" s="969">
        <f t="shared" si="4"/>
        <v>25.075098227109002</v>
      </c>
      <c r="AH17" s="969">
        <f t="shared" si="4"/>
        <v>25.827351173922274</v>
      </c>
      <c r="AI17" s="969">
        <f t="shared" ref="AI17:AI23" si="5">AH17*(1+AI74)</f>
        <v>26.602171709139942</v>
      </c>
      <c r="AJ17" s="969">
        <f t="shared" ref="AJ17:AJ23" si="6">AI17*(1+AJ74)</f>
        <v>27.40023686041414</v>
      </c>
      <c r="AK17" s="969">
        <f t="shared" ref="AK17:AK23" si="7">AJ17*(1+AK74)</f>
        <v>28.222243966226564</v>
      </c>
      <c r="AL17" s="969">
        <f t="shared" ref="AL17:AL23" si="8">AK17*(1+AL74)</f>
        <v>29.06891128521336</v>
      </c>
      <c r="AM17" s="969">
        <f t="shared" ref="AM17:AM23" si="9">AL17*(1+AM74)</f>
        <v>29.940978623769762</v>
      </c>
      <c r="AN17" s="969">
        <f t="shared" ref="AN17:AN23" si="10">AM17*(1+AN74)</f>
        <v>30.839207982482858</v>
      </c>
      <c r="AO17" s="969">
        <f t="shared" ref="AO17:AO23" si="11">AN17*(1+AO74)</f>
        <v>31.764384221957343</v>
      </c>
      <c r="AP17" s="969">
        <f t="shared" ref="AP17:AP23" si="12">AO17*(1+AP74)</f>
        <v>32.717315748616066</v>
      </c>
      <c r="AQ17" s="969">
        <f t="shared" ref="AQ17:AQ23" si="13">AP17*(1+AQ74)</f>
        <v>33.698835221074546</v>
      </c>
    </row>
    <row r="18" spans="2:43">
      <c r="B18" s="952" t="s">
        <v>571</v>
      </c>
      <c r="C18" s="967"/>
      <c r="D18" s="967"/>
      <c r="E18" s="967"/>
      <c r="F18" s="967"/>
      <c r="G18" s="967"/>
      <c r="H18" s="967"/>
      <c r="I18" s="967"/>
      <c r="J18" s="967"/>
      <c r="K18" s="968"/>
      <c r="L18" s="967"/>
      <c r="M18" s="967"/>
      <c r="N18" s="967"/>
      <c r="O18" s="1009">
        <f t="shared" si="2"/>
        <v>14.665090727786762</v>
      </c>
      <c r="P18" s="1009">
        <f t="shared" si="2"/>
        <v>14.665090727786762</v>
      </c>
      <c r="Q18" s="1009">
        <f t="shared" si="2"/>
        <v>14.665090727786762</v>
      </c>
      <c r="R18" s="1009">
        <f t="shared" si="2"/>
        <v>14.665090727786762</v>
      </c>
      <c r="S18" s="1009">
        <f t="shared" si="2"/>
        <v>14.665090727786762</v>
      </c>
      <c r="T18" s="1009">
        <f t="shared" si="2"/>
        <v>15.031717995981429</v>
      </c>
      <c r="U18" s="1009">
        <f t="shared" si="2"/>
        <v>15.407510945880963</v>
      </c>
      <c r="V18" s="1009">
        <f t="shared" si="2"/>
        <v>15.792698719527985</v>
      </c>
      <c r="W18" s="1009">
        <f t="shared" si="2"/>
        <v>16.187516187516184</v>
      </c>
      <c r="X18" s="1009">
        <f t="shared" si="2"/>
        <v>16.835016835016834</v>
      </c>
      <c r="Y18" s="1009">
        <f t="shared" si="3"/>
        <v>18.518518518518519</v>
      </c>
      <c r="Z18" s="1094">
        <v>20</v>
      </c>
      <c r="AA18" s="969">
        <f t="shared" si="4"/>
        <v>21.099999999999998</v>
      </c>
      <c r="AB18" s="969">
        <f t="shared" si="4"/>
        <v>21.943999999999999</v>
      </c>
      <c r="AC18" s="969">
        <f t="shared" si="4"/>
        <v>22.821760000000001</v>
      </c>
      <c r="AD18" s="969">
        <f t="shared" si="4"/>
        <v>23.7346304</v>
      </c>
      <c r="AE18" s="969">
        <f t="shared" si="4"/>
        <v>24.684015616</v>
      </c>
      <c r="AF18" s="969">
        <f t="shared" si="4"/>
        <v>25.671376240640001</v>
      </c>
      <c r="AG18" s="969">
        <f t="shared" si="4"/>
        <v>26.698231290265603</v>
      </c>
      <c r="AH18" s="969">
        <f t="shared" si="4"/>
        <v>27.766160541876229</v>
      </c>
      <c r="AI18" s="969">
        <f t="shared" si="5"/>
        <v>28.876806963551278</v>
      </c>
      <c r="AJ18" s="969">
        <f t="shared" si="6"/>
        <v>30.031879242093328</v>
      </c>
      <c r="AK18" s="969">
        <f t="shared" si="7"/>
        <v>31.233154411777061</v>
      </c>
      <c r="AL18" s="969">
        <f t="shared" si="8"/>
        <v>32.482480588248144</v>
      </c>
      <c r="AM18" s="969">
        <f t="shared" si="9"/>
        <v>33.781779811778073</v>
      </c>
      <c r="AN18" s="969">
        <f t="shared" si="10"/>
        <v>35.133051004249197</v>
      </c>
      <c r="AO18" s="969">
        <f t="shared" si="11"/>
        <v>36.538373044419167</v>
      </c>
      <c r="AP18" s="969">
        <f t="shared" si="12"/>
        <v>37.999907966195934</v>
      </c>
      <c r="AQ18" s="969">
        <f t="shared" si="13"/>
        <v>39.519904284843776</v>
      </c>
    </row>
    <row r="19" spans="2:43">
      <c r="B19" s="952" t="s">
        <v>573</v>
      </c>
      <c r="C19" s="967"/>
      <c r="D19" s="967"/>
      <c r="E19" s="967"/>
      <c r="F19" s="967"/>
      <c r="G19" s="967"/>
      <c r="H19" s="967"/>
      <c r="I19" s="967"/>
      <c r="J19" s="967"/>
      <c r="K19" s="968"/>
      <c r="L19" s="967"/>
      <c r="M19" s="967"/>
      <c r="N19" s="967"/>
      <c r="O19" s="1008">
        <f t="shared" si="2"/>
        <v>29.330709222302946</v>
      </c>
      <c r="P19" s="1009">
        <f t="shared" si="2"/>
        <v>30.063976952860518</v>
      </c>
      <c r="Q19" s="1009">
        <f t="shared" si="2"/>
        <v>30.815576376682028</v>
      </c>
      <c r="R19" s="1009">
        <f t="shared" si="2"/>
        <v>31.585965786099077</v>
      </c>
      <c r="S19" s="1009">
        <f t="shared" si="2"/>
        <v>32.375614930751553</v>
      </c>
      <c r="T19" s="1009">
        <f t="shared" si="2"/>
        <v>33.185005304020336</v>
      </c>
      <c r="U19" s="1009">
        <f t="shared" si="2"/>
        <v>34.014630436620841</v>
      </c>
      <c r="V19" s="1009">
        <f t="shared" si="2"/>
        <v>34.864996197536357</v>
      </c>
      <c r="W19" s="1009">
        <f t="shared" si="2"/>
        <v>35.736621102474764</v>
      </c>
      <c r="X19" s="1009">
        <f t="shared" si="2"/>
        <v>36.630036630036628</v>
      </c>
      <c r="Y19" s="1009">
        <f t="shared" si="3"/>
        <v>38.46153846153846</v>
      </c>
      <c r="Z19" s="1094">
        <v>40</v>
      </c>
      <c r="AA19" s="969">
        <f t="shared" si="4"/>
        <v>41.6</v>
      </c>
      <c r="AB19" s="969">
        <f t="shared" si="4"/>
        <v>43.264000000000003</v>
      </c>
      <c r="AC19" s="969">
        <f t="shared" si="4"/>
        <v>44.994560000000007</v>
      </c>
      <c r="AD19" s="969">
        <f t="shared" si="4"/>
        <v>46.794342400000012</v>
      </c>
      <c r="AE19" s="969">
        <f t="shared" si="4"/>
        <v>48.666116096000017</v>
      </c>
      <c r="AF19" s="969">
        <f t="shared" si="4"/>
        <v>51.099421900800017</v>
      </c>
      <c r="AG19" s="969">
        <f t="shared" si="4"/>
        <v>53.65439299584002</v>
      </c>
      <c r="AH19" s="969">
        <f t="shared" si="4"/>
        <v>56.337112645632025</v>
      </c>
      <c r="AI19" s="969">
        <f t="shared" si="5"/>
        <v>59.153968277913627</v>
      </c>
      <c r="AJ19" s="969">
        <f t="shared" si="6"/>
        <v>62.111666691809312</v>
      </c>
      <c r="AK19" s="969">
        <f t="shared" si="7"/>
        <v>65.217250026399782</v>
      </c>
      <c r="AL19" s="969">
        <f t="shared" si="8"/>
        <v>68.478112527719773</v>
      </c>
      <c r="AM19" s="969">
        <f t="shared" si="9"/>
        <v>71.902018154105761</v>
      </c>
      <c r="AN19" s="969">
        <f t="shared" si="10"/>
        <v>75.497119061811048</v>
      </c>
      <c r="AO19" s="969">
        <f t="shared" si="11"/>
        <v>79.271975014901599</v>
      </c>
      <c r="AP19" s="969">
        <f t="shared" si="12"/>
        <v>83.235573765646677</v>
      </c>
      <c r="AQ19" s="969">
        <f t="shared" si="13"/>
        <v>87.397352453929017</v>
      </c>
    </row>
    <row r="20" spans="2:43">
      <c r="B20" s="952" t="s">
        <v>574</v>
      </c>
      <c r="C20" s="967"/>
      <c r="D20" s="967"/>
      <c r="E20" s="967"/>
      <c r="F20" s="967"/>
      <c r="G20" s="967"/>
      <c r="H20" s="967"/>
      <c r="I20" s="967"/>
      <c r="J20" s="967"/>
      <c r="K20" s="968"/>
      <c r="L20" s="967"/>
      <c r="M20" s="967"/>
      <c r="N20" s="967"/>
      <c r="O20" s="1008">
        <f t="shared" si="2"/>
        <v>30.485791286857648</v>
      </c>
      <c r="P20" s="1009">
        <f t="shared" si="2"/>
        <v>31.247936069029087</v>
      </c>
      <c r="Q20" s="1009">
        <f t="shared" si="2"/>
        <v>32.029134470754812</v>
      </c>
      <c r="R20" s="1009">
        <f t="shared" si="2"/>
        <v>32.829862832523681</v>
      </c>
      <c r="S20" s="1009">
        <f t="shared" si="2"/>
        <v>33.650609403336773</v>
      </c>
      <c r="T20" s="1009">
        <f t="shared" si="2"/>
        <v>34.491874638420192</v>
      </c>
      <c r="U20" s="1009">
        <f t="shared" si="2"/>
        <v>35.354171504380695</v>
      </c>
      <c r="V20" s="1009">
        <f t="shared" si="2"/>
        <v>36.238025791990211</v>
      </c>
      <c r="W20" s="1009">
        <f t="shared" si="2"/>
        <v>37.143976436789963</v>
      </c>
      <c r="X20" s="1009">
        <f t="shared" si="2"/>
        <v>38.072575847709707</v>
      </c>
      <c r="Y20" s="1009">
        <f t="shared" si="3"/>
        <v>39.024390243902445</v>
      </c>
      <c r="Z20" s="1094">
        <v>40</v>
      </c>
      <c r="AA20" s="969">
        <f t="shared" si="4"/>
        <v>41</v>
      </c>
      <c r="AB20" s="969">
        <f t="shared" si="4"/>
        <v>42.64</v>
      </c>
      <c r="AC20" s="969">
        <f t="shared" si="4"/>
        <v>44.772000000000006</v>
      </c>
      <c r="AD20" s="969">
        <f t="shared" si="4"/>
        <v>47.010600000000011</v>
      </c>
      <c r="AE20" s="969">
        <f t="shared" si="4"/>
        <v>49.36113000000001</v>
      </c>
      <c r="AF20" s="969">
        <f t="shared" si="4"/>
        <v>51.829186500000013</v>
      </c>
      <c r="AG20" s="969">
        <f t="shared" si="4"/>
        <v>54.420645825000015</v>
      </c>
      <c r="AH20" s="969">
        <f t="shared" si="4"/>
        <v>57.14167811625002</v>
      </c>
      <c r="AI20" s="969">
        <f t="shared" si="5"/>
        <v>59.998762022062522</v>
      </c>
      <c r="AJ20" s="969">
        <f t="shared" si="6"/>
        <v>62.998700123165648</v>
      </c>
      <c r="AK20" s="969">
        <f t="shared" si="7"/>
        <v>66.148635129323935</v>
      </c>
      <c r="AL20" s="969">
        <f t="shared" si="8"/>
        <v>69.456066885790136</v>
      </c>
      <c r="AM20" s="969">
        <f t="shared" si="9"/>
        <v>72.928870230079653</v>
      </c>
      <c r="AN20" s="969">
        <f t="shared" si="10"/>
        <v>76.575313741583642</v>
      </c>
      <c r="AO20" s="969">
        <f t="shared" si="11"/>
        <v>80.404079428662826</v>
      </c>
      <c r="AP20" s="969">
        <f t="shared" si="12"/>
        <v>84.424283400095973</v>
      </c>
      <c r="AQ20" s="969">
        <f t="shared" si="13"/>
        <v>88.645497570100773</v>
      </c>
    </row>
    <row r="21" spans="2:43">
      <c r="B21" s="952" t="s">
        <v>575</v>
      </c>
      <c r="C21" s="967"/>
      <c r="D21" s="967"/>
      <c r="E21" s="967"/>
      <c r="F21" s="967"/>
      <c r="G21" s="967"/>
      <c r="H21" s="967"/>
      <c r="I21" s="967"/>
      <c r="J21" s="967"/>
      <c r="K21" s="968"/>
      <c r="L21" s="967"/>
      <c r="M21" s="967"/>
      <c r="N21" s="967"/>
      <c r="O21" s="1008">
        <f t="shared" si="2"/>
        <v>30.485791286857648</v>
      </c>
      <c r="P21" s="1009">
        <f t="shared" si="2"/>
        <v>31.247936069029087</v>
      </c>
      <c r="Q21" s="1009">
        <f t="shared" si="2"/>
        <v>32.029134470754812</v>
      </c>
      <c r="R21" s="1009">
        <f t="shared" si="2"/>
        <v>32.829862832523681</v>
      </c>
      <c r="S21" s="1009">
        <f t="shared" si="2"/>
        <v>33.650609403336773</v>
      </c>
      <c r="T21" s="1009">
        <f t="shared" si="2"/>
        <v>34.491874638420192</v>
      </c>
      <c r="U21" s="1009">
        <f t="shared" si="2"/>
        <v>35.354171504380695</v>
      </c>
      <c r="V21" s="1009">
        <f t="shared" si="2"/>
        <v>36.238025791990211</v>
      </c>
      <c r="W21" s="1009">
        <f t="shared" si="2"/>
        <v>37.143976436789963</v>
      </c>
      <c r="X21" s="1009">
        <f t="shared" si="2"/>
        <v>38.072575847709707</v>
      </c>
      <c r="Y21" s="1009">
        <f t="shared" si="3"/>
        <v>39.024390243902445</v>
      </c>
      <c r="Z21" s="1094">
        <v>40</v>
      </c>
      <c r="AA21" s="969">
        <f t="shared" si="4"/>
        <v>41</v>
      </c>
      <c r="AB21" s="969">
        <f t="shared" si="4"/>
        <v>42.64</v>
      </c>
      <c r="AC21" s="969">
        <f t="shared" si="4"/>
        <v>44.772000000000006</v>
      </c>
      <c r="AD21" s="969">
        <f t="shared" si="4"/>
        <v>47.010600000000011</v>
      </c>
      <c r="AE21" s="969">
        <f t="shared" si="4"/>
        <v>49.36113000000001</v>
      </c>
      <c r="AF21" s="969">
        <f t="shared" si="4"/>
        <v>51.829186500000013</v>
      </c>
      <c r="AG21" s="969">
        <f t="shared" si="4"/>
        <v>54.420645825000015</v>
      </c>
      <c r="AH21" s="969">
        <f t="shared" si="4"/>
        <v>57.14167811625002</v>
      </c>
      <c r="AI21" s="969">
        <f t="shared" si="5"/>
        <v>59.998762022062522</v>
      </c>
      <c r="AJ21" s="969">
        <f t="shared" si="6"/>
        <v>62.998700123165648</v>
      </c>
      <c r="AK21" s="969">
        <f t="shared" si="7"/>
        <v>66.148635129323935</v>
      </c>
      <c r="AL21" s="969">
        <f t="shared" si="8"/>
        <v>69.456066885790136</v>
      </c>
      <c r="AM21" s="969">
        <f t="shared" si="9"/>
        <v>72.928870230079653</v>
      </c>
      <c r="AN21" s="969">
        <f t="shared" si="10"/>
        <v>76.575313741583642</v>
      </c>
      <c r="AO21" s="969">
        <f t="shared" si="11"/>
        <v>80.404079428662826</v>
      </c>
      <c r="AP21" s="969">
        <f t="shared" si="12"/>
        <v>84.424283400095973</v>
      </c>
      <c r="AQ21" s="969">
        <f t="shared" si="13"/>
        <v>88.645497570100773</v>
      </c>
    </row>
    <row r="22" spans="2:43">
      <c r="B22" s="952" t="s">
        <v>576</v>
      </c>
      <c r="C22" s="967"/>
      <c r="D22" s="967"/>
      <c r="E22" s="967"/>
      <c r="F22" s="967"/>
      <c r="G22" s="967"/>
      <c r="H22" s="967"/>
      <c r="I22" s="967"/>
      <c r="J22" s="967"/>
      <c r="K22" s="968"/>
      <c r="L22" s="967"/>
      <c r="M22" s="967"/>
      <c r="N22" s="967"/>
      <c r="O22" s="1008">
        <f t="shared" si="2"/>
        <v>28.362242408358981</v>
      </c>
      <c r="P22" s="1009">
        <f t="shared" si="2"/>
        <v>29.071298468567953</v>
      </c>
      <c r="Q22" s="1009">
        <f t="shared" si="2"/>
        <v>29.798080930282151</v>
      </c>
      <c r="R22" s="1009">
        <f t="shared" si="2"/>
        <v>30.543032953539203</v>
      </c>
      <c r="S22" s="1009">
        <f t="shared" si="2"/>
        <v>31.306608777377679</v>
      </c>
      <c r="T22" s="1009">
        <f t="shared" si="2"/>
        <v>32.089273996812118</v>
      </c>
      <c r="U22" s="1009">
        <f t="shared" si="2"/>
        <v>32.891505846732414</v>
      </c>
      <c r="V22" s="1009">
        <f t="shared" si="2"/>
        <v>33.71379349290072</v>
      </c>
      <c r="W22" s="1009">
        <f t="shared" si="2"/>
        <v>34.556638330223237</v>
      </c>
      <c r="X22" s="1009">
        <f t="shared" si="2"/>
        <v>35.938903863432166</v>
      </c>
      <c r="Y22" s="1009">
        <f t="shared" ref="Y22:Y23" si="14">Z22/(1+Z79)</f>
        <v>38.095238095238095</v>
      </c>
      <c r="Z22" s="1094">
        <v>40</v>
      </c>
      <c r="AA22" s="969">
        <f t="shared" si="4"/>
        <v>41</v>
      </c>
      <c r="AB22" s="969">
        <f t="shared" si="4"/>
        <v>42.64</v>
      </c>
      <c r="AC22" s="969">
        <f t="shared" si="4"/>
        <v>44.772000000000006</v>
      </c>
      <c r="AD22" s="969">
        <f t="shared" si="4"/>
        <v>47.010600000000011</v>
      </c>
      <c r="AE22" s="969">
        <f t="shared" si="4"/>
        <v>49.36113000000001</v>
      </c>
      <c r="AF22" s="969">
        <f t="shared" si="4"/>
        <v>51.829186500000013</v>
      </c>
      <c r="AG22" s="969">
        <f t="shared" si="4"/>
        <v>54.420645825000015</v>
      </c>
      <c r="AH22" s="969">
        <f t="shared" si="4"/>
        <v>57.14167811625002</v>
      </c>
      <c r="AI22" s="969">
        <f t="shared" si="5"/>
        <v>59.998762022062522</v>
      </c>
      <c r="AJ22" s="969">
        <f t="shared" si="6"/>
        <v>62.998700123165648</v>
      </c>
      <c r="AK22" s="969">
        <f t="shared" si="7"/>
        <v>66.148635129323935</v>
      </c>
      <c r="AL22" s="969">
        <f t="shared" si="8"/>
        <v>69.456066885790136</v>
      </c>
      <c r="AM22" s="969">
        <f t="shared" si="9"/>
        <v>72.928870230079653</v>
      </c>
      <c r="AN22" s="969">
        <f t="shared" si="10"/>
        <v>76.575313741583642</v>
      </c>
      <c r="AO22" s="969">
        <f t="shared" si="11"/>
        <v>80.404079428662826</v>
      </c>
      <c r="AP22" s="969">
        <f t="shared" si="12"/>
        <v>84.424283400095973</v>
      </c>
      <c r="AQ22" s="969">
        <f t="shared" si="13"/>
        <v>88.645497570100773</v>
      </c>
    </row>
    <row r="23" spans="2:43">
      <c r="B23" s="952" t="s">
        <v>577</v>
      </c>
      <c r="C23" s="967"/>
      <c r="D23" s="967"/>
      <c r="E23" s="967"/>
      <c r="F23" s="967"/>
      <c r="G23" s="967"/>
      <c r="H23" s="967"/>
      <c r="I23" s="967"/>
      <c r="J23" s="967"/>
      <c r="K23" s="968"/>
      <c r="L23" s="967"/>
      <c r="M23" s="967"/>
      <c r="N23" s="967"/>
      <c r="O23" s="1009">
        <f t="shared" si="2"/>
        <v>37.143976436789963</v>
      </c>
      <c r="P23" s="1009">
        <f t="shared" si="2"/>
        <v>37.143976436789963</v>
      </c>
      <c r="Q23" s="1009">
        <f t="shared" si="2"/>
        <v>37.143976436789963</v>
      </c>
      <c r="R23" s="1009">
        <f t="shared" si="2"/>
        <v>37.143976436789963</v>
      </c>
      <c r="S23" s="1009">
        <f t="shared" si="2"/>
        <v>37.143976436789963</v>
      </c>
      <c r="T23" s="1009">
        <f t="shared" si="2"/>
        <v>37.143976436789963</v>
      </c>
      <c r="U23" s="1009">
        <f t="shared" si="2"/>
        <v>37.143976436789963</v>
      </c>
      <c r="V23" s="1009">
        <f t="shared" si="2"/>
        <v>37.143976436789963</v>
      </c>
      <c r="W23" s="1009">
        <f t="shared" si="2"/>
        <v>37.143976436789963</v>
      </c>
      <c r="X23" s="1009">
        <f t="shared" si="2"/>
        <v>38.072575847709707</v>
      </c>
      <c r="Y23" s="1009">
        <f t="shared" si="14"/>
        <v>39.024390243902445</v>
      </c>
      <c r="Z23" s="1094">
        <v>40</v>
      </c>
      <c r="AA23" s="969">
        <f t="shared" si="4"/>
        <v>41</v>
      </c>
      <c r="AB23" s="969">
        <f t="shared" si="4"/>
        <v>42.64</v>
      </c>
      <c r="AC23" s="969">
        <f t="shared" si="4"/>
        <v>44.772000000000006</v>
      </c>
      <c r="AD23" s="969">
        <f t="shared" si="4"/>
        <v>47.010600000000011</v>
      </c>
      <c r="AE23" s="969">
        <f t="shared" si="4"/>
        <v>49.36113000000001</v>
      </c>
      <c r="AF23" s="969">
        <f t="shared" si="4"/>
        <v>51.829186500000013</v>
      </c>
      <c r="AG23" s="969">
        <f t="shared" si="4"/>
        <v>54.420645825000015</v>
      </c>
      <c r="AH23" s="969">
        <f t="shared" si="4"/>
        <v>57.14167811625002</v>
      </c>
      <c r="AI23" s="969">
        <f t="shared" si="5"/>
        <v>59.998762022062522</v>
      </c>
      <c r="AJ23" s="969">
        <f t="shared" si="6"/>
        <v>62.998700123165648</v>
      </c>
      <c r="AK23" s="969">
        <f t="shared" si="7"/>
        <v>66.148635129323935</v>
      </c>
      <c r="AL23" s="969">
        <f t="shared" si="8"/>
        <v>69.456066885790136</v>
      </c>
      <c r="AM23" s="969">
        <f t="shared" si="9"/>
        <v>72.928870230079653</v>
      </c>
      <c r="AN23" s="969">
        <f t="shared" si="10"/>
        <v>76.575313741583642</v>
      </c>
      <c r="AO23" s="969">
        <f t="shared" si="11"/>
        <v>80.404079428662826</v>
      </c>
      <c r="AP23" s="969">
        <f t="shared" si="12"/>
        <v>84.424283400095973</v>
      </c>
      <c r="AQ23" s="969">
        <f t="shared" si="13"/>
        <v>88.645497570100773</v>
      </c>
    </row>
    <row r="24" spans="2:43">
      <c r="C24" s="967"/>
      <c r="D24" s="967"/>
      <c r="E24" s="967"/>
      <c r="F24" s="967"/>
      <c r="G24" s="967"/>
      <c r="H24" s="967"/>
      <c r="I24" s="967"/>
      <c r="J24" s="967"/>
      <c r="K24" s="968"/>
      <c r="L24" s="967"/>
      <c r="M24" s="967"/>
      <c r="N24" s="967"/>
      <c r="O24" s="967"/>
      <c r="P24" s="967"/>
      <c r="Q24" s="967"/>
      <c r="R24" s="967"/>
      <c r="S24" s="967"/>
      <c r="T24" s="967"/>
      <c r="U24" s="967"/>
      <c r="V24" s="967"/>
      <c r="W24" s="967"/>
      <c r="X24" s="967"/>
      <c r="Y24" s="967"/>
      <c r="Z24" s="1037"/>
      <c r="AA24" s="967"/>
      <c r="AB24" s="967"/>
      <c r="AC24" s="967"/>
      <c r="AD24" s="967"/>
      <c r="AE24" s="967"/>
      <c r="AF24" s="967"/>
      <c r="AG24" s="967"/>
      <c r="AH24" s="967"/>
      <c r="AI24" s="967"/>
      <c r="AJ24" s="967"/>
      <c r="AK24" s="967"/>
      <c r="AL24" s="967"/>
      <c r="AM24" s="967"/>
      <c r="AN24" s="967"/>
      <c r="AO24" s="967"/>
      <c r="AP24" s="967"/>
      <c r="AQ24" s="967"/>
    </row>
    <row r="25" spans="2:43" ht="12" hidden="1" outlineLevel="1">
      <c r="B25" s="958" t="s">
        <v>579</v>
      </c>
      <c r="C25" s="967"/>
      <c r="D25" s="967"/>
      <c r="E25" s="967"/>
      <c r="F25" s="967"/>
      <c r="G25" s="967"/>
      <c r="H25" s="967"/>
      <c r="I25" s="967"/>
      <c r="J25" s="967"/>
      <c r="K25" s="968"/>
      <c r="L25" s="967"/>
      <c r="M25" s="967"/>
      <c r="N25" s="967"/>
      <c r="O25" s="967"/>
      <c r="P25" s="967"/>
      <c r="Q25" s="967"/>
      <c r="R25" s="967"/>
      <c r="S25" s="967"/>
      <c r="T25" s="967"/>
      <c r="U25" s="967"/>
      <c r="V25" s="967"/>
      <c r="W25" s="967"/>
      <c r="X25" s="967"/>
      <c r="Y25" s="967"/>
      <c r="Z25" s="1037"/>
      <c r="AA25" s="967"/>
      <c r="AB25" s="967"/>
      <c r="AC25" s="967"/>
      <c r="AD25" s="967"/>
      <c r="AE25" s="967"/>
      <c r="AF25" s="967"/>
      <c r="AG25" s="967"/>
      <c r="AH25" s="967"/>
      <c r="AI25" s="967"/>
      <c r="AJ25" s="967"/>
      <c r="AK25" s="967"/>
      <c r="AL25" s="967"/>
      <c r="AM25" s="967"/>
      <c r="AN25" s="967"/>
      <c r="AO25" s="967"/>
      <c r="AP25" s="967"/>
      <c r="AQ25" s="967"/>
    </row>
    <row r="26" spans="2:43" hidden="1" outlineLevel="1">
      <c r="B26" s="952" t="s">
        <v>570</v>
      </c>
      <c r="C26" s="967"/>
      <c r="D26" s="967"/>
      <c r="E26" s="967"/>
      <c r="F26" s="967"/>
      <c r="G26" s="967"/>
      <c r="H26" s="967"/>
      <c r="I26" s="967"/>
      <c r="J26" s="967"/>
      <c r="K26" s="968"/>
      <c r="L26" s="967"/>
      <c r="M26" s="967"/>
      <c r="N26" s="967"/>
      <c r="O26" s="970">
        <v>0.75</v>
      </c>
      <c r="P26" s="970">
        <v>0.75</v>
      </c>
      <c r="Q26" s="970">
        <v>0.75</v>
      </c>
      <c r="R26" s="970">
        <v>0.85</v>
      </c>
      <c r="S26" s="970">
        <v>0.85</v>
      </c>
      <c r="T26" s="970">
        <v>0.85</v>
      </c>
      <c r="U26" s="970">
        <v>0.85</v>
      </c>
      <c r="V26" s="970">
        <v>0.85</v>
      </c>
      <c r="W26" s="970">
        <v>0.85</v>
      </c>
      <c r="X26" s="970">
        <v>0.70499999999999996</v>
      </c>
      <c r="Y26" s="970">
        <v>0.70499999999999996</v>
      </c>
      <c r="Z26" s="1095">
        <v>0.70499999999999996</v>
      </c>
      <c r="AA26" s="970">
        <v>0.71</v>
      </c>
      <c r="AB26" s="970">
        <f t="shared" ref="AB26:AH32" si="15">AA26</f>
        <v>0.71</v>
      </c>
      <c r="AC26" s="970">
        <f t="shared" si="15"/>
        <v>0.71</v>
      </c>
      <c r="AD26" s="970">
        <f t="shared" si="15"/>
        <v>0.71</v>
      </c>
      <c r="AE26" s="970">
        <f t="shared" si="15"/>
        <v>0.71</v>
      </c>
      <c r="AF26" s="970">
        <f t="shared" si="15"/>
        <v>0.71</v>
      </c>
      <c r="AG26" s="970">
        <f t="shared" si="15"/>
        <v>0.71</v>
      </c>
      <c r="AH26" s="970">
        <f t="shared" si="15"/>
        <v>0.71</v>
      </c>
      <c r="AI26" s="970">
        <f t="shared" ref="AI26:AI32" si="16">AH26</f>
        <v>0.71</v>
      </c>
      <c r="AJ26" s="970">
        <f t="shared" ref="AJ26:AJ32" si="17">AI26</f>
        <v>0.71</v>
      </c>
      <c r="AK26" s="970">
        <f t="shared" ref="AK26:AK32" si="18">AJ26</f>
        <v>0.71</v>
      </c>
      <c r="AL26" s="970">
        <f t="shared" ref="AL26:AL32" si="19">AK26</f>
        <v>0.71</v>
      </c>
      <c r="AM26" s="970">
        <f t="shared" ref="AM26:AM32" si="20">AL26</f>
        <v>0.71</v>
      </c>
      <c r="AN26" s="970">
        <f t="shared" ref="AN26:AN32" si="21">AM26</f>
        <v>0.71</v>
      </c>
      <c r="AO26" s="970">
        <f t="shared" ref="AO26:AO32" si="22">AN26</f>
        <v>0.71</v>
      </c>
      <c r="AP26" s="970">
        <f t="shared" ref="AP26:AP32" si="23">AO26</f>
        <v>0.71</v>
      </c>
      <c r="AQ26" s="970">
        <f t="shared" ref="AQ26:AQ32" si="24">AP26</f>
        <v>0.71</v>
      </c>
    </row>
    <row r="27" spans="2:43" hidden="1" outlineLevel="1">
      <c r="B27" s="952" t="s">
        <v>571</v>
      </c>
      <c r="C27" s="967"/>
      <c r="D27" s="967"/>
      <c r="E27" s="967"/>
      <c r="F27" s="967"/>
      <c r="G27" s="967"/>
      <c r="H27" s="967"/>
      <c r="I27" s="967"/>
      <c r="J27" s="967"/>
      <c r="K27" s="968"/>
      <c r="L27" s="967"/>
      <c r="M27" s="967"/>
      <c r="N27" s="967"/>
      <c r="O27" s="970"/>
      <c r="P27" s="970"/>
      <c r="Q27" s="970"/>
      <c r="R27" s="970"/>
      <c r="S27" s="970">
        <v>0.85</v>
      </c>
      <c r="T27" s="970">
        <v>0.85</v>
      </c>
      <c r="U27" s="970">
        <v>0.85</v>
      </c>
      <c r="V27" s="970">
        <v>0.85</v>
      </c>
      <c r="W27" s="970">
        <v>0.85</v>
      </c>
      <c r="X27" s="970">
        <v>0.65</v>
      </c>
      <c r="Y27" s="970">
        <v>0.65</v>
      </c>
      <c r="Z27" s="1095">
        <v>0.7</v>
      </c>
      <c r="AA27" s="970">
        <v>0.7</v>
      </c>
      <c r="AB27" s="970">
        <f t="shared" si="15"/>
        <v>0.7</v>
      </c>
      <c r="AC27" s="970">
        <f t="shared" si="15"/>
        <v>0.7</v>
      </c>
      <c r="AD27" s="970">
        <f t="shared" si="15"/>
        <v>0.7</v>
      </c>
      <c r="AE27" s="970">
        <f t="shared" si="15"/>
        <v>0.7</v>
      </c>
      <c r="AF27" s="970">
        <f t="shared" si="15"/>
        <v>0.7</v>
      </c>
      <c r="AG27" s="970">
        <f t="shared" si="15"/>
        <v>0.7</v>
      </c>
      <c r="AH27" s="970">
        <f t="shared" si="15"/>
        <v>0.7</v>
      </c>
      <c r="AI27" s="970">
        <f t="shared" si="16"/>
        <v>0.7</v>
      </c>
      <c r="AJ27" s="970">
        <f t="shared" si="17"/>
        <v>0.7</v>
      </c>
      <c r="AK27" s="970">
        <f t="shared" si="18"/>
        <v>0.7</v>
      </c>
      <c r="AL27" s="970">
        <f t="shared" si="19"/>
        <v>0.7</v>
      </c>
      <c r="AM27" s="970">
        <f t="shared" si="20"/>
        <v>0.7</v>
      </c>
      <c r="AN27" s="970">
        <f t="shared" si="21"/>
        <v>0.7</v>
      </c>
      <c r="AO27" s="970">
        <f t="shared" si="22"/>
        <v>0.7</v>
      </c>
      <c r="AP27" s="970">
        <f t="shared" si="23"/>
        <v>0.7</v>
      </c>
      <c r="AQ27" s="970">
        <f t="shared" si="24"/>
        <v>0.7</v>
      </c>
    </row>
    <row r="28" spans="2:43" hidden="1" outlineLevel="1">
      <c r="B28" s="952" t="s">
        <v>573</v>
      </c>
      <c r="C28" s="967"/>
      <c r="D28" s="967"/>
      <c r="E28" s="967"/>
      <c r="F28" s="967"/>
      <c r="G28" s="967"/>
      <c r="H28" s="967"/>
      <c r="I28" s="967"/>
      <c r="J28" s="967"/>
      <c r="K28" s="968"/>
      <c r="L28" s="967"/>
      <c r="M28" s="967"/>
      <c r="N28" s="967"/>
      <c r="O28" s="970">
        <v>0.5</v>
      </c>
      <c r="P28" s="970">
        <v>0.5</v>
      </c>
      <c r="Q28" s="970">
        <v>0.85</v>
      </c>
      <c r="R28" s="970">
        <v>0.85</v>
      </c>
      <c r="S28" s="970">
        <v>0.85</v>
      </c>
      <c r="T28" s="970">
        <v>0.85</v>
      </c>
      <c r="U28" s="970">
        <v>0.85</v>
      </c>
      <c r="V28" s="970">
        <v>0.85</v>
      </c>
      <c r="W28" s="970">
        <v>0.85</v>
      </c>
      <c r="X28" s="970">
        <v>0.6</v>
      </c>
      <c r="Y28" s="970">
        <v>0.5</v>
      </c>
      <c r="Z28" s="1095">
        <v>0.5</v>
      </c>
      <c r="AA28" s="970">
        <v>0.55000000000000004</v>
      </c>
      <c r="AB28" s="970">
        <f t="shared" si="15"/>
        <v>0.55000000000000004</v>
      </c>
      <c r="AC28" s="970">
        <f t="shared" si="15"/>
        <v>0.55000000000000004</v>
      </c>
      <c r="AD28" s="970">
        <f t="shared" si="15"/>
        <v>0.55000000000000004</v>
      </c>
      <c r="AE28" s="970">
        <f t="shared" si="15"/>
        <v>0.55000000000000004</v>
      </c>
      <c r="AF28" s="970">
        <f t="shared" si="15"/>
        <v>0.55000000000000004</v>
      </c>
      <c r="AG28" s="970">
        <f t="shared" si="15"/>
        <v>0.55000000000000004</v>
      </c>
      <c r="AH28" s="970">
        <f t="shared" si="15"/>
        <v>0.55000000000000004</v>
      </c>
      <c r="AI28" s="970">
        <f t="shared" si="16"/>
        <v>0.55000000000000004</v>
      </c>
      <c r="AJ28" s="970">
        <f t="shared" si="17"/>
        <v>0.55000000000000004</v>
      </c>
      <c r="AK28" s="970">
        <f t="shared" si="18"/>
        <v>0.55000000000000004</v>
      </c>
      <c r="AL28" s="970">
        <f t="shared" si="19"/>
        <v>0.55000000000000004</v>
      </c>
      <c r="AM28" s="970">
        <f t="shared" si="20"/>
        <v>0.55000000000000004</v>
      </c>
      <c r="AN28" s="970">
        <f t="shared" si="21"/>
        <v>0.55000000000000004</v>
      </c>
      <c r="AO28" s="970">
        <f t="shared" si="22"/>
        <v>0.55000000000000004</v>
      </c>
      <c r="AP28" s="970">
        <f t="shared" si="23"/>
        <v>0.55000000000000004</v>
      </c>
      <c r="AQ28" s="970">
        <f t="shared" si="24"/>
        <v>0.55000000000000004</v>
      </c>
    </row>
    <row r="29" spans="2:43" hidden="1" outlineLevel="1">
      <c r="B29" s="952" t="s">
        <v>574</v>
      </c>
      <c r="C29" s="967"/>
      <c r="D29" s="967"/>
      <c r="E29" s="967"/>
      <c r="F29" s="967"/>
      <c r="G29" s="967"/>
      <c r="H29" s="967"/>
      <c r="I29" s="967"/>
      <c r="J29" s="967"/>
      <c r="K29" s="968"/>
      <c r="L29" s="967"/>
      <c r="M29" s="967"/>
      <c r="N29" s="967"/>
      <c r="O29" s="970">
        <v>0.5</v>
      </c>
      <c r="P29" s="970">
        <v>0.5</v>
      </c>
      <c r="Q29" s="970">
        <v>0.5</v>
      </c>
      <c r="R29" s="970">
        <v>0.5</v>
      </c>
      <c r="S29" s="970">
        <v>0.5</v>
      </c>
      <c r="T29" s="970">
        <v>0.5</v>
      </c>
      <c r="U29" s="970">
        <v>0.5</v>
      </c>
      <c r="V29" s="970">
        <v>0.5</v>
      </c>
      <c r="W29" s="970">
        <v>0.5</v>
      </c>
      <c r="X29" s="970">
        <v>0.5</v>
      </c>
      <c r="Y29" s="970">
        <v>0.5</v>
      </c>
      <c r="Z29" s="1095">
        <v>0.5</v>
      </c>
      <c r="AA29" s="970">
        <v>0.55000000000000004</v>
      </c>
      <c r="AB29" s="970">
        <f t="shared" si="15"/>
        <v>0.55000000000000004</v>
      </c>
      <c r="AC29" s="970">
        <f t="shared" si="15"/>
        <v>0.55000000000000004</v>
      </c>
      <c r="AD29" s="970">
        <f t="shared" si="15"/>
        <v>0.55000000000000004</v>
      </c>
      <c r="AE29" s="970">
        <f t="shared" si="15"/>
        <v>0.55000000000000004</v>
      </c>
      <c r="AF29" s="970">
        <f t="shared" si="15"/>
        <v>0.55000000000000004</v>
      </c>
      <c r="AG29" s="970">
        <f t="shared" si="15"/>
        <v>0.55000000000000004</v>
      </c>
      <c r="AH29" s="970">
        <f t="shared" si="15"/>
        <v>0.55000000000000004</v>
      </c>
      <c r="AI29" s="970">
        <f t="shared" si="16"/>
        <v>0.55000000000000004</v>
      </c>
      <c r="AJ29" s="970">
        <f t="shared" si="17"/>
        <v>0.55000000000000004</v>
      </c>
      <c r="AK29" s="970">
        <f t="shared" si="18"/>
        <v>0.55000000000000004</v>
      </c>
      <c r="AL29" s="970">
        <f t="shared" si="19"/>
        <v>0.55000000000000004</v>
      </c>
      <c r="AM29" s="970">
        <f t="shared" si="20"/>
        <v>0.55000000000000004</v>
      </c>
      <c r="AN29" s="970">
        <f t="shared" si="21"/>
        <v>0.55000000000000004</v>
      </c>
      <c r="AO29" s="970">
        <f t="shared" si="22"/>
        <v>0.55000000000000004</v>
      </c>
      <c r="AP29" s="970">
        <f t="shared" si="23"/>
        <v>0.55000000000000004</v>
      </c>
      <c r="AQ29" s="970">
        <f t="shared" si="24"/>
        <v>0.55000000000000004</v>
      </c>
    </row>
    <row r="30" spans="2:43" hidden="1" outlineLevel="1">
      <c r="B30" s="952" t="s">
        <v>575</v>
      </c>
      <c r="C30" s="967"/>
      <c r="D30" s="967"/>
      <c r="E30" s="967"/>
      <c r="F30" s="967"/>
      <c r="G30" s="967"/>
      <c r="H30" s="967"/>
      <c r="I30" s="967"/>
      <c r="J30" s="967"/>
      <c r="K30" s="968"/>
      <c r="L30" s="967"/>
      <c r="M30" s="967"/>
      <c r="N30" s="967"/>
      <c r="O30" s="970">
        <v>0.6</v>
      </c>
      <c r="P30" s="970">
        <v>0.6</v>
      </c>
      <c r="Q30" s="970">
        <v>0.6</v>
      </c>
      <c r="R30" s="970">
        <v>0.6</v>
      </c>
      <c r="S30" s="970">
        <v>0.6</v>
      </c>
      <c r="T30" s="970">
        <v>0.6</v>
      </c>
      <c r="U30" s="970">
        <v>0.6</v>
      </c>
      <c r="V30" s="970">
        <v>0.6</v>
      </c>
      <c r="W30" s="970">
        <v>0.6</v>
      </c>
      <c r="X30" s="970">
        <v>0.6</v>
      </c>
      <c r="Y30" s="970">
        <v>0.6</v>
      </c>
      <c r="Z30" s="1095">
        <v>0.6</v>
      </c>
      <c r="AA30" s="970">
        <v>0.65</v>
      </c>
      <c r="AB30" s="970">
        <f t="shared" si="15"/>
        <v>0.65</v>
      </c>
      <c r="AC30" s="970">
        <f t="shared" si="15"/>
        <v>0.65</v>
      </c>
      <c r="AD30" s="970">
        <f t="shared" si="15"/>
        <v>0.65</v>
      </c>
      <c r="AE30" s="970">
        <f t="shared" si="15"/>
        <v>0.65</v>
      </c>
      <c r="AF30" s="970">
        <f t="shared" si="15"/>
        <v>0.65</v>
      </c>
      <c r="AG30" s="970">
        <f t="shared" si="15"/>
        <v>0.65</v>
      </c>
      <c r="AH30" s="970">
        <f t="shared" si="15"/>
        <v>0.65</v>
      </c>
      <c r="AI30" s="970">
        <f t="shared" si="16"/>
        <v>0.65</v>
      </c>
      <c r="AJ30" s="970">
        <f t="shared" si="17"/>
        <v>0.65</v>
      </c>
      <c r="AK30" s="970">
        <f t="shared" si="18"/>
        <v>0.65</v>
      </c>
      <c r="AL30" s="970">
        <f t="shared" si="19"/>
        <v>0.65</v>
      </c>
      <c r="AM30" s="970">
        <f t="shared" si="20"/>
        <v>0.65</v>
      </c>
      <c r="AN30" s="970">
        <f t="shared" si="21"/>
        <v>0.65</v>
      </c>
      <c r="AO30" s="970">
        <f t="shared" si="22"/>
        <v>0.65</v>
      </c>
      <c r="AP30" s="970">
        <f t="shared" si="23"/>
        <v>0.65</v>
      </c>
      <c r="AQ30" s="970">
        <f t="shared" si="24"/>
        <v>0.65</v>
      </c>
    </row>
    <row r="31" spans="2:43" hidden="1" outlineLevel="1">
      <c r="B31" s="952" t="s">
        <v>576</v>
      </c>
      <c r="C31" s="967"/>
      <c r="D31" s="967"/>
      <c r="E31" s="967"/>
      <c r="F31" s="967"/>
      <c r="G31" s="967"/>
      <c r="H31" s="967"/>
      <c r="I31" s="967"/>
      <c r="J31" s="967"/>
      <c r="K31" s="968"/>
      <c r="L31" s="967"/>
      <c r="M31" s="967"/>
      <c r="N31" s="967"/>
      <c r="O31" s="970">
        <v>0.5</v>
      </c>
      <c r="P31" s="970">
        <v>0.5</v>
      </c>
      <c r="Q31" s="970">
        <v>0.5</v>
      </c>
      <c r="R31" s="970">
        <v>0.5</v>
      </c>
      <c r="S31" s="970">
        <v>0.5</v>
      </c>
      <c r="T31" s="970">
        <v>0.5</v>
      </c>
      <c r="U31" s="970">
        <v>0.5</v>
      </c>
      <c r="V31" s="970">
        <v>0.5</v>
      </c>
      <c r="W31" s="970">
        <v>0.5</v>
      </c>
      <c r="X31" s="970">
        <v>0.5</v>
      </c>
      <c r="Y31" s="970">
        <v>0.5</v>
      </c>
      <c r="Z31" s="1095">
        <v>0.5</v>
      </c>
      <c r="AA31" s="970">
        <v>0.55000000000000004</v>
      </c>
      <c r="AB31" s="970">
        <f t="shared" si="15"/>
        <v>0.55000000000000004</v>
      </c>
      <c r="AC31" s="970">
        <f t="shared" si="15"/>
        <v>0.55000000000000004</v>
      </c>
      <c r="AD31" s="970">
        <f t="shared" si="15"/>
        <v>0.55000000000000004</v>
      </c>
      <c r="AE31" s="970">
        <f t="shared" si="15"/>
        <v>0.55000000000000004</v>
      </c>
      <c r="AF31" s="970">
        <f t="shared" si="15"/>
        <v>0.55000000000000004</v>
      </c>
      <c r="AG31" s="970">
        <f t="shared" si="15"/>
        <v>0.55000000000000004</v>
      </c>
      <c r="AH31" s="970">
        <f t="shared" si="15"/>
        <v>0.55000000000000004</v>
      </c>
      <c r="AI31" s="970">
        <f t="shared" si="16"/>
        <v>0.55000000000000004</v>
      </c>
      <c r="AJ31" s="970">
        <f t="shared" si="17"/>
        <v>0.55000000000000004</v>
      </c>
      <c r="AK31" s="970">
        <f t="shared" si="18"/>
        <v>0.55000000000000004</v>
      </c>
      <c r="AL31" s="970">
        <f t="shared" si="19"/>
        <v>0.55000000000000004</v>
      </c>
      <c r="AM31" s="970">
        <f t="shared" si="20"/>
        <v>0.55000000000000004</v>
      </c>
      <c r="AN31" s="970">
        <f t="shared" si="21"/>
        <v>0.55000000000000004</v>
      </c>
      <c r="AO31" s="970">
        <f t="shared" si="22"/>
        <v>0.55000000000000004</v>
      </c>
      <c r="AP31" s="970">
        <f t="shared" si="23"/>
        <v>0.55000000000000004</v>
      </c>
      <c r="AQ31" s="970">
        <f t="shared" si="24"/>
        <v>0.55000000000000004</v>
      </c>
    </row>
    <row r="32" spans="2:43" hidden="1" outlineLevel="1">
      <c r="B32" s="952" t="s">
        <v>577</v>
      </c>
      <c r="C32" s="967"/>
      <c r="D32" s="967"/>
      <c r="E32" s="967"/>
      <c r="F32" s="967"/>
      <c r="G32" s="967"/>
      <c r="H32" s="967"/>
      <c r="I32" s="967"/>
      <c r="J32" s="967"/>
      <c r="K32" s="968"/>
      <c r="L32" s="967"/>
      <c r="M32" s="967"/>
      <c r="N32" s="967"/>
      <c r="O32" s="970"/>
      <c r="P32" s="970"/>
      <c r="Q32" s="970"/>
      <c r="R32" s="970"/>
      <c r="S32" s="970">
        <v>0.5</v>
      </c>
      <c r="T32" s="970">
        <v>0.5</v>
      </c>
      <c r="U32" s="970">
        <v>0.5</v>
      </c>
      <c r="V32" s="970">
        <v>0.5</v>
      </c>
      <c r="W32" s="970">
        <v>0.5</v>
      </c>
      <c r="X32" s="970">
        <v>0.5</v>
      </c>
      <c r="Y32" s="970">
        <v>0.5</v>
      </c>
      <c r="Z32" s="1095">
        <v>0.5</v>
      </c>
      <c r="AA32" s="970">
        <v>0.55000000000000004</v>
      </c>
      <c r="AB32" s="970">
        <f t="shared" si="15"/>
        <v>0.55000000000000004</v>
      </c>
      <c r="AC32" s="970">
        <f t="shared" si="15"/>
        <v>0.55000000000000004</v>
      </c>
      <c r="AD32" s="970">
        <f t="shared" si="15"/>
        <v>0.55000000000000004</v>
      </c>
      <c r="AE32" s="970">
        <f t="shared" si="15"/>
        <v>0.55000000000000004</v>
      </c>
      <c r="AF32" s="970">
        <f t="shared" si="15"/>
        <v>0.55000000000000004</v>
      </c>
      <c r="AG32" s="970">
        <f t="shared" si="15"/>
        <v>0.55000000000000004</v>
      </c>
      <c r="AH32" s="970">
        <f t="shared" si="15"/>
        <v>0.55000000000000004</v>
      </c>
      <c r="AI32" s="970">
        <f t="shared" si="16"/>
        <v>0.55000000000000004</v>
      </c>
      <c r="AJ32" s="970">
        <f t="shared" si="17"/>
        <v>0.55000000000000004</v>
      </c>
      <c r="AK32" s="970">
        <f t="shared" si="18"/>
        <v>0.55000000000000004</v>
      </c>
      <c r="AL32" s="970">
        <f t="shared" si="19"/>
        <v>0.55000000000000004</v>
      </c>
      <c r="AM32" s="970">
        <f t="shared" si="20"/>
        <v>0.55000000000000004</v>
      </c>
      <c r="AN32" s="970">
        <f t="shared" si="21"/>
        <v>0.55000000000000004</v>
      </c>
      <c r="AO32" s="970">
        <f t="shared" si="22"/>
        <v>0.55000000000000004</v>
      </c>
      <c r="AP32" s="970">
        <f t="shared" si="23"/>
        <v>0.55000000000000004</v>
      </c>
      <c r="AQ32" s="970">
        <f t="shared" si="24"/>
        <v>0.55000000000000004</v>
      </c>
    </row>
    <row r="33" spans="2:43" hidden="1" outlineLevel="1">
      <c r="C33" s="967"/>
      <c r="D33" s="967"/>
      <c r="E33" s="967"/>
      <c r="F33" s="967"/>
      <c r="G33" s="967"/>
      <c r="H33" s="967"/>
      <c r="I33" s="967"/>
      <c r="J33" s="967"/>
      <c r="K33" s="968"/>
      <c r="L33" s="967"/>
      <c r="M33" s="967"/>
      <c r="N33" s="967"/>
      <c r="O33" s="970"/>
      <c r="P33" s="970"/>
      <c r="Q33" s="970"/>
      <c r="R33" s="970"/>
      <c r="S33" s="970"/>
      <c r="T33" s="970"/>
      <c r="U33" s="970"/>
      <c r="V33" s="970"/>
      <c r="W33" s="970"/>
      <c r="X33" s="970"/>
      <c r="Y33" s="970"/>
      <c r="Z33" s="1095"/>
      <c r="AA33" s="970"/>
      <c r="AB33" s="970"/>
      <c r="AC33" s="970"/>
      <c r="AD33" s="970"/>
      <c r="AE33" s="970"/>
      <c r="AF33" s="970"/>
      <c r="AG33" s="970"/>
      <c r="AH33" s="970"/>
      <c r="AI33" s="970"/>
      <c r="AJ33" s="970"/>
      <c r="AK33" s="970"/>
      <c r="AL33" s="970"/>
      <c r="AM33" s="970"/>
      <c r="AN33" s="970"/>
      <c r="AO33" s="970"/>
      <c r="AP33" s="970"/>
      <c r="AQ33" s="970"/>
    </row>
    <row r="34" spans="2:43" ht="12" collapsed="1">
      <c r="B34" s="1007" t="s">
        <v>580</v>
      </c>
      <c r="C34" s="967"/>
      <c r="D34" s="967"/>
      <c r="E34" s="967"/>
      <c r="F34" s="967"/>
      <c r="G34" s="967"/>
      <c r="H34" s="967"/>
      <c r="I34" s="967"/>
      <c r="J34" s="967"/>
      <c r="K34" s="968"/>
      <c r="L34" s="967"/>
      <c r="M34" s="967"/>
      <c r="N34" s="967"/>
      <c r="O34" s="967"/>
      <c r="P34" s="967"/>
      <c r="Q34" s="967"/>
      <c r="R34" s="967"/>
      <c r="S34" s="967"/>
      <c r="T34" s="967"/>
      <c r="U34" s="967"/>
      <c r="V34" s="967"/>
      <c r="W34" s="967"/>
      <c r="X34" s="967"/>
      <c r="Y34" s="967"/>
      <c r="Z34" s="1037"/>
      <c r="AA34" s="967"/>
      <c r="AB34" s="967"/>
      <c r="AC34" s="967"/>
      <c r="AD34" s="967"/>
      <c r="AE34" s="967"/>
      <c r="AF34" s="967"/>
      <c r="AG34" s="967"/>
      <c r="AH34" s="967"/>
      <c r="AI34" s="967"/>
      <c r="AJ34" s="967"/>
      <c r="AK34" s="967"/>
      <c r="AL34" s="967"/>
      <c r="AM34" s="967"/>
      <c r="AN34" s="967"/>
      <c r="AO34" s="967"/>
      <c r="AP34" s="967"/>
      <c r="AQ34" s="967"/>
    </row>
    <row r="35" spans="2:43">
      <c r="B35" s="952" t="s">
        <v>570</v>
      </c>
      <c r="C35" s="967"/>
      <c r="D35" s="967"/>
      <c r="E35" s="967"/>
      <c r="F35" s="967"/>
      <c r="G35" s="967"/>
      <c r="H35" s="967"/>
      <c r="I35" s="967"/>
      <c r="J35" s="967"/>
      <c r="K35" s="968"/>
      <c r="L35" s="967"/>
      <c r="M35" s="967"/>
      <c r="N35" s="967"/>
      <c r="O35" s="970">
        <v>0.5</v>
      </c>
      <c r="P35" s="970">
        <v>0.5</v>
      </c>
      <c r="Q35" s="970">
        <v>0.5</v>
      </c>
      <c r="R35" s="970">
        <v>0.5</v>
      </c>
      <c r="S35" s="970">
        <v>0.5</v>
      </c>
      <c r="T35" s="970">
        <v>0.5</v>
      </c>
      <c r="U35" s="970">
        <v>0.5</v>
      </c>
      <c r="V35" s="970">
        <v>0.5</v>
      </c>
      <c r="W35" s="970">
        <v>0.5</v>
      </c>
      <c r="X35" s="970">
        <v>0.5</v>
      </c>
      <c r="Y35" s="970">
        <v>0.5</v>
      </c>
      <c r="Z35" s="1095">
        <v>0.5</v>
      </c>
      <c r="AA35" s="970">
        <v>0.5</v>
      </c>
      <c r="AB35" s="970">
        <v>0.5</v>
      </c>
      <c r="AC35" s="970">
        <v>0.5</v>
      </c>
      <c r="AD35" s="970">
        <v>0.5</v>
      </c>
      <c r="AE35" s="970">
        <v>0.5</v>
      </c>
      <c r="AF35" s="970">
        <v>0.5</v>
      </c>
      <c r="AG35" s="970">
        <v>0.5</v>
      </c>
      <c r="AH35" s="970">
        <v>0.5</v>
      </c>
      <c r="AI35" s="970">
        <v>0.5</v>
      </c>
      <c r="AJ35" s="970">
        <v>0.5</v>
      </c>
      <c r="AK35" s="970">
        <v>0.5</v>
      </c>
      <c r="AL35" s="970">
        <v>0.5</v>
      </c>
      <c r="AM35" s="970">
        <v>0.5</v>
      </c>
      <c r="AN35" s="970">
        <v>0.5</v>
      </c>
      <c r="AO35" s="970">
        <v>0.5</v>
      </c>
      <c r="AP35" s="970">
        <v>0.5</v>
      </c>
      <c r="AQ35" s="970">
        <v>0.5</v>
      </c>
    </row>
    <row r="36" spans="2:43">
      <c r="B36" s="952" t="s">
        <v>571</v>
      </c>
      <c r="C36" s="967"/>
      <c r="D36" s="967"/>
      <c r="E36" s="967"/>
      <c r="F36" s="967"/>
      <c r="G36" s="967"/>
      <c r="H36" s="967"/>
      <c r="I36" s="967"/>
      <c r="J36" s="967"/>
      <c r="K36" s="968"/>
      <c r="L36" s="967"/>
      <c r="M36" s="967"/>
      <c r="N36" s="967"/>
      <c r="O36" s="970">
        <v>0.5</v>
      </c>
      <c r="P36" s="970">
        <v>0.5</v>
      </c>
      <c r="Q36" s="970">
        <v>0.5</v>
      </c>
      <c r="R36" s="970">
        <v>0.5</v>
      </c>
      <c r="S36" s="970">
        <v>0.5</v>
      </c>
      <c r="T36" s="970">
        <v>0.5</v>
      </c>
      <c r="U36" s="970">
        <v>0.5</v>
      </c>
      <c r="V36" s="970">
        <v>0.5</v>
      </c>
      <c r="W36" s="970">
        <v>0.5</v>
      </c>
      <c r="X36" s="970">
        <v>0.5</v>
      </c>
      <c r="Y36" s="970">
        <v>0.5</v>
      </c>
      <c r="Z36" s="1095">
        <v>0.5</v>
      </c>
      <c r="AA36" s="970">
        <v>0.5</v>
      </c>
      <c r="AB36" s="970">
        <v>0.5</v>
      </c>
      <c r="AC36" s="970">
        <v>0.5</v>
      </c>
      <c r="AD36" s="970">
        <v>0.5</v>
      </c>
      <c r="AE36" s="970">
        <v>0.5</v>
      </c>
      <c r="AF36" s="970">
        <v>0.5</v>
      </c>
      <c r="AG36" s="970">
        <v>0.5</v>
      </c>
      <c r="AH36" s="970">
        <v>0.5</v>
      </c>
      <c r="AI36" s="970">
        <v>0.5</v>
      </c>
      <c r="AJ36" s="970">
        <v>0.5</v>
      </c>
      <c r="AK36" s="970">
        <v>0.5</v>
      </c>
      <c r="AL36" s="970">
        <v>0.5</v>
      </c>
      <c r="AM36" s="970">
        <v>0.5</v>
      </c>
      <c r="AN36" s="970">
        <v>0.5</v>
      </c>
      <c r="AO36" s="970">
        <v>0.5</v>
      </c>
      <c r="AP36" s="970">
        <v>0.5</v>
      </c>
      <c r="AQ36" s="970">
        <v>0.5</v>
      </c>
    </row>
    <row r="37" spans="2:43">
      <c r="B37" s="952" t="s">
        <v>573</v>
      </c>
      <c r="C37" s="967"/>
      <c r="D37" s="967"/>
      <c r="E37" s="967"/>
      <c r="F37" s="967"/>
      <c r="G37" s="967"/>
      <c r="H37" s="967"/>
      <c r="I37" s="967"/>
      <c r="J37" s="967"/>
      <c r="K37" s="968"/>
      <c r="L37" s="967"/>
      <c r="M37" s="967"/>
      <c r="N37" s="967"/>
      <c r="O37" s="970">
        <v>0.76</v>
      </c>
      <c r="P37" s="970">
        <v>0.76</v>
      </c>
      <c r="Q37" s="970">
        <v>0.76</v>
      </c>
      <c r="R37" s="970">
        <v>0.76</v>
      </c>
      <c r="S37" s="970">
        <v>0.76</v>
      </c>
      <c r="T37" s="970">
        <v>0.76</v>
      </c>
      <c r="U37" s="970">
        <v>0.76</v>
      </c>
      <c r="V37" s="970">
        <v>0.76</v>
      </c>
      <c r="W37" s="970">
        <v>0.76</v>
      </c>
      <c r="X37" s="970">
        <v>0.76</v>
      </c>
      <c r="Y37" s="970">
        <v>0.76</v>
      </c>
      <c r="Z37" s="1095">
        <v>0.76</v>
      </c>
      <c r="AA37" s="970">
        <v>0.76</v>
      </c>
      <c r="AB37" s="970">
        <v>0.76</v>
      </c>
      <c r="AC37" s="970">
        <v>0.76</v>
      </c>
      <c r="AD37" s="970">
        <v>0.76</v>
      </c>
      <c r="AE37" s="970">
        <v>0.76</v>
      </c>
      <c r="AF37" s="970">
        <v>0.76</v>
      </c>
      <c r="AG37" s="970">
        <v>0.76</v>
      </c>
      <c r="AH37" s="970">
        <v>0.76</v>
      </c>
      <c r="AI37" s="970">
        <v>0.76</v>
      </c>
      <c r="AJ37" s="970">
        <v>0.76</v>
      </c>
      <c r="AK37" s="970">
        <v>0.76</v>
      </c>
      <c r="AL37" s="970">
        <v>0.76</v>
      </c>
      <c r="AM37" s="970">
        <v>0.76</v>
      </c>
      <c r="AN37" s="970">
        <v>0.76</v>
      </c>
      <c r="AO37" s="970">
        <v>0.76</v>
      </c>
      <c r="AP37" s="970">
        <v>0.76</v>
      </c>
      <c r="AQ37" s="970">
        <v>0.76</v>
      </c>
    </row>
    <row r="38" spans="2:43">
      <c r="B38" s="952" t="s">
        <v>574</v>
      </c>
      <c r="C38" s="967"/>
      <c r="D38" s="967"/>
      <c r="E38" s="967"/>
      <c r="F38" s="967"/>
      <c r="G38" s="967"/>
      <c r="H38" s="967"/>
      <c r="I38" s="967"/>
      <c r="J38" s="967"/>
      <c r="K38" s="968"/>
      <c r="L38" s="967"/>
      <c r="M38" s="967"/>
      <c r="N38" s="967"/>
      <c r="O38" s="971">
        <v>0.81</v>
      </c>
      <c r="P38" s="970">
        <v>0.81</v>
      </c>
      <c r="Q38" s="970">
        <v>0.81</v>
      </c>
      <c r="R38" s="970">
        <v>0.81</v>
      </c>
      <c r="S38" s="970">
        <v>0.81</v>
      </c>
      <c r="T38" s="970">
        <v>0.81</v>
      </c>
      <c r="U38" s="970">
        <v>0.81</v>
      </c>
      <c r="V38" s="970">
        <v>0.81</v>
      </c>
      <c r="W38" s="970">
        <v>0.81</v>
      </c>
      <c r="X38" s="970">
        <v>0.81</v>
      </c>
      <c r="Y38" s="970">
        <v>0.81</v>
      </c>
      <c r="Z38" s="1095">
        <v>0.81</v>
      </c>
      <c r="AA38" s="970">
        <v>0.81</v>
      </c>
      <c r="AB38" s="970">
        <v>0.81</v>
      </c>
      <c r="AC38" s="970">
        <v>0.81</v>
      </c>
      <c r="AD38" s="970">
        <v>0.81</v>
      </c>
      <c r="AE38" s="970">
        <v>0.81</v>
      </c>
      <c r="AF38" s="970">
        <v>0.81</v>
      </c>
      <c r="AG38" s="970">
        <v>0.81</v>
      </c>
      <c r="AH38" s="970">
        <v>0.81</v>
      </c>
      <c r="AI38" s="970">
        <v>0.81</v>
      </c>
      <c r="AJ38" s="970">
        <v>0.81</v>
      </c>
      <c r="AK38" s="970">
        <v>0.81</v>
      </c>
      <c r="AL38" s="970">
        <v>0.81</v>
      </c>
      <c r="AM38" s="970">
        <v>0.81</v>
      </c>
      <c r="AN38" s="970">
        <v>0.81</v>
      </c>
      <c r="AO38" s="970">
        <v>0.81</v>
      </c>
      <c r="AP38" s="970">
        <v>0.81</v>
      </c>
      <c r="AQ38" s="970">
        <v>0.81</v>
      </c>
    </row>
    <row r="39" spans="2:43">
      <c r="B39" s="952" t="s">
        <v>575</v>
      </c>
      <c r="C39" s="967"/>
      <c r="D39" s="967"/>
      <c r="E39" s="967"/>
      <c r="F39" s="967"/>
      <c r="G39" s="967"/>
      <c r="H39" s="967"/>
      <c r="I39" s="967"/>
      <c r="J39" s="967"/>
      <c r="K39" s="968"/>
      <c r="L39" s="967"/>
      <c r="M39" s="967"/>
      <c r="N39" s="967"/>
      <c r="O39" s="970">
        <v>0.82</v>
      </c>
      <c r="P39" s="970">
        <v>0.82</v>
      </c>
      <c r="Q39" s="970">
        <v>0.82</v>
      </c>
      <c r="R39" s="970">
        <v>0.82</v>
      </c>
      <c r="S39" s="970">
        <v>0.82</v>
      </c>
      <c r="T39" s="970">
        <v>0.82</v>
      </c>
      <c r="U39" s="970">
        <v>0.82</v>
      </c>
      <c r="V39" s="970">
        <v>0.82</v>
      </c>
      <c r="W39" s="970">
        <v>0.82</v>
      </c>
      <c r="X39" s="970">
        <v>0.82</v>
      </c>
      <c r="Y39" s="970">
        <v>0.82</v>
      </c>
      <c r="Z39" s="970">
        <v>0.82</v>
      </c>
      <c r="AA39" s="970">
        <v>0.82</v>
      </c>
      <c r="AB39" s="970">
        <v>0.82</v>
      </c>
      <c r="AC39" s="970">
        <v>0.82</v>
      </c>
      <c r="AD39" s="970">
        <v>0.82</v>
      </c>
      <c r="AE39" s="970">
        <v>0.82</v>
      </c>
      <c r="AF39" s="970">
        <v>0.82</v>
      </c>
      <c r="AG39" s="970">
        <v>0.82</v>
      </c>
      <c r="AH39" s="970">
        <v>0.82</v>
      </c>
      <c r="AI39" s="970">
        <v>0.82</v>
      </c>
      <c r="AJ39" s="970">
        <v>0.82</v>
      </c>
      <c r="AK39" s="970">
        <v>0.82</v>
      </c>
      <c r="AL39" s="970">
        <v>0.82</v>
      </c>
      <c r="AM39" s="970">
        <v>0.82</v>
      </c>
      <c r="AN39" s="970">
        <v>0.82</v>
      </c>
      <c r="AO39" s="970">
        <v>0.82</v>
      </c>
      <c r="AP39" s="970">
        <v>0.82</v>
      </c>
      <c r="AQ39" s="970">
        <v>0.82</v>
      </c>
    </row>
    <row r="40" spans="2:43">
      <c r="B40" s="952" t="s">
        <v>576</v>
      </c>
      <c r="C40" s="967"/>
      <c r="D40" s="967"/>
      <c r="E40" s="967"/>
      <c r="F40" s="967"/>
      <c r="G40" s="967"/>
      <c r="H40" s="967"/>
      <c r="I40" s="967"/>
      <c r="J40" s="967"/>
      <c r="K40" s="968"/>
      <c r="L40" s="967"/>
      <c r="M40" s="967"/>
      <c r="N40" s="967"/>
      <c r="O40" s="970">
        <v>0.92</v>
      </c>
      <c r="P40" s="970">
        <v>1</v>
      </c>
      <c r="Q40" s="970">
        <v>1</v>
      </c>
      <c r="R40" s="970">
        <v>1</v>
      </c>
      <c r="S40" s="970">
        <v>1</v>
      </c>
      <c r="T40" s="970">
        <v>1</v>
      </c>
      <c r="U40" s="970">
        <v>1</v>
      </c>
      <c r="V40" s="970">
        <v>1</v>
      </c>
      <c r="W40" s="970">
        <v>1</v>
      </c>
      <c r="X40" s="970">
        <v>1</v>
      </c>
      <c r="Y40" s="970">
        <v>1</v>
      </c>
      <c r="Z40" s="970">
        <v>1</v>
      </c>
      <c r="AA40" s="970">
        <v>1</v>
      </c>
      <c r="AB40" s="970">
        <v>1</v>
      </c>
      <c r="AC40" s="970">
        <v>1</v>
      </c>
      <c r="AD40" s="970">
        <v>1</v>
      </c>
      <c r="AE40" s="970">
        <v>1</v>
      </c>
      <c r="AF40" s="970">
        <v>1</v>
      </c>
      <c r="AG40" s="970">
        <v>1</v>
      </c>
      <c r="AH40" s="970">
        <v>1</v>
      </c>
      <c r="AI40" s="970">
        <v>1</v>
      </c>
      <c r="AJ40" s="970">
        <v>1</v>
      </c>
      <c r="AK40" s="970">
        <v>1</v>
      </c>
      <c r="AL40" s="970">
        <v>1</v>
      </c>
      <c r="AM40" s="970">
        <v>1</v>
      </c>
      <c r="AN40" s="970">
        <v>1</v>
      </c>
      <c r="AO40" s="970">
        <v>1</v>
      </c>
      <c r="AP40" s="970">
        <v>1</v>
      </c>
      <c r="AQ40" s="970">
        <v>1</v>
      </c>
    </row>
    <row r="41" spans="2:43">
      <c r="B41" s="952" t="s">
        <v>577</v>
      </c>
      <c r="C41" s="967"/>
      <c r="D41" s="967"/>
      <c r="E41" s="967"/>
      <c r="F41" s="967"/>
      <c r="G41" s="967"/>
      <c r="H41" s="967"/>
      <c r="I41" s="967"/>
      <c r="J41" s="967"/>
      <c r="K41" s="968"/>
      <c r="L41" s="967"/>
      <c r="M41" s="967"/>
      <c r="N41" s="967"/>
      <c r="O41" s="970">
        <v>1</v>
      </c>
      <c r="P41" s="970">
        <v>1</v>
      </c>
      <c r="Q41" s="970">
        <v>1</v>
      </c>
      <c r="R41" s="970">
        <v>1</v>
      </c>
      <c r="S41" s="970">
        <v>1</v>
      </c>
      <c r="T41" s="970">
        <v>1</v>
      </c>
      <c r="U41" s="970">
        <v>1</v>
      </c>
      <c r="V41" s="970">
        <v>1</v>
      </c>
      <c r="W41" s="970">
        <v>1</v>
      </c>
      <c r="X41" s="970">
        <v>1</v>
      </c>
      <c r="Y41" s="970">
        <v>1</v>
      </c>
      <c r="Z41" s="970">
        <v>1</v>
      </c>
      <c r="AA41" s="970">
        <v>1</v>
      </c>
      <c r="AB41" s="970">
        <v>1</v>
      </c>
      <c r="AC41" s="970">
        <v>1</v>
      </c>
      <c r="AD41" s="970">
        <v>1</v>
      </c>
      <c r="AE41" s="970">
        <v>1</v>
      </c>
      <c r="AF41" s="970">
        <v>1</v>
      </c>
      <c r="AG41" s="970">
        <v>1</v>
      </c>
      <c r="AH41" s="970">
        <v>1</v>
      </c>
      <c r="AI41" s="970">
        <v>1</v>
      </c>
      <c r="AJ41" s="970">
        <v>1</v>
      </c>
      <c r="AK41" s="970">
        <v>1</v>
      </c>
      <c r="AL41" s="970">
        <v>1</v>
      </c>
      <c r="AM41" s="970">
        <v>1</v>
      </c>
      <c r="AN41" s="970">
        <v>1</v>
      </c>
      <c r="AO41" s="970">
        <v>1</v>
      </c>
      <c r="AP41" s="970">
        <v>1</v>
      </c>
      <c r="AQ41" s="970">
        <v>1</v>
      </c>
    </row>
    <row r="42" spans="2:43" ht="12">
      <c r="C42" s="967"/>
      <c r="D42" s="967"/>
      <c r="E42" s="967"/>
      <c r="F42" s="967"/>
      <c r="G42" s="967"/>
      <c r="H42" s="967"/>
      <c r="I42" s="967"/>
      <c r="J42" s="967"/>
      <c r="K42" s="968"/>
      <c r="L42" s="967"/>
      <c r="M42" s="967"/>
      <c r="N42" s="967"/>
      <c r="O42" s="967"/>
      <c r="P42" s="967"/>
      <c r="Q42" s="967"/>
      <c r="R42" s="967"/>
      <c r="S42" s="967"/>
      <c r="T42" s="972"/>
      <c r="U42" s="967"/>
      <c r="V42" s="967"/>
      <c r="W42" s="967"/>
      <c r="X42" s="967"/>
      <c r="Y42" s="967"/>
      <c r="Z42" s="967"/>
      <c r="AA42" s="967"/>
      <c r="AB42" s="967"/>
      <c r="AC42" s="967"/>
      <c r="AD42" s="967"/>
      <c r="AE42" s="967"/>
      <c r="AF42" s="967"/>
      <c r="AG42" s="967"/>
      <c r="AH42" s="967"/>
      <c r="AI42" s="967"/>
      <c r="AJ42" s="967"/>
      <c r="AK42" s="967"/>
      <c r="AL42" s="967"/>
      <c r="AM42" s="967"/>
      <c r="AN42" s="967"/>
      <c r="AO42" s="967"/>
      <c r="AP42" s="967"/>
      <c r="AQ42" s="967"/>
    </row>
    <row r="43" spans="2:43" ht="12">
      <c r="B43" s="1007" t="s">
        <v>581</v>
      </c>
      <c r="C43" s="967"/>
      <c r="D43" s="967"/>
      <c r="E43" s="967"/>
      <c r="F43" s="967"/>
      <c r="G43" s="967"/>
      <c r="H43" s="967"/>
      <c r="I43" s="967"/>
      <c r="J43" s="967"/>
      <c r="K43" s="968"/>
      <c r="L43" s="967"/>
      <c r="M43" s="967"/>
      <c r="N43" s="967"/>
      <c r="O43" s="967"/>
      <c r="P43" s="967"/>
      <c r="Q43" s="967"/>
      <c r="R43" s="967"/>
      <c r="S43" s="967"/>
      <c r="T43" s="967"/>
      <c r="U43" s="967"/>
      <c r="V43" s="967"/>
      <c r="W43" s="967"/>
      <c r="X43" s="967"/>
      <c r="Y43" s="967"/>
      <c r="Z43" s="967"/>
      <c r="AA43" s="967"/>
      <c r="AB43" s="967"/>
      <c r="AC43" s="967"/>
      <c r="AD43" s="967"/>
      <c r="AE43" s="967"/>
      <c r="AF43" s="967"/>
      <c r="AG43" s="967"/>
      <c r="AH43" s="967"/>
      <c r="AI43" s="967"/>
      <c r="AJ43" s="967"/>
      <c r="AK43" s="967"/>
      <c r="AL43" s="967"/>
      <c r="AM43" s="967"/>
      <c r="AN43" s="967"/>
      <c r="AO43" s="967"/>
      <c r="AP43" s="967"/>
      <c r="AQ43" s="967"/>
    </row>
    <row r="44" spans="2:43">
      <c r="B44" s="952" t="s">
        <v>570</v>
      </c>
      <c r="C44" s="967"/>
      <c r="D44" s="967"/>
      <c r="E44" s="967"/>
      <c r="F44" s="967"/>
      <c r="G44" s="967"/>
      <c r="H44" s="967"/>
      <c r="I44" s="967"/>
      <c r="J44" s="967"/>
      <c r="K44" s="968"/>
      <c r="L44" s="967"/>
      <c r="M44" s="967"/>
      <c r="N44" s="967"/>
      <c r="O44" s="973">
        <v>0.08</v>
      </c>
      <c r="P44" s="970">
        <v>0.08</v>
      </c>
      <c r="Q44" s="970">
        <v>0.08</v>
      </c>
      <c r="R44" s="970">
        <v>0.08</v>
      </c>
      <c r="S44" s="970">
        <v>0.08</v>
      </c>
      <c r="T44" s="970">
        <v>0.08</v>
      </c>
      <c r="U44" s="970">
        <v>0.08</v>
      </c>
      <c r="V44" s="970">
        <v>0.08</v>
      </c>
      <c r="W44" s="970">
        <v>0.08</v>
      </c>
      <c r="X44" s="970">
        <v>0.08</v>
      </c>
      <c r="Y44" s="970">
        <v>0.1</v>
      </c>
      <c r="Z44" s="970">
        <v>0.12</v>
      </c>
      <c r="AA44" s="970">
        <v>0.1</v>
      </c>
      <c r="AB44" s="970">
        <v>0.1</v>
      </c>
      <c r="AC44" s="970">
        <v>0.1</v>
      </c>
      <c r="AD44" s="970">
        <v>0.08</v>
      </c>
      <c r="AE44" s="970">
        <v>0.08</v>
      </c>
      <c r="AF44" s="970">
        <v>0.08</v>
      </c>
      <c r="AG44" s="970">
        <v>0.08</v>
      </c>
      <c r="AH44" s="970">
        <v>0.08</v>
      </c>
      <c r="AI44" s="970">
        <v>0.08</v>
      </c>
      <c r="AJ44" s="970">
        <v>0.08</v>
      </c>
      <c r="AK44" s="970">
        <v>0.08</v>
      </c>
      <c r="AL44" s="970">
        <v>0.08</v>
      </c>
      <c r="AM44" s="970">
        <v>0.08</v>
      </c>
      <c r="AN44" s="970">
        <v>0.08</v>
      </c>
      <c r="AO44" s="970">
        <v>0.08</v>
      </c>
      <c r="AP44" s="970">
        <v>0.08</v>
      </c>
      <c r="AQ44" s="970">
        <v>0.08</v>
      </c>
    </row>
    <row r="45" spans="2:43">
      <c r="B45" s="952" t="s">
        <v>571</v>
      </c>
      <c r="C45" s="967"/>
      <c r="D45" s="967"/>
      <c r="E45" s="967"/>
      <c r="F45" s="967"/>
      <c r="G45" s="967"/>
      <c r="H45" s="967"/>
      <c r="I45" s="967"/>
      <c r="J45" s="967"/>
      <c r="K45" s="968"/>
      <c r="L45" s="967"/>
      <c r="M45" s="967"/>
      <c r="N45" s="967"/>
      <c r="O45" s="973">
        <v>0.08</v>
      </c>
      <c r="P45" s="970">
        <v>0.08</v>
      </c>
      <c r="Q45" s="970">
        <v>0.08</v>
      </c>
      <c r="R45" s="970">
        <v>0.08</v>
      </c>
      <c r="S45" s="970">
        <v>0.08</v>
      </c>
      <c r="T45" s="970">
        <v>0.08</v>
      </c>
      <c r="U45" s="970">
        <v>0.08</v>
      </c>
      <c r="V45" s="970">
        <v>0.08</v>
      </c>
      <c r="W45" s="970">
        <v>0.08</v>
      </c>
      <c r="X45" s="970">
        <v>0.08</v>
      </c>
      <c r="Y45" s="970">
        <v>0.1</v>
      </c>
      <c r="Z45" s="970">
        <v>0.12</v>
      </c>
      <c r="AA45" s="970">
        <v>0.1</v>
      </c>
      <c r="AB45" s="970">
        <v>0.1</v>
      </c>
      <c r="AC45" s="970">
        <v>0.1</v>
      </c>
      <c r="AD45" s="970">
        <v>0.08</v>
      </c>
      <c r="AE45" s="970">
        <v>0.08</v>
      </c>
      <c r="AF45" s="970">
        <v>0.08</v>
      </c>
      <c r="AG45" s="970">
        <v>0.08</v>
      </c>
      <c r="AH45" s="970">
        <v>0.08</v>
      </c>
      <c r="AI45" s="970">
        <v>0.08</v>
      </c>
      <c r="AJ45" s="970">
        <v>0.08</v>
      </c>
      <c r="AK45" s="970">
        <v>0.08</v>
      </c>
      <c r="AL45" s="970">
        <v>0.08</v>
      </c>
      <c r="AM45" s="970">
        <v>0.08</v>
      </c>
      <c r="AN45" s="970">
        <v>0.08</v>
      </c>
      <c r="AO45" s="970">
        <v>0.08</v>
      </c>
      <c r="AP45" s="970">
        <v>0.08</v>
      </c>
      <c r="AQ45" s="970">
        <v>0.08</v>
      </c>
    </row>
    <row r="46" spans="2:43">
      <c r="B46" s="952" t="s">
        <v>573</v>
      </c>
      <c r="C46" s="967"/>
      <c r="D46" s="967"/>
      <c r="E46" s="967"/>
      <c r="F46" s="967"/>
      <c r="G46" s="967"/>
      <c r="H46" s="967"/>
      <c r="I46" s="967"/>
      <c r="J46" s="967"/>
      <c r="K46" s="968"/>
      <c r="L46" s="967"/>
      <c r="M46" s="967"/>
      <c r="N46" s="967"/>
      <c r="O46" s="973">
        <v>0.08</v>
      </c>
      <c r="P46" s="970">
        <v>0.08</v>
      </c>
      <c r="Q46" s="970">
        <v>0.08</v>
      </c>
      <c r="R46" s="970">
        <v>0.08</v>
      </c>
      <c r="S46" s="970">
        <v>0.08</v>
      </c>
      <c r="T46" s="970">
        <v>0.08</v>
      </c>
      <c r="U46" s="970">
        <v>0.08</v>
      </c>
      <c r="V46" s="970">
        <v>0.08</v>
      </c>
      <c r="W46" s="970">
        <v>0.08</v>
      </c>
      <c r="X46" s="970">
        <v>0.08</v>
      </c>
      <c r="Y46" s="970">
        <v>0.1</v>
      </c>
      <c r="Z46" s="970">
        <v>0.12</v>
      </c>
      <c r="AA46" s="970">
        <v>0.1</v>
      </c>
      <c r="AB46" s="970">
        <v>0.1</v>
      </c>
      <c r="AC46" s="970">
        <v>0.1</v>
      </c>
      <c r="AD46" s="970">
        <v>0.08</v>
      </c>
      <c r="AE46" s="970">
        <v>0.08</v>
      </c>
      <c r="AF46" s="970">
        <v>0.08</v>
      </c>
      <c r="AG46" s="970">
        <v>0.08</v>
      </c>
      <c r="AH46" s="970">
        <v>0.08</v>
      </c>
      <c r="AI46" s="970">
        <v>0.08</v>
      </c>
      <c r="AJ46" s="970">
        <v>0.08</v>
      </c>
      <c r="AK46" s="970">
        <v>0.08</v>
      </c>
      <c r="AL46" s="970">
        <v>0.08</v>
      </c>
      <c r="AM46" s="970">
        <v>0.08</v>
      </c>
      <c r="AN46" s="970">
        <v>0.08</v>
      </c>
      <c r="AO46" s="970">
        <v>0.08</v>
      </c>
      <c r="AP46" s="970">
        <v>0.08</v>
      </c>
      <c r="AQ46" s="970">
        <v>0.08</v>
      </c>
    </row>
    <row r="47" spans="2:43">
      <c r="B47" s="952" t="s">
        <v>574</v>
      </c>
      <c r="C47" s="967"/>
      <c r="D47" s="967"/>
      <c r="E47" s="967"/>
      <c r="F47" s="967"/>
      <c r="G47" s="967"/>
      <c r="H47" s="967"/>
      <c r="I47" s="967"/>
      <c r="J47" s="967"/>
      <c r="K47" s="968"/>
      <c r="L47" s="967"/>
      <c r="M47" s="967"/>
      <c r="N47" s="967"/>
      <c r="O47" s="973">
        <v>0.08</v>
      </c>
      <c r="P47" s="970">
        <v>0.08</v>
      </c>
      <c r="Q47" s="970">
        <v>0.08</v>
      </c>
      <c r="R47" s="970">
        <v>0.08</v>
      </c>
      <c r="S47" s="970">
        <v>0.08</v>
      </c>
      <c r="T47" s="970">
        <v>0.08</v>
      </c>
      <c r="U47" s="970">
        <v>0.08</v>
      </c>
      <c r="V47" s="970">
        <v>0.08</v>
      </c>
      <c r="W47" s="970">
        <v>0.08</v>
      </c>
      <c r="X47" s="970">
        <v>0.08</v>
      </c>
      <c r="Y47" s="970">
        <v>0.1</v>
      </c>
      <c r="Z47" s="970">
        <v>0.12</v>
      </c>
      <c r="AA47" s="970">
        <v>0.1</v>
      </c>
      <c r="AB47" s="970">
        <v>0.1</v>
      </c>
      <c r="AC47" s="970">
        <v>0.1</v>
      </c>
      <c r="AD47" s="970">
        <v>0.08</v>
      </c>
      <c r="AE47" s="970">
        <v>0.08</v>
      </c>
      <c r="AF47" s="970">
        <v>0.08</v>
      </c>
      <c r="AG47" s="970">
        <v>0.08</v>
      </c>
      <c r="AH47" s="970">
        <v>0.08</v>
      </c>
      <c r="AI47" s="970">
        <v>0.08</v>
      </c>
      <c r="AJ47" s="970">
        <v>0.08</v>
      </c>
      <c r="AK47" s="970">
        <v>0.08</v>
      </c>
      <c r="AL47" s="970">
        <v>0.08</v>
      </c>
      <c r="AM47" s="970">
        <v>0.08</v>
      </c>
      <c r="AN47" s="970">
        <v>0.08</v>
      </c>
      <c r="AO47" s="970">
        <v>0.08</v>
      </c>
      <c r="AP47" s="970">
        <v>0.08</v>
      </c>
      <c r="AQ47" s="970">
        <v>0.08</v>
      </c>
    </row>
    <row r="48" spans="2:43">
      <c r="B48" s="952" t="s">
        <v>575</v>
      </c>
      <c r="C48" s="967"/>
      <c r="D48" s="967"/>
      <c r="E48" s="967"/>
      <c r="F48" s="967"/>
      <c r="G48" s="967"/>
      <c r="H48" s="967"/>
      <c r="I48" s="967"/>
      <c r="J48" s="967"/>
      <c r="K48" s="968"/>
      <c r="L48" s="967"/>
      <c r="M48" s="967"/>
      <c r="N48" s="967"/>
      <c r="O48" s="973">
        <v>0.08</v>
      </c>
      <c r="P48" s="970">
        <v>0.08</v>
      </c>
      <c r="Q48" s="970">
        <v>0.08</v>
      </c>
      <c r="R48" s="970">
        <v>0.08</v>
      </c>
      <c r="S48" s="970">
        <v>0.08</v>
      </c>
      <c r="T48" s="970">
        <v>0.08</v>
      </c>
      <c r="U48" s="970">
        <v>0.08</v>
      </c>
      <c r="V48" s="970">
        <v>0.08</v>
      </c>
      <c r="W48" s="970">
        <v>0.08</v>
      </c>
      <c r="X48" s="970">
        <v>0.08</v>
      </c>
      <c r="Y48" s="970">
        <v>0.1</v>
      </c>
      <c r="Z48" s="970">
        <v>0.12</v>
      </c>
      <c r="AA48" s="970">
        <v>0.1</v>
      </c>
      <c r="AB48" s="970">
        <v>0.1</v>
      </c>
      <c r="AC48" s="970">
        <v>0.1</v>
      </c>
      <c r="AD48" s="970">
        <v>0.08</v>
      </c>
      <c r="AE48" s="970">
        <v>0.08</v>
      </c>
      <c r="AF48" s="970">
        <v>0.08</v>
      </c>
      <c r="AG48" s="970">
        <v>0.08</v>
      </c>
      <c r="AH48" s="970">
        <v>0.08</v>
      </c>
      <c r="AI48" s="970">
        <v>0.08</v>
      </c>
      <c r="AJ48" s="970">
        <v>0.08</v>
      </c>
      <c r="AK48" s="970">
        <v>0.08</v>
      </c>
      <c r="AL48" s="970">
        <v>0.08</v>
      </c>
      <c r="AM48" s="970">
        <v>0.08</v>
      </c>
      <c r="AN48" s="970">
        <v>0.08</v>
      </c>
      <c r="AO48" s="970">
        <v>0.08</v>
      </c>
      <c r="AP48" s="970">
        <v>0.08</v>
      </c>
      <c r="AQ48" s="970">
        <v>0.08</v>
      </c>
    </row>
    <row r="49" spans="2:43">
      <c r="B49" s="952" t="s">
        <v>576</v>
      </c>
      <c r="C49" s="967"/>
      <c r="D49" s="967"/>
      <c r="E49" s="967"/>
      <c r="F49" s="967"/>
      <c r="G49" s="967"/>
      <c r="H49" s="967"/>
      <c r="I49" s="967"/>
      <c r="J49" s="967"/>
      <c r="K49" s="968"/>
      <c r="L49" s="967"/>
      <c r="M49" s="967"/>
      <c r="N49" s="967"/>
      <c r="O49" s="973">
        <v>0.08</v>
      </c>
      <c r="P49" s="970">
        <v>0.08</v>
      </c>
      <c r="Q49" s="970">
        <v>0.08</v>
      </c>
      <c r="R49" s="970">
        <v>0.08</v>
      </c>
      <c r="S49" s="970">
        <v>0.08</v>
      </c>
      <c r="T49" s="970">
        <v>0.08</v>
      </c>
      <c r="U49" s="970">
        <v>0.08</v>
      </c>
      <c r="V49" s="970">
        <v>0.08</v>
      </c>
      <c r="W49" s="970">
        <v>0.08</v>
      </c>
      <c r="X49" s="970">
        <v>0.08</v>
      </c>
      <c r="Y49" s="970">
        <v>0.1</v>
      </c>
      <c r="Z49" s="970">
        <v>0.12</v>
      </c>
      <c r="AA49" s="970">
        <v>0.1</v>
      </c>
      <c r="AB49" s="970">
        <v>0.1</v>
      </c>
      <c r="AC49" s="970">
        <v>0.1</v>
      </c>
      <c r="AD49" s="970">
        <v>0.08</v>
      </c>
      <c r="AE49" s="970">
        <v>0.08</v>
      </c>
      <c r="AF49" s="970">
        <v>0.08</v>
      </c>
      <c r="AG49" s="970">
        <v>0.08</v>
      </c>
      <c r="AH49" s="970">
        <v>0.08</v>
      </c>
      <c r="AI49" s="970">
        <v>0.08</v>
      </c>
      <c r="AJ49" s="970">
        <v>0.08</v>
      </c>
      <c r="AK49" s="970">
        <v>0.08</v>
      </c>
      <c r="AL49" s="970">
        <v>0.08</v>
      </c>
      <c r="AM49" s="970">
        <v>0.08</v>
      </c>
      <c r="AN49" s="970">
        <v>0.08</v>
      </c>
      <c r="AO49" s="970">
        <v>0.08</v>
      </c>
      <c r="AP49" s="970">
        <v>0.08</v>
      </c>
      <c r="AQ49" s="970">
        <v>0.08</v>
      </c>
    </row>
    <row r="50" spans="2:43">
      <c r="B50" s="952" t="s">
        <v>577</v>
      </c>
      <c r="C50" s="967"/>
      <c r="D50" s="967"/>
      <c r="E50" s="967"/>
      <c r="F50" s="967"/>
      <c r="G50" s="967"/>
      <c r="H50" s="967"/>
      <c r="I50" s="967"/>
      <c r="J50" s="967"/>
      <c r="K50" s="968"/>
      <c r="L50" s="967"/>
      <c r="M50" s="967"/>
      <c r="N50" s="967"/>
      <c r="O50" s="970">
        <v>0.08</v>
      </c>
      <c r="P50" s="970">
        <v>0.08</v>
      </c>
      <c r="Q50" s="970">
        <v>0.08</v>
      </c>
      <c r="R50" s="970">
        <v>0.08</v>
      </c>
      <c r="S50" s="970">
        <v>0.08</v>
      </c>
      <c r="T50" s="970">
        <v>0.08</v>
      </c>
      <c r="U50" s="970">
        <v>0.08</v>
      </c>
      <c r="V50" s="970">
        <v>0.08</v>
      </c>
      <c r="W50" s="970">
        <v>0.08</v>
      </c>
      <c r="X50" s="970">
        <v>0.08</v>
      </c>
      <c r="Y50" s="970">
        <v>0.1</v>
      </c>
      <c r="Z50" s="970">
        <v>0.12</v>
      </c>
      <c r="AA50" s="970">
        <v>0.1</v>
      </c>
      <c r="AB50" s="970">
        <v>0.1</v>
      </c>
      <c r="AC50" s="970">
        <v>0.1</v>
      </c>
      <c r="AD50" s="970">
        <v>0.08</v>
      </c>
      <c r="AE50" s="970">
        <v>0.08</v>
      </c>
      <c r="AF50" s="970">
        <v>0.08</v>
      </c>
      <c r="AG50" s="970">
        <v>0.08</v>
      </c>
      <c r="AH50" s="970">
        <v>0.08</v>
      </c>
      <c r="AI50" s="970">
        <v>0.08</v>
      </c>
      <c r="AJ50" s="970">
        <v>0.08</v>
      </c>
      <c r="AK50" s="970">
        <v>0.08</v>
      </c>
      <c r="AL50" s="970">
        <v>0.08</v>
      </c>
      <c r="AM50" s="970">
        <v>0.08</v>
      </c>
      <c r="AN50" s="970">
        <v>0.08</v>
      </c>
      <c r="AO50" s="970">
        <v>0.08</v>
      </c>
      <c r="AP50" s="970">
        <v>0.08</v>
      </c>
      <c r="AQ50" s="970">
        <v>0.08</v>
      </c>
    </row>
    <row r="51" spans="2:43" ht="12">
      <c r="C51" s="967"/>
      <c r="D51" s="967"/>
      <c r="E51" s="967"/>
      <c r="F51" s="967"/>
      <c r="G51" s="967"/>
      <c r="H51" s="967"/>
      <c r="I51" s="967"/>
      <c r="J51" s="967"/>
      <c r="K51" s="968"/>
      <c r="L51" s="967"/>
      <c r="M51" s="967"/>
      <c r="N51" s="967"/>
      <c r="O51" s="967"/>
      <c r="P51" s="967"/>
      <c r="Q51" s="967"/>
      <c r="R51" s="967"/>
      <c r="S51" s="967"/>
      <c r="T51" s="972"/>
      <c r="U51" s="967"/>
      <c r="V51" s="967"/>
      <c r="W51" s="967"/>
      <c r="X51" s="967"/>
      <c r="Y51" s="967"/>
      <c r="Z51" s="967"/>
      <c r="AA51" s="967"/>
      <c r="AB51" s="967"/>
      <c r="AC51" s="967"/>
      <c r="AD51" s="967"/>
      <c r="AE51" s="967"/>
      <c r="AF51" s="967"/>
      <c r="AG51" s="967"/>
      <c r="AH51" s="967"/>
      <c r="AI51" s="967"/>
      <c r="AJ51" s="967"/>
      <c r="AK51" s="967"/>
      <c r="AL51" s="967"/>
      <c r="AM51" s="967"/>
      <c r="AN51" s="967"/>
      <c r="AO51" s="967"/>
      <c r="AP51" s="967"/>
      <c r="AQ51" s="967"/>
    </row>
    <row r="52" spans="2:43" s="961" customFormat="1" ht="12">
      <c r="B52" s="1007" t="s">
        <v>582</v>
      </c>
      <c r="C52" s="974"/>
      <c r="D52" s="974"/>
      <c r="E52" s="974"/>
      <c r="F52" s="974"/>
      <c r="G52" s="974"/>
      <c r="H52" s="974"/>
      <c r="I52" s="974"/>
      <c r="J52" s="974"/>
      <c r="K52" s="975"/>
      <c r="L52" s="974"/>
      <c r="M52" s="974"/>
      <c r="N52" s="974"/>
      <c r="O52" s="972"/>
      <c r="P52" s="972"/>
      <c r="Q52" s="972"/>
      <c r="R52" s="972"/>
      <c r="S52" s="972"/>
      <c r="T52" s="972"/>
      <c r="U52" s="972"/>
      <c r="V52" s="972"/>
      <c r="W52" s="972"/>
      <c r="X52" s="972"/>
      <c r="Y52" s="972"/>
      <c r="Z52" s="972"/>
      <c r="AA52" s="972"/>
      <c r="AB52" s="972"/>
      <c r="AC52" s="972"/>
      <c r="AD52" s="972"/>
      <c r="AE52" s="972"/>
      <c r="AF52" s="972"/>
      <c r="AG52" s="972"/>
      <c r="AH52" s="972"/>
      <c r="AI52" s="972"/>
      <c r="AJ52" s="972"/>
      <c r="AK52" s="972"/>
      <c r="AL52" s="972"/>
      <c r="AM52" s="972"/>
      <c r="AN52" s="972"/>
      <c r="AO52" s="972"/>
      <c r="AP52" s="972"/>
      <c r="AQ52" s="972"/>
    </row>
    <row r="53" spans="2:43" s="961" customFormat="1" ht="12">
      <c r="B53" s="952" t="s">
        <v>570</v>
      </c>
      <c r="C53" s="974"/>
      <c r="D53" s="974"/>
      <c r="E53" s="974"/>
      <c r="F53" s="974"/>
      <c r="G53" s="974"/>
      <c r="H53" s="974"/>
      <c r="I53" s="974"/>
      <c r="J53" s="974"/>
      <c r="K53" s="975"/>
      <c r="L53" s="974"/>
      <c r="M53" s="974"/>
      <c r="N53" s="974"/>
      <c r="O53" s="976">
        <f t="shared" ref="O53:AD59" si="25">O8*(1-O44)*O17*(1-O26)*O35</f>
        <v>2304.7577893085654</v>
      </c>
      <c r="P53" s="976">
        <f t="shared" si="25"/>
        <v>2523.6769946870563</v>
      </c>
      <c r="Q53" s="976">
        <f t="shared" si="25"/>
        <v>2686.6574663812266</v>
      </c>
      <c r="R53" s="976">
        <f t="shared" si="25"/>
        <v>1707.3708198852698</v>
      </c>
      <c r="S53" s="976">
        <f t="shared" si="25"/>
        <v>1837.9921017477704</v>
      </c>
      <c r="T53" s="976">
        <f t="shared" si="25"/>
        <v>1606.8588953318811</v>
      </c>
      <c r="U53" s="976">
        <f t="shared" si="25"/>
        <v>1190.7892686251009</v>
      </c>
      <c r="V53" s="976">
        <f t="shared" si="25"/>
        <v>457.12506621956402</v>
      </c>
      <c r="W53" s="976">
        <f t="shared" si="25"/>
        <v>188.14028460711847</v>
      </c>
      <c r="X53" s="976">
        <f t="shared" si="25"/>
        <v>258.47619047619048</v>
      </c>
      <c r="Y53" s="976">
        <f>Y8*(1-Y44)*Y17*(1-Y26)*Y35</f>
        <v>151.71428571428575</v>
      </c>
      <c r="Z53" s="976">
        <f t="shared" ref="Z53:AE59" si="26">Z8*(1-Z44)*Z17*(1-Z26)*Z35</f>
        <v>134.99200000000002</v>
      </c>
      <c r="AA53" s="976">
        <f t="shared" si="26"/>
        <v>137.02500000000001</v>
      </c>
      <c r="AB53" s="976">
        <f t="shared" si="26"/>
        <v>141.13575</v>
      </c>
      <c r="AC53" s="976">
        <f t="shared" si="26"/>
        <v>145.36982250000003</v>
      </c>
      <c r="AD53" s="976">
        <f t="shared" si="26"/>
        <v>153.05827089000002</v>
      </c>
      <c r="AE53" s="976">
        <f t="shared" si="26"/>
        <v>157.65001901670001</v>
      </c>
      <c r="AF53" s="976">
        <f t="shared" ref="AF53:AG53" si="27">AF8*(1-AF44)*AF17*(1-AF26)*AF35</f>
        <v>0</v>
      </c>
      <c r="AG53" s="976">
        <f t="shared" si="27"/>
        <v>0</v>
      </c>
      <c r="AH53" s="976">
        <f t="shared" ref="AH53:AQ53" si="28">AH8*(1-AH44)*AH17*(1-AH26)*AH35</f>
        <v>0</v>
      </c>
      <c r="AI53" s="976">
        <f t="shared" si="28"/>
        <v>0</v>
      </c>
      <c r="AJ53" s="976">
        <f t="shared" si="28"/>
        <v>0</v>
      </c>
      <c r="AK53" s="976">
        <f t="shared" si="28"/>
        <v>0</v>
      </c>
      <c r="AL53" s="976">
        <f t="shared" si="28"/>
        <v>0</v>
      </c>
      <c r="AM53" s="976">
        <f t="shared" si="28"/>
        <v>0</v>
      </c>
      <c r="AN53" s="976">
        <f t="shared" si="28"/>
        <v>0</v>
      </c>
      <c r="AO53" s="976">
        <f t="shared" si="28"/>
        <v>0</v>
      </c>
      <c r="AP53" s="976">
        <f t="shared" si="28"/>
        <v>0</v>
      </c>
      <c r="AQ53" s="976">
        <f t="shared" si="28"/>
        <v>0</v>
      </c>
    </row>
    <row r="54" spans="2:43" s="961" customFormat="1" ht="12">
      <c r="B54" s="952" t="s">
        <v>571</v>
      </c>
      <c r="C54" s="974"/>
      <c r="D54" s="974"/>
      <c r="E54" s="974"/>
      <c r="F54" s="974"/>
      <c r="G54" s="974"/>
      <c r="H54" s="974"/>
      <c r="I54" s="974"/>
      <c r="J54" s="974"/>
      <c r="K54" s="975"/>
      <c r="L54" s="974"/>
      <c r="M54" s="974"/>
      <c r="N54" s="974"/>
      <c r="O54" s="976">
        <f t="shared" si="25"/>
        <v>0</v>
      </c>
      <c r="P54" s="976">
        <f t="shared" si="25"/>
        <v>0</v>
      </c>
      <c r="Q54" s="976">
        <f t="shared" si="25"/>
        <v>0</v>
      </c>
      <c r="R54" s="976">
        <f t="shared" si="25"/>
        <v>0</v>
      </c>
      <c r="S54" s="976">
        <f t="shared" si="25"/>
        <v>77.915627036731081</v>
      </c>
      <c r="T54" s="976">
        <f t="shared" si="25"/>
        <v>476.06954065072796</v>
      </c>
      <c r="U54" s="976">
        <f t="shared" si="25"/>
        <v>1188.5662093871495</v>
      </c>
      <c r="V54" s="976">
        <f t="shared" si="25"/>
        <v>1891.7126234199404</v>
      </c>
      <c r="W54" s="976">
        <f t="shared" si="25"/>
        <v>910.30497280497286</v>
      </c>
      <c r="X54" s="976">
        <f t="shared" si="25"/>
        <v>2290.3198653198647</v>
      </c>
      <c r="Y54" s="976">
        <f t="shared" si="25"/>
        <v>3313.333333333333</v>
      </c>
      <c r="Z54" s="976">
        <f t="shared" si="25"/>
        <v>4144.8</v>
      </c>
      <c r="AA54" s="976">
        <f t="shared" si="25"/>
        <v>4557.6000000000004</v>
      </c>
      <c r="AB54" s="976">
        <f t="shared" si="25"/>
        <v>5450.8896000000004</v>
      </c>
      <c r="AC54" s="976">
        <f t="shared" si="25"/>
        <v>6349.1962060800006</v>
      </c>
      <c r="AD54" s="976">
        <f t="shared" si="25"/>
        <v>7424.8911366389784</v>
      </c>
      <c r="AE54" s="976">
        <f t="shared" si="26"/>
        <v>8494.0754603149908</v>
      </c>
      <c r="AF54" s="976">
        <f t="shared" ref="AF54:AG54" si="29">AF9*(1-AF45)*AF18*(1-AF27)*AF36</f>
        <v>9010.9709747880079</v>
      </c>
      <c r="AG54" s="976">
        <f t="shared" si="29"/>
        <v>9555.6276096823603</v>
      </c>
      <c r="AH54" s="976">
        <f t="shared" ref="AH54:AQ54" si="30">AH9*(1-AH45)*AH18*(1-AH27)*AH36</f>
        <v>10129.439221808601</v>
      </c>
      <c r="AI54" s="976">
        <f t="shared" si="30"/>
        <v>10733.866758729449</v>
      </c>
      <c r="AJ54" s="976">
        <f t="shared" si="30"/>
        <v>10360.9983385222</v>
      </c>
      <c r="AK54" s="976">
        <f t="shared" si="30"/>
        <v>9482.3856794155181</v>
      </c>
      <c r="AL54" s="976">
        <f t="shared" si="30"/>
        <v>8965.1646423564889</v>
      </c>
      <c r="AM54" s="976">
        <f t="shared" si="30"/>
        <v>8391.3941052456739</v>
      </c>
      <c r="AN54" s="976">
        <f t="shared" si="30"/>
        <v>7757.3776617382237</v>
      </c>
      <c r="AO54" s="976">
        <f t="shared" si="30"/>
        <v>6050.7545761558149</v>
      </c>
      <c r="AP54" s="976">
        <f t="shared" si="30"/>
        <v>4195.189839468032</v>
      </c>
      <c r="AQ54" s="976">
        <f t="shared" si="30"/>
        <v>3272.248074785065</v>
      </c>
    </row>
    <row r="55" spans="2:43" s="961" customFormat="1" ht="12">
      <c r="B55" s="952" t="s">
        <v>573</v>
      </c>
      <c r="C55" s="974"/>
      <c r="D55" s="974"/>
      <c r="E55" s="974"/>
      <c r="F55" s="974"/>
      <c r="G55" s="974"/>
      <c r="H55" s="974"/>
      <c r="I55" s="974"/>
      <c r="J55" s="974"/>
      <c r="K55" s="975"/>
      <c r="L55" s="974"/>
      <c r="M55" s="974"/>
      <c r="N55" s="974"/>
      <c r="O55" s="976">
        <f t="shared" si="25"/>
        <v>1640.6425510587378</v>
      </c>
      <c r="P55" s="976">
        <f t="shared" si="25"/>
        <v>1975.9488724313671</v>
      </c>
      <c r="Q55" s="976">
        <f t="shared" si="25"/>
        <v>639.92365477650947</v>
      </c>
      <c r="R55" s="976">
        <f t="shared" si="25"/>
        <v>732.11467625378202</v>
      </c>
      <c r="S55" s="976">
        <f t="shared" si="25"/>
        <v>726.64866170256585</v>
      </c>
      <c r="T55" s="976">
        <f t="shared" si="25"/>
        <v>563.83182371827593</v>
      </c>
      <c r="U55" s="976">
        <f t="shared" si="25"/>
        <v>306.80108185658031</v>
      </c>
      <c r="V55" s="976">
        <f t="shared" si="25"/>
        <v>329.09767210778517</v>
      </c>
      <c r="W55" s="976">
        <f t="shared" si="25"/>
        <v>359.8134548378452</v>
      </c>
      <c r="X55" s="976">
        <f t="shared" si="25"/>
        <v>983.49010989010992</v>
      </c>
      <c r="Y55" s="976">
        <f t="shared" si="25"/>
        <v>1262.7692307692309</v>
      </c>
      <c r="Z55" s="976">
        <f t="shared" si="25"/>
        <v>1391.1039999999998</v>
      </c>
      <c r="AA55" s="976">
        <f t="shared" si="25"/>
        <v>1280.4479999999999</v>
      </c>
      <c r="AB55" s="976">
        <f t="shared" si="25"/>
        <v>1065.3327360000001</v>
      </c>
      <c r="AC55" s="976">
        <f t="shared" si="25"/>
        <v>830.95953408000014</v>
      </c>
      <c r="AD55" s="976">
        <f t="shared" si="25"/>
        <v>736.16859463680009</v>
      </c>
      <c r="AE55" s="976">
        <f t="shared" si="26"/>
        <v>612.49227073781776</v>
      </c>
      <c r="AF55" s="976">
        <f t="shared" ref="AF55:AG55" si="31">AF10*(1-AF46)*AF19*(1-AF28)*AF37</f>
        <v>0</v>
      </c>
      <c r="AG55" s="976">
        <f t="shared" si="31"/>
        <v>0</v>
      </c>
      <c r="AH55" s="976">
        <f t="shared" ref="AH55:AQ55" si="32">AH10*(1-AH46)*AH19*(1-AH28)*AH37</f>
        <v>0</v>
      </c>
      <c r="AI55" s="976">
        <f t="shared" si="32"/>
        <v>0</v>
      </c>
      <c r="AJ55" s="976">
        <f t="shared" si="32"/>
        <v>0</v>
      </c>
      <c r="AK55" s="976">
        <f t="shared" si="32"/>
        <v>0</v>
      </c>
      <c r="AL55" s="976">
        <f t="shared" si="32"/>
        <v>0</v>
      </c>
      <c r="AM55" s="976">
        <f t="shared" si="32"/>
        <v>0</v>
      </c>
      <c r="AN55" s="976">
        <f t="shared" si="32"/>
        <v>0</v>
      </c>
      <c r="AO55" s="976">
        <f t="shared" si="32"/>
        <v>0</v>
      </c>
      <c r="AP55" s="976">
        <f t="shared" si="32"/>
        <v>0</v>
      </c>
      <c r="AQ55" s="976">
        <f t="shared" si="32"/>
        <v>0</v>
      </c>
    </row>
    <row r="56" spans="2:43" s="961" customFormat="1" ht="12">
      <c r="B56" s="952" t="s">
        <v>574</v>
      </c>
      <c r="C56" s="974"/>
      <c r="D56" s="974"/>
      <c r="E56" s="974"/>
      <c r="F56" s="974"/>
      <c r="G56" s="974"/>
      <c r="H56" s="974"/>
      <c r="I56" s="974"/>
      <c r="J56" s="974"/>
      <c r="K56" s="975"/>
      <c r="L56" s="974"/>
      <c r="M56" s="974"/>
      <c r="N56" s="974"/>
      <c r="O56" s="976">
        <f t="shared" si="25"/>
        <v>1896.9539741916878</v>
      </c>
      <c r="P56" s="976">
        <f t="shared" si="25"/>
        <v>1513.5875273116312</v>
      </c>
      <c r="Q56" s="976">
        <f t="shared" si="25"/>
        <v>1587.2293820058314</v>
      </c>
      <c r="R56" s="976">
        <f t="shared" si="25"/>
        <v>1577.9804889903837</v>
      </c>
      <c r="S56" s="976">
        <f t="shared" si="25"/>
        <v>1466.971396450944</v>
      </c>
      <c r="T56" s="976">
        <f t="shared" si="25"/>
        <v>1079.5404891831306</v>
      </c>
      <c r="U56" s="976">
        <f t="shared" si="25"/>
        <v>935.28046547978977</v>
      </c>
      <c r="V56" s="976">
        <f t="shared" si="25"/>
        <v>243.04119138171998</v>
      </c>
      <c r="W56" s="976">
        <f t="shared" si="25"/>
        <v>0</v>
      </c>
      <c r="X56" s="976">
        <f t="shared" si="25"/>
        <v>0</v>
      </c>
      <c r="Y56" s="976">
        <f t="shared" si="25"/>
        <v>0</v>
      </c>
      <c r="Z56" s="976">
        <f t="shared" si="25"/>
        <v>0</v>
      </c>
      <c r="AA56" s="976">
        <f t="shared" si="25"/>
        <v>0</v>
      </c>
      <c r="AB56" s="976">
        <f t="shared" si="25"/>
        <v>0</v>
      </c>
      <c r="AC56" s="976">
        <f t="shared" si="25"/>
        <v>0</v>
      </c>
      <c r="AD56" s="976">
        <f t="shared" si="25"/>
        <v>0</v>
      </c>
      <c r="AE56" s="976">
        <f t="shared" si="26"/>
        <v>0</v>
      </c>
      <c r="AF56" s="976">
        <f t="shared" ref="AF56:AG56" si="33">AF11*(1-AF47)*AF20*(1-AF29)*AF38</f>
        <v>0</v>
      </c>
      <c r="AG56" s="976">
        <f t="shared" si="33"/>
        <v>0</v>
      </c>
      <c r="AH56" s="976">
        <f t="shared" ref="AH56:AQ56" si="34">AH11*(1-AH47)*AH20*(1-AH29)*AH38</f>
        <v>0</v>
      </c>
      <c r="AI56" s="976">
        <f t="shared" si="34"/>
        <v>0</v>
      </c>
      <c r="AJ56" s="976">
        <f t="shared" si="34"/>
        <v>0</v>
      </c>
      <c r="AK56" s="976">
        <f t="shared" si="34"/>
        <v>0</v>
      </c>
      <c r="AL56" s="976">
        <f t="shared" si="34"/>
        <v>0</v>
      </c>
      <c r="AM56" s="976">
        <f t="shared" si="34"/>
        <v>0</v>
      </c>
      <c r="AN56" s="976">
        <f t="shared" si="34"/>
        <v>0</v>
      </c>
      <c r="AO56" s="976">
        <f t="shared" si="34"/>
        <v>0</v>
      </c>
      <c r="AP56" s="976">
        <f t="shared" si="34"/>
        <v>0</v>
      </c>
      <c r="AQ56" s="976">
        <f t="shared" si="34"/>
        <v>0</v>
      </c>
    </row>
    <row r="57" spans="2:43" s="961" customFormat="1" ht="12">
      <c r="B57" s="954" t="s">
        <v>575</v>
      </c>
      <c r="C57" s="1096"/>
      <c r="D57" s="1096"/>
      <c r="E57" s="1096"/>
      <c r="F57" s="1096"/>
      <c r="G57" s="1096"/>
      <c r="H57" s="1096"/>
      <c r="I57" s="1096"/>
      <c r="J57" s="1096"/>
      <c r="K57" s="1097"/>
      <c r="L57" s="1096"/>
      <c r="M57" s="1096"/>
      <c r="N57" s="1096"/>
      <c r="O57" s="1098">
        <f t="shared" si="25"/>
        <v>570.36232748077418</v>
      </c>
      <c r="P57" s="1098">
        <f t="shared" si="25"/>
        <v>905.22021006626085</v>
      </c>
      <c r="Q57" s="1098">
        <f t="shared" si="25"/>
        <v>734.54848296001785</v>
      </c>
      <c r="R57" s="1098">
        <f t="shared" si="25"/>
        <v>752.91219503401828</v>
      </c>
      <c r="S57" s="1098">
        <f t="shared" si="25"/>
        <v>751.42618412276693</v>
      </c>
      <c r="T57" s="1098">
        <f t="shared" si="25"/>
        <v>93.674412818007113</v>
      </c>
      <c r="U57" s="1098">
        <f t="shared" si="25"/>
        <v>0</v>
      </c>
      <c r="V57" s="1098">
        <f t="shared" si="25"/>
        <v>0</v>
      </c>
      <c r="W57" s="1098">
        <f t="shared" si="25"/>
        <v>0</v>
      </c>
      <c r="X57" s="1098">
        <f t="shared" si="25"/>
        <v>0</v>
      </c>
      <c r="Y57" s="1098">
        <f t="shared" si="25"/>
        <v>0</v>
      </c>
      <c r="Z57" s="1098">
        <f t="shared" si="25"/>
        <v>0</v>
      </c>
      <c r="AA57" s="1098">
        <f t="shared" si="25"/>
        <v>0</v>
      </c>
      <c r="AB57" s="1098">
        <f t="shared" si="25"/>
        <v>0</v>
      </c>
      <c r="AC57" s="1098">
        <f t="shared" si="25"/>
        <v>0</v>
      </c>
      <c r="AD57" s="1098">
        <f t="shared" si="25"/>
        <v>0</v>
      </c>
      <c r="AE57" s="1098">
        <f t="shared" si="26"/>
        <v>0</v>
      </c>
      <c r="AF57" s="1098">
        <f t="shared" ref="AF57:AG57" si="35">AF12*(1-AF48)*AF21*(1-AF30)*AF39</f>
        <v>0</v>
      </c>
      <c r="AG57" s="1098">
        <f t="shared" si="35"/>
        <v>0</v>
      </c>
      <c r="AH57" s="976">
        <f t="shared" ref="AH57:AQ57" si="36">AH12*(1-AH48)*AH21*(1-AH30)*AH39</f>
        <v>0</v>
      </c>
      <c r="AI57" s="976">
        <f t="shared" si="36"/>
        <v>0</v>
      </c>
      <c r="AJ57" s="976">
        <f t="shared" si="36"/>
        <v>0</v>
      </c>
      <c r="AK57" s="976">
        <f t="shared" si="36"/>
        <v>0</v>
      </c>
      <c r="AL57" s="976">
        <f t="shared" si="36"/>
        <v>0</v>
      </c>
      <c r="AM57" s="976">
        <f t="shared" si="36"/>
        <v>0</v>
      </c>
      <c r="AN57" s="976">
        <f t="shared" si="36"/>
        <v>0</v>
      </c>
      <c r="AO57" s="976">
        <f t="shared" si="36"/>
        <v>0</v>
      </c>
      <c r="AP57" s="976">
        <f t="shared" si="36"/>
        <v>0</v>
      </c>
      <c r="AQ57" s="976">
        <f t="shared" si="36"/>
        <v>0</v>
      </c>
    </row>
    <row r="58" spans="2:43" s="961" customFormat="1" ht="12">
      <c r="B58" s="954" t="s">
        <v>576</v>
      </c>
      <c r="C58" s="1096"/>
      <c r="D58" s="1096"/>
      <c r="E58" s="1096"/>
      <c r="F58" s="1096"/>
      <c r="G58" s="1096"/>
      <c r="H58" s="1096"/>
      <c r="I58" s="1096"/>
      <c r="J58" s="1096"/>
      <c r="K58" s="1097"/>
      <c r="L58" s="1096"/>
      <c r="M58" s="1096"/>
      <c r="N58" s="1096"/>
      <c r="O58" s="1098">
        <f t="shared" si="25"/>
        <v>1810.4375655719764</v>
      </c>
      <c r="P58" s="1098">
        <f t="shared" si="25"/>
        <v>2420.476310492968</v>
      </c>
      <c r="Q58" s="1098">
        <f t="shared" si="25"/>
        <v>3111.5156107400621</v>
      </c>
      <c r="R58" s="1098">
        <f t="shared" si="25"/>
        <v>3765.3451025123131</v>
      </c>
      <c r="S58" s="1098">
        <f t="shared" si="25"/>
        <v>4046.6922505638395</v>
      </c>
      <c r="T58" s="1098">
        <f t="shared" si="25"/>
        <v>3409.8062549012557</v>
      </c>
      <c r="U58" s="1098">
        <f t="shared" si="25"/>
        <v>4206.1657676801415</v>
      </c>
      <c r="V58" s="1098">
        <f t="shared" si="25"/>
        <v>5908.6794475657807</v>
      </c>
      <c r="W58" s="1098">
        <f t="shared" si="25"/>
        <v>4339.6226415094343</v>
      </c>
      <c r="X58" s="1098">
        <f t="shared" si="25"/>
        <v>2297.9335130278528</v>
      </c>
      <c r="Y58" s="1098">
        <f t="shared" si="25"/>
        <v>1457.1428571428571</v>
      </c>
      <c r="Z58" s="1098">
        <f t="shared" si="25"/>
        <v>1513.6000000000001</v>
      </c>
      <c r="AA58" s="1098">
        <f t="shared" si="25"/>
        <v>1743.5249999999999</v>
      </c>
      <c r="AB58" s="1098">
        <f t="shared" si="25"/>
        <v>2072.3039999999996</v>
      </c>
      <c r="AC58" s="1098">
        <f t="shared" si="25"/>
        <v>2538.5724</v>
      </c>
      <c r="AD58" s="1098">
        <f t="shared" si="25"/>
        <v>2919.3582600000004</v>
      </c>
      <c r="AE58" s="1098">
        <f t="shared" si="26"/>
        <v>3167.5037121</v>
      </c>
      <c r="AF58" s="1098">
        <f t="shared" ref="AF58:AG58" si="37">AF13*(1-AF49)*AF22*(1-AF31)*AF40</f>
        <v>3433.165313760001</v>
      </c>
      <c r="AG58" s="1098">
        <f t="shared" si="37"/>
        <v>3830.1250531635005</v>
      </c>
      <c r="AH58" s="976">
        <f t="shared" ref="AH58:AQ58" si="38">AH13*(1-AH49)*AH22*(1-AH31)*AH40</f>
        <v>4258.1978532229505</v>
      </c>
      <c r="AI58" s="976">
        <f t="shared" si="38"/>
        <v>4719.5026206554376</v>
      </c>
      <c r="AJ58" s="976">
        <f t="shared" si="38"/>
        <v>5216.2923701981153</v>
      </c>
      <c r="AK58" s="976">
        <f t="shared" si="38"/>
        <v>4929.3962898372192</v>
      </c>
      <c r="AL58" s="976">
        <f t="shared" si="38"/>
        <v>4600.7698705147395</v>
      </c>
      <c r="AM58" s="976">
        <f t="shared" si="38"/>
        <v>4226.9573185354166</v>
      </c>
      <c r="AN58" s="976">
        <f t="shared" si="38"/>
        <v>3170.2179889015624</v>
      </c>
      <c r="AO58" s="976">
        <f t="shared" si="38"/>
        <v>3328.7288883466408</v>
      </c>
      <c r="AP58" s="976">
        <f t="shared" si="38"/>
        <v>2796.1322662111788</v>
      </c>
      <c r="AQ58" s="976">
        <f t="shared" si="38"/>
        <v>1834.961799701086</v>
      </c>
    </row>
    <row r="59" spans="2:43" s="961" customFormat="1" ht="12">
      <c r="B59" s="954" t="s">
        <v>577</v>
      </c>
      <c r="C59" s="1096"/>
      <c r="D59" s="1096"/>
      <c r="E59" s="1096"/>
      <c r="F59" s="1096"/>
      <c r="G59" s="1096"/>
      <c r="H59" s="1096"/>
      <c r="I59" s="1096"/>
      <c r="J59" s="1096"/>
      <c r="K59" s="1097"/>
      <c r="L59" s="1096"/>
      <c r="M59" s="1096"/>
      <c r="N59" s="1096"/>
      <c r="O59" s="1098">
        <f t="shared" si="25"/>
        <v>0</v>
      </c>
      <c r="P59" s="1098">
        <f t="shared" si="25"/>
        <v>0</v>
      </c>
      <c r="Q59" s="1098">
        <f t="shared" si="25"/>
        <v>0</v>
      </c>
      <c r="R59" s="1098">
        <f t="shared" si="25"/>
        <v>0</v>
      </c>
      <c r="S59" s="1098">
        <f t="shared" si="25"/>
        <v>0</v>
      </c>
      <c r="T59" s="1098">
        <f t="shared" si="25"/>
        <v>0</v>
      </c>
      <c r="U59" s="1098">
        <f t="shared" si="25"/>
        <v>0</v>
      </c>
      <c r="V59" s="1098">
        <f t="shared" si="25"/>
        <v>0</v>
      </c>
      <c r="W59" s="1098">
        <f t="shared" si="25"/>
        <v>0</v>
      </c>
      <c r="X59" s="1098">
        <f t="shared" si="25"/>
        <v>0</v>
      </c>
      <c r="Y59" s="1098">
        <f t="shared" si="25"/>
        <v>0</v>
      </c>
      <c r="Z59" s="1098">
        <f t="shared" si="25"/>
        <v>0</v>
      </c>
      <c r="AA59" s="1098">
        <f t="shared" si="25"/>
        <v>166.04999999999998</v>
      </c>
      <c r="AB59" s="1098">
        <f t="shared" si="25"/>
        <v>690.76799999999992</v>
      </c>
      <c r="AC59" s="1098">
        <f t="shared" si="25"/>
        <v>1269.2862</v>
      </c>
      <c r="AD59" s="1098">
        <f t="shared" si="25"/>
        <v>1751.6149560000001</v>
      </c>
      <c r="AE59" s="1098">
        <f t="shared" si="26"/>
        <v>2043.5507820000003</v>
      </c>
      <c r="AF59" s="1098">
        <f t="shared" ref="AF59:AG59" si="39">AF14*(1-AF50)*AF23*(1-AF32)*AF41</f>
        <v>2253.0147371550006</v>
      </c>
      <c r="AG59" s="1098">
        <f t="shared" si="39"/>
        <v>2478.3162108705005</v>
      </c>
      <c r="AH59" s="976">
        <f t="shared" ref="AH59:AQ59" si="40">AH14*(1-AH50)*AH23*(1-AH32)*AH41</f>
        <v>2720.5152951146633</v>
      </c>
      <c r="AI59" s="976">
        <f t="shared" si="40"/>
        <v>2980.7384972560658</v>
      </c>
      <c r="AJ59" s="976">
        <f t="shared" si="40"/>
        <v>3260.1827313738222</v>
      </c>
      <c r="AK59" s="976">
        <f t="shared" si="40"/>
        <v>3560.1195426602139</v>
      </c>
      <c r="AL59" s="976">
        <f t="shared" si="40"/>
        <v>3881.8995782468105</v>
      </c>
      <c r="AM59" s="976">
        <f t="shared" si="40"/>
        <v>4226.9573185354166</v>
      </c>
      <c r="AN59" s="976">
        <f t="shared" si="40"/>
        <v>4596.8160839072661</v>
      </c>
      <c r="AO59" s="976">
        <f t="shared" si="40"/>
        <v>4993.0933325199603</v>
      </c>
      <c r="AP59" s="976">
        <f t="shared" si="40"/>
        <v>5417.5062657841572</v>
      </c>
      <c r="AQ59" s="976">
        <f t="shared" si="40"/>
        <v>5871.8777590434747</v>
      </c>
    </row>
    <row r="60" spans="2:43" s="961" customFormat="1" ht="12">
      <c r="B60" s="954" t="s">
        <v>65</v>
      </c>
      <c r="C60" s="1096"/>
      <c r="D60" s="1096"/>
      <c r="E60" s="1096"/>
      <c r="F60" s="1096"/>
      <c r="G60" s="1096"/>
      <c r="H60" s="1096"/>
      <c r="I60" s="1096"/>
      <c r="J60" s="1096"/>
      <c r="K60" s="1097"/>
      <c r="L60" s="1096"/>
      <c r="M60" s="1096"/>
      <c r="N60" s="1096"/>
      <c r="O60" s="1098"/>
      <c r="P60" s="1098"/>
      <c r="Q60" s="1098">
        <v>-27.514596863647967</v>
      </c>
      <c r="R60" s="1098">
        <v>-12.881682675768388</v>
      </c>
      <c r="S60" s="1098">
        <v>-357.39022162461697</v>
      </c>
      <c r="T60" s="1098">
        <v>453.21858339672235</v>
      </c>
      <c r="U60" s="1098">
        <v>773.65720697123834</v>
      </c>
      <c r="V60" s="1098">
        <v>170.34399930520885</v>
      </c>
      <c r="W60" s="1098">
        <v>504.11864624063037</v>
      </c>
      <c r="X60" s="1098">
        <v>-65.219678714018301</v>
      </c>
      <c r="Y60" s="1098">
        <v>-378.95970695970573</v>
      </c>
      <c r="Z60" s="1098">
        <v>267.88853276047303</v>
      </c>
      <c r="AA60" s="1098">
        <v>-200</v>
      </c>
      <c r="AB60" s="1098">
        <v>-100</v>
      </c>
      <c r="AC60" s="1098">
        <v>-100</v>
      </c>
      <c r="AD60" s="1098">
        <v>-100</v>
      </c>
      <c r="AE60" s="1098">
        <v>-100</v>
      </c>
      <c r="AF60" s="1098"/>
      <c r="AG60" s="1098"/>
      <c r="AH60" s="977"/>
      <c r="AI60" s="977"/>
      <c r="AJ60" s="977"/>
      <c r="AK60" s="977"/>
      <c r="AL60" s="977"/>
      <c r="AM60" s="977"/>
      <c r="AN60" s="977"/>
      <c r="AO60" s="977"/>
      <c r="AP60" s="977"/>
      <c r="AQ60" s="977"/>
    </row>
    <row r="61" spans="2:43" s="961" customFormat="1" ht="12">
      <c r="B61" s="1099" t="s">
        <v>583</v>
      </c>
      <c r="C61" s="1100"/>
      <c r="D61" s="1100"/>
      <c r="E61" s="1100"/>
      <c r="F61" s="1100"/>
      <c r="G61" s="1100"/>
      <c r="H61" s="1100"/>
      <c r="I61" s="1100"/>
      <c r="J61" s="1100"/>
      <c r="K61" s="1101"/>
      <c r="L61" s="1100"/>
      <c r="M61" s="1100"/>
      <c r="N61" s="1100"/>
      <c r="O61" s="1102">
        <f>SUM(O53:O60)</f>
        <v>8223.1542076117421</v>
      </c>
      <c r="P61" s="1102">
        <f t="shared" ref="P61:AE61" si="41">SUM(P53:P60)</f>
        <v>9338.9099149892827</v>
      </c>
      <c r="Q61" s="1102">
        <f t="shared" si="41"/>
        <v>8732.36</v>
      </c>
      <c r="R61" s="1102">
        <f t="shared" si="41"/>
        <v>8522.8415999999997</v>
      </c>
      <c r="S61" s="1102">
        <f t="shared" si="41"/>
        <v>8550.2560000000012</v>
      </c>
      <c r="T61" s="1102">
        <f t="shared" si="41"/>
        <v>7683</v>
      </c>
      <c r="U61" s="1102">
        <f t="shared" si="41"/>
        <v>8601.26</v>
      </c>
      <c r="V61" s="1102">
        <f t="shared" si="41"/>
        <v>9000</v>
      </c>
      <c r="W61" s="1102">
        <f t="shared" si="41"/>
        <v>6302.0000000000009</v>
      </c>
      <c r="X61" s="1102">
        <f t="shared" si="41"/>
        <v>5765</v>
      </c>
      <c r="Y61" s="1102">
        <f t="shared" si="41"/>
        <v>5806.0000000000009</v>
      </c>
      <c r="Z61" s="1102">
        <f t="shared" si="41"/>
        <v>7452.384532760474</v>
      </c>
      <c r="AA61" s="1102">
        <f t="shared" si="41"/>
        <v>7684.6480000000001</v>
      </c>
      <c r="AB61" s="1102">
        <f t="shared" si="41"/>
        <v>9320.4300860000003</v>
      </c>
      <c r="AC61" s="1102">
        <f t="shared" si="41"/>
        <v>11033.384162660002</v>
      </c>
      <c r="AD61" s="1102">
        <f t="shared" si="41"/>
        <v>12885.091218165779</v>
      </c>
      <c r="AE61" s="1102">
        <f t="shared" si="41"/>
        <v>14375.27224416951</v>
      </c>
      <c r="AF61" s="1102">
        <f t="shared" ref="AF61:AG61" si="42">SUM(AF53:AF60)</f>
        <v>14697.15102570301</v>
      </c>
      <c r="AG61" s="1102">
        <f t="shared" si="42"/>
        <v>15864.068873716362</v>
      </c>
      <c r="AH61" s="980">
        <f t="shared" ref="AH61:AQ61" si="43">SUM(AH53:AH60)</f>
        <v>17108.152370146214</v>
      </c>
      <c r="AI61" s="980">
        <f t="shared" si="43"/>
        <v>18434.107876640952</v>
      </c>
      <c r="AJ61" s="980">
        <f t="shared" si="43"/>
        <v>18837.473440094138</v>
      </c>
      <c r="AK61" s="980">
        <f t="shared" si="43"/>
        <v>17971.901511912951</v>
      </c>
      <c r="AL61" s="980">
        <f t="shared" si="43"/>
        <v>17447.834091118038</v>
      </c>
      <c r="AM61" s="980">
        <f t="shared" si="43"/>
        <v>16845.308742316505</v>
      </c>
      <c r="AN61" s="980">
        <f t="shared" si="43"/>
        <v>15524.411734547051</v>
      </c>
      <c r="AO61" s="980">
        <f t="shared" si="43"/>
        <v>14372.576797022417</v>
      </c>
      <c r="AP61" s="980">
        <f t="shared" si="43"/>
        <v>12408.828371463369</v>
      </c>
      <c r="AQ61" s="980">
        <f t="shared" si="43"/>
        <v>10979.087633529625</v>
      </c>
    </row>
    <row r="62" spans="2:43" s="981" customFormat="1">
      <c r="B62" s="1103" t="s">
        <v>584</v>
      </c>
      <c r="C62" s="1104"/>
      <c r="D62" s="1104"/>
      <c r="E62" s="1104"/>
      <c r="F62" s="1104"/>
      <c r="G62" s="1104"/>
      <c r="H62" s="1104"/>
      <c r="I62" s="1104"/>
      <c r="J62" s="1104"/>
      <c r="K62" s="1105"/>
      <c r="L62" s="1104"/>
      <c r="M62" s="1104"/>
      <c r="N62" s="1104"/>
      <c r="O62" s="1104"/>
      <c r="P62" s="1104"/>
      <c r="Q62" s="1104"/>
      <c r="R62" s="1106">
        <f>R61/Q61-1</f>
        <v>-2.3993330554397785E-2</v>
      </c>
      <c r="S62" s="1106">
        <f t="shared" ref="S62:AH62" si="44">S61/R61-1</f>
        <v>3.2165797848455746E-3</v>
      </c>
      <c r="T62" s="1106">
        <f t="shared" si="44"/>
        <v>-0.10143041331160152</v>
      </c>
      <c r="U62" s="1106">
        <f t="shared" si="44"/>
        <v>0.11951841728491486</v>
      </c>
      <c r="V62" s="1106">
        <f t="shared" si="44"/>
        <v>4.6358324245517446E-2</v>
      </c>
      <c r="W62" s="1106">
        <f t="shared" si="44"/>
        <v>-0.2997777777777777</v>
      </c>
      <c r="X62" s="1106">
        <f t="shared" si="44"/>
        <v>-8.5211044112980083E-2</v>
      </c>
      <c r="Y62" s="1106">
        <f t="shared" si="44"/>
        <v>7.1118820468345501E-3</v>
      </c>
      <c r="Z62" s="1106">
        <f t="shared" si="44"/>
        <v>0.28356605800214818</v>
      </c>
      <c r="AA62" s="1106">
        <f t="shared" si="44"/>
        <v>3.11663288734636E-2</v>
      </c>
      <c r="AB62" s="1106">
        <f t="shared" si="44"/>
        <v>0.21286363227046956</v>
      </c>
      <c r="AC62" s="1106">
        <f t="shared" si="44"/>
        <v>0.18378487482385508</v>
      </c>
      <c r="AD62" s="1106">
        <f t="shared" si="44"/>
        <v>0.16782766087058398</v>
      </c>
      <c r="AE62" s="1106">
        <f t="shared" si="44"/>
        <v>0.11565156976947355</v>
      </c>
      <c r="AF62" s="1106">
        <f t="shared" si="44"/>
        <v>2.2391143351323306E-2</v>
      </c>
      <c r="AG62" s="1106">
        <f t="shared" si="44"/>
        <v>7.9397554394902592E-2</v>
      </c>
      <c r="AH62" s="984">
        <f t="shared" si="44"/>
        <v>7.8421463392096991E-2</v>
      </c>
      <c r="AI62" s="984">
        <f t="shared" ref="AI62" si="45">AI61/AH61-1</f>
        <v>7.7504307759646451E-2</v>
      </c>
      <c r="AJ62" s="984">
        <f t="shared" ref="AJ62" si="46">AJ61/AI61-1</f>
        <v>2.1881480034318113E-2</v>
      </c>
      <c r="AK62" s="984">
        <f t="shared" ref="AK62" si="47">AK61/AJ61-1</f>
        <v>-4.5949470396538517E-2</v>
      </c>
      <c r="AL62" s="984">
        <f t="shared" ref="AL62" si="48">AL61/AK61-1</f>
        <v>-2.9160376849802216E-2</v>
      </c>
      <c r="AM62" s="984">
        <f t="shared" ref="AM62" si="49">AM61/AL61-1</f>
        <v>-3.4532959544145037E-2</v>
      </c>
      <c r="AN62" s="984">
        <f t="shared" ref="AN62" si="50">AN61/AM61-1</f>
        <v>-7.8413345102501752E-2</v>
      </c>
      <c r="AO62" s="984">
        <f t="shared" ref="AO62" si="51">AO61/AN61-1</f>
        <v>-7.4195077869611881E-2</v>
      </c>
      <c r="AP62" s="984">
        <f t="shared" ref="AP62" si="52">AP61/AO61-1</f>
        <v>-0.13663161820543412</v>
      </c>
      <c r="AQ62" s="984">
        <f t="shared" ref="AQ62" si="53">AQ61/AP61-1</f>
        <v>-0.11521964001224516</v>
      </c>
    </row>
    <row r="63" spans="2:43">
      <c r="C63" s="967"/>
      <c r="D63" s="967"/>
      <c r="E63" s="967"/>
      <c r="F63" s="967"/>
      <c r="G63" s="967"/>
      <c r="H63" s="967"/>
      <c r="I63" s="967"/>
      <c r="J63" s="967"/>
      <c r="K63" s="968"/>
      <c r="L63" s="967"/>
      <c r="M63" s="967"/>
      <c r="N63" s="967"/>
      <c r="O63" s="976"/>
      <c r="P63" s="976"/>
      <c r="Q63" s="976"/>
      <c r="R63" s="976"/>
      <c r="S63" s="976"/>
      <c r="T63" s="976"/>
      <c r="U63" s="976"/>
      <c r="V63" s="976"/>
      <c r="W63" s="976"/>
      <c r="X63" s="976"/>
      <c r="Y63" s="976"/>
      <c r="Z63" s="976"/>
      <c r="AA63" s="976"/>
      <c r="AB63" s="976"/>
      <c r="AC63" s="976"/>
      <c r="AD63" s="976"/>
      <c r="AE63" s="976"/>
      <c r="AF63" s="976"/>
      <c r="AG63" s="976"/>
      <c r="AH63" s="976"/>
      <c r="AI63" s="976"/>
      <c r="AJ63" s="976"/>
      <c r="AK63" s="976"/>
      <c r="AL63" s="976"/>
      <c r="AM63" s="976"/>
      <c r="AN63" s="976"/>
      <c r="AO63" s="976"/>
      <c r="AP63" s="976"/>
      <c r="AQ63" s="976"/>
    </row>
    <row r="64" spans="2:43" ht="12">
      <c r="B64" s="1007" t="s">
        <v>585</v>
      </c>
      <c r="C64" s="967"/>
      <c r="D64" s="967"/>
      <c r="E64" s="967"/>
      <c r="F64" s="967"/>
      <c r="G64" s="967"/>
      <c r="H64" s="967"/>
      <c r="I64" s="967"/>
      <c r="J64" s="967"/>
      <c r="K64" s="968"/>
      <c r="L64" s="967"/>
      <c r="M64" s="967"/>
      <c r="N64" s="967"/>
      <c r="O64" s="967"/>
      <c r="P64" s="967"/>
      <c r="Q64" s="967"/>
      <c r="R64" s="967"/>
      <c r="S64" s="967"/>
      <c r="T64" s="967"/>
      <c r="U64" s="967"/>
      <c r="V64" s="967"/>
      <c r="W64" s="967"/>
      <c r="X64" s="967"/>
      <c r="Y64" s="967"/>
      <c r="Z64" s="967"/>
      <c r="AA64" s="967"/>
      <c r="AB64" s="967"/>
      <c r="AC64" s="967"/>
      <c r="AD64" s="967"/>
      <c r="AE64" s="967"/>
      <c r="AF64" s="967"/>
      <c r="AG64" s="967"/>
      <c r="AH64" s="967"/>
      <c r="AI64" s="967"/>
      <c r="AJ64" s="967"/>
      <c r="AK64" s="967"/>
      <c r="AL64" s="967"/>
      <c r="AM64" s="967"/>
      <c r="AN64" s="967"/>
      <c r="AO64" s="967"/>
      <c r="AP64" s="967"/>
      <c r="AQ64" s="967"/>
    </row>
    <row r="65" spans="2:43" s="981" customFormat="1">
      <c r="B65" s="981" t="s">
        <v>570</v>
      </c>
      <c r="C65" s="982"/>
      <c r="D65" s="982"/>
      <c r="E65" s="982"/>
      <c r="F65" s="982"/>
      <c r="G65" s="982"/>
      <c r="H65" s="982"/>
      <c r="I65" s="982"/>
      <c r="J65" s="985">
        <f t="shared" ref="J65:AH71" si="54">IFERROR(J8/I8-1,"")</f>
        <v>0.1649484536082475</v>
      </c>
      <c r="K65" s="986">
        <f t="shared" si="54"/>
        <v>2.011263073209979E-2</v>
      </c>
      <c r="L65" s="985">
        <f t="shared" si="54"/>
        <v>-3.9432176656151174E-3</v>
      </c>
      <c r="M65" s="985">
        <f t="shared" si="54"/>
        <v>-9.5011876484560887E-3</v>
      </c>
      <c r="N65" s="985">
        <f t="shared" si="54"/>
        <v>4.5563549160671402E-2</v>
      </c>
      <c r="O65" s="985">
        <f t="shared" si="54"/>
        <v>7.4923547400611579E-2</v>
      </c>
      <c r="P65" s="985">
        <f t="shared" si="54"/>
        <v>6.8278805120910446E-2</v>
      </c>
      <c r="Q65" s="985">
        <f t="shared" si="54"/>
        <v>3.8615179760319585E-2</v>
      </c>
      <c r="R65" s="985">
        <f t="shared" si="54"/>
        <v>3.3333333333333437E-2</v>
      </c>
      <c r="S65" s="985">
        <f t="shared" si="54"/>
        <v>5.0248138957816435E-2</v>
      </c>
      <c r="T65" s="985">
        <f t="shared" si="54"/>
        <v>-0.14707619610159484</v>
      </c>
      <c r="U65" s="985">
        <f t="shared" si="54"/>
        <v>-0.2770083102493075</v>
      </c>
      <c r="V65" s="985">
        <f t="shared" si="54"/>
        <v>-0.62547892720306519</v>
      </c>
      <c r="W65" s="985">
        <f t="shared" si="54"/>
        <v>-0.59846547314578002</v>
      </c>
      <c r="X65" s="985">
        <f t="shared" si="54"/>
        <v>-0.31847133757961787</v>
      </c>
      <c r="Y65" s="985">
        <f t="shared" si="54"/>
        <v>-0.43925233644859818</v>
      </c>
      <c r="Z65" s="985">
        <f t="shared" si="54"/>
        <v>-0.1333333333333333</v>
      </c>
      <c r="AA65" s="985">
        <f t="shared" si="54"/>
        <v>-3.8461538461538436E-2</v>
      </c>
      <c r="AB65" s="985">
        <f t="shared" si="54"/>
        <v>0</v>
      </c>
      <c r="AC65" s="985">
        <f t="shared" si="54"/>
        <v>0</v>
      </c>
      <c r="AD65" s="985">
        <f t="shared" si="54"/>
        <v>0</v>
      </c>
      <c r="AE65" s="985">
        <f t="shared" si="54"/>
        <v>0</v>
      </c>
      <c r="AF65" s="985">
        <f t="shared" si="54"/>
        <v>-1</v>
      </c>
      <c r="AG65" s="985" t="str">
        <f t="shared" si="54"/>
        <v/>
      </c>
      <c r="AH65" s="985" t="str">
        <f t="shared" si="54"/>
        <v/>
      </c>
      <c r="AI65" s="985" t="str">
        <f t="shared" ref="AI65:AI71" si="55">IFERROR(AI8/AH8-1,"")</f>
        <v/>
      </c>
      <c r="AJ65" s="985" t="str">
        <f t="shared" ref="AJ65:AJ71" si="56">IFERROR(AJ8/AI8-1,"")</f>
        <v/>
      </c>
      <c r="AK65" s="985" t="str">
        <f t="shared" ref="AK65:AK71" si="57">IFERROR(AK8/AJ8-1,"")</f>
        <v/>
      </c>
      <c r="AL65" s="985" t="str">
        <f t="shared" ref="AL65:AL71" si="58">IFERROR(AL8/AK8-1,"")</f>
        <v/>
      </c>
      <c r="AM65" s="985" t="str">
        <f t="shared" ref="AM65:AM71" si="59">IFERROR(AM8/AL8-1,"")</f>
        <v/>
      </c>
      <c r="AN65" s="985" t="str">
        <f t="shared" ref="AN65:AN71" si="60">IFERROR(AN8/AM8-1,"")</f>
        <v/>
      </c>
      <c r="AO65" s="985" t="str">
        <f t="shared" ref="AO65:AO71" si="61">IFERROR(AO8/AN8-1,"")</f>
        <v/>
      </c>
      <c r="AP65" s="985" t="str">
        <f t="shared" ref="AP65:AP71" si="62">IFERROR(AP8/AO8-1,"")</f>
        <v/>
      </c>
      <c r="AQ65" s="985" t="str">
        <f t="shared" ref="AQ65:AQ71" si="63">IFERROR(AQ8/AP8-1,"")</f>
        <v/>
      </c>
    </row>
    <row r="66" spans="2:43" s="981" customFormat="1">
      <c r="B66" s="981" t="s">
        <v>571</v>
      </c>
      <c r="C66" s="982"/>
      <c r="D66" s="982"/>
      <c r="E66" s="982"/>
      <c r="F66" s="982"/>
      <c r="G66" s="982"/>
      <c r="H66" s="982"/>
      <c r="I66" s="982"/>
      <c r="J66" s="985" t="str">
        <f t="shared" si="54"/>
        <v/>
      </c>
      <c r="K66" s="986" t="str">
        <f t="shared" si="54"/>
        <v/>
      </c>
      <c r="L66" s="985" t="str">
        <f t="shared" si="54"/>
        <v/>
      </c>
      <c r="M66" s="985" t="str">
        <f t="shared" si="54"/>
        <v/>
      </c>
      <c r="N66" s="985" t="str">
        <f t="shared" si="54"/>
        <v/>
      </c>
      <c r="O66" s="985" t="str">
        <f t="shared" si="54"/>
        <v/>
      </c>
      <c r="P66" s="985" t="str">
        <f t="shared" si="54"/>
        <v/>
      </c>
      <c r="Q66" s="985" t="str">
        <f t="shared" si="54"/>
        <v/>
      </c>
      <c r="R66" s="985" t="str">
        <f t="shared" si="54"/>
        <v/>
      </c>
      <c r="S66" s="985" t="str">
        <f t="shared" si="54"/>
        <v/>
      </c>
      <c r="T66" s="985">
        <f t="shared" si="54"/>
        <v>4.9610389610389607</v>
      </c>
      <c r="U66" s="985">
        <f t="shared" si="54"/>
        <v>1.4357298474945535</v>
      </c>
      <c r="V66" s="985">
        <f t="shared" si="54"/>
        <v>0.55277280858676203</v>
      </c>
      <c r="W66" s="985">
        <f t="shared" si="54"/>
        <v>-0.53052995391705071</v>
      </c>
      <c r="X66" s="985">
        <f t="shared" si="54"/>
        <v>3.6809815950920255E-2</v>
      </c>
      <c r="Y66" s="985">
        <f t="shared" si="54"/>
        <v>0.34437869822485201</v>
      </c>
      <c r="Z66" s="985">
        <f t="shared" si="54"/>
        <v>0.38204225352112675</v>
      </c>
      <c r="AA66" s="985">
        <f t="shared" si="54"/>
        <v>1.9108280254777066E-2</v>
      </c>
      <c r="AB66" s="985">
        <f t="shared" si="54"/>
        <v>0.14999999999999991</v>
      </c>
      <c r="AC66" s="985">
        <f t="shared" si="54"/>
        <v>0.11999999999999988</v>
      </c>
      <c r="AD66" s="985">
        <f t="shared" si="54"/>
        <v>0.10000000000000009</v>
      </c>
      <c r="AE66" s="985">
        <f t="shared" si="54"/>
        <v>0.10000000000000009</v>
      </c>
      <c r="AF66" s="985">
        <f t="shared" si="54"/>
        <v>2.0051588727478142E-2</v>
      </c>
      <c r="AG66" s="985">
        <f t="shared" si="54"/>
        <v>1.9657426103803832E-2</v>
      </c>
      <c r="AH66" s="985">
        <f t="shared" si="54"/>
        <v>1.9278461177806072E-2</v>
      </c>
      <c r="AI66" s="985">
        <f t="shared" si="55"/>
        <v>1.8913831609400633E-2</v>
      </c>
      <c r="AJ66" s="985">
        <f t="shared" si="56"/>
        <v>-7.1863045596027297E-2</v>
      </c>
      <c r="AK66" s="985">
        <f t="shared" si="57"/>
        <v>-0.12</v>
      </c>
      <c r="AL66" s="985">
        <f t="shared" si="58"/>
        <v>-9.0909090909090939E-2</v>
      </c>
      <c r="AM66" s="985">
        <f t="shared" si="59"/>
        <v>-9.9999999999999978E-2</v>
      </c>
      <c r="AN66" s="985">
        <f t="shared" si="60"/>
        <v>-0.11111111111111116</v>
      </c>
      <c r="AO66" s="985">
        <f t="shared" si="61"/>
        <v>-0.25</v>
      </c>
      <c r="AP66" s="985">
        <f t="shared" si="62"/>
        <v>-0.33333333333333337</v>
      </c>
      <c r="AQ66" s="985">
        <f t="shared" si="63"/>
        <v>-0.25</v>
      </c>
    </row>
    <row r="67" spans="2:43" s="981" customFormat="1">
      <c r="B67" s="981" t="s">
        <v>573</v>
      </c>
      <c r="C67" s="982"/>
      <c r="D67" s="982"/>
      <c r="E67" s="982"/>
      <c r="F67" s="982"/>
      <c r="G67" s="982"/>
      <c r="H67" s="982"/>
      <c r="I67" s="982"/>
      <c r="J67" s="985">
        <f t="shared" si="54"/>
        <v>0.45833333333333326</v>
      </c>
      <c r="K67" s="986">
        <f t="shared" si="54"/>
        <v>-0.17142857142857137</v>
      </c>
      <c r="L67" s="985">
        <f t="shared" si="54"/>
        <v>0.44827586206896552</v>
      </c>
      <c r="M67" s="985">
        <f t="shared" si="54"/>
        <v>-0.13095238095238093</v>
      </c>
      <c r="N67" s="985">
        <f t="shared" si="54"/>
        <v>0</v>
      </c>
      <c r="O67" s="985">
        <f t="shared" si="54"/>
        <v>9.5890410958904049E-2</v>
      </c>
      <c r="P67" s="985">
        <f t="shared" si="54"/>
        <v>0.17500000000000004</v>
      </c>
      <c r="Q67" s="985">
        <f t="shared" si="54"/>
        <v>5.3191489361702038E-2</v>
      </c>
      <c r="R67" s="985">
        <f t="shared" si="54"/>
        <v>0.11616161616161613</v>
      </c>
      <c r="S67" s="985">
        <f t="shared" si="54"/>
        <v>-3.1674208144796379E-2</v>
      </c>
      <c r="T67" s="985">
        <f t="shared" si="54"/>
        <v>-0.2429906542056075</v>
      </c>
      <c r="U67" s="985">
        <f t="shared" si="54"/>
        <v>-0.46913580246913578</v>
      </c>
      <c r="V67" s="985">
        <f t="shared" si="54"/>
        <v>4.6511627906976827E-2</v>
      </c>
      <c r="W67" s="985">
        <f t="shared" si="54"/>
        <v>6.6666666666666652E-2</v>
      </c>
      <c r="X67" s="985">
        <f t="shared" si="54"/>
        <v>0</v>
      </c>
      <c r="Y67" s="985">
        <f t="shared" si="54"/>
        <v>0</v>
      </c>
      <c r="Z67" s="985">
        <f t="shared" si="54"/>
        <v>8.3333333333333259E-2</v>
      </c>
      <c r="AA67" s="985">
        <f t="shared" si="54"/>
        <v>-3.8461538461538436E-2</v>
      </c>
      <c r="AB67" s="985">
        <f t="shared" si="54"/>
        <v>-0.19999999999999996</v>
      </c>
      <c r="AC67" s="985">
        <f t="shared" si="54"/>
        <v>-0.25</v>
      </c>
      <c r="AD67" s="985">
        <f t="shared" si="54"/>
        <v>-0.16666666666666663</v>
      </c>
      <c r="AE67" s="985">
        <f t="shared" si="54"/>
        <v>-0.19999999999999996</v>
      </c>
      <c r="AF67" s="985">
        <f t="shared" si="54"/>
        <v>-1</v>
      </c>
      <c r="AG67" s="985" t="str">
        <f t="shared" si="54"/>
        <v/>
      </c>
      <c r="AH67" s="985" t="str">
        <f t="shared" si="54"/>
        <v/>
      </c>
      <c r="AI67" s="985" t="str">
        <f t="shared" si="55"/>
        <v/>
      </c>
      <c r="AJ67" s="985" t="str">
        <f t="shared" si="56"/>
        <v/>
      </c>
      <c r="AK67" s="985" t="str">
        <f t="shared" si="57"/>
        <v/>
      </c>
      <c r="AL67" s="985" t="str">
        <f t="shared" si="58"/>
        <v/>
      </c>
      <c r="AM67" s="985" t="str">
        <f t="shared" si="59"/>
        <v/>
      </c>
      <c r="AN67" s="985" t="str">
        <f t="shared" si="60"/>
        <v/>
      </c>
      <c r="AO67" s="985" t="str">
        <f t="shared" si="61"/>
        <v/>
      </c>
      <c r="AP67" s="985" t="str">
        <f t="shared" si="62"/>
        <v/>
      </c>
      <c r="AQ67" s="985" t="str">
        <f t="shared" si="63"/>
        <v/>
      </c>
    </row>
    <row r="68" spans="2:43" s="981" customFormat="1">
      <c r="B68" s="981" t="s">
        <v>574</v>
      </c>
      <c r="C68" s="982"/>
      <c r="D68" s="982"/>
      <c r="E68" s="982"/>
      <c r="F68" s="982"/>
      <c r="G68" s="982"/>
      <c r="H68" s="982"/>
      <c r="I68" s="982"/>
      <c r="J68" s="985">
        <f t="shared" si="54"/>
        <v>0.43999999999999995</v>
      </c>
      <c r="K68" s="986">
        <f t="shared" si="54"/>
        <v>-0.23611111111111116</v>
      </c>
      <c r="L68" s="985">
        <f t="shared" si="54"/>
        <v>-0.36363636363636365</v>
      </c>
      <c r="M68" s="985">
        <f t="shared" si="54"/>
        <v>-0.34285714285714286</v>
      </c>
      <c r="N68" s="985">
        <f t="shared" si="54"/>
        <v>0.43478260869565211</v>
      </c>
      <c r="O68" s="985">
        <f t="shared" si="54"/>
        <v>1.5303030303030303</v>
      </c>
      <c r="P68" s="985">
        <f t="shared" si="54"/>
        <v>-0.22155688622754488</v>
      </c>
      <c r="Q68" s="985">
        <f t="shared" si="54"/>
        <v>2.3076923076922995E-2</v>
      </c>
      <c r="R68" s="985">
        <f t="shared" si="54"/>
        <v>-3.007518796992481E-2</v>
      </c>
      <c r="S68" s="985">
        <f t="shared" si="54"/>
        <v>-9.3023255813953543E-2</v>
      </c>
      <c r="T68" s="985">
        <f t="shared" si="54"/>
        <v>-0.28205128205128205</v>
      </c>
      <c r="U68" s="985">
        <f t="shared" si="54"/>
        <v>-0.15476190476190477</v>
      </c>
      <c r="V68" s="985">
        <f t="shared" si="54"/>
        <v>-0.74647887323943662</v>
      </c>
      <c r="W68" s="985">
        <f t="shared" si="54"/>
        <v>-1</v>
      </c>
      <c r="X68" s="985" t="str">
        <f t="shared" si="54"/>
        <v/>
      </c>
      <c r="Y68" s="985" t="str">
        <f t="shared" si="54"/>
        <v/>
      </c>
      <c r="Z68" s="985" t="str">
        <f t="shared" si="54"/>
        <v/>
      </c>
      <c r="AA68" s="985" t="str">
        <f t="shared" si="54"/>
        <v/>
      </c>
      <c r="AB68" s="985" t="str">
        <f t="shared" si="54"/>
        <v/>
      </c>
      <c r="AC68" s="985" t="str">
        <f t="shared" si="54"/>
        <v/>
      </c>
      <c r="AD68" s="985" t="str">
        <f t="shared" si="54"/>
        <v/>
      </c>
      <c r="AE68" s="985" t="str">
        <f t="shared" si="54"/>
        <v/>
      </c>
      <c r="AF68" s="985" t="str">
        <f t="shared" si="54"/>
        <v/>
      </c>
      <c r="AG68" s="985" t="str">
        <f t="shared" si="54"/>
        <v/>
      </c>
      <c r="AH68" s="985" t="str">
        <f t="shared" si="54"/>
        <v/>
      </c>
      <c r="AI68" s="985" t="str">
        <f t="shared" si="55"/>
        <v/>
      </c>
      <c r="AJ68" s="985" t="str">
        <f t="shared" si="56"/>
        <v/>
      </c>
      <c r="AK68" s="985" t="str">
        <f t="shared" si="57"/>
        <v/>
      </c>
      <c r="AL68" s="985" t="str">
        <f t="shared" si="58"/>
        <v/>
      </c>
      <c r="AM68" s="985" t="str">
        <f t="shared" si="59"/>
        <v/>
      </c>
      <c r="AN68" s="985" t="str">
        <f t="shared" si="60"/>
        <v/>
      </c>
      <c r="AO68" s="985" t="str">
        <f t="shared" si="61"/>
        <v/>
      </c>
      <c r="AP68" s="985" t="str">
        <f t="shared" si="62"/>
        <v/>
      </c>
      <c r="AQ68" s="985" t="str">
        <f t="shared" si="63"/>
        <v/>
      </c>
    </row>
    <row r="69" spans="2:43" s="981" customFormat="1">
      <c r="B69" s="981" t="s">
        <v>575</v>
      </c>
      <c r="C69" s="982"/>
      <c r="D69" s="982"/>
      <c r="E69" s="982"/>
      <c r="F69" s="982"/>
      <c r="G69" s="982"/>
      <c r="H69" s="982"/>
      <c r="I69" s="982"/>
      <c r="J69" s="985" t="str">
        <f t="shared" si="54"/>
        <v/>
      </c>
      <c r="K69" s="986" t="str">
        <f t="shared" si="54"/>
        <v/>
      </c>
      <c r="L69" s="985">
        <f t="shared" si="54"/>
        <v>0</v>
      </c>
      <c r="M69" s="985">
        <f t="shared" si="54"/>
        <v>1.75</v>
      </c>
      <c r="N69" s="985">
        <f t="shared" si="54"/>
        <v>9.0909090909090828E-2</v>
      </c>
      <c r="O69" s="985">
        <f t="shared" si="54"/>
        <v>0.29166666666666674</v>
      </c>
      <c r="P69" s="985">
        <f t="shared" si="54"/>
        <v>0.54838709677419351</v>
      </c>
      <c r="Q69" s="985">
        <f t="shared" si="54"/>
        <v>-0.20833333333333337</v>
      </c>
      <c r="R69" s="985">
        <f t="shared" si="54"/>
        <v>0</v>
      </c>
      <c r="S69" s="985">
        <f t="shared" si="54"/>
        <v>-2.6315789473684181E-2</v>
      </c>
      <c r="T69" s="985">
        <f t="shared" si="54"/>
        <v>-0.8783783783783784</v>
      </c>
      <c r="U69" s="985">
        <f t="shared" si="54"/>
        <v>-1</v>
      </c>
      <c r="V69" s="985" t="str">
        <f t="shared" si="54"/>
        <v/>
      </c>
      <c r="W69" s="985" t="str">
        <f t="shared" si="54"/>
        <v/>
      </c>
      <c r="X69" s="985" t="str">
        <f t="shared" si="54"/>
        <v/>
      </c>
      <c r="Y69" s="985" t="str">
        <f t="shared" si="54"/>
        <v/>
      </c>
      <c r="Z69" s="985" t="str">
        <f t="shared" si="54"/>
        <v/>
      </c>
      <c r="AA69" s="985" t="str">
        <f t="shared" si="54"/>
        <v/>
      </c>
      <c r="AB69" s="985" t="str">
        <f t="shared" si="54"/>
        <v/>
      </c>
      <c r="AC69" s="985" t="str">
        <f t="shared" si="54"/>
        <v/>
      </c>
      <c r="AD69" s="985" t="str">
        <f t="shared" si="54"/>
        <v/>
      </c>
      <c r="AE69" s="985" t="str">
        <f t="shared" si="54"/>
        <v/>
      </c>
      <c r="AF69" s="985" t="str">
        <f t="shared" si="54"/>
        <v/>
      </c>
      <c r="AG69" s="985" t="str">
        <f t="shared" si="54"/>
        <v/>
      </c>
      <c r="AH69" s="985" t="str">
        <f t="shared" si="54"/>
        <v/>
      </c>
      <c r="AI69" s="985" t="str">
        <f t="shared" si="55"/>
        <v/>
      </c>
      <c r="AJ69" s="985" t="str">
        <f t="shared" si="56"/>
        <v/>
      </c>
      <c r="AK69" s="985" t="str">
        <f t="shared" si="57"/>
        <v/>
      </c>
      <c r="AL69" s="985" t="str">
        <f t="shared" si="58"/>
        <v/>
      </c>
      <c r="AM69" s="985" t="str">
        <f t="shared" si="59"/>
        <v/>
      </c>
      <c r="AN69" s="985" t="str">
        <f t="shared" si="60"/>
        <v/>
      </c>
      <c r="AO69" s="985" t="str">
        <f t="shared" si="61"/>
        <v/>
      </c>
      <c r="AP69" s="985" t="str">
        <f t="shared" si="62"/>
        <v/>
      </c>
      <c r="AQ69" s="985" t="str">
        <f t="shared" si="63"/>
        <v/>
      </c>
    </row>
    <row r="70" spans="2:43" s="981" customFormat="1">
      <c r="B70" s="981" t="s">
        <v>576</v>
      </c>
      <c r="C70" s="982"/>
      <c r="D70" s="982"/>
      <c r="E70" s="982"/>
      <c r="F70" s="982"/>
      <c r="G70" s="982"/>
      <c r="H70" s="982"/>
      <c r="I70" s="982"/>
      <c r="J70" s="985" t="str">
        <f t="shared" si="54"/>
        <v/>
      </c>
      <c r="K70" s="986" t="str">
        <f t="shared" si="54"/>
        <v/>
      </c>
      <c r="L70" s="985" t="str">
        <f t="shared" si="54"/>
        <v/>
      </c>
      <c r="M70" s="985" t="str">
        <f t="shared" si="54"/>
        <v/>
      </c>
      <c r="N70" s="985" t="str">
        <f t="shared" si="54"/>
        <v/>
      </c>
      <c r="O70" s="985" t="str">
        <f t="shared" si="54"/>
        <v/>
      </c>
      <c r="P70" s="985">
        <f t="shared" si="54"/>
        <v>0.19999999999999996</v>
      </c>
      <c r="Q70" s="985">
        <f t="shared" si="54"/>
        <v>0.2541436464088398</v>
      </c>
      <c r="R70" s="985">
        <f t="shared" si="54"/>
        <v>0.1806167400881058</v>
      </c>
      <c r="S70" s="985">
        <f t="shared" si="54"/>
        <v>4.8507462686567138E-2</v>
      </c>
      <c r="T70" s="985">
        <f t="shared" si="54"/>
        <v>-0.1779359430604982</v>
      </c>
      <c r="U70" s="985">
        <f t="shared" si="54"/>
        <v>0.20346320346320357</v>
      </c>
      <c r="V70" s="985">
        <f t="shared" si="54"/>
        <v>0.37050359712230208</v>
      </c>
      <c r="W70" s="985">
        <f t="shared" si="54"/>
        <v>-0.28346456692913391</v>
      </c>
      <c r="X70" s="985">
        <f t="shared" si="54"/>
        <v>-0.49084249084249088</v>
      </c>
      <c r="Y70" s="985">
        <f t="shared" si="54"/>
        <v>-0.38848920863309355</v>
      </c>
      <c r="Z70" s="985">
        <f t="shared" si="54"/>
        <v>1.1764705882352899E-2</v>
      </c>
      <c r="AA70" s="985">
        <f t="shared" si="54"/>
        <v>0.22093023255813948</v>
      </c>
      <c r="AB70" s="985">
        <f t="shared" si="54"/>
        <v>0.14285714285714279</v>
      </c>
      <c r="AC70" s="985">
        <f t="shared" si="54"/>
        <v>0.16666666666666674</v>
      </c>
      <c r="AD70" s="985">
        <f t="shared" si="54"/>
        <v>7.1428571428571397E-2</v>
      </c>
      <c r="AE70" s="985">
        <f t="shared" si="54"/>
        <v>3.3333333333333437E-2</v>
      </c>
      <c r="AF70" s="985">
        <f t="shared" si="54"/>
        <v>3.2258064516129004E-2</v>
      </c>
      <c r="AG70" s="985">
        <f t="shared" si="54"/>
        <v>6.25E-2</v>
      </c>
      <c r="AH70" s="985">
        <f t="shared" si="54"/>
        <v>5.8823529411764719E-2</v>
      </c>
      <c r="AI70" s="985">
        <f t="shared" si="55"/>
        <v>5.555555555555558E-2</v>
      </c>
      <c r="AJ70" s="985">
        <f t="shared" si="56"/>
        <v>5.2631578947368363E-2</v>
      </c>
      <c r="AK70" s="985">
        <f t="shared" si="57"/>
        <v>-9.9999999999999978E-2</v>
      </c>
      <c r="AL70" s="985">
        <f t="shared" si="58"/>
        <v>-0.11111111111111116</v>
      </c>
      <c r="AM70" s="985">
        <f t="shared" si="59"/>
        <v>-0.125</v>
      </c>
      <c r="AN70" s="985">
        <f t="shared" si="60"/>
        <v>-0.2857142857142857</v>
      </c>
      <c r="AO70" s="985">
        <f t="shared" si="61"/>
        <v>0</v>
      </c>
      <c r="AP70" s="985">
        <f t="shared" si="62"/>
        <v>-0.19999999999999996</v>
      </c>
      <c r="AQ70" s="985">
        <f t="shared" si="63"/>
        <v>-0.375</v>
      </c>
    </row>
    <row r="71" spans="2:43" s="981" customFormat="1">
      <c r="B71" s="981" t="s">
        <v>577</v>
      </c>
      <c r="C71" s="982"/>
      <c r="D71" s="982"/>
      <c r="E71" s="982"/>
      <c r="F71" s="982"/>
      <c r="G71" s="982"/>
      <c r="H71" s="982"/>
      <c r="I71" s="982"/>
      <c r="J71" s="985" t="str">
        <f t="shared" si="54"/>
        <v/>
      </c>
      <c r="K71" s="986" t="str">
        <f t="shared" si="54"/>
        <v/>
      </c>
      <c r="L71" s="985" t="str">
        <f t="shared" si="54"/>
        <v/>
      </c>
      <c r="M71" s="985" t="str">
        <f t="shared" si="54"/>
        <v/>
      </c>
      <c r="N71" s="985" t="str">
        <f t="shared" si="54"/>
        <v/>
      </c>
      <c r="O71" s="985" t="str">
        <f t="shared" si="54"/>
        <v/>
      </c>
      <c r="P71" s="985" t="str">
        <f t="shared" si="54"/>
        <v/>
      </c>
      <c r="Q71" s="985" t="str">
        <f t="shared" si="54"/>
        <v/>
      </c>
      <c r="R71" s="985" t="str">
        <f t="shared" si="54"/>
        <v/>
      </c>
      <c r="S71" s="985" t="str">
        <f t="shared" si="54"/>
        <v/>
      </c>
      <c r="T71" s="985" t="str">
        <f t="shared" si="54"/>
        <v/>
      </c>
      <c r="U71" s="985" t="str">
        <f t="shared" si="54"/>
        <v/>
      </c>
      <c r="V71" s="985" t="str">
        <f t="shared" si="54"/>
        <v/>
      </c>
      <c r="W71" s="985" t="str">
        <f t="shared" si="54"/>
        <v/>
      </c>
      <c r="X71" s="985" t="str">
        <f t="shared" si="54"/>
        <v/>
      </c>
      <c r="Y71" s="985" t="str">
        <f t="shared" si="54"/>
        <v/>
      </c>
      <c r="Z71" s="985" t="str">
        <f t="shared" si="54"/>
        <v/>
      </c>
      <c r="AA71" s="985" t="str">
        <f t="shared" si="54"/>
        <v/>
      </c>
      <c r="AB71" s="985">
        <f t="shared" si="54"/>
        <v>3</v>
      </c>
      <c r="AC71" s="985">
        <f t="shared" si="54"/>
        <v>0.75</v>
      </c>
      <c r="AD71" s="985">
        <f t="shared" si="54"/>
        <v>0.28571428571428581</v>
      </c>
      <c r="AE71" s="985">
        <f t="shared" si="54"/>
        <v>0.11111111111111116</v>
      </c>
      <c r="AF71" s="985">
        <f t="shared" si="54"/>
        <v>5.0000000000000044E-2</v>
      </c>
      <c r="AG71" s="985">
        <f t="shared" si="54"/>
        <v>4.7619047619047672E-2</v>
      </c>
      <c r="AH71" s="985">
        <f t="shared" si="54"/>
        <v>4.5454545454545414E-2</v>
      </c>
      <c r="AI71" s="985">
        <f t="shared" si="55"/>
        <v>4.3478260869565188E-2</v>
      </c>
      <c r="AJ71" s="985">
        <f t="shared" si="56"/>
        <v>4.1666666666666741E-2</v>
      </c>
      <c r="AK71" s="985">
        <f t="shared" si="57"/>
        <v>4.0000000000000036E-2</v>
      </c>
      <c r="AL71" s="985">
        <f t="shared" si="58"/>
        <v>3.8461538461538547E-2</v>
      </c>
      <c r="AM71" s="985">
        <f t="shared" si="59"/>
        <v>3.7037037037036979E-2</v>
      </c>
      <c r="AN71" s="985">
        <f t="shared" si="60"/>
        <v>3.5714285714285809E-2</v>
      </c>
      <c r="AO71" s="985">
        <f t="shared" si="61"/>
        <v>3.4482758620689724E-2</v>
      </c>
      <c r="AP71" s="985">
        <f t="shared" si="62"/>
        <v>3.3333333333333437E-2</v>
      </c>
      <c r="AQ71" s="985">
        <f t="shared" si="63"/>
        <v>3.2258064516129004E-2</v>
      </c>
    </row>
    <row r="72" spans="2:43">
      <c r="C72" s="967"/>
      <c r="D72" s="967"/>
      <c r="E72" s="967"/>
      <c r="F72" s="967"/>
      <c r="G72" s="967"/>
      <c r="H72" s="967"/>
      <c r="I72" s="967"/>
      <c r="J72" s="967"/>
      <c r="K72" s="968"/>
      <c r="L72" s="967"/>
      <c r="M72" s="967"/>
      <c r="N72" s="967"/>
      <c r="O72" s="967"/>
      <c r="P72" s="967"/>
      <c r="Q72" s="967"/>
      <c r="R72" s="967"/>
      <c r="S72" s="967"/>
      <c r="T72" s="967"/>
      <c r="U72" s="967"/>
      <c r="V72" s="967"/>
      <c r="W72" s="967"/>
      <c r="X72" s="967"/>
      <c r="Y72" s="967"/>
      <c r="Z72" s="967"/>
      <c r="AA72" s="967"/>
      <c r="AB72" s="967"/>
      <c r="AC72" s="967"/>
      <c r="AD72" s="967"/>
      <c r="AE72" s="967"/>
      <c r="AF72" s="967"/>
      <c r="AG72" s="967"/>
      <c r="AH72" s="967"/>
      <c r="AI72" s="967"/>
      <c r="AJ72" s="967"/>
      <c r="AK72" s="967"/>
      <c r="AL72" s="967"/>
      <c r="AM72" s="967"/>
      <c r="AN72" s="967"/>
      <c r="AO72" s="967"/>
      <c r="AP72" s="967"/>
      <c r="AQ72" s="967"/>
    </row>
    <row r="73" spans="2:43" ht="12">
      <c r="B73" s="1007" t="s">
        <v>586</v>
      </c>
      <c r="C73" s="967"/>
      <c r="D73" s="967"/>
      <c r="E73" s="967"/>
      <c r="F73" s="967"/>
      <c r="G73" s="967"/>
      <c r="H73" s="967"/>
      <c r="I73" s="967"/>
      <c r="J73" s="967"/>
      <c r="K73" s="968"/>
      <c r="L73" s="967"/>
      <c r="M73" s="967"/>
      <c r="N73" s="967"/>
      <c r="O73" s="967"/>
      <c r="P73" s="967"/>
      <c r="Q73" s="967"/>
      <c r="R73" s="967"/>
      <c r="S73" s="967"/>
      <c r="T73" s="967"/>
      <c r="U73" s="967"/>
      <c r="V73" s="967"/>
      <c r="W73" s="967"/>
      <c r="X73" s="967"/>
      <c r="Y73" s="967"/>
      <c r="AA73" s="967"/>
      <c r="AB73" s="967"/>
      <c r="AC73" s="967"/>
      <c r="AD73" s="967"/>
      <c r="AE73" s="967"/>
      <c r="AF73" s="967"/>
      <c r="AG73" s="967"/>
      <c r="AH73" s="967"/>
      <c r="AI73" s="967"/>
      <c r="AJ73" s="967"/>
      <c r="AK73" s="967"/>
      <c r="AL73" s="967"/>
      <c r="AM73" s="967"/>
      <c r="AN73" s="967"/>
      <c r="AO73" s="967"/>
      <c r="AP73" s="967"/>
      <c r="AQ73" s="967"/>
    </row>
    <row r="74" spans="2:43" s="981" customFormat="1">
      <c r="B74" s="981" t="s">
        <v>570</v>
      </c>
      <c r="C74" s="982"/>
      <c r="D74" s="982"/>
      <c r="E74" s="982"/>
      <c r="F74" s="982"/>
      <c r="G74" s="982"/>
      <c r="H74" s="982"/>
      <c r="I74" s="982"/>
      <c r="J74" s="982"/>
      <c r="K74" s="983"/>
      <c r="L74" s="982"/>
      <c r="M74" s="982"/>
      <c r="N74" s="982"/>
      <c r="O74" s="982"/>
      <c r="P74" s="987">
        <v>2.5000000000000001E-2</v>
      </c>
      <c r="Q74" s="987">
        <v>2.5000000000000001E-2</v>
      </c>
      <c r="R74" s="987">
        <v>2.5000000000000001E-2</v>
      </c>
      <c r="S74" s="987">
        <v>2.5000000000000001E-2</v>
      </c>
      <c r="T74" s="987">
        <v>2.5000000000000001E-2</v>
      </c>
      <c r="U74" s="987">
        <v>2.5000000000000001E-2</v>
      </c>
      <c r="V74" s="987">
        <v>2.5000000000000001E-2</v>
      </c>
      <c r="W74" s="987">
        <v>2.5000000000000001E-2</v>
      </c>
      <c r="X74" s="987">
        <v>2.5000000000000001E-2</v>
      </c>
      <c r="Y74" s="987">
        <v>7.0000000000000007E-2</v>
      </c>
      <c r="Z74" s="987">
        <v>0.05</v>
      </c>
      <c r="AA74" s="987">
        <v>0.05</v>
      </c>
      <c r="AB74" s="987">
        <v>0.03</v>
      </c>
      <c r="AC74" s="987">
        <v>0.03</v>
      </c>
      <c r="AD74" s="987">
        <v>0.03</v>
      </c>
      <c r="AE74" s="987">
        <v>0.03</v>
      </c>
      <c r="AF74" s="987">
        <v>0.03</v>
      </c>
      <c r="AG74" s="987">
        <v>0.03</v>
      </c>
      <c r="AH74" s="987">
        <v>0.03</v>
      </c>
      <c r="AI74" s="987">
        <v>0.03</v>
      </c>
      <c r="AJ74" s="987">
        <v>0.03</v>
      </c>
      <c r="AK74" s="987">
        <v>0.03</v>
      </c>
      <c r="AL74" s="987">
        <v>0.03</v>
      </c>
      <c r="AM74" s="987">
        <v>0.03</v>
      </c>
      <c r="AN74" s="987">
        <v>0.03</v>
      </c>
      <c r="AO74" s="987">
        <v>0.03</v>
      </c>
      <c r="AP74" s="987">
        <v>0.03</v>
      </c>
      <c r="AQ74" s="987">
        <v>0.03</v>
      </c>
    </row>
    <row r="75" spans="2:43" s="981" customFormat="1">
      <c r="B75" s="981" t="s">
        <v>571</v>
      </c>
      <c r="C75" s="982"/>
      <c r="D75" s="982"/>
      <c r="E75" s="982"/>
      <c r="F75" s="982"/>
      <c r="G75" s="982"/>
      <c r="H75" s="982"/>
      <c r="I75" s="982"/>
      <c r="J75" s="982"/>
      <c r="K75" s="983"/>
      <c r="L75" s="982"/>
      <c r="M75" s="982"/>
      <c r="N75" s="982"/>
      <c r="O75" s="982"/>
      <c r="P75" s="987"/>
      <c r="Q75" s="987"/>
      <c r="R75" s="987"/>
      <c r="S75" s="987"/>
      <c r="T75" s="987">
        <v>2.5000000000000001E-2</v>
      </c>
      <c r="U75" s="987">
        <v>2.5000000000000001E-2</v>
      </c>
      <c r="V75" s="987">
        <v>2.5000000000000001E-2</v>
      </c>
      <c r="W75" s="987">
        <v>2.5000000000000001E-2</v>
      </c>
      <c r="X75" s="987">
        <v>0.04</v>
      </c>
      <c r="Y75" s="987">
        <v>0.1</v>
      </c>
      <c r="Z75" s="987">
        <v>0.08</v>
      </c>
      <c r="AA75" s="987">
        <v>5.5E-2</v>
      </c>
      <c r="AB75" s="987">
        <v>0.04</v>
      </c>
      <c r="AC75" s="987">
        <v>0.04</v>
      </c>
      <c r="AD75" s="987">
        <v>0.04</v>
      </c>
      <c r="AE75" s="987">
        <v>0.04</v>
      </c>
      <c r="AF75" s="987">
        <v>0.04</v>
      </c>
      <c r="AG75" s="987">
        <v>0.04</v>
      </c>
      <c r="AH75" s="987">
        <v>0.04</v>
      </c>
      <c r="AI75" s="987">
        <v>0.04</v>
      </c>
      <c r="AJ75" s="987">
        <v>0.04</v>
      </c>
      <c r="AK75" s="987">
        <v>0.04</v>
      </c>
      <c r="AL75" s="987">
        <v>0.04</v>
      </c>
      <c r="AM75" s="987">
        <v>0.04</v>
      </c>
      <c r="AN75" s="987">
        <v>0.04</v>
      </c>
      <c r="AO75" s="987">
        <v>0.04</v>
      </c>
      <c r="AP75" s="987">
        <v>0.04</v>
      </c>
      <c r="AQ75" s="987">
        <v>0.04</v>
      </c>
    </row>
    <row r="76" spans="2:43" s="981" customFormat="1">
      <c r="B76" s="981" t="s">
        <v>573</v>
      </c>
      <c r="C76" s="982"/>
      <c r="D76" s="982"/>
      <c r="E76" s="982"/>
      <c r="F76" s="982"/>
      <c r="G76" s="982"/>
      <c r="H76" s="982"/>
      <c r="I76" s="982"/>
      <c r="J76" s="982"/>
      <c r="K76" s="983"/>
      <c r="L76" s="982"/>
      <c r="M76" s="982"/>
      <c r="N76" s="982"/>
      <c r="O76" s="982"/>
      <c r="P76" s="987">
        <v>2.5000000000000001E-2</v>
      </c>
      <c r="Q76" s="987">
        <v>2.5000000000000001E-2</v>
      </c>
      <c r="R76" s="987">
        <v>2.5000000000000001E-2</v>
      </c>
      <c r="S76" s="987">
        <v>2.5000000000000001E-2</v>
      </c>
      <c r="T76" s="987">
        <v>2.5000000000000001E-2</v>
      </c>
      <c r="U76" s="987">
        <v>2.5000000000000001E-2</v>
      </c>
      <c r="V76" s="987">
        <v>2.5000000000000001E-2</v>
      </c>
      <c r="W76" s="987">
        <v>2.5000000000000001E-2</v>
      </c>
      <c r="X76" s="987">
        <v>2.5000000000000001E-2</v>
      </c>
      <c r="Y76" s="987">
        <v>0.05</v>
      </c>
      <c r="Z76" s="987">
        <v>0.04</v>
      </c>
      <c r="AA76" s="987">
        <v>0.04</v>
      </c>
      <c r="AB76" s="987">
        <v>0.04</v>
      </c>
      <c r="AC76" s="987">
        <v>0.04</v>
      </c>
      <c r="AD76" s="987">
        <v>0.04</v>
      </c>
      <c r="AE76" s="987">
        <v>0.04</v>
      </c>
      <c r="AF76" s="987">
        <v>0.05</v>
      </c>
      <c r="AG76" s="987">
        <v>0.05</v>
      </c>
      <c r="AH76" s="987">
        <v>0.05</v>
      </c>
      <c r="AI76" s="987">
        <v>0.05</v>
      </c>
      <c r="AJ76" s="987">
        <v>0.05</v>
      </c>
      <c r="AK76" s="987">
        <v>0.05</v>
      </c>
      <c r="AL76" s="987">
        <v>0.05</v>
      </c>
      <c r="AM76" s="987">
        <v>0.05</v>
      </c>
      <c r="AN76" s="987">
        <v>0.05</v>
      </c>
      <c r="AO76" s="987">
        <v>0.05</v>
      </c>
      <c r="AP76" s="987">
        <v>0.05</v>
      </c>
      <c r="AQ76" s="987">
        <v>0.05</v>
      </c>
    </row>
    <row r="77" spans="2:43" s="981" customFormat="1">
      <c r="B77" s="981" t="s">
        <v>574</v>
      </c>
      <c r="C77" s="982"/>
      <c r="D77" s="982"/>
      <c r="E77" s="982"/>
      <c r="F77" s="982"/>
      <c r="G77" s="982"/>
      <c r="H77" s="982"/>
      <c r="I77" s="982"/>
      <c r="J77" s="982"/>
      <c r="K77" s="983"/>
      <c r="L77" s="982"/>
      <c r="M77" s="982"/>
      <c r="N77" s="982"/>
      <c r="O77" s="982"/>
      <c r="P77" s="987">
        <v>2.5000000000000001E-2</v>
      </c>
      <c r="Q77" s="987">
        <v>2.5000000000000001E-2</v>
      </c>
      <c r="R77" s="987">
        <v>2.5000000000000001E-2</v>
      </c>
      <c r="S77" s="987">
        <v>2.5000000000000001E-2</v>
      </c>
      <c r="T77" s="987">
        <v>2.5000000000000001E-2</v>
      </c>
      <c r="U77" s="987">
        <v>2.5000000000000001E-2</v>
      </c>
      <c r="V77" s="987">
        <v>2.5000000000000001E-2</v>
      </c>
      <c r="W77" s="987">
        <v>2.5000000000000001E-2</v>
      </c>
      <c r="X77" s="987">
        <v>2.5000000000000001E-2</v>
      </c>
      <c r="Y77" s="987">
        <v>2.5000000000000001E-2</v>
      </c>
      <c r="Z77" s="987">
        <v>2.5000000000000001E-2</v>
      </c>
      <c r="AA77" s="987">
        <v>2.5000000000000001E-2</v>
      </c>
      <c r="AB77" s="987">
        <v>0.04</v>
      </c>
      <c r="AC77" s="987">
        <v>0.05</v>
      </c>
      <c r="AD77" s="987">
        <v>0.05</v>
      </c>
      <c r="AE77" s="987">
        <v>0.05</v>
      </c>
      <c r="AF77" s="987">
        <v>0.05</v>
      </c>
      <c r="AG77" s="987">
        <v>0.05</v>
      </c>
      <c r="AH77" s="987">
        <v>0.05</v>
      </c>
      <c r="AI77" s="987">
        <v>0.05</v>
      </c>
      <c r="AJ77" s="987">
        <v>0.05</v>
      </c>
      <c r="AK77" s="987">
        <v>0.05</v>
      </c>
      <c r="AL77" s="987">
        <v>0.05</v>
      </c>
      <c r="AM77" s="987">
        <v>0.05</v>
      </c>
      <c r="AN77" s="987">
        <v>0.05</v>
      </c>
      <c r="AO77" s="987">
        <v>0.05</v>
      </c>
      <c r="AP77" s="987">
        <v>0.05</v>
      </c>
      <c r="AQ77" s="987">
        <v>0.05</v>
      </c>
    </row>
    <row r="78" spans="2:43" s="981" customFormat="1">
      <c r="B78" s="981" t="s">
        <v>575</v>
      </c>
      <c r="C78" s="982"/>
      <c r="D78" s="982"/>
      <c r="E78" s="982"/>
      <c r="F78" s="982"/>
      <c r="G78" s="982"/>
      <c r="H78" s="982"/>
      <c r="I78" s="982"/>
      <c r="J78" s="982"/>
      <c r="K78" s="983"/>
      <c r="L78" s="982"/>
      <c r="M78" s="982"/>
      <c r="N78" s="982"/>
      <c r="O78" s="982"/>
      <c r="P78" s="987">
        <v>2.5000000000000001E-2</v>
      </c>
      <c r="Q78" s="987">
        <v>2.5000000000000001E-2</v>
      </c>
      <c r="R78" s="987">
        <v>2.5000000000000001E-2</v>
      </c>
      <c r="S78" s="987">
        <v>2.5000000000000001E-2</v>
      </c>
      <c r="T78" s="987">
        <v>2.5000000000000001E-2</v>
      </c>
      <c r="U78" s="987">
        <v>2.5000000000000001E-2</v>
      </c>
      <c r="V78" s="987">
        <v>2.5000000000000001E-2</v>
      </c>
      <c r="W78" s="987">
        <v>2.5000000000000001E-2</v>
      </c>
      <c r="X78" s="987">
        <v>2.5000000000000001E-2</v>
      </c>
      <c r="Y78" s="987">
        <v>2.5000000000000001E-2</v>
      </c>
      <c r="Z78" s="987">
        <v>2.5000000000000001E-2</v>
      </c>
      <c r="AA78" s="987">
        <v>2.5000000000000001E-2</v>
      </c>
      <c r="AB78" s="987">
        <v>0.04</v>
      </c>
      <c r="AC78" s="987">
        <v>0.05</v>
      </c>
      <c r="AD78" s="987">
        <v>0.05</v>
      </c>
      <c r="AE78" s="987">
        <v>0.05</v>
      </c>
      <c r="AF78" s="987">
        <v>0.05</v>
      </c>
      <c r="AG78" s="987">
        <v>0.05</v>
      </c>
      <c r="AH78" s="987">
        <v>0.05</v>
      </c>
      <c r="AI78" s="987">
        <v>0.05</v>
      </c>
      <c r="AJ78" s="987">
        <v>0.05</v>
      </c>
      <c r="AK78" s="987">
        <v>0.05</v>
      </c>
      <c r="AL78" s="987">
        <v>0.05</v>
      </c>
      <c r="AM78" s="987">
        <v>0.05</v>
      </c>
      <c r="AN78" s="987">
        <v>0.05</v>
      </c>
      <c r="AO78" s="987">
        <v>0.05</v>
      </c>
      <c r="AP78" s="987">
        <v>0.05</v>
      </c>
      <c r="AQ78" s="987">
        <v>0.05</v>
      </c>
    </row>
    <row r="79" spans="2:43" s="981" customFormat="1">
      <c r="B79" s="981" t="s">
        <v>576</v>
      </c>
      <c r="C79" s="982"/>
      <c r="D79" s="982"/>
      <c r="E79" s="982"/>
      <c r="F79" s="982"/>
      <c r="G79" s="982"/>
      <c r="H79" s="982"/>
      <c r="I79" s="982"/>
      <c r="J79" s="982"/>
      <c r="K79" s="983"/>
      <c r="L79" s="982"/>
      <c r="M79" s="982"/>
      <c r="N79" s="982"/>
      <c r="O79" s="982"/>
      <c r="P79" s="987">
        <v>2.5000000000000001E-2</v>
      </c>
      <c r="Q79" s="987">
        <v>2.5000000000000001E-2</v>
      </c>
      <c r="R79" s="987">
        <v>2.5000000000000001E-2</v>
      </c>
      <c r="S79" s="987">
        <v>2.5000000000000001E-2</v>
      </c>
      <c r="T79" s="987">
        <v>2.5000000000000001E-2</v>
      </c>
      <c r="U79" s="987">
        <v>2.5000000000000001E-2</v>
      </c>
      <c r="V79" s="987">
        <v>2.5000000000000001E-2</v>
      </c>
      <c r="W79" s="987">
        <v>2.5000000000000001E-2</v>
      </c>
      <c r="X79" s="987">
        <v>0.04</v>
      </c>
      <c r="Y79" s="987">
        <v>0.06</v>
      </c>
      <c r="Z79" s="987">
        <v>0.05</v>
      </c>
      <c r="AA79" s="987">
        <v>2.5000000000000001E-2</v>
      </c>
      <c r="AB79" s="987">
        <v>0.04</v>
      </c>
      <c r="AC79" s="987">
        <v>0.05</v>
      </c>
      <c r="AD79" s="987">
        <v>0.05</v>
      </c>
      <c r="AE79" s="987">
        <v>0.05</v>
      </c>
      <c r="AF79" s="987">
        <v>0.05</v>
      </c>
      <c r="AG79" s="987">
        <v>0.05</v>
      </c>
      <c r="AH79" s="987">
        <v>0.05</v>
      </c>
      <c r="AI79" s="987">
        <v>0.05</v>
      </c>
      <c r="AJ79" s="987">
        <v>0.05</v>
      </c>
      <c r="AK79" s="987">
        <v>0.05</v>
      </c>
      <c r="AL79" s="987">
        <v>0.05</v>
      </c>
      <c r="AM79" s="987">
        <v>0.05</v>
      </c>
      <c r="AN79" s="987">
        <v>0.05</v>
      </c>
      <c r="AO79" s="987">
        <v>0.05</v>
      </c>
      <c r="AP79" s="987">
        <v>0.05</v>
      </c>
      <c r="AQ79" s="987">
        <v>0.05</v>
      </c>
    </row>
    <row r="80" spans="2:43" s="981" customFormat="1">
      <c r="B80" s="981" t="s">
        <v>577</v>
      </c>
      <c r="C80" s="982"/>
      <c r="D80" s="982"/>
      <c r="E80" s="982"/>
      <c r="F80" s="982"/>
      <c r="G80" s="982"/>
      <c r="H80" s="982"/>
      <c r="I80" s="982"/>
      <c r="J80" s="982"/>
      <c r="K80" s="983"/>
      <c r="L80" s="982"/>
      <c r="M80" s="982"/>
      <c r="N80" s="982"/>
      <c r="O80" s="982"/>
      <c r="P80" s="987"/>
      <c r="Q80" s="987"/>
      <c r="R80" s="987"/>
      <c r="S80" s="987"/>
      <c r="T80" s="987"/>
      <c r="U80" s="987"/>
      <c r="V80" s="987"/>
      <c r="W80" s="987"/>
      <c r="X80" s="987">
        <v>2.5000000000000001E-2</v>
      </c>
      <c r="Y80" s="987">
        <v>2.5000000000000001E-2</v>
      </c>
      <c r="Z80" s="987">
        <v>2.5000000000000001E-2</v>
      </c>
      <c r="AA80" s="987">
        <v>2.5000000000000001E-2</v>
      </c>
      <c r="AB80" s="987">
        <v>0.04</v>
      </c>
      <c r="AC80" s="987">
        <v>0.05</v>
      </c>
      <c r="AD80" s="987">
        <v>0.05</v>
      </c>
      <c r="AE80" s="987">
        <v>0.05</v>
      </c>
      <c r="AF80" s="987">
        <v>0.05</v>
      </c>
      <c r="AG80" s="987">
        <v>0.05</v>
      </c>
      <c r="AH80" s="987">
        <v>0.05</v>
      </c>
      <c r="AI80" s="987">
        <v>0.05</v>
      </c>
      <c r="AJ80" s="987">
        <v>0.05</v>
      </c>
      <c r="AK80" s="987">
        <v>0.05</v>
      </c>
      <c r="AL80" s="987">
        <v>0.05</v>
      </c>
      <c r="AM80" s="987">
        <v>0.05</v>
      </c>
      <c r="AN80" s="987">
        <v>0.05</v>
      </c>
      <c r="AO80" s="987">
        <v>0.05</v>
      </c>
      <c r="AP80" s="987">
        <v>0.05</v>
      </c>
      <c r="AQ80" s="987">
        <v>0.05</v>
      </c>
    </row>
    <row r="81" spans="2:43" ht="12" thickBot="1">
      <c r="C81" s="967"/>
      <c r="D81" s="967"/>
      <c r="E81" s="967"/>
      <c r="F81" s="967"/>
      <c r="G81" s="967"/>
      <c r="H81" s="967"/>
      <c r="I81" s="967"/>
      <c r="J81" s="967"/>
      <c r="K81" s="968"/>
      <c r="L81" s="967"/>
      <c r="M81" s="967"/>
      <c r="N81" s="967"/>
      <c r="O81" s="967"/>
      <c r="P81" s="967"/>
      <c r="Q81" s="967"/>
      <c r="R81" s="967"/>
      <c r="S81" s="967"/>
      <c r="T81" s="967"/>
      <c r="U81" s="967"/>
      <c r="V81" s="967"/>
      <c r="W81" s="967"/>
      <c r="X81" s="967"/>
      <c r="Y81" s="967"/>
      <c r="Z81" s="967"/>
      <c r="AA81" s="967"/>
      <c r="AB81" s="967"/>
      <c r="AC81" s="967"/>
      <c r="AD81" s="967"/>
      <c r="AE81" s="967"/>
      <c r="AF81" s="967"/>
      <c r="AG81" s="967"/>
      <c r="AH81" s="967"/>
      <c r="AI81" s="967"/>
      <c r="AJ81" s="967"/>
      <c r="AK81" s="967"/>
      <c r="AL81" s="967"/>
      <c r="AM81" s="967"/>
      <c r="AN81" s="967"/>
      <c r="AO81" s="967"/>
      <c r="AP81" s="967"/>
      <c r="AQ81" s="967"/>
    </row>
    <row r="82" spans="2:43" ht="13.8">
      <c r="B82" s="1019" t="s">
        <v>587</v>
      </c>
      <c r="C82" s="1020">
        <v>2000</v>
      </c>
      <c r="D82" s="1020">
        <v>2001</v>
      </c>
      <c r="E82" s="1020">
        <v>2002</v>
      </c>
      <c r="F82" s="1020">
        <v>2003</v>
      </c>
      <c r="G82" s="1020">
        <v>2004</v>
      </c>
      <c r="H82" s="1020">
        <v>2005</v>
      </c>
      <c r="I82" s="1020">
        <v>2006</v>
      </c>
      <c r="J82" s="1020">
        <v>2007</v>
      </c>
      <c r="K82" s="1021">
        <v>2008</v>
      </c>
      <c r="L82" s="1020">
        <v>2009</v>
      </c>
      <c r="M82" s="1020">
        <v>2010</v>
      </c>
      <c r="N82" s="1020">
        <v>2011</v>
      </c>
      <c r="O82" s="1020">
        <v>2012</v>
      </c>
      <c r="P82" s="1020">
        <v>2013</v>
      </c>
      <c r="Q82" s="1020">
        <v>2014</v>
      </c>
      <c r="R82" s="1020">
        <v>2015</v>
      </c>
      <c r="S82" s="1020">
        <v>2016</v>
      </c>
      <c r="T82" s="1020">
        <v>2017</v>
      </c>
      <c r="U82" s="1020">
        <v>2018</v>
      </c>
      <c r="V82" s="1020">
        <v>2019</v>
      </c>
      <c r="W82" s="1020">
        <v>2020</v>
      </c>
      <c r="X82" s="1020">
        <v>2021</v>
      </c>
      <c r="Y82" s="1022">
        <v>2022</v>
      </c>
      <c r="Z82" s="1022">
        <v>2023</v>
      </c>
      <c r="AA82" s="1022" t="s">
        <v>362</v>
      </c>
      <c r="AB82" s="1022" t="s">
        <v>363</v>
      </c>
      <c r="AC82" s="1022" t="s">
        <v>455</v>
      </c>
      <c r="AD82" s="1022" t="s">
        <v>456</v>
      </c>
      <c r="AE82" s="1022" t="s">
        <v>559</v>
      </c>
      <c r="AF82" s="1022" t="s">
        <v>619</v>
      </c>
      <c r="AG82" s="1022" t="s">
        <v>620</v>
      </c>
      <c r="AH82" s="1011" t="s">
        <v>622</v>
      </c>
      <c r="AI82" s="1011" t="s">
        <v>623</v>
      </c>
      <c r="AJ82" s="1011" t="s">
        <v>624</v>
      </c>
      <c r="AK82" s="1011" t="s">
        <v>625</v>
      </c>
      <c r="AL82" s="1011" t="s">
        <v>626</v>
      </c>
      <c r="AM82" s="1011" t="s">
        <v>627</v>
      </c>
      <c r="AN82" s="1011" t="s">
        <v>628</v>
      </c>
      <c r="AO82" s="1011" t="s">
        <v>629</v>
      </c>
      <c r="AP82" s="1011" t="s">
        <v>630</v>
      </c>
      <c r="AQ82" s="1011" t="s">
        <v>621</v>
      </c>
    </row>
    <row r="83" spans="2:43" ht="13.8">
      <c r="B83" s="1023"/>
      <c r="C83" s="1012"/>
      <c r="D83" s="1012"/>
      <c r="E83" s="1012"/>
      <c r="F83" s="1012"/>
      <c r="G83" s="1012"/>
      <c r="H83" s="1012"/>
      <c r="I83" s="1012"/>
      <c r="J83" s="1012"/>
      <c r="K83" s="1013"/>
      <c r="L83" s="1012"/>
      <c r="M83" s="1012"/>
      <c r="N83" s="1012"/>
      <c r="O83" s="1012"/>
      <c r="P83" s="1012"/>
      <c r="Q83" s="1012"/>
      <c r="R83" s="1012"/>
      <c r="S83" s="1012"/>
      <c r="T83" s="1012"/>
      <c r="U83" s="1012"/>
      <c r="V83" s="1012"/>
      <c r="W83" s="1012"/>
      <c r="X83" s="1012"/>
      <c r="Y83" s="1014"/>
      <c r="Z83" s="1014"/>
      <c r="AA83" s="1014"/>
      <c r="AB83" s="1014"/>
      <c r="AC83" s="1014"/>
      <c r="AD83" s="1014"/>
      <c r="AE83" s="1014"/>
      <c r="AF83" s="1014"/>
      <c r="AG83" s="1014"/>
      <c r="AH83" s="1014"/>
      <c r="AI83" s="1014"/>
      <c r="AJ83" s="1014"/>
      <c r="AK83" s="1014"/>
      <c r="AL83" s="1014"/>
      <c r="AM83" s="1014"/>
      <c r="AN83" s="1014"/>
      <c r="AO83" s="1014"/>
      <c r="AP83" s="1014"/>
      <c r="AQ83" s="1014"/>
    </row>
    <row r="84" spans="2:43" ht="12">
      <c r="B84" s="1024" t="s">
        <v>570</v>
      </c>
      <c r="C84" s="1015"/>
      <c r="D84" s="1015"/>
      <c r="E84" s="1015"/>
      <c r="F84" s="1015"/>
      <c r="G84" s="1015"/>
      <c r="H84" s="1015"/>
      <c r="I84" s="1015"/>
      <c r="J84" s="1015"/>
      <c r="K84" s="1016"/>
      <c r="L84" s="1015"/>
      <c r="M84" s="1015"/>
      <c r="N84" s="1015"/>
      <c r="O84" s="1015"/>
      <c r="P84" s="1015"/>
      <c r="Q84" s="1015"/>
      <c r="R84" s="1015"/>
      <c r="S84" s="1015"/>
      <c r="T84" s="1015"/>
      <c r="U84" s="1015"/>
      <c r="V84" s="1015"/>
      <c r="W84" s="1015"/>
      <c r="X84" s="1015"/>
      <c r="Y84" s="1015"/>
      <c r="Z84" s="1015"/>
      <c r="AA84" s="1015"/>
      <c r="AB84" s="1015"/>
      <c r="AC84" s="1015"/>
      <c r="AD84" s="1015"/>
      <c r="AE84" s="1015"/>
      <c r="AF84" s="1015"/>
      <c r="AG84" s="1015"/>
      <c r="AH84" s="1015"/>
      <c r="AI84" s="1015"/>
      <c r="AJ84" s="1015"/>
      <c r="AK84" s="1015"/>
      <c r="AL84" s="1015"/>
      <c r="AM84" s="1015"/>
      <c r="AN84" s="1015"/>
      <c r="AO84" s="1015"/>
      <c r="AP84" s="1015"/>
      <c r="AQ84" s="1015"/>
    </row>
    <row r="85" spans="2:43" hidden="1" outlineLevel="1">
      <c r="B85" s="1025" t="s">
        <v>588</v>
      </c>
      <c r="C85" s="976"/>
      <c r="D85" s="976"/>
      <c r="E85" s="976"/>
      <c r="F85" s="976"/>
      <c r="G85" s="976"/>
      <c r="H85" s="976"/>
      <c r="I85" s="976"/>
      <c r="J85" s="976"/>
      <c r="K85" s="988"/>
      <c r="L85" s="976"/>
      <c r="M85" s="976">
        <f t="shared" ref="M85" si="64">(E8*0.33+D8*0.33+C8*0.33)*0.6</f>
        <v>297</v>
      </c>
      <c r="N85" s="976">
        <f t="shared" ref="N85" si="65">(F8*0.33+E8*0.33+D8*0.33)*0.6</f>
        <v>346.5</v>
      </c>
      <c r="O85" s="976">
        <f t="shared" ref="O85" si="66">(G8*0.33+F8*0.33+E8*0.33)*0.6</f>
        <v>386.09999999999997</v>
      </c>
      <c r="P85" s="976">
        <f t="shared" ref="P85" si="67">(H8*0.33+G8*0.33+F8*0.33)*0.6</f>
        <v>415.8</v>
      </c>
      <c r="Q85" s="976">
        <f t="shared" ref="Q85" si="68">(I8*0.33+H8*0.33+G8*0.33)*0.6</f>
        <v>498.36599999999999</v>
      </c>
      <c r="R85" s="976">
        <f t="shared" ref="R85" si="69">(J8*0.33+I8*0.33+H8*0.33)*0.6</f>
        <v>605.88</v>
      </c>
      <c r="S85" s="976">
        <f t="shared" ref="S85" si="70">(K8*0.33+J8*0.33+I8*0.33)*0.6</f>
        <v>708.44399999999996</v>
      </c>
      <c r="T85" s="976">
        <f t="shared" ref="T85" si="71">(L8*0.33+K8*0.33+J8*0.33)*0.6</f>
        <v>747.25200000000007</v>
      </c>
      <c r="U85" s="976">
        <f t="shared" ref="U85" si="72">(M8*0.33+L8*0.33+K8*0.33)*0.6</f>
        <v>748.83600000000013</v>
      </c>
      <c r="V85" s="976">
        <f t="shared" ref="V85" si="73">(N8*0.33+M8*0.33+L8*0.33)*0.6</f>
        <v>756.75599999999997</v>
      </c>
      <c r="W85" s="976">
        <f t="shared" ref="W85:Y85" si="74">(O8*0.33+N8*0.33+M8*0.33)*0.6</f>
        <v>785.07000000000016</v>
      </c>
      <c r="X85" s="976">
        <f t="shared" si="74"/>
        <v>834.76800000000014</v>
      </c>
      <c r="Y85" s="976">
        <f t="shared" si="74"/>
        <v>884.66399999999999</v>
      </c>
      <c r="Z85" s="976">
        <f>(R8*0.33+Q8*0.33+P8*0.33)*0.6</f>
        <v>925.45200000000011</v>
      </c>
      <c r="AA85" s="976">
        <f>(S8*0.33+R8*0.33+Q8*0.33)*0.58</f>
        <v>931.16100000000006</v>
      </c>
      <c r="AB85" s="976">
        <f>(T8*0.33+S8*0.33+R8*0.33)*0.55</f>
        <v>861.94350000000009</v>
      </c>
      <c r="AC85" s="976">
        <f t="shared" ref="AC85:AH85" si="75">(U8*0.33+T8*0.33+S8*0.33)*0.6</f>
        <v>827.83799999999997</v>
      </c>
      <c r="AD85" s="976">
        <f t="shared" si="75"/>
        <v>570.04200000000003</v>
      </c>
      <c r="AE85" s="976">
        <f t="shared" si="75"/>
        <v>315.21600000000001</v>
      </c>
      <c r="AF85" s="976">
        <f t="shared" si="75"/>
        <v>129.69</v>
      </c>
      <c r="AG85" s="976">
        <f t="shared" si="75"/>
        <v>64.152000000000001</v>
      </c>
      <c r="AH85" s="976">
        <f t="shared" si="75"/>
        <v>43.362000000000002</v>
      </c>
      <c r="AI85" s="976">
        <f t="shared" ref="AI85" si="76">(AA8*0.33+Z8*0.33+Y8*0.33)*0.6</f>
        <v>32.075999999999993</v>
      </c>
      <c r="AJ85" s="976">
        <f t="shared" ref="AJ85" si="77">(AB8*0.33+AA8*0.33+Z8*0.33)*0.6</f>
        <v>30.095999999999997</v>
      </c>
      <c r="AK85" s="976">
        <f t="shared" ref="AK85" si="78">(AC8*0.33+AB8*0.33+AA8*0.33)*0.6</f>
        <v>29.7</v>
      </c>
      <c r="AL85" s="976">
        <f t="shared" ref="AL85" si="79">(AD8*0.33+AC8*0.33+AB8*0.33)*0.6</f>
        <v>29.7</v>
      </c>
      <c r="AM85" s="976">
        <f t="shared" ref="AM85" si="80">(AE8*0.33+AD8*0.33+AC8*0.33)*0.6</f>
        <v>29.7</v>
      </c>
      <c r="AN85" s="976">
        <f t="shared" ref="AN85" si="81">(AF8*0.33+AE8*0.33+AD8*0.33)*0.6</f>
        <v>19.8</v>
      </c>
      <c r="AO85" s="976">
        <f t="shared" ref="AO85" si="82">(AG8*0.33+AF8*0.33+AE8*0.33)*0.6</f>
        <v>9.9</v>
      </c>
      <c r="AP85" s="976">
        <f t="shared" ref="AP85" si="83">(AH8*0.33+AG8*0.33+AF8*0.33)*0.6</f>
        <v>0</v>
      </c>
      <c r="AQ85" s="976">
        <f t="shared" ref="AQ85" si="84">(AI8*0.33+AH8*0.33+AG8*0.33)*0.6</f>
        <v>0</v>
      </c>
    </row>
    <row r="86" spans="2:43" hidden="1" outlineLevel="1">
      <c r="B86" s="1025" t="s">
        <v>589</v>
      </c>
      <c r="C86" s="976"/>
      <c r="D86" s="976"/>
      <c r="E86" s="976"/>
      <c r="F86" s="976"/>
      <c r="G86" s="976"/>
      <c r="H86" s="976"/>
      <c r="I86" s="976"/>
      <c r="J86" s="976"/>
      <c r="K86" s="988"/>
      <c r="L86" s="976"/>
      <c r="M86" s="976"/>
      <c r="N86" s="976"/>
      <c r="O86" s="976"/>
      <c r="P86" s="976"/>
      <c r="Q86" s="976">
        <f t="shared" ref="Q86" si="85">(E8*0.33+D8*0.33+C8*0.33)*0.6</f>
        <v>297</v>
      </c>
      <c r="R86" s="976">
        <f t="shared" ref="R86" si="86">(F8*0.33+E8*0.33+D8*0.33)*0.6</f>
        <v>346.5</v>
      </c>
      <c r="S86" s="976">
        <f t="shared" ref="S86" si="87">(G8*0.33+F8*0.33+E8*0.33)*0.6</f>
        <v>386.09999999999997</v>
      </c>
      <c r="T86" s="976">
        <f t="shared" ref="T86" si="88">(H8*0.33+G8*0.33+F8*0.33)*0.6</f>
        <v>415.8</v>
      </c>
      <c r="U86" s="976">
        <f t="shared" ref="U86" si="89">(I8*0.33+H8*0.33+G8*0.33)*0.6</f>
        <v>498.36599999999999</v>
      </c>
      <c r="V86" s="976">
        <f t="shared" ref="V86" si="90">(J8*0.33+I8*0.33+H8*0.33)*0.6</f>
        <v>605.88</v>
      </c>
      <c r="W86" s="976">
        <f t="shared" ref="W86:Y86" si="91">(K8*0.33+J8*0.33+I8*0.33)*0.6</f>
        <v>708.44399999999996</v>
      </c>
      <c r="X86" s="976">
        <f t="shared" si="91"/>
        <v>747.25200000000007</v>
      </c>
      <c r="Y86" s="976">
        <f t="shared" si="91"/>
        <v>748.83600000000013</v>
      </c>
      <c r="Z86" s="976">
        <f>(N8*0.33+M8*0.33+L8*0.33)*0.6</f>
        <v>756.75599999999997</v>
      </c>
      <c r="AA86" s="976">
        <f t="shared" ref="AA86:AH86" si="92">(O8*0.33+N8*0.33+M8*0.33)*0.6</f>
        <v>785.07000000000016</v>
      </c>
      <c r="AB86" s="976">
        <f>(P8*0.33+O8*0.33+N8*0.33)*0.55</f>
        <v>765.20400000000018</v>
      </c>
      <c r="AC86" s="976">
        <f t="shared" si="92"/>
        <v>884.66399999999999</v>
      </c>
      <c r="AD86" s="976">
        <f t="shared" si="92"/>
        <v>925.45200000000011</v>
      </c>
      <c r="AE86" s="976">
        <f t="shared" si="92"/>
        <v>963.2700000000001</v>
      </c>
      <c r="AF86" s="976">
        <f t="shared" si="92"/>
        <v>940.30200000000002</v>
      </c>
      <c r="AG86" s="976">
        <f t="shared" si="92"/>
        <v>827.83799999999997</v>
      </c>
      <c r="AH86" s="976">
        <f t="shared" si="92"/>
        <v>570.04200000000003</v>
      </c>
      <c r="AI86" s="976">
        <f t="shared" ref="AI86" si="93">(W8*0.33+V8*0.33+U8*0.33)*0.6</f>
        <v>315.21600000000001</v>
      </c>
      <c r="AJ86" s="976">
        <f t="shared" ref="AJ86" si="94">(X8*0.33+W8*0.33+V8*0.33)*0.6</f>
        <v>129.69</v>
      </c>
      <c r="AK86" s="976">
        <f t="shared" ref="AK86" si="95">(Y8*0.33+X8*0.33+W8*0.33)*0.6</f>
        <v>64.152000000000001</v>
      </c>
      <c r="AL86" s="976">
        <f t="shared" ref="AL86" si="96">(Z8*0.33+Y8*0.33+X8*0.33)*0.6</f>
        <v>43.362000000000002</v>
      </c>
      <c r="AM86" s="976">
        <f t="shared" ref="AM86" si="97">(AA8*0.33+Z8*0.33+Y8*0.33)*0.6</f>
        <v>32.075999999999993</v>
      </c>
      <c r="AN86" s="976">
        <f t="shared" ref="AN86" si="98">(AB8*0.33+AA8*0.33+Z8*0.33)*0.6</f>
        <v>30.095999999999997</v>
      </c>
      <c r="AO86" s="976">
        <f t="shared" ref="AO86" si="99">(AC8*0.33+AB8*0.33+AA8*0.33)*0.6</f>
        <v>29.7</v>
      </c>
      <c r="AP86" s="976">
        <f t="shared" ref="AP86" si="100">(AD8*0.33+AC8*0.33+AB8*0.33)*0.6</f>
        <v>29.7</v>
      </c>
      <c r="AQ86" s="976">
        <f t="shared" ref="AQ86" si="101">(AE8*0.33+AD8*0.33+AC8*0.33)*0.6</f>
        <v>29.7</v>
      </c>
    </row>
    <row r="87" spans="2:43" hidden="1" outlineLevel="1">
      <c r="B87" s="1025" t="s">
        <v>590</v>
      </c>
      <c r="C87" s="976"/>
      <c r="D87" s="976"/>
      <c r="E87" s="976"/>
      <c r="F87" s="976"/>
      <c r="G87" s="976"/>
      <c r="H87" s="976"/>
      <c r="I87" s="976"/>
      <c r="J87" s="976"/>
      <c r="K87" s="988"/>
      <c r="L87" s="976"/>
      <c r="M87" s="976"/>
      <c r="N87" s="976"/>
      <c r="O87" s="976"/>
      <c r="P87" s="976"/>
      <c r="Q87" s="976"/>
      <c r="R87" s="976"/>
      <c r="S87" s="976"/>
      <c r="T87" s="976"/>
      <c r="U87" s="976"/>
      <c r="V87" s="976"/>
      <c r="W87" s="976">
        <f t="shared" ref="W87:Y87" si="102">(E8*0.33+D8*0.33+C8*0.33)*0.6</f>
        <v>297</v>
      </c>
      <c r="X87" s="976">
        <f t="shared" si="102"/>
        <v>346.5</v>
      </c>
      <c r="Y87" s="976">
        <f t="shared" si="102"/>
        <v>386.09999999999997</v>
      </c>
      <c r="Z87" s="976">
        <f>(H8*0.33+G8*0.33+F8*0.33)*0.6</f>
        <v>415.8</v>
      </c>
      <c r="AA87" s="976">
        <f t="shared" ref="AA87:AH87" si="103">(I8*0.33+H8*0.33+G8*0.33)*0.6</f>
        <v>498.36599999999999</v>
      </c>
      <c r="AB87" s="976">
        <f>(J8*0.33+I8*0.33+H8*0.33)*0.55</f>
        <v>555.39</v>
      </c>
      <c r="AC87" s="976">
        <f t="shared" si="103"/>
        <v>708.44399999999996</v>
      </c>
      <c r="AD87" s="976">
        <f t="shared" si="103"/>
        <v>747.25200000000007</v>
      </c>
      <c r="AE87" s="976">
        <f t="shared" si="103"/>
        <v>748.83600000000013</v>
      </c>
      <c r="AF87" s="976">
        <f t="shared" si="103"/>
        <v>756.75599999999997</v>
      </c>
      <c r="AG87" s="976">
        <f t="shared" si="103"/>
        <v>785.07000000000016</v>
      </c>
      <c r="AH87" s="976">
        <f t="shared" si="103"/>
        <v>834.76800000000014</v>
      </c>
      <c r="AI87" s="976">
        <f t="shared" ref="AI87" si="104">(Q8*0.33+P8*0.33+O8*0.33)*0.6</f>
        <v>884.66399999999999</v>
      </c>
      <c r="AJ87" s="976">
        <f t="shared" ref="AJ87" si="105">(R8*0.33+Q8*0.33+P8*0.33)*0.6</f>
        <v>925.45200000000011</v>
      </c>
      <c r="AK87" s="976">
        <f t="shared" ref="AK87" si="106">(S8*0.33+R8*0.33+Q8*0.33)*0.6</f>
        <v>963.2700000000001</v>
      </c>
      <c r="AL87" s="976">
        <f t="shared" ref="AL87" si="107">(T8*0.33+S8*0.33+R8*0.33)*0.6</f>
        <v>940.30200000000002</v>
      </c>
      <c r="AM87" s="976">
        <f t="shared" ref="AM87" si="108">(U8*0.33+T8*0.33+S8*0.33)*0.6</f>
        <v>827.83799999999997</v>
      </c>
      <c r="AN87" s="976">
        <f t="shared" ref="AN87" si="109">(V8*0.33+U8*0.33+T8*0.33)*0.6</f>
        <v>570.04200000000003</v>
      </c>
      <c r="AO87" s="976">
        <f t="shared" ref="AO87" si="110">(W8*0.33+V8*0.33+U8*0.33)*0.6</f>
        <v>315.21600000000001</v>
      </c>
      <c r="AP87" s="976">
        <f t="shared" ref="AP87" si="111">(X8*0.33+W8*0.33+V8*0.33)*0.6</f>
        <v>129.69</v>
      </c>
      <c r="AQ87" s="976">
        <f t="shared" ref="AQ87" si="112">(Y8*0.33+X8*0.33+W8*0.33)*0.6</f>
        <v>64.152000000000001</v>
      </c>
    </row>
    <row r="88" spans="2:43" hidden="1" outlineLevel="1">
      <c r="B88" s="1025"/>
      <c r="C88" s="967"/>
      <c r="D88" s="967"/>
      <c r="E88" s="967"/>
      <c r="F88" s="967"/>
      <c r="G88" s="967"/>
      <c r="H88" s="967"/>
      <c r="I88" s="967"/>
      <c r="J88" s="967"/>
      <c r="K88" s="968"/>
      <c r="L88" s="967"/>
      <c r="M88" s="967"/>
      <c r="N88" s="967"/>
      <c r="O88" s="967"/>
      <c r="P88" s="967"/>
      <c r="Q88" s="967"/>
      <c r="R88" s="967"/>
      <c r="S88" s="967"/>
      <c r="T88" s="967"/>
      <c r="U88" s="967"/>
      <c r="V88" s="967"/>
      <c r="W88" s="967"/>
      <c r="X88" s="967"/>
      <c r="Y88" s="967"/>
      <c r="Z88" s="967"/>
      <c r="AA88" s="967"/>
      <c r="AB88" s="967"/>
      <c r="AC88" s="967"/>
      <c r="AD88" s="967"/>
      <c r="AE88" s="967"/>
      <c r="AF88" s="967"/>
      <c r="AG88" s="967"/>
      <c r="AH88" s="967"/>
      <c r="AI88" s="967"/>
      <c r="AJ88" s="967"/>
      <c r="AK88" s="967"/>
      <c r="AL88" s="967"/>
      <c r="AM88" s="967"/>
      <c r="AN88" s="967"/>
      <c r="AO88" s="967"/>
      <c r="AP88" s="967"/>
      <c r="AQ88" s="967"/>
    </row>
    <row r="89" spans="2:43" hidden="1" outlineLevel="1">
      <c r="B89" s="1025" t="s">
        <v>591</v>
      </c>
      <c r="C89" s="967"/>
      <c r="D89" s="967"/>
      <c r="E89" s="967"/>
      <c r="F89" s="967"/>
      <c r="G89" s="967"/>
      <c r="H89" s="967"/>
      <c r="I89" s="967"/>
      <c r="J89" s="967"/>
      <c r="K89" s="968"/>
      <c r="L89" s="967"/>
      <c r="M89" s="967"/>
      <c r="N89" s="967"/>
      <c r="O89" s="967"/>
      <c r="P89" s="967"/>
      <c r="Q89" s="989">
        <f t="shared" ref="Q89:Y91" si="113">R89/(1+R$100)</f>
        <v>3.3369795251220733</v>
      </c>
      <c r="R89" s="989">
        <f t="shared" si="113"/>
        <v>3.420404013250125</v>
      </c>
      <c r="S89" s="989">
        <f t="shared" si="113"/>
        <v>3.5059141135813778</v>
      </c>
      <c r="T89" s="989">
        <f t="shared" si="113"/>
        <v>3.593561966420912</v>
      </c>
      <c r="U89" s="989">
        <f t="shared" si="113"/>
        <v>3.6834010155814343</v>
      </c>
      <c r="V89" s="989">
        <f t="shared" si="113"/>
        <v>3.7754860409709696</v>
      </c>
      <c r="W89" s="989">
        <f t="shared" si="113"/>
        <v>3.8698731919952434</v>
      </c>
      <c r="X89" s="989">
        <f t="shared" si="113"/>
        <v>3.9859693877551008</v>
      </c>
      <c r="Y89" s="989">
        <f>Z89/(1+Z$100)</f>
        <v>4.4642857142857135</v>
      </c>
      <c r="Z89" s="990">
        <v>5</v>
      </c>
      <c r="AA89" s="989">
        <f t="shared" ref="AA89:AH91" si="114">Z89*(1+AA$100)</f>
        <v>5.375</v>
      </c>
      <c r="AB89" s="989">
        <f t="shared" si="114"/>
        <v>5.7512500000000006</v>
      </c>
      <c r="AC89" s="989">
        <f t="shared" si="114"/>
        <v>6.0963250000000011</v>
      </c>
      <c r="AD89" s="989">
        <f t="shared" si="114"/>
        <v>6.4316228750000004</v>
      </c>
      <c r="AE89" s="989">
        <f t="shared" si="114"/>
        <v>6.7532040187500009</v>
      </c>
      <c r="AF89" s="989">
        <f t="shared" si="114"/>
        <v>7.0908642196875009</v>
      </c>
      <c r="AG89" s="989">
        <f t="shared" si="114"/>
        <v>7.4454074306718763</v>
      </c>
      <c r="AH89" s="989">
        <f t="shared" si="114"/>
        <v>7.8176778022054707</v>
      </c>
      <c r="AI89" s="989">
        <f t="shared" ref="AI89:AI91" si="115">AH89*(1+AI$100)</f>
        <v>8.2085616923157438</v>
      </c>
      <c r="AJ89" s="989">
        <f t="shared" ref="AJ89:AJ91" si="116">AI89*(1+AJ$100)</f>
        <v>8.6189897769315316</v>
      </c>
      <c r="AK89" s="989">
        <f t="shared" ref="AK89:AK91" si="117">AJ89*(1+AK$100)</f>
        <v>9.049939265778109</v>
      </c>
      <c r="AL89" s="989">
        <f t="shared" ref="AL89:AL91" si="118">AK89*(1+AL$100)</f>
        <v>9.5024362290670155</v>
      </c>
      <c r="AM89" s="989">
        <f t="shared" ref="AM89:AM91" si="119">AL89*(1+AM$100)</f>
        <v>9.9775580405203659</v>
      </c>
      <c r="AN89" s="989">
        <f t="shared" ref="AN89:AN91" si="120">AM89*(1+AN$100)</f>
        <v>10.476435942546384</v>
      </c>
      <c r="AO89" s="989">
        <f t="shared" ref="AO89:AO91" si="121">AN89*(1+AO$100)</f>
        <v>11.000257739673705</v>
      </c>
      <c r="AP89" s="989">
        <f t="shared" ref="AP89:AP91" si="122">AO89*(1+AP$100)</f>
        <v>11.55027062665739</v>
      </c>
      <c r="AQ89" s="989">
        <f t="shared" ref="AQ89:AQ91" si="123">AP89*(1+AQ$100)</f>
        <v>12.127784157990261</v>
      </c>
    </row>
    <row r="90" spans="2:43" hidden="1" outlineLevel="1">
      <c r="B90" s="1025" t="s">
        <v>592</v>
      </c>
      <c r="C90" s="967"/>
      <c r="D90" s="967"/>
      <c r="E90" s="967"/>
      <c r="F90" s="967"/>
      <c r="G90" s="967"/>
      <c r="H90" s="967"/>
      <c r="I90" s="967"/>
      <c r="J90" s="967"/>
      <c r="K90" s="968"/>
      <c r="L90" s="967"/>
      <c r="M90" s="967"/>
      <c r="N90" s="967"/>
      <c r="O90" s="967"/>
      <c r="P90" s="967"/>
      <c r="Q90" s="989">
        <f t="shared" si="113"/>
        <v>4.6717713351709031</v>
      </c>
      <c r="R90" s="989">
        <f t="shared" si="113"/>
        <v>4.7885656185501757</v>
      </c>
      <c r="S90" s="989">
        <f t="shared" si="113"/>
        <v>4.9082797590139293</v>
      </c>
      <c r="T90" s="989">
        <f t="shared" si="113"/>
        <v>5.0309867529892767</v>
      </c>
      <c r="U90" s="989">
        <f t="shared" si="113"/>
        <v>5.1567614218140081</v>
      </c>
      <c r="V90" s="989">
        <f t="shared" si="113"/>
        <v>5.2856804573593577</v>
      </c>
      <c r="W90" s="989">
        <f t="shared" si="113"/>
        <v>5.4178224687933412</v>
      </c>
      <c r="X90" s="989">
        <f t="shared" si="113"/>
        <v>5.5803571428571415</v>
      </c>
      <c r="Y90" s="989">
        <f t="shared" si="113"/>
        <v>6.2499999999999991</v>
      </c>
      <c r="Z90" s="990">
        <v>7</v>
      </c>
      <c r="AA90" s="989">
        <f t="shared" si="114"/>
        <v>7.5249999999999995</v>
      </c>
      <c r="AB90" s="989">
        <f t="shared" si="114"/>
        <v>8.0517500000000002</v>
      </c>
      <c r="AC90" s="989">
        <f t="shared" si="114"/>
        <v>8.5348550000000003</v>
      </c>
      <c r="AD90" s="989">
        <f t="shared" si="114"/>
        <v>9.0042720250000006</v>
      </c>
      <c r="AE90" s="989">
        <f t="shared" si="114"/>
        <v>9.4544856262500012</v>
      </c>
      <c r="AF90" s="989">
        <f t="shared" si="114"/>
        <v>9.9272099075625011</v>
      </c>
      <c r="AG90" s="989">
        <f t="shared" si="114"/>
        <v>10.423570402940626</v>
      </c>
      <c r="AH90" s="989">
        <f t="shared" si="114"/>
        <v>10.944748923087658</v>
      </c>
      <c r="AI90" s="989">
        <f t="shared" si="115"/>
        <v>11.491986369242042</v>
      </c>
      <c r="AJ90" s="989">
        <f t="shared" si="116"/>
        <v>12.066585687704144</v>
      </c>
      <c r="AK90" s="989">
        <f t="shared" si="117"/>
        <v>12.669914972089352</v>
      </c>
      <c r="AL90" s="989">
        <f t="shared" si="118"/>
        <v>13.303410720693821</v>
      </c>
      <c r="AM90" s="989">
        <f t="shared" si="119"/>
        <v>13.968581256728513</v>
      </c>
      <c r="AN90" s="989">
        <f t="shared" si="120"/>
        <v>14.667010319564939</v>
      </c>
      <c r="AO90" s="989">
        <f t="shared" si="121"/>
        <v>15.400360835543188</v>
      </c>
      <c r="AP90" s="989">
        <f t="shared" si="122"/>
        <v>16.170378877320349</v>
      </c>
      <c r="AQ90" s="989">
        <f t="shared" si="123"/>
        <v>16.978897821186369</v>
      </c>
    </row>
    <row r="91" spans="2:43" hidden="1" outlineLevel="1">
      <c r="B91" s="1025" t="s">
        <v>593</v>
      </c>
      <c r="C91" s="967"/>
      <c r="D91" s="967"/>
      <c r="E91" s="967"/>
      <c r="F91" s="967"/>
      <c r="G91" s="967"/>
      <c r="H91" s="967"/>
      <c r="I91" s="967"/>
      <c r="J91" s="967"/>
      <c r="K91" s="968"/>
      <c r="L91" s="967"/>
      <c r="M91" s="967"/>
      <c r="N91" s="967"/>
      <c r="O91" s="967"/>
      <c r="P91" s="967"/>
      <c r="Q91" s="989">
        <f t="shared" si="113"/>
        <v>4.0043754301464887</v>
      </c>
      <c r="R91" s="989">
        <f t="shared" si="113"/>
        <v>4.1044848159001504</v>
      </c>
      <c r="S91" s="989">
        <f t="shared" si="113"/>
        <v>4.2070969362976536</v>
      </c>
      <c r="T91" s="989">
        <f t="shared" si="113"/>
        <v>4.3122743597050945</v>
      </c>
      <c r="U91" s="989">
        <f t="shared" si="113"/>
        <v>4.4200812186977219</v>
      </c>
      <c r="V91" s="989">
        <f t="shared" si="113"/>
        <v>4.5305832491651641</v>
      </c>
      <c r="W91" s="989">
        <f t="shared" si="113"/>
        <v>4.6438478303942929</v>
      </c>
      <c r="X91" s="989">
        <f t="shared" si="113"/>
        <v>4.783163265306122</v>
      </c>
      <c r="Y91" s="989">
        <f t="shared" si="113"/>
        <v>5.3571428571428568</v>
      </c>
      <c r="Z91" s="990">
        <v>6</v>
      </c>
      <c r="AA91" s="989">
        <f t="shared" si="114"/>
        <v>6.4499999999999993</v>
      </c>
      <c r="AB91" s="989">
        <f t="shared" si="114"/>
        <v>6.9014999999999995</v>
      </c>
      <c r="AC91" s="989">
        <f t="shared" si="114"/>
        <v>7.3155900000000003</v>
      </c>
      <c r="AD91" s="989">
        <f t="shared" si="114"/>
        <v>7.7179474499999996</v>
      </c>
      <c r="AE91" s="989">
        <f t="shared" si="114"/>
        <v>8.1038448224999993</v>
      </c>
      <c r="AF91" s="989">
        <f t="shared" si="114"/>
        <v>8.5090370636249997</v>
      </c>
      <c r="AG91" s="989">
        <f t="shared" si="114"/>
        <v>8.9344889168062505</v>
      </c>
      <c r="AH91" s="989">
        <f t="shared" si="114"/>
        <v>9.3812133626465641</v>
      </c>
      <c r="AI91" s="989">
        <f t="shared" si="115"/>
        <v>9.850274030778893</v>
      </c>
      <c r="AJ91" s="989">
        <f t="shared" si="116"/>
        <v>10.342787732317838</v>
      </c>
      <c r="AK91" s="989">
        <f t="shared" si="117"/>
        <v>10.859927118933729</v>
      </c>
      <c r="AL91" s="989">
        <f t="shared" si="118"/>
        <v>11.402923474880417</v>
      </c>
      <c r="AM91" s="989">
        <f t="shared" si="119"/>
        <v>11.973069648624438</v>
      </c>
      <c r="AN91" s="989">
        <f t="shared" si="120"/>
        <v>12.571723131055661</v>
      </c>
      <c r="AO91" s="989">
        <f t="shared" si="121"/>
        <v>13.200309287608444</v>
      </c>
      <c r="AP91" s="989">
        <f t="shared" si="122"/>
        <v>13.860324751988868</v>
      </c>
      <c r="AQ91" s="989">
        <f t="shared" si="123"/>
        <v>14.553340989588312</v>
      </c>
    </row>
    <row r="92" spans="2:43" hidden="1" outlineLevel="1">
      <c r="B92" s="1025"/>
      <c r="C92" s="967"/>
      <c r="D92" s="967"/>
      <c r="E92" s="967"/>
      <c r="F92" s="967"/>
      <c r="G92" s="967"/>
      <c r="H92" s="967"/>
      <c r="I92" s="967"/>
      <c r="J92" s="967"/>
      <c r="K92" s="968"/>
      <c r="L92" s="967"/>
      <c r="M92" s="967"/>
      <c r="N92" s="967"/>
      <c r="O92" s="967"/>
      <c r="P92" s="967"/>
      <c r="Q92" s="991"/>
      <c r="R92" s="989"/>
      <c r="S92" s="989"/>
      <c r="T92" s="989"/>
      <c r="U92" s="989"/>
      <c r="V92" s="989"/>
      <c r="W92" s="989"/>
      <c r="X92" s="989"/>
      <c r="Y92" s="989"/>
      <c r="Z92" s="989"/>
      <c r="AA92" s="989"/>
      <c r="AB92" s="989"/>
      <c r="AC92" s="989"/>
      <c r="AD92" s="989"/>
      <c r="AE92" s="989"/>
      <c r="AF92" s="989"/>
      <c r="AG92" s="989"/>
      <c r="AH92" s="989"/>
      <c r="AI92" s="989"/>
      <c r="AJ92" s="989"/>
      <c r="AK92" s="989"/>
      <c r="AL92" s="989"/>
      <c r="AM92" s="989"/>
      <c r="AN92" s="989"/>
      <c r="AO92" s="989"/>
      <c r="AP92" s="989"/>
      <c r="AQ92" s="989"/>
    </row>
    <row r="93" spans="2:43" s="981" customFormat="1" hidden="1" outlineLevel="1">
      <c r="B93" s="1026" t="s">
        <v>594</v>
      </c>
      <c r="C93" s="982"/>
      <c r="D93" s="982"/>
      <c r="E93" s="982"/>
      <c r="F93" s="982"/>
      <c r="G93" s="982"/>
      <c r="H93" s="982"/>
      <c r="I93" s="982"/>
      <c r="J93" s="982"/>
      <c r="K93" s="983"/>
      <c r="L93" s="982"/>
      <c r="M93" s="982"/>
      <c r="N93" s="982"/>
      <c r="O93" s="992">
        <f t="shared" ref="O93:AE93" si="124">O35</f>
        <v>0.5</v>
      </c>
      <c r="P93" s="992">
        <f t="shared" si="124"/>
        <v>0.5</v>
      </c>
      <c r="Q93" s="992">
        <f t="shared" si="124"/>
        <v>0.5</v>
      </c>
      <c r="R93" s="992">
        <f t="shared" si="124"/>
        <v>0.5</v>
      </c>
      <c r="S93" s="992">
        <f t="shared" si="124"/>
        <v>0.5</v>
      </c>
      <c r="T93" s="992">
        <f t="shared" si="124"/>
        <v>0.5</v>
      </c>
      <c r="U93" s="992">
        <f t="shared" si="124"/>
        <v>0.5</v>
      </c>
      <c r="V93" s="992">
        <f t="shared" si="124"/>
        <v>0.5</v>
      </c>
      <c r="W93" s="992">
        <f t="shared" si="124"/>
        <v>0.5</v>
      </c>
      <c r="X93" s="992">
        <f t="shared" si="124"/>
        <v>0.5</v>
      </c>
      <c r="Y93" s="992">
        <f t="shared" si="124"/>
        <v>0.5</v>
      </c>
      <c r="Z93" s="992">
        <f t="shared" si="124"/>
        <v>0.5</v>
      </c>
      <c r="AA93" s="992">
        <f t="shared" si="124"/>
        <v>0.5</v>
      </c>
      <c r="AB93" s="992">
        <f t="shared" si="124"/>
        <v>0.5</v>
      </c>
      <c r="AC93" s="992">
        <f t="shared" si="124"/>
        <v>0.5</v>
      </c>
      <c r="AD93" s="992">
        <f t="shared" si="124"/>
        <v>0.5</v>
      </c>
      <c r="AE93" s="992">
        <f t="shared" si="124"/>
        <v>0.5</v>
      </c>
      <c r="AF93" s="992">
        <f t="shared" ref="AF93:AG93" si="125">AF35</f>
        <v>0.5</v>
      </c>
      <c r="AG93" s="992">
        <f t="shared" si="125"/>
        <v>0.5</v>
      </c>
      <c r="AH93" s="992">
        <f t="shared" ref="AH93:AQ93" si="126">AH35</f>
        <v>0.5</v>
      </c>
      <c r="AI93" s="992">
        <f t="shared" si="126"/>
        <v>0.5</v>
      </c>
      <c r="AJ93" s="992">
        <f t="shared" si="126"/>
        <v>0.5</v>
      </c>
      <c r="AK93" s="992">
        <f t="shared" si="126"/>
        <v>0.5</v>
      </c>
      <c r="AL93" s="992">
        <f t="shared" si="126"/>
        <v>0.5</v>
      </c>
      <c r="AM93" s="992">
        <f t="shared" si="126"/>
        <v>0.5</v>
      </c>
      <c r="AN93" s="992">
        <f t="shared" si="126"/>
        <v>0.5</v>
      </c>
      <c r="AO93" s="992">
        <f t="shared" si="126"/>
        <v>0.5</v>
      </c>
      <c r="AP93" s="992">
        <f t="shared" si="126"/>
        <v>0.5</v>
      </c>
      <c r="AQ93" s="992">
        <f t="shared" si="126"/>
        <v>0.5</v>
      </c>
    </row>
    <row r="94" spans="2:43" collapsed="1">
      <c r="B94" s="1025"/>
      <c r="C94" s="967"/>
      <c r="D94" s="967"/>
      <c r="E94" s="967"/>
      <c r="F94" s="967"/>
      <c r="G94" s="967"/>
      <c r="H94" s="967"/>
      <c r="I94" s="967"/>
      <c r="J94" s="967"/>
      <c r="K94" s="968"/>
      <c r="L94" s="967"/>
      <c r="M94" s="967"/>
      <c r="N94" s="967"/>
      <c r="O94" s="967"/>
      <c r="P94" s="967"/>
      <c r="Q94" s="967"/>
      <c r="R94" s="967"/>
      <c r="S94" s="967"/>
      <c r="T94" s="967"/>
      <c r="U94" s="967"/>
      <c r="V94" s="967"/>
      <c r="W94" s="967"/>
      <c r="X94" s="967"/>
      <c r="Y94" s="967"/>
      <c r="Z94" s="967"/>
      <c r="AA94" s="967"/>
      <c r="AB94" s="967"/>
      <c r="AC94" s="967"/>
      <c r="AD94" s="967"/>
      <c r="AE94" s="967"/>
      <c r="AF94" s="967"/>
      <c r="AG94" s="967"/>
      <c r="AH94" s="967"/>
      <c r="AI94" s="967"/>
      <c r="AJ94" s="967"/>
      <c r="AK94" s="967"/>
      <c r="AL94" s="967"/>
      <c r="AM94" s="967"/>
      <c r="AN94" s="967"/>
      <c r="AO94" s="967"/>
      <c r="AP94" s="967"/>
      <c r="AQ94" s="967"/>
    </row>
    <row r="95" spans="2:43">
      <c r="B95" s="1025" t="s">
        <v>595</v>
      </c>
      <c r="C95" s="967"/>
      <c r="D95" s="967"/>
      <c r="E95" s="967"/>
      <c r="F95" s="967"/>
      <c r="G95" s="967"/>
      <c r="H95" s="967"/>
      <c r="I95" s="967"/>
      <c r="J95" s="967"/>
      <c r="K95" s="968"/>
      <c r="L95" s="967"/>
      <c r="M95" s="967"/>
      <c r="N95" s="967"/>
      <c r="O95" s="967"/>
      <c r="P95" s="967"/>
      <c r="Q95" s="976">
        <f>Q85*Q89*Q$93</f>
        <v>831.51856900849361</v>
      </c>
      <c r="R95" s="976">
        <f t="shared" ref="R95:AE95" si="127">R85*R89*R$93</f>
        <v>1036.1771917739929</v>
      </c>
      <c r="S95" s="976">
        <f t="shared" si="127"/>
        <v>1241.8719091410228</v>
      </c>
      <c r="T95" s="976">
        <f t="shared" si="127"/>
        <v>1342.6481832659797</v>
      </c>
      <c r="U95" s="976">
        <f t="shared" si="127"/>
        <v>1379.1316414519697</v>
      </c>
      <c r="V95" s="976">
        <f t="shared" si="127"/>
        <v>1428.5608572105134</v>
      </c>
      <c r="W95" s="976">
        <f t="shared" si="127"/>
        <v>1519.0606734198532</v>
      </c>
      <c r="X95" s="976">
        <f t="shared" si="127"/>
        <v>1663.6798469387752</v>
      </c>
      <c r="Y95" s="976">
        <f t="shared" si="127"/>
        <v>1974.6964285714282</v>
      </c>
      <c r="Z95" s="976">
        <f t="shared" si="127"/>
        <v>2313.63</v>
      </c>
      <c r="AA95" s="976">
        <f t="shared" si="127"/>
        <v>2502.4951875000002</v>
      </c>
      <c r="AB95" s="976">
        <f t="shared" si="127"/>
        <v>2478.6262771875004</v>
      </c>
      <c r="AC95" s="976">
        <f t="shared" si="127"/>
        <v>2523.3847476750002</v>
      </c>
      <c r="AD95" s="976">
        <f t="shared" si="127"/>
        <v>1833.1475834553753</v>
      </c>
      <c r="AE95" s="976">
        <f t="shared" si="127"/>
        <v>1064.3589789871501</v>
      </c>
      <c r="AF95" s="976">
        <f t="shared" ref="AF95:AG95" si="128">AF85*AF89*AF$93</f>
        <v>459.80709032563601</v>
      </c>
      <c r="AG95" s="976">
        <f t="shared" si="128"/>
        <v>238.8188887462311</v>
      </c>
      <c r="AH95" s="976">
        <f t="shared" ref="AH95:AQ95" si="129">AH85*AH89*AH$93</f>
        <v>169.49507242961681</v>
      </c>
      <c r="AI95" s="976">
        <f t="shared" si="129"/>
        <v>131.64891242135988</v>
      </c>
      <c r="AJ95" s="976">
        <f t="shared" si="129"/>
        <v>129.69855816326566</v>
      </c>
      <c r="AK95" s="976">
        <f t="shared" si="129"/>
        <v>134.39159809680493</v>
      </c>
      <c r="AL95" s="976">
        <f t="shared" si="129"/>
        <v>141.11117800164519</v>
      </c>
      <c r="AM95" s="976">
        <f t="shared" si="129"/>
        <v>148.16673690172743</v>
      </c>
      <c r="AN95" s="976">
        <f t="shared" si="129"/>
        <v>103.71671583120921</v>
      </c>
      <c r="AO95" s="976">
        <f t="shared" si="129"/>
        <v>54.451275811384839</v>
      </c>
      <c r="AP95" s="976">
        <f t="shared" si="129"/>
        <v>0</v>
      </c>
      <c r="AQ95" s="976">
        <f t="shared" si="129"/>
        <v>0</v>
      </c>
    </row>
    <row r="96" spans="2:43">
      <c r="B96" s="1025" t="s">
        <v>596</v>
      </c>
      <c r="C96" s="967"/>
      <c r="D96" s="967"/>
      <c r="E96" s="967"/>
      <c r="F96" s="967"/>
      <c r="G96" s="967"/>
      <c r="H96" s="967"/>
      <c r="I96" s="967"/>
      <c r="J96" s="967"/>
      <c r="K96" s="968"/>
      <c r="L96" s="967"/>
      <c r="M96" s="967"/>
      <c r="N96" s="967"/>
      <c r="O96" s="967"/>
      <c r="P96" s="967"/>
      <c r="Q96" s="976">
        <f t="shared" ref="Q96:AE97" si="130">Q86*Q90*Q$93</f>
        <v>693.75804327287915</v>
      </c>
      <c r="R96" s="976">
        <f t="shared" si="130"/>
        <v>829.61899341381798</v>
      </c>
      <c r="S96" s="976">
        <f t="shared" si="130"/>
        <v>947.54340747763899</v>
      </c>
      <c r="T96" s="976">
        <f t="shared" si="130"/>
        <v>1045.9421459464706</v>
      </c>
      <c r="U96" s="976">
        <f t="shared" si="130"/>
        <v>1284.9772813718801</v>
      </c>
      <c r="V96" s="976">
        <f t="shared" si="130"/>
        <v>1601.2440377524438</v>
      </c>
      <c r="W96" s="976">
        <f t="shared" si="130"/>
        <v>1919.1119105409148</v>
      </c>
      <c r="X96" s="976">
        <f t="shared" si="130"/>
        <v>2084.9665178571427</v>
      </c>
      <c r="Y96" s="976">
        <f t="shared" si="130"/>
        <v>2340.1125000000002</v>
      </c>
      <c r="Z96" s="976">
        <f t="shared" si="130"/>
        <v>2648.6459999999997</v>
      </c>
      <c r="AA96" s="976">
        <f t="shared" si="130"/>
        <v>2953.8258750000005</v>
      </c>
      <c r="AB96" s="976">
        <f t="shared" si="130"/>
        <v>3080.6156535000009</v>
      </c>
      <c r="AC96" s="976">
        <f t="shared" si="130"/>
        <v>3775.2394818600001</v>
      </c>
      <c r="AD96" s="976">
        <f t="shared" si="130"/>
        <v>4166.510777040151</v>
      </c>
      <c r="AE96" s="976">
        <f t="shared" si="130"/>
        <v>4553.6111845989199</v>
      </c>
      <c r="AF96" s="976">
        <f t="shared" ref="AF96:AG96" si="131">AF86*AF90*AF$93</f>
        <v>4667.2876652504174</v>
      </c>
      <c r="AG96" s="976">
        <f t="shared" si="131"/>
        <v>4314.5138376147806</v>
      </c>
      <c r="AH96" s="976">
        <f t="shared" ref="AH96:AQ96" si="132">AH86*AH90*AH$93</f>
        <v>3119.4832828073677</v>
      </c>
      <c r="AI96" s="976">
        <f t="shared" si="132"/>
        <v>1811.2289876834998</v>
      </c>
      <c r="AJ96" s="976">
        <f t="shared" si="132"/>
        <v>782.45774891917517</v>
      </c>
      <c r="AK96" s="976">
        <f t="shared" si="132"/>
        <v>406.40019264473807</v>
      </c>
      <c r="AL96" s="976">
        <f t="shared" si="132"/>
        <v>288.43124783536274</v>
      </c>
      <c r="AM96" s="976">
        <f t="shared" si="132"/>
        <v>224.02810619541185</v>
      </c>
      <c r="AN96" s="976">
        <f t="shared" si="132"/>
        <v>220.70917128881317</v>
      </c>
      <c r="AO96" s="976">
        <f t="shared" si="132"/>
        <v>228.69535840781634</v>
      </c>
      <c r="AP96" s="976">
        <f t="shared" si="132"/>
        <v>240.13012632820718</v>
      </c>
      <c r="AQ96" s="976">
        <f t="shared" si="132"/>
        <v>252.13663264461758</v>
      </c>
    </row>
    <row r="97" spans="2:43">
      <c r="B97" s="1025" t="s">
        <v>597</v>
      </c>
      <c r="C97" s="967"/>
      <c r="D97" s="967"/>
      <c r="E97" s="967"/>
      <c r="F97" s="967"/>
      <c r="G97" s="967"/>
      <c r="H97" s="967"/>
      <c r="I97" s="967"/>
      <c r="J97" s="967"/>
      <c r="K97" s="968"/>
      <c r="L97" s="967"/>
      <c r="M97" s="967"/>
      <c r="N97" s="967"/>
      <c r="O97" s="967"/>
      <c r="P97" s="967"/>
      <c r="Q97" s="976">
        <f t="shared" si="130"/>
        <v>0</v>
      </c>
      <c r="R97" s="976">
        <f t="shared" si="130"/>
        <v>0</v>
      </c>
      <c r="S97" s="976">
        <f t="shared" si="130"/>
        <v>0</v>
      </c>
      <c r="T97" s="976">
        <f t="shared" si="130"/>
        <v>0</v>
      </c>
      <c r="U97" s="976">
        <f t="shared" si="130"/>
        <v>0</v>
      </c>
      <c r="V97" s="976">
        <f t="shared" si="130"/>
        <v>0</v>
      </c>
      <c r="W97" s="976">
        <f t="shared" si="130"/>
        <v>689.61140281355256</v>
      </c>
      <c r="X97" s="976">
        <f t="shared" si="130"/>
        <v>828.68303571428567</v>
      </c>
      <c r="Y97" s="976">
        <f t="shared" si="130"/>
        <v>1034.1964285714284</v>
      </c>
      <c r="Z97" s="976">
        <f t="shared" si="130"/>
        <v>1247.4000000000001</v>
      </c>
      <c r="AA97" s="976">
        <f t="shared" si="130"/>
        <v>1607.2303499999998</v>
      </c>
      <c r="AB97" s="976">
        <f t="shared" si="130"/>
        <v>1916.5120424999998</v>
      </c>
      <c r="AC97" s="976">
        <f t="shared" si="130"/>
        <v>2591.3429209800001</v>
      </c>
      <c r="AD97" s="976">
        <f t="shared" si="130"/>
        <v>2883.6258339537003</v>
      </c>
      <c r="AE97" s="976">
        <f t="shared" si="130"/>
        <v>3034.2253707508053</v>
      </c>
      <c r="AF97" s="976">
        <f t="shared" ref="AF97:AG97" si="133">AF87*AF91*AF$93</f>
        <v>3219.6324260603001</v>
      </c>
      <c r="AG97" s="976">
        <f t="shared" si="133"/>
        <v>3507.0996069585422</v>
      </c>
      <c r="AH97" s="976">
        <f t="shared" ref="AH97:AQ97" si="134">AH87*AH91*AH$93</f>
        <v>3915.5683581548742</v>
      </c>
      <c r="AI97" s="976">
        <f t="shared" si="134"/>
        <v>4357.0914125824893</v>
      </c>
      <c r="AJ97" s="976">
        <f t="shared" si="134"/>
        <v>4785.8767962245047</v>
      </c>
      <c r="AK97" s="976">
        <f t="shared" si="134"/>
        <v>5230.5209979276469</v>
      </c>
      <c r="AL97" s="976">
        <f t="shared" si="134"/>
        <v>5361.0958746385031</v>
      </c>
      <c r="AM97" s="976">
        <f t="shared" si="134"/>
        <v>4955.8810158889783</v>
      </c>
      <c r="AN97" s="976">
        <f t="shared" si="134"/>
        <v>3583.2050985366159</v>
      </c>
      <c r="AO97" s="976">
        <f t="shared" si="134"/>
        <v>2080.4743462013917</v>
      </c>
      <c r="AP97" s="976">
        <f t="shared" si="134"/>
        <v>898.77275854271818</v>
      </c>
      <c r="AQ97" s="976">
        <f t="shared" si="134"/>
        <v>466.81296558203474</v>
      </c>
    </row>
    <row r="98" spans="2:43">
      <c r="B98" s="1025" t="s">
        <v>598</v>
      </c>
      <c r="C98" s="967"/>
      <c r="D98" s="967"/>
      <c r="E98" s="967"/>
      <c r="F98" s="967"/>
      <c r="G98" s="967"/>
      <c r="H98" s="967"/>
      <c r="I98" s="967"/>
      <c r="J98" s="967"/>
      <c r="K98" s="968"/>
      <c r="L98" s="967"/>
      <c r="M98" s="967"/>
      <c r="N98" s="967"/>
      <c r="O98" s="967"/>
      <c r="P98" s="967"/>
      <c r="Q98" s="976">
        <f>Q8*Q17*Q35*Q44</f>
        <v>934.48955352390487</v>
      </c>
      <c r="R98" s="976">
        <f t="shared" ref="R98:AE98" si="135">R8*R17*R35*R44</f>
        <v>989.78018544073598</v>
      </c>
      <c r="S98" s="976">
        <f t="shared" si="135"/>
        <v>1065.5026676798668</v>
      </c>
      <c r="T98" s="976">
        <f t="shared" si="135"/>
        <v>931.51240309094533</v>
      </c>
      <c r="U98" s="976">
        <f t="shared" si="135"/>
        <v>690.31261949281213</v>
      </c>
      <c r="V98" s="976">
        <f t="shared" si="135"/>
        <v>265.00003838815297</v>
      </c>
      <c r="W98" s="976">
        <f t="shared" si="135"/>
        <v>109.06683165630055</v>
      </c>
      <c r="X98" s="976">
        <f t="shared" si="135"/>
        <v>76.19047619047619</v>
      </c>
      <c r="Y98" s="976">
        <f t="shared" si="135"/>
        <v>57.142857142857146</v>
      </c>
      <c r="Z98" s="976">
        <f t="shared" si="135"/>
        <v>62.4</v>
      </c>
      <c r="AA98" s="976">
        <f t="shared" si="135"/>
        <v>52.5</v>
      </c>
      <c r="AB98" s="976">
        <f t="shared" si="135"/>
        <v>54.075000000000003</v>
      </c>
      <c r="AC98" s="976">
        <f t="shared" si="135"/>
        <v>55.697249999999997</v>
      </c>
      <c r="AD98" s="976">
        <f t="shared" si="135"/>
        <v>45.894534000000007</v>
      </c>
      <c r="AE98" s="976">
        <f t="shared" si="135"/>
        <v>47.271370019999999</v>
      </c>
      <c r="AF98" s="976">
        <f t="shared" ref="AF98:AG98" si="136">AF8*AF17*AF35*AF44</f>
        <v>0</v>
      </c>
      <c r="AG98" s="976">
        <f t="shared" si="136"/>
        <v>0</v>
      </c>
      <c r="AH98" s="976">
        <f t="shared" ref="AH98:AQ98" si="137">AH8*AH17*AH35*AH44</f>
        <v>0</v>
      </c>
      <c r="AI98" s="976">
        <f t="shared" si="137"/>
        <v>0</v>
      </c>
      <c r="AJ98" s="976">
        <f t="shared" si="137"/>
        <v>0</v>
      </c>
      <c r="AK98" s="976">
        <f t="shared" si="137"/>
        <v>0</v>
      </c>
      <c r="AL98" s="976">
        <f t="shared" si="137"/>
        <v>0</v>
      </c>
      <c r="AM98" s="976">
        <f t="shared" si="137"/>
        <v>0</v>
      </c>
      <c r="AN98" s="976">
        <f t="shared" si="137"/>
        <v>0</v>
      </c>
      <c r="AO98" s="976">
        <f t="shared" si="137"/>
        <v>0</v>
      </c>
      <c r="AP98" s="976">
        <f t="shared" si="137"/>
        <v>0</v>
      </c>
      <c r="AQ98" s="976">
        <f t="shared" si="137"/>
        <v>0</v>
      </c>
    </row>
    <row r="99" spans="2:43" s="961" customFormat="1" ht="12">
      <c r="B99" s="978" t="s">
        <v>599</v>
      </c>
      <c r="C99" s="978"/>
      <c r="D99" s="978"/>
      <c r="E99" s="978"/>
      <c r="F99" s="978"/>
      <c r="G99" s="978"/>
      <c r="H99" s="978"/>
      <c r="I99" s="978"/>
      <c r="J99" s="978"/>
      <c r="K99" s="979"/>
      <c r="L99" s="978"/>
      <c r="M99" s="978"/>
      <c r="N99" s="978"/>
      <c r="O99" s="978"/>
      <c r="P99" s="978"/>
      <c r="Q99" s="980">
        <f>SUM(Q95:Q98)</f>
        <v>2459.7661658052775</v>
      </c>
      <c r="R99" s="980">
        <f t="shared" ref="R99:AE99" si="138">SUM(R95:R98)</f>
        <v>2855.576370628547</v>
      </c>
      <c r="S99" s="980">
        <f t="shared" si="138"/>
        <v>3254.9179842985286</v>
      </c>
      <c r="T99" s="980">
        <f t="shared" si="138"/>
        <v>3320.1027323033959</v>
      </c>
      <c r="U99" s="980">
        <f t="shared" si="138"/>
        <v>3354.421542316662</v>
      </c>
      <c r="V99" s="980">
        <f t="shared" si="138"/>
        <v>3294.8049333511103</v>
      </c>
      <c r="W99" s="980">
        <f t="shared" si="138"/>
        <v>4236.8508184306211</v>
      </c>
      <c r="X99" s="980">
        <f t="shared" si="138"/>
        <v>4653.5198767006796</v>
      </c>
      <c r="Y99" s="980">
        <f t="shared" si="138"/>
        <v>5406.1482142857139</v>
      </c>
      <c r="Z99" s="980">
        <f t="shared" si="138"/>
        <v>6272.0759999999991</v>
      </c>
      <c r="AA99" s="980">
        <f t="shared" si="138"/>
        <v>7116.0514125000009</v>
      </c>
      <c r="AB99" s="980">
        <f t="shared" si="138"/>
        <v>7529.8289731875011</v>
      </c>
      <c r="AC99" s="980">
        <f t="shared" si="138"/>
        <v>8945.6644005149992</v>
      </c>
      <c r="AD99" s="980">
        <f t="shared" si="138"/>
        <v>8929.1787284492257</v>
      </c>
      <c r="AE99" s="980">
        <f t="shared" si="138"/>
        <v>8699.4669043568756</v>
      </c>
      <c r="AF99" s="980">
        <f t="shared" ref="AF99:AG99" si="139">SUM(AF95:AF98)</f>
        <v>8346.7271816363536</v>
      </c>
      <c r="AG99" s="980">
        <f t="shared" si="139"/>
        <v>8060.4323333195534</v>
      </c>
      <c r="AH99" s="980">
        <f t="shared" ref="AH99:AQ99" si="140">SUM(AH95:AH98)</f>
        <v>7204.5467133918592</v>
      </c>
      <c r="AI99" s="980">
        <f t="shared" si="140"/>
        <v>6299.969312687349</v>
      </c>
      <c r="AJ99" s="980">
        <f t="shared" si="140"/>
        <v>5698.0331033069451</v>
      </c>
      <c r="AK99" s="980">
        <f t="shared" si="140"/>
        <v>5771.31278866919</v>
      </c>
      <c r="AL99" s="980">
        <f t="shared" si="140"/>
        <v>5790.6383004755107</v>
      </c>
      <c r="AM99" s="980">
        <f t="shared" si="140"/>
        <v>5328.075858986118</v>
      </c>
      <c r="AN99" s="980">
        <f t="shared" si="140"/>
        <v>3907.6309856566381</v>
      </c>
      <c r="AO99" s="980">
        <f t="shared" si="140"/>
        <v>2363.6209804205928</v>
      </c>
      <c r="AP99" s="980">
        <f t="shared" si="140"/>
        <v>1138.9028848709254</v>
      </c>
      <c r="AQ99" s="980">
        <f t="shared" si="140"/>
        <v>718.94959822665237</v>
      </c>
    </row>
    <row r="100" spans="2:43" s="981" customFormat="1">
      <c r="B100" s="1026" t="s">
        <v>600</v>
      </c>
      <c r="C100" s="982"/>
      <c r="D100" s="982"/>
      <c r="E100" s="982"/>
      <c r="F100" s="982"/>
      <c r="G100" s="982"/>
      <c r="H100" s="982"/>
      <c r="I100" s="982"/>
      <c r="J100" s="982"/>
      <c r="K100" s="983"/>
      <c r="L100" s="982"/>
      <c r="M100" s="982"/>
      <c r="N100" s="982"/>
      <c r="O100" s="982"/>
      <c r="P100" s="982"/>
      <c r="Q100" s="982"/>
      <c r="R100" s="987">
        <v>2.5000000000000001E-2</v>
      </c>
      <c r="S100" s="987">
        <v>2.5000000000000001E-2</v>
      </c>
      <c r="T100" s="987">
        <v>2.5000000000000001E-2</v>
      </c>
      <c r="U100" s="987">
        <v>2.5000000000000001E-2</v>
      </c>
      <c r="V100" s="987">
        <v>2.5000000000000001E-2</v>
      </c>
      <c r="W100" s="987">
        <v>2.5000000000000001E-2</v>
      </c>
      <c r="X100" s="987">
        <v>0.03</v>
      </c>
      <c r="Y100" s="987">
        <v>0.12</v>
      </c>
      <c r="Z100" s="987">
        <v>0.12</v>
      </c>
      <c r="AA100" s="987">
        <v>7.4999999999999997E-2</v>
      </c>
      <c r="AB100" s="987">
        <v>7.0000000000000007E-2</v>
      </c>
      <c r="AC100" s="987">
        <v>0.06</v>
      </c>
      <c r="AD100" s="987">
        <v>5.5E-2</v>
      </c>
      <c r="AE100" s="987">
        <v>0.05</v>
      </c>
      <c r="AF100" s="987">
        <v>0.05</v>
      </c>
      <c r="AG100" s="987">
        <v>0.05</v>
      </c>
      <c r="AH100" s="987">
        <v>0.05</v>
      </c>
      <c r="AI100" s="987">
        <v>0.05</v>
      </c>
      <c r="AJ100" s="987">
        <v>0.05</v>
      </c>
      <c r="AK100" s="987">
        <v>0.05</v>
      </c>
      <c r="AL100" s="987">
        <v>0.05</v>
      </c>
      <c r="AM100" s="987">
        <v>0.05</v>
      </c>
      <c r="AN100" s="987">
        <v>0.05</v>
      </c>
      <c r="AO100" s="987">
        <v>0.05</v>
      </c>
      <c r="AP100" s="987">
        <v>0.05</v>
      </c>
      <c r="AQ100" s="987">
        <v>0.05</v>
      </c>
    </row>
    <row r="101" spans="2:43">
      <c r="B101" s="1025"/>
      <c r="C101" s="967"/>
      <c r="D101" s="967"/>
      <c r="E101" s="967"/>
      <c r="F101" s="967"/>
      <c r="G101" s="967"/>
      <c r="H101" s="967"/>
      <c r="I101" s="967"/>
      <c r="J101" s="967"/>
      <c r="K101" s="968"/>
      <c r="L101" s="967"/>
      <c r="M101" s="967"/>
      <c r="N101" s="967"/>
      <c r="O101" s="967"/>
      <c r="P101" s="967"/>
      <c r="Q101" s="967"/>
      <c r="R101" s="967"/>
      <c r="S101" s="967"/>
      <c r="T101" s="967"/>
      <c r="U101" s="967"/>
      <c r="V101" s="967"/>
      <c r="W101" s="967"/>
      <c r="X101" s="967"/>
      <c r="Y101" s="967"/>
      <c r="Z101" s="967"/>
      <c r="AA101" s="967"/>
      <c r="AB101" s="967"/>
      <c r="AC101" s="967"/>
      <c r="AD101" s="967"/>
      <c r="AE101" s="967"/>
      <c r="AF101" s="967"/>
      <c r="AG101" s="967"/>
      <c r="AH101" s="967"/>
      <c r="AI101" s="967"/>
      <c r="AJ101" s="967"/>
      <c r="AK101" s="967"/>
      <c r="AL101" s="967"/>
      <c r="AM101" s="967"/>
      <c r="AN101" s="967"/>
      <c r="AO101" s="967"/>
      <c r="AP101" s="967"/>
      <c r="AQ101" s="967"/>
    </row>
    <row r="102" spans="2:43" ht="12">
      <c r="B102" s="1024" t="s">
        <v>571</v>
      </c>
      <c r="C102" s="1015"/>
      <c r="D102" s="1015"/>
      <c r="E102" s="1015"/>
      <c r="F102" s="1015"/>
      <c r="G102" s="1015"/>
      <c r="H102" s="1015"/>
      <c r="I102" s="1015"/>
      <c r="J102" s="1015"/>
      <c r="K102" s="1016"/>
      <c r="L102" s="1015"/>
      <c r="M102" s="1015"/>
      <c r="N102" s="1015"/>
      <c r="O102" s="1015"/>
      <c r="P102" s="1015"/>
      <c r="Q102" s="1015"/>
      <c r="R102" s="1015"/>
      <c r="S102" s="1015"/>
      <c r="T102" s="1015"/>
      <c r="U102" s="1015"/>
      <c r="V102" s="1015"/>
      <c r="W102" s="1015"/>
      <c r="X102" s="1015"/>
      <c r="Y102" s="1015"/>
      <c r="Z102" s="1015"/>
      <c r="AA102" s="1015"/>
      <c r="AB102" s="1015"/>
      <c r="AC102" s="1015"/>
      <c r="AD102" s="1015"/>
      <c r="AE102" s="1015"/>
      <c r="AF102" s="1015"/>
      <c r="AG102" s="1015"/>
      <c r="AH102" s="1015"/>
      <c r="AI102" s="1015"/>
      <c r="AJ102" s="1015"/>
      <c r="AK102" s="1015"/>
      <c r="AL102" s="1015"/>
      <c r="AM102" s="1015"/>
      <c r="AN102" s="1015"/>
      <c r="AO102" s="1015"/>
      <c r="AP102" s="1015"/>
      <c r="AQ102" s="1015"/>
    </row>
    <row r="103" spans="2:43" hidden="1" outlineLevel="1">
      <c r="B103" s="1025" t="s">
        <v>588</v>
      </c>
      <c r="C103" s="976"/>
      <c r="D103" s="976"/>
      <c r="E103" s="976"/>
      <c r="F103" s="976"/>
      <c r="G103" s="976"/>
      <c r="H103" s="976"/>
      <c r="I103" s="976"/>
      <c r="J103" s="976"/>
      <c r="K103" s="988"/>
      <c r="L103" s="976"/>
      <c r="M103" s="976">
        <f t="shared" ref="M103:Z103" si="141">E9*0.33+D9*0.33+C9*0.33</f>
        <v>0</v>
      </c>
      <c r="N103" s="976">
        <f t="shared" si="141"/>
        <v>0</v>
      </c>
      <c r="O103" s="976">
        <f t="shared" si="141"/>
        <v>0</v>
      </c>
      <c r="P103" s="976">
        <f t="shared" si="141"/>
        <v>0</v>
      </c>
      <c r="Q103" s="976">
        <f t="shared" si="141"/>
        <v>0</v>
      </c>
      <c r="R103" s="976">
        <f t="shared" si="141"/>
        <v>0</v>
      </c>
      <c r="S103" s="976">
        <f t="shared" si="141"/>
        <v>0</v>
      </c>
      <c r="T103" s="976">
        <f t="shared" si="141"/>
        <v>0</v>
      </c>
      <c r="U103" s="976">
        <f t="shared" si="141"/>
        <v>0</v>
      </c>
      <c r="V103" s="976">
        <f t="shared" si="141"/>
        <v>0</v>
      </c>
      <c r="W103" s="976">
        <f t="shared" si="141"/>
        <v>0</v>
      </c>
      <c r="X103" s="976">
        <f t="shared" si="141"/>
        <v>0</v>
      </c>
      <c r="Y103" s="976">
        <f t="shared" si="141"/>
        <v>0</v>
      </c>
      <c r="Z103" s="976">
        <f t="shared" si="141"/>
        <v>0</v>
      </c>
      <c r="AA103" s="976">
        <f>(U9*0.33+T9*0.33+S9*0.33)*0.6</f>
        <v>327.49199999999996</v>
      </c>
      <c r="AB103" s="976">
        <f t="shared" ref="AB103" si="142">(V9*0.33+U9*0.33+T9*0.33)*0.6</f>
        <v>655.97399999999993</v>
      </c>
      <c r="AC103" s="976">
        <f>(W9*0.33+V9*0.33+U9*0.33)*0.7</f>
        <v>847.53899999999999</v>
      </c>
      <c r="AD103" s="977">
        <f>(X9*0.33+W9*0.33+V9*0.33)</f>
        <v>1120.6799999999998</v>
      </c>
      <c r="AE103" s="977">
        <f>(Y9*0.33+X9*0.33+W9*0.33)*1.2</f>
        <v>1107.2160000000001</v>
      </c>
      <c r="AF103" s="977">
        <f>(Z9*0.33+Y9*0.33+X9*0.33)</f>
        <v>1171.83</v>
      </c>
      <c r="AG103" s="977">
        <f t="shared" ref="AG103:AQ103" si="143">(AA9*0.33+Z9*0.33+Y9*0.33)</f>
        <v>1420.98</v>
      </c>
      <c r="AH103" s="977">
        <f t="shared" si="143"/>
        <v>1653.2999999999997</v>
      </c>
      <c r="AI103" s="977">
        <f t="shared" si="143"/>
        <v>1815.2639999999999</v>
      </c>
      <c r="AJ103" s="977">
        <f t="shared" si="143"/>
        <v>2035.3343999999997</v>
      </c>
      <c r="AK103" s="977">
        <f t="shared" si="143"/>
        <v>2251.0118400000001</v>
      </c>
      <c r="AL103" s="977">
        <f t="shared" si="143"/>
        <v>2410.32528</v>
      </c>
      <c r="AM103" s="977">
        <f t="shared" si="143"/>
        <v>2518.1323200000002</v>
      </c>
      <c r="AN103" s="977">
        <f t="shared" si="143"/>
        <v>2567.6323200000002</v>
      </c>
      <c r="AO103" s="977">
        <f t="shared" si="143"/>
        <v>2617.1323200000002</v>
      </c>
      <c r="AP103" s="977">
        <f t="shared" si="143"/>
        <v>2586.2548800000004</v>
      </c>
      <c r="AQ103" s="977">
        <f t="shared" si="143"/>
        <v>2439.8774400000002</v>
      </c>
    </row>
    <row r="104" spans="2:43" hidden="1" outlineLevel="1">
      <c r="B104" s="1025" t="s">
        <v>589</v>
      </c>
      <c r="C104" s="976"/>
      <c r="D104" s="976"/>
      <c r="E104" s="976"/>
      <c r="F104" s="976"/>
      <c r="G104" s="976"/>
      <c r="H104" s="976"/>
      <c r="I104" s="976"/>
      <c r="J104" s="976"/>
      <c r="K104" s="988"/>
      <c r="L104" s="976"/>
      <c r="M104" s="976"/>
      <c r="N104" s="976"/>
      <c r="O104" s="976"/>
      <c r="P104" s="976"/>
      <c r="Q104" s="976">
        <f t="shared" ref="Q104:AH104" si="144">E9*0.33+D9*0.33+C9*0.33</f>
        <v>0</v>
      </c>
      <c r="R104" s="976">
        <f t="shared" si="144"/>
        <v>0</v>
      </c>
      <c r="S104" s="976">
        <f t="shared" si="144"/>
        <v>0</v>
      </c>
      <c r="T104" s="976">
        <f t="shared" si="144"/>
        <v>0</v>
      </c>
      <c r="U104" s="976">
        <f t="shared" si="144"/>
        <v>0</v>
      </c>
      <c r="V104" s="976">
        <f t="shared" si="144"/>
        <v>0</v>
      </c>
      <c r="W104" s="976">
        <f t="shared" si="144"/>
        <v>0</v>
      </c>
      <c r="X104" s="976">
        <f t="shared" si="144"/>
        <v>0</v>
      </c>
      <c r="Y104" s="976">
        <f t="shared" si="144"/>
        <v>0</v>
      </c>
      <c r="Z104" s="976">
        <f t="shared" si="144"/>
        <v>0</v>
      </c>
      <c r="AA104" s="976">
        <f t="shared" si="144"/>
        <v>0</v>
      </c>
      <c r="AB104" s="976">
        <f t="shared" si="144"/>
        <v>0</v>
      </c>
      <c r="AC104" s="976">
        <f t="shared" si="144"/>
        <v>0</v>
      </c>
      <c r="AD104" s="976">
        <f t="shared" si="144"/>
        <v>0</v>
      </c>
      <c r="AE104" s="976">
        <f t="shared" si="144"/>
        <v>25.41</v>
      </c>
      <c r="AF104" s="976">
        <f t="shared" si="144"/>
        <v>176.88</v>
      </c>
      <c r="AG104" s="976">
        <f t="shared" si="144"/>
        <v>545.81999999999994</v>
      </c>
      <c r="AH104" s="976">
        <f t="shared" si="144"/>
        <v>1093.29</v>
      </c>
      <c r="AI104" s="976">
        <f t="shared" ref="AI104" si="145">W9*0.33+V9*0.33+U9*0.33</f>
        <v>1210.77</v>
      </c>
      <c r="AJ104" s="976">
        <f t="shared" ref="AJ104" si="146">X9*0.33+W9*0.33+V9*0.33</f>
        <v>1120.6799999999998</v>
      </c>
      <c r="AK104" s="976">
        <f t="shared" ref="AK104" si="147">Y9*0.33+X9*0.33+W9*0.33</f>
        <v>922.68000000000006</v>
      </c>
      <c r="AL104" s="976">
        <f t="shared" ref="AL104" si="148">Z9*0.33+Y9*0.33+X9*0.33</f>
        <v>1171.83</v>
      </c>
      <c r="AM104" s="976">
        <f t="shared" ref="AM104" si="149">AA9*0.33+Z9*0.33+Y9*0.33</f>
        <v>1420.98</v>
      </c>
      <c r="AN104" s="976">
        <f t="shared" ref="AN104" si="150">AB9*0.33+AA9*0.33+Z9*0.33</f>
        <v>1653.2999999999997</v>
      </c>
      <c r="AO104" s="976">
        <f t="shared" ref="AO104" si="151">AC9*0.33+AB9*0.33+AA9*0.33</f>
        <v>1815.2639999999999</v>
      </c>
      <c r="AP104" s="976">
        <f t="shared" ref="AP104" si="152">AD9*0.33+AC9*0.33+AB9*0.33</f>
        <v>2035.3343999999997</v>
      </c>
      <c r="AQ104" s="976">
        <f t="shared" ref="AQ104" si="153">AE9*0.33+AD9*0.33+AC9*0.33</f>
        <v>2251.0118400000001</v>
      </c>
    </row>
    <row r="105" spans="2:43" hidden="1" outlineLevel="1">
      <c r="B105" s="1025" t="s">
        <v>590</v>
      </c>
      <c r="C105" s="976"/>
      <c r="D105" s="976"/>
      <c r="E105" s="976"/>
      <c r="F105" s="976"/>
      <c r="G105" s="976"/>
      <c r="H105" s="976"/>
      <c r="I105" s="976"/>
      <c r="J105" s="976"/>
      <c r="K105" s="988"/>
      <c r="L105" s="976"/>
      <c r="M105" s="976"/>
      <c r="N105" s="976"/>
      <c r="O105" s="976"/>
      <c r="P105" s="976"/>
      <c r="Q105" s="976"/>
      <c r="R105" s="976"/>
      <c r="S105" s="976"/>
      <c r="T105" s="976"/>
      <c r="U105" s="976"/>
      <c r="V105" s="976"/>
      <c r="W105" s="976">
        <f>E9*0.33+D9*0.33+C9*0.33</f>
        <v>0</v>
      </c>
      <c r="X105" s="976">
        <f t="shared" ref="X105:AH105" si="154">F9*0.33+E9*0.33+D9*0.33</f>
        <v>0</v>
      </c>
      <c r="Y105" s="976">
        <f t="shared" si="154"/>
        <v>0</v>
      </c>
      <c r="Z105" s="976">
        <f t="shared" si="154"/>
        <v>0</v>
      </c>
      <c r="AA105" s="976">
        <f t="shared" si="154"/>
        <v>0</v>
      </c>
      <c r="AB105" s="976">
        <f t="shared" si="154"/>
        <v>0</v>
      </c>
      <c r="AC105" s="976">
        <f t="shared" si="154"/>
        <v>0</v>
      </c>
      <c r="AD105" s="976">
        <f t="shared" si="154"/>
        <v>0</v>
      </c>
      <c r="AE105" s="976">
        <f t="shared" si="154"/>
        <v>0</v>
      </c>
      <c r="AF105" s="976">
        <f t="shared" si="154"/>
        <v>0</v>
      </c>
      <c r="AG105" s="976">
        <f t="shared" si="154"/>
        <v>0</v>
      </c>
      <c r="AH105" s="976">
        <f t="shared" si="154"/>
        <v>0</v>
      </c>
      <c r="AI105" s="976">
        <f t="shared" ref="AI105" si="155">Q9*0.33+P9*0.33+O9*0.33</f>
        <v>0</v>
      </c>
      <c r="AJ105" s="976">
        <f t="shared" ref="AJ105" si="156">R9*0.33+Q9*0.33+P9*0.33</f>
        <v>0</v>
      </c>
      <c r="AK105" s="976">
        <f t="shared" ref="AK105" si="157">S9*0.33+R9*0.33+Q9*0.33</f>
        <v>25.41</v>
      </c>
      <c r="AL105" s="976">
        <f t="shared" ref="AL105" si="158">T9*0.33+S9*0.33+R9*0.33</f>
        <v>176.88</v>
      </c>
      <c r="AM105" s="976">
        <f t="shared" ref="AM105" si="159">U9*0.33+T9*0.33+S9*0.33</f>
        <v>545.81999999999994</v>
      </c>
      <c r="AN105" s="976">
        <f t="shared" ref="AN105" si="160">V9*0.33+U9*0.33+T9*0.33</f>
        <v>1093.29</v>
      </c>
      <c r="AO105" s="976">
        <f t="shared" ref="AO105" si="161">W9*0.33+V9*0.33+U9*0.33</f>
        <v>1210.77</v>
      </c>
      <c r="AP105" s="976">
        <f t="shared" ref="AP105" si="162">X9*0.33+W9*0.33+V9*0.33</f>
        <v>1120.6799999999998</v>
      </c>
      <c r="AQ105" s="976">
        <f t="shared" ref="AQ105" si="163">Y9*0.33+X9*0.33+W9*0.33</f>
        <v>922.68000000000006</v>
      </c>
    </row>
    <row r="106" spans="2:43" hidden="1" outlineLevel="1">
      <c r="B106" s="1025"/>
      <c r="C106" s="967"/>
      <c r="D106" s="967"/>
      <c r="E106" s="967"/>
      <c r="F106" s="967"/>
      <c r="G106" s="967"/>
      <c r="H106" s="967"/>
      <c r="I106" s="967"/>
      <c r="J106" s="967"/>
      <c r="K106" s="968"/>
      <c r="L106" s="967"/>
      <c r="M106" s="967"/>
      <c r="N106" s="967"/>
      <c r="O106" s="967"/>
      <c r="P106" s="967"/>
      <c r="Q106" s="967"/>
      <c r="R106" s="967"/>
      <c r="S106" s="967"/>
      <c r="T106" s="967"/>
      <c r="U106" s="967"/>
      <c r="V106" s="967"/>
      <c r="W106" s="967"/>
      <c r="X106" s="967"/>
      <c r="Y106" s="967"/>
      <c r="Z106" s="967"/>
      <c r="AA106" s="967"/>
      <c r="AB106" s="967"/>
      <c r="AC106" s="967"/>
      <c r="AD106" s="967"/>
      <c r="AE106" s="967"/>
      <c r="AF106" s="967"/>
      <c r="AG106" s="967"/>
      <c r="AH106" s="967"/>
      <c r="AI106" s="967"/>
      <c r="AJ106" s="967"/>
      <c r="AK106" s="967"/>
      <c r="AL106" s="967"/>
      <c r="AM106" s="967"/>
      <c r="AN106" s="967"/>
      <c r="AO106" s="967"/>
      <c r="AP106" s="967"/>
      <c r="AQ106" s="967"/>
    </row>
    <row r="107" spans="2:43" hidden="1" outlineLevel="1">
      <c r="B107" s="1025" t="s">
        <v>591</v>
      </c>
      <c r="C107" s="967"/>
      <c r="D107" s="967"/>
      <c r="E107" s="967"/>
      <c r="F107" s="967"/>
      <c r="G107" s="967"/>
      <c r="H107" s="967"/>
      <c r="I107" s="967"/>
      <c r="J107" s="967"/>
      <c r="K107" s="968"/>
      <c r="L107" s="967"/>
      <c r="M107" s="967"/>
      <c r="N107" s="967"/>
      <c r="O107" s="967"/>
      <c r="P107" s="967"/>
      <c r="Q107" s="989">
        <f t="shared" ref="Q107:Y109" si="164">R107/(1+R$118)</f>
        <v>3.3369795251220733</v>
      </c>
      <c r="R107" s="989">
        <f t="shared" si="164"/>
        <v>3.420404013250125</v>
      </c>
      <c r="S107" s="989">
        <f t="shared" si="164"/>
        <v>3.5059141135813778</v>
      </c>
      <c r="T107" s="989">
        <f t="shared" si="164"/>
        <v>3.593561966420912</v>
      </c>
      <c r="U107" s="989">
        <f t="shared" si="164"/>
        <v>3.6834010155814343</v>
      </c>
      <c r="V107" s="989">
        <f t="shared" si="164"/>
        <v>3.7754860409709696</v>
      </c>
      <c r="W107" s="989">
        <f t="shared" si="164"/>
        <v>3.8698731919952434</v>
      </c>
      <c r="X107" s="989">
        <f t="shared" si="164"/>
        <v>3.9859693877551008</v>
      </c>
      <c r="Y107" s="989">
        <f>Z107/(1+Z$118)</f>
        <v>4.4642857142857135</v>
      </c>
      <c r="Z107" s="990">
        <v>5</v>
      </c>
      <c r="AA107" s="989">
        <f t="shared" ref="AA107:AH109" si="165">Z107*(1+AA$118)</f>
        <v>5.375</v>
      </c>
      <c r="AB107" s="989">
        <f t="shared" si="165"/>
        <v>5.7512500000000006</v>
      </c>
      <c r="AC107" s="989">
        <f t="shared" si="165"/>
        <v>6.0388125000000006</v>
      </c>
      <c r="AD107" s="989">
        <f t="shared" si="165"/>
        <v>6.3407531250000009</v>
      </c>
      <c r="AE107" s="989">
        <f t="shared" si="165"/>
        <v>6.657790781250001</v>
      </c>
      <c r="AF107" s="989">
        <f t="shared" si="165"/>
        <v>6.9241024125000017</v>
      </c>
      <c r="AG107" s="989">
        <f t="shared" si="165"/>
        <v>7.2010665090000021</v>
      </c>
      <c r="AH107" s="989">
        <f t="shared" si="165"/>
        <v>7.4891091693600025</v>
      </c>
      <c r="AI107" s="989">
        <f t="shared" ref="AI107:AI109" si="166">AH107*(1+AI$118)</f>
        <v>7.7886735361344028</v>
      </c>
      <c r="AJ107" s="989">
        <f t="shared" ref="AJ107:AJ109" si="167">AI107*(1+AJ$118)</f>
        <v>8.1002204775797786</v>
      </c>
      <c r="AK107" s="989">
        <f t="shared" ref="AK107:AK109" si="168">AJ107*(1+AK$118)</f>
        <v>8.4242292966829702</v>
      </c>
      <c r="AL107" s="989">
        <f t="shared" ref="AL107:AL109" si="169">AK107*(1+AL$118)</f>
        <v>8.7611984685502886</v>
      </c>
      <c r="AM107" s="989">
        <f t="shared" ref="AM107:AM109" si="170">AL107*(1+AM$118)</f>
        <v>9.1116464072922998</v>
      </c>
      <c r="AN107" s="989">
        <f t="shared" ref="AN107:AN109" si="171">AM107*(1+AN$118)</f>
        <v>9.4761122635839925</v>
      </c>
      <c r="AO107" s="989">
        <f t="shared" ref="AO107:AO109" si="172">AN107*(1+AO$118)</f>
        <v>9.8551567541273517</v>
      </c>
      <c r="AP107" s="989">
        <f t="shared" ref="AP107:AP109" si="173">AO107*(1+AP$118)</f>
        <v>10.249363024292446</v>
      </c>
      <c r="AQ107" s="989">
        <f t="shared" ref="AQ107:AQ109" si="174">AP107*(1+AQ$118)</f>
        <v>10.659337545264144</v>
      </c>
    </row>
    <row r="108" spans="2:43" hidden="1" outlineLevel="1">
      <c r="B108" s="1025" t="s">
        <v>592</v>
      </c>
      <c r="C108" s="967"/>
      <c r="D108" s="967"/>
      <c r="E108" s="967"/>
      <c r="F108" s="967"/>
      <c r="G108" s="967"/>
      <c r="H108" s="967"/>
      <c r="I108" s="967"/>
      <c r="J108" s="967"/>
      <c r="K108" s="968"/>
      <c r="L108" s="967"/>
      <c r="M108" s="967"/>
      <c r="N108" s="967"/>
      <c r="O108" s="967"/>
      <c r="P108" s="967"/>
      <c r="Q108" s="989">
        <f t="shared" si="164"/>
        <v>4.6717713351709031</v>
      </c>
      <c r="R108" s="989">
        <f t="shared" si="164"/>
        <v>4.7885656185501757</v>
      </c>
      <c r="S108" s="989">
        <f t="shared" si="164"/>
        <v>4.9082797590139293</v>
      </c>
      <c r="T108" s="989">
        <f t="shared" si="164"/>
        <v>5.0309867529892767</v>
      </c>
      <c r="U108" s="989">
        <f t="shared" si="164"/>
        <v>5.1567614218140081</v>
      </c>
      <c r="V108" s="989">
        <f t="shared" si="164"/>
        <v>5.2856804573593577</v>
      </c>
      <c r="W108" s="989">
        <f t="shared" si="164"/>
        <v>5.4178224687933412</v>
      </c>
      <c r="X108" s="989">
        <f t="shared" si="164"/>
        <v>5.5803571428571415</v>
      </c>
      <c r="Y108" s="989">
        <f t="shared" si="164"/>
        <v>6.2499999999999991</v>
      </c>
      <c r="Z108" s="990">
        <v>7</v>
      </c>
      <c r="AA108" s="989">
        <f t="shared" si="165"/>
        <v>7.5249999999999995</v>
      </c>
      <c r="AB108" s="989">
        <f t="shared" si="165"/>
        <v>8.0517500000000002</v>
      </c>
      <c r="AC108" s="989">
        <f t="shared" si="165"/>
        <v>8.4543375000000012</v>
      </c>
      <c r="AD108" s="989">
        <f t="shared" si="165"/>
        <v>8.8770543750000019</v>
      </c>
      <c r="AE108" s="989">
        <f t="shared" si="165"/>
        <v>9.3209070937500016</v>
      </c>
      <c r="AF108" s="989">
        <f t="shared" si="165"/>
        <v>9.6937433775000024</v>
      </c>
      <c r="AG108" s="989">
        <f t="shared" si="165"/>
        <v>10.081493112600002</v>
      </c>
      <c r="AH108" s="989">
        <f t="shared" si="165"/>
        <v>10.484752837104002</v>
      </c>
      <c r="AI108" s="989">
        <f t="shared" si="166"/>
        <v>10.904142950588163</v>
      </c>
      <c r="AJ108" s="989">
        <f t="shared" si="167"/>
        <v>11.340308668611691</v>
      </c>
      <c r="AK108" s="989">
        <f t="shared" si="168"/>
        <v>11.793921015356158</v>
      </c>
      <c r="AL108" s="989">
        <f t="shared" si="169"/>
        <v>12.265677855970406</v>
      </c>
      <c r="AM108" s="989">
        <f t="shared" si="170"/>
        <v>12.756304970209223</v>
      </c>
      <c r="AN108" s="989">
        <f t="shared" si="171"/>
        <v>13.266557169017593</v>
      </c>
      <c r="AO108" s="989">
        <f t="shared" si="172"/>
        <v>13.797219455778297</v>
      </c>
      <c r="AP108" s="989">
        <f t="shared" si="173"/>
        <v>14.34910823400943</v>
      </c>
      <c r="AQ108" s="989">
        <f t="shared" si="174"/>
        <v>14.923072563369807</v>
      </c>
    </row>
    <row r="109" spans="2:43" hidden="1" outlineLevel="1">
      <c r="B109" s="1025" t="s">
        <v>593</v>
      </c>
      <c r="C109" s="967"/>
      <c r="D109" s="967"/>
      <c r="E109" s="967"/>
      <c r="F109" s="967"/>
      <c r="G109" s="967"/>
      <c r="H109" s="967"/>
      <c r="I109" s="967"/>
      <c r="J109" s="967"/>
      <c r="K109" s="968"/>
      <c r="L109" s="967"/>
      <c r="M109" s="967"/>
      <c r="N109" s="967"/>
      <c r="O109" s="967"/>
      <c r="P109" s="967"/>
      <c r="Q109" s="989">
        <f t="shared" si="164"/>
        <v>4.0043754301464887</v>
      </c>
      <c r="R109" s="989">
        <f t="shared" si="164"/>
        <v>4.1044848159001504</v>
      </c>
      <c r="S109" s="989">
        <f t="shared" si="164"/>
        <v>4.2070969362976536</v>
      </c>
      <c r="T109" s="989">
        <f t="shared" si="164"/>
        <v>4.3122743597050945</v>
      </c>
      <c r="U109" s="989">
        <f t="shared" si="164"/>
        <v>4.4200812186977219</v>
      </c>
      <c r="V109" s="989">
        <f t="shared" si="164"/>
        <v>4.5305832491651641</v>
      </c>
      <c r="W109" s="989">
        <f t="shared" si="164"/>
        <v>4.6438478303942929</v>
      </c>
      <c r="X109" s="989">
        <f t="shared" si="164"/>
        <v>4.783163265306122</v>
      </c>
      <c r="Y109" s="989">
        <f t="shared" si="164"/>
        <v>5.3571428571428568</v>
      </c>
      <c r="Z109" s="990">
        <v>6</v>
      </c>
      <c r="AA109" s="989">
        <f t="shared" si="165"/>
        <v>6.4499999999999993</v>
      </c>
      <c r="AB109" s="989">
        <f t="shared" si="165"/>
        <v>6.9014999999999995</v>
      </c>
      <c r="AC109" s="989">
        <f t="shared" si="165"/>
        <v>7.246575</v>
      </c>
      <c r="AD109" s="989">
        <f t="shared" si="165"/>
        <v>7.6089037500000005</v>
      </c>
      <c r="AE109" s="989">
        <f t="shared" si="165"/>
        <v>7.9893489375000009</v>
      </c>
      <c r="AF109" s="989">
        <f t="shared" si="165"/>
        <v>8.308922895000002</v>
      </c>
      <c r="AG109" s="989">
        <f t="shared" si="165"/>
        <v>8.6412798108000022</v>
      </c>
      <c r="AH109" s="989">
        <f t="shared" si="165"/>
        <v>8.9869310032320033</v>
      </c>
      <c r="AI109" s="989">
        <f t="shared" si="166"/>
        <v>9.3464082433612834</v>
      </c>
      <c r="AJ109" s="989">
        <f t="shared" si="167"/>
        <v>9.7202645730957347</v>
      </c>
      <c r="AK109" s="989">
        <f t="shared" si="168"/>
        <v>10.109075156019564</v>
      </c>
      <c r="AL109" s="989">
        <f t="shared" si="169"/>
        <v>10.513438162260346</v>
      </c>
      <c r="AM109" s="989">
        <f t="shared" si="170"/>
        <v>10.93397568875076</v>
      </c>
      <c r="AN109" s="989">
        <f t="shared" si="171"/>
        <v>11.37133471630079</v>
      </c>
      <c r="AO109" s="989">
        <f t="shared" si="172"/>
        <v>11.826188104952822</v>
      </c>
      <c r="AP109" s="989">
        <f t="shared" si="173"/>
        <v>12.299235629150935</v>
      </c>
      <c r="AQ109" s="989">
        <f t="shared" si="174"/>
        <v>12.791205054316974</v>
      </c>
    </row>
    <row r="110" spans="2:43" hidden="1" outlineLevel="1">
      <c r="B110" s="1025"/>
      <c r="C110" s="967"/>
      <c r="D110" s="967"/>
      <c r="E110" s="967"/>
      <c r="F110" s="967"/>
      <c r="G110" s="967"/>
      <c r="H110" s="967"/>
      <c r="I110" s="967"/>
      <c r="J110" s="967"/>
      <c r="K110" s="968"/>
      <c r="L110" s="967"/>
      <c r="M110" s="967"/>
      <c r="N110" s="967"/>
      <c r="O110" s="967"/>
      <c r="P110" s="967"/>
      <c r="Q110" s="991"/>
      <c r="R110" s="989"/>
      <c r="S110" s="989"/>
      <c r="T110" s="989"/>
      <c r="U110" s="989"/>
      <c r="V110" s="989"/>
      <c r="W110" s="989"/>
      <c r="X110" s="989"/>
      <c r="Y110" s="989"/>
      <c r="Z110" s="989"/>
      <c r="AA110" s="989"/>
      <c r="AB110" s="989"/>
      <c r="AC110" s="989"/>
      <c r="AD110" s="989"/>
      <c r="AE110" s="989"/>
      <c r="AF110" s="989"/>
      <c r="AG110" s="989"/>
      <c r="AH110" s="989"/>
      <c r="AI110" s="989"/>
      <c r="AJ110" s="989"/>
      <c r="AK110" s="989"/>
      <c r="AL110" s="989"/>
      <c r="AM110" s="989"/>
      <c r="AN110" s="989"/>
      <c r="AO110" s="989"/>
      <c r="AP110" s="989"/>
      <c r="AQ110" s="989"/>
    </row>
    <row r="111" spans="2:43" s="981" customFormat="1" hidden="1" outlineLevel="1">
      <c r="B111" s="1026" t="s">
        <v>594</v>
      </c>
      <c r="C111" s="982"/>
      <c r="D111" s="982"/>
      <c r="E111" s="982"/>
      <c r="F111" s="982"/>
      <c r="G111" s="982"/>
      <c r="H111" s="982"/>
      <c r="I111" s="982"/>
      <c r="J111" s="982"/>
      <c r="K111" s="983"/>
      <c r="L111" s="982"/>
      <c r="M111" s="982"/>
      <c r="N111" s="982"/>
      <c r="O111" s="992">
        <f t="shared" ref="O111:AA111" si="175">O36</f>
        <v>0.5</v>
      </c>
      <c r="P111" s="992">
        <f t="shared" si="175"/>
        <v>0.5</v>
      </c>
      <c r="Q111" s="992">
        <f t="shared" si="175"/>
        <v>0.5</v>
      </c>
      <c r="R111" s="992">
        <f t="shared" si="175"/>
        <v>0.5</v>
      </c>
      <c r="S111" s="992">
        <f t="shared" si="175"/>
        <v>0.5</v>
      </c>
      <c r="T111" s="992">
        <f t="shared" si="175"/>
        <v>0.5</v>
      </c>
      <c r="U111" s="992">
        <f t="shared" si="175"/>
        <v>0.5</v>
      </c>
      <c r="V111" s="992">
        <f t="shared" si="175"/>
        <v>0.5</v>
      </c>
      <c r="W111" s="992">
        <f t="shared" si="175"/>
        <v>0.5</v>
      </c>
      <c r="X111" s="992">
        <f t="shared" si="175"/>
        <v>0.5</v>
      </c>
      <c r="Y111" s="992">
        <f t="shared" si="175"/>
        <v>0.5</v>
      </c>
      <c r="Z111" s="992">
        <f t="shared" si="175"/>
        <v>0.5</v>
      </c>
      <c r="AA111" s="992">
        <f t="shared" si="175"/>
        <v>0.5</v>
      </c>
      <c r="AB111" s="992">
        <f>AB36</f>
        <v>0.5</v>
      </c>
      <c r="AC111" s="992">
        <f t="shared" ref="AC111:AQ111" si="176">AC36</f>
        <v>0.5</v>
      </c>
      <c r="AD111" s="992">
        <f t="shared" si="176"/>
        <v>0.5</v>
      </c>
      <c r="AE111" s="992">
        <f t="shared" si="176"/>
        <v>0.5</v>
      </c>
      <c r="AF111" s="992">
        <f t="shared" si="176"/>
        <v>0.5</v>
      </c>
      <c r="AG111" s="992">
        <f t="shared" si="176"/>
        <v>0.5</v>
      </c>
      <c r="AH111" s="992">
        <f t="shared" si="176"/>
        <v>0.5</v>
      </c>
      <c r="AI111" s="992">
        <f t="shared" si="176"/>
        <v>0.5</v>
      </c>
      <c r="AJ111" s="992">
        <f t="shared" si="176"/>
        <v>0.5</v>
      </c>
      <c r="AK111" s="992">
        <f t="shared" si="176"/>
        <v>0.5</v>
      </c>
      <c r="AL111" s="992">
        <f t="shared" si="176"/>
        <v>0.5</v>
      </c>
      <c r="AM111" s="992">
        <f t="shared" si="176"/>
        <v>0.5</v>
      </c>
      <c r="AN111" s="992">
        <f t="shared" si="176"/>
        <v>0.5</v>
      </c>
      <c r="AO111" s="992">
        <f t="shared" si="176"/>
        <v>0.5</v>
      </c>
      <c r="AP111" s="992">
        <f t="shared" si="176"/>
        <v>0.5</v>
      </c>
      <c r="AQ111" s="992">
        <f t="shared" si="176"/>
        <v>0.5</v>
      </c>
    </row>
    <row r="112" spans="2:43" collapsed="1">
      <c r="B112" s="1025"/>
      <c r="C112" s="967"/>
      <c r="D112" s="967"/>
      <c r="E112" s="967"/>
      <c r="F112" s="967"/>
      <c r="G112" s="967"/>
      <c r="H112" s="967"/>
      <c r="I112" s="967"/>
      <c r="J112" s="967"/>
      <c r="K112" s="968"/>
      <c r="L112" s="967"/>
      <c r="M112" s="967"/>
      <c r="N112" s="967"/>
      <c r="O112" s="967"/>
      <c r="P112" s="967"/>
      <c r="Q112" s="967"/>
      <c r="R112" s="967"/>
      <c r="S112" s="967"/>
      <c r="T112" s="967"/>
      <c r="U112" s="967"/>
      <c r="V112" s="967"/>
      <c r="W112" s="967"/>
      <c r="X112" s="967"/>
      <c r="Y112" s="967"/>
      <c r="Z112" s="967"/>
      <c r="AA112" s="967"/>
      <c r="AB112" s="967"/>
      <c r="AC112" s="967"/>
      <c r="AD112" s="967"/>
      <c r="AE112" s="967"/>
      <c r="AF112" s="967"/>
      <c r="AG112" s="967"/>
      <c r="AH112" s="967"/>
      <c r="AI112" s="967"/>
      <c r="AJ112" s="967"/>
      <c r="AK112" s="967"/>
      <c r="AL112" s="967"/>
      <c r="AM112" s="967"/>
      <c r="AN112" s="967"/>
      <c r="AO112" s="967"/>
      <c r="AP112" s="967"/>
      <c r="AQ112" s="967"/>
    </row>
    <row r="113" spans="2:43">
      <c r="B113" s="1025" t="s">
        <v>595</v>
      </c>
      <c r="C113" s="967"/>
      <c r="D113" s="967"/>
      <c r="E113" s="967"/>
      <c r="F113" s="967"/>
      <c r="G113" s="967"/>
      <c r="H113" s="967"/>
      <c r="I113" s="967"/>
      <c r="J113" s="967"/>
      <c r="K113" s="968"/>
      <c r="L113" s="967"/>
      <c r="M113" s="967"/>
      <c r="N113" s="967"/>
      <c r="O113" s="967"/>
      <c r="P113" s="967"/>
      <c r="Q113" s="976">
        <f>Q103*Q107*Q$111</f>
        <v>0</v>
      </c>
      <c r="R113" s="976">
        <f t="shared" ref="R113:AE113" si="177">R103*R107*R$111</f>
        <v>0</v>
      </c>
      <c r="S113" s="976">
        <f t="shared" si="177"/>
        <v>0</v>
      </c>
      <c r="T113" s="976">
        <f t="shared" si="177"/>
        <v>0</v>
      </c>
      <c r="U113" s="976">
        <f t="shared" si="177"/>
        <v>0</v>
      </c>
      <c r="V113" s="976">
        <f t="shared" si="177"/>
        <v>0</v>
      </c>
      <c r="W113" s="976">
        <f t="shared" si="177"/>
        <v>0</v>
      </c>
      <c r="X113" s="976">
        <f t="shared" si="177"/>
        <v>0</v>
      </c>
      <c r="Y113" s="976">
        <f t="shared" si="177"/>
        <v>0</v>
      </c>
      <c r="Z113" s="976">
        <f t="shared" si="177"/>
        <v>0</v>
      </c>
      <c r="AA113" s="976">
        <f t="shared" si="177"/>
        <v>880.13474999999994</v>
      </c>
      <c r="AB113" s="976">
        <f t="shared" si="177"/>
        <v>1886.33523375</v>
      </c>
      <c r="AC113" s="976">
        <f t="shared" si="177"/>
        <v>2559.0645537187502</v>
      </c>
      <c r="AD113" s="976">
        <f t="shared" si="177"/>
        <v>3552.9776060624999</v>
      </c>
      <c r="AE113" s="976">
        <f t="shared" si="177"/>
        <v>3685.806238826251</v>
      </c>
      <c r="AF113" s="976">
        <f t="shared" ref="AF113:AG113" si="178">AF103*AF107*AF$111</f>
        <v>4056.9354650199384</v>
      </c>
      <c r="AG113" s="976">
        <f t="shared" si="178"/>
        <v>5116.2857439794116</v>
      </c>
      <c r="AH113" s="976">
        <f t="shared" ref="AH113:AQ113" si="179">AH103*AH107*AH$111</f>
        <v>6190.8720948514447</v>
      </c>
      <c r="AI113" s="976">
        <f t="shared" si="179"/>
        <v>7069.2493389487399</v>
      </c>
      <c r="AJ113" s="976">
        <f t="shared" si="179"/>
        <v>8243.3286928012749</v>
      </c>
      <c r="AK113" s="976">
        <f t="shared" si="179"/>
        <v>9481.5199448541189</v>
      </c>
      <c r="AL113" s="976">
        <f t="shared" si="179"/>
        <v>10558.669075922024</v>
      </c>
      <c r="AM113" s="976">
        <f t="shared" si="179"/>
        <v>11472.165653307313</v>
      </c>
      <c r="AN113" s="976">
        <f t="shared" si="179"/>
        <v>12165.58605796331</v>
      </c>
      <c r="AO113" s="976">
        <f t="shared" si="179"/>
        <v>12896.124629946493</v>
      </c>
      <c r="AP113" s="976">
        <f t="shared" si="179"/>
        <v>13253.732569233951</v>
      </c>
      <c r="AQ113" s="976">
        <f t="shared" si="179"/>
        <v>13003.738601017483</v>
      </c>
    </row>
    <row r="114" spans="2:43">
      <c r="B114" s="1025" t="s">
        <v>596</v>
      </c>
      <c r="C114" s="967"/>
      <c r="D114" s="967"/>
      <c r="E114" s="967"/>
      <c r="F114" s="967"/>
      <c r="G114" s="967"/>
      <c r="H114" s="967"/>
      <c r="I114" s="967"/>
      <c r="J114" s="967"/>
      <c r="K114" s="968"/>
      <c r="L114" s="967"/>
      <c r="M114" s="967"/>
      <c r="N114" s="967"/>
      <c r="O114" s="967"/>
      <c r="P114" s="967"/>
      <c r="Q114" s="976">
        <f t="shared" ref="Q114:AE115" si="180">Q104*Q108*Q$111</f>
        <v>0</v>
      </c>
      <c r="R114" s="976">
        <f t="shared" si="180"/>
        <v>0</v>
      </c>
      <c r="S114" s="976">
        <f t="shared" si="180"/>
        <v>0</v>
      </c>
      <c r="T114" s="976">
        <f t="shared" si="180"/>
        <v>0</v>
      </c>
      <c r="U114" s="976">
        <f t="shared" si="180"/>
        <v>0</v>
      </c>
      <c r="V114" s="976">
        <f t="shared" si="180"/>
        <v>0</v>
      </c>
      <c r="W114" s="976">
        <f t="shared" si="180"/>
        <v>0</v>
      </c>
      <c r="X114" s="976">
        <f t="shared" si="180"/>
        <v>0</v>
      </c>
      <c r="Y114" s="976">
        <f t="shared" si="180"/>
        <v>0</v>
      </c>
      <c r="Z114" s="976">
        <f t="shared" si="180"/>
        <v>0</v>
      </c>
      <c r="AA114" s="976">
        <f t="shared" si="180"/>
        <v>0</v>
      </c>
      <c r="AB114" s="976">
        <f t="shared" si="180"/>
        <v>0</v>
      </c>
      <c r="AC114" s="976">
        <f t="shared" si="180"/>
        <v>0</v>
      </c>
      <c r="AD114" s="976">
        <f t="shared" si="180"/>
        <v>0</v>
      </c>
      <c r="AE114" s="976">
        <f t="shared" si="180"/>
        <v>118.42212462609378</v>
      </c>
      <c r="AF114" s="976">
        <f t="shared" ref="AF114:AG114" si="181">AF104*AF108*AF$111</f>
        <v>857.31466430610021</v>
      </c>
      <c r="AG114" s="976">
        <f t="shared" si="181"/>
        <v>2751.3402853596663</v>
      </c>
      <c r="AH114" s="976">
        <f t="shared" ref="AH114:AQ114" si="182">AH104*AH108*AH$111</f>
        <v>5731.4377146387169</v>
      </c>
      <c r="AI114" s="976">
        <f t="shared" si="182"/>
        <v>6601.2045801418153</v>
      </c>
      <c r="AJ114" s="976">
        <f t="shared" si="182"/>
        <v>6354.4285593698742</v>
      </c>
      <c r="AK114" s="976">
        <f t="shared" si="182"/>
        <v>5441.0075212244101</v>
      </c>
      <c r="AL114" s="976">
        <f t="shared" si="182"/>
        <v>7186.6446409808996</v>
      </c>
      <c r="AM114" s="976">
        <f t="shared" si="182"/>
        <v>9063.2271182839504</v>
      </c>
      <c r="AN114" s="976">
        <f t="shared" si="182"/>
        <v>10966.799483768391</v>
      </c>
      <c r="AO114" s="976">
        <f t="shared" si="182"/>
        <v>12522.797889086967</v>
      </c>
      <c r="AP114" s="976">
        <f t="shared" si="182"/>
        <v>14602.61679900132</v>
      </c>
      <c r="AQ114" s="976">
        <f t="shared" si="182"/>
        <v>16796.006514662295</v>
      </c>
    </row>
    <row r="115" spans="2:43">
      <c r="B115" s="1025" t="s">
        <v>597</v>
      </c>
      <c r="C115" s="967"/>
      <c r="D115" s="967"/>
      <c r="E115" s="967"/>
      <c r="F115" s="967"/>
      <c r="G115" s="967"/>
      <c r="H115" s="967"/>
      <c r="I115" s="967"/>
      <c r="J115" s="967"/>
      <c r="K115" s="968"/>
      <c r="L115" s="967"/>
      <c r="M115" s="967"/>
      <c r="N115" s="967"/>
      <c r="O115" s="967"/>
      <c r="P115" s="967"/>
      <c r="Q115" s="976">
        <f t="shared" si="180"/>
        <v>0</v>
      </c>
      <c r="R115" s="976">
        <f t="shared" si="180"/>
        <v>0</v>
      </c>
      <c r="S115" s="976">
        <f t="shared" si="180"/>
        <v>0</v>
      </c>
      <c r="T115" s="976">
        <f t="shared" si="180"/>
        <v>0</v>
      </c>
      <c r="U115" s="976">
        <f t="shared" si="180"/>
        <v>0</v>
      </c>
      <c r="V115" s="976">
        <f t="shared" si="180"/>
        <v>0</v>
      </c>
      <c r="W115" s="976">
        <f t="shared" si="180"/>
        <v>0</v>
      </c>
      <c r="X115" s="976">
        <f t="shared" si="180"/>
        <v>0</v>
      </c>
      <c r="Y115" s="976">
        <f t="shared" si="180"/>
        <v>0</v>
      </c>
      <c r="Z115" s="976">
        <f t="shared" si="180"/>
        <v>0</v>
      </c>
      <c r="AA115" s="976">
        <f t="shared" si="180"/>
        <v>0</v>
      </c>
      <c r="AB115" s="976">
        <f t="shared" si="180"/>
        <v>0</v>
      </c>
      <c r="AC115" s="976">
        <f t="shared" si="180"/>
        <v>0</v>
      </c>
      <c r="AD115" s="976">
        <f t="shared" si="180"/>
        <v>0</v>
      </c>
      <c r="AE115" s="976">
        <f t="shared" si="180"/>
        <v>0</v>
      </c>
      <c r="AF115" s="976">
        <f t="shared" ref="AF115:AG115" si="183">AF105*AF109*AF$111</f>
        <v>0</v>
      </c>
      <c r="AG115" s="976">
        <f t="shared" si="183"/>
        <v>0</v>
      </c>
      <c r="AH115" s="976">
        <f t="shared" ref="AH115:AQ115" si="184">AH105*AH109*AH$111</f>
        <v>0</v>
      </c>
      <c r="AI115" s="976">
        <f t="shared" si="184"/>
        <v>0</v>
      </c>
      <c r="AJ115" s="976">
        <f t="shared" si="184"/>
        <v>0</v>
      </c>
      <c r="AK115" s="976">
        <f t="shared" si="184"/>
        <v>128.43579985722857</v>
      </c>
      <c r="AL115" s="976">
        <f t="shared" si="184"/>
        <v>929.80847107030502</v>
      </c>
      <c r="AM115" s="976">
        <f t="shared" si="184"/>
        <v>2983.9913052169695</v>
      </c>
      <c r="AN115" s="976">
        <f t="shared" si="184"/>
        <v>6216.0832659922453</v>
      </c>
      <c r="AO115" s="976">
        <f t="shared" si="184"/>
        <v>7159.3968859168635</v>
      </c>
      <c r="AP115" s="976">
        <f t="shared" si="184"/>
        <v>6891.753692438434</v>
      </c>
      <c r="AQ115" s="976">
        <f t="shared" si="184"/>
        <v>5901.0945397585929</v>
      </c>
    </row>
    <row r="116" spans="2:43">
      <c r="B116" s="1025" t="s">
        <v>601</v>
      </c>
      <c r="C116" s="967"/>
      <c r="D116" s="967"/>
      <c r="E116" s="967"/>
      <c r="F116" s="967"/>
      <c r="G116" s="967"/>
      <c r="H116" s="967"/>
      <c r="I116" s="967"/>
      <c r="J116" s="967"/>
      <c r="K116" s="968"/>
      <c r="L116" s="967"/>
      <c r="M116" s="967"/>
      <c r="N116" s="967"/>
      <c r="O116" s="967"/>
      <c r="P116" s="967"/>
      <c r="Q116" s="976">
        <f>Q9*Q18*Q36*Q45</f>
        <v>0</v>
      </c>
      <c r="R116" s="976">
        <f t="shared" ref="R116:AE116" si="185">R9*R18*R36*R45</f>
        <v>0</v>
      </c>
      <c r="S116" s="976">
        <f t="shared" si="185"/>
        <v>45.168479441583223</v>
      </c>
      <c r="T116" s="976">
        <f t="shared" si="185"/>
        <v>275.98234240621906</v>
      </c>
      <c r="U116" s="976">
        <f t="shared" si="185"/>
        <v>689.02388949979661</v>
      </c>
      <c r="V116" s="976">
        <f t="shared" si="185"/>
        <v>1096.6449990840233</v>
      </c>
      <c r="W116" s="976">
        <f t="shared" si="185"/>
        <v>527.7130277130276</v>
      </c>
      <c r="X116" s="976">
        <f t="shared" si="185"/>
        <v>569.02356902356905</v>
      </c>
      <c r="Y116" s="976">
        <f t="shared" si="185"/>
        <v>1051.851851851852</v>
      </c>
      <c r="Z116" s="976">
        <f t="shared" si="185"/>
        <v>1884</v>
      </c>
      <c r="AA116" s="976">
        <f t="shared" si="185"/>
        <v>1688</v>
      </c>
      <c r="AB116" s="976">
        <f t="shared" si="185"/>
        <v>2018.8479999999997</v>
      </c>
      <c r="AC116" s="976">
        <f t="shared" si="185"/>
        <v>2351.5541503999998</v>
      </c>
      <c r="AD116" s="976">
        <f t="shared" si="185"/>
        <v>2152.1423584460804</v>
      </c>
      <c r="AE116" s="976">
        <f t="shared" si="185"/>
        <v>2462.0508580623159</v>
      </c>
      <c r="AF116" s="976">
        <f t="shared" ref="AF116:AG116" si="186">AF9*AF18*AF36*AF45</f>
        <v>2611.8756448660884</v>
      </c>
      <c r="AG116" s="976">
        <f t="shared" si="186"/>
        <v>2769.7471332412633</v>
      </c>
      <c r="AH116" s="976">
        <f t="shared" ref="AH116:AQ116" si="187">AH9*AH18*AH36*AH45</f>
        <v>2936.0693396546662</v>
      </c>
      <c r="AI116" s="976">
        <f t="shared" si="187"/>
        <v>3111.2657271679564</v>
      </c>
      <c r="AJ116" s="976">
        <f t="shared" si="187"/>
        <v>3003.1879242093328</v>
      </c>
      <c r="AK116" s="976">
        <f t="shared" si="187"/>
        <v>2748.5175882363815</v>
      </c>
      <c r="AL116" s="976">
        <f t="shared" si="187"/>
        <v>2598.5984470598519</v>
      </c>
      <c r="AM116" s="976">
        <f t="shared" si="187"/>
        <v>2432.2881464480215</v>
      </c>
      <c r="AN116" s="976">
        <f t="shared" si="187"/>
        <v>2248.5152642719486</v>
      </c>
      <c r="AO116" s="976">
        <f t="shared" si="187"/>
        <v>1753.8419061321201</v>
      </c>
      <c r="AP116" s="976">
        <f t="shared" si="187"/>
        <v>1215.9970549182699</v>
      </c>
      <c r="AQ116" s="976">
        <f t="shared" si="187"/>
        <v>948.47770283625073</v>
      </c>
    </row>
    <row r="117" spans="2:43" s="961" customFormat="1" ht="12">
      <c r="B117" s="978" t="s">
        <v>602</v>
      </c>
      <c r="C117" s="978"/>
      <c r="D117" s="978"/>
      <c r="E117" s="978"/>
      <c r="F117" s="978"/>
      <c r="G117" s="978"/>
      <c r="H117" s="978"/>
      <c r="I117" s="978"/>
      <c r="J117" s="978"/>
      <c r="K117" s="979"/>
      <c r="L117" s="978"/>
      <c r="M117" s="978"/>
      <c r="N117" s="978"/>
      <c r="O117" s="978"/>
      <c r="P117" s="978"/>
      <c r="Q117" s="980">
        <f>SUM(Q113:Q116)</f>
        <v>0</v>
      </c>
      <c r="R117" s="980">
        <f t="shared" ref="R117:AE117" si="188">SUM(R113:R116)</f>
        <v>0</v>
      </c>
      <c r="S117" s="980">
        <f t="shared" si="188"/>
        <v>45.168479441583223</v>
      </c>
      <c r="T117" s="980">
        <f t="shared" si="188"/>
        <v>275.98234240621906</v>
      </c>
      <c r="U117" s="980">
        <f t="shared" si="188"/>
        <v>689.02388949979661</v>
      </c>
      <c r="V117" s="980">
        <f t="shared" si="188"/>
        <v>1096.6449990840233</v>
      </c>
      <c r="W117" s="980">
        <f t="shared" si="188"/>
        <v>527.7130277130276</v>
      </c>
      <c r="X117" s="980">
        <f t="shared" si="188"/>
        <v>569.02356902356905</v>
      </c>
      <c r="Y117" s="980">
        <f t="shared" si="188"/>
        <v>1051.851851851852</v>
      </c>
      <c r="Z117" s="980">
        <f t="shared" si="188"/>
        <v>1884</v>
      </c>
      <c r="AA117" s="980">
        <f t="shared" si="188"/>
        <v>2568.1347500000002</v>
      </c>
      <c r="AB117" s="980">
        <f t="shared" si="188"/>
        <v>3905.18323375</v>
      </c>
      <c r="AC117" s="980">
        <f t="shared" si="188"/>
        <v>4910.6187041187495</v>
      </c>
      <c r="AD117" s="980">
        <f t="shared" si="188"/>
        <v>5705.1199645085799</v>
      </c>
      <c r="AE117" s="980">
        <f t="shared" si="188"/>
        <v>6266.2792215146601</v>
      </c>
      <c r="AF117" s="980">
        <f t="shared" ref="AF117:AG117" si="189">SUM(AF113:AF116)</f>
        <v>7526.1257741921272</v>
      </c>
      <c r="AG117" s="980">
        <f t="shared" si="189"/>
        <v>10637.373162580341</v>
      </c>
      <c r="AH117" s="980">
        <f t="shared" ref="AH117:AQ117" si="190">SUM(AH113:AH116)</f>
        <v>14858.379149144828</v>
      </c>
      <c r="AI117" s="980">
        <f t="shared" si="190"/>
        <v>16781.719646258513</v>
      </c>
      <c r="AJ117" s="980">
        <f t="shared" si="190"/>
        <v>17600.945176380483</v>
      </c>
      <c r="AK117" s="980">
        <f t="shared" si="190"/>
        <v>17799.48085417214</v>
      </c>
      <c r="AL117" s="980">
        <f t="shared" si="190"/>
        <v>21273.720635033078</v>
      </c>
      <c r="AM117" s="980">
        <f t="shared" si="190"/>
        <v>25951.672223256253</v>
      </c>
      <c r="AN117" s="980">
        <f t="shared" si="190"/>
        <v>31596.984071995896</v>
      </c>
      <c r="AO117" s="980">
        <f t="shared" si="190"/>
        <v>34332.161311082447</v>
      </c>
      <c r="AP117" s="980">
        <f t="shared" si="190"/>
        <v>35964.100115591973</v>
      </c>
      <c r="AQ117" s="980">
        <f t="shared" si="190"/>
        <v>36649.317358274617</v>
      </c>
    </row>
    <row r="118" spans="2:43" s="981" customFormat="1">
      <c r="B118" s="1026" t="s">
        <v>600</v>
      </c>
      <c r="C118" s="982"/>
      <c r="D118" s="982"/>
      <c r="E118" s="982"/>
      <c r="F118" s="982"/>
      <c r="G118" s="982"/>
      <c r="H118" s="982"/>
      <c r="I118" s="982"/>
      <c r="J118" s="982"/>
      <c r="K118" s="983"/>
      <c r="L118" s="982"/>
      <c r="M118" s="982"/>
      <c r="N118" s="982"/>
      <c r="O118" s="982"/>
      <c r="P118" s="982"/>
      <c r="Q118" s="982"/>
      <c r="R118" s="987">
        <v>2.5000000000000001E-2</v>
      </c>
      <c r="S118" s="987">
        <v>2.5000000000000001E-2</v>
      </c>
      <c r="T118" s="987">
        <v>2.5000000000000001E-2</v>
      </c>
      <c r="U118" s="987">
        <v>2.5000000000000001E-2</v>
      </c>
      <c r="V118" s="987">
        <v>2.5000000000000001E-2</v>
      </c>
      <c r="W118" s="987">
        <v>2.5000000000000001E-2</v>
      </c>
      <c r="X118" s="987">
        <v>0.03</v>
      </c>
      <c r="Y118" s="987">
        <v>0.12</v>
      </c>
      <c r="Z118" s="987">
        <v>0.12</v>
      </c>
      <c r="AA118" s="987">
        <v>7.4999999999999997E-2</v>
      </c>
      <c r="AB118" s="987">
        <v>7.0000000000000007E-2</v>
      </c>
      <c r="AC118" s="987">
        <v>0.05</v>
      </c>
      <c r="AD118" s="987">
        <v>0.05</v>
      </c>
      <c r="AE118" s="987">
        <v>0.05</v>
      </c>
      <c r="AF118" s="987">
        <v>0.04</v>
      </c>
      <c r="AG118" s="987">
        <v>0.04</v>
      </c>
      <c r="AH118" s="987">
        <v>0.04</v>
      </c>
      <c r="AI118" s="987">
        <v>0.04</v>
      </c>
      <c r="AJ118" s="987">
        <v>0.04</v>
      </c>
      <c r="AK118" s="987">
        <v>0.04</v>
      </c>
      <c r="AL118" s="987">
        <v>0.04</v>
      </c>
      <c r="AM118" s="987">
        <v>0.04</v>
      </c>
      <c r="AN118" s="987">
        <v>0.04</v>
      </c>
      <c r="AO118" s="987">
        <v>0.04</v>
      </c>
      <c r="AP118" s="987">
        <v>0.04</v>
      </c>
      <c r="AQ118" s="987">
        <v>0.04</v>
      </c>
    </row>
    <row r="119" spans="2:43">
      <c r="B119" s="1025"/>
      <c r="C119" s="967"/>
      <c r="D119" s="967"/>
      <c r="E119" s="967"/>
      <c r="F119" s="967"/>
      <c r="G119" s="967"/>
      <c r="H119" s="967"/>
      <c r="I119" s="967"/>
      <c r="J119" s="967"/>
      <c r="K119" s="968"/>
      <c r="L119" s="967"/>
      <c r="M119" s="967"/>
      <c r="N119" s="967"/>
      <c r="O119" s="967"/>
      <c r="P119" s="967"/>
      <c r="Q119" s="967"/>
      <c r="R119" s="967"/>
      <c r="S119" s="967"/>
      <c r="T119" s="967"/>
      <c r="U119" s="967"/>
      <c r="V119" s="967"/>
      <c r="W119" s="967"/>
      <c r="X119" s="967"/>
      <c r="Y119" s="967"/>
      <c r="Z119" s="967"/>
      <c r="AA119" s="967"/>
      <c r="AB119" s="967"/>
      <c r="AC119" s="967"/>
      <c r="AD119" s="967"/>
      <c r="AE119" s="967"/>
      <c r="AF119" s="967"/>
      <c r="AG119" s="967"/>
      <c r="AH119" s="967"/>
      <c r="AI119" s="967"/>
      <c r="AJ119" s="967"/>
      <c r="AK119" s="967"/>
      <c r="AL119" s="967"/>
      <c r="AM119" s="967"/>
      <c r="AN119" s="967"/>
      <c r="AO119" s="967"/>
      <c r="AP119" s="967"/>
      <c r="AQ119" s="967"/>
    </row>
    <row r="120" spans="2:43" ht="12">
      <c r="B120" s="1024" t="s">
        <v>573</v>
      </c>
      <c r="C120" s="1015"/>
      <c r="D120" s="1015"/>
      <c r="E120" s="1015"/>
      <c r="F120" s="1015"/>
      <c r="G120" s="1015"/>
      <c r="H120" s="1015"/>
      <c r="I120" s="1015"/>
      <c r="J120" s="1015"/>
      <c r="K120" s="1016"/>
      <c r="L120" s="1015"/>
      <c r="M120" s="1015"/>
      <c r="N120" s="1015"/>
      <c r="O120" s="1015"/>
      <c r="P120" s="1015"/>
      <c r="Q120" s="1015"/>
      <c r="R120" s="1015"/>
      <c r="S120" s="1015"/>
      <c r="T120" s="1015"/>
      <c r="U120" s="1015"/>
      <c r="V120" s="1015"/>
      <c r="W120" s="1015"/>
      <c r="X120" s="1015"/>
      <c r="Y120" s="1015"/>
      <c r="Z120" s="1015"/>
      <c r="AA120" s="1015"/>
      <c r="AB120" s="1015"/>
      <c r="AC120" s="1015"/>
      <c r="AD120" s="1015"/>
      <c r="AE120" s="1015"/>
      <c r="AF120" s="1015"/>
      <c r="AG120" s="1015"/>
      <c r="AH120" s="1015"/>
      <c r="AI120" s="1015"/>
      <c r="AJ120" s="1015"/>
      <c r="AK120" s="1015"/>
      <c r="AL120" s="1015"/>
      <c r="AM120" s="1015"/>
      <c r="AN120" s="1015"/>
      <c r="AO120" s="1015"/>
      <c r="AP120" s="1015"/>
      <c r="AQ120" s="1015"/>
    </row>
    <row r="121" spans="2:43" hidden="1" outlineLevel="1">
      <c r="B121" s="1025" t="s">
        <v>588</v>
      </c>
      <c r="C121" s="976"/>
      <c r="D121" s="976"/>
      <c r="E121" s="976"/>
      <c r="F121" s="976"/>
      <c r="G121" s="976"/>
      <c r="H121" s="976"/>
      <c r="I121" s="976"/>
      <c r="J121" s="976"/>
      <c r="K121" s="988"/>
      <c r="L121" s="976"/>
      <c r="M121" s="976">
        <f>E10*0.33+D10*0.33+C10*0.33</f>
        <v>44.55</v>
      </c>
      <c r="N121" s="976">
        <f t="shared" ref="N121:AH121" si="191">F10*0.33+E10*0.33+D10*0.33</f>
        <v>59.400000000000006</v>
      </c>
      <c r="O121" s="976">
        <f t="shared" si="191"/>
        <v>69.3</v>
      </c>
      <c r="P121" s="976">
        <f t="shared" si="191"/>
        <v>79.200000000000017</v>
      </c>
      <c r="Q121" s="976">
        <f t="shared" si="191"/>
        <v>87.78</v>
      </c>
      <c r="R121" s="976">
        <f t="shared" si="191"/>
        <v>107.58</v>
      </c>
      <c r="S121" s="976">
        <f t="shared" si="191"/>
        <v>116.16</v>
      </c>
      <c r="T121" s="976">
        <f t="shared" si="191"/>
        <v>139.92000000000002</v>
      </c>
      <c r="U121" s="976">
        <f t="shared" si="191"/>
        <v>141.9</v>
      </c>
      <c r="V121" s="976">
        <f t="shared" si="191"/>
        <v>151.80000000000001</v>
      </c>
      <c r="W121" s="976">
        <f t="shared" si="191"/>
        <v>149.16</v>
      </c>
      <c r="X121" s="976">
        <f t="shared" si="191"/>
        <v>163.02000000000001</v>
      </c>
      <c r="Y121" s="976">
        <f t="shared" si="191"/>
        <v>180.18</v>
      </c>
      <c r="Z121" s="976">
        <f t="shared" si="191"/>
        <v>200.31</v>
      </c>
      <c r="AA121" s="976">
        <f t="shared" si="191"/>
        <v>208.89000000000001</v>
      </c>
      <c r="AB121" s="976">
        <f t="shared" si="191"/>
        <v>197.01000000000002</v>
      </c>
      <c r="AC121" s="976">
        <f t="shared" si="191"/>
        <v>152.46</v>
      </c>
      <c r="AD121" s="976">
        <f t="shared" si="191"/>
        <v>111.54</v>
      </c>
      <c r="AE121" s="976">
        <f t="shared" si="191"/>
        <v>89.76</v>
      </c>
      <c r="AF121" s="976">
        <f t="shared" si="191"/>
        <v>93.06</v>
      </c>
      <c r="AG121" s="976">
        <f t="shared" si="191"/>
        <v>95.039999999999992</v>
      </c>
      <c r="AH121" s="976">
        <f t="shared" si="191"/>
        <v>97.68</v>
      </c>
      <c r="AI121" s="976">
        <f t="shared" ref="AI121" si="192">AA10*0.33+Z10*0.33+Y10*0.33</f>
        <v>99</v>
      </c>
      <c r="AJ121" s="976">
        <f t="shared" ref="AJ121" si="193">AB10*0.33+AA10*0.33+Z10*0.33</f>
        <v>93.72</v>
      </c>
      <c r="AK121" s="976">
        <f t="shared" ref="AK121" si="194">AC10*0.33+AB10*0.33+AA10*0.33</f>
        <v>79.2</v>
      </c>
      <c r="AL121" s="976">
        <f t="shared" ref="AL121" si="195">AD10*0.33+AC10*0.33+AB10*0.33</f>
        <v>62.7</v>
      </c>
      <c r="AM121" s="976">
        <f t="shared" ref="AM121" si="196">AE10*0.33+AD10*0.33+AC10*0.33</f>
        <v>49.5</v>
      </c>
      <c r="AN121" s="976">
        <f t="shared" ref="AN121" si="197">AF10*0.33+AE10*0.33+AD10*0.33</f>
        <v>29.700000000000003</v>
      </c>
      <c r="AO121" s="976">
        <f t="shared" ref="AO121" si="198">AG10*0.33+AF10*0.33+AE10*0.33</f>
        <v>13.200000000000001</v>
      </c>
      <c r="AP121" s="976">
        <f t="shared" ref="AP121" si="199">AH10*0.33+AG10*0.33+AF10*0.33</f>
        <v>0</v>
      </c>
      <c r="AQ121" s="976">
        <f t="shared" ref="AQ121" si="200">AI10*0.33+AH10*0.33+AG10*0.33</f>
        <v>0</v>
      </c>
    </row>
    <row r="122" spans="2:43" hidden="1" outlineLevel="1">
      <c r="B122" s="1025" t="s">
        <v>589</v>
      </c>
      <c r="C122" s="976"/>
      <c r="D122" s="976"/>
      <c r="E122" s="976"/>
      <c r="F122" s="976"/>
      <c r="G122" s="976"/>
      <c r="H122" s="976"/>
      <c r="I122" s="976"/>
      <c r="J122" s="976"/>
      <c r="K122" s="988"/>
      <c r="L122" s="976"/>
      <c r="M122" s="976"/>
      <c r="N122" s="976"/>
      <c r="O122" s="976"/>
      <c r="P122" s="976"/>
      <c r="Q122" s="976">
        <f>E10*0.33+D10*0.33+C10*0.33</f>
        <v>44.55</v>
      </c>
      <c r="R122" s="976">
        <f t="shared" ref="R122:AH122" si="201">F10*0.33+E10*0.33+D10*0.33</f>
        <v>59.400000000000006</v>
      </c>
      <c r="S122" s="976">
        <f t="shared" si="201"/>
        <v>69.3</v>
      </c>
      <c r="T122" s="976">
        <f t="shared" si="201"/>
        <v>79.200000000000017</v>
      </c>
      <c r="U122" s="976">
        <f t="shared" si="201"/>
        <v>87.78</v>
      </c>
      <c r="V122" s="976">
        <f t="shared" si="201"/>
        <v>107.58</v>
      </c>
      <c r="W122" s="976">
        <f t="shared" si="201"/>
        <v>116.16</v>
      </c>
      <c r="X122" s="976">
        <f t="shared" si="201"/>
        <v>139.92000000000002</v>
      </c>
      <c r="Y122" s="976">
        <f t="shared" si="201"/>
        <v>141.9</v>
      </c>
      <c r="Z122" s="976">
        <f t="shared" si="201"/>
        <v>151.80000000000001</v>
      </c>
      <c r="AA122" s="976">
        <f t="shared" si="201"/>
        <v>149.16</v>
      </c>
      <c r="AB122" s="976">
        <f t="shared" si="201"/>
        <v>163.02000000000001</v>
      </c>
      <c r="AC122" s="976">
        <f t="shared" si="201"/>
        <v>180.18</v>
      </c>
      <c r="AD122" s="976">
        <f t="shared" si="201"/>
        <v>200.31</v>
      </c>
      <c r="AE122" s="976">
        <f t="shared" si="201"/>
        <v>208.89000000000001</v>
      </c>
      <c r="AF122" s="976">
        <f t="shared" si="201"/>
        <v>197.01000000000002</v>
      </c>
      <c r="AG122" s="976">
        <f t="shared" si="201"/>
        <v>152.46</v>
      </c>
      <c r="AH122" s="976">
        <f t="shared" si="201"/>
        <v>111.54</v>
      </c>
      <c r="AI122" s="976">
        <f t="shared" ref="AI122" si="202">W10*0.33+V10*0.33+U10*0.33</f>
        <v>89.76</v>
      </c>
      <c r="AJ122" s="976">
        <f t="shared" ref="AJ122" si="203">X10*0.33+W10*0.33+V10*0.33</f>
        <v>93.06</v>
      </c>
      <c r="AK122" s="976">
        <f t="shared" ref="AK122" si="204">Y10*0.33+X10*0.33+W10*0.33</f>
        <v>95.039999999999992</v>
      </c>
      <c r="AL122" s="976">
        <f t="shared" ref="AL122" si="205">Z10*0.33+Y10*0.33+X10*0.33</f>
        <v>97.68</v>
      </c>
      <c r="AM122" s="976">
        <f t="shared" ref="AM122" si="206">AA10*0.33+Z10*0.33+Y10*0.33</f>
        <v>99</v>
      </c>
      <c r="AN122" s="976">
        <f t="shared" ref="AN122" si="207">AB10*0.33+AA10*0.33+Z10*0.33</f>
        <v>93.72</v>
      </c>
      <c r="AO122" s="976">
        <f t="shared" ref="AO122" si="208">AC10*0.33+AB10*0.33+AA10*0.33</f>
        <v>79.2</v>
      </c>
      <c r="AP122" s="976">
        <f t="shared" ref="AP122" si="209">AD10*0.33+AC10*0.33+AB10*0.33</f>
        <v>62.7</v>
      </c>
      <c r="AQ122" s="976">
        <f t="shared" ref="AQ122" si="210">AE10*0.33+AD10*0.33+AC10*0.33</f>
        <v>49.5</v>
      </c>
    </row>
    <row r="123" spans="2:43" hidden="1" outlineLevel="1">
      <c r="B123" s="1025" t="s">
        <v>590</v>
      </c>
      <c r="C123" s="976"/>
      <c r="D123" s="976"/>
      <c r="E123" s="976"/>
      <c r="F123" s="976"/>
      <c r="G123" s="976"/>
      <c r="H123" s="976"/>
      <c r="I123" s="976"/>
      <c r="J123" s="976"/>
      <c r="K123" s="988"/>
      <c r="L123" s="976"/>
      <c r="M123" s="976"/>
      <c r="N123" s="976"/>
      <c r="O123" s="976"/>
      <c r="P123" s="976"/>
      <c r="Q123" s="976"/>
      <c r="R123" s="976"/>
      <c r="S123" s="976"/>
      <c r="T123" s="976"/>
      <c r="U123" s="976"/>
      <c r="V123" s="976"/>
      <c r="W123" s="976">
        <f>E10*0.33+D10*0.33+C10*0.33</f>
        <v>44.55</v>
      </c>
      <c r="X123" s="976">
        <f t="shared" ref="X123:AH123" si="211">F10*0.33+E10*0.33+D10*0.33</f>
        <v>59.400000000000006</v>
      </c>
      <c r="Y123" s="976">
        <f t="shared" si="211"/>
        <v>69.3</v>
      </c>
      <c r="Z123" s="976">
        <f t="shared" si="211"/>
        <v>79.200000000000017</v>
      </c>
      <c r="AA123" s="976">
        <f t="shared" si="211"/>
        <v>87.78</v>
      </c>
      <c r="AB123" s="976">
        <f t="shared" si="211"/>
        <v>107.58</v>
      </c>
      <c r="AC123" s="976">
        <f t="shared" si="211"/>
        <v>116.16</v>
      </c>
      <c r="AD123" s="976">
        <f t="shared" si="211"/>
        <v>139.92000000000002</v>
      </c>
      <c r="AE123" s="976">
        <f t="shared" si="211"/>
        <v>141.9</v>
      </c>
      <c r="AF123" s="976">
        <f t="shared" si="211"/>
        <v>151.80000000000001</v>
      </c>
      <c r="AG123" s="976">
        <f t="shared" si="211"/>
        <v>149.16</v>
      </c>
      <c r="AH123" s="976">
        <f t="shared" si="211"/>
        <v>163.02000000000001</v>
      </c>
      <c r="AI123" s="976">
        <f t="shared" ref="AI123" si="212">Q10*0.33+P10*0.33+O10*0.33</f>
        <v>180.18</v>
      </c>
      <c r="AJ123" s="976">
        <f t="shared" ref="AJ123" si="213">R10*0.33+Q10*0.33+P10*0.33</f>
        <v>200.31</v>
      </c>
      <c r="AK123" s="976">
        <f t="shared" ref="AK123" si="214">S10*0.33+R10*0.33+Q10*0.33</f>
        <v>208.89000000000001</v>
      </c>
      <c r="AL123" s="976">
        <f t="shared" ref="AL123" si="215">T10*0.33+S10*0.33+R10*0.33</f>
        <v>197.01000000000002</v>
      </c>
      <c r="AM123" s="976">
        <f t="shared" ref="AM123" si="216">U10*0.33+T10*0.33+S10*0.33</f>
        <v>152.46</v>
      </c>
      <c r="AN123" s="976">
        <f t="shared" ref="AN123" si="217">V10*0.33+U10*0.33+T10*0.33</f>
        <v>111.54</v>
      </c>
      <c r="AO123" s="976">
        <f t="shared" ref="AO123" si="218">W10*0.33+V10*0.33+U10*0.33</f>
        <v>89.76</v>
      </c>
      <c r="AP123" s="976">
        <f t="shared" ref="AP123" si="219">X10*0.33+W10*0.33+V10*0.33</f>
        <v>93.06</v>
      </c>
      <c r="AQ123" s="976">
        <f t="shared" ref="AQ123" si="220">Y10*0.33+X10*0.33+W10*0.33</f>
        <v>95.039999999999992</v>
      </c>
    </row>
    <row r="124" spans="2:43" hidden="1" outlineLevel="1">
      <c r="B124" s="1025"/>
      <c r="C124" s="967"/>
      <c r="D124" s="967"/>
      <c r="E124" s="967"/>
      <c r="F124" s="967"/>
      <c r="G124" s="967"/>
      <c r="H124" s="967"/>
      <c r="I124" s="967"/>
      <c r="J124" s="967"/>
      <c r="K124" s="968"/>
      <c r="L124" s="967"/>
      <c r="M124" s="967"/>
      <c r="N124" s="967"/>
      <c r="O124" s="967"/>
      <c r="P124" s="967"/>
      <c r="Q124" s="967"/>
      <c r="R124" s="967"/>
      <c r="S124" s="967"/>
      <c r="T124" s="967"/>
      <c r="U124" s="967"/>
      <c r="V124" s="967"/>
      <c r="W124" s="967"/>
      <c r="X124" s="967"/>
      <c r="Y124" s="967"/>
      <c r="Z124" s="967"/>
      <c r="AA124" s="967"/>
      <c r="AB124" s="967"/>
      <c r="AC124" s="967"/>
      <c r="AD124" s="967"/>
      <c r="AE124" s="967"/>
      <c r="AF124" s="967"/>
      <c r="AG124" s="967"/>
      <c r="AH124" s="967"/>
      <c r="AI124" s="967"/>
      <c r="AJ124" s="967"/>
      <c r="AK124" s="967"/>
      <c r="AL124" s="967"/>
      <c r="AM124" s="967"/>
      <c r="AN124" s="967"/>
      <c r="AO124" s="967"/>
      <c r="AP124" s="967"/>
      <c r="AQ124" s="967"/>
    </row>
    <row r="125" spans="2:43" hidden="1" outlineLevel="1">
      <c r="B125" s="1025" t="s">
        <v>591</v>
      </c>
      <c r="C125" s="967"/>
      <c r="D125" s="967"/>
      <c r="E125" s="967"/>
      <c r="F125" s="967"/>
      <c r="G125" s="967"/>
      <c r="H125" s="967"/>
      <c r="I125" s="967"/>
      <c r="J125" s="967"/>
      <c r="K125" s="968"/>
      <c r="L125" s="967"/>
      <c r="M125" s="967"/>
      <c r="N125" s="967"/>
      <c r="O125" s="967"/>
      <c r="P125" s="967"/>
      <c r="Q125" s="989">
        <f t="shared" ref="Q125:Y127" si="221">R125/(1+R$136)</f>
        <v>2.7675418950830606</v>
      </c>
      <c r="R125" s="989">
        <f t="shared" si="221"/>
        <v>2.8367304424601367</v>
      </c>
      <c r="S125" s="989">
        <f t="shared" si="221"/>
        <v>2.9076487035216401</v>
      </c>
      <c r="T125" s="989">
        <f t="shared" si="221"/>
        <v>2.9803399211096808</v>
      </c>
      <c r="U125" s="989">
        <f t="shared" si="221"/>
        <v>3.0548484191374228</v>
      </c>
      <c r="V125" s="989">
        <f t="shared" si="221"/>
        <v>3.1312196296158579</v>
      </c>
      <c r="W125" s="989">
        <f t="shared" si="221"/>
        <v>3.2095001203562541</v>
      </c>
      <c r="X125" s="989">
        <f t="shared" si="221"/>
        <v>3.3057851239669418</v>
      </c>
      <c r="Y125" s="989">
        <f>Z125/(1+Z$136)</f>
        <v>3.6363636363636362</v>
      </c>
      <c r="Z125" s="990">
        <v>4</v>
      </c>
      <c r="AA125" s="989">
        <f t="shared" ref="AA125:AH127" si="222">Z125*(1+AA$136)</f>
        <v>4.24</v>
      </c>
      <c r="AB125" s="989">
        <f t="shared" si="222"/>
        <v>4.4520000000000008</v>
      </c>
      <c r="AC125" s="989">
        <f t="shared" si="222"/>
        <v>4.6746000000000008</v>
      </c>
      <c r="AD125" s="989">
        <f t="shared" si="222"/>
        <v>4.8615840000000006</v>
      </c>
      <c r="AE125" s="989">
        <f t="shared" si="222"/>
        <v>5.0560473600000009</v>
      </c>
      <c r="AF125" s="989">
        <f t="shared" si="222"/>
        <v>5.3088497280000011</v>
      </c>
      <c r="AG125" s="989">
        <f t="shared" si="222"/>
        <v>5.5742922144000016</v>
      </c>
      <c r="AH125" s="989">
        <f t="shared" si="222"/>
        <v>5.8530068251200023</v>
      </c>
      <c r="AI125" s="989">
        <f t="shared" ref="AI125:AI127" si="223">AH125*(1+AI$136)</f>
        <v>6.1456571663760027</v>
      </c>
      <c r="AJ125" s="989">
        <f t="shared" ref="AJ125:AJ127" si="224">AI125*(1+AJ$136)</f>
        <v>6.4529400246948034</v>
      </c>
      <c r="AK125" s="989">
        <f t="shared" ref="AK125:AK127" si="225">AJ125*(1+AK$136)</f>
        <v>6.7755870259295436</v>
      </c>
      <c r="AL125" s="989">
        <f t="shared" ref="AL125:AL127" si="226">AK125*(1+AL$136)</f>
        <v>7.1143663772260215</v>
      </c>
      <c r="AM125" s="989">
        <f t="shared" ref="AM125:AM127" si="227">AL125*(1+AM$136)</f>
        <v>7.4700846960873228</v>
      </c>
      <c r="AN125" s="989">
        <f t="shared" ref="AN125:AN127" si="228">AM125*(1+AN$136)</f>
        <v>7.8435889308916895</v>
      </c>
      <c r="AO125" s="989">
        <f t="shared" ref="AO125:AO127" si="229">AN125*(1+AO$136)</f>
        <v>8.2357683774362744</v>
      </c>
      <c r="AP125" s="989">
        <f t="shared" ref="AP125:AP127" si="230">AO125*(1+AP$136)</f>
        <v>8.6475567963080877</v>
      </c>
      <c r="AQ125" s="989">
        <f t="shared" ref="AQ125:AQ127" si="231">AP125*(1+AQ$136)</f>
        <v>9.0799346361234932</v>
      </c>
    </row>
    <row r="126" spans="2:43" hidden="1" outlineLevel="1">
      <c r="B126" s="1025" t="s">
        <v>592</v>
      </c>
      <c r="C126" s="967"/>
      <c r="D126" s="967"/>
      <c r="E126" s="967"/>
      <c r="F126" s="967"/>
      <c r="G126" s="967"/>
      <c r="H126" s="967"/>
      <c r="I126" s="967"/>
      <c r="J126" s="967"/>
      <c r="K126" s="968"/>
      <c r="L126" s="967"/>
      <c r="M126" s="967"/>
      <c r="N126" s="967"/>
      <c r="O126" s="967"/>
      <c r="P126" s="967"/>
      <c r="Q126" s="989">
        <f t="shared" si="221"/>
        <v>4.1513128426245913</v>
      </c>
      <c r="R126" s="989">
        <f t="shared" si="221"/>
        <v>4.2550956636902058</v>
      </c>
      <c r="S126" s="989">
        <f t="shared" si="221"/>
        <v>4.3614730552824605</v>
      </c>
      <c r="T126" s="989">
        <f t="shared" si="221"/>
        <v>4.4705098816645217</v>
      </c>
      <c r="U126" s="989">
        <f t="shared" si="221"/>
        <v>4.5822726287061339</v>
      </c>
      <c r="V126" s="989">
        <f t="shared" si="221"/>
        <v>4.6968294444237868</v>
      </c>
      <c r="W126" s="989">
        <f t="shared" si="221"/>
        <v>4.8142501805343807</v>
      </c>
      <c r="X126" s="989">
        <f t="shared" si="221"/>
        <v>4.9586776859504127</v>
      </c>
      <c r="Y126" s="989">
        <f t="shared" si="221"/>
        <v>5.4545454545454541</v>
      </c>
      <c r="Z126" s="990">
        <v>6</v>
      </c>
      <c r="AA126" s="989">
        <f t="shared" si="222"/>
        <v>6.36</v>
      </c>
      <c r="AB126" s="989">
        <f t="shared" si="222"/>
        <v>6.6780000000000008</v>
      </c>
      <c r="AC126" s="989">
        <f t="shared" si="222"/>
        <v>7.0119000000000016</v>
      </c>
      <c r="AD126" s="989">
        <f t="shared" si="222"/>
        <v>7.2923760000000017</v>
      </c>
      <c r="AE126" s="989">
        <f t="shared" si="222"/>
        <v>7.5840710400000022</v>
      </c>
      <c r="AF126" s="989">
        <f t="shared" si="222"/>
        <v>7.963274592000003</v>
      </c>
      <c r="AG126" s="989">
        <f t="shared" si="222"/>
        <v>8.3614383216000032</v>
      </c>
      <c r="AH126" s="989">
        <f t="shared" si="222"/>
        <v>8.7795102376800038</v>
      </c>
      <c r="AI126" s="989">
        <f t="shared" si="223"/>
        <v>9.2184857495640049</v>
      </c>
      <c r="AJ126" s="989">
        <f t="shared" si="224"/>
        <v>9.6794100370422047</v>
      </c>
      <c r="AK126" s="989">
        <f t="shared" si="225"/>
        <v>10.163380538894316</v>
      </c>
      <c r="AL126" s="989">
        <f t="shared" si="226"/>
        <v>10.671549565839031</v>
      </c>
      <c r="AM126" s="989">
        <f t="shared" si="227"/>
        <v>11.205127044130984</v>
      </c>
      <c r="AN126" s="989">
        <f t="shared" si="228"/>
        <v>11.765383396337533</v>
      </c>
      <c r="AO126" s="989">
        <f t="shared" si="229"/>
        <v>12.353652566154411</v>
      </c>
      <c r="AP126" s="989">
        <f t="shared" si="230"/>
        <v>12.971335194462132</v>
      </c>
      <c r="AQ126" s="989">
        <f t="shared" si="231"/>
        <v>13.619901954185238</v>
      </c>
    </row>
    <row r="127" spans="2:43" hidden="1" outlineLevel="1">
      <c r="B127" s="1025" t="s">
        <v>593</v>
      </c>
      <c r="C127" s="967"/>
      <c r="D127" s="967"/>
      <c r="E127" s="967"/>
      <c r="F127" s="967"/>
      <c r="G127" s="967"/>
      <c r="H127" s="967"/>
      <c r="I127" s="967"/>
      <c r="J127" s="967"/>
      <c r="K127" s="968"/>
      <c r="L127" s="967"/>
      <c r="M127" s="967"/>
      <c r="N127" s="967"/>
      <c r="O127" s="967"/>
      <c r="P127" s="967"/>
      <c r="Q127" s="989">
        <f t="shared" si="221"/>
        <v>3.4594273688538255</v>
      </c>
      <c r="R127" s="989">
        <f t="shared" si="221"/>
        <v>3.545913053075171</v>
      </c>
      <c r="S127" s="989">
        <f t="shared" si="221"/>
        <v>3.6345608794020499</v>
      </c>
      <c r="T127" s="989">
        <f t="shared" si="221"/>
        <v>3.7254249013871008</v>
      </c>
      <c r="U127" s="989">
        <f t="shared" si="221"/>
        <v>3.8185605239217781</v>
      </c>
      <c r="V127" s="989">
        <f t="shared" si="221"/>
        <v>3.9140245370198223</v>
      </c>
      <c r="W127" s="989">
        <f t="shared" si="221"/>
        <v>4.0118751504453174</v>
      </c>
      <c r="X127" s="989">
        <f t="shared" si="221"/>
        <v>4.1322314049586772</v>
      </c>
      <c r="Y127" s="989">
        <f t="shared" si="221"/>
        <v>4.545454545454545</v>
      </c>
      <c r="Z127" s="990">
        <v>5</v>
      </c>
      <c r="AA127" s="989">
        <f t="shared" si="222"/>
        <v>5.3000000000000007</v>
      </c>
      <c r="AB127" s="989">
        <f t="shared" si="222"/>
        <v>5.5650000000000013</v>
      </c>
      <c r="AC127" s="989">
        <f t="shared" si="222"/>
        <v>5.8432500000000012</v>
      </c>
      <c r="AD127" s="989">
        <f t="shared" si="222"/>
        <v>6.0769800000000016</v>
      </c>
      <c r="AE127" s="989">
        <f t="shared" si="222"/>
        <v>6.320059200000002</v>
      </c>
      <c r="AF127" s="989">
        <f t="shared" si="222"/>
        <v>6.6360621600000025</v>
      </c>
      <c r="AG127" s="989">
        <f t="shared" si="222"/>
        <v>6.9678652680000033</v>
      </c>
      <c r="AH127" s="989">
        <f t="shared" si="222"/>
        <v>7.3162585314000035</v>
      </c>
      <c r="AI127" s="989">
        <f t="shared" si="223"/>
        <v>7.6820714579700038</v>
      </c>
      <c r="AJ127" s="989">
        <f t="shared" si="224"/>
        <v>8.0661750308685036</v>
      </c>
      <c r="AK127" s="989">
        <f t="shared" si="225"/>
        <v>8.4694837824119293</v>
      </c>
      <c r="AL127" s="989">
        <f t="shared" si="226"/>
        <v>8.8929579715325264</v>
      </c>
      <c r="AM127" s="989">
        <f t="shared" si="227"/>
        <v>9.3376058701091527</v>
      </c>
      <c r="AN127" s="989">
        <f t="shared" si="228"/>
        <v>9.8044861636146106</v>
      </c>
      <c r="AO127" s="989">
        <f t="shared" si="229"/>
        <v>10.294710471795341</v>
      </c>
      <c r="AP127" s="989">
        <f t="shared" si="230"/>
        <v>10.809445995385108</v>
      </c>
      <c r="AQ127" s="989">
        <f t="shared" si="231"/>
        <v>11.349918295154364</v>
      </c>
    </row>
    <row r="128" spans="2:43" hidden="1" outlineLevel="1">
      <c r="B128" s="1025"/>
      <c r="C128" s="967"/>
      <c r="D128" s="967"/>
      <c r="E128" s="967"/>
      <c r="F128" s="967"/>
      <c r="G128" s="967"/>
      <c r="H128" s="967"/>
      <c r="I128" s="967"/>
      <c r="J128" s="967"/>
      <c r="K128" s="968"/>
      <c r="L128" s="967"/>
      <c r="M128" s="967"/>
      <c r="N128" s="967"/>
      <c r="O128" s="967"/>
      <c r="P128" s="967"/>
      <c r="Q128" s="967"/>
      <c r="R128" s="967"/>
      <c r="S128" s="967"/>
      <c r="T128" s="967"/>
      <c r="U128" s="967"/>
      <c r="V128" s="967"/>
      <c r="W128" s="967"/>
      <c r="X128" s="967"/>
      <c r="Y128" s="967"/>
      <c r="Z128" s="967"/>
      <c r="AA128" s="967"/>
      <c r="AB128" s="967"/>
      <c r="AC128" s="967"/>
      <c r="AD128" s="967"/>
      <c r="AE128" s="967"/>
      <c r="AF128" s="967"/>
      <c r="AG128" s="967"/>
      <c r="AH128" s="967"/>
      <c r="AI128" s="967"/>
      <c r="AJ128" s="967"/>
      <c r="AK128" s="967"/>
      <c r="AL128" s="967"/>
      <c r="AM128" s="967"/>
      <c r="AN128" s="967"/>
      <c r="AO128" s="967"/>
      <c r="AP128" s="967"/>
      <c r="AQ128" s="967"/>
    </row>
    <row r="129" spans="2:43" s="981" customFormat="1" hidden="1" outlineLevel="1">
      <c r="B129" s="1026" t="s">
        <v>594</v>
      </c>
      <c r="C129" s="982"/>
      <c r="D129" s="982"/>
      <c r="E129" s="982"/>
      <c r="F129" s="982"/>
      <c r="G129" s="982"/>
      <c r="H129" s="982"/>
      <c r="I129" s="982"/>
      <c r="J129" s="982"/>
      <c r="K129" s="983"/>
      <c r="L129" s="982"/>
      <c r="M129" s="982"/>
      <c r="N129" s="982"/>
      <c r="O129" s="992">
        <f t="shared" ref="O129:AA129" si="232">O37</f>
        <v>0.76</v>
      </c>
      <c r="P129" s="992">
        <f t="shared" si="232"/>
        <v>0.76</v>
      </c>
      <c r="Q129" s="992">
        <f t="shared" si="232"/>
        <v>0.76</v>
      </c>
      <c r="R129" s="992">
        <f t="shared" si="232"/>
        <v>0.76</v>
      </c>
      <c r="S129" s="992">
        <f t="shared" si="232"/>
        <v>0.76</v>
      </c>
      <c r="T129" s="992">
        <f t="shared" si="232"/>
        <v>0.76</v>
      </c>
      <c r="U129" s="992">
        <f t="shared" si="232"/>
        <v>0.76</v>
      </c>
      <c r="V129" s="992">
        <f t="shared" si="232"/>
        <v>0.76</v>
      </c>
      <c r="W129" s="992">
        <f t="shared" si="232"/>
        <v>0.76</v>
      </c>
      <c r="X129" s="992">
        <f t="shared" si="232"/>
        <v>0.76</v>
      </c>
      <c r="Y129" s="992">
        <f t="shared" si="232"/>
        <v>0.76</v>
      </c>
      <c r="Z129" s="992">
        <f t="shared" si="232"/>
        <v>0.76</v>
      </c>
      <c r="AA129" s="992">
        <f t="shared" si="232"/>
        <v>0.76</v>
      </c>
      <c r="AB129" s="992">
        <f>AB37</f>
        <v>0.76</v>
      </c>
      <c r="AC129" s="992">
        <f t="shared" ref="AC129:AQ129" si="233">AC37</f>
        <v>0.76</v>
      </c>
      <c r="AD129" s="992">
        <f t="shared" si="233"/>
        <v>0.76</v>
      </c>
      <c r="AE129" s="992">
        <f t="shared" si="233"/>
        <v>0.76</v>
      </c>
      <c r="AF129" s="992">
        <f t="shared" si="233"/>
        <v>0.76</v>
      </c>
      <c r="AG129" s="992">
        <f t="shared" si="233"/>
        <v>0.76</v>
      </c>
      <c r="AH129" s="992">
        <f t="shared" si="233"/>
        <v>0.76</v>
      </c>
      <c r="AI129" s="992">
        <f t="shared" si="233"/>
        <v>0.76</v>
      </c>
      <c r="AJ129" s="992">
        <f t="shared" si="233"/>
        <v>0.76</v>
      </c>
      <c r="AK129" s="992">
        <f t="shared" si="233"/>
        <v>0.76</v>
      </c>
      <c r="AL129" s="992">
        <f t="shared" si="233"/>
        <v>0.76</v>
      </c>
      <c r="AM129" s="992">
        <f t="shared" si="233"/>
        <v>0.76</v>
      </c>
      <c r="AN129" s="992">
        <f t="shared" si="233"/>
        <v>0.76</v>
      </c>
      <c r="AO129" s="992">
        <f t="shared" si="233"/>
        <v>0.76</v>
      </c>
      <c r="AP129" s="992">
        <f t="shared" si="233"/>
        <v>0.76</v>
      </c>
      <c r="AQ129" s="992">
        <f t="shared" si="233"/>
        <v>0.76</v>
      </c>
    </row>
    <row r="130" spans="2:43" collapsed="1">
      <c r="B130" s="1025"/>
      <c r="C130" s="967"/>
      <c r="D130" s="967"/>
      <c r="E130" s="967"/>
      <c r="F130" s="967"/>
      <c r="G130" s="967"/>
      <c r="H130" s="967"/>
      <c r="I130" s="967"/>
      <c r="J130" s="967"/>
      <c r="K130" s="968"/>
      <c r="L130" s="967"/>
      <c r="M130" s="967"/>
      <c r="N130" s="967"/>
      <c r="O130" s="967"/>
      <c r="P130" s="967"/>
      <c r="Q130" s="967"/>
      <c r="R130" s="967"/>
      <c r="S130" s="967"/>
      <c r="T130" s="967"/>
      <c r="U130" s="967"/>
      <c r="V130" s="967"/>
      <c r="W130" s="967"/>
      <c r="X130" s="967"/>
      <c r="Y130" s="967"/>
      <c r="Z130" s="967"/>
      <c r="AA130" s="967"/>
      <c r="AB130" s="967"/>
      <c r="AC130" s="967"/>
      <c r="AD130" s="967"/>
      <c r="AE130" s="967"/>
      <c r="AF130" s="967"/>
      <c r="AG130" s="967"/>
      <c r="AH130" s="967"/>
      <c r="AI130" s="967"/>
      <c r="AJ130" s="967"/>
      <c r="AK130" s="967"/>
      <c r="AL130" s="967"/>
      <c r="AM130" s="967"/>
      <c r="AN130" s="967"/>
      <c r="AO130" s="967"/>
      <c r="AP130" s="967"/>
      <c r="AQ130" s="967"/>
    </row>
    <row r="131" spans="2:43">
      <c r="B131" s="1025" t="s">
        <v>595</v>
      </c>
      <c r="C131" s="967"/>
      <c r="D131" s="967"/>
      <c r="E131" s="967"/>
      <c r="F131" s="967"/>
      <c r="G131" s="967"/>
      <c r="H131" s="967"/>
      <c r="I131" s="967"/>
      <c r="J131" s="967"/>
      <c r="K131" s="968"/>
      <c r="L131" s="967"/>
      <c r="M131" s="967"/>
      <c r="N131" s="967"/>
      <c r="O131" s="967"/>
      <c r="P131" s="967"/>
      <c r="Q131" s="976">
        <f>Q121*Q125*Q$129</f>
        <v>184.63046893829721</v>
      </c>
      <c r="R131" s="976">
        <f t="shared" ref="R131:AE131" si="234">R121*R125*R$129</f>
        <v>231.93335035989475</v>
      </c>
      <c r="S131" s="976">
        <f t="shared" si="234"/>
        <v>256.69187978481602</v>
      </c>
      <c r="T131" s="976">
        <f t="shared" si="234"/>
        <v>316.92696293886661</v>
      </c>
      <c r="U131" s="976">
        <f t="shared" si="234"/>
        <v>329.44707291345622</v>
      </c>
      <c r="V131" s="976">
        <f t="shared" si="234"/>
        <v>361.2425462295223</v>
      </c>
      <c r="W131" s="976">
        <f t="shared" si="234"/>
        <v>363.83406884377752</v>
      </c>
      <c r="X131" s="976">
        <f t="shared" si="234"/>
        <v>409.57090909090908</v>
      </c>
      <c r="Y131" s="976">
        <f t="shared" si="234"/>
        <v>497.95200000000006</v>
      </c>
      <c r="Z131" s="976">
        <f t="shared" si="234"/>
        <v>608.94240000000002</v>
      </c>
      <c r="AA131" s="976">
        <f t="shared" si="234"/>
        <v>673.12713600000006</v>
      </c>
      <c r="AB131" s="976">
        <f t="shared" si="234"/>
        <v>666.58727520000025</v>
      </c>
      <c r="AC131" s="976">
        <f t="shared" si="234"/>
        <v>541.64403216000017</v>
      </c>
      <c r="AD131" s="976">
        <f t="shared" si="234"/>
        <v>412.11842031360004</v>
      </c>
      <c r="AE131" s="976">
        <f t="shared" si="234"/>
        <v>344.91141638553609</v>
      </c>
      <c r="AF131" s="976">
        <f t="shared" ref="AF131:AG131" si="235">AF121*AF125*AF$129</f>
        <v>375.47158232263689</v>
      </c>
      <c r="AG131" s="976">
        <f t="shared" si="235"/>
        <v>402.6333563629978</v>
      </c>
      <c r="AH131" s="976">
        <f t="shared" ref="AH131:AQ131" si="236">AH121*AH125*AH$129</f>
        <v>434.50849707506859</v>
      </c>
      <c r="AI131" s="976">
        <f t="shared" si="236"/>
        <v>462.39924519813042</v>
      </c>
      <c r="AJ131" s="976">
        <f t="shared" si="236"/>
        <v>459.62484972694165</v>
      </c>
      <c r="AK131" s="976">
        <f t="shared" si="236"/>
        <v>407.83613426475114</v>
      </c>
      <c r="AL131" s="976">
        <f t="shared" si="236"/>
        <v>339.01378660757439</v>
      </c>
      <c r="AM131" s="976">
        <f t="shared" si="236"/>
        <v>281.02458626680504</v>
      </c>
      <c r="AN131" s="976">
        <f t="shared" si="236"/>
        <v>177.04548934808722</v>
      </c>
      <c r="AO131" s="976">
        <f t="shared" si="236"/>
        <v>82.621228362440718</v>
      </c>
      <c r="AP131" s="976">
        <f t="shared" si="236"/>
        <v>0</v>
      </c>
      <c r="AQ131" s="976">
        <f t="shared" si="236"/>
        <v>0</v>
      </c>
    </row>
    <row r="132" spans="2:43">
      <c r="B132" s="1025" t="s">
        <v>596</v>
      </c>
      <c r="C132" s="967"/>
      <c r="D132" s="967"/>
      <c r="E132" s="967"/>
      <c r="F132" s="967"/>
      <c r="G132" s="967"/>
      <c r="H132" s="967"/>
      <c r="I132" s="967"/>
      <c r="J132" s="967"/>
      <c r="K132" s="968"/>
      <c r="L132" s="967"/>
      <c r="M132" s="967"/>
      <c r="N132" s="967"/>
      <c r="O132" s="967"/>
      <c r="P132" s="967"/>
      <c r="Q132" s="976">
        <f t="shared" ref="Q132:AE133" si="237">Q122*Q126*Q$129</f>
        <v>140.55515022558339</v>
      </c>
      <c r="R132" s="976">
        <f t="shared" si="237"/>
        <v>192.09203864163067</v>
      </c>
      <c r="S132" s="976">
        <f t="shared" si="237"/>
        <v>229.71006287561661</v>
      </c>
      <c r="T132" s="976">
        <f t="shared" si="237"/>
        <v>269.08893079715097</v>
      </c>
      <c r="U132" s="976">
        <f t="shared" si="237"/>
        <v>305.69623742434658</v>
      </c>
      <c r="V132" s="976">
        <f t="shared" si="237"/>
        <v>384.01653283964436</v>
      </c>
      <c r="W132" s="976">
        <f t="shared" si="237"/>
        <v>425.009708737864</v>
      </c>
      <c r="X132" s="976">
        <f t="shared" si="237"/>
        <v>527.30181818181825</v>
      </c>
      <c r="Y132" s="976">
        <f t="shared" si="237"/>
        <v>588.24</v>
      </c>
      <c r="Z132" s="976">
        <f t="shared" si="237"/>
        <v>692.20800000000008</v>
      </c>
      <c r="AA132" s="976">
        <f t="shared" si="237"/>
        <v>720.97977600000002</v>
      </c>
      <c r="AB132" s="976">
        <f t="shared" si="237"/>
        <v>827.37214560000007</v>
      </c>
      <c r="AC132" s="976">
        <f t="shared" si="237"/>
        <v>960.18714792000026</v>
      </c>
      <c r="AD132" s="976">
        <f t="shared" si="237"/>
        <v>1110.1592357856002</v>
      </c>
      <c r="AE132" s="976">
        <f t="shared" si="237"/>
        <v>1204.0198156546564</v>
      </c>
      <c r="AF132" s="976">
        <f t="shared" ref="AF132:AG132" si="238">AF122*AF126*AF$129</f>
        <v>1192.3219928011397</v>
      </c>
      <c r="AG132" s="976">
        <f t="shared" si="238"/>
        <v>968.83651374846386</v>
      </c>
      <c r="AH132" s="976">
        <f t="shared" ref="AH132:AQ132" si="239">AH122*AH126*AH$129</f>
        <v>744.24259465222906</v>
      </c>
      <c r="AI132" s="976">
        <f t="shared" si="239"/>
        <v>628.86297346945753</v>
      </c>
      <c r="AJ132" s="976">
        <f t="shared" si="239"/>
        <v>684.58208251583221</v>
      </c>
      <c r="AK132" s="976">
        <f t="shared" si="239"/>
        <v>734.10504167655199</v>
      </c>
      <c r="AL132" s="976">
        <f t="shared" si="239"/>
        <v>792.22169080927915</v>
      </c>
      <c r="AM132" s="976">
        <f t="shared" si="239"/>
        <v>843.07375880041525</v>
      </c>
      <c r="AN132" s="976">
        <f t="shared" si="239"/>
        <v>838.01531624761276</v>
      </c>
      <c r="AO132" s="976">
        <f t="shared" si="239"/>
        <v>743.59105526196629</v>
      </c>
      <c r="AP132" s="976">
        <f t="shared" si="239"/>
        <v>618.11006468650953</v>
      </c>
      <c r="AQ132" s="976">
        <f t="shared" si="239"/>
        <v>512.38071151644863</v>
      </c>
    </row>
    <row r="133" spans="2:43">
      <c r="B133" s="1025" t="s">
        <v>597</v>
      </c>
      <c r="C133" s="967"/>
      <c r="D133" s="967"/>
      <c r="E133" s="967"/>
      <c r="F133" s="967"/>
      <c r="G133" s="967"/>
      <c r="H133" s="967"/>
      <c r="I133" s="967"/>
      <c r="J133" s="967"/>
      <c r="K133" s="968"/>
      <c r="L133" s="967"/>
      <c r="M133" s="967"/>
      <c r="N133" s="967"/>
      <c r="O133" s="967"/>
      <c r="P133" s="967"/>
      <c r="Q133" s="976">
        <f t="shared" si="237"/>
        <v>0</v>
      </c>
      <c r="R133" s="976">
        <f t="shared" si="237"/>
        <v>0</v>
      </c>
      <c r="S133" s="976">
        <f t="shared" si="237"/>
        <v>0</v>
      </c>
      <c r="T133" s="976">
        <f t="shared" si="237"/>
        <v>0</v>
      </c>
      <c r="U133" s="976">
        <f t="shared" si="237"/>
        <v>0</v>
      </c>
      <c r="V133" s="976">
        <f t="shared" si="237"/>
        <v>0</v>
      </c>
      <c r="W133" s="976">
        <f t="shared" si="237"/>
        <v>135.83406884377754</v>
      </c>
      <c r="X133" s="976">
        <f t="shared" si="237"/>
        <v>186.54545454545453</v>
      </c>
      <c r="Y133" s="976">
        <f t="shared" si="237"/>
        <v>239.39999999999995</v>
      </c>
      <c r="Z133" s="976">
        <f t="shared" si="237"/>
        <v>300.96000000000009</v>
      </c>
      <c r="AA133" s="976">
        <f t="shared" si="237"/>
        <v>353.57784000000009</v>
      </c>
      <c r="AB133" s="976">
        <f t="shared" si="237"/>
        <v>454.99885200000017</v>
      </c>
      <c r="AC133" s="976">
        <f t="shared" si="237"/>
        <v>515.85145920000014</v>
      </c>
      <c r="AD133" s="976">
        <f t="shared" si="237"/>
        <v>646.22119161600028</v>
      </c>
      <c r="AE133" s="976">
        <f t="shared" si="237"/>
        <v>681.58046436480026</v>
      </c>
      <c r="AF133" s="976">
        <f t="shared" ref="AF133:AG133" si="240">AF123*AF127*AF$129</f>
        <v>765.58921927488029</v>
      </c>
      <c r="AG133" s="976">
        <f t="shared" si="240"/>
        <v>789.88835536490922</v>
      </c>
      <c r="AH133" s="976">
        <f t="shared" ref="AH133:AQ133" si="241">AH123*AH127*AH$129</f>
        <v>906.44931399950974</v>
      </c>
      <c r="AI133" s="976">
        <f t="shared" si="241"/>
        <v>1051.9582828257469</v>
      </c>
      <c r="AJ133" s="976">
        <f t="shared" si="241"/>
        <v>1227.9589955292852</v>
      </c>
      <c r="AK133" s="976">
        <f t="shared" si="241"/>
        <v>1344.5847551541012</v>
      </c>
      <c r="AL133" s="976">
        <f t="shared" si="241"/>
        <v>1331.5212539784336</v>
      </c>
      <c r="AM133" s="976">
        <f t="shared" si="241"/>
        <v>1081.9446571271994</v>
      </c>
      <c r="AN133" s="976">
        <f t="shared" si="241"/>
        <v>831.13021388407606</v>
      </c>
      <c r="AO133" s="976">
        <f t="shared" si="241"/>
        <v>702.28044108074585</v>
      </c>
      <c r="AP133" s="976">
        <f t="shared" si="241"/>
        <v>764.50455369120903</v>
      </c>
      <c r="AQ133" s="976">
        <f t="shared" si="241"/>
        <v>819.80913842631776</v>
      </c>
    </row>
    <row r="134" spans="2:43">
      <c r="B134" s="1025" t="s">
        <v>601</v>
      </c>
      <c r="C134" s="967"/>
      <c r="D134" s="967"/>
      <c r="E134" s="967"/>
      <c r="F134" s="967"/>
      <c r="G134" s="967"/>
      <c r="H134" s="967"/>
      <c r="I134" s="967"/>
      <c r="J134" s="967"/>
      <c r="K134" s="968"/>
      <c r="L134" s="967"/>
      <c r="M134" s="967"/>
      <c r="N134" s="967"/>
      <c r="O134" s="967"/>
      <c r="P134" s="967"/>
      <c r="Q134" s="976">
        <f>Q10*Q19*Q37*Q46</f>
        <v>370.97023465304892</v>
      </c>
      <c r="R134" s="976">
        <f t="shared" ref="R134:AE134" si="242">R10*R19*R37*R46</f>
        <v>424.41430507465611</v>
      </c>
      <c r="S134" s="976">
        <f t="shared" si="242"/>
        <v>421.24560098699465</v>
      </c>
      <c r="T134" s="976">
        <f t="shared" si="242"/>
        <v>326.8590282424787</v>
      </c>
      <c r="U134" s="976">
        <f t="shared" si="242"/>
        <v>177.85569962700305</v>
      </c>
      <c r="V134" s="976">
        <f t="shared" si="242"/>
        <v>190.78125919291895</v>
      </c>
      <c r="W134" s="976">
        <f t="shared" si="242"/>
        <v>208.58751005092469</v>
      </c>
      <c r="X134" s="976">
        <f t="shared" si="242"/>
        <v>213.80219780219781</v>
      </c>
      <c r="Y134" s="976">
        <f t="shared" si="242"/>
        <v>280.61538461538464</v>
      </c>
      <c r="Z134" s="976">
        <f t="shared" si="242"/>
        <v>379.392</v>
      </c>
      <c r="AA134" s="976">
        <f t="shared" si="242"/>
        <v>316.16000000000003</v>
      </c>
      <c r="AB134" s="976">
        <f t="shared" si="242"/>
        <v>263.04512000000005</v>
      </c>
      <c r="AC134" s="976">
        <f t="shared" si="242"/>
        <v>205.17519360000006</v>
      </c>
      <c r="AD134" s="976">
        <f t="shared" si="242"/>
        <v>142.25480089600006</v>
      </c>
      <c r="AE134" s="976">
        <f t="shared" si="242"/>
        <v>118.35599434547204</v>
      </c>
      <c r="AF134" s="976">
        <f t="shared" ref="AF134:AG134" si="243">AF10*AF19*AF37*AF46</f>
        <v>0</v>
      </c>
      <c r="AG134" s="976">
        <f t="shared" si="243"/>
        <v>0</v>
      </c>
      <c r="AH134" s="976">
        <f t="shared" ref="AH134:AQ134" si="244">AH10*AH19*AH37*AH46</f>
        <v>0</v>
      </c>
      <c r="AI134" s="976">
        <f t="shared" si="244"/>
        <v>0</v>
      </c>
      <c r="AJ134" s="976">
        <f t="shared" si="244"/>
        <v>0</v>
      </c>
      <c r="AK134" s="976">
        <f t="shared" si="244"/>
        <v>0</v>
      </c>
      <c r="AL134" s="976">
        <f t="shared" si="244"/>
        <v>0</v>
      </c>
      <c r="AM134" s="976">
        <f t="shared" si="244"/>
        <v>0</v>
      </c>
      <c r="AN134" s="976">
        <f t="shared" si="244"/>
        <v>0</v>
      </c>
      <c r="AO134" s="976">
        <f t="shared" si="244"/>
        <v>0</v>
      </c>
      <c r="AP134" s="976">
        <f t="shared" si="244"/>
        <v>0</v>
      </c>
      <c r="AQ134" s="976">
        <f t="shared" si="244"/>
        <v>0</v>
      </c>
    </row>
    <row r="135" spans="2:43" s="961" customFormat="1" ht="12">
      <c r="B135" s="978" t="s">
        <v>603</v>
      </c>
      <c r="C135" s="978"/>
      <c r="D135" s="978"/>
      <c r="E135" s="978"/>
      <c r="F135" s="978"/>
      <c r="G135" s="978"/>
      <c r="H135" s="978"/>
      <c r="I135" s="978"/>
      <c r="J135" s="978"/>
      <c r="K135" s="979"/>
      <c r="L135" s="978"/>
      <c r="M135" s="978"/>
      <c r="N135" s="978"/>
      <c r="O135" s="978"/>
      <c r="P135" s="978"/>
      <c r="Q135" s="980">
        <f>SUM(Q131:Q134)</f>
        <v>696.15585381692949</v>
      </c>
      <c r="R135" s="980">
        <f t="shared" ref="R135:AE135" si="245">SUM(R131:R134)</f>
        <v>848.43969407618147</v>
      </c>
      <c r="S135" s="980">
        <f t="shared" si="245"/>
        <v>907.64754364742726</v>
      </c>
      <c r="T135" s="980">
        <f t="shared" si="245"/>
        <v>912.87492197849633</v>
      </c>
      <c r="U135" s="980">
        <f t="shared" si="245"/>
        <v>812.99900996480596</v>
      </c>
      <c r="V135" s="980">
        <f t="shared" si="245"/>
        <v>936.04033826208558</v>
      </c>
      <c r="W135" s="980">
        <f t="shared" si="245"/>
        <v>1133.2653564763436</v>
      </c>
      <c r="X135" s="980">
        <f t="shared" si="245"/>
        <v>1337.2203796203796</v>
      </c>
      <c r="Y135" s="980">
        <f t="shared" si="245"/>
        <v>1606.2073846153844</v>
      </c>
      <c r="Z135" s="980">
        <f t="shared" si="245"/>
        <v>1981.5024000000001</v>
      </c>
      <c r="AA135" s="980">
        <f t="shared" si="245"/>
        <v>2063.8447520000004</v>
      </c>
      <c r="AB135" s="980">
        <f t="shared" si="245"/>
        <v>2212.0033928000007</v>
      </c>
      <c r="AC135" s="980">
        <f t="shared" si="245"/>
        <v>2222.8578328800004</v>
      </c>
      <c r="AD135" s="980">
        <f t="shared" si="245"/>
        <v>2310.7536486112008</v>
      </c>
      <c r="AE135" s="980">
        <f t="shared" si="245"/>
        <v>2348.867690750465</v>
      </c>
      <c r="AF135" s="980">
        <f t="shared" ref="AF135:AG135" si="246">SUM(AF131:AF134)</f>
        <v>2333.3827943986566</v>
      </c>
      <c r="AG135" s="980">
        <f t="shared" si="246"/>
        <v>2161.358225476371</v>
      </c>
      <c r="AH135" s="980">
        <f t="shared" ref="AH135:AQ135" si="247">SUM(AH131:AH134)</f>
        <v>2085.2004057268073</v>
      </c>
      <c r="AI135" s="980">
        <f t="shared" si="247"/>
        <v>2143.2205014933352</v>
      </c>
      <c r="AJ135" s="980">
        <f t="shared" si="247"/>
        <v>2372.1659277720591</v>
      </c>
      <c r="AK135" s="980">
        <f t="shared" si="247"/>
        <v>2486.5259310954043</v>
      </c>
      <c r="AL135" s="980">
        <f t="shared" si="247"/>
        <v>2462.7567313952868</v>
      </c>
      <c r="AM135" s="980">
        <f t="shared" si="247"/>
        <v>2206.0430021944194</v>
      </c>
      <c r="AN135" s="980">
        <f t="shared" si="247"/>
        <v>1846.1910194797761</v>
      </c>
      <c r="AO135" s="980">
        <f t="shared" si="247"/>
        <v>1528.4927247051528</v>
      </c>
      <c r="AP135" s="980">
        <f t="shared" si="247"/>
        <v>1382.6146183777187</v>
      </c>
      <c r="AQ135" s="980">
        <f t="shared" si="247"/>
        <v>1332.1898499427664</v>
      </c>
    </row>
    <row r="136" spans="2:43" s="981" customFormat="1">
      <c r="B136" s="1026" t="s">
        <v>600</v>
      </c>
      <c r="C136" s="982"/>
      <c r="D136" s="982"/>
      <c r="E136" s="982"/>
      <c r="F136" s="982"/>
      <c r="G136" s="982"/>
      <c r="H136" s="982"/>
      <c r="I136" s="982"/>
      <c r="J136" s="982"/>
      <c r="K136" s="983"/>
      <c r="L136" s="982"/>
      <c r="M136" s="982"/>
      <c r="N136" s="982"/>
      <c r="O136" s="982"/>
      <c r="P136" s="982"/>
      <c r="Q136" s="982"/>
      <c r="R136" s="987">
        <v>2.5000000000000001E-2</v>
      </c>
      <c r="S136" s="987">
        <v>2.5000000000000001E-2</v>
      </c>
      <c r="T136" s="987">
        <v>2.5000000000000001E-2</v>
      </c>
      <c r="U136" s="987">
        <v>2.5000000000000001E-2</v>
      </c>
      <c r="V136" s="987">
        <v>2.5000000000000001E-2</v>
      </c>
      <c r="W136" s="987">
        <v>2.5000000000000001E-2</v>
      </c>
      <c r="X136" s="987">
        <v>0.03</v>
      </c>
      <c r="Y136" s="987">
        <v>0.1</v>
      </c>
      <c r="Z136" s="987">
        <v>0.1</v>
      </c>
      <c r="AA136" s="987">
        <v>0.06</v>
      </c>
      <c r="AB136" s="987">
        <v>0.05</v>
      </c>
      <c r="AC136" s="987">
        <v>0.05</v>
      </c>
      <c r="AD136" s="987">
        <v>0.04</v>
      </c>
      <c r="AE136" s="987">
        <v>0.04</v>
      </c>
      <c r="AF136" s="987">
        <v>0.05</v>
      </c>
      <c r="AG136" s="987">
        <v>0.05</v>
      </c>
      <c r="AH136" s="987">
        <v>0.05</v>
      </c>
      <c r="AI136" s="987">
        <v>0.05</v>
      </c>
      <c r="AJ136" s="987">
        <v>0.05</v>
      </c>
      <c r="AK136" s="987">
        <v>0.05</v>
      </c>
      <c r="AL136" s="987">
        <v>0.05</v>
      </c>
      <c r="AM136" s="987">
        <v>0.05</v>
      </c>
      <c r="AN136" s="987">
        <v>0.05</v>
      </c>
      <c r="AO136" s="987">
        <v>0.05</v>
      </c>
      <c r="AP136" s="987">
        <v>0.05</v>
      </c>
      <c r="AQ136" s="987">
        <v>0.05</v>
      </c>
    </row>
    <row r="137" spans="2:43">
      <c r="B137" s="1025"/>
      <c r="C137" s="967"/>
      <c r="D137" s="967"/>
      <c r="E137" s="967"/>
      <c r="F137" s="967"/>
      <c r="G137" s="967"/>
      <c r="H137" s="967"/>
      <c r="I137" s="967"/>
      <c r="J137" s="967"/>
      <c r="K137" s="968"/>
      <c r="L137" s="967"/>
      <c r="M137" s="967"/>
      <c r="N137" s="967"/>
      <c r="O137" s="967"/>
      <c r="P137" s="967"/>
      <c r="Q137" s="967"/>
      <c r="R137" s="993"/>
      <c r="S137" s="993"/>
      <c r="T137" s="993"/>
      <c r="U137" s="993"/>
      <c r="V137" s="993"/>
      <c r="W137" s="993"/>
      <c r="X137" s="993"/>
      <c r="Y137" s="993"/>
      <c r="Z137" s="993"/>
      <c r="AA137" s="993"/>
      <c r="AB137" s="993"/>
      <c r="AC137" s="993"/>
      <c r="AD137" s="993"/>
      <c r="AE137" s="993"/>
      <c r="AF137" s="993"/>
      <c r="AG137" s="993"/>
      <c r="AH137" s="993"/>
      <c r="AI137" s="993"/>
      <c r="AJ137" s="993"/>
      <c r="AK137" s="993"/>
      <c r="AL137" s="993"/>
      <c r="AM137" s="993"/>
      <c r="AN137" s="993"/>
      <c r="AO137" s="993"/>
      <c r="AP137" s="993"/>
      <c r="AQ137" s="993"/>
    </row>
    <row r="138" spans="2:43" ht="12">
      <c r="B138" s="1024" t="s">
        <v>574</v>
      </c>
      <c r="C138" s="1015"/>
      <c r="D138" s="1015"/>
      <c r="E138" s="1015"/>
      <c r="F138" s="1015"/>
      <c r="G138" s="1015"/>
      <c r="H138" s="1015"/>
      <c r="I138" s="1015"/>
      <c r="J138" s="1015"/>
      <c r="K138" s="1016"/>
      <c r="L138" s="1015"/>
      <c r="M138" s="1015"/>
      <c r="N138" s="1015"/>
      <c r="O138" s="1015"/>
      <c r="P138" s="1015"/>
      <c r="Q138" s="1015"/>
      <c r="R138" s="1015"/>
      <c r="S138" s="1015"/>
      <c r="T138" s="1015"/>
      <c r="U138" s="1015"/>
      <c r="V138" s="1015"/>
      <c r="W138" s="1015"/>
      <c r="X138" s="1015"/>
      <c r="Y138" s="1015"/>
      <c r="Z138" s="1015"/>
      <c r="AA138" s="1017"/>
      <c r="AB138" s="1015"/>
      <c r="AC138" s="1015"/>
      <c r="AD138" s="1015"/>
      <c r="AE138" s="1015"/>
      <c r="AF138" s="1015"/>
      <c r="AG138" s="1015"/>
      <c r="AH138" s="1015"/>
      <c r="AI138" s="1015"/>
      <c r="AJ138" s="1015"/>
      <c r="AK138" s="1015"/>
      <c r="AL138" s="1015"/>
      <c r="AM138" s="1015"/>
      <c r="AN138" s="1015"/>
      <c r="AO138" s="1015"/>
      <c r="AP138" s="1015"/>
      <c r="AQ138" s="1015"/>
    </row>
    <row r="139" spans="2:43" hidden="1" outlineLevel="1">
      <c r="B139" s="1025" t="s">
        <v>588</v>
      </c>
      <c r="C139" s="976"/>
      <c r="D139" s="976"/>
      <c r="E139" s="976"/>
      <c r="F139" s="976"/>
      <c r="G139" s="976"/>
      <c r="H139" s="976"/>
      <c r="I139" s="976"/>
      <c r="J139" s="976"/>
      <c r="K139" s="988"/>
      <c r="L139" s="976"/>
      <c r="M139" s="976">
        <f>E11*0.33+D11*0.33+C11*0.33</f>
        <v>34.650000000000006</v>
      </c>
      <c r="N139" s="976">
        <f t="shared" ref="N139:AH139" si="248">F11*0.33+E11*0.33+D11*0.33</f>
        <v>49.5</v>
      </c>
      <c r="O139" s="976">
        <f t="shared" si="248"/>
        <v>59.400000000000006</v>
      </c>
      <c r="P139" s="976">
        <f t="shared" si="248"/>
        <v>69.3</v>
      </c>
      <c r="Q139" s="976">
        <f t="shared" si="248"/>
        <v>82.5</v>
      </c>
      <c r="R139" s="976">
        <f t="shared" si="248"/>
        <v>106.92000000000002</v>
      </c>
      <c r="S139" s="976">
        <f t="shared" si="248"/>
        <v>116.82000000000001</v>
      </c>
      <c r="T139" s="976">
        <f t="shared" si="248"/>
        <v>106.92000000000002</v>
      </c>
      <c r="U139" s="976">
        <f t="shared" si="248"/>
        <v>74.580000000000013</v>
      </c>
      <c r="V139" s="976">
        <f t="shared" si="248"/>
        <v>60.06</v>
      </c>
      <c r="W139" s="976">
        <f t="shared" si="248"/>
        <v>92.070000000000007</v>
      </c>
      <c r="X139" s="976">
        <f t="shared" si="248"/>
        <v>119.78999999999999</v>
      </c>
      <c r="Y139" s="976">
        <f t="shared" si="248"/>
        <v>141.89999999999998</v>
      </c>
      <c r="Z139" s="976">
        <f t="shared" si="248"/>
        <v>129.36000000000001</v>
      </c>
      <c r="AA139" s="976">
        <f t="shared" si="248"/>
        <v>125.07000000000001</v>
      </c>
      <c r="AB139" s="976">
        <f t="shared" si="248"/>
        <v>108.9</v>
      </c>
      <c r="AC139" s="976">
        <f t="shared" si="248"/>
        <v>89.76</v>
      </c>
      <c r="AD139" s="976">
        <f t="shared" si="248"/>
        <v>57.09</v>
      </c>
      <c r="AE139" s="976">
        <f t="shared" si="248"/>
        <v>29.37</v>
      </c>
      <c r="AF139" s="976">
        <f t="shared" si="248"/>
        <v>5.94</v>
      </c>
      <c r="AG139" s="976">
        <f t="shared" si="248"/>
        <v>0</v>
      </c>
      <c r="AH139" s="976">
        <f t="shared" si="248"/>
        <v>0</v>
      </c>
      <c r="AI139" s="976">
        <f t="shared" ref="AI139" si="249">AA11*0.33+Z11*0.33+Y11*0.33</f>
        <v>0</v>
      </c>
      <c r="AJ139" s="976">
        <f t="shared" ref="AJ139" si="250">AB11*0.33+AA11*0.33+Z11*0.33</f>
        <v>0</v>
      </c>
      <c r="AK139" s="976">
        <f t="shared" ref="AK139" si="251">AC11*0.33+AB11*0.33+AA11*0.33</f>
        <v>0</v>
      </c>
      <c r="AL139" s="976">
        <f t="shared" ref="AL139" si="252">AD11*0.33+AC11*0.33+AB11*0.33</f>
        <v>0</v>
      </c>
      <c r="AM139" s="976">
        <f t="shared" ref="AM139" si="253">AE11*0.33+AD11*0.33+AC11*0.33</f>
        <v>0</v>
      </c>
      <c r="AN139" s="976">
        <f t="shared" ref="AN139" si="254">AF11*0.33+AE11*0.33+AD11*0.33</f>
        <v>0</v>
      </c>
      <c r="AO139" s="976">
        <f t="shared" ref="AO139" si="255">AG11*0.33+AF11*0.33+AE11*0.33</f>
        <v>0</v>
      </c>
      <c r="AP139" s="976">
        <f t="shared" ref="AP139" si="256">AH11*0.33+AG11*0.33+AF11*0.33</f>
        <v>0</v>
      </c>
      <c r="AQ139" s="976">
        <f t="shared" ref="AQ139" si="257">AI11*0.33+AH11*0.33+AG11*0.33</f>
        <v>0</v>
      </c>
    </row>
    <row r="140" spans="2:43" hidden="1" outlineLevel="1">
      <c r="B140" s="1025" t="s">
        <v>589</v>
      </c>
      <c r="C140" s="976"/>
      <c r="D140" s="976"/>
      <c r="E140" s="976"/>
      <c r="F140" s="976"/>
      <c r="G140" s="976"/>
      <c r="H140" s="976"/>
      <c r="I140" s="976"/>
      <c r="J140" s="976"/>
      <c r="K140" s="988"/>
      <c r="L140" s="976"/>
      <c r="M140" s="976"/>
      <c r="N140" s="976"/>
      <c r="O140" s="976"/>
      <c r="P140" s="976"/>
      <c r="Q140" s="976">
        <f>E11*0.33+D11*0.33+C11*0.33</f>
        <v>34.650000000000006</v>
      </c>
      <c r="R140" s="976">
        <f t="shared" ref="R140:AH140" si="258">F11</f>
        <v>60</v>
      </c>
      <c r="S140" s="976">
        <f t="shared" si="258"/>
        <v>70</v>
      </c>
      <c r="T140" s="976">
        <f t="shared" si="258"/>
        <v>80</v>
      </c>
      <c r="U140" s="976">
        <f t="shared" si="258"/>
        <v>100</v>
      </c>
      <c r="V140" s="976">
        <f t="shared" si="258"/>
        <v>144</v>
      </c>
      <c r="W140" s="976">
        <f t="shared" si="258"/>
        <v>110</v>
      </c>
      <c r="X140" s="976">
        <f t="shared" si="258"/>
        <v>70</v>
      </c>
      <c r="Y140" s="976">
        <f t="shared" si="258"/>
        <v>46</v>
      </c>
      <c r="Z140" s="976">
        <f t="shared" si="258"/>
        <v>66</v>
      </c>
      <c r="AA140" s="976">
        <f t="shared" si="258"/>
        <v>167</v>
      </c>
      <c r="AB140" s="976">
        <f t="shared" si="258"/>
        <v>130</v>
      </c>
      <c r="AC140" s="976">
        <f t="shared" si="258"/>
        <v>133</v>
      </c>
      <c r="AD140" s="976">
        <f t="shared" si="258"/>
        <v>129</v>
      </c>
      <c r="AE140" s="976">
        <f t="shared" si="258"/>
        <v>117</v>
      </c>
      <c r="AF140" s="976">
        <f t="shared" si="258"/>
        <v>84</v>
      </c>
      <c r="AG140" s="976">
        <f t="shared" si="258"/>
        <v>71</v>
      </c>
      <c r="AH140" s="976">
        <f t="shared" si="258"/>
        <v>18</v>
      </c>
      <c r="AI140" s="976">
        <f t="shared" ref="AI140" si="259">W11</f>
        <v>0</v>
      </c>
      <c r="AJ140" s="976">
        <f t="shared" ref="AJ140" si="260">X11</f>
        <v>0</v>
      </c>
      <c r="AK140" s="976">
        <f t="shared" ref="AK140" si="261">Y11</f>
        <v>0</v>
      </c>
      <c r="AL140" s="976">
        <f t="shared" ref="AL140" si="262">Z11</f>
        <v>0</v>
      </c>
      <c r="AM140" s="976">
        <f t="shared" ref="AM140" si="263">AA11</f>
        <v>0</v>
      </c>
      <c r="AN140" s="976">
        <f t="shared" ref="AN140" si="264">AB11</f>
        <v>0</v>
      </c>
      <c r="AO140" s="976">
        <f t="shared" ref="AO140" si="265">AC11</f>
        <v>0</v>
      </c>
      <c r="AP140" s="976">
        <f t="shared" ref="AP140" si="266">AD11</f>
        <v>0</v>
      </c>
      <c r="AQ140" s="976">
        <f t="shared" ref="AQ140" si="267">AE11</f>
        <v>0</v>
      </c>
    </row>
    <row r="141" spans="2:43" hidden="1" outlineLevel="1">
      <c r="B141" s="1025" t="s">
        <v>590</v>
      </c>
      <c r="C141" s="976"/>
      <c r="D141" s="976"/>
      <c r="E141" s="976"/>
      <c r="F141" s="976"/>
      <c r="G141" s="976"/>
      <c r="H141" s="976"/>
      <c r="I141" s="976"/>
      <c r="J141" s="976"/>
      <c r="K141" s="988"/>
      <c r="L141" s="976"/>
      <c r="M141" s="976"/>
      <c r="N141" s="976"/>
      <c r="O141" s="976"/>
      <c r="P141" s="976"/>
      <c r="Q141" s="976"/>
      <c r="R141" s="976"/>
      <c r="S141" s="976"/>
      <c r="T141" s="976"/>
      <c r="U141" s="976"/>
      <c r="V141" s="976"/>
      <c r="W141" s="976">
        <f>E11*0.33+D11*0.33+C11*0.33</f>
        <v>34.650000000000006</v>
      </c>
      <c r="X141" s="976">
        <f t="shared" ref="X141:AH141" si="268">F11</f>
        <v>60</v>
      </c>
      <c r="Y141" s="976">
        <f t="shared" si="268"/>
        <v>70</v>
      </c>
      <c r="Z141" s="976">
        <f t="shared" si="268"/>
        <v>80</v>
      </c>
      <c r="AA141" s="976">
        <f t="shared" si="268"/>
        <v>100</v>
      </c>
      <c r="AB141" s="976">
        <f t="shared" si="268"/>
        <v>144</v>
      </c>
      <c r="AC141" s="976">
        <f t="shared" si="268"/>
        <v>110</v>
      </c>
      <c r="AD141" s="976">
        <f t="shared" si="268"/>
        <v>70</v>
      </c>
      <c r="AE141" s="976">
        <f t="shared" si="268"/>
        <v>46</v>
      </c>
      <c r="AF141" s="976">
        <f t="shared" si="268"/>
        <v>66</v>
      </c>
      <c r="AG141" s="976">
        <f t="shared" si="268"/>
        <v>167</v>
      </c>
      <c r="AH141" s="976">
        <f t="shared" si="268"/>
        <v>130</v>
      </c>
      <c r="AI141" s="976">
        <f t="shared" ref="AI141" si="269">Q11</f>
        <v>133</v>
      </c>
      <c r="AJ141" s="976">
        <f t="shared" ref="AJ141" si="270">R11</f>
        <v>129</v>
      </c>
      <c r="AK141" s="976">
        <f t="shared" ref="AK141" si="271">S11</f>
        <v>117</v>
      </c>
      <c r="AL141" s="976">
        <f t="shared" ref="AL141" si="272">T11</f>
        <v>84</v>
      </c>
      <c r="AM141" s="976">
        <f t="shared" ref="AM141" si="273">U11</f>
        <v>71</v>
      </c>
      <c r="AN141" s="976">
        <f t="shared" ref="AN141" si="274">V11</f>
        <v>18</v>
      </c>
      <c r="AO141" s="976">
        <f t="shared" ref="AO141" si="275">W11</f>
        <v>0</v>
      </c>
      <c r="AP141" s="976">
        <f t="shared" ref="AP141" si="276">X11</f>
        <v>0</v>
      </c>
      <c r="AQ141" s="976">
        <f t="shared" ref="AQ141" si="277">Y11</f>
        <v>0</v>
      </c>
    </row>
    <row r="142" spans="2:43" hidden="1" outlineLevel="1">
      <c r="B142" s="1025"/>
      <c r="C142" s="967"/>
      <c r="D142" s="967"/>
      <c r="E142" s="967"/>
      <c r="F142" s="967"/>
      <c r="G142" s="967"/>
      <c r="H142" s="967"/>
      <c r="I142" s="967"/>
      <c r="J142" s="967"/>
      <c r="K142" s="968"/>
      <c r="L142" s="967"/>
      <c r="M142" s="967"/>
      <c r="N142" s="967"/>
      <c r="O142" s="967"/>
      <c r="P142" s="967"/>
      <c r="Q142" s="967"/>
      <c r="R142" s="967"/>
      <c r="S142" s="967"/>
      <c r="T142" s="967"/>
      <c r="U142" s="967"/>
      <c r="V142" s="967"/>
      <c r="W142" s="967"/>
      <c r="X142" s="967"/>
      <c r="Y142" s="967"/>
      <c r="Z142" s="967"/>
      <c r="AA142" s="967"/>
      <c r="AB142" s="967"/>
      <c r="AC142" s="967"/>
      <c r="AD142" s="967"/>
      <c r="AE142" s="967"/>
      <c r="AF142" s="967"/>
      <c r="AG142" s="967"/>
      <c r="AH142" s="967"/>
      <c r="AI142" s="967"/>
      <c r="AJ142" s="967"/>
      <c r="AK142" s="967"/>
      <c r="AL142" s="967"/>
      <c r="AM142" s="967"/>
      <c r="AN142" s="967"/>
      <c r="AO142" s="967"/>
      <c r="AP142" s="967"/>
      <c r="AQ142" s="967"/>
    </row>
    <row r="143" spans="2:43" hidden="1" outlineLevel="1">
      <c r="B143" s="1025" t="s">
        <v>591</v>
      </c>
      <c r="C143" s="967"/>
      <c r="D143" s="967"/>
      <c r="E143" s="967"/>
      <c r="F143" s="967"/>
      <c r="G143" s="967"/>
      <c r="H143" s="967"/>
      <c r="I143" s="967"/>
      <c r="J143" s="967"/>
      <c r="K143" s="968"/>
      <c r="L143" s="967"/>
      <c r="M143" s="967"/>
      <c r="N143" s="967"/>
      <c r="O143" s="967"/>
      <c r="P143" s="967"/>
      <c r="Q143" s="989">
        <f t="shared" ref="Q143:Y145" si="278">R143/(1+R$154)</f>
        <v>4.8431983163953563</v>
      </c>
      <c r="R143" s="989">
        <f t="shared" si="278"/>
        <v>4.96427827430524</v>
      </c>
      <c r="S143" s="989">
        <f t="shared" si="278"/>
        <v>5.0883852311628708</v>
      </c>
      <c r="T143" s="989">
        <f t="shared" si="278"/>
        <v>5.2155948619419421</v>
      </c>
      <c r="U143" s="989">
        <f t="shared" si="278"/>
        <v>5.3459847334904902</v>
      </c>
      <c r="V143" s="989">
        <f t="shared" si="278"/>
        <v>5.4796343518277517</v>
      </c>
      <c r="W143" s="989">
        <f t="shared" si="278"/>
        <v>5.6166252106234449</v>
      </c>
      <c r="X143" s="989">
        <f t="shared" si="278"/>
        <v>5.7851239669421481</v>
      </c>
      <c r="Y143" s="989">
        <f>Z143/(1+Z$154)</f>
        <v>6.3636363636363633</v>
      </c>
      <c r="Z143" s="990">
        <v>7</v>
      </c>
      <c r="AA143" s="989">
        <f t="shared" ref="AA143:AH145" si="279">Z143*(1+AA$154)</f>
        <v>7.3500000000000005</v>
      </c>
      <c r="AB143" s="989">
        <f t="shared" si="279"/>
        <v>7.7175000000000011</v>
      </c>
      <c r="AC143" s="989">
        <f t="shared" si="279"/>
        <v>8.1033750000000015</v>
      </c>
      <c r="AD143" s="989">
        <f t="shared" si="279"/>
        <v>8.4275100000000016</v>
      </c>
      <c r="AE143" s="989">
        <f t="shared" si="279"/>
        <v>8.7646104000000022</v>
      </c>
      <c r="AF143" s="989">
        <f t="shared" si="279"/>
        <v>9.2028409200000034</v>
      </c>
      <c r="AG143" s="989">
        <f t="shared" si="279"/>
        <v>9.6629829660000048</v>
      </c>
      <c r="AH143" s="989">
        <f t="shared" si="279"/>
        <v>10.146132114300006</v>
      </c>
      <c r="AI143" s="989">
        <f t="shared" ref="AI143:AI145" si="280">AH143*(1+AI$154)</f>
        <v>10.653438720015007</v>
      </c>
      <c r="AJ143" s="989">
        <f t="shared" ref="AJ143:AJ145" si="281">AI143*(1+AJ$154)</f>
        <v>11.186110656015758</v>
      </c>
      <c r="AK143" s="989">
        <f t="shared" ref="AK143:AK145" si="282">AJ143*(1+AK$154)</f>
        <v>11.745416188816547</v>
      </c>
      <c r="AL143" s="989">
        <f t="shared" ref="AL143:AL145" si="283">AK143*(1+AL$154)</f>
        <v>12.332686998257374</v>
      </c>
      <c r="AM143" s="989">
        <f t="shared" ref="AM143:AM145" si="284">AL143*(1+AM$154)</f>
        <v>12.949321348170244</v>
      </c>
      <c r="AN143" s="989">
        <f t="shared" ref="AN143:AN145" si="285">AM143*(1+AN$154)</f>
        <v>13.596787415578756</v>
      </c>
      <c r="AO143" s="989">
        <f t="shared" ref="AO143:AO145" si="286">AN143*(1+AO$154)</f>
        <v>14.276626786357694</v>
      </c>
      <c r="AP143" s="989">
        <f t="shared" ref="AP143:AP145" si="287">AO143*(1+AP$154)</f>
        <v>14.990458125675579</v>
      </c>
      <c r="AQ143" s="989">
        <f t="shared" ref="AQ143:AQ145" si="288">AP143*(1+AQ$154)</f>
        <v>15.739981031959358</v>
      </c>
    </row>
    <row r="144" spans="2:43" hidden="1" outlineLevel="1">
      <c r="B144" s="1025" t="s">
        <v>592</v>
      </c>
      <c r="C144" s="967"/>
      <c r="D144" s="967"/>
      <c r="E144" s="967"/>
      <c r="F144" s="967"/>
      <c r="G144" s="967"/>
      <c r="H144" s="967"/>
      <c r="I144" s="967"/>
      <c r="J144" s="967"/>
      <c r="K144" s="968"/>
      <c r="L144" s="967"/>
      <c r="M144" s="967"/>
      <c r="N144" s="967"/>
      <c r="O144" s="967"/>
      <c r="P144" s="967"/>
      <c r="Q144" s="989">
        <f t="shared" si="278"/>
        <v>6.918854737707651</v>
      </c>
      <c r="R144" s="989">
        <f t="shared" si="278"/>
        <v>7.091826106150342</v>
      </c>
      <c r="S144" s="989">
        <f t="shared" si="278"/>
        <v>7.2691217588040997</v>
      </c>
      <c r="T144" s="989">
        <f t="shared" si="278"/>
        <v>7.4508498027742016</v>
      </c>
      <c r="U144" s="989">
        <f t="shared" si="278"/>
        <v>7.6371210478435563</v>
      </c>
      <c r="V144" s="989">
        <f t="shared" si="278"/>
        <v>7.8280490740396447</v>
      </c>
      <c r="W144" s="989">
        <f t="shared" si="278"/>
        <v>8.0237503008906348</v>
      </c>
      <c r="X144" s="989">
        <f t="shared" si="278"/>
        <v>8.2644628099173545</v>
      </c>
      <c r="Y144" s="989">
        <f t="shared" si="278"/>
        <v>9.0909090909090899</v>
      </c>
      <c r="Z144" s="990">
        <v>10</v>
      </c>
      <c r="AA144" s="989">
        <f t="shared" si="279"/>
        <v>10.5</v>
      </c>
      <c r="AB144" s="989">
        <f t="shared" si="279"/>
        <v>11.025</v>
      </c>
      <c r="AC144" s="989">
        <f t="shared" si="279"/>
        <v>11.576250000000002</v>
      </c>
      <c r="AD144" s="989">
        <f t="shared" si="279"/>
        <v>12.039300000000003</v>
      </c>
      <c r="AE144" s="989">
        <f t="shared" si="279"/>
        <v>12.520872000000002</v>
      </c>
      <c r="AF144" s="989">
        <f t="shared" si="279"/>
        <v>13.146915600000003</v>
      </c>
      <c r="AG144" s="989">
        <f t="shared" si="279"/>
        <v>13.804261380000003</v>
      </c>
      <c r="AH144" s="989">
        <f t="shared" si="279"/>
        <v>14.494474449000004</v>
      </c>
      <c r="AI144" s="989">
        <f t="shared" si="280"/>
        <v>15.219198171450005</v>
      </c>
      <c r="AJ144" s="989">
        <f t="shared" si="281"/>
        <v>15.980158080022505</v>
      </c>
      <c r="AK144" s="989">
        <f t="shared" si="282"/>
        <v>16.779165984023631</v>
      </c>
      <c r="AL144" s="989">
        <f t="shared" si="283"/>
        <v>17.618124283224812</v>
      </c>
      <c r="AM144" s="989">
        <f t="shared" si="284"/>
        <v>18.499030497386055</v>
      </c>
      <c r="AN144" s="989">
        <f t="shared" si="285"/>
        <v>19.423982022255359</v>
      </c>
      <c r="AO144" s="989">
        <f t="shared" si="286"/>
        <v>20.395181123368129</v>
      </c>
      <c r="AP144" s="989">
        <f t="shared" si="287"/>
        <v>21.414940179536536</v>
      </c>
      <c r="AQ144" s="989">
        <f t="shared" si="288"/>
        <v>22.485687188513364</v>
      </c>
    </row>
    <row r="145" spans="2:43" hidden="1" outlineLevel="1">
      <c r="B145" s="1025" t="s">
        <v>593</v>
      </c>
      <c r="C145" s="967"/>
      <c r="D145" s="967"/>
      <c r="E145" s="967"/>
      <c r="F145" s="967"/>
      <c r="G145" s="967"/>
      <c r="H145" s="967"/>
      <c r="I145" s="967"/>
      <c r="J145" s="967"/>
      <c r="K145" s="968"/>
      <c r="L145" s="967"/>
      <c r="M145" s="967"/>
      <c r="N145" s="967"/>
      <c r="O145" s="967"/>
      <c r="P145" s="967"/>
      <c r="Q145" s="989">
        <f t="shared" si="278"/>
        <v>6.2269692639368861</v>
      </c>
      <c r="R145" s="989">
        <f t="shared" si="278"/>
        <v>6.3826434955353077</v>
      </c>
      <c r="S145" s="989">
        <f t="shared" si="278"/>
        <v>6.5422095829236895</v>
      </c>
      <c r="T145" s="989">
        <f t="shared" si="278"/>
        <v>6.7057648224967812</v>
      </c>
      <c r="U145" s="989">
        <f t="shared" si="278"/>
        <v>6.8734089430592</v>
      </c>
      <c r="V145" s="989">
        <f t="shared" si="278"/>
        <v>7.0452441666356798</v>
      </c>
      <c r="W145" s="989">
        <f t="shared" si="278"/>
        <v>7.2213752708015715</v>
      </c>
      <c r="X145" s="989">
        <f t="shared" si="278"/>
        <v>7.438016528925619</v>
      </c>
      <c r="Y145" s="989">
        <f t="shared" si="278"/>
        <v>8.1818181818181817</v>
      </c>
      <c r="Z145" s="990">
        <v>9</v>
      </c>
      <c r="AA145" s="989">
        <f t="shared" si="279"/>
        <v>9.4500000000000011</v>
      </c>
      <c r="AB145" s="989">
        <f t="shared" si="279"/>
        <v>9.9225000000000012</v>
      </c>
      <c r="AC145" s="989">
        <f t="shared" si="279"/>
        <v>10.418625000000002</v>
      </c>
      <c r="AD145" s="989">
        <f t="shared" si="279"/>
        <v>10.835370000000003</v>
      </c>
      <c r="AE145" s="989">
        <f t="shared" si="279"/>
        <v>11.268784800000004</v>
      </c>
      <c r="AF145" s="989">
        <f t="shared" si="279"/>
        <v>11.832224040000005</v>
      </c>
      <c r="AG145" s="989">
        <f t="shared" si="279"/>
        <v>12.423835242000006</v>
      </c>
      <c r="AH145" s="989">
        <f t="shared" si="279"/>
        <v>13.045027004100007</v>
      </c>
      <c r="AI145" s="989">
        <f t="shared" si="280"/>
        <v>13.697278354305007</v>
      </c>
      <c r="AJ145" s="989">
        <f t="shared" si="281"/>
        <v>14.382142272020259</v>
      </c>
      <c r="AK145" s="989">
        <f t="shared" si="282"/>
        <v>15.101249385621273</v>
      </c>
      <c r="AL145" s="989">
        <f t="shared" si="283"/>
        <v>15.856311854902337</v>
      </c>
      <c r="AM145" s="989">
        <f t="shared" si="284"/>
        <v>16.649127447647455</v>
      </c>
      <c r="AN145" s="989">
        <f t="shared" si="285"/>
        <v>17.481583820029829</v>
      </c>
      <c r="AO145" s="989">
        <f t="shared" si="286"/>
        <v>18.355663011031321</v>
      </c>
      <c r="AP145" s="989">
        <f t="shared" si="287"/>
        <v>19.273446161582889</v>
      </c>
      <c r="AQ145" s="989">
        <f t="shared" si="288"/>
        <v>20.237118469662036</v>
      </c>
    </row>
    <row r="146" spans="2:43" hidden="1" outlineLevel="1">
      <c r="B146" s="1025"/>
      <c r="C146" s="967"/>
      <c r="D146" s="967"/>
      <c r="E146" s="967"/>
      <c r="F146" s="967"/>
      <c r="G146" s="967"/>
      <c r="H146" s="967"/>
      <c r="I146" s="967"/>
      <c r="J146" s="967"/>
      <c r="K146" s="968"/>
      <c r="L146" s="967"/>
      <c r="M146" s="967"/>
      <c r="N146" s="967"/>
      <c r="O146" s="967"/>
      <c r="P146" s="967"/>
      <c r="Q146" s="967"/>
      <c r="R146" s="967"/>
      <c r="S146" s="967"/>
      <c r="T146" s="967"/>
      <c r="U146" s="967"/>
      <c r="V146" s="967"/>
      <c r="W146" s="967"/>
      <c r="X146" s="967"/>
      <c r="Y146" s="967"/>
      <c r="Z146" s="967"/>
      <c r="AA146" s="967"/>
      <c r="AB146" s="967"/>
      <c r="AC146" s="967"/>
      <c r="AD146" s="967"/>
      <c r="AE146" s="967"/>
      <c r="AF146" s="967"/>
      <c r="AG146" s="967"/>
      <c r="AH146" s="967"/>
      <c r="AI146" s="967"/>
      <c r="AJ146" s="967"/>
      <c r="AK146" s="967"/>
      <c r="AL146" s="967"/>
      <c r="AM146" s="967"/>
      <c r="AN146" s="967"/>
      <c r="AO146" s="967"/>
      <c r="AP146" s="967"/>
      <c r="AQ146" s="967"/>
    </row>
    <row r="147" spans="2:43" s="981" customFormat="1" hidden="1" outlineLevel="1">
      <c r="B147" s="1026" t="s">
        <v>594</v>
      </c>
      <c r="C147" s="982"/>
      <c r="D147" s="982"/>
      <c r="E147" s="982"/>
      <c r="F147" s="982"/>
      <c r="G147" s="982"/>
      <c r="H147" s="982"/>
      <c r="I147" s="982"/>
      <c r="J147" s="982"/>
      <c r="K147" s="983"/>
      <c r="L147" s="982"/>
      <c r="M147" s="982"/>
      <c r="N147" s="982"/>
      <c r="O147" s="992">
        <f t="shared" ref="O147:AA147" si="289">O38</f>
        <v>0.81</v>
      </c>
      <c r="P147" s="992">
        <f t="shared" si="289"/>
        <v>0.81</v>
      </c>
      <c r="Q147" s="992">
        <f t="shared" si="289"/>
        <v>0.81</v>
      </c>
      <c r="R147" s="992">
        <f t="shared" si="289"/>
        <v>0.81</v>
      </c>
      <c r="S147" s="992">
        <f t="shared" si="289"/>
        <v>0.81</v>
      </c>
      <c r="T147" s="992">
        <f t="shared" si="289"/>
        <v>0.81</v>
      </c>
      <c r="U147" s="992">
        <f t="shared" si="289"/>
        <v>0.81</v>
      </c>
      <c r="V147" s="992">
        <f t="shared" si="289"/>
        <v>0.81</v>
      </c>
      <c r="W147" s="992">
        <f t="shared" si="289"/>
        <v>0.81</v>
      </c>
      <c r="X147" s="992">
        <f t="shared" si="289"/>
        <v>0.81</v>
      </c>
      <c r="Y147" s="992">
        <f t="shared" si="289"/>
        <v>0.81</v>
      </c>
      <c r="Z147" s="992">
        <f t="shared" si="289"/>
        <v>0.81</v>
      </c>
      <c r="AA147" s="992">
        <f t="shared" si="289"/>
        <v>0.81</v>
      </c>
      <c r="AB147" s="992">
        <f>AB38</f>
        <v>0.81</v>
      </c>
      <c r="AC147" s="992">
        <f t="shared" ref="AC147:AQ147" si="290">AC38</f>
        <v>0.81</v>
      </c>
      <c r="AD147" s="992">
        <f t="shared" si="290"/>
        <v>0.81</v>
      </c>
      <c r="AE147" s="992">
        <f t="shared" si="290"/>
        <v>0.81</v>
      </c>
      <c r="AF147" s="992">
        <f t="shared" si="290"/>
        <v>0.81</v>
      </c>
      <c r="AG147" s="992">
        <f t="shared" si="290"/>
        <v>0.81</v>
      </c>
      <c r="AH147" s="992">
        <f t="shared" si="290"/>
        <v>0.81</v>
      </c>
      <c r="AI147" s="992">
        <f t="shared" si="290"/>
        <v>0.81</v>
      </c>
      <c r="AJ147" s="992">
        <f t="shared" si="290"/>
        <v>0.81</v>
      </c>
      <c r="AK147" s="992">
        <f t="shared" si="290"/>
        <v>0.81</v>
      </c>
      <c r="AL147" s="992">
        <f t="shared" si="290"/>
        <v>0.81</v>
      </c>
      <c r="AM147" s="992">
        <f t="shared" si="290"/>
        <v>0.81</v>
      </c>
      <c r="AN147" s="992">
        <f t="shared" si="290"/>
        <v>0.81</v>
      </c>
      <c r="AO147" s="992">
        <f t="shared" si="290"/>
        <v>0.81</v>
      </c>
      <c r="AP147" s="992">
        <f t="shared" si="290"/>
        <v>0.81</v>
      </c>
      <c r="AQ147" s="992">
        <f t="shared" si="290"/>
        <v>0.81</v>
      </c>
    </row>
    <row r="148" spans="2:43" collapsed="1">
      <c r="B148" s="1025"/>
      <c r="C148" s="967"/>
      <c r="D148" s="967"/>
      <c r="E148" s="967"/>
      <c r="F148" s="967"/>
      <c r="G148" s="967"/>
      <c r="H148" s="967"/>
      <c r="I148" s="967"/>
      <c r="J148" s="967"/>
      <c r="K148" s="968"/>
      <c r="L148" s="967"/>
      <c r="M148" s="967"/>
      <c r="N148" s="967"/>
      <c r="O148" s="967"/>
      <c r="P148" s="967"/>
      <c r="Q148" s="967"/>
      <c r="R148" s="967"/>
      <c r="S148" s="967"/>
      <c r="T148" s="967"/>
      <c r="U148" s="967"/>
      <c r="V148" s="967"/>
      <c r="W148" s="967"/>
      <c r="X148" s="967"/>
      <c r="Y148" s="967"/>
      <c r="Z148" s="967"/>
      <c r="AA148" s="967"/>
      <c r="AB148" s="967"/>
      <c r="AC148" s="967"/>
      <c r="AD148" s="967"/>
      <c r="AE148" s="967"/>
      <c r="AF148" s="967"/>
      <c r="AG148" s="967"/>
      <c r="AH148" s="967"/>
      <c r="AI148" s="967"/>
      <c r="AJ148" s="967"/>
      <c r="AK148" s="967"/>
      <c r="AL148" s="967"/>
      <c r="AM148" s="967"/>
      <c r="AN148" s="967"/>
      <c r="AO148" s="967"/>
      <c r="AP148" s="967"/>
      <c r="AQ148" s="967"/>
    </row>
    <row r="149" spans="2:43">
      <c r="B149" s="1025" t="s">
        <v>595</v>
      </c>
      <c r="C149" s="967"/>
      <c r="D149" s="967"/>
      <c r="E149" s="967"/>
      <c r="F149" s="967"/>
      <c r="G149" s="967"/>
      <c r="H149" s="967"/>
      <c r="I149" s="967"/>
      <c r="J149" s="967"/>
      <c r="K149" s="968"/>
      <c r="L149" s="967"/>
      <c r="M149" s="967"/>
      <c r="N149" s="967"/>
      <c r="O149" s="967"/>
      <c r="P149" s="967"/>
      <c r="Q149" s="976">
        <f>Q139*Q143*Q$147</f>
        <v>323.64672749311973</v>
      </c>
      <c r="R149" s="976">
        <f t="shared" ref="R149:AE149" si="291">R139*R143*R$147</f>
        <v>429.93231280186029</v>
      </c>
      <c r="S149" s="976">
        <f t="shared" si="291"/>
        <v>481.48438179060179</v>
      </c>
      <c r="T149" s="976">
        <f t="shared" si="291"/>
        <v>451.69763613745442</v>
      </c>
      <c r="U149" s="976">
        <f t="shared" si="291"/>
        <v>322.94986855321389</v>
      </c>
      <c r="V149" s="976">
        <f t="shared" si="291"/>
        <v>266.57653972832759</v>
      </c>
      <c r="W149" s="976">
        <f t="shared" si="291"/>
        <v>418.86937334510156</v>
      </c>
      <c r="X149" s="976">
        <f t="shared" si="291"/>
        <v>561.32999999999993</v>
      </c>
      <c r="Y149" s="976">
        <f t="shared" si="291"/>
        <v>731.42999999999984</v>
      </c>
      <c r="Z149" s="976">
        <f t="shared" si="291"/>
        <v>733.47120000000018</v>
      </c>
      <c r="AA149" s="976">
        <f t="shared" si="291"/>
        <v>744.60424500000011</v>
      </c>
      <c r="AB149" s="976">
        <f t="shared" si="291"/>
        <v>680.75295750000021</v>
      </c>
      <c r="AC149" s="976">
        <f t="shared" si="291"/>
        <v>589.16074140000023</v>
      </c>
      <c r="AD149" s="976">
        <f t="shared" si="291"/>
        <v>389.71250217900013</v>
      </c>
      <c r="AE149" s="976">
        <f t="shared" si="291"/>
        <v>208.50745203288008</v>
      </c>
      <c r="AF149" s="976">
        <f t="shared" ref="AF149:AG149" si="292">AF139*AF143*AF$147</f>
        <v>44.278548802488018</v>
      </c>
      <c r="AG149" s="976">
        <f t="shared" si="292"/>
        <v>0</v>
      </c>
      <c r="AH149" s="976">
        <f t="shared" ref="AH149:AQ149" si="293">AH139*AH143*AH$147</f>
        <v>0</v>
      </c>
      <c r="AI149" s="976">
        <f t="shared" si="293"/>
        <v>0</v>
      </c>
      <c r="AJ149" s="976">
        <f t="shared" si="293"/>
        <v>0</v>
      </c>
      <c r="AK149" s="976">
        <f t="shared" si="293"/>
        <v>0</v>
      </c>
      <c r="AL149" s="976">
        <f t="shared" si="293"/>
        <v>0</v>
      </c>
      <c r="AM149" s="976">
        <f t="shared" si="293"/>
        <v>0</v>
      </c>
      <c r="AN149" s="976">
        <f t="shared" si="293"/>
        <v>0</v>
      </c>
      <c r="AO149" s="976">
        <f t="shared" si="293"/>
        <v>0</v>
      </c>
      <c r="AP149" s="976">
        <f t="shared" si="293"/>
        <v>0</v>
      </c>
      <c r="AQ149" s="976">
        <f t="shared" si="293"/>
        <v>0</v>
      </c>
    </row>
    <row r="150" spans="2:43">
      <c r="B150" s="1025" t="s">
        <v>596</v>
      </c>
      <c r="C150" s="967"/>
      <c r="D150" s="967"/>
      <c r="E150" s="967"/>
      <c r="F150" s="967"/>
      <c r="G150" s="967"/>
      <c r="H150" s="967"/>
      <c r="I150" s="967"/>
      <c r="J150" s="967"/>
      <c r="K150" s="968"/>
      <c r="L150" s="967"/>
      <c r="M150" s="967"/>
      <c r="N150" s="967"/>
      <c r="O150" s="967"/>
      <c r="P150" s="967"/>
      <c r="Q150" s="976">
        <f t="shared" ref="Q150:AE151" si="294">Q140*Q144*Q$147</f>
        <v>194.18803649587181</v>
      </c>
      <c r="R150" s="976">
        <f t="shared" si="294"/>
        <v>344.66274875890667</v>
      </c>
      <c r="S150" s="976">
        <f t="shared" si="294"/>
        <v>412.15920372419248</v>
      </c>
      <c r="T150" s="976">
        <f t="shared" si="294"/>
        <v>482.81506721976831</v>
      </c>
      <c r="U150" s="976">
        <f t="shared" si="294"/>
        <v>618.60680487532807</v>
      </c>
      <c r="V150" s="976">
        <f t="shared" si="294"/>
        <v>913.06364399598419</v>
      </c>
      <c r="W150" s="976">
        <f t="shared" si="294"/>
        <v>714.9161518093556</v>
      </c>
      <c r="X150" s="976">
        <f t="shared" si="294"/>
        <v>468.59504132231399</v>
      </c>
      <c r="Y150" s="976">
        <f t="shared" si="294"/>
        <v>338.72727272727269</v>
      </c>
      <c r="Z150" s="976">
        <f t="shared" si="294"/>
        <v>534.6</v>
      </c>
      <c r="AA150" s="976">
        <f t="shared" si="294"/>
        <v>1420.335</v>
      </c>
      <c r="AB150" s="976">
        <f t="shared" si="294"/>
        <v>1160.9325000000001</v>
      </c>
      <c r="AC150" s="976">
        <f t="shared" si="294"/>
        <v>1247.1094125000002</v>
      </c>
      <c r="AD150" s="976">
        <f t="shared" si="294"/>
        <v>1257.9864570000002</v>
      </c>
      <c r="AE150" s="976">
        <f t="shared" si="294"/>
        <v>1186.6030394400002</v>
      </c>
      <c r="AF150" s="976">
        <f t="shared" ref="AF150:AG150" si="295">AF140*AF144*AF$147</f>
        <v>894.51613742400025</v>
      </c>
      <c r="AG150" s="976">
        <f t="shared" si="295"/>
        <v>793.88307196380026</v>
      </c>
      <c r="AH150" s="976">
        <f t="shared" ref="AH150:AQ150" si="296">AH140*AH144*AH$147</f>
        <v>211.32943746642007</v>
      </c>
      <c r="AI150" s="976">
        <f t="shared" si="296"/>
        <v>0</v>
      </c>
      <c r="AJ150" s="976">
        <f t="shared" si="296"/>
        <v>0</v>
      </c>
      <c r="AK150" s="976">
        <f t="shared" si="296"/>
        <v>0</v>
      </c>
      <c r="AL150" s="976">
        <f t="shared" si="296"/>
        <v>0</v>
      </c>
      <c r="AM150" s="976">
        <f t="shared" si="296"/>
        <v>0</v>
      </c>
      <c r="AN150" s="976">
        <f t="shared" si="296"/>
        <v>0</v>
      </c>
      <c r="AO150" s="976">
        <f t="shared" si="296"/>
        <v>0</v>
      </c>
      <c r="AP150" s="976">
        <f t="shared" si="296"/>
        <v>0</v>
      </c>
      <c r="AQ150" s="976">
        <f t="shared" si="296"/>
        <v>0</v>
      </c>
    </row>
    <row r="151" spans="2:43">
      <c r="B151" s="1025" t="s">
        <v>597</v>
      </c>
      <c r="C151" s="967"/>
      <c r="D151" s="967"/>
      <c r="E151" s="967"/>
      <c r="F151" s="967"/>
      <c r="G151" s="967"/>
      <c r="H151" s="967"/>
      <c r="I151" s="967"/>
      <c r="J151" s="967"/>
      <c r="K151" s="968"/>
      <c r="L151" s="967"/>
      <c r="M151" s="967"/>
      <c r="N151" s="967"/>
      <c r="O151" s="967"/>
      <c r="P151" s="967"/>
      <c r="Q151" s="976">
        <f t="shared" si="294"/>
        <v>0</v>
      </c>
      <c r="R151" s="976">
        <f t="shared" si="294"/>
        <v>0</v>
      </c>
      <c r="S151" s="976">
        <f t="shared" si="294"/>
        <v>0</v>
      </c>
      <c r="T151" s="976">
        <f t="shared" si="294"/>
        <v>0</v>
      </c>
      <c r="U151" s="976">
        <f t="shared" si="294"/>
        <v>0</v>
      </c>
      <c r="V151" s="976">
        <f t="shared" si="294"/>
        <v>0</v>
      </c>
      <c r="W151" s="976">
        <f t="shared" si="294"/>
        <v>202.67872903795234</v>
      </c>
      <c r="X151" s="976">
        <f t="shared" si="294"/>
        <v>361.48760330578511</v>
      </c>
      <c r="Y151" s="976">
        <f t="shared" si="294"/>
        <v>463.90909090909093</v>
      </c>
      <c r="Z151" s="976">
        <f t="shared" si="294"/>
        <v>583.20000000000005</v>
      </c>
      <c r="AA151" s="976">
        <f t="shared" si="294"/>
        <v>765.45000000000016</v>
      </c>
      <c r="AB151" s="976">
        <f t="shared" si="294"/>
        <v>1157.3604000000003</v>
      </c>
      <c r="AC151" s="976">
        <f t="shared" si="294"/>
        <v>928.29948750000017</v>
      </c>
      <c r="AD151" s="976">
        <f t="shared" si="294"/>
        <v>614.36547900000028</v>
      </c>
      <c r="AE151" s="976">
        <f t="shared" si="294"/>
        <v>419.87492164800017</v>
      </c>
      <c r="AF151" s="976">
        <f t="shared" ref="AF151:AG151" si="297">AF141*AF145*AF$147</f>
        <v>632.55069717840036</v>
      </c>
      <c r="AG151" s="976">
        <f t="shared" si="297"/>
        <v>1680.5721931853409</v>
      </c>
      <c r="AH151" s="976">
        <f t="shared" ref="AH151:AQ151" si="298">AH141*AH145*AH$147</f>
        <v>1373.6413435317309</v>
      </c>
      <c r="AI151" s="976">
        <f t="shared" si="298"/>
        <v>1475.6077971092784</v>
      </c>
      <c r="AJ151" s="976">
        <f t="shared" si="298"/>
        <v>1502.790046003397</v>
      </c>
      <c r="AK151" s="976">
        <f t="shared" si="298"/>
        <v>1431.145404275328</v>
      </c>
      <c r="AL151" s="976">
        <f t="shared" si="298"/>
        <v>1078.863458607555</v>
      </c>
      <c r="AM151" s="976">
        <f t="shared" si="298"/>
        <v>957.4913195142052</v>
      </c>
      <c r="AN151" s="976">
        <f t="shared" si="298"/>
        <v>254.88149209603495</v>
      </c>
      <c r="AO151" s="976">
        <f t="shared" si="298"/>
        <v>0</v>
      </c>
      <c r="AP151" s="976">
        <f t="shared" si="298"/>
        <v>0</v>
      </c>
      <c r="AQ151" s="976">
        <f t="shared" si="298"/>
        <v>0</v>
      </c>
    </row>
    <row r="152" spans="2:43">
      <c r="B152" s="1025" t="s">
        <v>601</v>
      </c>
      <c r="C152" s="967"/>
      <c r="D152" s="967"/>
      <c r="E152" s="967"/>
      <c r="F152" s="967"/>
      <c r="G152" s="967"/>
      <c r="H152" s="967"/>
      <c r="I152" s="967"/>
      <c r="J152" s="967"/>
      <c r="K152" s="968"/>
      <c r="L152" s="967"/>
      <c r="M152" s="967"/>
      <c r="N152" s="967"/>
      <c r="O152" s="967"/>
      <c r="P152" s="967"/>
      <c r="Q152" s="976">
        <f>Q11*Q20*Q38*Q47</f>
        <v>276.03989252275329</v>
      </c>
      <c r="R152" s="976">
        <f t="shared" ref="R152:AE152" si="299">R11*R20*R38*R47</f>
        <v>274.43138938963199</v>
      </c>
      <c r="S152" s="976">
        <f t="shared" si="299"/>
        <v>255.12546025233809</v>
      </c>
      <c r="T152" s="976">
        <f t="shared" si="299"/>
        <v>187.7461720318488</v>
      </c>
      <c r="U152" s="976">
        <f t="shared" si="299"/>
        <v>162.65747225735473</v>
      </c>
      <c r="V152" s="976">
        <f t="shared" si="299"/>
        <v>42.268033283777385</v>
      </c>
      <c r="W152" s="976">
        <f t="shared" si="299"/>
        <v>0</v>
      </c>
      <c r="X152" s="976">
        <f t="shared" si="299"/>
        <v>0</v>
      </c>
      <c r="Y152" s="976">
        <f t="shared" si="299"/>
        <v>0</v>
      </c>
      <c r="Z152" s="976">
        <f t="shared" si="299"/>
        <v>0</v>
      </c>
      <c r="AA152" s="976">
        <f t="shared" si="299"/>
        <v>0</v>
      </c>
      <c r="AB152" s="976">
        <f t="shared" si="299"/>
        <v>0</v>
      </c>
      <c r="AC152" s="976">
        <f t="shared" si="299"/>
        <v>0</v>
      </c>
      <c r="AD152" s="976">
        <f t="shared" si="299"/>
        <v>0</v>
      </c>
      <c r="AE152" s="976">
        <f t="shared" si="299"/>
        <v>0</v>
      </c>
      <c r="AF152" s="976">
        <f t="shared" ref="AF152:AG152" si="300">AF11*AF20*AF38*AF47</f>
        <v>0</v>
      </c>
      <c r="AG152" s="976">
        <f t="shared" si="300"/>
        <v>0</v>
      </c>
      <c r="AH152" s="976">
        <f t="shared" ref="AH152:AQ152" si="301">AH11*AH20*AH38*AH47</f>
        <v>0</v>
      </c>
      <c r="AI152" s="976">
        <f t="shared" si="301"/>
        <v>0</v>
      </c>
      <c r="AJ152" s="976">
        <f t="shared" si="301"/>
        <v>0</v>
      </c>
      <c r="AK152" s="976">
        <f t="shared" si="301"/>
        <v>0</v>
      </c>
      <c r="AL152" s="976">
        <f t="shared" si="301"/>
        <v>0</v>
      </c>
      <c r="AM152" s="976">
        <f t="shared" si="301"/>
        <v>0</v>
      </c>
      <c r="AN152" s="976">
        <f t="shared" si="301"/>
        <v>0</v>
      </c>
      <c r="AO152" s="976">
        <f t="shared" si="301"/>
        <v>0</v>
      </c>
      <c r="AP152" s="976">
        <f t="shared" si="301"/>
        <v>0</v>
      </c>
      <c r="AQ152" s="976">
        <f t="shared" si="301"/>
        <v>0</v>
      </c>
    </row>
    <row r="153" spans="2:43" s="961" customFormat="1" ht="12">
      <c r="B153" s="978" t="s">
        <v>604</v>
      </c>
      <c r="C153" s="978"/>
      <c r="D153" s="978"/>
      <c r="E153" s="978"/>
      <c r="F153" s="978"/>
      <c r="G153" s="978"/>
      <c r="H153" s="978"/>
      <c r="I153" s="978"/>
      <c r="J153" s="978"/>
      <c r="K153" s="979"/>
      <c r="L153" s="978"/>
      <c r="M153" s="978"/>
      <c r="N153" s="978"/>
      <c r="O153" s="978"/>
      <c r="P153" s="978"/>
      <c r="Q153" s="980">
        <f>SUM(Q149:Q152)</f>
        <v>793.87465651174489</v>
      </c>
      <c r="R153" s="980">
        <f t="shared" ref="R153:AE153" si="302">SUM(R149:R152)</f>
        <v>1049.0264509503988</v>
      </c>
      <c r="S153" s="980">
        <f t="shared" si="302"/>
        <v>1148.7690457671324</v>
      </c>
      <c r="T153" s="980">
        <f t="shared" si="302"/>
        <v>1122.2588753890716</v>
      </c>
      <c r="U153" s="980">
        <f t="shared" si="302"/>
        <v>1104.2141456858967</v>
      </c>
      <c r="V153" s="980">
        <f t="shared" si="302"/>
        <v>1221.9082170080892</v>
      </c>
      <c r="W153" s="980">
        <f t="shared" si="302"/>
        <v>1336.4642541924095</v>
      </c>
      <c r="X153" s="980">
        <f t="shared" si="302"/>
        <v>1391.4126446280991</v>
      </c>
      <c r="Y153" s="980">
        <f t="shared" si="302"/>
        <v>1534.0663636363636</v>
      </c>
      <c r="Z153" s="980">
        <f t="shared" si="302"/>
        <v>1851.2712000000004</v>
      </c>
      <c r="AA153" s="980">
        <f t="shared" si="302"/>
        <v>2930.3892450000003</v>
      </c>
      <c r="AB153" s="980">
        <f t="shared" si="302"/>
        <v>2999.0458575000002</v>
      </c>
      <c r="AC153" s="980">
        <f t="shared" si="302"/>
        <v>2764.5696414000004</v>
      </c>
      <c r="AD153" s="980">
        <f t="shared" si="302"/>
        <v>2262.0644381790007</v>
      </c>
      <c r="AE153" s="980">
        <f t="shared" si="302"/>
        <v>1814.9854131208804</v>
      </c>
      <c r="AF153" s="980">
        <f t="shared" ref="AF153:AG153" si="303">SUM(AF149:AF152)</f>
        <v>1571.3453834048887</v>
      </c>
      <c r="AG153" s="980">
        <f t="shared" si="303"/>
        <v>2474.4552651491413</v>
      </c>
      <c r="AH153" s="980">
        <f t="shared" ref="AH153:AQ153" si="304">SUM(AH149:AH152)</f>
        <v>1584.970780998151</v>
      </c>
      <c r="AI153" s="980">
        <f t="shared" si="304"/>
        <v>1475.6077971092784</v>
      </c>
      <c r="AJ153" s="980">
        <f t="shared" si="304"/>
        <v>1502.790046003397</v>
      </c>
      <c r="AK153" s="980">
        <f t="shared" si="304"/>
        <v>1431.145404275328</v>
      </c>
      <c r="AL153" s="980">
        <f t="shared" si="304"/>
        <v>1078.863458607555</v>
      </c>
      <c r="AM153" s="980">
        <f t="shared" si="304"/>
        <v>957.4913195142052</v>
      </c>
      <c r="AN153" s="980">
        <f t="shared" si="304"/>
        <v>254.88149209603495</v>
      </c>
      <c r="AO153" s="980">
        <f t="shared" si="304"/>
        <v>0</v>
      </c>
      <c r="AP153" s="980">
        <f t="shared" si="304"/>
        <v>0</v>
      </c>
      <c r="AQ153" s="980">
        <f t="shared" si="304"/>
        <v>0</v>
      </c>
    </row>
    <row r="154" spans="2:43" s="981" customFormat="1">
      <c r="B154" s="1026" t="s">
        <v>600</v>
      </c>
      <c r="C154" s="982"/>
      <c r="D154" s="982"/>
      <c r="E154" s="982"/>
      <c r="F154" s="982"/>
      <c r="G154" s="982"/>
      <c r="H154" s="982"/>
      <c r="I154" s="982"/>
      <c r="J154" s="982"/>
      <c r="K154" s="983"/>
      <c r="L154" s="982"/>
      <c r="M154" s="982"/>
      <c r="N154" s="982"/>
      <c r="O154" s="982"/>
      <c r="P154" s="982"/>
      <c r="Q154" s="982"/>
      <c r="R154" s="987">
        <v>2.5000000000000001E-2</v>
      </c>
      <c r="S154" s="987">
        <v>2.5000000000000001E-2</v>
      </c>
      <c r="T154" s="987">
        <v>2.5000000000000001E-2</v>
      </c>
      <c r="U154" s="987">
        <v>2.5000000000000001E-2</v>
      </c>
      <c r="V154" s="987">
        <v>2.5000000000000001E-2</v>
      </c>
      <c r="W154" s="987">
        <v>2.5000000000000001E-2</v>
      </c>
      <c r="X154" s="987">
        <v>0.03</v>
      </c>
      <c r="Y154" s="987">
        <v>0.1</v>
      </c>
      <c r="Z154" s="987">
        <v>0.1</v>
      </c>
      <c r="AA154" s="987">
        <v>0.05</v>
      </c>
      <c r="AB154" s="987">
        <v>0.05</v>
      </c>
      <c r="AC154" s="987">
        <v>0.05</v>
      </c>
      <c r="AD154" s="987">
        <v>0.04</v>
      </c>
      <c r="AE154" s="987">
        <v>0.04</v>
      </c>
      <c r="AF154" s="987">
        <v>0.05</v>
      </c>
      <c r="AG154" s="987">
        <v>0.05</v>
      </c>
      <c r="AH154" s="987">
        <v>0.05</v>
      </c>
      <c r="AI154" s="987">
        <v>0.05</v>
      </c>
      <c r="AJ154" s="987">
        <v>0.05</v>
      </c>
      <c r="AK154" s="987">
        <v>0.05</v>
      </c>
      <c r="AL154" s="987">
        <v>0.05</v>
      </c>
      <c r="AM154" s="987">
        <v>0.05</v>
      </c>
      <c r="AN154" s="987">
        <v>0.05</v>
      </c>
      <c r="AO154" s="987">
        <v>0.05</v>
      </c>
      <c r="AP154" s="987">
        <v>0.05</v>
      </c>
      <c r="AQ154" s="987">
        <v>0.05</v>
      </c>
    </row>
    <row r="155" spans="2:43">
      <c r="B155" s="1025"/>
      <c r="C155" s="967"/>
      <c r="D155" s="967"/>
      <c r="E155" s="967"/>
      <c r="F155" s="967"/>
      <c r="G155" s="967"/>
      <c r="H155" s="967"/>
      <c r="I155" s="967"/>
      <c r="J155" s="967"/>
      <c r="K155" s="968"/>
      <c r="L155" s="967"/>
      <c r="M155" s="967"/>
      <c r="N155" s="967"/>
      <c r="O155" s="967"/>
      <c r="P155" s="967"/>
      <c r="Q155" s="967"/>
      <c r="R155" s="993"/>
      <c r="S155" s="993"/>
      <c r="T155" s="993"/>
      <c r="U155" s="993"/>
      <c r="V155" s="993"/>
      <c r="W155" s="993"/>
      <c r="X155" s="993"/>
      <c r="Y155" s="993"/>
      <c r="Z155" s="993"/>
      <c r="AA155" s="993"/>
      <c r="AB155" s="993"/>
      <c r="AC155" s="993"/>
      <c r="AD155" s="993"/>
      <c r="AE155" s="993"/>
      <c r="AF155" s="993"/>
      <c r="AG155" s="993"/>
      <c r="AH155" s="993"/>
      <c r="AI155" s="993"/>
      <c r="AJ155" s="993"/>
      <c r="AK155" s="993"/>
      <c r="AL155" s="993"/>
      <c r="AM155" s="993"/>
      <c r="AN155" s="993"/>
      <c r="AO155" s="993"/>
      <c r="AP155" s="993"/>
      <c r="AQ155" s="993"/>
    </row>
    <row r="156" spans="2:43" ht="12">
      <c r="B156" s="1024" t="s">
        <v>575</v>
      </c>
      <c r="C156" s="1015"/>
      <c r="D156" s="1015"/>
      <c r="E156" s="1015"/>
      <c r="F156" s="1015"/>
      <c r="G156" s="1015"/>
      <c r="H156" s="1015"/>
      <c r="I156" s="1015"/>
      <c r="J156" s="1015"/>
      <c r="K156" s="1016"/>
      <c r="L156" s="1015"/>
      <c r="M156" s="1015"/>
      <c r="N156" s="1015"/>
      <c r="O156" s="1015"/>
      <c r="P156" s="1015"/>
      <c r="Q156" s="1015"/>
      <c r="R156" s="1015"/>
      <c r="S156" s="1015"/>
      <c r="T156" s="1015"/>
      <c r="U156" s="1015"/>
      <c r="V156" s="1015"/>
      <c r="W156" s="1015"/>
      <c r="X156" s="1015"/>
      <c r="Y156" s="1015"/>
      <c r="Z156" s="1015"/>
      <c r="AA156" s="1015"/>
      <c r="AB156" s="1015"/>
      <c r="AC156" s="1015"/>
      <c r="AD156" s="1015"/>
      <c r="AE156" s="1015"/>
      <c r="AF156" s="1015"/>
      <c r="AG156" s="1015"/>
      <c r="AH156" s="1015"/>
      <c r="AI156" s="1015"/>
      <c r="AJ156" s="1015"/>
      <c r="AK156" s="1015"/>
      <c r="AL156" s="1015"/>
      <c r="AM156" s="1015"/>
      <c r="AN156" s="1015"/>
      <c r="AO156" s="1015"/>
      <c r="AP156" s="1015"/>
      <c r="AQ156" s="1015"/>
    </row>
    <row r="157" spans="2:43" hidden="1" outlineLevel="1">
      <c r="B157" s="1025" t="s">
        <v>588</v>
      </c>
      <c r="C157" s="976"/>
      <c r="D157" s="976"/>
      <c r="E157" s="976"/>
      <c r="F157" s="976"/>
      <c r="G157" s="976"/>
      <c r="H157" s="976"/>
      <c r="I157" s="976"/>
      <c r="J157" s="976"/>
      <c r="K157" s="988"/>
      <c r="L157" s="976"/>
      <c r="M157" s="976">
        <f>E12*0.33+D12*0.33+C12*0.33</f>
        <v>0</v>
      </c>
      <c r="N157" s="976">
        <f t="shared" ref="N157:AH157" si="305">F12*0.33+E12*0.33+D12*0.33</f>
        <v>0</v>
      </c>
      <c r="O157" s="976">
        <f t="shared" si="305"/>
        <v>0</v>
      </c>
      <c r="P157" s="976">
        <f t="shared" si="305"/>
        <v>0</v>
      </c>
      <c r="Q157" s="976">
        <f t="shared" si="305"/>
        <v>0</v>
      </c>
      <c r="R157" s="976">
        <f t="shared" si="305"/>
        <v>0</v>
      </c>
      <c r="S157" s="976">
        <f t="shared" si="305"/>
        <v>5.28</v>
      </c>
      <c r="T157" s="976">
        <f t="shared" si="305"/>
        <v>10.56</v>
      </c>
      <c r="U157" s="976">
        <f t="shared" si="305"/>
        <v>25.080000000000002</v>
      </c>
      <c r="V157" s="976">
        <f t="shared" si="305"/>
        <v>35.64</v>
      </c>
      <c r="W157" s="976">
        <f t="shared" si="305"/>
        <v>50.82</v>
      </c>
      <c r="X157" s="976">
        <f t="shared" si="305"/>
        <v>67.98</v>
      </c>
      <c r="Y157" s="976">
        <f t="shared" si="305"/>
        <v>77.22</v>
      </c>
      <c r="Z157" s="976">
        <f t="shared" si="305"/>
        <v>81.84</v>
      </c>
      <c r="AA157" s="976">
        <f t="shared" si="305"/>
        <v>74.58</v>
      </c>
      <c r="AB157" s="976">
        <f t="shared" si="305"/>
        <v>52.47</v>
      </c>
      <c r="AC157" s="976">
        <f t="shared" si="305"/>
        <v>27.39</v>
      </c>
      <c r="AD157" s="976">
        <f t="shared" si="305"/>
        <v>2.97</v>
      </c>
      <c r="AE157" s="976">
        <f t="shared" si="305"/>
        <v>0</v>
      </c>
      <c r="AF157" s="976">
        <f t="shared" si="305"/>
        <v>0</v>
      </c>
      <c r="AG157" s="976">
        <f t="shared" si="305"/>
        <v>0</v>
      </c>
      <c r="AH157" s="976">
        <f t="shared" si="305"/>
        <v>0</v>
      </c>
      <c r="AI157" s="976">
        <f t="shared" ref="AI157" si="306">AA12*0.33+Z12*0.33+Y12*0.33</f>
        <v>0</v>
      </c>
      <c r="AJ157" s="976">
        <f t="shared" ref="AJ157" si="307">AB12*0.33+AA12*0.33+Z12*0.33</f>
        <v>0</v>
      </c>
      <c r="AK157" s="976">
        <f t="shared" ref="AK157" si="308">AC12*0.33+AB12*0.33+AA12*0.33</f>
        <v>0</v>
      </c>
      <c r="AL157" s="976">
        <f t="shared" ref="AL157" si="309">AD12*0.33+AC12*0.33+AB12*0.33</f>
        <v>0</v>
      </c>
      <c r="AM157" s="976">
        <f t="shared" ref="AM157" si="310">AE12*0.33+AD12*0.33+AC12*0.33</f>
        <v>0</v>
      </c>
      <c r="AN157" s="976">
        <f t="shared" ref="AN157" si="311">AF12*0.33+AE12*0.33+AD12*0.33</f>
        <v>0</v>
      </c>
      <c r="AO157" s="976">
        <f t="shared" ref="AO157" si="312">AG12*0.33+AF12*0.33+AE12*0.33</f>
        <v>0</v>
      </c>
      <c r="AP157" s="976">
        <f t="shared" ref="AP157" si="313">AH12*0.33+AG12*0.33+AF12*0.33</f>
        <v>0</v>
      </c>
      <c r="AQ157" s="976">
        <f t="shared" ref="AQ157" si="314">AI12*0.33+AH12*0.33+AG12*0.33</f>
        <v>0</v>
      </c>
    </row>
    <row r="158" spans="2:43" hidden="1" outlineLevel="1">
      <c r="B158" s="1025" t="s">
        <v>589</v>
      </c>
      <c r="C158" s="976"/>
      <c r="D158" s="976"/>
      <c r="E158" s="976"/>
      <c r="F158" s="976"/>
      <c r="G158" s="976"/>
      <c r="H158" s="976"/>
      <c r="I158" s="976"/>
      <c r="J158" s="976"/>
      <c r="K158" s="988"/>
      <c r="L158" s="976"/>
      <c r="M158" s="976"/>
      <c r="N158" s="976"/>
      <c r="O158" s="976"/>
      <c r="P158" s="976"/>
      <c r="Q158" s="976">
        <f>E12*0.33+D12*0.33+C12*0.33</f>
        <v>0</v>
      </c>
      <c r="R158" s="976">
        <f t="shared" ref="R158:AH158" si="315">F12</f>
        <v>0</v>
      </c>
      <c r="S158" s="976">
        <f t="shared" si="315"/>
        <v>0</v>
      </c>
      <c r="T158" s="976">
        <f t="shared" si="315"/>
        <v>0</v>
      </c>
      <c r="U158" s="976">
        <f t="shared" si="315"/>
        <v>0</v>
      </c>
      <c r="V158" s="976">
        <f t="shared" si="315"/>
        <v>0</v>
      </c>
      <c r="W158" s="976">
        <f t="shared" si="315"/>
        <v>16</v>
      </c>
      <c r="X158" s="976">
        <f t="shared" si="315"/>
        <v>16</v>
      </c>
      <c r="Y158" s="976">
        <f t="shared" si="315"/>
        <v>44</v>
      </c>
      <c r="Z158" s="976">
        <f t="shared" si="315"/>
        <v>48</v>
      </c>
      <c r="AA158" s="976">
        <f t="shared" si="315"/>
        <v>62</v>
      </c>
      <c r="AB158" s="976">
        <f t="shared" si="315"/>
        <v>96</v>
      </c>
      <c r="AC158" s="976">
        <f t="shared" si="315"/>
        <v>76</v>
      </c>
      <c r="AD158" s="976">
        <f t="shared" si="315"/>
        <v>76</v>
      </c>
      <c r="AE158" s="976">
        <f t="shared" si="315"/>
        <v>74</v>
      </c>
      <c r="AF158" s="976">
        <f t="shared" si="315"/>
        <v>9</v>
      </c>
      <c r="AG158" s="976">
        <f t="shared" si="315"/>
        <v>0</v>
      </c>
      <c r="AH158" s="976">
        <f t="shared" si="315"/>
        <v>0</v>
      </c>
      <c r="AI158" s="976">
        <f t="shared" ref="AI158" si="316">W12</f>
        <v>0</v>
      </c>
      <c r="AJ158" s="976">
        <f t="shared" ref="AJ158" si="317">X12</f>
        <v>0</v>
      </c>
      <c r="AK158" s="976">
        <f t="shared" ref="AK158" si="318">Y12</f>
        <v>0</v>
      </c>
      <c r="AL158" s="976">
        <f t="shared" ref="AL158" si="319">Z12</f>
        <v>0</v>
      </c>
      <c r="AM158" s="976">
        <f t="shared" ref="AM158" si="320">AA12</f>
        <v>0</v>
      </c>
      <c r="AN158" s="976">
        <f t="shared" ref="AN158" si="321">AB12</f>
        <v>0</v>
      </c>
      <c r="AO158" s="976">
        <f t="shared" ref="AO158" si="322">AC12</f>
        <v>0</v>
      </c>
      <c r="AP158" s="976">
        <f t="shared" ref="AP158" si="323">AD12</f>
        <v>0</v>
      </c>
      <c r="AQ158" s="976">
        <f t="shared" ref="AQ158" si="324">AE12</f>
        <v>0</v>
      </c>
    </row>
    <row r="159" spans="2:43" hidden="1" outlineLevel="1">
      <c r="B159" s="1025" t="s">
        <v>590</v>
      </c>
      <c r="C159" s="976"/>
      <c r="D159" s="976"/>
      <c r="E159" s="976"/>
      <c r="F159" s="976"/>
      <c r="G159" s="976"/>
      <c r="H159" s="976"/>
      <c r="I159" s="976"/>
      <c r="J159" s="976"/>
      <c r="K159" s="988"/>
      <c r="L159" s="976"/>
      <c r="M159" s="976"/>
      <c r="N159" s="976"/>
      <c r="O159" s="976"/>
      <c r="P159" s="976"/>
      <c r="Q159" s="976"/>
      <c r="R159" s="976"/>
      <c r="S159" s="976"/>
      <c r="T159" s="976"/>
      <c r="U159" s="976"/>
      <c r="V159" s="976"/>
      <c r="W159" s="976">
        <f>E12*0.33+D12*0.33+C12*0.33</f>
        <v>0</v>
      </c>
      <c r="X159" s="976">
        <f t="shared" ref="X159:AH159" si="325">F12*0.33+E12*0.33+D12*0.33</f>
        <v>0</v>
      </c>
      <c r="Y159" s="976">
        <f t="shared" si="325"/>
        <v>0</v>
      </c>
      <c r="Z159" s="976">
        <f t="shared" si="325"/>
        <v>0</v>
      </c>
      <c r="AA159" s="976">
        <f t="shared" si="325"/>
        <v>0</v>
      </c>
      <c r="AB159" s="976">
        <f t="shared" si="325"/>
        <v>0</v>
      </c>
      <c r="AC159" s="976">
        <f t="shared" si="325"/>
        <v>5.28</v>
      </c>
      <c r="AD159" s="976">
        <f t="shared" si="325"/>
        <v>10.56</v>
      </c>
      <c r="AE159" s="976">
        <f t="shared" si="325"/>
        <v>25.080000000000002</v>
      </c>
      <c r="AF159" s="976">
        <f t="shared" si="325"/>
        <v>35.64</v>
      </c>
      <c r="AG159" s="976">
        <f t="shared" si="325"/>
        <v>50.82</v>
      </c>
      <c r="AH159" s="976">
        <f t="shared" si="325"/>
        <v>67.98</v>
      </c>
      <c r="AI159" s="976">
        <f t="shared" ref="AI159" si="326">Q12*0.33+P12*0.33+O12*0.33</f>
        <v>77.22</v>
      </c>
      <c r="AJ159" s="976">
        <f t="shared" ref="AJ159" si="327">R12*0.33+Q12*0.33+P12*0.33</f>
        <v>81.84</v>
      </c>
      <c r="AK159" s="976">
        <f t="shared" ref="AK159" si="328">S12*0.33+R12*0.33+Q12*0.33</f>
        <v>74.58</v>
      </c>
      <c r="AL159" s="976">
        <f t="shared" ref="AL159" si="329">T12*0.33+S12*0.33+R12*0.33</f>
        <v>52.47</v>
      </c>
      <c r="AM159" s="976">
        <f t="shared" ref="AM159" si="330">U12*0.33+T12*0.33+S12*0.33</f>
        <v>27.39</v>
      </c>
      <c r="AN159" s="976">
        <f t="shared" ref="AN159" si="331">V12*0.33+U12*0.33+T12*0.33</f>
        <v>2.97</v>
      </c>
      <c r="AO159" s="976">
        <f t="shared" ref="AO159" si="332">W12*0.33+V12*0.33+U12*0.33</f>
        <v>0</v>
      </c>
      <c r="AP159" s="976">
        <f t="shared" ref="AP159" si="333">X12*0.33+W12*0.33+V12*0.33</f>
        <v>0</v>
      </c>
      <c r="AQ159" s="976">
        <f t="shared" ref="AQ159" si="334">Y12*0.33+X12*0.33+W12*0.33</f>
        <v>0</v>
      </c>
    </row>
    <row r="160" spans="2:43" hidden="1" outlineLevel="1">
      <c r="B160" s="1025"/>
      <c r="C160" s="967"/>
      <c r="D160" s="967"/>
      <c r="E160" s="967"/>
      <c r="F160" s="967"/>
      <c r="G160" s="967"/>
      <c r="H160" s="967"/>
      <c r="I160" s="967"/>
      <c r="J160" s="967"/>
      <c r="K160" s="968"/>
      <c r="L160" s="967"/>
      <c r="M160" s="967"/>
      <c r="N160" s="967"/>
      <c r="O160" s="967"/>
      <c r="P160" s="967"/>
      <c r="Q160" s="967"/>
      <c r="R160" s="967"/>
      <c r="S160" s="967"/>
      <c r="T160" s="967"/>
      <c r="U160" s="967"/>
      <c r="V160" s="967"/>
      <c r="W160" s="967"/>
      <c r="X160" s="967"/>
      <c r="Y160" s="967"/>
      <c r="Z160" s="967"/>
      <c r="AA160" s="967"/>
      <c r="AB160" s="967"/>
      <c r="AC160" s="967"/>
      <c r="AD160" s="967"/>
      <c r="AE160" s="967"/>
      <c r="AF160" s="967"/>
      <c r="AG160" s="967"/>
      <c r="AH160" s="967"/>
      <c r="AI160" s="967"/>
      <c r="AJ160" s="967"/>
      <c r="AK160" s="967"/>
      <c r="AL160" s="967"/>
      <c r="AM160" s="967"/>
      <c r="AN160" s="967"/>
      <c r="AO160" s="967"/>
      <c r="AP160" s="967"/>
      <c r="AQ160" s="967"/>
    </row>
    <row r="161" spans="2:43" hidden="1" outlineLevel="1">
      <c r="B161" s="1025" t="s">
        <v>591</v>
      </c>
      <c r="C161" s="967"/>
      <c r="D161" s="967"/>
      <c r="E161" s="967"/>
      <c r="F161" s="967"/>
      <c r="G161" s="967"/>
      <c r="H161" s="967"/>
      <c r="I161" s="967"/>
      <c r="J161" s="967"/>
      <c r="K161" s="968"/>
      <c r="L161" s="967"/>
      <c r="M161" s="967"/>
      <c r="N161" s="967"/>
      <c r="O161" s="967"/>
      <c r="P161" s="967"/>
      <c r="Q161" s="989">
        <f t="shared" ref="Q161:Y163" si="335">R161/(1+R$172)</f>
        <v>4.8431983163953563</v>
      </c>
      <c r="R161" s="989">
        <f t="shared" si="335"/>
        <v>4.96427827430524</v>
      </c>
      <c r="S161" s="989">
        <f t="shared" si="335"/>
        <v>5.0883852311628708</v>
      </c>
      <c r="T161" s="989">
        <f t="shared" si="335"/>
        <v>5.2155948619419421</v>
      </c>
      <c r="U161" s="989">
        <f t="shared" si="335"/>
        <v>5.3459847334904902</v>
      </c>
      <c r="V161" s="989">
        <f t="shared" si="335"/>
        <v>5.4796343518277517</v>
      </c>
      <c r="W161" s="989">
        <f t="shared" si="335"/>
        <v>5.6166252106234449</v>
      </c>
      <c r="X161" s="989">
        <f t="shared" si="335"/>
        <v>5.7851239669421481</v>
      </c>
      <c r="Y161" s="989">
        <f>Z161/(1+Z$172)</f>
        <v>6.3636363636363633</v>
      </c>
      <c r="Z161" s="990">
        <v>7</v>
      </c>
      <c r="AA161" s="989">
        <f t="shared" ref="AA161:AH163" si="336">Z161*(1+AA$172)</f>
        <v>7.3500000000000005</v>
      </c>
      <c r="AB161" s="989">
        <f t="shared" si="336"/>
        <v>7.644000000000001</v>
      </c>
      <c r="AC161" s="989">
        <f t="shared" si="336"/>
        <v>7.9497600000000013</v>
      </c>
      <c r="AD161" s="989">
        <f t="shared" si="336"/>
        <v>8.1882528000000008</v>
      </c>
      <c r="AE161" s="989">
        <f t="shared" si="336"/>
        <v>8.4339003840000011</v>
      </c>
      <c r="AF161" s="989">
        <f t="shared" si="336"/>
        <v>8.8555954032000024</v>
      </c>
      <c r="AG161" s="989">
        <f t="shared" si="336"/>
        <v>9.2983751733600037</v>
      </c>
      <c r="AH161" s="989">
        <f t="shared" si="336"/>
        <v>9.7632939320280041</v>
      </c>
      <c r="AI161" s="989">
        <f t="shared" ref="AI161:AI163" si="337">AH161*(1+AI$172)</f>
        <v>10.251458628629404</v>
      </c>
      <c r="AJ161" s="989">
        <f t="shared" ref="AJ161:AJ163" si="338">AI161*(1+AJ$172)</f>
        <v>10.764031560060875</v>
      </c>
      <c r="AK161" s="989">
        <f t="shared" ref="AK161:AK163" si="339">AJ161*(1+AK$172)</f>
        <v>11.302233138063919</v>
      </c>
      <c r="AL161" s="989">
        <f t="shared" ref="AL161:AL163" si="340">AK161*(1+AL$172)</f>
        <v>11.867344794967115</v>
      </c>
      <c r="AM161" s="989">
        <f t="shared" ref="AM161:AM163" si="341">AL161*(1+AM$172)</f>
        <v>12.460712034715472</v>
      </c>
      <c r="AN161" s="989">
        <f t="shared" ref="AN161:AN163" si="342">AM161*(1+AN$172)</f>
        <v>13.083747636451246</v>
      </c>
      <c r="AO161" s="989">
        <f t="shared" ref="AO161:AO163" si="343">AN161*(1+AO$172)</f>
        <v>13.737935018273809</v>
      </c>
      <c r="AP161" s="989">
        <f t="shared" ref="AP161:AP163" si="344">AO161*(1+AP$172)</f>
        <v>14.424831769187501</v>
      </c>
      <c r="AQ161" s="989">
        <f t="shared" ref="AQ161:AQ163" si="345">AP161*(1+AQ$172)</f>
        <v>15.146073357646877</v>
      </c>
    </row>
    <row r="162" spans="2:43" hidden="1" outlineLevel="1">
      <c r="B162" s="1025" t="s">
        <v>592</v>
      </c>
      <c r="C162" s="967"/>
      <c r="D162" s="967"/>
      <c r="E162" s="967"/>
      <c r="F162" s="967"/>
      <c r="G162" s="967"/>
      <c r="H162" s="967"/>
      <c r="I162" s="967"/>
      <c r="J162" s="967"/>
      <c r="K162" s="968"/>
      <c r="L162" s="967"/>
      <c r="M162" s="967"/>
      <c r="N162" s="967"/>
      <c r="O162" s="967"/>
      <c r="P162" s="967"/>
      <c r="Q162" s="989">
        <f t="shared" si="335"/>
        <v>6.918854737707651</v>
      </c>
      <c r="R162" s="989">
        <f t="shared" si="335"/>
        <v>7.091826106150342</v>
      </c>
      <c r="S162" s="989">
        <f t="shared" si="335"/>
        <v>7.2691217588040997</v>
      </c>
      <c r="T162" s="989">
        <f t="shared" si="335"/>
        <v>7.4508498027742016</v>
      </c>
      <c r="U162" s="989">
        <f t="shared" si="335"/>
        <v>7.6371210478435563</v>
      </c>
      <c r="V162" s="989">
        <f t="shared" si="335"/>
        <v>7.8280490740396447</v>
      </c>
      <c r="W162" s="989">
        <f t="shared" si="335"/>
        <v>8.0237503008906348</v>
      </c>
      <c r="X162" s="989">
        <f t="shared" si="335"/>
        <v>8.2644628099173545</v>
      </c>
      <c r="Y162" s="989">
        <f t="shared" si="335"/>
        <v>9.0909090909090899</v>
      </c>
      <c r="Z162" s="990">
        <v>10</v>
      </c>
      <c r="AA162" s="989">
        <f t="shared" si="336"/>
        <v>10.5</v>
      </c>
      <c r="AB162" s="989">
        <f t="shared" si="336"/>
        <v>10.92</v>
      </c>
      <c r="AC162" s="989">
        <f t="shared" si="336"/>
        <v>11.3568</v>
      </c>
      <c r="AD162" s="989">
        <f t="shared" si="336"/>
        <v>11.697504</v>
      </c>
      <c r="AE162" s="989">
        <f t="shared" si="336"/>
        <v>12.048429120000002</v>
      </c>
      <c r="AF162" s="989">
        <f t="shared" si="336"/>
        <v>12.650850576000002</v>
      </c>
      <c r="AG162" s="989">
        <f t="shared" si="336"/>
        <v>13.283393104800002</v>
      </c>
      <c r="AH162" s="989">
        <f t="shared" si="336"/>
        <v>13.947562760040002</v>
      </c>
      <c r="AI162" s="989">
        <f t="shared" si="337"/>
        <v>14.644940898042003</v>
      </c>
      <c r="AJ162" s="989">
        <f t="shared" si="338"/>
        <v>15.377187942944104</v>
      </c>
      <c r="AK162" s="989">
        <f t="shared" si="339"/>
        <v>16.146047340091311</v>
      </c>
      <c r="AL162" s="989">
        <f t="shared" si="340"/>
        <v>16.953349707095878</v>
      </c>
      <c r="AM162" s="989">
        <f t="shared" si="341"/>
        <v>17.801017192450672</v>
      </c>
      <c r="AN162" s="989">
        <f t="shared" si="342"/>
        <v>18.691068052073206</v>
      </c>
      <c r="AO162" s="989">
        <f t="shared" si="343"/>
        <v>19.625621454676867</v>
      </c>
      <c r="AP162" s="989">
        <f t="shared" si="344"/>
        <v>20.60690252741071</v>
      </c>
      <c r="AQ162" s="989">
        <f t="shared" si="345"/>
        <v>21.637247653781248</v>
      </c>
    </row>
    <row r="163" spans="2:43" hidden="1" outlineLevel="1">
      <c r="B163" s="1025" t="s">
        <v>593</v>
      </c>
      <c r="C163" s="967"/>
      <c r="D163" s="967"/>
      <c r="E163" s="967"/>
      <c r="F163" s="967"/>
      <c r="G163" s="967"/>
      <c r="H163" s="967"/>
      <c r="I163" s="967"/>
      <c r="J163" s="967"/>
      <c r="K163" s="968"/>
      <c r="L163" s="967"/>
      <c r="M163" s="967"/>
      <c r="N163" s="967"/>
      <c r="O163" s="967"/>
      <c r="P163" s="967"/>
      <c r="Q163" s="989">
        <f t="shared" si="335"/>
        <v>6.2269692639368861</v>
      </c>
      <c r="R163" s="989">
        <f t="shared" si="335"/>
        <v>6.3826434955353077</v>
      </c>
      <c r="S163" s="989">
        <f t="shared" si="335"/>
        <v>6.5422095829236895</v>
      </c>
      <c r="T163" s="989">
        <f t="shared" si="335"/>
        <v>6.7057648224967812</v>
      </c>
      <c r="U163" s="989">
        <f t="shared" si="335"/>
        <v>6.8734089430592</v>
      </c>
      <c r="V163" s="989">
        <f t="shared" si="335"/>
        <v>7.0452441666356798</v>
      </c>
      <c r="W163" s="989">
        <f t="shared" si="335"/>
        <v>7.2213752708015715</v>
      </c>
      <c r="X163" s="989">
        <f t="shared" si="335"/>
        <v>7.438016528925619</v>
      </c>
      <c r="Y163" s="989">
        <f t="shared" si="335"/>
        <v>8.1818181818181817</v>
      </c>
      <c r="Z163" s="990">
        <v>9</v>
      </c>
      <c r="AA163" s="989">
        <f t="shared" si="336"/>
        <v>9.4500000000000011</v>
      </c>
      <c r="AB163" s="989">
        <f t="shared" si="336"/>
        <v>9.8280000000000012</v>
      </c>
      <c r="AC163" s="989">
        <f t="shared" si="336"/>
        <v>10.221120000000001</v>
      </c>
      <c r="AD163" s="989">
        <f t="shared" si="336"/>
        <v>10.5277536</v>
      </c>
      <c r="AE163" s="989">
        <f t="shared" si="336"/>
        <v>10.843586208000001</v>
      </c>
      <c r="AF163" s="989">
        <f t="shared" si="336"/>
        <v>11.385765518400001</v>
      </c>
      <c r="AG163" s="989">
        <f t="shared" si="336"/>
        <v>11.955053794320001</v>
      </c>
      <c r="AH163" s="989">
        <f t="shared" si="336"/>
        <v>12.552806484036001</v>
      </c>
      <c r="AI163" s="989">
        <f t="shared" si="337"/>
        <v>13.180446808237802</v>
      </c>
      <c r="AJ163" s="989">
        <f t="shared" si="338"/>
        <v>13.839469148649693</v>
      </c>
      <c r="AK163" s="989">
        <f t="shared" si="339"/>
        <v>14.531442606082178</v>
      </c>
      <c r="AL163" s="989">
        <f t="shared" si="340"/>
        <v>15.258014736386288</v>
      </c>
      <c r="AM163" s="989">
        <f t="shared" si="341"/>
        <v>16.020915473205605</v>
      </c>
      <c r="AN163" s="989">
        <f t="shared" si="342"/>
        <v>16.821961246865886</v>
      </c>
      <c r="AO163" s="989">
        <f t="shared" si="343"/>
        <v>17.663059309209181</v>
      </c>
      <c r="AP163" s="989">
        <f t="shared" si="344"/>
        <v>18.546212274669642</v>
      </c>
      <c r="AQ163" s="989">
        <f t="shared" si="345"/>
        <v>19.473522888403124</v>
      </c>
    </row>
    <row r="164" spans="2:43" hidden="1" outlineLevel="1">
      <c r="B164" s="1025"/>
      <c r="C164" s="967"/>
      <c r="D164" s="967"/>
      <c r="E164" s="967"/>
      <c r="F164" s="967"/>
      <c r="G164" s="967"/>
      <c r="H164" s="967"/>
      <c r="I164" s="967"/>
      <c r="J164" s="967"/>
      <c r="K164" s="968"/>
      <c r="L164" s="967"/>
      <c r="M164" s="967"/>
      <c r="N164" s="967"/>
      <c r="O164" s="967"/>
      <c r="P164" s="967"/>
      <c r="Q164" s="967"/>
      <c r="R164" s="967"/>
      <c r="S164" s="967"/>
      <c r="T164" s="967"/>
      <c r="U164" s="967"/>
      <c r="V164" s="967"/>
      <c r="W164" s="967"/>
      <c r="X164" s="967"/>
      <c r="Y164" s="967"/>
      <c r="Z164" s="967"/>
      <c r="AA164" s="967"/>
      <c r="AB164" s="967"/>
      <c r="AC164" s="967"/>
      <c r="AD164" s="967"/>
      <c r="AE164" s="967"/>
      <c r="AF164" s="967"/>
      <c r="AG164" s="967"/>
      <c r="AH164" s="967"/>
      <c r="AI164" s="967"/>
      <c r="AJ164" s="967"/>
      <c r="AK164" s="967"/>
      <c r="AL164" s="967"/>
      <c r="AM164" s="967"/>
      <c r="AN164" s="967"/>
      <c r="AO164" s="967"/>
      <c r="AP164" s="967"/>
      <c r="AQ164" s="967"/>
    </row>
    <row r="165" spans="2:43" s="981" customFormat="1" hidden="1" outlineLevel="1">
      <c r="B165" s="1026" t="s">
        <v>594</v>
      </c>
      <c r="C165" s="982"/>
      <c r="D165" s="982"/>
      <c r="E165" s="982"/>
      <c r="F165" s="982"/>
      <c r="G165" s="982"/>
      <c r="H165" s="982"/>
      <c r="I165" s="982"/>
      <c r="J165" s="982"/>
      <c r="K165" s="983"/>
      <c r="L165" s="982"/>
      <c r="M165" s="982"/>
      <c r="N165" s="982"/>
      <c r="O165" s="992">
        <f t="shared" ref="O165:AA165" si="346">O39</f>
        <v>0.82</v>
      </c>
      <c r="P165" s="992">
        <f t="shared" si="346"/>
        <v>0.82</v>
      </c>
      <c r="Q165" s="992">
        <f t="shared" si="346"/>
        <v>0.82</v>
      </c>
      <c r="R165" s="992">
        <f t="shared" si="346"/>
        <v>0.82</v>
      </c>
      <c r="S165" s="992">
        <f t="shared" si="346"/>
        <v>0.82</v>
      </c>
      <c r="T165" s="992">
        <f t="shared" si="346"/>
        <v>0.82</v>
      </c>
      <c r="U165" s="992">
        <f t="shared" si="346"/>
        <v>0.82</v>
      </c>
      <c r="V165" s="992">
        <f t="shared" si="346"/>
        <v>0.82</v>
      </c>
      <c r="W165" s="992">
        <f t="shared" si="346"/>
        <v>0.82</v>
      </c>
      <c r="X165" s="992">
        <f t="shared" si="346"/>
        <v>0.82</v>
      </c>
      <c r="Y165" s="992">
        <f t="shared" si="346"/>
        <v>0.82</v>
      </c>
      <c r="Z165" s="992">
        <f t="shared" si="346"/>
        <v>0.82</v>
      </c>
      <c r="AA165" s="992">
        <f t="shared" si="346"/>
        <v>0.82</v>
      </c>
      <c r="AB165" s="992">
        <f>AB39</f>
        <v>0.82</v>
      </c>
      <c r="AC165" s="992">
        <f t="shared" ref="AC165:AQ165" si="347">AC39</f>
        <v>0.82</v>
      </c>
      <c r="AD165" s="992">
        <f t="shared" si="347"/>
        <v>0.82</v>
      </c>
      <c r="AE165" s="992">
        <f t="shared" si="347"/>
        <v>0.82</v>
      </c>
      <c r="AF165" s="992">
        <f t="shared" si="347"/>
        <v>0.82</v>
      </c>
      <c r="AG165" s="992">
        <f t="shared" si="347"/>
        <v>0.82</v>
      </c>
      <c r="AH165" s="992">
        <f t="shared" si="347"/>
        <v>0.82</v>
      </c>
      <c r="AI165" s="992">
        <f t="shared" si="347"/>
        <v>0.82</v>
      </c>
      <c r="AJ165" s="992">
        <f t="shared" si="347"/>
        <v>0.82</v>
      </c>
      <c r="AK165" s="992">
        <f t="shared" si="347"/>
        <v>0.82</v>
      </c>
      <c r="AL165" s="992">
        <f t="shared" si="347"/>
        <v>0.82</v>
      </c>
      <c r="AM165" s="992">
        <f t="shared" si="347"/>
        <v>0.82</v>
      </c>
      <c r="AN165" s="992">
        <f t="shared" si="347"/>
        <v>0.82</v>
      </c>
      <c r="AO165" s="992">
        <f t="shared" si="347"/>
        <v>0.82</v>
      </c>
      <c r="AP165" s="992">
        <f t="shared" si="347"/>
        <v>0.82</v>
      </c>
      <c r="AQ165" s="992">
        <f t="shared" si="347"/>
        <v>0.82</v>
      </c>
    </row>
    <row r="166" spans="2:43" collapsed="1">
      <c r="B166" s="1025"/>
      <c r="C166" s="967"/>
      <c r="D166" s="967"/>
      <c r="E166" s="967"/>
      <c r="F166" s="967"/>
      <c r="G166" s="967"/>
      <c r="H166" s="967"/>
      <c r="I166" s="967"/>
      <c r="J166" s="967"/>
      <c r="K166" s="968"/>
      <c r="L166" s="967"/>
      <c r="M166" s="967"/>
      <c r="N166" s="967"/>
      <c r="O166" s="967"/>
      <c r="P166" s="967"/>
      <c r="Q166" s="967"/>
      <c r="R166" s="967"/>
      <c r="S166" s="967"/>
      <c r="T166" s="967"/>
      <c r="U166" s="967"/>
      <c r="V166" s="967"/>
      <c r="W166" s="967"/>
      <c r="X166" s="967"/>
      <c r="Y166" s="967"/>
      <c r="Z166" s="967"/>
      <c r="AA166" s="967"/>
      <c r="AB166" s="967"/>
      <c r="AC166" s="967"/>
      <c r="AD166" s="967"/>
      <c r="AE166" s="967"/>
      <c r="AF166" s="967"/>
      <c r="AG166" s="967"/>
      <c r="AH166" s="967"/>
      <c r="AI166" s="967"/>
      <c r="AJ166" s="967"/>
      <c r="AK166" s="967"/>
      <c r="AL166" s="967"/>
      <c r="AM166" s="967"/>
      <c r="AN166" s="967"/>
      <c r="AO166" s="967"/>
      <c r="AP166" s="967"/>
      <c r="AQ166" s="967"/>
    </row>
    <row r="167" spans="2:43">
      <c r="B167" s="1025" t="s">
        <v>595</v>
      </c>
      <c r="C167" s="967"/>
      <c r="D167" s="967"/>
      <c r="E167" s="967"/>
      <c r="F167" s="967"/>
      <c r="G167" s="967"/>
      <c r="H167" s="967"/>
      <c r="I167" s="967"/>
      <c r="J167" s="967"/>
      <c r="K167" s="968"/>
      <c r="L167" s="967"/>
      <c r="M167" s="967"/>
      <c r="N167" s="967"/>
      <c r="O167" s="967"/>
      <c r="P167" s="967"/>
      <c r="Q167" s="976">
        <f>Q157*Q161*Q$165</f>
        <v>0</v>
      </c>
      <c r="R167" s="976">
        <f t="shared" ref="R167:AE167" si="348">R157*R161*R$165</f>
        <v>0</v>
      </c>
      <c r="S167" s="976">
        <f t="shared" si="348"/>
        <v>22.030672696842768</v>
      </c>
      <c r="T167" s="976">
        <f t="shared" si="348"/>
        <v>45.162879028527669</v>
      </c>
      <c r="U167" s="976">
        <f t="shared" si="348"/>
        <v>109.94338363507201</v>
      </c>
      <c r="V167" s="976">
        <f t="shared" si="348"/>
        <v>160.14121800529566</v>
      </c>
      <c r="W167" s="976">
        <f t="shared" si="348"/>
        <v>234.05825242718444</v>
      </c>
      <c r="X167" s="976">
        <f t="shared" si="348"/>
        <v>322.48363636363632</v>
      </c>
      <c r="Y167" s="976">
        <f t="shared" si="348"/>
        <v>402.94799999999998</v>
      </c>
      <c r="Z167" s="976">
        <f t="shared" si="348"/>
        <v>469.76159999999999</v>
      </c>
      <c r="AA167" s="976">
        <f t="shared" si="348"/>
        <v>449.49365999999998</v>
      </c>
      <c r="AB167" s="976">
        <f t="shared" si="348"/>
        <v>328.88615759999999</v>
      </c>
      <c r="AC167" s="976">
        <f t="shared" si="348"/>
        <v>178.55001964800002</v>
      </c>
      <c r="AD167" s="976">
        <f t="shared" si="348"/>
        <v>19.941670869120003</v>
      </c>
      <c r="AE167" s="976">
        <f t="shared" si="348"/>
        <v>0</v>
      </c>
      <c r="AF167" s="976">
        <f t="shared" ref="AF167:AG167" si="349">AF157*AF161*AF$165</f>
        <v>0</v>
      </c>
      <c r="AG167" s="976">
        <f t="shared" si="349"/>
        <v>0</v>
      </c>
      <c r="AH167" s="976">
        <f t="shared" ref="AH167:AQ167" si="350">AH157*AH161*AH$165</f>
        <v>0</v>
      </c>
      <c r="AI167" s="976">
        <f t="shared" si="350"/>
        <v>0</v>
      </c>
      <c r="AJ167" s="976">
        <f t="shared" si="350"/>
        <v>0</v>
      </c>
      <c r="AK167" s="976">
        <f t="shared" si="350"/>
        <v>0</v>
      </c>
      <c r="AL167" s="976">
        <f t="shared" si="350"/>
        <v>0</v>
      </c>
      <c r="AM167" s="976">
        <f t="shared" si="350"/>
        <v>0</v>
      </c>
      <c r="AN167" s="976">
        <f t="shared" si="350"/>
        <v>0</v>
      </c>
      <c r="AO167" s="976">
        <f t="shared" si="350"/>
        <v>0</v>
      </c>
      <c r="AP167" s="976">
        <f t="shared" si="350"/>
        <v>0</v>
      </c>
      <c r="AQ167" s="976">
        <f t="shared" si="350"/>
        <v>0</v>
      </c>
    </row>
    <row r="168" spans="2:43">
      <c r="B168" s="1025" t="s">
        <v>596</v>
      </c>
      <c r="C168" s="967"/>
      <c r="D168" s="967"/>
      <c r="E168" s="967"/>
      <c r="F168" s="967"/>
      <c r="G168" s="967"/>
      <c r="H168" s="967"/>
      <c r="I168" s="967"/>
      <c r="J168" s="967"/>
      <c r="K168" s="968"/>
      <c r="L168" s="967"/>
      <c r="M168" s="967"/>
      <c r="N168" s="967"/>
      <c r="O168" s="967"/>
      <c r="P168" s="967"/>
      <c r="Q168" s="976">
        <f t="shared" ref="Q168:AE169" si="351">Q158*Q162*Q$165</f>
        <v>0</v>
      </c>
      <c r="R168" s="976">
        <f t="shared" si="351"/>
        <v>0</v>
      </c>
      <c r="S168" s="976">
        <f t="shared" si="351"/>
        <v>0</v>
      </c>
      <c r="T168" s="976">
        <f t="shared" si="351"/>
        <v>0</v>
      </c>
      <c r="U168" s="976">
        <f t="shared" si="351"/>
        <v>0</v>
      </c>
      <c r="V168" s="976">
        <f t="shared" si="351"/>
        <v>0</v>
      </c>
      <c r="W168" s="976">
        <f t="shared" si="351"/>
        <v>105.27160394768512</v>
      </c>
      <c r="X168" s="976">
        <f t="shared" si="351"/>
        <v>108.42975206611568</v>
      </c>
      <c r="Y168" s="976">
        <f t="shared" si="351"/>
        <v>327.99999999999994</v>
      </c>
      <c r="Z168" s="976">
        <f t="shared" si="351"/>
        <v>393.59999999999997</v>
      </c>
      <c r="AA168" s="976">
        <f t="shared" si="351"/>
        <v>533.81999999999994</v>
      </c>
      <c r="AB168" s="976">
        <f t="shared" si="351"/>
        <v>859.62239999999986</v>
      </c>
      <c r="AC168" s="976">
        <f t="shared" si="351"/>
        <v>707.75577599999997</v>
      </c>
      <c r="AD168" s="976">
        <f t="shared" si="351"/>
        <v>728.98844927999994</v>
      </c>
      <c r="AE168" s="976">
        <f t="shared" si="351"/>
        <v>731.09867900160009</v>
      </c>
      <c r="AF168" s="976">
        <f t="shared" ref="AF168:AG168" si="352">AF158*AF162*AF$165</f>
        <v>93.363277250880003</v>
      </c>
      <c r="AG168" s="976">
        <f t="shared" si="352"/>
        <v>0</v>
      </c>
      <c r="AH168" s="976">
        <f t="shared" ref="AH168:AQ168" si="353">AH158*AH162*AH$165</f>
        <v>0</v>
      </c>
      <c r="AI168" s="976">
        <f t="shared" si="353"/>
        <v>0</v>
      </c>
      <c r="AJ168" s="976">
        <f t="shared" si="353"/>
        <v>0</v>
      </c>
      <c r="AK168" s="976">
        <f t="shared" si="353"/>
        <v>0</v>
      </c>
      <c r="AL168" s="976">
        <f t="shared" si="353"/>
        <v>0</v>
      </c>
      <c r="AM168" s="976">
        <f t="shared" si="353"/>
        <v>0</v>
      </c>
      <c r="AN168" s="976">
        <f t="shared" si="353"/>
        <v>0</v>
      </c>
      <c r="AO168" s="976">
        <f t="shared" si="353"/>
        <v>0</v>
      </c>
      <c r="AP168" s="976">
        <f t="shared" si="353"/>
        <v>0</v>
      </c>
      <c r="AQ168" s="976">
        <f t="shared" si="353"/>
        <v>0</v>
      </c>
    </row>
    <row r="169" spans="2:43">
      <c r="B169" s="1025" t="s">
        <v>597</v>
      </c>
      <c r="C169" s="967"/>
      <c r="D169" s="967"/>
      <c r="E169" s="967"/>
      <c r="F169" s="967"/>
      <c r="G169" s="967"/>
      <c r="H169" s="967"/>
      <c r="I169" s="967"/>
      <c r="J169" s="967"/>
      <c r="K169" s="968"/>
      <c r="L169" s="967"/>
      <c r="M169" s="967"/>
      <c r="N169" s="967"/>
      <c r="O169" s="967"/>
      <c r="P169" s="967"/>
      <c r="Q169" s="976">
        <f t="shared" si="351"/>
        <v>0</v>
      </c>
      <c r="R169" s="976">
        <f t="shared" si="351"/>
        <v>0</v>
      </c>
      <c r="S169" s="976">
        <f t="shared" si="351"/>
        <v>0</v>
      </c>
      <c r="T169" s="976">
        <f t="shared" si="351"/>
        <v>0</v>
      </c>
      <c r="U169" s="976">
        <f t="shared" si="351"/>
        <v>0</v>
      </c>
      <c r="V169" s="976">
        <f t="shared" si="351"/>
        <v>0</v>
      </c>
      <c r="W169" s="976">
        <f t="shared" si="351"/>
        <v>0</v>
      </c>
      <c r="X169" s="976">
        <f t="shared" si="351"/>
        <v>0</v>
      </c>
      <c r="Y169" s="976">
        <f t="shared" si="351"/>
        <v>0</v>
      </c>
      <c r="Z169" s="976">
        <f t="shared" si="351"/>
        <v>0</v>
      </c>
      <c r="AA169" s="976">
        <f t="shared" si="351"/>
        <v>0</v>
      </c>
      <c r="AB169" s="976">
        <f t="shared" si="351"/>
        <v>0</v>
      </c>
      <c r="AC169" s="976">
        <f t="shared" si="351"/>
        <v>44.253361152000004</v>
      </c>
      <c r="AD169" s="976">
        <f t="shared" si="351"/>
        <v>91.161923973119997</v>
      </c>
      <c r="AE169" s="976">
        <f t="shared" si="351"/>
        <v>223.00485651924481</v>
      </c>
      <c r="AF169" s="976">
        <f t="shared" ref="AF169:AG169" si="354">AF159*AF163*AF$165</f>
        <v>332.74672012213637</v>
      </c>
      <c r="AG169" s="976">
        <f t="shared" si="354"/>
        <v>498.19578373842074</v>
      </c>
      <c r="AH169" s="976">
        <f t="shared" ref="AH169:AQ169" si="355">AH159*AH163*AH$165</f>
        <v>699.7386235235092</v>
      </c>
      <c r="AI169" s="976">
        <f t="shared" si="355"/>
        <v>834.59116407634087</v>
      </c>
      <c r="AJ169" s="976">
        <f t="shared" si="355"/>
        <v>928.7501672029025</v>
      </c>
      <c r="AK169" s="976">
        <f t="shared" si="355"/>
        <v>888.6790914405193</v>
      </c>
      <c r="AL169" s="976">
        <f t="shared" si="355"/>
        <v>656.48218723891455</v>
      </c>
      <c r="AM169" s="976">
        <f t="shared" si="355"/>
        <v>359.82655734510325</v>
      </c>
      <c r="AN169" s="976">
        <f t="shared" si="355"/>
        <v>40.968204420617177</v>
      </c>
      <c r="AO169" s="976">
        <f t="shared" si="355"/>
        <v>0</v>
      </c>
      <c r="AP169" s="976">
        <f t="shared" si="355"/>
        <v>0</v>
      </c>
      <c r="AQ169" s="976">
        <f t="shared" si="355"/>
        <v>0</v>
      </c>
    </row>
    <row r="170" spans="2:43">
      <c r="B170" s="1025" t="s">
        <v>601</v>
      </c>
      <c r="C170" s="967"/>
      <c r="D170" s="967"/>
      <c r="E170" s="967"/>
      <c r="F170" s="967"/>
      <c r="G170" s="967"/>
      <c r="H170" s="967"/>
      <c r="I170" s="967"/>
      <c r="J170" s="967"/>
      <c r="K170" s="968"/>
      <c r="L170" s="967"/>
      <c r="M170" s="967"/>
      <c r="N170" s="967"/>
      <c r="O170" s="967"/>
      <c r="P170" s="967"/>
      <c r="Q170" s="976">
        <f>Q12*Q21*Q39*Q48</f>
        <v>159.68445281739517</v>
      </c>
      <c r="R170" s="976">
        <f t="shared" ref="R170:AE170" si="356">R12*R21*R39*R48</f>
        <v>163.67656413783004</v>
      </c>
      <c r="S170" s="976">
        <f t="shared" si="356"/>
        <v>163.35351828755805</v>
      </c>
      <c r="T170" s="976">
        <f t="shared" si="356"/>
        <v>20.364002786523283</v>
      </c>
      <c r="U170" s="976">
        <f t="shared" si="356"/>
        <v>0</v>
      </c>
      <c r="V170" s="976">
        <f t="shared" si="356"/>
        <v>0</v>
      </c>
      <c r="W170" s="976">
        <f t="shared" si="356"/>
        <v>0</v>
      </c>
      <c r="X170" s="976">
        <f t="shared" si="356"/>
        <v>0</v>
      </c>
      <c r="Y170" s="976">
        <f t="shared" si="356"/>
        <v>0</v>
      </c>
      <c r="Z170" s="976">
        <f t="shared" si="356"/>
        <v>0</v>
      </c>
      <c r="AA170" s="976">
        <f t="shared" si="356"/>
        <v>0</v>
      </c>
      <c r="AB170" s="976">
        <f t="shared" si="356"/>
        <v>0</v>
      </c>
      <c r="AC170" s="976">
        <f t="shared" si="356"/>
        <v>0</v>
      </c>
      <c r="AD170" s="976">
        <f t="shared" si="356"/>
        <v>0</v>
      </c>
      <c r="AE170" s="976">
        <f t="shared" si="356"/>
        <v>0</v>
      </c>
      <c r="AF170" s="976">
        <f t="shared" ref="AF170:AG170" si="357">AF12*AF21*AF39*AF48</f>
        <v>0</v>
      </c>
      <c r="AG170" s="976">
        <f t="shared" si="357"/>
        <v>0</v>
      </c>
      <c r="AH170" s="976">
        <f t="shared" ref="AH170:AQ170" si="358">AH12*AH21*AH39*AH48</f>
        <v>0</v>
      </c>
      <c r="AI170" s="976">
        <f t="shared" si="358"/>
        <v>0</v>
      </c>
      <c r="AJ170" s="976">
        <f t="shared" si="358"/>
        <v>0</v>
      </c>
      <c r="AK170" s="976">
        <f t="shared" si="358"/>
        <v>0</v>
      </c>
      <c r="AL170" s="976">
        <f t="shared" si="358"/>
        <v>0</v>
      </c>
      <c r="AM170" s="976">
        <f t="shared" si="358"/>
        <v>0</v>
      </c>
      <c r="AN170" s="976">
        <f t="shared" si="358"/>
        <v>0</v>
      </c>
      <c r="AO170" s="976">
        <f t="shared" si="358"/>
        <v>0</v>
      </c>
      <c r="AP170" s="976">
        <f t="shared" si="358"/>
        <v>0</v>
      </c>
      <c r="AQ170" s="976">
        <f t="shared" si="358"/>
        <v>0</v>
      </c>
    </row>
    <row r="171" spans="2:43" s="961" customFormat="1" ht="12">
      <c r="B171" s="978" t="s">
        <v>605</v>
      </c>
      <c r="C171" s="978"/>
      <c r="D171" s="978"/>
      <c r="E171" s="978"/>
      <c r="F171" s="978"/>
      <c r="G171" s="978"/>
      <c r="H171" s="978"/>
      <c r="I171" s="978"/>
      <c r="J171" s="978"/>
      <c r="K171" s="979"/>
      <c r="L171" s="978"/>
      <c r="M171" s="978"/>
      <c r="N171" s="978"/>
      <c r="O171" s="978"/>
      <c r="P171" s="978"/>
      <c r="Q171" s="980">
        <f>SUM(Q167:Q170)</f>
        <v>159.68445281739517</v>
      </c>
      <c r="R171" s="980">
        <f t="shared" ref="R171:AE171" si="359">SUM(R167:R170)</f>
        <v>163.67656413783004</v>
      </c>
      <c r="S171" s="980">
        <f t="shared" si="359"/>
        <v>185.38419098440082</v>
      </c>
      <c r="T171" s="980">
        <f t="shared" si="359"/>
        <v>65.526881815050956</v>
      </c>
      <c r="U171" s="980">
        <f t="shared" si="359"/>
        <v>109.94338363507201</v>
      </c>
      <c r="V171" s="980">
        <f t="shared" si="359"/>
        <v>160.14121800529566</v>
      </c>
      <c r="W171" s="980">
        <f t="shared" si="359"/>
        <v>339.32985637486956</v>
      </c>
      <c r="X171" s="980">
        <f t="shared" si="359"/>
        <v>430.91338842975199</v>
      </c>
      <c r="Y171" s="980">
        <f t="shared" si="359"/>
        <v>730.94799999999987</v>
      </c>
      <c r="Z171" s="980">
        <f t="shared" si="359"/>
        <v>863.36159999999995</v>
      </c>
      <c r="AA171" s="980">
        <f t="shared" si="359"/>
        <v>983.31365999999991</v>
      </c>
      <c r="AB171" s="980">
        <f t="shared" si="359"/>
        <v>1188.5085575999999</v>
      </c>
      <c r="AC171" s="980">
        <f t="shared" si="359"/>
        <v>930.55915679999998</v>
      </c>
      <c r="AD171" s="980">
        <f t="shared" si="359"/>
        <v>840.09204412223994</v>
      </c>
      <c r="AE171" s="980">
        <f t="shared" si="359"/>
        <v>954.10353552084484</v>
      </c>
      <c r="AF171" s="980">
        <f t="shared" ref="AF171:AG171" si="360">SUM(AF167:AF170)</f>
        <v>426.10999737301637</v>
      </c>
      <c r="AG171" s="980">
        <f t="shared" si="360"/>
        <v>498.19578373842074</v>
      </c>
      <c r="AH171" s="980">
        <f t="shared" ref="AH171:AQ171" si="361">SUM(AH167:AH170)</f>
        <v>699.7386235235092</v>
      </c>
      <c r="AI171" s="980">
        <f t="shared" si="361"/>
        <v>834.59116407634087</v>
      </c>
      <c r="AJ171" s="980">
        <f t="shared" si="361"/>
        <v>928.7501672029025</v>
      </c>
      <c r="AK171" s="980">
        <f t="shared" si="361"/>
        <v>888.6790914405193</v>
      </c>
      <c r="AL171" s="980">
        <f t="shared" si="361"/>
        <v>656.48218723891455</v>
      </c>
      <c r="AM171" s="980">
        <f t="shared" si="361"/>
        <v>359.82655734510325</v>
      </c>
      <c r="AN171" s="980">
        <f t="shared" si="361"/>
        <v>40.968204420617177</v>
      </c>
      <c r="AO171" s="980">
        <f t="shared" si="361"/>
        <v>0</v>
      </c>
      <c r="AP171" s="980">
        <f t="shared" si="361"/>
        <v>0</v>
      </c>
      <c r="AQ171" s="980">
        <f t="shared" si="361"/>
        <v>0</v>
      </c>
    </row>
    <row r="172" spans="2:43" s="981" customFormat="1">
      <c r="B172" s="1026" t="s">
        <v>600</v>
      </c>
      <c r="C172" s="982"/>
      <c r="D172" s="982"/>
      <c r="E172" s="982"/>
      <c r="F172" s="982"/>
      <c r="G172" s="982"/>
      <c r="H172" s="982"/>
      <c r="I172" s="982"/>
      <c r="J172" s="982"/>
      <c r="K172" s="983"/>
      <c r="L172" s="982"/>
      <c r="M172" s="982"/>
      <c r="N172" s="982"/>
      <c r="O172" s="982"/>
      <c r="P172" s="982"/>
      <c r="Q172" s="982"/>
      <c r="R172" s="987">
        <v>2.5000000000000001E-2</v>
      </c>
      <c r="S172" s="987">
        <v>2.5000000000000001E-2</v>
      </c>
      <c r="T172" s="987">
        <v>2.5000000000000001E-2</v>
      </c>
      <c r="U172" s="987">
        <v>2.5000000000000001E-2</v>
      </c>
      <c r="V172" s="987">
        <v>2.5000000000000001E-2</v>
      </c>
      <c r="W172" s="987">
        <v>2.5000000000000001E-2</v>
      </c>
      <c r="X172" s="987">
        <v>0.03</v>
      </c>
      <c r="Y172" s="987">
        <v>0.1</v>
      </c>
      <c r="Z172" s="987">
        <v>0.1</v>
      </c>
      <c r="AA172" s="987">
        <v>0.05</v>
      </c>
      <c r="AB172" s="987">
        <v>0.04</v>
      </c>
      <c r="AC172" s="987">
        <v>0.04</v>
      </c>
      <c r="AD172" s="987">
        <v>0.03</v>
      </c>
      <c r="AE172" s="987">
        <v>0.03</v>
      </c>
      <c r="AF172" s="987">
        <v>0.05</v>
      </c>
      <c r="AG172" s="987">
        <v>0.05</v>
      </c>
      <c r="AH172" s="987">
        <v>0.05</v>
      </c>
      <c r="AI172" s="987">
        <v>0.05</v>
      </c>
      <c r="AJ172" s="987">
        <v>0.05</v>
      </c>
      <c r="AK172" s="987">
        <v>0.05</v>
      </c>
      <c r="AL172" s="987">
        <v>0.05</v>
      </c>
      <c r="AM172" s="987">
        <v>0.05</v>
      </c>
      <c r="AN172" s="987">
        <v>0.05</v>
      </c>
      <c r="AO172" s="987">
        <v>0.05</v>
      </c>
      <c r="AP172" s="987">
        <v>0.05</v>
      </c>
      <c r="AQ172" s="987">
        <v>0.05</v>
      </c>
    </row>
    <row r="173" spans="2:43">
      <c r="B173" s="1025"/>
      <c r="C173" s="967"/>
      <c r="D173" s="967"/>
      <c r="E173" s="967"/>
      <c r="F173" s="967"/>
      <c r="G173" s="967"/>
      <c r="H173" s="967"/>
      <c r="I173" s="967"/>
      <c r="J173" s="967"/>
      <c r="K173" s="968"/>
      <c r="L173" s="967"/>
      <c r="M173" s="967"/>
      <c r="N173" s="967"/>
      <c r="O173" s="967"/>
      <c r="P173" s="967"/>
      <c r="Q173" s="967"/>
      <c r="R173" s="993"/>
      <c r="S173" s="993"/>
      <c r="T173" s="993"/>
      <c r="U173" s="993"/>
      <c r="V173" s="993"/>
      <c r="W173" s="993"/>
      <c r="X173" s="993"/>
      <c r="Y173" s="993"/>
      <c r="Z173" s="993"/>
      <c r="AA173" s="993"/>
      <c r="AB173" s="993"/>
      <c r="AC173" s="993"/>
      <c r="AD173" s="993"/>
      <c r="AE173" s="993"/>
      <c r="AF173" s="993"/>
      <c r="AG173" s="993"/>
      <c r="AH173" s="993"/>
      <c r="AI173" s="993"/>
      <c r="AJ173" s="993"/>
      <c r="AK173" s="993"/>
      <c r="AL173" s="993"/>
      <c r="AM173" s="993"/>
      <c r="AN173" s="993"/>
      <c r="AO173" s="993"/>
      <c r="AP173" s="993"/>
      <c r="AQ173" s="993"/>
    </row>
    <row r="174" spans="2:43" ht="12">
      <c r="B174" s="1024" t="s">
        <v>576</v>
      </c>
      <c r="C174" s="1015"/>
      <c r="D174" s="1015"/>
      <c r="E174" s="1015"/>
      <c r="F174" s="1015"/>
      <c r="G174" s="1015"/>
      <c r="H174" s="1015"/>
      <c r="I174" s="1015"/>
      <c r="J174" s="1015"/>
      <c r="K174" s="1016"/>
      <c r="L174" s="1015"/>
      <c r="M174" s="1015"/>
      <c r="N174" s="1015"/>
      <c r="O174" s="1015"/>
      <c r="P174" s="1015"/>
      <c r="Q174" s="1015"/>
      <c r="R174" s="1015"/>
      <c r="S174" s="1015"/>
      <c r="T174" s="1015"/>
      <c r="U174" s="1015"/>
      <c r="V174" s="1015"/>
      <c r="W174" s="1015"/>
      <c r="X174" s="1015"/>
      <c r="Y174" s="1015"/>
      <c r="Z174" s="1015"/>
      <c r="AA174" s="1015"/>
      <c r="AB174" s="1015"/>
      <c r="AC174" s="1015"/>
      <c r="AD174" s="1015"/>
      <c r="AE174" s="1015"/>
      <c r="AF174" s="1015"/>
      <c r="AG174" s="1015"/>
      <c r="AH174" s="1015"/>
      <c r="AI174" s="1015"/>
      <c r="AJ174" s="1015"/>
      <c r="AK174" s="1015"/>
      <c r="AL174" s="1015"/>
      <c r="AM174" s="1015"/>
      <c r="AN174" s="1015"/>
      <c r="AO174" s="1015"/>
      <c r="AP174" s="1015"/>
      <c r="AQ174" s="1015"/>
    </row>
    <row r="175" spans="2:43" hidden="1" outlineLevel="1">
      <c r="B175" s="1025" t="s">
        <v>588</v>
      </c>
      <c r="C175" s="976"/>
      <c r="D175" s="976"/>
      <c r="E175" s="976"/>
      <c r="F175" s="976"/>
      <c r="G175" s="976"/>
      <c r="H175" s="976"/>
      <c r="I175" s="976"/>
      <c r="J175" s="976"/>
      <c r="K175" s="988"/>
      <c r="L175" s="976"/>
      <c r="M175" s="976">
        <f>E13*0.33+D13*0.33+C13*0.33</f>
        <v>0</v>
      </c>
      <c r="N175" s="976">
        <f t="shared" ref="N175:AH175" si="362">F13*0.33+E13*0.33+D13*0.33</f>
        <v>0</v>
      </c>
      <c r="O175" s="976">
        <f t="shared" si="362"/>
        <v>0</v>
      </c>
      <c r="P175" s="976">
        <f t="shared" si="362"/>
        <v>0</v>
      </c>
      <c r="Q175" s="976">
        <f t="shared" si="362"/>
        <v>0</v>
      </c>
      <c r="R175" s="976">
        <f t="shared" si="362"/>
        <v>0</v>
      </c>
      <c r="S175" s="976">
        <f t="shared" si="362"/>
        <v>0</v>
      </c>
      <c r="T175" s="976">
        <f t="shared" si="362"/>
        <v>0</v>
      </c>
      <c r="U175" s="976">
        <f t="shared" si="362"/>
        <v>0</v>
      </c>
      <c r="V175" s="976">
        <f t="shared" si="362"/>
        <v>0</v>
      </c>
      <c r="W175" s="976">
        <f t="shared" si="362"/>
        <v>49.775000000000006</v>
      </c>
      <c r="X175" s="976">
        <f t="shared" si="362"/>
        <v>109.50500000000001</v>
      </c>
      <c r="Y175" s="976">
        <f t="shared" si="362"/>
        <v>184.41499999999999</v>
      </c>
      <c r="Z175" s="976">
        <f t="shared" si="362"/>
        <v>223.07999999999998</v>
      </c>
      <c r="AA175" s="976">
        <f t="shared" si="362"/>
        <v>256.08000000000004</v>
      </c>
      <c r="AB175" s="976">
        <f t="shared" si="362"/>
        <v>257.39999999999998</v>
      </c>
      <c r="AC175" s="976">
        <f t="shared" si="362"/>
        <v>260.70000000000005</v>
      </c>
      <c r="AD175" s="976">
        <f t="shared" si="362"/>
        <v>293.70000000000005</v>
      </c>
      <c r="AE175" s="976">
        <f t="shared" si="362"/>
        <v>307.56</v>
      </c>
      <c r="AF175" s="976">
        <f t="shared" si="362"/>
        <v>261.69</v>
      </c>
      <c r="AG175" s="976">
        <f t="shared" si="362"/>
        <v>164.01</v>
      </c>
      <c r="AH175" s="976">
        <f t="shared" si="362"/>
        <v>102.30000000000001</v>
      </c>
      <c r="AI175" s="976">
        <f t="shared" ref="AI175" si="363">AA13*0.33+Z13*0.33+Y13*0.33</f>
        <v>91.08</v>
      </c>
      <c r="AJ175" s="976">
        <f t="shared" ref="AJ175" si="364">AB13*0.33+AA13*0.33+Z13*0.33</f>
        <v>102.63</v>
      </c>
      <c r="AK175" s="976">
        <f t="shared" ref="AK175" si="365">AC13*0.33+AB13*0.33+AA13*0.33</f>
        <v>120.45000000000002</v>
      </c>
      <c r="AL175" s="976">
        <f t="shared" ref="AL175" si="366">AD13*0.33+AC13*0.33+AB13*0.33</f>
        <v>135.30000000000001</v>
      </c>
      <c r="AM175" s="976">
        <f t="shared" ref="AM175" si="367">AE13*0.33+AD13*0.33+AC13*0.33</f>
        <v>146.85000000000002</v>
      </c>
      <c r="AN175" s="976">
        <f t="shared" ref="AN175" si="368">AF13*0.33+AE13*0.33+AD13*0.33</f>
        <v>153.45000000000002</v>
      </c>
      <c r="AO175" s="976">
        <f t="shared" ref="AO175" si="369">AG13*0.33+AF13*0.33+AE13*0.33</f>
        <v>160.05000000000001</v>
      </c>
      <c r="AP175" s="976">
        <f t="shared" ref="AP175" si="370">AH13*0.33+AG13*0.33+AF13*0.33</f>
        <v>168.3</v>
      </c>
      <c r="AQ175" s="976">
        <f t="shared" ref="AQ175" si="371">AI13*0.33+AH13*0.33+AG13*0.33</f>
        <v>178.20000000000002</v>
      </c>
    </row>
    <row r="176" spans="2:43" hidden="1" outlineLevel="1">
      <c r="B176" s="1025" t="s">
        <v>589</v>
      </c>
      <c r="C176" s="976"/>
      <c r="D176" s="976"/>
      <c r="E176" s="976"/>
      <c r="F176" s="976"/>
      <c r="G176" s="976"/>
      <c r="H176" s="976"/>
      <c r="I176" s="976"/>
      <c r="J176" s="976"/>
      <c r="K176" s="988"/>
      <c r="L176" s="976"/>
      <c r="M176" s="976"/>
      <c r="N176" s="976"/>
      <c r="O176" s="976"/>
      <c r="P176" s="976"/>
      <c r="Q176" s="976">
        <f>E13*0.33+D13*0.33+C13*0.33</f>
        <v>0</v>
      </c>
      <c r="R176" s="976">
        <f t="shared" ref="R176:AH176" si="372">F13*0.33+E13*0.33+D13*0.33</f>
        <v>0</v>
      </c>
      <c r="S176" s="976">
        <f t="shared" si="372"/>
        <v>0</v>
      </c>
      <c r="T176" s="976">
        <f t="shared" si="372"/>
        <v>0</v>
      </c>
      <c r="U176" s="976">
        <f t="shared" si="372"/>
        <v>0</v>
      </c>
      <c r="V176" s="976">
        <f t="shared" si="372"/>
        <v>0</v>
      </c>
      <c r="W176" s="976">
        <f t="shared" si="372"/>
        <v>0</v>
      </c>
      <c r="X176" s="976">
        <f t="shared" si="372"/>
        <v>0</v>
      </c>
      <c r="Y176" s="976">
        <f t="shared" si="372"/>
        <v>0</v>
      </c>
      <c r="Z176" s="976">
        <f t="shared" si="372"/>
        <v>0</v>
      </c>
      <c r="AA176" s="976">
        <f t="shared" si="372"/>
        <v>49.775000000000006</v>
      </c>
      <c r="AB176" s="976">
        <f t="shared" si="372"/>
        <v>109.50500000000001</v>
      </c>
      <c r="AC176" s="976">
        <f t="shared" si="372"/>
        <v>184.41499999999999</v>
      </c>
      <c r="AD176" s="976">
        <f t="shared" si="372"/>
        <v>223.07999999999998</v>
      </c>
      <c r="AE176" s="976">
        <f t="shared" si="372"/>
        <v>256.08000000000004</v>
      </c>
      <c r="AF176" s="976">
        <f t="shared" si="372"/>
        <v>257.39999999999998</v>
      </c>
      <c r="AG176" s="976">
        <f t="shared" si="372"/>
        <v>260.70000000000005</v>
      </c>
      <c r="AH176" s="976">
        <f t="shared" si="372"/>
        <v>293.70000000000005</v>
      </c>
      <c r="AI176" s="976">
        <f t="shared" ref="AI176" si="373">W13*0.33+V13*0.33+U13*0.33</f>
        <v>307.56</v>
      </c>
      <c r="AJ176" s="976">
        <f t="shared" ref="AJ176" si="374">X13*0.33+W13*0.33+V13*0.33</f>
        <v>261.69</v>
      </c>
      <c r="AK176" s="976">
        <f t="shared" ref="AK176" si="375">Y13*0.33+X13*0.33+W13*0.33</f>
        <v>164.01</v>
      </c>
      <c r="AL176" s="976">
        <f t="shared" ref="AL176" si="376">Z13*0.33+Y13*0.33+X13*0.33</f>
        <v>102.30000000000001</v>
      </c>
      <c r="AM176" s="976">
        <f t="shared" ref="AM176" si="377">AA13*0.33+Z13*0.33+Y13*0.33</f>
        <v>91.08</v>
      </c>
      <c r="AN176" s="976">
        <f t="shared" ref="AN176" si="378">AB13*0.33+AA13*0.33+Z13*0.33</f>
        <v>102.63</v>
      </c>
      <c r="AO176" s="976">
        <f t="shared" ref="AO176" si="379">AC13*0.33+AB13*0.33+AA13*0.33</f>
        <v>120.45000000000002</v>
      </c>
      <c r="AP176" s="976">
        <f t="shared" ref="AP176" si="380">AD13*0.33+AC13*0.33+AB13*0.33</f>
        <v>135.30000000000001</v>
      </c>
      <c r="AQ176" s="976">
        <f t="shared" ref="AQ176" si="381">AE13*0.33+AD13*0.33+AC13*0.33</f>
        <v>146.85000000000002</v>
      </c>
    </row>
    <row r="177" spans="2:43" hidden="1" outlineLevel="1">
      <c r="B177" s="1025" t="s">
        <v>590</v>
      </c>
      <c r="C177" s="976"/>
      <c r="D177" s="976"/>
      <c r="E177" s="976"/>
      <c r="F177" s="976"/>
      <c r="G177" s="976"/>
      <c r="H177" s="976"/>
      <c r="I177" s="976"/>
      <c r="J177" s="976"/>
      <c r="K177" s="988"/>
      <c r="L177" s="976"/>
      <c r="M177" s="976"/>
      <c r="N177" s="976"/>
      <c r="O177" s="976"/>
      <c r="P177" s="976"/>
      <c r="Q177" s="976"/>
      <c r="R177" s="976"/>
      <c r="S177" s="976"/>
      <c r="T177" s="976"/>
      <c r="U177" s="976">
        <f t="shared" ref="U177:V177" si="382">C13</f>
        <v>0</v>
      </c>
      <c r="V177" s="976">
        <f t="shared" si="382"/>
        <v>0</v>
      </c>
      <c r="W177" s="976">
        <f>E13*0.33+D13*0.33+C13*0.33</f>
        <v>0</v>
      </c>
      <c r="X177" s="976">
        <f t="shared" ref="X177:AH177" si="383">F13*0.33+E13*0.33+D13*0.33</f>
        <v>0</v>
      </c>
      <c r="Y177" s="976">
        <f t="shared" si="383"/>
        <v>0</v>
      </c>
      <c r="Z177" s="976">
        <f t="shared" si="383"/>
        <v>0</v>
      </c>
      <c r="AA177" s="976">
        <f t="shared" si="383"/>
        <v>0</v>
      </c>
      <c r="AB177" s="976">
        <f t="shared" si="383"/>
        <v>0</v>
      </c>
      <c r="AC177" s="976">
        <f t="shared" si="383"/>
        <v>0</v>
      </c>
      <c r="AD177" s="976">
        <f t="shared" si="383"/>
        <v>0</v>
      </c>
      <c r="AE177" s="976">
        <f t="shared" si="383"/>
        <v>0</v>
      </c>
      <c r="AF177" s="976">
        <f t="shared" si="383"/>
        <v>0</v>
      </c>
      <c r="AG177" s="976">
        <f t="shared" si="383"/>
        <v>49.775000000000006</v>
      </c>
      <c r="AH177" s="976">
        <f t="shared" si="383"/>
        <v>109.50500000000001</v>
      </c>
      <c r="AI177" s="976">
        <f t="shared" ref="AI177" si="384">Q13*0.33+P13*0.33+O13*0.33</f>
        <v>184.41499999999999</v>
      </c>
      <c r="AJ177" s="976">
        <f t="shared" ref="AJ177" si="385">R13*0.33+Q13*0.33+P13*0.33</f>
        <v>223.07999999999998</v>
      </c>
      <c r="AK177" s="976">
        <f t="shared" ref="AK177" si="386">S13*0.33+R13*0.33+Q13*0.33</f>
        <v>256.08000000000004</v>
      </c>
      <c r="AL177" s="976">
        <f t="shared" ref="AL177" si="387">T13*0.33+S13*0.33+R13*0.33</f>
        <v>257.39999999999998</v>
      </c>
      <c r="AM177" s="976">
        <f t="shared" ref="AM177" si="388">U13*0.33+T13*0.33+S13*0.33</f>
        <v>260.70000000000005</v>
      </c>
      <c r="AN177" s="976">
        <f t="shared" ref="AN177" si="389">V13*0.33+U13*0.33+T13*0.33</f>
        <v>293.70000000000005</v>
      </c>
      <c r="AO177" s="976">
        <f t="shared" ref="AO177" si="390">W13*0.33+V13*0.33+U13*0.33</f>
        <v>307.56</v>
      </c>
      <c r="AP177" s="976">
        <f t="shared" ref="AP177" si="391">X13*0.33+W13*0.33+V13*0.33</f>
        <v>261.69</v>
      </c>
      <c r="AQ177" s="976">
        <f t="shared" ref="AQ177" si="392">Y13*0.33+X13*0.33+W13*0.33</f>
        <v>164.01</v>
      </c>
    </row>
    <row r="178" spans="2:43" hidden="1" outlineLevel="1">
      <c r="B178" s="1025"/>
      <c r="C178" s="967"/>
      <c r="D178" s="967"/>
      <c r="E178" s="967"/>
      <c r="F178" s="967"/>
      <c r="G178" s="967"/>
      <c r="H178" s="967"/>
      <c r="I178" s="967"/>
      <c r="J178" s="967"/>
      <c r="K178" s="968"/>
      <c r="L178" s="967"/>
      <c r="M178" s="967"/>
      <c r="N178" s="967"/>
      <c r="O178" s="967"/>
      <c r="P178" s="967"/>
      <c r="Q178" s="967"/>
      <c r="R178" s="967"/>
      <c r="S178" s="967"/>
      <c r="T178" s="967"/>
      <c r="U178" s="967"/>
      <c r="V178" s="967"/>
      <c r="W178" s="967"/>
      <c r="X178" s="967"/>
      <c r="Y178" s="967"/>
      <c r="Z178" s="967"/>
      <c r="AA178" s="967"/>
      <c r="AB178" s="967"/>
      <c r="AC178" s="967"/>
      <c r="AD178" s="967"/>
      <c r="AE178" s="967"/>
      <c r="AF178" s="967"/>
      <c r="AG178" s="967"/>
      <c r="AH178" s="967"/>
      <c r="AI178" s="967"/>
      <c r="AJ178" s="967"/>
      <c r="AK178" s="967"/>
      <c r="AL178" s="967"/>
      <c r="AM178" s="967"/>
      <c r="AN178" s="967"/>
      <c r="AO178" s="967"/>
      <c r="AP178" s="967"/>
      <c r="AQ178" s="967"/>
    </row>
    <row r="179" spans="2:43" hidden="1" outlineLevel="1">
      <c r="B179" s="1025" t="s">
        <v>591</v>
      </c>
      <c r="C179" s="967"/>
      <c r="D179" s="967"/>
      <c r="E179" s="967"/>
      <c r="F179" s="967"/>
      <c r="G179" s="967"/>
      <c r="H179" s="967"/>
      <c r="I179" s="967"/>
      <c r="J179" s="967"/>
      <c r="K179" s="968"/>
      <c r="L179" s="967"/>
      <c r="M179" s="967"/>
      <c r="N179" s="967"/>
      <c r="O179" s="967"/>
      <c r="P179" s="967"/>
      <c r="Q179" s="989">
        <f t="shared" ref="Q179:Y181" si="393">R179/(1+R$190)</f>
        <v>4.8431983163953563</v>
      </c>
      <c r="R179" s="989">
        <f t="shared" si="393"/>
        <v>4.96427827430524</v>
      </c>
      <c r="S179" s="989">
        <f t="shared" si="393"/>
        <v>5.0883852311628708</v>
      </c>
      <c r="T179" s="989">
        <f t="shared" si="393"/>
        <v>5.2155948619419421</v>
      </c>
      <c r="U179" s="989">
        <f t="shared" si="393"/>
        <v>5.3459847334904902</v>
      </c>
      <c r="V179" s="989">
        <f t="shared" si="393"/>
        <v>5.4796343518277517</v>
      </c>
      <c r="W179" s="989">
        <f t="shared" si="393"/>
        <v>5.6166252106234449</v>
      </c>
      <c r="X179" s="989">
        <f t="shared" si="393"/>
        <v>5.7851239669421481</v>
      </c>
      <c r="Y179" s="989">
        <f>Z179/(1+Z$190)</f>
        <v>6.3636363636363633</v>
      </c>
      <c r="Z179" s="990">
        <v>7</v>
      </c>
      <c r="AA179" s="989">
        <f t="shared" ref="AA179:AH181" si="394">Z179*(1+AA$190)</f>
        <v>7.3500000000000005</v>
      </c>
      <c r="AB179" s="989">
        <f t="shared" si="394"/>
        <v>7.7175000000000011</v>
      </c>
      <c r="AC179" s="989">
        <f t="shared" si="394"/>
        <v>8.1033750000000015</v>
      </c>
      <c r="AD179" s="989">
        <f t="shared" si="394"/>
        <v>8.5085437500000012</v>
      </c>
      <c r="AE179" s="989">
        <f t="shared" si="394"/>
        <v>8.9339709375000016</v>
      </c>
      <c r="AF179" s="989">
        <f t="shared" si="394"/>
        <v>9.3806694843750016</v>
      </c>
      <c r="AG179" s="989">
        <f t="shared" si="394"/>
        <v>9.8497029585937526</v>
      </c>
      <c r="AH179" s="989">
        <f t="shared" si="394"/>
        <v>10.342188106523441</v>
      </c>
      <c r="AI179" s="989">
        <f t="shared" ref="AI179:AI181" si="395">AH179*(1+AI$190)</f>
        <v>10.859297511849613</v>
      </c>
      <c r="AJ179" s="989">
        <f t="shared" ref="AJ179:AJ181" si="396">AI179*(1+AJ$190)</f>
        <v>11.402262387442095</v>
      </c>
      <c r="AK179" s="989">
        <f t="shared" ref="AK179:AK181" si="397">AJ179*(1+AK$190)</f>
        <v>11.972375506814201</v>
      </c>
      <c r="AL179" s="989">
        <f t="shared" ref="AL179:AL181" si="398">AK179*(1+AL$190)</f>
        <v>12.570994282154912</v>
      </c>
      <c r="AM179" s="989">
        <f t="shared" ref="AM179:AM181" si="399">AL179*(1+AM$190)</f>
        <v>13.199543996262658</v>
      </c>
      <c r="AN179" s="989">
        <f t="shared" ref="AN179:AN181" si="400">AM179*(1+AN$190)</f>
        <v>13.859521196075791</v>
      </c>
      <c r="AO179" s="989">
        <f t="shared" ref="AO179:AO181" si="401">AN179*(1+AO$190)</f>
        <v>14.552497255879581</v>
      </c>
      <c r="AP179" s="989">
        <f t="shared" ref="AP179:AP181" si="402">AO179*(1+AP$190)</f>
        <v>15.28012211867356</v>
      </c>
      <c r="AQ179" s="989">
        <f t="shared" ref="AQ179:AQ181" si="403">AP179*(1+AQ$190)</f>
        <v>16.044128224607238</v>
      </c>
    </row>
    <row r="180" spans="2:43" hidden="1" outlineLevel="1">
      <c r="B180" s="1025" t="s">
        <v>592</v>
      </c>
      <c r="C180" s="967"/>
      <c r="D180" s="967"/>
      <c r="E180" s="967"/>
      <c r="F180" s="967"/>
      <c r="G180" s="967"/>
      <c r="H180" s="967"/>
      <c r="I180" s="967"/>
      <c r="J180" s="967"/>
      <c r="K180" s="968"/>
      <c r="L180" s="967"/>
      <c r="M180" s="967"/>
      <c r="N180" s="967"/>
      <c r="O180" s="967"/>
      <c r="P180" s="967"/>
      <c r="Q180" s="989">
        <f t="shared" si="393"/>
        <v>6.918854737707651</v>
      </c>
      <c r="R180" s="989">
        <f t="shared" si="393"/>
        <v>7.091826106150342</v>
      </c>
      <c r="S180" s="989">
        <f t="shared" si="393"/>
        <v>7.2691217588040997</v>
      </c>
      <c r="T180" s="989">
        <f t="shared" si="393"/>
        <v>7.4508498027742016</v>
      </c>
      <c r="U180" s="989">
        <f t="shared" si="393"/>
        <v>7.6371210478435563</v>
      </c>
      <c r="V180" s="989">
        <f t="shared" si="393"/>
        <v>7.8280490740396447</v>
      </c>
      <c r="W180" s="989">
        <f t="shared" si="393"/>
        <v>8.0237503008906348</v>
      </c>
      <c r="X180" s="989">
        <f t="shared" si="393"/>
        <v>8.2644628099173545</v>
      </c>
      <c r="Y180" s="989">
        <f t="shared" si="393"/>
        <v>9.0909090909090899</v>
      </c>
      <c r="Z180" s="990">
        <v>10</v>
      </c>
      <c r="AA180" s="989">
        <f t="shared" si="394"/>
        <v>10.5</v>
      </c>
      <c r="AB180" s="989">
        <f t="shared" si="394"/>
        <v>11.025</v>
      </c>
      <c r="AC180" s="989">
        <f t="shared" si="394"/>
        <v>11.576250000000002</v>
      </c>
      <c r="AD180" s="989">
        <f t="shared" si="394"/>
        <v>12.155062500000001</v>
      </c>
      <c r="AE180" s="989">
        <f t="shared" si="394"/>
        <v>12.762815625000002</v>
      </c>
      <c r="AF180" s="989">
        <f t="shared" si="394"/>
        <v>13.400956406250003</v>
      </c>
      <c r="AG180" s="989">
        <f t="shared" si="394"/>
        <v>14.071004226562504</v>
      </c>
      <c r="AH180" s="989">
        <f t="shared" si="394"/>
        <v>14.774554437890631</v>
      </c>
      <c r="AI180" s="989">
        <f t="shared" si="395"/>
        <v>15.513282159785163</v>
      </c>
      <c r="AJ180" s="989">
        <f t="shared" si="396"/>
        <v>16.288946267774421</v>
      </c>
      <c r="AK180" s="989">
        <f t="shared" si="397"/>
        <v>17.103393581163143</v>
      </c>
      <c r="AL180" s="989">
        <f t="shared" si="398"/>
        <v>17.9585632602213</v>
      </c>
      <c r="AM180" s="989">
        <f t="shared" si="399"/>
        <v>18.856491423232367</v>
      </c>
      <c r="AN180" s="989">
        <f t="shared" si="400"/>
        <v>19.799315994393986</v>
      </c>
      <c r="AO180" s="989">
        <f t="shared" si="401"/>
        <v>20.789281794113688</v>
      </c>
      <c r="AP180" s="989">
        <f t="shared" si="402"/>
        <v>21.828745883819373</v>
      </c>
      <c r="AQ180" s="989">
        <f t="shared" si="403"/>
        <v>22.920183178010344</v>
      </c>
    </row>
    <row r="181" spans="2:43" hidden="1" outlineLevel="1">
      <c r="B181" s="1025" t="s">
        <v>593</v>
      </c>
      <c r="C181" s="967"/>
      <c r="D181" s="967"/>
      <c r="E181" s="967"/>
      <c r="F181" s="967"/>
      <c r="G181" s="967"/>
      <c r="H181" s="967"/>
      <c r="I181" s="967"/>
      <c r="J181" s="967"/>
      <c r="K181" s="968"/>
      <c r="L181" s="967"/>
      <c r="M181" s="967"/>
      <c r="N181" s="967"/>
      <c r="O181" s="967"/>
      <c r="P181" s="967"/>
      <c r="Q181" s="989">
        <f t="shared" si="393"/>
        <v>6.2269692639368861</v>
      </c>
      <c r="R181" s="989">
        <f t="shared" si="393"/>
        <v>6.3826434955353077</v>
      </c>
      <c r="S181" s="989">
        <f t="shared" si="393"/>
        <v>6.5422095829236895</v>
      </c>
      <c r="T181" s="989">
        <f t="shared" si="393"/>
        <v>6.7057648224967812</v>
      </c>
      <c r="U181" s="989">
        <f t="shared" si="393"/>
        <v>6.8734089430592</v>
      </c>
      <c r="V181" s="989">
        <f t="shared" si="393"/>
        <v>7.0452441666356798</v>
      </c>
      <c r="W181" s="989">
        <f t="shared" si="393"/>
        <v>7.2213752708015715</v>
      </c>
      <c r="X181" s="989">
        <f t="shared" si="393"/>
        <v>7.438016528925619</v>
      </c>
      <c r="Y181" s="989">
        <f t="shared" si="393"/>
        <v>8.1818181818181817</v>
      </c>
      <c r="Z181" s="990">
        <v>9</v>
      </c>
      <c r="AA181" s="989">
        <f t="shared" si="394"/>
        <v>9.4500000000000011</v>
      </c>
      <c r="AB181" s="989">
        <f t="shared" si="394"/>
        <v>9.9225000000000012</v>
      </c>
      <c r="AC181" s="989">
        <f t="shared" si="394"/>
        <v>10.418625000000002</v>
      </c>
      <c r="AD181" s="989">
        <f t="shared" si="394"/>
        <v>10.939556250000003</v>
      </c>
      <c r="AE181" s="989">
        <f t="shared" si="394"/>
        <v>11.486534062500002</v>
      </c>
      <c r="AF181" s="989">
        <f t="shared" si="394"/>
        <v>12.060860765625003</v>
      </c>
      <c r="AG181" s="989">
        <f t="shared" si="394"/>
        <v>12.663903803906255</v>
      </c>
      <c r="AH181" s="989">
        <f t="shared" si="394"/>
        <v>13.297098994101567</v>
      </c>
      <c r="AI181" s="989">
        <f t="shared" si="395"/>
        <v>13.961953943806646</v>
      </c>
      <c r="AJ181" s="989">
        <f t="shared" si="396"/>
        <v>14.660051640996979</v>
      </c>
      <c r="AK181" s="989">
        <f t="shared" si="397"/>
        <v>15.393054223046828</v>
      </c>
      <c r="AL181" s="989">
        <f t="shared" si="398"/>
        <v>16.162706934199171</v>
      </c>
      <c r="AM181" s="989">
        <f t="shared" si="399"/>
        <v>16.970842280909132</v>
      </c>
      <c r="AN181" s="989">
        <f t="shared" si="400"/>
        <v>17.819384394954589</v>
      </c>
      <c r="AO181" s="989">
        <f t="shared" si="401"/>
        <v>18.710353614702321</v>
      </c>
      <c r="AP181" s="989">
        <f t="shared" si="402"/>
        <v>19.645871295437438</v>
      </c>
      <c r="AQ181" s="989">
        <f t="shared" si="403"/>
        <v>20.62816486020931</v>
      </c>
    </row>
    <row r="182" spans="2:43" hidden="1" outlineLevel="1">
      <c r="B182" s="1025"/>
      <c r="C182" s="967"/>
      <c r="D182" s="967"/>
      <c r="E182" s="967"/>
      <c r="F182" s="967"/>
      <c r="G182" s="967"/>
      <c r="H182" s="967"/>
      <c r="I182" s="967"/>
      <c r="J182" s="967"/>
      <c r="K182" s="968"/>
      <c r="L182" s="967"/>
      <c r="M182" s="967"/>
      <c r="N182" s="967"/>
      <c r="O182" s="967"/>
      <c r="P182" s="967"/>
      <c r="Q182" s="967"/>
      <c r="R182" s="967"/>
      <c r="S182" s="967"/>
      <c r="T182" s="967"/>
      <c r="U182" s="967"/>
      <c r="V182" s="967"/>
      <c r="W182" s="967"/>
      <c r="X182" s="967"/>
      <c r="Y182" s="967"/>
      <c r="Z182" s="967"/>
      <c r="AA182" s="967"/>
      <c r="AB182" s="967"/>
      <c r="AC182" s="967"/>
      <c r="AD182" s="967"/>
      <c r="AE182" s="967"/>
      <c r="AF182" s="967"/>
      <c r="AG182" s="967"/>
      <c r="AH182" s="967"/>
      <c r="AI182" s="967"/>
      <c r="AJ182" s="967"/>
      <c r="AK182" s="967"/>
      <c r="AL182" s="967"/>
      <c r="AM182" s="967"/>
      <c r="AN182" s="967"/>
      <c r="AO182" s="967"/>
      <c r="AP182" s="967"/>
      <c r="AQ182" s="967"/>
    </row>
    <row r="183" spans="2:43" s="981" customFormat="1" hidden="1" outlineLevel="1">
      <c r="B183" s="1026" t="s">
        <v>594</v>
      </c>
      <c r="C183" s="982"/>
      <c r="D183" s="982"/>
      <c r="E183" s="982"/>
      <c r="F183" s="982"/>
      <c r="G183" s="982"/>
      <c r="H183" s="982"/>
      <c r="I183" s="982"/>
      <c r="J183" s="982"/>
      <c r="K183" s="983"/>
      <c r="L183" s="982"/>
      <c r="M183" s="982"/>
      <c r="N183" s="982"/>
      <c r="O183" s="992">
        <f t="shared" ref="O183:AA183" si="404">O40</f>
        <v>0.92</v>
      </c>
      <c r="P183" s="992">
        <f t="shared" si="404"/>
        <v>1</v>
      </c>
      <c r="Q183" s="992">
        <f t="shared" si="404"/>
        <v>1</v>
      </c>
      <c r="R183" s="992">
        <f t="shared" si="404"/>
        <v>1</v>
      </c>
      <c r="S183" s="992">
        <f t="shared" si="404"/>
        <v>1</v>
      </c>
      <c r="T183" s="992">
        <f t="shared" si="404"/>
        <v>1</v>
      </c>
      <c r="U183" s="992">
        <f t="shared" si="404"/>
        <v>1</v>
      </c>
      <c r="V183" s="992">
        <f t="shared" si="404"/>
        <v>1</v>
      </c>
      <c r="W183" s="992">
        <f t="shared" si="404"/>
        <v>1</v>
      </c>
      <c r="X183" s="992">
        <f t="shared" si="404"/>
        <v>1</v>
      </c>
      <c r="Y183" s="992">
        <f t="shared" si="404"/>
        <v>1</v>
      </c>
      <c r="Z183" s="992">
        <f t="shared" si="404"/>
        <v>1</v>
      </c>
      <c r="AA183" s="992">
        <f t="shared" si="404"/>
        <v>1</v>
      </c>
      <c r="AB183" s="992">
        <f>AB40</f>
        <v>1</v>
      </c>
      <c r="AC183" s="992">
        <f t="shared" ref="AC183:AQ183" si="405">AC40</f>
        <v>1</v>
      </c>
      <c r="AD183" s="992">
        <f t="shared" si="405"/>
        <v>1</v>
      </c>
      <c r="AE183" s="992">
        <f t="shared" si="405"/>
        <v>1</v>
      </c>
      <c r="AF183" s="992">
        <f t="shared" si="405"/>
        <v>1</v>
      </c>
      <c r="AG183" s="992">
        <f t="shared" si="405"/>
        <v>1</v>
      </c>
      <c r="AH183" s="992">
        <f t="shared" si="405"/>
        <v>1</v>
      </c>
      <c r="AI183" s="992">
        <f t="shared" si="405"/>
        <v>1</v>
      </c>
      <c r="AJ183" s="992">
        <f t="shared" si="405"/>
        <v>1</v>
      </c>
      <c r="AK183" s="992">
        <f t="shared" si="405"/>
        <v>1</v>
      </c>
      <c r="AL183" s="992">
        <f t="shared" si="405"/>
        <v>1</v>
      </c>
      <c r="AM183" s="992">
        <f t="shared" si="405"/>
        <v>1</v>
      </c>
      <c r="AN183" s="992">
        <f t="shared" si="405"/>
        <v>1</v>
      </c>
      <c r="AO183" s="992">
        <f t="shared" si="405"/>
        <v>1</v>
      </c>
      <c r="AP183" s="992">
        <f t="shared" si="405"/>
        <v>1</v>
      </c>
      <c r="AQ183" s="992">
        <f t="shared" si="405"/>
        <v>1</v>
      </c>
    </row>
    <row r="184" spans="2:43" collapsed="1">
      <c r="B184" s="1025"/>
      <c r="C184" s="967"/>
      <c r="D184" s="967"/>
      <c r="E184" s="967"/>
      <c r="F184" s="967"/>
      <c r="G184" s="967"/>
      <c r="H184" s="967"/>
      <c r="I184" s="967"/>
      <c r="J184" s="967"/>
      <c r="K184" s="968"/>
      <c r="L184" s="967"/>
      <c r="M184" s="967"/>
      <c r="N184" s="967"/>
      <c r="O184" s="967"/>
      <c r="P184" s="967"/>
      <c r="Q184" s="967"/>
      <c r="R184" s="967"/>
      <c r="S184" s="967"/>
      <c r="T184" s="967"/>
      <c r="U184" s="967"/>
      <c r="V184" s="967"/>
      <c r="W184" s="967"/>
      <c r="X184" s="967"/>
      <c r="Y184" s="967"/>
      <c r="Z184" s="967"/>
      <c r="AA184" s="967"/>
      <c r="AB184" s="967"/>
      <c r="AC184" s="967"/>
      <c r="AD184" s="967"/>
      <c r="AE184" s="967"/>
      <c r="AF184" s="967"/>
      <c r="AG184" s="967"/>
      <c r="AH184" s="967"/>
      <c r="AI184" s="967"/>
      <c r="AJ184" s="967"/>
      <c r="AK184" s="967"/>
      <c r="AL184" s="967"/>
      <c r="AM184" s="967"/>
      <c r="AN184" s="967"/>
      <c r="AO184" s="967"/>
      <c r="AP184" s="967"/>
      <c r="AQ184" s="967"/>
    </row>
    <row r="185" spans="2:43">
      <c r="B185" s="1025" t="s">
        <v>595</v>
      </c>
      <c r="C185" s="967"/>
      <c r="D185" s="967"/>
      <c r="E185" s="967"/>
      <c r="F185" s="967"/>
      <c r="G185" s="967"/>
      <c r="H185" s="967"/>
      <c r="I185" s="967"/>
      <c r="J185" s="967"/>
      <c r="K185" s="968"/>
      <c r="L185" s="967"/>
      <c r="M185" s="967"/>
      <c r="N185" s="967"/>
      <c r="O185" s="967"/>
      <c r="P185" s="967"/>
      <c r="Q185" s="976">
        <f>Q175*Q179*Q$183</f>
        <v>0</v>
      </c>
      <c r="R185" s="976">
        <f t="shared" ref="R185:AE185" si="406">R175*R179*R$183</f>
        <v>0</v>
      </c>
      <c r="S185" s="976">
        <f t="shared" si="406"/>
        <v>0</v>
      </c>
      <c r="T185" s="976">
        <f t="shared" si="406"/>
        <v>0</v>
      </c>
      <c r="U185" s="976">
        <f t="shared" si="406"/>
        <v>0</v>
      </c>
      <c r="V185" s="976">
        <f t="shared" si="406"/>
        <v>0</v>
      </c>
      <c r="W185" s="976">
        <f t="shared" si="406"/>
        <v>279.56751985878202</v>
      </c>
      <c r="X185" s="976">
        <f t="shared" si="406"/>
        <v>633.5</v>
      </c>
      <c r="Y185" s="976">
        <f t="shared" si="406"/>
        <v>1173.55</v>
      </c>
      <c r="Z185" s="976">
        <f t="shared" si="406"/>
        <v>1561.56</v>
      </c>
      <c r="AA185" s="976">
        <f t="shared" si="406"/>
        <v>1882.1880000000003</v>
      </c>
      <c r="AB185" s="976">
        <f t="shared" si="406"/>
        <v>1986.4845</v>
      </c>
      <c r="AC185" s="976">
        <f t="shared" si="406"/>
        <v>2112.5498625000009</v>
      </c>
      <c r="AD185" s="976">
        <f t="shared" si="406"/>
        <v>2498.9592993750007</v>
      </c>
      <c r="AE185" s="976">
        <f t="shared" si="406"/>
        <v>2747.7321015375005</v>
      </c>
      <c r="AF185" s="976">
        <f t="shared" ref="AF185:AG185" si="407">AF175*AF179*AF$183</f>
        <v>2454.8273973660939</v>
      </c>
      <c r="AG185" s="976">
        <f t="shared" si="407"/>
        <v>1615.4497822389612</v>
      </c>
      <c r="AH185" s="976">
        <f t="shared" ref="AH185:AQ185" si="408">AH175*AH179*AH$183</f>
        <v>1058.0058432973481</v>
      </c>
      <c r="AI185" s="976">
        <f t="shared" si="408"/>
        <v>989.06481737926276</v>
      </c>
      <c r="AJ185" s="976">
        <f t="shared" si="408"/>
        <v>1170.2141888231822</v>
      </c>
      <c r="AK185" s="976">
        <f t="shared" si="408"/>
        <v>1442.0726297957706</v>
      </c>
      <c r="AL185" s="976">
        <f t="shared" si="408"/>
        <v>1700.8555263755597</v>
      </c>
      <c r="AM185" s="976">
        <f t="shared" si="408"/>
        <v>1938.3530358511716</v>
      </c>
      <c r="AN185" s="976">
        <f t="shared" si="408"/>
        <v>2126.7435275378302</v>
      </c>
      <c r="AO185" s="976">
        <f t="shared" si="408"/>
        <v>2329.127185803527</v>
      </c>
      <c r="AP185" s="976">
        <f t="shared" si="408"/>
        <v>2571.6445525727604</v>
      </c>
      <c r="AQ185" s="976">
        <f t="shared" si="408"/>
        <v>2859.0636496250099</v>
      </c>
    </row>
    <row r="186" spans="2:43">
      <c r="B186" s="1025" t="s">
        <v>596</v>
      </c>
      <c r="C186" s="967"/>
      <c r="D186" s="967"/>
      <c r="E186" s="967"/>
      <c r="F186" s="967"/>
      <c r="G186" s="967"/>
      <c r="H186" s="967"/>
      <c r="I186" s="967"/>
      <c r="J186" s="967"/>
      <c r="K186" s="968"/>
      <c r="L186" s="967"/>
      <c r="M186" s="967"/>
      <c r="N186" s="967"/>
      <c r="O186" s="967"/>
      <c r="P186" s="967"/>
      <c r="Q186" s="976">
        <f t="shared" ref="Q186:AE187" si="409">Q176*Q180*Q$183</f>
        <v>0</v>
      </c>
      <c r="R186" s="976">
        <f t="shared" si="409"/>
        <v>0</v>
      </c>
      <c r="S186" s="976">
        <f t="shared" si="409"/>
        <v>0</v>
      </c>
      <c r="T186" s="976">
        <f t="shared" si="409"/>
        <v>0</v>
      </c>
      <c r="U186" s="976">
        <f t="shared" si="409"/>
        <v>0</v>
      </c>
      <c r="V186" s="976">
        <f t="shared" si="409"/>
        <v>0</v>
      </c>
      <c r="W186" s="976">
        <f t="shared" si="409"/>
        <v>0</v>
      </c>
      <c r="X186" s="976">
        <f t="shared" si="409"/>
        <v>0</v>
      </c>
      <c r="Y186" s="976">
        <f t="shared" si="409"/>
        <v>0</v>
      </c>
      <c r="Z186" s="976">
        <f t="shared" si="409"/>
        <v>0</v>
      </c>
      <c r="AA186" s="976">
        <f t="shared" si="409"/>
        <v>522.63750000000005</v>
      </c>
      <c r="AB186" s="976">
        <f t="shared" si="409"/>
        <v>1207.292625</v>
      </c>
      <c r="AC186" s="976">
        <f t="shared" si="409"/>
        <v>2134.8341437500003</v>
      </c>
      <c r="AD186" s="976">
        <f t="shared" si="409"/>
        <v>2711.5513424999999</v>
      </c>
      <c r="AE186" s="976">
        <f t="shared" si="409"/>
        <v>3268.301825250001</v>
      </c>
      <c r="AF186" s="976">
        <f t="shared" ref="AF186:AG186" si="410">AF176*AF180*AF$183</f>
        <v>3449.4061789687507</v>
      </c>
      <c r="AG186" s="976">
        <f t="shared" si="410"/>
        <v>3668.3108018648454</v>
      </c>
      <c r="AH186" s="976">
        <f t="shared" ref="AH186:AQ186" si="411">AH176*AH180*AH$183</f>
        <v>4339.2866384084791</v>
      </c>
      <c r="AI186" s="976">
        <f t="shared" si="411"/>
        <v>4771.2650610635246</v>
      </c>
      <c r="AJ186" s="976">
        <f t="shared" si="411"/>
        <v>4262.6543488138877</v>
      </c>
      <c r="AK186" s="976">
        <f t="shared" si="411"/>
        <v>2805.1275812465669</v>
      </c>
      <c r="AL186" s="976">
        <f t="shared" si="411"/>
        <v>1837.1610215206392</v>
      </c>
      <c r="AM186" s="976">
        <f t="shared" si="411"/>
        <v>1717.4492388280039</v>
      </c>
      <c r="AN186" s="976">
        <f t="shared" si="411"/>
        <v>2032.0038005046547</v>
      </c>
      <c r="AO186" s="976">
        <f t="shared" si="411"/>
        <v>2504.0689921009939</v>
      </c>
      <c r="AP186" s="976">
        <f t="shared" si="411"/>
        <v>2953.4293180807613</v>
      </c>
      <c r="AQ186" s="976">
        <f t="shared" si="411"/>
        <v>3365.8288996908195</v>
      </c>
    </row>
    <row r="187" spans="2:43">
      <c r="B187" s="1025" t="s">
        <v>597</v>
      </c>
      <c r="C187" s="967"/>
      <c r="D187" s="967"/>
      <c r="E187" s="967"/>
      <c r="F187" s="967"/>
      <c r="G187" s="967"/>
      <c r="H187" s="967"/>
      <c r="I187" s="967"/>
      <c r="J187" s="967"/>
      <c r="K187" s="968"/>
      <c r="L187" s="967"/>
      <c r="M187" s="967"/>
      <c r="N187" s="967"/>
      <c r="O187" s="967"/>
      <c r="P187" s="967"/>
      <c r="Q187" s="976">
        <f t="shared" si="409"/>
        <v>0</v>
      </c>
      <c r="R187" s="976">
        <f t="shared" si="409"/>
        <v>0</v>
      </c>
      <c r="S187" s="976">
        <f t="shared" si="409"/>
        <v>0</v>
      </c>
      <c r="T187" s="976">
        <f t="shared" si="409"/>
        <v>0</v>
      </c>
      <c r="U187" s="976">
        <f t="shared" si="409"/>
        <v>0</v>
      </c>
      <c r="V187" s="976">
        <f t="shared" si="409"/>
        <v>0</v>
      </c>
      <c r="W187" s="976">
        <f t="shared" si="409"/>
        <v>0</v>
      </c>
      <c r="X187" s="976">
        <f t="shared" si="409"/>
        <v>0</v>
      </c>
      <c r="Y187" s="976">
        <f t="shared" si="409"/>
        <v>0</v>
      </c>
      <c r="Z187" s="976">
        <f t="shared" si="409"/>
        <v>0</v>
      </c>
      <c r="AA187" s="976">
        <f t="shared" si="409"/>
        <v>0</v>
      </c>
      <c r="AB187" s="976">
        <f t="shared" si="409"/>
        <v>0</v>
      </c>
      <c r="AC187" s="976">
        <f t="shared" si="409"/>
        <v>0</v>
      </c>
      <c r="AD187" s="976">
        <f t="shared" si="409"/>
        <v>0</v>
      </c>
      <c r="AE187" s="976">
        <f t="shared" si="409"/>
        <v>0</v>
      </c>
      <c r="AF187" s="976">
        <f t="shared" ref="AF187:AG187" si="412">AF177*AF181*AF$183</f>
        <v>0</v>
      </c>
      <c r="AG187" s="976">
        <f t="shared" si="412"/>
        <v>630.34581183943385</v>
      </c>
      <c r="AH187" s="976">
        <f t="shared" ref="AH187:AQ187" si="413">AH177*AH181*AH$183</f>
        <v>1456.0988253490923</v>
      </c>
      <c r="AI187" s="976">
        <f t="shared" si="413"/>
        <v>2574.7937365471025</v>
      </c>
      <c r="AJ187" s="976">
        <f t="shared" si="413"/>
        <v>3270.364320073606</v>
      </c>
      <c r="AK187" s="976">
        <f t="shared" si="413"/>
        <v>3941.8533254378326</v>
      </c>
      <c r="AL187" s="976">
        <f t="shared" si="413"/>
        <v>4160.2807648628659</v>
      </c>
      <c r="AM187" s="976">
        <f t="shared" si="413"/>
        <v>4424.2985826330114</v>
      </c>
      <c r="AN187" s="976">
        <f t="shared" si="413"/>
        <v>5233.5531967981633</v>
      </c>
      <c r="AO187" s="976">
        <f t="shared" si="413"/>
        <v>5754.5563577378462</v>
      </c>
      <c r="AP187" s="976">
        <f t="shared" si="413"/>
        <v>5141.1280593030233</v>
      </c>
      <c r="AQ187" s="976">
        <f t="shared" si="413"/>
        <v>3383.2253187229289</v>
      </c>
    </row>
    <row r="188" spans="2:43">
      <c r="B188" s="1025" t="s">
        <v>601</v>
      </c>
      <c r="C188" s="967"/>
      <c r="D188" s="967"/>
      <c r="E188" s="967"/>
      <c r="F188" s="967"/>
      <c r="G188" s="967"/>
      <c r="H188" s="967"/>
      <c r="I188" s="967"/>
      <c r="J188" s="967"/>
      <c r="K188" s="968"/>
      <c r="L188" s="967"/>
      <c r="M188" s="967"/>
      <c r="N188" s="967"/>
      <c r="O188" s="967"/>
      <c r="P188" s="967"/>
      <c r="Q188" s="976">
        <f>Q13*Q22*Q40*Q49</f>
        <v>541.13314969392388</v>
      </c>
      <c r="R188" s="976">
        <f t="shared" ref="R188:AE188" si="414">R13*R22*R40*R49</f>
        <v>654.84262652388054</v>
      </c>
      <c r="S188" s="976">
        <f t="shared" si="414"/>
        <v>703.77256531545015</v>
      </c>
      <c r="T188" s="976">
        <f t="shared" si="414"/>
        <v>593.00978346108798</v>
      </c>
      <c r="U188" s="976">
        <f t="shared" si="414"/>
        <v>731.50709003132886</v>
      </c>
      <c r="V188" s="976">
        <f t="shared" si="414"/>
        <v>1027.5964256636139</v>
      </c>
      <c r="W188" s="976">
        <f t="shared" si="414"/>
        <v>754.71698113207549</v>
      </c>
      <c r="X188" s="976">
        <f t="shared" si="414"/>
        <v>399.64061096136567</v>
      </c>
      <c r="Y188" s="976">
        <f t="shared" si="414"/>
        <v>323.80952380952385</v>
      </c>
      <c r="Z188" s="976">
        <f t="shared" si="414"/>
        <v>412.8</v>
      </c>
      <c r="AA188" s="976">
        <f t="shared" si="414"/>
        <v>430.5</v>
      </c>
      <c r="AB188" s="976">
        <f t="shared" si="414"/>
        <v>511.68000000000006</v>
      </c>
      <c r="AC188" s="976">
        <f t="shared" si="414"/>
        <v>626.80800000000011</v>
      </c>
      <c r="AD188" s="976">
        <f t="shared" si="414"/>
        <v>564.12720000000013</v>
      </c>
      <c r="AE188" s="976">
        <f t="shared" si="414"/>
        <v>612.07801200000006</v>
      </c>
      <c r="AF188" s="976">
        <f t="shared" ref="AF188:AG188" si="415">AF13*AF22*AF40*AF49</f>
        <v>663.41358720000017</v>
      </c>
      <c r="AG188" s="976">
        <f t="shared" si="415"/>
        <v>740.12078322000013</v>
      </c>
      <c r="AH188" s="976">
        <f t="shared" ref="AH188:AQ188" si="416">AH13*AH22*AH40*AH49</f>
        <v>822.84016487400038</v>
      </c>
      <c r="AI188" s="976">
        <f t="shared" si="416"/>
        <v>911.98118273535033</v>
      </c>
      <c r="AJ188" s="976">
        <f t="shared" si="416"/>
        <v>1007.9792019706504</v>
      </c>
      <c r="AK188" s="976">
        <f t="shared" si="416"/>
        <v>952.54034586226464</v>
      </c>
      <c r="AL188" s="976">
        <f t="shared" si="416"/>
        <v>889.03765613811379</v>
      </c>
      <c r="AM188" s="976">
        <f t="shared" si="416"/>
        <v>816.80334657689207</v>
      </c>
      <c r="AN188" s="976">
        <f t="shared" si="416"/>
        <v>612.60250993266914</v>
      </c>
      <c r="AO188" s="976">
        <f t="shared" si="416"/>
        <v>643.2326354293026</v>
      </c>
      <c r="AP188" s="976">
        <f t="shared" si="416"/>
        <v>540.31541376061421</v>
      </c>
      <c r="AQ188" s="976">
        <f t="shared" si="416"/>
        <v>354.58199028040315</v>
      </c>
    </row>
    <row r="189" spans="2:43" s="961" customFormat="1" ht="12">
      <c r="B189" s="978" t="s">
        <v>606</v>
      </c>
      <c r="C189" s="978"/>
      <c r="D189" s="978"/>
      <c r="E189" s="978"/>
      <c r="F189" s="978"/>
      <c r="G189" s="978"/>
      <c r="H189" s="978"/>
      <c r="I189" s="978"/>
      <c r="J189" s="978"/>
      <c r="K189" s="979"/>
      <c r="L189" s="978"/>
      <c r="M189" s="978"/>
      <c r="N189" s="978"/>
      <c r="O189" s="978"/>
      <c r="P189" s="978"/>
      <c r="Q189" s="980">
        <f>SUM(Q185:Q188)</f>
        <v>541.13314969392388</v>
      </c>
      <c r="R189" s="980">
        <f t="shared" ref="R189:AE189" si="417">SUM(R185:R188)</f>
        <v>654.84262652388054</v>
      </c>
      <c r="S189" s="980">
        <f t="shared" si="417"/>
        <v>703.77256531545015</v>
      </c>
      <c r="T189" s="980">
        <f t="shared" si="417"/>
        <v>593.00978346108798</v>
      </c>
      <c r="U189" s="980">
        <f t="shared" si="417"/>
        <v>731.50709003132886</v>
      </c>
      <c r="V189" s="980">
        <f t="shared" si="417"/>
        <v>1027.5964256636139</v>
      </c>
      <c r="W189" s="980">
        <f t="shared" si="417"/>
        <v>1034.2845009908574</v>
      </c>
      <c r="X189" s="980">
        <f t="shared" si="417"/>
        <v>1033.1406109613656</v>
      </c>
      <c r="Y189" s="980">
        <f t="shared" si="417"/>
        <v>1497.3595238095238</v>
      </c>
      <c r="Z189" s="980">
        <f t="shared" si="417"/>
        <v>1974.36</v>
      </c>
      <c r="AA189" s="980">
        <f t="shared" si="417"/>
        <v>2835.3255000000004</v>
      </c>
      <c r="AB189" s="980">
        <f t="shared" si="417"/>
        <v>3705.4571249999999</v>
      </c>
      <c r="AC189" s="980">
        <f t="shared" si="417"/>
        <v>4874.1920062500012</v>
      </c>
      <c r="AD189" s="980">
        <f t="shared" si="417"/>
        <v>5774.637841875</v>
      </c>
      <c r="AE189" s="980">
        <f t="shared" si="417"/>
        <v>6628.1119387875015</v>
      </c>
      <c r="AF189" s="980">
        <f t="shared" ref="AF189:AG189" si="418">SUM(AF185:AF188)</f>
        <v>6567.6471635348444</v>
      </c>
      <c r="AG189" s="980">
        <f t="shared" si="418"/>
        <v>6654.2271791632402</v>
      </c>
      <c r="AH189" s="980">
        <f t="shared" ref="AH189:AQ189" si="419">SUM(AH185:AH188)</f>
        <v>7676.2314719289197</v>
      </c>
      <c r="AI189" s="980">
        <f t="shared" si="419"/>
        <v>9247.1047977252401</v>
      </c>
      <c r="AJ189" s="980">
        <f t="shared" si="419"/>
        <v>9711.2120596813274</v>
      </c>
      <c r="AK189" s="980">
        <f t="shared" si="419"/>
        <v>9141.5938823424349</v>
      </c>
      <c r="AL189" s="980">
        <f t="shared" si="419"/>
        <v>8587.3349688971794</v>
      </c>
      <c r="AM189" s="980">
        <f t="shared" si="419"/>
        <v>8896.9042038890784</v>
      </c>
      <c r="AN189" s="980">
        <f t="shared" si="419"/>
        <v>10004.903034773317</v>
      </c>
      <c r="AO189" s="980">
        <f t="shared" si="419"/>
        <v>11230.98517107167</v>
      </c>
      <c r="AP189" s="980">
        <f t="shared" si="419"/>
        <v>11206.517343717158</v>
      </c>
      <c r="AQ189" s="980">
        <f t="shared" si="419"/>
        <v>9962.6998583191616</v>
      </c>
    </row>
    <row r="190" spans="2:43" s="981" customFormat="1">
      <c r="B190" s="1026" t="s">
        <v>600</v>
      </c>
      <c r="C190" s="982"/>
      <c r="D190" s="982"/>
      <c r="E190" s="982"/>
      <c r="F190" s="982"/>
      <c r="G190" s="982"/>
      <c r="H190" s="982"/>
      <c r="I190" s="982"/>
      <c r="J190" s="982"/>
      <c r="K190" s="983"/>
      <c r="L190" s="982"/>
      <c r="M190" s="982"/>
      <c r="N190" s="982"/>
      <c r="O190" s="982"/>
      <c r="P190" s="982"/>
      <c r="Q190" s="982"/>
      <c r="R190" s="987">
        <v>2.5000000000000001E-2</v>
      </c>
      <c r="S190" s="987">
        <v>2.5000000000000001E-2</v>
      </c>
      <c r="T190" s="987">
        <v>2.5000000000000001E-2</v>
      </c>
      <c r="U190" s="987">
        <v>2.5000000000000001E-2</v>
      </c>
      <c r="V190" s="987">
        <v>2.5000000000000001E-2</v>
      </c>
      <c r="W190" s="987">
        <v>2.5000000000000001E-2</v>
      </c>
      <c r="X190" s="987">
        <v>0.03</v>
      </c>
      <c r="Y190" s="987">
        <v>0.1</v>
      </c>
      <c r="Z190" s="987">
        <v>0.1</v>
      </c>
      <c r="AA190" s="987">
        <v>0.05</v>
      </c>
      <c r="AB190" s="987">
        <v>0.05</v>
      </c>
      <c r="AC190" s="987">
        <v>0.05</v>
      </c>
      <c r="AD190" s="987">
        <v>0.05</v>
      </c>
      <c r="AE190" s="987">
        <v>0.05</v>
      </c>
      <c r="AF190" s="987">
        <v>0.05</v>
      </c>
      <c r="AG190" s="987">
        <v>0.05</v>
      </c>
      <c r="AH190" s="987">
        <v>0.05</v>
      </c>
      <c r="AI190" s="987">
        <v>0.05</v>
      </c>
      <c r="AJ190" s="987">
        <v>0.05</v>
      </c>
      <c r="AK190" s="987">
        <v>0.05</v>
      </c>
      <c r="AL190" s="987">
        <v>0.05</v>
      </c>
      <c r="AM190" s="987">
        <v>0.05</v>
      </c>
      <c r="AN190" s="987">
        <v>0.05</v>
      </c>
      <c r="AO190" s="987">
        <v>0.05</v>
      </c>
      <c r="AP190" s="987">
        <v>0.05</v>
      </c>
      <c r="AQ190" s="987">
        <v>0.05</v>
      </c>
    </row>
    <row r="191" spans="2:43">
      <c r="B191" s="1025"/>
      <c r="C191" s="967"/>
      <c r="D191" s="967"/>
      <c r="E191" s="967"/>
      <c r="F191" s="967"/>
      <c r="G191" s="967"/>
      <c r="H191" s="967"/>
      <c r="I191" s="967"/>
      <c r="J191" s="967"/>
      <c r="K191" s="968"/>
      <c r="L191" s="967"/>
      <c r="M191" s="967"/>
      <c r="N191" s="967"/>
      <c r="O191" s="967"/>
      <c r="P191" s="967"/>
      <c r="Q191" s="967"/>
      <c r="R191" s="993"/>
      <c r="S191" s="993"/>
      <c r="T191" s="993"/>
      <c r="U191" s="993"/>
      <c r="V191" s="993"/>
      <c r="W191" s="993"/>
      <c r="X191" s="993"/>
      <c r="Y191" s="993"/>
      <c r="Z191" s="993"/>
      <c r="AA191" s="993"/>
      <c r="AB191" s="993"/>
      <c r="AC191" s="993"/>
      <c r="AD191" s="993"/>
      <c r="AE191" s="993"/>
      <c r="AF191" s="993"/>
      <c r="AG191" s="993"/>
      <c r="AH191" s="993"/>
      <c r="AI191" s="993"/>
      <c r="AJ191" s="993"/>
      <c r="AK191" s="993"/>
      <c r="AL191" s="993"/>
      <c r="AM191" s="993"/>
      <c r="AN191" s="993"/>
      <c r="AO191" s="993"/>
      <c r="AP191" s="993"/>
      <c r="AQ191" s="993"/>
    </row>
    <row r="192" spans="2:43" ht="12">
      <c r="B192" s="1024" t="s">
        <v>607</v>
      </c>
      <c r="C192" s="1015"/>
      <c r="D192" s="1015"/>
      <c r="E192" s="1015"/>
      <c r="F192" s="1015"/>
      <c r="G192" s="1015"/>
      <c r="H192" s="1015"/>
      <c r="I192" s="1015"/>
      <c r="J192" s="1015"/>
      <c r="K192" s="1016"/>
      <c r="L192" s="1015"/>
      <c r="M192" s="1015"/>
      <c r="N192" s="1015"/>
      <c r="O192" s="1015"/>
      <c r="P192" s="1015"/>
      <c r="Q192" s="1015"/>
      <c r="R192" s="1015"/>
      <c r="S192" s="1015"/>
      <c r="T192" s="1015"/>
      <c r="U192" s="1015"/>
      <c r="V192" s="1015"/>
      <c r="W192" s="1015"/>
      <c r="X192" s="1015"/>
      <c r="Y192" s="1015"/>
      <c r="Z192" s="1015"/>
      <c r="AA192" s="1015"/>
      <c r="AB192" s="1015"/>
      <c r="AC192" s="1015"/>
      <c r="AD192" s="1015"/>
      <c r="AE192" s="1015"/>
      <c r="AF192" s="1015"/>
      <c r="AG192" s="1015"/>
      <c r="AH192" s="1015"/>
      <c r="AI192" s="1015"/>
      <c r="AJ192" s="1015"/>
      <c r="AK192" s="1015"/>
      <c r="AL192" s="1015"/>
      <c r="AM192" s="1015"/>
      <c r="AN192" s="1015"/>
      <c r="AO192" s="1015"/>
      <c r="AP192" s="1015"/>
      <c r="AQ192" s="1015"/>
    </row>
    <row r="193" spans="2:43" hidden="1" outlineLevel="1">
      <c r="B193" s="1025" t="s">
        <v>588</v>
      </c>
      <c r="C193" s="976"/>
      <c r="D193" s="976"/>
      <c r="E193" s="976"/>
      <c r="F193" s="976"/>
      <c r="G193" s="976"/>
      <c r="H193" s="976"/>
      <c r="I193" s="976"/>
      <c r="J193" s="976"/>
      <c r="K193" s="988"/>
      <c r="L193" s="976"/>
      <c r="M193" s="976">
        <f>E14*0.33+D14*0.33+C14*0.33</f>
        <v>0</v>
      </c>
      <c r="N193" s="976">
        <f t="shared" ref="N193:AH193" si="420">F14*0.33+E14*0.33+D14*0.33</f>
        <v>0</v>
      </c>
      <c r="O193" s="976">
        <f t="shared" si="420"/>
        <v>0</v>
      </c>
      <c r="P193" s="976">
        <f t="shared" si="420"/>
        <v>0</v>
      </c>
      <c r="Q193" s="976">
        <f t="shared" si="420"/>
        <v>0</v>
      </c>
      <c r="R193" s="976">
        <f t="shared" si="420"/>
        <v>0</v>
      </c>
      <c r="S193" s="976">
        <f t="shared" si="420"/>
        <v>0</v>
      </c>
      <c r="T193" s="976">
        <f t="shared" si="420"/>
        <v>0</v>
      </c>
      <c r="U193" s="976">
        <f t="shared" si="420"/>
        <v>0</v>
      </c>
      <c r="V193" s="976">
        <f t="shared" si="420"/>
        <v>0</v>
      </c>
      <c r="W193" s="976">
        <f t="shared" si="420"/>
        <v>0</v>
      </c>
      <c r="X193" s="976">
        <f t="shared" si="420"/>
        <v>0</v>
      </c>
      <c r="Y193" s="976">
        <f t="shared" si="420"/>
        <v>0</v>
      </c>
      <c r="Z193" s="976">
        <f t="shared" si="420"/>
        <v>0</v>
      </c>
      <c r="AA193" s="976">
        <f t="shared" si="420"/>
        <v>0</v>
      </c>
      <c r="AB193" s="976">
        <f t="shared" si="420"/>
        <v>0</v>
      </c>
      <c r="AC193" s="976">
        <f t="shared" si="420"/>
        <v>0</v>
      </c>
      <c r="AD193" s="976">
        <f t="shared" si="420"/>
        <v>0</v>
      </c>
      <c r="AE193" s="976">
        <f t="shared" si="420"/>
        <v>0</v>
      </c>
      <c r="AF193" s="976">
        <f t="shared" si="420"/>
        <v>0</v>
      </c>
      <c r="AG193" s="976">
        <f t="shared" si="420"/>
        <v>0</v>
      </c>
      <c r="AH193" s="976">
        <f t="shared" si="420"/>
        <v>0</v>
      </c>
      <c r="AI193" s="976">
        <f t="shared" ref="AI193" si="421">AA14*0.33+Z14*0.33+Y14*0.33</f>
        <v>3.3000000000000003</v>
      </c>
      <c r="AJ193" s="976">
        <f t="shared" ref="AJ193" si="422">AB14*0.33+AA14*0.33+Z14*0.33</f>
        <v>16.5</v>
      </c>
      <c r="AK193" s="976">
        <f t="shared" ref="AK193" si="423">AC14*0.33+AB14*0.33+AA14*0.33</f>
        <v>39.6</v>
      </c>
      <c r="AL193" s="976">
        <f t="shared" ref="AL193" si="424">AD14*0.33+AC14*0.33+AB14*0.33</f>
        <v>66</v>
      </c>
      <c r="AM193" s="976">
        <f t="shared" ref="AM193" si="425">AE14*0.33+AD14*0.33+AC14*0.33</f>
        <v>85.800000000000011</v>
      </c>
      <c r="AN193" s="976">
        <f t="shared" ref="AN193" si="426">AF14*0.33+AE14*0.33+AD14*0.33</f>
        <v>97.350000000000009</v>
      </c>
      <c r="AO193" s="976">
        <f t="shared" ref="AO193" si="427">AG14*0.33+AF14*0.33+AE14*0.33</f>
        <v>103.95</v>
      </c>
      <c r="AP193" s="976">
        <f t="shared" ref="AP193" si="428">AH14*0.33+AG14*0.33+AF14*0.33</f>
        <v>108.9</v>
      </c>
      <c r="AQ193" s="976">
        <f t="shared" ref="AQ193" si="429">AI14*0.33+AH14*0.33+AG14*0.33</f>
        <v>113.85000000000002</v>
      </c>
    </row>
    <row r="194" spans="2:43" hidden="1" outlineLevel="1">
      <c r="B194" s="1025" t="s">
        <v>589</v>
      </c>
      <c r="C194" s="976"/>
      <c r="D194" s="976"/>
      <c r="E194" s="976"/>
      <c r="F194" s="976"/>
      <c r="G194" s="976"/>
      <c r="H194" s="976"/>
      <c r="I194" s="976"/>
      <c r="J194" s="976"/>
      <c r="K194" s="988"/>
      <c r="L194" s="976"/>
      <c r="M194" s="976"/>
      <c r="N194" s="976"/>
      <c r="O194" s="976"/>
      <c r="P194" s="976"/>
      <c r="Q194" s="976">
        <f>E14*0.33+D14*0.33+C14*0.33</f>
        <v>0</v>
      </c>
      <c r="R194" s="976">
        <f t="shared" ref="R194:AH194" si="430">F14</f>
        <v>0</v>
      </c>
      <c r="S194" s="976">
        <f t="shared" si="430"/>
        <v>0</v>
      </c>
      <c r="T194" s="976">
        <f t="shared" si="430"/>
        <v>0</v>
      </c>
      <c r="U194" s="976">
        <f t="shared" si="430"/>
        <v>0</v>
      </c>
      <c r="V194" s="976">
        <f t="shared" si="430"/>
        <v>0</v>
      </c>
      <c r="W194" s="976">
        <f t="shared" si="430"/>
        <v>0</v>
      </c>
      <c r="X194" s="976">
        <f t="shared" si="430"/>
        <v>0</v>
      </c>
      <c r="Y194" s="976">
        <f t="shared" si="430"/>
        <v>0</v>
      </c>
      <c r="Z194" s="976">
        <f t="shared" si="430"/>
        <v>0</v>
      </c>
      <c r="AA194" s="976">
        <f t="shared" si="430"/>
        <v>0</v>
      </c>
      <c r="AB194" s="976">
        <f t="shared" si="430"/>
        <v>0</v>
      </c>
      <c r="AC194" s="976">
        <f t="shared" si="430"/>
        <v>0</v>
      </c>
      <c r="AD194" s="976">
        <f t="shared" si="430"/>
        <v>0</v>
      </c>
      <c r="AE194" s="976">
        <f t="shared" si="430"/>
        <v>0</v>
      </c>
      <c r="AF194" s="976">
        <f t="shared" si="430"/>
        <v>0</v>
      </c>
      <c r="AG194" s="976">
        <f t="shared" si="430"/>
        <v>0</v>
      </c>
      <c r="AH194" s="976">
        <f t="shared" si="430"/>
        <v>0</v>
      </c>
      <c r="AI194" s="976">
        <f t="shared" ref="AI194" si="431">W14</f>
        <v>0</v>
      </c>
      <c r="AJ194" s="976">
        <f t="shared" ref="AJ194" si="432">X14</f>
        <v>0</v>
      </c>
      <c r="AK194" s="976">
        <f t="shared" ref="AK194" si="433">Y14</f>
        <v>0</v>
      </c>
      <c r="AL194" s="976">
        <f t="shared" ref="AL194" si="434">Z14</f>
        <v>0</v>
      </c>
      <c r="AM194" s="976">
        <f t="shared" ref="AM194" si="435">AA14</f>
        <v>10</v>
      </c>
      <c r="AN194" s="976">
        <f t="shared" ref="AN194" si="436">AB14</f>
        <v>40</v>
      </c>
      <c r="AO194" s="976">
        <f t="shared" ref="AO194" si="437">AC14</f>
        <v>70</v>
      </c>
      <c r="AP194" s="976">
        <f t="shared" ref="AP194" si="438">AD14</f>
        <v>90</v>
      </c>
      <c r="AQ194" s="976">
        <f t="shared" ref="AQ194" si="439">AE14</f>
        <v>100</v>
      </c>
    </row>
    <row r="195" spans="2:43" hidden="1" outlineLevel="1">
      <c r="B195" s="1025" t="s">
        <v>590</v>
      </c>
      <c r="C195" s="976"/>
      <c r="D195" s="976"/>
      <c r="E195" s="976"/>
      <c r="F195" s="976"/>
      <c r="G195" s="976"/>
      <c r="H195" s="976"/>
      <c r="I195" s="976"/>
      <c r="J195" s="976"/>
      <c r="K195" s="988"/>
      <c r="L195" s="976"/>
      <c r="M195" s="976"/>
      <c r="N195" s="976"/>
      <c r="O195" s="976"/>
      <c r="P195" s="976"/>
      <c r="Q195" s="976"/>
      <c r="R195" s="976"/>
      <c r="S195" s="976"/>
      <c r="T195" s="976"/>
      <c r="U195" s="976"/>
      <c r="V195" s="976"/>
      <c r="W195" s="976">
        <f>E14*0.33+D14*0.33+C14*0.33</f>
        <v>0</v>
      </c>
      <c r="X195" s="976">
        <f t="shared" ref="X195:AH195" si="440">F14*0.33+E14*0.33+D14*0.33</f>
        <v>0</v>
      </c>
      <c r="Y195" s="976">
        <f t="shared" si="440"/>
        <v>0</v>
      </c>
      <c r="Z195" s="976">
        <f t="shared" si="440"/>
        <v>0</v>
      </c>
      <c r="AA195" s="976">
        <f t="shared" si="440"/>
        <v>0</v>
      </c>
      <c r="AB195" s="976">
        <f t="shared" si="440"/>
        <v>0</v>
      </c>
      <c r="AC195" s="976">
        <f t="shared" si="440"/>
        <v>0</v>
      </c>
      <c r="AD195" s="976">
        <f t="shared" si="440"/>
        <v>0</v>
      </c>
      <c r="AE195" s="976">
        <f t="shared" si="440"/>
        <v>0</v>
      </c>
      <c r="AF195" s="976">
        <f t="shared" si="440"/>
        <v>0</v>
      </c>
      <c r="AG195" s="976">
        <f t="shared" si="440"/>
        <v>0</v>
      </c>
      <c r="AH195" s="976">
        <f t="shared" si="440"/>
        <v>0</v>
      </c>
      <c r="AI195" s="976">
        <f t="shared" ref="AI195" si="441">Q14*0.33+P14*0.33+O14*0.33</f>
        <v>0</v>
      </c>
      <c r="AJ195" s="976">
        <f t="shared" ref="AJ195" si="442">R14*0.33+Q14*0.33+P14*0.33</f>
        <v>0</v>
      </c>
      <c r="AK195" s="976">
        <f t="shared" ref="AK195" si="443">S14*0.33+R14*0.33+Q14*0.33</f>
        <v>0</v>
      </c>
      <c r="AL195" s="976">
        <f t="shared" ref="AL195" si="444">T14*0.33+S14*0.33+R14*0.33</f>
        <v>0</v>
      </c>
      <c r="AM195" s="976">
        <f t="shared" ref="AM195" si="445">U14*0.33+T14*0.33+S14*0.33</f>
        <v>0</v>
      </c>
      <c r="AN195" s="976">
        <f t="shared" ref="AN195" si="446">V14*0.33+U14*0.33+T14*0.33</f>
        <v>0</v>
      </c>
      <c r="AO195" s="976">
        <f t="shared" ref="AO195" si="447">W14*0.33+V14*0.33+U14*0.33</f>
        <v>0</v>
      </c>
      <c r="AP195" s="976">
        <f t="shared" ref="AP195" si="448">X14*0.33+W14*0.33+V14*0.33</f>
        <v>0</v>
      </c>
      <c r="AQ195" s="976">
        <f t="shared" ref="AQ195" si="449">Y14*0.33+X14*0.33+W14*0.33</f>
        <v>0</v>
      </c>
    </row>
    <row r="196" spans="2:43" hidden="1" outlineLevel="1">
      <c r="B196" s="1025"/>
      <c r="C196" s="967"/>
      <c r="D196" s="967"/>
      <c r="E196" s="967"/>
      <c r="F196" s="967"/>
      <c r="G196" s="967"/>
      <c r="H196" s="967"/>
      <c r="I196" s="967"/>
      <c r="J196" s="967"/>
      <c r="K196" s="968"/>
      <c r="L196" s="967"/>
      <c r="M196" s="967"/>
      <c r="N196" s="967"/>
      <c r="O196" s="967"/>
      <c r="P196" s="967"/>
      <c r="Q196" s="967"/>
      <c r="R196" s="967"/>
      <c r="S196" s="967"/>
      <c r="T196" s="967"/>
      <c r="U196" s="967"/>
      <c r="V196" s="967"/>
      <c r="W196" s="967"/>
      <c r="X196" s="967"/>
      <c r="Y196" s="967"/>
      <c r="Z196" s="967"/>
      <c r="AA196" s="967"/>
      <c r="AB196" s="967"/>
      <c r="AC196" s="967"/>
      <c r="AD196" s="967"/>
      <c r="AE196" s="967"/>
      <c r="AF196" s="967"/>
      <c r="AG196" s="967"/>
      <c r="AH196" s="967"/>
      <c r="AI196" s="967"/>
      <c r="AJ196" s="967"/>
      <c r="AK196" s="967"/>
      <c r="AL196" s="967"/>
      <c r="AM196" s="967"/>
      <c r="AN196" s="967"/>
      <c r="AO196" s="967"/>
      <c r="AP196" s="967"/>
      <c r="AQ196" s="967"/>
    </row>
    <row r="197" spans="2:43" hidden="1" outlineLevel="1">
      <c r="B197" s="1025" t="s">
        <v>591</v>
      </c>
      <c r="C197" s="967"/>
      <c r="D197" s="967"/>
      <c r="E197" s="967"/>
      <c r="F197" s="967"/>
      <c r="G197" s="967"/>
      <c r="H197" s="967"/>
      <c r="I197" s="967"/>
      <c r="J197" s="967"/>
      <c r="K197" s="968"/>
      <c r="L197" s="967"/>
      <c r="M197" s="967"/>
      <c r="N197" s="967"/>
      <c r="O197" s="967"/>
      <c r="P197" s="967"/>
      <c r="Q197" s="989">
        <f t="shared" ref="Q197:Y199" si="450">R197/(1+R$208)</f>
        <v>5.5350837901661212</v>
      </c>
      <c r="R197" s="989">
        <f t="shared" si="450"/>
        <v>5.6734608849202735</v>
      </c>
      <c r="S197" s="989">
        <f t="shared" si="450"/>
        <v>5.8152974070432801</v>
      </c>
      <c r="T197" s="989">
        <f t="shared" si="450"/>
        <v>5.9606798422193616</v>
      </c>
      <c r="U197" s="989">
        <f t="shared" si="450"/>
        <v>6.1096968382748456</v>
      </c>
      <c r="V197" s="989">
        <f t="shared" si="450"/>
        <v>6.2624392592317157</v>
      </c>
      <c r="W197" s="989">
        <f t="shared" si="450"/>
        <v>6.4190002407125082</v>
      </c>
      <c r="X197" s="989">
        <f t="shared" si="450"/>
        <v>6.6115702479338836</v>
      </c>
      <c r="Y197" s="995">
        <f>Z197/(1+Z$208)</f>
        <v>7.2727272727272725</v>
      </c>
      <c r="Z197" s="990">
        <v>8</v>
      </c>
      <c r="AA197" s="989">
        <f t="shared" ref="AA197:AH199" si="451">Z197*(1+AA$208)</f>
        <v>8.4</v>
      </c>
      <c r="AB197" s="989">
        <f t="shared" si="451"/>
        <v>8.82</v>
      </c>
      <c r="AC197" s="989">
        <f t="shared" si="451"/>
        <v>9.261000000000001</v>
      </c>
      <c r="AD197" s="989">
        <f t="shared" si="451"/>
        <v>9.7240500000000019</v>
      </c>
      <c r="AE197" s="989">
        <f t="shared" si="451"/>
        <v>10.210252500000003</v>
      </c>
      <c r="AF197" s="989">
        <f t="shared" si="451"/>
        <v>10.720765125000003</v>
      </c>
      <c r="AG197" s="989">
        <f t="shared" si="451"/>
        <v>11.256803381250004</v>
      </c>
      <c r="AH197" s="989">
        <f t="shared" si="451"/>
        <v>11.819643550312504</v>
      </c>
      <c r="AI197" s="989">
        <f t="shared" ref="AI197:AI199" si="452">AH197*(1+AI$208)</f>
        <v>12.41062572782813</v>
      </c>
      <c r="AJ197" s="989">
        <f t="shared" ref="AJ197:AJ199" si="453">AI197*(1+AJ$208)</f>
        <v>13.031157014219536</v>
      </c>
      <c r="AK197" s="989">
        <f t="shared" ref="AK197:AK199" si="454">AJ197*(1+AK$208)</f>
        <v>13.682714864930514</v>
      </c>
      <c r="AL197" s="989">
        <f t="shared" ref="AL197:AL199" si="455">AK197*(1+AL$208)</f>
        <v>14.366850608177041</v>
      </c>
      <c r="AM197" s="989">
        <f t="shared" ref="AM197:AM199" si="456">AL197*(1+AM$208)</f>
        <v>15.085193138585893</v>
      </c>
      <c r="AN197" s="989">
        <f t="shared" ref="AN197:AN199" si="457">AM197*(1+AN$208)</f>
        <v>15.839452795515189</v>
      </c>
      <c r="AO197" s="989">
        <f t="shared" ref="AO197:AO199" si="458">AN197*(1+AO$208)</f>
        <v>16.63142543529095</v>
      </c>
      <c r="AP197" s="989">
        <f t="shared" ref="AP197:AP199" si="459">AO197*(1+AP$208)</f>
        <v>17.462996707055499</v>
      </c>
      <c r="AQ197" s="989">
        <f t="shared" ref="AQ197:AQ199" si="460">AP197*(1+AQ$208)</f>
        <v>18.336146542408276</v>
      </c>
    </row>
    <row r="198" spans="2:43" hidden="1" outlineLevel="1">
      <c r="B198" s="1025" t="s">
        <v>592</v>
      </c>
      <c r="C198" s="967"/>
      <c r="D198" s="967"/>
      <c r="E198" s="967"/>
      <c r="F198" s="967"/>
      <c r="G198" s="967"/>
      <c r="H198" s="967"/>
      <c r="I198" s="967"/>
      <c r="J198" s="967"/>
      <c r="K198" s="968"/>
      <c r="L198" s="967"/>
      <c r="M198" s="967"/>
      <c r="N198" s="967"/>
      <c r="O198" s="967"/>
      <c r="P198" s="967"/>
      <c r="Q198" s="989">
        <f t="shared" si="450"/>
        <v>8.3026256852491827</v>
      </c>
      <c r="R198" s="989">
        <f t="shared" si="450"/>
        <v>8.5101913273804115</v>
      </c>
      <c r="S198" s="989">
        <f t="shared" si="450"/>
        <v>8.7229461105649211</v>
      </c>
      <c r="T198" s="989">
        <f t="shared" si="450"/>
        <v>8.9410197633290434</v>
      </c>
      <c r="U198" s="989">
        <f t="shared" si="450"/>
        <v>9.1645452574122679</v>
      </c>
      <c r="V198" s="989">
        <f t="shared" si="450"/>
        <v>9.3936588888475736</v>
      </c>
      <c r="W198" s="989">
        <f t="shared" si="450"/>
        <v>9.6285003610687614</v>
      </c>
      <c r="X198" s="989">
        <f t="shared" si="450"/>
        <v>9.9173553719008254</v>
      </c>
      <c r="Y198" s="989">
        <f t="shared" si="450"/>
        <v>10.909090909090908</v>
      </c>
      <c r="Z198" s="990">
        <v>12</v>
      </c>
      <c r="AA198" s="989">
        <f t="shared" si="451"/>
        <v>12.600000000000001</v>
      </c>
      <c r="AB198" s="989">
        <f t="shared" si="451"/>
        <v>13.230000000000002</v>
      </c>
      <c r="AC198" s="989">
        <f t="shared" si="451"/>
        <v>13.891500000000002</v>
      </c>
      <c r="AD198" s="989">
        <f t="shared" si="451"/>
        <v>14.586075000000003</v>
      </c>
      <c r="AE198" s="989">
        <f t="shared" si="451"/>
        <v>15.315378750000004</v>
      </c>
      <c r="AF198" s="989">
        <f t="shared" si="451"/>
        <v>16.081147687500007</v>
      </c>
      <c r="AG198" s="989">
        <f t="shared" si="451"/>
        <v>16.885205071875006</v>
      </c>
      <c r="AH198" s="989">
        <f t="shared" si="451"/>
        <v>17.729465325468759</v>
      </c>
      <c r="AI198" s="989">
        <f t="shared" si="452"/>
        <v>18.615938591742196</v>
      </c>
      <c r="AJ198" s="989">
        <f t="shared" si="453"/>
        <v>19.546735521329307</v>
      </c>
      <c r="AK198" s="989">
        <f t="shared" si="454"/>
        <v>20.524072297395772</v>
      </c>
      <c r="AL198" s="989">
        <f t="shared" si="455"/>
        <v>21.550275912265562</v>
      </c>
      <c r="AM198" s="989">
        <f t="shared" si="456"/>
        <v>22.62778970787884</v>
      </c>
      <c r="AN198" s="989">
        <f t="shared" si="457"/>
        <v>23.759179193272782</v>
      </c>
      <c r="AO198" s="989">
        <f t="shared" si="458"/>
        <v>24.947138152936422</v>
      </c>
      <c r="AP198" s="989">
        <f t="shared" si="459"/>
        <v>26.194495060583243</v>
      </c>
      <c r="AQ198" s="989">
        <f t="shared" si="460"/>
        <v>27.504219813612405</v>
      </c>
    </row>
    <row r="199" spans="2:43" hidden="1" outlineLevel="1">
      <c r="B199" s="1025" t="s">
        <v>593</v>
      </c>
      <c r="C199" s="967"/>
      <c r="D199" s="967"/>
      <c r="E199" s="967"/>
      <c r="F199" s="967"/>
      <c r="G199" s="967"/>
      <c r="H199" s="967"/>
      <c r="I199" s="967"/>
      <c r="J199" s="967"/>
      <c r="K199" s="968"/>
      <c r="L199" s="967"/>
      <c r="M199" s="967"/>
      <c r="N199" s="967"/>
      <c r="O199" s="967"/>
      <c r="P199" s="967"/>
      <c r="Q199" s="989">
        <f t="shared" si="450"/>
        <v>6.918854737707651</v>
      </c>
      <c r="R199" s="989">
        <f t="shared" si="450"/>
        <v>7.091826106150342</v>
      </c>
      <c r="S199" s="989">
        <f t="shared" si="450"/>
        <v>7.2691217588040997</v>
      </c>
      <c r="T199" s="989">
        <f t="shared" si="450"/>
        <v>7.4508498027742016</v>
      </c>
      <c r="U199" s="989">
        <f t="shared" si="450"/>
        <v>7.6371210478435563</v>
      </c>
      <c r="V199" s="989">
        <f t="shared" si="450"/>
        <v>7.8280490740396447</v>
      </c>
      <c r="W199" s="989">
        <f t="shared" si="450"/>
        <v>8.0237503008906348</v>
      </c>
      <c r="X199" s="989">
        <f t="shared" si="450"/>
        <v>8.2644628099173545</v>
      </c>
      <c r="Y199" s="989">
        <f t="shared" si="450"/>
        <v>9.0909090909090899</v>
      </c>
      <c r="Z199" s="990">
        <v>10</v>
      </c>
      <c r="AA199" s="989">
        <f t="shared" si="451"/>
        <v>10.5</v>
      </c>
      <c r="AB199" s="989">
        <f t="shared" si="451"/>
        <v>11.025</v>
      </c>
      <c r="AC199" s="989">
        <f t="shared" si="451"/>
        <v>11.576250000000002</v>
      </c>
      <c r="AD199" s="989">
        <f t="shared" si="451"/>
        <v>12.155062500000001</v>
      </c>
      <c r="AE199" s="989">
        <f t="shared" si="451"/>
        <v>12.762815625000002</v>
      </c>
      <c r="AF199" s="989">
        <f t="shared" si="451"/>
        <v>13.400956406250003</v>
      </c>
      <c r="AG199" s="989">
        <f t="shared" si="451"/>
        <v>14.071004226562504</v>
      </c>
      <c r="AH199" s="989">
        <f t="shared" si="451"/>
        <v>14.774554437890631</v>
      </c>
      <c r="AI199" s="989">
        <f t="shared" si="452"/>
        <v>15.513282159785163</v>
      </c>
      <c r="AJ199" s="989">
        <f t="shared" si="453"/>
        <v>16.288946267774421</v>
      </c>
      <c r="AK199" s="989">
        <f t="shared" si="454"/>
        <v>17.103393581163143</v>
      </c>
      <c r="AL199" s="989">
        <f t="shared" si="455"/>
        <v>17.9585632602213</v>
      </c>
      <c r="AM199" s="989">
        <f t="shared" si="456"/>
        <v>18.856491423232367</v>
      </c>
      <c r="AN199" s="989">
        <f t="shared" si="457"/>
        <v>19.799315994393986</v>
      </c>
      <c r="AO199" s="989">
        <f t="shared" si="458"/>
        <v>20.789281794113688</v>
      </c>
      <c r="AP199" s="989">
        <f t="shared" si="459"/>
        <v>21.828745883819373</v>
      </c>
      <c r="AQ199" s="989">
        <f t="shared" si="460"/>
        <v>22.920183178010344</v>
      </c>
    </row>
    <row r="200" spans="2:43" hidden="1" outlineLevel="1">
      <c r="B200" s="1025"/>
      <c r="C200" s="967"/>
      <c r="D200" s="967"/>
      <c r="E200" s="967"/>
      <c r="F200" s="967"/>
      <c r="G200" s="967"/>
      <c r="H200" s="967"/>
      <c r="I200" s="967"/>
      <c r="J200" s="967"/>
      <c r="K200" s="968"/>
      <c r="L200" s="967"/>
      <c r="M200" s="967"/>
      <c r="N200" s="967"/>
      <c r="O200" s="967"/>
      <c r="P200" s="967"/>
      <c r="Q200" s="967"/>
      <c r="R200" s="967"/>
      <c r="S200" s="967"/>
      <c r="T200" s="967"/>
      <c r="U200" s="967"/>
      <c r="V200" s="967"/>
      <c r="W200" s="967"/>
      <c r="X200" s="967"/>
      <c r="Y200" s="967"/>
      <c r="Z200" s="967"/>
      <c r="AA200" s="967"/>
      <c r="AB200" s="967"/>
      <c r="AC200" s="967"/>
      <c r="AD200" s="967"/>
      <c r="AE200" s="967"/>
      <c r="AF200" s="967"/>
      <c r="AG200" s="967"/>
      <c r="AH200" s="967"/>
      <c r="AI200" s="967"/>
      <c r="AJ200" s="967"/>
      <c r="AK200" s="967"/>
      <c r="AL200" s="967"/>
      <c r="AM200" s="967"/>
      <c r="AN200" s="967"/>
      <c r="AO200" s="967"/>
      <c r="AP200" s="967"/>
      <c r="AQ200" s="967"/>
    </row>
    <row r="201" spans="2:43" s="981" customFormat="1" hidden="1" outlineLevel="1">
      <c r="B201" s="1026" t="s">
        <v>594</v>
      </c>
      <c r="C201" s="982"/>
      <c r="D201" s="982"/>
      <c r="E201" s="982"/>
      <c r="F201" s="982"/>
      <c r="G201" s="982"/>
      <c r="H201" s="982"/>
      <c r="I201" s="982"/>
      <c r="J201" s="982"/>
      <c r="K201" s="983"/>
      <c r="L201" s="982"/>
      <c r="M201" s="982"/>
      <c r="N201" s="982"/>
      <c r="O201" s="992">
        <f t="shared" ref="O201:AA201" si="461">O41</f>
        <v>1</v>
      </c>
      <c r="P201" s="992">
        <f t="shared" si="461"/>
        <v>1</v>
      </c>
      <c r="Q201" s="992">
        <f t="shared" si="461"/>
        <v>1</v>
      </c>
      <c r="R201" s="992">
        <f t="shared" si="461"/>
        <v>1</v>
      </c>
      <c r="S201" s="992">
        <f t="shared" si="461"/>
        <v>1</v>
      </c>
      <c r="T201" s="992">
        <f t="shared" si="461"/>
        <v>1</v>
      </c>
      <c r="U201" s="992">
        <f t="shared" si="461"/>
        <v>1</v>
      </c>
      <c r="V201" s="992">
        <f t="shared" si="461"/>
        <v>1</v>
      </c>
      <c r="W201" s="992">
        <f t="shared" si="461"/>
        <v>1</v>
      </c>
      <c r="X201" s="992">
        <f t="shared" si="461"/>
        <v>1</v>
      </c>
      <c r="Y201" s="992">
        <f t="shared" si="461"/>
        <v>1</v>
      </c>
      <c r="Z201" s="992">
        <f t="shared" si="461"/>
        <v>1</v>
      </c>
      <c r="AA201" s="992">
        <f t="shared" si="461"/>
        <v>1</v>
      </c>
      <c r="AB201" s="992">
        <f>AB41</f>
        <v>1</v>
      </c>
      <c r="AC201" s="992">
        <f t="shared" ref="AC201:AQ201" si="462">AC41</f>
        <v>1</v>
      </c>
      <c r="AD201" s="992">
        <f t="shared" si="462"/>
        <v>1</v>
      </c>
      <c r="AE201" s="992">
        <f t="shared" si="462"/>
        <v>1</v>
      </c>
      <c r="AF201" s="992">
        <f t="shared" si="462"/>
        <v>1</v>
      </c>
      <c r="AG201" s="992">
        <f t="shared" si="462"/>
        <v>1</v>
      </c>
      <c r="AH201" s="992">
        <f t="shared" si="462"/>
        <v>1</v>
      </c>
      <c r="AI201" s="992">
        <f t="shared" si="462"/>
        <v>1</v>
      </c>
      <c r="AJ201" s="992">
        <f t="shared" si="462"/>
        <v>1</v>
      </c>
      <c r="AK201" s="992">
        <f t="shared" si="462"/>
        <v>1</v>
      </c>
      <c r="AL201" s="992">
        <f t="shared" si="462"/>
        <v>1</v>
      </c>
      <c r="AM201" s="992">
        <f t="shared" si="462"/>
        <v>1</v>
      </c>
      <c r="AN201" s="992">
        <f t="shared" si="462"/>
        <v>1</v>
      </c>
      <c r="AO201" s="992">
        <f t="shared" si="462"/>
        <v>1</v>
      </c>
      <c r="AP201" s="992">
        <f t="shared" si="462"/>
        <v>1</v>
      </c>
      <c r="AQ201" s="992">
        <f t="shared" si="462"/>
        <v>1</v>
      </c>
    </row>
    <row r="202" spans="2:43" collapsed="1">
      <c r="B202" s="1025"/>
      <c r="C202" s="967"/>
      <c r="D202" s="967"/>
      <c r="E202" s="967"/>
      <c r="F202" s="967"/>
      <c r="G202" s="967"/>
      <c r="H202" s="967"/>
      <c r="I202" s="967"/>
      <c r="J202" s="967"/>
      <c r="K202" s="968"/>
      <c r="L202" s="967"/>
      <c r="M202" s="967"/>
      <c r="N202" s="967"/>
      <c r="O202" s="967"/>
      <c r="P202" s="967"/>
      <c r="Q202" s="967"/>
      <c r="R202" s="967"/>
      <c r="S202" s="967"/>
      <c r="T202" s="967"/>
      <c r="U202" s="967"/>
      <c r="V202" s="967"/>
      <c r="W202" s="967"/>
      <c r="X202" s="967"/>
      <c r="Y202" s="967"/>
      <c r="Z202" s="967"/>
      <c r="AA202" s="967"/>
      <c r="AB202" s="967"/>
      <c r="AC202" s="967"/>
      <c r="AD202" s="967"/>
      <c r="AE202" s="967"/>
      <c r="AF202" s="967"/>
      <c r="AG202" s="967"/>
      <c r="AH202" s="967"/>
      <c r="AI202" s="967"/>
      <c r="AJ202" s="967"/>
      <c r="AK202" s="967"/>
      <c r="AL202" s="967"/>
      <c r="AM202" s="967"/>
      <c r="AN202" s="967"/>
      <c r="AO202" s="967"/>
      <c r="AP202" s="967"/>
      <c r="AQ202" s="967"/>
    </row>
    <row r="203" spans="2:43">
      <c r="B203" s="1025" t="s">
        <v>595</v>
      </c>
      <c r="C203" s="967"/>
      <c r="D203" s="967"/>
      <c r="E203" s="967"/>
      <c r="F203" s="967"/>
      <c r="G203" s="967"/>
      <c r="H203" s="967"/>
      <c r="I203" s="967"/>
      <c r="J203" s="967"/>
      <c r="K203" s="968"/>
      <c r="L203" s="967"/>
      <c r="M203" s="967"/>
      <c r="N203" s="967"/>
      <c r="O203" s="967"/>
      <c r="P203" s="967"/>
      <c r="Q203" s="976">
        <f>Q193*Q197*Q$201</f>
        <v>0</v>
      </c>
      <c r="R203" s="976">
        <f t="shared" ref="R203:AE203" si="463">R193*R197*R$201</f>
        <v>0</v>
      </c>
      <c r="S203" s="976">
        <f t="shared" si="463"/>
        <v>0</v>
      </c>
      <c r="T203" s="976">
        <f t="shared" si="463"/>
        <v>0</v>
      </c>
      <c r="U203" s="976">
        <f t="shared" si="463"/>
        <v>0</v>
      </c>
      <c r="V203" s="976">
        <f t="shared" si="463"/>
        <v>0</v>
      </c>
      <c r="W203" s="976">
        <f t="shared" si="463"/>
        <v>0</v>
      </c>
      <c r="X203" s="976">
        <f t="shared" si="463"/>
        <v>0</v>
      </c>
      <c r="Y203" s="976">
        <f t="shared" si="463"/>
        <v>0</v>
      </c>
      <c r="Z203" s="976">
        <f t="shared" si="463"/>
        <v>0</v>
      </c>
      <c r="AA203" s="976">
        <f t="shared" si="463"/>
        <v>0</v>
      </c>
      <c r="AB203" s="976">
        <f t="shared" si="463"/>
        <v>0</v>
      </c>
      <c r="AC203" s="976">
        <f t="shared" si="463"/>
        <v>0</v>
      </c>
      <c r="AD203" s="976">
        <f t="shared" si="463"/>
        <v>0</v>
      </c>
      <c r="AE203" s="976">
        <f t="shared" si="463"/>
        <v>0</v>
      </c>
      <c r="AF203" s="976">
        <f t="shared" ref="AF203:AG203" si="464">AF193*AF197*AF$201</f>
        <v>0</v>
      </c>
      <c r="AG203" s="976">
        <f t="shared" si="464"/>
        <v>0</v>
      </c>
      <c r="AH203" s="976">
        <f t="shared" ref="AH203:AQ203" si="465">AH193*AH197*AH$201</f>
        <v>0</v>
      </c>
      <c r="AI203" s="976">
        <f t="shared" si="465"/>
        <v>40.955064901832834</v>
      </c>
      <c r="AJ203" s="976">
        <f t="shared" si="465"/>
        <v>215.01409073462236</v>
      </c>
      <c r="AK203" s="976">
        <f t="shared" si="465"/>
        <v>541.83550865124835</v>
      </c>
      <c r="AL203" s="976">
        <f t="shared" si="465"/>
        <v>948.21214013968472</v>
      </c>
      <c r="AM203" s="976">
        <f t="shared" si="465"/>
        <v>1294.3095712906697</v>
      </c>
      <c r="AN203" s="976">
        <f t="shared" si="465"/>
        <v>1541.9707296434037</v>
      </c>
      <c r="AO203" s="976">
        <f t="shared" si="465"/>
        <v>1728.8366739984942</v>
      </c>
      <c r="AP203" s="976">
        <f t="shared" si="465"/>
        <v>1901.7203413983439</v>
      </c>
      <c r="AQ203" s="976">
        <f t="shared" si="465"/>
        <v>2087.5702838531824</v>
      </c>
    </row>
    <row r="204" spans="2:43">
      <c r="B204" s="1025" t="s">
        <v>596</v>
      </c>
      <c r="C204" s="967"/>
      <c r="D204" s="967"/>
      <c r="E204" s="967"/>
      <c r="F204" s="967"/>
      <c r="G204" s="967"/>
      <c r="H204" s="967"/>
      <c r="I204" s="967"/>
      <c r="J204" s="967"/>
      <c r="K204" s="968"/>
      <c r="L204" s="967"/>
      <c r="M204" s="967"/>
      <c r="N204" s="967"/>
      <c r="O204" s="967"/>
      <c r="P204" s="967"/>
      <c r="Q204" s="976">
        <f t="shared" ref="Q204:AE205" si="466">Q194*Q198*Q$201</f>
        <v>0</v>
      </c>
      <c r="R204" s="976">
        <f t="shared" si="466"/>
        <v>0</v>
      </c>
      <c r="S204" s="976">
        <f t="shared" si="466"/>
        <v>0</v>
      </c>
      <c r="T204" s="976">
        <f t="shared" si="466"/>
        <v>0</v>
      </c>
      <c r="U204" s="976">
        <f t="shared" si="466"/>
        <v>0</v>
      </c>
      <c r="V204" s="976">
        <f t="shared" si="466"/>
        <v>0</v>
      </c>
      <c r="W204" s="976">
        <f t="shared" si="466"/>
        <v>0</v>
      </c>
      <c r="X204" s="976">
        <f t="shared" si="466"/>
        <v>0</v>
      </c>
      <c r="Y204" s="976">
        <f t="shared" si="466"/>
        <v>0</v>
      </c>
      <c r="Z204" s="976">
        <f t="shared" si="466"/>
        <v>0</v>
      </c>
      <c r="AA204" s="976">
        <f t="shared" si="466"/>
        <v>0</v>
      </c>
      <c r="AB204" s="976">
        <f t="shared" si="466"/>
        <v>0</v>
      </c>
      <c r="AC204" s="976">
        <f t="shared" si="466"/>
        <v>0</v>
      </c>
      <c r="AD204" s="976">
        <f t="shared" si="466"/>
        <v>0</v>
      </c>
      <c r="AE204" s="976">
        <f t="shared" si="466"/>
        <v>0</v>
      </c>
      <c r="AF204" s="976">
        <f t="shared" ref="AF204:AG204" si="467">AF194*AF198*AF$201</f>
        <v>0</v>
      </c>
      <c r="AG204" s="976">
        <f t="shared" si="467"/>
        <v>0</v>
      </c>
      <c r="AH204" s="976">
        <f t="shared" ref="AH204:AQ204" si="468">AH194*AH198*AH$201</f>
        <v>0</v>
      </c>
      <c r="AI204" s="976">
        <f t="shared" si="468"/>
        <v>0</v>
      </c>
      <c r="AJ204" s="976">
        <f t="shared" si="468"/>
        <v>0</v>
      </c>
      <c r="AK204" s="976">
        <f t="shared" si="468"/>
        <v>0</v>
      </c>
      <c r="AL204" s="976">
        <f t="shared" si="468"/>
        <v>0</v>
      </c>
      <c r="AM204" s="976">
        <f t="shared" si="468"/>
        <v>226.27789707878838</v>
      </c>
      <c r="AN204" s="976">
        <f t="shared" si="468"/>
        <v>950.36716773091132</v>
      </c>
      <c r="AO204" s="976">
        <f t="shared" si="468"/>
        <v>1746.2996707055495</v>
      </c>
      <c r="AP204" s="976">
        <f t="shared" si="468"/>
        <v>2357.5045554524918</v>
      </c>
      <c r="AQ204" s="976">
        <f t="shared" si="468"/>
        <v>2750.4219813612403</v>
      </c>
    </row>
    <row r="205" spans="2:43">
      <c r="B205" s="1025" t="s">
        <v>597</v>
      </c>
      <c r="C205" s="967"/>
      <c r="D205" s="967"/>
      <c r="E205" s="967"/>
      <c r="F205" s="967"/>
      <c r="G205" s="967"/>
      <c r="H205" s="967"/>
      <c r="I205" s="967"/>
      <c r="J205" s="967"/>
      <c r="K205" s="968"/>
      <c r="L205" s="967"/>
      <c r="M205" s="967"/>
      <c r="N205" s="967"/>
      <c r="O205" s="967"/>
      <c r="P205" s="967"/>
      <c r="Q205" s="976">
        <f t="shared" si="466"/>
        <v>0</v>
      </c>
      <c r="R205" s="976">
        <f t="shared" si="466"/>
        <v>0</v>
      </c>
      <c r="S205" s="976">
        <f t="shared" si="466"/>
        <v>0</v>
      </c>
      <c r="T205" s="976">
        <f t="shared" si="466"/>
        <v>0</v>
      </c>
      <c r="U205" s="976">
        <f t="shared" si="466"/>
        <v>0</v>
      </c>
      <c r="V205" s="976">
        <f t="shared" si="466"/>
        <v>0</v>
      </c>
      <c r="W205" s="976">
        <f t="shared" si="466"/>
        <v>0</v>
      </c>
      <c r="X205" s="976">
        <f t="shared" si="466"/>
        <v>0</v>
      </c>
      <c r="Y205" s="976">
        <f t="shared" si="466"/>
        <v>0</v>
      </c>
      <c r="Z205" s="976">
        <f t="shared" si="466"/>
        <v>0</v>
      </c>
      <c r="AA205" s="976">
        <f t="shared" si="466"/>
        <v>0</v>
      </c>
      <c r="AB205" s="976">
        <f t="shared" si="466"/>
        <v>0</v>
      </c>
      <c r="AC205" s="976">
        <f t="shared" si="466"/>
        <v>0</v>
      </c>
      <c r="AD205" s="976">
        <f t="shared" si="466"/>
        <v>0</v>
      </c>
      <c r="AE205" s="976">
        <f t="shared" si="466"/>
        <v>0</v>
      </c>
      <c r="AF205" s="976">
        <f t="shared" ref="AF205:AG205" si="469">AF195*AF199*AF$201</f>
        <v>0</v>
      </c>
      <c r="AG205" s="976">
        <f t="shared" si="469"/>
        <v>0</v>
      </c>
      <c r="AH205" s="976">
        <f t="shared" ref="AH205:AQ205" si="470">AH195*AH199*AH$201</f>
        <v>0</v>
      </c>
      <c r="AI205" s="976">
        <f t="shared" si="470"/>
        <v>0</v>
      </c>
      <c r="AJ205" s="976">
        <f t="shared" si="470"/>
        <v>0</v>
      </c>
      <c r="AK205" s="976">
        <f t="shared" si="470"/>
        <v>0</v>
      </c>
      <c r="AL205" s="976">
        <f t="shared" si="470"/>
        <v>0</v>
      </c>
      <c r="AM205" s="976">
        <f t="shared" si="470"/>
        <v>0</v>
      </c>
      <c r="AN205" s="976">
        <f t="shared" si="470"/>
        <v>0</v>
      </c>
      <c r="AO205" s="976">
        <f t="shared" si="470"/>
        <v>0</v>
      </c>
      <c r="AP205" s="976">
        <f t="shared" si="470"/>
        <v>0</v>
      </c>
      <c r="AQ205" s="976">
        <f t="shared" si="470"/>
        <v>0</v>
      </c>
    </row>
    <row r="206" spans="2:43">
      <c r="B206" s="1025" t="s">
        <v>601</v>
      </c>
      <c r="C206" s="967"/>
      <c r="D206" s="967"/>
      <c r="E206" s="967"/>
      <c r="F206" s="967"/>
      <c r="G206" s="967"/>
      <c r="H206" s="967"/>
      <c r="I206" s="967"/>
      <c r="J206" s="967"/>
      <c r="K206" s="968"/>
      <c r="L206" s="967"/>
      <c r="M206" s="967"/>
      <c r="N206" s="967"/>
      <c r="O206" s="967"/>
      <c r="P206" s="967"/>
      <c r="Q206" s="976">
        <f>Q14*Q23*Q41*Q50</f>
        <v>0</v>
      </c>
      <c r="R206" s="976">
        <f t="shared" ref="R206:AE206" si="471">R14*R23*R41*R50</f>
        <v>0</v>
      </c>
      <c r="S206" s="976">
        <f t="shared" si="471"/>
        <v>0</v>
      </c>
      <c r="T206" s="976">
        <f t="shared" si="471"/>
        <v>0</v>
      </c>
      <c r="U206" s="976">
        <f t="shared" si="471"/>
        <v>0</v>
      </c>
      <c r="V206" s="976">
        <f t="shared" si="471"/>
        <v>0</v>
      </c>
      <c r="W206" s="976">
        <f t="shared" si="471"/>
        <v>0</v>
      </c>
      <c r="X206" s="976">
        <f t="shared" si="471"/>
        <v>0</v>
      </c>
      <c r="Y206" s="976">
        <f t="shared" si="471"/>
        <v>0</v>
      </c>
      <c r="Z206" s="976">
        <f t="shared" si="471"/>
        <v>0</v>
      </c>
      <c r="AA206" s="976">
        <f t="shared" si="471"/>
        <v>41</v>
      </c>
      <c r="AB206" s="976">
        <f t="shared" si="471"/>
        <v>170.56</v>
      </c>
      <c r="AC206" s="976">
        <f t="shared" si="471"/>
        <v>313.40400000000005</v>
      </c>
      <c r="AD206" s="976">
        <f t="shared" si="471"/>
        <v>338.47632000000004</v>
      </c>
      <c r="AE206" s="976">
        <f t="shared" si="471"/>
        <v>394.88904000000008</v>
      </c>
      <c r="AF206" s="976">
        <f t="shared" ref="AF206:AG206" si="472">AF14*AF23*AF41*AF50</f>
        <v>435.36516660000007</v>
      </c>
      <c r="AG206" s="976">
        <f t="shared" si="472"/>
        <v>478.90168326000014</v>
      </c>
      <c r="AH206" s="976">
        <f t="shared" ref="AH206:AQ206" si="473">AH14*AH23*AH41*AH50</f>
        <v>525.7034386695002</v>
      </c>
      <c r="AI206" s="976">
        <f t="shared" si="473"/>
        <v>575.98811541180021</v>
      </c>
      <c r="AJ206" s="976">
        <f t="shared" si="473"/>
        <v>629.98700123165645</v>
      </c>
      <c r="AK206" s="976">
        <f t="shared" si="473"/>
        <v>687.94580534496902</v>
      </c>
      <c r="AL206" s="976">
        <f t="shared" si="473"/>
        <v>750.12552236653346</v>
      </c>
      <c r="AM206" s="976">
        <f t="shared" si="473"/>
        <v>816.80334657689207</v>
      </c>
      <c r="AN206" s="976">
        <f t="shared" si="473"/>
        <v>888.27363940237035</v>
      </c>
      <c r="AO206" s="976">
        <f t="shared" si="473"/>
        <v>964.84895314395385</v>
      </c>
      <c r="AP206" s="976">
        <f t="shared" si="473"/>
        <v>1046.86111416119</v>
      </c>
      <c r="AQ206" s="976">
        <f t="shared" si="473"/>
        <v>1134.66236889729</v>
      </c>
    </row>
    <row r="207" spans="2:43" s="961" customFormat="1" ht="12">
      <c r="B207" s="978" t="s">
        <v>608</v>
      </c>
      <c r="C207" s="978"/>
      <c r="D207" s="978"/>
      <c r="E207" s="978"/>
      <c r="F207" s="978"/>
      <c r="G207" s="978"/>
      <c r="H207" s="978"/>
      <c r="I207" s="978"/>
      <c r="J207" s="978"/>
      <c r="K207" s="979"/>
      <c r="L207" s="978"/>
      <c r="M207" s="978"/>
      <c r="N207" s="978"/>
      <c r="O207" s="978"/>
      <c r="P207" s="978"/>
      <c r="Q207" s="980">
        <f>SUM(Q203:Q206)</f>
        <v>0</v>
      </c>
      <c r="R207" s="980">
        <f t="shared" ref="R207:AE207" si="474">SUM(R203:R206)</f>
        <v>0</v>
      </c>
      <c r="S207" s="980">
        <f t="shared" si="474"/>
        <v>0</v>
      </c>
      <c r="T207" s="980">
        <f t="shared" si="474"/>
        <v>0</v>
      </c>
      <c r="U207" s="980">
        <f t="shared" si="474"/>
        <v>0</v>
      </c>
      <c r="V207" s="980">
        <f t="shared" si="474"/>
        <v>0</v>
      </c>
      <c r="W207" s="980">
        <f t="shared" si="474"/>
        <v>0</v>
      </c>
      <c r="X207" s="980">
        <f t="shared" si="474"/>
        <v>0</v>
      </c>
      <c r="Y207" s="980">
        <f t="shared" si="474"/>
        <v>0</v>
      </c>
      <c r="Z207" s="980">
        <f t="shared" si="474"/>
        <v>0</v>
      </c>
      <c r="AA207" s="980">
        <f t="shared" si="474"/>
        <v>41</v>
      </c>
      <c r="AB207" s="980">
        <f t="shared" si="474"/>
        <v>170.56</v>
      </c>
      <c r="AC207" s="980">
        <f t="shared" si="474"/>
        <v>313.40400000000005</v>
      </c>
      <c r="AD207" s="980">
        <f t="shared" si="474"/>
        <v>338.47632000000004</v>
      </c>
      <c r="AE207" s="980">
        <f t="shared" si="474"/>
        <v>394.88904000000008</v>
      </c>
      <c r="AF207" s="980">
        <f t="shared" ref="AF207:AG207" si="475">SUM(AF203:AF206)</f>
        <v>435.36516660000007</v>
      </c>
      <c r="AG207" s="980">
        <f t="shared" si="475"/>
        <v>478.90168326000014</v>
      </c>
      <c r="AH207" s="980">
        <f t="shared" ref="AH207:AQ207" si="476">SUM(AH203:AH206)</f>
        <v>525.7034386695002</v>
      </c>
      <c r="AI207" s="980">
        <f t="shared" si="476"/>
        <v>616.94318031363309</v>
      </c>
      <c r="AJ207" s="980">
        <f t="shared" si="476"/>
        <v>845.00109196627886</v>
      </c>
      <c r="AK207" s="980">
        <f t="shared" si="476"/>
        <v>1229.7813139962172</v>
      </c>
      <c r="AL207" s="980">
        <f t="shared" si="476"/>
        <v>1698.3376625062183</v>
      </c>
      <c r="AM207" s="980">
        <f t="shared" si="476"/>
        <v>2337.39081494635</v>
      </c>
      <c r="AN207" s="980">
        <f t="shared" si="476"/>
        <v>3380.6115367766856</v>
      </c>
      <c r="AO207" s="980">
        <f t="shared" si="476"/>
        <v>4439.9852978479976</v>
      </c>
      <c r="AP207" s="980">
        <f t="shared" si="476"/>
        <v>5306.0860110120257</v>
      </c>
      <c r="AQ207" s="980">
        <f t="shared" si="476"/>
        <v>5972.6546341117137</v>
      </c>
    </row>
    <row r="208" spans="2:43" s="981" customFormat="1">
      <c r="B208" s="1026" t="s">
        <v>600</v>
      </c>
      <c r="C208" s="982"/>
      <c r="D208" s="982"/>
      <c r="E208" s="982"/>
      <c r="F208" s="982"/>
      <c r="G208" s="982"/>
      <c r="H208" s="982"/>
      <c r="I208" s="982"/>
      <c r="J208" s="982"/>
      <c r="K208" s="983"/>
      <c r="L208" s="982"/>
      <c r="M208" s="982"/>
      <c r="N208" s="982"/>
      <c r="O208" s="982"/>
      <c r="P208" s="982"/>
      <c r="Q208" s="982"/>
      <c r="R208" s="987">
        <v>2.5000000000000001E-2</v>
      </c>
      <c r="S208" s="987">
        <v>2.5000000000000001E-2</v>
      </c>
      <c r="T208" s="987">
        <v>2.5000000000000001E-2</v>
      </c>
      <c r="U208" s="987">
        <v>2.5000000000000001E-2</v>
      </c>
      <c r="V208" s="987">
        <v>2.5000000000000001E-2</v>
      </c>
      <c r="W208" s="987">
        <v>2.5000000000000001E-2</v>
      </c>
      <c r="X208" s="987">
        <v>0.03</v>
      </c>
      <c r="Y208" s="987">
        <v>0.1</v>
      </c>
      <c r="Z208" s="987">
        <v>0.1</v>
      </c>
      <c r="AA208" s="987">
        <v>0.05</v>
      </c>
      <c r="AB208" s="987">
        <v>0.05</v>
      </c>
      <c r="AC208" s="987">
        <v>0.05</v>
      </c>
      <c r="AD208" s="987">
        <v>0.05</v>
      </c>
      <c r="AE208" s="987">
        <v>0.05</v>
      </c>
      <c r="AF208" s="987">
        <v>0.05</v>
      </c>
      <c r="AG208" s="987">
        <v>0.05</v>
      </c>
      <c r="AH208" s="987">
        <v>0.05</v>
      </c>
      <c r="AI208" s="987">
        <v>0.05</v>
      </c>
      <c r="AJ208" s="987">
        <v>0.05</v>
      </c>
      <c r="AK208" s="987">
        <v>0.05</v>
      </c>
      <c r="AL208" s="987">
        <v>0.05</v>
      </c>
      <c r="AM208" s="987">
        <v>0.05</v>
      </c>
      <c r="AN208" s="987">
        <v>0.05</v>
      </c>
      <c r="AO208" s="987">
        <v>0.05</v>
      </c>
      <c r="AP208" s="987">
        <v>0.05</v>
      </c>
      <c r="AQ208" s="987">
        <v>0.05</v>
      </c>
    </row>
    <row r="209" spans="2:43" s="981" customFormat="1">
      <c r="B209" s="1026"/>
      <c r="C209" s="982"/>
      <c r="D209" s="982"/>
      <c r="E209" s="982"/>
      <c r="F209" s="982"/>
      <c r="G209" s="982"/>
      <c r="H209" s="982"/>
      <c r="I209" s="982"/>
      <c r="J209" s="982"/>
      <c r="K209" s="983"/>
      <c r="L209" s="982"/>
      <c r="M209" s="982"/>
      <c r="N209" s="982"/>
      <c r="O209" s="982"/>
      <c r="P209" s="982"/>
      <c r="Q209" s="982"/>
      <c r="R209" s="987"/>
      <c r="S209" s="987"/>
      <c r="T209" s="987"/>
      <c r="U209" s="987"/>
      <c r="V209" s="987"/>
      <c r="W209" s="987"/>
      <c r="X209" s="987"/>
      <c r="Y209" s="987"/>
      <c r="Z209" s="987"/>
      <c r="AA209" s="987"/>
      <c r="AB209" s="987"/>
      <c r="AC209" s="987"/>
      <c r="AD209" s="987"/>
      <c r="AE209" s="987"/>
      <c r="AF209" s="987"/>
      <c r="AG209" s="987"/>
      <c r="AH209" s="987"/>
      <c r="AI209" s="987"/>
      <c r="AJ209" s="987"/>
      <c r="AK209" s="987"/>
      <c r="AL209" s="987"/>
      <c r="AM209" s="987"/>
      <c r="AN209" s="987"/>
      <c r="AO209" s="987"/>
      <c r="AP209" s="987"/>
      <c r="AQ209" s="987"/>
    </row>
    <row r="210" spans="2:43" s="961" customFormat="1" ht="12">
      <c r="B210" s="978" t="s">
        <v>609</v>
      </c>
      <c r="C210" s="978"/>
      <c r="D210" s="978"/>
      <c r="E210" s="978"/>
      <c r="F210" s="978"/>
      <c r="G210" s="978"/>
      <c r="H210" s="978"/>
      <c r="I210" s="978"/>
      <c r="J210" s="978"/>
      <c r="K210" s="979"/>
      <c r="L210" s="978"/>
      <c r="M210" s="978"/>
      <c r="N210" s="978"/>
      <c r="O210" s="978"/>
      <c r="P210" s="978"/>
      <c r="Q210" s="980">
        <f t="shared" ref="Q210:AE210" si="477">SUM(Q193:Q195,Q175:Q177,Q157:Q159,Q139:Q141,Q121:Q123,Q103:Q105,Q85:Q87)</f>
        <v>1044.846</v>
      </c>
      <c r="R210" s="980">
        <f t="shared" si="477"/>
        <v>1286.28</v>
      </c>
      <c r="S210" s="980">
        <f t="shared" si="477"/>
        <v>1472.1039999999998</v>
      </c>
      <c r="T210" s="980">
        <f t="shared" si="477"/>
        <v>1579.652</v>
      </c>
      <c r="U210" s="980">
        <f t="shared" si="477"/>
        <v>1676.5420000000001</v>
      </c>
      <c r="V210" s="980">
        <f t="shared" si="477"/>
        <v>1861.7159999999999</v>
      </c>
      <c r="W210" s="980">
        <f t="shared" si="477"/>
        <v>2453.6990000000001</v>
      </c>
      <c r="X210" s="980">
        <f t="shared" si="477"/>
        <v>2734.1350000000002</v>
      </c>
      <c r="Y210" s="980">
        <f t="shared" si="477"/>
        <v>2974.5149999999999</v>
      </c>
      <c r="Z210" s="980">
        <f t="shared" si="477"/>
        <v>3157.598</v>
      </c>
      <c r="AA210" s="980">
        <f>SUM(AA193:AA195,AA175:AA177,AA157:AA159,AA139:AA141,AA121:AA123,AA103:AA105,AA85:AA87)</f>
        <v>3822.4240000000004</v>
      </c>
      <c r="AB210" s="980">
        <f t="shared" si="477"/>
        <v>4204.3964999999998</v>
      </c>
      <c r="AC210" s="980">
        <f t="shared" si="477"/>
        <v>4603.83</v>
      </c>
      <c r="AD210" s="980">
        <f t="shared" si="477"/>
        <v>4677.5960000000005</v>
      </c>
      <c r="AE210" s="980">
        <f t="shared" si="477"/>
        <v>4455.5880000000006</v>
      </c>
      <c r="AF210" s="980">
        <f t="shared" ref="AF210:AG210" si="478">SUM(AF193:AF195,AF175:AF177,AF157:AF159,AF139:AF141,AF121:AF123,AF103:AF105,AF85:AF87)</f>
        <v>4336.9980000000005</v>
      </c>
      <c r="AG210" s="980">
        <f t="shared" si="478"/>
        <v>4803.8250000000007</v>
      </c>
      <c r="AH210" s="980">
        <f t="shared" ref="AH210:AQ210" si="479">SUM(AH193:AH195,AH175:AH177,AH157:AH159,AH139:AH141,AH121:AH123,AH103:AH105,AH85:AH87)</f>
        <v>5288.4870000000001</v>
      </c>
      <c r="AI210" s="980">
        <f t="shared" si="479"/>
        <v>5423.5050000000001</v>
      </c>
      <c r="AJ210" s="980">
        <f t="shared" si="479"/>
        <v>5443.0823999999993</v>
      </c>
      <c r="AK210" s="980">
        <f t="shared" si="479"/>
        <v>5411.0738400000009</v>
      </c>
      <c r="AL210" s="980">
        <f t="shared" si="479"/>
        <v>5827.2592799999993</v>
      </c>
      <c r="AM210" s="980">
        <f t="shared" si="479"/>
        <v>6368.3263200000001</v>
      </c>
      <c r="AN210" s="980">
        <f t="shared" si="479"/>
        <v>6877.2203199999994</v>
      </c>
      <c r="AO210" s="980">
        <f t="shared" si="479"/>
        <v>6942.1523200000001</v>
      </c>
      <c r="AP210" s="980">
        <f t="shared" si="479"/>
        <v>6821.6092799999988</v>
      </c>
      <c r="AQ210" s="980">
        <f t="shared" si="479"/>
        <v>6554.8712800000003</v>
      </c>
    </row>
    <row r="211" spans="2:43" s="981" customFormat="1">
      <c r="B211" s="1026"/>
      <c r="C211" s="982"/>
      <c r="D211" s="982"/>
      <c r="E211" s="982"/>
      <c r="F211" s="982"/>
      <c r="G211" s="982"/>
      <c r="H211" s="982"/>
      <c r="I211" s="982"/>
      <c r="J211" s="982"/>
      <c r="K211" s="983"/>
      <c r="L211" s="982"/>
      <c r="M211" s="982"/>
      <c r="N211" s="982"/>
      <c r="O211" s="982"/>
      <c r="P211" s="982"/>
      <c r="Q211" s="982"/>
      <c r="R211" s="987"/>
      <c r="S211" s="987"/>
      <c r="T211" s="987"/>
      <c r="U211" s="987"/>
      <c r="V211" s="987"/>
      <c r="W211" s="987"/>
      <c r="X211" s="987"/>
      <c r="Y211" s="987"/>
      <c r="Z211" s="987">
        <f>Z210/Y210-1</f>
        <v>6.1550538491148998E-2</v>
      </c>
      <c r="AA211" s="987">
        <f t="shared" ref="AA211:AG211" si="480">AA210/Z210-1</f>
        <v>0.21054801782874222</v>
      </c>
      <c r="AB211" s="987">
        <f t="shared" si="480"/>
        <v>9.992939035543924E-2</v>
      </c>
      <c r="AC211" s="987">
        <f t="shared" si="480"/>
        <v>9.500376570097524E-2</v>
      </c>
      <c r="AD211" s="987">
        <f t="shared" si="480"/>
        <v>1.6022746278641975E-2</v>
      </c>
      <c r="AE211" s="987">
        <f t="shared" si="480"/>
        <v>-4.7461986883860829E-2</v>
      </c>
      <c r="AF211" s="987">
        <f t="shared" si="480"/>
        <v>-2.6616015663925907E-2</v>
      </c>
      <c r="AG211" s="987">
        <f t="shared" si="480"/>
        <v>0.10763827882788979</v>
      </c>
      <c r="AH211" s="987"/>
      <c r="AI211" s="987"/>
      <c r="AJ211" s="987"/>
      <c r="AK211" s="987"/>
      <c r="AL211" s="987"/>
      <c r="AM211" s="987"/>
      <c r="AN211" s="987"/>
      <c r="AO211" s="987"/>
      <c r="AP211" s="987"/>
      <c r="AQ211" s="987"/>
    </row>
    <row r="212" spans="2:43">
      <c r="B212" s="1025"/>
      <c r="C212" s="967"/>
      <c r="D212" s="967"/>
      <c r="E212" s="967"/>
      <c r="F212" s="967"/>
      <c r="G212" s="967"/>
      <c r="H212" s="967"/>
      <c r="I212" s="967"/>
      <c r="J212" s="967"/>
      <c r="K212" s="968"/>
      <c r="L212" s="967"/>
      <c r="M212" s="967"/>
      <c r="N212" s="967"/>
      <c r="O212" s="967"/>
      <c r="P212" s="967"/>
      <c r="Q212" s="967"/>
      <c r="R212" s="993"/>
      <c r="S212" s="993"/>
      <c r="T212" s="993"/>
      <c r="U212" s="993"/>
      <c r="V212" s="993"/>
      <c r="W212" s="993"/>
      <c r="X212" s="993"/>
      <c r="Y212" s="993"/>
      <c r="Z212" s="993"/>
      <c r="AA212" s="993"/>
      <c r="AB212" s="993"/>
      <c r="AC212" s="993"/>
      <c r="AD212" s="993"/>
      <c r="AE212" s="993"/>
      <c r="AF212" s="993"/>
      <c r="AG212" s="993"/>
      <c r="AH212" s="993"/>
      <c r="AI212" s="993"/>
      <c r="AJ212" s="993"/>
      <c r="AK212" s="993"/>
      <c r="AL212" s="993"/>
      <c r="AM212" s="993"/>
      <c r="AN212" s="993"/>
      <c r="AO212" s="993"/>
      <c r="AP212" s="993"/>
      <c r="AQ212" s="993"/>
    </row>
    <row r="213" spans="2:43" ht="12">
      <c r="B213" s="1024" t="s">
        <v>610</v>
      </c>
      <c r="C213" s="1015"/>
      <c r="D213" s="1015"/>
      <c r="E213" s="1015"/>
      <c r="F213" s="1015"/>
      <c r="G213" s="1015"/>
      <c r="H213" s="1015"/>
      <c r="I213" s="1015"/>
      <c r="J213" s="1015"/>
      <c r="K213" s="1016"/>
      <c r="L213" s="1015"/>
      <c r="M213" s="1015"/>
      <c r="N213" s="1015"/>
      <c r="O213" s="1015"/>
      <c r="P213" s="1015"/>
      <c r="Q213" s="1015"/>
      <c r="R213" s="1018"/>
      <c r="S213" s="1018"/>
      <c r="T213" s="1018"/>
      <c r="U213" s="1018"/>
      <c r="V213" s="1018"/>
      <c r="W213" s="1018"/>
      <c r="X213" s="1018"/>
      <c r="Y213" s="1018"/>
      <c r="Z213" s="1018"/>
      <c r="AA213" s="1018"/>
      <c r="AB213" s="1018"/>
      <c r="AC213" s="1018"/>
      <c r="AD213" s="1018"/>
      <c r="AE213" s="1018"/>
      <c r="AF213" s="1018"/>
      <c r="AG213" s="1018"/>
      <c r="AH213" s="1018"/>
      <c r="AI213" s="1018"/>
      <c r="AJ213" s="1018"/>
      <c r="AK213" s="1018"/>
      <c r="AL213" s="1018"/>
      <c r="AM213" s="1018"/>
      <c r="AN213" s="1018"/>
      <c r="AO213" s="1018"/>
      <c r="AP213" s="1018"/>
      <c r="AQ213" s="1018"/>
    </row>
    <row r="214" spans="2:43">
      <c r="B214" s="1025" t="s">
        <v>570</v>
      </c>
      <c r="C214" s="967"/>
      <c r="D214" s="967"/>
      <c r="E214" s="967"/>
      <c r="F214" s="967"/>
      <c r="G214" s="967"/>
      <c r="H214" s="967"/>
      <c r="I214" s="967"/>
      <c r="J214" s="967"/>
      <c r="K214" s="968"/>
      <c r="L214" s="967"/>
      <c r="M214" s="967"/>
      <c r="N214" s="967"/>
      <c r="O214" s="967"/>
      <c r="P214" s="967"/>
      <c r="Q214" s="994">
        <f t="shared" ref="Q214:AE214" si="481">Q99</f>
        <v>2459.7661658052775</v>
      </c>
      <c r="R214" s="994">
        <f t="shared" si="481"/>
        <v>2855.576370628547</v>
      </c>
      <c r="S214" s="994">
        <f t="shared" si="481"/>
        <v>3254.9179842985286</v>
      </c>
      <c r="T214" s="994">
        <f t="shared" si="481"/>
        <v>3320.1027323033959</v>
      </c>
      <c r="U214" s="994">
        <f t="shared" si="481"/>
        <v>3354.421542316662</v>
      </c>
      <c r="V214" s="994">
        <f t="shared" si="481"/>
        <v>3294.8049333511103</v>
      </c>
      <c r="W214" s="994">
        <f t="shared" si="481"/>
        <v>4236.8508184306211</v>
      </c>
      <c r="X214" s="994">
        <f t="shared" si="481"/>
        <v>4653.5198767006796</v>
      </c>
      <c r="Y214" s="994">
        <f t="shared" si="481"/>
        <v>5406.1482142857139</v>
      </c>
      <c r="Z214" s="994">
        <f t="shared" si="481"/>
        <v>6272.0759999999991</v>
      </c>
      <c r="AA214" s="994">
        <f>AA99</f>
        <v>7116.0514125000009</v>
      </c>
      <c r="AB214" s="994">
        <f t="shared" si="481"/>
        <v>7529.8289731875011</v>
      </c>
      <c r="AC214" s="994">
        <f t="shared" si="481"/>
        <v>8945.6644005149992</v>
      </c>
      <c r="AD214" s="994">
        <f t="shared" si="481"/>
        <v>8929.1787284492257</v>
      </c>
      <c r="AE214" s="994">
        <f t="shared" si="481"/>
        <v>8699.4669043568756</v>
      </c>
      <c r="AF214" s="994">
        <f t="shared" ref="AF214:AG214" si="482">AF99</f>
        <v>8346.7271816363536</v>
      </c>
      <c r="AG214" s="994">
        <f t="shared" si="482"/>
        <v>8060.4323333195534</v>
      </c>
      <c r="AH214" s="994">
        <f t="shared" ref="AH214:AQ214" si="483">AH99</f>
        <v>7204.5467133918592</v>
      </c>
      <c r="AI214" s="994">
        <f t="shared" si="483"/>
        <v>6299.969312687349</v>
      </c>
      <c r="AJ214" s="994">
        <f t="shared" si="483"/>
        <v>5698.0331033069451</v>
      </c>
      <c r="AK214" s="994">
        <f t="shared" si="483"/>
        <v>5771.31278866919</v>
      </c>
      <c r="AL214" s="994">
        <f t="shared" si="483"/>
        <v>5790.6383004755107</v>
      </c>
      <c r="AM214" s="994">
        <f t="shared" si="483"/>
        <v>5328.075858986118</v>
      </c>
      <c r="AN214" s="994">
        <f t="shared" si="483"/>
        <v>3907.6309856566381</v>
      </c>
      <c r="AO214" s="994">
        <f t="shared" si="483"/>
        <v>2363.6209804205928</v>
      </c>
      <c r="AP214" s="994">
        <f t="shared" si="483"/>
        <v>1138.9028848709254</v>
      </c>
      <c r="AQ214" s="994">
        <f t="shared" si="483"/>
        <v>718.94959822665237</v>
      </c>
    </row>
    <row r="215" spans="2:43">
      <c r="B215" s="1025" t="s">
        <v>571</v>
      </c>
      <c r="C215" s="967"/>
      <c r="D215" s="967"/>
      <c r="E215" s="967"/>
      <c r="F215" s="967"/>
      <c r="G215" s="967"/>
      <c r="H215" s="967"/>
      <c r="I215" s="967"/>
      <c r="J215" s="967"/>
      <c r="K215" s="968"/>
      <c r="L215" s="967"/>
      <c r="M215" s="967"/>
      <c r="N215" s="967"/>
      <c r="O215" s="967"/>
      <c r="P215" s="967"/>
      <c r="Q215" s="994">
        <f t="shared" ref="Q215:AE215" si="484">Q117</f>
        <v>0</v>
      </c>
      <c r="R215" s="994">
        <f t="shared" si="484"/>
        <v>0</v>
      </c>
      <c r="S215" s="994">
        <f t="shared" si="484"/>
        <v>45.168479441583223</v>
      </c>
      <c r="T215" s="994">
        <f t="shared" si="484"/>
        <v>275.98234240621906</v>
      </c>
      <c r="U215" s="994">
        <f t="shared" si="484"/>
        <v>689.02388949979661</v>
      </c>
      <c r="V215" s="994">
        <f t="shared" si="484"/>
        <v>1096.6449990840233</v>
      </c>
      <c r="W215" s="994">
        <f t="shared" si="484"/>
        <v>527.7130277130276</v>
      </c>
      <c r="X215" s="994">
        <f t="shared" si="484"/>
        <v>569.02356902356905</v>
      </c>
      <c r="Y215" s="994">
        <f t="shared" si="484"/>
        <v>1051.851851851852</v>
      </c>
      <c r="Z215" s="994">
        <f t="shared" si="484"/>
        <v>1884</v>
      </c>
      <c r="AA215" s="994">
        <f t="shared" si="484"/>
        <v>2568.1347500000002</v>
      </c>
      <c r="AB215" s="994">
        <f t="shared" si="484"/>
        <v>3905.18323375</v>
      </c>
      <c r="AC215" s="994">
        <f t="shared" si="484"/>
        <v>4910.6187041187495</v>
      </c>
      <c r="AD215" s="994">
        <f t="shared" si="484"/>
        <v>5705.1199645085799</v>
      </c>
      <c r="AE215" s="994">
        <f t="shared" si="484"/>
        <v>6266.2792215146601</v>
      </c>
      <c r="AF215" s="994">
        <f t="shared" ref="AF215:AG215" si="485">AF117</f>
        <v>7526.1257741921272</v>
      </c>
      <c r="AG215" s="994">
        <f t="shared" si="485"/>
        <v>10637.373162580341</v>
      </c>
      <c r="AH215" s="994">
        <f t="shared" ref="AH215:AQ215" si="486">AH117</f>
        <v>14858.379149144828</v>
      </c>
      <c r="AI215" s="994">
        <f t="shared" si="486"/>
        <v>16781.719646258513</v>
      </c>
      <c r="AJ215" s="994">
        <f t="shared" si="486"/>
        <v>17600.945176380483</v>
      </c>
      <c r="AK215" s="994">
        <f t="shared" si="486"/>
        <v>17799.48085417214</v>
      </c>
      <c r="AL215" s="994">
        <f t="shared" si="486"/>
        <v>21273.720635033078</v>
      </c>
      <c r="AM215" s="994">
        <f t="shared" si="486"/>
        <v>25951.672223256253</v>
      </c>
      <c r="AN215" s="994">
        <f t="shared" si="486"/>
        <v>31596.984071995896</v>
      </c>
      <c r="AO215" s="994">
        <f t="shared" si="486"/>
        <v>34332.161311082447</v>
      </c>
      <c r="AP215" s="994">
        <f t="shared" si="486"/>
        <v>35964.100115591973</v>
      </c>
      <c r="AQ215" s="994">
        <f t="shared" si="486"/>
        <v>36649.317358274617</v>
      </c>
    </row>
    <row r="216" spans="2:43">
      <c r="B216" s="1025" t="s">
        <v>573</v>
      </c>
      <c r="C216" s="967"/>
      <c r="D216" s="967"/>
      <c r="E216" s="967"/>
      <c r="F216" s="967"/>
      <c r="G216" s="967"/>
      <c r="H216" s="967"/>
      <c r="I216" s="967"/>
      <c r="J216" s="967"/>
      <c r="K216" s="968"/>
      <c r="L216" s="967"/>
      <c r="M216" s="967"/>
      <c r="N216" s="967"/>
      <c r="O216" s="967"/>
      <c r="P216" s="967"/>
      <c r="Q216" s="994">
        <f t="shared" ref="Q216:AE216" si="487">Q135</f>
        <v>696.15585381692949</v>
      </c>
      <c r="R216" s="994">
        <f t="shared" si="487"/>
        <v>848.43969407618147</v>
      </c>
      <c r="S216" s="994">
        <f t="shared" si="487"/>
        <v>907.64754364742726</v>
      </c>
      <c r="T216" s="994">
        <f t="shared" si="487"/>
        <v>912.87492197849633</v>
      </c>
      <c r="U216" s="994">
        <f t="shared" si="487"/>
        <v>812.99900996480596</v>
      </c>
      <c r="V216" s="994">
        <f t="shared" si="487"/>
        <v>936.04033826208558</v>
      </c>
      <c r="W216" s="994">
        <f t="shared" si="487"/>
        <v>1133.2653564763436</v>
      </c>
      <c r="X216" s="994">
        <f t="shared" si="487"/>
        <v>1337.2203796203796</v>
      </c>
      <c r="Y216" s="994">
        <f t="shared" si="487"/>
        <v>1606.2073846153844</v>
      </c>
      <c r="Z216" s="994">
        <f t="shared" si="487"/>
        <v>1981.5024000000001</v>
      </c>
      <c r="AA216" s="994">
        <f t="shared" si="487"/>
        <v>2063.8447520000004</v>
      </c>
      <c r="AB216" s="994">
        <f t="shared" si="487"/>
        <v>2212.0033928000007</v>
      </c>
      <c r="AC216" s="994">
        <f t="shared" si="487"/>
        <v>2222.8578328800004</v>
      </c>
      <c r="AD216" s="994">
        <f t="shared" si="487"/>
        <v>2310.7536486112008</v>
      </c>
      <c r="AE216" s="994">
        <f t="shared" si="487"/>
        <v>2348.867690750465</v>
      </c>
      <c r="AF216" s="994">
        <f t="shared" ref="AF216:AG216" si="488">AF135</f>
        <v>2333.3827943986566</v>
      </c>
      <c r="AG216" s="994">
        <f t="shared" si="488"/>
        <v>2161.358225476371</v>
      </c>
      <c r="AH216" s="994">
        <f t="shared" ref="AH216:AQ216" si="489">AH135</f>
        <v>2085.2004057268073</v>
      </c>
      <c r="AI216" s="994">
        <f t="shared" si="489"/>
        <v>2143.2205014933352</v>
      </c>
      <c r="AJ216" s="994">
        <f t="shared" si="489"/>
        <v>2372.1659277720591</v>
      </c>
      <c r="AK216" s="994">
        <f t="shared" si="489"/>
        <v>2486.5259310954043</v>
      </c>
      <c r="AL216" s="994">
        <f t="shared" si="489"/>
        <v>2462.7567313952868</v>
      </c>
      <c r="AM216" s="994">
        <f t="shared" si="489"/>
        <v>2206.0430021944194</v>
      </c>
      <c r="AN216" s="994">
        <f t="shared" si="489"/>
        <v>1846.1910194797761</v>
      </c>
      <c r="AO216" s="994">
        <f t="shared" si="489"/>
        <v>1528.4927247051528</v>
      </c>
      <c r="AP216" s="994">
        <f t="shared" si="489"/>
        <v>1382.6146183777187</v>
      </c>
      <c r="AQ216" s="994">
        <f t="shared" si="489"/>
        <v>1332.1898499427664</v>
      </c>
    </row>
    <row r="217" spans="2:43">
      <c r="B217" s="1025" t="s">
        <v>574</v>
      </c>
      <c r="C217" s="967"/>
      <c r="D217" s="967"/>
      <c r="E217" s="967"/>
      <c r="F217" s="967"/>
      <c r="G217" s="967"/>
      <c r="H217" s="967"/>
      <c r="I217" s="967"/>
      <c r="J217" s="967"/>
      <c r="K217" s="968"/>
      <c r="L217" s="967"/>
      <c r="M217" s="967"/>
      <c r="N217" s="967"/>
      <c r="O217" s="967"/>
      <c r="P217" s="967"/>
      <c r="Q217" s="994">
        <f t="shared" ref="Q217:AE217" si="490">Q153</f>
        <v>793.87465651174489</v>
      </c>
      <c r="R217" s="994">
        <f t="shared" si="490"/>
        <v>1049.0264509503988</v>
      </c>
      <c r="S217" s="994">
        <f t="shared" si="490"/>
        <v>1148.7690457671324</v>
      </c>
      <c r="T217" s="994">
        <f t="shared" si="490"/>
        <v>1122.2588753890716</v>
      </c>
      <c r="U217" s="994">
        <f t="shared" si="490"/>
        <v>1104.2141456858967</v>
      </c>
      <c r="V217" s="994">
        <f t="shared" si="490"/>
        <v>1221.9082170080892</v>
      </c>
      <c r="W217" s="994">
        <f t="shared" si="490"/>
        <v>1336.4642541924095</v>
      </c>
      <c r="X217" s="994">
        <f t="shared" si="490"/>
        <v>1391.4126446280991</v>
      </c>
      <c r="Y217" s="994">
        <f t="shared" si="490"/>
        <v>1534.0663636363636</v>
      </c>
      <c r="Z217" s="994">
        <f t="shared" si="490"/>
        <v>1851.2712000000004</v>
      </c>
      <c r="AA217" s="994">
        <f t="shared" si="490"/>
        <v>2930.3892450000003</v>
      </c>
      <c r="AB217" s="994">
        <f t="shared" si="490"/>
        <v>2999.0458575000002</v>
      </c>
      <c r="AC217" s="994">
        <f t="shared" si="490"/>
        <v>2764.5696414000004</v>
      </c>
      <c r="AD217" s="994">
        <f t="shared" si="490"/>
        <v>2262.0644381790007</v>
      </c>
      <c r="AE217" s="994">
        <f t="shared" si="490"/>
        <v>1814.9854131208804</v>
      </c>
      <c r="AF217" s="994">
        <f t="shared" ref="AF217:AG217" si="491">AF153</f>
        <v>1571.3453834048887</v>
      </c>
      <c r="AG217" s="994">
        <f t="shared" si="491"/>
        <v>2474.4552651491413</v>
      </c>
      <c r="AH217" s="994">
        <f t="shared" ref="AH217:AQ217" si="492">AH153</f>
        <v>1584.970780998151</v>
      </c>
      <c r="AI217" s="994">
        <f t="shared" si="492"/>
        <v>1475.6077971092784</v>
      </c>
      <c r="AJ217" s="994">
        <f t="shared" si="492"/>
        <v>1502.790046003397</v>
      </c>
      <c r="AK217" s="994">
        <f t="shared" si="492"/>
        <v>1431.145404275328</v>
      </c>
      <c r="AL217" s="994">
        <f t="shared" si="492"/>
        <v>1078.863458607555</v>
      </c>
      <c r="AM217" s="994">
        <f t="shared" si="492"/>
        <v>957.4913195142052</v>
      </c>
      <c r="AN217" s="994">
        <f t="shared" si="492"/>
        <v>254.88149209603495</v>
      </c>
      <c r="AO217" s="994">
        <f t="shared" si="492"/>
        <v>0</v>
      </c>
      <c r="AP217" s="994">
        <f t="shared" si="492"/>
        <v>0</v>
      </c>
      <c r="AQ217" s="994">
        <f t="shared" si="492"/>
        <v>0</v>
      </c>
    </row>
    <row r="218" spans="2:43">
      <c r="B218" s="1025" t="s">
        <v>575</v>
      </c>
      <c r="C218" s="967"/>
      <c r="D218" s="967"/>
      <c r="E218" s="967"/>
      <c r="F218" s="967"/>
      <c r="G218" s="967"/>
      <c r="H218" s="967"/>
      <c r="I218" s="967"/>
      <c r="J218" s="967"/>
      <c r="K218" s="968"/>
      <c r="L218" s="967"/>
      <c r="M218" s="967"/>
      <c r="N218" s="967"/>
      <c r="O218" s="967"/>
      <c r="P218" s="967"/>
      <c r="Q218" s="994">
        <f t="shared" ref="Q218:AE218" si="493">Q171</f>
        <v>159.68445281739517</v>
      </c>
      <c r="R218" s="994">
        <f t="shared" si="493"/>
        <v>163.67656413783004</v>
      </c>
      <c r="S218" s="994">
        <f t="shared" si="493"/>
        <v>185.38419098440082</v>
      </c>
      <c r="T218" s="994">
        <f t="shared" si="493"/>
        <v>65.526881815050956</v>
      </c>
      <c r="U218" s="994">
        <f t="shared" si="493"/>
        <v>109.94338363507201</v>
      </c>
      <c r="V218" s="994">
        <f t="shared" si="493"/>
        <v>160.14121800529566</v>
      </c>
      <c r="W218" s="994">
        <f t="shared" si="493"/>
        <v>339.32985637486956</v>
      </c>
      <c r="X218" s="994">
        <f t="shared" si="493"/>
        <v>430.91338842975199</v>
      </c>
      <c r="Y218" s="994">
        <f t="shared" si="493"/>
        <v>730.94799999999987</v>
      </c>
      <c r="Z218" s="994">
        <f t="shared" si="493"/>
        <v>863.36159999999995</v>
      </c>
      <c r="AA218" s="994">
        <f t="shared" si="493"/>
        <v>983.31365999999991</v>
      </c>
      <c r="AB218" s="994">
        <f t="shared" si="493"/>
        <v>1188.5085575999999</v>
      </c>
      <c r="AC218" s="994">
        <f t="shared" si="493"/>
        <v>930.55915679999998</v>
      </c>
      <c r="AD218" s="994">
        <f t="shared" si="493"/>
        <v>840.09204412223994</v>
      </c>
      <c r="AE218" s="994">
        <f t="shared" si="493"/>
        <v>954.10353552084484</v>
      </c>
      <c r="AF218" s="994">
        <f t="shared" ref="AF218:AG218" si="494">AF171</f>
        <v>426.10999737301637</v>
      </c>
      <c r="AG218" s="994">
        <f t="shared" si="494"/>
        <v>498.19578373842074</v>
      </c>
      <c r="AH218" s="994">
        <f t="shared" ref="AH218:AQ218" si="495">AH171</f>
        <v>699.7386235235092</v>
      </c>
      <c r="AI218" s="994">
        <f t="shared" si="495"/>
        <v>834.59116407634087</v>
      </c>
      <c r="AJ218" s="994">
        <f t="shared" si="495"/>
        <v>928.7501672029025</v>
      </c>
      <c r="AK218" s="994">
        <f t="shared" si="495"/>
        <v>888.6790914405193</v>
      </c>
      <c r="AL218" s="994">
        <f t="shared" si="495"/>
        <v>656.48218723891455</v>
      </c>
      <c r="AM218" s="994">
        <f t="shared" si="495"/>
        <v>359.82655734510325</v>
      </c>
      <c r="AN218" s="994">
        <f t="shared" si="495"/>
        <v>40.968204420617177</v>
      </c>
      <c r="AO218" s="994">
        <f t="shared" si="495"/>
        <v>0</v>
      </c>
      <c r="AP218" s="994">
        <f t="shared" si="495"/>
        <v>0</v>
      </c>
      <c r="AQ218" s="994">
        <f t="shared" si="495"/>
        <v>0</v>
      </c>
    </row>
    <row r="219" spans="2:43">
      <c r="B219" s="1025" t="s">
        <v>576</v>
      </c>
      <c r="C219" s="967"/>
      <c r="D219" s="967"/>
      <c r="E219" s="967"/>
      <c r="F219" s="967"/>
      <c r="G219" s="967"/>
      <c r="H219" s="967"/>
      <c r="I219" s="967"/>
      <c r="J219" s="967"/>
      <c r="K219" s="968"/>
      <c r="L219" s="967"/>
      <c r="M219" s="967"/>
      <c r="N219" s="967"/>
      <c r="O219" s="967"/>
      <c r="P219" s="967"/>
      <c r="Q219" s="994">
        <f t="shared" ref="Q219:AE219" si="496">Q189</f>
        <v>541.13314969392388</v>
      </c>
      <c r="R219" s="994">
        <f t="shared" si="496"/>
        <v>654.84262652388054</v>
      </c>
      <c r="S219" s="994">
        <f t="shared" si="496"/>
        <v>703.77256531545015</v>
      </c>
      <c r="T219" s="994">
        <f t="shared" si="496"/>
        <v>593.00978346108798</v>
      </c>
      <c r="U219" s="994">
        <f t="shared" si="496"/>
        <v>731.50709003132886</v>
      </c>
      <c r="V219" s="994">
        <f t="shared" si="496"/>
        <v>1027.5964256636139</v>
      </c>
      <c r="W219" s="994">
        <f t="shared" si="496"/>
        <v>1034.2845009908574</v>
      </c>
      <c r="X219" s="994">
        <f t="shared" si="496"/>
        <v>1033.1406109613656</v>
      </c>
      <c r="Y219" s="994">
        <f t="shared" si="496"/>
        <v>1497.3595238095238</v>
      </c>
      <c r="Z219" s="994">
        <f t="shared" si="496"/>
        <v>1974.36</v>
      </c>
      <c r="AA219" s="994">
        <f t="shared" si="496"/>
        <v>2835.3255000000004</v>
      </c>
      <c r="AB219" s="994">
        <f t="shared" si="496"/>
        <v>3705.4571249999999</v>
      </c>
      <c r="AC219" s="994">
        <f t="shared" si="496"/>
        <v>4874.1920062500012</v>
      </c>
      <c r="AD219" s="994">
        <f t="shared" si="496"/>
        <v>5774.637841875</v>
      </c>
      <c r="AE219" s="994">
        <f t="shared" si="496"/>
        <v>6628.1119387875015</v>
      </c>
      <c r="AF219" s="994">
        <f t="shared" ref="AF219:AG219" si="497">AF189</f>
        <v>6567.6471635348444</v>
      </c>
      <c r="AG219" s="994">
        <f t="shared" si="497"/>
        <v>6654.2271791632402</v>
      </c>
      <c r="AH219" s="994">
        <f t="shared" ref="AH219:AQ219" si="498">AH189</f>
        <v>7676.2314719289197</v>
      </c>
      <c r="AI219" s="994">
        <f t="shared" si="498"/>
        <v>9247.1047977252401</v>
      </c>
      <c r="AJ219" s="994">
        <f t="shared" si="498"/>
        <v>9711.2120596813274</v>
      </c>
      <c r="AK219" s="994">
        <f t="shared" si="498"/>
        <v>9141.5938823424349</v>
      </c>
      <c r="AL219" s="994">
        <f t="shared" si="498"/>
        <v>8587.3349688971794</v>
      </c>
      <c r="AM219" s="994">
        <f t="shared" si="498"/>
        <v>8896.9042038890784</v>
      </c>
      <c r="AN219" s="994">
        <f t="shared" si="498"/>
        <v>10004.903034773317</v>
      </c>
      <c r="AO219" s="994">
        <f t="shared" si="498"/>
        <v>11230.98517107167</v>
      </c>
      <c r="AP219" s="994">
        <f t="shared" si="498"/>
        <v>11206.517343717158</v>
      </c>
      <c r="AQ219" s="994">
        <f t="shared" si="498"/>
        <v>9962.6998583191616</v>
      </c>
    </row>
    <row r="220" spans="2:43">
      <c r="B220" s="1025" t="s">
        <v>577</v>
      </c>
      <c r="C220" s="967"/>
      <c r="D220" s="967"/>
      <c r="E220" s="967"/>
      <c r="F220" s="967"/>
      <c r="G220" s="967"/>
      <c r="H220" s="967"/>
      <c r="I220" s="967"/>
      <c r="J220" s="967"/>
      <c r="K220" s="968"/>
      <c r="L220" s="967"/>
      <c r="M220" s="967"/>
      <c r="N220" s="967"/>
      <c r="O220" s="967"/>
      <c r="P220" s="967"/>
      <c r="Q220" s="994">
        <f>Q207</f>
        <v>0</v>
      </c>
      <c r="R220" s="994">
        <f t="shared" ref="R220:AE220" si="499">R207</f>
        <v>0</v>
      </c>
      <c r="S220" s="994">
        <f t="shared" si="499"/>
        <v>0</v>
      </c>
      <c r="T220" s="994">
        <f t="shared" si="499"/>
        <v>0</v>
      </c>
      <c r="U220" s="994">
        <f t="shared" si="499"/>
        <v>0</v>
      </c>
      <c r="V220" s="994">
        <f t="shared" si="499"/>
        <v>0</v>
      </c>
      <c r="W220" s="994">
        <f t="shared" si="499"/>
        <v>0</v>
      </c>
      <c r="X220" s="994">
        <f t="shared" si="499"/>
        <v>0</v>
      </c>
      <c r="Y220" s="994">
        <f t="shared" si="499"/>
        <v>0</v>
      </c>
      <c r="Z220" s="994">
        <f t="shared" si="499"/>
        <v>0</v>
      </c>
      <c r="AA220" s="994">
        <f t="shared" si="499"/>
        <v>41</v>
      </c>
      <c r="AB220" s="994">
        <f t="shared" si="499"/>
        <v>170.56</v>
      </c>
      <c r="AC220" s="994">
        <f t="shared" si="499"/>
        <v>313.40400000000005</v>
      </c>
      <c r="AD220" s="994">
        <f t="shared" si="499"/>
        <v>338.47632000000004</v>
      </c>
      <c r="AE220" s="994">
        <f t="shared" si="499"/>
        <v>394.88904000000008</v>
      </c>
      <c r="AF220" s="994">
        <f t="shared" ref="AF220:AG220" si="500">AF207</f>
        <v>435.36516660000007</v>
      </c>
      <c r="AG220" s="994">
        <f t="shared" si="500"/>
        <v>478.90168326000014</v>
      </c>
      <c r="AH220" s="994">
        <f t="shared" ref="AH220:AQ220" si="501">AH207</f>
        <v>525.7034386695002</v>
      </c>
      <c r="AI220" s="994">
        <f t="shared" si="501"/>
        <v>616.94318031363309</v>
      </c>
      <c r="AJ220" s="994">
        <f t="shared" si="501"/>
        <v>845.00109196627886</v>
      </c>
      <c r="AK220" s="994">
        <f t="shared" si="501"/>
        <v>1229.7813139962172</v>
      </c>
      <c r="AL220" s="994">
        <f t="shared" si="501"/>
        <v>1698.3376625062183</v>
      </c>
      <c r="AM220" s="994">
        <f t="shared" si="501"/>
        <v>2337.39081494635</v>
      </c>
      <c r="AN220" s="994">
        <f t="shared" si="501"/>
        <v>3380.6115367766856</v>
      </c>
      <c r="AO220" s="994">
        <f t="shared" si="501"/>
        <v>4439.9852978479976</v>
      </c>
      <c r="AP220" s="994">
        <f t="shared" si="501"/>
        <v>5306.0860110120257</v>
      </c>
      <c r="AQ220" s="994">
        <f t="shared" si="501"/>
        <v>5972.6546341117137</v>
      </c>
    </row>
    <row r="221" spans="2:43">
      <c r="B221" s="1036" t="s">
        <v>65</v>
      </c>
      <c r="C221" s="1037"/>
      <c r="D221" s="1037"/>
      <c r="E221" s="1037"/>
      <c r="F221" s="1037"/>
      <c r="G221" s="1037"/>
      <c r="H221" s="1037"/>
      <c r="I221" s="1037"/>
      <c r="J221" s="1037"/>
      <c r="K221" s="1038"/>
      <c r="L221" s="1037"/>
      <c r="M221" s="1037"/>
      <c r="N221" s="1037"/>
      <c r="O221" s="1037"/>
      <c r="P221" s="1037"/>
      <c r="Q221" s="1039">
        <v>3410.0257213547284</v>
      </c>
      <c r="R221" s="1039">
        <v>3661.5166936831611</v>
      </c>
      <c r="S221" s="1039">
        <v>4636.4841905454796</v>
      </c>
      <c r="T221" s="1039">
        <v>5727.2444626466786</v>
      </c>
      <c r="U221" s="1039">
        <v>7330.6309388664376</v>
      </c>
      <c r="V221" s="1039">
        <v>7479.86386862578</v>
      </c>
      <c r="W221" s="1039">
        <v>-429.90781417812741</v>
      </c>
      <c r="X221" s="1039">
        <v>-821.23046936384344</v>
      </c>
      <c r="Y221" s="1039">
        <v>1031.4186618011609</v>
      </c>
      <c r="Z221" s="1039">
        <v>1621.0442672395275</v>
      </c>
      <c r="AA221" s="1039">
        <v>385</v>
      </c>
      <c r="AB221" s="1039">
        <v>175</v>
      </c>
      <c r="AC221" s="1039">
        <v>160</v>
      </c>
      <c r="AD221" s="1039">
        <v>350</v>
      </c>
      <c r="AE221" s="1039">
        <v>600</v>
      </c>
      <c r="AF221" s="1039">
        <v>300</v>
      </c>
      <c r="AG221" s="1039">
        <v>300</v>
      </c>
      <c r="AH221" s="996">
        <v>300</v>
      </c>
      <c r="AI221" s="996">
        <v>300</v>
      </c>
      <c r="AJ221" s="996">
        <v>300</v>
      </c>
      <c r="AK221" s="996">
        <v>300</v>
      </c>
      <c r="AL221" s="996">
        <v>300</v>
      </c>
      <c r="AM221" s="996">
        <v>300</v>
      </c>
      <c r="AN221" s="996">
        <v>300</v>
      </c>
      <c r="AO221" s="996">
        <v>300</v>
      </c>
      <c r="AP221" s="996">
        <v>300</v>
      </c>
      <c r="AQ221" s="996">
        <v>300</v>
      </c>
    </row>
    <row r="222" spans="2:43" s="961" customFormat="1" ht="12">
      <c r="B222" s="1027" t="s">
        <v>611</v>
      </c>
      <c r="C222" s="978"/>
      <c r="D222" s="978"/>
      <c r="E222" s="978"/>
      <c r="F222" s="978"/>
      <c r="G222" s="978"/>
      <c r="H222" s="978"/>
      <c r="I222" s="978"/>
      <c r="J222" s="978"/>
      <c r="K222" s="979"/>
      <c r="L222" s="978"/>
      <c r="M222" s="978"/>
      <c r="N222" s="978"/>
      <c r="O222" s="978"/>
      <c r="P222" s="978"/>
      <c r="Q222" s="997">
        <f>SUM(Q214:Q221)</f>
        <v>8060.6399999999994</v>
      </c>
      <c r="R222" s="997">
        <f t="shared" ref="R222:AE222" si="502">SUM(R214:R221)</f>
        <v>9233.0783999999985</v>
      </c>
      <c r="S222" s="997">
        <f t="shared" si="502"/>
        <v>10882.144000000002</v>
      </c>
      <c r="T222" s="997">
        <f t="shared" si="502"/>
        <v>12017</v>
      </c>
      <c r="U222" s="997">
        <f t="shared" si="502"/>
        <v>14132.74</v>
      </c>
      <c r="V222" s="997">
        <f t="shared" si="502"/>
        <v>15216.999999999998</v>
      </c>
      <c r="W222" s="997">
        <f t="shared" si="502"/>
        <v>8178.0000000000009</v>
      </c>
      <c r="X222" s="997">
        <f t="shared" si="502"/>
        <v>8594</v>
      </c>
      <c r="Y222" s="997">
        <f t="shared" si="502"/>
        <v>12858</v>
      </c>
      <c r="Z222" s="997">
        <f>SUM(Z214:Z221)</f>
        <v>16447.615467239528</v>
      </c>
      <c r="AA222" s="997">
        <f t="shared" si="502"/>
        <v>18923.059319500004</v>
      </c>
      <c r="AB222" s="997">
        <f t="shared" si="502"/>
        <v>21885.587139837502</v>
      </c>
      <c r="AC222" s="997">
        <f t="shared" si="502"/>
        <v>25121.865741963749</v>
      </c>
      <c r="AD222" s="997">
        <f t="shared" si="502"/>
        <v>26510.32298574525</v>
      </c>
      <c r="AE222" s="997">
        <f t="shared" si="502"/>
        <v>27706.703744051229</v>
      </c>
      <c r="AF222" s="997">
        <f t="shared" ref="AF222:AG222" si="503">SUM(AF214:AF221)</f>
        <v>27506.703461139885</v>
      </c>
      <c r="AG222" s="997">
        <f t="shared" si="503"/>
        <v>31264.943632687067</v>
      </c>
      <c r="AH222" s="997">
        <f t="shared" ref="AH222:AQ222" si="504">SUM(AH214:AH221)</f>
        <v>34934.770583383572</v>
      </c>
      <c r="AI222" s="997">
        <f t="shared" si="504"/>
        <v>37699.156399663691</v>
      </c>
      <c r="AJ222" s="997">
        <f t="shared" si="504"/>
        <v>38958.897572313399</v>
      </c>
      <c r="AK222" s="997">
        <f t="shared" si="504"/>
        <v>39048.519265991235</v>
      </c>
      <c r="AL222" s="997">
        <f t="shared" si="504"/>
        <v>41848.133944153742</v>
      </c>
      <c r="AM222" s="997">
        <f t="shared" si="504"/>
        <v>46337.40398013153</v>
      </c>
      <c r="AN222" s="997">
        <f t="shared" si="504"/>
        <v>51332.170345198967</v>
      </c>
      <c r="AO222" s="997">
        <f t="shared" si="504"/>
        <v>54195.24548512786</v>
      </c>
      <c r="AP222" s="997">
        <f t="shared" si="504"/>
        <v>55298.220973569798</v>
      </c>
      <c r="AQ222" s="997">
        <f t="shared" si="504"/>
        <v>54935.811298874913</v>
      </c>
    </row>
    <row r="223" spans="2:43" s="981" customFormat="1" ht="12" thickBot="1">
      <c r="B223" s="1028" t="s">
        <v>584</v>
      </c>
      <c r="C223" s="1029"/>
      <c r="D223" s="1029"/>
      <c r="E223" s="1029"/>
      <c r="F223" s="1029"/>
      <c r="G223" s="1029"/>
      <c r="H223" s="1029"/>
      <c r="I223" s="1029"/>
      <c r="J223" s="1029"/>
      <c r="K223" s="1030"/>
      <c r="L223" s="1029"/>
      <c r="M223" s="1029"/>
      <c r="N223" s="1029"/>
      <c r="O223" s="1029"/>
      <c r="P223" s="1029"/>
      <c r="Q223" s="1029"/>
      <c r="R223" s="1031">
        <f>R222/Q222-1</f>
        <v>0.14545227177990827</v>
      </c>
      <c r="S223" s="1031">
        <f t="shared" ref="S223:AH223" si="505">S222/R222-1</f>
        <v>0.17860409373324537</v>
      </c>
      <c r="T223" s="1031">
        <f t="shared" si="505"/>
        <v>0.104286067157354</v>
      </c>
      <c r="U223" s="1031">
        <f t="shared" si="505"/>
        <v>0.1760622451527003</v>
      </c>
      <c r="V223" s="1031">
        <f t="shared" si="505"/>
        <v>7.6719730215089044E-2</v>
      </c>
      <c r="W223" s="1031">
        <f t="shared" si="505"/>
        <v>-0.46257475192219211</v>
      </c>
      <c r="X223" s="1031">
        <f t="shared" si="505"/>
        <v>5.0868182929811656E-2</v>
      </c>
      <c r="Y223" s="1031">
        <f t="shared" si="505"/>
        <v>0.49616011170584118</v>
      </c>
      <c r="Z223" s="1031">
        <f t="shared" si="505"/>
        <v>0.27917370253846063</v>
      </c>
      <c r="AA223" s="1031">
        <f t="shared" si="505"/>
        <v>0.15050472557502825</v>
      </c>
      <c r="AB223" s="1031">
        <f t="shared" si="505"/>
        <v>0.15655649386907777</v>
      </c>
      <c r="AC223" s="1031">
        <f t="shared" si="505"/>
        <v>0.14787259676645248</v>
      </c>
      <c r="AD223" s="1031">
        <f t="shared" si="505"/>
        <v>5.5268874455538963E-2</v>
      </c>
      <c r="AE223" s="1031">
        <f t="shared" si="505"/>
        <v>4.5128863912720973E-2</v>
      </c>
      <c r="AF223" s="1031">
        <f t="shared" si="505"/>
        <v>-7.2184798581204079E-3</v>
      </c>
      <c r="AG223" s="1031">
        <f t="shared" si="505"/>
        <v>0.13662997373918828</v>
      </c>
      <c r="AH223" s="1031">
        <f t="shared" si="505"/>
        <v>0.11737833254430541</v>
      </c>
      <c r="AI223" s="1031">
        <f t="shared" ref="AI223" si="506">AI222/AH222-1</f>
        <v>7.9129926148562513E-2</v>
      </c>
      <c r="AJ223" s="1031">
        <f t="shared" ref="AJ223" si="507">AJ222/AI222-1</f>
        <v>3.3415632946655283E-2</v>
      </c>
      <c r="AK223" s="1031">
        <f t="shared" ref="AK223" si="508">AK222/AJ222-1</f>
        <v>2.3004165739415328E-3</v>
      </c>
      <c r="AL223" s="1031">
        <f t="shared" ref="AL223" si="509">AL222/AK222-1</f>
        <v>7.1695796173269821E-2</v>
      </c>
      <c r="AM223" s="1031">
        <f t="shared" ref="AM223" si="510">AM222/AL222-1</f>
        <v>0.10727527401744386</v>
      </c>
      <c r="AN223" s="1031">
        <f t="shared" ref="AN223" si="511">AN222/AM222-1</f>
        <v>0.10779124284150843</v>
      </c>
      <c r="AO223" s="1031">
        <f t="shared" ref="AO223" si="512">AO222/AN222-1</f>
        <v>5.5775454664692026E-2</v>
      </c>
      <c r="AP223" s="1031">
        <f t="shared" ref="AP223" si="513">AP222/AO222-1</f>
        <v>2.0351886564377919E-2</v>
      </c>
      <c r="AQ223" s="1031">
        <f t="shared" ref="AQ223" si="514">AQ222/AP222-1</f>
        <v>-6.5537311746086679E-3</v>
      </c>
    </row>
    <row r="224" spans="2:43">
      <c r="B224" s="1032"/>
      <c r="C224" s="956"/>
      <c r="D224" s="956"/>
      <c r="E224" s="956"/>
      <c r="F224" s="956"/>
      <c r="G224" s="956"/>
      <c r="H224" s="956"/>
      <c r="I224" s="956"/>
      <c r="J224" s="956"/>
      <c r="K224" s="957"/>
      <c r="L224" s="956"/>
      <c r="M224" s="956"/>
      <c r="N224" s="956"/>
      <c r="O224" s="956"/>
      <c r="P224" s="956"/>
      <c r="Q224" s="956"/>
      <c r="R224" s="1033"/>
      <c r="S224" s="1033"/>
      <c r="T224" s="1033"/>
      <c r="U224" s="1033"/>
      <c r="V224" s="1033"/>
      <c r="W224" s="1033"/>
      <c r="X224" s="1033"/>
      <c r="Y224" s="1033"/>
      <c r="Z224" s="1033"/>
      <c r="AA224" s="1033"/>
      <c r="AB224" s="1033"/>
      <c r="AC224" s="1033"/>
      <c r="AD224" s="1033"/>
      <c r="AE224" s="1033"/>
      <c r="AF224" s="1033"/>
      <c r="AG224" s="1033"/>
      <c r="AH224" s="993"/>
      <c r="AI224" s="993"/>
      <c r="AJ224" s="993"/>
      <c r="AK224" s="993"/>
      <c r="AL224" s="993"/>
      <c r="AM224" s="993"/>
      <c r="AN224" s="993"/>
      <c r="AO224" s="993"/>
      <c r="AP224" s="993"/>
      <c r="AQ224" s="993"/>
    </row>
    <row r="225" spans="2:43">
      <c r="B225" s="1025" t="s">
        <v>612</v>
      </c>
      <c r="C225" s="967"/>
      <c r="D225" s="967"/>
      <c r="E225" s="967"/>
      <c r="F225" s="967"/>
      <c r="G225" s="967"/>
      <c r="H225" s="967"/>
      <c r="I225" s="967"/>
      <c r="J225" s="967"/>
      <c r="K225" s="968"/>
      <c r="L225" s="967"/>
      <c r="M225" s="967"/>
      <c r="N225" s="967"/>
      <c r="O225" s="967"/>
      <c r="P225" s="967"/>
      <c r="Q225" s="994">
        <f t="shared" ref="Q225:AE225" si="515">+Q61</f>
        <v>8732.36</v>
      </c>
      <c r="R225" s="994">
        <f t="shared" si="515"/>
        <v>8522.8415999999997</v>
      </c>
      <c r="S225" s="994">
        <f t="shared" si="515"/>
        <v>8550.2560000000012</v>
      </c>
      <c r="T225" s="994">
        <f t="shared" si="515"/>
        <v>7683</v>
      </c>
      <c r="U225" s="994">
        <f t="shared" si="515"/>
        <v>8601.26</v>
      </c>
      <c r="V225" s="994">
        <f t="shared" si="515"/>
        <v>9000</v>
      </c>
      <c r="W225" s="994">
        <f t="shared" si="515"/>
        <v>6302.0000000000009</v>
      </c>
      <c r="X225" s="994">
        <f t="shared" si="515"/>
        <v>5765</v>
      </c>
      <c r="Y225" s="994">
        <f t="shared" si="515"/>
        <v>5806.0000000000009</v>
      </c>
      <c r="Z225" s="994">
        <f t="shared" si="515"/>
        <v>7452.384532760474</v>
      </c>
      <c r="AA225" s="994">
        <f t="shared" si="515"/>
        <v>7684.6480000000001</v>
      </c>
      <c r="AB225" s="994">
        <f t="shared" si="515"/>
        <v>9320.4300860000003</v>
      </c>
      <c r="AC225" s="994">
        <f t="shared" si="515"/>
        <v>11033.384162660002</v>
      </c>
      <c r="AD225" s="994">
        <f t="shared" si="515"/>
        <v>12885.091218165779</v>
      </c>
      <c r="AE225" s="994">
        <f t="shared" si="515"/>
        <v>14375.27224416951</v>
      </c>
      <c r="AF225" s="994">
        <f t="shared" ref="AF225:AG225" si="516">+AF61</f>
        <v>14697.15102570301</v>
      </c>
      <c r="AG225" s="994">
        <f t="shared" si="516"/>
        <v>15864.068873716362</v>
      </c>
      <c r="AH225" s="994">
        <f t="shared" ref="AH225:AQ225" si="517">+AH61</f>
        <v>17108.152370146214</v>
      </c>
      <c r="AI225" s="994">
        <f t="shared" si="517"/>
        <v>18434.107876640952</v>
      </c>
      <c r="AJ225" s="994">
        <f t="shared" si="517"/>
        <v>18837.473440094138</v>
      </c>
      <c r="AK225" s="994">
        <f t="shared" si="517"/>
        <v>17971.901511912951</v>
      </c>
      <c r="AL225" s="994">
        <f t="shared" si="517"/>
        <v>17447.834091118038</v>
      </c>
      <c r="AM225" s="994">
        <f t="shared" si="517"/>
        <v>16845.308742316505</v>
      </c>
      <c r="AN225" s="994">
        <f t="shared" si="517"/>
        <v>15524.411734547051</v>
      </c>
      <c r="AO225" s="994">
        <f t="shared" si="517"/>
        <v>14372.576797022417</v>
      </c>
      <c r="AP225" s="994">
        <f t="shared" si="517"/>
        <v>12408.828371463369</v>
      </c>
      <c r="AQ225" s="994">
        <f t="shared" si="517"/>
        <v>10979.087633529625</v>
      </c>
    </row>
    <row r="226" spans="2:43">
      <c r="B226" s="1025" t="s">
        <v>613</v>
      </c>
      <c r="C226" s="967"/>
      <c r="D226" s="967"/>
      <c r="E226" s="967"/>
      <c r="F226" s="967"/>
      <c r="G226" s="967"/>
      <c r="H226" s="967"/>
      <c r="I226" s="967"/>
      <c r="J226" s="967"/>
      <c r="K226" s="968"/>
      <c r="L226" s="967"/>
      <c r="M226" s="967"/>
      <c r="N226" s="967"/>
      <c r="O226" s="967"/>
      <c r="P226" s="967"/>
      <c r="Q226" s="994">
        <f>Q222</f>
        <v>8060.6399999999994</v>
      </c>
      <c r="R226" s="994">
        <f t="shared" ref="R226:AE226" si="518">R222</f>
        <v>9233.0783999999985</v>
      </c>
      <c r="S226" s="994">
        <f t="shared" si="518"/>
        <v>10882.144000000002</v>
      </c>
      <c r="T226" s="994">
        <f t="shared" si="518"/>
        <v>12017</v>
      </c>
      <c r="U226" s="994">
        <f t="shared" si="518"/>
        <v>14132.74</v>
      </c>
      <c r="V226" s="994">
        <f t="shared" si="518"/>
        <v>15216.999999999998</v>
      </c>
      <c r="W226" s="994">
        <f t="shared" si="518"/>
        <v>8178.0000000000009</v>
      </c>
      <c r="X226" s="994">
        <f t="shared" si="518"/>
        <v>8594</v>
      </c>
      <c r="Y226" s="994">
        <f t="shared" si="518"/>
        <v>12858</v>
      </c>
      <c r="Z226" s="994">
        <f t="shared" si="518"/>
        <v>16447.615467239528</v>
      </c>
      <c r="AA226" s="994">
        <f t="shared" si="518"/>
        <v>18923.059319500004</v>
      </c>
      <c r="AB226" s="994">
        <f t="shared" si="518"/>
        <v>21885.587139837502</v>
      </c>
      <c r="AC226" s="994">
        <f t="shared" si="518"/>
        <v>25121.865741963749</v>
      </c>
      <c r="AD226" s="994">
        <f t="shared" si="518"/>
        <v>26510.32298574525</v>
      </c>
      <c r="AE226" s="994">
        <f t="shared" si="518"/>
        <v>27706.703744051229</v>
      </c>
      <c r="AF226" s="994">
        <f t="shared" ref="AF226:AG226" si="519">AF222</f>
        <v>27506.703461139885</v>
      </c>
      <c r="AG226" s="994">
        <f t="shared" si="519"/>
        <v>31264.943632687067</v>
      </c>
      <c r="AH226" s="994">
        <f t="shared" ref="AH226:AQ226" si="520">AH222</f>
        <v>34934.770583383572</v>
      </c>
      <c r="AI226" s="994">
        <f t="shared" si="520"/>
        <v>37699.156399663691</v>
      </c>
      <c r="AJ226" s="994">
        <f t="shared" si="520"/>
        <v>38958.897572313399</v>
      </c>
      <c r="AK226" s="994">
        <f t="shared" si="520"/>
        <v>39048.519265991235</v>
      </c>
      <c r="AL226" s="994">
        <f t="shared" si="520"/>
        <v>41848.133944153742</v>
      </c>
      <c r="AM226" s="994">
        <f t="shared" si="520"/>
        <v>46337.40398013153</v>
      </c>
      <c r="AN226" s="994">
        <f t="shared" si="520"/>
        <v>51332.170345198967</v>
      </c>
      <c r="AO226" s="994">
        <f t="shared" si="520"/>
        <v>54195.24548512786</v>
      </c>
      <c r="AP226" s="994">
        <f t="shared" si="520"/>
        <v>55298.220973569798</v>
      </c>
      <c r="AQ226" s="994">
        <f t="shared" si="520"/>
        <v>54935.811298874913</v>
      </c>
    </row>
    <row r="227" spans="2:43" s="961" customFormat="1" ht="12">
      <c r="B227" s="1027" t="s">
        <v>614</v>
      </c>
      <c r="C227" s="978"/>
      <c r="D227" s="978"/>
      <c r="E227" s="978"/>
      <c r="F227" s="978"/>
      <c r="G227" s="978"/>
      <c r="H227" s="978"/>
      <c r="I227" s="978"/>
      <c r="J227" s="978"/>
      <c r="K227" s="979"/>
      <c r="L227" s="978"/>
      <c r="M227" s="978"/>
      <c r="N227" s="978"/>
      <c r="O227" s="978"/>
      <c r="P227" s="978"/>
      <c r="Q227" s="997">
        <f>SUM(Q225:Q226)</f>
        <v>16793</v>
      </c>
      <c r="R227" s="997">
        <f t="shared" ref="R227:AE227" si="521">SUM(R225:R226)</f>
        <v>17755.919999999998</v>
      </c>
      <c r="S227" s="997">
        <f t="shared" si="521"/>
        <v>19432.400000000001</v>
      </c>
      <c r="T227" s="997">
        <f t="shared" si="521"/>
        <v>19700</v>
      </c>
      <c r="U227" s="997">
        <f t="shared" si="521"/>
        <v>22734</v>
      </c>
      <c r="V227" s="997">
        <f t="shared" si="521"/>
        <v>24217</v>
      </c>
      <c r="W227" s="997">
        <f t="shared" si="521"/>
        <v>14480.000000000002</v>
      </c>
      <c r="X227" s="997">
        <f t="shared" si="521"/>
        <v>14359</v>
      </c>
      <c r="Y227" s="997">
        <f t="shared" si="521"/>
        <v>18664</v>
      </c>
      <c r="Z227" s="997">
        <f t="shared" si="521"/>
        <v>23900</v>
      </c>
      <c r="AA227" s="997">
        <f t="shared" si="521"/>
        <v>26607.707319500005</v>
      </c>
      <c r="AB227" s="997">
        <f t="shared" si="521"/>
        <v>31206.017225837502</v>
      </c>
      <c r="AC227" s="997">
        <f t="shared" si="521"/>
        <v>36155.24990462375</v>
      </c>
      <c r="AD227" s="997">
        <f t="shared" si="521"/>
        <v>39395.41420391103</v>
      </c>
      <c r="AE227" s="997">
        <f t="shared" si="521"/>
        <v>42081.975988220736</v>
      </c>
      <c r="AF227" s="997">
        <f t="shared" ref="AF227:AG227" si="522">SUM(AF225:AF226)</f>
        <v>42203.854486842894</v>
      </c>
      <c r="AG227" s="997">
        <f t="shared" si="522"/>
        <v>47129.012506403429</v>
      </c>
      <c r="AH227" s="997">
        <f t="shared" ref="AH227:AQ227" si="523">SUM(AH225:AH226)</f>
        <v>52042.922953529785</v>
      </c>
      <c r="AI227" s="997">
        <f t="shared" si="523"/>
        <v>56133.264276304646</v>
      </c>
      <c r="AJ227" s="997">
        <f t="shared" si="523"/>
        <v>57796.371012407537</v>
      </c>
      <c r="AK227" s="997">
        <f t="shared" si="523"/>
        <v>57020.42077790419</v>
      </c>
      <c r="AL227" s="997">
        <f t="shared" si="523"/>
        <v>59295.968035271784</v>
      </c>
      <c r="AM227" s="997">
        <f t="shared" si="523"/>
        <v>63182.712722448035</v>
      </c>
      <c r="AN227" s="997">
        <f t="shared" si="523"/>
        <v>66856.582079746018</v>
      </c>
      <c r="AO227" s="997">
        <f t="shared" si="523"/>
        <v>68567.822282150271</v>
      </c>
      <c r="AP227" s="997">
        <f t="shared" si="523"/>
        <v>67707.049345033171</v>
      </c>
      <c r="AQ227" s="997">
        <f t="shared" si="523"/>
        <v>65914.89893240454</v>
      </c>
    </row>
    <row r="228" spans="2:43" s="981" customFormat="1">
      <c r="B228" s="1026" t="s">
        <v>584</v>
      </c>
      <c r="C228" s="982"/>
      <c r="D228" s="982"/>
      <c r="E228" s="982"/>
      <c r="F228" s="982"/>
      <c r="G228" s="982"/>
      <c r="H228" s="982"/>
      <c r="I228" s="982"/>
      <c r="J228" s="982"/>
      <c r="K228" s="983"/>
      <c r="L228" s="982"/>
      <c r="M228" s="982"/>
      <c r="N228" s="982"/>
      <c r="O228" s="982"/>
      <c r="P228" s="982"/>
      <c r="Q228" s="982"/>
      <c r="R228" s="984">
        <f>R227/Q227-1</f>
        <v>5.7340558566069122E-2</v>
      </c>
      <c r="S228" s="984">
        <f t="shared" ref="S228:AH228" si="524">S227/R227-1</f>
        <v>9.4418087038013354E-2</v>
      </c>
      <c r="T228" s="984">
        <f t="shared" si="524"/>
        <v>1.3770815751013687E-2</v>
      </c>
      <c r="U228" s="984">
        <f t="shared" si="524"/>
        <v>0.15401015228426407</v>
      </c>
      <c r="V228" s="984">
        <f t="shared" si="524"/>
        <v>6.5232691123427555E-2</v>
      </c>
      <c r="W228" s="984">
        <f t="shared" si="524"/>
        <v>-0.40207292397902294</v>
      </c>
      <c r="X228" s="984">
        <f t="shared" si="524"/>
        <v>-8.3563535911603815E-3</v>
      </c>
      <c r="Y228" s="984">
        <f t="shared" si="524"/>
        <v>0.29981196462149184</v>
      </c>
      <c r="Z228" s="984">
        <f t="shared" si="524"/>
        <v>0.28054007715387907</v>
      </c>
      <c r="AA228" s="984">
        <f t="shared" si="524"/>
        <v>0.11329319328451892</v>
      </c>
      <c r="AB228" s="984">
        <f t="shared" si="524"/>
        <v>0.17281871944553195</v>
      </c>
      <c r="AC228" s="984">
        <f t="shared" si="524"/>
        <v>0.15859866521795207</v>
      </c>
      <c r="AD228" s="984">
        <f t="shared" si="524"/>
        <v>8.9618086110169859E-2</v>
      </c>
      <c r="AE228" s="984">
        <f t="shared" si="524"/>
        <v>6.8194784560559274E-2</v>
      </c>
      <c r="AF228" s="984">
        <f t="shared" si="524"/>
        <v>2.8962161533543362E-3</v>
      </c>
      <c r="AG228" s="984">
        <f t="shared" si="524"/>
        <v>0.11669924653673425</v>
      </c>
      <c r="AH228" s="984">
        <f t="shared" si="524"/>
        <v>0.1042650839853414</v>
      </c>
      <c r="AI228" s="984">
        <f t="shared" ref="AI228" si="525">AI227/AH227-1</f>
        <v>7.8595534044604065E-2</v>
      </c>
      <c r="AJ228" s="984">
        <f t="shared" ref="AJ228" si="526">AJ227/AI227-1</f>
        <v>2.9627828659964939E-2</v>
      </c>
      <c r="AK228" s="984">
        <f t="shared" ref="AK228" si="527">AK227/AJ227-1</f>
        <v>-1.3425587470479172E-2</v>
      </c>
      <c r="AL228" s="984">
        <f t="shared" ref="AL228" si="528">AL227/AK227-1</f>
        <v>3.9907584446472244E-2</v>
      </c>
      <c r="AM228" s="984">
        <f t="shared" ref="AM228" si="529">AM227/AL227-1</f>
        <v>6.554821206164041E-2</v>
      </c>
      <c r="AN228" s="984">
        <f t="shared" ref="AN228" si="530">AN227/AM227-1</f>
        <v>5.8146749308418011E-2</v>
      </c>
      <c r="AO228" s="984">
        <f t="shared" ref="AO228" si="531">AO227/AN227-1</f>
        <v>2.5595687801735156E-2</v>
      </c>
      <c r="AP228" s="984">
        <f t="shared" ref="AP228" si="532">AP227/AO227-1</f>
        <v>-1.2553598881631434E-2</v>
      </c>
      <c r="AQ228" s="984">
        <f t="shared" ref="AQ228" si="533">AQ227/AP227-1</f>
        <v>-2.6469184966189885E-2</v>
      </c>
    </row>
    <row r="229" spans="2:43">
      <c r="B229" s="1025"/>
      <c r="C229" s="967"/>
      <c r="D229" s="967"/>
      <c r="E229" s="967"/>
      <c r="F229" s="967"/>
      <c r="G229" s="967"/>
      <c r="H229" s="967"/>
      <c r="I229" s="967"/>
      <c r="J229" s="967"/>
      <c r="K229" s="968"/>
      <c r="L229" s="967"/>
      <c r="M229" s="967"/>
      <c r="N229" s="967"/>
      <c r="O229" s="967"/>
      <c r="P229" s="967"/>
      <c r="Q229" s="967"/>
      <c r="R229" s="967"/>
      <c r="S229" s="967"/>
      <c r="T229" s="967"/>
      <c r="U229" s="967"/>
      <c r="V229" s="967"/>
      <c r="W229" s="967"/>
      <c r="X229" s="967"/>
      <c r="Y229" s="967"/>
      <c r="Z229" s="967"/>
      <c r="AA229" s="967"/>
      <c r="AB229" s="967"/>
      <c r="AC229" s="967"/>
      <c r="AD229" s="967"/>
      <c r="AE229" s="967"/>
      <c r="AF229" s="967"/>
      <c r="AG229" s="967"/>
      <c r="AH229" s="967"/>
      <c r="AI229" s="967"/>
      <c r="AJ229" s="967"/>
      <c r="AK229" s="967"/>
      <c r="AL229" s="967"/>
      <c r="AM229" s="967"/>
      <c r="AN229" s="967"/>
      <c r="AO229" s="967"/>
      <c r="AP229" s="967"/>
      <c r="AQ229" s="967"/>
    </row>
    <row r="230" spans="2:43">
      <c r="B230" s="1025"/>
      <c r="C230" s="967"/>
      <c r="D230" s="967"/>
      <c r="E230" s="967"/>
      <c r="F230" s="967"/>
      <c r="G230" s="967"/>
      <c r="H230" s="967"/>
      <c r="I230" s="967"/>
      <c r="J230" s="967"/>
      <c r="K230" s="968"/>
      <c r="L230" s="967"/>
      <c r="M230" s="967"/>
      <c r="N230" s="967"/>
      <c r="O230" s="967"/>
      <c r="P230" s="967"/>
      <c r="Q230" s="967"/>
      <c r="R230" s="967"/>
      <c r="S230" s="967"/>
      <c r="T230" s="967"/>
      <c r="U230" s="967"/>
      <c r="V230" s="967"/>
      <c r="W230" s="967"/>
      <c r="X230" s="967"/>
      <c r="Y230" s="967"/>
      <c r="Z230" s="967"/>
      <c r="AA230" s="967"/>
      <c r="AB230" s="967"/>
      <c r="AC230" s="967"/>
      <c r="AD230" s="967"/>
      <c r="AE230" s="967"/>
      <c r="AF230" s="967"/>
      <c r="AG230" s="967"/>
      <c r="AH230" s="967"/>
      <c r="AI230" s="967"/>
      <c r="AJ230" s="967"/>
      <c r="AK230" s="967"/>
      <c r="AL230" s="967"/>
      <c r="AM230" s="967"/>
      <c r="AN230" s="967"/>
      <c r="AO230" s="967"/>
      <c r="AP230" s="967"/>
      <c r="AQ230" s="967"/>
    </row>
    <row r="231" spans="2:43" ht="12">
      <c r="B231" s="1024" t="s">
        <v>454</v>
      </c>
      <c r="C231" s="967"/>
      <c r="D231" s="967"/>
      <c r="E231" s="967"/>
      <c r="F231" s="967"/>
      <c r="G231" s="967"/>
      <c r="H231" s="967"/>
      <c r="I231" s="967"/>
      <c r="J231" s="967"/>
      <c r="K231" s="968"/>
      <c r="L231" s="967"/>
      <c r="M231" s="967"/>
      <c r="N231" s="967"/>
      <c r="O231" s="967"/>
      <c r="P231" s="967"/>
      <c r="Q231" s="967"/>
      <c r="R231" s="967"/>
      <c r="S231" s="967"/>
      <c r="T231" s="967"/>
      <c r="U231" s="967"/>
      <c r="V231" s="967"/>
      <c r="W231" s="967"/>
      <c r="X231" s="967"/>
      <c r="Y231" s="967"/>
      <c r="Z231" s="967"/>
      <c r="AA231" s="967"/>
      <c r="AB231" s="967"/>
      <c r="AC231" s="967"/>
      <c r="AD231" s="967"/>
      <c r="AE231" s="967"/>
      <c r="AF231" s="967"/>
      <c r="AG231" s="967"/>
      <c r="AH231" s="967"/>
      <c r="AI231" s="967"/>
      <c r="AJ231" s="967"/>
      <c r="AK231" s="967"/>
      <c r="AL231" s="967"/>
      <c r="AM231" s="967"/>
      <c r="AN231" s="967"/>
      <c r="AO231" s="967"/>
      <c r="AP231" s="967"/>
      <c r="AQ231" s="967"/>
    </row>
    <row r="232" spans="2:43" ht="12">
      <c r="B232" s="1034" t="s">
        <v>615</v>
      </c>
      <c r="C232" s="967"/>
      <c r="D232" s="967"/>
      <c r="E232" s="967"/>
      <c r="F232" s="967"/>
      <c r="G232" s="967"/>
      <c r="H232" s="967"/>
      <c r="I232" s="967"/>
      <c r="J232" s="967"/>
      <c r="K232" s="968"/>
      <c r="L232" s="967"/>
      <c r="M232" s="967"/>
      <c r="N232" s="967"/>
      <c r="O232" s="967"/>
      <c r="P232" s="967"/>
      <c r="Q232" s="967"/>
      <c r="R232" s="967"/>
      <c r="S232" s="967"/>
      <c r="T232" s="967"/>
      <c r="U232" s="967"/>
      <c r="V232" s="967"/>
      <c r="W232" s="967"/>
      <c r="X232" s="967"/>
      <c r="Y232" s="967"/>
      <c r="Z232" s="967"/>
      <c r="AA232" s="967"/>
      <c r="AB232" s="967"/>
      <c r="AC232" s="967"/>
      <c r="AD232" s="967"/>
      <c r="AE232" s="967"/>
      <c r="AF232" s="967"/>
      <c r="AG232" s="967"/>
      <c r="AH232" s="967"/>
      <c r="AI232" s="967"/>
      <c r="AJ232" s="967"/>
      <c r="AK232" s="967"/>
      <c r="AL232" s="967"/>
      <c r="AM232" s="967"/>
      <c r="AN232" s="967"/>
      <c r="AO232" s="967"/>
      <c r="AP232" s="967"/>
      <c r="AQ232" s="967"/>
    </row>
    <row r="233" spans="2:43">
      <c r="B233" s="1025" t="s">
        <v>616</v>
      </c>
      <c r="C233" s="967"/>
      <c r="D233" s="967"/>
      <c r="E233" s="967"/>
      <c r="F233" s="967"/>
      <c r="G233" s="967"/>
      <c r="H233" s="967"/>
      <c r="I233" s="967"/>
      <c r="J233" s="967"/>
      <c r="K233" s="968"/>
      <c r="L233" s="967"/>
      <c r="M233" s="967"/>
      <c r="N233" s="967"/>
      <c r="O233" s="998"/>
      <c r="P233" s="998"/>
      <c r="Q233" s="993">
        <v>0.04</v>
      </c>
      <c r="R233" s="993">
        <v>0.04</v>
      </c>
      <c r="S233" s="993">
        <v>0.04</v>
      </c>
      <c r="T233" s="993">
        <v>0.04</v>
      </c>
      <c r="U233" s="993">
        <v>0.04</v>
      </c>
      <c r="V233" s="993">
        <v>0.04</v>
      </c>
      <c r="W233" s="993">
        <v>0.04</v>
      </c>
      <c r="X233" s="993">
        <v>0.04</v>
      </c>
      <c r="Y233" s="993">
        <v>0.04</v>
      </c>
      <c r="Z233" s="993">
        <v>0.04</v>
      </c>
      <c r="AA233" s="993">
        <v>0.04</v>
      </c>
      <c r="AB233" s="993">
        <v>0.04</v>
      </c>
      <c r="AC233" s="993">
        <v>0.04</v>
      </c>
      <c r="AD233" s="993">
        <v>0.04</v>
      </c>
      <c r="AE233" s="993">
        <v>4.4999999999999998E-2</v>
      </c>
      <c r="AF233" s="993">
        <v>4.4999999999999998E-2</v>
      </c>
      <c r="AG233" s="993">
        <v>0.05</v>
      </c>
      <c r="AH233" s="993">
        <v>0.05</v>
      </c>
      <c r="AI233" s="993">
        <v>0.05</v>
      </c>
      <c r="AJ233" s="993">
        <v>0.05</v>
      </c>
      <c r="AK233" s="993">
        <v>0.05</v>
      </c>
      <c r="AL233" s="993">
        <v>0.05</v>
      </c>
      <c r="AM233" s="993">
        <v>0.05</v>
      </c>
      <c r="AN233" s="993">
        <v>0.05</v>
      </c>
      <c r="AO233" s="993">
        <v>0.05</v>
      </c>
      <c r="AP233" s="993">
        <v>0.05</v>
      </c>
      <c r="AQ233" s="993">
        <v>0.05</v>
      </c>
    </row>
    <row r="234" spans="2:43">
      <c r="B234" s="1025" t="s">
        <v>617</v>
      </c>
      <c r="C234" s="967"/>
      <c r="D234" s="967"/>
      <c r="E234" s="967"/>
      <c r="F234" s="967"/>
      <c r="G234" s="967"/>
      <c r="H234" s="967"/>
      <c r="I234" s="967"/>
      <c r="J234" s="967"/>
      <c r="K234" s="968"/>
      <c r="L234" s="967"/>
      <c r="M234" s="967"/>
      <c r="N234" s="967"/>
      <c r="O234" s="998"/>
      <c r="P234" s="998"/>
      <c r="Q234" s="993">
        <v>0.32</v>
      </c>
      <c r="R234" s="993">
        <v>0.32</v>
      </c>
      <c r="S234" s="993">
        <v>0.32</v>
      </c>
      <c r="T234" s="993">
        <v>0.32</v>
      </c>
      <c r="U234" s="993">
        <v>0.32</v>
      </c>
      <c r="V234" s="993">
        <v>0.32</v>
      </c>
      <c r="W234" s="993">
        <v>0.32</v>
      </c>
      <c r="X234" s="993">
        <v>0.32</v>
      </c>
      <c r="Y234" s="993">
        <v>0.32</v>
      </c>
      <c r="Z234" s="993">
        <v>0.32</v>
      </c>
      <c r="AA234" s="993">
        <v>0.35199999999999998</v>
      </c>
      <c r="AB234" s="993">
        <v>0.36</v>
      </c>
      <c r="AC234" s="993">
        <v>0.36499999999999999</v>
      </c>
      <c r="AD234" s="993">
        <v>0.375</v>
      </c>
      <c r="AE234" s="993">
        <v>0.38</v>
      </c>
      <c r="AF234" s="993">
        <v>0.38</v>
      </c>
      <c r="AG234" s="993">
        <v>0.38</v>
      </c>
      <c r="AH234" s="993">
        <v>0.38</v>
      </c>
      <c r="AI234" s="993">
        <v>0.38500000000000001</v>
      </c>
      <c r="AJ234" s="993">
        <v>0.39</v>
      </c>
      <c r="AK234" s="993">
        <v>0.39500000000000002</v>
      </c>
      <c r="AL234" s="993">
        <v>0.4</v>
      </c>
      <c r="AM234" s="993">
        <v>0.4</v>
      </c>
      <c r="AN234" s="993">
        <v>0.4</v>
      </c>
      <c r="AO234" s="993">
        <v>0.4</v>
      </c>
      <c r="AP234" s="993">
        <v>0.4</v>
      </c>
      <c r="AQ234" s="993">
        <v>0.4</v>
      </c>
    </row>
    <row r="235" spans="2:43" s="961" customFormat="1" ht="12">
      <c r="B235" s="1027" t="s">
        <v>618</v>
      </c>
      <c r="C235" s="978"/>
      <c r="D235" s="978"/>
      <c r="E235" s="978"/>
      <c r="F235" s="978"/>
      <c r="G235" s="978"/>
      <c r="H235" s="978"/>
      <c r="I235" s="978"/>
      <c r="J235" s="978"/>
      <c r="K235" s="979"/>
      <c r="L235" s="978"/>
      <c r="M235" s="978"/>
      <c r="N235" s="978"/>
      <c r="O235" s="978"/>
      <c r="P235" s="978"/>
      <c r="Q235" s="999">
        <f t="shared" ref="Q235:AE235" si="534">Q240/Q227</f>
        <v>0.1744</v>
      </c>
      <c r="R235" s="999">
        <f t="shared" si="534"/>
        <v>0.18559999999999999</v>
      </c>
      <c r="S235" s="999">
        <f t="shared" si="534"/>
        <v>0.19680000000000003</v>
      </c>
      <c r="T235" s="999">
        <f t="shared" si="534"/>
        <v>0.21080000000000002</v>
      </c>
      <c r="U235" s="999">
        <f t="shared" si="534"/>
        <v>0.21406383390516409</v>
      </c>
      <c r="V235" s="999">
        <f t="shared" si="534"/>
        <v>0.21594086798529957</v>
      </c>
      <c r="W235" s="999">
        <f t="shared" si="534"/>
        <v>0.19813812154696134</v>
      </c>
      <c r="X235" s="999">
        <f t="shared" si="534"/>
        <v>0.20758270074517723</v>
      </c>
      <c r="Y235" s="999">
        <f t="shared" ref="Y235:Z235" si="535">Y240/Y227</f>
        <v>0.2328975567938277</v>
      </c>
      <c r="Z235" s="999">
        <f t="shared" si="535"/>
        <v>0.23269172932330826</v>
      </c>
      <c r="AA235" s="999">
        <f t="shared" si="534"/>
        <v>0.26189038825442645</v>
      </c>
      <c r="AB235" s="999">
        <f t="shared" si="534"/>
        <v>0.26442427798666457</v>
      </c>
      <c r="AC235" s="999">
        <f t="shared" si="534"/>
        <v>0.26582076981008723</v>
      </c>
      <c r="AD235" s="999">
        <f t="shared" si="534"/>
        <v>0.26543126858006205</v>
      </c>
      <c r="AE235" s="999">
        <f t="shared" si="534"/>
        <v>0.26556344875191307</v>
      </c>
      <c r="AF235" s="999">
        <f t="shared" ref="AF235:AG235" si="536">AF240/AF227</f>
        <v>0.26333895911935173</v>
      </c>
      <c r="AG235" s="999">
        <f t="shared" si="536"/>
        <v>0.26891889624007925</v>
      </c>
      <c r="AH235" s="999">
        <f t="shared" ref="AH235:AQ235" si="537">AH240/AH227</f>
        <v>0.27151857809390517</v>
      </c>
      <c r="AI235" s="999">
        <f t="shared" si="537"/>
        <v>0.27498633487129071</v>
      </c>
      <c r="AJ235" s="999">
        <f t="shared" si="537"/>
        <v>0.27918437511834338</v>
      </c>
      <c r="AK235" s="999">
        <f t="shared" si="537"/>
        <v>0.28626165789340102</v>
      </c>
      <c r="AL235" s="999">
        <f t="shared" si="537"/>
        <v>0.29701252658091759</v>
      </c>
      <c r="AM235" s="999">
        <f t="shared" si="537"/>
        <v>0.30668558208777175</v>
      </c>
      <c r="AN235" s="999">
        <f t="shared" si="537"/>
        <v>0.3187283594514243</v>
      </c>
      <c r="AO235" s="999">
        <f t="shared" si="537"/>
        <v>0.32663611426569444</v>
      </c>
      <c r="AP235" s="999">
        <f t="shared" si="537"/>
        <v>0.33585468615121722</v>
      </c>
      <c r="AQ235" s="999">
        <f t="shared" si="537"/>
        <v>0.34170239605956126</v>
      </c>
    </row>
    <row r="236" spans="2:43">
      <c r="B236" s="1025"/>
      <c r="C236" s="967"/>
      <c r="D236" s="967"/>
      <c r="E236" s="967"/>
      <c r="F236" s="967"/>
      <c r="G236" s="967"/>
      <c r="H236" s="967"/>
      <c r="I236" s="967"/>
      <c r="J236" s="967"/>
      <c r="K236" s="968"/>
      <c r="L236" s="967"/>
      <c r="M236" s="967"/>
      <c r="N236" s="967"/>
      <c r="O236" s="967"/>
      <c r="P236" s="967"/>
      <c r="Q236" s="967"/>
      <c r="R236" s="967"/>
      <c r="S236" s="967"/>
      <c r="T236" s="967"/>
      <c r="U236" s="967"/>
      <c r="V236" s="967"/>
      <c r="W236" s="967"/>
      <c r="X236" s="967"/>
      <c r="Y236" s="967"/>
      <c r="Z236" s="967"/>
      <c r="AA236" s="967"/>
      <c r="AB236" s="967"/>
      <c r="AC236" s="967"/>
      <c r="AD236" s="967"/>
      <c r="AE236" s="967"/>
      <c r="AF236" s="967"/>
      <c r="AG236" s="967"/>
      <c r="AH236" s="967"/>
      <c r="AI236" s="967"/>
      <c r="AJ236" s="967"/>
      <c r="AK236" s="967"/>
      <c r="AL236" s="967"/>
      <c r="AM236" s="967"/>
      <c r="AN236" s="967"/>
      <c r="AO236" s="967"/>
      <c r="AP236" s="967"/>
      <c r="AQ236" s="967"/>
    </row>
    <row r="237" spans="2:43" ht="12">
      <c r="B237" s="1034" t="s">
        <v>73</v>
      </c>
      <c r="C237" s="967"/>
      <c r="D237" s="967"/>
      <c r="E237" s="967"/>
      <c r="F237" s="967"/>
      <c r="G237" s="967"/>
      <c r="H237" s="967"/>
      <c r="I237" s="967"/>
      <c r="J237" s="967"/>
      <c r="K237" s="968"/>
      <c r="L237" s="967"/>
      <c r="M237" s="967"/>
      <c r="N237" s="967"/>
      <c r="O237" s="967"/>
      <c r="P237" s="967"/>
      <c r="Q237" s="967"/>
      <c r="R237" s="967"/>
      <c r="S237" s="967"/>
      <c r="T237" s="967"/>
      <c r="U237" s="967"/>
      <c r="V237" s="967"/>
      <c r="W237" s="967"/>
      <c r="X237" s="967"/>
      <c r="Y237" s="967"/>
      <c r="Z237" s="967"/>
      <c r="AA237" s="967"/>
      <c r="AB237" s="967"/>
      <c r="AC237" s="967"/>
      <c r="AD237" s="967"/>
      <c r="AE237" s="967"/>
      <c r="AF237" s="967"/>
      <c r="AG237" s="967"/>
      <c r="AH237" s="967"/>
      <c r="AI237" s="967"/>
      <c r="AJ237" s="967"/>
      <c r="AK237" s="967"/>
      <c r="AL237" s="967"/>
      <c r="AM237" s="967"/>
      <c r="AN237" s="967"/>
      <c r="AO237" s="967"/>
      <c r="AP237" s="967"/>
      <c r="AQ237" s="967"/>
    </row>
    <row r="238" spans="2:43">
      <c r="B238" s="1025" t="s">
        <v>616</v>
      </c>
      <c r="C238" s="967"/>
      <c r="D238" s="967"/>
      <c r="E238" s="967"/>
      <c r="F238" s="967"/>
      <c r="G238" s="967"/>
      <c r="H238" s="967"/>
      <c r="I238" s="967"/>
      <c r="J238" s="967"/>
      <c r="K238" s="968"/>
      <c r="L238" s="967"/>
      <c r="M238" s="967"/>
      <c r="N238" s="967"/>
      <c r="O238" s="967"/>
      <c r="P238" s="967"/>
      <c r="Q238" s="1000">
        <f t="shared" ref="Q238:AE239" si="538">Q225*Q233</f>
        <v>349.29440000000005</v>
      </c>
      <c r="R238" s="1000">
        <f t="shared" si="538"/>
        <v>340.91366399999998</v>
      </c>
      <c r="S238" s="1000">
        <f t="shared" si="538"/>
        <v>342.01024000000007</v>
      </c>
      <c r="T238" s="1000">
        <f t="shared" si="538"/>
        <v>307.32</v>
      </c>
      <c r="U238" s="1000">
        <f t="shared" si="538"/>
        <v>344.05040000000002</v>
      </c>
      <c r="V238" s="1000">
        <f t="shared" si="538"/>
        <v>360</v>
      </c>
      <c r="W238" s="1000">
        <f t="shared" si="538"/>
        <v>252.08000000000004</v>
      </c>
      <c r="X238" s="1000">
        <f t="shared" si="538"/>
        <v>230.6</v>
      </c>
      <c r="Y238" s="1000">
        <f t="shared" ref="Y238:Z238" si="539">Y225*Y233</f>
        <v>232.24000000000004</v>
      </c>
      <c r="Z238" s="1000">
        <f t="shared" si="539"/>
        <v>298.09538131041899</v>
      </c>
      <c r="AA238" s="1000">
        <f t="shared" si="538"/>
        <v>307.38592</v>
      </c>
      <c r="AB238" s="1000">
        <f t="shared" si="538"/>
        <v>372.81720344000001</v>
      </c>
      <c r="AC238" s="1000">
        <f t="shared" si="538"/>
        <v>441.33536650640008</v>
      </c>
      <c r="AD238" s="1000">
        <f t="shared" si="538"/>
        <v>515.4036487266311</v>
      </c>
      <c r="AE238" s="1000">
        <f t="shared" si="538"/>
        <v>646.88725098762791</v>
      </c>
      <c r="AF238" s="1000">
        <f t="shared" ref="AF238:AG238" si="540">AF225*AF233</f>
        <v>661.37179615663536</v>
      </c>
      <c r="AG238" s="1000">
        <f t="shared" si="540"/>
        <v>793.20344368581812</v>
      </c>
      <c r="AH238" s="1000">
        <f t="shared" ref="AH238:AQ238" si="541">AH225*AH233</f>
        <v>855.40761850731076</v>
      </c>
      <c r="AI238" s="1000">
        <f t="shared" si="541"/>
        <v>921.70539383204766</v>
      </c>
      <c r="AJ238" s="1000">
        <f t="shared" si="541"/>
        <v>941.87367200470692</v>
      </c>
      <c r="AK238" s="1000">
        <f t="shared" si="541"/>
        <v>898.59507559564759</v>
      </c>
      <c r="AL238" s="1000">
        <f t="shared" si="541"/>
        <v>872.39170455590192</v>
      </c>
      <c r="AM238" s="1000">
        <f t="shared" si="541"/>
        <v>842.26543711582531</v>
      </c>
      <c r="AN238" s="1000">
        <f t="shared" si="541"/>
        <v>776.22058672735261</v>
      </c>
      <c r="AO238" s="1000">
        <f t="shared" si="541"/>
        <v>718.62883985112092</v>
      </c>
      <c r="AP238" s="1000">
        <f t="shared" si="541"/>
        <v>620.44141857316845</v>
      </c>
      <c r="AQ238" s="1000">
        <f t="shared" si="541"/>
        <v>548.95438167648126</v>
      </c>
    </row>
    <row r="239" spans="2:43">
      <c r="B239" s="1025" t="s">
        <v>617</v>
      </c>
      <c r="C239" s="967"/>
      <c r="D239" s="967"/>
      <c r="E239" s="967"/>
      <c r="F239" s="967"/>
      <c r="G239" s="967"/>
      <c r="H239" s="967"/>
      <c r="I239" s="967"/>
      <c r="J239" s="967"/>
      <c r="K239" s="968"/>
      <c r="L239" s="967"/>
      <c r="M239" s="967"/>
      <c r="N239" s="967"/>
      <c r="O239" s="967"/>
      <c r="P239" s="967"/>
      <c r="Q239" s="1000">
        <f t="shared" si="538"/>
        <v>2579.4047999999998</v>
      </c>
      <c r="R239" s="1000">
        <f t="shared" si="538"/>
        <v>2954.5850879999994</v>
      </c>
      <c r="S239" s="1000">
        <f t="shared" si="538"/>
        <v>3482.2860800000008</v>
      </c>
      <c r="T239" s="1000">
        <f t="shared" si="538"/>
        <v>3845.44</v>
      </c>
      <c r="U239" s="1000">
        <f t="shared" si="538"/>
        <v>4522.4768000000004</v>
      </c>
      <c r="V239" s="1000">
        <f t="shared" si="538"/>
        <v>4869.4399999999996</v>
      </c>
      <c r="W239" s="1000">
        <f t="shared" si="538"/>
        <v>2616.9600000000005</v>
      </c>
      <c r="X239" s="1000">
        <f t="shared" si="538"/>
        <v>2750.08</v>
      </c>
      <c r="Y239" s="1000">
        <f t="shared" ref="Y239:Z239" si="542">Y226*Y234</f>
        <v>4114.5600000000004</v>
      </c>
      <c r="Z239" s="1000">
        <f t="shared" si="542"/>
        <v>5263.2369495166486</v>
      </c>
      <c r="AA239" s="1000">
        <f t="shared" si="538"/>
        <v>6660.9168804640012</v>
      </c>
      <c r="AB239" s="1000">
        <f t="shared" si="538"/>
        <v>7878.8113703415002</v>
      </c>
      <c r="AC239" s="1000">
        <f t="shared" si="538"/>
        <v>9169.480995816768</v>
      </c>
      <c r="AD239" s="1000">
        <f t="shared" si="538"/>
        <v>9941.3711196544682</v>
      </c>
      <c r="AE239" s="1000">
        <f t="shared" si="538"/>
        <v>10528.547422739466</v>
      </c>
      <c r="AF239" s="1000">
        <f t="shared" ref="AF239:AG239" si="543">AF226*AF234</f>
        <v>10452.547315233156</v>
      </c>
      <c r="AG239" s="1000">
        <f t="shared" si="543"/>
        <v>11880.678580421085</v>
      </c>
      <c r="AH239" s="1000">
        <f t="shared" ref="AH239:AQ239" si="544">AH226*AH234</f>
        <v>13275.212821685758</v>
      </c>
      <c r="AI239" s="1000">
        <f t="shared" si="544"/>
        <v>14514.175213870521</v>
      </c>
      <c r="AJ239" s="1000">
        <f t="shared" si="544"/>
        <v>15193.970053202225</v>
      </c>
      <c r="AK239" s="1000">
        <f t="shared" si="544"/>
        <v>15424.165110066539</v>
      </c>
      <c r="AL239" s="1000">
        <f t="shared" si="544"/>
        <v>16739.253577661497</v>
      </c>
      <c r="AM239" s="1000">
        <f t="shared" si="544"/>
        <v>18534.961592052612</v>
      </c>
      <c r="AN239" s="1000">
        <f t="shared" si="544"/>
        <v>20532.86813807959</v>
      </c>
      <c r="AO239" s="1000">
        <f t="shared" si="544"/>
        <v>21678.098194051145</v>
      </c>
      <c r="AP239" s="1000">
        <f t="shared" si="544"/>
        <v>22119.288389427922</v>
      </c>
      <c r="AQ239" s="1000">
        <f t="shared" si="544"/>
        <v>21974.324519549966</v>
      </c>
    </row>
    <row r="240" spans="2:43" s="961" customFormat="1" ht="12">
      <c r="B240" s="1027" t="s">
        <v>618</v>
      </c>
      <c r="C240" s="978"/>
      <c r="D240" s="978"/>
      <c r="E240" s="978"/>
      <c r="F240" s="978"/>
      <c r="G240" s="978"/>
      <c r="H240" s="978"/>
      <c r="I240" s="978"/>
      <c r="J240" s="978"/>
      <c r="K240" s="979"/>
      <c r="L240" s="978"/>
      <c r="M240" s="978"/>
      <c r="N240" s="978"/>
      <c r="O240" s="978"/>
      <c r="P240" s="978"/>
      <c r="Q240" s="1001">
        <f>SUM(Q238:Q239)</f>
        <v>2928.6992</v>
      </c>
      <c r="R240" s="1001">
        <f t="shared" ref="R240:AE240" si="545">SUM(R238:R239)</f>
        <v>3295.4987519999995</v>
      </c>
      <c r="S240" s="1001">
        <f t="shared" si="545"/>
        <v>3824.2963200000008</v>
      </c>
      <c r="T240" s="1001">
        <f t="shared" si="545"/>
        <v>4152.76</v>
      </c>
      <c r="U240" s="1001">
        <f t="shared" si="545"/>
        <v>4866.5272000000004</v>
      </c>
      <c r="V240" s="1001">
        <f t="shared" si="545"/>
        <v>5229.4399999999996</v>
      </c>
      <c r="W240" s="1001">
        <f t="shared" si="545"/>
        <v>2869.0400000000004</v>
      </c>
      <c r="X240" s="1001">
        <f t="shared" si="545"/>
        <v>2980.68</v>
      </c>
      <c r="Y240" s="1001">
        <f t="shared" ref="Y240:Z240" si="546">SUM(Y238:Y239)</f>
        <v>4346.8</v>
      </c>
      <c r="Z240" s="1001">
        <f t="shared" si="546"/>
        <v>5561.3323308270674</v>
      </c>
      <c r="AA240" s="1001">
        <f t="shared" si="545"/>
        <v>6968.3028004640009</v>
      </c>
      <c r="AB240" s="1001">
        <f t="shared" si="545"/>
        <v>8251.6285737814997</v>
      </c>
      <c r="AC240" s="1001">
        <f t="shared" si="545"/>
        <v>9610.8163623231685</v>
      </c>
      <c r="AD240" s="1001">
        <f t="shared" si="545"/>
        <v>10456.774768381099</v>
      </c>
      <c r="AE240" s="1001">
        <f t="shared" si="545"/>
        <v>11175.434673727093</v>
      </c>
      <c r="AF240" s="1001">
        <f t="shared" ref="AF240:AG240" si="547">SUM(AF238:AF239)</f>
        <v>11113.91911138979</v>
      </c>
      <c r="AG240" s="1001">
        <f t="shared" si="547"/>
        <v>12673.882024106902</v>
      </c>
      <c r="AH240" s="1001">
        <f t="shared" ref="AH240:AQ240" si="548">SUM(AH238:AH239)</f>
        <v>14130.620440193068</v>
      </c>
      <c r="AI240" s="1001">
        <f t="shared" si="548"/>
        <v>15435.880607702569</v>
      </c>
      <c r="AJ240" s="1001">
        <f t="shared" si="548"/>
        <v>16135.843725206933</v>
      </c>
      <c r="AK240" s="1001">
        <f t="shared" si="548"/>
        <v>16322.760185662186</v>
      </c>
      <c r="AL240" s="1001">
        <f t="shared" si="548"/>
        <v>17611.6452822174</v>
      </c>
      <c r="AM240" s="1001">
        <f t="shared" si="548"/>
        <v>19377.227029168436</v>
      </c>
      <c r="AN240" s="1001">
        <f t="shared" si="548"/>
        <v>21309.088724806941</v>
      </c>
      <c r="AO240" s="1001">
        <f t="shared" si="548"/>
        <v>22396.727033902265</v>
      </c>
      <c r="AP240" s="1001">
        <f t="shared" si="548"/>
        <v>22739.729808001091</v>
      </c>
      <c r="AQ240" s="1001">
        <f t="shared" si="548"/>
        <v>22523.278901226447</v>
      </c>
    </row>
    <row r="241" spans="2:43">
      <c r="B241" s="1025"/>
      <c r="C241" s="967"/>
      <c r="D241" s="967"/>
      <c r="E241" s="967"/>
      <c r="F241" s="967"/>
      <c r="G241" s="967"/>
      <c r="H241" s="967"/>
      <c r="I241" s="967"/>
      <c r="J241" s="967"/>
      <c r="K241" s="968"/>
      <c r="L241" s="967"/>
      <c r="M241" s="967"/>
      <c r="N241" s="967"/>
      <c r="O241" s="967"/>
      <c r="P241" s="967"/>
      <c r="Q241" s="967"/>
      <c r="R241" s="967"/>
      <c r="S241" s="967"/>
      <c r="T241" s="967"/>
      <c r="U241" s="967"/>
      <c r="V241" s="967"/>
      <c r="W241" s="967"/>
      <c r="X241" s="967"/>
      <c r="Y241" s="967"/>
      <c r="Z241" s="967"/>
      <c r="AA241" s="967"/>
      <c r="AB241" s="967"/>
      <c r="AC241" s="967"/>
      <c r="AD241" s="967"/>
      <c r="AE241" s="967"/>
      <c r="AF241" s="967"/>
      <c r="AG241" s="967"/>
      <c r="AH241" s="967"/>
      <c r="AI241" s="967"/>
      <c r="AJ241" s="967"/>
      <c r="AK241" s="967"/>
      <c r="AL241" s="967"/>
      <c r="AM241" s="967"/>
      <c r="AN241" s="967"/>
      <c r="AO241" s="967"/>
      <c r="AP241" s="967"/>
      <c r="AQ241" s="967"/>
    </row>
    <row r="242" spans="2:43" ht="12" thickBot="1">
      <c r="B242" s="1035"/>
      <c r="C242" s="1002"/>
      <c r="D242" s="1002"/>
      <c r="E242" s="1002"/>
      <c r="F242" s="1002"/>
      <c r="G242" s="1002"/>
      <c r="H242" s="1002"/>
      <c r="I242" s="1002"/>
      <c r="J242" s="1002"/>
      <c r="K242" s="1003"/>
      <c r="L242" s="1002"/>
      <c r="M242" s="1002"/>
      <c r="N242" s="1002"/>
      <c r="O242" s="1002"/>
      <c r="P242" s="1002"/>
      <c r="Q242" s="1002"/>
      <c r="R242" s="1002"/>
      <c r="S242" s="1002"/>
      <c r="T242" s="1002"/>
      <c r="U242" s="1002"/>
      <c r="V242" s="1002"/>
      <c r="W242" s="1002"/>
      <c r="X242" s="1002"/>
      <c r="Y242" s="1002"/>
      <c r="Z242" s="1002"/>
      <c r="AA242" s="1002"/>
      <c r="AB242" s="1002"/>
      <c r="AC242" s="1002"/>
      <c r="AD242" s="1002"/>
      <c r="AE242" s="1002"/>
      <c r="AF242" s="1002"/>
      <c r="AG242" s="1002"/>
      <c r="AH242" s="1002"/>
      <c r="AI242" s="1002"/>
      <c r="AJ242" s="1002"/>
      <c r="AK242" s="1002"/>
      <c r="AL242" s="1002"/>
      <c r="AM242" s="1002"/>
      <c r="AN242" s="1002"/>
      <c r="AO242" s="1002"/>
      <c r="AP242" s="1002"/>
      <c r="AQ242" s="1002"/>
    </row>
    <row r="257" s="952" customFormat="1"/>
    <row r="258" s="952" customFormat="1"/>
    <row r="259" s="952" customFormat="1"/>
    <row r="260" s="952" customFormat="1"/>
    <row r="261" s="952" customFormat="1"/>
    <row r="262" s="952" customFormat="1"/>
    <row r="263" s="952" customFormat="1"/>
    <row r="264" s="952" customFormat="1"/>
    <row r="265" s="952" customFormat="1"/>
    <row r="266" s="952" customFormat="1"/>
    <row r="267" s="952" customFormat="1"/>
    <row r="268" s="952" customFormat="1"/>
    <row r="269" s="952" customFormat="1"/>
    <row r="270" s="952" customFormat="1"/>
    <row r="271" s="952" customFormat="1"/>
    <row r="272" s="952" customFormat="1"/>
  </sheetData>
  <printOptions horizontalCentered="1" verticalCentered="1"/>
  <pageMargins left="0.7" right="0.7" top="0.75" bottom="0.75" header="0.3" footer="0.3"/>
  <pageSetup scale="10" orientation="portrait" r:id="rId1"/>
  <customProperties>
    <customPr name="Qube.Worksheet.Visibility" r:id="rId2"/>
  </customPropertie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pageSetUpPr fitToPage="1"/>
  </sheetPr>
  <dimension ref="A1:DV151"/>
  <sheetViews>
    <sheetView showGridLines="0" tabSelected="1" zoomScaleNormal="100" zoomScaleSheetLayoutView="85" workbookViewId="0">
      <pane xSplit="2" ySplit="4" topLeftCell="C5" activePane="bottomRight" state="frozen"/>
      <selection activeCell="CV6" sqref="CV6"/>
      <selection pane="topRight" activeCell="CV6" sqref="CV6"/>
      <selection pane="bottomLeft" activeCell="CV6" sqref="CV6"/>
      <selection pane="bottomRight" activeCell="BQ5" sqref="BQ5"/>
    </sheetView>
  </sheetViews>
  <sheetFormatPr defaultColWidth="9.75" defaultRowHeight="11.4" outlineLevelRow="2" outlineLevelCol="3"/>
  <cols>
    <col min="1" max="1" width="1.75" style="131" customWidth="1"/>
    <col min="2" max="2" width="41.75" style="131" customWidth="1"/>
    <col min="3" max="9" width="9.75" style="131" hidden="1" customWidth="1" outlineLevel="1"/>
    <col min="10" max="13" width="9.75" style="131" hidden="1" customWidth="1" outlineLevel="2"/>
    <col min="14" max="14" width="9.75" style="132" hidden="1" customWidth="1" outlineLevel="1"/>
    <col min="15" max="18" width="9.75" style="131" hidden="1" customWidth="1" outlineLevel="2"/>
    <col min="19" max="19" width="9.75" style="132" hidden="1" customWidth="1" outlineLevel="2" collapsed="1"/>
    <col min="20" max="23" width="9.75" style="131" hidden="1" customWidth="1" outlineLevel="3"/>
    <col min="24" max="24" width="9.75" style="132" hidden="1" customWidth="1" outlineLevel="2"/>
    <col min="25" max="28" width="9.75" style="131" hidden="1" customWidth="1" outlineLevel="3"/>
    <col min="29" max="29" width="9.75" style="132" hidden="1" customWidth="1" outlineLevel="2"/>
    <col min="30" max="33" width="9.75" style="131" hidden="1" customWidth="1" outlineLevel="3"/>
    <col min="34" max="34" width="9.75" style="132" hidden="1" customWidth="1" outlineLevel="2"/>
    <col min="35" max="38" width="9.75" style="131" hidden="1" customWidth="1" outlineLevel="3"/>
    <col min="39" max="39" width="9.75" style="132" hidden="1" customWidth="1" outlineLevel="2"/>
    <col min="40" max="43" width="9.75" style="131" hidden="1" customWidth="1" outlineLevel="3"/>
    <col min="44" max="44" width="9.75" style="131" hidden="1" customWidth="1" outlineLevel="2"/>
    <col min="45" max="48" width="9.75" style="131" hidden="1" customWidth="1" outlineLevel="3"/>
    <col min="49" max="53" width="9.75" style="131" hidden="1" customWidth="1" outlineLevel="2"/>
    <col min="54" max="58" width="9.75" style="131" hidden="1" customWidth="1" outlineLevel="1"/>
    <col min="59" max="59" width="0" style="131" hidden="1" customWidth="1" collapsed="1"/>
    <col min="60" max="63" width="9.75" style="131" hidden="1" customWidth="1" outlineLevel="1"/>
    <col min="64" max="64" width="0" style="131" hidden="1" customWidth="1" collapsed="1"/>
    <col min="65" max="68" width="9.75" style="131" hidden="1" customWidth="1" outlineLevel="1"/>
    <col min="69" max="69" width="9.75" style="131" collapsed="1"/>
    <col min="70" max="73" width="9.75" style="131" hidden="1" customWidth="1" outlineLevel="1"/>
    <col min="74" max="74" width="9.75" style="131" collapsed="1"/>
    <col min="75" max="78" width="9.75" style="131" hidden="1" customWidth="1" outlineLevel="1"/>
    <col min="79" max="79" width="9.75" style="131" collapsed="1"/>
    <col min="80" max="83" width="9.75" style="131" hidden="1" customWidth="1" outlineLevel="1"/>
    <col min="84" max="84" width="9.75" style="131" collapsed="1"/>
    <col min="85" max="88" width="9.75" style="131" hidden="1" customWidth="1" outlineLevel="1"/>
    <col min="89" max="89" width="9.75" style="131" collapsed="1"/>
    <col min="90" max="93" width="9.75" style="131" hidden="1" customWidth="1" outlineLevel="1"/>
    <col min="94" max="94" width="9.75" style="131" collapsed="1"/>
    <col min="95" max="98" width="9.75" style="131" hidden="1" customWidth="1" outlineLevel="1"/>
    <col min="99" max="99" width="9.75" style="131" collapsed="1"/>
    <col min="100" max="103" width="9.75" style="131" hidden="1" customWidth="1" outlineLevel="1"/>
    <col min="104" max="104" width="9.75" style="131" collapsed="1"/>
    <col min="105" max="108" width="9.75" style="131" hidden="1" customWidth="1" outlineLevel="1"/>
    <col min="109" max="109" width="9.75" style="131" collapsed="1"/>
    <col min="110" max="113" width="9.75" style="131" hidden="1" customWidth="1" outlineLevel="1"/>
    <col min="114" max="114" width="9.75" style="131" collapsed="1"/>
    <col min="115" max="118" width="9.75" style="131" customWidth="1" outlineLevel="1"/>
    <col min="119" max="119" width="9.75" style="131"/>
    <col min="120" max="123" width="9.75" style="131" hidden="1" customWidth="1" outlineLevel="1"/>
    <col min="124" max="124" width="9.75" style="131" collapsed="1"/>
    <col min="125" max="16384" width="9.75" style="131"/>
  </cols>
  <sheetData>
    <row r="1" spans="1:126" ht="12" customHeight="1" thickBot="1"/>
    <row r="2" spans="1:126" ht="6" customHeight="1">
      <c r="C2" s="129"/>
      <c r="D2" s="129"/>
      <c r="E2" s="129"/>
      <c r="F2" s="129"/>
      <c r="G2" s="129"/>
      <c r="H2" s="129"/>
      <c r="I2" s="129"/>
      <c r="J2" s="133"/>
      <c r="K2" s="133"/>
      <c r="L2" s="133"/>
      <c r="M2" s="133"/>
      <c r="N2" s="134"/>
      <c r="S2" s="134"/>
      <c r="X2" s="134"/>
      <c r="AC2" s="134"/>
      <c r="AH2" s="134"/>
      <c r="AM2" s="134"/>
      <c r="AR2" s="129"/>
      <c r="AW2" s="129"/>
      <c r="BB2" s="129"/>
      <c r="BG2" s="129"/>
      <c r="BL2" s="129"/>
      <c r="BQ2" s="129"/>
      <c r="BV2" s="129"/>
      <c r="CA2" s="129"/>
      <c r="CF2" s="129"/>
      <c r="CK2" s="129"/>
      <c r="CP2" s="129"/>
      <c r="CU2" s="129"/>
      <c r="CZ2" s="129"/>
      <c r="DE2" s="129"/>
      <c r="DJ2" s="129"/>
      <c r="DO2" s="129"/>
      <c r="DT2" s="129"/>
      <c r="DU2" s="129"/>
      <c r="DV2" s="129"/>
    </row>
    <row r="3" spans="1:126" ht="15.6">
      <c r="B3" s="120" t="s">
        <v>377</v>
      </c>
      <c r="C3" s="368">
        <v>1997</v>
      </c>
      <c r="D3" s="368">
        <v>1998</v>
      </c>
      <c r="E3" s="368">
        <v>1999</v>
      </c>
      <c r="F3" s="368">
        <v>2000</v>
      </c>
      <c r="G3" s="368">
        <v>2001</v>
      </c>
      <c r="H3" s="368">
        <v>2002</v>
      </c>
      <c r="I3" s="368">
        <v>2003</v>
      </c>
      <c r="J3" s="183" t="s">
        <v>0</v>
      </c>
      <c r="K3" s="183" t="s">
        <v>1</v>
      </c>
      <c r="L3" s="183" t="s">
        <v>2</v>
      </c>
      <c r="M3" s="183" t="s">
        <v>3</v>
      </c>
      <c r="N3" s="370">
        <v>2004</v>
      </c>
      <c r="O3" s="183" t="s">
        <v>4</v>
      </c>
      <c r="P3" s="183" t="s">
        <v>5</v>
      </c>
      <c r="Q3" s="183" t="s">
        <v>6</v>
      </c>
      <c r="R3" s="183" t="s">
        <v>7</v>
      </c>
      <c r="S3" s="370">
        <v>2005</v>
      </c>
      <c r="T3" s="183" t="s">
        <v>8</v>
      </c>
      <c r="U3" s="183" t="s">
        <v>9</v>
      </c>
      <c r="V3" s="183" t="s">
        <v>10</v>
      </c>
      <c r="W3" s="183" t="s">
        <v>11</v>
      </c>
      <c r="X3" s="370">
        <v>2006</v>
      </c>
      <c r="Y3" s="183" t="s">
        <v>12</v>
      </c>
      <c r="Z3" s="183" t="s">
        <v>13</v>
      </c>
      <c r="AA3" s="183" t="s">
        <v>14</v>
      </c>
      <c r="AB3" s="183" t="s">
        <v>15</v>
      </c>
      <c r="AC3" s="370">
        <v>2007</v>
      </c>
      <c r="AD3" s="183" t="s">
        <v>16</v>
      </c>
      <c r="AE3" s="183" t="s">
        <v>17</v>
      </c>
      <c r="AF3" s="183" t="s">
        <v>18</v>
      </c>
      <c r="AG3" s="183" t="s">
        <v>19</v>
      </c>
      <c r="AH3" s="370">
        <v>2008</v>
      </c>
      <c r="AI3" s="183" t="s">
        <v>20</v>
      </c>
      <c r="AJ3" s="183" t="s">
        <v>21</v>
      </c>
      <c r="AK3" s="183" t="s">
        <v>22</v>
      </c>
      <c r="AL3" s="183" t="s">
        <v>179</v>
      </c>
      <c r="AM3" s="370">
        <v>2009</v>
      </c>
      <c r="AN3" s="183" t="s">
        <v>139</v>
      </c>
      <c r="AO3" s="121" t="s">
        <v>180</v>
      </c>
      <c r="AP3" s="121" t="s">
        <v>181</v>
      </c>
      <c r="AQ3" s="121" t="s">
        <v>182</v>
      </c>
      <c r="AR3" s="369">
        <v>2010</v>
      </c>
      <c r="AS3" s="121" t="s">
        <v>183</v>
      </c>
      <c r="AT3" s="121" t="s">
        <v>184</v>
      </c>
      <c r="AU3" s="121" t="s">
        <v>185</v>
      </c>
      <c r="AV3" s="121" t="s">
        <v>186</v>
      </c>
      <c r="AW3" s="369">
        <v>2011</v>
      </c>
      <c r="AX3" s="121" t="s">
        <v>210</v>
      </c>
      <c r="AY3" s="121" t="s">
        <v>211</v>
      </c>
      <c r="AZ3" s="121" t="s">
        <v>212</v>
      </c>
      <c r="BA3" s="121" t="s">
        <v>213</v>
      </c>
      <c r="BB3" s="369">
        <v>2012</v>
      </c>
      <c r="BC3" s="121" t="s">
        <v>217</v>
      </c>
      <c r="BD3" s="121" t="s">
        <v>218</v>
      </c>
      <c r="BE3" s="121" t="s">
        <v>219</v>
      </c>
      <c r="BF3" s="121" t="s">
        <v>220</v>
      </c>
      <c r="BG3" s="369">
        <v>2013</v>
      </c>
      <c r="BH3" s="121" t="s">
        <v>221</v>
      </c>
      <c r="BI3" s="121" t="s">
        <v>222</v>
      </c>
      <c r="BJ3" s="121" t="s">
        <v>223</v>
      </c>
      <c r="BK3" s="121" t="s">
        <v>224</v>
      </c>
      <c r="BL3" s="369">
        <v>2014</v>
      </c>
      <c r="BM3" s="121" t="s">
        <v>265</v>
      </c>
      <c r="BN3" s="121" t="s">
        <v>266</v>
      </c>
      <c r="BO3" s="121" t="s">
        <v>267</v>
      </c>
      <c r="BP3" s="121" t="s">
        <v>268</v>
      </c>
      <c r="BQ3" s="369">
        <v>2015</v>
      </c>
      <c r="BR3" s="121" t="s">
        <v>269</v>
      </c>
      <c r="BS3" s="121" t="s">
        <v>270</v>
      </c>
      <c r="BT3" s="121" t="s">
        <v>271</v>
      </c>
      <c r="BU3" s="121" t="s">
        <v>272</v>
      </c>
      <c r="BV3" s="369">
        <v>2016</v>
      </c>
      <c r="BW3" s="121" t="s">
        <v>273</v>
      </c>
      <c r="BX3" s="121" t="s">
        <v>274</v>
      </c>
      <c r="BY3" s="121" t="s">
        <v>275</v>
      </c>
      <c r="BZ3" s="121" t="s">
        <v>276</v>
      </c>
      <c r="CA3" s="369">
        <v>2017</v>
      </c>
      <c r="CB3" s="121" t="s">
        <v>327</v>
      </c>
      <c r="CC3" s="121" t="s">
        <v>328</v>
      </c>
      <c r="CD3" s="121" t="s">
        <v>329</v>
      </c>
      <c r="CE3" s="121" t="s">
        <v>330</v>
      </c>
      <c r="CF3" s="369">
        <v>2018</v>
      </c>
      <c r="CG3" s="121" t="s">
        <v>341</v>
      </c>
      <c r="CH3" s="121" t="s">
        <v>342</v>
      </c>
      <c r="CI3" s="121" t="s">
        <v>343</v>
      </c>
      <c r="CJ3" s="121"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543</v>
      </c>
      <c r="DN3" s="121" t="s">
        <v>544</v>
      </c>
      <c r="DO3" s="369" t="s">
        <v>363</v>
      </c>
      <c r="DP3" s="121" t="s">
        <v>649</v>
      </c>
      <c r="DQ3" s="121" t="s">
        <v>650</v>
      </c>
      <c r="DR3" s="121" t="s">
        <v>651</v>
      </c>
      <c r="DS3" s="121" t="s">
        <v>652</v>
      </c>
      <c r="DT3" s="369" t="s">
        <v>455</v>
      </c>
      <c r="DU3" s="369" t="s">
        <v>456</v>
      </c>
      <c r="DV3" s="369" t="s">
        <v>559</v>
      </c>
    </row>
    <row r="4" spans="1:126" ht="13.2">
      <c r="B4" s="184" t="s">
        <v>81</v>
      </c>
      <c r="C4" s="185">
        <v>35795</v>
      </c>
      <c r="D4" s="185">
        <v>36160</v>
      </c>
      <c r="E4" s="185">
        <v>36525</v>
      </c>
      <c r="F4" s="185">
        <v>36891</v>
      </c>
      <c r="G4" s="185">
        <v>37256</v>
      </c>
      <c r="H4" s="185">
        <v>37621</v>
      </c>
      <c r="I4" s="185">
        <v>37986</v>
      </c>
      <c r="J4" s="186">
        <v>38077</v>
      </c>
      <c r="K4" s="186">
        <v>38168</v>
      </c>
      <c r="L4" s="186">
        <v>38260</v>
      </c>
      <c r="M4" s="186">
        <v>38352</v>
      </c>
      <c r="N4" s="125">
        <v>38352</v>
      </c>
      <c r="O4" s="186">
        <v>38442</v>
      </c>
      <c r="P4" s="186">
        <v>38533</v>
      </c>
      <c r="Q4" s="186">
        <v>38625</v>
      </c>
      <c r="R4" s="186">
        <v>38717</v>
      </c>
      <c r="S4" s="125">
        <v>38717</v>
      </c>
      <c r="T4" s="186">
        <v>38807</v>
      </c>
      <c r="U4" s="186">
        <v>38898</v>
      </c>
      <c r="V4" s="186">
        <v>38990</v>
      </c>
      <c r="W4" s="186">
        <v>39082</v>
      </c>
      <c r="X4" s="125">
        <v>39082</v>
      </c>
      <c r="Y4" s="186">
        <v>39172</v>
      </c>
      <c r="Z4" s="186">
        <v>39263</v>
      </c>
      <c r="AA4" s="186">
        <v>39355</v>
      </c>
      <c r="AB4" s="186">
        <v>39447</v>
      </c>
      <c r="AC4" s="125">
        <v>39447</v>
      </c>
      <c r="AD4" s="186">
        <v>39538</v>
      </c>
      <c r="AE4" s="186">
        <v>39629</v>
      </c>
      <c r="AF4" s="186">
        <v>39721</v>
      </c>
      <c r="AG4" s="186">
        <v>39813</v>
      </c>
      <c r="AH4" s="125">
        <v>39813</v>
      </c>
      <c r="AI4" s="186">
        <v>39903</v>
      </c>
      <c r="AJ4" s="186">
        <v>39994</v>
      </c>
      <c r="AK4" s="186">
        <v>40086</v>
      </c>
      <c r="AL4" s="186">
        <v>40178</v>
      </c>
      <c r="AM4" s="125">
        <v>40178</v>
      </c>
      <c r="AN4" s="186">
        <v>40268</v>
      </c>
      <c r="AO4" s="186">
        <v>40359</v>
      </c>
      <c r="AP4" s="186">
        <v>40451</v>
      </c>
      <c r="AQ4" s="186">
        <v>40543</v>
      </c>
      <c r="AR4" s="185">
        <v>40543</v>
      </c>
      <c r="AS4" s="186">
        <v>40633</v>
      </c>
      <c r="AT4" s="186">
        <v>40724</v>
      </c>
      <c r="AU4" s="186">
        <v>40816</v>
      </c>
      <c r="AV4" s="186">
        <v>40908</v>
      </c>
      <c r="AW4" s="185">
        <v>40908</v>
      </c>
      <c r="AX4" s="123">
        <v>40999</v>
      </c>
      <c r="AY4" s="186">
        <v>41090</v>
      </c>
      <c r="AZ4" s="123">
        <v>41182</v>
      </c>
      <c r="BA4" s="186">
        <v>41274</v>
      </c>
      <c r="BB4" s="185">
        <v>41274</v>
      </c>
      <c r="BC4" s="123">
        <v>41364</v>
      </c>
      <c r="BD4" s="123">
        <v>41455</v>
      </c>
      <c r="BE4" s="123">
        <v>41547</v>
      </c>
      <c r="BF4" s="123">
        <v>41639</v>
      </c>
      <c r="BG4" s="185">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85">
        <v>42735</v>
      </c>
      <c r="BW4" s="123">
        <v>42825</v>
      </c>
      <c r="BX4" s="123">
        <v>42916</v>
      </c>
      <c r="BY4" s="123">
        <v>43008</v>
      </c>
      <c r="BZ4" s="123">
        <v>43100</v>
      </c>
      <c r="CA4" s="185">
        <v>43100</v>
      </c>
      <c r="CB4" s="123">
        <v>43190</v>
      </c>
      <c r="CC4" s="123">
        <v>43281</v>
      </c>
      <c r="CD4" s="123">
        <v>43373</v>
      </c>
      <c r="CE4" s="123">
        <v>43465</v>
      </c>
      <c r="CF4" s="185">
        <v>43465</v>
      </c>
      <c r="CG4" s="123">
        <v>43555</v>
      </c>
      <c r="CH4" s="123">
        <v>43646</v>
      </c>
      <c r="CI4" s="123">
        <v>43738</v>
      </c>
      <c r="CJ4" s="123">
        <v>43830</v>
      </c>
      <c r="CK4" s="185">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19">
        <v>46752</v>
      </c>
      <c r="DV4" s="119">
        <v>47118</v>
      </c>
    </row>
    <row r="5" spans="1:126" s="15" customFormat="1">
      <c r="A5" s="131"/>
      <c r="B5" s="131"/>
      <c r="C5" s="135"/>
      <c r="D5" s="135"/>
      <c r="E5" s="135"/>
      <c r="F5" s="135"/>
      <c r="G5" s="135"/>
      <c r="H5" s="135"/>
      <c r="I5" s="135"/>
      <c r="J5" s="128"/>
      <c r="K5" s="128"/>
      <c r="L5" s="128"/>
      <c r="M5" s="128"/>
      <c r="N5" s="136"/>
      <c r="S5" s="136"/>
      <c r="X5" s="136"/>
      <c r="AC5" s="136"/>
      <c r="AH5" s="136"/>
      <c r="AM5" s="136"/>
      <c r="AR5" s="16"/>
      <c r="AW5" s="16"/>
      <c r="BA5" s="3"/>
      <c r="BB5" s="16"/>
      <c r="BG5" s="16"/>
      <c r="BL5" s="16"/>
      <c r="BQ5" s="16"/>
      <c r="BV5" s="16"/>
      <c r="CA5" s="16"/>
      <c r="CF5" s="16"/>
      <c r="CK5" s="16"/>
      <c r="CP5" s="16"/>
      <c r="CU5" s="16"/>
      <c r="CZ5" s="16"/>
      <c r="DE5" s="16"/>
      <c r="DJ5" s="16"/>
      <c r="DO5" s="16"/>
      <c r="DT5" s="16"/>
      <c r="DU5" s="16"/>
      <c r="DV5" s="16"/>
    </row>
    <row r="6" spans="1:126" s="15" customFormat="1" ht="12">
      <c r="B6" s="110" t="s">
        <v>71</v>
      </c>
      <c r="C6" s="16"/>
      <c r="D6" s="16"/>
      <c r="E6" s="16"/>
      <c r="F6" s="16"/>
      <c r="G6" s="16"/>
      <c r="H6" s="16"/>
      <c r="I6" s="16"/>
      <c r="J6" s="12"/>
      <c r="K6" s="12"/>
      <c r="L6" s="12"/>
      <c r="M6" s="12"/>
      <c r="N6" s="136"/>
      <c r="S6" s="136"/>
      <c r="X6" s="136"/>
      <c r="AC6" s="136"/>
      <c r="AH6" s="136"/>
      <c r="AM6" s="136"/>
      <c r="AR6" s="16"/>
      <c r="AS6" s="109"/>
      <c r="AT6" s="109"/>
      <c r="AU6" s="109"/>
      <c r="AV6" s="109"/>
      <c r="AW6" s="16"/>
      <c r="AX6" s="109"/>
      <c r="AY6" s="109"/>
      <c r="AZ6" s="109"/>
      <c r="BA6" s="109"/>
      <c r="BB6" s="16"/>
      <c r="BC6" s="109"/>
      <c r="BD6" s="109"/>
      <c r="BE6" s="109"/>
      <c r="BF6" s="109"/>
      <c r="BG6" s="16"/>
      <c r="BH6" s="109"/>
      <c r="BI6" s="109"/>
      <c r="BJ6" s="109"/>
      <c r="BK6" s="109"/>
      <c r="BL6" s="16"/>
      <c r="BM6" s="109"/>
      <c r="BN6" s="109"/>
      <c r="BO6" s="109"/>
      <c r="BP6" s="109"/>
      <c r="BQ6" s="16"/>
      <c r="BR6" s="109"/>
      <c r="BS6" s="109"/>
      <c r="BT6" s="109"/>
      <c r="BU6" s="109"/>
      <c r="BV6" s="16"/>
      <c r="BW6" s="109"/>
      <c r="BX6" s="109"/>
      <c r="BY6" s="109"/>
      <c r="BZ6" s="109"/>
      <c r="CA6" s="16"/>
      <c r="CB6" s="109"/>
      <c r="CC6" s="109"/>
      <c r="CD6" s="109"/>
      <c r="CE6" s="109"/>
      <c r="CF6" s="16"/>
      <c r="CG6" s="109"/>
      <c r="CH6" s="109"/>
      <c r="CI6" s="109"/>
      <c r="CJ6" s="109"/>
      <c r="CK6" s="16"/>
      <c r="CL6" s="109"/>
      <c r="CM6" s="109"/>
      <c r="CN6" s="109"/>
      <c r="CO6" s="109"/>
      <c r="CP6" s="16"/>
      <c r="CQ6" s="109"/>
      <c r="CR6" s="109"/>
      <c r="CS6" s="109"/>
      <c r="CT6" s="109"/>
      <c r="CU6" s="16"/>
      <c r="CV6" s="109"/>
      <c r="CW6" s="109"/>
      <c r="CX6" s="109"/>
      <c r="CY6" s="109"/>
      <c r="CZ6" s="16"/>
      <c r="DA6" s="109"/>
      <c r="DB6" s="109"/>
      <c r="DC6" s="109"/>
      <c r="DD6" s="109"/>
      <c r="DE6" s="16"/>
      <c r="DF6" s="109"/>
      <c r="DG6" s="109"/>
      <c r="DH6" s="109"/>
      <c r="DI6" s="109"/>
      <c r="DJ6" s="16"/>
      <c r="DK6" s="109"/>
      <c r="DL6" s="109"/>
      <c r="DM6" s="109"/>
      <c r="DN6" s="109"/>
      <c r="DO6" s="16"/>
      <c r="DP6" s="109"/>
      <c r="DQ6" s="109"/>
      <c r="DR6" s="109"/>
      <c r="DS6" s="109"/>
      <c r="DT6" s="16"/>
      <c r="DU6" s="16"/>
      <c r="DV6" s="16"/>
    </row>
    <row r="7" spans="1:126" s="306" customFormat="1">
      <c r="B7" s="221" t="s">
        <v>381</v>
      </c>
      <c r="C7" s="308"/>
      <c r="D7" s="308"/>
      <c r="E7" s="308"/>
      <c r="F7" s="308"/>
      <c r="G7" s="308"/>
      <c r="H7" s="308"/>
      <c r="I7" s="308"/>
      <c r="J7" s="343">
        <f>Aerospace!J71</f>
        <v>0</v>
      </c>
      <c r="K7" s="343">
        <f>Aerospace!K71</f>
        <v>0</v>
      </c>
      <c r="L7" s="343">
        <f>Aerospace!L71</f>
        <v>0</v>
      </c>
      <c r="M7" s="343">
        <f>Aerospace!M71</f>
        <v>0</v>
      </c>
      <c r="N7" s="320">
        <f>SUM(J7:M7)</f>
        <v>0</v>
      </c>
      <c r="O7" s="343">
        <f>Aerospace!O71</f>
        <v>0</v>
      </c>
      <c r="P7" s="343">
        <f>Aerospace!P71</f>
        <v>0</v>
      </c>
      <c r="Q7" s="343">
        <f>Aerospace!Q71</f>
        <v>0</v>
      </c>
      <c r="R7" s="343">
        <f>Aerospace!R71</f>
        <v>0</v>
      </c>
      <c r="S7" s="320">
        <f>SUM(O7:R7)</f>
        <v>0</v>
      </c>
      <c r="T7" s="343">
        <f>Aerospace!T71</f>
        <v>0</v>
      </c>
      <c r="U7" s="343">
        <f>Aerospace!U71</f>
        <v>0</v>
      </c>
      <c r="V7" s="343">
        <f>Aerospace!V71</f>
        <v>0</v>
      </c>
      <c r="W7" s="343">
        <f>Aerospace!W71</f>
        <v>0</v>
      </c>
      <c r="X7" s="320">
        <f>SUM(T7:W7)</f>
        <v>0</v>
      </c>
      <c r="Y7" s="343">
        <f>Aerospace!Y71</f>
        <v>0</v>
      </c>
      <c r="Z7" s="343">
        <f>Aerospace!Z71</f>
        <v>0</v>
      </c>
      <c r="AA7" s="343">
        <f>Aerospace!AA71</f>
        <v>0</v>
      </c>
      <c r="AB7" s="343">
        <f>Aerospace!AB71</f>
        <v>0</v>
      </c>
      <c r="AC7" s="320">
        <f>SUM(Y7:AB7)</f>
        <v>0</v>
      </c>
      <c r="AD7" s="343">
        <f>Aerospace!AD71</f>
        <v>0</v>
      </c>
      <c r="AE7" s="343">
        <f>Aerospace!AE71</f>
        <v>0</v>
      </c>
      <c r="AF7" s="343">
        <f>Aerospace!AF71</f>
        <v>0</v>
      </c>
      <c r="AG7" s="343">
        <f>Aerospace!AG71</f>
        <v>0</v>
      </c>
      <c r="AH7" s="320">
        <f>SUM(AD7:AG7)</f>
        <v>0</v>
      </c>
      <c r="AI7" s="343">
        <f>Aerospace!AI71</f>
        <v>0</v>
      </c>
      <c r="AJ7" s="343">
        <f>Aerospace!AJ71</f>
        <v>0</v>
      </c>
      <c r="AK7" s="343">
        <f>Aerospace!AK71</f>
        <v>0</v>
      </c>
      <c r="AL7" s="343">
        <f>Aerospace!AL71</f>
        <v>0</v>
      </c>
      <c r="AM7" s="320">
        <f>SUM(AI7:AL7)</f>
        <v>0</v>
      </c>
      <c r="AN7" s="343">
        <f>Aerospace!AN71</f>
        <v>0</v>
      </c>
      <c r="AO7" s="343">
        <f>Aerospace!AO71</f>
        <v>0</v>
      </c>
      <c r="AP7" s="343">
        <f>Aerospace!AP71</f>
        <v>0</v>
      </c>
      <c r="AQ7" s="343">
        <f>Aerospace!AQ71</f>
        <v>0</v>
      </c>
      <c r="AR7" s="320">
        <f>SUM(AN7:AQ7)</f>
        <v>0</v>
      </c>
      <c r="AS7" s="343">
        <f>Aerospace!AS71</f>
        <v>0</v>
      </c>
      <c r="AT7" s="343">
        <f>Aerospace!AT71</f>
        <v>0</v>
      </c>
      <c r="AU7" s="343">
        <f>Aerospace!AU71</f>
        <v>0</v>
      </c>
      <c r="AV7" s="343">
        <f>Aerospace!AV71</f>
        <v>0</v>
      </c>
      <c r="AW7" s="320">
        <f>SUM(AS7:AV7)</f>
        <v>0</v>
      </c>
      <c r="AX7" s="343">
        <f>Aerospace!AX71</f>
        <v>0</v>
      </c>
      <c r="AY7" s="343">
        <f>Aerospace!AY71</f>
        <v>0</v>
      </c>
      <c r="AZ7" s="343">
        <f>Aerospace!AZ71</f>
        <v>0</v>
      </c>
      <c r="BA7" s="343">
        <f>Aerospace!BA71</f>
        <v>0</v>
      </c>
      <c r="BB7" s="320">
        <f>SUM(AX7:BA7)</f>
        <v>0</v>
      </c>
      <c r="BC7" s="343">
        <f>Aerospace!BC71</f>
        <v>0</v>
      </c>
      <c r="BD7" s="343">
        <f>Aerospace!BD71</f>
        <v>0</v>
      </c>
      <c r="BE7" s="343">
        <f>Aerospace!BE71</f>
        <v>0</v>
      </c>
      <c r="BF7" s="343">
        <f>Aerospace!BF71</f>
        <v>0</v>
      </c>
      <c r="BG7" s="320">
        <f>SUM(BC7:BF7)</f>
        <v>0</v>
      </c>
      <c r="BH7" s="343">
        <f>Aerospace!BH71</f>
        <v>0</v>
      </c>
      <c r="BI7" s="343">
        <f>Aerospace!BI71</f>
        <v>0</v>
      </c>
      <c r="BJ7" s="343">
        <f>Aerospace!BJ71</f>
        <v>0</v>
      </c>
      <c r="BK7" s="343">
        <f>Aerospace!BK71</f>
        <v>0</v>
      </c>
      <c r="BL7" s="320">
        <f>SUM(BH7:BK7)</f>
        <v>0</v>
      </c>
      <c r="BM7" s="343">
        <f>Aerospace!BM71*1000</f>
        <v>3971.8</v>
      </c>
      <c r="BN7" s="343">
        <f>Aerospace!BN71*1000</f>
        <v>4376.3999999999996</v>
      </c>
      <c r="BO7" s="343">
        <f>Aerospace!BO71*1000</f>
        <v>4200.7000000000007</v>
      </c>
      <c r="BP7" s="343">
        <f>Aerospace!BP71*1000</f>
        <v>4713.8</v>
      </c>
      <c r="BQ7" s="320">
        <f>SUM(BM7:BP7)</f>
        <v>17262.7</v>
      </c>
      <c r="BR7" s="343">
        <f>Aerospace!BR71*1000</f>
        <v>4571.2599999999993</v>
      </c>
      <c r="BS7" s="343">
        <f>Aerospace!BS71*1000</f>
        <v>4818.1399999999994</v>
      </c>
      <c r="BT7" s="343">
        <f>Aerospace!BT71*1000</f>
        <v>4662</v>
      </c>
      <c r="BU7" s="343">
        <f>Aerospace!BU71*1000</f>
        <v>5318.38</v>
      </c>
      <c r="BV7" s="320">
        <f>SUM(BR7:BU7)</f>
        <v>19369.78</v>
      </c>
      <c r="BW7" s="343">
        <f>Aerospace!BW71*1000</f>
        <v>5000</v>
      </c>
      <c r="BX7" s="343">
        <f>Aerospace!BX71*1000</f>
        <v>4900</v>
      </c>
      <c r="BY7" s="343">
        <f>Aerospace!BY71*1000</f>
        <v>4800</v>
      </c>
      <c r="BZ7" s="343">
        <f>Aerospace!BZ71*1000</f>
        <v>5000</v>
      </c>
      <c r="CA7" s="320">
        <f>SUM(BW7:BZ7)</f>
        <v>19700</v>
      </c>
      <c r="CB7" s="343">
        <f>Aerospace!CB71*1000</f>
        <v>5300</v>
      </c>
      <c r="CC7" s="343">
        <f>Aerospace!CC71*1000</f>
        <v>5534</v>
      </c>
      <c r="CD7" s="343">
        <f>Aerospace!CD71*1000</f>
        <v>5600</v>
      </c>
      <c r="CE7" s="343">
        <f>Aerospace!CE71*1000</f>
        <v>6300</v>
      </c>
      <c r="CF7" s="320">
        <f>SUM(CB7:CE7)</f>
        <v>22734</v>
      </c>
      <c r="CG7" s="343">
        <f>Aerospace!CG71*1000</f>
        <v>5949</v>
      </c>
      <c r="CH7" s="343">
        <f>Aerospace!CH71*1000</f>
        <v>5848</v>
      </c>
      <c r="CI7" s="343">
        <f>Aerospace!CI71*1000</f>
        <v>5997</v>
      </c>
      <c r="CJ7" s="343">
        <f>Aerospace!CJ71*1000</f>
        <v>6422.9999999999982</v>
      </c>
      <c r="CK7" s="320">
        <f>SUM(CG7:CJ7)</f>
        <v>24217</v>
      </c>
      <c r="CL7" s="343">
        <f>data!CL153</f>
        <v>5113</v>
      </c>
      <c r="CM7" s="343">
        <f>data!CM153</f>
        <v>2519</v>
      </c>
      <c r="CN7" s="343">
        <f>data!CN153</f>
        <v>3087</v>
      </c>
      <c r="CO7" s="343">
        <f>data!CO153</f>
        <v>3760</v>
      </c>
      <c r="CP7" s="320">
        <f t="shared" ref="CP7" si="0">SUM(CL7:CO7)</f>
        <v>14479</v>
      </c>
      <c r="CQ7" s="343">
        <f>data!CQ153</f>
        <v>3354</v>
      </c>
      <c r="CR7" s="343">
        <f>data!CR153</f>
        <v>3115</v>
      </c>
      <c r="CS7" s="343">
        <f>data!CS153</f>
        <v>3602</v>
      </c>
      <c r="CT7" s="343">
        <f>data!CT153</f>
        <v>4289</v>
      </c>
      <c r="CU7" s="320">
        <f t="shared" ref="CU7" si="1">SUM(CQ7:CT7)</f>
        <v>14360</v>
      </c>
      <c r="CV7" s="343">
        <f>data!CV153</f>
        <v>3853</v>
      </c>
      <c r="CW7" s="343">
        <f>data!CW153</f>
        <v>4306</v>
      </c>
      <c r="CX7" s="343">
        <f>data!CX153</f>
        <v>4971</v>
      </c>
      <c r="CY7" s="343">
        <f>data!CY153</f>
        <v>5535</v>
      </c>
      <c r="CZ7" s="320">
        <f t="shared" ref="CZ7" si="2">SUM(CV7:CY7)</f>
        <v>18665</v>
      </c>
      <c r="DA7" s="343">
        <f>data!DA153</f>
        <v>5232</v>
      </c>
      <c r="DB7" s="343">
        <f>data!DB153</f>
        <v>5737</v>
      </c>
      <c r="DC7" s="343">
        <f>data!DC153</f>
        <v>6457</v>
      </c>
      <c r="DD7" s="343">
        <f>data!DD153</f>
        <v>6429</v>
      </c>
      <c r="DE7" s="320">
        <f>SUM(DA7:DD7)</f>
        <v>23855</v>
      </c>
      <c r="DF7" s="343">
        <f>data!DF153</f>
        <v>6096</v>
      </c>
      <c r="DG7" s="343">
        <f>data!DG153</f>
        <v>6132</v>
      </c>
      <c r="DH7" s="343">
        <f>data!DH153</f>
        <v>7003</v>
      </c>
      <c r="DI7" s="343">
        <f>data!DI153</f>
        <v>7650</v>
      </c>
      <c r="DJ7" s="1045">
        <f>SUM(DF7:DI7)</f>
        <v>26881</v>
      </c>
      <c r="DK7" s="343">
        <f>data!DK153</f>
        <v>6977</v>
      </c>
      <c r="DL7" s="343">
        <f>data!DL153</f>
        <v>7990</v>
      </c>
      <c r="DM7" s="1044">
        <f t="shared" ref="DM7:DN8" si="3">DH7*(1+DM33)</f>
        <v>7983.420000000001</v>
      </c>
      <c r="DN7" s="1044">
        <f t="shared" si="3"/>
        <v>8255.8799999999992</v>
      </c>
      <c r="DO7" s="1045">
        <f>SUM(DK7:DN7)</f>
        <v>31206.300000000003</v>
      </c>
      <c r="DP7" s="1044">
        <f t="shared" ref="DP7:DQ8" si="4">DK7*(1+DP33)</f>
        <v>8093.32</v>
      </c>
      <c r="DQ7" s="1044">
        <f t="shared" si="4"/>
        <v>9108.6</v>
      </c>
      <c r="DR7" s="1044">
        <f t="shared" ref="DR7:DR8" si="5">DM7*(1+DR33)</f>
        <v>9180.9330000000009</v>
      </c>
      <c r="DS7" s="1044">
        <f t="shared" ref="DS7:DS8" si="6">DN7*(1+DS33)</f>
        <v>9771.6595679999991</v>
      </c>
      <c r="DT7" s="1045">
        <f>SUM(DP7:DS7)</f>
        <v>36154.512567999998</v>
      </c>
      <c r="DU7" s="1046">
        <f t="shared" ref="DU7:DV8" si="7">DT7*(1+DU33)</f>
        <v>39534.959493107992</v>
      </c>
      <c r="DV7" s="1046">
        <f t="shared" si="7"/>
        <v>42460.546495597984</v>
      </c>
    </row>
    <row r="8" spans="1:126" s="306" customFormat="1">
      <c r="B8" s="317" t="s">
        <v>457</v>
      </c>
      <c r="C8" s="308"/>
      <c r="D8" s="308"/>
      <c r="E8" s="308"/>
      <c r="F8" s="308"/>
      <c r="G8" s="308"/>
      <c r="H8" s="308"/>
      <c r="I8" s="308"/>
      <c r="J8" s="221">
        <f>Aerospace!J74</f>
        <v>0</v>
      </c>
      <c r="K8" s="221">
        <f>Aerospace!K74</f>
        <v>0</v>
      </c>
      <c r="L8" s="221">
        <f>Aerospace!L74</f>
        <v>0</v>
      </c>
      <c r="M8" s="221">
        <f>Aerospace!M74</f>
        <v>0</v>
      </c>
      <c r="N8" s="316">
        <f t="shared" ref="N8" si="8">SUM(J8:M8)</f>
        <v>0</v>
      </c>
      <c r="O8" s="221">
        <f>Aerospace!O74</f>
        <v>0</v>
      </c>
      <c r="P8" s="221">
        <f>Aerospace!P74</f>
        <v>0</v>
      </c>
      <c r="Q8" s="221">
        <f>Aerospace!Q74</f>
        <v>0</v>
      </c>
      <c r="R8" s="221">
        <f>Aerospace!R74</f>
        <v>0</v>
      </c>
      <c r="S8" s="316">
        <f t="shared" ref="S8" si="9">SUM(O8:R8)</f>
        <v>0</v>
      </c>
      <c r="T8" s="221">
        <f>Aerospace!T74</f>
        <v>0</v>
      </c>
      <c r="U8" s="221">
        <f>Aerospace!U74</f>
        <v>0</v>
      </c>
      <c r="V8" s="221">
        <f>Aerospace!V74</f>
        <v>0</v>
      </c>
      <c r="W8" s="221">
        <f>Aerospace!W74</f>
        <v>0</v>
      </c>
      <c r="X8" s="316">
        <f t="shared" ref="X8" si="10">SUM(T8:W8)</f>
        <v>0</v>
      </c>
      <c r="Y8" s="221">
        <f>Aerospace!Y74</f>
        <v>0</v>
      </c>
      <c r="Z8" s="221">
        <f>Aerospace!Z74</f>
        <v>0</v>
      </c>
      <c r="AA8" s="221">
        <f>Aerospace!AA74</f>
        <v>0</v>
      </c>
      <c r="AB8" s="221">
        <f>Aerospace!AB74</f>
        <v>0</v>
      </c>
      <c r="AC8" s="316">
        <f t="shared" ref="AC8" si="11">SUM(Y8:AB8)</f>
        <v>0</v>
      </c>
      <c r="AD8" s="221">
        <f>Aerospace!AD74</f>
        <v>0</v>
      </c>
      <c r="AE8" s="221">
        <f>Aerospace!AE74</f>
        <v>0</v>
      </c>
      <c r="AF8" s="221">
        <f>Aerospace!AF74</f>
        <v>0</v>
      </c>
      <c r="AG8" s="221">
        <f>Aerospace!AG74</f>
        <v>0</v>
      </c>
      <c r="AH8" s="316">
        <f t="shared" ref="AH8" si="12">SUM(AD8:AG8)</f>
        <v>0</v>
      </c>
      <c r="AI8" s="221">
        <f>Aerospace!AI74</f>
        <v>0</v>
      </c>
      <c r="AJ8" s="221">
        <f>Aerospace!AJ74</f>
        <v>0</v>
      </c>
      <c r="AK8" s="221">
        <f>Aerospace!AK74</f>
        <v>0</v>
      </c>
      <c r="AL8" s="221">
        <f>Aerospace!AL74</f>
        <v>0</v>
      </c>
      <c r="AM8" s="316">
        <f t="shared" ref="AM8" si="13">SUM(AI8:AL8)</f>
        <v>0</v>
      </c>
      <c r="AN8" s="221">
        <f>Aerospace!AN74</f>
        <v>0</v>
      </c>
      <c r="AO8" s="221">
        <f>Aerospace!AO74</f>
        <v>0</v>
      </c>
      <c r="AP8" s="221">
        <f>Aerospace!AP74</f>
        <v>0</v>
      </c>
      <c r="AQ8" s="221">
        <f>Aerospace!AQ74</f>
        <v>0</v>
      </c>
      <c r="AR8" s="316">
        <f t="shared" ref="AR8" si="14">SUM(AN8:AQ8)</f>
        <v>0</v>
      </c>
      <c r="AS8" s="221">
        <f>Aerospace!AS74</f>
        <v>0</v>
      </c>
      <c r="AT8" s="221">
        <f>Aerospace!AT74</f>
        <v>0</v>
      </c>
      <c r="AU8" s="221">
        <f>Aerospace!AU74</f>
        <v>0</v>
      </c>
      <c r="AV8" s="221">
        <f>Aerospace!AV74</f>
        <v>0</v>
      </c>
      <c r="AW8" s="316">
        <f t="shared" ref="AW8" si="15">SUM(AS8:AV8)</f>
        <v>0</v>
      </c>
      <c r="AX8" s="221">
        <f>Aerospace!AX74</f>
        <v>0</v>
      </c>
      <c r="AY8" s="221">
        <f>Aerospace!AY74</f>
        <v>0</v>
      </c>
      <c r="AZ8" s="221">
        <f>Aerospace!AZ74</f>
        <v>0</v>
      </c>
      <c r="BA8" s="221">
        <f>Aerospace!BA74</f>
        <v>0</v>
      </c>
      <c r="BB8" s="316">
        <f t="shared" ref="BB8" si="16">SUM(AX8:BA8)</f>
        <v>0</v>
      </c>
      <c r="BC8" s="221">
        <f>Aerospace!BC74</f>
        <v>0</v>
      </c>
      <c r="BD8" s="221">
        <f>Aerospace!BD74</f>
        <v>0</v>
      </c>
      <c r="BE8" s="221">
        <f>Aerospace!BE74</f>
        <v>0</v>
      </c>
      <c r="BF8" s="221">
        <f>Aerospace!BF74</f>
        <v>0</v>
      </c>
      <c r="BG8" s="316">
        <f t="shared" ref="BG8" si="17">SUM(BC8:BF8)</f>
        <v>0</v>
      </c>
      <c r="BH8" s="221">
        <f>Aerospace!BH74</f>
        <v>0</v>
      </c>
      <c r="BI8" s="221">
        <f>Aerospace!BI74</f>
        <v>0</v>
      </c>
      <c r="BJ8" s="221">
        <f>Aerospace!BJ74</f>
        <v>0</v>
      </c>
      <c r="BK8" s="221">
        <f>Aerospace!BK74</f>
        <v>0</v>
      </c>
      <c r="BL8" s="316">
        <f t="shared" ref="BL8" si="18">SUM(BH8:BK8)</f>
        <v>0</v>
      </c>
      <c r="BM8" s="343">
        <f>Aerospace!BM74*1000+Aerospace!BM75*1000</f>
        <v>1702.2000000000007</v>
      </c>
      <c r="BN8" s="343">
        <f>Aerospace!BN74*1000</f>
        <v>1062.8399999999999</v>
      </c>
      <c r="BO8" s="343">
        <f>Aerospace!BO74*1000</f>
        <v>1020.1700000000001</v>
      </c>
      <c r="BP8" s="343">
        <f>Aerospace!BP74*1000</f>
        <v>1144.7800000000002</v>
      </c>
      <c r="BQ8" s="320">
        <f t="shared" ref="BQ8" si="19">SUM(BM8:BP8)</f>
        <v>4929.9900000000016</v>
      </c>
      <c r="BR8" s="343">
        <f>Aerospace!BR74*1000+Aerospace!BR75*1000</f>
        <v>1690.7399999999998</v>
      </c>
      <c r="BS8" s="343">
        <f>Aerospace!BS74*1000</f>
        <v>846.43000000000006</v>
      </c>
      <c r="BT8" s="343">
        <f>Aerospace!BT74*1000</f>
        <v>819</v>
      </c>
      <c r="BU8" s="343">
        <f>Aerospace!BU74*1000</f>
        <v>934.31000000000006</v>
      </c>
      <c r="BV8" s="320">
        <f t="shared" ref="BV8" si="20">SUM(BR8:BU8)</f>
        <v>4290.4800000000005</v>
      </c>
      <c r="BW8" s="343">
        <f>Aerospace!BW74*1000+Aerospace!BW75*1000</f>
        <v>1672.9999999999995</v>
      </c>
      <c r="BX8" s="343">
        <f>Aerospace!BX74*1000</f>
        <v>900</v>
      </c>
      <c r="BY8" s="343">
        <f>Aerospace!BY74*1000</f>
        <v>1000</v>
      </c>
      <c r="BZ8" s="343">
        <f>Aerospace!BZ74*1000</f>
        <v>1200.0000000000002</v>
      </c>
      <c r="CA8" s="320">
        <f t="shared" ref="CA8" si="21">SUM(BW8:BZ8)</f>
        <v>4773</v>
      </c>
      <c r="CB8" s="343">
        <f>Aerospace!CB74*1000+Aerospace!CB75*1000</f>
        <v>1812.0000000000002</v>
      </c>
      <c r="CC8" s="343">
        <f>Aerospace!CC74*1000</f>
        <v>1073</v>
      </c>
      <c r="CD8" s="343">
        <f>Aerospace!CD74*1000</f>
        <v>900</v>
      </c>
      <c r="CE8" s="343">
        <f>Aerospace!CE74*1000</f>
        <v>1100</v>
      </c>
      <c r="CF8" s="320">
        <f t="shared" ref="CF8" si="22">SUM(CB8:CE8)</f>
        <v>4885</v>
      </c>
      <c r="CG8" s="343">
        <f>Aerospace!CG74*1000+Aerospace!CG75*1000</f>
        <v>2005</v>
      </c>
      <c r="CH8" s="343">
        <f>Aerospace!CH74*1000</f>
        <v>976</v>
      </c>
      <c r="CI8" s="343">
        <f>Aerospace!CI74*1000</f>
        <v>1061</v>
      </c>
      <c r="CJ8" s="343">
        <f>Aerospace!CJ74*1000</f>
        <v>1316</v>
      </c>
      <c r="CK8" s="320">
        <f t="shared" ref="CK8" si="23">SUM(CG8:CJ8)</f>
        <v>5358</v>
      </c>
      <c r="CL8" s="343">
        <f>data!CL154</f>
        <v>1780</v>
      </c>
      <c r="CM8" s="343">
        <f>data!CM154</f>
        <v>1864</v>
      </c>
      <c r="CN8" s="343">
        <f>data!CN154</f>
        <v>1833</v>
      </c>
      <c r="CO8" s="343">
        <f>data!CO154</f>
        <v>2086</v>
      </c>
      <c r="CP8" s="320">
        <f t="shared" ref="CP8" si="24">SUM(CL8:CO8)</f>
        <v>7563</v>
      </c>
      <c r="CQ8" s="343">
        <f>data!CQ154</f>
        <v>1638</v>
      </c>
      <c r="CR8" s="343">
        <f>data!CR154</f>
        <v>1724</v>
      </c>
      <c r="CS8" s="343">
        <f>data!CS154</f>
        <v>1796</v>
      </c>
      <c r="CT8" s="343">
        <f>data!CT154</f>
        <v>1792</v>
      </c>
      <c r="CU8" s="320">
        <f t="shared" ref="CU8" si="25">SUM(CQ8:CT8)</f>
        <v>6950</v>
      </c>
      <c r="CV8" s="343">
        <f>data!CV154</f>
        <v>1750</v>
      </c>
      <c r="CW8" s="343">
        <f>data!CW154</f>
        <v>1821</v>
      </c>
      <c r="CX8" s="343">
        <f>data!CX154</f>
        <v>1734</v>
      </c>
      <c r="CY8" s="343">
        <f>data!CY154</f>
        <v>2080</v>
      </c>
      <c r="CZ8" s="320">
        <f t="shared" ref="CZ8" si="26">SUM(CV8:CY8)</f>
        <v>7385</v>
      </c>
      <c r="DA8" s="343">
        <f>data!DA154</f>
        <v>1966</v>
      </c>
      <c r="DB8" s="343">
        <f>data!DB154</f>
        <v>2375</v>
      </c>
      <c r="DC8" s="343">
        <f>data!DC154</f>
        <v>2205</v>
      </c>
      <c r="DD8" s="343">
        <f>data!DD154</f>
        <v>2416</v>
      </c>
      <c r="DE8" s="320">
        <f t="shared" ref="DE8" si="27">SUM(DA8:DD8)</f>
        <v>8962</v>
      </c>
      <c r="DF8" s="343">
        <f>data!DF154</f>
        <v>2312</v>
      </c>
      <c r="DG8" s="343">
        <f>data!DG154</f>
        <v>2401</v>
      </c>
      <c r="DH8" s="343">
        <f>data!DH154</f>
        <v>2243</v>
      </c>
      <c r="DI8" s="343">
        <f>data!DI154</f>
        <v>2523</v>
      </c>
      <c r="DJ8" s="1047">
        <f t="shared" ref="DJ8" si="28">SUM(DF8:DI8)</f>
        <v>9479</v>
      </c>
      <c r="DK8" s="343">
        <f>data!DK154</f>
        <v>2324</v>
      </c>
      <c r="DL8" s="343">
        <f>data!DL154</f>
        <v>2563</v>
      </c>
      <c r="DM8" s="1044">
        <f t="shared" si="3"/>
        <v>2422.44</v>
      </c>
      <c r="DN8" s="1044">
        <f t="shared" si="3"/>
        <v>2699.61</v>
      </c>
      <c r="DO8" s="1047">
        <f t="shared" ref="DO8" si="29">SUM(DK8:DN8)</f>
        <v>10009.050000000001</v>
      </c>
      <c r="DP8" s="1044">
        <f t="shared" si="4"/>
        <v>2475.06</v>
      </c>
      <c r="DQ8" s="1044">
        <f t="shared" si="4"/>
        <v>2691.15</v>
      </c>
      <c r="DR8" s="1044">
        <f t="shared" si="5"/>
        <v>2519.3376000000003</v>
      </c>
      <c r="DS8" s="1044">
        <f t="shared" si="6"/>
        <v>2834.5905000000002</v>
      </c>
      <c r="DT8" s="1047">
        <f t="shared" ref="DT8" si="30">SUM(DP8:DS8)</f>
        <v>10520.1381</v>
      </c>
      <c r="DU8" s="1046">
        <f t="shared" si="7"/>
        <v>11046.145005</v>
      </c>
      <c r="DV8" s="1046">
        <f t="shared" si="7"/>
        <v>11532.17538522</v>
      </c>
    </row>
    <row r="9" spans="1:126" s="306" customFormat="1" hidden="1" outlineLevel="1">
      <c r="B9" s="317" t="s">
        <v>644</v>
      </c>
      <c r="C9" s="308"/>
      <c r="D9" s="308"/>
      <c r="E9" s="308"/>
      <c r="F9" s="308"/>
      <c r="G9" s="308"/>
      <c r="H9" s="308"/>
      <c r="I9" s="308"/>
      <c r="J9" s="221"/>
      <c r="K9" s="221"/>
      <c r="L9" s="221"/>
      <c r="M9" s="221"/>
      <c r="N9" s="316"/>
      <c r="O9" s="221"/>
      <c r="P9" s="221"/>
      <c r="Q9" s="221"/>
      <c r="R9" s="221"/>
      <c r="S9" s="316"/>
      <c r="T9" s="221"/>
      <c r="U9" s="221"/>
      <c r="V9" s="221"/>
      <c r="W9" s="221"/>
      <c r="X9" s="316"/>
      <c r="Y9" s="221"/>
      <c r="Z9" s="221"/>
      <c r="AA9" s="221"/>
      <c r="AB9" s="221"/>
      <c r="AC9" s="316"/>
      <c r="AD9" s="221"/>
      <c r="AE9" s="221"/>
      <c r="AF9" s="221"/>
      <c r="AG9" s="221"/>
      <c r="AH9" s="316"/>
      <c r="AI9" s="221"/>
      <c r="AJ9" s="221"/>
      <c r="AK9" s="221"/>
      <c r="AL9" s="221"/>
      <c r="AM9" s="316"/>
      <c r="AN9" s="221"/>
      <c r="AO9" s="221"/>
      <c r="AP9" s="221"/>
      <c r="AQ9" s="221"/>
      <c r="AR9" s="316"/>
      <c r="AS9" s="221"/>
      <c r="AT9" s="221"/>
      <c r="AU9" s="221"/>
      <c r="AV9" s="221"/>
      <c r="AW9" s="316"/>
      <c r="AX9" s="221"/>
      <c r="AY9" s="221"/>
      <c r="AZ9" s="221"/>
      <c r="BA9" s="221"/>
      <c r="BB9" s="316"/>
      <c r="BC9" s="221"/>
      <c r="BD9" s="221"/>
      <c r="BE9" s="221"/>
      <c r="BF9" s="221"/>
      <c r="BG9" s="316"/>
      <c r="BH9" s="221"/>
      <c r="BI9" s="221"/>
      <c r="BJ9" s="221"/>
      <c r="BK9" s="221"/>
      <c r="BL9" s="316"/>
      <c r="BM9" s="343"/>
      <c r="BN9" s="343"/>
      <c r="BO9" s="343"/>
      <c r="BP9" s="343"/>
      <c r="BQ9" s="320"/>
      <c r="BR9" s="343"/>
      <c r="BS9" s="343"/>
      <c r="BT9" s="343"/>
      <c r="BU9" s="343"/>
      <c r="BV9" s="320"/>
      <c r="BW9" s="343"/>
      <c r="BX9" s="343"/>
      <c r="BY9" s="343"/>
      <c r="BZ9" s="343"/>
      <c r="CA9" s="320"/>
      <c r="CB9" s="343"/>
      <c r="CC9" s="343"/>
      <c r="CD9" s="343"/>
      <c r="CE9" s="343"/>
      <c r="CF9" s="320"/>
      <c r="CG9" s="343"/>
      <c r="CH9" s="343"/>
      <c r="CI9" s="343"/>
      <c r="CJ9" s="343"/>
      <c r="CK9" s="320"/>
      <c r="CL9" s="343">
        <f>data!CL10</f>
        <v>699</v>
      </c>
      <c r="CM9" s="343">
        <f>data!CM10</f>
        <v>756</v>
      </c>
      <c r="CN9" s="343">
        <f>data!CN10</f>
        <v>663</v>
      </c>
      <c r="CO9" s="343">
        <f>data!CO10</f>
        <v>747</v>
      </c>
      <c r="CP9" s="320">
        <f>SUM(CL9:CO9)</f>
        <v>2865</v>
      </c>
      <c r="CQ9" s="343">
        <f>data!CQ10</f>
        <v>803</v>
      </c>
      <c r="CR9" s="343">
        <f>data!CR10</f>
        <v>810</v>
      </c>
      <c r="CS9" s="343">
        <f>data!CS10</f>
        <v>616</v>
      </c>
      <c r="CT9" s="343">
        <f>data!CT10</f>
        <v>877</v>
      </c>
      <c r="CU9" s="320">
        <f>SUM(CQ9:CT9)</f>
        <v>3106</v>
      </c>
      <c r="CV9" s="343">
        <f>data!CV10</f>
        <v>764</v>
      </c>
      <c r="CW9" s="343">
        <f>data!CW10</f>
        <v>766</v>
      </c>
      <c r="CX9" s="343">
        <f>data!CX10</f>
        <v>645</v>
      </c>
      <c r="CY9" s="343">
        <f>data!CY10</f>
        <v>782</v>
      </c>
      <c r="CZ9" s="320">
        <f>SUM(CV9:CY9)</f>
        <v>2957</v>
      </c>
      <c r="DA9" s="343">
        <f>data!DA10</f>
        <v>791</v>
      </c>
      <c r="DB9" s="343">
        <f>data!DB10</f>
        <v>847</v>
      </c>
      <c r="DC9" s="343">
        <f>data!DC10</f>
        <v>842</v>
      </c>
      <c r="DD9" s="343">
        <f>data!DD10</f>
        <v>909</v>
      </c>
      <c r="DE9" s="320">
        <f>SUM(DA9:DD9)</f>
        <v>3389</v>
      </c>
      <c r="DF9" s="343">
        <f>data!DF10</f>
        <v>879</v>
      </c>
      <c r="DG9" s="343">
        <f>data!DG10</f>
        <v>871</v>
      </c>
      <c r="DH9" s="343">
        <f>data!DH10</f>
        <v>899</v>
      </c>
      <c r="DI9" s="343">
        <f>data!DI10</f>
        <v>933</v>
      </c>
      <c r="DJ9" s="320">
        <f>SUM(DF9:DI9)</f>
        <v>3582</v>
      </c>
      <c r="DK9" s="343">
        <f>data!DK10</f>
        <v>934</v>
      </c>
      <c r="DL9" s="899">
        <v>0</v>
      </c>
      <c r="DM9" s="899">
        <v>0</v>
      </c>
      <c r="DN9" s="899">
        <v>0</v>
      </c>
      <c r="DO9" s="320">
        <f>SUM(DK9:DN9)</f>
        <v>934</v>
      </c>
      <c r="DP9" s="899">
        <v>0</v>
      </c>
      <c r="DQ9" s="899">
        <v>0</v>
      </c>
      <c r="DR9" s="899">
        <v>0</v>
      </c>
      <c r="DS9" s="899">
        <v>0</v>
      </c>
      <c r="DT9" s="320">
        <f>SUM(DP9:DS9)</f>
        <v>0</v>
      </c>
      <c r="DU9" s="321">
        <v>0</v>
      </c>
      <c r="DV9" s="321">
        <v>0</v>
      </c>
    </row>
    <row r="10" spans="1:126" s="306" customFormat="1" collapsed="1">
      <c r="B10" s="221" t="s">
        <v>558</v>
      </c>
      <c r="C10" s="308"/>
      <c r="D10" s="308"/>
      <c r="E10" s="308"/>
      <c r="F10" s="308"/>
      <c r="G10" s="308"/>
      <c r="H10" s="308"/>
      <c r="I10" s="308"/>
      <c r="J10" s="248"/>
      <c r="K10" s="248"/>
      <c r="L10" s="248"/>
      <c r="M10" s="248"/>
      <c r="N10" s="316"/>
      <c r="O10" s="248"/>
      <c r="P10" s="248"/>
      <c r="Q10" s="248"/>
      <c r="R10" s="248"/>
      <c r="S10" s="316"/>
      <c r="T10" s="248"/>
      <c r="U10" s="248"/>
      <c r="V10" s="248"/>
      <c r="W10" s="248"/>
      <c r="X10" s="316"/>
      <c r="Y10" s="248"/>
      <c r="Z10" s="248"/>
      <c r="AA10" s="248"/>
      <c r="AB10" s="248"/>
      <c r="AC10" s="316"/>
      <c r="AD10" s="248"/>
      <c r="AE10" s="248"/>
      <c r="AF10" s="248"/>
      <c r="AG10" s="248"/>
      <c r="AH10" s="316"/>
      <c r="AI10" s="248"/>
      <c r="AJ10" s="248"/>
      <c r="AK10" s="248"/>
      <c r="AL10" s="248"/>
      <c r="AM10" s="316"/>
      <c r="AN10" s="248"/>
      <c r="AO10" s="248"/>
      <c r="AP10" s="248"/>
      <c r="AQ10" s="248"/>
      <c r="AR10" s="316"/>
      <c r="AS10" s="248"/>
      <c r="AT10" s="248"/>
      <c r="AU10" s="248"/>
      <c r="AV10" s="248"/>
      <c r="AW10" s="316"/>
      <c r="AX10" s="248"/>
      <c r="AY10" s="248"/>
      <c r="AZ10" s="248"/>
      <c r="BA10" s="248"/>
      <c r="BB10" s="316"/>
      <c r="BC10" s="248"/>
      <c r="BD10" s="248"/>
      <c r="BE10" s="248"/>
      <c r="BF10" s="248"/>
      <c r="BG10" s="316"/>
      <c r="BH10" s="248"/>
      <c r="BI10" s="248"/>
      <c r="BJ10" s="248"/>
      <c r="BK10" s="248"/>
      <c r="BL10" s="316"/>
      <c r="BM10" s="343"/>
      <c r="BN10" s="343"/>
      <c r="BO10" s="343"/>
      <c r="BP10" s="343"/>
      <c r="BQ10" s="320"/>
      <c r="BR10" s="343"/>
      <c r="BS10" s="343"/>
      <c r="BT10" s="343"/>
      <c r="BU10" s="343"/>
      <c r="BV10" s="320"/>
      <c r="BW10" s="343"/>
      <c r="BX10" s="343"/>
      <c r="BY10" s="343"/>
      <c r="BZ10" s="343"/>
      <c r="CA10" s="320"/>
      <c r="CB10" s="343"/>
      <c r="CC10" s="343"/>
      <c r="CD10" s="343"/>
      <c r="CE10" s="343"/>
      <c r="CF10" s="320"/>
      <c r="CG10" s="343"/>
      <c r="CH10" s="343"/>
      <c r="CI10" s="343"/>
      <c r="CJ10" s="343"/>
      <c r="CK10" s="320"/>
      <c r="CL10" s="343"/>
      <c r="CM10" s="343"/>
      <c r="CN10" s="343"/>
      <c r="CO10" s="343"/>
      <c r="CP10" s="320"/>
      <c r="CQ10" s="343"/>
      <c r="CR10" s="343"/>
      <c r="CS10" s="343"/>
      <c r="CT10" s="343"/>
      <c r="CU10" s="320"/>
      <c r="CV10" s="343"/>
      <c r="CW10" s="343"/>
      <c r="CX10" s="343"/>
      <c r="CY10" s="343"/>
      <c r="CZ10" s="320"/>
      <c r="DA10" s="1049">
        <f>data!DA156</f>
        <v>-153</v>
      </c>
      <c r="DB10" s="1049">
        <f>data!DB156</f>
        <v>-205</v>
      </c>
      <c r="DC10" s="1049">
        <f>data!DC156</f>
        <v>-201</v>
      </c>
      <c r="DD10" s="1060">
        <f>data!DD156</f>
        <v>-298</v>
      </c>
      <c r="DE10" s="1050">
        <f>SUM(DA10:DD10)</f>
        <v>-857</v>
      </c>
      <c r="DF10" s="1060">
        <f>data!DF156</f>
        <v>-332</v>
      </c>
      <c r="DG10" s="1060">
        <f>data!DG156</f>
        <v>-310</v>
      </c>
      <c r="DH10" s="1060">
        <f>data!DH156</f>
        <v>-303</v>
      </c>
      <c r="DI10" s="1060">
        <f>data!DI156</f>
        <v>-294</v>
      </c>
      <c r="DJ10" s="320">
        <f>SUM(DF10:DI10)</f>
        <v>-1239</v>
      </c>
      <c r="DK10" s="1060">
        <f>data!DK156</f>
        <v>-300</v>
      </c>
      <c r="DL10" s="1060">
        <f>data!DL156</f>
        <v>-402</v>
      </c>
      <c r="DM10" s="899">
        <v>-340</v>
      </c>
      <c r="DN10" s="899">
        <v>-350</v>
      </c>
      <c r="DO10" s="320">
        <f>SUM(DK10:DN10)</f>
        <v>-1392</v>
      </c>
      <c r="DP10" s="899">
        <v>-325</v>
      </c>
      <c r="DQ10" s="899">
        <v>-325</v>
      </c>
      <c r="DR10" s="899">
        <v>-340</v>
      </c>
      <c r="DS10" s="899">
        <v>-360</v>
      </c>
      <c r="DT10" s="320">
        <f>SUM(DP10:DS10)</f>
        <v>-1350</v>
      </c>
      <c r="DU10" s="1061">
        <v>-1380</v>
      </c>
      <c r="DV10" s="1061">
        <v>-1400</v>
      </c>
    </row>
    <row r="11" spans="1:126" s="145" customFormat="1" ht="12">
      <c r="A11" s="15"/>
      <c r="B11" s="1064" t="s">
        <v>645</v>
      </c>
      <c r="C11" s="158">
        <f t="shared" ref="C11:AH11" si="31">SUM(C7:C9)</f>
        <v>0</v>
      </c>
      <c r="D11" s="158">
        <f t="shared" si="31"/>
        <v>0</v>
      </c>
      <c r="E11" s="158">
        <f t="shared" si="31"/>
        <v>0</v>
      </c>
      <c r="F11" s="158">
        <f t="shared" si="31"/>
        <v>0</v>
      </c>
      <c r="G11" s="158">
        <f t="shared" si="31"/>
        <v>0</v>
      </c>
      <c r="H11" s="158">
        <f t="shared" si="31"/>
        <v>0</v>
      </c>
      <c r="I11" s="158">
        <f t="shared" si="31"/>
        <v>0</v>
      </c>
      <c r="J11" s="159">
        <f t="shared" si="31"/>
        <v>0</v>
      </c>
      <c r="K11" s="159">
        <f t="shared" si="31"/>
        <v>0</v>
      </c>
      <c r="L11" s="159">
        <f t="shared" si="31"/>
        <v>0</v>
      </c>
      <c r="M11" s="159">
        <f t="shared" si="31"/>
        <v>0</v>
      </c>
      <c r="N11" s="506">
        <f t="shared" si="31"/>
        <v>0</v>
      </c>
      <c r="O11" s="159">
        <f t="shared" si="31"/>
        <v>0</v>
      </c>
      <c r="P11" s="159">
        <f t="shared" si="31"/>
        <v>0</v>
      </c>
      <c r="Q11" s="159">
        <f t="shared" si="31"/>
        <v>0</v>
      </c>
      <c r="R11" s="159">
        <f t="shared" si="31"/>
        <v>0</v>
      </c>
      <c r="S11" s="506">
        <f t="shared" si="31"/>
        <v>0</v>
      </c>
      <c r="T11" s="159">
        <f t="shared" si="31"/>
        <v>0</v>
      </c>
      <c r="U11" s="159">
        <f t="shared" si="31"/>
        <v>0</v>
      </c>
      <c r="V11" s="159">
        <f t="shared" si="31"/>
        <v>0</v>
      </c>
      <c r="W11" s="159">
        <f t="shared" si="31"/>
        <v>0</v>
      </c>
      <c r="X11" s="506">
        <f t="shared" si="31"/>
        <v>0</v>
      </c>
      <c r="Y11" s="159">
        <f t="shared" si="31"/>
        <v>0</v>
      </c>
      <c r="Z11" s="159">
        <f t="shared" si="31"/>
        <v>0</v>
      </c>
      <c r="AA11" s="159">
        <f t="shared" si="31"/>
        <v>0</v>
      </c>
      <c r="AB11" s="159">
        <f t="shared" si="31"/>
        <v>0</v>
      </c>
      <c r="AC11" s="506">
        <f t="shared" si="31"/>
        <v>0</v>
      </c>
      <c r="AD11" s="159">
        <f t="shared" si="31"/>
        <v>0</v>
      </c>
      <c r="AE11" s="159">
        <f t="shared" si="31"/>
        <v>0</v>
      </c>
      <c r="AF11" s="159">
        <f t="shared" si="31"/>
        <v>0</v>
      </c>
      <c r="AG11" s="159">
        <f t="shared" si="31"/>
        <v>0</v>
      </c>
      <c r="AH11" s="506">
        <f t="shared" si="31"/>
        <v>0</v>
      </c>
      <c r="AI11" s="159">
        <f t="shared" ref="AI11:BL11" si="32">SUM(AI7:AI9)</f>
        <v>0</v>
      </c>
      <c r="AJ11" s="159">
        <f t="shared" si="32"/>
        <v>0</v>
      </c>
      <c r="AK11" s="159">
        <f t="shared" si="32"/>
        <v>0</v>
      </c>
      <c r="AL11" s="159">
        <f t="shared" si="32"/>
        <v>0</v>
      </c>
      <c r="AM11" s="506">
        <f t="shared" si="32"/>
        <v>0</v>
      </c>
      <c r="AN11" s="159">
        <f t="shared" si="32"/>
        <v>0</v>
      </c>
      <c r="AO11" s="159">
        <f t="shared" si="32"/>
        <v>0</v>
      </c>
      <c r="AP11" s="159">
        <f t="shared" si="32"/>
        <v>0</v>
      </c>
      <c r="AQ11" s="159">
        <f t="shared" si="32"/>
        <v>0</v>
      </c>
      <c r="AR11" s="506">
        <f t="shared" si="32"/>
        <v>0</v>
      </c>
      <c r="AS11" s="159">
        <f t="shared" si="32"/>
        <v>0</v>
      </c>
      <c r="AT11" s="159">
        <f t="shared" si="32"/>
        <v>0</v>
      </c>
      <c r="AU11" s="159">
        <f t="shared" si="32"/>
        <v>0</v>
      </c>
      <c r="AV11" s="159">
        <f t="shared" si="32"/>
        <v>0</v>
      </c>
      <c r="AW11" s="506">
        <f t="shared" si="32"/>
        <v>0</v>
      </c>
      <c r="AX11" s="159">
        <f t="shared" si="32"/>
        <v>0</v>
      </c>
      <c r="AY11" s="159">
        <f t="shared" si="32"/>
        <v>0</v>
      </c>
      <c r="AZ11" s="159">
        <f t="shared" si="32"/>
        <v>0</v>
      </c>
      <c r="BA11" s="159">
        <f t="shared" si="32"/>
        <v>0</v>
      </c>
      <c r="BB11" s="506">
        <f t="shared" si="32"/>
        <v>0</v>
      </c>
      <c r="BC11" s="159">
        <f t="shared" si="32"/>
        <v>0</v>
      </c>
      <c r="BD11" s="159">
        <f t="shared" si="32"/>
        <v>0</v>
      </c>
      <c r="BE11" s="159">
        <f t="shared" si="32"/>
        <v>0</v>
      </c>
      <c r="BF11" s="159">
        <f t="shared" si="32"/>
        <v>0</v>
      </c>
      <c r="BG11" s="506">
        <f t="shared" si="32"/>
        <v>0</v>
      </c>
      <c r="BH11" s="159">
        <f t="shared" si="32"/>
        <v>0</v>
      </c>
      <c r="BI11" s="159">
        <f t="shared" si="32"/>
        <v>0</v>
      </c>
      <c r="BJ11" s="159">
        <f t="shared" si="32"/>
        <v>0</v>
      </c>
      <c r="BK11" s="159">
        <f t="shared" si="32"/>
        <v>0</v>
      </c>
      <c r="BL11" s="506">
        <f t="shared" si="32"/>
        <v>0</v>
      </c>
      <c r="BM11" s="159">
        <f t="shared" ref="BM11:CZ11" si="33">SUM(BM7:BM8)</f>
        <v>5674.0000000000009</v>
      </c>
      <c r="BN11" s="159">
        <f t="shared" si="33"/>
        <v>5439.24</v>
      </c>
      <c r="BO11" s="159">
        <f t="shared" si="33"/>
        <v>5220.8700000000008</v>
      </c>
      <c r="BP11" s="159">
        <f t="shared" si="33"/>
        <v>5858.58</v>
      </c>
      <c r="BQ11" s="506">
        <f t="shared" si="33"/>
        <v>22192.690000000002</v>
      </c>
      <c r="BR11" s="159">
        <f t="shared" si="33"/>
        <v>6261.9999999999991</v>
      </c>
      <c r="BS11" s="159">
        <f t="shared" si="33"/>
        <v>5664.57</v>
      </c>
      <c r="BT11" s="159">
        <f t="shared" si="33"/>
        <v>5481</v>
      </c>
      <c r="BU11" s="159">
        <f t="shared" si="33"/>
        <v>6252.6900000000005</v>
      </c>
      <c r="BV11" s="506">
        <f t="shared" si="33"/>
        <v>23660.26</v>
      </c>
      <c r="BW11" s="159">
        <f t="shared" si="33"/>
        <v>6673</v>
      </c>
      <c r="BX11" s="159">
        <f t="shared" si="33"/>
        <v>5800</v>
      </c>
      <c r="BY11" s="159">
        <f t="shared" si="33"/>
        <v>5800</v>
      </c>
      <c r="BZ11" s="159">
        <f t="shared" si="33"/>
        <v>6200</v>
      </c>
      <c r="CA11" s="506">
        <f t="shared" si="33"/>
        <v>24473</v>
      </c>
      <c r="CB11" s="159">
        <f t="shared" si="33"/>
        <v>7112</v>
      </c>
      <c r="CC11" s="159">
        <f t="shared" si="33"/>
        <v>6607</v>
      </c>
      <c r="CD11" s="159">
        <f t="shared" si="33"/>
        <v>6500</v>
      </c>
      <c r="CE11" s="159">
        <f t="shared" si="33"/>
        <v>7400</v>
      </c>
      <c r="CF11" s="506">
        <f t="shared" si="33"/>
        <v>27619</v>
      </c>
      <c r="CG11" s="159">
        <f t="shared" si="33"/>
        <v>7954</v>
      </c>
      <c r="CH11" s="159">
        <f t="shared" si="33"/>
        <v>6824</v>
      </c>
      <c r="CI11" s="159">
        <f t="shared" si="33"/>
        <v>7058</v>
      </c>
      <c r="CJ11" s="159">
        <f t="shared" si="33"/>
        <v>7738.9999999999982</v>
      </c>
      <c r="CK11" s="506">
        <f t="shared" si="33"/>
        <v>29575</v>
      </c>
      <c r="CL11" s="159">
        <f t="shared" si="33"/>
        <v>6893</v>
      </c>
      <c r="CM11" s="159">
        <f t="shared" si="33"/>
        <v>4383</v>
      </c>
      <c r="CN11" s="159">
        <f t="shared" si="33"/>
        <v>4920</v>
      </c>
      <c r="CO11" s="159">
        <f t="shared" si="33"/>
        <v>5846</v>
      </c>
      <c r="CP11" s="506">
        <f t="shared" si="33"/>
        <v>22042</v>
      </c>
      <c r="CQ11" s="159">
        <f t="shared" si="33"/>
        <v>4992</v>
      </c>
      <c r="CR11" s="159">
        <f t="shared" si="33"/>
        <v>4839</v>
      </c>
      <c r="CS11" s="159">
        <f t="shared" si="33"/>
        <v>5398</v>
      </c>
      <c r="CT11" s="159">
        <f t="shared" si="33"/>
        <v>6081</v>
      </c>
      <c r="CU11" s="506">
        <f t="shared" si="33"/>
        <v>21310</v>
      </c>
      <c r="CV11" s="159">
        <f t="shared" si="33"/>
        <v>5603</v>
      </c>
      <c r="CW11" s="159">
        <f t="shared" si="33"/>
        <v>6127</v>
      </c>
      <c r="CX11" s="159">
        <f t="shared" si="33"/>
        <v>6705</v>
      </c>
      <c r="CY11" s="159">
        <f t="shared" si="33"/>
        <v>7615</v>
      </c>
      <c r="CZ11" s="506">
        <f t="shared" si="33"/>
        <v>26050</v>
      </c>
      <c r="DA11" s="159">
        <f t="shared" ref="DA11:DJ11" si="34">SUM(DA7:DA8,DA10)</f>
        <v>7045</v>
      </c>
      <c r="DB11" s="159">
        <f t="shared" si="34"/>
        <v>7907</v>
      </c>
      <c r="DC11" s="159">
        <f t="shared" si="34"/>
        <v>8461</v>
      </c>
      <c r="DD11" s="159">
        <f t="shared" si="34"/>
        <v>8547</v>
      </c>
      <c r="DE11" s="506">
        <f t="shared" si="34"/>
        <v>31960</v>
      </c>
      <c r="DF11" s="159">
        <f t="shared" si="34"/>
        <v>8076</v>
      </c>
      <c r="DG11" s="159">
        <f t="shared" si="34"/>
        <v>8223</v>
      </c>
      <c r="DH11" s="159">
        <f t="shared" si="34"/>
        <v>8943</v>
      </c>
      <c r="DI11" s="159">
        <f t="shared" ref="DI11:DK11" si="35">SUM(DI7:DI8,DI10)</f>
        <v>9879</v>
      </c>
      <c r="DJ11" s="506">
        <f t="shared" si="34"/>
        <v>35121</v>
      </c>
      <c r="DK11" s="159">
        <f t="shared" si="35"/>
        <v>9001</v>
      </c>
      <c r="DL11" s="159">
        <f t="shared" ref="DL11:DV11" si="36">SUM(DL7:DL8,DL10)</f>
        <v>10151</v>
      </c>
      <c r="DM11" s="159">
        <f t="shared" si="36"/>
        <v>10065.86</v>
      </c>
      <c r="DN11" s="159">
        <f t="shared" si="36"/>
        <v>10605.49</v>
      </c>
      <c r="DO11" s="158">
        <f t="shared" si="36"/>
        <v>39823.350000000006</v>
      </c>
      <c r="DP11" s="159">
        <f t="shared" si="36"/>
        <v>10243.379999999999</v>
      </c>
      <c r="DQ11" s="159">
        <f t="shared" ref="DQ11:DT11" si="37">SUM(DQ7:DQ8,DQ10)</f>
        <v>11474.75</v>
      </c>
      <c r="DR11" s="159">
        <f t="shared" si="37"/>
        <v>11360.270600000002</v>
      </c>
      <c r="DS11" s="159">
        <f t="shared" si="37"/>
        <v>12246.250067999999</v>
      </c>
      <c r="DT11" s="158">
        <f t="shared" si="37"/>
        <v>45324.650668000002</v>
      </c>
      <c r="DU11" s="158">
        <f t="shared" si="36"/>
        <v>49201.10449810799</v>
      </c>
      <c r="DV11" s="158">
        <f t="shared" si="36"/>
        <v>52592.721880817982</v>
      </c>
    </row>
    <row r="12" spans="1:126" s="145" customFormat="1" ht="12" hidden="1">
      <c r="A12" s="15"/>
      <c r="B12" s="515" t="s">
        <v>82</v>
      </c>
      <c r="C12" s="511"/>
      <c r="D12" s="511"/>
      <c r="E12" s="511"/>
      <c r="F12" s="511"/>
      <c r="G12" s="511"/>
      <c r="H12" s="511"/>
      <c r="I12" s="511"/>
      <c r="J12" s="512"/>
      <c r="K12" s="512"/>
      <c r="L12" s="512"/>
      <c r="M12" s="512"/>
      <c r="N12" s="511"/>
      <c r="O12" s="512"/>
      <c r="P12" s="512"/>
      <c r="Q12" s="512"/>
      <c r="R12" s="512"/>
      <c r="S12" s="511"/>
      <c r="T12" s="512"/>
      <c r="U12" s="512"/>
      <c r="V12" s="512"/>
      <c r="W12" s="512"/>
      <c r="X12" s="511"/>
      <c r="Y12" s="512"/>
      <c r="Z12" s="512"/>
      <c r="AA12" s="512"/>
      <c r="AB12" s="512"/>
      <c r="AC12" s="511"/>
      <c r="AD12" s="512"/>
      <c r="AE12" s="512"/>
      <c r="AF12" s="512"/>
      <c r="AG12" s="512"/>
      <c r="AH12" s="511"/>
      <c r="AI12" s="512"/>
      <c r="AJ12" s="512"/>
      <c r="AK12" s="512"/>
      <c r="AL12" s="512"/>
      <c r="AM12" s="511"/>
      <c r="AN12" s="512"/>
      <c r="AO12" s="512"/>
      <c r="AP12" s="512"/>
      <c r="AQ12" s="512"/>
      <c r="AR12" s="511"/>
      <c r="AS12" s="512"/>
      <c r="AT12" s="512"/>
      <c r="AU12" s="512"/>
      <c r="AV12" s="512"/>
      <c r="AW12" s="511"/>
      <c r="AX12" s="512"/>
      <c r="AY12" s="512"/>
      <c r="AZ12" s="512"/>
      <c r="BA12" s="512"/>
      <c r="BB12" s="511"/>
      <c r="BC12" s="512"/>
      <c r="BD12" s="512"/>
      <c r="BE12" s="512"/>
      <c r="BF12" s="512"/>
      <c r="BG12" s="511"/>
      <c r="BH12" s="512"/>
      <c r="BI12" s="512"/>
      <c r="BJ12" s="512"/>
      <c r="BK12" s="512"/>
      <c r="BL12" s="511"/>
      <c r="BM12" s="512"/>
      <c r="BN12" s="512"/>
      <c r="BO12" s="512"/>
      <c r="BP12" s="512"/>
      <c r="BQ12" s="511"/>
      <c r="BR12" s="512"/>
      <c r="BS12" s="512"/>
      <c r="BT12" s="512"/>
      <c r="BU12" s="512"/>
      <c r="BV12" s="511"/>
      <c r="BW12" s="512"/>
      <c r="BX12" s="512"/>
      <c r="BY12" s="512"/>
      <c r="BZ12" s="512"/>
      <c r="CA12" s="511"/>
      <c r="CB12" s="512"/>
      <c r="CC12" s="512"/>
      <c r="CD12" s="512"/>
      <c r="CE12" s="512"/>
      <c r="CF12" s="511"/>
      <c r="CG12" s="512"/>
      <c r="CH12" s="512"/>
      <c r="CI12" s="512"/>
      <c r="CJ12" s="512"/>
      <c r="CK12" s="511"/>
      <c r="CL12" s="512"/>
      <c r="CM12" s="512"/>
      <c r="CN12" s="512"/>
      <c r="CO12" s="512"/>
      <c r="CP12" s="511"/>
      <c r="CQ12" s="512"/>
      <c r="CR12" s="512"/>
      <c r="CS12" s="512"/>
      <c r="CT12" s="512"/>
      <c r="CU12" s="511"/>
      <c r="CV12" s="512"/>
      <c r="CW12" s="512"/>
      <c r="CX12" s="512"/>
      <c r="CY12" s="512"/>
      <c r="CZ12" s="511"/>
      <c r="DA12" s="512"/>
      <c r="DB12" s="512"/>
      <c r="DC12" s="512"/>
      <c r="DD12" s="512"/>
      <c r="DE12" s="511"/>
      <c r="DF12" s="512"/>
      <c r="DG12" s="512"/>
      <c r="DH12" s="512"/>
      <c r="DI12" s="512"/>
      <c r="DJ12" s="513"/>
      <c r="DK12" s="512"/>
      <c r="DL12" s="512"/>
      <c r="DM12" s="512"/>
      <c r="DN12" s="512"/>
      <c r="DO12" s="511"/>
      <c r="DP12" s="512"/>
      <c r="DQ12" s="512"/>
      <c r="DR12" s="512"/>
      <c r="DS12" s="512"/>
      <c r="DT12" s="511"/>
      <c r="DU12" s="511"/>
      <c r="DV12" s="511"/>
    </row>
    <row r="13" spans="1:126" s="145" customFormat="1" ht="12" hidden="1">
      <c r="A13" s="15"/>
      <c r="B13" s="514"/>
      <c r="C13" s="511"/>
      <c r="D13" s="511"/>
      <c r="E13" s="511"/>
      <c r="F13" s="511"/>
      <c r="G13" s="511"/>
      <c r="H13" s="511"/>
      <c r="I13" s="511"/>
      <c r="J13" s="512"/>
      <c r="K13" s="512"/>
      <c r="L13" s="512"/>
      <c r="M13" s="512"/>
      <c r="N13" s="511"/>
      <c r="O13" s="512"/>
      <c r="P13" s="512"/>
      <c r="Q13" s="512"/>
      <c r="R13" s="512"/>
      <c r="S13" s="511"/>
      <c r="T13" s="512"/>
      <c r="U13" s="512"/>
      <c r="V13" s="512"/>
      <c r="W13" s="512"/>
      <c r="X13" s="511"/>
      <c r="Y13" s="512"/>
      <c r="Z13" s="512"/>
      <c r="AA13" s="512"/>
      <c r="AB13" s="512"/>
      <c r="AC13" s="511"/>
      <c r="AD13" s="512"/>
      <c r="AE13" s="512"/>
      <c r="AF13" s="512"/>
      <c r="AG13" s="512"/>
      <c r="AH13" s="511"/>
      <c r="AI13" s="512"/>
      <c r="AJ13" s="512"/>
      <c r="AK13" s="512"/>
      <c r="AL13" s="512"/>
      <c r="AM13" s="511"/>
      <c r="AN13" s="512"/>
      <c r="AO13" s="512"/>
      <c r="AP13" s="512"/>
      <c r="AQ13" s="512"/>
      <c r="AR13" s="511"/>
      <c r="AS13" s="512"/>
      <c r="AT13" s="512"/>
      <c r="AU13" s="512"/>
      <c r="AV13" s="512"/>
      <c r="AW13" s="511"/>
      <c r="AX13" s="512"/>
      <c r="AY13" s="512"/>
      <c r="AZ13" s="512"/>
      <c r="BA13" s="512"/>
      <c r="BB13" s="511"/>
      <c r="BC13" s="512"/>
      <c r="BD13" s="512"/>
      <c r="BE13" s="512"/>
      <c r="BF13" s="512"/>
      <c r="BG13" s="511"/>
      <c r="BH13" s="512"/>
      <c r="BI13" s="512"/>
      <c r="BJ13" s="512"/>
      <c r="BK13" s="512"/>
      <c r="BL13" s="511"/>
      <c r="BM13" s="512"/>
      <c r="BN13" s="512"/>
      <c r="BO13" s="512"/>
      <c r="BP13" s="512"/>
      <c r="BQ13" s="511"/>
      <c r="BR13" s="512"/>
      <c r="BS13" s="512"/>
      <c r="BT13" s="512"/>
      <c r="BU13" s="512"/>
      <c r="BV13" s="511"/>
      <c r="BW13" s="512"/>
      <c r="BX13" s="512"/>
      <c r="BY13" s="512"/>
      <c r="BZ13" s="512"/>
      <c r="CA13" s="511"/>
      <c r="CB13" s="512"/>
      <c r="CC13" s="512"/>
      <c r="CD13" s="512"/>
      <c r="CE13" s="512"/>
      <c r="CF13" s="511"/>
      <c r="CG13" s="512"/>
      <c r="CH13" s="512"/>
      <c r="CI13" s="512"/>
      <c r="CJ13" s="512"/>
      <c r="CK13" s="511"/>
      <c r="CL13" s="512"/>
      <c r="CM13" s="512"/>
      <c r="CN13" s="512"/>
      <c r="CO13" s="512"/>
      <c r="CP13" s="511"/>
      <c r="CQ13" s="512"/>
      <c r="CR13" s="512"/>
      <c r="CS13" s="512"/>
      <c r="CT13" s="512"/>
      <c r="CU13" s="511"/>
      <c r="CV13" s="512"/>
      <c r="CW13" s="512"/>
      <c r="CX13" s="512"/>
      <c r="CY13" s="512"/>
      <c r="CZ13" s="511"/>
      <c r="DA13" s="512"/>
      <c r="DB13" s="512"/>
      <c r="DC13" s="512"/>
      <c r="DD13" s="512"/>
      <c r="DE13" s="511"/>
      <c r="DF13" s="512"/>
      <c r="DG13" s="512"/>
      <c r="DH13" s="512"/>
      <c r="DI13" s="512"/>
      <c r="DJ13" s="513"/>
      <c r="DK13" s="512"/>
      <c r="DL13" s="512"/>
      <c r="DM13" s="512"/>
      <c r="DN13" s="512"/>
      <c r="DO13" s="511"/>
      <c r="DP13" s="512"/>
      <c r="DQ13" s="512"/>
      <c r="DR13" s="512"/>
      <c r="DS13" s="512"/>
      <c r="DT13" s="511"/>
      <c r="DU13" s="511"/>
      <c r="DV13" s="511"/>
    </row>
    <row r="14" spans="1:126" s="145" customFormat="1" ht="12" hidden="1">
      <c r="A14" s="15"/>
      <c r="B14" s="510"/>
      <c r="C14" s="511"/>
      <c r="D14" s="511"/>
      <c r="E14" s="511"/>
      <c r="F14" s="511"/>
      <c r="G14" s="511"/>
      <c r="H14" s="511"/>
      <c r="I14" s="511"/>
      <c r="J14" s="512"/>
      <c r="K14" s="512"/>
      <c r="L14" s="512"/>
      <c r="M14" s="512"/>
      <c r="N14" s="511"/>
      <c r="O14" s="512"/>
      <c r="P14" s="512"/>
      <c r="Q14" s="512"/>
      <c r="R14" s="512"/>
      <c r="S14" s="511"/>
      <c r="T14" s="512"/>
      <c r="U14" s="512"/>
      <c r="V14" s="512"/>
      <c r="W14" s="512"/>
      <c r="X14" s="511"/>
      <c r="Y14" s="512"/>
      <c r="Z14" s="512"/>
      <c r="AA14" s="512"/>
      <c r="AB14" s="512"/>
      <c r="AC14" s="511"/>
      <c r="AD14" s="512"/>
      <c r="AE14" s="512"/>
      <c r="AF14" s="512"/>
      <c r="AG14" s="512"/>
      <c r="AH14" s="511"/>
      <c r="AI14" s="512"/>
      <c r="AJ14" s="512"/>
      <c r="AK14" s="512"/>
      <c r="AL14" s="512"/>
      <c r="AM14" s="511"/>
      <c r="AN14" s="512"/>
      <c r="AO14" s="512"/>
      <c r="AP14" s="512"/>
      <c r="AQ14" s="512"/>
      <c r="AR14" s="511"/>
      <c r="AS14" s="512"/>
      <c r="AT14" s="512"/>
      <c r="AU14" s="512"/>
      <c r="AV14" s="512"/>
      <c r="AW14" s="511"/>
      <c r="AX14" s="512"/>
      <c r="AY14" s="512"/>
      <c r="AZ14" s="512"/>
      <c r="BA14" s="512"/>
      <c r="BB14" s="511"/>
      <c r="BC14" s="512"/>
      <c r="BD14" s="512"/>
      <c r="BE14" s="512"/>
      <c r="BF14" s="512"/>
      <c r="BG14" s="511"/>
      <c r="BH14" s="512"/>
      <c r="BI14" s="512"/>
      <c r="BJ14" s="512"/>
      <c r="BK14" s="512"/>
      <c r="BL14" s="511"/>
      <c r="BM14" s="512"/>
      <c r="BN14" s="512"/>
      <c r="BO14" s="512"/>
      <c r="BP14" s="512"/>
      <c r="BQ14" s="511"/>
      <c r="BR14" s="512"/>
      <c r="BS14" s="512"/>
      <c r="BT14" s="512"/>
      <c r="BU14" s="512"/>
      <c r="BV14" s="511"/>
      <c r="BW14" s="512"/>
      <c r="BX14" s="512"/>
      <c r="BY14" s="512"/>
      <c r="BZ14" s="512"/>
      <c r="CA14" s="511"/>
      <c r="CB14" s="512"/>
      <c r="CC14" s="512"/>
      <c r="CD14" s="512"/>
      <c r="CE14" s="512"/>
      <c r="CF14" s="511"/>
      <c r="CG14" s="512"/>
      <c r="CH14" s="512"/>
      <c r="CI14" s="512"/>
      <c r="CJ14" s="512"/>
      <c r="CK14" s="511"/>
      <c r="CL14" s="512"/>
      <c r="CM14" s="512"/>
      <c r="CN14" s="512"/>
      <c r="CO14" s="512"/>
      <c r="CP14" s="511"/>
      <c r="CQ14" s="512"/>
      <c r="CR14" s="512"/>
      <c r="CS14" s="512"/>
      <c r="CT14" s="512"/>
      <c r="CU14" s="511"/>
      <c r="CV14" s="512"/>
      <c r="CW14" s="512"/>
      <c r="CX14" s="512"/>
      <c r="CY14" s="512"/>
      <c r="CZ14" s="511"/>
      <c r="DA14" s="512"/>
      <c r="DB14" s="512"/>
      <c r="DC14" s="512"/>
      <c r="DD14" s="512"/>
      <c r="DE14" s="511"/>
      <c r="DF14" s="512"/>
      <c r="DG14" s="512"/>
      <c r="DH14" s="512"/>
      <c r="DI14" s="512"/>
      <c r="DJ14" s="513"/>
      <c r="DK14" s="512"/>
      <c r="DL14" s="512"/>
      <c r="DM14" s="512"/>
      <c r="DN14" s="512"/>
      <c r="DO14" s="511"/>
      <c r="DP14" s="512"/>
      <c r="DQ14" s="512"/>
      <c r="DR14" s="512"/>
      <c r="DS14" s="512"/>
      <c r="DT14" s="511"/>
      <c r="DU14" s="511"/>
      <c r="DV14" s="511"/>
    </row>
    <row r="15" spans="1:126" s="145" customFormat="1" ht="12" hidden="1">
      <c r="A15" s="15"/>
      <c r="B15" s="515" t="s">
        <v>196</v>
      </c>
      <c r="C15" s="511"/>
      <c r="D15" s="511"/>
      <c r="E15" s="511"/>
      <c r="F15" s="511"/>
      <c r="G15" s="511"/>
      <c r="H15" s="511"/>
      <c r="I15" s="511"/>
      <c r="J15" s="512"/>
      <c r="K15" s="512"/>
      <c r="L15" s="512"/>
      <c r="M15" s="512"/>
      <c r="N15" s="511"/>
      <c r="O15" s="512"/>
      <c r="P15" s="512"/>
      <c r="Q15" s="512"/>
      <c r="R15" s="512"/>
      <c r="S15" s="511"/>
      <c r="T15" s="512"/>
      <c r="U15" s="512"/>
      <c r="V15" s="512"/>
      <c r="W15" s="512"/>
      <c r="X15" s="511"/>
      <c r="Y15" s="512"/>
      <c r="Z15" s="512"/>
      <c r="AA15" s="512"/>
      <c r="AB15" s="512"/>
      <c r="AC15" s="511"/>
      <c r="AD15" s="512"/>
      <c r="AE15" s="512"/>
      <c r="AF15" s="512"/>
      <c r="AG15" s="512"/>
      <c r="AH15" s="511"/>
      <c r="AI15" s="512"/>
      <c r="AJ15" s="512"/>
      <c r="AK15" s="512"/>
      <c r="AL15" s="512"/>
      <c r="AM15" s="511"/>
      <c r="AN15" s="512"/>
      <c r="AO15" s="512"/>
      <c r="AP15" s="512"/>
      <c r="AQ15" s="512"/>
      <c r="AR15" s="511"/>
      <c r="AS15" s="512"/>
      <c r="AT15" s="512"/>
      <c r="AU15" s="512"/>
      <c r="AV15" s="512"/>
      <c r="AW15" s="511"/>
      <c r="AX15" s="512"/>
      <c r="AY15" s="512"/>
      <c r="AZ15" s="512"/>
      <c r="BA15" s="512"/>
      <c r="BB15" s="511"/>
      <c r="BC15" s="512"/>
      <c r="BD15" s="512"/>
      <c r="BE15" s="512"/>
      <c r="BF15" s="512"/>
      <c r="BG15" s="511"/>
      <c r="BH15" s="512"/>
      <c r="BI15" s="512"/>
      <c r="BJ15" s="512"/>
      <c r="BK15" s="512"/>
      <c r="BL15" s="511"/>
      <c r="BM15" s="512"/>
      <c r="BN15" s="512"/>
      <c r="BO15" s="512"/>
      <c r="BP15" s="512"/>
      <c r="BQ15" s="511"/>
      <c r="BR15" s="512"/>
      <c r="BS15" s="512"/>
      <c r="BT15" s="512"/>
      <c r="BU15" s="512"/>
      <c r="BV15" s="511"/>
      <c r="BW15" s="512"/>
      <c r="BX15" s="512"/>
      <c r="BY15" s="512"/>
      <c r="BZ15" s="512"/>
      <c r="CA15" s="511"/>
      <c r="CB15" s="512"/>
      <c r="CC15" s="512"/>
      <c r="CD15" s="512"/>
      <c r="CE15" s="512"/>
      <c r="CF15" s="511"/>
      <c r="CG15" s="512"/>
      <c r="CH15" s="512"/>
      <c r="CI15" s="512"/>
      <c r="CJ15" s="512"/>
      <c r="CK15" s="511"/>
      <c r="CL15" s="512"/>
      <c r="CM15" s="512"/>
      <c r="CN15" s="512"/>
      <c r="CO15" s="512"/>
      <c r="CP15" s="511"/>
      <c r="CQ15" s="512"/>
      <c r="CR15" s="512"/>
      <c r="CS15" s="512"/>
      <c r="CT15" s="512"/>
      <c r="CU15" s="511"/>
      <c r="CV15" s="512"/>
      <c r="CW15" s="512"/>
      <c r="CX15" s="512"/>
      <c r="CY15" s="512"/>
      <c r="CZ15" s="511"/>
      <c r="DA15" s="512"/>
      <c r="DB15" s="512"/>
      <c r="DC15" s="512"/>
      <c r="DD15" s="512"/>
      <c r="DE15" s="511"/>
      <c r="DF15" s="512"/>
      <c r="DG15" s="512"/>
      <c r="DH15" s="512"/>
      <c r="DI15" s="512"/>
      <c r="DJ15" s="513"/>
      <c r="DK15" s="512"/>
      <c r="DL15" s="512"/>
      <c r="DM15" s="512"/>
      <c r="DN15" s="512"/>
      <c r="DO15" s="511"/>
      <c r="DP15" s="512"/>
      <c r="DQ15" s="512"/>
      <c r="DR15" s="512"/>
      <c r="DS15" s="512"/>
      <c r="DT15" s="511"/>
      <c r="DU15" s="511"/>
      <c r="DV15" s="511"/>
    </row>
    <row r="16" spans="1:126" s="145" customFormat="1" ht="12" hidden="1">
      <c r="A16" s="15"/>
      <c r="B16" s="510"/>
      <c r="C16" s="511"/>
      <c r="D16" s="511"/>
      <c r="E16" s="511"/>
      <c r="F16" s="511"/>
      <c r="G16" s="511"/>
      <c r="H16" s="511"/>
      <c r="I16" s="511"/>
      <c r="J16" s="512"/>
      <c r="K16" s="512"/>
      <c r="L16" s="512"/>
      <c r="M16" s="512"/>
      <c r="N16" s="511"/>
      <c r="O16" s="512"/>
      <c r="P16" s="512"/>
      <c r="Q16" s="512"/>
      <c r="R16" s="512"/>
      <c r="S16" s="511"/>
      <c r="T16" s="512"/>
      <c r="U16" s="512"/>
      <c r="V16" s="512"/>
      <c r="W16" s="512"/>
      <c r="X16" s="511"/>
      <c r="Y16" s="512"/>
      <c r="Z16" s="512"/>
      <c r="AA16" s="512"/>
      <c r="AB16" s="512"/>
      <c r="AC16" s="511"/>
      <c r="AD16" s="512"/>
      <c r="AE16" s="512"/>
      <c r="AF16" s="512"/>
      <c r="AG16" s="512"/>
      <c r="AH16" s="511"/>
      <c r="AI16" s="512"/>
      <c r="AJ16" s="512"/>
      <c r="AK16" s="512"/>
      <c r="AL16" s="512"/>
      <c r="AM16" s="511"/>
      <c r="AN16" s="512"/>
      <c r="AO16" s="512"/>
      <c r="AP16" s="512"/>
      <c r="AQ16" s="512"/>
      <c r="AR16" s="511"/>
      <c r="AS16" s="512"/>
      <c r="AT16" s="512"/>
      <c r="AU16" s="512"/>
      <c r="AV16" s="512"/>
      <c r="AW16" s="511"/>
      <c r="AX16" s="512"/>
      <c r="AY16" s="512"/>
      <c r="AZ16" s="512"/>
      <c r="BA16" s="512"/>
      <c r="BB16" s="511"/>
      <c r="BC16" s="512"/>
      <c r="BD16" s="512"/>
      <c r="BE16" s="512"/>
      <c r="BF16" s="512"/>
      <c r="BG16" s="511"/>
      <c r="BH16" s="512"/>
      <c r="BI16" s="512"/>
      <c r="BJ16" s="512"/>
      <c r="BK16" s="512"/>
      <c r="BL16" s="511"/>
      <c r="BM16" s="512"/>
      <c r="BN16" s="512"/>
      <c r="BO16" s="512"/>
      <c r="BP16" s="512"/>
      <c r="BQ16" s="511"/>
      <c r="BR16" s="512"/>
      <c r="BS16" s="512"/>
      <c r="BT16" s="512"/>
      <c r="BU16" s="512"/>
      <c r="BV16" s="511"/>
      <c r="BW16" s="512"/>
      <c r="BX16" s="512"/>
      <c r="BY16" s="512"/>
      <c r="BZ16" s="512"/>
      <c r="CA16" s="511"/>
      <c r="CB16" s="512"/>
      <c r="CC16" s="512"/>
      <c r="CD16" s="512"/>
      <c r="CE16" s="512"/>
      <c r="CF16" s="511"/>
      <c r="CG16" s="512"/>
      <c r="CH16" s="512"/>
      <c r="CI16" s="512"/>
      <c r="CJ16" s="512"/>
      <c r="CK16" s="511"/>
      <c r="CL16" s="512"/>
      <c r="CM16" s="512"/>
      <c r="CN16" s="512"/>
      <c r="CO16" s="512"/>
      <c r="CP16" s="511"/>
      <c r="CQ16" s="512"/>
      <c r="CR16" s="512"/>
      <c r="CS16" s="512"/>
      <c r="CT16" s="512"/>
      <c r="CU16" s="511"/>
      <c r="CV16" s="512"/>
      <c r="CW16" s="512"/>
      <c r="CX16" s="512"/>
      <c r="CY16" s="512"/>
      <c r="CZ16" s="511"/>
      <c r="DA16" s="512"/>
      <c r="DB16" s="512"/>
      <c r="DC16" s="512"/>
      <c r="DD16" s="512"/>
      <c r="DE16" s="511"/>
      <c r="DF16" s="512"/>
      <c r="DG16" s="512"/>
      <c r="DH16" s="512"/>
      <c r="DI16" s="512"/>
      <c r="DJ16" s="513"/>
      <c r="DK16" s="512"/>
      <c r="DL16" s="512"/>
      <c r="DM16" s="512"/>
      <c r="DN16" s="512"/>
      <c r="DO16" s="511"/>
      <c r="DP16" s="512"/>
      <c r="DQ16" s="512"/>
      <c r="DR16" s="512"/>
      <c r="DS16" s="512"/>
      <c r="DT16" s="511"/>
      <c r="DU16" s="511"/>
      <c r="DV16" s="511"/>
    </row>
    <row r="17" spans="2:126" s="15" customFormat="1" hidden="1">
      <c r="C17" s="16"/>
      <c r="D17" s="16"/>
      <c r="E17" s="16"/>
      <c r="F17" s="16"/>
      <c r="G17" s="16"/>
      <c r="H17" s="16"/>
      <c r="I17" s="16"/>
      <c r="J17" s="12"/>
      <c r="K17" s="12"/>
      <c r="L17" s="12"/>
      <c r="M17" s="12"/>
      <c r="N17" s="136"/>
      <c r="S17" s="136"/>
      <c r="X17" s="136"/>
      <c r="AC17" s="136"/>
      <c r="AH17" s="136"/>
      <c r="AM17" s="136"/>
      <c r="AR17" s="16"/>
      <c r="AW17" s="16"/>
      <c r="BB17" s="16"/>
      <c r="BG17" s="16"/>
      <c r="BL17" s="16"/>
      <c r="BQ17" s="16"/>
      <c r="BV17" s="16"/>
      <c r="CA17" s="16"/>
      <c r="CF17" s="16"/>
      <c r="CK17" s="16"/>
      <c r="CP17" s="16"/>
      <c r="CU17" s="16"/>
      <c r="CZ17" s="16"/>
      <c r="DE17" s="16"/>
      <c r="DJ17" s="16"/>
      <c r="DO17" s="16"/>
      <c r="DT17" s="16"/>
      <c r="DU17" s="16"/>
      <c r="DV17" s="16"/>
    </row>
    <row r="18" spans="2:126" s="15" customFormat="1" ht="12" hidden="1" outlineLevel="1">
      <c r="B18" s="189" t="s">
        <v>83</v>
      </c>
      <c r="C18" s="16"/>
      <c r="D18" s="16"/>
      <c r="E18" s="16"/>
      <c r="F18" s="16"/>
      <c r="G18" s="16"/>
      <c r="H18" s="16"/>
      <c r="I18" s="16"/>
      <c r="J18" s="12"/>
      <c r="K18" s="12"/>
      <c r="L18" s="12"/>
      <c r="M18" s="12"/>
      <c r="N18" s="136"/>
      <c r="S18" s="136"/>
      <c r="X18" s="136"/>
      <c r="AC18" s="136"/>
      <c r="AH18" s="136"/>
      <c r="AM18" s="136"/>
      <c r="AR18" s="16"/>
      <c r="AW18" s="16"/>
      <c r="BB18" s="16"/>
      <c r="BG18" s="16"/>
      <c r="BL18" s="16"/>
      <c r="BQ18" s="16"/>
      <c r="BV18" s="16"/>
      <c r="CA18" s="16"/>
      <c r="CF18" s="16"/>
      <c r="CK18" s="16"/>
      <c r="CP18" s="16"/>
      <c r="CU18" s="16"/>
      <c r="CZ18" s="16"/>
      <c r="DE18" s="16"/>
      <c r="DJ18" s="16"/>
      <c r="DO18" s="16"/>
      <c r="DT18" s="16"/>
      <c r="DU18" s="16"/>
      <c r="DV18" s="16"/>
    </row>
    <row r="19" spans="2:126" s="15" customFormat="1" hidden="1" outlineLevel="1">
      <c r="B19" s="221" t="s">
        <v>381</v>
      </c>
      <c r="C19" s="16"/>
      <c r="D19" s="16"/>
      <c r="E19" s="16"/>
      <c r="F19" s="16"/>
      <c r="G19" s="16"/>
      <c r="H19" s="16"/>
      <c r="I19" s="16"/>
      <c r="J19" s="12"/>
      <c r="K19" s="12"/>
      <c r="L19" s="12"/>
      <c r="M19" s="12"/>
      <c r="N19" s="136">
        <f>SUM(J19:M19)</f>
        <v>0</v>
      </c>
      <c r="S19" s="136">
        <f>SUM(O19:R19)</f>
        <v>0</v>
      </c>
      <c r="X19" s="136">
        <f>SUM(T19:W19)</f>
        <v>0</v>
      </c>
      <c r="AC19" s="136">
        <f>SUM(Y19:AB19)</f>
        <v>0</v>
      </c>
      <c r="AH19" s="136">
        <f>SUM(AD19:AG19)</f>
        <v>0</v>
      </c>
      <c r="AM19" s="136">
        <f>SUM(AI19:AL19)</f>
        <v>0</v>
      </c>
      <c r="AR19" s="136">
        <f>SUM(AN19:AQ19)</f>
        <v>0</v>
      </c>
      <c r="AW19" s="136">
        <f>SUM(AS19:AV19)</f>
        <v>0</v>
      </c>
      <c r="BB19" s="136">
        <f>SUM(AX19:BA19)</f>
        <v>0</v>
      </c>
      <c r="BG19" s="136">
        <f>SUM(BC19:BF19)</f>
        <v>0</v>
      </c>
      <c r="BL19" s="136">
        <f>SUM(BH19:BK19)</f>
        <v>0</v>
      </c>
      <c r="BQ19" s="136">
        <f>SUM(BM19:BP19)</f>
        <v>0</v>
      </c>
      <c r="BV19" s="136">
        <f>SUM(BR19:BU19)</f>
        <v>0</v>
      </c>
      <c r="CA19" s="136">
        <f>SUM(BW19:BZ19)</f>
        <v>0</v>
      </c>
      <c r="CF19" s="136">
        <f>SUM(CB19:CE19)</f>
        <v>0</v>
      </c>
      <c r="CK19" s="136">
        <f>SUM(CG19:CJ19)</f>
        <v>0</v>
      </c>
      <c r="CP19" s="136">
        <f>SUM(CL19:CO19)</f>
        <v>0</v>
      </c>
      <c r="CU19" s="136">
        <f>SUM(CQ19:CT19)</f>
        <v>0</v>
      </c>
      <c r="CZ19" s="136">
        <f>SUM(CV19:CY19)</f>
        <v>0</v>
      </c>
      <c r="DE19" s="136">
        <f>SUM(DA19:DD19)</f>
        <v>0</v>
      </c>
      <c r="DJ19" s="136">
        <f>SUM(DF19:DI19)</f>
        <v>0</v>
      </c>
      <c r="DO19" s="16"/>
      <c r="DT19" s="16"/>
      <c r="DU19" s="16"/>
      <c r="DV19" s="16"/>
    </row>
    <row r="20" spans="2:126" s="15" customFormat="1" hidden="1" outlineLevel="1">
      <c r="B20" s="317" t="s">
        <v>457</v>
      </c>
      <c r="C20" s="16"/>
      <c r="D20" s="16"/>
      <c r="E20" s="16"/>
      <c r="F20" s="16"/>
      <c r="G20" s="16"/>
      <c r="H20" s="16"/>
      <c r="I20" s="16"/>
      <c r="J20" s="12"/>
      <c r="K20" s="12"/>
      <c r="L20" s="12"/>
      <c r="M20" s="12"/>
      <c r="N20" s="136">
        <f t="shared" ref="N20:N22" si="38">SUM(J20:M20)</f>
        <v>0</v>
      </c>
      <c r="S20" s="136">
        <f t="shared" ref="S20:S22" si="39">SUM(O20:R20)</f>
        <v>0</v>
      </c>
      <c r="X20" s="136">
        <f t="shared" ref="X20:X22" si="40">SUM(T20:W20)</f>
        <v>0</v>
      </c>
      <c r="AC20" s="136">
        <f t="shared" ref="AC20:AC22" si="41">SUM(Y20:AB20)</f>
        <v>0</v>
      </c>
      <c r="AH20" s="136">
        <f t="shared" ref="AH20:AH22" si="42">SUM(AD20:AG20)</f>
        <v>0</v>
      </c>
      <c r="AM20" s="136">
        <f t="shared" ref="AM20:AM22" si="43">SUM(AI20:AL20)</f>
        <v>0</v>
      </c>
      <c r="AR20" s="136">
        <f t="shared" ref="AR20:AR22" si="44">SUM(AN20:AQ20)</f>
        <v>0</v>
      </c>
      <c r="AW20" s="136">
        <f t="shared" ref="AW20:AW22" si="45">SUM(AS20:AV20)</f>
        <v>0</v>
      </c>
      <c r="BB20" s="136">
        <f t="shared" ref="BB20:BB22" si="46">SUM(AX20:BA20)</f>
        <v>0</v>
      </c>
      <c r="BG20" s="136">
        <f t="shared" ref="BG20:BG22" si="47">SUM(BC20:BF20)</f>
        <v>0</v>
      </c>
      <c r="BL20" s="136">
        <f t="shared" ref="BL20:BL22" si="48">SUM(BH20:BK20)</f>
        <v>0</v>
      </c>
      <c r="BQ20" s="136">
        <f t="shared" ref="BQ20:BQ22" si="49">SUM(BM20:BP20)</f>
        <v>0</v>
      </c>
      <c r="BV20" s="136">
        <f t="shared" ref="BV20:BV22" si="50">SUM(BR20:BU20)</f>
        <v>0</v>
      </c>
      <c r="CA20" s="136">
        <f t="shared" ref="CA20:CA22" si="51">SUM(BW20:BZ20)</f>
        <v>0</v>
      </c>
      <c r="CF20" s="136">
        <f t="shared" ref="CF20:CF22" si="52">SUM(CB20:CE20)</f>
        <v>0</v>
      </c>
      <c r="CK20" s="136">
        <f t="shared" ref="CK20:CK22" si="53">SUM(CG20:CJ20)</f>
        <v>0</v>
      </c>
      <c r="CP20" s="136">
        <f t="shared" ref="CP20:CP22" si="54">SUM(CL20:CO20)</f>
        <v>0</v>
      </c>
      <c r="CU20" s="136">
        <f t="shared" ref="CU20:CU22" si="55">SUM(CQ20:CT20)</f>
        <v>0</v>
      </c>
      <c r="CZ20" s="136">
        <f t="shared" ref="CZ20:CZ22" si="56">SUM(CV20:CY20)</f>
        <v>0</v>
      </c>
      <c r="DE20" s="136">
        <f t="shared" ref="DE20:DE22" si="57">SUM(DA20:DD20)</f>
        <v>0</v>
      </c>
      <c r="DJ20" s="136">
        <f t="shared" ref="DJ20:DJ22" si="58">SUM(DF20:DI20)</f>
        <v>0</v>
      </c>
      <c r="DO20" s="16"/>
      <c r="DT20" s="16"/>
      <c r="DU20" s="16"/>
      <c r="DV20" s="16"/>
    </row>
    <row r="21" spans="2:126" s="15" customFormat="1" hidden="1" outlineLevel="1">
      <c r="B21" s="317" t="s">
        <v>644</v>
      </c>
      <c r="C21" s="16"/>
      <c r="D21" s="16"/>
      <c r="E21" s="16"/>
      <c r="F21" s="16"/>
      <c r="G21" s="16"/>
      <c r="H21" s="16"/>
      <c r="I21" s="16"/>
      <c r="J21" s="12"/>
      <c r="K21" s="12"/>
      <c r="L21" s="12"/>
      <c r="M21" s="12"/>
      <c r="N21" s="136"/>
      <c r="S21" s="136"/>
      <c r="X21" s="136"/>
      <c r="AC21" s="136"/>
      <c r="AH21" s="136"/>
      <c r="AM21" s="136"/>
      <c r="AR21" s="136"/>
      <c r="AW21" s="136"/>
      <c r="BB21" s="136"/>
      <c r="BG21" s="136"/>
      <c r="BL21" s="136"/>
      <c r="BQ21" s="136"/>
      <c r="BV21" s="136"/>
      <c r="CA21" s="136"/>
      <c r="CF21" s="136"/>
      <c r="CK21" s="136"/>
      <c r="CP21" s="136"/>
      <c r="CU21" s="136"/>
      <c r="CZ21" s="136"/>
      <c r="DE21" s="136"/>
      <c r="DJ21" s="136"/>
      <c r="DO21" s="16"/>
      <c r="DT21" s="16"/>
      <c r="DU21" s="16"/>
      <c r="DV21" s="16"/>
    </row>
    <row r="22" spans="2:126" s="15" customFormat="1" hidden="1" outlineLevel="1">
      <c r="B22" s="221" t="s">
        <v>558</v>
      </c>
      <c r="C22" s="45"/>
      <c r="D22" s="45"/>
      <c r="E22" s="45"/>
      <c r="F22" s="45"/>
      <c r="G22" s="45"/>
      <c r="H22" s="45"/>
      <c r="I22" s="45"/>
      <c r="J22" s="88"/>
      <c r="K22" s="88"/>
      <c r="L22" s="88"/>
      <c r="M22" s="88"/>
      <c r="N22" s="319">
        <f t="shared" si="38"/>
        <v>0</v>
      </c>
      <c r="O22" s="88"/>
      <c r="P22" s="88"/>
      <c r="Q22" s="88"/>
      <c r="R22" s="88"/>
      <c r="S22" s="319">
        <f t="shared" si="39"/>
        <v>0</v>
      </c>
      <c r="T22" s="88"/>
      <c r="U22" s="88"/>
      <c r="V22" s="88"/>
      <c r="W22" s="88"/>
      <c r="X22" s="319">
        <f t="shared" si="40"/>
        <v>0</v>
      </c>
      <c r="Y22" s="88"/>
      <c r="Z22" s="88"/>
      <c r="AA22" s="88"/>
      <c r="AB22" s="88"/>
      <c r="AC22" s="319">
        <f t="shared" si="41"/>
        <v>0</v>
      </c>
      <c r="AD22" s="88"/>
      <c r="AE22" s="88"/>
      <c r="AF22" s="88"/>
      <c r="AG22" s="88"/>
      <c r="AH22" s="319">
        <f t="shared" si="42"/>
        <v>0</v>
      </c>
      <c r="AI22" s="88"/>
      <c r="AJ22" s="88"/>
      <c r="AK22" s="88"/>
      <c r="AL22" s="88"/>
      <c r="AM22" s="319">
        <f t="shared" si="43"/>
        <v>0</v>
      </c>
      <c r="AN22" s="88"/>
      <c r="AO22" s="88"/>
      <c r="AP22" s="88"/>
      <c r="AQ22" s="88"/>
      <c r="AR22" s="319">
        <f t="shared" si="44"/>
        <v>0</v>
      </c>
      <c r="AS22" s="88"/>
      <c r="AT22" s="88"/>
      <c r="AU22" s="88"/>
      <c r="AV22" s="88"/>
      <c r="AW22" s="319">
        <f t="shared" si="45"/>
        <v>0</v>
      </c>
      <c r="AX22" s="88"/>
      <c r="AY22" s="88"/>
      <c r="AZ22" s="88"/>
      <c r="BA22" s="88"/>
      <c r="BB22" s="319">
        <f t="shared" si="46"/>
        <v>0</v>
      </c>
      <c r="BC22" s="88"/>
      <c r="BD22" s="88"/>
      <c r="BE22" s="88"/>
      <c r="BF22" s="88"/>
      <c r="BG22" s="319">
        <f t="shared" si="47"/>
        <v>0</v>
      </c>
      <c r="BH22" s="88"/>
      <c r="BI22" s="88"/>
      <c r="BJ22" s="88"/>
      <c r="BK22" s="88"/>
      <c r="BL22" s="319">
        <f t="shared" si="48"/>
        <v>0</v>
      </c>
      <c r="BM22" s="88"/>
      <c r="BN22" s="88"/>
      <c r="BO22" s="88"/>
      <c r="BP22" s="88"/>
      <c r="BQ22" s="319">
        <f t="shared" si="49"/>
        <v>0</v>
      </c>
      <c r="BR22" s="88"/>
      <c r="BS22" s="88"/>
      <c r="BT22" s="88"/>
      <c r="BU22" s="88"/>
      <c r="BV22" s="319">
        <f t="shared" si="50"/>
        <v>0</v>
      </c>
      <c r="BW22" s="88"/>
      <c r="BX22" s="88"/>
      <c r="BY22" s="88"/>
      <c r="BZ22" s="88"/>
      <c r="CA22" s="319">
        <f t="shared" si="51"/>
        <v>0</v>
      </c>
      <c r="CB22" s="88"/>
      <c r="CC22" s="88"/>
      <c r="CD22" s="88"/>
      <c r="CE22" s="88"/>
      <c r="CF22" s="319">
        <f t="shared" si="52"/>
        <v>0</v>
      </c>
      <c r="CG22" s="88"/>
      <c r="CH22" s="88"/>
      <c r="CI22" s="88"/>
      <c r="CJ22" s="88"/>
      <c r="CK22" s="319">
        <f t="shared" si="53"/>
        <v>0</v>
      </c>
      <c r="CL22" s="88"/>
      <c r="CM22" s="88"/>
      <c r="CN22" s="88"/>
      <c r="CO22" s="88"/>
      <c r="CP22" s="319">
        <f t="shared" si="54"/>
        <v>0</v>
      </c>
      <c r="CQ22" s="88"/>
      <c r="CR22" s="88"/>
      <c r="CS22" s="88"/>
      <c r="CT22" s="88"/>
      <c r="CU22" s="319">
        <f t="shared" si="55"/>
        <v>0</v>
      </c>
      <c r="CV22" s="88"/>
      <c r="CW22" s="88"/>
      <c r="CX22" s="88"/>
      <c r="CY22" s="88"/>
      <c r="CZ22" s="319">
        <f t="shared" si="56"/>
        <v>0</v>
      </c>
      <c r="DA22" s="88"/>
      <c r="DB22" s="88"/>
      <c r="DC22" s="88"/>
      <c r="DD22" s="88"/>
      <c r="DE22" s="319">
        <f t="shared" si="57"/>
        <v>0</v>
      </c>
      <c r="DF22" s="88"/>
      <c r="DG22" s="88"/>
      <c r="DH22" s="88"/>
      <c r="DI22" s="88"/>
      <c r="DJ22" s="319">
        <f t="shared" si="58"/>
        <v>0</v>
      </c>
      <c r="DK22" s="88"/>
      <c r="DL22" s="88"/>
      <c r="DM22" s="88"/>
      <c r="DN22" s="88"/>
      <c r="DO22" s="45"/>
      <c r="DP22" s="88"/>
      <c r="DQ22" s="88"/>
      <c r="DR22" s="88"/>
      <c r="DS22" s="88"/>
      <c r="DT22" s="45"/>
      <c r="DU22" s="45"/>
      <c r="DV22" s="45"/>
    </row>
    <row r="23" spans="2:126" s="15" customFormat="1" hidden="1" outlineLevel="1">
      <c r="B23" s="161" t="s">
        <v>170</v>
      </c>
      <c r="C23" s="98">
        <f>SUM(C19:C22)</f>
        <v>0</v>
      </c>
      <c r="D23" s="98">
        <f t="shared" ref="D23:AR23" si="59">SUM(D19:D22)</f>
        <v>0</v>
      </c>
      <c r="E23" s="98">
        <f t="shared" si="59"/>
        <v>0</v>
      </c>
      <c r="F23" s="98">
        <f t="shared" si="59"/>
        <v>0</v>
      </c>
      <c r="G23" s="98">
        <f t="shared" si="59"/>
        <v>0</v>
      </c>
      <c r="H23" s="98">
        <f t="shared" si="59"/>
        <v>0</v>
      </c>
      <c r="I23" s="98">
        <f t="shared" si="59"/>
        <v>0</v>
      </c>
      <c r="J23" s="97">
        <f t="shared" si="59"/>
        <v>0</v>
      </c>
      <c r="K23" s="97">
        <f t="shared" si="59"/>
        <v>0</v>
      </c>
      <c r="L23" s="97">
        <f t="shared" si="59"/>
        <v>0</v>
      </c>
      <c r="M23" s="97">
        <f t="shared" si="59"/>
        <v>0</v>
      </c>
      <c r="N23" s="98">
        <f t="shared" si="59"/>
        <v>0</v>
      </c>
      <c r="O23" s="97">
        <f t="shared" si="59"/>
        <v>0</v>
      </c>
      <c r="P23" s="97">
        <f t="shared" si="59"/>
        <v>0</v>
      </c>
      <c r="Q23" s="97">
        <f t="shared" si="59"/>
        <v>0</v>
      </c>
      <c r="R23" s="97">
        <f t="shared" si="59"/>
        <v>0</v>
      </c>
      <c r="S23" s="98">
        <f t="shared" si="59"/>
        <v>0</v>
      </c>
      <c r="T23" s="97">
        <f t="shared" si="59"/>
        <v>0</v>
      </c>
      <c r="U23" s="97">
        <f t="shared" si="59"/>
        <v>0</v>
      </c>
      <c r="V23" s="97">
        <f t="shared" si="59"/>
        <v>0</v>
      </c>
      <c r="W23" s="97">
        <f t="shared" si="59"/>
        <v>0</v>
      </c>
      <c r="X23" s="98">
        <f t="shared" si="59"/>
        <v>0</v>
      </c>
      <c r="Y23" s="97">
        <f t="shared" si="59"/>
        <v>0</v>
      </c>
      <c r="Z23" s="97">
        <f t="shared" si="59"/>
        <v>0</v>
      </c>
      <c r="AA23" s="97">
        <f t="shared" si="59"/>
        <v>0</v>
      </c>
      <c r="AB23" s="97">
        <f t="shared" si="59"/>
        <v>0</v>
      </c>
      <c r="AC23" s="98">
        <f t="shared" si="59"/>
        <v>0</v>
      </c>
      <c r="AD23" s="97">
        <f t="shared" si="59"/>
        <v>0</v>
      </c>
      <c r="AE23" s="97">
        <f t="shared" si="59"/>
        <v>0</v>
      </c>
      <c r="AF23" s="97">
        <f t="shared" si="59"/>
        <v>0</v>
      </c>
      <c r="AG23" s="97">
        <f t="shared" si="59"/>
        <v>0</v>
      </c>
      <c r="AH23" s="98">
        <f t="shared" si="59"/>
        <v>0</v>
      </c>
      <c r="AI23" s="97">
        <f t="shared" si="59"/>
        <v>0</v>
      </c>
      <c r="AJ23" s="97">
        <f t="shared" si="59"/>
        <v>0</v>
      </c>
      <c r="AK23" s="97">
        <f t="shared" si="59"/>
        <v>0</v>
      </c>
      <c r="AL23" s="97">
        <f t="shared" si="59"/>
        <v>0</v>
      </c>
      <c r="AM23" s="98">
        <f t="shared" si="59"/>
        <v>0</v>
      </c>
      <c r="AN23" s="97">
        <f t="shared" si="59"/>
        <v>0</v>
      </c>
      <c r="AO23" s="97">
        <f t="shared" si="59"/>
        <v>0</v>
      </c>
      <c r="AP23" s="97">
        <f t="shared" si="59"/>
        <v>0</v>
      </c>
      <c r="AQ23" s="97">
        <f t="shared" si="59"/>
        <v>0</v>
      </c>
      <c r="AR23" s="98">
        <f t="shared" si="59"/>
        <v>0</v>
      </c>
      <c r="AS23" s="97">
        <f t="shared" ref="AS23" si="60">SUM(AS19:AS22)</f>
        <v>0</v>
      </c>
      <c r="AT23" s="97">
        <f t="shared" ref="AT23" si="61">SUM(AT19:AT22)</f>
        <v>0</v>
      </c>
      <c r="AU23" s="97">
        <f t="shared" ref="AU23" si="62">SUM(AU19:AU22)</f>
        <v>0</v>
      </c>
      <c r="AV23" s="97">
        <f t="shared" ref="AV23" si="63">SUM(AV19:AV22)</f>
        <v>0</v>
      </c>
      <c r="AW23" s="98">
        <f t="shared" ref="AW23" si="64">SUM(AW19:AW22)</f>
        <v>0</v>
      </c>
      <c r="AX23" s="97">
        <f t="shared" ref="AX23" si="65">SUM(AX19:AX22)</f>
        <v>0</v>
      </c>
      <c r="AY23" s="97">
        <f t="shared" ref="AY23" si="66">SUM(AY19:AY22)</f>
        <v>0</v>
      </c>
      <c r="AZ23" s="97">
        <f t="shared" ref="AZ23" si="67">SUM(AZ19:AZ22)</f>
        <v>0</v>
      </c>
      <c r="BA23" s="97">
        <f t="shared" ref="BA23" si="68">SUM(BA19:BA22)</f>
        <v>0</v>
      </c>
      <c r="BB23" s="98">
        <f t="shared" ref="BB23" si="69">SUM(BB19:BB22)</f>
        <v>0</v>
      </c>
      <c r="BC23" s="97">
        <f t="shared" ref="BC23" si="70">SUM(BC19:BC22)</f>
        <v>0</v>
      </c>
      <c r="BD23" s="97">
        <f t="shared" ref="BD23" si="71">SUM(BD19:BD22)</f>
        <v>0</v>
      </c>
      <c r="BE23" s="97">
        <f t="shared" ref="BE23" si="72">SUM(BE19:BE22)</f>
        <v>0</v>
      </c>
      <c r="BF23" s="97">
        <f t="shared" ref="BF23" si="73">SUM(BF19:BF22)</f>
        <v>0</v>
      </c>
      <c r="BG23" s="98">
        <f t="shared" ref="BG23" si="74">SUM(BG19:BG22)</f>
        <v>0</v>
      </c>
      <c r="BH23" s="97">
        <f t="shared" ref="BH23" si="75">SUM(BH19:BH22)</f>
        <v>0</v>
      </c>
      <c r="BI23" s="97">
        <f t="shared" ref="BI23" si="76">SUM(BI19:BI22)</f>
        <v>0</v>
      </c>
      <c r="BJ23" s="97">
        <f t="shared" ref="BJ23" si="77">SUM(BJ19:BJ22)</f>
        <v>0</v>
      </c>
      <c r="BK23" s="97">
        <f t="shared" ref="BK23" si="78">SUM(BK19:BK22)</f>
        <v>0</v>
      </c>
      <c r="BL23" s="98">
        <f t="shared" ref="BL23" si="79">SUM(BL19:BL22)</f>
        <v>0</v>
      </c>
      <c r="BM23" s="97">
        <f t="shared" ref="BM23" si="80">SUM(BM19:BM22)</f>
        <v>0</v>
      </c>
      <c r="BN23" s="97">
        <f t="shared" ref="BN23" si="81">SUM(BN19:BN22)</f>
        <v>0</v>
      </c>
      <c r="BO23" s="97">
        <f t="shared" ref="BO23" si="82">SUM(BO19:BO22)</f>
        <v>0</v>
      </c>
      <c r="BP23" s="97">
        <f t="shared" ref="BP23" si="83">SUM(BP19:BP22)</f>
        <v>0</v>
      </c>
      <c r="BQ23" s="98">
        <f t="shared" ref="BQ23" si="84">SUM(BQ19:BQ22)</f>
        <v>0</v>
      </c>
      <c r="BR23" s="97">
        <f t="shared" ref="BR23" si="85">SUM(BR19:BR22)</f>
        <v>0</v>
      </c>
      <c r="BS23" s="97">
        <f t="shared" ref="BS23" si="86">SUM(BS19:BS22)</f>
        <v>0</v>
      </c>
      <c r="BT23" s="97">
        <f t="shared" ref="BT23" si="87">SUM(BT19:BT22)</f>
        <v>0</v>
      </c>
      <c r="BU23" s="97">
        <f t="shared" ref="BU23" si="88">SUM(BU19:BU22)</f>
        <v>0</v>
      </c>
      <c r="BV23" s="98">
        <f t="shared" ref="BV23" si="89">SUM(BV19:BV22)</f>
        <v>0</v>
      </c>
      <c r="BW23" s="97">
        <f t="shared" ref="BW23" si="90">SUM(BW19:BW22)</f>
        <v>0</v>
      </c>
      <c r="BX23" s="97">
        <f t="shared" ref="BX23" si="91">SUM(BX19:BX22)</f>
        <v>0</v>
      </c>
      <c r="BY23" s="97">
        <f t="shared" ref="BY23" si="92">SUM(BY19:BY22)</f>
        <v>0</v>
      </c>
      <c r="BZ23" s="97">
        <f t="shared" ref="BZ23" si="93">SUM(BZ19:BZ22)</f>
        <v>0</v>
      </c>
      <c r="CA23" s="98">
        <f t="shared" ref="CA23" si="94">SUM(CA19:CA22)</f>
        <v>0</v>
      </c>
      <c r="CB23" s="97">
        <f t="shared" ref="CB23" si="95">SUM(CB19:CB22)</f>
        <v>0</v>
      </c>
      <c r="CC23" s="97">
        <f t="shared" ref="CC23" si="96">SUM(CC19:CC22)</f>
        <v>0</v>
      </c>
      <c r="CD23" s="97">
        <f t="shared" ref="CD23" si="97">SUM(CD19:CD22)</f>
        <v>0</v>
      </c>
      <c r="CE23" s="97">
        <f t="shared" ref="CE23" si="98">SUM(CE19:CE22)</f>
        <v>0</v>
      </c>
      <c r="CF23" s="98">
        <f t="shared" ref="CF23" si="99">SUM(CF19:CF22)</f>
        <v>0</v>
      </c>
      <c r="CG23" s="97">
        <f t="shared" ref="CG23" si="100">SUM(CG19:CG22)</f>
        <v>0</v>
      </c>
      <c r="CH23" s="97">
        <f t="shared" ref="CH23" si="101">SUM(CH19:CH22)</f>
        <v>0</v>
      </c>
      <c r="CI23" s="97">
        <f t="shared" ref="CI23" si="102">SUM(CI19:CI22)</f>
        <v>0</v>
      </c>
      <c r="CJ23" s="97">
        <f t="shared" ref="CJ23" si="103">SUM(CJ19:CJ22)</f>
        <v>0</v>
      </c>
      <c r="CK23" s="98">
        <f t="shared" ref="CK23" si="104">SUM(CK19:CK22)</f>
        <v>0</v>
      </c>
      <c r="CL23" s="97">
        <f t="shared" ref="CL23" si="105">SUM(CL19:CL22)</f>
        <v>0</v>
      </c>
      <c r="CM23" s="97">
        <f t="shared" ref="CM23" si="106">SUM(CM19:CM22)</f>
        <v>0</v>
      </c>
      <c r="CN23" s="97">
        <f t="shared" ref="CN23" si="107">SUM(CN19:CN22)</f>
        <v>0</v>
      </c>
      <c r="CO23" s="97">
        <f t="shared" ref="CO23" si="108">SUM(CO19:CO22)</f>
        <v>0</v>
      </c>
      <c r="CP23" s="98">
        <f t="shared" ref="CP23" si="109">SUM(CP19:CP22)</f>
        <v>0</v>
      </c>
      <c r="CQ23" s="97">
        <f t="shared" ref="CQ23" si="110">SUM(CQ19:CQ22)</f>
        <v>0</v>
      </c>
      <c r="CR23" s="97">
        <f t="shared" ref="CR23" si="111">SUM(CR19:CR22)</f>
        <v>0</v>
      </c>
      <c r="CS23" s="97">
        <f t="shared" ref="CS23" si="112">SUM(CS19:CS22)</f>
        <v>0</v>
      </c>
      <c r="CT23" s="97">
        <f t="shared" ref="CT23" si="113">SUM(CT19:CT22)</f>
        <v>0</v>
      </c>
      <c r="CU23" s="98">
        <f t="shared" ref="CU23" si="114">SUM(CU19:CU22)</f>
        <v>0</v>
      </c>
      <c r="CV23" s="97">
        <f t="shared" ref="CV23" si="115">SUM(CV19:CV22)</f>
        <v>0</v>
      </c>
      <c r="CW23" s="97">
        <f t="shared" ref="CW23" si="116">SUM(CW19:CW22)</f>
        <v>0</v>
      </c>
      <c r="CX23" s="97">
        <f t="shared" ref="CX23" si="117">SUM(CX19:CX22)</f>
        <v>0</v>
      </c>
      <c r="CY23" s="97">
        <f t="shared" ref="CY23" si="118">SUM(CY19:CY22)</f>
        <v>0</v>
      </c>
      <c r="CZ23" s="98">
        <f t="shared" ref="CZ23" si="119">SUM(CZ19:CZ22)</f>
        <v>0</v>
      </c>
      <c r="DA23" s="97">
        <f t="shared" ref="DA23" si="120">SUM(DA19:DA22)</f>
        <v>0</v>
      </c>
      <c r="DB23" s="97">
        <f t="shared" ref="DB23" si="121">SUM(DB19:DB22)</f>
        <v>0</v>
      </c>
      <c r="DC23" s="97">
        <f t="shared" ref="DC23" si="122">SUM(DC19:DC22)</f>
        <v>0</v>
      </c>
      <c r="DD23" s="97">
        <f t="shared" ref="DD23" si="123">SUM(DD19:DD22)</f>
        <v>0</v>
      </c>
      <c r="DE23" s="98">
        <f t="shared" ref="DE23" si="124">SUM(DE19:DE22)</f>
        <v>0</v>
      </c>
      <c r="DF23" s="97">
        <f t="shared" ref="DF23" si="125">SUM(DF19:DF22)</f>
        <v>0</v>
      </c>
      <c r="DG23" s="97">
        <f t="shared" ref="DG23" si="126">SUM(DG19:DG22)</f>
        <v>0</v>
      </c>
      <c r="DH23" s="97">
        <f t="shared" ref="DH23" si="127">SUM(DH19:DH22)</f>
        <v>0</v>
      </c>
      <c r="DI23" s="97">
        <f t="shared" ref="DI23" si="128">SUM(DI19:DI22)</f>
        <v>0</v>
      </c>
      <c r="DJ23" s="98">
        <f t="shared" ref="DJ23:DN23" si="129">SUM(DJ19:DJ22)</f>
        <v>0</v>
      </c>
      <c r="DK23" s="97">
        <f t="shared" si="129"/>
        <v>0</v>
      </c>
      <c r="DL23" s="97">
        <f t="shared" si="129"/>
        <v>0</v>
      </c>
      <c r="DM23" s="97">
        <f t="shared" si="129"/>
        <v>0</v>
      </c>
      <c r="DN23" s="97">
        <f t="shared" si="129"/>
        <v>0</v>
      </c>
      <c r="DO23" s="98">
        <f t="shared" ref="DO23:DS23" si="130">SUM(DO19:DO22)</f>
        <v>0</v>
      </c>
      <c r="DP23" s="97">
        <f t="shared" si="130"/>
        <v>0</v>
      </c>
      <c r="DQ23" s="97">
        <f t="shared" si="130"/>
        <v>0</v>
      </c>
      <c r="DR23" s="97">
        <f t="shared" si="130"/>
        <v>0</v>
      </c>
      <c r="DS23" s="97">
        <f t="shared" si="130"/>
        <v>0</v>
      </c>
      <c r="DT23" s="98">
        <f t="shared" ref="DT23" si="131">SUM(DT19:DT22)</f>
        <v>0</v>
      </c>
      <c r="DU23" s="98">
        <f t="shared" ref="DU23:DV23" si="132">SUM(DU19:DU22)</f>
        <v>0</v>
      </c>
      <c r="DV23" s="98">
        <f t="shared" si="132"/>
        <v>0</v>
      </c>
    </row>
    <row r="24" spans="2:126" s="15" customFormat="1" ht="12" hidden="1" outlineLevel="1">
      <c r="B24" s="189"/>
      <c r="C24" s="16"/>
      <c r="D24" s="16"/>
      <c r="E24" s="16"/>
      <c r="F24" s="16"/>
      <c r="G24" s="16"/>
      <c r="H24" s="16"/>
      <c r="I24" s="16"/>
      <c r="J24" s="12"/>
      <c r="K24" s="12"/>
      <c r="L24" s="12"/>
      <c r="M24" s="12"/>
      <c r="N24" s="136"/>
      <c r="S24" s="136"/>
      <c r="X24" s="136"/>
      <c r="AC24" s="136"/>
      <c r="AH24" s="136"/>
      <c r="AM24" s="136"/>
      <c r="AR24" s="136"/>
      <c r="AW24" s="16"/>
      <c r="BB24" s="16"/>
      <c r="BG24" s="16"/>
      <c r="BL24" s="16"/>
      <c r="BQ24" s="16"/>
      <c r="BV24" s="16"/>
      <c r="CA24" s="16"/>
      <c r="CF24" s="16"/>
      <c r="CK24" s="16"/>
      <c r="CP24" s="16"/>
      <c r="CU24" s="16"/>
      <c r="CZ24" s="16"/>
      <c r="DE24" s="16"/>
      <c r="DJ24" s="16"/>
      <c r="DO24" s="16"/>
      <c r="DT24" s="16"/>
      <c r="DU24" s="16"/>
      <c r="DV24" s="16"/>
    </row>
    <row r="25" spans="2:126" s="15" customFormat="1" ht="12" hidden="1" outlineLevel="1">
      <c r="B25" s="189" t="s">
        <v>84</v>
      </c>
      <c r="C25" s="16"/>
      <c r="D25" s="16"/>
      <c r="E25" s="16"/>
      <c r="F25" s="16"/>
      <c r="G25" s="16"/>
      <c r="H25" s="16"/>
      <c r="I25" s="16"/>
      <c r="J25" s="12"/>
      <c r="K25" s="12"/>
      <c r="L25" s="12"/>
      <c r="M25" s="12"/>
      <c r="N25" s="136"/>
      <c r="S25" s="136"/>
      <c r="X25" s="136"/>
      <c r="AC25" s="136"/>
      <c r="AH25" s="136"/>
      <c r="AM25" s="136"/>
      <c r="AR25" s="136"/>
      <c r="AW25" s="16"/>
      <c r="BB25" s="16"/>
      <c r="BG25" s="16"/>
      <c r="BL25" s="16"/>
      <c r="BQ25" s="16"/>
      <c r="BV25" s="16"/>
      <c r="CA25" s="16"/>
      <c r="CF25" s="16"/>
      <c r="CK25" s="16"/>
      <c r="CP25" s="16"/>
      <c r="CU25" s="16"/>
      <c r="CZ25" s="16"/>
      <c r="DE25" s="16"/>
      <c r="DJ25" s="16"/>
      <c r="DO25" s="16"/>
      <c r="DT25" s="16"/>
      <c r="DU25" s="16"/>
      <c r="DV25" s="16"/>
    </row>
    <row r="26" spans="2:126" s="15" customFormat="1" hidden="1" outlineLevel="1">
      <c r="B26" s="221" t="s">
        <v>381</v>
      </c>
      <c r="C26" s="16"/>
      <c r="D26" s="16"/>
      <c r="E26" s="16"/>
      <c r="F26" s="16"/>
      <c r="G26" s="16"/>
      <c r="H26" s="16"/>
      <c r="I26" s="16"/>
      <c r="J26" s="12"/>
      <c r="K26" s="12"/>
      <c r="L26" s="12"/>
      <c r="M26" s="12"/>
      <c r="N26" s="136">
        <f>SUM(J26:M26)</f>
        <v>0</v>
      </c>
      <c r="S26" s="136">
        <f>SUM(O26:R26)</f>
        <v>0</v>
      </c>
      <c r="X26" s="136">
        <f>SUM(T26:W26)</f>
        <v>0</v>
      </c>
      <c r="AC26" s="136">
        <f>SUM(Y26:AB26)</f>
        <v>0</v>
      </c>
      <c r="AH26" s="136">
        <f>SUM(AD26:AG26)</f>
        <v>0</v>
      </c>
      <c r="AM26" s="136">
        <f>SUM(AI26:AL26)</f>
        <v>0</v>
      </c>
      <c r="AR26" s="136">
        <f>SUM(AN26:AQ26)</f>
        <v>0</v>
      </c>
      <c r="AW26" s="136">
        <f>SUM(AS26:AV26)</f>
        <v>0</v>
      </c>
      <c r="BB26" s="136">
        <f>SUM(AX26:BA26)</f>
        <v>0</v>
      </c>
      <c r="BG26" s="136">
        <f>SUM(BC26:BF26)</f>
        <v>0</v>
      </c>
      <c r="BL26" s="136">
        <f>SUM(BH26:BK26)</f>
        <v>0</v>
      </c>
      <c r="BQ26" s="136">
        <f>SUM(BM26:BP26)</f>
        <v>0</v>
      </c>
      <c r="BV26" s="136">
        <f>SUM(BR26:BU26)</f>
        <v>0</v>
      </c>
      <c r="CA26" s="136">
        <f>SUM(BW26:BZ26)</f>
        <v>0</v>
      </c>
      <c r="CF26" s="136">
        <f>SUM(CB26:CE26)</f>
        <v>0</v>
      </c>
      <c r="CK26" s="136">
        <f>SUM(CG26:CJ26)</f>
        <v>0</v>
      </c>
      <c r="CP26" s="136">
        <f>SUM(CL26:CO26)</f>
        <v>0</v>
      </c>
      <c r="CU26" s="136">
        <f>SUM(CQ26:CT26)</f>
        <v>0</v>
      </c>
      <c r="CZ26" s="136">
        <f>SUM(CV26:CY26)</f>
        <v>0</v>
      </c>
      <c r="DE26" s="136">
        <f>SUM(DA26:DD26)</f>
        <v>0</v>
      </c>
      <c r="DJ26" s="136">
        <f>SUM(DF26:DI26)</f>
        <v>0</v>
      </c>
      <c r="DO26" s="16"/>
      <c r="DT26" s="16"/>
      <c r="DU26" s="16"/>
      <c r="DV26" s="16"/>
    </row>
    <row r="27" spans="2:126" s="15" customFormat="1" hidden="1" outlineLevel="1">
      <c r="B27" s="317" t="s">
        <v>457</v>
      </c>
      <c r="C27" s="16"/>
      <c r="D27" s="16"/>
      <c r="E27" s="16"/>
      <c r="F27" s="16"/>
      <c r="G27" s="16"/>
      <c r="H27" s="16"/>
      <c r="I27" s="16"/>
      <c r="J27" s="12"/>
      <c r="K27" s="12"/>
      <c r="L27" s="12"/>
      <c r="M27" s="12"/>
      <c r="N27" s="136">
        <f t="shared" ref="N27:N29" si="133">SUM(J27:M27)</f>
        <v>0</v>
      </c>
      <c r="S27" s="136">
        <f t="shared" ref="S27:S29" si="134">SUM(O27:R27)</f>
        <v>0</v>
      </c>
      <c r="X27" s="136">
        <f t="shared" ref="X27:X29" si="135">SUM(T27:W27)</f>
        <v>0</v>
      </c>
      <c r="AC27" s="136">
        <f t="shared" ref="AC27:AC29" si="136">SUM(Y27:AB27)</f>
        <v>0</v>
      </c>
      <c r="AH27" s="136">
        <f t="shared" ref="AH27:AH29" si="137">SUM(AD27:AG27)</f>
        <v>0</v>
      </c>
      <c r="AM27" s="136">
        <f t="shared" ref="AM27:AM29" si="138">SUM(AI27:AL27)</f>
        <v>0</v>
      </c>
      <c r="AR27" s="136">
        <f t="shared" ref="AR27:AR29" si="139">SUM(AN27:AQ27)</f>
        <v>0</v>
      </c>
      <c r="AW27" s="136">
        <f t="shared" ref="AW27:AW29" si="140">SUM(AS27:AV27)</f>
        <v>0</v>
      </c>
      <c r="BB27" s="136">
        <f t="shared" ref="BB27:BB29" si="141">SUM(AX27:BA27)</f>
        <v>0</v>
      </c>
      <c r="BG27" s="136">
        <f t="shared" ref="BG27:BG29" si="142">SUM(BC27:BF27)</f>
        <v>0</v>
      </c>
      <c r="BL27" s="136">
        <f t="shared" ref="BL27:BL29" si="143">SUM(BH27:BK27)</f>
        <v>0</v>
      </c>
      <c r="BQ27" s="136">
        <f t="shared" ref="BQ27:BQ29" si="144">SUM(BM27:BP27)</f>
        <v>0</v>
      </c>
      <c r="BV27" s="136">
        <f t="shared" ref="BV27:BV29" si="145">SUM(BR27:BU27)</f>
        <v>0</v>
      </c>
      <c r="CA27" s="136">
        <f t="shared" ref="CA27:CA29" si="146">SUM(BW27:BZ27)</f>
        <v>0</v>
      </c>
      <c r="CF27" s="136">
        <f t="shared" ref="CF27:CF29" si="147">SUM(CB27:CE27)</f>
        <v>0</v>
      </c>
      <c r="CK27" s="136">
        <f t="shared" ref="CK27:CK29" si="148">SUM(CG27:CJ27)</f>
        <v>0</v>
      </c>
      <c r="CP27" s="136">
        <f t="shared" ref="CP27:CP29" si="149">SUM(CL27:CO27)</f>
        <v>0</v>
      </c>
      <c r="CU27" s="136">
        <f t="shared" ref="CU27:CU29" si="150">SUM(CQ27:CT27)</f>
        <v>0</v>
      </c>
      <c r="CZ27" s="136">
        <f t="shared" ref="CZ27:CZ29" si="151">SUM(CV27:CY27)</f>
        <v>0</v>
      </c>
      <c r="DE27" s="136">
        <f t="shared" ref="DE27:DE29" si="152">SUM(DA27:DD27)</f>
        <v>0</v>
      </c>
      <c r="DJ27" s="136">
        <f t="shared" ref="DJ27:DJ29" si="153">SUM(DF27:DI27)</f>
        <v>0</v>
      </c>
      <c r="DO27" s="16"/>
      <c r="DT27" s="16"/>
      <c r="DU27" s="16"/>
      <c r="DV27" s="16"/>
    </row>
    <row r="28" spans="2:126" s="15" customFormat="1" hidden="1" outlineLevel="1">
      <c r="B28" s="317" t="s">
        <v>644</v>
      </c>
      <c r="C28" s="16"/>
      <c r="D28" s="16"/>
      <c r="E28" s="16"/>
      <c r="F28" s="16"/>
      <c r="G28" s="16"/>
      <c r="H28" s="16"/>
      <c r="I28" s="16"/>
      <c r="J28" s="12"/>
      <c r="K28" s="12"/>
      <c r="L28" s="12"/>
      <c r="M28" s="12"/>
      <c r="N28" s="136">
        <f t="shared" si="133"/>
        <v>0</v>
      </c>
      <c r="S28" s="136">
        <f t="shared" si="134"/>
        <v>0</v>
      </c>
      <c r="X28" s="136">
        <f t="shared" si="135"/>
        <v>0</v>
      </c>
      <c r="AC28" s="136">
        <f t="shared" si="136"/>
        <v>0</v>
      </c>
      <c r="AH28" s="136">
        <f t="shared" si="137"/>
        <v>0</v>
      </c>
      <c r="AM28" s="136">
        <f t="shared" si="138"/>
        <v>0</v>
      </c>
      <c r="AR28" s="136">
        <f t="shared" si="139"/>
        <v>0</v>
      </c>
      <c r="AW28" s="136">
        <f t="shared" si="140"/>
        <v>0</v>
      </c>
      <c r="BB28" s="136">
        <f t="shared" si="141"/>
        <v>0</v>
      </c>
      <c r="BG28" s="136">
        <f t="shared" si="142"/>
        <v>0</v>
      </c>
      <c r="BL28" s="136">
        <f t="shared" si="143"/>
        <v>0</v>
      </c>
      <c r="BQ28" s="136">
        <f t="shared" si="144"/>
        <v>0</v>
      </c>
      <c r="BV28" s="136">
        <f t="shared" si="145"/>
        <v>0</v>
      </c>
      <c r="CA28" s="136">
        <f t="shared" si="146"/>
        <v>0</v>
      </c>
      <c r="CF28" s="136">
        <f t="shared" si="147"/>
        <v>0</v>
      </c>
      <c r="CK28" s="136">
        <f t="shared" si="148"/>
        <v>0</v>
      </c>
      <c r="CP28" s="136">
        <f t="shared" si="149"/>
        <v>0</v>
      </c>
      <c r="CU28" s="136">
        <f t="shared" si="150"/>
        <v>0</v>
      </c>
      <c r="CZ28" s="136">
        <f t="shared" si="151"/>
        <v>0</v>
      </c>
      <c r="DE28" s="136">
        <f t="shared" si="152"/>
        <v>0</v>
      </c>
      <c r="DJ28" s="136">
        <f t="shared" si="153"/>
        <v>0</v>
      </c>
      <c r="DO28" s="16"/>
      <c r="DT28" s="16"/>
      <c r="DU28" s="16"/>
      <c r="DV28" s="16"/>
    </row>
    <row r="29" spans="2:126" s="15" customFormat="1" hidden="1" outlineLevel="1">
      <c r="B29" s="221" t="s">
        <v>558</v>
      </c>
      <c r="C29" s="45"/>
      <c r="D29" s="45"/>
      <c r="E29" s="45"/>
      <c r="F29" s="45"/>
      <c r="G29" s="45"/>
      <c r="H29" s="45"/>
      <c r="I29" s="45"/>
      <c r="J29" s="88"/>
      <c r="K29" s="88"/>
      <c r="L29" s="88"/>
      <c r="M29" s="88"/>
      <c r="N29" s="319">
        <f t="shared" si="133"/>
        <v>0</v>
      </c>
      <c r="O29" s="88"/>
      <c r="P29" s="88"/>
      <c r="Q29" s="88"/>
      <c r="R29" s="88"/>
      <c r="S29" s="319">
        <f t="shared" si="134"/>
        <v>0</v>
      </c>
      <c r="T29" s="88"/>
      <c r="U29" s="88"/>
      <c r="V29" s="88"/>
      <c r="W29" s="88"/>
      <c r="X29" s="319">
        <f t="shared" si="135"/>
        <v>0</v>
      </c>
      <c r="Y29" s="88"/>
      <c r="Z29" s="88"/>
      <c r="AA29" s="88"/>
      <c r="AB29" s="88"/>
      <c r="AC29" s="319">
        <f t="shared" si="136"/>
        <v>0</v>
      </c>
      <c r="AD29" s="88"/>
      <c r="AE29" s="88"/>
      <c r="AF29" s="88"/>
      <c r="AG29" s="88"/>
      <c r="AH29" s="319">
        <f t="shared" si="137"/>
        <v>0</v>
      </c>
      <c r="AI29" s="88"/>
      <c r="AJ29" s="88"/>
      <c r="AK29" s="88"/>
      <c r="AL29" s="88"/>
      <c r="AM29" s="319">
        <f t="shared" si="138"/>
        <v>0</v>
      </c>
      <c r="AN29" s="88"/>
      <c r="AO29" s="88"/>
      <c r="AP29" s="88"/>
      <c r="AQ29" s="88"/>
      <c r="AR29" s="319">
        <f t="shared" si="139"/>
        <v>0</v>
      </c>
      <c r="AS29" s="88"/>
      <c r="AT29" s="88"/>
      <c r="AU29" s="88"/>
      <c r="AV29" s="88"/>
      <c r="AW29" s="319">
        <f t="shared" si="140"/>
        <v>0</v>
      </c>
      <c r="AX29" s="88"/>
      <c r="AY29" s="88"/>
      <c r="AZ29" s="88"/>
      <c r="BA29" s="88"/>
      <c r="BB29" s="319">
        <f t="shared" si="141"/>
        <v>0</v>
      </c>
      <c r="BC29" s="88"/>
      <c r="BD29" s="88"/>
      <c r="BE29" s="88"/>
      <c r="BF29" s="88"/>
      <c r="BG29" s="319">
        <f t="shared" si="142"/>
        <v>0</v>
      </c>
      <c r="BH29" s="88"/>
      <c r="BI29" s="88"/>
      <c r="BJ29" s="88"/>
      <c r="BK29" s="88"/>
      <c r="BL29" s="319">
        <f t="shared" si="143"/>
        <v>0</v>
      </c>
      <c r="BM29" s="88"/>
      <c r="BN29" s="88"/>
      <c r="BO29" s="88"/>
      <c r="BP29" s="88"/>
      <c r="BQ29" s="319">
        <f t="shared" si="144"/>
        <v>0</v>
      </c>
      <c r="BR29" s="88"/>
      <c r="BS29" s="88"/>
      <c r="BT29" s="88"/>
      <c r="BU29" s="88"/>
      <c r="BV29" s="319">
        <f t="shared" si="145"/>
        <v>0</v>
      </c>
      <c r="BW29" s="88"/>
      <c r="BX29" s="88"/>
      <c r="BY29" s="88"/>
      <c r="BZ29" s="88"/>
      <c r="CA29" s="319">
        <f t="shared" si="146"/>
        <v>0</v>
      </c>
      <c r="CB29" s="88"/>
      <c r="CC29" s="88"/>
      <c r="CD29" s="88"/>
      <c r="CE29" s="88"/>
      <c r="CF29" s="319">
        <f t="shared" si="147"/>
        <v>0</v>
      </c>
      <c r="CG29" s="88"/>
      <c r="CH29" s="88"/>
      <c r="CI29" s="88"/>
      <c r="CJ29" s="88"/>
      <c r="CK29" s="319">
        <f t="shared" si="148"/>
        <v>0</v>
      </c>
      <c r="CL29" s="88"/>
      <c r="CM29" s="88"/>
      <c r="CN29" s="88"/>
      <c r="CO29" s="88"/>
      <c r="CP29" s="319">
        <f t="shared" si="149"/>
        <v>0</v>
      </c>
      <c r="CQ29" s="88"/>
      <c r="CR29" s="88"/>
      <c r="CS29" s="88"/>
      <c r="CT29" s="88"/>
      <c r="CU29" s="319">
        <f t="shared" si="150"/>
        <v>0</v>
      </c>
      <c r="CV29" s="88"/>
      <c r="CW29" s="88"/>
      <c r="CX29" s="88"/>
      <c r="CY29" s="88"/>
      <c r="CZ29" s="319">
        <f t="shared" si="151"/>
        <v>0</v>
      </c>
      <c r="DA29" s="88"/>
      <c r="DB29" s="88"/>
      <c r="DC29" s="88"/>
      <c r="DD29" s="88"/>
      <c r="DE29" s="319">
        <f t="shared" si="152"/>
        <v>0</v>
      </c>
      <c r="DF29" s="88"/>
      <c r="DG29" s="88"/>
      <c r="DH29" s="88"/>
      <c r="DI29" s="88"/>
      <c r="DJ29" s="319">
        <f t="shared" si="153"/>
        <v>0</v>
      </c>
      <c r="DK29" s="88"/>
      <c r="DL29" s="88"/>
      <c r="DM29" s="88"/>
      <c r="DN29" s="88"/>
      <c r="DO29" s="45"/>
      <c r="DP29" s="88"/>
      <c r="DQ29" s="88"/>
      <c r="DR29" s="88"/>
      <c r="DS29" s="88"/>
      <c r="DT29" s="45"/>
      <c r="DU29" s="45"/>
      <c r="DV29" s="45"/>
    </row>
    <row r="30" spans="2:126" s="15" customFormat="1" hidden="1" outlineLevel="1">
      <c r="B30" s="161" t="s">
        <v>171</v>
      </c>
      <c r="C30" s="98">
        <f>SUM(C26:C29)</f>
        <v>0</v>
      </c>
      <c r="D30" s="98">
        <f t="shared" ref="D30" si="154">SUM(D26:D29)</f>
        <v>0</v>
      </c>
      <c r="E30" s="98">
        <f t="shared" ref="E30" si="155">SUM(E26:E29)</f>
        <v>0</v>
      </c>
      <c r="F30" s="98">
        <f t="shared" ref="F30" si="156">SUM(F26:F29)</f>
        <v>0</v>
      </c>
      <c r="G30" s="98">
        <f t="shared" ref="G30" si="157">SUM(G26:G29)</f>
        <v>0</v>
      </c>
      <c r="H30" s="98">
        <f t="shared" ref="H30" si="158">SUM(H26:H29)</f>
        <v>0</v>
      </c>
      <c r="I30" s="98">
        <f t="shared" ref="I30" si="159">SUM(I26:I29)</f>
        <v>0</v>
      </c>
      <c r="J30" s="97">
        <f t="shared" ref="J30" si="160">SUM(J26:J29)</f>
        <v>0</v>
      </c>
      <c r="K30" s="97">
        <f t="shared" ref="K30" si="161">SUM(K26:K29)</f>
        <v>0</v>
      </c>
      <c r="L30" s="97">
        <f t="shared" ref="L30" si="162">SUM(L26:L29)</f>
        <v>0</v>
      </c>
      <c r="M30" s="97">
        <f t="shared" ref="M30" si="163">SUM(M26:M29)</f>
        <v>0</v>
      </c>
      <c r="N30" s="98">
        <f t="shared" ref="N30" si="164">SUM(N26:N29)</f>
        <v>0</v>
      </c>
      <c r="O30" s="97">
        <f t="shared" ref="O30" si="165">SUM(O26:O29)</f>
        <v>0</v>
      </c>
      <c r="P30" s="97">
        <f t="shared" ref="P30" si="166">SUM(P26:P29)</f>
        <v>0</v>
      </c>
      <c r="Q30" s="97">
        <f t="shared" ref="Q30" si="167">SUM(Q26:Q29)</f>
        <v>0</v>
      </c>
      <c r="R30" s="97">
        <f t="shared" ref="R30" si="168">SUM(R26:R29)</f>
        <v>0</v>
      </c>
      <c r="S30" s="98">
        <f t="shared" ref="S30" si="169">SUM(S26:S29)</f>
        <v>0</v>
      </c>
      <c r="T30" s="97">
        <f t="shared" ref="T30" si="170">SUM(T26:T29)</f>
        <v>0</v>
      </c>
      <c r="U30" s="97">
        <f t="shared" ref="U30" si="171">SUM(U26:U29)</f>
        <v>0</v>
      </c>
      <c r="V30" s="97">
        <f t="shared" ref="V30" si="172">SUM(V26:V29)</f>
        <v>0</v>
      </c>
      <c r="W30" s="97">
        <f t="shared" ref="W30" si="173">SUM(W26:W29)</f>
        <v>0</v>
      </c>
      <c r="X30" s="98">
        <f t="shared" ref="X30" si="174">SUM(X26:X29)</f>
        <v>0</v>
      </c>
      <c r="Y30" s="97">
        <f t="shared" ref="Y30" si="175">SUM(Y26:Y29)</f>
        <v>0</v>
      </c>
      <c r="Z30" s="97">
        <f t="shared" ref="Z30" si="176">SUM(Z26:Z29)</f>
        <v>0</v>
      </c>
      <c r="AA30" s="97">
        <f t="shared" ref="AA30" si="177">SUM(AA26:AA29)</f>
        <v>0</v>
      </c>
      <c r="AB30" s="97">
        <f t="shared" ref="AB30" si="178">SUM(AB26:AB29)</f>
        <v>0</v>
      </c>
      <c r="AC30" s="98">
        <f t="shared" ref="AC30" si="179">SUM(AC26:AC29)</f>
        <v>0</v>
      </c>
      <c r="AD30" s="97">
        <f t="shared" ref="AD30" si="180">SUM(AD26:AD29)</f>
        <v>0</v>
      </c>
      <c r="AE30" s="97">
        <f t="shared" ref="AE30" si="181">SUM(AE26:AE29)</f>
        <v>0</v>
      </c>
      <c r="AF30" s="97">
        <f t="shared" ref="AF30" si="182">SUM(AF26:AF29)</f>
        <v>0</v>
      </c>
      <c r="AG30" s="97">
        <f t="shared" ref="AG30" si="183">SUM(AG26:AG29)</f>
        <v>0</v>
      </c>
      <c r="AH30" s="98">
        <f t="shared" ref="AH30" si="184">SUM(AH26:AH29)</f>
        <v>0</v>
      </c>
      <c r="AI30" s="97">
        <f t="shared" ref="AI30" si="185">SUM(AI26:AI29)</f>
        <v>0</v>
      </c>
      <c r="AJ30" s="97">
        <f t="shared" ref="AJ30" si="186">SUM(AJ26:AJ29)</f>
        <v>0</v>
      </c>
      <c r="AK30" s="97">
        <f t="shared" ref="AK30" si="187">SUM(AK26:AK29)</f>
        <v>0</v>
      </c>
      <c r="AL30" s="97">
        <f t="shared" ref="AL30" si="188">SUM(AL26:AL29)</f>
        <v>0</v>
      </c>
      <c r="AM30" s="98">
        <f t="shared" ref="AM30" si="189">SUM(AM26:AM29)</f>
        <v>0</v>
      </c>
      <c r="AN30" s="97">
        <f t="shared" ref="AN30" si="190">SUM(AN26:AN29)</f>
        <v>0</v>
      </c>
      <c r="AO30" s="97">
        <f t="shared" ref="AO30" si="191">SUM(AO26:AO29)</f>
        <v>0</v>
      </c>
      <c r="AP30" s="97">
        <f t="shared" ref="AP30" si="192">SUM(AP26:AP29)</f>
        <v>0</v>
      </c>
      <c r="AQ30" s="97">
        <f t="shared" ref="AQ30" si="193">SUM(AQ26:AQ29)</f>
        <v>0</v>
      </c>
      <c r="AR30" s="98">
        <f t="shared" ref="AR30" si="194">SUM(AR26:AR29)</f>
        <v>0</v>
      </c>
      <c r="AS30" s="97">
        <f t="shared" ref="AS30" si="195">SUM(AS26:AS29)</f>
        <v>0</v>
      </c>
      <c r="AT30" s="97">
        <f t="shared" ref="AT30" si="196">SUM(AT26:AT29)</f>
        <v>0</v>
      </c>
      <c r="AU30" s="97">
        <f t="shared" ref="AU30" si="197">SUM(AU26:AU29)</f>
        <v>0</v>
      </c>
      <c r="AV30" s="97">
        <f t="shared" ref="AV30" si="198">SUM(AV26:AV29)</f>
        <v>0</v>
      </c>
      <c r="AW30" s="98">
        <f t="shared" ref="AW30" si="199">SUM(AW26:AW29)</f>
        <v>0</v>
      </c>
      <c r="AX30" s="97">
        <f t="shared" ref="AX30" si="200">SUM(AX26:AX29)</f>
        <v>0</v>
      </c>
      <c r="AY30" s="97">
        <f t="shared" ref="AY30" si="201">SUM(AY26:AY29)</f>
        <v>0</v>
      </c>
      <c r="AZ30" s="97">
        <f t="shared" ref="AZ30" si="202">SUM(AZ26:AZ29)</f>
        <v>0</v>
      </c>
      <c r="BA30" s="97">
        <f t="shared" ref="BA30" si="203">SUM(BA26:BA29)</f>
        <v>0</v>
      </c>
      <c r="BB30" s="98">
        <f t="shared" ref="BB30" si="204">SUM(BB26:BB29)</f>
        <v>0</v>
      </c>
      <c r="BC30" s="97">
        <f t="shared" ref="BC30" si="205">SUM(BC26:BC29)</f>
        <v>0</v>
      </c>
      <c r="BD30" s="97">
        <f t="shared" ref="BD30" si="206">SUM(BD26:BD29)</f>
        <v>0</v>
      </c>
      <c r="BE30" s="97">
        <f t="shared" ref="BE30" si="207">SUM(BE26:BE29)</f>
        <v>0</v>
      </c>
      <c r="BF30" s="97">
        <f t="shared" ref="BF30" si="208">SUM(BF26:BF29)</f>
        <v>0</v>
      </c>
      <c r="BG30" s="98">
        <f t="shared" ref="BG30" si="209">SUM(BG26:BG29)</f>
        <v>0</v>
      </c>
      <c r="BH30" s="97">
        <f t="shared" ref="BH30" si="210">SUM(BH26:BH29)</f>
        <v>0</v>
      </c>
      <c r="BI30" s="97">
        <f t="shared" ref="BI30" si="211">SUM(BI26:BI29)</f>
        <v>0</v>
      </c>
      <c r="BJ30" s="97">
        <f t="shared" ref="BJ30" si="212">SUM(BJ26:BJ29)</f>
        <v>0</v>
      </c>
      <c r="BK30" s="97">
        <f t="shared" ref="BK30" si="213">SUM(BK26:BK29)</f>
        <v>0</v>
      </c>
      <c r="BL30" s="98">
        <f t="shared" ref="BL30" si="214">SUM(BL26:BL29)</f>
        <v>0</v>
      </c>
      <c r="BM30" s="97">
        <f t="shared" ref="BM30" si="215">SUM(BM26:BM29)</f>
        <v>0</v>
      </c>
      <c r="BN30" s="97">
        <f t="shared" ref="BN30" si="216">SUM(BN26:BN29)</f>
        <v>0</v>
      </c>
      <c r="BO30" s="97">
        <f t="shared" ref="BO30" si="217">SUM(BO26:BO29)</f>
        <v>0</v>
      </c>
      <c r="BP30" s="97">
        <f t="shared" ref="BP30" si="218">SUM(BP26:BP29)</f>
        <v>0</v>
      </c>
      <c r="BQ30" s="98">
        <f t="shared" ref="BQ30" si="219">SUM(BQ26:BQ29)</f>
        <v>0</v>
      </c>
      <c r="BR30" s="97">
        <f t="shared" ref="BR30" si="220">SUM(BR26:BR29)</f>
        <v>0</v>
      </c>
      <c r="BS30" s="97">
        <f t="shared" ref="BS30" si="221">SUM(BS26:BS29)</f>
        <v>0</v>
      </c>
      <c r="BT30" s="97">
        <f t="shared" ref="BT30" si="222">SUM(BT26:BT29)</f>
        <v>0</v>
      </c>
      <c r="BU30" s="97">
        <f t="shared" ref="BU30" si="223">SUM(BU26:BU29)</f>
        <v>0</v>
      </c>
      <c r="BV30" s="98">
        <f t="shared" ref="BV30" si="224">SUM(BV26:BV29)</f>
        <v>0</v>
      </c>
      <c r="BW30" s="97">
        <f t="shared" ref="BW30" si="225">SUM(BW26:BW29)</f>
        <v>0</v>
      </c>
      <c r="BX30" s="97">
        <f t="shared" ref="BX30" si="226">SUM(BX26:BX29)</f>
        <v>0</v>
      </c>
      <c r="BY30" s="97">
        <f t="shared" ref="BY30" si="227">SUM(BY26:BY29)</f>
        <v>0</v>
      </c>
      <c r="BZ30" s="97">
        <f t="shared" ref="BZ30" si="228">SUM(BZ26:BZ29)</f>
        <v>0</v>
      </c>
      <c r="CA30" s="98">
        <f t="shared" ref="CA30" si="229">SUM(CA26:CA29)</f>
        <v>0</v>
      </c>
      <c r="CB30" s="97">
        <f t="shared" ref="CB30" si="230">SUM(CB26:CB29)</f>
        <v>0</v>
      </c>
      <c r="CC30" s="97">
        <f t="shared" ref="CC30" si="231">SUM(CC26:CC29)</f>
        <v>0</v>
      </c>
      <c r="CD30" s="97">
        <f t="shared" ref="CD30" si="232">SUM(CD26:CD29)</f>
        <v>0</v>
      </c>
      <c r="CE30" s="97">
        <f t="shared" ref="CE30" si="233">SUM(CE26:CE29)</f>
        <v>0</v>
      </c>
      <c r="CF30" s="98">
        <f t="shared" ref="CF30" si="234">SUM(CF26:CF29)</f>
        <v>0</v>
      </c>
      <c r="CG30" s="97">
        <f t="shared" ref="CG30" si="235">SUM(CG26:CG29)</f>
        <v>0</v>
      </c>
      <c r="CH30" s="97">
        <f t="shared" ref="CH30" si="236">SUM(CH26:CH29)</f>
        <v>0</v>
      </c>
      <c r="CI30" s="97">
        <f t="shared" ref="CI30" si="237">SUM(CI26:CI29)</f>
        <v>0</v>
      </c>
      <c r="CJ30" s="97">
        <f t="shared" ref="CJ30" si="238">SUM(CJ26:CJ29)</f>
        <v>0</v>
      </c>
      <c r="CK30" s="98">
        <f t="shared" ref="CK30" si="239">SUM(CK26:CK29)</f>
        <v>0</v>
      </c>
      <c r="CL30" s="97">
        <f t="shared" ref="CL30" si="240">SUM(CL26:CL29)</f>
        <v>0</v>
      </c>
      <c r="CM30" s="97">
        <f t="shared" ref="CM30" si="241">SUM(CM26:CM29)</f>
        <v>0</v>
      </c>
      <c r="CN30" s="97">
        <f t="shared" ref="CN30" si="242">SUM(CN26:CN29)</f>
        <v>0</v>
      </c>
      <c r="CO30" s="97">
        <f t="shared" ref="CO30" si="243">SUM(CO26:CO29)</f>
        <v>0</v>
      </c>
      <c r="CP30" s="98">
        <f t="shared" ref="CP30" si="244">SUM(CP26:CP29)</f>
        <v>0</v>
      </c>
      <c r="CQ30" s="97">
        <f t="shared" ref="CQ30" si="245">SUM(CQ26:CQ29)</f>
        <v>0</v>
      </c>
      <c r="CR30" s="97">
        <f t="shared" ref="CR30" si="246">SUM(CR26:CR29)</f>
        <v>0</v>
      </c>
      <c r="CS30" s="97">
        <f t="shared" ref="CS30" si="247">SUM(CS26:CS29)</f>
        <v>0</v>
      </c>
      <c r="CT30" s="97">
        <f t="shared" ref="CT30" si="248">SUM(CT26:CT29)</f>
        <v>0</v>
      </c>
      <c r="CU30" s="98">
        <f t="shared" ref="CU30" si="249">SUM(CU26:CU29)</f>
        <v>0</v>
      </c>
      <c r="CV30" s="97">
        <f t="shared" ref="CV30" si="250">SUM(CV26:CV29)</f>
        <v>0</v>
      </c>
      <c r="CW30" s="97">
        <f t="shared" ref="CW30" si="251">SUM(CW26:CW29)</f>
        <v>0</v>
      </c>
      <c r="CX30" s="97">
        <f t="shared" ref="CX30" si="252">SUM(CX26:CX29)</f>
        <v>0</v>
      </c>
      <c r="CY30" s="97">
        <f t="shared" ref="CY30" si="253">SUM(CY26:CY29)</f>
        <v>0</v>
      </c>
      <c r="CZ30" s="98">
        <f t="shared" ref="CZ30" si="254">SUM(CZ26:CZ29)</f>
        <v>0</v>
      </c>
      <c r="DA30" s="97">
        <f t="shared" ref="DA30" si="255">SUM(DA26:DA29)</f>
        <v>0</v>
      </c>
      <c r="DB30" s="97">
        <f t="shared" ref="DB30" si="256">SUM(DB26:DB29)</f>
        <v>0</v>
      </c>
      <c r="DC30" s="97">
        <f t="shared" ref="DC30" si="257">SUM(DC26:DC29)</f>
        <v>0</v>
      </c>
      <c r="DD30" s="97">
        <f t="shared" ref="DD30" si="258">SUM(DD26:DD29)</f>
        <v>0</v>
      </c>
      <c r="DE30" s="98">
        <f t="shared" ref="DE30" si="259">SUM(DE26:DE29)</f>
        <v>0</v>
      </c>
      <c r="DF30" s="97">
        <f t="shared" ref="DF30" si="260">SUM(DF26:DF29)</f>
        <v>0</v>
      </c>
      <c r="DG30" s="97">
        <f t="shared" ref="DG30" si="261">SUM(DG26:DG29)</f>
        <v>0</v>
      </c>
      <c r="DH30" s="97">
        <f t="shared" ref="DH30" si="262">SUM(DH26:DH29)</f>
        <v>0</v>
      </c>
      <c r="DI30" s="97">
        <f t="shared" ref="DI30" si="263">SUM(DI26:DI29)</f>
        <v>0</v>
      </c>
      <c r="DJ30" s="98">
        <f t="shared" ref="DJ30:DN30" si="264">SUM(DJ26:DJ29)</f>
        <v>0</v>
      </c>
      <c r="DK30" s="97">
        <f t="shared" si="264"/>
        <v>0</v>
      </c>
      <c r="DL30" s="97">
        <f t="shared" si="264"/>
        <v>0</v>
      </c>
      <c r="DM30" s="97">
        <f t="shared" si="264"/>
        <v>0</v>
      </c>
      <c r="DN30" s="97">
        <f t="shared" si="264"/>
        <v>0</v>
      </c>
      <c r="DO30" s="98">
        <f t="shared" ref="DO30:DS30" si="265">SUM(DO26:DO29)</f>
        <v>0</v>
      </c>
      <c r="DP30" s="97">
        <f t="shared" si="265"/>
        <v>0</v>
      </c>
      <c r="DQ30" s="97">
        <f t="shared" si="265"/>
        <v>0</v>
      </c>
      <c r="DR30" s="97">
        <f t="shared" si="265"/>
        <v>0</v>
      </c>
      <c r="DS30" s="97">
        <f t="shared" si="265"/>
        <v>0</v>
      </c>
      <c r="DT30" s="98">
        <f t="shared" ref="DT30" si="266">SUM(DT26:DT29)</f>
        <v>0</v>
      </c>
      <c r="DU30" s="98">
        <f t="shared" ref="DU30:DV30" si="267">SUM(DU26:DU29)</f>
        <v>0</v>
      </c>
      <c r="DV30" s="98">
        <f t="shared" si="267"/>
        <v>0</v>
      </c>
    </row>
    <row r="31" spans="2:126" s="15" customFormat="1" collapsed="1">
      <c r="C31" s="16"/>
      <c r="D31" s="16"/>
      <c r="E31" s="16"/>
      <c r="F31" s="16"/>
      <c r="G31" s="16"/>
      <c r="H31" s="16"/>
      <c r="I31" s="16"/>
      <c r="J31" s="12"/>
      <c r="K31" s="12"/>
      <c r="L31" s="12"/>
      <c r="M31" s="12"/>
      <c r="N31" s="136"/>
      <c r="S31" s="136"/>
      <c r="X31" s="136"/>
      <c r="AC31" s="136"/>
      <c r="AH31" s="136"/>
      <c r="AM31" s="136"/>
      <c r="AO31" s="305"/>
      <c r="AP31" s="90"/>
      <c r="AQ31" s="90"/>
      <c r="AR31" s="16"/>
      <c r="AW31" s="16"/>
      <c r="BB31" s="16"/>
      <c r="BG31" s="16"/>
      <c r="BL31" s="16"/>
      <c r="BQ31" s="16"/>
      <c r="BV31" s="16"/>
      <c r="CA31" s="16"/>
      <c r="CF31" s="16"/>
      <c r="CK31" s="16"/>
      <c r="CP31" s="16"/>
      <c r="CT31" s="493"/>
      <c r="CU31" s="16"/>
      <c r="CY31" s="493"/>
      <c r="CZ31" s="16"/>
      <c r="DE31" s="16"/>
      <c r="DJ31" s="16"/>
      <c r="DO31" s="16"/>
      <c r="DT31" s="16"/>
      <c r="DU31" s="16"/>
      <c r="DV31" s="16"/>
    </row>
    <row r="32" spans="2:126" s="15" customFormat="1" ht="12">
      <c r="B32" s="189" t="s">
        <v>86</v>
      </c>
      <c r="C32" s="16"/>
      <c r="D32" s="16"/>
      <c r="E32" s="16"/>
      <c r="F32" s="16"/>
      <c r="G32" s="16"/>
      <c r="H32" s="16"/>
      <c r="I32" s="16"/>
      <c r="J32" s="12"/>
      <c r="K32" s="12"/>
      <c r="L32" s="12"/>
      <c r="M32" s="12"/>
      <c r="N32" s="136"/>
      <c r="S32" s="136"/>
      <c r="X32" s="136"/>
      <c r="AC32" s="136"/>
      <c r="AH32" s="136"/>
      <c r="AM32" s="136"/>
      <c r="AR32" s="16"/>
      <c r="AW32" s="89"/>
      <c r="BB32" s="89"/>
      <c r="BG32" s="16"/>
      <c r="BL32" s="16"/>
      <c r="BQ32" s="16"/>
      <c r="BV32" s="16"/>
      <c r="CA32" s="16"/>
      <c r="CF32" s="16"/>
      <c r="CK32" s="440"/>
      <c r="CP32" s="440"/>
      <c r="CU32" s="495"/>
      <c r="CZ32" s="496"/>
      <c r="DE32" s="496"/>
      <c r="DJ32" s="16"/>
      <c r="DO32" s="16"/>
      <c r="DT32" s="16"/>
      <c r="DU32" s="16"/>
      <c r="DV32" s="16"/>
    </row>
    <row r="33" spans="1:126" s="15" customFormat="1">
      <c r="B33" s="221" t="s">
        <v>381</v>
      </c>
      <c r="C33" s="96"/>
      <c r="D33" s="96"/>
      <c r="E33" s="96"/>
      <c r="F33" s="96"/>
      <c r="G33" s="96"/>
      <c r="H33" s="96"/>
      <c r="I33" s="96"/>
      <c r="J33" s="94" t="e">
        <f t="shared" ref="J33:M34" si="268">(J7-J19-J26)/E7-1</f>
        <v>#DIV/0!</v>
      </c>
      <c r="K33" s="94" t="e">
        <f t="shared" si="268"/>
        <v>#DIV/0!</v>
      </c>
      <c r="L33" s="94" t="e">
        <f t="shared" si="268"/>
        <v>#DIV/0!</v>
      </c>
      <c r="M33" s="94" t="e">
        <f t="shared" si="268"/>
        <v>#DIV/0!</v>
      </c>
      <c r="N33" s="162"/>
      <c r="O33" s="94"/>
      <c r="P33" s="94"/>
      <c r="Q33" s="94"/>
      <c r="R33" s="94"/>
      <c r="S33" s="162"/>
      <c r="T33" s="94"/>
      <c r="U33" s="94"/>
      <c r="V33" s="94"/>
      <c r="W33" s="94"/>
      <c r="X33" s="162"/>
      <c r="Y33" s="94"/>
      <c r="Z33" s="94"/>
      <c r="AA33" s="94"/>
      <c r="AB33" s="94"/>
      <c r="AC33" s="162"/>
      <c r="AD33" s="94"/>
      <c r="AE33" s="94"/>
      <c r="AF33" s="94"/>
      <c r="AG33" s="94"/>
      <c r="AH33" s="162"/>
      <c r="AI33" s="94"/>
      <c r="AJ33" s="94"/>
      <c r="AK33" s="94"/>
      <c r="AL33" s="94"/>
      <c r="AM33" s="162"/>
      <c r="AN33" s="94"/>
      <c r="AO33" s="94"/>
      <c r="AP33" s="94"/>
      <c r="AQ33" s="94"/>
      <c r="AR33" s="162"/>
      <c r="AS33" s="94"/>
      <c r="AT33" s="94"/>
      <c r="AU33" s="94"/>
      <c r="AV33" s="94"/>
      <c r="AW33" s="162"/>
      <c r="AX33" s="94"/>
      <c r="AY33" s="94"/>
      <c r="AZ33" s="94"/>
      <c r="BA33" s="94"/>
      <c r="BB33" s="162"/>
      <c r="BC33" s="94"/>
      <c r="BD33" s="94"/>
      <c r="BE33" s="346"/>
      <c r="BF33" s="346"/>
      <c r="BG33" s="162"/>
      <c r="BH33" s="346"/>
      <c r="BI33" s="346"/>
      <c r="BJ33" s="346"/>
      <c r="BK33" s="346"/>
      <c r="BL33" s="162"/>
      <c r="BM33" s="346"/>
      <c r="BN33" s="346"/>
      <c r="BO33" s="346"/>
      <c r="BP33" s="346"/>
      <c r="BQ33" s="162"/>
      <c r="BR33" s="401">
        <f t="shared" ref="BR33:CA34" si="269">(BR7-BR19-BR26)/BM7-1</f>
        <v>0.15092904980109756</v>
      </c>
      <c r="BS33" s="401">
        <f t="shared" si="269"/>
        <v>0.10093684306736117</v>
      </c>
      <c r="BT33" s="401">
        <f t="shared" si="269"/>
        <v>0.1098150308281951</v>
      </c>
      <c r="BU33" s="401">
        <f t="shared" si="269"/>
        <v>0.12825745682888545</v>
      </c>
      <c r="BV33" s="162">
        <f t="shared" si="269"/>
        <v>0.12205970097377561</v>
      </c>
      <c r="BW33" s="401">
        <f t="shared" si="269"/>
        <v>9.3790333518548596E-2</v>
      </c>
      <c r="BX33" s="401">
        <f t="shared" si="269"/>
        <v>1.6989958780774472E-2</v>
      </c>
      <c r="BY33" s="401">
        <f t="shared" si="269"/>
        <v>2.9601029601029616E-2</v>
      </c>
      <c r="BZ33" s="401">
        <f t="shared" si="269"/>
        <v>-5.986409395342196E-2</v>
      </c>
      <c r="CA33" s="353">
        <f t="shared" si="269"/>
        <v>1.7048206019892875E-2</v>
      </c>
      <c r="CB33" s="401">
        <f t="shared" ref="CB33:CK34" si="270">(CB7-CB19-CB26)/BW7-1</f>
        <v>6.0000000000000053E-2</v>
      </c>
      <c r="CC33" s="401">
        <f t="shared" si="270"/>
        <v>0.12938775510204081</v>
      </c>
      <c r="CD33" s="401">
        <f t="shared" si="270"/>
        <v>0.16666666666666674</v>
      </c>
      <c r="CE33" s="401">
        <f t="shared" si="270"/>
        <v>0.26</v>
      </c>
      <c r="CF33" s="353">
        <f t="shared" si="270"/>
        <v>0.15401015228426407</v>
      </c>
      <c r="CG33" s="401">
        <f t="shared" si="270"/>
        <v>0.12245283018867914</v>
      </c>
      <c r="CH33" s="401">
        <f t="shared" si="270"/>
        <v>5.6740151788940985E-2</v>
      </c>
      <c r="CI33" s="401">
        <f t="shared" si="270"/>
        <v>7.0892857142857091E-2</v>
      </c>
      <c r="CJ33" s="401">
        <f t="shared" si="270"/>
        <v>1.9523809523809277E-2</v>
      </c>
      <c r="CK33" s="474">
        <f t="shared" si="270"/>
        <v>6.5232691123427555E-2</v>
      </c>
      <c r="CL33" s="401">
        <f t="shared" ref="CL33:CU34" si="271">(CL7-CL19-CL26)/CG7-1</f>
        <v>-0.1405278198016473</v>
      </c>
      <c r="CM33" s="401">
        <f t="shared" si="271"/>
        <v>-0.56925444596443231</v>
      </c>
      <c r="CN33" s="401">
        <f t="shared" si="271"/>
        <v>-0.48524262131065532</v>
      </c>
      <c r="CO33" s="401">
        <f t="shared" si="271"/>
        <v>-0.41460376770979279</v>
      </c>
      <c r="CP33" s="474">
        <f t="shared" si="271"/>
        <v>-0.402114217285378</v>
      </c>
      <c r="CQ33" s="401">
        <f t="shared" si="271"/>
        <v>-0.34402503422648156</v>
      </c>
      <c r="CR33" s="401">
        <f t="shared" si="271"/>
        <v>0.23660182612147684</v>
      </c>
      <c r="CS33" s="401">
        <f t="shared" si="271"/>
        <v>0.16682863621639132</v>
      </c>
      <c r="CT33" s="401">
        <f t="shared" si="271"/>
        <v>0.14069148936170217</v>
      </c>
      <c r="CU33" s="474">
        <f t="shared" si="271"/>
        <v>-8.2187996408591424E-3</v>
      </c>
      <c r="CV33" s="401">
        <f t="shared" ref="CV33:DE34" si="272">(CV7-CV19-CV26)/CQ7-1</f>
        <v>0.14877757901013711</v>
      </c>
      <c r="CW33" s="401">
        <f t="shared" si="272"/>
        <v>0.38234349919743171</v>
      </c>
      <c r="CX33" s="401">
        <f t="shared" si="272"/>
        <v>0.38006662965019444</v>
      </c>
      <c r="CY33" s="401">
        <f t="shared" si="272"/>
        <v>0.29051060853345767</v>
      </c>
      <c r="CZ33" s="474">
        <f t="shared" si="272"/>
        <v>0.29979108635097496</v>
      </c>
      <c r="DA33" s="401">
        <f t="shared" si="272"/>
        <v>0.35790293277965213</v>
      </c>
      <c r="DB33" s="401">
        <f t="shared" si="272"/>
        <v>0.33232698560148632</v>
      </c>
      <c r="DC33" s="401">
        <f t="shared" si="272"/>
        <v>0.29893381613357484</v>
      </c>
      <c r="DD33" s="401">
        <f t="shared" si="272"/>
        <v>0.16151761517615171</v>
      </c>
      <c r="DE33" s="474">
        <f t="shared" si="272"/>
        <v>0.27806054111974277</v>
      </c>
      <c r="DF33" s="401">
        <f t="shared" ref="DF33:DL34" si="273">(DF7-DF19-DF26)/DA7-1</f>
        <v>0.16513761467889898</v>
      </c>
      <c r="DG33" s="401">
        <f t="shared" si="273"/>
        <v>6.8851316018825104E-2</v>
      </c>
      <c r="DH33" s="401">
        <f t="shared" si="273"/>
        <v>8.4559392906922826E-2</v>
      </c>
      <c r="DI33" s="401">
        <f t="shared" si="273"/>
        <v>0.1899206719552029</v>
      </c>
      <c r="DJ33" s="353">
        <f>(DJ7-DJ19-DJ26)/DE7-1</f>
        <v>0.12684971704045278</v>
      </c>
      <c r="DK33" s="401">
        <f t="shared" si="273"/>
        <v>0.14452099737532809</v>
      </c>
      <c r="DL33" s="401">
        <f t="shared" si="273"/>
        <v>0.30300065231572071</v>
      </c>
      <c r="DM33" s="163">
        <v>0.14000000000000001</v>
      </c>
      <c r="DN33" s="163">
        <v>7.9200000000000007E-2</v>
      </c>
      <c r="DO33" s="353">
        <f>(DO7-DO19-DO26)/DJ7-1</f>
        <v>0.16090547226665675</v>
      </c>
      <c r="DP33" s="163">
        <v>0.16</v>
      </c>
      <c r="DQ33" s="163">
        <v>0.14000000000000001</v>
      </c>
      <c r="DR33" s="163">
        <v>0.15</v>
      </c>
      <c r="DS33" s="163">
        <v>0.18360000000000001</v>
      </c>
      <c r="DT33" s="353">
        <f>(DT7-DT19-DT26)/DO7-1</f>
        <v>0.15856453882709576</v>
      </c>
      <c r="DU33" s="914">
        <v>9.35E-2</v>
      </c>
      <c r="DV33" s="914">
        <v>7.3999999999999996E-2</v>
      </c>
    </row>
    <row r="34" spans="1:126" s="15" customFormat="1">
      <c r="B34" s="317" t="s">
        <v>457</v>
      </c>
      <c r="C34" s="96"/>
      <c r="D34" s="96"/>
      <c r="E34" s="96"/>
      <c r="F34" s="96"/>
      <c r="G34" s="96"/>
      <c r="H34" s="96"/>
      <c r="I34" s="96"/>
      <c r="J34" s="94" t="e">
        <f t="shared" si="268"/>
        <v>#DIV/0!</v>
      </c>
      <c r="K34" s="94" t="e">
        <f t="shared" si="268"/>
        <v>#DIV/0!</v>
      </c>
      <c r="L34" s="94" t="e">
        <f t="shared" si="268"/>
        <v>#DIV/0!</v>
      </c>
      <c r="M34" s="94" t="e">
        <f t="shared" si="268"/>
        <v>#DIV/0!</v>
      </c>
      <c r="N34" s="162"/>
      <c r="O34" s="94"/>
      <c r="P34" s="94"/>
      <c r="Q34" s="94"/>
      <c r="R34" s="94"/>
      <c r="S34" s="162"/>
      <c r="T34" s="94"/>
      <c r="U34" s="94"/>
      <c r="V34" s="94"/>
      <c r="W34" s="94"/>
      <c r="X34" s="162"/>
      <c r="Y34" s="94"/>
      <c r="Z34" s="94"/>
      <c r="AA34" s="94"/>
      <c r="AB34" s="94"/>
      <c r="AC34" s="162"/>
      <c r="AD34" s="94"/>
      <c r="AE34" s="94"/>
      <c r="AF34" s="94"/>
      <c r="AG34" s="94"/>
      <c r="AH34" s="162"/>
      <c r="AI34" s="94"/>
      <c r="AJ34" s="94"/>
      <c r="AK34" s="94"/>
      <c r="AL34" s="94"/>
      <c r="AM34" s="162"/>
      <c r="AN34" s="94"/>
      <c r="AO34" s="94"/>
      <c r="AP34" s="94"/>
      <c r="AQ34" s="94"/>
      <c r="AR34" s="162"/>
      <c r="AS34" s="94"/>
      <c r="AT34" s="94"/>
      <c r="AU34" s="94"/>
      <c r="AV34" s="94"/>
      <c r="AW34" s="162"/>
      <c r="AX34" s="94"/>
      <c r="AY34" s="94"/>
      <c r="AZ34" s="94"/>
      <c r="BA34" s="94"/>
      <c r="BB34" s="162"/>
      <c r="BC34" s="94"/>
      <c r="BD34" s="94"/>
      <c r="BE34" s="346"/>
      <c r="BF34" s="346"/>
      <c r="BG34" s="162"/>
      <c r="BH34" s="346"/>
      <c r="BI34" s="346"/>
      <c r="BJ34" s="346"/>
      <c r="BK34" s="346"/>
      <c r="BL34" s="162"/>
      <c r="BM34" s="346"/>
      <c r="BN34" s="346"/>
      <c r="BO34" s="346"/>
      <c r="BP34" s="346"/>
      <c r="BQ34" s="162"/>
      <c r="BR34" s="346">
        <f t="shared" si="269"/>
        <v>-6.7324638702860318E-3</v>
      </c>
      <c r="BS34" s="346">
        <f t="shared" si="269"/>
        <v>-0.20361484325015988</v>
      </c>
      <c r="BT34" s="346">
        <f t="shared" si="269"/>
        <v>-0.19719262475861876</v>
      </c>
      <c r="BU34" s="346">
        <f t="shared" si="269"/>
        <v>-0.18385191914603694</v>
      </c>
      <c r="BV34" s="162">
        <f t="shared" si="269"/>
        <v>-0.12971831585865301</v>
      </c>
      <c r="BW34" s="346">
        <f t="shared" si="269"/>
        <v>-1.0492447094171964E-2</v>
      </c>
      <c r="BX34" s="346">
        <f t="shared" si="269"/>
        <v>6.328934465933389E-2</v>
      </c>
      <c r="BY34" s="346">
        <f t="shared" si="269"/>
        <v>0.2210012210012211</v>
      </c>
      <c r="BZ34" s="346">
        <f t="shared" si="269"/>
        <v>0.28437028395286368</v>
      </c>
      <c r="CA34" s="353">
        <f t="shared" si="269"/>
        <v>0.11246294120937494</v>
      </c>
      <c r="CB34" s="346">
        <f t="shared" si="270"/>
        <v>8.3084279736999722E-2</v>
      </c>
      <c r="CC34" s="346">
        <f t="shared" si="270"/>
        <v>0.19222222222222229</v>
      </c>
      <c r="CD34" s="346">
        <f t="shared" si="270"/>
        <v>-9.9999999999999978E-2</v>
      </c>
      <c r="CE34" s="346">
        <f t="shared" si="270"/>
        <v>-8.3333333333333481E-2</v>
      </c>
      <c r="CF34" s="353">
        <f t="shared" si="270"/>
        <v>2.346532579090721E-2</v>
      </c>
      <c r="CG34" s="346">
        <f t="shared" si="270"/>
        <v>0.10651214128035313</v>
      </c>
      <c r="CH34" s="346">
        <f t="shared" si="270"/>
        <v>-9.0400745573159358E-2</v>
      </c>
      <c r="CI34" s="346">
        <f t="shared" si="270"/>
        <v>0.17888888888888888</v>
      </c>
      <c r="CJ34" s="346">
        <f t="shared" si="270"/>
        <v>0.1963636363636363</v>
      </c>
      <c r="CK34" s="474">
        <f t="shared" si="270"/>
        <v>9.6827021494370502E-2</v>
      </c>
      <c r="CL34" s="346">
        <f t="shared" si="271"/>
        <v>-0.11221945137157108</v>
      </c>
      <c r="CM34" s="346">
        <f t="shared" si="271"/>
        <v>0.9098360655737705</v>
      </c>
      <c r="CN34" s="346">
        <f t="shared" si="271"/>
        <v>0.72761545711592834</v>
      </c>
      <c r="CO34" s="346">
        <f t="shared" si="271"/>
        <v>0.58510638297872331</v>
      </c>
      <c r="CP34" s="474">
        <f t="shared" si="271"/>
        <v>0.41153415453527442</v>
      </c>
      <c r="CQ34" s="346">
        <f t="shared" si="271"/>
        <v>-7.9775280898876422E-2</v>
      </c>
      <c r="CR34" s="346">
        <f t="shared" si="271"/>
        <v>-7.5107296137339019E-2</v>
      </c>
      <c r="CS34" s="346">
        <f t="shared" si="271"/>
        <v>-2.0185488270594631E-2</v>
      </c>
      <c r="CT34" s="346">
        <f t="shared" si="271"/>
        <v>-0.14093959731543626</v>
      </c>
      <c r="CU34" s="474">
        <f t="shared" si="271"/>
        <v>-8.1052492397196918E-2</v>
      </c>
      <c r="CV34" s="346">
        <f t="shared" si="272"/>
        <v>6.8376068376068355E-2</v>
      </c>
      <c r="CW34" s="346">
        <f t="shared" si="272"/>
        <v>5.626450116009285E-2</v>
      </c>
      <c r="CX34" s="346">
        <f t="shared" si="272"/>
        <v>-3.4521158129175999E-2</v>
      </c>
      <c r="CY34" s="346">
        <f t="shared" si="272"/>
        <v>0.16071428571428581</v>
      </c>
      <c r="CZ34" s="474">
        <f t="shared" si="272"/>
        <v>6.2589928057553923E-2</v>
      </c>
      <c r="DA34" s="346">
        <f t="shared" si="272"/>
        <v>0.12342857142857144</v>
      </c>
      <c r="DB34" s="346">
        <f t="shared" si="272"/>
        <v>0.30422844590884135</v>
      </c>
      <c r="DC34" s="346">
        <f t="shared" si="272"/>
        <v>0.27162629757785473</v>
      </c>
      <c r="DD34" s="346">
        <f t="shared" si="272"/>
        <v>0.16153846153846163</v>
      </c>
      <c r="DE34" s="474">
        <f t="shared" si="272"/>
        <v>0.21354096140825995</v>
      </c>
      <c r="DF34" s="346">
        <f t="shared" si="273"/>
        <v>0.17599186164801628</v>
      </c>
      <c r="DG34" s="346">
        <f t="shared" si="273"/>
        <v>1.0947368421052595E-2</v>
      </c>
      <c r="DH34" s="346">
        <f t="shared" si="273"/>
        <v>1.7233560090702982E-2</v>
      </c>
      <c r="DI34" s="346">
        <f t="shared" si="273"/>
        <v>4.4288079470198749E-2</v>
      </c>
      <c r="DJ34" s="353">
        <f>(DJ8-DJ20-DJ27)/DE8-1</f>
        <v>5.7688016067841907E-2</v>
      </c>
      <c r="DK34" s="346">
        <f t="shared" si="273"/>
        <v>5.1903114186850896E-3</v>
      </c>
      <c r="DL34" s="346">
        <f t="shared" si="273"/>
        <v>6.7471886713869278E-2</v>
      </c>
      <c r="DM34" s="163">
        <v>0.08</v>
      </c>
      <c r="DN34" s="163">
        <v>7.0000000000000007E-2</v>
      </c>
      <c r="DO34" s="353">
        <f>(DO8-DO20-DO27)/DJ8-1</f>
        <v>5.5918345817069337E-2</v>
      </c>
      <c r="DP34" s="163">
        <v>6.5000000000000002E-2</v>
      </c>
      <c r="DQ34" s="163">
        <v>0.05</v>
      </c>
      <c r="DR34" s="163">
        <v>0.04</v>
      </c>
      <c r="DS34" s="163">
        <v>0.05</v>
      </c>
      <c r="DT34" s="353">
        <f>(DT8-DT20-DT27)/DO8-1</f>
        <v>5.106259834849447E-2</v>
      </c>
      <c r="DU34" s="914">
        <v>0.05</v>
      </c>
      <c r="DV34" s="914">
        <v>4.3999999999999997E-2</v>
      </c>
    </row>
    <row r="35" spans="1:126" s="15" customFormat="1" hidden="1" outlineLevel="1">
      <c r="B35" s="317" t="s">
        <v>644</v>
      </c>
      <c r="C35" s="96"/>
      <c r="D35" s="96"/>
      <c r="E35" s="96"/>
      <c r="F35" s="96"/>
      <c r="G35" s="96"/>
      <c r="H35" s="96"/>
      <c r="I35" s="96"/>
      <c r="J35" s="346"/>
      <c r="K35" s="346"/>
      <c r="L35" s="346"/>
      <c r="M35" s="346"/>
      <c r="N35" s="162"/>
      <c r="O35" s="346"/>
      <c r="P35" s="346"/>
      <c r="Q35" s="346"/>
      <c r="R35" s="346"/>
      <c r="S35" s="162"/>
      <c r="T35" s="346"/>
      <c r="U35" s="346"/>
      <c r="V35" s="346"/>
      <c r="W35" s="346"/>
      <c r="X35" s="162"/>
      <c r="Y35" s="346"/>
      <c r="Z35" s="346"/>
      <c r="AA35" s="346"/>
      <c r="AB35" s="346"/>
      <c r="AC35" s="162"/>
      <c r="AD35" s="346"/>
      <c r="AE35" s="346"/>
      <c r="AF35" s="346"/>
      <c r="AG35" s="346"/>
      <c r="AH35" s="162"/>
      <c r="AI35" s="346"/>
      <c r="AJ35" s="346"/>
      <c r="AK35" s="346"/>
      <c r="AL35" s="346"/>
      <c r="AM35" s="162"/>
      <c r="AN35" s="346"/>
      <c r="AO35" s="346"/>
      <c r="AP35" s="346"/>
      <c r="AQ35" s="346"/>
      <c r="AR35" s="162"/>
      <c r="AS35" s="346"/>
      <c r="AT35" s="346"/>
      <c r="AU35" s="346"/>
      <c r="AV35" s="346"/>
      <c r="AW35" s="162"/>
      <c r="AX35" s="346"/>
      <c r="AY35" s="346"/>
      <c r="AZ35" s="346"/>
      <c r="BA35" s="346"/>
      <c r="BB35" s="162"/>
      <c r="BC35" s="346"/>
      <c r="BD35" s="346"/>
      <c r="BE35" s="346"/>
      <c r="BF35" s="346"/>
      <c r="BG35" s="162"/>
      <c r="BH35" s="346"/>
      <c r="BI35" s="346"/>
      <c r="BJ35" s="346"/>
      <c r="BK35" s="346"/>
      <c r="BL35" s="162"/>
      <c r="BM35" s="346"/>
      <c r="BN35" s="346"/>
      <c r="BO35" s="346"/>
      <c r="BP35" s="346"/>
      <c r="BQ35" s="162"/>
      <c r="BR35" s="346"/>
      <c r="BS35" s="346"/>
      <c r="BT35" s="346"/>
      <c r="BU35" s="346"/>
      <c r="BV35" s="162"/>
      <c r="BW35" s="346"/>
      <c r="BX35" s="346"/>
      <c r="BY35" s="346"/>
      <c r="BZ35" s="346"/>
      <c r="CA35" s="353"/>
      <c r="CB35" s="346"/>
      <c r="CC35" s="346"/>
      <c r="CD35" s="346"/>
      <c r="CE35" s="346"/>
      <c r="CF35" s="353"/>
      <c r="CG35" s="346"/>
      <c r="CH35" s="346"/>
      <c r="CI35" s="346"/>
      <c r="CJ35" s="346"/>
      <c r="CK35" s="474"/>
      <c r="CL35" s="346"/>
      <c r="CM35" s="346"/>
      <c r="CN35" s="346"/>
      <c r="CO35" s="346"/>
      <c r="CP35" s="474"/>
      <c r="CQ35" s="346">
        <f t="shared" ref="CQ35:DK35" si="274">(CQ9-CQ21-CQ28)/CL9-1</f>
        <v>0.14878397711015734</v>
      </c>
      <c r="CR35" s="346">
        <f t="shared" si="274"/>
        <v>7.1428571428571397E-2</v>
      </c>
      <c r="CS35" s="346">
        <f t="shared" si="274"/>
        <v>-7.0889894419306154E-2</v>
      </c>
      <c r="CT35" s="346">
        <f t="shared" si="274"/>
        <v>0.17402945113788482</v>
      </c>
      <c r="CU35" s="474">
        <f t="shared" si="274"/>
        <v>8.41186736474695E-2</v>
      </c>
      <c r="CV35" s="346">
        <f t="shared" si="274"/>
        <v>-4.8567870485678677E-2</v>
      </c>
      <c r="CW35" s="346">
        <f t="shared" si="274"/>
        <v>-5.4320987654321029E-2</v>
      </c>
      <c r="CX35" s="346">
        <f t="shared" si="274"/>
        <v>4.7077922077922052E-2</v>
      </c>
      <c r="CY35" s="346">
        <f t="shared" si="274"/>
        <v>-0.10832383124287348</v>
      </c>
      <c r="CZ35" s="474">
        <f t="shared" si="274"/>
        <v>-4.7971667739858392E-2</v>
      </c>
      <c r="DA35" s="346">
        <f t="shared" si="274"/>
        <v>3.5340314136125706E-2</v>
      </c>
      <c r="DB35" s="346">
        <f t="shared" si="274"/>
        <v>0.10574412532637067</v>
      </c>
      <c r="DC35" s="346">
        <f t="shared" si="274"/>
        <v>0.3054263565891473</v>
      </c>
      <c r="DD35" s="346">
        <f t="shared" si="274"/>
        <v>0.16240409207161122</v>
      </c>
      <c r="DE35" s="474">
        <f t="shared" si="274"/>
        <v>0.1460940142035847</v>
      </c>
      <c r="DF35" s="346">
        <f t="shared" si="274"/>
        <v>0.11125158027812887</v>
      </c>
      <c r="DG35" s="346">
        <f t="shared" si="274"/>
        <v>2.8335301062573759E-2</v>
      </c>
      <c r="DH35" s="346">
        <f t="shared" si="274"/>
        <v>6.7695961995249299E-2</v>
      </c>
      <c r="DI35" s="346">
        <f t="shared" si="274"/>
        <v>2.64026402640265E-2</v>
      </c>
      <c r="DJ35" s="353">
        <f>(DJ9-DJ21-DJ28)/DE9-1</f>
        <v>5.6948952493360849E-2</v>
      </c>
      <c r="DK35" s="346">
        <f t="shared" si="274"/>
        <v>6.2571103526734895E-2</v>
      </c>
      <c r="DL35" s="163">
        <v>0</v>
      </c>
      <c r="DM35" s="163">
        <v>0</v>
      </c>
      <c r="DN35" s="163">
        <v>0</v>
      </c>
      <c r="DO35" s="353">
        <f>(DO9-DO21-DO28)/DJ9-1</f>
        <v>-0.73925181462869904</v>
      </c>
      <c r="DP35" s="163">
        <v>0</v>
      </c>
      <c r="DQ35" s="163">
        <v>0</v>
      </c>
      <c r="DR35" s="163">
        <v>0</v>
      </c>
      <c r="DS35" s="163">
        <v>0</v>
      </c>
      <c r="DT35" s="353">
        <f>(DT9-DT21-DT28)/DO9-1</f>
        <v>-1</v>
      </c>
      <c r="DU35" s="914">
        <v>0</v>
      </c>
      <c r="DV35" s="914">
        <v>0</v>
      </c>
    </row>
    <row r="36" spans="1:126" s="15" customFormat="1" ht="12" collapsed="1">
      <c r="B36" s="165" t="s">
        <v>70</v>
      </c>
      <c r="C36" s="166"/>
      <c r="D36" s="166" t="e">
        <f t="shared" ref="D36:I36" si="275">(D11-D23-D30)/(C11)-1</f>
        <v>#DIV/0!</v>
      </c>
      <c r="E36" s="166" t="e">
        <f t="shared" si="275"/>
        <v>#DIV/0!</v>
      </c>
      <c r="F36" s="166" t="e">
        <f t="shared" si="275"/>
        <v>#DIV/0!</v>
      </c>
      <c r="G36" s="166" t="e">
        <f t="shared" si="275"/>
        <v>#DIV/0!</v>
      </c>
      <c r="H36" s="166" t="e">
        <f t="shared" si="275"/>
        <v>#DIV/0!</v>
      </c>
      <c r="I36" s="166" t="e">
        <f t="shared" si="275"/>
        <v>#DIV/0!</v>
      </c>
      <c r="J36" s="167" t="e">
        <f>(J11-J23-J30)/(E11-E30)-1</f>
        <v>#DIV/0!</v>
      </c>
      <c r="K36" s="167" t="e">
        <f>(K11-K23-K30)/(F11-F30)-1</f>
        <v>#DIV/0!</v>
      </c>
      <c r="L36" s="167" t="e">
        <f>(L11-L23-L30)/(G11-G30)-1</f>
        <v>#DIV/0!</v>
      </c>
      <c r="M36" s="167" t="e">
        <f>(M11-M23-M30)/(H11-H30)-1</f>
        <v>#DIV/0!</v>
      </c>
      <c r="N36" s="166"/>
      <c r="O36" s="167"/>
      <c r="P36" s="167"/>
      <c r="Q36" s="167"/>
      <c r="R36" s="167"/>
      <c r="S36" s="166"/>
      <c r="T36" s="167"/>
      <c r="U36" s="167"/>
      <c r="V36" s="167"/>
      <c r="W36" s="167"/>
      <c r="X36" s="166"/>
      <c r="Y36" s="167"/>
      <c r="Z36" s="167"/>
      <c r="AA36" s="167"/>
      <c r="AB36" s="167"/>
      <c r="AC36" s="166"/>
      <c r="AD36" s="167"/>
      <c r="AE36" s="167"/>
      <c r="AF36" s="167"/>
      <c r="AG36" s="167"/>
      <c r="AH36" s="166"/>
      <c r="AI36" s="167"/>
      <c r="AJ36" s="167"/>
      <c r="AK36" s="167"/>
      <c r="AL36" s="167"/>
      <c r="AM36" s="166"/>
      <c r="AN36" s="167"/>
      <c r="AO36" s="167"/>
      <c r="AP36" s="167"/>
      <c r="AQ36" s="167"/>
      <c r="AR36" s="166"/>
      <c r="AS36" s="167"/>
      <c r="AT36" s="167"/>
      <c r="AU36" s="167"/>
      <c r="AV36" s="167"/>
      <c r="AW36" s="166"/>
      <c r="AX36" s="167"/>
      <c r="AY36" s="167"/>
      <c r="AZ36" s="167"/>
      <c r="BA36" s="167"/>
      <c r="BB36" s="166"/>
      <c r="BC36" s="167"/>
      <c r="BD36" s="167"/>
      <c r="BE36" s="167"/>
      <c r="BF36" s="167"/>
      <c r="BG36" s="166"/>
      <c r="BH36" s="167"/>
      <c r="BI36" s="167"/>
      <c r="BJ36" s="167"/>
      <c r="BK36" s="167"/>
      <c r="BL36" s="166"/>
      <c r="BM36" s="167"/>
      <c r="BN36" s="167"/>
      <c r="BO36" s="167"/>
      <c r="BP36" s="167"/>
      <c r="BQ36" s="166"/>
      <c r="BR36" s="402">
        <f t="shared" ref="BR36:CW36" si="276">(BR11-BR23-BR30)/(BM11)-1</f>
        <v>0.10363059569968236</v>
      </c>
      <c r="BS36" s="402">
        <f t="shared" si="276"/>
        <v>4.1426743442098513E-2</v>
      </c>
      <c r="BT36" s="402">
        <f t="shared" si="276"/>
        <v>4.9825029161806311E-2</v>
      </c>
      <c r="BU36" s="402">
        <f t="shared" si="276"/>
        <v>6.727056727056735E-2</v>
      </c>
      <c r="BV36" s="166">
        <f t="shared" si="276"/>
        <v>6.6128531511952637E-2</v>
      </c>
      <c r="BW36" s="167">
        <f t="shared" si="276"/>
        <v>6.5633982753114273E-2</v>
      </c>
      <c r="BX36" s="167">
        <f t="shared" si="276"/>
        <v>2.390825782009931E-2</v>
      </c>
      <c r="BY36" s="167">
        <f t="shared" si="276"/>
        <v>5.8201058201058142E-2</v>
      </c>
      <c r="BZ36" s="167">
        <f t="shared" si="276"/>
        <v>-8.4267731168505833E-3</v>
      </c>
      <c r="CA36" s="166">
        <f t="shared" si="276"/>
        <v>3.4350425565906839E-2</v>
      </c>
      <c r="CB36" s="167">
        <f t="shared" si="276"/>
        <v>6.5787501873220355E-2</v>
      </c>
      <c r="CC36" s="167">
        <f t="shared" si="276"/>
        <v>0.13913793103448269</v>
      </c>
      <c r="CD36" s="167">
        <f t="shared" si="276"/>
        <v>0.1206896551724137</v>
      </c>
      <c r="CE36" s="167">
        <f t="shared" si="276"/>
        <v>0.19354838709677424</v>
      </c>
      <c r="CF36" s="166">
        <f t="shared" si="276"/>
        <v>0.12854983042536672</v>
      </c>
      <c r="CG36" s="167">
        <f t="shared" si="276"/>
        <v>0.11839145106861637</v>
      </c>
      <c r="CH36" s="167">
        <f t="shared" si="276"/>
        <v>3.2843953382775792E-2</v>
      </c>
      <c r="CI36" s="167">
        <f t="shared" si="276"/>
        <v>8.5846153846153905E-2</v>
      </c>
      <c r="CJ36" s="167">
        <f t="shared" si="276"/>
        <v>4.581081081081062E-2</v>
      </c>
      <c r="CK36" s="475">
        <f t="shared" si="276"/>
        <v>7.0820811760020197E-2</v>
      </c>
      <c r="CL36" s="167">
        <f t="shared" si="276"/>
        <v>-0.133392004023133</v>
      </c>
      <c r="CM36" s="167">
        <f t="shared" si="276"/>
        <v>-0.35770808909730367</v>
      </c>
      <c r="CN36" s="167">
        <f t="shared" si="276"/>
        <v>-0.30291867384528193</v>
      </c>
      <c r="CO36" s="167">
        <f t="shared" si="276"/>
        <v>-0.2446052461558339</v>
      </c>
      <c r="CP36" s="475">
        <f t="shared" si="276"/>
        <v>-0.25470836855452239</v>
      </c>
      <c r="CQ36" s="167">
        <f t="shared" si="276"/>
        <v>-0.27578703032061513</v>
      </c>
      <c r="CR36" s="167">
        <f t="shared" si="276"/>
        <v>0.10403832991101991</v>
      </c>
      <c r="CS36" s="167">
        <f t="shared" si="276"/>
        <v>9.7154471544715459E-2</v>
      </c>
      <c r="CT36" s="167">
        <f t="shared" si="276"/>
        <v>4.0198426274375532E-2</v>
      </c>
      <c r="CU36" s="475">
        <f t="shared" si="276"/>
        <v>-3.3209327647218956E-2</v>
      </c>
      <c r="CV36" s="167">
        <f t="shared" si="276"/>
        <v>0.12239583333333326</v>
      </c>
      <c r="CW36" s="167">
        <f t="shared" si="276"/>
        <v>0.26617069642488111</v>
      </c>
      <c r="CX36" s="167">
        <f t="shared" ref="CX36:DO36" si="277">(CX11-CX23-CX30)/(CS11)-1</f>
        <v>0.24212671359762883</v>
      </c>
      <c r="CY36" s="167">
        <f t="shared" si="277"/>
        <v>0.25226114125966115</v>
      </c>
      <c r="CZ36" s="475">
        <f t="shared" si="277"/>
        <v>0.22243078366963864</v>
      </c>
      <c r="DA36" s="167">
        <f t="shared" si="277"/>
        <v>0.25736212743173303</v>
      </c>
      <c r="DB36" s="167">
        <f t="shared" si="277"/>
        <v>0.29051738207932098</v>
      </c>
      <c r="DC36" s="167">
        <f t="shared" si="277"/>
        <v>0.26189410887397457</v>
      </c>
      <c r="DD36" s="167">
        <f t="shared" si="277"/>
        <v>0.12239001969796459</v>
      </c>
      <c r="DE36" s="475">
        <f t="shared" si="277"/>
        <v>0.22687140115163151</v>
      </c>
      <c r="DF36" s="167">
        <f t="shared" si="277"/>
        <v>0.14634492547906319</v>
      </c>
      <c r="DG36" s="167">
        <f t="shared" si="277"/>
        <v>3.9964588339446161E-2</v>
      </c>
      <c r="DH36" s="167">
        <f t="shared" si="277"/>
        <v>5.6967261553007909E-2</v>
      </c>
      <c r="DI36" s="167">
        <f t="shared" si="277"/>
        <v>0.1558441558441559</v>
      </c>
      <c r="DJ36" s="508">
        <f t="shared" si="277"/>
        <v>9.8904881101376629E-2</v>
      </c>
      <c r="DK36" s="167">
        <f t="shared" si="277"/>
        <v>0.11453689945517587</v>
      </c>
      <c r="DL36" s="167">
        <f t="shared" si="277"/>
        <v>0.23446430743037827</v>
      </c>
      <c r="DM36" s="167">
        <f t="shared" si="277"/>
        <v>0.12555741921055574</v>
      </c>
      <c r="DN36" s="167">
        <f t="shared" si="277"/>
        <v>7.3538819718594883E-2</v>
      </c>
      <c r="DO36" s="166">
        <f t="shared" si="277"/>
        <v>0.13388998035363464</v>
      </c>
      <c r="DP36" s="167">
        <f t="shared" ref="DP36" si="278">(DP11-DP23-DP30)/(DK11)-1</f>
        <v>0.13802688590156631</v>
      </c>
      <c r="DQ36" s="167">
        <f t="shared" ref="DQ36" si="279">(DQ11-DQ23-DQ30)/(DL11)-1</f>
        <v>0.13040587134272474</v>
      </c>
      <c r="DR36" s="167">
        <f t="shared" ref="DR36" si="280">(DR11-DR23-DR30)/(DM11)-1</f>
        <v>0.12859413900054251</v>
      </c>
      <c r="DS36" s="167">
        <f t="shared" ref="DS36" si="281">(DS11-DS23-DS30)/(DN11)-1</f>
        <v>0.15470855830329389</v>
      </c>
      <c r="DT36" s="166">
        <f t="shared" ref="DT36" si="282">(DT11-DT23-DT30)/(DO11)-1</f>
        <v>0.13814258890826592</v>
      </c>
      <c r="DU36" s="166">
        <f>(DU11-DU23-DU30)/(DT11)-1</f>
        <v>8.5526391775256005E-2</v>
      </c>
      <c r="DV36" s="166">
        <f>(DV11-DV23-DV30)/(DU11)-1</f>
        <v>6.8933765152374038E-2</v>
      </c>
    </row>
    <row r="37" spans="1:126" s="15" customFormat="1">
      <c r="C37" s="16"/>
      <c r="D37" s="16"/>
      <c r="E37" s="16"/>
      <c r="F37" s="16"/>
      <c r="G37" s="16"/>
      <c r="H37" s="16"/>
      <c r="I37" s="16"/>
      <c r="J37" s="12"/>
      <c r="K37" s="12"/>
      <c r="L37" s="12"/>
      <c r="M37" s="12"/>
      <c r="N37" s="136"/>
      <c r="S37" s="136"/>
      <c r="X37" s="136"/>
      <c r="AC37" s="136"/>
      <c r="AH37" s="136"/>
      <c r="AM37" s="136"/>
      <c r="AR37" s="16"/>
      <c r="AW37" s="16"/>
      <c r="BB37" s="16"/>
      <c r="BG37" s="16"/>
      <c r="BL37" s="16"/>
      <c r="BQ37" s="16"/>
      <c r="BV37" s="16"/>
      <c r="CA37" s="16"/>
      <c r="CF37" s="16"/>
      <c r="CK37" s="440"/>
      <c r="CP37" s="440"/>
      <c r="CU37" s="440"/>
      <c r="CZ37" s="16"/>
      <c r="DE37" s="16"/>
      <c r="DJ37" s="16"/>
      <c r="DO37" s="16"/>
      <c r="DT37" s="16"/>
      <c r="DU37" s="16"/>
      <c r="DV37" s="16"/>
    </row>
    <row r="38" spans="1:126" s="15" customFormat="1" ht="12">
      <c r="B38" s="189" t="s">
        <v>87</v>
      </c>
      <c r="C38" s="16"/>
      <c r="D38" s="16"/>
      <c r="E38" s="16"/>
      <c r="F38" s="16"/>
      <c r="G38" s="16"/>
      <c r="H38" s="16"/>
      <c r="I38" s="16"/>
      <c r="J38" s="12"/>
      <c r="K38" s="12"/>
      <c r="L38" s="12"/>
      <c r="M38" s="12"/>
      <c r="N38" s="136"/>
      <c r="S38" s="136"/>
      <c r="X38" s="136"/>
      <c r="AC38" s="136"/>
      <c r="AH38" s="136"/>
      <c r="AM38" s="16"/>
      <c r="AR38" s="16"/>
      <c r="AW38" s="16"/>
      <c r="BB38" s="16"/>
      <c r="BG38" s="16"/>
      <c r="BL38" s="16"/>
      <c r="BQ38" s="16"/>
      <c r="BV38" s="16"/>
      <c r="CA38" s="16"/>
      <c r="CF38" s="16"/>
      <c r="CK38" s="440"/>
      <c r="CP38" s="440"/>
      <c r="CU38" s="440"/>
      <c r="CZ38" s="16"/>
      <c r="DE38" s="16"/>
      <c r="DJ38" s="16"/>
      <c r="DO38" s="16"/>
      <c r="DT38" s="16"/>
      <c r="DU38" s="16"/>
      <c r="DV38" s="16"/>
    </row>
    <row r="39" spans="1:126" s="15" customFormat="1">
      <c r="B39" s="221" t="s">
        <v>381</v>
      </c>
      <c r="C39" s="96"/>
      <c r="D39" s="96"/>
      <c r="E39" s="96"/>
      <c r="F39" s="96"/>
      <c r="G39" s="96"/>
      <c r="H39" s="96"/>
      <c r="I39" s="96"/>
      <c r="J39" s="95"/>
      <c r="K39" s="95"/>
      <c r="L39" s="95"/>
      <c r="M39" s="95"/>
      <c r="N39" s="162"/>
      <c r="O39" s="94"/>
      <c r="P39" s="94"/>
      <c r="Q39" s="94"/>
      <c r="R39" s="94"/>
      <c r="S39" s="162"/>
      <c r="T39" s="94"/>
      <c r="U39" s="94"/>
      <c r="V39" s="94"/>
      <c r="W39" s="94"/>
      <c r="X39" s="162"/>
      <c r="Y39" s="94"/>
      <c r="Z39" s="94"/>
      <c r="AA39" s="94"/>
      <c r="AB39" s="94"/>
      <c r="AC39" s="162"/>
      <c r="AD39" s="94"/>
      <c r="AE39" s="94"/>
      <c r="AF39" s="94"/>
      <c r="AG39" s="94"/>
      <c r="AH39" s="162"/>
      <c r="AI39" s="94"/>
      <c r="AJ39" s="94"/>
      <c r="AK39" s="94"/>
      <c r="AL39" s="94"/>
      <c r="AM39" s="162"/>
      <c r="AN39" s="94"/>
      <c r="AO39" s="94"/>
      <c r="AP39" s="94"/>
      <c r="AQ39" s="94"/>
      <c r="AR39" s="162"/>
      <c r="AS39" s="94"/>
      <c r="AT39" s="94"/>
      <c r="AU39" s="94"/>
      <c r="AV39" s="94"/>
      <c r="AW39" s="162"/>
      <c r="AX39" s="94"/>
      <c r="AY39" s="94"/>
      <c r="AZ39" s="94"/>
      <c r="BA39" s="94"/>
      <c r="BB39" s="162"/>
      <c r="BC39" s="94"/>
      <c r="BD39" s="94"/>
      <c r="BE39" s="94"/>
      <c r="BF39" s="94"/>
      <c r="BG39" s="162"/>
      <c r="BH39" s="94"/>
      <c r="BI39" s="94"/>
      <c r="BJ39" s="94"/>
      <c r="BK39" s="94"/>
      <c r="BL39" s="162"/>
      <c r="BM39" s="94"/>
      <c r="BN39" s="94"/>
      <c r="BO39" s="94"/>
      <c r="BP39" s="94"/>
      <c r="BQ39" s="162"/>
      <c r="BR39" s="94">
        <f t="shared" ref="BR39:CA40" si="283">BR7/BM7-1</f>
        <v>0.15092904980109756</v>
      </c>
      <c r="BS39" s="94">
        <f t="shared" si="283"/>
        <v>0.10093684306736117</v>
      </c>
      <c r="BT39" s="94">
        <f t="shared" si="283"/>
        <v>0.1098150308281951</v>
      </c>
      <c r="BU39" s="94">
        <f t="shared" si="283"/>
        <v>0.12825745682888545</v>
      </c>
      <c r="BV39" s="162">
        <f t="shared" si="283"/>
        <v>0.12205970097377561</v>
      </c>
      <c r="BW39" s="94">
        <f t="shared" si="283"/>
        <v>9.3790333518548596E-2</v>
      </c>
      <c r="BX39" s="94">
        <f t="shared" si="283"/>
        <v>1.6989958780774472E-2</v>
      </c>
      <c r="BY39" s="94">
        <f t="shared" si="283"/>
        <v>2.9601029601029616E-2</v>
      </c>
      <c r="BZ39" s="94">
        <f t="shared" si="283"/>
        <v>-5.986409395342196E-2</v>
      </c>
      <c r="CA39" s="162">
        <f t="shared" si="283"/>
        <v>1.7048206019892875E-2</v>
      </c>
      <c r="CB39" s="94">
        <f t="shared" ref="CB39:CK40" si="284">CB7/BW7-1</f>
        <v>6.0000000000000053E-2</v>
      </c>
      <c r="CC39" s="94">
        <f t="shared" si="284"/>
        <v>0.12938775510204081</v>
      </c>
      <c r="CD39" s="94">
        <f t="shared" si="284"/>
        <v>0.16666666666666674</v>
      </c>
      <c r="CE39" s="94">
        <f t="shared" si="284"/>
        <v>0.26</v>
      </c>
      <c r="CF39" s="162">
        <f t="shared" si="284"/>
        <v>0.15401015228426407</v>
      </c>
      <c r="CG39" s="94">
        <f t="shared" si="284"/>
        <v>0.12245283018867914</v>
      </c>
      <c r="CH39" s="94">
        <f t="shared" si="284"/>
        <v>5.6740151788940985E-2</v>
      </c>
      <c r="CI39" s="94">
        <f t="shared" si="284"/>
        <v>7.0892857142857091E-2</v>
      </c>
      <c r="CJ39" s="94">
        <f t="shared" si="284"/>
        <v>1.9523809523809277E-2</v>
      </c>
      <c r="CK39" s="476">
        <f t="shared" si="284"/>
        <v>6.5232691123427555E-2</v>
      </c>
      <c r="CL39" s="94">
        <f t="shared" ref="CL39:CU40" si="285">CL7/CG7-1</f>
        <v>-0.1405278198016473</v>
      </c>
      <c r="CM39" s="94">
        <f t="shared" si="285"/>
        <v>-0.56925444596443231</v>
      </c>
      <c r="CN39" s="94">
        <f t="shared" si="285"/>
        <v>-0.48524262131065532</v>
      </c>
      <c r="CO39" s="94">
        <f t="shared" si="285"/>
        <v>-0.41460376770979279</v>
      </c>
      <c r="CP39" s="476">
        <f t="shared" si="285"/>
        <v>-0.402114217285378</v>
      </c>
      <c r="CQ39" s="94">
        <f t="shared" si="285"/>
        <v>-0.34402503422648156</v>
      </c>
      <c r="CR39" s="94">
        <f t="shared" si="285"/>
        <v>0.23660182612147684</v>
      </c>
      <c r="CS39" s="94">
        <f t="shared" si="285"/>
        <v>0.16682863621639132</v>
      </c>
      <c r="CT39" s="94">
        <f t="shared" si="285"/>
        <v>0.14069148936170217</v>
      </c>
      <c r="CU39" s="476">
        <f t="shared" si="285"/>
        <v>-8.2187996408591424E-3</v>
      </c>
      <c r="CV39" s="94">
        <f t="shared" ref="CV39:DE40" si="286">CV7/CQ7-1</f>
        <v>0.14877757901013711</v>
      </c>
      <c r="CW39" s="94">
        <f t="shared" si="286"/>
        <v>0.38234349919743171</v>
      </c>
      <c r="CX39" s="94">
        <f t="shared" si="286"/>
        <v>0.38006662965019444</v>
      </c>
      <c r="CY39" s="94">
        <f t="shared" si="286"/>
        <v>0.29051060853345767</v>
      </c>
      <c r="CZ39" s="162">
        <f t="shared" si="286"/>
        <v>0.29979108635097496</v>
      </c>
      <c r="DA39" s="94">
        <f t="shared" si="286"/>
        <v>0.35790293277965213</v>
      </c>
      <c r="DB39" s="94">
        <f t="shared" si="286"/>
        <v>0.33232698560148632</v>
      </c>
      <c r="DC39" s="94">
        <f t="shared" si="286"/>
        <v>0.29893381613357484</v>
      </c>
      <c r="DD39" s="94">
        <f t="shared" si="286"/>
        <v>0.16151761517615171</v>
      </c>
      <c r="DE39" s="162">
        <f t="shared" si="286"/>
        <v>0.27806054111974277</v>
      </c>
      <c r="DF39" s="94">
        <f t="shared" ref="DF39:DO40" si="287">DF7/DA7-1</f>
        <v>0.16513761467889898</v>
      </c>
      <c r="DG39" s="94">
        <f t="shared" si="287"/>
        <v>6.8851316018825104E-2</v>
      </c>
      <c r="DH39" s="94">
        <f t="shared" si="287"/>
        <v>8.4559392906922826E-2</v>
      </c>
      <c r="DI39" s="94">
        <f t="shared" si="287"/>
        <v>0.1899206719552029</v>
      </c>
      <c r="DJ39" s="162">
        <f t="shared" si="287"/>
        <v>0.12684971704045278</v>
      </c>
      <c r="DK39" s="94">
        <f t="shared" si="287"/>
        <v>0.14452099737532809</v>
      </c>
      <c r="DL39" s="94">
        <f t="shared" si="287"/>
        <v>0.30300065231572071</v>
      </c>
      <c r="DM39" s="94">
        <f t="shared" si="287"/>
        <v>0.14000000000000012</v>
      </c>
      <c r="DN39" s="94">
        <f t="shared" si="287"/>
        <v>7.9199999999999937E-2</v>
      </c>
      <c r="DO39" s="162">
        <f t="shared" si="287"/>
        <v>0.16090547226665675</v>
      </c>
      <c r="DP39" s="94">
        <f t="shared" ref="DP39:DP40" si="288">DP7/DK7-1</f>
        <v>0.15999999999999992</v>
      </c>
      <c r="DQ39" s="94">
        <f t="shared" ref="DQ39:DQ40" si="289">DQ7/DL7-1</f>
        <v>0.14000000000000012</v>
      </c>
      <c r="DR39" s="94">
        <f t="shared" ref="DR39:DR40" si="290">DR7/DM7-1</f>
        <v>0.14999999999999991</v>
      </c>
      <c r="DS39" s="94">
        <f t="shared" ref="DS39:DS40" si="291">DS7/DN7-1</f>
        <v>0.18359999999999999</v>
      </c>
      <c r="DT39" s="162">
        <f t="shared" ref="DT39:DT40" si="292">DT7/DO7-1</f>
        <v>0.15856453882709576</v>
      </c>
      <c r="DU39" s="162">
        <f t="shared" ref="DU39:DV40" si="293">DU7/DT7-1</f>
        <v>9.3499999999999917E-2</v>
      </c>
      <c r="DV39" s="162">
        <f t="shared" si="293"/>
        <v>7.4000000000000066E-2</v>
      </c>
    </row>
    <row r="40" spans="1:126" s="15" customFormat="1">
      <c r="B40" s="317" t="s">
        <v>457</v>
      </c>
      <c r="C40" s="96"/>
      <c r="D40" s="96"/>
      <c r="E40" s="96"/>
      <c r="F40" s="96"/>
      <c r="G40" s="96"/>
      <c r="H40" s="96"/>
      <c r="I40" s="96"/>
      <c r="J40" s="95"/>
      <c r="K40" s="95"/>
      <c r="L40" s="95"/>
      <c r="M40" s="95"/>
      <c r="N40" s="162"/>
      <c r="O40" s="94"/>
      <c r="P40" s="94"/>
      <c r="Q40" s="94"/>
      <c r="R40" s="94"/>
      <c r="S40" s="162"/>
      <c r="T40" s="94"/>
      <c r="U40" s="94"/>
      <c r="V40" s="94"/>
      <c r="W40" s="94"/>
      <c r="X40" s="162"/>
      <c r="Y40" s="94"/>
      <c r="Z40" s="94"/>
      <c r="AA40" s="94"/>
      <c r="AB40" s="94"/>
      <c r="AC40" s="162"/>
      <c r="AD40" s="94"/>
      <c r="AE40" s="94"/>
      <c r="AF40" s="94"/>
      <c r="AG40" s="94"/>
      <c r="AH40" s="162"/>
      <c r="AI40" s="94"/>
      <c r="AJ40" s="94"/>
      <c r="AK40" s="94"/>
      <c r="AL40" s="94"/>
      <c r="AM40" s="162"/>
      <c r="AN40" s="94"/>
      <c r="AO40" s="94"/>
      <c r="AP40" s="94"/>
      <c r="AQ40" s="94"/>
      <c r="AR40" s="162"/>
      <c r="AS40" s="94"/>
      <c r="AT40" s="94"/>
      <c r="AU40" s="94"/>
      <c r="AV40" s="94"/>
      <c r="AW40" s="162"/>
      <c r="AX40" s="94"/>
      <c r="AY40" s="94"/>
      <c r="AZ40" s="94"/>
      <c r="BA40" s="94"/>
      <c r="BB40" s="162"/>
      <c r="BC40" s="94"/>
      <c r="BD40" s="94"/>
      <c r="BE40" s="94"/>
      <c r="BF40" s="94"/>
      <c r="BG40" s="162"/>
      <c r="BH40" s="94"/>
      <c r="BI40" s="94"/>
      <c r="BJ40" s="94"/>
      <c r="BK40" s="94"/>
      <c r="BL40" s="162"/>
      <c r="BM40" s="94"/>
      <c r="BN40" s="94"/>
      <c r="BO40" s="94"/>
      <c r="BP40" s="94"/>
      <c r="BQ40" s="162"/>
      <c r="BR40" s="94">
        <f t="shared" si="283"/>
        <v>-6.7324638702860318E-3</v>
      </c>
      <c r="BS40" s="94">
        <f t="shared" si="283"/>
        <v>-0.20361484325015988</v>
      </c>
      <c r="BT40" s="94">
        <f t="shared" si="283"/>
        <v>-0.19719262475861876</v>
      </c>
      <c r="BU40" s="94">
        <f t="shared" si="283"/>
        <v>-0.18385191914603694</v>
      </c>
      <c r="BV40" s="162">
        <f t="shared" si="283"/>
        <v>-0.12971831585865301</v>
      </c>
      <c r="BW40" s="94">
        <f t="shared" si="283"/>
        <v>-1.0492447094171964E-2</v>
      </c>
      <c r="BX40" s="94">
        <f t="shared" si="283"/>
        <v>6.328934465933389E-2</v>
      </c>
      <c r="BY40" s="94">
        <f t="shared" si="283"/>
        <v>0.2210012210012211</v>
      </c>
      <c r="BZ40" s="94">
        <f t="shared" si="283"/>
        <v>0.28437028395286368</v>
      </c>
      <c r="CA40" s="162">
        <f t="shared" si="283"/>
        <v>0.11246294120937494</v>
      </c>
      <c r="CB40" s="94">
        <f t="shared" si="284"/>
        <v>8.3084279736999722E-2</v>
      </c>
      <c r="CC40" s="94">
        <f t="shared" si="284"/>
        <v>0.19222222222222229</v>
      </c>
      <c r="CD40" s="94">
        <f t="shared" si="284"/>
        <v>-9.9999999999999978E-2</v>
      </c>
      <c r="CE40" s="94">
        <f t="shared" si="284"/>
        <v>-8.3333333333333481E-2</v>
      </c>
      <c r="CF40" s="162">
        <f t="shared" si="284"/>
        <v>2.346532579090721E-2</v>
      </c>
      <c r="CG40" s="94">
        <f t="shared" si="284"/>
        <v>0.10651214128035313</v>
      </c>
      <c r="CH40" s="94">
        <f t="shared" si="284"/>
        <v>-9.0400745573159358E-2</v>
      </c>
      <c r="CI40" s="94">
        <f t="shared" si="284"/>
        <v>0.17888888888888888</v>
      </c>
      <c r="CJ40" s="94">
        <f t="shared" si="284"/>
        <v>0.1963636363636363</v>
      </c>
      <c r="CK40" s="476">
        <f t="shared" si="284"/>
        <v>9.6827021494370502E-2</v>
      </c>
      <c r="CL40" s="94">
        <f t="shared" si="285"/>
        <v>-0.11221945137157108</v>
      </c>
      <c r="CM40" s="94">
        <f t="shared" si="285"/>
        <v>0.9098360655737705</v>
      </c>
      <c r="CN40" s="94">
        <f t="shared" si="285"/>
        <v>0.72761545711592834</v>
      </c>
      <c r="CO40" s="94">
        <f t="shared" si="285"/>
        <v>0.58510638297872331</v>
      </c>
      <c r="CP40" s="476">
        <f t="shared" si="285"/>
        <v>0.41153415453527442</v>
      </c>
      <c r="CQ40" s="94">
        <f t="shared" si="285"/>
        <v>-7.9775280898876422E-2</v>
      </c>
      <c r="CR40" s="94">
        <f t="shared" si="285"/>
        <v>-7.5107296137339019E-2</v>
      </c>
      <c r="CS40" s="94">
        <f t="shared" si="285"/>
        <v>-2.0185488270594631E-2</v>
      </c>
      <c r="CT40" s="94">
        <f t="shared" si="285"/>
        <v>-0.14093959731543626</v>
      </c>
      <c r="CU40" s="476">
        <f t="shared" si="285"/>
        <v>-8.1052492397196918E-2</v>
      </c>
      <c r="CV40" s="94">
        <f t="shared" si="286"/>
        <v>6.8376068376068355E-2</v>
      </c>
      <c r="CW40" s="94">
        <f t="shared" si="286"/>
        <v>5.626450116009285E-2</v>
      </c>
      <c r="CX40" s="94">
        <f t="shared" si="286"/>
        <v>-3.4521158129175999E-2</v>
      </c>
      <c r="CY40" s="94">
        <f t="shared" si="286"/>
        <v>0.16071428571428581</v>
      </c>
      <c r="CZ40" s="162">
        <f t="shared" si="286"/>
        <v>6.2589928057553923E-2</v>
      </c>
      <c r="DA40" s="94">
        <f t="shared" si="286"/>
        <v>0.12342857142857144</v>
      </c>
      <c r="DB40" s="94">
        <f t="shared" si="286"/>
        <v>0.30422844590884135</v>
      </c>
      <c r="DC40" s="94">
        <f t="shared" si="286"/>
        <v>0.27162629757785473</v>
      </c>
      <c r="DD40" s="94">
        <f t="shared" si="286"/>
        <v>0.16153846153846163</v>
      </c>
      <c r="DE40" s="162">
        <f t="shared" si="286"/>
        <v>0.21354096140825995</v>
      </c>
      <c r="DF40" s="94">
        <f t="shared" si="287"/>
        <v>0.17599186164801628</v>
      </c>
      <c r="DG40" s="94">
        <f t="shared" si="287"/>
        <v>1.0947368421052595E-2</v>
      </c>
      <c r="DH40" s="94">
        <f t="shared" si="287"/>
        <v>1.7233560090702982E-2</v>
      </c>
      <c r="DI40" s="94">
        <f t="shared" si="287"/>
        <v>4.4288079470198749E-2</v>
      </c>
      <c r="DJ40" s="162">
        <f t="shared" si="287"/>
        <v>5.7688016067841907E-2</v>
      </c>
      <c r="DK40" s="94">
        <f t="shared" si="287"/>
        <v>5.1903114186850896E-3</v>
      </c>
      <c r="DL40" s="94">
        <f t="shared" si="287"/>
        <v>6.7471886713869278E-2</v>
      </c>
      <c r="DM40" s="94">
        <f t="shared" si="287"/>
        <v>8.0000000000000071E-2</v>
      </c>
      <c r="DN40" s="94">
        <f t="shared" si="287"/>
        <v>7.0000000000000062E-2</v>
      </c>
      <c r="DO40" s="162">
        <f t="shared" si="287"/>
        <v>5.5918345817069337E-2</v>
      </c>
      <c r="DP40" s="94">
        <f t="shared" si="288"/>
        <v>6.4999999999999947E-2</v>
      </c>
      <c r="DQ40" s="94">
        <f t="shared" si="289"/>
        <v>5.0000000000000044E-2</v>
      </c>
      <c r="DR40" s="94">
        <f t="shared" si="290"/>
        <v>4.0000000000000036E-2</v>
      </c>
      <c r="DS40" s="94">
        <f t="shared" si="291"/>
        <v>5.0000000000000044E-2</v>
      </c>
      <c r="DT40" s="162">
        <f t="shared" si="292"/>
        <v>5.106259834849447E-2</v>
      </c>
      <c r="DU40" s="162">
        <f t="shared" si="293"/>
        <v>5.0000000000000044E-2</v>
      </c>
      <c r="DV40" s="162">
        <f t="shared" si="293"/>
        <v>4.4000000000000039E-2</v>
      </c>
    </row>
    <row r="41" spans="1:126" s="15" customFormat="1" hidden="1" outlineLevel="1">
      <c r="B41" s="317" t="s">
        <v>644</v>
      </c>
      <c r="C41" s="96"/>
      <c r="D41" s="96"/>
      <c r="E41" s="96"/>
      <c r="F41" s="96"/>
      <c r="G41" s="96"/>
      <c r="H41" s="96"/>
      <c r="I41" s="96"/>
      <c r="J41" s="95"/>
      <c r="K41" s="95"/>
      <c r="L41" s="95"/>
      <c r="M41" s="95"/>
      <c r="N41" s="162"/>
      <c r="O41" s="94"/>
      <c r="P41" s="94"/>
      <c r="Q41" s="94"/>
      <c r="R41" s="94"/>
      <c r="S41" s="162"/>
      <c r="T41" s="94"/>
      <c r="U41" s="94"/>
      <c r="V41" s="94"/>
      <c r="W41" s="94"/>
      <c r="X41" s="162"/>
      <c r="Y41" s="94"/>
      <c r="Z41" s="94"/>
      <c r="AA41" s="94"/>
      <c r="AB41" s="94"/>
      <c r="AC41" s="162"/>
      <c r="AD41" s="94"/>
      <c r="AE41" s="94"/>
      <c r="AF41" s="94"/>
      <c r="AG41" s="94"/>
      <c r="AH41" s="162"/>
      <c r="AI41" s="94"/>
      <c r="AJ41" s="94"/>
      <c r="AK41" s="94"/>
      <c r="AL41" s="94"/>
      <c r="AM41" s="162"/>
      <c r="AN41" s="94"/>
      <c r="AO41" s="94"/>
      <c r="AP41" s="94"/>
      <c r="AQ41" s="94"/>
      <c r="AR41" s="162"/>
      <c r="AS41" s="94"/>
      <c r="AT41" s="94"/>
      <c r="AU41" s="94"/>
      <c r="AV41" s="94"/>
      <c r="AW41" s="162"/>
      <c r="AX41" s="94"/>
      <c r="AY41" s="94"/>
      <c r="AZ41" s="94"/>
      <c r="BA41" s="94"/>
      <c r="BB41" s="162"/>
      <c r="BC41" s="94"/>
      <c r="BD41" s="94"/>
      <c r="BE41" s="94"/>
      <c r="BF41" s="94"/>
      <c r="BG41" s="162"/>
      <c r="BH41" s="94"/>
      <c r="BI41" s="94"/>
      <c r="BJ41" s="94"/>
      <c r="BK41" s="94"/>
      <c r="BL41" s="162"/>
      <c r="BM41" s="94"/>
      <c r="BN41" s="94"/>
      <c r="BO41" s="94"/>
      <c r="BP41" s="94"/>
      <c r="BQ41" s="162"/>
      <c r="BR41" s="94"/>
      <c r="BS41" s="94"/>
      <c r="BT41" s="94"/>
      <c r="BU41" s="94"/>
      <c r="BV41" s="162"/>
      <c r="BW41" s="94"/>
      <c r="BX41" s="94"/>
      <c r="BY41" s="94"/>
      <c r="BZ41" s="94"/>
      <c r="CA41" s="162"/>
      <c r="CB41" s="94"/>
      <c r="CC41" s="94"/>
      <c r="CD41" s="94"/>
      <c r="CE41" s="94"/>
      <c r="CF41" s="162"/>
      <c r="CG41" s="94"/>
      <c r="CH41" s="94"/>
      <c r="CI41" s="94"/>
      <c r="CJ41" s="94"/>
      <c r="CK41" s="476"/>
      <c r="CL41" s="94"/>
      <c r="CM41" s="94"/>
      <c r="CN41" s="94"/>
      <c r="CO41" s="94"/>
      <c r="CP41" s="476"/>
      <c r="CQ41" s="94">
        <f t="shared" ref="CQ41:DE41" si="294">CQ9/CL9-1</f>
        <v>0.14878397711015734</v>
      </c>
      <c r="CR41" s="94">
        <f t="shared" si="294"/>
        <v>7.1428571428571397E-2</v>
      </c>
      <c r="CS41" s="94">
        <f t="shared" si="294"/>
        <v>-7.0889894419306154E-2</v>
      </c>
      <c r="CT41" s="94">
        <f t="shared" si="294"/>
        <v>0.17402945113788482</v>
      </c>
      <c r="CU41" s="476">
        <f t="shared" si="294"/>
        <v>8.41186736474695E-2</v>
      </c>
      <c r="CV41" s="94">
        <f t="shared" si="294"/>
        <v>-4.8567870485678677E-2</v>
      </c>
      <c r="CW41" s="94">
        <f t="shared" si="294"/>
        <v>-5.4320987654321029E-2</v>
      </c>
      <c r="CX41" s="94">
        <f t="shared" si="294"/>
        <v>4.7077922077922052E-2</v>
      </c>
      <c r="CY41" s="94">
        <f t="shared" si="294"/>
        <v>-0.10832383124287348</v>
      </c>
      <c r="CZ41" s="162">
        <f t="shared" si="294"/>
        <v>-4.7971667739858392E-2</v>
      </c>
      <c r="DA41" s="94">
        <f t="shared" si="294"/>
        <v>3.5340314136125706E-2</v>
      </c>
      <c r="DB41" s="94">
        <f t="shared" si="294"/>
        <v>0.10574412532637067</v>
      </c>
      <c r="DC41" s="94">
        <f t="shared" si="294"/>
        <v>0.3054263565891473</v>
      </c>
      <c r="DD41" s="94">
        <f t="shared" si="294"/>
        <v>0.16240409207161122</v>
      </c>
      <c r="DE41" s="162">
        <f t="shared" si="294"/>
        <v>0.1460940142035847</v>
      </c>
      <c r="DF41" s="94"/>
      <c r="DG41" s="94"/>
      <c r="DH41" s="94"/>
      <c r="DI41" s="94"/>
      <c r="DJ41" s="162"/>
      <c r="DK41" s="94"/>
      <c r="DL41" s="94"/>
      <c r="DM41" s="94"/>
      <c r="DN41" s="94"/>
      <c r="DO41" s="162"/>
      <c r="DP41" s="94"/>
      <c r="DQ41" s="94"/>
      <c r="DR41" s="94"/>
      <c r="DS41" s="94"/>
      <c r="DT41" s="162"/>
      <c r="DU41" s="162"/>
      <c r="DV41" s="162"/>
    </row>
    <row r="42" spans="1:126" s="15" customFormat="1" ht="12" collapsed="1">
      <c r="B42" s="165" t="s">
        <v>70</v>
      </c>
      <c r="C42" s="166"/>
      <c r="D42" s="166" t="e">
        <f t="shared" ref="D42:I42" si="295">D11/C11-1</f>
        <v>#DIV/0!</v>
      </c>
      <c r="E42" s="166" t="e">
        <f t="shared" si="295"/>
        <v>#DIV/0!</v>
      </c>
      <c r="F42" s="166" t="e">
        <f t="shared" si="295"/>
        <v>#DIV/0!</v>
      </c>
      <c r="G42" s="166" t="e">
        <f t="shared" si="295"/>
        <v>#DIV/0!</v>
      </c>
      <c r="H42" s="166" t="e">
        <f t="shared" si="295"/>
        <v>#DIV/0!</v>
      </c>
      <c r="I42" s="166" t="e">
        <f t="shared" si="295"/>
        <v>#DIV/0!</v>
      </c>
      <c r="J42" s="167"/>
      <c r="K42" s="167"/>
      <c r="L42" s="167"/>
      <c r="M42" s="167"/>
      <c r="N42" s="168"/>
      <c r="O42" s="167"/>
      <c r="P42" s="167"/>
      <c r="Q42" s="167"/>
      <c r="R42" s="167"/>
      <c r="S42" s="168"/>
      <c r="T42" s="167"/>
      <c r="U42" s="167"/>
      <c r="V42" s="167"/>
      <c r="W42" s="167"/>
      <c r="X42" s="168"/>
      <c r="Y42" s="167"/>
      <c r="Z42" s="167"/>
      <c r="AA42" s="167"/>
      <c r="AB42" s="167"/>
      <c r="AC42" s="168"/>
      <c r="AD42" s="167"/>
      <c r="AE42" s="167"/>
      <c r="AF42" s="167"/>
      <c r="AG42" s="167"/>
      <c r="AH42" s="168"/>
      <c r="AI42" s="167"/>
      <c r="AJ42" s="167"/>
      <c r="AK42" s="167"/>
      <c r="AL42" s="167"/>
      <c r="AM42" s="168"/>
      <c r="AN42" s="167"/>
      <c r="AO42" s="167"/>
      <c r="AP42" s="167"/>
      <c r="AQ42" s="167"/>
      <c r="AR42" s="168"/>
      <c r="AS42" s="167"/>
      <c r="AT42" s="167"/>
      <c r="AU42" s="167"/>
      <c r="AV42" s="167"/>
      <c r="AW42" s="168"/>
      <c r="AX42" s="167"/>
      <c r="AY42" s="167"/>
      <c r="AZ42" s="167"/>
      <c r="BA42" s="167"/>
      <c r="BB42" s="168"/>
      <c r="BC42" s="167"/>
      <c r="BD42" s="167"/>
      <c r="BE42" s="167"/>
      <c r="BF42" s="167"/>
      <c r="BG42" s="168"/>
      <c r="BH42" s="167"/>
      <c r="BI42" s="167"/>
      <c r="BJ42" s="167"/>
      <c r="BK42" s="167"/>
      <c r="BL42" s="168"/>
      <c r="BM42" s="167"/>
      <c r="BN42" s="167"/>
      <c r="BO42" s="167"/>
      <c r="BP42" s="167"/>
      <c r="BQ42" s="168"/>
      <c r="BR42" s="167">
        <f t="shared" ref="BR42:CW42" si="296">BR11/BM11-1</f>
        <v>0.10363059569968236</v>
      </c>
      <c r="BS42" s="167">
        <f t="shared" si="296"/>
        <v>4.1426743442098513E-2</v>
      </c>
      <c r="BT42" s="167">
        <f t="shared" si="296"/>
        <v>4.9825029161806311E-2</v>
      </c>
      <c r="BU42" s="167">
        <f t="shared" si="296"/>
        <v>6.727056727056735E-2</v>
      </c>
      <c r="BV42" s="168">
        <f t="shared" si="296"/>
        <v>6.6128531511952637E-2</v>
      </c>
      <c r="BW42" s="167">
        <f t="shared" si="296"/>
        <v>6.5633982753114273E-2</v>
      </c>
      <c r="BX42" s="167">
        <f t="shared" si="296"/>
        <v>2.390825782009931E-2</v>
      </c>
      <c r="BY42" s="167">
        <f t="shared" si="296"/>
        <v>5.8201058201058142E-2</v>
      </c>
      <c r="BZ42" s="167">
        <f t="shared" si="296"/>
        <v>-8.4267731168505833E-3</v>
      </c>
      <c r="CA42" s="168">
        <f t="shared" si="296"/>
        <v>3.4350425565906839E-2</v>
      </c>
      <c r="CB42" s="167">
        <f t="shared" si="296"/>
        <v>6.5787501873220355E-2</v>
      </c>
      <c r="CC42" s="167">
        <f t="shared" si="296"/>
        <v>0.13913793103448269</v>
      </c>
      <c r="CD42" s="167">
        <f t="shared" si="296"/>
        <v>0.1206896551724137</v>
      </c>
      <c r="CE42" s="167">
        <f t="shared" si="296"/>
        <v>0.19354838709677424</v>
      </c>
      <c r="CF42" s="168">
        <f t="shared" si="296"/>
        <v>0.12854983042536672</v>
      </c>
      <c r="CG42" s="167">
        <f t="shared" si="296"/>
        <v>0.11839145106861637</v>
      </c>
      <c r="CH42" s="167">
        <f t="shared" si="296"/>
        <v>3.2843953382775792E-2</v>
      </c>
      <c r="CI42" s="167">
        <f t="shared" si="296"/>
        <v>8.5846153846153905E-2</v>
      </c>
      <c r="CJ42" s="167">
        <f t="shared" si="296"/>
        <v>4.581081081081062E-2</v>
      </c>
      <c r="CK42" s="477">
        <f t="shared" si="296"/>
        <v>7.0820811760020197E-2</v>
      </c>
      <c r="CL42" s="167">
        <f t="shared" si="296"/>
        <v>-0.133392004023133</v>
      </c>
      <c r="CM42" s="167">
        <f t="shared" si="296"/>
        <v>-0.35770808909730367</v>
      </c>
      <c r="CN42" s="167">
        <f t="shared" si="296"/>
        <v>-0.30291867384528193</v>
      </c>
      <c r="CO42" s="167">
        <f t="shared" si="296"/>
        <v>-0.2446052461558339</v>
      </c>
      <c r="CP42" s="477">
        <f t="shared" si="296"/>
        <v>-0.25470836855452239</v>
      </c>
      <c r="CQ42" s="167">
        <f t="shared" si="296"/>
        <v>-0.27578703032061513</v>
      </c>
      <c r="CR42" s="167">
        <f t="shared" si="296"/>
        <v>0.10403832991101991</v>
      </c>
      <c r="CS42" s="167">
        <f t="shared" si="296"/>
        <v>9.7154471544715459E-2</v>
      </c>
      <c r="CT42" s="167">
        <f t="shared" si="296"/>
        <v>4.0198426274375532E-2</v>
      </c>
      <c r="CU42" s="477">
        <f t="shared" si="296"/>
        <v>-3.3209327647218956E-2</v>
      </c>
      <c r="CV42" s="167">
        <f t="shared" si="296"/>
        <v>0.12239583333333326</v>
      </c>
      <c r="CW42" s="167">
        <f t="shared" si="296"/>
        <v>0.26617069642488111</v>
      </c>
      <c r="CX42" s="167">
        <f t="shared" ref="CX42:DO42" si="297">CX11/CS11-1</f>
        <v>0.24212671359762883</v>
      </c>
      <c r="CY42" s="167">
        <f t="shared" si="297"/>
        <v>0.25226114125966115</v>
      </c>
      <c r="CZ42" s="477">
        <f t="shared" si="297"/>
        <v>0.22243078366963864</v>
      </c>
      <c r="DA42" s="167">
        <f t="shared" si="297"/>
        <v>0.25736212743173303</v>
      </c>
      <c r="DB42" s="167">
        <f t="shared" si="297"/>
        <v>0.29051738207932098</v>
      </c>
      <c r="DC42" s="167">
        <f t="shared" si="297"/>
        <v>0.26189410887397457</v>
      </c>
      <c r="DD42" s="167">
        <f t="shared" si="297"/>
        <v>0.12239001969796459</v>
      </c>
      <c r="DE42" s="477">
        <f t="shared" si="297"/>
        <v>0.22687140115163151</v>
      </c>
      <c r="DF42" s="167">
        <f t="shared" si="297"/>
        <v>0.14634492547906319</v>
      </c>
      <c r="DG42" s="167">
        <f t="shared" si="297"/>
        <v>3.9964588339446161E-2</v>
      </c>
      <c r="DH42" s="167">
        <f t="shared" si="297"/>
        <v>5.6967261553007909E-2</v>
      </c>
      <c r="DI42" s="167">
        <f t="shared" si="297"/>
        <v>0.1558441558441559</v>
      </c>
      <c r="DJ42" s="168">
        <f t="shared" si="297"/>
        <v>9.8904881101376629E-2</v>
      </c>
      <c r="DK42" s="167">
        <f t="shared" si="297"/>
        <v>0.11453689945517587</v>
      </c>
      <c r="DL42" s="167">
        <f t="shared" si="297"/>
        <v>0.23446430743037827</v>
      </c>
      <c r="DM42" s="167">
        <f t="shared" si="297"/>
        <v>0.12555741921055574</v>
      </c>
      <c r="DN42" s="167">
        <f t="shared" si="297"/>
        <v>7.3538819718594883E-2</v>
      </c>
      <c r="DO42" s="168">
        <f t="shared" si="297"/>
        <v>0.13388998035363464</v>
      </c>
      <c r="DP42" s="167">
        <f t="shared" ref="DP42" si="298">DP11/DK11-1</f>
        <v>0.13802688590156631</v>
      </c>
      <c r="DQ42" s="167">
        <f t="shared" ref="DQ42" si="299">DQ11/DL11-1</f>
        <v>0.13040587134272474</v>
      </c>
      <c r="DR42" s="167">
        <f t="shared" ref="DR42" si="300">DR11/DM11-1</f>
        <v>0.12859413900054251</v>
      </c>
      <c r="DS42" s="167">
        <f t="shared" ref="DS42" si="301">DS11/DN11-1</f>
        <v>0.15470855830329389</v>
      </c>
      <c r="DT42" s="168">
        <f t="shared" ref="DT42" si="302">DT11/DO11-1</f>
        <v>0.13814258890826592</v>
      </c>
      <c r="DU42" s="168">
        <f>DU11/DT11-1</f>
        <v>8.5526391775256005E-2</v>
      </c>
      <c r="DV42" s="168">
        <f>DV11/DU11-1</f>
        <v>6.8933765152374038E-2</v>
      </c>
    </row>
    <row r="43" spans="1:126" s="145" customFormat="1">
      <c r="A43" s="15"/>
      <c r="B43" s="101"/>
      <c r="C43" s="140"/>
      <c r="D43" s="140"/>
      <c r="E43" s="141"/>
      <c r="F43" s="141"/>
      <c r="G43" s="141"/>
      <c r="H43" s="141"/>
      <c r="I43" s="141"/>
      <c r="J43" s="142"/>
      <c r="K43" s="142"/>
      <c r="L43" s="142"/>
      <c r="M43" s="142"/>
      <c r="N43" s="143"/>
      <c r="O43" s="138"/>
      <c r="P43" s="138"/>
      <c r="Q43" s="138"/>
      <c r="R43" s="138"/>
      <c r="S43" s="143"/>
      <c r="T43" s="138"/>
      <c r="U43" s="138"/>
      <c r="V43" s="138"/>
      <c r="W43" s="138"/>
      <c r="X43" s="143"/>
      <c r="Y43" s="138"/>
      <c r="Z43" s="138"/>
      <c r="AA43" s="138"/>
      <c r="AB43" s="138"/>
      <c r="AC43" s="143"/>
      <c r="AD43" s="138"/>
      <c r="AE43" s="138"/>
      <c r="AF43" s="138"/>
      <c r="AG43" s="138"/>
      <c r="AH43" s="143"/>
      <c r="AI43" s="138"/>
      <c r="AJ43" s="138"/>
      <c r="AK43" s="138"/>
      <c r="AL43" s="144"/>
      <c r="AM43" s="146"/>
      <c r="AN43" s="50"/>
      <c r="AO43" s="144"/>
      <c r="AP43" s="144"/>
      <c r="AQ43" s="144"/>
      <c r="AR43" s="140"/>
      <c r="AS43" s="144"/>
      <c r="AT43" s="144"/>
      <c r="AU43" s="144"/>
      <c r="AV43" s="144"/>
      <c r="AW43" s="140"/>
      <c r="AX43" s="144"/>
      <c r="AY43" s="144"/>
      <c r="AZ43" s="144"/>
      <c r="BA43" s="144"/>
      <c r="BB43" s="140"/>
      <c r="BC43" s="144"/>
      <c r="BD43" s="144"/>
      <c r="BE43" s="144"/>
      <c r="BF43" s="144"/>
      <c r="BG43" s="140"/>
      <c r="BH43" s="144"/>
      <c r="BI43" s="144"/>
      <c r="BJ43" s="144"/>
      <c r="BK43" s="144"/>
      <c r="BL43" s="140"/>
      <c r="BM43" s="144"/>
      <c r="BN43" s="144"/>
      <c r="BO43" s="144"/>
      <c r="BP43" s="144"/>
      <c r="BQ43" s="140"/>
      <c r="BR43" s="144"/>
      <c r="BS43" s="144"/>
      <c r="BT43" s="144"/>
      <c r="BU43" s="144"/>
      <c r="BV43" s="140"/>
      <c r="BW43" s="144"/>
      <c r="BX43" s="144"/>
      <c r="BY43" s="144"/>
      <c r="BZ43" s="144"/>
      <c r="CA43" s="140"/>
      <c r="CB43" s="144"/>
      <c r="CC43" s="144"/>
      <c r="CD43" s="144"/>
      <c r="CE43" s="144"/>
      <c r="CF43" s="140"/>
      <c r="CG43" s="144"/>
      <c r="CH43" s="144"/>
      <c r="CI43" s="144"/>
      <c r="CJ43" s="144"/>
      <c r="CK43" s="478"/>
      <c r="CL43" s="144"/>
      <c r="CM43" s="144"/>
      <c r="CN43" s="144"/>
      <c r="CO43" s="144"/>
      <c r="CP43" s="478"/>
      <c r="CQ43" s="144"/>
      <c r="CR43" s="144"/>
      <c r="CS43" s="144"/>
      <c r="CT43" s="144"/>
      <c r="CU43" s="478"/>
      <c r="CV43" s="144"/>
      <c r="CW43" s="144"/>
      <c r="CX43" s="144"/>
      <c r="CY43" s="144"/>
      <c r="CZ43" s="140"/>
      <c r="DA43" s="144"/>
      <c r="DB43" s="144"/>
      <c r="DC43" s="144"/>
      <c r="DD43" s="144"/>
      <c r="DE43" s="140"/>
      <c r="DF43" s="144"/>
      <c r="DG43" s="144"/>
      <c r="DH43" s="144"/>
      <c r="DI43" s="144"/>
      <c r="DJ43" s="140"/>
      <c r="DK43" s="144"/>
      <c r="DL43" s="144"/>
      <c r="DM43" s="144"/>
      <c r="DN43" s="144"/>
      <c r="DO43" s="140"/>
      <c r="DP43" s="144"/>
      <c r="DQ43" s="144"/>
      <c r="DR43" s="144"/>
      <c r="DS43" s="144"/>
      <c r="DT43" s="140"/>
      <c r="DU43" s="140"/>
      <c r="DV43" s="140"/>
    </row>
    <row r="44" spans="1:126" s="12" customFormat="1" ht="12">
      <c r="A44" s="15"/>
      <c r="B44" s="40" t="s">
        <v>85</v>
      </c>
      <c r="C44" s="16"/>
      <c r="D44" s="16"/>
      <c r="E44" s="16"/>
      <c r="F44" s="16"/>
      <c r="G44" s="16"/>
      <c r="H44" s="16"/>
      <c r="I44" s="16"/>
      <c r="N44" s="136"/>
      <c r="S44" s="136"/>
      <c r="X44" s="136"/>
      <c r="AC44" s="136"/>
      <c r="AH44" s="136"/>
      <c r="AM44" s="136"/>
      <c r="AR44" s="16"/>
      <c r="AW44" s="16"/>
      <c r="BB44" s="16"/>
      <c r="BG44" s="16"/>
      <c r="BL44" s="16"/>
      <c r="BQ44" s="16"/>
      <c r="BV44" s="16"/>
      <c r="CA44" s="16"/>
      <c r="CF44" s="16"/>
      <c r="CK44" s="440"/>
      <c r="CP44" s="440"/>
      <c r="CU44" s="440"/>
      <c r="CZ44" s="16"/>
      <c r="DE44" s="16"/>
      <c r="DJ44" s="16"/>
      <c r="DO44" s="16"/>
      <c r="DT44" s="16"/>
      <c r="DU44" s="16"/>
      <c r="DV44" s="16"/>
    </row>
    <row r="45" spans="1:126" s="15" customFormat="1">
      <c r="B45" s="221" t="s">
        <v>381</v>
      </c>
      <c r="C45" s="96"/>
      <c r="D45" s="96"/>
      <c r="E45" s="96"/>
      <c r="F45" s="96"/>
      <c r="G45" s="96"/>
      <c r="H45" s="96"/>
      <c r="I45" s="96"/>
      <c r="J45" s="95"/>
      <c r="K45" s="95"/>
      <c r="L45" s="95"/>
      <c r="M45" s="95"/>
      <c r="N45" s="162"/>
      <c r="O45" s="95"/>
      <c r="P45" s="95"/>
      <c r="Q45" s="95"/>
      <c r="R45" s="95"/>
      <c r="S45" s="162"/>
      <c r="T45" s="95"/>
      <c r="U45" s="95"/>
      <c r="V45" s="95"/>
      <c r="W45" s="95"/>
      <c r="X45" s="162"/>
      <c r="Y45" s="95"/>
      <c r="Z45" s="95"/>
      <c r="AA45" s="95"/>
      <c r="AB45" s="95"/>
      <c r="AC45" s="162"/>
      <c r="AD45" s="95"/>
      <c r="AE45" s="95"/>
      <c r="AF45" s="95"/>
      <c r="AG45" s="95"/>
      <c r="AH45" s="162"/>
      <c r="AI45" s="95"/>
      <c r="AJ45" s="95"/>
      <c r="AK45" s="95"/>
      <c r="AL45" s="95"/>
      <c r="AM45" s="162"/>
      <c r="AN45" s="95"/>
      <c r="AO45" s="95"/>
      <c r="AP45" s="95"/>
      <c r="AQ45" s="95"/>
      <c r="AR45" s="162"/>
      <c r="AS45" s="95"/>
      <c r="AT45" s="95"/>
      <c r="AU45" s="95"/>
      <c r="AV45" s="95"/>
      <c r="AW45" s="162"/>
      <c r="AX45" s="95"/>
      <c r="AY45" s="95"/>
      <c r="AZ45" s="95"/>
      <c r="BA45" s="95"/>
      <c r="BB45" s="162"/>
      <c r="BC45" s="95"/>
      <c r="BD45" s="95"/>
      <c r="BE45" s="95"/>
      <c r="BF45" s="95"/>
      <c r="BG45" s="162"/>
      <c r="BH45" s="95"/>
      <c r="BI45" s="95"/>
      <c r="BJ45" s="95"/>
      <c r="BK45" s="95"/>
      <c r="BL45" s="162"/>
      <c r="BM45" s="95">
        <f t="shared" ref="BM45:CR45" si="303">BM7/BM$11</f>
        <v>0.7</v>
      </c>
      <c r="BN45" s="95">
        <f t="shared" si="303"/>
        <v>0.8045977011494253</v>
      </c>
      <c r="BO45" s="95">
        <f t="shared" si="303"/>
        <v>0.8045977011494253</v>
      </c>
      <c r="BP45" s="95">
        <f t="shared" si="303"/>
        <v>0.8045977011494253</v>
      </c>
      <c r="BQ45" s="162">
        <f t="shared" si="303"/>
        <v>0.77785523070885043</v>
      </c>
      <c r="BR45" s="95">
        <f t="shared" si="303"/>
        <v>0.73</v>
      </c>
      <c r="BS45" s="95">
        <f t="shared" si="303"/>
        <v>0.85057471264367812</v>
      </c>
      <c r="BT45" s="95">
        <f t="shared" si="303"/>
        <v>0.85057471264367812</v>
      </c>
      <c r="BU45" s="95">
        <f t="shared" si="303"/>
        <v>0.85057471264367812</v>
      </c>
      <c r="BV45" s="162">
        <f t="shared" si="303"/>
        <v>0.818663023990438</v>
      </c>
      <c r="BW45" s="95">
        <f t="shared" si="303"/>
        <v>0.74928817623257904</v>
      </c>
      <c r="BX45" s="95">
        <f t="shared" si="303"/>
        <v>0.84482758620689657</v>
      </c>
      <c r="BY45" s="95">
        <f t="shared" si="303"/>
        <v>0.82758620689655171</v>
      </c>
      <c r="BZ45" s="95">
        <f t="shared" si="303"/>
        <v>0.80645161290322576</v>
      </c>
      <c r="CA45" s="162">
        <f t="shared" si="303"/>
        <v>0.80496874106157812</v>
      </c>
      <c r="CB45" s="95">
        <f t="shared" si="303"/>
        <v>0.74521934758155228</v>
      </c>
      <c r="CC45" s="95">
        <f t="shared" si="303"/>
        <v>0.83759648857272595</v>
      </c>
      <c r="CD45" s="95">
        <f t="shared" si="303"/>
        <v>0.86153846153846159</v>
      </c>
      <c r="CE45" s="95">
        <f t="shared" si="303"/>
        <v>0.85135135135135132</v>
      </c>
      <c r="CF45" s="162">
        <f t="shared" si="303"/>
        <v>0.82312900539483691</v>
      </c>
      <c r="CG45" s="95">
        <f t="shared" si="303"/>
        <v>0.74792557203922549</v>
      </c>
      <c r="CH45" s="95">
        <f t="shared" si="303"/>
        <v>0.85697538100820636</v>
      </c>
      <c r="CI45" s="95">
        <f t="shared" si="303"/>
        <v>0.84967412864834235</v>
      </c>
      <c r="CJ45" s="95">
        <f t="shared" si="303"/>
        <v>0.82995219020545286</v>
      </c>
      <c r="CK45" s="476">
        <f t="shared" si="303"/>
        <v>0.81883347421808961</v>
      </c>
      <c r="CL45" s="95">
        <f t="shared" si="303"/>
        <v>0.74176701001015521</v>
      </c>
      <c r="CM45" s="95">
        <f t="shared" si="303"/>
        <v>0.57472051106548028</v>
      </c>
      <c r="CN45" s="95">
        <f t="shared" si="303"/>
        <v>0.6274390243902439</v>
      </c>
      <c r="CO45" s="95">
        <f t="shared" si="303"/>
        <v>0.64317482039001028</v>
      </c>
      <c r="CP45" s="476">
        <f t="shared" si="303"/>
        <v>0.65688231557934851</v>
      </c>
      <c r="CQ45" s="95">
        <f t="shared" si="303"/>
        <v>0.671875</v>
      </c>
      <c r="CR45" s="95">
        <f t="shared" si="303"/>
        <v>0.64372804298408759</v>
      </c>
      <c r="CS45" s="95">
        <f t="shared" ref="CS45:DV45" si="304">CS7/CS$11</f>
        <v>0.66728417932567619</v>
      </c>
      <c r="CT45" s="95">
        <f t="shared" si="304"/>
        <v>0.70531162637724054</v>
      </c>
      <c r="CU45" s="476">
        <f t="shared" si="304"/>
        <v>0.67386203660253408</v>
      </c>
      <c r="CV45" s="95">
        <f t="shared" si="304"/>
        <v>0.68766732107799389</v>
      </c>
      <c r="CW45" s="95">
        <f t="shared" si="304"/>
        <v>0.7027909254121103</v>
      </c>
      <c r="CX45" s="95">
        <f t="shared" si="304"/>
        <v>0.74138702460850114</v>
      </c>
      <c r="CY45" s="95">
        <f t="shared" si="304"/>
        <v>0.72685489166119499</v>
      </c>
      <c r="CZ45" s="162">
        <f t="shared" si="304"/>
        <v>0.71650671785028786</v>
      </c>
      <c r="DA45" s="95">
        <f t="shared" si="304"/>
        <v>0.74265436479772884</v>
      </c>
      <c r="DB45" s="95">
        <f t="shared" si="304"/>
        <v>0.72555963070696849</v>
      </c>
      <c r="DC45" s="95">
        <f t="shared" si="304"/>
        <v>0.76314856399952724</v>
      </c>
      <c r="DD45" s="95">
        <f t="shared" si="304"/>
        <v>0.75219375219375217</v>
      </c>
      <c r="DE45" s="162">
        <f t="shared" si="304"/>
        <v>0.74640175219023774</v>
      </c>
      <c r="DF45" s="95">
        <f t="shared" si="304"/>
        <v>0.75482912332838037</v>
      </c>
      <c r="DG45" s="95">
        <f t="shared" si="304"/>
        <v>0.74571324334184608</v>
      </c>
      <c r="DH45" s="95">
        <f t="shared" si="304"/>
        <v>0.78307055797830705</v>
      </c>
      <c r="DI45" s="95">
        <f t="shared" si="304"/>
        <v>0.77436987549347103</v>
      </c>
      <c r="DJ45" s="162">
        <f t="shared" si="304"/>
        <v>0.76538253466586947</v>
      </c>
      <c r="DK45" s="95">
        <f t="shared" si="304"/>
        <v>0.77513609598933453</v>
      </c>
      <c r="DL45" s="95">
        <f t="shared" si="304"/>
        <v>0.78711456999310414</v>
      </c>
      <c r="DM45" s="95">
        <f t="shared" si="304"/>
        <v>0.79311852141794148</v>
      </c>
      <c r="DN45" s="95">
        <f t="shared" si="304"/>
        <v>0.77845342365133519</v>
      </c>
      <c r="DO45" s="162">
        <f t="shared" si="304"/>
        <v>0.78361815367115017</v>
      </c>
      <c r="DP45" s="95">
        <f t="shared" ref="DP45:DT45" si="305">DP7/DP$11</f>
        <v>0.79010248570296138</v>
      </c>
      <c r="DQ45" s="95">
        <f t="shared" si="305"/>
        <v>0.79379507178805642</v>
      </c>
      <c r="DR45" s="95">
        <f t="shared" si="305"/>
        <v>0.80816147108326797</v>
      </c>
      <c r="DS45" s="95">
        <f t="shared" si="305"/>
        <v>0.79793075543457859</v>
      </c>
      <c r="DT45" s="162">
        <f t="shared" si="305"/>
        <v>0.79767879145565523</v>
      </c>
      <c r="DU45" s="162">
        <f t="shared" si="304"/>
        <v>0.80353804851328681</v>
      </c>
      <c r="DV45" s="162">
        <f t="shared" si="304"/>
        <v>0.80734643458498234</v>
      </c>
    </row>
    <row r="46" spans="1:126" s="15" customFormat="1">
      <c r="B46" s="317" t="s">
        <v>457</v>
      </c>
      <c r="C46" s="96"/>
      <c r="D46" s="96"/>
      <c r="E46" s="96"/>
      <c r="F46" s="96"/>
      <c r="G46" s="96"/>
      <c r="H46" s="96"/>
      <c r="I46" s="96"/>
      <c r="J46" s="95"/>
      <c r="K46" s="95"/>
      <c r="L46" s="95"/>
      <c r="M46" s="95"/>
      <c r="N46" s="162"/>
      <c r="O46" s="95"/>
      <c r="P46" s="95"/>
      <c r="Q46" s="95"/>
      <c r="R46" s="95"/>
      <c r="S46" s="162"/>
      <c r="T46" s="95"/>
      <c r="U46" s="95"/>
      <c r="V46" s="95"/>
      <c r="W46" s="95"/>
      <c r="X46" s="162"/>
      <c r="Y46" s="95"/>
      <c r="Z46" s="95"/>
      <c r="AA46" s="95"/>
      <c r="AB46" s="95"/>
      <c r="AC46" s="162"/>
      <c r="AD46" s="95"/>
      <c r="AE46" s="95"/>
      <c r="AF46" s="95"/>
      <c r="AG46" s="95"/>
      <c r="AH46" s="162"/>
      <c r="AI46" s="95"/>
      <c r="AJ46" s="95"/>
      <c r="AK46" s="95"/>
      <c r="AL46" s="95"/>
      <c r="AM46" s="162"/>
      <c r="AN46" s="95"/>
      <c r="AO46" s="95"/>
      <c r="AP46" s="95"/>
      <c r="AQ46" s="95"/>
      <c r="AR46" s="162"/>
      <c r="AS46" s="95"/>
      <c r="AT46" s="95"/>
      <c r="AU46" s="95"/>
      <c r="AV46" s="95"/>
      <c r="AW46" s="162"/>
      <c r="AX46" s="95"/>
      <c r="AY46" s="95"/>
      <c r="AZ46" s="95"/>
      <c r="BA46" s="95"/>
      <c r="BB46" s="162"/>
      <c r="BC46" s="95"/>
      <c r="BD46" s="95"/>
      <c r="BE46" s="95"/>
      <c r="BF46" s="95"/>
      <c r="BG46" s="162"/>
      <c r="BH46" s="95"/>
      <c r="BI46" s="95"/>
      <c r="BJ46" s="95"/>
      <c r="BK46" s="95"/>
      <c r="BL46" s="162"/>
      <c r="BM46" s="95">
        <f t="shared" ref="BM46:CR46" si="306">BM8/BM$11</f>
        <v>0.3000000000000001</v>
      </c>
      <c r="BN46" s="95">
        <f t="shared" si="306"/>
        <v>0.1954022988505747</v>
      </c>
      <c r="BO46" s="95">
        <f t="shared" si="306"/>
        <v>0.1954022988505747</v>
      </c>
      <c r="BP46" s="95">
        <f t="shared" si="306"/>
        <v>0.19540229885057475</v>
      </c>
      <c r="BQ46" s="162">
        <f t="shared" si="306"/>
        <v>0.22214476929114951</v>
      </c>
      <c r="BR46" s="95">
        <f t="shared" si="306"/>
        <v>0.27</v>
      </c>
      <c r="BS46" s="95">
        <f t="shared" si="306"/>
        <v>0.14942528735632185</v>
      </c>
      <c r="BT46" s="95">
        <f t="shared" si="306"/>
        <v>0.14942528735632185</v>
      </c>
      <c r="BU46" s="95">
        <f t="shared" si="306"/>
        <v>0.14942528735632182</v>
      </c>
      <c r="BV46" s="162">
        <f t="shared" si="306"/>
        <v>0.18133697600956206</v>
      </c>
      <c r="BW46" s="95">
        <f t="shared" si="306"/>
        <v>0.2507118237674209</v>
      </c>
      <c r="BX46" s="95">
        <f t="shared" si="306"/>
        <v>0.15517241379310345</v>
      </c>
      <c r="BY46" s="95">
        <f t="shared" si="306"/>
        <v>0.17241379310344829</v>
      </c>
      <c r="BZ46" s="95">
        <f t="shared" si="306"/>
        <v>0.19354838709677424</v>
      </c>
      <c r="CA46" s="162">
        <f t="shared" si="306"/>
        <v>0.19503125893842194</v>
      </c>
      <c r="CB46" s="95">
        <f t="shared" si="306"/>
        <v>0.25478065241844772</v>
      </c>
      <c r="CC46" s="95">
        <f t="shared" si="306"/>
        <v>0.16240351142727411</v>
      </c>
      <c r="CD46" s="95">
        <f t="shared" si="306"/>
        <v>0.13846153846153847</v>
      </c>
      <c r="CE46" s="95">
        <f t="shared" si="306"/>
        <v>0.14864864864864866</v>
      </c>
      <c r="CF46" s="162">
        <f t="shared" si="306"/>
        <v>0.17687099460516312</v>
      </c>
      <c r="CG46" s="95">
        <f t="shared" si="306"/>
        <v>0.25207442796077445</v>
      </c>
      <c r="CH46" s="95">
        <f t="shared" si="306"/>
        <v>0.14302461899179367</v>
      </c>
      <c r="CI46" s="95">
        <f t="shared" si="306"/>
        <v>0.1503258713516577</v>
      </c>
      <c r="CJ46" s="95">
        <f t="shared" si="306"/>
        <v>0.17004780979454714</v>
      </c>
      <c r="CK46" s="476">
        <f t="shared" si="306"/>
        <v>0.18116652578191039</v>
      </c>
      <c r="CL46" s="95">
        <f t="shared" si="306"/>
        <v>0.25823298998984479</v>
      </c>
      <c r="CM46" s="95">
        <f t="shared" si="306"/>
        <v>0.42527948893451972</v>
      </c>
      <c r="CN46" s="95">
        <f t="shared" si="306"/>
        <v>0.3725609756097561</v>
      </c>
      <c r="CO46" s="95">
        <f t="shared" si="306"/>
        <v>0.35682517960998972</v>
      </c>
      <c r="CP46" s="476">
        <f t="shared" si="306"/>
        <v>0.34311768442065149</v>
      </c>
      <c r="CQ46" s="95">
        <f t="shared" si="306"/>
        <v>0.328125</v>
      </c>
      <c r="CR46" s="95">
        <f t="shared" si="306"/>
        <v>0.35627195701591235</v>
      </c>
      <c r="CS46" s="95">
        <f t="shared" ref="CS46:DV46" si="307">CS8/CS$11</f>
        <v>0.33271582067432381</v>
      </c>
      <c r="CT46" s="95">
        <f t="shared" si="307"/>
        <v>0.2946883736227594</v>
      </c>
      <c r="CU46" s="476">
        <f t="shared" si="307"/>
        <v>0.32613796339746598</v>
      </c>
      <c r="CV46" s="95">
        <f t="shared" si="307"/>
        <v>0.31233267892200606</v>
      </c>
      <c r="CW46" s="95">
        <f t="shared" si="307"/>
        <v>0.29720907458788964</v>
      </c>
      <c r="CX46" s="95">
        <f t="shared" si="307"/>
        <v>0.25861297539149886</v>
      </c>
      <c r="CY46" s="95">
        <f t="shared" si="307"/>
        <v>0.27314510833880501</v>
      </c>
      <c r="CZ46" s="162">
        <f t="shared" si="307"/>
        <v>0.28349328214971209</v>
      </c>
      <c r="DA46" s="95">
        <f t="shared" si="307"/>
        <v>0.27906316536550746</v>
      </c>
      <c r="DB46" s="95">
        <f t="shared" si="307"/>
        <v>0.3003667636271658</v>
      </c>
      <c r="DC46" s="95">
        <f t="shared" si="307"/>
        <v>0.26060749320411297</v>
      </c>
      <c r="DD46" s="95">
        <f t="shared" si="307"/>
        <v>0.28267228267228267</v>
      </c>
      <c r="DE46" s="162">
        <f t="shared" si="307"/>
        <v>0.28041301627033793</v>
      </c>
      <c r="DF46" s="95">
        <f t="shared" si="307"/>
        <v>0.28628033680039622</v>
      </c>
      <c r="DG46" s="95">
        <f t="shared" si="307"/>
        <v>0.29198589322631641</v>
      </c>
      <c r="DH46" s="95">
        <f t="shared" si="307"/>
        <v>0.25081068992508104</v>
      </c>
      <c r="DI46" s="95">
        <f t="shared" si="307"/>
        <v>0.25539022168235653</v>
      </c>
      <c r="DJ46" s="162">
        <f t="shared" si="307"/>
        <v>0.26989550411434754</v>
      </c>
      <c r="DK46" s="95">
        <f t="shared" si="307"/>
        <v>0.25819353405177203</v>
      </c>
      <c r="DL46" s="95">
        <f t="shared" si="307"/>
        <v>0.25248743966111714</v>
      </c>
      <c r="DM46" s="95">
        <f t="shared" si="307"/>
        <v>0.24065901969628029</v>
      </c>
      <c r="DN46" s="95">
        <f t="shared" si="307"/>
        <v>0.25454835184418639</v>
      </c>
      <c r="DO46" s="162">
        <f t="shared" si="307"/>
        <v>0.25133621355310387</v>
      </c>
      <c r="DP46" s="95">
        <f t="shared" ref="DP46:DT46" si="308">DP8/DP$11</f>
        <v>0.24162532289146749</v>
      </c>
      <c r="DQ46" s="95">
        <f t="shared" si="308"/>
        <v>0.23452798535915817</v>
      </c>
      <c r="DR46" s="95">
        <f t="shared" si="308"/>
        <v>0.22176739346332119</v>
      </c>
      <c r="DS46" s="95">
        <f t="shared" si="308"/>
        <v>0.23146599851058997</v>
      </c>
      <c r="DT46" s="162">
        <f t="shared" si="308"/>
        <v>0.23210632503401515</v>
      </c>
      <c r="DU46" s="162">
        <f t="shared" si="307"/>
        <v>0.22451010231741395</v>
      </c>
      <c r="DV46" s="162">
        <f t="shared" si="307"/>
        <v>0.21927321828585758</v>
      </c>
    </row>
    <row r="47" spans="1:126" s="15" customFormat="1" hidden="1" outlineLevel="1">
      <c r="B47" s="317" t="s">
        <v>644</v>
      </c>
      <c r="C47" s="96"/>
      <c r="D47" s="96"/>
      <c r="E47" s="96"/>
      <c r="F47" s="96"/>
      <c r="G47" s="96"/>
      <c r="H47" s="96"/>
      <c r="I47" s="96"/>
      <c r="J47" s="95"/>
      <c r="K47" s="95"/>
      <c r="L47" s="95"/>
      <c r="M47" s="95"/>
      <c r="N47" s="162"/>
      <c r="O47" s="95"/>
      <c r="P47" s="95"/>
      <c r="Q47" s="95"/>
      <c r="R47" s="95"/>
      <c r="S47" s="162"/>
      <c r="T47" s="95"/>
      <c r="U47" s="95"/>
      <c r="V47" s="95"/>
      <c r="W47" s="95"/>
      <c r="X47" s="162"/>
      <c r="Y47" s="95"/>
      <c r="Z47" s="95"/>
      <c r="AA47" s="95"/>
      <c r="AB47" s="95"/>
      <c r="AC47" s="162"/>
      <c r="AD47" s="95"/>
      <c r="AE47" s="95"/>
      <c r="AF47" s="95"/>
      <c r="AG47" s="95"/>
      <c r="AH47" s="162"/>
      <c r="AI47" s="95"/>
      <c r="AJ47" s="95"/>
      <c r="AK47" s="95"/>
      <c r="AL47" s="95"/>
      <c r="AM47" s="162"/>
      <c r="AN47" s="95"/>
      <c r="AO47" s="95"/>
      <c r="AP47" s="95"/>
      <c r="AQ47" s="95"/>
      <c r="AR47" s="162"/>
      <c r="AS47" s="95"/>
      <c r="AT47" s="95"/>
      <c r="AU47" s="95"/>
      <c r="AV47" s="95"/>
      <c r="AW47" s="162"/>
      <c r="AX47" s="95"/>
      <c r="AY47" s="95"/>
      <c r="AZ47" s="95"/>
      <c r="BA47" s="95"/>
      <c r="BB47" s="162"/>
      <c r="BC47" s="95"/>
      <c r="BD47" s="95"/>
      <c r="BE47" s="95"/>
      <c r="BF47" s="95"/>
      <c r="BG47" s="162"/>
      <c r="BH47" s="95"/>
      <c r="BI47" s="95"/>
      <c r="BJ47" s="95"/>
      <c r="BK47" s="95"/>
      <c r="BL47" s="162"/>
      <c r="BM47" s="95">
        <f t="shared" ref="BM47:DE47" si="309">BM9/BM11</f>
        <v>0</v>
      </c>
      <c r="BN47" s="95">
        <f t="shared" si="309"/>
        <v>0</v>
      </c>
      <c r="BO47" s="95">
        <f t="shared" si="309"/>
        <v>0</v>
      </c>
      <c r="BP47" s="95">
        <f t="shared" si="309"/>
        <v>0</v>
      </c>
      <c r="BQ47" s="162">
        <f t="shared" si="309"/>
        <v>0</v>
      </c>
      <c r="BR47" s="95">
        <f t="shared" si="309"/>
        <v>0</v>
      </c>
      <c r="BS47" s="95">
        <f t="shared" si="309"/>
        <v>0</v>
      </c>
      <c r="BT47" s="95">
        <f t="shared" si="309"/>
        <v>0</v>
      </c>
      <c r="BU47" s="95">
        <f t="shared" si="309"/>
        <v>0</v>
      </c>
      <c r="BV47" s="162">
        <f t="shared" si="309"/>
        <v>0</v>
      </c>
      <c r="BW47" s="95">
        <f t="shared" si="309"/>
        <v>0</v>
      </c>
      <c r="BX47" s="95">
        <f t="shared" si="309"/>
        <v>0</v>
      </c>
      <c r="BY47" s="95">
        <f t="shared" si="309"/>
        <v>0</v>
      </c>
      <c r="BZ47" s="95">
        <f t="shared" si="309"/>
        <v>0</v>
      </c>
      <c r="CA47" s="162">
        <f t="shared" si="309"/>
        <v>0</v>
      </c>
      <c r="CB47" s="95">
        <f t="shared" si="309"/>
        <v>0</v>
      </c>
      <c r="CC47" s="95">
        <f t="shared" si="309"/>
        <v>0</v>
      </c>
      <c r="CD47" s="95">
        <f t="shared" si="309"/>
        <v>0</v>
      </c>
      <c r="CE47" s="95">
        <f t="shared" si="309"/>
        <v>0</v>
      </c>
      <c r="CF47" s="162">
        <f t="shared" si="309"/>
        <v>0</v>
      </c>
      <c r="CG47" s="95">
        <f t="shared" si="309"/>
        <v>0</v>
      </c>
      <c r="CH47" s="95">
        <f t="shared" si="309"/>
        <v>0</v>
      </c>
      <c r="CI47" s="95">
        <f t="shared" si="309"/>
        <v>0</v>
      </c>
      <c r="CJ47" s="95">
        <f t="shared" si="309"/>
        <v>0</v>
      </c>
      <c r="CK47" s="476">
        <f t="shared" si="309"/>
        <v>0</v>
      </c>
      <c r="CL47" s="95">
        <f t="shared" si="309"/>
        <v>0.10140722472073117</v>
      </c>
      <c r="CM47" s="95">
        <f t="shared" si="309"/>
        <v>0.17248459958932238</v>
      </c>
      <c r="CN47" s="95">
        <f t="shared" si="309"/>
        <v>0.13475609756097562</v>
      </c>
      <c r="CO47" s="95">
        <f t="shared" si="309"/>
        <v>0.1277796784125898</v>
      </c>
      <c r="CP47" s="476">
        <f t="shared" si="309"/>
        <v>0.12997913075038564</v>
      </c>
      <c r="CQ47" s="95">
        <f t="shared" si="309"/>
        <v>0.16085737179487181</v>
      </c>
      <c r="CR47" s="95">
        <f t="shared" si="309"/>
        <v>0.16738995660260383</v>
      </c>
      <c r="CS47" s="95">
        <f t="shared" si="309"/>
        <v>0.1141163393849574</v>
      </c>
      <c r="CT47" s="95">
        <f t="shared" si="309"/>
        <v>0.14421970070712054</v>
      </c>
      <c r="CU47" s="476">
        <f t="shared" si="309"/>
        <v>0.14575316752698264</v>
      </c>
      <c r="CV47" s="95">
        <f t="shared" si="309"/>
        <v>0.1363555238265215</v>
      </c>
      <c r="CW47" s="95">
        <f t="shared" si="309"/>
        <v>0.12502040150155053</v>
      </c>
      <c r="CX47" s="95">
        <f t="shared" si="309"/>
        <v>9.6196868008948541E-2</v>
      </c>
      <c r="CY47" s="95">
        <f t="shared" si="309"/>
        <v>0.10269205515430072</v>
      </c>
      <c r="CZ47" s="162">
        <f t="shared" si="309"/>
        <v>0.11351247600767754</v>
      </c>
      <c r="DA47" s="95">
        <f t="shared" si="309"/>
        <v>0.11227821149751598</v>
      </c>
      <c r="DB47" s="95">
        <f t="shared" si="309"/>
        <v>0.10712027317566714</v>
      </c>
      <c r="DC47" s="95">
        <f t="shared" si="309"/>
        <v>9.951542370878147E-2</v>
      </c>
      <c r="DD47" s="95">
        <f t="shared" si="309"/>
        <v>0.10635310635310635</v>
      </c>
      <c r="DE47" s="162">
        <f t="shared" si="309"/>
        <v>0.10603879849812266</v>
      </c>
      <c r="DF47" s="95"/>
      <c r="DG47" s="95"/>
      <c r="DH47" s="95"/>
      <c r="DI47" s="95"/>
      <c r="DJ47" s="162"/>
      <c r="DK47" s="95"/>
      <c r="DL47" s="95"/>
      <c r="DM47" s="95"/>
      <c r="DN47" s="95"/>
      <c r="DO47" s="162"/>
      <c r="DP47" s="95"/>
      <c r="DQ47" s="95"/>
      <c r="DR47" s="95"/>
      <c r="DS47" s="95"/>
      <c r="DT47" s="162"/>
      <c r="DU47" s="162"/>
      <c r="DV47" s="162"/>
    </row>
    <row r="48" spans="1:126" s="15" customFormat="1" ht="12" collapsed="1">
      <c r="B48" s="165" t="s">
        <v>70</v>
      </c>
      <c r="C48" s="166"/>
      <c r="D48" s="166"/>
      <c r="E48" s="166"/>
      <c r="F48" s="166"/>
      <c r="G48" s="166"/>
      <c r="H48" s="166"/>
      <c r="I48" s="166"/>
      <c r="J48" s="167"/>
      <c r="K48" s="167"/>
      <c r="L48" s="167"/>
      <c r="M48" s="167"/>
      <c r="N48" s="168"/>
      <c r="O48" s="167"/>
      <c r="P48" s="167"/>
      <c r="Q48" s="167"/>
      <c r="R48" s="167"/>
      <c r="S48" s="168"/>
      <c r="T48" s="167"/>
      <c r="U48" s="167"/>
      <c r="V48" s="167"/>
      <c r="W48" s="167"/>
      <c r="X48" s="168"/>
      <c r="Y48" s="167"/>
      <c r="Z48" s="167"/>
      <c r="AA48" s="167"/>
      <c r="AB48" s="167"/>
      <c r="AC48" s="168"/>
      <c r="AD48" s="167"/>
      <c r="AE48" s="167"/>
      <c r="AF48" s="167"/>
      <c r="AG48" s="167"/>
      <c r="AH48" s="168"/>
      <c r="AI48" s="167"/>
      <c r="AJ48" s="167"/>
      <c r="AK48" s="167"/>
      <c r="AL48" s="167"/>
      <c r="AM48" s="168"/>
      <c r="AN48" s="167"/>
      <c r="AO48" s="167"/>
      <c r="AP48" s="167"/>
      <c r="AQ48" s="167"/>
      <c r="AR48" s="168"/>
      <c r="AS48" s="167"/>
      <c r="AT48" s="167"/>
      <c r="AU48" s="167"/>
      <c r="AV48" s="167"/>
      <c r="AW48" s="168"/>
      <c r="AX48" s="167"/>
      <c r="AY48" s="167"/>
      <c r="AZ48" s="167"/>
      <c r="BA48" s="167"/>
      <c r="BB48" s="168"/>
      <c r="BC48" s="167"/>
      <c r="BD48" s="167"/>
      <c r="BE48" s="167"/>
      <c r="BF48" s="167"/>
      <c r="BG48" s="168"/>
      <c r="BH48" s="167"/>
      <c r="BI48" s="167"/>
      <c r="BJ48" s="167"/>
      <c r="BK48" s="167"/>
      <c r="BL48" s="168"/>
      <c r="BM48" s="167"/>
      <c r="BN48" s="167"/>
      <c r="BO48" s="167"/>
      <c r="BP48" s="167"/>
      <c r="BQ48" s="168"/>
      <c r="BR48" s="167"/>
      <c r="BS48" s="167"/>
      <c r="BT48" s="167"/>
      <c r="BU48" s="167"/>
      <c r="BV48" s="168"/>
      <c r="BW48" s="167"/>
      <c r="BX48" s="167"/>
      <c r="BY48" s="167"/>
      <c r="BZ48" s="167"/>
      <c r="CA48" s="168"/>
      <c r="CB48" s="167"/>
      <c r="CC48" s="167"/>
      <c r="CD48" s="167"/>
      <c r="CE48" s="167"/>
      <c r="CF48" s="168"/>
      <c r="CG48" s="167"/>
      <c r="CH48" s="167"/>
      <c r="CI48" s="167"/>
      <c r="CJ48" s="167"/>
      <c r="CK48" s="477"/>
      <c r="CL48" s="167">
        <f t="shared" ref="CL48:DV48" si="310">SUM(CL45:CL47)</f>
        <v>1.1014072247207312</v>
      </c>
      <c r="CM48" s="167">
        <f t="shared" si="310"/>
        <v>1.1724845995893225</v>
      </c>
      <c r="CN48" s="167">
        <f t="shared" si="310"/>
        <v>1.1347560975609756</v>
      </c>
      <c r="CO48" s="167">
        <f t="shared" si="310"/>
        <v>1.1277796784125897</v>
      </c>
      <c r="CP48" s="477">
        <f t="shared" si="310"/>
        <v>1.1299791307503857</v>
      </c>
      <c r="CQ48" s="167">
        <f t="shared" si="310"/>
        <v>1.1608573717948718</v>
      </c>
      <c r="CR48" s="167">
        <f t="shared" si="310"/>
        <v>1.1673899566026038</v>
      </c>
      <c r="CS48" s="167">
        <f t="shared" si="310"/>
        <v>1.1141163393849574</v>
      </c>
      <c r="CT48" s="167">
        <f t="shared" si="310"/>
        <v>1.1442197007071204</v>
      </c>
      <c r="CU48" s="477">
        <f t="shared" si="310"/>
        <v>1.1457531675269825</v>
      </c>
      <c r="CV48" s="167">
        <f t="shared" si="310"/>
        <v>1.1363555238265215</v>
      </c>
      <c r="CW48" s="167">
        <f t="shared" si="310"/>
        <v>1.1250204015015506</v>
      </c>
      <c r="CX48" s="167">
        <f t="shared" si="310"/>
        <v>1.0961968680089484</v>
      </c>
      <c r="CY48" s="167">
        <f t="shared" si="310"/>
        <v>1.1026920551543007</v>
      </c>
      <c r="CZ48" s="168">
        <f t="shared" si="310"/>
        <v>1.1135124760076776</v>
      </c>
      <c r="DA48" s="167">
        <f t="shared" si="310"/>
        <v>1.1339957416607522</v>
      </c>
      <c r="DB48" s="167">
        <f t="shared" si="310"/>
        <v>1.1330466675098014</v>
      </c>
      <c r="DC48" s="167">
        <f t="shared" si="310"/>
        <v>1.1232714809124216</v>
      </c>
      <c r="DD48" s="167">
        <f t="shared" si="310"/>
        <v>1.1412191412191413</v>
      </c>
      <c r="DE48" s="168">
        <f t="shared" si="310"/>
        <v>1.1328535669586983</v>
      </c>
      <c r="DF48" s="167">
        <f t="shared" si="310"/>
        <v>1.0411094601287765</v>
      </c>
      <c r="DG48" s="167">
        <f t="shared" si="310"/>
        <v>1.0376991365681625</v>
      </c>
      <c r="DH48" s="167">
        <f t="shared" si="310"/>
        <v>1.0338812479033881</v>
      </c>
      <c r="DI48" s="167">
        <f t="shared" si="310"/>
        <v>1.0297600971758276</v>
      </c>
      <c r="DJ48" s="168">
        <f t="shared" si="310"/>
        <v>1.035278038780217</v>
      </c>
      <c r="DK48" s="167">
        <f t="shared" si="310"/>
        <v>1.0333296300411066</v>
      </c>
      <c r="DL48" s="167">
        <f t="shared" si="310"/>
        <v>1.0396020096542213</v>
      </c>
      <c r="DM48" s="167">
        <f t="shared" si="310"/>
        <v>1.0337775411142218</v>
      </c>
      <c r="DN48" s="167">
        <f t="shared" si="310"/>
        <v>1.0330017754955216</v>
      </c>
      <c r="DO48" s="168">
        <f t="shared" si="310"/>
        <v>1.034954367224254</v>
      </c>
      <c r="DP48" s="167">
        <f t="shared" ref="DP48:DT48" si="311">SUM(DP45:DP47)</f>
        <v>1.0317278085944288</v>
      </c>
      <c r="DQ48" s="167">
        <f t="shared" si="311"/>
        <v>1.0283230571472146</v>
      </c>
      <c r="DR48" s="167">
        <f t="shared" si="311"/>
        <v>1.0299288645465892</v>
      </c>
      <c r="DS48" s="167">
        <f t="shared" si="311"/>
        <v>1.0293967539451685</v>
      </c>
      <c r="DT48" s="168">
        <f t="shared" si="311"/>
        <v>1.0297851164896703</v>
      </c>
      <c r="DU48" s="168">
        <f t="shared" si="310"/>
        <v>1.0280481508307007</v>
      </c>
      <c r="DV48" s="168">
        <f t="shared" si="310"/>
        <v>1.02661965287084</v>
      </c>
    </row>
    <row r="49" spans="1:126" s="15" customFormat="1" hidden="1" outlineLevel="1">
      <c r="C49" s="16"/>
      <c r="D49" s="16"/>
      <c r="E49" s="16"/>
      <c r="F49" s="16"/>
      <c r="G49" s="16"/>
      <c r="H49" s="16"/>
      <c r="I49" s="16"/>
      <c r="J49" s="12"/>
      <c r="K49" s="12"/>
      <c r="L49" s="12"/>
      <c r="M49" s="12"/>
      <c r="N49" s="136"/>
      <c r="S49" s="136"/>
      <c r="X49" s="136"/>
      <c r="AC49" s="136"/>
      <c r="AH49" s="136"/>
      <c r="AM49" s="136"/>
      <c r="AR49" s="16"/>
      <c r="AW49" s="16"/>
      <c r="BB49" s="16"/>
      <c r="BG49" s="16"/>
      <c r="BL49" s="16"/>
      <c r="BQ49" s="16"/>
      <c r="BV49" s="16"/>
      <c r="CA49" s="16"/>
      <c r="CF49" s="16"/>
      <c r="CK49" s="440"/>
      <c r="CP49" s="440"/>
      <c r="CU49" s="440"/>
      <c r="CZ49" s="16"/>
      <c r="DE49" s="16"/>
      <c r="DJ49" s="16"/>
      <c r="DO49" s="16"/>
      <c r="DT49" s="16"/>
      <c r="DU49" s="16"/>
      <c r="DV49" s="16"/>
    </row>
    <row r="50" spans="1:126" s="15" customFormat="1" ht="12" hidden="1" outlineLevel="1">
      <c r="B50" s="189" t="s">
        <v>88</v>
      </c>
      <c r="C50" s="16"/>
      <c r="D50" s="16"/>
      <c r="E50" s="16"/>
      <c r="F50" s="16"/>
      <c r="G50" s="16"/>
      <c r="H50" s="16"/>
      <c r="I50" s="16"/>
      <c r="J50" s="12"/>
      <c r="K50" s="12"/>
      <c r="L50" s="12"/>
      <c r="M50" s="12"/>
      <c r="N50" s="136"/>
      <c r="S50" s="136"/>
      <c r="X50" s="136"/>
      <c r="AC50" s="136"/>
      <c r="AH50" s="136"/>
      <c r="AM50" s="136"/>
      <c r="AR50" s="16"/>
      <c r="AW50" s="16"/>
      <c r="BB50" s="16"/>
      <c r="BG50" s="16"/>
      <c r="BL50" s="16"/>
      <c r="BQ50" s="16"/>
      <c r="BV50" s="16"/>
      <c r="CA50" s="16"/>
      <c r="CF50" s="16"/>
      <c r="CK50" s="440"/>
      <c r="CP50" s="440"/>
      <c r="CU50" s="440"/>
      <c r="CZ50" s="16"/>
      <c r="DE50" s="16"/>
      <c r="DJ50" s="16"/>
      <c r="DO50" s="16"/>
      <c r="DT50" s="16"/>
      <c r="DU50" s="16"/>
      <c r="DV50" s="16"/>
    </row>
    <row r="51" spans="1:126" s="93" customFormat="1" hidden="1" outlineLevel="1">
      <c r="A51" s="15"/>
      <c r="B51" s="221" t="s">
        <v>381</v>
      </c>
      <c r="C51" s="96"/>
      <c r="D51" s="96"/>
      <c r="E51" s="96"/>
      <c r="F51" s="96"/>
      <c r="G51" s="96"/>
      <c r="H51" s="96"/>
      <c r="I51" s="96"/>
      <c r="J51" s="94"/>
      <c r="K51" s="94" t="e">
        <f t="shared" ref="K51:M53" si="312">K7/J7-1</f>
        <v>#DIV/0!</v>
      </c>
      <c r="L51" s="94" t="e">
        <f t="shared" si="312"/>
        <v>#DIV/0!</v>
      </c>
      <c r="M51" s="94" t="e">
        <f t="shared" si="312"/>
        <v>#DIV/0!</v>
      </c>
      <c r="N51" s="162"/>
      <c r="O51" s="94" t="e">
        <f>O7/M7-1</f>
        <v>#DIV/0!</v>
      </c>
      <c r="P51" s="94" t="e">
        <f t="shared" ref="P51:R53" si="313">P7/O7-1</f>
        <v>#DIV/0!</v>
      </c>
      <c r="Q51" s="94" t="e">
        <f t="shared" si="313"/>
        <v>#DIV/0!</v>
      </c>
      <c r="R51" s="94" t="e">
        <f t="shared" si="313"/>
        <v>#DIV/0!</v>
      </c>
      <c r="S51" s="162"/>
      <c r="T51" s="94" t="e">
        <f>T7/R7-1</f>
        <v>#DIV/0!</v>
      </c>
      <c r="U51" s="94" t="e">
        <f t="shared" ref="U51:W53" si="314">U7/T7-1</f>
        <v>#DIV/0!</v>
      </c>
      <c r="V51" s="94" t="e">
        <f t="shared" si="314"/>
        <v>#DIV/0!</v>
      </c>
      <c r="W51" s="94" t="e">
        <f t="shared" si="314"/>
        <v>#DIV/0!</v>
      </c>
      <c r="X51" s="162"/>
      <c r="Y51" s="94" t="e">
        <f>Y7/W7-1</f>
        <v>#DIV/0!</v>
      </c>
      <c r="Z51" s="94" t="e">
        <f t="shared" ref="Z51:AB53" si="315">Z7/Y7-1</f>
        <v>#DIV/0!</v>
      </c>
      <c r="AA51" s="94" t="e">
        <f t="shared" si="315"/>
        <v>#DIV/0!</v>
      </c>
      <c r="AB51" s="94" t="e">
        <f t="shared" si="315"/>
        <v>#DIV/0!</v>
      </c>
      <c r="AC51" s="162"/>
      <c r="AD51" s="94" t="e">
        <f>AD7/AB7-1</f>
        <v>#DIV/0!</v>
      </c>
      <c r="AE51" s="94" t="e">
        <f t="shared" ref="AE51:AG53" si="316">AE7/AD7-1</f>
        <v>#DIV/0!</v>
      </c>
      <c r="AF51" s="94" t="e">
        <f t="shared" si="316"/>
        <v>#DIV/0!</v>
      </c>
      <c r="AG51" s="94" t="e">
        <f t="shared" si="316"/>
        <v>#DIV/0!</v>
      </c>
      <c r="AH51" s="162"/>
      <c r="AI51" s="94" t="e">
        <f>AI7/AG7-1</f>
        <v>#DIV/0!</v>
      </c>
      <c r="AJ51" s="94" t="e">
        <f t="shared" ref="AJ51:AL53" si="317">AJ7/AI7-1</f>
        <v>#DIV/0!</v>
      </c>
      <c r="AK51" s="94" t="e">
        <f t="shared" si="317"/>
        <v>#DIV/0!</v>
      </c>
      <c r="AL51" s="94" t="e">
        <f t="shared" si="317"/>
        <v>#DIV/0!</v>
      </c>
      <c r="AM51" s="162"/>
      <c r="AN51" s="94" t="e">
        <f>AN7/AL7-1</f>
        <v>#DIV/0!</v>
      </c>
      <c r="AO51" s="94" t="e">
        <f t="shared" ref="AO51:AQ53" si="318">AO7/AN7-1</f>
        <v>#DIV/0!</v>
      </c>
      <c r="AP51" s="94" t="e">
        <f t="shared" si="318"/>
        <v>#DIV/0!</v>
      </c>
      <c r="AQ51" s="94" t="e">
        <f t="shared" si="318"/>
        <v>#DIV/0!</v>
      </c>
      <c r="AR51" s="162"/>
      <c r="AS51" s="94" t="e">
        <f>AS7/AQ7-1</f>
        <v>#DIV/0!</v>
      </c>
      <c r="AT51" s="94" t="e">
        <f t="shared" ref="AT51:AV53" si="319">AT7/AS7-1</f>
        <v>#DIV/0!</v>
      </c>
      <c r="AU51" s="94" t="e">
        <f t="shared" si="319"/>
        <v>#DIV/0!</v>
      </c>
      <c r="AV51" s="94" t="e">
        <f t="shared" si="319"/>
        <v>#DIV/0!</v>
      </c>
      <c r="AW51" s="96"/>
      <c r="AX51" s="94" t="e">
        <f>AX7/AV7-1</f>
        <v>#DIV/0!</v>
      </c>
      <c r="AY51" s="94" t="e">
        <f t="shared" ref="AY51:BA53" si="320">AY7/AX7-1</f>
        <v>#DIV/0!</v>
      </c>
      <c r="AZ51" s="94" t="e">
        <f t="shared" si="320"/>
        <v>#DIV/0!</v>
      </c>
      <c r="BA51" s="94" t="e">
        <f t="shared" si="320"/>
        <v>#DIV/0!</v>
      </c>
      <c r="BB51" s="96"/>
      <c r="BC51" s="94" t="e">
        <f>BC7/BA7-1</f>
        <v>#DIV/0!</v>
      </c>
      <c r="BD51" s="94" t="e">
        <f t="shared" ref="BD51:BF53" si="321">BD7/BC7-1</f>
        <v>#DIV/0!</v>
      </c>
      <c r="BE51" s="94" t="e">
        <f t="shared" si="321"/>
        <v>#DIV/0!</v>
      </c>
      <c r="BF51" s="94" t="e">
        <f t="shared" si="321"/>
        <v>#DIV/0!</v>
      </c>
      <c r="BG51" s="96"/>
      <c r="BH51" s="94" t="e">
        <f>BH7/BF7-1</f>
        <v>#DIV/0!</v>
      </c>
      <c r="BI51" s="94" t="e">
        <f t="shared" ref="BI51:BK53" si="322">BI7/BH7-1</f>
        <v>#DIV/0!</v>
      </c>
      <c r="BJ51" s="94" t="e">
        <f t="shared" si="322"/>
        <v>#DIV/0!</v>
      </c>
      <c r="BK51" s="94" t="e">
        <f t="shared" si="322"/>
        <v>#DIV/0!</v>
      </c>
      <c r="BL51" s="96"/>
      <c r="BM51" s="94" t="e">
        <f>BM7/BK7-1</f>
        <v>#DIV/0!</v>
      </c>
      <c r="BN51" s="94">
        <f t="shared" ref="BN51:BP53" si="323">BN7/BM7-1</f>
        <v>0.10186817060274933</v>
      </c>
      <c r="BO51" s="94">
        <f t="shared" si="323"/>
        <v>-4.0147152911068185E-2</v>
      </c>
      <c r="BP51" s="94">
        <f t="shared" si="323"/>
        <v>0.12214630894850842</v>
      </c>
      <c r="BQ51" s="96"/>
      <c r="BR51" s="94">
        <f>BR7/BP7-1</f>
        <v>-3.0238873096016139E-2</v>
      </c>
      <c r="BS51" s="94">
        <f t="shared" ref="BS51:BU53" si="324">BS7/BR7-1</f>
        <v>5.4006991507811852E-2</v>
      </c>
      <c r="BT51" s="94">
        <f t="shared" si="324"/>
        <v>-3.2406696360006038E-2</v>
      </c>
      <c r="BU51" s="94">
        <f t="shared" si="324"/>
        <v>0.14079365079365092</v>
      </c>
      <c r="BV51" s="96"/>
      <c r="BW51" s="94">
        <f>BW7/BU7-1</f>
        <v>-5.986409395342196E-2</v>
      </c>
      <c r="BX51" s="94">
        <f t="shared" ref="BX51:BZ53" si="325">BX7/BW7-1</f>
        <v>-2.0000000000000018E-2</v>
      </c>
      <c r="BY51" s="94">
        <f t="shared" si="325"/>
        <v>-2.0408163265306145E-2</v>
      </c>
      <c r="BZ51" s="94">
        <f t="shared" si="325"/>
        <v>4.1666666666666741E-2</v>
      </c>
      <c r="CA51" s="96"/>
      <c r="CB51" s="94">
        <f>CB7/BZ7-1</f>
        <v>6.0000000000000053E-2</v>
      </c>
      <c r="CC51" s="94">
        <f t="shared" ref="CC51:CE53" si="326">CC7/CB7-1</f>
        <v>4.4150943396226383E-2</v>
      </c>
      <c r="CD51" s="94">
        <f t="shared" si="326"/>
        <v>1.1926273942898469E-2</v>
      </c>
      <c r="CE51" s="94">
        <f t="shared" si="326"/>
        <v>0.125</v>
      </c>
      <c r="CF51" s="96"/>
      <c r="CG51" s="94">
        <f>CG7/CE7-1</f>
        <v>-5.5714285714285716E-2</v>
      </c>
      <c r="CH51" s="94">
        <f t="shared" ref="CH51:CJ53" si="327">CH7/CG7-1</f>
        <v>-1.6977643301395173E-2</v>
      </c>
      <c r="CI51" s="94">
        <f t="shared" si="327"/>
        <v>2.5478796169630558E-2</v>
      </c>
      <c r="CJ51" s="94">
        <f t="shared" si="327"/>
        <v>7.1035517758879063E-2</v>
      </c>
      <c r="CK51" s="479"/>
      <c r="CL51" s="94">
        <f>CL7/CJ7-1</f>
        <v>-0.20395453837770494</v>
      </c>
      <c r="CM51" s="94">
        <f t="shared" ref="CM51:CO53" si="328">CM7/CL7-1</f>
        <v>-0.50733424603950716</v>
      </c>
      <c r="CN51" s="94">
        <f t="shared" si="328"/>
        <v>0.22548630408892412</v>
      </c>
      <c r="CO51" s="94">
        <f t="shared" si="328"/>
        <v>0.21801101392938138</v>
      </c>
      <c r="CP51" s="479"/>
      <c r="CQ51" s="94">
        <f>CQ7/CO7-1</f>
        <v>-0.10797872340425529</v>
      </c>
      <c r="CR51" s="94">
        <f t="shared" ref="CR51:CT53" si="329">CR7/CQ7-1</f>
        <v>-7.1258199165175951E-2</v>
      </c>
      <c r="CS51" s="94">
        <f t="shared" si="329"/>
        <v>0.15634028892455865</v>
      </c>
      <c r="CT51" s="94">
        <f t="shared" si="329"/>
        <v>0.19072737368128823</v>
      </c>
      <c r="CU51" s="479"/>
      <c r="CV51" s="94">
        <f>CV7/CT7-1</f>
        <v>-0.10165539752856145</v>
      </c>
      <c r="CW51" s="94">
        <f t="shared" ref="CW51:CY53" si="330">CW7/CV7-1</f>
        <v>0.11757072411108238</v>
      </c>
      <c r="CX51" s="94">
        <f t="shared" si="330"/>
        <v>0.15443567115652579</v>
      </c>
      <c r="CY51" s="94">
        <f t="shared" si="330"/>
        <v>0.11345805672902842</v>
      </c>
      <c r="CZ51" s="96"/>
      <c r="DA51" s="94">
        <f>DA7/CY7-1</f>
        <v>-5.4742547425474242E-2</v>
      </c>
      <c r="DB51" s="94">
        <f t="shared" ref="DB51:DD53" si="331">DB7/DA7-1</f>
        <v>9.6521406727828829E-2</v>
      </c>
      <c r="DC51" s="94">
        <f t="shared" si="331"/>
        <v>0.12550113299633958</v>
      </c>
      <c r="DD51" s="94">
        <f t="shared" si="331"/>
        <v>-4.3363791234319882E-3</v>
      </c>
      <c r="DE51" s="96"/>
      <c r="DF51" s="94">
        <f>DF7/DD7-1</f>
        <v>-5.1796546896873519E-2</v>
      </c>
      <c r="DG51" s="94">
        <f t="shared" ref="DG51:DI53" si="332">DG7/DF7-1</f>
        <v>5.9055118110236116E-3</v>
      </c>
      <c r="DH51" s="94">
        <f t="shared" si="332"/>
        <v>0.1420417482061318</v>
      </c>
      <c r="DI51" s="94">
        <f t="shared" si="332"/>
        <v>9.2388976153077174E-2</v>
      </c>
      <c r="DJ51" s="96"/>
      <c r="DK51" s="94">
        <f>DK7/DI7-1</f>
        <v>-8.7973856209150325E-2</v>
      </c>
      <c r="DL51" s="94">
        <f t="shared" ref="DL51:DL52" si="333">DL7/DK7-1</f>
        <v>0.14519134298409053</v>
      </c>
      <c r="DM51" s="94">
        <f t="shared" ref="DM51:DM52" si="334">DM7/DL7-1</f>
        <v>-8.2352941176455641E-4</v>
      </c>
      <c r="DN51" s="94">
        <f t="shared" ref="DN51:DN52" si="335">DN7/DM7-1</f>
        <v>3.4128230758246225E-2</v>
      </c>
      <c r="DO51" s="96"/>
      <c r="DP51" s="94">
        <f>DP7/DN7-1</f>
        <v>-1.9690208675513632E-2</v>
      </c>
      <c r="DQ51" s="94">
        <f t="shared" ref="DQ51:DQ52" si="336">DQ7/DP7-1</f>
        <v>0.12544666465677867</v>
      </c>
      <c r="DR51" s="94">
        <f t="shared" ref="DR51:DR52" si="337">DR7/DQ7-1</f>
        <v>7.9411764705883403E-3</v>
      </c>
      <c r="DS51" s="94">
        <f t="shared" ref="DS51:DS52" si="338">DS7/DR7-1</f>
        <v>6.4342759935182903E-2</v>
      </c>
      <c r="DT51" s="96"/>
      <c r="DU51" s="96"/>
      <c r="DV51" s="96"/>
    </row>
    <row r="52" spans="1:126" s="93" customFormat="1" hidden="1" outlineLevel="1">
      <c r="A52" s="15"/>
      <c r="B52" s="317" t="s">
        <v>457</v>
      </c>
      <c r="C52" s="96"/>
      <c r="D52" s="96"/>
      <c r="E52" s="96"/>
      <c r="F52" s="96"/>
      <c r="G52" s="96"/>
      <c r="H52" s="96"/>
      <c r="I52" s="96"/>
      <c r="J52" s="94"/>
      <c r="K52" s="94" t="e">
        <f t="shared" si="312"/>
        <v>#DIV/0!</v>
      </c>
      <c r="L52" s="94" t="e">
        <f t="shared" si="312"/>
        <v>#DIV/0!</v>
      </c>
      <c r="M52" s="94" t="e">
        <f t="shared" si="312"/>
        <v>#DIV/0!</v>
      </c>
      <c r="N52" s="162"/>
      <c r="O52" s="94" t="e">
        <f>O8/M8-1</f>
        <v>#DIV/0!</v>
      </c>
      <c r="P52" s="94" t="e">
        <f t="shared" si="313"/>
        <v>#DIV/0!</v>
      </c>
      <c r="Q52" s="94" t="e">
        <f t="shared" si="313"/>
        <v>#DIV/0!</v>
      </c>
      <c r="R52" s="94" t="e">
        <f t="shared" si="313"/>
        <v>#DIV/0!</v>
      </c>
      <c r="S52" s="162"/>
      <c r="T52" s="94" t="e">
        <f>T8/R8-1</f>
        <v>#DIV/0!</v>
      </c>
      <c r="U52" s="94" t="e">
        <f t="shared" si="314"/>
        <v>#DIV/0!</v>
      </c>
      <c r="V52" s="94" t="e">
        <f t="shared" si="314"/>
        <v>#DIV/0!</v>
      </c>
      <c r="W52" s="94" t="e">
        <f t="shared" si="314"/>
        <v>#DIV/0!</v>
      </c>
      <c r="X52" s="162"/>
      <c r="Y52" s="94" t="e">
        <f>Y8/W8-1</f>
        <v>#DIV/0!</v>
      </c>
      <c r="Z52" s="94" t="e">
        <f t="shared" si="315"/>
        <v>#DIV/0!</v>
      </c>
      <c r="AA52" s="94" t="e">
        <f t="shared" si="315"/>
        <v>#DIV/0!</v>
      </c>
      <c r="AB52" s="94" t="e">
        <f t="shared" si="315"/>
        <v>#DIV/0!</v>
      </c>
      <c r="AC52" s="162"/>
      <c r="AD52" s="94" t="e">
        <f>AD8/AB8-1</f>
        <v>#DIV/0!</v>
      </c>
      <c r="AE52" s="94" t="e">
        <f t="shared" si="316"/>
        <v>#DIV/0!</v>
      </c>
      <c r="AF52" s="94" t="e">
        <f t="shared" si="316"/>
        <v>#DIV/0!</v>
      </c>
      <c r="AG52" s="94" t="e">
        <f t="shared" si="316"/>
        <v>#DIV/0!</v>
      </c>
      <c r="AH52" s="162"/>
      <c r="AI52" s="94" t="e">
        <f>AI8/AG8-1</f>
        <v>#DIV/0!</v>
      </c>
      <c r="AJ52" s="94" t="e">
        <f t="shared" si="317"/>
        <v>#DIV/0!</v>
      </c>
      <c r="AK52" s="94" t="e">
        <f t="shared" si="317"/>
        <v>#DIV/0!</v>
      </c>
      <c r="AL52" s="94" t="e">
        <f t="shared" si="317"/>
        <v>#DIV/0!</v>
      </c>
      <c r="AM52" s="162"/>
      <c r="AN52" s="94" t="e">
        <f>AN8/AL8-1</f>
        <v>#DIV/0!</v>
      </c>
      <c r="AO52" s="94" t="e">
        <f t="shared" si="318"/>
        <v>#DIV/0!</v>
      </c>
      <c r="AP52" s="94" t="e">
        <f t="shared" si="318"/>
        <v>#DIV/0!</v>
      </c>
      <c r="AQ52" s="94" t="e">
        <f t="shared" si="318"/>
        <v>#DIV/0!</v>
      </c>
      <c r="AR52" s="162"/>
      <c r="AS52" s="94" t="e">
        <f>AS8/AQ8-1</f>
        <v>#DIV/0!</v>
      </c>
      <c r="AT52" s="94" t="e">
        <f t="shared" si="319"/>
        <v>#DIV/0!</v>
      </c>
      <c r="AU52" s="94" t="e">
        <f t="shared" si="319"/>
        <v>#DIV/0!</v>
      </c>
      <c r="AV52" s="94" t="e">
        <f t="shared" si="319"/>
        <v>#DIV/0!</v>
      </c>
      <c r="AW52" s="96"/>
      <c r="AX52" s="94" t="e">
        <f>AX8/AV8-1</f>
        <v>#DIV/0!</v>
      </c>
      <c r="AY52" s="94" t="e">
        <f t="shared" si="320"/>
        <v>#DIV/0!</v>
      </c>
      <c r="AZ52" s="94" t="e">
        <f t="shared" si="320"/>
        <v>#DIV/0!</v>
      </c>
      <c r="BA52" s="94" t="e">
        <f t="shared" si="320"/>
        <v>#DIV/0!</v>
      </c>
      <c r="BB52" s="96"/>
      <c r="BC52" s="94" t="e">
        <f>BC8/BA8-1</f>
        <v>#DIV/0!</v>
      </c>
      <c r="BD52" s="94" t="e">
        <f t="shared" si="321"/>
        <v>#DIV/0!</v>
      </c>
      <c r="BE52" s="94" t="e">
        <f t="shared" si="321"/>
        <v>#DIV/0!</v>
      </c>
      <c r="BF52" s="94" t="e">
        <f t="shared" si="321"/>
        <v>#DIV/0!</v>
      </c>
      <c r="BG52" s="96"/>
      <c r="BH52" s="94" t="e">
        <f>BH8/BF8-1</f>
        <v>#DIV/0!</v>
      </c>
      <c r="BI52" s="94" t="e">
        <f t="shared" si="322"/>
        <v>#DIV/0!</v>
      </c>
      <c r="BJ52" s="94" t="e">
        <f t="shared" si="322"/>
        <v>#DIV/0!</v>
      </c>
      <c r="BK52" s="94" t="e">
        <f t="shared" si="322"/>
        <v>#DIV/0!</v>
      </c>
      <c r="BL52" s="96"/>
      <c r="BM52" s="94" t="e">
        <f>BM8/BK8-1</f>
        <v>#DIV/0!</v>
      </c>
      <c r="BN52" s="94">
        <f t="shared" si="323"/>
        <v>-0.37560803665844233</v>
      </c>
      <c r="BO52" s="94">
        <f t="shared" si="323"/>
        <v>-4.0147152911068296E-2</v>
      </c>
      <c r="BP52" s="94">
        <f t="shared" si="323"/>
        <v>0.12214630894850864</v>
      </c>
      <c r="BQ52" s="96"/>
      <c r="BR52" s="94">
        <f>BR8/BP8-1</f>
        <v>0.47691259455965285</v>
      </c>
      <c r="BS52" s="94">
        <f t="shared" si="324"/>
        <v>-0.49937305558512834</v>
      </c>
      <c r="BT52" s="94">
        <f t="shared" si="324"/>
        <v>-3.240669636000626E-2</v>
      </c>
      <c r="BU52" s="94">
        <f t="shared" si="324"/>
        <v>0.14079365079365092</v>
      </c>
      <c r="BV52" s="96"/>
      <c r="BW52" s="94">
        <f>BW8/BU8-1</f>
        <v>0.79062623754428341</v>
      </c>
      <c r="BX52" s="94">
        <f t="shared" si="325"/>
        <v>-0.4620442319187088</v>
      </c>
      <c r="BY52" s="94">
        <f t="shared" si="325"/>
        <v>0.11111111111111116</v>
      </c>
      <c r="BZ52" s="94">
        <f t="shared" si="325"/>
        <v>0.20000000000000018</v>
      </c>
      <c r="CA52" s="96"/>
      <c r="CB52" s="94">
        <f>CB8/BZ8-1</f>
        <v>0.51</v>
      </c>
      <c r="CC52" s="94">
        <f t="shared" si="326"/>
        <v>-0.40783664459161151</v>
      </c>
      <c r="CD52" s="94">
        <f t="shared" si="326"/>
        <v>-0.16123019571295438</v>
      </c>
      <c r="CE52" s="94">
        <f t="shared" si="326"/>
        <v>0.22222222222222232</v>
      </c>
      <c r="CF52" s="96"/>
      <c r="CG52" s="94">
        <f>CG8/CE8-1</f>
        <v>0.82272727272727275</v>
      </c>
      <c r="CH52" s="94">
        <f t="shared" si="327"/>
        <v>-0.51321695760598507</v>
      </c>
      <c r="CI52" s="94">
        <f t="shared" si="327"/>
        <v>8.7090163934426146E-2</v>
      </c>
      <c r="CJ52" s="94">
        <f t="shared" si="327"/>
        <v>0.2403393025447691</v>
      </c>
      <c r="CK52" s="479"/>
      <c r="CL52" s="94">
        <f>CL8/CJ8-1</f>
        <v>0.35258358662613976</v>
      </c>
      <c r="CM52" s="94">
        <f t="shared" si="328"/>
        <v>4.7191011235955038E-2</v>
      </c>
      <c r="CN52" s="94">
        <f t="shared" si="328"/>
        <v>-1.6630901287553623E-2</v>
      </c>
      <c r="CO52" s="94">
        <f t="shared" si="328"/>
        <v>0.138025095471904</v>
      </c>
      <c r="CP52" s="479"/>
      <c r="CQ52" s="94">
        <f>CQ8/CO8-1</f>
        <v>-0.21476510067114096</v>
      </c>
      <c r="CR52" s="94">
        <f t="shared" si="329"/>
        <v>5.2503052503052539E-2</v>
      </c>
      <c r="CS52" s="94">
        <f t="shared" si="329"/>
        <v>4.1763341067285298E-2</v>
      </c>
      <c r="CT52" s="94">
        <f t="shared" si="329"/>
        <v>-2.2271714922048602E-3</v>
      </c>
      <c r="CU52" s="479"/>
      <c r="CV52" s="94">
        <f>CV8/CT8-1</f>
        <v>-2.34375E-2</v>
      </c>
      <c r="CW52" s="94">
        <f t="shared" si="330"/>
        <v>4.0571428571428481E-2</v>
      </c>
      <c r="CX52" s="94">
        <f t="shared" si="330"/>
        <v>-4.7775947281713305E-2</v>
      </c>
      <c r="CY52" s="94">
        <f t="shared" si="330"/>
        <v>0.19953863898500579</v>
      </c>
      <c r="CZ52" s="96"/>
      <c r="DA52" s="94">
        <f>DA8/CY8-1</f>
        <v>-5.4807692307692335E-2</v>
      </c>
      <c r="DB52" s="94">
        <f t="shared" si="331"/>
        <v>0.20803662258392674</v>
      </c>
      <c r="DC52" s="94">
        <f t="shared" si="331"/>
        <v>-7.1578947368421075E-2</v>
      </c>
      <c r="DD52" s="94">
        <f t="shared" si="331"/>
        <v>9.5691609977324177E-2</v>
      </c>
      <c r="DE52" s="96"/>
      <c r="DF52" s="94">
        <f>DF8/DD8-1</f>
        <v>-4.3046357615894038E-2</v>
      </c>
      <c r="DG52" s="94">
        <f t="shared" si="332"/>
        <v>3.8494809688581322E-2</v>
      </c>
      <c r="DH52" s="94">
        <f t="shared" si="332"/>
        <v>-6.5805914202415661E-2</v>
      </c>
      <c r="DI52" s="94">
        <f t="shared" si="332"/>
        <v>0.12483281319661166</v>
      </c>
      <c r="DJ52" s="96"/>
      <c r="DK52" s="94">
        <f>DK8/DI8-1</f>
        <v>-7.8874355925485529E-2</v>
      </c>
      <c r="DL52" s="94">
        <f t="shared" si="333"/>
        <v>0.10283993115318424</v>
      </c>
      <c r="DM52" s="94">
        <f t="shared" si="334"/>
        <v>-5.4841982052282412E-2</v>
      </c>
      <c r="DN52" s="94">
        <f t="shared" si="335"/>
        <v>0.11441769455590234</v>
      </c>
      <c r="DO52" s="96"/>
      <c r="DP52" s="94">
        <f>DP8/DN8-1</f>
        <v>-8.3178681365086105E-2</v>
      </c>
      <c r="DQ52" s="94">
        <f t="shared" si="336"/>
        <v>8.7306974376378799E-2</v>
      </c>
      <c r="DR52" s="94">
        <f t="shared" si="337"/>
        <v>-6.384348698511777E-2</v>
      </c>
      <c r="DS52" s="94">
        <f t="shared" si="338"/>
        <v>0.12513324931124759</v>
      </c>
      <c r="DT52" s="96"/>
      <c r="DU52" s="96"/>
      <c r="DV52" s="96"/>
    </row>
    <row r="53" spans="1:126" s="93" customFormat="1" hidden="1" outlineLevel="1">
      <c r="A53" s="15"/>
      <c r="B53" s="317" t="s">
        <v>644</v>
      </c>
      <c r="C53" s="96"/>
      <c r="D53" s="96"/>
      <c r="E53" s="96"/>
      <c r="F53" s="96"/>
      <c r="G53" s="96"/>
      <c r="H53" s="96"/>
      <c r="I53" s="96"/>
      <c r="J53" s="94"/>
      <c r="K53" s="94" t="e">
        <f t="shared" si="312"/>
        <v>#DIV/0!</v>
      </c>
      <c r="L53" s="94" t="e">
        <f t="shared" si="312"/>
        <v>#DIV/0!</v>
      </c>
      <c r="M53" s="94" t="e">
        <f t="shared" si="312"/>
        <v>#DIV/0!</v>
      </c>
      <c r="N53" s="162"/>
      <c r="O53" s="94" t="e">
        <f>O9/M9-1</f>
        <v>#DIV/0!</v>
      </c>
      <c r="P53" s="94" t="e">
        <f t="shared" si="313"/>
        <v>#DIV/0!</v>
      </c>
      <c r="Q53" s="94" t="e">
        <f t="shared" si="313"/>
        <v>#DIV/0!</v>
      </c>
      <c r="R53" s="94" t="e">
        <f t="shared" si="313"/>
        <v>#DIV/0!</v>
      </c>
      <c r="S53" s="162"/>
      <c r="T53" s="94" t="e">
        <f>T9/R9-1</f>
        <v>#DIV/0!</v>
      </c>
      <c r="U53" s="94" t="e">
        <f t="shared" si="314"/>
        <v>#DIV/0!</v>
      </c>
      <c r="V53" s="94" t="e">
        <f t="shared" si="314"/>
        <v>#DIV/0!</v>
      </c>
      <c r="W53" s="94" t="e">
        <f t="shared" si="314"/>
        <v>#DIV/0!</v>
      </c>
      <c r="X53" s="162"/>
      <c r="Y53" s="94" t="e">
        <f>Y9/W9-1</f>
        <v>#DIV/0!</v>
      </c>
      <c r="Z53" s="94" t="e">
        <f t="shared" si="315"/>
        <v>#DIV/0!</v>
      </c>
      <c r="AA53" s="94" t="e">
        <f t="shared" si="315"/>
        <v>#DIV/0!</v>
      </c>
      <c r="AB53" s="94" t="e">
        <f t="shared" si="315"/>
        <v>#DIV/0!</v>
      </c>
      <c r="AC53" s="162"/>
      <c r="AD53" s="94" t="e">
        <f>AD9/AB9-1</f>
        <v>#DIV/0!</v>
      </c>
      <c r="AE53" s="94" t="e">
        <f t="shared" si="316"/>
        <v>#DIV/0!</v>
      </c>
      <c r="AF53" s="94" t="e">
        <f t="shared" si="316"/>
        <v>#DIV/0!</v>
      </c>
      <c r="AG53" s="94" t="e">
        <f t="shared" si="316"/>
        <v>#DIV/0!</v>
      </c>
      <c r="AH53" s="162"/>
      <c r="AI53" s="94" t="e">
        <f>AI9/AG9-1</f>
        <v>#DIV/0!</v>
      </c>
      <c r="AJ53" s="94" t="e">
        <f t="shared" si="317"/>
        <v>#DIV/0!</v>
      </c>
      <c r="AK53" s="94" t="e">
        <f t="shared" si="317"/>
        <v>#DIV/0!</v>
      </c>
      <c r="AL53" s="94" t="e">
        <f t="shared" si="317"/>
        <v>#DIV/0!</v>
      </c>
      <c r="AM53" s="162"/>
      <c r="AN53" s="94" t="e">
        <f>AN9/AL9-1</f>
        <v>#DIV/0!</v>
      </c>
      <c r="AO53" s="94" t="e">
        <f t="shared" si="318"/>
        <v>#DIV/0!</v>
      </c>
      <c r="AP53" s="94" t="e">
        <f t="shared" si="318"/>
        <v>#DIV/0!</v>
      </c>
      <c r="AQ53" s="94" t="e">
        <f t="shared" si="318"/>
        <v>#DIV/0!</v>
      </c>
      <c r="AR53" s="162"/>
      <c r="AS53" s="94" t="e">
        <f>AS9/AQ9-1</f>
        <v>#DIV/0!</v>
      </c>
      <c r="AT53" s="94" t="e">
        <f t="shared" si="319"/>
        <v>#DIV/0!</v>
      </c>
      <c r="AU53" s="94" t="e">
        <f t="shared" si="319"/>
        <v>#DIV/0!</v>
      </c>
      <c r="AV53" s="94" t="e">
        <f t="shared" si="319"/>
        <v>#DIV/0!</v>
      </c>
      <c r="AW53" s="96"/>
      <c r="AX53" s="94" t="e">
        <f>AX9/AV9-1</f>
        <v>#DIV/0!</v>
      </c>
      <c r="AY53" s="94" t="e">
        <f t="shared" si="320"/>
        <v>#DIV/0!</v>
      </c>
      <c r="AZ53" s="94" t="e">
        <f t="shared" si="320"/>
        <v>#DIV/0!</v>
      </c>
      <c r="BA53" s="94" t="e">
        <f t="shared" si="320"/>
        <v>#DIV/0!</v>
      </c>
      <c r="BB53" s="96"/>
      <c r="BC53" s="94" t="e">
        <f>BC9/BA9-1</f>
        <v>#DIV/0!</v>
      </c>
      <c r="BD53" s="94" t="e">
        <f t="shared" si="321"/>
        <v>#DIV/0!</v>
      </c>
      <c r="BE53" s="94" t="e">
        <f t="shared" si="321"/>
        <v>#DIV/0!</v>
      </c>
      <c r="BF53" s="94" t="e">
        <f t="shared" si="321"/>
        <v>#DIV/0!</v>
      </c>
      <c r="BG53" s="96"/>
      <c r="BH53" s="94" t="e">
        <f>BH9/BF9-1</f>
        <v>#DIV/0!</v>
      </c>
      <c r="BI53" s="94" t="e">
        <f t="shared" si="322"/>
        <v>#DIV/0!</v>
      </c>
      <c r="BJ53" s="94" t="e">
        <f t="shared" si="322"/>
        <v>#DIV/0!</v>
      </c>
      <c r="BK53" s="94" t="e">
        <f t="shared" si="322"/>
        <v>#DIV/0!</v>
      </c>
      <c r="BL53" s="96"/>
      <c r="BM53" s="94" t="e">
        <f>BM9/BK9-1</f>
        <v>#DIV/0!</v>
      </c>
      <c r="BN53" s="94" t="e">
        <f t="shared" si="323"/>
        <v>#DIV/0!</v>
      </c>
      <c r="BO53" s="94" t="e">
        <f t="shared" si="323"/>
        <v>#DIV/0!</v>
      </c>
      <c r="BP53" s="94" t="e">
        <f t="shared" si="323"/>
        <v>#DIV/0!</v>
      </c>
      <c r="BQ53" s="96"/>
      <c r="BR53" s="94" t="e">
        <f>BR9/BP9-1</f>
        <v>#DIV/0!</v>
      </c>
      <c r="BS53" s="94" t="e">
        <f t="shared" si="324"/>
        <v>#DIV/0!</v>
      </c>
      <c r="BT53" s="94" t="e">
        <f t="shared" si="324"/>
        <v>#DIV/0!</v>
      </c>
      <c r="BU53" s="94" t="e">
        <f t="shared" si="324"/>
        <v>#DIV/0!</v>
      </c>
      <c r="BV53" s="96"/>
      <c r="BW53" s="94" t="e">
        <f>BW9/BU9-1</f>
        <v>#DIV/0!</v>
      </c>
      <c r="BX53" s="94" t="e">
        <f t="shared" si="325"/>
        <v>#DIV/0!</v>
      </c>
      <c r="BY53" s="94" t="e">
        <f t="shared" si="325"/>
        <v>#DIV/0!</v>
      </c>
      <c r="BZ53" s="94" t="e">
        <f t="shared" si="325"/>
        <v>#DIV/0!</v>
      </c>
      <c r="CA53" s="96"/>
      <c r="CB53" s="94" t="e">
        <f>CB9/BZ9-1</f>
        <v>#DIV/0!</v>
      </c>
      <c r="CC53" s="94" t="e">
        <f t="shared" si="326"/>
        <v>#DIV/0!</v>
      </c>
      <c r="CD53" s="94" t="e">
        <f t="shared" si="326"/>
        <v>#DIV/0!</v>
      </c>
      <c r="CE53" s="94" t="e">
        <f t="shared" si="326"/>
        <v>#DIV/0!</v>
      </c>
      <c r="CF53" s="96"/>
      <c r="CG53" s="94" t="e">
        <f>CG9/CE9-1</f>
        <v>#DIV/0!</v>
      </c>
      <c r="CH53" s="94" t="e">
        <f t="shared" si="327"/>
        <v>#DIV/0!</v>
      </c>
      <c r="CI53" s="94" t="e">
        <f t="shared" si="327"/>
        <v>#DIV/0!</v>
      </c>
      <c r="CJ53" s="94" t="e">
        <f t="shared" si="327"/>
        <v>#DIV/0!</v>
      </c>
      <c r="CK53" s="479"/>
      <c r="CL53" s="94" t="e">
        <f>CL9/CJ9-1</f>
        <v>#DIV/0!</v>
      </c>
      <c r="CM53" s="94">
        <f t="shared" si="328"/>
        <v>8.1545064377682497E-2</v>
      </c>
      <c r="CN53" s="94">
        <f t="shared" si="328"/>
        <v>-0.12301587301587302</v>
      </c>
      <c r="CO53" s="94">
        <f t="shared" si="328"/>
        <v>0.12669683257918551</v>
      </c>
      <c r="CP53" s="479"/>
      <c r="CQ53" s="94">
        <f>CQ9/CO9-1</f>
        <v>7.4966532797858143E-2</v>
      </c>
      <c r="CR53" s="94">
        <f t="shared" si="329"/>
        <v>8.7173100871731357E-3</v>
      </c>
      <c r="CS53" s="94">
        <f t="shared" si="329"/>
        <v>-0.23950617283950615</v>
      </c>
      <c r="CT53" s="94">
        <f t="shared" si="329"/>
        <v>0.42370129870129869</v>
      </c>
      <c r="CU53" s="479"/>
      <c r="CV53" s="94">
        <f>CV9/CT9-1</f>
        <v>-0.12884834663625999</v>
      </c>
      <c r="CW53" s="94">
        <f t="shared" si="330"/>
        <v>2.6178010471205049E-3</v>
      </c>
      <c r="CX53" s="94">
        <f t="shared" si="330"/>
        <v>-0.15796344647519578</v>
      </c>
      <c r="CY53" s="94">
        <f t="shared" si="330"/>
        <v>0.21240310077519386</v>
      </c>
      <c r="CZ53" s="96"/>
      <c r="DA53" s="94">
        <f>DA9/CY9-1</f>
        <v>1.1508951406649537E-2</v>
      </c>
      <c r="DB53" s="94">
        <f t="shared" si="331"/>
        <v>7.079646017699126E-2</v>
      </c>
      <c r="DC53" s="94">
        <f t="shared" si="331"/>
        <v>-5.9031877213695516E-3</v>
      </c>
      <c r="DD53" s="94">
        <f t="shared" si="331"/>
        <v>7.9572446555819409E-2</v>
      </c>
      <c r="DE53" s="96"/>
      <c r="DF53" s="94">
        <f>DF9/DD9-1</f>
        <v>-3.3003300330032959E-2</v>
      </c>
      <c r="DG53" s="94">
        <f t="shared" si="332"/>
        <v>-9.1012514220705221E-3</v>
      </c>
      <c r="DH53" s="94">
        <f t="shared" si="332"/>
        <v>3.214695752009189E-2</v>
      </c>
      <c r="DI53" s="94">
        <f t="shared" si="332"/>
        <v>3.7819799777530694E-2</v>
      </c>
      <c r="DJ53" s="96"/>
      <c r="DK53" s="94">
        <f>DK9/DI9-1</f>
        <v>1.071811361200492E-3</v>
      </c>
      <c r="DL53" s="94">
        <f>IFERROR(DL9/DK9-1,"")</f>
        <v>-1</v>
      </c>
      <c r="DM53" s="94" t="str">
        <f t="shared" ref="DM53:DN53" si="339">IFERROR(DM9/DL9-1,"")</f>
        <v/>
      </c>
      <c r="DN53" s="94" t="str">
        <f t="shared" si="339"/>
        <v/>
      </c>
      <c r="DO53" s="96"/>
      <c r="DP53" s="94" t="str">
        <f>IFERROR(DP9/DN9-1,"")</f>
        <v/>
      </c>
      <c r="DQ53" s="94" t="str">
        <f>IFERROR(DQ9/DP9-1,"")</f>
        <v/>
      </c>
      <c r="DR53" s="94" t="str">
        <f t="shared" ref="DR53:DS53" si="340">IFERROR(DR9/DQ9-1,"")</f>
        <v/>
      </c>
      <c r="DS53" s="94" t="str">
        <f t="shared" si="340"/>
        <v/>
      </c>
      <c r="DT53" s="96"/>
      <c r="DU53" s="96"/>
      <c r="DV53" s="96"/>
    </row>
    <row r="54" spans="1:126" s="93" customFormat="1" ht="12" hidden="1" outlineLevel="1">
      <c r="A54" s="15"/>
      <c r="B54" s="169" t="s">
        <v>70</v>
      </c>
      <c r="C54" s="166"/>
      <c r="D54" s="166"/>
      <c r="E54" s="166"/>
      <c r="F54" s="166"/>
      <c r="G54" s="166"/>
      <c r="H54" s="166"/>
      <c r="I54" s="166"/>
      <c r="J54" s="167"/>
      <c r="K54" s="167" t="e">
        <f>K11/J11-1</f>
        <v>#DIV/0!</v>
      </c>
      <c r="L54" s="167" t="e">
        <f>L11/K11-1</f>
        <v>#DIV/0!</v>
      </c>
      <c r="M54" s="167" t="e">
        <f>M11/L11-1</f>
        <v>#DIV/0!</v>
      </c>
      <c r="N54" s="168"/>
      <c r="O54" s="167" t="e">
        <f>O11/M11-1</f>
        <v>#DIV/0!</v>
      </c>
      <c r="P54" s="167" t="e">
        <f>P11/O11-1</f>
        <v>#DIV/0!</v>
      </c>
      <c r="Q54" s="167" t="e">
        <f>Q11/P11-1</f>
        <v>#DIV/0!</v>
      </c>
      <c r="R54" s="167" t="e">
        <f>R11/Q11-1</f>
        <v>#DIV/0!</v>
      </c>
      <c r="S54" s="168"/>
      <c r="T54" s="167" t="e">
        <f>T11/R11-1</f>
        <v>#DIV/0!</v>
      </c>
      <c r="U54" s="167" t="e">
        <f>U11/T11-1</f>
        <v>#DIV/0!</v>
      </c>
      <c r="V54" s="167" t="e">
        <f>V11/U11-1</f>
        <v>#DIV/0!</v>
      </c>
      <c r="W54" s="167" t="e">
        <f>W11/V11-1</f>
        <v>#DIV/0!</v>
      </c>
      <c r="X54" s="168"/>
      <c r="Y54" s="167" t="e">
        <f>Y11/W11-1</f>
        <v>#DIV/0!</v>
      </c>
      <c r="Z54" s="167" t="e">
        <f>Z11/Y11-1</f>
        <v>#DIV/0!</v>
      </c>
      <c r="AA54" s="167" t="e">
        <f>AA11/Z11-1</f>
        <v>#DIV/0!</v>
      </c>
      <c r="AB54" s="167" t="e">
        <f>AB11/AA11-1</f>
        <v>#DIV/0!</v>
      </c>
      <c r="AC54" s="168"/>
      <c r="AD54" s="167" t="e">
        <f>AD11/AB11-1</f>
        <v>#DIV/0!</v>
      </c>
      <c r="AE54" s="167" t="e">
        <f>AE11/AD11-1</f>
        <v>#DIV/0!</v>
      </c>
      <c r="AF54" s="167" t="e">
        <f>AF11/AE11-1</f>
        <v>#DIV/0!</v>
      </c>
      <c r="AG54" s="167" t="e">
        <f>AG11/AF11-1</f>
        <v>#DIV/0!</v>
      </c>
      <c r="AH54" s="168"/>
      <c r="AI54" s="167" t="e">
        <f>AI11/AG11-1</f>
        <v>#DIV/0!</v>
      </c>
      <c r="AJ54" s="167" t="e">
        <f>AJ11/AI11-1</f>
        <v>#DIV/0!</v>
      </c>
      <c r="AK54" s="167" t="e">
        <f>AK11/AJ11-1</f>
        <v>#DIV/0!</v>
      </c>
      <c r="AL54" s="167" t="e">
        <f>AL11/AK11-1</f>
        <v>#DIV/0!</v>
      </c>
      <c r="AM54" s="170"/>
      <c r="AN54" s="167" t="e">
        <f>AN11/AL11-1</f>
        <v>#DIV/0!</v>
      </c>
      <c r="AO54" s="167" t="e">
        <f>AO11/AN11-1</f>
        <v>#DIV/0!</v>
      </c>
      <c r="AP54" s="167" t="e">
        <f>AP11/AO11-1</f>
        <v>#DIV/0!</v>
      </c>
      <c r="AQ54" s="167" t="e">
        <f>AQ11/AP11-1</f>
        <v>#DIV/0!</v>
      </c>
      <c r="AR54" s="170"/>
      <c r="AS54" s="167" t="e">
        <f>AS11/AQ11-1</f>
        <v>#DIV/0!</v>
      </c>
      <c r="AT54" s="167" t="e">
        <f>AT11/AS11-1</f>
        <v>#DIV/0!</v>
      </c>
      <c r="AU54" s="167" t="e">
        <f>AU11/AT11-1</f>
        <v>#DIV/0!</v>
      </c>
      <c r="AV54" s="167" t="e">
        <f>AV11/AU11-1</f>
        <v>#DIV/0!</v>
      </c>
      <c r="AW54" s="92"/>
      <c r="AX54" s="167" t="e">
        <f>AX11/AV11-1</f>
        <v>#DIV/0!</v>
      </c>
      <c r="AY54" s="167" t="e">
        <f>AY11/AX11-1</f>
        <v>#DIV/0!</v>
      </c>
      <c r="AZ54" s="167" t="e">
        <f>AZ11/AY11-1</f>
        <v>#DIV/0!</v>
      </c>
      <c r="BA54" s="167" t="e">
        <f>BA11/AZ11-1</f>
        <v>#DIV/0!</v>
      </c>
      <c r="BB54" s="92"/>
      <c r="BC54" s="167" t="e">
        <f>BC11/BA11-1</f>
        <v>#DIV/0!</v>
      </c>
      <c r="BD54" s="167" t="e">
        <f>BD11/BC11-1</f>
        <v>#DIV/0!</v>
      </c>
      <c r="BE54" s="167" t="e">
        <f>BE11/BD11-1</f>
        <v>#DIV/0!</v>
      </c>
      <c r="BF54" s="167" t="e">
        <f>BF11/BE11-1</f>
        <v>#DIV/0!</v>
      </c>
      <c r="BG54" s="92"/>
      <c r="BH54" s="167" t="e">
        <f>BH11/BF11-1</f>
        <v>#DIV/0!</v>
      </c>
      <c r="BI54" s="167" t="e">
        <f>BI11/BH11-1</f>
        <v>#DIV/0!</v>
      </c>
      <c r="BJ54" s="167" t="e">
        <f>BJ11/BI11-1</f>
        <v>#DIV/0!</v>
      </c>
      <c r="BK54" s="167" t="e">
        <f>BK11/BJ11-1</f>
        <v>#DIV/0!</v>
      </c>
      <c r="BL54" s="92"/>
      <c r="BM54" s="167" t="e">
        <f>BM11/BK11-1</f>
        <v>#DIV/0!</v>
      </c>
      <c r="BN54" s="167">
        <f>BN11/BM11-1</f>
        <v>-4.1374691575608247E-2</v>
      </c>
      <c r="BO54" s="167">
        <f>BO11/BN11-1</f>
        <v>-4.0147152911068296E-2</v>
      </c>
      <c r="BP54" s="167">
        <f>BP11/BO11-1</f>
        <v>0.12214630894850842</v>
      </c>
      <c r="BQ54" s="92"/>
      <c r="BR54" s="167">
        <f>BR11/BP11-1</f>
        <v>6.8859689549344516E-2</v>
      </c>
      <c r="BS54" s="167">
        <f>BS11/BR11-1</f>
        <v>-9.540562120728191E-2</v>
      </c>
      <c r="BT54" s="167">
        <f>BT11/BS11-1</f>
        <v>-3.2406696360006149E-2</v>
      </c>
      <c r="BU54" s="167">
        <f>BU11/BT11-1</f>
        <v>0.14079365079365092</v>
      </c>
      <c r="BV54" s="92"/>
      <c r="BW54" s="167">
        <f>BW11/BU11-1</f>
        <v>6.7220668224396096E-2</v>
      </c>
      <c r="BX54" s="167">
        <f>BX11/BW11-1</f>
        <v>-0.13082571557020828</v>
      </c>
      <c r="BY54" s="167">
        <f>BY11/BX11-1</f>
        <v>0</v>
      </c>
      <c r="BZ54" s="167">
        <f>BZ11/BY11-1</f>
        <v>6.8965517241379226E-2</v>
      </c>
      <c r="CA54" s="92"/>
      <c r="CB54" s="167">
        <f>CB11/BZ11-1</f>
        <v>0.1470967741935485</v>
      </c>
      <c r="CC54" s="167">
        <f>CC11/CB11-1</f>
        <v>-7.1006749156355409E-2</v>
      </c>
      <c r="CD54" s="167">
        <f>CD11/CC11-1</f>
        <v>-1.6194944755562268E-2</v>
      </c>
      <c r="CE54" s="167">
        <f>CE11/CD11-1</f>
        <v>0.13846153846153841</v>
      </c>
      <c r="CF54" s="92"/>
      <c r="CG54" s="167">
        <f>CG11/CE11-1</f>
        <v>7.4864864864864877E-2</v>
      </c>
      <c r="CH54" s="167">
        <f>CH11/CG11-1</f>
        <v>-0.14206688458637162</v>
      </c>
      <c r="CI54" s="167">
        <f>CI11/CH11-1</f>
        <v>3.4290738569753731E-2</v>
      </c>
      <c r="CJ54" s="167">
        <f>CJ11/CI11-1</f>
        <v>9.6486256729951592E-2</v>
      </c>
      <c r="CK54" s="480"/>
      <c r="CL54" s="167">
        <f>CL11/CJ11-1</f>
        <v>-0.10931644915363725</v>
      </c>
      <c r="CM54" s="167">
        <f>CM11/CL11-1</f>
        <v>-0.36413753082837663</v>
      </c>
      <c r="CN54" s="167">
        <f>CN11/CM11-1</f>
        <v>0.12251882272416159</v>
      </c>
      <c r="CO54" s="167">
        <f>CO11/CN11-1</f>
        <v>0.18821138211382116</v>
      </c>
      <c r="CP54" s="480"/>
      <c r="CQ54" s="167">
        <f>CQ11/CO11-1</f>
        <v>-0.14608279165241189</v>
      </c>
      <c r="CR54" s="167">
        <f>CR11/CQ11-1</f>
        <v>-3.0649038461538436E-2</v>
      </c>
      <c r="CS54" s="167">
        <f>CS11/CR11-1</f>
        <v>0.11551973548253769</v>
      </c>
      <c r="CT54" s="167">
        <f>CT11/CS11-1</f>
        <v>0.1265283438310485</v>
      </c>
      <c r="CU54" s="480"/>
      <c r="CV54" s="167">
        <f>CV11/CT11-1</f>
        <v>-7.8605492517678011E-2</v>
      </c>
      <c r="CW54" s="167">
        <f>CW11/CV11-1</f>
        <v>9.3521327860075054E-2</v>
      </c>
      <c r="CX54" s="167">
        <f>CX11/CW11-1</f>
        <v>9.4336543169577292E-2</v>
      </c>
      <c r="CY54" s="167">
        <f>CY11/CX11-1</f>
        <v>0.13571961222967932</v>
      </c>
      <c r="CZ54" s="92"/>
      <c r="DA54" s="167">
        <f>DA11/CZ11-1</f>
        <v>-0.72955854126679465</v>
      </c>
      <c r="DB54" s="167">
        <f>DB11/DA11-1</f>
        <v>0.12235628105039043</v>
      </c>
      <c r="DC54" s="167">
        <f>DC11/DB11-1</f>
        <v>7.0064499810294611E-2</v>
      </c>
      <c r="DD54" s="167">
        <f>DD11/DC11-1</f>
        <v>1.0164283181657074E-2</v>
      </c>
      <c r="DE54" s="92"/>
      <c r="DF54" s="167">
        <f>DF11/DD11-1</f>
        <v>-5.5107055107055158E-2</v>
      </c>
      <c r="DG54" s="167">
        <f>DG11/DF11-1</f>
        <v>1.8202080237741391E-2</v>
      </c>
      <c r="DH54" s="167">
        <f>DH11/DG11-1</f>
        <v>8.755928493250642E-2</v>
      </c>
      <c r="DI54" s="167">
        <f>DI11/DH11-1</f>
        <v>0.10466286481046638</v>
      </c>
      <c r="DJ54" s="92"/>
      <c r="DK54" s="167">
        <f>DK11/DI11-1</f>
        <v>-8.8875392246178797E-2</v>
      </c>
      <c r="DL54" s="167">
        <f>DL11/DK11-1</f>
        <v>0.12776358182424175</v>
      </c>
      <c r="DM54" s="167">
        <f>DM11/DL11-1</f>
        <v>-8.3873509999013995E-3</v>
      </c>
      <c r="DN54" s="167">
        <f>DN11/DM11-1</f>
        <v>5.3609925033727857E-2</v>
      </c>
      <c r="DO54" s="92"/>
      <c r="DP54" s="167">
        <f>DP11/DN11-1</f>
        <v>-3.4143636927666754E-2</v>
      </c>
      <c r="DQ54" s="167">
        <f>DQ11/DP11-1</f>
        <v>0.12021129744283643</v>
      </c>
      <c r="DR54" s="167">
        <f>DR11/DQ11-1</f>
        <v>-9.976635656550159E-3</v>
      </c>
      <c r="DS54" s="167">
        <f>DS11/DR11-1</f>
        <v>7.7989292614209171E-2</v>
      </c>
      <c r="DT54" s="92"/>
      <c r="DU54" s="92"/>
      <c r="DV54" s="92"/>
    </row>
    <row r="55" spans="1:126" s="15" customFormat="1" hidden="1" outlineLevel="1">
      <c r="C55" s="16"/>
      <c r="D55" s="16"/>
      <c r="E55" s="16"/>
      <c r="F55" s="16"/>
      <c r="G55" s="16"/>
      <c r="H55" s="16"/>
      <c r="I55" s="16"/>
      <c r="J55" s="12"/>
      <c r="K55" s="12"/>
      <c r="L55" s="12"/>
      <c r="M55" s="12"/>
      <c r="N55" s="136"/>
      <c r="S55" s="136"/>
      <c r="X55" s="136"/>
      <c r="AC55" s="136"/>
      <c r="AH55" s="136"/>
      <c r="AM55" s="136"/>
      <c r="AR55" s="16"/>
      <c r="AW55" s="16"/>
      <c r="BB55" s="16"/>
      <c r="BG55" s="16"/>
      <c r="BL55" s="16"/>
      <c r="BQ55" s="16"/>
      <c r="BV55" s="16"/>
      <c r="CA55" s="16"/>
      <c r="CF55" s="16"/>
      <c r="CK55" s="440"/>
      <c r="CP55" s="440"/>
      <c r="CU55" s="440"/>
      <c r="CZ55" s="16"/>
      <c r="DE55" s="16"/>
      <c r="DJ55" s="16"/>
      <c r="DO55" s="16"/>
      <c r="DT55" s="16"/>
      <c r="DU55" s="16"/>
      <c r="DV55" s="16"/>
    </row>
    <row r="56" spans="1:126" s="15" customFormat="1" ht="12" hidden="1" outlineLevel="1">
      <c r="B56" s="189" t="s">
        <v>165</v>
      </c>
      <c r="C56" s="16"/>
      <c r="D56" s="16"/>
      <c r="E56" s="16"/>
      <c r="F56" s="16"/>
      <c r="G56" s="16"/>
      <c r="H56" s="16"/>
      <c r="I56" s="16"/>
      <c r="J56" s="12"/>
      <c r="K56" s="12"/>
      <c r="L56" s="12"/>
      <c r="M56" s="12"/>
      <c r="N56" s="136"/>
      <c r="S56" s="136"/>
      <c r="X56" s="136"/>
      <c r="AC56" s="136"/>
      <c r="AH56" s="136"/>
      <c r="AM56" s="136"/>
      <c r="AR56" s="16"/>
      <c r="AW56" s="16"/>
      <c r="BB56" s="16"/>
      <c r="BG56" s="16"/>
      <c r="BL56" s="16"/>
      <c r="BQ56" s="16"/>
      <c r="BV56" s="16"/>
      <c r="CA56" s="16"/>
      <c r="CF56" s="16"/>
      <c r="CK56" s="440"/>
      <c r="CP56" s="440"/>
      <c r="CU56" s="440"/>
      <c r="CZ56" s="16"/>
      <c r="DE56" s="16"/>
      <c r="DJ56" s="16"/>
      <c r="DO56" s="16"/>
      <c r="DT56" s="16"/>
      <c r="DU56" s="16"/>
      <c r="DV56" s="16"/>
    </row>
    <row r="57" spans="1:126" s="15" customFormat="1" hidden="1" outlineLevel="1">
      <c r="B57" s="221" t="s">
        <v>381</v>
      </c>
      <c r="C57" s="16"/>
      <c r="D57" s="16"/>
      <c r="E57" s="16"/>
      <c r="F57" s="16"/>
      <c r="G57" s="16"/>
      <c r="H57" s="16"/>
      <c r="I57" s="16"/>
      <c r="J57" s="91"/>
      <c r="K57" s="91"/>
      <c r="L57" s="91"/>
      <c r="M57" s="91"/>
      <c r="N57" s="115"/>
      <c r="O57" s="90"/>
      <c r="P57" s="90"/>
      <c r="Q57" s="90"/>
      <c r="R57" s="90"/>
      <c r="S57" s="115"/>
      <c r="T57" s="90" t="e">
        <f>#REF!/#REF!</f>
        <v>#REF!</v>
      </c>
      <c r="U57" s="90" t="e">
        <f>#REF!/#REF!</f>
        <v>#REF!</v>
      </c>
      <c r="V57" s="90" t="e">
        <f>#REF!/#REF!</f>
        <v>#REF!</v>
      </c>
      <c r="W57" s="90" t="e">
        <f>#REF!/#REF!</f>
        <v>#REF!</v>
      </c>
      <c r="X57" s="115"/>
      <c r="Y57" s="90" t="e">
        <f>#REF!/#REF!</f>
        <v>#REF!</v>
      </c>
      <c r="Z57" s="90" t="e">
        <f>#REF!/#REF!</f>
        <v>#REF!</v>
      </c>
      <c r="AA57" s="90" t="e">
        <f>#REF!/#REF!</f>
        <v>#REF!</v>
      </c>
      <c r="AB57" s="90" t="e">
        <f>#REF!/#REF!</f>
        <v>#REF!</v>
      </c>
      <c r="AC57" s="115"/>
      <c r="AD57" s="90" t="e">
        <f>#REF!/#REF!</f>
        <v>#REF!</v>
      </c>
      <c r="AE57" s="90" t="e">
        <f>#REF!/#REF!</f>
        <v>#REF!</v>
      </c>
      <c r="AF57" s="90" t="e">
        <f>#REF!/#REF!</f>
        <v>#REF!</v>
      </c>
      <c r="AG57" s="90" t="e">
        <f>#REF!/#REF!</f>
        <v>#REF!</v>
      </c>
      <c r="AH57" s="115"/>
      <c r="AI57" s="90"/>
      <c r="AJ57" s="90"/>
      <c r="AK57" s="90"/>
      <c r="AL57" s="90"/>
      <c r="AM57" s="115"/>
      <c r="AN57" s="90"/>
      <c r="AO57" s="90"/>
      <c r="AP57" s="90"/>
      <c r="AQ57" s="90"/>
      <c r="AR57" s="115"/>
      <c r="AS57" s="90"/>
      <c r="AT57" s="90"/>
      <c r="AU57" s="90"/>
      <c r="AV57" s="90"/>
      <c r="AW57" s="89"/>
      <c r="AX57" s="90"/>
      <c r="AY57" s="90"/>
      <c r="AZ57" s="90"/>
      <c r="BA57" s="90"/>
      <c r="BB57" s="89"/>
      <c r="BC57" s="90"/>
      <c r="BD57" s="90"/>
      <c r="BE57" s="90"/>
      <c r="BF57" s="90"/>
      <c r="BG57" s="89"/>
      <c r="BH57" s="90"/>
      <c r="BI57" s="90"/>
      <c r="BJ57" s="90"/>
      <c r="BK57" s="90"/>
      <c r="BL57" s="89"/>
      <c r="BM57" s="90"/>
      <c r="BN57" s="90"/>
      <c r="BO57" s="90"/>
      <c r="BP57" s="90"/>
      <c r="BQ57" s="89"/>
      <c r="BR57" s="90"/>
      <c r="BS57" s="90"/>
      <c r="BT57" s="90"/>
      <c r="BU57" s="90"/>
      <c r="BV57" s="89"/>
      <c r="BW57" s="90"/>
      <c r="BX57" s="90"/>
      <c r="BY57" s="90"/>
      <c r="BZ57" s="90"/>
      <c r="CA57" s="89"/>
      <c r="CB57" s="90"/>
      <c r="CC57" s="90"/>
      <c r="CD57" s="90"/>
      <c r="CE57" s="90"/>
      <c r="CF57" s="89"/>
      <c r="CG57" s="90">
        <f>CG7/CK7</f>
        <v>0.24565387950613204</v>
      </c>
      <c r="CH57" s="90">
        <f>CH7/CK7</f>
        <v>0.24148325556427302</v>
      </c>
      <c r="CI57" s="90">
        <f>CI7/CK7</f>
        <v>0.24763595821117396</v>
      </c>
      <c r="CJ57" s="90">
        <f>CJ7/CK7</f>
        <v>0.26522690671842086</v>
      </c>
      <c r="CK57" s="481"/>
      <c r="CL57" s="90">
        <f>CL7/CP7</f>
        <v>0.35313212238414254</v>
      </c>
      <c r="CM57" s="90">
        <f>CM7/CP7</f>
        <v>0.17397610332205263</v>
      </c>
      <c r="CN57" s="90">
        <f>CN7/CP7</f>
        <v>0.21320533185993507</v>
      </c>
      <c r="CO57" s="90">
        <f>CO7/CP7</f>
        <v>0.25968644243386974</v>
      </c>
      <c r="CP57" s="481"/>
      <c r="CQ57" s="90">
        <f>CQ7/CU7</f>
        <v>0.23356545961002786</v>
      </c>
      <c r="CR57" s="90">
        <f>CR7/CU7</f>
        <v>0.21692200557103064</v>
      </c>
      <c r="CS57" s="90">
        <f>CS7/CU7</f>
        <v>0.2508356545961003</v>
      </c>
      <c r="CT57" s="90">
        <f>CT7/CU7</f>
        <v>0.29867688022284122</v>
      </c>
      <c r="CU57" s="481"/>
      <c r="CV57" s="90">
        <f>CV7/CZ7</f>
        <v>0.20642914545941601</v>
      </c>
      <c r="CW57" s="90">
        <f>CW7/CZ7</f>
        <v>0.2306991695687115</v>
      </c>
      <c r="CX57" s="90">
        <f>CX7/CZ7</f>
        <v>0.26632735065630858</v>
      </c>
      <c r="CY57" s="90">
        <f>CY7/CZ7</f>
        <v>0.29654433431556387</v>
      </c>
      <c r="CZ57" s="89"/>
      <c r="DA57" s="90">
        <f>DA7/DE7</f>
        <v>0.21932508907985748</v>
      </c>
      <c r="DB57" s="90">
        <f>DB7/DE7</f>
        <v>0.24049465520855168</v>
      </c>
      <c r="DC57" s="90">
        <f>DC7/DE7</f>
        <v>0.27067700691678892</v>
      </c>
      <c r="DD57" s="90">
        <f>DD7/DE7</f>
        <v>0.26950324879480192</v>
      </c>
      <c r="DE57" s="89"/>
      <c r="DF57" s="90">
        <f>DF7/DJ7</f>
        <v>0.22677727763104052</v>
      </c>
      <c r="DG57" s="90">
        <f>DG7/DJ7</f>
        <v>0.2281165135225624</v>
      </c>
      <c r="DH57" s="90">
        <f>DH7/DJ7</f>
        <v>0.26051858189799487</v>
      </c>
      <c r="DI57" s="90">
        <f>DI7/DJ7</f>
        <v>0.28458762694840223</v>
      </c>
      <c r="DJ57" s="89"/>
      <c r="DK57" s="90">
        <f>DK7/DO7</f>
        <v>0.22357664958678214</v>
      </c>
      <c r="DL57" s="90">
        <f>DL7/DO7</f>
        <v>0.25603804360017046</v>
      </c>
      <c r="DM57" s="90">
        <f>DM7/DO7</f>
        <v>0.25582718874073507</v>
      </c>
      <c r="DN57" s="90">
        <f>DN7/DO7</f>
        <v>0.26455811807231228</v>
      </c>
      <c r="DO57" s="89"/>
      <c r="DP57" s="90">
        <f>DP7/DT7</f>
        <v>0.2238536609995212</v>
      </c>
      <c r="DQ57" s="90">
        <f>DQ7/DT7</f>
        <v>0.25193535614312035</v>
      </c>
      <c r="DR57" s="90">
        <f>DR7/DT7</f>
        <v>0.25393601926543335</v>
      </c>
      <c r="DS57" s="90">
        <f>DS7/DT7</f>
        <v>0.27027496359192515</v>
      </c>
      <c r="DT57" s="89"/>
      <c r="DU57" s="89"/>
      <c r="DV57" s="89"/>
    </row>
    <row r="58" spans="1:126" s="15" customFormat="1" hidden="1" outlineLevel="1">
      <c r="B58" s="317" t="s">
        <v>457</v>
      </c>
      <c r="C58" s="16"/>
      <c r="D58" s="16"/>
      <c r="E58" s="16"/>
      <c r="F58" s="16"/>
      <c r="G58" s="16"/>
      <c r="H58" s="16"/>
      <c r="I58" s="16"/>
      <c r="J58" s="91"/>
      <c r="K58" s="91"/>
      <c r="L58" s="91"/>
      <c r="M58" s="91"/>
      <c r="N58" s="115"/>
      <c r="O58" s="90"/>
      <c r="P58" s="90"/>
      <c r="Q58" s="90"/>
      <c r="R58" s="90"/>
      <c r="S58" s="115"/>
      <c r="T58" s="90"/>
      <c r="U58" s="90"/>
      <c r="V58" s="90"/>
      <c r="W58" s="90"/>
      <c r="X58" s="115"/>
      <c r="Y58" s="90"/>
      <c r="Z58" s="90"/>
      <c r="AA58" s="90"/>
      <c r="AB58" s="90"/>
      <c r="AC58" s="115"/>
      <c r="AD58" s="90"/>
      <c r="AE58" s="90"/>
      <c r="AF58" s="90"/>
      <c r="AG58" s="90"/>
      <c r="AH58" s="115"/>
      <c r="AI58" s="90"/>
      <c r="AJ58" s="90"/>
      <c r="AK58" s="90"/>
      <c r="AL58" s="90"/>
      <c r="AM58" s="115"/>
      <c r="AN58" s="90"/>
      <c r="AO58" s="90"/>
      <c r="AP58" s="90"/>
      <c r="AQ58" s="90"/>
      <c r="AR58" s="115"/>
      <c r="AS58" s="90"/>
      <c r="AT58" s="90"/>
      <c r="AU58" s="90"/>
      <c r="AV58" s="90"/>
      <c r="AW58" s="89"/>
      <c r="AX58" s="90"/>
      <c r="AY58" s="90"/>
      <c r="AZ58" s="90"/>
      <c r="BA58" s="90"/>
      <c r="BB58" s="89"/>
      <c r="BC58" s="90"/>
      <c r="BD58" s="90"/>
      <c r="BE58" s="90"/>
      <c r="BF58" s="90"/>
      <c r="BG58" s="89"/>
      <c r="BH58" s="90"/>
      <c r="BI58" s="90"/>
      <c r="BJ58" s="90"/>
      <c r="BK58" s="90"/>
      <c r="BL58" s="89"/>
      <c r="BM58" s="90"/>
      <c r="BN58" s="90"/>
      <c r="BO58" s="90"/>
      <c r="BP58" s="90"/>
      <c r="BQ58" s="89"/>
      <c r="BR58" s="90"/>
      <c r="BS58" s="90"/>
      <c r="BT58" s="90"/>
      <c r="BU58" s="90"/>
      <c r="BV58" s="89"/>
      <c r="BW58" s="90"/>
      <c r="BX58" s="90"/>
      <c r="BY58" s="90"/>
      <c r="BZ58" s="90"/>
      <c r="CA58" s="89"/>
      <c r="CB58" s="90"/>
      <c r="CC58" s="90"/>
      <c r="CD58" s="90"/>
      <c r="CE58" s="90"/>
      <c r="CF58" s="89"/>
      <c r="CG58" s="90">
        <f>CG8/CK8</f>
        <v>0.37420679357969394</v>
      </c>
      <c r="CH58" s="90">
        <f>CH8/CK8</f>
        <v>0.18215752146323255</v>
      </c>
      <c r="CI58" s="90">
        <f>CI8/CK8</f>
        <v>0.19802164986935425</v>
      </c>
      <c r="CJ58" s="90">
        <f>CJ8/CK8</f>
        <v>0.24561403508771928</v>
      </c>
      <c r="CK58" s="481"/>
      <c r="CL58" s="90">
        <f>CL8/CP8</f>
        <v>0.23535634007668915</v>
      </c>
      <c r="CM58" s="90">
        <f>CM8/CP8</f>
        <v>0.24646304376570144</v>
      </c>
      <c r="CN58" s="90">
        <f>CN8/CP8</f>
        <v>0.24236414121380404</v>
      </c>
      <c r="CO58" s="90">
        <f>CO8/CP8</f>
        <v>0.27581647494380535</v>
      </c>
      <c r="CP58" s="481"/>
      <c r="CQ58" s="90">
        <f>CQ8/CU8</f>
        <v>0.23568345323741008</v>
      </c>
      <c r="CR58" s="90">
        <f>CR8/CU8</f>
        <v>0.24805755395683454</v>
      </c>
      <c r="CS58" s="90">
        <f>CS8/CU8</f>
        <v>0.25841726618705035</v>
      </c>
      <c r="CT58" s="90">
        <f>CT8/CU8</f>
        <v>0.25784172661870502</v>
      </c>
      <c r="CU58" s="481"/>
      <c r="CV58" s="90">
        <f>CV8/CZ8</f>
        <v>0.23696682464454977</v>
      </c>
      <c r="CW58" s="90">
        <f>CW8/CZ8</f>
        <v>0.24658090724441437</v>
      </c>
      <c r="CX58" s="90">
        <f>CX8/CZ8</f>
        <v>0.23480027081922816</v>
      </c>
      <c r="CY58" s="90">
        <f>CY8/CZ8</f>
        <v>0.28165199729180773</v>
      </c>
      <c r="CZ58" s="89"/>
      <c r="DA58" s="90">
        <f>DA8/DE8</f>
        <v>0.21937067618835082</v>
      </c>
      <c r="DB58" s="90">
        <f>DB8/DE8</f>
        <v>0.26500781075652757</v>
      </c>
      <c r="DC58" s="90">
        <f>DC8/DE8</f>
        <v>0.24603883061816559</v>
      </c>
      <c r="DD58" s="90">
        <f>DD8/DE8</f>
        <v>0.26958268243695604</v>
      </c>
      <c r="DE58" s="89"/>
      <c r="DF58" s="90">
        <f>DF8/DJ8</f>
        <v>0.24390758518831102</v>
      </c>
      <c r="DG58" s="90">
        <f>DG8/DJ8</f>
        <v>0.25329676126173645</v>
      </c>
      <c r="DH58" s="90">
        <f>DH8/DJ8</f>
        <v>0.23662833632239688</v>
      </c>
      <c r="DI58" s="90">
        <f>DI8/DJ8</f>
        <v>0.26616731722755566</v>
      </c>
      <c r="DJ58" s="89"/>
      <c r="DK58" s="90">
        <f>DK8/DO8</f>
        <v>0.23218986816930676</v>
      </c>
      <c r="DL58" s="90">
        <f>DL8/DO8</f>
        <v>0.25606825822630519</v>
      </c>
      <c r="DM58" s="90">
        <f>DM8/DO8</f>
        <v>0.24202496740449891</v>
      </c>
      <c r="DN58" s="90">
        <f>DN8/DO8</f>
        <v>0.26971690619988908</v>
      </c>
      <c r="DO58" s="89"/>
      <c r="DP58" s="90">
        <f>DP8/DT8</f>
        <v>0.23526877465610455</v>
      </c>
      <c r="DQ58" s="90">
        <f>DQ8/DT8</f>
        <v>0.25580937953656713</v>
      </c>
      <c r="DR58" s="90">
        <f>DR8/DT8</f>
        <v>0.23947761674345322</v>
      </c>
      <c r="DS58" s="90">
        <f>DS8/DT8</f>
        <v>0.26944422906387516</v>
      </c>
      <c r="DT58" s="89"/>
      <c r="DU58" s="89"/>
      <c r="DV58" s="89"/>
    </row>
    <row r="59" spans="1:126" s="15" customFormat="1" hidden="1" outlineLevel="1">
      <c r="B59" s="317" t="s">
        <v>644</v>
      </c>
      <c r="C59" s="16"/>
      <c r="D59" s="16"/>
      <c r="E59" s="16"/>
      <c r="F59" s="16"/>
      <c r="G59" s="16"/>
      <c r="H59" s="16"/>
      <c r="I59" s="16"/>
      <c r="J59" s="91"/>
      <c r="K59" s="91"/>
      <c r="L59" s="91"/>
      <c r="M59" s="91"/>
      <c r="N59" s="115"/>
      <c r="O59" s="90"/>
      <c r="P59" s="90"/>
      <c r="Q59" s="90"/>
      <c r="R59" s="90"/>
      <c r="S59" s="115"/>
      <c r="T59" s="90" t="e">
        <f>#REF!/#REF!</f>
        <v>#REF!</v>
      </c>
      <c r="U59" s="90" t="e">
        <f>#REF!/#REF!</f>
        <v>#REF!</v>
      </c>
      <c r="V59" s="90" t="e">
        <f>#REF!/#REF!</f>
        <v>#REF!</v>
      </c>
      <c r="W59" s="90" t="e">
        <f>#REF!/#REF!</f>
        <v>#REF!</v>
      </c>
      <c r="X59" s="115"/>
      <c r="Y59" s="90" t="e">
        <f>#REF!/#REF!</f>
        <v>#REF!</v>
      </c>
      <c r="Z59" s="90" t="e">
        <f>#REF!/#REF!</f>
        <v>#REF!</v>
      </c>
      <c r="AA59" s="90" t="e">
        <f>#REF!/#REF!</f>
        <v>#REF!</v>
      </c>
      <c r="AB59" s="90" t="e">
        <f>#REF!/#REF!</f>
        <v>#REF!</v>
      </c>
      <c r="AC59" s="115"/>
      <c r="AD59" s="90" t="e">
        <f>#REF!/#REF!</f>
        <v>#REF!</v>
      </c>
      <c r="AE59" s="90" t="e">
        <f>#REF!/#REF!</f>
        <v>#REF!</v>
      </c>
      <c r="AF59" s="90" t="e">
        <f>#REF!/#REF!</f>
        <v>#REF!</v>
      </c>
      <c r="AG59" s="90" t="e">
        <f>#REF!/#REF!</f>
        <v>#REF!</v>
      </c>
      <c r="AH59" s="115"/>
      <c r="AI59" s="90"/>
      <c r="AJ59" s="90"/>
      <c r="AK59" s="90"/>
      <c r="AL59" s="90"/>
      <c r="AM59" s="115"/>
      <c r="AN59" s="90"/>
      <c r="AO59" s="90"/>
      <c r="AP59" s="90"/>
      <c r="AQ59" s="90"/>
      <c r="AR59" s="115"/>
      <c r="AS59" s="90"/>
      <c r="AT59" s="90"/>
      <c r="AU59" s="90"/>
      <c r="AV59" s="90"/>
      <c r="AW59" s="89"/>
      <c r="AX59" s="90"/>
      <c r="AY59" s="90"/>
      <c r="AZ59" s="90"/>
      <c r="BA59" s="90"/>
      <c r="BB59" s="89"/>
      <c r="BC59" s="90"/>
      <c r="BD59" s="90"/>
      <c r="BE59" s="90"/>
      <c r="BF59" s="90"/>
      <c r="BG59" s="89"/>
      <c r="BH59" s="90"/>
      <c r="BI59" s="90"/>
      <c r="BJ59" s="90"/>
      <c r="BK59" s="90"/>
      <c r="BL59" s="89"/>
      <c r="BM59" s="90"/>
      <c r="BN59" s="90"/>
      <c r="BO59" s="90"/>
      <c r="BP59" s="90"/>
      <c r="BQ59" s="89"/>
      <c r="BR59" s="90"/>
      <c r="BS59" s="90"/>
      <c r="BT59" s="90"/>
      <c r="BU59" s="90"/>
      <c r="BV59" s="89"/>
      <c r="BW59" s="90"/>
      <c r="BX59" s="90"/>
      <c r="BY59" s="90"/>
      <c r="BZ59" s="90"/>
      <c r="CA59" s="89"/>
      <c r="CB59" s="90"/>
      <c r="CC59" s="90"/>
      <c r="CD59" s="90"/>
      <c r="CE59" s="90"/>
      <c r="CF59" s="89"/>
      <c r="CG59" s="90" t="e">
        <f>CG9/CK9</f>
        <v>#DIV/0!</v>
      </c>
      <c r="CH59" s="90" t="e">
        <f>CH9/CK9</f>
        <v>#DIV/0!</v>
      </c>
      <c r="CI59" s="90" t="e">
        <f>CI9/CK9</f>
        <v>#DIV/0!</v>
      </c>
      <c r="CJ59" s="90" t="e">
        <f>CJ9/CK9</f>
        <v>#DIV/0!</v>
      </c>
      <c r="CK59" s="481"/>
      <c r="CL59" s="90">
        <f>CL9/CP9</f>
        <v>0.24397905759162303</v>
      </c>
      <c r="CM59" s="90">
        <f>CM9/CP9</f>
        <v>0.26387434554973821</v>
      </c>
      <c r="CN59" s="90">
        <f>CN9/CP9</f>
        <v>0.23141361256544501</v>
      </c>
      <c r="CO59" s="90">
        <f>CO9/CP9</f>
        <v>0.26073298429319369</v>
      </c>
      <c r="CP59" s="481"/>
      <c r="CQ59" s="90">
        <f>CQ9/CU9</f>
        <v>0.25853187379265935</v>
      </c>
      <c r="CR59" s="90">
        <f>CR9/CU9</f>
        <v>0.2607855763039279</v>
      </c>
      <c r="CS59" s="90">
        <f>CS9/CU9</f>
        <v>0.1983258209916291</v>
      </c>
      <c r="CT59" s="90">
        <f>CT9/CU9</f>
        <v>0.28235672891178365</v>
      </c>
      <c r="CU59" s="481"/>
      <c r="CV59" s="90">
        <f>CV9/CZ9</f>
        <v>0.25836996956374703</v>
      </c>
      <c r="CW59" s="90">
        <f>CW9/CZ9</f>
        <v>0.2590463307406155</v>
      </c>
      <c r="CX59" s="90">
        <f>CX9/CZ9</f>
        <v>0.21812647954007439</v>
      </c>
      <c r="CY59" s="90">
        <f>CY9/CZ9</f>
        <v>0.26445722015556306</v>
      </c>
      <c r="CZ59" s="89"/>
      <c r="DA59" s="90">
        <f>DA9/DE9</f>
        <v>0.23340218353496606</v>
      </c>
      <c r="DB59" s="90">
        <f>DB9/DE9</f>
        <v>0.24992623192682206</v>
      </c>
      <c r="DC59" s="90">
        <f>DC9/DE9</f>
        <v>0.2484508704632635</v>
      </c>
      <c r="DD59" s="90">
        <f>DD9/DE9</f>
        <v>0.26822071407494835</v>
      </c>
      <c r="DE59" s="89"/>
      <c r="DF59" s="90">
        <f>DF9/DJ9</f>
        <v>0.24539363484087101</v>
      </c>
      <c r="DG59" s="90">
        <f>DG9/DJ9</f>
        <v>0.2431602456728085</v>
      </c>
      <c r="DH59" s="90">
        <f>DH9/DJ9</f>
        <v>0.25097710776102738</v>
      </c>
      <c r="DI59" s="90">
        <f>DI9/DJ9</f>
        <v>0.26046901172529313</v>
      </c>
      <c r="DJ59" s="89"/>
      <c r="DK59" s="90">
        <f>DK9/DO9</f>
        <v>1</v>
      </c>
      <c r="DL59" s="90">
        <f>DL9/DO9</f>
        <v>0</v>
      </c>
      <c r="DM59" s="90">
        <f>DM9/DO9</f>
        <v>0</v>
      </c>
      <c r="DN59" s="90">
        <f>DN9/DO9</f>
        <v>0</v>
      </c>
      <c r="DO59" s="89"/>
      <c r="DP59" s="90" t="str">
        <f>IFERROR(DP9/DT9,"")</f>
        <v/>
      </c>
      <c r="DQ59" s="90" t="str">
        <f>IFERROR(DQ9/DT9,"")</f>
        <v/>
      </c>
      <c r="DR59" s="90" t="str">
        <f>IFERROR(DR9/DT9,"")</f>
        <v/>
      </c>
      <c r="DS59" s="90" t="str">
        <f>IFERROR(DS9/DT9,"")</f>
        <v/>
      </c>
      <c r="DT59" s="89"/>
      <c r="DU59" s="89"/>
      <c r="DV59" s="89"/>
    </row>
    <row r="60" spans="1:126" s="15" customFormat="1" ht="12" hidden="1" outlineLevel="1">
      <c r="B60" s="169" t="s">
        <v>70</v>
      </c>
      <c r="C60" s="178"/>
      <c r="D60" s="178"/>
      <c r="E60" s="178"/>
      <c r="F60" s="178"/>
      <c r="G60" s="178"/>
      <c r="H60" s="178"/>
      <c r="I60" s="178"/>
      <c r="J60" s="114" t="e">
        <f>J11/N11</f>
        <v>#DIV/0!</v>
      </c>
      <c r="K60" s="114" t="e">
        <f>K11/N11</f>
        <v>#DIV/0!</v>
      </c>
      <c r="L60" s="114" t="e">
        <f>L11/N11</f>
        <v>#DIV/0!</v>
      </c>
      <c r="M60" s="114" t="e">
        <f>M11/N11</f>
        <v>#DIV/0!</v>
      </c>
      <c r="N60" s="113"/>
      <c r="O60" s="114" t="e">
        <f>O11/S11</f>
        <v>#DIV/0!</v>
      </c>
      <c r="P60" s="114" t="e">
        <f>P11/S11</f>
        <v>#DIV/0!</v>
      </c>
      <c r="Q60" s="114" t="e">
        <f>Q11/S11</f>
        <v>#DIV/0!</v>
      </c>
      <c r="R60" s="114" t="e">
        <f>R11/S11</f>
        <v>#DIV/0!</v>
      </c>
      <c r="S60" s="113"/>
      <c r="T60" s="114" t="e">
        <f>T11/X11</f>
        <v>#DIV/0!</v>
      </c>
      <c r="U60" s="114" t="e">
        <f>U11/X11</f>
        <v>#DIV/0!</v>
      </c>
      <c r="V60" s="114" t="e">
        <f>V11/X11</f>
        <v>#DIV/0!</v>
      </c>
      <c r="W60" s="114" t="e">
        <f>W11/X11</f>
        <v>#DIV/0!</v>
      </c>
      <c r="X60" s="113"/>
      <c r="Y60" s="114"/>
      <c r="Z60" s="114"/>
      <c r="AA60" s="114"/>
      <c r="AB60" s="114"/>
      <c r="AC60" s="113"/>
      <c r="AD60" s="114"/>
      <c r="AE60" s="114"/>
      <c r="AF60" s="114"/>
      <c r="AG60" s="114"/>
      <c r="AH60" s="113"/>
      <c r="AI60" s="114"/>
      <c r="AJ60" s="114"/>
      <c r="AK60" s="114"/>
      <c r="AL60" s="114"/>
      <c r="AM60" s="113"/>
      <c r="AN60" s="114"/>
      <c r="AO60" s="114"/>
      <c r="AP60" s="114"/>
      <c r="AQ60" s="114"/>
      <c r="AR60" s="113"/>
      <c r="AS60" s="114"/>
      <c r="AT60" s="114"/>
      <c r="AU60" s="114"/>
      <c r="AV60" s="114"/>
      <c r="AW60" s="112"/>
      <c r="AX60" s="114"/>
      <c r="AY60" s="114"/>
      <c r="AZ60" s="114"/>
      <c r="BA60" s="114"/>
      <c r="BB60" s="112"/>
      <c r="BC60" s="114"/>
      <c r="BD60" s="114"/>
      <c r="BE60" s="114"/>
      <c r="BF60" s="114"/>
      <c r="BG60" s="112"/>
      <c r="BH60" s="114"/>
      <c r="BI60" s="114"/>
      <c r="BJ60" s="114"/>
      <c r="BK60" s="114"/>
      <c r="BL60" s="112"/>
      <c r="BM60" s="114"/>
      <c r="BN60" s="114"/>
      <c r="BO60" s="114"/>
      <c r="BP60" s="114"/>
      <c r="BQ60" s="112"/>
      <c r="BR60" s="114"/>
      <c r="BS60" s="114"/>
      <c r="BT60" s="114"/>
      <c r="BU60" s="114"/>
      <c r="BV60" s="112"/>
      <c r="BW60" s="114"/>
      <c r="BX60" s="114"/>
      <c r="BY60" s="114"/>
      <c r="BZ60" s="114"/>
      <c r="CA60" s="112"/>
      <c r="CB60" s="114"/>
      <c r="CC60" s="114"/>
      <c r="CD60" s="114"/>
      <c r="CE60" s="114"/>
      <c r="CF60" s="112"/>
      <c r="CG60" s="114">
        <f>CG11/CK11</f>
        <v>0.26894336432797972</v>
      </c>
      <c r="CH60" s="114">
        <f>CH11/CK11</f>
        <v>0.23073541842772613</v>
      </c>
      <c r="CI60" s="114">
        <f>CI11/CK11</f>
        <v>0.23864750633981402</v>
      </c>
      <c r="CJ60" s="114">
        <f>CJ11/CK11</f>
        <v>0.26167371090448005</v>
      </c>
      <c r="CK60" s="482"/>
      <c r="CL60" s="114">
        <f>CL11/CP11</f>
        <v>0.31272116867797839</v>
      </c>
      <c r="CM60" s="114">
        <f>CM11/CP11</f>
        <v>0.19884765447781508</v>
      </c>
      <c r="CN60" s="114">
        <f>CN11/CP11</f>
        <v>0.22321023500589784</v>
      </c>
      <c r="CO60" s="114">
        <f>CO11/CP11</f>
        <v>0.26522094183830869</v>
      </c>
      <c r="CP60" s="482"/>
      <c r="CQ60" s="114">
        <f>CQ11/CU11</f>
        <v>0.23425621773815111</v>
      </c>
      <c r="CR60" s="114">
        <f>CR11/CU11</f>
        <v>0.22707648991083998</v>
      </c>
      <c r="CS60" s="114">
        <f>CS11/CU11</f>
        <v>0.25330830595964338</v>
      </c>
      <c r="CT60" s="114">
        <f>CT11/CU11</f>
        <v>0.28535898639136553</v>
      </c>
      <c r="CU60" s="482"/>
      <c r="CV60" s="114">
        <f>CV11/CZ11</f>
        <v>0.21508637236084452</v>
      </c>
      <c r="CW60" s="114">
        <f>CW11/CZ11</f>
        <v>0.23520153550863723</v>
      </c>
      <c r="CX60" s="114">
        <f>CX11/CZ11</f>
        <v>0.25738963531669867</v>
      </c>
      <c r="CY60" s="114">
        <f>CY11/CZ11</f>
        <v>0.29232245681381958</v>
      </c>
      <c r="CZ60" s="112"/>
      <c r="DA60" s="114">
        <f>DA11/DE11</f>
        <v>0.22043178973717145</v>
      </c>
      <c r="DB60" s="114">
        <f>DB11/DE11</f>
        <v>0.24740300375469337</v>
      </c>
      <c r="DC60" s="114">
        <f>DC11/DE11</f>
        <v>0.2647371714643304</v>
      </c>
      <c r="DD60" s="114">
        <f>DD11/DE11</f>
        <v>0.26742803504380475</v>
      </c>
      <c r="DE60" s="112"/>
      <c r="DF60" s="114">
        <f>DF11/DJ11</f>
        <v>0.22994789442214059</v>
      </c>
      <c r="DG60" s="114">
        <f>DG11/DJ11</f>
        <v>0.2341334244469121</v>
      </c>
      <c r="DH60" s="114">
        <f>DH11/DJ11</f>
        <v>0.25463397967028273</v>
      </c>
      <c r="DI60" s="114">
        <f>DI11/DJ11</f>
        <v>0.28128470146066453</v>
      </c>
      <c r="DJ60" s="112"/>
      <c r="DK60" s="114">
        <f>DK11/DO11</f>
        <v>0.22602317484591322</v>
      </c>
      <c r="DL60" s="114">
        <f>DL11/DO11</f>
        <v>0.25490070523951397</v>
      </c>
      <c r="DM60" s="114">
        <f>DM11/DO11</f>
        <v>0.25276276355454774</v>
      </c>
      <c r="DN60" s="114">
        <f>DN11/DO11</f>
        <v>0.2663133563600249</v>
      </c>
      <c r="DO60" s="112"/>
      <c r="DP60" s="114">
        <f>DP11/DT11</f>
        <v>0.22600019744293373</v>
      </c>
      <c r="DQ60" s="114">
        <f>DQ11/DT11</f>
        <v>0.25316797439988598</v>
      </c>
      <c r="DR60" s="114">
        <f>DR11/DT11</f>
        <v>0.2506422097593915</v>
      </c>
      <c r="DS60" s="114">
        <f>DS11/DT11</f>
        <v>0.27018961839778871</v>
      </c>
      <c r="DT60" s="112"/>
      <c r="DU60" s="112"/>
      <c r="DV60" s="112"/>
    </row>
    <row r="61" spans="1:126" s="15" customFormat="1" collapsed="1">
      <c r="C61" s="16"/>
      <c r="D61" s="16"/>
      <c r="E61" s="16"/>
      <c r="F61" s="16"/>
      <c r="G61" s="16"/>
      <c r="H61" s="16"/>
      <c r="I61" s="16"/>
      <c r="J61" s="12"/>
      <c r="K61" s="12"/>
      <c r="L61" s="12"/>
      <c r="M61" s="12"/>
      <c r="N61" s="136"/>
      <c r="S61" s="136"/>
      <c r="X61" s="136"/>
      <c r="AC61" s="136"/>
      <c r="AH61" s="136"/>
      <c r="AM61" s="136"/>
      <c r="AR61" s="16"/>
      <c r="AW61" s="16"/>
      <c r="BB61" s="16"/>
      <c r="BG61" s="16"/>
      <c r="BL61" s="16"/>
      <c r="BQ61" s="16"/>
      <c r="BV61" s="16"/>
      <c r="CA61" s="16"/>
      <c r="CF61" s="16"/>
      <c r="CK61" s="440"/>
      <c r="CP61" s="440"/>
      <c r="CU61" s="440"/>
      <c r="CZ61" s="16"/>
      <c r="DE61" s="16"/>
      <c r="DJ61" s="16"/>
      <c r="DO61" s="16"/>
      <c r="DT61" s="16"/>
      <c r="DU61" s="16"/>
      <c r="DV61" s="16"/>
    </row>
    <row r="62" spans="1:126" s="15" customFormat="1" ht="12">
      <c r="B62" s="1063" t="s">
        <v>640</v>
      </c>
      <c r="C62" s="16"/>
      <c r="D62" s="16"/>
      <c r="E62" s="16"/>
      <c r="F62" s="16"/>
      <c r="G62" s="16"/>
      <c r="H62" s="16"/>
      <c r="I62" s="16"/>
      <c r="J62" s="12"/>
      <c r="K62" s="12"/>
      <c r="L62" s="12"/>
      <c r="M62" s="91"/>
      <c r="N62" s="16"/>
      <c r="O62" s="91"/>
      <c r="P62" s="91"/>
      <c r="Q62" s="91"/>
      <c r="R62" s="91"/>
      <c r="S62" s="136"/>
      <c r="T62" s="91"/>
      <c r="U62" s="91"/>
      <c r="V62" s="91"/>
      <c r="W62" s="91"/>
      <c r="X62" s="136"/>
      <c r="Y62" s="91"/>
      <c r="Z62" s="91"/>
      <c r="AA62" s="91"/>
      <c r="AB62" s="91"/>
      <c r="AC62" s="136"/>
      <c r="AD62" s="91"/>
      <c r="AE62" s="91"/>
      <c r="AF62" s="91"/>
      <c r="AG62" s="91"/>
      <c r="AH62" s="136"/>
      <c r="AI62" s="91"/>
      <c r="AK62" s="91"/>
      <c r="AL62" s="91"/>
      <c r="AM62" s="136"/>
      <c r="AN62" s="91"/>
      <c r="AO62" s="12"/>
      <c r="AP62" s="12"/>
      <c r="AQ62" s="12"/>
      <c r="AR62" s="16"/>
      <c r="AS62" s="12"/>
      <c r="AT62" s="12"/>
      <c r="AU62" s="12"/>
      <c r="AV62" s="323"/>
      <c r="AW62" s="16"/>
      <c r="AX62" s="12"/>
      <c r="AY62" s="12"/>
      <c r="AZ62" s="12"/>
      <c r="BA62" s="323"/>
      <c r="BB62" s="16"/>
      <c r="BC62" s="12"/>
      <c r="BD62" s="12"/>
      <c r="BE62" s="12"/>
      <c r="BF62" s="323"/>
      <c r="BG62" s="16"/>
      <c r="BH62" s="12"/>
      <c r="BI62" s="12"/>
      <c r="BJ62" s="12"/>
      <c r="BK62" s="323"/>
      <c r="BL62" s="16"/>
      <c r="BM62" s="12"/>
      <c r="BN62" s="12"/>
      <c r="BO62" s="12"/>
      <c r="BP62" s="323"/>
      <c r="BQ62" s="16"/>
      <c r="BR62" s="12"/>
      <c r="BS62" s="323"/>
      <c r="BT62" s="323"/>
      <c r="BU62" s="323"/>
      <c r="BV62" s="16"/>
      <c r="BW62" s="12"/>
      <c r="BX62" s="323"/>
      <c r="BY62" s="323"/>
      <c r="BZ62" s="323"/>
      <c r="CA62" s="16"/>
      <c r="CB62" s="12"/>
      <c r="CC62" s="323"/>
      <c r="CD62" s="323"/>
      <c r="CE62" s="323"/>
      <c r="CF62" s="16"/>
      <c r="CG62" s="323"/>
      <c r="CH62" s="323"/>
      <c r="CI62" s="323"/>
      <c r="CJ62" s="323"/>
      <c r="CK62" s="440"/>
      <c r="CL62" s="323"/>
      <c r="CM62" s="323"/>
      <c r="CN62" s="323"/>
      <c r="CO62" s="323"/>
      <c r="CP62" s="440"/>
      <c r="CQ62" s="323"/>
      <c r="CR62" s="323"/>
      <c r="CS62" s="323"/>
      <c r="CT62" s="323"/>
      <c r="CU62" s="440"/>
      <c r="CV62" s="323"/>
      <c r="CW62" s="323"/>
      <c r="CX62" s="323"/>
      <c r="CY62" s="323"/>
      <c r="CZ62" s="75"/>
      <c r="DA62" s="323"/>
      <c r="DB62" s="323"/>
      <c r="DC62" s="323"/>
      <c r="DD62" s="323"/>
      <c r="DE62" s="16"/>
      <c r="DF62" s="323"/>
      <c r="DG62" s="323"/>
      <c r="DH62" s="323"/>
      <c r="DI62" s="323"/>
      <c r="DJ62" s="16"/>
      <c r="DK62" s="323"/>
      <c r="DL62" s="323"/>
      <c r="DM62" s="323"/>
      <c r="DN62" s="323"/>
      <c r="DO62" s="16"/>
      <c r="DP62" s="323"/>
      <c r="DQ62" s="323"/>
      <c r="DR62" s="323"/>
      <c r="DS62" s="323"/>
      <c r="DT62" s="16"/>
      <c r="DU62" s="16"/>
      <c r="DV62" s="16"/>
    </row>
    <row r="63" spans="1:126" s="306" customFormat="1">
      <c r="B63" s="221" t="s">
        <v>381</v>
      </c>
      <c r="C63" s="308"/>
      <c r="D63" s="308"/>
      <c r="E63" s="308"/>
      <c r="F63" s="308"/>
      <c r="G63" s="308"/>
      <c r="H63" s="308"/>
      <c r="I63" s="308"/>
      <c r="J63" s="315"/>
      <c r="K63" s="315"/>
      <c r="L63" s="315"/>
      <c r="M63" s="322"/>
      <c r="N63" s="308"/>
      <c r="O63" s="322"/>
      <c r="P63" s="322"/>
      <c r="Q63" s="322"/>
      <c r="R63" s="322"/>
      <c r="S63" s="316"/>
      <c r="T63" s="322"/>
      <c r="U63" s="322"/>
      <c r="V63" s="322"/>
      <c r="W63" s="322"/>
      <c r="X63" s="316"/>
      <c r="Y63" s="322"/>
      <c r="Z63" s="322"/>
      <c r="AA63" s="322"/>
      <c r="AB63" s="322"/>
      <c r="AC63" s="316"/>
      <c r="AD63" s="322"/>
      <c r="AE63" s="322"/>
      <c r="AF63" s="322"/>
      <c r="AG63" s="322"/>
      <c r="AH63" s="143"/>
      <c r="AI63" s="100"/>
      <c r="AJ63" s="100"/>
      <c r="AK63" s="100"/>
      <c r="AL63" s="100"/>
      <c r="AM63" s="143"/>
      <c r="AN63" s="100"/>
      <c r="AO63" s="100"/>
      <c r="AP63" s="100"/>
      <c r="AQ63" s="100"/>
      <c r="AR63" s="143"/>
      <c r="AS63" s="100"/>
      <c r="AT63" s="100"/>
      <c r="AU63" s="344"/>
      <c r="AV63" s="344"/>
      <c r="AW63" s="102"/>
      <c r="AX63" s="344"/>
      <c r="AY63" s="344"/>
      <c r="AZ63" s="344"/>
      <c r="BA63" s="344"/>
      <c r="BB63" s="102"/>
      <c r="BC63" s="344"/>
      <c r="BD63" s="344"/>
      <c r="BE63" s="344"/>
      <c r="BF63" s="344"/>
      <c r="BG63" s="238"/>
      <c r="BH63" s="344"/>
      <c r="BI63" s="344"/>
      <c r="BJ63" s="344"/>
      <c r="BK63" s="344"/>
      <c r="BL63" s="238"/>
      <c r="BM63" s="344"/>
      <c r="BN63" s="344"/>
      <c r="BO63" s="344"/>
      <c r="BP63" s="344"/>
      <c r="BQ63" s="238"/>
      <c r="BR63" s="344"/>
      <c r="BS63" s="344"/>
      <c r="BT63" s="344"/>
      <c r="BU63" s="344"/>
      <c r="BV63" s="238"/>
      <c r="BW63" s="344"/>
      <c r="BX63" s="344"/>
      <c r="BY63" s="344"/>
      <c r="BZ63" s="344"/>
      <c r="CA63" s="238"/>
      <c r="CB63" s="344"/>
      <c r="CC63" s="344"/>
      <c r="CD63" s="344"/>
      <c r="CE63" s="344"/>
      <c r="CF63" s="238"/>
      <c r="CG63" s="344"/>
      <c r="CH63" s="344"/>
      <c r="CI63" s="344"/>
      <c r="CJ63" s="344"/>
      <c r="CK63" s="483"/>
      <c r="CL63" s="344"/>
      <c r="CM63" s="344"/>
      <c r="CN63" s="344"/>
      <c r="CO63" s="344"/>
      <c r="CP63" s="483"/>
      <c r="CQ63" s="344"/>
      <c r="CR63" s="344"/>
      <c r="CS63" s="344"/>
      <c r="CT63" s="344"/>
      <c r="CU63" s="483"/>
      <c r="CV63" s="344"/>
      <c r="CW63" s="344"/>
      <c r="CX63" s="344"/>
      <c r="CY63" s="344"/>
      <c r="CZ63" s="238"/>
      <c r="DA63" s="344">
        <f>data!DA161</f>
        <v>1214</v>
      </c>
      <c r="DB63" s="344">
        <f>data!DB161</f>
        <v>1389</v>
      </c>
      <c r="DC63" s="344">
        <f>data!DC161</f>
        <v>1545</v>
      </c>
      <c r="DD63" s="344">
        <f>data!DD161</f>
        <v>1495</v>
      </c>
      <c r="DE63" s="238">
        <f>SUM(DA63:DD63)</f>
        <v>5643</v>
      </c>
      <c r="DF63" s="344">
        <f>data!DF161</f>
        <v>1419</v>
      </c>
      <c r="DG63" s="344">
        <f>data!DG161</f>
        <v>1679</v>
      </c>
      <c r="DH63" s="344">
        <f>data!DH161</f>
        <v>1799</v>
      </c>
      <c r="DI63" s="344">
        <f>data!DI161</f>
        <v>2158</v>
      </c>
      <c r="DJ63" s="1048">
        <f>SUM(DF63:DI63)</f>
        <v>7055</v>
      </c>
      <c r="DK63" s="344">
        <f>data!DK161</f>
        <v>1920</v>
      </c>
      <c r="DL63" s="344">
        <f>data!DL161</f>
        <v>2232</v>
      </c>
      <c r="DM63" s="1042">
        <f t="shared" ref="DM63:DN64" si="341">DM7*DM84</f>
        <v>2075.6892000000003</v>
      </c>
      <c r="DN63" s="1042">
        <f t="shared" si="341"/>
        <v>2063.9699999999998</v>
      </c>
      <c r="DO63" s="1048">
        <f>SUM(DK63:DN63)</f>
        <v>8291.6592000000001</v>
      </c>
      <c r="DP63" s="1042">
        <f t="shared" ref="DP63:DS63" si="342">DP7*DP84</f>
        <v>2241.8496399999999</v>
      </c>
      <c r="DQ63" s="1042">
        <f t="shared" si="342"/>
        <v>2459.3220000000001</v>
      </c>
      <c r="DR63" s="1042">
        <f t="shared" si="342"/>
        <v>2432.9472450000003</v>
      </c>
      <c r="DS63" s="1042">
        <f t="shared" si="342"/>
        <v>2482.0015302719999</v>
      </c>
      <c r="DT63" s="1048">
        <f>SUM(DP63:DS63)</f>
        <v>9616.1204152720002</v>
      </c>
      <c r="DU63" s="1043">
        <f t="shared" ref="DU63:DV64" si="343">DU7*DU84</f>
        <v>10516.299225166726</v>
      </c>
      <c r="DV63" s="1043">
        <f t="shared" si="343"/>
        <v>11336.965914324663</v>
      </c>
    </row>
    <row r="64" spans="1:126" s="306" customFormat="1">
      <c r="B64" s="317" t="s">
        <v>457</v>
      </c>
      <c r="C64" s="308"/>
      <c r="D64" s="308"/>
      <c r="E64" s="308"/>
      <c r="F64" s="308"/>
      <c r="G64" s="308"/>
      <c r="H64" s="308"/>
      <c r="I64" s="308"/>
      <c r="J64" s="315"/>
      <c r="K64" s="315"/>
      <c r="L64" s="315"/>
      <c r="M64" s="322"/>
      <c r="N64" s="308"/>
      <c r="O64" s="322"/>
      <c r="P64" s="322"/>
      <c r="Q64" s="322"/>
      <c r="R64" s="322"/>
      <c r="S64" s="316"/>
      <c r="T64" s="322"/>
      <c r="U64" s="322"/>
      <c r="V64" s="322"/>
      <c r="W64" s="322"/>
      <c r="X64" s="316"/>
      <c r="Y64" s="322"/>
      <c r="Z64" s="322"/>
      <c r="AA64" s="322"/>
      <c r="AB64" s="322"/>
      <c r="AC64" s="316"/>
      <c r="AD64" s="322"/>
      <c r="AE64" s="322"/>
      <c r="AF64" s="322"/>
      <c r="AG64" s="322"/>
      <c r="AH64" s="143"/>
      <c r="AI64" s="100"/>
      <c r="AJ64" s="100"/>
      <c r="AK64" s="100"/>
      <c r="AL64" s="100"/>
      <c r="AM64" s="143"/>
      <c r="AN64" s="100"/>
      <c r="AO64" s="100"/>
      <c r="AP64" s="100"/>
      <c r="AQ64" s="100"/>
      <c r="AR64" s="143"/>
      <c r="AS64" s="100"/>
      <c r="AT64" s="100"/>
      <c r="AU64" s="344"/>
      <c r="AV64" s="344"/>
      <c r="AW64" s="102"/>
      <c r="AX64" s="344"/>
      <c r="AY64" s="344"/>
      <c r="AZ64" s="344"/>
      <c r="BA64" s="344"/>
      <c r="BB64" s="102"/>
      <c r="BC64" s="344"/>
      <c r="BD64" s="344"/>
      <c r="BE64" s="344"/>
      <c r="BF64" s="344"/>
      <c r="BG64" s="238"/>
      <c r="BH64" s="344"/>
      <c r="BI64" s="344"/>
      <c r="BJ64" s="344"/>
      <c r="BK64" s="344"/>
      <c r="BL64" s="238"/>
      <c r="BM64" s="344"/>
      <c r="BN64" s="344"/>
      <c r="BO64" s="344"/>
      <c r="BP64" s="344"/>
      <c r="BQ64" s="238"/>
      <c r="BR64" s="344"/>
      <c r="BS64" s="344"/>
      <c r="BT64" s="344"/>
      <c r="BU64" s="344"/>
      <c r="BV64" s="238"/>
      <c r="BW64" s="344"/>
      <c r="BX64" s="344"/>
      <c r="BY64" s="344"/>
      <c r="BZ64" s="344"/>
      <c r="CA64" s="238"/>
      <c r="CB64" s="344"/>
      <c r="CC64" s="344"/>
      <c r="CD64" s="344"/>
      <c r="CE64" s="344"/>
      <c r="CF64" s="238"/>
      <c r="CG64" s="344"/>
      <c r="CH64" s="344"/>
      <c r="CI64" s="344"/>
      <c r="CJ64" s="344"/>
      <c r="CK64" s="483"/>
      <c r="CL64" s="344"/>
      <c r="CM64" s="344"/>
      <c r="CN64" s="344"/>
      <c r="CO64" s="344"/>
      <c r="CP64" s="483"/>
      <c r="CQ64" s="344"/>
      <c r="CR64" s="344"/>
      <c r="CS64" s="344"/>
      <c r="CT64" s="344"/>
      <c r="CU64" s="483"/>
      <c r="CV64" s="344"/>
      <c r="CW64" s="344"/>
      <c r="CX64" s="344"/>
      <c r="CY64" s="344"/>
      <c r="CZ64" s="238"/>
      <c r="DA64" s="344">
        <f>data!DA162</f>
        <v>201</v>
      </c>
      <c r="DB64" s="344">
        <f>data!DB162</f>
        <v>201</v>
      </c>
      <c r="DC64" s="344">
        <f>data!DC162</f>
        <v>269</v>
      </c>
      <c r="DD64" s="344">
        <f>data!DD162</f>
        <v>237</v>
      </c>
      <c r="DE64" s="238">
        <f>SUM(DA64:DD64)</f>
        <v>908</v>
      </c>
      <c r="DF64" s="344">
        <f>data!DF162</f>
        <v>256</v>
      </c>
      <c r="DG64" s="344">
        <f>data!DG162</f>
        <v>344</v>
      </c>
      <c r="DH64" s="344">
        <f>data!DH162</f>
        <v>220</v>
      </c>
      <c r="DI64" s="344">
        <f>data!DI162</f>
        <v>241</v>
      </c>
      <c r="DJ64" s="1048">
        <f>SUM(DF64:DI64)</f>
        <v>1061</v>
      </c>
      <c r="DK64" s="344">
        <f>data!DK162</f>
        <v>296</v>
      </c>
      <c r="DL64" s="344">
        <f>data!DL162</f>
        <v>362</v>
      </c>
      <c r="DM64" s="1042">
        <f t="shared" si="341"/>
        <v>295.53768000000002</v>
      </c>
      <c r="DN64" s="1042">
        <f t="shared" si="341"/>
        <v>323.95319999999998</v>
      </c>
      <c r="DO64" s="1048">
        <f>SUM(DK64:DN64)</f>
        <v>1277.4908800000001</v>
      </c>
      <c r="DP64" s="1042">
        <f t="shared" ref="DP64:DS64" si="344">DP8*DP85</f>
        <v>297.00719999999995</v>
      </c>
      <c r="DQ64" s="1042">
        <f t="shared" si="344"/>
        <v>336.39375000000001</v>
      </c>
      <c r="DR64" s="1042">
        <f t="shared" si="344"/>
        <v>319.95587520000004</v>
      </c>
      <c r="DS64" s="1042">
        <f t="shared" si="344"/>
        <v>396.84267000000006</v>
      </c>
      <c r="DT64" s="1048">
        <f>SUM(DP64:DS64)</f>
        <v>1350.1994952</v>
      </c>
      <c r="DU64" s="1043">
        <f t="shared" si="343"/>
        <v>1435.9988506500001</v>
      </c>
      <c r="DV64" s="1043">
        <f t="shared" si="343"/>
        <v>1499.1828000785999</v>
      </c>
    </row>
    <row r="65" spans="2:126" s="306" customFormat="1" hidden="1" outlineLevel="1">
      <c r="B65" s="317" t="s">
        <v>644</v>
      </c>
      <c r="C65" s="308"/>
      <c r="D65" s="308"/>
      <c r="E65" s="308"/>
      <c r="F65" s="308"/>
      <c r="G65" s="308"/>
      <c r="H65" s="308"/>
      <c r="I65" s="308"/>
      <c r="J65" s="315"/>
      <c r="K65" s="315"/>
      <c r="L65" s="315"/>
      <c r="M65" s="322"/>
      <c r="N65" s="308"/>
      <c r="O65" s="322"/>
      <c r="P65" s="322"/>
      <c r="Q65" s="322"/>
      <c r="R65" s="322"/>
      <c r="S65" s="316"/>
      <c r="T65" s="322"/>
      <c r="U65" s="322"/>
      <c r="V65" s="322"/>
      <c r="W65" s="322"/>
      <c r="X65" s="316"/>
      <c r="Y65" s="322"/>
      <c r="Z65" s="322"/>
      <c r="AA65" s="322"/>
      <c r="AB65" s="322"/>
      <c r="AC65" s="316"/>
      <c r="AD65" s="322"/>
      <c r="AE65" s="322"/>
      <c r="AF65" s="322"/>
      <c r="AG65" s="322"/>
      <c r="AH65" s="143"/>
      <c r="AI65" s="99"/>
      <c r="AJ65" s="99"/>
      <c r="AK65" s="99"/>
      <c r="AL65" s="99"/>
      <c r="AM65" s="143"/>
      <c r="AN65" s="99"/>
      <c r="AO65" s="99"/>
      <c r="AP65" s="99"/>
      <c r="AQ65" s="99"/>
      <c r="AR65" s="143"/>
      <c r="AS65" s="99"/>
      <c r="AT65" s="99"/>
      <c r="AU65" s="345"/>
      <c r="AV65" s="345"/>
      <c r="AW65" s="102"/>
      <c r="AX65" s="345"/>
      <c r="AY65" s="345"/>
      <c r="AZ65" s="345"/>
      <c r="BA65" s="345"/>
      <c r="BB65" s="102"/>
      <c r="BC65" s="345"/>
      <c r="BD65" s="345"/>
      <c r="BE65" s="345"/>
      <c r="BF65" s="345"/>
      <c r="BG65" s="238"/>
      <c r="BH65" s="345"/>
      <c r="BI65" s="345"/>
      <c r="BJ65" s="345"/>
      <c r="BK65" s="345"/>
      <c r="BL65" s="238"/>
      <c r="BM65" s="345"/>
      <c r="BN65" s="345"/>
      <c r="BO65" s="345"/>
      <c r="BP65" s="345"/>
      <c r="BQ65" s="238"/>
      <c r="BR65" s="345"/>
      <c r="BS65" s="345"/>
      <c r="BT65" s="345"/>
      <c r="BU65" s="345"/>
      <c r="BV65" s="238"/>
      <c r="BW65" s="345"/>
      <c r="BX65" s="345"/>
      <c r="BY65" s="345"/>
      <c r="BZ65" s="345"/>
      <c r="CA65" s="238"/>
      <c r="CB65" s="345"/>
      <c r="CC65" s="345"/>
      <c r="CD65" s="345"/>
      <c r="CE65" s="345"/>
      <c r="CF65" s="238"/>
      <c r="CG65" s="345"/>
      <c r="CH65" s="345"/>
      <c r="CI65" s="345"/>
      <c r="CJ65" s="345"/>
      <c r="CK65" s="483"/>
      <c r="CL65" s="345"/>
      <c r="CM65" s="345"/>
      <c r="CN65" s="345"/>
      <c r="CO65" s="345"/>
      <c r="CP65" s="483"/>
      <c r="CQ65" s="345"/>
      <c r="CR65" s="345"/>
      <c r="CS65" s="345"/>
      <c r="CT65" s="345"/>
      <c r="CU65" s="483"/>
      <c r="CV65" s="345"/>
      <c r="CW65" s="345"/>
      <c r="CX65" s="345"/>
      <c r="CY65" s="345"/>
      <c r="CZ65" s="238"/>
      <c r="DA65" s="345"/>
      <c r="DB65" s="345"/>
      <c r="DC65" s="153"/>
      <c r="DD65" s="153"/>
      <c r="DE65" s="238"/>
      <c r="DF65" s="153"/>
      <c r="DG65" s="153"/>
      <c r="DH65" s="153"/>
      <c r="DI65" s="153"/>
      <c r="DJ65" s="238"/>
      <c r="DK65" s="153"/>
      <c r="DL65" s="153"/>
      <c r="DM65" s="153"/>
      <c r="DN65" s="153"/>
      <c r="DO65" s="238"/>
      <c r="DP65" s="153"/>
      <c r="DQ65" s="153"/>
      <c r="DR65" s="153"/>
      <c r="DS65" s="153"/>
      <c r="DT65" s="238"/>
      <c r="DU65" s="154"/>
      <c r="DV65" s="154"/>
    </row>
    <row r="66" spans="2:126" s="306" customFormat="1" hidden="1" outlineLevel="1">
      <c r="B66" s="221" t="s">
        <v>558</v>
      </c>
      <c r="C66" s="308"/>
      <c r="D66" s="308"/>
      <c r="E66" s="308"/>
      <c r="F66" s="308"/>
      <c r="G66" s="308"/>
      <c r="H66" s="308"/>
      <c r="I66" s="308"/>
      <c r="J66" s="315"/>
      <c r="K66" s="315"/>
      <c r="L66" s="315"/>
      <c r="M66" s="322"/>
      <c r="N66" s="308"/>
      <c r="O66" s="322"/>
      <c r="P66" s="322"/>
      <c r="Q66" s="322"/>
      <c r="R66" s="322"/>
      <c r="S66" s="316"/>
      <c r="T66" s="322"/>
      <c r="U66" s="322"/>
      <c r="V66" s="322"/>
      <c r="W66" s="322"/>
      <c r="X66" s="316"/>
      <c r="Y66" s="322"/>
      <c r="Z66" s="322"/>
      <c r="AA66" s="322"/>
      <c r="AB66" s="322"/>
      <c r="AC66" s="316"/>
      <c r="AD66" s="322"/>
      <c r="AE66" s="322"/>
      <c r="AF66" s="322"/>
      <c r="AG66" s="322"/>
      <c r="AH66" s="143"/>
      <c r="AI66" s="99"/>
      <c r="AJ66" s="99"/>
      <c r="AK66" s="99"/>
      <c r="AL66" s="99"/>
      <c r="AM66" s="143"/>
      <c r="AN66" s="99"/>
      <c r="AO66" s="99"/>
      <c r="AP66" s="99"/>
      <c r="AQ66" s="99"/>
      <c r="AR66" s="143"/>
      <c r="AS66" s="99"/>
      <c r="AT66" s="99"/>
      <c r="AU66" s="345"/>
      <c r="AV66" s="345"/>
      <c r="AW66" s="102"/>
      <c r="AX66" s="345"/>
      <c r="AY66" s="345"/>
      <c r="AZ66" s="345"/>
      <c r="BA66" s="345"/>
      <c r="BB66" s="102"/>
      <c r="BC66" s="345"/>
      <c r="BD66" s="345"/>
      <c r="BE66" s="345"/>
      <c r="BF66" s="345"/>
      <c r="BG66" s="238"/>
      <c r="BH66" s="345"/>
      <c r="BI66" s="345"/>
      <c r="BJ66" s="345"/>
      <c r="BK66" s="345"/>
      <c r="BL66" s="238"/>
      <c r="BM66" s="345"/>
      <c r="BN66" s="345"/>
      <c r="BO66" s="345"/>
      <c r="BP66" s="345"/>
      <c r="BQ66" s="238"/>
      <c r="BR66" s="345"/>
      <c r="BS66" s="345"/>
      <c r="BT66" s="345"/>
      <c r="BU66" s="345"/>
      <c r="BV66" s="238"/>
      <c r="BW66" s="345"/>
      <c r="BX66" s="345"/>
      <c r="BY66" s="345"/>
      <c r="BZ66" s="345"/>
      <c r="CA66" s="238"/>
      <c r="CB66" s="345"/>
      <c r="CC66" s="345"/>
      <c r="CD66" s="345"/>
      <c r="CE66" s="345"/>
      <c r="CF66" s="238"/>
      <c r="CG66" s="345"/>
      <c r="CH66" s="345"/>
      <c r="CI66" s="345"/>
      <c r="CJ66" s="345"/>
      <c r="CK66" s="483"/>
      <c r="CL66" s="345"/>
      <c r="CM66" s="345"/>
      <c r="CN66" s="345"/>
      <c r="CO66" s="345"/>
      <c r="CP66" s="483"/>
      <c r="CQ66" s="345"/>
      <c r="CR66" s="345"/>
      <c r="CS66" s="345"/>
      <c r="CT66" s="345"/>
      <c r="CU66" s="483"/>
      <c r="CV66" s="345"/>
      <c r="CW66" s="345"/>
      <c r="CX66" s="345"/>
      <c r="CY66" s="345"/>
      <c r="CZ66" s="238"/>
      <c r="DA66" s="345"/>
      <c r="DB66" s="345"/>
      <c r="DC66" s="153"/>
      <c r="DD66" s="153"/>
      <c r="DE66" s="238"/>
      <c r="DF66" s="153"/>
      <c r="DG66" s="153"/>
      <c r="DH66" s="153"/>
      <c r="DI66" s="153"/>
      <c r="DJ66" s="238"/>
      <c r="DK66" s="153"/>
      <c r="DL66" s="153"/>
      <c r="DM66" s="153"/>
      <c r="DN66" s="153"/>
      <c r="DO66" s="154"/>
      <c r="DP66" s="153"/>
      <c r="DQ66" s="153"/>
      <c r="DR66" s="153"/>
      <c r="DS66" s="153"/>
      <c r="DT66" s="154"/>
      <c r="DU66" s="154"/>
      <c r="DV66" s="154"/>
    </row>
    <row r="67" spans="2:126" s="15" customFormat="1" collapsed="1">
      <c r="B67" s="375" t="s">
        <v>643</v>
      </c>
      <c r="C67" s="87"/>
      <c r="D67" s="87"/>
      <c r="E67" s="87"/>
      <c r="F67" s="87"/>
      <c r="G67" s="87"/>
      <c r="H67" s="87"/>
      <c r="I67" s="87"/>
      <c r="J67" s="86"/>
      <c r="K67" s="86"/>
      <c r="L67" s="86"/>
      <c r="M67" s="86"/>
      <c r="N67" s="172"/>
      <c r="O67" s="86"/>
      <c r="P67" s="86"/>
      <c r="Q67" s="86"/>
      <c r="R67" s="86"/>
      <c r="S67" s="172"/>
      <c r="T67" s="86"/>
      <c r="U67" s="86"/>
      <c r="V67" s="86"/>
      <c r="W67" s="86"/>
      <c r="X67" s="172"/>
      <c r="Y67" s="86"/>
      <c r="Z67" s="86"/>
      <c r="AA67" s="86"/>
      <c r="AB67" s="86"/>
      <c r="AC67" s="172"/>
      <c r="AD67" s="86"/>
      <c r="AE67" s="86"/>
      <c r="AF67" s="86"/>
      <c r="AG67" s="86"/>
      <c r="AH67" s="172"/>
      <c r="AI67" s="86"/>
      <c r="AJ67" s="86"/>
      <c r="AK67" s="86"/>
      <c r="AL67" s="86"/>
      <c r="AM67" s="172"/>
      <c r="AN67" s="86"/>
      <c r="AO67" s="86"/>
      <c r="AP67" s="86"/>
      <c r="AQ67" s="86"/>
      <c r="AR67" s="172"/>
      <c r="AS67" s="86"/>
      <c r="AT67" s="86"/>
      <c r="AU67" s="86"/>
      <c r="AV67" s="86"/>
      <c r="AW67" s="87"/>
      <c r="AX67" s="86"/>
      <c r="AY67" s="86"/>
      <c r="AZ67" s="86"/>
      <c r="BA67" s="86"/>
      <c r="BB67" s="87"/>
      <c r="BC67" s="86"/>
      <c r="BD67" s="86"/>
      <c r="BE67" s="86"/>
      <c r="BF67" s="86"/>
      <c r="BG67" s="87"/>
      <c r="BH67" s="86"/>
      <c r="BI67" s="86"/>
      <c r="BJ67" s="86"/>
      <c r="BK67" s="86"/>
      <c r="BL67" s="87"/>
      <c r="BM67" s="86"/>
      <c r="BN67" s="86"/>
      <c r="BO67" s="86"/>
      <c r="BP67" s="86"/>
      <c r="BQ67" s="87"/>
      <c r="BR67" s="86"/>
      <c r="BS67" s="86"/>
      <c r="BT67" s="86"/>
      <c r="BU67" s="86"/>
      <c r="BV67" s="87"/>
      <c r="BW67" s="86"/>
      <c r="BX67" s="86"/>
      <c r="BY67" s="86"/>
      <c r="BZ67" s="86"/>
      <c r="CA67" s="87"/>
      <c r="CB67" s="86"/>
      <c r="CC67" s="86"/>
      <c r="CD67" s="86"/>
      <c r="CE67" s="86"/>
      <c r="CF67" s="87"/>
      <c r="CG67" s="86"/>
      <c r="CH67" s="86"/>
      <c r="CI67" s="86"/>
      <c r="CJ67" s="86"/>
      <c r="CK67" s="87"/>
      <c r="CL67" s="86">
        <f>data!CL163</f>
        <v>1003</v>
      </c>
      <c r="CM67" s="86">
        <f>data!CM163</f>
        <v>-687</v>
      </c>
      <c r="CN67" s="86">
        <f>data!CN163</f>
        <v>350</v>
      </c>
      <c r="CO67" s="86">
        <f>data!CO163</f>
        <v>563</v>
      </c>
      <c r="CP67" s="87">
        <f>SUM(CL67:CO67)</f>
        <v>1229</v>
      </c>
      <c r="CQ67" s="86">
        <f>data!CQ163</f>
        <v>641</v>
      </c>
      <c r="CR67" s="86">
        <f>data!CR163</f>
        <v>176</v>
      </c>
      <c r="CS67" s="86">
        <f>data!CS163</f>
        <v>846</v>
      </c>
      <c r="CT67" s="86">
        <f>data!CT163</f>
        <v>1219</v>
      </c>
      <c r="CU67" s="87">
        <f>SUM(CQ67:CT67)</f>
        <v>2882</v>
      </c>
      <c r="CV67" s="86">
        <f>data!CV163</f>
        <v>908</v>
      </c>
      <c r="CW67" s="86">
        <f>data!CW163</f>
        <v>1148</v>
      </c>
      <c r="CX67" s="86">
        <f>data!CX163</f>
        <v>1284</v>
      </c>
      <c r="CY67" s="86">
        <f>data!CY163</f>
        <v>1435</v>
      </c>
      <c r="CZ67" s="87">
        <f>SUM(CV67:CY67)</f>
        <v>4775</v>
      </c>
      <c r="DA67" s="86">
        <f>data!DA163</f>
        <v>1415</v>
      </c>
      <c r="DB67" s="86">
        <f>data!DB163</f>
        <v>1590</v>
      </c>
      <c r="DC67" s="86">
        <f>data!DC163</f>
        <v>1814</v>
      </c>
      <c r="DD67" s="86">
        <f>data!DD163</f>
        <v>1732</v>
      </c>
      <c r="DE67" s="87">
        <f>data!DE163</f>
        <v>6551</v>
      </c>
      <c r="DF67" s="86">
        <f>data!DF163</f>
        <v>1675</v>
      </c>
      <c r="DG67" s="86">
        <f>data!DG163</f>
        <v>2023</v>
      </c>
      <c r="DH67" s="86">
        <f t="shared" ref="DH67:DS67" si="345">SUM(DH63:DH66)</f>
        <v>2019</v>
      </c>
      <c r="DI67" s="86">
        <f t="shared" si="345"/>
        <v>2399</v>
      </c>
      <c r="DJ67" s="505">
        <f t="shared" si="345"/>
        <v>8116</v>
      </c>
      <c r="DK67" s="86">
        <f t="shared" ref="DK67:DN67" si="346">SUM(DK63:DK66)</f>
        <v>2216</v>
      </c>
      <c r="DL67" s="86">
        <f t="shared" si="346"/>
        <v>2594</v>
      </c>
      <c r="DM67" s="86">
        <f t="shared" si="346"/>
        <v>2371.2268800000002</v>
      </c>
      <c r="DN67" s="86">
        <f t="shared" si="346"/>
        <v>2387.9231999999997</v>
      </c>
      <c r="DO67" s="87">
        <f t="shared" si="345"/>
        <v>9569.1500799999994</v>
      </c>
      <c r="DP67" s="86">
        <f t="shared" ref="DP67" si="347">SUM(DP63:DP66)</f>
        <v>2538.8568399999999</v>
      </c>
      <c r="DQ67" s="86">
        <f t="shared" si="345"/>
        <v>2795.7157500000003</v>
      </c>
      <c r="DR67" s="86">
        <f t="shared" si="345"/>
        <v>2752.9031202000006</v>
      </c>
      <c r="DS67" s="86">
        <f t="shared" si="345"/>
        <v>2878.8442002719999</v>
      </c>
      <c r="DT67" s="87">
        <f t="shared" ref="DT67" si="348">SUM(DT63:DT66)</f>
        <v>10966.319910472001</v>
      </c>
      <c r="DU67" s="87">
        <f t="shared" ref="DU67" si="349">SUM(DU63:DU66)</f>
        <v>11952.298075816725</v>
      </c>
      <c r="DV67" s="87">
        <f t="shared" ref="DV67" si="350">SUM(DV63:DV66)</f>
        <v>12836.148714403262</v>
      </c>
    </row>
    <row r="68" spans="2:126" s="15" customFormat="1">
      <c r="B68" s="318" t="s">
        <v>641</v>
      </c>
      <c r="C68" s="102"/>
      <c r="D68" s="102"/>
      <c r="E68" s="102"/>
      <c r="F68" s="102"/>
      <c r="G68" s="102"/>
      <c r="H68" s="102"/>
      <c r="I68" s="102"/>
      <c r="J68" s="100"/>
      <c r="K68" s="100"/>
      <c r="L68" s="100"/>
      <c r="M68" s="100"/>
      <c r="N68" s="143"/>
      <c r="O68" s="99"/>
      <c r="P68" s="99"/>
      <c r="Q68" s="99"/>
      <c r="R68" s="99"/>
      <c r="S68" s="143"/>
      <c r="T68" s="99"/>
      <c r="U68" s="99"/>
      <c r="V68" s="99"/>
      <c r="W68" s="99"/>
      <c r="X68" s="143"/>
      <c r="Y68" s="99"/>
      <c r="Z68" s="99"/>
      <c r="AA68" s="99"/>
      <c r="AB68" s="99"/>
      <c r="AC68" s="143"/>
      <c r="AD68" s="99"/>
      <c r="AE68" s="99"/>
      <c r="AF68" s="99"/>
      <c r="AG68" s="99"/>
      <c r="AH68" s="143"/>
      <c r="AI68" s="99"/>
      <c r="AJ68" s="99"/>
      <c r="AK68" s="99"/>
      <c r="AL68" s="99"/>
      <c r="AM68" s="143"/>
      <c r="AN68" s="99"/>
      <c r="AO68" s="99"/>
      <c r="AP68" s="99"/>
      <c r="AQ68" s="99"/>
      <c r="AR68" s="143"/>
      <c r="AS68" s="99"/>
      <c r="AT68" s="99"/>
      <c r="AU68" s="99"/>
      <c r="AV68" s="99"/>
      <c r="AW68" s="155"/>
      <c r="AX68" s="99"/>
      <c r="AY68" s="99"/>
      <c r="AZ68" s="99"/>
      <c r="BA68" s="99"/>
      <c r="BB68" s="155"/>
      <c r="BC68" s="345"/>
      <c r="BD68" s="345"/>
      <c r="BE68" s="345"/>
      <c r="BF68" s="345"/>
      <c r="BG68" s="434"/>
      <c r="BH68" s="345"/>
      <c r="BI68" s="345"/>
      <c r="BJ68" s="345"/>
      <c r="BK68" s="345"/>
      <c r="BL68" s="434"/>
      <c r="BM68" s="345"/>
      <c r="BN68" s="345"/>
      <c r="BO68" s="345"/>
      <c r="BP68" s="345"/>
      <c r="BQ68" s="434"/>
      <c r="BR68" s="345"/>
      <c r="BS68" s="345"/>
      <c r="BT68" s="345"/>
      <c r="BU68" s="345"/>
      <c r="BV68" s="434"/>
      <c r="BW68" s="345"/>
      <c r="BX68" s="345"/>
      <c r="BY68" s="345"/>
      <c r="BZ68" s="345"/>
      <c r="CA68" s="434"/>
      <c r="CB68" s="345"/>
      <c r="CC68" s="138"/>
      <c r="CD68" s="138"/>
      <c r="CE68" s="138"/>
      <c r="CF68" s="434"/>
      <c r="CG68" s="138"/>
      <c r="CH68" s="138"/>
      <c r="CI68" s="138"/>
      <c r="CJ68" s="138"/>
      <c r="CK68" s="434"/>
      <c r="CL68" s="138"/>
      <c r="CM68" s="138"/>
      <c r="CN68" s="138"/>
      <c r="CO68" s="138"/>
      <c r="CP68" s="434"/>
      <c r="CQ68" s="138"/>
      <c r="CR68" s="138"/>
      <c r="CS68" s="138"/>
      <c r="CT68" s="138"/>
      <c r="CU68" s="434"/>
      <c r="CV68" s="138"/>
      <c r="CW68" s="138"/>
      <c r="CX68" s="138"/>
      <c r="CY68" s="138"/>
      <c r="CZ68" s="497"/>
      <c r="DA68" s="345">
        <f>data!DA164</f>
        <v>-90</v>
      </c>
      <c r="DB68" s="345">
        <f>data!DB164</f>
        <v>-121</v>
      </c>
      <c r="DC68" s="1068">
        <f>data!DC164</f>
        <v>-136</v>
      </c>
      <c r="DD68" s="1076">
        <f>data!DD164</f>
        <v>-276</v>
      </c>
      <c r="DE68" s="497">
        <f>SUM(DA68:DD68)</f>
        <v>-623</v>
      </c>
      <c r="DF68" s="1068">
        <f>data!DF164</f>
        <v>-3</v>
      </c>
      <c r="DG68" s="1068">
        <f>data!DG164</f>
        <v>16</v>
      </c>
      <c r="DH68" s="1068">
        <f>data!DH164</f>
        <v>-96</v>
      </c>
      <c r="DI68" s="1068">
        <f>data!DI164</f>
        <v>-313</v>
      </c>
      <c r="DJ68" s="497">
        <f>SUM(DF68:DI68)</f>
        <v>-396</v>
      </c>
      <c r="DK68" s="1068">
        <f>data!DK164</f>
        <v>38</v>
      </c>
      <c r="DL68" s="1068">
        <f>data!DL164</f>
        <v>-120</v>
      </c>
      <c r="DM68" s="138">
        <v>-90</v>
      </c>
      <c r="DN68" s="138">
        <v>-150</v>
      </c>
      <c r="DO68" s="1065">
        <f>SUM(DK68:DN68)</f>
        <v>-322</v>
      </c>
      <c r="DP68" s="138">
        <v>-40</v>
      </c>
      <c r="DQ68" s="138">
        <v>-50</v>
      </c>
      <c r="DR68" s="138">
        <v>-90</v>
      </c>
      <c r="DS68" s="138">
        <v>-130</v>
      </c>
      <c r="DT68" s="1065">
        <f>SUM(DP68:DS68)</f>
        <v>-310</v>
      </c>
      <c r="DU68" s="464">
        <v>-320</v>
      </c>
      <c r="DV68" s="464">
        <v>-330</v>
      </c>
    </row>
    <row r="69" spans="2:126" s="15" customFormat="1">
      <c r="B69" s="318" t="s">
        <v>642</v>
      </c>
      <c r="C69" s="102"/>
      <c r="D69" s="102"/>
      <c r="E69" s="102"/>
      <c r="F69" s="102"/>
      <c r="G69" s="102"/>
      <c r="H69" s="102"/>
      <c r="I69" s="279"/>
      <c r="J69" s="280"/>
      <c r="K69" s="280"/>
      <c r="L69" s="280"/>
      <c r="M69" s="280"/>
      <c r="N69" s="281"/>
      <c r="O69" s="282"/>
      <c r="P69" s="282"/>
      <c r="Q69" s="282"/>
      <c r="R69" s="282"/>
      <c r="S69" s="281"/>
      <c r="T69" s="282"/>
      <c r="U69" s="282"/>
      <c r="V69" s="282"/>
      <c r="W69" s="282"/>
      <c r="X69" s="281"/>
      <c r="Y69" s="282"/>
      <c r="Z69" s="282"/>
      <c r="AA69" s="282"/>
      <c r="AB69" s="282"/>
      <c r="AC69" s="281"/>
      <c r="AD69" s="282"/>
      <c r="AE69" s="282"/>
      <c r="AF69" s="282"/>
      <c r="AG69" s="282"/>
      <c r="AH69" s="281"/>
      <c r="AI69" s="282"/>
      <c r="AJ69" s="282"/>
      <c r="AK69" s="282"/>
      <c r="AL69" s="282"/>
      <c r="AM69" s="281"/>
      <c r="AN69" s="282"/>
      <c r="AO69" s="282"/>
      <c r="AP69" s="282"/>
      <c r="AQ69" s="282"/>
      <c r="AR69" s="281"/>
      <c r="AS69" s="282"/>
      <c r="AT69" s="282"/>
      <c r="AU69" s="282"/>
      <c r="AV69" s="282"/>
      <c r="AW69" s="279"/>
      <c r="AX69" s="282"/>
      <c r="AY69" s="282"/>
      <c r="AZ69" s="282"/>
      <c r="BA69" s="282"/>
      <c r="BB69" s="279"/>
      <c r="BC69" s="282"/>
      <c r="BD69" s="282"/>
      <c r="BE69" s="282"/>
      <c r="BF69" s="282"/>
      <c r="BG69" s="279"/>
      <c r="BH69" s="282"/>
      <c r="BI69" s="282"/>
      <c r="BJ69" s="282"/>
      <c r="BK69" s="282"/>
      <c r="BL69" s="279"/>
      <c r="BM69" s="282"/>
      <c r="BN69" s="282"/>
      <c r="BO69" s="282"/>
      <c r="BP69" s="282"/>
      <c r="BQ69" s="279"/>
      <c r="BR69" s="282"/>
      <c r="BS69" s="282"/>
      <c r="BT69" s="282"/>
      <c r="BU69" s="282"/>
      <c r="BV69" s="279"/>
      <c r="BW69" s="282"/>
      <c r="BX69" s="282"/>
      <c r="BY69" s="282"/>
      <c r="BZ69" s="282"/>
      <c r="CA69" s="279"/>
      <c r="CB69" s="282"/>
      <c r="CC69" s="282"/>
      <c r="CD69" s="282"/>
      <c r="CE69" s="282"/>
      <c r="CF69" s="279"/>
      <c r="CG69" s="282"/>
      <c r="CH69" s="282"/>
      <c r="CI69" s="282"/>
      <c r="CJ69" s="282"/>
      <c r="CK69" s="279"/>
      <c r="CL69" s="282"/>
      <c r="CM69" s="282"/>
      <c r="CN69" s="282"/>
      <c r="CO69" s="282"/>
      <c r="CP69" s="279"/>
      <c r="CQ69" s="282"/>
      <c r="CR69" s="282"/>
      <c r="CS69" s="282"/>
      <c r="CT69" s="282"/>
      <c r="CU69" s="279"/>
      <c r="CV69" s="282"/>
      <c r="CW69" s="282"/>
      <c r="CX69" s="282"/>
      <c r="CY69" s="282"/>
      <c r="CZ69" s="498"/>
      <c r="DA69" s="282">
        <f>data!DA165</f>
        <v>-78</v>
      </c>
      <c r="DB69" s="282">
        <f>data!DB165</f>
        <v>-84</v>
      </c>
      <c r="DC69" s="1069">
        <f>data!DC165</f>
        <v>-84</v>
      </c>
      <c r="DD69" s="1077">
        <f>data!DD165</f>
        <v>-121</v>
      </c>
      <c r="DE69" s="498">
        <f>SUM(DA69:DD69)</f>
        <v>-367</v>
      </c>
      <c r="DF69" s="1069">
        <f>data!DF165</f>
        <v>-122</v>
      </c>
      <c r="DG69" s="1069">
        <f>data!DG165</f>
        <v>-142</v>
      </c>
      <c r="DH69" s="1069">
        <f>data!DH165</f>
        <v>-105</v>
      </c>
      <c r="DI69" s="1069">
        <f>data!DI165</f>
        <v>-98</v>
      </c>
      <c r="DJ69" s="498">
        <f>SUM(DF69:DI69)</f>
        <v>-467</v>
      </c>
      <c r="DK69" s="1069">
        <f>data!DK165</f>
        <v>-108</v>
      </c>
      <c r="DL69" s="1069">
        <f>data!DL165</f>
        <v>-137</v>
      </c>
      <c r="DM69" s="1059">
        <v>-140</v>
      </c>
      <c r="DN69" s="1059">
        <v>-200</v>
      </c>
      <c r="DO69" s="498">
        <f>SUM(DK69:DN69)</f>
        <v>-585</v>
      </c>
      <c r="DP69" s="1059">
        <v>-120</v>
      </c>
      <c r="DQ69" s="1059">
        <v>-150</v>
      </c>
      <c r="DR69" s="1059">
        <v>-160</v>
      </c>
      <c r="DS69" s="1059">
        <v>-160</v>
      </c>
      <c r="DT69" s="498">
        <f>SUM(DP69:DS69)</f>
        <v>-590</v>
      </c>
      <c r="DU69" s="1066">
        <v>-595</v>
      </c>
      <c r="DV69" s="1066">
        <v>-600</v>
      </c>
    </row>
    <row r="70" spans="2:126" s="15" customFormat="1">
      <c r="B70" s="221" t="s">
        <v>639</v>
      </c>
      <c r="C70" s="102"/>
      <c r="D70" s="102"/>
      <c r="E70" s="102">
        <f>data!E166</f>
        <v>0</v>
      </c>
      <c r="F70" s="102">
        <f>data!F166</f>
        <v>0</v>
      </c>
      <c r="G70" s="102">
        <f>data!G166</f>
        <v>0</v>
      </c>
      <c r="H70" s="102">
        <f>data!H166</f>
        <v>0</v>
      </c>
      <c r="I70" s="102">
        <f t="shared" ref="I70:AN70" si="351">SUM(I68:I69)</f>
        <v>0</v>
      </c>
      <c r="J70" s="100">
        <f t="shared" si="351"/>
        <v>0</v>
      </c>
      <c r="K70" s="100">
        <f t="shared" si="351"/>
        <v>0</v>
      </c>
      <c r="L70" s="100">
        <f t="shared" si="351"/>
        <v>0</v>
      </c>
      <c r="M70" s="100">
        <f t="shared" si="351"/>
        <v>0</v>
      </c>
      <c r="N70" s="143">
        <f t="shared" si="351"/>
        <v>0</v>
      </c>
      <c r="O70" s="99">
        <f t="shared" si="351"/>
        <v>0</v>
      </c>
      <c r="P70" s="99">
        <f t="shared" si="351"/>
        <v>0</v>
      </c>
      <c r="Q70" s="99">
        <f t="shared" si="351"/>
        <v>0</v>
      </c>
      <c r="R70" s="99">
        <f t="shared" si="351"/>
        <v>0</v>
      </c>
      <c r="S70" s="143">
        <f t="shared" si="351"/>
        <v>0</v>
      </c>
      <c r="T70" s="99">
        <f t="shared" si="351"/>
        <v>0</v>
      </c>
      <c r="U70" s="99">
        <f t="shared" si="351"/>
        <v>0</v>
      </c>
      <c r="V70" s="99">
        <f t="shared" si="351"/>
        <v>0</v>
      </c>
      <c r="W70" s="99">
        <f t="shared" si="351"/>
        <v>0</v>
      </c>
      <c r="X70" s="143">
        <f t="shared" si="351"/>
        <v>0</v>
      </c>
      <c r="Y70" s="99">
        <f t="shared" si="351"/>
        <v>0</v>
      </c>
      <c r="Z70" s="99">
        <f t="shared" si="351"/>
        <v>0</v>
      </c>
      <c r="AA70" s="99">
        <f t="shared" si="351"/>
        <v>0</v>
      </c>
      <c r="AB70" s="99">
        <f t="shared" si="351"/>
        <v>0</v>
      </c>
      <c r="AC70" s="143">
        <f t="shared" si="351"/>
        <v>0</v>
      </c>
      <c r="AD70" s="99">
        <f t="shared" si="351"/>
        <v>0</v>
      </c>
      <c r="AE70" s="99">
        <f t="shared" si="351"/>
        <v>0</v>
      </c>
      <c r="AF70" s="99">
        <f t="shared" si="351"/>
        <v>0</v>
      </c>
      <c r="AG70" s="99">
        <f t="shared" si="351"/>
        <v>0</v>
      </c>
      <c r="AH70" s="143">
        <f t="shared" si="351"/>
        <v>0</v>
      </c>
      <c r="AI70" s="99">
        <f t="shared" si="351"/>
        <v>0</v>
      </c>
      <c r="AJ70" s="99">
        <f t="shared" si="351"/>
        <v>0</v>
      </c>
      <c r="AK70" s="99">
        <f t="shared" si="351"/>
        <v>0</v>
      </c>
      <c r="AL70" s="99">
        <f t="shared" si="351"/>
        <v>0</v>
      </c>
      <c r="AM70" s="102">
        <f t="shared" si="351"/>
        <v>0</v>
      </c>
      <c r="AN70" s="99">
        <f t="shared" si="351"/>
        <v>0</v>
      </c>
      <c r="AO70" s="99">
        <f t="shared" ref="AO70:BT70" si="352">SUM(AO68:AO69)</f>
        <v>0</v>
      </c>
      <c r="AP70" s="99">
        <f t="shared" si="352"/>
        <v>0</v>
      </c>
      <c r="AQ70" s="99">
        <f t="shared" si="352"/>
        <v>0</v>
      </c>
      <c r="AR70" s="102">
        <f t="shared" si="352"/>
        <v>0</v>
      </c>
      <c r="AS70" s="99">
        <f t="shared" si="352"/>
        <v>0</v>
      </c>
      <c r="AT70" s="99">
        <f t="shared" si="352"/>
        <v>0</v>
      </c>
      <c r="AU70" s="99">
        <f t="shared" si="352"/>
        <v>0</v>
      </c>
      <c r="AV70" s="99">
        <f t="shared" si="352"/>
        <v>0</v>
      </c>
      <c r="AW70" s="102">
        <f t="shared" si="352"/>
        <v>0</v>
      </c>
      <c r="AX70" s="99">
        <f t="shared" si="352"/>
        <v>0</v>
      </c>
      <c r="AY70" s="99">
        <f t="shared" si="352"/>
        <v>0</v>
      </c>
      <c r="AZ70" s="99">
        <f t="shared" si="352"/>
        <v>0</v>
      </c>
      <c r="BA70" s="99">
        <f t="shared" si="352"/>
        <v>0</v>
      </c>
      <c r="BB70" s="102">
        <f t="shared" si="352"/>
        <v>0</v>
      </c>
      <c r="BC70" s="99">
        <f t="shared" si="352"/>
        <v>0</v>
      </c>
      <c r="BD70" s="99">
        <f t="shared" si="352"/>
        <v>0</v>
      </c>
      <c r="BE70" s="345">
        <f t="shared" si="352"/>
        <v>0</v>
      </c>
      <c r="BF70" s="345">
        <f t="shared" si="352"/>
        <v>0</v>
      </c>
      <c r="BG70" s="238">
        <f t="shared" si="352"/>
        <v>0</v>
      </c>
      <c r="BH70" s="99">
        <f t="shared" si="352"/>
        <v>0</v>
      </c>
      <c r="BI70" s="99">
        <f t="shared" si="352"/>
        <v>0</v>
      </c>
      <c r="BJ70" s="99">
        <f t="shared" si="352"/>
        <v>0</v>
      </c>
      <c r="BK70" s="99">
        <f t="shared" si="352"/>
        <v>0</v>
      </c>
      <c r="BL70" s="238">
        <f t="shared" si="352"/>
        <v>0</v>
      </c>
      <c r="BM70" s="99">
        <f t="shared" si="352"/>
        <v>0</v>
      </c>
      <c r="BN70" s="99">
        <f t="shared" si="352"/>
        <v>0</v>
      </c>
      <c r="BO70" s="99">
        <f t="shared" si="352"/>
        <v>0</v>
      </c>
      <c r="BP70" s="99">
        <f t="shared" si="352"/>
        <v>0</v>
      </c>
      <c r="BQ70" s="238">
        <f t="shared" si="352"/>
        <v>0</v>
      </c>
      <c r="BR70" s="99">
        <f t="shared" si="352"/>
        <v>0</v>
      </c>
      <c r="BS70" s="99">
        <f t="shared" si="352"/>
        <v>0</v>
      </c>
      <c r="BT70" s="99">
        <f t="shared" si="352"/>
        <v>0</v>
      </c>
      <c r="BU70" s="99">
        <f t="shared" ref="BU70:CK70" si="353">SUM(BU68:BU69)</f>
        <v>0</v>
      </c>
      <c r="BV70" s="238">
        <f t="shared" si="353"/>
        <v>0</v>
      </c>
      <c r="BW70" s="99">
        <f t="shared" si="353"/>
        <v>0</v>
      </c>
      <c r="BX70" s="99">
        <f t="shared" si="353"/>
        <v>0</v>
      </c>
      <c r="BY70" s="99">
        <f t="shared" si="353"/>
        <v>0</v>
      </c>
      <c r="BZ70" s="99">
        <f t="shared" si="353"/>
        <v>0</v>
      </c>
      <c r="CA70" s="238">
        <f t="shared" si="353"/>
        <v>0</v>
      </c>
      <c r="CB70" s="99">
        <f t="shared" si="353"/>
        <v>0</v>
      </c>
      <c r="CC70" s="99">
        <f t="shared" si="353"/>
        <v>0</v>
      </c>
      <c r="CD70" s="99">
        <f t="shared" si="353"/>
        <v>0</v>
      </c>
      <c r="CE70" s="99">
        <f t="shared" si="353"/>
        <v>0</v>
      </c>
      <c r="CF70" s="238">
        <f t="shared" si="353"/>
        <v>0</v>
      </c>
      <c r="CG70" s="99">
        <f t="shared" si="353"/>
        <v>0</v>
      </c>
      <c r="CH70" s="99">
        <f t="shared" si="353"/>
        <v>0</v>
      </c>
      <c r="CI70" s="99">
        <f t="shared" si="353"/>
        <v>0</v>
      </c>
      <c r="CJ70" s="99">
        <f t="shared" si="353"/>
        <v>0</v>
      </c>
      <c r="CK70" s="238">
        <f t="shared" si="353"/>
        <v>0</v>
      </c>
      <c r="CL70" s="99">
        <v>29</v>
      </c>
      <c r="CM70" s="99">
        <v>21</v>
      </c>
      <c r="CN70" s="99">
        <v>515</v>
      </c>
      <c r="CO70" s="99">
        <v>452</v>
      </c>
      <c r="CP70" s="238">
        <f>SUM(CL70:CO70)</f>
        <v>1017</v>
      </c>
      <c r="CQ70" s="99">
        <v>157</v>
      </c>
      <c r="CR70" s="99">
        <v>742</v>
      </c>
      <c r="CS70" s="99">
        <v>470</v>
      </c>
      <c r="CT70" s="99">
        <v>356</v>
      </c>
      <c r="CU70" s="238">
        <f>SUM(CQ70:CT70)</f>
        <v>1725</v>
      </c>
      <c r="CV70" s="99">
        <v>-493</v>
      </c>
      <c r="CW70" s="99">
        <v>-130</v>
      </c>
      <c r="CX70" s="99">
        <v>-925</v>
      </c>
      <c r="CY70" s="99">
        <v>-69</v>
      </c>
      <c r="CZ70" s="238">
        <f>SUM(CV70:CY70)</f>
        <v>-1617</v>
      </c>
      <c r="DA70" s="99">
        <f>DA68+DA69</f>
        <v>-168</v>
      </c>
      <c r="DB70" s="99">
        <f>DB68+DB69</f>
        <v>-205</v>
      </c>
      <c r="DC70" s="1070">
        <f t="shared" ref="DC70" si="354">DC68+DC69</f>
        <v>-220</v>
      </c>
      <c r="DD70" s="99">
        <f>data!DD166</f>
        <v>-397</v>
      </c>
      <c r="DE70" s="102">
        <f>SUM(DE68:DE69)</f>
        <v>-990</v>
      </c>
      <c r="DF70" s="99">
        <f>DF68+DF69</f>
        <v>-125</v>
      </c>
      <c r="DG70" s="99">
        <f>DG68+DG69</f>
        <v>-126</v>
      </c>
      <c r="DH70" s="99">
        <f>data!DH166</f>
        <v>-201</v>
      </c>
      <c r="DI70" s="99">
        <f>data!DI166</f>
        <v>-411</v>
      </c>
      <c r="DJ70" s="238">
        <f>SUM(DF70:DI70)</f>
        <v>-863</v>
      </c>
      <c r="DK70" s="99">
        <f>data!DK166</f>
        <v>-70</v>
      </c>
      <c r="DL70" s="99">
        <f>data!DL166</f>
        <v>-257</v>
      </c>
      <c r="DM70" s="99">
        <f t="shared" ref="DM70" si="355">DM68+DM69</f>
        <v>-230</v>
      </c>
      <c r="DN70" s="99">
        <f t="shared" ref="DN70" si="356">DN68+DN69</f>
        <v>-350</v>
      </c>
      <c r="DO70" s="238">
        <f>SUM(DO68:DO69)</f>
        <v>-907</v>
      </c>
      <c r="DP70" s="99">
        <f t="shared" ref="DP70" si="357">DP68+DP69</f>
        <v>-160</v>
      </c>
      <c r="DQ70" s="99">
        <f t="shared" ref="DQ70:DS70" si="358">DQ68+DQ69</f>
        <v>-200</v>
      </c>
      <c r="DR70" s="99">
        <f t="shared" si="358"/>
        <v>-250</v>
      </c>
      <c r="DS70" s="99">
        <f t="shared" si="358"/>
        <v>-290</v>
      </c>
      <c r="DT70" s="238">
        <f>SUM(DT68:DT69)</f>
        <v>-900</v>
      </c>
      <c r="DU70" s="102">
        <f t="shared" ref="DU70" si="359">DU68+DU69</f>
        <v>-915</v>
      </c>
      <c r="DV70" s="102">
        <f t="shared" ref="DV70" si="360">DV68+DV69</f>
        <v>-930</v>
      </c>
    </row>
    <row r="71" spans="2:126" s="15" customFormat="1" ht="12">
      <c r="B71" s="931" t="s">
        <v>640</v>
      </c>
      <c r="C71" s="916">
        <f t="shared" ref="C71:AH71" si="361">C67+C70</f>
        <v>0</v>
      </c>
      <c r="D71" s="916">
        <f t="shared" si="361"/>
        <v>0</v>
      </c>
      <c r="E71" s="916">
        <f t="shared" si="361"/>
        <v>0</v>
      </c>
      <c r="F71" s="916">
        <f t="shared" si="361"/>
        <v>0</v>
      </c>
      <c r="G71" s="916">
        <f t="shared" si="361"/>
        <v>0</v>
      </c>
      <c r="H71" s="916">
        <f t="shared" si="361"/>
        <v>0</v>
      </c>
      <c r="I71" s="916">
        <f t="shared" si="361"/>
        <v>0</v>
      </c>
      <c r="J71" s="917">
        <f t="shared" si="361"/>
        <v>0</v>
      </c>
      <c r="K71" s="917">
        <f t="shared" si="361"/>
        <v>0</v>
      </c>
      <c r="L71" s="917">
        <f t="shared" si="361"/>
        <v>0</v>
      </c>
      <c r="M71" s="917">
        <f t="shared" si="361"/>
        <v>0</v>
      </c>
      <c r="N71" s="918">
        <f t="shared" si="361"/>
        <v>0</v>
      </c>
      <c r="O71" s="917">
        <f t="shared" si="361"/>
        <v>0</v>
      </c>
      <c r="P71" s="917">
        <f t="shared" si="361"/>
        <v>0</v>
      </c>
      <c r="Q71" s="917">
        <f t="shared" si="361"/>
        <v>0</v>
      </c>
      <c r="R71" s="917">
        <f t="shared" si="361"/>
        <v>0</v>
      </c>
      <c r="S71" s="918">
        <f t="shared" si="361"/>
        <v>0</v>
      </c>
      <c r="T71" s="917">
        <f t="shared" si="361"/>
        <v>0</v>
      </c>
      <c r="U71" s="917">
        <f t="shared" si="361"/>
        <v>0</v>
      </c>
      <c r="V71" s="917">
        <f t="shared" si="361"/>
        <v>0</v>
      </c>
      <c r="W71" s="917">
        <f t="shared" si="361"/>
        <v>0</v>
      </c>
      <c r="X71" s="918">
        <f t="shared" si="361"/>
        <v>0</v>
      </c>
      <c r="Y71" s="917">
        <f t="shared" si="361"/>
        <v>0</v>
      </c>
      <c r="Z71" s="917">
        <f t="shared" si="361"/>
        <v>0</v>
      </c>
      <c r="AA71" s="917">
        <f t="shared" si="361"/>
        <v>0</v>
      </c>
      <c r="AB71" s="917">
        <f t="shared" si="361"/>
        <v>0</v>
      </c>
      <c r="AC71" s="918">
        <f t="shared" si="361"/>
        <v>0</v>
      </c>
      <c r="AD71" s="917">
        <f t="shared" si="361"/>
        <v>0</v>
      </c>
      <c r="AE71" s="917">
        <f t="shared" si="361"/>
        <v>0</v>
      </c>
      <c r="AF71" s="917">
        <f t="shared" si="361"/>
        <v>0</v>
      </c>
      <c r="AG71" s="917">
        <f t="shared" si="361"/>
        <v>0</v>
      </c>
      <c r="AH71" s="918">
        <f t="shared" si="361"/>
        <v>0</v>
      </c>
      <c r="AI71" s="917">
        <f t="shared" ref="AI71:BN71" si="362">AI67+AI70</f>
        <v>0</v>
      </c>
      <c r="AJ71" s="917">
        <f t="shared" si="362"/>
        <v>0</v>
      </c>
      <c r="AK71" s="917">
        <f t="shared" si="362"/>
        <v>0</v>
      </c>
      <c r="AL71" s="917">
        <f t="shared" si="362"/>
        <v>0</v>
      </c>
      <c r="AM71" s="918">
        <f t="shared" si="362"/>
        <v>0</v>
      </c>
      <c r="AN71" s="917">
        <f t="shared" si="362"/>
        <v>0</v>
      </c>
      <c r="AO71" s="917">
        <f t="shared" si="362"/>
        <v>0</v>
      </c>
      <c r="AP71" s="917">
        <f t="shared" si="362"/>
        <v>0</v>
      </c>
      <c r="AQ71" s="917">
        <f t="shared" si="362"/>
        <v>0</v>
      </c>
      <c r="AR71" s="918">
        <f t="shared" si="362"/>
        <v>0</v>
      </c>
      <c r="AS71" s="917">
        <f t="shared" si="362"/>
        <v>0</v>
      </c>
      <c r="AT71" s="917">
        <f t="shared" si="362"/>
        <v>0</v>
      </c>
      <c r="AU71" s="917">
        <f t="shared" si="362"/>
        <v>0</v>
      </c>
      <c r="AV71" s="917">
        <f t="shared" si="362"/>
        <v>0</v>
      </c>
      <c r="AW71" s="916">
        <f t="shared" si="362"/>
        <v>0</v>
      </c>
      <c r="AX71" s="917">
        <f t="shared" si="362"/>
        <v>0</v>
      </c>
      <c r="AY71" s="917">
        <f t="shared" si="362"/>
        <v>0</v>
      </c>
      <c r="AZ71" s="917">
        <f t="shared" si="362"/>
        <v>0</v>
      </c>
      <c r="BA71" s="917">
        <f t="shared" si="362"/>
        <v>0</v>
      </c>
      <c r="BB71" s="916">
        <f t="shared" si="362"/>
        <v>0</v>
      </c>
      <c r="BC71" s="917">
        <f t="shared" si="362"/>
        <v>0</v>
      </c>
      <c r="BD71" s="917">
        <f t="shared" si="362"/>
        <v>0</v>
      </c>
      <c r="BE71" s="917">
        <f t="shared" si="362"/>
        <v>0</v>
      </c>
      <c r="BF71" s="917">
        <f t="shared" si="362"/>
        <v>0</v>
      </c>
      <c r="BG71" s="916">
        <f t="shared" si="362"/>
        <v>0</v>
      </c>
      <c r="BH71" s="917">
        <f t="shared" si="362"/>
        <v>0</v>
      </c>
      <c r="BI71" s="917">
        <f t="shared" si="362"/>
        <v>0</v>
      </c>
      <c r="BJ71" s="917">
        <f t="shared" si="362"/>
        <v>0</v>
      </c>
      <c r="BK71" s="917">
        <f t="shared" si="362"/>
        <v>0</v>
      </c>
      <c r="BL71" s="916">
        <f t="shared" si="362"/>
        <v>0</v>
      </c>
      <c r="BM71" s="917">
        <f t="shared" si="362"/>
        <v>0</v>
      </c>
      <c r="BN71" s="917">
        <f t="shared" si="362"/>
        <v>0</v>
      </c>
      <c r="BO71" s="917">
        <f t="shared" ref="BO71:CL71" si="363">BO67+BO70</f>
        <v>0</v>
      </c>
      <c r="BP71" s="917">
        <f t="shared" si="363"/>
        <v>0</v>
      </c>
      <c r="BQ71" s="916">
        <f t="shared" si="363"/>
        <v>0</v>
      </c>
      <c r="BR71" s="917">
        <f t="shared" si="363"/>
        <v>0</v>
      </c>
      <c r="BS71" s="917">
        <f t="shared" si="363"/>
        <v>0</v>
      </c>
      <c r="BT71" s="917">
        <f t="shared" si="363"/>
        <v>0</v>
      </c>
      <c r="BU71" s="917">
        <f t="shared" si="363"/>
        <v>0</v>
      </c>
      <c r="BV71" s="916">
        <f t="shared" si="363"/>
        <v>0</v>
      </c>
      <c r="BW71" s="917">
        <f t="shared" si="363"/>
        <v>0</v>
      </c>
      <c r="BX71" s="917">
        <f t="shared" si="363"/>
        <v>0</v>
      </c>
      <c r="BY71" s="917">
        <f t="shared" si="363"/>
        <v>0</v>
      </c>
      <c r="BZ71" s="917">
        <f t="shared" si="363"/>
        <v>0</v>
      </c>
      <c r="CA71" s="916">
        <f t="shared" si="363"/>
        <v>0</v>
      </c>
      <c r="CB71" s="917">
        <f t="shared" si="363"/>
        <v>0</v>
      </c>
      <c r="CC71" s="917">
        <f t="shared" si="363"/>
        <v>0</v>
      </c>
      <c r="CD71" s="917">
        <f t="shared" si="363"/>
        <v>0</v>
      </c>
      <c r="CE71" s="917">
        <f t="shared" si="363"/>
        <v>0</v>
      </c>
      <c r="CF71" s="916">
        <f t="shared" si="363"/>
        <v>0</v>
      </c>
      <c r="CG71" s="917">
        <f t="shared" si="363"/>
        <v>0</v>
      </c>
      <c r="CH71" s="917">
        <f t="shared" si="363"/>
        <v>0</v>
      </c>
      <c r="CI71" s="917">
        <f t="shared" si="363"/>
        <v>0</v>
      </c>
      <c r="CJ71" s="917">
        <f t="shared" si="363"/>
        <v>0</v>
      </c>
      <c r="CK71" s="916">
        <f t="shared" si="363"/>
        <v>0</v>
      </c>
      <c r="CL71" s="917">
        <f t="shared" si="363"/>
        <v>1032</v>
      </c>
      <c r="CM71" s="917">
        <f t="shared" ref="CM71:CO71" si="364">CM67+CM70</f>
        <v>-666</v>
      </c>
      <c r="CN71" s="917">
        <f t="shared" si="364"/>
        <v>865</v>
      </c>
      <c r="CO71" s="917">
        <f t="shared" si="364"/>
        <v>1015</v>
      </c>
      <c r="CP71" s="916">
        <v>2246</v>
      </c>
      <c r="CQ71" s="917">
        <f t="shared" ref="CQ71" si="365">CQ67+CQ70</f>
        <v>798</v>
      </c>
      <c r="CR71" s="917">
        <f t="shared" ref="CR71" si="366">CR67+CR70</f>
        <v>918</v>
      </c>
      <c r="CS71" s="917">
        <f t="shared" ref="CS71" si="367">CS67+CS70</f>
        <v>1316</v>
      </c>
      <c r="CT71" s="917">
        <f t="shared" ref="CT71" si="368">CT67+CT70</f>
        <v>1575</v>
      </c>
      <c r="CU71" s="916">
        <f>SUM(CQ71:CT71)</f>
        <v>4607</v>
      </c>
      <c r="CV71" s="917">
        <f t="shared" ref="CV71" si="369">CV67+CV70</f>
        <v>415</v>
      </c>
      <c r="CW71" s="917">
        <f t="shared" ref="CW71" si="370">CW67+CW70</f>
        <v>1018</v>
      </c>
      <c r="CX71" s="917">
        <f t="shared" ref="CX71" si="371">CX67+CX70</f>
        <v>359</v>
      </c>
      <c r="CY71" s="917">
        <f t="shared" ref="CY71" si="372">CY67+CY70</f>
        <v>1366</v>
      </c>
      <c r="CZ71" s="916">
        <f>SUM(CV71:CY71)</f>
        <v>3158</v>
      </c>
      <c r="DA71" s="917">
        <f t="shared" ref="DA71:DV71" si="373">DA67+DA70</f>
        <v>1247</v>
      </c>
      <c r="DB71" s="917">
        <f t="shared" si="373"/>
        <v>1385</v>
      </c>
      <c r="DC71" s="917">
        <f t="shared" si="373"/>
        <v>1594</v>
      </c>
      <c r="DD71" s="917">
        <f t="shared" si="373"/>
        <v>1335</v>
      </c>
      <c r="DE71" s="920">
        <f t="shared" si="373"/>
        <v>5561</v>
      </c>
      <c r="DF71" s="917">
        <f t="shared" si="373"/>
        <v>1550</v>
      </c>
      <c r="DG71" s="917">
        <f t="shared" si="373"/>
        <v>1897</v>
      </c>
      <c r="DH71" s="917">
        <f t="shared" si="373"/>
        <v>1818</v>
      </c>
      <c r="DI71" s="917">
        <f t="shared" si="373"/>
        <v>1988</v>
      </c>
      <c r="DJ71" s="919">
        <f>DJ67+DJ70</f>
        <v>7253</v>
      </c>
      <c r="DK71" s="917">
        <f t="shared" ref="DK71" si="374">DK67+DK70</f>
        <v>2146</v>
      </c>
      <c r="DL71" s="917">
        <f t="shared" si="373"/>
        <v>2337</v>
      </c>
      <c r="DM71" s="917">
        <f t="shared" si="373"/>
        <v>2141.2268800000002</v>
      </c>
      <c r="DN71" s="917">
        <f t="shared" si="373"/>
        <v>2037.9231999999997</v>
      </c>
      <c r="DO71" s="916">
        <f t="shared" si="373"/>
        <v>8662.1500799999994</v>
      </c>
      <c r="DP71" s="917">
        <f t="shared" si="373"/>
        <v>2378.8568399999999</v>
      </c>
      <c r="DQ71" s="917">
        <f t="shared" ref="DQ71:DT71" si="375">DQ67+DQ70</f>
        <v>2595.7157500000003</v>
      </c>
      <c r="DR71" s="917">
        <f t="shared" si="375"/>
        <v>2502.9031202000006</v>
      </c>
      <c r="DS71" s="917">
        <f t="shared" si="375"/>
        <v>2588.8442002719999</v>
      </c>
      <c r="DT71" s="916">
        <f t="shared" si="375"/>
        <v>10066.319910472001</v>
      </c>
      <c r="DU71" s="916">
        <f t="shared" si="373"/>
        <v>11037.298075816725</v>
      </c>
      <c r="DV71" s="916">
        <f t="shared" si="373"/>
        <v>11906.148714403262</v>
      </c>
    </row>
    <row r="72" spans="2:126" s="221" customFormat="1" ht="12">
      <c r="B72" s="931" t="s">
        <v>73</v>
      </c>
      <c r="C72" s="919"/>
      <c r="D72" s="919"/>
      <c r="E72" s="919"/>
      <c r="F72" s="919"/>
      <c r="G72" s="919"/>
      <c r="H72" s="919"/>
      <c r="I72" s="919"/>
      <c r="J72" s="932"/>
      <c r="K72" s="932"/>
      <c r="L72" s="932"/>
      <c r="M72" s="932"/>
      <c r="N72" s="918"/>
      <c r="O72" s="932"/>
      <c r="P72" s="932"/>
      <c r="Q72" s="932"/>
      <c r="R72" s="932"/>
      <c r="S72" s="918"/>
      <c r="T72" s="932"/>
      <c r="U72" s="932"/>
      <c r="V72" s="932"/>
      <c r="W72" s="932"/>
      <c r="X72" s="918"/>
      <c r="Y72" s="932"/>
      <c r="Z72" s="932"/>
      <c r="AA72" s="932"/>
      <c r="AB72" s="932"/>
      <c r="AC72" s="918"/>
      <c r="AD72" s="932"/>
      <c r="AE72" s="932"/>
      <c r="AF72" s="932"/>
      <c r="AG72" s="932"/>
      <c r="AH72" s="918"/>
      <c r="AI72" s="932"/>
      <c r="AJ72" s="932"/>
      <c r="AK72" s="932"/>
      <c r="AL72" s="932"/>
      <c r="AM72" s="918"/>
      <c r="AN72" s="932"/>
      <c r="AO72" s="932"/>
      <c r="AP72" s="932"/>
      <c r="AQ72" s="932"/>
      <c r="AR72" s="918"/>
      <c r="AS72" s="932"/>
      <c r="AT72" s="932"/>
      <c r="AU72" s="932"/>
      <c r="AV72" s="932"/>
      <c r="AW72" s="919"/>
      <c r="AX72" s="932"/>
      <c r="AY72" s="932"/>
      <c r="AZ72" s="932"/>
      <c r="BA72" s="932"/>
      <c r="BB72" s="919"/>
      <c r="BC72" s="932"/>
      <c r="BD72" s="932"/>
      <c r="BE72" s="932"/>
      <c r="BF72" s="932"/>
      <c r="BG72" s="919"/>
      <c r="BH72" s="932"/>
      <c r="BI72" s="932"/>
      <c r="BJ72" s="932"/>
      <c r="BK72" s="932"/>
      <c r="BL72" s="919"/>
      <c r="BM72" s="932"/>
      <c r="BN72" s="932"/>
      <c r="BO72" s="932"/>
      <c r="BP72" s="932"/>
      <c r="BQ72" s="919"/>
      <c r="BR72" s="932"/>
      <c r="BS72" s="932"/>
      <c r="BT72" s="932"/>
      <c r="BU72" s="932"/>
      <c r="BV72" s="919"/>
      <c r="BW72" s="932"/>
      <c r="BX72" s="932"/>
      <c r="BY72" s="932"/>
      <c r="BZ72" s="932"/>
      <c r="CA72" s="919"/>
      <c r="CB72" s="932"/>
      <c r="CC72" s="932"/>
      <c r="CD72" s="932"/>
      <c r="CE72" s="932"/>
      <c r="CF72" s="919"/>
      <c r="CG72" s="932"/>
      <c r="CH72" s="932"/>
      <c r="CI72" s="932"/>
      <c r="CJ72" s="932"/>
      <c r="CK72" s="919"/>
      <c r="CL72" s="932">
        <f>IS!CL14</f>
        <v>1279</v>
      </c>
      <c r="CM72" s="932">
        <f>IS!CM14</f>
        <v>-507</v>
      </c>
      <c r="CN72" s="932">
        <f>IS!CN14</f>
        <v>678</v>
      </c>
      <c r="CO72" s="932">
        <f>IS!CO14</f>
        <v>1356</v>
      </c>
      <c r="CP72" s="919">
        <f>IS!CP14</f>
        <v>2806</v>
      </c>
      <c r="CQ72" s="932">
        <f>IS!CQ14</f>
        <v>1129</v>
      </c>
      <c r="CR72" s="932">
        <f>IS!CR14</f>
        <v>1192</v>
      </c>
      <c r="CS72" s="932">
        <f>IS!CS14</f>
        <v>1653</v>
      </c>
      <c r="CT72" s="932">
        <f>IS!CT14</f>
        <v>2122</v>
      </c>
      <c r="CU72" s="933">
        <f>IS!CU14</f>
        <v>6096</v>
      </c>
      <c r="CV72" s="932">
        <f>IS!CV14</f>
        <v>-327</v>
      </c>
      <c r="CW72" s="932">
        <f>IS!CW14</f>
        <v>1199</v>
      </c>
      <c r="CX72" s="932">
        <f>IS!CX14</f>
        <v>374</v>
      </c>
      <c r="CY72" s="932">
        <f>IS!CY14</f>
        <v>907</v>
      </c>
      <c r="CZ72" s="933">
        <f>IS!CZ14</f>
        <v>2153</v>
      </c>
      <c r="DA72" s="932">
        <f>IS!DA14</f>
        <v>978</v>
      </c>
      <c r="DB72" s="932">
        <f>IS!DB14</f>
        <v>1297</v>
      </c>
      <c r="DC72" s="932">
        <f>IS!DC14</f>
        <v>1573</v>
      </c>
      <c r="DD72" s="932">
        <f>IS!DD14</f>
        <v>1634</v>
      </c>
      <c r="DE72" s="933">
        <f>IS!DE14</f>
        <v>5482</v>
      </c>
      <c r="DF72" s="1052">
        <f>IS!DF14</f>
        <v>1657</v>
      </c>
      <c r="DG72" s="1052">
        <f>IS!DG14</f>
        <v>2294</v>
      </c>
      <c r="DH72" s="932">
        <f>IS!DH14</f>
        <v>1955</v>
      </c>
      <c r="DI72" s="932">
        <f>IS!DI14</f>
        <v>2509</v>
      </c>
      <c r="DJ72" s="919">
        <f>SUM(DF72:DI72)</f>
        <v>8415</v>
      </c>
      <c r="DK72" s="932">
        <f>IS!DK14</f>
        <v>2704</v>
      </c>
      <c r="DL72" s="932">
        <f>IS!DL14</f>
        <v>2798</v>
      </c>
      <c r="DM72" s="932">
        <f>IS!DM14</f>
        <v>2141.2268800000002</v>
      </c>
      <c r="DN72" s="932">
        <f>IS!DN14</f>
        <v>2037.9231999999997</v>
      </c>
      <c r="DO72" s="919">
        <f>IS!DO14</f>
        <v>9681.1500799999976</v>
      </c>
      <c r="DP72" s="932">
        <f>IS!DP14</f>
        <v>2378.8568399999999</v>
      </c>
      <c r="DQ72" s="932">
        <f>IS!DQ14</f>
        <v>2595.7157500000003</v>
      </c>
      <c r="DR72" s="932">
        <f>IS!DR14</f>
        <v>2502.9031202000006</v>
      </c>
      <c r="DS72" s="932">
        <f>IS!DS14</f>
        <v>2588.8442002719999</v>
      </c>
      <c r="DT72" s="919">
        <f>IS!DT14</f>
        <v>10066.319910472001</v>
      </c>
      <c r="DU72" s="919">
        <f>IS!DU14</f>
        <v>11037.298075816725</v>
      </c>
      <c r="DV72" s="919">
        <f>IS!DV14</f>
        <v>11906.148714403262</v>
      </c>
    </row>
    <row r="73" spans="2:126" s="15" customFormat="1" ht="12">
      <c r="B73" s="915"/>
      <c r="C73" s="916"/>
      <c r="D73" s="916"/>
      <c r="E73" s="916"/>
      <c r="F73" s="916"/>
      <c r="G73" s="916"/>
      <c r="H73" s="916"/>
      <c r="I73" s="916"/>
      <c r="J73" s="917"/>
      <c r="K73" s="917"/>
      <c r="L73" s="917"/>
      <c r="M73" s="917"/>
      <c r="N73" s="918"/>
      <c r="O73" s="917"/>
      <c r="P73" s="917"/>
      <c r="Q73" s="917"/>
      <c r="R73" s="917"/>
      <c r="S73" s="918"/>
      <c r="T73" s="917"/>
      <c r="U73" s="917"/>
      <c r="V73" s="917"/>
      <c r="W73" s="917"/>
      <c r="X73" s="918"/>
      <c r="Y73" s="917"/>
      <c r="Z73" s="917"/>
      <c r="AA73" s="917"/>
      <c r="AB73" s="917"/>
      <c r="AC73" s="918"/>
      <c r="AD73" s="917"/>
      <c r="AE73" s="917"/>
      <c r="AF73" s="917"/>
      <c r="AG73" s="917"/>
      <c r="AH73" s="918"/>
      <c r="AI73" s="917"/>
      <c r="AJ73" s="917"/>
      <c r="AK73" s="917"/>
      <c r="AL73" s="917"/>
      <c r="AM73" s="918"/>
      <c r="AN73" s="917"/>
      <c r="AO73" s="917"/>
      <c r="AP73" s="917"/>
      <c r="AQ73" s="917"/>
      <c r="AR73" s="918"/>
      <c r="AS73" s="917"/>
      <c r="AT73" s="917"/>
      <c r="AU73" s="917"/>
      <c r="AV73" s="917"/>
      <c r="AW73" s="916"/>
      <c r="AX73" s="917"/>
      <c r="AY73" s="917"/>
      <c r="AZ73" s="917"/>
      <c r="BA73" s="917"/>
      <c r="BB73" s="916"/>
      <c r="BC73" s="917"/>
      <c r="BD73" s="917"/>
      <c r="BE73" s="917"/>
      <c r="BF73" s="917"/>
      <c r="BG73" s="916"/>
      <c r="BH73" s="917"/>
      <c r="BI73" s="917"/>
      <c r="BJ73" s="917"/>
      <c r="BK73" s="917"/>
      <c r="BL73" s="916"/>
      <c r="BM73" s="917"/>
      <c r="BN73" s="917"/>
      <c r="BO73" s="917"/>
      <c r="BP73" s="917"/>
      <c r="BQ73" s="916"/>
      <c r="BR73" s="917"/>
      <c r="BS73" s="917"/>
      <c r="BT73" s="917"/>
      <c r="BU73" s="917"/>
      <c r="BV73" s="916"/>
      <c r="BW73" s="917"/>
      <c r="BX73" s="917"/>
      <c r="BY73" s="917"/>
      <c r="BZ73" s="917"/>
      <c r="CA73" s="916"/>
      <c r="CB73" s="917"/>
      <c r="CC73" s="917"/>
      <c r="CD73" s="917"/>
      <c r="CE73" s="917"/>
      <c r="CF73" s="916"/>
      <c r="CG73" s="917"/>
      <c r="CH73" s="917"/>
      <c r="CI73" s="917"/>
      <c r="CJ73" s="917"/>
      <c r="CK73" s="916"/>
      <c r="CL73" s="917">
        <v>0</v>
      </c>
      <c r="CM73" s="917"/>
      <c r="CN73" s="917"/>
      <c r="CO73" s="917"/>
      <c r="CP73" s="916"/>
      <c r="CQ73" s="917"/>
      <c r="CR73" s="917"/>
      <c r="CS73" s="917"/>
      <c r="CT73" s="917"/>
      <c r="CU73" s="916"/>
      <c r="CV73" s="917"/>
      <c r="CW73" s="917"/>
      <c r="CX73" s="917"/>
      <c r="CY73" s="917"/>
      <c r="CZ73" s="916"/>
      <c r="DA73" s="917"/>
      <c r="DB73" s="917"/>
      <c r="DC73" s="917"/>
      <c r="DD73" s="917"/>
      <c r="DE73" s="920"/>
      <c r="DF73" s="917"/>
      <c r="DG73" s="917"/>
      <c r="DH73" s="917"/>
      <c r="DI73" s="917"/>
      <c r="DJ73" s="919"/>
      <c r="DK73" s="917"/>
      <c r="DL73" s="917"/>
      <c r="DM73" s="917"/>
      <c r="DN73" s="917"/>
      <c r="DO73" s="916"/>
      <c r="DP73" s="917"/>
      <c r="DQ73" s="917"/>
      <c r="DR73" s="917"/>
      <c r="DS73" s="917"/>
      <c r="DT73" s="916"/>
      <c r="DU73" s="916"/>
      <c r="DV73" s="916"/>
    </row>
    <row r="74" spans="2:126" s="15" customFormat="1" ht="12">
      <c r="B74" s="189" t="s">
        <v>89</v>
      </c>
      <c r="C74" s="16"/>
      <c r="D74" s="16"/>
      <c r="E74" s="16"/>
      <c r="F74" s="16"/>
      <c r="G74" s="16"/>
      <c r="H74" s="16"/>
      <c r="I74" s="16"/>
      <c r="J74" s="12"/>
      <c r="K74" s="12"/>
      <c r="L74" s="12"/>
      <c r="M74" s="12"/>
      <c r="N74" s="136"/>
      <c r="S74" s="136"/>
      <c r="X74" s="136"/>
      <c r="AC74" s="136"/>
      <c r="AH74" s="136"/>
      <c r="AM74" s="136"/>
      <c r="AR74" s="16"/>
      <c r="AW74" s="16"/>
      <c r="BB74" s="16"/>
      <c r="BG74" s="16"/>
      <c r="BL74" s="16"/>
      <c r="BQ74" s="16"/>
      <c r="BV74" s="16"/>
      <c r="CA74" s="16"/>
      <c r="CF74" s="16"/>
      <c r="CK74" s="16"/>
      <c r="CP74" s="16"/>
      <c r="CU74" s="16"/>
      <c r="CZ74" s="16"/>
      <c r="DE74" s="16"/>
      <c r="DJ74" s="16"/>
      <c r="DO74" s="16"/>
      <c r="DT74" s="16"/>
      <c r="DU74" s="16"/>
      <c r="DV74" s="16"/>
    </row>
    <row r="75" spans="2:126" s="15" customFormat="1">
      <c r="B75" s="221" t="s">
        <v>381</v>
      </c>
      <c r="C75" s="96"/>
      <c r="D75" s="96"/>
      <c r="E75" s="96"/>
      <c r="F75" s="96"/>
      <c r="G75" s="96"/>
      <c r="H75" s="96"/>
      <c r="I75" s="96"/>
      <c r="J75" s="95"/>
      <c r="K75" s="95"/>
      <c r="L75" s="95"/>
      <c r="M75" s="95"/>
      <c r="N75" s="162"/>
      <c r="O75" s="94"/>
      <c r="P75" s="94"/>
      <c r="Q75" s="94"/>
      <c r="R75" s="94"/>
      <c r="S75" s="162" t="str">
        <f>IF(ISERROR(#REF!/S$71),"",(#REF!/S$71))</f>
        <v/>
      </c>
      <c r="T75" s="94"/>
      <c r="U75" s="94"/>
      <c r="V75" s="94"/>
      <c r="W75" s="94"/>
      <c r="X75" s="162"/>
      <c r="Y75" s="94"/>
      <c r="Z75" s="94"/>
      <c r="AA75" s="94"/>
      <c r="AB75" s="94"/>
      <c r="AC75" s="162"/>
      <c r="AD75" s="94"/>
      <c r="AE75" s="94"/>
      <c r="AF75" s="94"/>
      <c r="AG75" s="94"/>
      <c r="AH75" s="162"/>
      <c r="AI75" s="94"/>
      <c r="AJ75" s="94"/>
      <c r="AK75" s="94"/>
      <c r="AL75" s="94"/>
      <c r="AM75" s="162"/>
      <c r="AN75" s="94"/>
      <c r="AO75" s="94"/>
      <c r="AP75" s="94"/>
      <c r="AQ75" s="94"/>
      <c r="AR75" s="162"/>
      <c r="AS75" s="94" t="str">
        <f t="shared" ref="AS75:BX75" si="376">IF(ISERROR(AS63/AS$71),"",(AS63/AS$71))</f>
        <v/>
      </c>
      <c r="AT75" s="94" t="str">
        <f t="shared" si="376"/>
        <v/>
      </c>
      <c r="AU75" s="94" t="str">
        <f t="shared" si="376"/>
        <v/>
      </c>
      <c r="AV75" s="94" t="str">
        <f t="shared" si="376"/>
        <v/>
      </c>
      <c r="AW75" s="162" t="str">
        <f t="shared" si="376"/>
        <v/>
      </c>
      <c r="AX75" s="94" t="str">
        <f t="shared" si="376"/>
        <v/>
      </c>
      <c r="AY75" s="94" t="str">
        <f t="shared" si="376"/>
        <v/>
      </c>
      <c r="AZ75" s="94" t="str">
        <f t="shared" si="376"/>
        <v/>
      </c>
      <c r="BA75" s="94" t="str">
        <f t="shared" si="376"/>
        <v/>
      </c>
      <c r="BB75" s="162" t="str">
        <f t="shared" si="376"/>
        <v/>
      </c>
      <c r="BC75" s="94" t="str">
        <f t="shared" si="376"/>
        <v/>
      </c>
      <c r="BD75" s="94" t="str">
        <f t="shared" si="376"/>
        <v/>
      </c>
      <c r="BE75" s="94" t="str">
        <f t="shared" si="376"/>
        <v/>
      </c>
      <c r="BF75" s="94" t="str">
        <f t="shared" si="376"/>
        <v/>
      </c>
      <c r="BG75" s="162" t="str">
        <f t="shared" si="376"/>
        <v/>
      </c>
      <c r="BH75" s="94" t="str">
        <f t="shared" si="376"/>
        <v/>
      </c>
      <c r="BI75" s="94" t="str">
        <f t="shared" si="376"/>
        <v/>
      </c>
      <c r="BJ75" s="94" t="str">
        <f t="shared" si="376"/>
        <v/>
      </c>
      <c r="BK75" s="94" t="str">
        <f t="shared" si="376"/>
        <v/>
      </c>
      <c r="BL75" s="162" t="str">
        <f t="shared" si="376"/>
        <v/>
      </c>
      <c r="BM75" s="94" t="str">
        <f t="shared" si="376"/>
        <v/>
      </c>
      <c r="BN75" s="94" t="str">
        <f t="shared" si="376"/>
        <v/>
      </c>
      <c r="BO75" s="94" t="str">
        <f t="shared" si="376"/>
        <v/>
      </c>
      <c r="BP75" s="94" t="str">
        <f t="shared" si="376"/>
        <v/>
      </c>
      <c r="BQ75" s="162" t="str">
        <f t="shared" si="376"/>
        <v/>
      </c>
      <c r="BR75" s="94" t="str">
        <f t="shared" si="376"/>
        <v/>
      </c>
      <c r="BS75" s="94" t="str">
        <f t="shared" si="376"/>
        <v/>
      </c>
      <c r="BT75" s="94" t="str">
        <f t="shared" si="376"/>
        <v/>
      </c>
      <c r="BU75" s="94" t="str">
        <f t="shared" si="376"/>
        <v/>
      </c>
      <c r="BV75" s="162" t="str">
        <f t="shared" si="376"/>
        <v/>
      </c>
      <c r="BW75" s="94" t="str">
        <f t="shared" si="376"/>
        <v/>
      </c>
      <c r="BX75" s="94" t="str">
        <f t="shared" si="376"/>
        <v/>
      </c>
      <c r="BY75" s="94" t="str">
        <f t="shared" ref="BY75:DD75" si="377">IF(ISERROR(BY63/BY$71),"",(BY63/BY$71))</f>
        <v/>
      </c>
      <c r="BZ75" s="94" t="str">
        <f t="shared" si="377"/>
        <v/>
      </c>
      <c r="CA75" s="162" t="str">
        <f t="shared" si="377"/>
        <v/>
      </c>
      <c r="CB75" s="94" t="str">
        <f t="shared" si="377"/>
        <v/>
      </c>
      <c r="CC75" s="94" t="str">
        <f t="shared" si="377"/>
        <v/>
      </c>
      <c r="CD75" s="94" t="str">
        <f t="shared" si="377"/>
        <v/>
      </c>
      <c r="CE75" s="94" t="str">
        <f t="shared" si="377"/>
        <v/>
      </c>
      <c r="CF75" s="162" t="str">
        <f t="shared" si="377"/>
        <v/>
      </c>
      <c r="CG75" s="94" t="str">
        <f t="shared" si="377"/>
        <v/>
      </c>
      <c r="CH75" s="94" t="str">
        <f t="shared" si="377"/>
        <v/>
      </c>
      <c r="CI75" s="94" t="str">
        <f t="shared" si="377"/>
        <v/>
      </c>
      <c r="CJ75" s="94" t="str">
        <f t="shared" si="377"/>
        <v/>
      </c>
      <c r="CK75" s="162" t="str">
        <f t="shared" si="377"/>
        <v/>
      </c>
      <c r="CL75" s="94">
        <f t="shared" si="377"/>
        <v>0</v>
      </c>
      <c r="CM75" s="94">
        <f t="shared" si="377"/>
        <v>0</v>
      </c>
      <c r="CN75" s="94">
        <f t="shared" si="377"/>
        <v>0</v>
      </c>
      <c r="CO75" s="94">
        <f t="shared" si="377"/>
        <v>0</v>
      </c>
      <c r="CP75" s="162">
        <f t="shared" si="377"/>
        <v>0</v>
      </c>
      <c r="CQ75" s="94">
        <f t="shared" si="377"/>
        <v>0</v>
      </c>
      <c r="CR75" s="94">
        <f t="shared" si="377"/>
        <v>0</v>
      </c>
      <c r="CS75" s="94">
        <f t="shared" si="377"/>
        <v>0</v>
      </c>
      <c r="CT75" s="94">
        <f t="shared" si="377"/>
        <v>0</v>
      </c>
      <c r="CU75" s="162">
        <f t="shared" si="377"/>
        <v>0</v>
      </c>
      <c r="CV75" s="94">
        <f t="shared" si="377"/>
        <v>0</v>
      </c>
      <c r="CW75" s="94">
        <f t="shared" si="377"/>
        <v>0</v>
      </c>
      <c r="CX75" s="94">
        <f t="shared" si="377"/>
        <v>0</v>
      </c>
      <c r="CY75" s="94">
        <f t="shared" si="377"/>
        <v>0</v>
      </c>
      <c r="CZ75" s="162">
        <f t="shared" si="377"/>
        <v>0</v>
      </c>
      <c r="DA75" s="94">
        <f t="shared" si="377"/>
        <v>0.97353648757016842</v>
      </c>
      <c r="DB75" s="94">
        <f t="shared" si="377"/>
        <v>1.0028880866425993</v>
      </c>
      <c r="DC75" s="94">
        <f t="shared" si="377"/>
        <v>0.96925972396486826</v>
      </c>
      <c r="DD75" s="94">
        <f t="shared" si="377"/>
        <v>1.1198501872659177</v>
      </c>
      <c r="DE75" s="162">
        <f t="shared" ref="DE75:DV75" si="378">IF(ISERROR(DE63/DE$71),"",(DE63/DE$71))</f>
        <v>1.0147455493616255</v>
      </c>
      <c r="DF75" s="94">
        <f t="shared" si="378"/>
        <v>0.91548387096774198</v>
      </c>
      <c r="DG75" s="94">
        <f t="shared" si="378"/>
        <v>0.88508170795993679</v>
      </c>
      <c r="DH75" s="94">
        <f t="shared" si="378"/>
        <v>0.98954895489548955</v>
      </c>
      <c r="DI75" s="94">
        <f t="shared" si="378"/>
        <v>1.0855130784708249</v>
      </c>
      <c r="DJ75" s="162">
        <f t="shared" si="378"/>
        <v>0.97270095133048395</v>
      </c>
      <c r="DK75" s="94">
        <f t="shared" si="378"/>
        <v>0.89468779123951536</v>
      </c>
      <c r="DL75" s="94">
        <f t="shared" si="378"/>
        <v>0.95507060333761229</v>
      </c>
      <c r="DM75" s="94">
        <f t="shared" si="378"/>
        <v>0.96939246344600349</v>
      </c>
      <c r="DN75" s="94">
        <f t="shared" si="378"/>
        <v>1.0127810508266455</v>
      </c>
      <c r="DO75" s="162">
        <f t="shared" si="378"/>
        <v>0.95722876230747556</v>
      </c>
      <c r="DP75" s="94">
        <f t="shared" si="378"/>
        <v>0.9424062862059408</v>
      </c>
      <c r="DQ75" s="94">
        <f t="shared" ref="DQ75:DT75" si="379">IF(ISERROR(DQ63/DQ$71),"",(DQ63/DQ$71))</f>
        <v>0.94745428115539998</v>
      </c>
      <c r="DR75" s="94">
        <f t="shared" si="379"/>
        <v>0.97205010667995406</v>
      </c>
      <c r="DS75" s="94">
        <f t="shared" si="379"/>
        <v>0.95872958674424114</v>
      </c>
      <c r="DT75" s="162">
        <f t="shared" si="379"/>
        <v>0.9552766553016403</v>
      </c>
      <c r="DU75" s="162">
        <f t="shared" si="378"/>
        <v>0.9527965225663757</v>
      </c>
      <c r="DV75" s="162">
        <f t="shared" si="378"/>
        <v>0.95219421378551738</v>
      </c>
    </row>
    <row r="76" spans="2:126" s="15" customFormat="1">
      <c r="B76" s="317" t="s">
        <v>457</v>
      </c>
      <c r="C76" s="96"/>
      <c r="D76" s="96"/>
      <c r="E76" s="96"/>
      <c r="F76" s="96"/>
      <c r="G76" s="96"/>
      <c r="H76" s="96"/>
      <c r="I76" s="96"/>
      <c r="J76" s="95"/>
      <c r="K76" s="95"/>
      <c r="L76" s="95"/>
      <c r="M76" s="95"/>
      <c r="N76" s="162"/>
      <c r="O76" s="94"/>
      <c r="P76" s="94"/>
      <c r="Q76" s="94"/>
      <c r="R76" s="94"/>
      <c r="S76" s="162"/>
      <c r="T76" s="94"/>
      <c r="U76" s="94"/>
      <c r="V76" s="94"/>
      <c r="W76" s="94"/>
      <c r="X76" s="162"/>
      <c r="Y76" s="94"/>
      <c r="Z76" s="94"/>
      <c r="AA76" s="94"/>
      <c r="AB76" s="94"/>
      <c r="AC76" s="162"/>
      <c r="AD76" s="94"/>
      <c r="AE76" s="94"/>
      <c r="AF76" s="94"/>
      <c r="AG76" s="94"/>
      <c r="AH76" s="162"/>
      <c r="AI76" s="94"/>
      <c r="AJ76" s="94"/>
      <c r="AK76" s="94"/>
      <c r="AL76" s="94"/>
      <c r="AM76" s="162"/>
      <c r="AN76" s="94"/>
      <c r="AO76" s="94"/>
      <c r="AP76" s="94"/>
      <c r="AQ76" s="94"/>
      <c r="AR76" s="162"/>
      <c r="AS76" s="94" t="str">
        <f t="shared" ref="AS76:BX76" si="380">IF(ISERROR(AS64/AS$71),"",(AS64/AS$71))</f>
        <v/>
      </c>
      <c r="AT76" s="94" t="str">
        <f t="shared" si="380"/>
        <v/>
      </c>
      <c r="AU76" s="94" t="str">
        <f t="shared" si="380"/>
        <v/>
      </c>
      <c r="AV76" s="94" t="str">
        <f t="shared" si="380"/>
        <v/>
      </c>
      <c r="AW76" s="162" t="str">
        <f t="shared" si="380"/>
        <v/>
      </c>
      <c r="AX76" s="94" t="str">
        <f t="shared" si="380"/>
        <v/>
      </c>
      <c r="AY76" s="94" t="str">
        <f t="shared" si="380"/>
        <v/>
      </c>
      <c r="AZ76" s="94" t="str">
        <f t="shared" si="380"/>
        <v/>
      </c>
      <c r="BA76" s="94" t="str">
        <f t="shared" si="380"/>
        <v/>
      </c>
      <c r="BB76" s="162" t="str">
        <f t="shared" si="380"/>
        <v/>
      </c>
      <c r="BC76" s="94" t="str">
        <f t="shared" si="380"/>
        <v/>
      </c>
      <c r="BD76" s="94" t="str">
        <f t="shared" si="380"/>
        <v/>
      </c>
      <c r="BE76" s="94" t="str">
        <f t="shared" si="380"/>
        <v/>
      </c>
      <c r="BF76" s="94" t="str">
        <f t="shared" si="380"/>
        <v/>
      </c>
      <c r="BG76" s="162" t="str">
        <f t="shared" si="380"/>
        <v/>
      </c>
      <c r="BH76" s="94" t="str">
        <f t="shared" si="380"/>
        <v/>
      </c>
      <c r="BI76" s="94" t="str">
        <f t="shared" si="380"/>
        <v/>
      </c>
      <c r="BJ76" s="94" t="str">
        <f t="shared" si="380"/>
        <v/>
      </c>
      <c r="BK76" s="94" t="str">
        <f t="shared" si="380"/>
        <v/>
      </c>
      <c r="BL76" s="162" t="str">
        <f t="shared" si="380"/>
        <v/>
      </c>
      <c r="BM76" s="94" t="str">
        <f t="shared" si="380"/>
        <v/>
      </c>
      <c r="BN76" s="94" t="str">
        <f t="shared" si="380"/>
        <v/>
      </c>
      <c r="BO76" s="94" t="str">
        <f t="shared" si="380"/>
        <v/>
      </c>
      <c r="BP76" s="94" t="str">
        <f t="shared" si="380"/>
        <v/>
      </c>
      <c r="BQ76" s="162" t="str">
        <f t="shared" si="380"/>
        <v/>
      </c>
      <c r="BR76" s="94" t="str">
        <f t="shared" si="380"/>
        <v/>
      </c>
      <c r="BS76" s="94" t="str">
        <f t="shared" si="380"/>
        <v/>
      </c>
      <c r="BT76" s="94" t="str">
        <f t="shared" si="380"/>
        <v/>
      </c>
      <c r="BU76" s="94" t="str">
        <f t="shared" si="380"/>
        <v/>
      </c>
      <c r="BV76" s="162" t="str">
        <f t="shared" si="380"/>
        <v/>
      </c>
      <c r="BW76" s="94" t="str">
        <f t="shared" si="380"/>
        <v/>
      </c>
      <c r="BX76" s="94" t="str">
        <f t="shared" si="380"/>
        <v/>
      </c>
      <c r="BY76" s="94" t="str">
        <f t="shared" ref="BY76:DD76" si="381">IF(ISERROR(BY64/BY$71),"",(BY64/BY$71))</f>
        <v/>
      </c>
      <c r="BZ76" s="94" t="str">
        <f t="shared" si="381"/>
        <v/>
      </c>
      <c r="CA76" s="162" t="str">
        <f t="shared" si="381"/>
        <v/>
      </c>
      <c r="CB76" s="94" t="str">
        <f t="shared" si="381"/>
        <v/>
      </c>
      <c r="CC76" s="94" t="str">
        <f t="shared" si="381"/>
        <v/>
      </c>
      <c r="CD76" s="94" t="str">
        <f t="shared" si="381"/>
        <v/>
      </c>
      <c r="CE76" s="94" t="str">
        <f t="shared" si="381"/>
        <v/>
      </c>
      <c r="CF76" s="162" t="str">
        <f t="shared" si="381"/>
        <v/>
      </c>
      <c r="CG76" s="94" t="str">
        <f t="shared" si="381"/>
        <v/>
      </c>
      <c r="CH76" s="94" t="str">
        <f t="shared" si="381"/>
        <v/>
      </c>
      <c r="CI76" s="94" t="str">
        <f t="shared" si="381"/>
        <v/>
      </c>
      <c r="CJ76" s="94" t="str">
        <f t="shared" si="381"/>
        <v/>
      </c>
      <c r="CK76" s="162" t="str">
        <f t="shared" si="381"/>
        <v/>
      </c>
      <c r="CL76" s="94">
        <f t="shared" si="381"/>
        <v>0</v>
      </c>
      <c r="CM76" s="94">
        <f t="shared" si="381"/>
        <v>0</v>
      </c>
      <c r="CN76" s="94">
        <f t="shared" si="381"/>
        <v>0</v>
      </c>
      <c r="CO76" s="94">
        <f t="shared" si="381"/>
        <v>0</v>
      </c>
      <c r="CP76" s="162">
        <f t="shared" si="381"/>
        <v>0</v>
      </c>
      <c r="CQ76" s="94">
        <f t="shared" si="381"/>
        <v>0</v>
      </c>
      <c r="CR76" s="94">
        <f t="shared" si="381"/>
        <v>0</v>
      </c>
      <c r="CS76" s="94">
        <f t="shared" si="381"/>
        <v>0</v>
      </c>
      <c r="CT76" s="94">
        <f t="shared" si="381"/>
        <v>0</v>
      </c>
      <c r="CU76" s="162">
        <f t="shared" si="381"/>
        <v>0</v>
      </c>
      <c r="CV76" s="94">
        <f t="shared" si="381"/>
        <v>0</v>
      </c>
      <c r="CW76" s="94">
        <f t="shared" si="381"/>
        <v>0</v>
      </c>
      <c r="CX76" s="94">
        <f t="shared" si="381"/>
        <v>0</v>
      </c>
      <c r="CY76" s="94">
        <f t="shared" si="381"/>
        <v>0</v>
      </c>
      <c r="CZ76" s="162">
        <f t="shared" si="381"/>
        <v>0</v>
      </c>
      <c r="DA76" s="94">
        <f t="shared" si="381"/>
        <v>0.161186848436247</v>
      </c>
      <c r="DB76" s="94">
        <f t="shared" si="381"/>
        <v>0.14512635379061373</v>
      </c>
      <c r="DC76" s="94">
        <f t="shared" si="381"/>
        <v>0.16875784190715182</v>
      </c>
      <c r="DD76" s="94">
        <f t="shared" si="381"/>
        <v>0.17752808988764046</v>
      </c>
      <c r="DE76" s="162">
        <f t="shared" ref="DE76:DV76" si="382">IF(ISERROR(DE64/DE$71),"",(DE64/DE$71))</f>
        <v>0.16327998561409818</v>
      </c>
      <c r="DF76" s="94">
        <f t="shared" si="382"/>
        <v>0.16516129032258065</v>
      </c>
      <c r="DG76" s="94">
        <f t="shared" si="382"/>
        <v>0.18133895624670532</v>
      </c>
      <c r="DH76" s="94">
        <f t="shared" si="382"/>
        <v>0.12101210121012101</v>
      </c>
      <c r="DI76" s="94">
        <f t="shared" si="382"/>
        <v>0.12122736418511067</v>
      </c>
      <c r="DJ76" s="162">
        <f t="shared" si="382"/>
        <v>0.14628429615331587</v>
      </c>
      <c r="DK76" s="94">
        <f t="shared" si="382"/>
        <v>0.13793103448275862</v>
      </c>
      <c r="DL76" s="94">
        <f t="shared" si="382"/>
        <v>0.15489944373127942</v>
      </c>
      <c r="DM76" s="94">
        <f t="shared" si="382"/>
        <v>0.138022590114318</v>
      </c>
      <c r="DN76" s="94">
        <f t="shared" si="382"/>
        <v>0.15896241821085311</v>
      </c>
      <c r="DO76" s="162">
        <f t="shared" si="382"/>
        <v>0.14747965207271035</v>
      </c>
      <c r="DP76" s="94">
        <f t="shared" si="382"/>
        <v>0.12485291044247958</v>
      </c>
      <c r="DQ76" s="94">
        <f t="shared" ref="DQ76:DT76" si="383">IF(ISERROR(DQ64/DQ$71),"",(DQ64/DQ$71))</f>
        <v>0.12959575793304792</v>
      </c>
      <c r="DR76" s="94">
        <f t="shared" si="383"/>
        <v>0.12783390320534388</v>
      </c>
      <c r="DS76" s="94">
        <f t="shared" si="383"/>
        <v>0.1532895142775704</v>
      </c>
      <c r="DT76" s="162">
        <f t="shared" si="383"/>
        <v>0.13413039792182507</v>
      </c>
      <c r="DU76" s="162">
        <f t="shared" si="382"/>
        <v>0.13010420129871691</v>
      </c>
      <c r="DV76" s="162">
        <f t="shared" si="382"/>
        <v>0.12591668691866656</v>
      </c>
    </row>
    <row r="77" spans="2:126" s="15" customFormat="1" hidden="1" outlineLevel="1">
      <c r="B77" s="317" t="s">
        <v>644</v>
      </c>
      <c r="C77" s="96"/>
      <c r="D77" s="96"/>
      <c r="E77" s="96"/>
      <c r="F77" s="96"/>
      <c r="G77" s="96"/>
      <c r="H77" s="96"/>
      <c r="I77" s="96"/>
      <c r="J77" s="95"/>
      <c r="K77" s="95"/>
      <c r="L77" s="95"/>
      <c r="M77" s="95"/>
      <c r="N77" s="162"/>
      <c r="O77" s="94"/>
      <c r="P77" s="94"/>
      <c r="Q77" s="94"/>
      <c r="R77" s="94"/>
      <c r="S77" s="162" t="str">
        <f>IF(ISERROR(#REF!/S$71),"",(#REF!/S$71))</f>
        <v/>
      </c>
      <c r="T77" s="94"/>
      <c r="U77" s="94"/>
      <c r="V77" s="94"/>
      <c r="W77" s="94"/>
      <c r="X77" s="162"/>
      <c r="Y77" s="94"/>
      <c r="Z77" s="94"/>
      <c r="AA77" s="94"/>
      <c r="AB77" s="94"/>
      <c r="AC77" s="162"/>
      <c r="AD77" s="94"/>
      <c r="AE77" s="94"/>
      <c r="AF77" s="94"/>
      <c r="AG77" s="94"/>
      <c r="AH77" s="162"/>
      <c r="AI77" s="94"/>
      <c r="AJ77" s="94"/>
      <c r="AK77" s="94"/>
      <c r="AL77" s="94"/>
      <c r="AM77" s="162"/>
      <c r="AN77" s="94"/>
      <c r="AO77" s="94"/>
      <c r="AP77" s="94"/>
      <c r="AQ77" s="94"/>
      <c r="AR77" s="162"/>
      <c r="AS77" s="94" t="str">
        <f t="shared" ref="AS77:BX77" si="384">IF(ISERROR(AS65/AS$71),"",(AS65/AS$71))</f>
        <v/>
      </c>
      <c r="AT77" s="94" t="str">
        <f t="shared" si="384"/>
        <v/>
      </c>
      <c r="AU77" s="94" t="str">
        <f t="shared" si="384"/>
        <v/>
      </c>
      <c r="AV77" s="94" t="str">
        <f t="shared" si="384"/>
        <v/>
      </c>
      <c r="AW77" s="162" t="str">
        <f t="shared" si="384"/>
        <v/>
      </c>
      <c r="AX77" s="94" t="str">
        <f t="shared" si="384"/>
        <v/>
      </c>
      <c r="AY77" s="94" t="str">
        <f t="shared" si="384"/>
        <v/>
      </c>
      <c r="AZ77" s="94" t="str">
        <f t="shared" si="384"/>
        <v/>
      </c>
      <c r="BA77" s="94" t="str">
        <f t="shared" si="384"/>
        <v/>
      </c>
      <c r="BB77" s="162" t="str">
        <f t="shared" si="384"/>
        <v/>
      </c>
      <c r="BC77" s="94" t="str">
        <f t="shared" si="384"/>
        <v/>
      </c>
      <c r="BD77" s="94" t="str">
        <f t="shared" si="384"/>
        <v/>
      </c>
      <c r="BE77" s="94" t="str">
        <f t="shared" si="384"/>
        <v/>
      </c>
      <c r="BF77" s="94" t="str">
        <f t="shared" si="384"/>
        <v/>
      </c>
      <c r="BG77" s="162" t="str">
        <f t="shared" si="384"/>
        <v/>
      </c>
      <c r="BH77" s="94" t="str">
        <f t="shared" si="384"/>
        <v/>
      </c>
      <c r="BI77" s="94" t="str">
        <f t="shared" si="384"/>
        <v/>
      </c>
      <c r="BJ77" s="94" t="str">
        <f t="shared" si="384"/>
        <v/>
      </c>
      <c r="BK77" s="94" t="str">
        <f t="shared" si="384"/>
        <v/>
      </c>
      <c r="BL77" s="162" t="str">
        <f t="shared" si="384"/>
        <v/>
      </c>
      <c r="BM77" s="94" t="str">
        <f t="shared" si="384"/>
        <v/>
      </c>
      <c r="BN77" s="94" t="str">
        <f t="shared" si="384"/>
        <v/>
      </c>
      <c r="BO77" s="94" t="str">
        <f t="shared" si="384"/>
        <v/>
      </c>
      <c r="BP77" s="94" t="str">
        <f t="shared" si="384"/>
        <v/>
      </c>
      <c r="BQ77" s="162" t="str">
        <f t="shared" si="384"/>
        <v/>
      </c>
      <c r="BR77" s="94" t="str">
        <f t="shared" si="384"/>
        <v/>
      </c>
      <c r="BS77" s="94" t="str">
        <f t="shared" si="384"/>
        <v/>
      </c>
      <c r="BT77" s="94" t="str">
        <f t="shared" si="384"/>
        <v/>
      </c>
      <c r="BU77" s="94" t="str">
        <f t="shared" si="384"/>
        <v/>
      </c>
      <c r="BV77" s="162" t="str">
        <f t="shared" si="384"/>
        <v/>
      </c>
      <c r="BW77" s="94" t="str">
        <f t="shared" si="384"/>
        <v/>
      </c>
      <c r="BX77" s="94" t="str">
        <f t="shared" si="384"/>
        <v/>
      </c>
      <c r="BY77" s="94" t="str">
        <f t="shared" ref="BY77:DD77" si="385">IF(ISERROR(BY65/BY$71),"",(BY65/BY$71))</f>
        <v/>
      </c>
      <c r="BZ77" s="94" t="str">
        <f t="shared" si="385"/>
        <v/>
      </c>
      <c r="CA77" s="162" t="str">
        <f t="shared" si="385"/>
        <v/>
      </c>
      <c r="CB77" s="94" t="str">
        <f t="shared" si="385"/>
        <v/>
      </c>
      <c r="CC77" s="94" t="str">
        <f t="shared" si="385"/>
        <v/>
      </c>
      <c r="CD77" s="94" t="str">
        <f t="shared" si="385"/>
        <v/>
      </c>
      <c r="CE77" s="94" t="str">
        <f t="shared" si="385"/>
        <v/>
      </c>
      <c r="CF77" s="162" t="str">
        <f t="shared" si="385"/>
        <v/>
      </c>
      <c r="CG77" s="94" t="str">
        <f t="shared" si="385"/>
        <v/>
      </c>
      <c r="CH77" s="94" t="str">
        <f t="shared" si="385"/>
        <v/>
      </c>
      <c r="CI77" s="94" t="str">
        <f t="shared" si="385"/>
        <v/>
      </c>
      <c r="CJ77" s="94" t="str">
        <f t="shared" si="385"/>
        <v/>
      </c>
      <c r="CK77" s="162" t="str">
        <f t="shared" si="385"/>
        <v/>
      </c>
      <c r="CL77" s="94">
        <f t="shared" si="385"/>
        <v>0</v>
      </c>
      <c r="CM77" s="94">
        <f t="shared" si="385"/>
        <v>0</v>
      </c>
      <c r="CN77" s="94">
        <f t="shared" si="385"/>
        <v>0</v>
      </c>
      <c r="CO77" s="94">
        <f t="shared" si="385"/>
        <v>0</v>
      </c>
      <c r="CP77" s="162">
        <f t="shared" si="385"/>
        <v>0</v>
      </c>
      <c r="CQ77" s="94">
        <f t="shared" si="385"/>
        <v>0</v>
      </c>
      <c r="CR77" s="94">
        <f t="shared" si="385"/>
        <v>0</v>
      </c>
      <c r="CS77" s="94">
        <f t="shared" si="385"/>
        <v>0</v>
      </c>
      <c r="CT77" s="94">
        <f t="shared" si="385"/>
        <v>0</v>
      </c>
      <c r="CU77" s="162">
        <f t="shared" si="385"/>
        <v>0</v>
      </c>
      <c r="CV77" s="94">
        <f t="shared" si="385"/>
        <v>0</v>
      </c>
      <c r="CW77" s="94">
        <f t="shared" si="385"/>
        <v>0</v>
      </c>
      <c r="CX77" s="94">
        <f t="shared" si="385"/>
        <v>0</v>
      </c>
      <c r="CY77" s="94">
        <f t="shared" si="385"/>
        <v>0</v>
      </c>
      <c r="CZ77" s="162">
        <f t="shared" si="385"/>
        <v>0</v>
      </c>
      <c r="DA77" s="94">
        <f t="shared" si="385"/>
        <v>0</v>
      </c>
      <c r="DB77" s="94">
        <f t="shared" si="385"/>
        <v>0</v>
      </c>
      <c r="DC77" s="94">
        <f t="shared" si="385"/>
        <v>0</v>
      </c>
      <c r="DD77" s="94">
        <f t="shared" si="385"/>
        <v>0</v>
      </c>
      <c r="DE77" s="162">
        <f t="shared" ref="DE77:DV77" si="386">IF(ISERROR(DE65/DE$71),"",(DE65/DE$71))</f>
        <v>0</v>
      </c>
      <c r="DF77" s="94">
        <f t="shared" si="386"/>
        <v>0</v>
      </c>
      <c r="DG77" s="94">
        <f t="shared" si="386"/>
        <v>0</v>
      </c>
      <c r="DH77" s="94">
        <f t="shared" si="386"/>
        <v>0</v>
      </c>
      <c r="DI77" s="94">
        <f t="shared" si="386"/>
        <v>0</v>
      </c>
      <c r="DJ77" s="162">
        <f t="shared" si="386"/>
        <v>0</v>
      </c>
      <c r="DK77" s="94">
        <f t="shared" si="386"/>
        <v>0</v>
      </c>
      <c r="DL77" s="94">
        <f t="shared" si="386"/>
        <v>0</v>
      </c>
      <c r="DM77" s="94">
        <f t="shared" si="386"/>
        <v>0</v>
      </c>
      <c r="DN77" s="94">
        <f t="shared" si="386"/>
        <v>0</v>
      </c>
      <c r="DO77" s="162">
        <f t="shared" si="386"/>
        <v>0</v>
      </c>
      <c r="DP77" s="94">
        <f t="shared" si="386"/>
        <v>0</v>
      </c>
      <c r="DQ77" s="94">
        <f t="shared" ref="DQ77:DT77" si="387">IF(ISERROR(DQ65/DQ$71),"",(DQ65/DQ$71))</f>
        <v>0</v>
      </c>
      <c r="DR77" s="94">
        <f t="shared" si="387"/>
        <v>0</v>
      </c>
      <c r="DS77" s="94">
        <f t="shared" si="387"/>
        <v>0</v>
      </c>
      <c r="DT77" s="162">
        <f t="shared" si="387"/>
        <v>0</v>
      </c>
      <c r="DU77" s="162">
        <f t="shared" si="386"/>
        <v>0</v>
      </c>
      <c r="DV77" s="162">
        <f t="shared" si="386"/>
        <v>0</v>
      </c>
    </row>
    <row r="78" spans="2:126" s="15" customFormat="1" ht="13.5" hidden="1" customHeight="1" outlineLevel="1">
      <c r="B78" s="221" t="s">
        <v>558</v>
      </c>
      <c r="C78" s="96"/>
      <c r="D78" s="96"/>
      <c r="E78" s="96"/>
      <c r="F78" s="96"/>
      <c r="G78" s="96"/>
      <c r="H78" s="96"/>
      <c r="I78" s="96"/>
      <c r="J78" s="95"/>
      <c r="K78" s="95"/>
      <c r="L78" s="95"/>
      <c r="M78" s="95"/>
      <c r="N78" s="162"/>
      <c r="O78" s="94"/>
      <c r="P78" s="94"/>
      <c r="Q78" s="94"/>
      <c r="R78" s="94"/>
      <c r="S78" s="162" t="str">
        <f>IF(ISERROR(#REF!/S$71),"",(#REF!/S$71))</f>
        <v/>
      </c>
      <c r="T78" s="94"/>
      <c r="U78" s="94"/>
      <c r="V78" s="94"/>
      <c r="W78" s="94"/>
      <c r="X78" s="162"/>
      <c r="Y78" s="94"/>
      <c r="Z78" s="94"/>
      <c r="AA78" s="94"/>
      <c r="AB78" s="94"/>
      <c r="AC78" s="162"/>
      <c r="AD78" s="94"/>
      <c r="AE78" s="94"/>
      <c r="AF78" s="94"/>
      <c r="AG78" s="94"/>
      <c r="AH78" s="162"/>
      <c r="AI78" s="94"/>
      <c r="AJ78" s="94"/>
      <c r="AK78" s="94"/>
      <c r="AL78" s="94"/>
      <c r="AM78" s="162"/>
      <c r="AN78" s="94"/>
      <c r="AO78" s="94"/>
      <c r="AP78" s="94"/>
      <c r="AQ78" s="94"/>
      <c r="AR78" s="162"/>
      <c r="AS78" s="94" t="str">
        <f t="shared" ref="AS78:BX78" si="388">IF(ISERROR(AS66/AS$71),"",(AS66/AS$71))</f>
        <v/>
      </c>
      <c r="AT78" s="94" t="str">
        <f t="shared" si="388"/>
        <v/>
      </c>
      <c r="AU78" s="94" t="str">
        <f t="shared" si="388"/>
        <v/>
      </c>
      <c r="AV78" s="94" t="str">
        <f t="shared" si="388"/>
        <v/>
      </c>
      <c r="AW78" s="162" t="str">
        <f t="shared" si="388"/>
        <v/>
      </c>
      <c r="AX78" s="94" t="str">
        <f t="shared" si="388"/>
        <v/>
      </c>
      <c r="AY78" s="94" t="str">
        <f t="shared" si="388"/>
        <v/>
      </c>
      <c r="AZ78" s="94" t="str">
        <f t="shared" si="388"/>
        <v/>
      </c>
      <c r="BA78" s="94" t="str">
        <f t="shared" si="388"/>
        <v/>
      </c>
      <c r="BB78" s="162" t="str">
        <f t="shared" si="388"/>
        <v/>
      </c>
      <c r="BC78" s="94" t="str">
        <f t="shared" si="388"/>
        <v/>
      </c>
      <c r="BD78" s="94" t="str">
        <f t="shared" si="388"/>
        <v/>
      </c>
      <c r="BE78" s="94" t="str">
        <f t="shared" si="388"/>
        <v/>
      </c>
      <c r="BF78" s="94" t="str">
        <f t="shared" si="388"/>
        <v/>
      </c>
      <c r="BG78" s="162" t="str">
        <f t="shared" si="388"/>
        <v/>
      </c>
      <c r="BH78" s="94" t="str">
        <f t="shared" si="388"/>
        <v/>
      </c>
      <c r="BI78" s="94" t="str">
        <f t="shared" si="388"/>
        <v/>
      </c>
      <c r="BJ78" s="94" t="str">
        <f t="shared" si="388"/>
        <v/>
      </c>
      <c r="BK78" s="94" t="str">
        <f t="shared" si="388"/>
        <v/>
      </c>
      <c r="BL78" s="162" t="str">
        <f t="shared" si="388"/>
        <v/>
      </c>
      <c r="BM78" s="94" t="str">
        <f t="shared" si="388"/>
        <v/>
      </c>
      <c r="BN78" s="94" t="str">
        <f t="shared" si="388"/>
        <v/>
      </c>
      <c r="BO78" s="94" t="str">
        <f t="shared" si="388"/>
        <v/>
      </c>
      <c r="BP78" s="94" t="str">
        <f t="shared" si="388"/>
        <v/>
      </c>
      <c r="BQ78" s="162" t="str">
        <f t="shared" si="388"/>
        <v/>
      </c>
      <c r="BR78" s="94" t="str">
        <f t="shared" si="388"/>
        <v/>
      </c>
      <c r="BS78" s="94" t="str">
        <f t="shared" si="388"/>
        <v/>
      </c>
      <c r="BT78" s="94" t="str">
        <f t="shared" si="388"/>
        <v/>
      </c>
      <c r="BU78" s="94" t="str">
        <f t="shared" si="388"/>
        <v/>
      </c>
      <c r="BV78" s="162" t="str">
        <f t="shared" si="388"/>
        <v/>
      </c>
      <c r="BW78" s="94" t="str">
        <f t="shared" si="388"/>
        <v/>
      </c>
      <c r="BX78" s="94" t="str">
        <f t="shared" si="388"/>
        <v/>
      </c>
      <c r="BY78" s="94" t="str">
        <f t="shared" ref="BY78:DD78" si="389">IF(ISERROR(BY66/BY$71),"",(BY66/BY$71))</f>
        <v/>
      </c>
      <c r="BZ78" s="94" t="str">
        <f t="shared" si="389"/>
        <v/>
      </c>
      <c r="CA78" s="162" t="str">
        <f t="shared" si="389"/>
        <v/>
      </c>
      <c r="CB78" s="94" t="str">
        <f t="shared" si="389"/>
        <v/>
      </c>
      <c r="CC78" s="94" t="str">
        <f t="shared" si="389"/>
        <v/>
      </c>
      <c r="CD78" s="94" t="str">
        <f t="shared" si="389"/>
        <v/>
      </c>
      <c r="CE78" s="94" t="str">
        <f t="shared" si="389"/>
        <v/>
      </c>
      <c r="CF78" s="162" t="str">
        <f t="shared" si="389"/>
        <v/>
      </c>
      <c r="CG78" s="94" t="str">
        <f t="shared" si="389"/>
        <v/>
      </c>
      <c r="CH78" s="94" t="str">
        <f t="shared" si="389"/>
        <v/>
      </c>
      <c r="CI78" s="94" t="str">
        <f t="shared" si="389"/>
        <v/>
      </c>
      <c r="CJ78" s="94" t="str">
        <f t="shared" si="389"/>
        <v/>
      </c>
      <c r="CK78" s="162" t="str">
        <f t="shared" si="389"/>
        <v/>
      </c>
      <c r="CL78" s="94">
        <f t="shared" si="389"/>
        <v>0</v>
      </c>
      <c r="CM78" s="94">
        <f t="shared" si="389"/>
        <v>0</v>
      </c>
      <c r="CN78" s="94">
        <f t="shared" si="389"/>
        <v>0</v>
      </c>
      <c r="CO78" s="94">
        <f t="shared" si="389"/>
        <v>0</v>
      </c>
      <c r="CP78" s="162">
        <f t="shared" si="389"/>
        <v>0</v>
      </c>
      <c r="CQ78" s="94">
        <f t="shared" si="389"/>
        <v>0</v>
      </c>
      <c r="CR78" s="94">
        <f t="shared" si="389"/>
        <v>0</v>
      </c>
      <c r="CS78" s="94">
        <f t="shared" si="389"/>
        <v>0</v>
      </c>
      <c r="CT78" s="94">
        <f t="shared" si="389"/>
        <v>0</v>
      </c>
      <c r="CU78" s="162">
        <f t="shared" si="389"/>
        <v>0</v>
      </c>
      <c r="CV78" s="94">
        <f t="shared" si="389"/>
        <v>0</v>
      </c>
      <c r="CW78" s="94">
        <f t="shared" si="389"/>
        <v>0</v>
      </c>
      <c r="CX78" s="94">
        <f t="shared" si="389"/>
        <v>0</v>
      </c>
      <c r="CY78" s="94">
        <f t="shared" si="389"/>
        <v>0</v>
      </c>
      <c r="CZ78" s="162">
        <f t="shared" si="389"/>
        <v>0</v>
      </c>
      <c r="DA78" s="94">
        <f t="shared" si="389"/>
        <v>0</v>
      </c>
      <c r="DB78" s="94">
        <f t="shared" si="389"/>
        <v>0</v>
      </c>
      <c r="DC78" s="94">
        <f t="shared" si="389"/>
        <v>0</v>
      </c>
      <c r="DD78" s="94">
        <f t="shared" si="389"/>
        <v>0</v>
      </c>
      <c r="DE78" s="162">
        <f t="shared" ref="DE78:DV78" si="390">IF(ISERROR(DE66/DE$71),"",(DE66/DE$71))</f>
        <v>0</v>
      </c>
      <c r="DF78" s="94">
        <f t="shared" si="390"/>
        <v>0</v>
      </c>
      <c r="DG78" s="94">
        <f t="shared" si="390"/>
        <v>0</v>
      </c>
      <c r="DH78" s="94">
        <f t="shared" si="390"/>
        <v>0</v>
      </c>
      <c r="DI78" s="94">
        <f t="shared" si="390"/>
        <v>0</v>
      </c>
      <c r="DJ78" s="162">
        <f t="shared" si="390"/>
        <v>0</v>
      </c>
      <c r="DK78" s="94">
        <f t="shared" si="390"/>
        <v>0</v>
      </c>
      <c r="DL78" s="94">
        <f t="shared" si="390"/>
        <v>0</v>
      </c>
      <c r="DM78" s="94">
        <f t="shared" si="390"/>
        <v>0</v>
      </c>
      <c r="DN78" s="94">
        <f t="shared" si="390"/>
        <v>0</v>
      </c>
      <c r="DO78" s="162">
        <f t="shared" si="390"/>
        <v>0</v>
      </c>
      <c r="DP78" s="94">
        <f t="shared" si="390"/>
        <v>0</v>
      </c>
      <c r="DQ78" s="94">
        <f t="shared" ref="DQ78:DT78" si="391">IF(ISERROR(DQ66/DQ$71),"",(DQ66/DQ$71))</f>
        <v>0</v>
      </c>
      <c r="DR78" s="94">
        <f t="shared" si="391"/>
        <v>0</v>
      </c>
      <c r="DS78" s="94">
        <f t="shared" si="391"/>
        <v>0</v>
      </c>
      <c r="DT78" s="162">
        <f t="shared" si="391"/>
        <v>0</v>
      </c>
      <c r="DU78" s="162">
        <f t="shared" si="390"/>
        <v>0</v>
      </c>
      <c r="DV78" s="162">
        <f t="shared" si="390"/>
        <v>0</v>
      </c>
    </row>
    <row r="79" spans="2:126" s="15" customFormat="1" collapsed="1">
      <c r="B79" s="85" t="s">
        <v>72</v>
      </c>
      <c r="C79" s="84" t="str">
        <f t="shared" ref="C79:AR79" si="392">IF(ISERROR(C67/C$71),"",(C67/C$71))</f>
        <v/>
      </c>
      <c r="D79" s="84" t="str">
        <f t="shared" si="392"/>
        <v/>
      </c>
      <c r="E79" s="84" t="str">
        <f t="shared" si="392"/>
        <v/>
      </c>
      <c r="F79" s="84" t="str">
        <f t="shared" si="392"/>
        <v/>
      </c>
      <c r="G79" s="84" t="str">
        <f t="shared" si="392"/>
        <v/>
      </c>
      <c r="H79" s="84" t="str">
        <f t="shared" si="392"/>
        <v/>
      </c>
      <c r="I79" s="84" t="str">
        <f t="shared" si="392"/>
        <v/>
      </c>
      <c r="J79" s="83" t="str">
        <f t="shared" si="392"/>
        <v/>
      </c>
      <c r="K79" s="83" t="str">
        <f t="shared" si="392"/>
        <v/>
      </c>
      <c r="L79" s="83" t="str">
        <f t="shared" si="392"/>
        <v/>
      </c>
      <c r="M79" s="83" t="str">
        <f t="shared" si="392"/>
        <v/>
      </c>
      <c r="N79" s="265" t="str">
        <f t="shared" si="392"/>
        <v/>
      </c>
      <c r="O79" s="83" t="str">
        <f t="shared" si="392"/>
        <v/>
      </c>
      <c r="P79" s="83" t="str">
        <f t="shared" si="392"/>
        <v/>
      </c>
      <c r="Q79" s="83" t="str">
        <f t="shared" si="392"/>
        <v/>
      </c>
      <c r="R79" s="83" t="str">
        <f t="shared" si="392"/>
        <v/>
      </c>
      <c r="S79" s="265" t="str">
        <f t="shared" si="392"/>
        <v/>
      </c>
      <c r="T79" s="83" t="str">
        <f t="shared" si="392"/>
        <v/>
      </c>
      <c r="U79" s="83" t="str">
        <f t="shared" si="392"/>
        <v/>
      </c>
      <c r="V79" s="83" t="str">
        <f t="shared" si="392"/>
        <v/>
      </c>
      <c r="W79" s="83" t="str">
        <f t="shared" si="392"/>
        <v/>
      </c>
      <c r="X79" s="265" t="str">
        <f t="shared" si="392"/>
        <v/>
      </c>
      <c r="Y79" s="83" t="str">
        <f t="shared" si="392"/>
        <v/>
      </c>
      <c r="Z79" s="83" t="str">
        <f t="shared" si="392"/>
        <v/>
      </c>
      <c r="AA79" s="83" t="str">
        <f t="shared" si="392"/>
        <v/>
      </c>
      <c r="AB79" s="83" t="str">
        <f t="shared" si="392"/>
        <v/>
      </c>
      <c r="AC79" s="265" t="str">
        <f t="shared" si="392"/>
        <v/>
      </c>
      <c r="AD79" s="83" t="str">
        <f t="shared" si="392"/>
        <v/>
      </c>
      <c r="AE79" s="83" t="str">
        <f t="shared" si="392"/>
        <v/>
      </c>
      <c r="AF79" s="83" t="str">
        <f t="shared" si="392"/>
        <v/>
      </c>
      <c r="AG79" s="83" t="str">
        <f t="shared" si="392"/>
        <v/>
      </c>
      <c r="AH79" s="265" t="str">
        <f t="shared" si="392"/>
        <v/>
      </c>
      <c r="AI79" s="83" t="str">
        <f t="shared" si="392"/>
        <v/>
      </c>
      <c r="AJ79" s="83" t="str">
        <f t="shared" si="392"/>
        <v/>
      </c>
      <c r="AK79" s="83" t="str">
        <f t="shared" si="392"/>
        <v/>
      </c>
      <c r="AL79" s="83" t="str">
        <f t="shared" si="392"/>
        <v/>
      </c>
      <c r="AM79" s="265" t="str">
        <f t="shared" si="392"/>
        <v/>
      </c>
      <c r="AN79" s="83" t="str">
        <f t="shared" si="392"/>
        <v/>
      </c>
      <c r="AO79" s="83" t="str">
        <f t="shared" si="392"/>
        <v/>
      </c>
      <c r="AP79" s="83" t="str">
        <f t="shared" si="392"/>
        <v/>
      </c>
      <c r="AQ79" s="83" t="str">
        <f t="shared" si="392"/>
        <v/>
      </c>
      <c r="AR79" s="265" t="str">
        <f t="shared" si="392"/>
        <v/>
      </c>
      <c r="AS79" s="83" t="str">
        <f t="shared" ref="AS79:BX79" si="393">IF(ISERROR(AS67/AS$71),"",(AS67/AS$71))</f>
        <v/>
      </c>
      <c r="AT79" s="83" t="str">
        <f t="shared" si="393"/>
        <v/>
      </c>
      <c r="AU79" s="83" t="str">
        <f t="shared" si="393"/>
        <v/>
      </c>
      <c r="AV79" s="83" t="str">
        <f t="shared" si="393"/>
        <v/>
      </c>
      <c r="AW79" s="265" t="str">
        <f t="shared" si="393"/>
        <v/>
      </c>
      <c r="AX79" s="83" t="str">
        <f t="shared" si="393"/>
        <v/>
      </c>
      <c r="AY79" s="83" t="str">
        <f t="shared" si="393"/>
        <v/>
      </c>
      <c r="AZ79" s="83" t="str">
        <f t="shared" si="393"/>
        <v/>
      </c>
      <c r="BA79" s="83" t="str">
        <f t="shared" si="393"/>
        <v/>
      </c>
      <c r="BB79" s="265" t="str">
        <f t="shared" si="393"/>
        <v/>
      </c>
      <c r="BC79" s="83" t="str">
        <f t="shared" si="393"/>
        <v/>
      </c>
      <c r="BD79" s="83" t="str">
        <f t="shared" si="393"/>
        <v/>
      </c>
      <c r="BE79" s="83" t="str">
        <f t="shared" si="393"/>
        <v/>
      </c>
      <c r="BF79" s="83" t="str">
        <f t="shared" si="393"/>
        <v/>
      </c>
      <c r="BG79" s="265" t="str">
        <f t="shared" si="393"/>
        <v/>
      </c>
      <c r="BH79" s="83" t="str">
        <f t="shared" si="393"/>
        <v/>
      </c>
      <c r="BI79" s="83" t="str">
        <f t="shared" si="393"/>
        <v/>
      </c>
      <c r="BJ79" s="83" t="str">
        <f t="shared" si="393"/>
        <v/>
      </c>
      <c r="BK79" s="83" t="str">
        <f t="shared" si="393"/>
        <v/>
      </c>
      <c r="BL79" s="265" t="str">
        <f t="shared" si="393"/>
        <v/>
      </c>
      <c r="BM79" s="83" t="str">
        <f t="shared" si="393"/>
        <v/>
      </c>
      <c r="BN79" s="83" t="str">
        <f t="shared" si="393"/>
        <v/>
      </c>
      <c r="BO79" s="83" t="str">
        <f t="shared" si="393"/>
        <v/>
      </c>
      <c r="BP79" s="83" t="str">
        <f t="shared" si="393"/>
        <v/>
      </c>
      <c r="BQ79" s="265" t="str">
        <f t="shared" si="393"/>
        <v/>
      </c>
      <c r="BR79" s="83" t="str">
        <f t="shared" si="393"/>
        <v/>
      </c>
      <c r="BS79" s="83" t="str">
        <f t="shared" si="393"/>
        <v/>
      </c>
      <c r="BT79" s="83" t="str">
        <f t="shared" si="393"/>
        <v/>
      </c>
      <c r="BU79" s="83" t="str">
        <f t="shared" si="393"/>
        <v/>
      </c>
      <c r="BV79" s="265" t="str">
        <f t="shared" si="393"/>
        <v/>
      </c>
      <c r="BW79" s="83" t="str">
        <f t="shared" si="393"/>
        <v/>
      </c>
      <c r="BX79" s="83" t="str">
        <f t="shared" si="393"/>
        <v/>
      </c>
      <c r="BY79" s="83" t="str">
        <f t="shared" ref="BY79:DD79" si="394">IF(ISERROR(BY67/BY$71),"",(BY67/BY$71))</f>
        <v/>
      </c>
      <c r="BZ79" s="83" t="str">
        <f t="shared" si="394"/>
        <v/>
      </c>
      <c r="CA79" s="265" t="str">
        <f t="shared" si="394"/>
        <v/>
      </c>
      <c r="CB79" s="83" t="str">
        <f t="shared" si="394"/>
        <v/>
      </c>
      <c r="CC79" s="83" t="str">
        <f t="shared" si="394"/>
        <v/>
      </c>
      <c r="CD79" s="83" t="str">
        <f t="shared" si="394"/>
        <v/>
      </c>
      <c r="CE79" s="83" t="str">
        <f t="shared" si="394"/>
        <v/>
      </c>
      <c r="CF79" s="265" t="str">
        <f t="shared" si="394"/>
        <v/>
      </c>
      <c r="CG79" s="83" t="str">
        <f t="shared" si="394"/>
        <v/>
      </c>
      <c r="CH79" s="83" t="str">
        <f t="shared" si="394"/>
        <v/>
      </c>
      <c r="CI79" s="83" t="str">
        <f t="shared" si="394"/>
        <v/>
      </c>
      <c r="CJ79" s="83" t="str">
        <f t="shared" si="394"/>
        <v/>
      </c>
      <c r="CK79" s="265" t="str">
        <f t="shared" si="394"/>
        <v/>
      </c>
      <c r="CL79" s="83">
        <f t="shared" si="394"/>
        <v>0.9718992248062015</v>
      </c>
      <c r="CM79" s="83">
        <f t="shared" si="394"/>
        <v>1.0315315315315314</v>
      </c>
      <c r="CN79" s="83">
        <f t="shared" si="394"/>
        <v>0.40462427745664742</v>
      </c>
      <c r="CO79" s="83">
        <f t="shared" si="394"/>
        <v>0.55467980295566499</v>
      </c>
      <c r="CP79" s="265">
        <f t="shared" si="394"/>
        <v>0.54719501335707921</v>
      </c>
      <c r="CQ79" s="83">
        <f t="shared" si="394"/>
        <v>0.80325814536340856</v>
      </c>
      <c r="CR79" s="83">
        <f t="shared" si="394"/>
        <v>0.19172113289760348</v>
      </c>
      <c r="CS79" s="83">
        <f t="shared" si="394"/>
        <v>0.6428571428571429</v>
      </c>
      <c r="CT79" s="83">
        <f t="shared" si="394"/>
        <v>0.77396825396825397</v>
      </c>
      <c r="CU79" s="265">
        <f t="shared" si="394"/>
        <v>0.62556978510961581</v>
      </c>
      <c r="CV79" s="83">
        <f t="shared" si="394"/>
        <v>2.1879518072289157</v>
      </c>
      <c r="CW79" s="83">
        <f t="shared" si="394"/>
        <v>1.1277013752455796</v>
      </c>
      <c r="CX79" s="83">
        <f t="shared" si="394"/>
        <v>3.5766016713091924</v>
      </c>
      <c r="CY79" s="83">
        <f t="shared" si="394"/>
        <v>1.0505124450951684</v>
      </c>
      <c r="CZ79" s="265">
        <f t="shared" si="394"/>
        <v>1.5120329322355921</v>
      </c>
      <c r="DA79" s="83">
        <f t="shared" si="394"/>
        <v>1.1347233360064155</v>
      </c>
      <c r="DB79" s="83">
        <f t="shared" si="394"/>
        <v>1.1480144404332131</v>
      </c>
      <c r="DC79" s="83">
        <f t="shared" si="394"/>
        <v>1.13801756587202</v>
      </c>
      <c r="DD79" s="83">
        <f t="shared" si="394"/>
        <v>1.297378277153558</v>
      </c>
      <c r="DE79" s="265">
        <f t="shared" ref="DE79:DV79" si="395">IF(ISERROR(DE67/DE$71),"",(DE67/DE$71))</f>
        <v>1.1780255349757238</v>
      </c>
      <c r="DF79" s="83">
        <f t="shared" si="395"/>
        <v>1.0806451612903225</v>
      </c>
      <c r="DG79" s="83">
        <f t="shared" si="395"/>
        <v>1.0664206642066421</v>
      </c>
      <c r="DH79" s="83">
        <f t="shared" si="395"/>
        <v>1.1105610561056105</v>
      </c>
      <c r="DI79" s="83">
        <f t="shared" si="395"/>
        <v>1.2067404426559356</v>
      </c>
      <c r="DJ79" s="265">
        <f t="shared" si="395"/>
        <v>1.1189852474837998</v>
      </c>
      <c r="DK79" s="83">
        <f t="shared" si="395"/>
        <v>1.0326188257222739</v>
      </c>
      <c r="DL79" s="83">
        <f t="shared" si="395"/>
        <v>1.1099700470688918</v>
      </c>
      <c r="DM79" s="83">
        <f t="shared" si="395"/>
        <v>1.1074150535603215</v>
      </c>
      <c r="DN79" s="83">
        <f t="shared" si="395"/>
        <v>1.1717434690374986</v>
      </c>
      <c r="DO79" s="265">
        <f t="shared" si="395"/>
        <v>1.104708414380186</v>
      </c>
      <c r="DP79" s="83">
        <f t="shared" si="395"/>
        <v>1.0672591966484204</v>
      </c>
      <c r="DQ79" s="83">
        <f t="shared" ref="DQ79:DT79" si="396">IF(ISERROR(DQ67/DQ$71),"",(DQ67/DQ$71))</f>
        <v>1.0770500390884479</v>
      </c>
      <c r="DR79" s="83">
        <f t="shared" si="396"/>
        <v>1.099884009885298</v>
      </c>
      <c r="DS79" s="83">
        <f t="shared" si="396"/>
        <v>1.1120191010218115</v>
      </c>
      <c r="DT79" s="265">
        <f t="shared" si="396"/>
        <v>1.0894070532234654</v>
      </c>
      <c r="DU79" s="265">
        <f t="shared" si="395"/>
        <v>1.0829007238650925</v>
      </c>
      <c r="DV79" s="265">
        <f t="shared" si="395"/>
        <v>1.0781109007041838</v>
      </c>
    </row>
    <row r="80" spans="2:126" s="15" customFormat="1">
      <c r="B80" s="82" t="s">
        <v>639</v>
      </c>
      <c r="C80" s="81" t="str">
        <f t="shared" ref="C80:AH80" si="397">IF(ISERROR(C70/C$71),"",(C70/C$71))</f>
        <v/>
      </c>
      <c r="D80" s="81" t="str">
        <f t="shared" si="397"/>
        <v/>
      </c>
      <c r="E80" s="81" t="str">
        <f t="shared" si="397"/>
        <v/>
      </c>
      <c r="F80" s="81" t="str">
        <f t="shared" si="397"/>
        <v/>
      </c>
      <c r="G80" s="81" t="str">
        <f t="shared" si="397"/>
        <v/>
      </c>
      <c r="H80" s="81" t="str">
        <f t="shared" si="397"/>
        <v/>
      </c>
      <c r="I80" s="81" t="str">
        <f t="shared" si="397"/>
        <v/>
      </c>
      <c r="J80" s="80" t="str">
        <f t="shared" si="397"/>
        <v/>
      </c>
      <c r="K80" s="80" t="str">
        <f t="shared" si="397"/>
        <v/>
      </c>
      <c r="L80" s="80" t="str">
        <f t="shared" si="397"/>
        <v/>
      </c>
      <c r="M80" s="80" t="str">
        <f t="shared" si="397"/>
        <v/>
      </c>
      <c r="N80" s="266" t="str">
        <f t="shared" si="397"/>
        <v/>
      </c>
      <c r="O80" s="80" t="str">
        <f t="shared" si="397"/>
        <v/>
      </c>
      <c r="P80" s="80" t="str">
        <f t="shared" si="397"/>
        <v/>
      </c>
      <c r="Q80" s="80" t="str">
        <f t="shared" si="397"/>
        <v/>
      </c>
      <c r="R80" s="80" t="str">
        <f t="shared" si="397"/>
        <v/>
      </c>
      <c r="S80" s="266" t="str">
        <f t="shared" si="397"/>
        <v/>
      </c>
      <c r="T80" s="80" t="str">
        <f t="shared" si="397"/>
        <v/>
      </c>
      <c r="U80" s="80" t="str">
        <f t="shared" si="397"/>
        <v/>
      </c>
      <c r="V80" s="80" t="str">
        <f t="shared" si="397"/>
        <v/>
      </c>
      <c r="W80" s="80" t="str">
        <f t="shared" si="397"/>
        <v/>
      </c>
      <c r="X80" s="266" t="str">
        <f t="shared" si="397"/>
        <v/>
      </c>
      <c r="Y80" s="80" t="str">
        <f t="shared" si="397"/>
        <v/>
      </c>
      <c r="Z80" s="80" t="str">
        <f t="shared" si="397"/>
        <v/>
      </c>
      <c r="AA80" s="80" t="str">
        <f t="shared" si="397"/>
        <v/>
      </c>
      <c r="AB80" s="80" t="str">
        <f t="shared" si="397"/>
        <v/>
      </c>
      <c r="AC80" s="266" t="str">
        <f t="shared" si="397"/>
        <v/>
      </c>
      <c r="AD80" s="80" t="str">
        <f t="shared" si="397"/>
        <v/>
      </c>
      <c r="AE80" s="80" t="str">
        <f t="shared" si="397"/>
        <v/>
      </c>
      <c r="AF80" s="80" t="str">
        <f t="shared" si="397"/>
        <v/>
      </c>
      <c r="AG80" s="80" t="str">
        <f t="shared" si="397"/>
        <v/>
      </c>
      <c r="AH80" s="266" t="str">
        <f t="shared" si="397"/>
        <v/>
      </c>
      <c r="AI80" s="80" t="str">
        <f t="shared" ref="AI80:BN80" si="398">IF(ISERROR(AI70/AI$71),"",(AI70/AI$71))</f>
        <v/>
      </c>
      <c r="AJ80" s="80" t="str">
        <f t="shared" si="398"/>
        <v/>
      </c>
      <c r="AK80" s="80" t="str">
        <f t="shared" si="398"/>
        <v/>
      </c>
      <c r="AL80" s="80" t="str">
        <f t="shared" si="398"/>
        <v/>
      </c>
      <c r="AM80" s="266" t="str">
        <f t="shared" si="398"/>
        <v/>
      </c>
      <c r="AN80" s="80" t="str">
        <f t="shared" si="398"/>
        <v/>
      </c>
      <c r="AO80" s="80" t="str">
        <f t="shared" si="398"/>
        <v/>
      </c>
      <c r="AP80" s="80" t="str">
        <f t="shared" si="398"/>
        <v/>
      </c>
      <c r="AQ80" s="80" t="str">
        <f t="shared" si="398"/>
        <v/>
      </c>
      <c r="AR80" s="266" t="str">
        <f t="shared" si="398"/>
        <v/>
      </c>
      <c r="AS80" s="80" t="str">
        <f t="shared" si="398"/>
        <v/>
      </c>
      <c r="AT80" s="80" t="str">
        <f t="shared" si="398"/>
        <v/>
      </c>
      <c r="AU80" s="80" t="str">
        <f t="shared" si="398"/>
        <v/>
      </c>
      <c r="AV80" s="80" t="str">
        <f t="shared" si="398"/>
        <v/>
      </c>
      <c r="AW80" s="266" t="str">
        <f t="shared" si="398"/>
        <v/>
      </c>
      <c r="AX80" s="80" t="str">
        <f t="shared" si="398"/>
        <v/>
      </c>
      <c r="AY80" s="80" t="str">
        <f t="shared" si="398"/>
        <v/>
      </c>
      <c r="AZ80" s="80" t="str">
        <f t="shared" si="398"/>
        <v/>
      </c>
      <c r="BA80" s="80" t="str">
        <f t="shared" si="398"/>
        <v/>
      </c>
      <c r="BB80" s="266" t="str">
        <f t="shared" si="398"/>
        <v/>
      </c>
      <c r="BC80" s="80" t="str">
        <f t="shared" si="398"/>
        <v/>
      </c>
      <c r="BD80" s="80" t="str">
        <f t="shared" si="398"/>
        <v/>
      </c>
      <c r="BE80" s="80" t="str">
        <f t="shared" si="398"/>
        <v/>
      </c>
      <c r="BF80" s="80" t="str">
        <f t="shared" si="398"/>
        <v/>
      </c>
      <c r="BG80" s="266" t="str">
        <f t="shared" si="398"/>
        <v/>
      </c>
      <c r="BH80" s="80" t="str">
        <f t="shared" si="398"/>
        <v/>
      </c>
      <c r="BI80" s="80" t="str">
        <f t="shared" si="398"/>
        <v/>
      </c>
      <c r="BJ80" s="80" t="str">
        <f t="shared" si="398"/>
        <v/>
      </c>
      <c r="BK80" s="80" t="str">
        <f t="shared" si="398"/>
        <v/>
      </c>
      <c r="BL80" s="266" t="str">
        <f t="shared" si="398"/>
        <v/>
      </c>
      <c r="BM80" s="80" t="str">
        <f t="shared" si="398"/>
        <v/>
      </c>
      <c r="BN80" s="80" t="str">
        <f t="shared" si="398"/>
        <v/>
      </c>
      <c r="BO80" s="80" t="str">
        <f t="shared" ref="BO80:CT80" si="399">IF(ISERROR(BO70/BO$71),"",(BO70/BO$71))</f>
        <v/>
      </c>
      <c r="BP80" s="80" t="str">
        <f t="shared" si="399"/>
        <v/>
      </c>
      <c r="BQ80" s="266" t="str">
        <f t="shared" si="399"/>
        <v/>
      </c>
      <c r="BR80" s="80" t="str">
        <f t="shared" si="399"/>
        <v/>
      </c>
      <c r="BS80" s="80" t="str">
        <f t="shared" si="399"/>
        <v/>
      </c>
      <c r="BT80" s="80" t="str">
        <f t="shared" si="399"/>
        <v/>
      </c>
      <c r="BU80" s="80" t="str">
        <f t="shared" si="399"/>
        <v/>
      </c>
      <c r="BV80" s="266" t="str">
        <f t="shared" si="399"/>
        <v/>
      </c>
      <c r="BW80" s="80" t="str">
        <f t="shared" si="399"/>
        <v/>
      </c>
      <c r="BX80" s="80" t="str">
        <f t="shared" si="399"/>
        <v/>
      </c>
      <c r="BY80" s="80" t="str">
        <f t="shared" si="399"/>
        <v/>
      </c>
      <c r="BZ80" s="80" t="str">
        <f t="shared" si="399"/>
        <v/>
      </c>
      <c r="CA80" s="266" t="str">
        <f t="shared" si="399"/>
        <v/>
      </c>
      <c r="CB80" s="80" t="str">
        <f t="shared" si="399"/>
        <v/>
      </c>
      <c r="CC80" s="80" t="str">
        <f t="shared" si="399"/>
        <v/>
      </c>
      <c r="CD80" s="80" t="str">
        <f t="shared" si="399"/>
        <v/>
      </c>
      <c r="CE80" s="80" t="str">
        <f t="shared" si="399"/>
        <v/>
      </c>
      <c r="CF80" s="266" t="str">
        <f t="shared" si="399"/>
        <v/>
      </c>
      <c r="CG80" s="80" t="str">
        <f t="shared" si="399"/>
        <v/>
      </c>
      <c r="CH80" s="80" t="str">
        <f t="shared" si="399"/>
        <v/>
      </c>
      <c r="CI80" s="80" t="str">
        <f t="shared" si="399"/>
        <v/>
      </c>
      <c r="CJ80" s="80" t="str">
        <f t="shared" si="399"/>
        <v/>
      </c>
      <c r="CK80" s="266" t="str">
        <f t="shared" si="399"/>
        <v/>
      </c>
      <c r="CL80" s="80">
        <f t="shared" si="399"/>
        <v>2.8100775193798451E-2</v>
      </c>
      <c r="CM80" s="80">
        <f t="shared" si="399"/>
        <v>-3.1531531531531529E-2</v>
      </c>
      <c r="CN80" s="80">
        <f t="shared" si="399"/>
        <v>0.59537572254335258</v>
      </c>
      <c r="CO80" s="80">
        <f t="shared" si="399"/>
        <v>0.44532019704433495</v>
      </c>
      <c r="CP80" s="266">
        <f t="shared" si="399"/>
        <v>0.45280498664292074</v>
      </c>
      <c r="CQ80" s="80">
        <f t="shared" si="399"/>
        <v>0.19674185463659147</v>
      </c>
      <c r="CR80" s="80">
        <f t="shared" si="399"/>
        <v>0.80827886710239649</v>
      </c>
      <c r="CS80" s="80">
        <f t="shared" si="399"/>
        <v>0.35714285714285715</v>
      </c>
      <c r="CT80" s="80">
        <f t="shared" si="399"/>
        <v>0.22603174603174603</v>
      </c>
      <c r="CU80" s="266">
        <f t="shared" ref="CU80:DS80" si="400">IF(ISERROR(CU70/CU$71),"",(CU70/CU$71))</f>
        <v>0.37443021489038419</v>
      </c>
      <c r="CV80" s="80">
        <f t="shared" si="400"/>
        <v>-1.1879518072289157</v>
      </c>
      <c r="CW80" s="80">
        <f t="shared" si="400"/>
        <v>-0.12770137524557956</v>
      </c>
      <c r="CX80" s="80">
        <f t="shared" si="400"/>
        <v>-2.5766016713091924</v>
      </c>
      <c r="CY80" s="80">
        <f t="shared" si="400"/>
        <v>-5.0512445095168376E-2</v>
      </c>
      <c r="CZ80" s="266">
        <f t="shared" si="400"/>
        <v>-0.5120329322355921</v>
      </c>
      <c r="DA80" s="80">
        <f t="shared" si="400"/>
        <v>-0.1347233360064154</v>
      </c>
      <c r="DB80" s="80">
        <f t="shared" si="400"/>
        <v>-0.14801444043321299</v>
      </c>
      <c r="DC80" s="80">
        <f t="shared" si="400"/>
        <v>-0.13801756587202008</v>
      </c>
      <c r="DD80" s="80">
        <f t="shared" si="400"/>
        <v>-0.29737827715355808</v>
      </c>
      <c r="DE80" s="266">
        <f t="shared" si="400"/>
        <v>-0.17802553497572379</v>
      </c>
      <c r="DF80" s="80">
        <f t="shared" si="400"/>
        <v>-8.0645161290322578E-2</v>
      </c>
      <c r="DG80" s="80">
        <f t="shared" si="400"/>
        <v>-6.6420664206642069E-2</v>
      </c>
      <c r="DH80" s="80">
        <f t="shared" si="400"/>
        <v>-0.11056105610561057</v>
      </c>
      <c r="DI80" s="80">
        <f t="shared" si="400"/>
        <v>-0.20674044265593561</v>
      </c>
      <c r="DJ80" s="266">
        <f t="shared" si="400"/>
        <v>-0.11898524748379981</v>
      </c>
      <c r="DK80" s="80">
        <f t="shared" ref="DK80:DN80" si="401">IF(ISERROR(DK70/DK$71),"",(DK70/DK$71))</f>
        <v>-3.2618825722273995E-2</v>
      </c>
      <c r="DL80" s="80">
        <f t="shared" si="401"/>
        <v>-0.10997004706889174</v>
      </c>
      <c r="DM80" s="80">
        <f t="shared" si="401"/>
        <v>-0.10741505356032145</v>
      </c>
      <c r="DN80" s="80">
        <f t="shared" si="401"/>
        <v>-0.1717434690374986</v>
      </c>
      <c r="DO80" s="266">
        <f t="shared" si="400"/>
        <v>-0.10470841438018585</v>
      </c>
      <c r="DP80" s="80">
        <f t="shared" ref="DP80" si="402">IF(ISERROR(DP70/DP$71),"",(DP70/DP$71))</f>
        <v>-6.7259196648420422E-2</v>
      </c>
      <c r="DQ80" s="80">
        <f t="shared" si="400"/>
        <v>-7.7050039088447944E-2</v>
      </c>
      <c r="DR80" s="80">
        <f t="shared" si="400"/>
        <v>-9.988400988529797E-2</v>
      </c>
      <c r="DS80" s="80">
        <f t="shared" si="400"/>
        <v>-0.11201910102181152</v>
      </c>
      <c r="DT80" s="266">
        <f t="shared" ref="DT80" si="403">IF(ISERROR(DT70/DT$71),"",(DT70/DT$71))</f>
        <v>-8.9407053223465441E-2</v>
      </c>
      <c r="DU80" s="266">
        <f t="shared" ref="DU80" si="404">IF(ISERROR(DU70/DU$71),"",(DU70/DU$71))</f>
        <v>-8.2900723865092577E-2</v>
      </c>
      <c r="DV80" s="266">
        <f t="shared" ref="DV80" si="405">IF(ISERROR(DV70/DV$71),"",(DV70/DV$71))</f>
        <v>-7.8110900704183903E-2</v>
      </c>
    </row>
    <row r="81" spans="1:126" s="15" customFormat="1" ht="12">
      <c r="B81" s="171" t="s">
        <v>640</v>
      </c>
      <c r="C81" s="166" t="str">
        <f t="shared" ref="C81:AH81" si="406">IF(ISERROR(C71/C$71),"",(C71/C$71))</f>
        <v/>
      </c>
      <c r="D81" s="166" t="str">
        <f t="shared" si="406"/>
        <v/>
      </c>
      <c r="E81" s="166" t="str">
        <f t="shared" si="406"/>
        <v/>
      </c>
      <c r="F81" s="166" t="str">
        <f t="shared" si="406"/>
        <v/>
      </c>
      <c r="G81" s="166" t="str">
        <f t="shared" si="406"/>
        <v/>
      </c>
      <c r="H81" s="166" t="str">
        <f t="shared" si="406"/>
        <v/>
      </c>
      <c r="I81" s="166" t="str">
        <f t="shared" si="406"/>
        <v/>
      </c>
      <c r="J81" s="167" t="str">
        <f t="shared" si="406"/>
        <v/>
      </c>
      <c r="K81" s="167" t="str">
        <f t="shared" si="406"/>
        <v/>
      </c>
      <c r="L81" s="167" t="str">
        <f t="shared" si="406"/>
        <v/>
      </c>
      <c r="M81" s="167" t="str">
        <f t="shared" si="406"/>
        <v/>
      </c>
      <c r="N81" s="168" t="str">
        <f t="shared" si="406"/>
        <v/>
      </c>
      <c r="O81" s="167" t="str">
        <f t="shared" si="406"/>
        <v/>
      </c>
      <c r="P81" s="167" t="str">
        <f t="shared" si="406"/>
        <v/>
      </c>
      <c r="Q81" s="167" t="str">
        <f t="shared" si="406"/>
        <v/>
      </c>
      <c r="R81" s="167" t="str">
        <f t="shared" si="406"/>
        <v/>
      </c>
      <c r="S81" s="168" t="str">
        <f t="shared" si="406"/>
        <v/>
      </c>
      <c r="T81" s="167" t="str">
        <f t="shared" si="406"/>
        <v/>
      </c>
      <c r="U81" s="167" t="str">
        <f t="shared" si="406"/>
        <v/>
      </c>
      <c r="V81" s="167" t="str">
        <f t="shared" si="406"/>
        <v/>
      </c>
      <c r="W81" s="167" t="str">
        <f t="shared" si="406"/>
        <v/>
      </c>
      <c r="X81" s="168" t="str">
        <f t="shared" si="406"/>
        <v/>
      </c>
      <c r="Y81" s="167" t="str">
        <f t="shared" si="406"/>
        <v/>
      </c>
      <c r="Z81" s="167" t="str">
        <f t="shared" si="406"/>
        <v/>
      </c>
      <c r="AA81" s="167" t="str">
        <f t="shared" si="406"/>
        <v/>
      </c>
      <c r="AB81" s="167" t="str">
        <f t="shared" si="406"/>
        <v/>
      </c>
      <c r="AC81" s="168" t="str">
        <f t="shared" si="406"/>
        <v/>
      </c>
      <c r="AD81" s="167" t="str">
        <f t="shared" si="406"/>
        <v/>
      </c>
      <c r="AE81" s="167" t="str">
        <f t="shared" si="406"/>
        <v/>
      </c>
      <c r="AF81" s="167" t="str">
        <f t="shared" si="406"/>
        <v/>
      </c>
      <c r="AG81" s="167" t="str">
        <f t="shared" si="406"/>
        <v/>
      </c>
      <c r="AH81" s="168" t="str">
        <f t="shared" si="406"/>
        <v/>
      </c>
      <c r="AI81" s="167" t="str">
        <f t="shared" ref="AI81:BN81" si="407">IF(ISERROR(AI71/AI$71),"",(AI71/AI$71))</f>
        <v/>
      </c>
      <c r="AJ81" s="167" t="str">
        <f t="shared" si="407"/>
        <v/>
      </c>
      <c r="AK81" s="167" t="str">
        <f t="shared" si="407"/>
        <v/>
      </c>
      <c r="AL81" s="167" t="str">
        <f t="shared" si="407"/>
        <v/>
      </c>
      <c r="AM81" s="168" t="str">
        <f t="shared" si="407"/>
        <v/>
      </c>
      <c r="AN81" s="167" t="str">
        <f t="shared" si="407"/>
        <v/>
      </c>
      <c r="AO81" s="167" t="str">
        <f t="shared" si="407"/>
        <v/>
      </c>
      <c r="AP81" s="167" t="str">
        <f t="shared" si="407"/>
        <v/>
      </c>
      <c r="AQ81" s="167" t="str">
        <f t="shared" si="407"/>
        <v/>
      </c>
      <c r="AR81" s="168" t="str">
        <f t="shared" si="407"/>
        <v/>
      </c>
      <c r="AS81" s="167" t="str">
        <f t="shared" si="407"/>
        <v/>
      </c>
      <c r="AT81" s="167" t="str">
        <f t="shared" si="407"/>
        <v/>
      </c>
      <c r="AU81" s="167" t="str">
        <f t="shared" si="407"/>
        <v/>
      </c>
      <c r="AV81" s="167" t="str">
        <f t="shared" si="407"/>
        <v/>
      </c>
      <c r="AW81" s="168" t="str">
        <f t="shared" si="407"/>
        <v/>
      </c>
      <c r="AX81" s="167" t="str">
        <f t="shared" si="407"/>
        <v/>
      </c>
      <c r="AY81" s="167" t="str">
        <f t="shared" si="407"/>
        <v/>
      </c>
      <c r="AZ81" s="167" t="str">
        <f t="shared" si="407"/>
        <v/>
      </c>
      <c r="BA81" s="167" t="str">
        <f t="shared" si="407"/>
        <v/>
      </c>
      <c r="BB81" s="168" t="str">
        <f t="shared" si="407"/>
        <v/>
      </c>
      <c r="BC81" s="167" t="str">
        <f t="shared" si="407"/>
        <v/>
      </c>
      <c r="BD81" s="167" t="str">
        <f t="shared" si="407"/>
        <v/>
      </c>
      <c r="BE81" s="167" t="str">
        <f t="shared" si="407"/>
        <v/>
      </c>
      <c r="BF81" s="167" t="str">
        <f t="shared" si="407"/>
        <v/>
      </c>
      <c r="BG81" s="168" t="str">
        <f t="shared" si="407"/>
        <v/>
      </c>
      <c r="BH81" s="167" t="str">
        <f t="shared" si="407"/>
        <v/>
      </c>
      <c r="BI81" s="167" t="str">
        <f t="shared" si="407"/>
        <v/>
      </c>
      <c r="BJ81" s="167" t="str">
        <f t="shared" si="407"/>
        <v/>
      </c>
      <c r="BK81" s="167" t="str">
        <f t="shared" si="407"/>
        <v/>
      </c>
      <c r="BL81" s="168" t="str">
        <f t="shared" si="407"/>
        <v/>
      </c>
      <c r="BM81" s="167" t="str">
        <f t="shared" si="407"/>
        <v/>
      </c>
      <c r="BN81" s="167" t="str">
        <f t="shared" si="407"/>
        <v/>
      </c>
      <c r="BO81" s="167" t="str">
        <f t="shared" ref="BO81:CT81" si="408">IF(ISERROR(BO71/BO$71),"",(BO71/BO$71))</f>
        <v/>
      </c>
      <c r="BP81" s="167" t="str">
        <f t="shared" si="408"/>
        <v/>
      </c>
      <c r="BQ81" s="168" t="str">
        <f t="shared" si="408"/>
        <v/>
      </c>
      <c r="BR81" s="167" t="str">
        <f t="shared" si="408"/>
        <v/>
      </c>
      <c r="BS81" s="167" t="str">
        <f t="shared" si="408"/>
        <v/>
      </c>
      <c r="BT81" s="167" t="str">
        <f t="shared" si="408"/>
        <v/>
      </c>
      <c r="BU81" s="167" t="str">
        <f t="shared" si="408"/>
        <v/>
      </c>
      <c r="BV81" s="168" t="str">
        <f t="shared" si="408"/>
        <v/>
      </c>
      <c r="BW81" s="167" t="str">
        <f t="shared" si="408"/>
        <v/>
      </c>
      <c r="BX81" s="167" t="str">
        <f t="shared" si="408"/>
        <v/>
      </c>
      <c r="BY81" s="167" t="str">
        <f t="shared" si="408"/>
        <v/>
      </c>
      <c r="BZ81" s="167" t="str">
        <f t="shared" si="408"/>
        <v/>
      </c>
      <c r="CA81" s="168" t="str">
        <f t="shared" si="408"/>
        <v/>
      </c>
      <c r="CB81" s="167" t="str">
        <f t="shared" si="408"/>
        <v/>
      </c>
      <c r="CC81" s="167" t="str">
        <f t="shared" si="408"/>
        <v/>
      </c>
      <c r="CD81" s="167" t="str">
        <f t="shared" si="408"/>
        <v/>
      </c>
      <c r="CE81" s="167" t="str">
        <f t="shared" si="408"/>
        <v/>
      </c>
      <c r="CF81" s="168" t="str">
        <f t="shared" si="408"/>
        <v/>
      </c>
      <c r="CG81" s="167" t="str">
        <f t="shared" si="408"/>
        <v/>
      </c>
      <c r="CH81" s="167" t="str">
        <f t="shared" si="408"/>
        <v/>
      </c>
      <c r="CI81" s="167" t="str">
        <f t="shared" si="408"/>
        <v/>
      </c>
      <c r="CJ81" s="167" t="str">
        <f t="shared" si="408"/>
        <v/>
      </c>
      <c r="CK81" s="168" t="str">
        <f t="shared" si="408"/>
        <v/>
      </c>
      <c r="CL81" s="167">
        <f t="shared" si="408"/>
        <v>1</v>
      </c>
      <c r="CM81" s="167">
        <f t="shared" si="408"/>
        <v>1</v>
      </c>
      <c r="CN81" s="167">
        <f t="shared" si="408"/>
        <v>1</v>
      </c>
      <c r="CO81" s="167">
        <f t="shared" si="408"/>
        <v>1</v>
      </c>
      <c r="CP81" s="168">
        <f t="shared" si="408"/>
        <v>1</v>
      </c>
      <c r="CQ81" s="167">
        <f t="shared" si="408"/>
        <v>1</v>
      </c>
      <c r="CR81" s="167">
        <f t="shared" si="408"/>
        <v>1</v>
      </c>
      <c r="CS81" s="167">
        <f t="shared" si="408"/>
        <v>1</v>
      </c>
      <c r="CT81" s="167">
        <f t="shared" si="408"/>
        <v>1</v>
      </c>
      <c r="CU81" s="168">
        <f t="shared" ref="CU81:DS81" si="409">IF(ISERROR(CU71/CU$71),"",(CU71/CU$71))</f>
        <v>1</v>
      </c>
      <c r="CV81" s="167">
        <f t="shared" si="409"/>
        <v>1</v>
      </c>
      <c r="CW81" s="167">
        <f t="shared" si="409"/>
        <v>1</v>
      </c>
      <c r="CX81" s="167">
        <f t="shared" si="409"/>
        <v>1</v>
      </c>
      <c r="CY81" s="167">
        <f t="shared" si="409"/>
        <v>1</v>
      </c>
      <c r="CZ81" s="168">
        <f t="shared" si="409"/>
        <v>1</v>
      </c>
      <c r="DA81" s="167">
        <f t="shared" si="409"/>
        <v>1</v>
      </c>
      <c r="DB81" s="167">
        <f t="shared" si="409"/>
        <v>1</v>
      </c>
      <c r="DC81" s="167">
        <f t="shared" si="409"/>
        <v>1</v>
      </c>
      <c r="DD81" s="167">
        <f t="shared" si="409"/>
        <v>1</v>
      </c>
      <c r="DE81" s="168">
        <f t="shared" si="409"/>
        <v>1</v>
      </c>
      <c r="DF81" s="167">
        <f t="shared" si="409"/>
        <v>1</v>
      </c>
      <c r="DG81" s="167">
        <f t="shared" si="409"/>
        <v>1</v>
      </c>
      <c r="DH81" s="167">
        <f t="shared" si="409"/>
        <v>1</v>
      </c>
      <c r="DI81" s="167">
        <f t="shared" si="409"/>
        <v>1</v>
      </c>
      <c r="DJ81" s="168">
        <f t="shared" si="409"/>
        <v>1</v>
      </c>
      <c r="DK81" s="167">
        <f t="shared" ref="DK81:DN81" si="410">IF(ISERROR(DK71/DK$71),"",(DK71/DK$71))</f>
        <v>1</v>
      </c>
      <c r="DL81" s="167">
        <f t="shared" si="410"/>
        <v>1</v>
      </c>
      <c r="DM81" s="167">
        <f t="shared" si="410"/>
        <v>1</v>
      </c>
      <c r="DN81" s="167">
        <f t="shared" si="410"/>
        <v>1</v>
      </c>
      <c r="DO81" s="168">
        <f t="shared" si="409"/>
        <v>1</v>
      </c>
      <c r="DP81" s="167">
        <f t="shared" ref="DP81" si="411">IF(ISERROR(DP71/DP$71),"",(DP71/DP$71))</f>
        <v>1</v>
      </c>
      <c r="DQ81" s="167">
        <f t="shared" si="409"/>
        <v>1</v>
      </c>
      <c r="DR81" s="167">
        <f t="shared" si="409"/>
        <v>1</v>
      </c>
      <c r="DS81" s="167">
        <f t="shared" si="409"/>
        <v>1</v>
      </c>
      <c r="DT81" s="168">
        <f t="shared" ref="DT81" si="412">IF(ISERROR(DT71/DT$71),"",(DT71/DT$71))</f>
        <v>1</v>
      </c>
      <c r="DU81" s="168">
        <f t="shared" ref="DU81" si="413">IF(ISERROR(DU71/DU$71),"",(DU71/DU$71))</f>
        <v>1</v>
      </c>
      <c r="DV81" s="168">
        <f t="shared" ref="DV81" si="414">IF(ISERROR(DV71/DV$71),"",(DV71/DV$71))</f>
        <v>1</v>
      </c>
    </row>
    <row r="82" spans="1:126" s="15" customFormat="1">
      <c r="C82" s="16"/>
      <c r="D82" s="16"/>
      <c r="E82" s="16"/>
      <c r="F82" s="16"/>
      <c r="G82" s="16"/>
      <c r="H82" s="16"/>
      <c r="I82" s="16"/>
      <c r="J82" s="12"/>
      <c r="K82" s="12"/>
      <c r="L82" s="12"/>
      <c r="M82" s="12"/>
      <c r="N82" s="136"/>
      <c r="S82" s="136"/>
      <c r="X82" s="136"/>
      <c r="AC82" s="136"/>
      <c r="AH82" s="136"/>
      <c r="AM82" s="136"/>
      <c r="AR82" s="16"/>
      <c r="AW82" s="16"/>
      <c r="BB82" s="16"/>
      <c r="BG82" s="16"/>
      <c r="BL82" s="16"/>
      <c r="BQ82" s="16"/>
      <c r="BV82" s="16"/>
      <c r="CA82" s="16"/>
      <c r="CF82" s="16"/>
      <c r="CK82" s="16"/>
      <c r="CP82" s="16"/>
      <c r="CU82" s="16"/>
      <c r="CZ82" s="16"/>
      <c r="DE82" s="16"/>
      <c r="DJ82" s="16"/>
      <c r="DO82" s="16"/>
      <c r="DT82" s="16"/>
      <c r="DU82" s="16"/>
      <c r="DV82" s="16"/>
    </row>
    <row r="83" spans="1:126" s="15" customFormat="1" ht="12">
      <c r="B83" s="393" t="s">
        <v>562</v>
      </c>
      <c r="C83" s="16"/>
      <c r="D83" s="16"/>
      <c r="E83" s="16"/>
      <c r="F83" s="16"/>
      <c r="G83" s="16"/>
      <c r="H83" s="16"/>
      <c r="I83" s="16"/>
      <c r="J83" s="12"/>
      <c r="K83" s="12"/>
      <c r="L83" s="12"/>
      <c r="M83" s="12"/>
      <c r="N83" s="136"/>
      <c r="S83" s="136"/>
      <c r="X83" s="136"/>
      <c r="AC83" s="136"/>
      <c r="AH83" s="136"/>
      <c r="AM83" s="136"/>
      <c r="AR83" s="16"/>
      <c r="AW83" s="16"/>
      <c r="BB83" s="16"/>
      <c r="BG83" s="16"/>
      <c r="BL83" s="16"/>
      <c r="BQ83" s="16"/>
      <c r="BV83" s="16"/>
      <c r="CA83" s="16"/>
      <c r="CF83" s="16"/>
      <c r="CK83" s="16"/>
      <c r="CP83" s="16"/>
      <c r="CU83" s="16"/>
      <c r="CZ83" s="16"/>
      <c r="DE83" s="16"/>
      <c r="DJ83" s="16"/>
      <c r="DO83" s="16"/>
      <c r="DT83" s="16"/>
      <c r="DU83" s="16"/>
      <c r="DV83" s="16"/>
    </row>
    <row r="84" spans="1:126" s="15" customFormat="1">
      <c r="B84" s="221" t="s">
        <v>381</v>
      </c>
      <c r="C84" s="16"/>
      <c r="D84" s="16"/>
      <c r="E84" s="16"/>
      <c r="F84" s="16"/>
      <c r="G84" s="16"/>
      <c r="H84" s="16"/>
      <c r="I84" s="16"/>
      <c r="J84" s="12"/>
      <c r="K84" s="12"/>
      <c r="L84" s="12"/>
      <c r="M84" s="12"/>
      <c r="N84" s="136"/>
      <c r="S84" s="136"/>
      <c r="X84" s="136"/>
      <c r="AC84" s="111"/>
      <c r="AH84" s="111"/>
      <c r="AI84" s="73"/>
      <c r="AJ84" s="73"/>
      <c r="AK84" s="73"/>
      <c r="AL84" s="73"/>
      <c r="AM84" s="111"/>
      <c r="AN84" s="73"/>
      <c r="AO84" s="73"/>
      <c r="AP84" s="334"/>
      <c r="AQ84" s="334"/>
      <c r="AR84" s="111"/>
      <c r="AS84" s="334" t="e">
        <f t="shared" ref="AS84:BX84" si="415">AS63/AS7</f>
        <v>#DIV/0!</v>
      </c>
      <c r="AT84" s="334" t="e">
        <f t="shared" si="415"/>
        <v>#DIV/0!</v>
      </c>
      <c r="AU84" s="334" t="e">
        <f t="shared" si="415"/>
        <v>#DIV/0!</v>
      </c>
      <c r="AV84" s="334" t="e">
        <f t="shared" si="415"/>
        <v>#DIV/0!</v>
      </c>
      <c r="AW84" s="111" t="e">
        <f t="shared" si="415"/>
        <v>#DIV/0!</v>
      </c>
      <c r="AX84" s="334" t="e">
        <f t="shared" si="415"/>
        <v>#DIV/0!</v>
      </c>
      <c r="AY84" s="334" t="e">
        <f t="shared" si="415"/>
        <v>#DIV/0!</v>
      </c>
      <c r="AZ84" s="334" t="e">
        <f t="shared" si="415"/>
        <v>#DIV/0!</v>
      </c>
      <c r="BA84" s="334" t="e">
        <f t="shared" si="415"/>
        <v>#DIV/0!</v>
      </c>
      <c r="BB84" s="111" t="e">
        <f t="shared" si="415"/>
        <v>#DIV/0!</v>
      </c>
      <c r="BC84" s="334" t="e">
        <f t="shared" si="415"/>
        <v>#DIV/0!</v>
      </c>
      <c r="BD84" s="334" t="e">
        <f t="shared" si="415"/>
        <v>#DIV/0!</v>
      </c>
      <c r="BE84" s="334" t="e">
        <f t="shared" si="415"/>
        <v>#DIV/0!</v>
      </c>
      <c r="BF84" s="334" t="e">
        <f t="shared" si="415"/>
        <v>#DIV/0!</v>
      </c>
      <c r="BG84" s="352" t="e">
        <f t="shared" si="415"/>
        <v>#DIV/0!</v>
      </c>
      <c r="BH84" s="334" t="e">
        <f t="shared" si="415"/>
        <v>#DIV/0!</v>
      </c>
      <c r="BI84" s="334" t="e">
        <f t="shared" si="415"/>
        <v>#DIV/0!</v>
      </c>
      <c r="BJ84" s="334" t="e">
        <f t="shared" si="415"/>
        <v>#DIV/0!</v>
      </c>
      <c r="BK84" s="334" t="e">
        <f t="shared" si="415"/>
        <v>#DIV/0!</v>
      </c>
      <c r="BL84" s="352" t="e">
        <f t="shared" si="415"/>
        <v>#DIV/0!</v>
      </c>
      <c r="BM84" s="334">
        <f t="shared" si="415"/>
        <v>0</v>
      </c>
      <c r="BN84" s="334">
        <f t="shared" si="415"/>
        <v>0</v>
      </c>
      <c r="BO84" s="334">
        <f t="shared" si="415"/>
        <v>0</v>
      </c>
      <c r="BP84" s="334">
        <f t="shared" si="415"/>
        <v>0</v>
      </c>
      <c r="BQ84" s="352">
        <f t="shared" si="415"/>
        <v>0</v>
      </c>
      <c r="BR84" s="334">
        <f t="shared" si="415"/>
        <v>0</v>
      </c>
      <c r="BS84" s="334">
        <f t="shared" si="415"/>
        <v>0</v>
      </c>
      <c r="BT84" s="334">
        <f t="shared" si="415"/>
        <v>0</v>
      </c>
      <c r="BU84" s="334">
        <f t="shared" si="415"/>
        <v>0</v>
      </c>
      <c r="BV84" s="352">
        <f t="shared" si="415"/>
        <v>0</v>
      </c>
      <c r="BW84" s="334">
        <f t="shared" si="415"/>
        <v>0</v>
      </c>
      <c r="BX84" s="334">
        <f t="shared" si="415"/>
        <v>0</v>
      </c>
      <c r="BY84" s="334">
        <f t="shared" ref="BY84:DG84" si="416">BY63/BY7</f>
        <v>0</v>
      </c>
      <c r="BZ84" s="334">
        <f t="shared" si="416"/>
        <v>0</v>
      </c>
      <c r="CA84" s="352">
        <f t="shared" si="416"/>
        <v>0</v>
      </c>
      <c r="CB84" s="334">
        <f t="shared" si="416"/>
        <v>0</v>
      </c>
      <c r="CC84" s="334">
        <f t="shared" si="416"/>
        <v>0</v>
      </c>
      <c r="CD84" s="334">
        <f t="shared" si="416"/>
        <v>0</v>
      </c>
      <c r="CE84" s="334">
        <f t="shared" si="416"/>
        <v>0</v>
      </c>
      <c r="CF84" s="352">
        <f t="shared" si="416"/>
        <v>0</v>
      </c>
      <c r="CG84" s="334">
        <f t="shared" si="416"/>
        <v>0</v>
      </c>
      <c r="CH84" s="334">
        <f t="shared" si="416"/>
        <v>0</v>
      </c>
      <c r="CI84" s="334">
        <f t="shared" si="416"/>
        <v>0</v>
      </c>
      <c r="CJ84" s="334">
        <f t="shared" si="416"/>
        <v>0</v>
      </c>
      <c r="CK84" s="352">
        <f t="shared" si="416"/>
        <v>0</v>
      </c>
      <c r="CL84" s="334">
        <f t="shared" si="416"/>
        <v>0</v>
      </c>
      <c r="CM84" s="334">
        <f t="shared" si="416"/>
        <v>0</v>
      </c>
      <c r="CN84" s="334">
        <f t="shared" si="416"/>
        <v>0</v>
      </c>
      <c r="CO84" s="334">
        <f t="shared" si="416"/>
        <v>0</v>
      </c>
      <c r="CP84" s="352">
        <f t="shared" si="416"/>
        <v>0</v>
      </c>
      <c r="CQ84" s="334">
        <f t="shared" si="416"/>
        <v>0</v>
      </c>
      <c r="CR84" s="334">
        <f t="shared" si="416"/>
        <v>0</v>
      </c>
      <c r="CS84" s="334">
        <f t="shared" si="416"/>
        <v>0</v>
      </c>
      <c r="CT84" s="334">
        <f t="shared" si="416"/>
        <v>0</v>
      </c>
      <c r="CU84" s="352">
        <f t="shared" si="416"/>
        <v>0</v>
      </c>
      <c r="CV84" s="334">
        <f t="shared" si="416"/>
        <v>0</v>
      </c>
      <c r="CW84" s="334">
        <f t="shared" si="416"/>
        <v>0</v>
      </c>
      <c r="CX84" s="334">
        <f t="shared" si="416"/>
        <v>0</v>
      </c>
      <c r="CY84" s="334">
        <f t="shared" si="416"/>
        <v>0</v>
      </c>
      <c r="CZ84" s="352">
        <f t="shared" si="416"/>
        <v>0</v>
      </c>
      <c r="DA84" s="334">
        <f t="shared" si="416"/>
        <v>0.23203363914373087</v>
      </c>
      <c r="DB84" s="334">
        <f t="shared" si="416"/>
        <v>0.24211260240543839</v>
      </c>
      <c r="DC84" s="334">
        <f t="shared" si="416"/>
        <v>0.23927520520365494</v>
      </c>
      <c r="DD84" s="334">
        <f t="shared" si="416"/>
        <v>0.2325400528853632</v>
      </c>
      <c r="DE84" s="352">
        <f t="shared" si="416"/>
        <v>0.23655418151330959</v>
      </c>
      <c r="DF84" s="334">
        <f t="shared" si="416"/>
        <v>0.23277559055118111</v>
      </c>
      <c r="DG84" s="334">
        <f t="shared" si="416"/>
        <v>0.27380952380952384</v>
      </c>
      <c r="DH84" s="334">
        <f t="shared" ref="DH84:DI84" si="417">DH63/DH7</f>
        <v>0.2568899043267171</v>
      </c>
      <c r="DI84" s="334">
        <f t="shared" si="417"/>
        <v>0.28209150326797383</v>
      </c>
      <c r="DJ84" s="352">
        <f>DJ63/DJ7</f>
        <v>0.26245303374130424</v>
      </c>
      <c r="DK84" s="334">
        <f t="shared" ref="DK84:DL84" si="418">DK63/DK7</f>
        <v>0.27518990970331086</v>
      </c>
      <c r="DL84" s="334">
        <f t="shared" si="418"/>
        <v>0.27934918648310386</v>
      </c>
      <c r="DM84" s="324">
        <v>0.26</v>
      </c>
      <c r="DN84" s="324">
        <v>0.25</v>
      </c>
      <c r="DO84" s="352">
        <f>DO63/DO7</f>
        <v>0.26570465579065761</v>
      </c>
      <c r="DP84" s="324">
        <v>0.27700000000000002</v>
      </c>
      <c r="DQ84" s="324">
        <v>0.27</v>
      </c>
      <c r="DR84" s="324">
        <v>0.26500000000000001</v>
      </c>
      <c r="DS84" s="324">
        <v>0.254</v>
      </c>
      <c r="DT84" s="352">
        <f>DT63/DT7</f>
        <v>0.26597289611319869</v>
      </c>
      <c r="DU84" s="325">
        <v>0.26600000000000001</v>
      </c>
      <c r="DV84" s="325">
        <v>0.26700000000000002</v>
      </c>
    </row>
    <row r="85" spans="1:126" s="15" customFormat="1">
      <c r="B85" s="317" t="s">
        <v>457</v>
      </c>
      <c r="C85" s="16"/>
      <c r="D85" s="16"/>
      <c r="E85" s="16"/>
      <c r="F85" s="16"/>
      <c r="G85" s="16"/>
      <c r="H85" s="16"/>
      <c r="I85" s="16"/>
      <c r="J85" s="12"/>
      <c r="K85" s="12"/>
      <c r="L85" s="12"/>
      <c r="M85" s="12"/>
      <c r="N85" s="136"/>
      <c r="S85" s="136"/>
      <c r="X85" s="136"/>
      <c r="AC85" s="111"/>
      <c r="AH85" s="111"/>
      <c r="AI85" s="73"/>
      <c r="AJ85" s="73"/>
      <c r="AK85" s="73"/>
      <c r="AL85" s="73"/>
      <c r="AM85" s="111"/>
      <c r="AN85" s="73"/>
      <c r="AO85" s="73"/>
      <c r="AP85" s="334"/>
      <c r="AQ85" s="334"/>
      <c r="AR85" s="111"/>
      <c r="AS85" s="334" t="e">
        <f t="shared" ref="AS85:BX85" si="419">AS64/AS8</f>
        <v>#DIV/0!</v>
      </c>
      <c r="AT85" s="334" t="e">
        <f t="shared" si="419"/>
        <v>#DIV/0!</v>
      </c>
      <c r="AU85" s="334" t="e">
        <f t="shared" si="419"/>
        <v>#DIV/0!</v>
      </c>
      <c r="AV85" s="334" t="e">
        <f t="shared" si="419"/>
        <v>#DIV/0!</v>
      </c>
      <c r="AW85" s="111" t="e">
        <f t="shared" si="419"/>
        <v>#DIV/0!</v>
      </c>
      <c r="AX85" s="334" t="e">
        <f t="shared" si="419"/>
        <v>#DIV/0!</v>
      </c>
      <c r="AY85" s="334" t="e">
        <f t="shared" si="419"/>
        <v>#DIV/0!</v>
      </c>
      <c r="AZ85" s="334" t="e">
        <f t="shared" si="419"/>
        <v>#DIV/0!</v>
      </c>
      <c r="BA85" s="334" t="e">
        <f t="shared" si="419"/>
        <v>#DIV/0!</v>
      </c>
      <c r="BB85" s="111" t="e">
        <f t="shared" si="419"/>
        <v>#DIV/0!</v>
      </c>
      <c r="BC85" s="334" t="e">
        <f t="shared" si="419"/>
        <v>#DIV/0!</v>
      </c>
      <c r="BD85" s="334" t="e">
        <f t="shared" si="419"/>
        <v>#DIV/0!</v>
      </c>
      <c r="BE85" s="334" t="e">
        <f t="shared" si="419"/>
        <v>#DIV/0!</v>
      </c>
      <c r="BF85" s="334" t="e">
        <f t="shared" si="419"/>
        <v>#DIV/0!</v>
      </c>
      <c r="BG85" s="352" t="e">
        <f t="shared" si="419"/>
        <v>#DIV/0!</v>
      </c>
      <c r="BH85" s="334" t="e">
        <f t="shared" si="419"/>
        <v>#DIV/0!</v>
      </c>
      <c r="BI85" s="334" t="e">
        <f t="shared" si="419"/>
        <v>#DIV/0!</v>
      </c>
      <c r="BJ85" s="334" t="e">
        <f t="shared" si="419"/>
        <v>#DIV/0!</v>
      </c>
      <c r="BK85" s="334" t="e">
        <f t="shared" si="419"/>
        <v>#DIV/0!</v>
      </c>
      <c r="BL85" s="352" t="e">
        <f t="shared" si="419"/>
        <v>#DIV/0!</v>
      </c>
      <c r="BM85" s="334">
        <f t="shared" si="419"/>
        <v>0</v>
      </c>
      <c r="BN85" s="334">
        <f t="shared" si="419"/>
        <v>0</v>
      </c>
      <c r="BO85" s="334">
        <f t="shared" si="419"/>
        <v>0</v>
      </c>
      <c r="BP85" s="334">
        <f t="shared" si="419"/>
        <v>0</v>
      </c>
      <c r="BQ85" s="352">
        <f t="shared" si="419"/>
        <v>0</v>
      </c>
      <c r="BR85" s="334">
        <f t="shared" si="419"/>
        <v>0</v>
      </c>
      <c r="BS85" s="334">
        <f t="shared" si="419"/>
        <v>0</v>
      </c>
      <c r="BT85" s="334">
        <f t="shared" si="419"/>
        <v>0</v>
      </c>
      <c r="BU85" s="334">
        <f t="shared" si="419"/>
        <v>0</v>
      </c>
      <c r="BV85" s="352">
        <f t="shared" si="419"/>
        <v>0</v>
      </c>
      <c r="BW85" s="334">
        <f t="shared" si="419"/>
        <v>0</v>
      </c>
      <c r="BX85" s="334">
        <f t="shared" si="419"/>
        <v>0</v>
      </c>
      <c r="BY85" s="334">
        <f t="shared" ref="BY85:DG85" si="420">BY64/BY8</f>
        <v>0</v>
      </c>
      <c r="BZ85" s="334">
        <f t="shared" si="420"/>
        <v>0</v>
      </c>
      <c r="CA85" s="352">
        <f t="shared" si="420"/>
        <v>0</v>
      </c>
      <c r="CB85" s="334">
        <f t="shared" si="420"/>
        <v>0</v>
      </c>
      <c r="CC85" s="334">
        <f t="shared" si="420"/>
        <v>0</v>
      </c>
      <c r="CD85" s="334">
        <f t="shared" si="420"/>
        <v>0</v>
      </c>
      <c r="CE85" s="334">
        <f t="shared" si="420"/>
        <v>0</v>
      </c>
      <c r="CF85" s="352">
        <f t="shared" si="420"/>
        <v>0</v>
      </c>
      <c r="CG85" s="334">
        <f t="shared" si="420"/>
        <v>0</v>
      </c>
      <c r="CH85" s="334">
        <f t="shared" si="420"/>
        <v>0</v>
      </c>
      <c r="CI85" s="334">
        <f t="shared" si="420"/>
        <v>0</v>
      </c>
      <c r="CJ85" s="334">
        <f t="shared" si="420"/>
        <v>0</v>
      </c>
      <c r="CK85" s="352">
        <f t="shared" si="420"/>
        <v>0</v>
      </c>
      <c r="CL85" s="334">
        <f t="shared" si="420"/>
        <v>0</v>
      </c>
      <c r="CM85" s="334">
        <f t="shared" si="420"/>
        <v>0</v>
      </c>
      <c r="CN85" s="334">
        <f t="shared" si="420"/>
        <v>0</v>
      </c>
      <c r="CO85" s="334">
        <f t="shared" si="420"/>
        <v>0</v>
      </c>
      <c r="CP85" s="352">
        <f t="shared" si="420"/>
        <v>0</v>
      </c>
      <c r="CQ85" s="334">
        <f t="shared" si="420"/>
        <v>0</v>
      </c>
      <c r="CR85" s="334">
        <f t="shared" si="420"/>
        <v>0</v>
      </c>
      <c r="CS85" s="334">
        <f t="shared" si="420"/>
        <v>0</v>
      </c>
      <c r="CT85" s="334">
        <f t="shared" si="420"/>
        <v>0</v>
      </c>
      <c r="CU85" s="352">
        <f t="shared" si="420"/>
        <v>0</v>
      </c>
      <c r="CV85" s="334">
        <f t="shared" si="420"/>
        <v>0</v>
      </c>
      <c r="CW85" s="334">
        <f t="shared" si="420"/>
        <v>0</v>
      </c>
      <c r="CX85" s="334">
        <f t="shared" si="420"/>
        <v>0</v>
      </c>
      <c r="CY85" s="334">
        <f t="shared" si="420"/>
        <v>0</v>
      </c>
      <c r="CZ85" s="352">
        <f t="shared" si="420"/>
        <v>0</v>
      </c>
      <c r="DA85" s="334">
        <f t="shared" si="420"/>
        <v>0.10223804679552391</v>
      </c>
      <c r="DB85" s="334">
        <f t="shared" si="420"/>
        <v>8.4631578947368419E-2</v>
      </c>
      <c r="DC85" s="334">
        <f t="shared" si="420"/>
        <v>0.1219954648526077</v>
      </c>
      <c r="DD85" s="334">
        <f t="shared" si="420"/>
        <v>9.8096026490066227E-2</v>
      </c>
      <c r="DE85" s="352">
        <f t="shared" si="420"/>
        <v>0.10131667038607453</v>
      </c>
      <c r="DF85" s="334">
        <f t="shared" si="420"/>
        <v>0.11072664359861592</v>
      </c>
      <c r="DG85" s="334">
        <f t="shared" si="420"/>
        <v>0.14327363598500625</v>
      </c>
      <c r="DH85" s="334">
        <f t="shared" ref="DH85:DI85" si="421">DH64/DH8</f>
        <v>9.808292465448061E-2</v>
      </c>
      <c r="DI85" s="334">
        <f t="shared" si="421"/>
        <v>9.5521204914783983E-2</v>
      </c>
      <c r="DJ85" s="352">
        <f>DJ64/DJ8</f>
        <v>0.11193163835847664</v>
      </c>
      <c r="DK85" s="334">
        <f t="shared" ref="DK85:DL85" si="422">DK64/DK8</f>
        <v>0.12736660929432014</v>
      </c>
      <c r="DL85" s="334">
        <f t="shared" si="422"/>
        <v>0.14124073351541164</v>
      </c>
      <c r="DM85" s="324">
        <v>0.122</v>
      </c>
      <c r="DN85" s="324">
        <v>0.12</v>
      </c>
      <c r="DO85" s="352">
        <f>DO64/DO8</f>
        <v>0.12763357961045252</v>
      </c>
      <c r="DP85" s="324">
        <v>0.12</v>
      </c>
      <c r="DQ85" s="324">
        <v>0.125</v>
      </c>
      <c r="DR85" s="324">
        <v>0.127</v>
      </c>
      <c r="DS85" s="324">
        <v>0.14000000000000001</v>
      </c>
      <c r="DT85" s="352">
        <f>DT64/DT8</f>
        <v>0.1283442747961645</v>
      </c>
      <c r="DU85" s="325">
        <v>0.13</v>
      </c>
      <c r="DV85" s="325">
        <v>0.13</v>
      </c>
    </row>
    <row r="86" spans="1:126" s="15" customFormat="1" hidden="1" outlineLevel="1">
      <c r="B86" s="317" t="s">
        <v>644</v>
      </c>
      <c r="C86" s="16"/>
      <c r="D86" s="16"/>
      <c r="E86" s="16"/>
      <c r="F86" s="16"/>
      <c r="G86" s="16"/>
      <c r="H86" s="16"/>
      <c r="I86" s="16"/>
      <c r="J86" s="12"/>
      <c r="K86" s="12"/>
      <c r="L86" s="12"/>
      <c r="M86" s="12"/>
      <c r="N86" s="136"/>
      <c r="S86" s="136"/>
      <c r="X86" s="136"/>
      <c r="AC86" s="111"/>
      <c r="AH86" s="111"/>
      <c r="AI86" s="73"/>
      <c r="AJ86" s="73"/>
      <c r="AK86" s="73"/>
      <c r="AL86" s="73"/>
      <c r="AM86" s="111"/>
      <c r="AN86" s="73"/>
      <c r="AO86" s="73"/>
      <c r="AP86" s="334"/>
      <c r="AQ86" s="334"/>
      <c r="AR86" s="111"/>
      <c r="AS86" s="334"/>
      <c r="AT86" s="334"/>
      <c r="AU86" s="334"/>
      <c r="AV86" s="334"/>
      <c r="AW86" s="111"/>
      <c r="AX86" s="334"/>
      <c r="AY86" s="334"/>
      <c r="AZ86" s="334"/>
      <c r="BA86" s="334"/>
      <c r="BB86" s="111"/>
      <c r="BC86" s="334"/>
      <c r="BD86" s="334"/>
      <c r="BE86" s="334"/>
      <c r="BF86" s="334"/>
      <c r="BG86" s="352"/>
      <c r="BH86" s="334"/>
      <c r="BI86" s="334"/>
      <c r="BJ86" s="334"/>
      <c r="BK86" s="334"/>
      <c r="BL86" s="352"/>
      <c r="BM86" s="334"/>
      <c r="BN86" s="334"/>
      <c r="BO86" s="334"/>
      <c r="BP86" s="334"/>
      <c r="BQ86" s="352"/>
      <c r="BR86" s="334"/>
      <c r="BS86" s="334"/>
      <c r="BT86" s="334"/>
      <c r="BU86" s="334"/>
      <c r="BV86" s="352"/>
      <c r="BW86" s="334"/>
      <c r="BX86" s="334"/>
      <c r="BY86" s="334"/>
      <c r="BZ86" s="334"/>
      <c r="CA86" s="352"/>
      <c r="CB86" s="334"/>
      <c r="CC86" s="334"/>
      <c r="CD86" s="334"/>
      <c r="CE86" s="334"/>
      <c r="CF86" s="352"/>
      <c r="CG86" s="334"/>
      <c r="CH86" s="334"/>
      <c r="CI86" s="334"/>
      <c r="CJ86" s="334"/>
      <c r="CK86" s="352"/>
      <c r="CL86" s="334"/>
      <c r="CM86" s="334"/>
      <c r="CN86" s="334"/>
      <c r="CO86" s="334"/>
      <c r="CP86" s="352"/>
      <c r="CQ86" s="334"/>
      <c r="CR86" s="334"/>
      <c r="CS86" s="334"/>
      <c r="CT86" s="334"/>
      <c r="CU86" s="352"/>
      <c r="CV86" s="334">
        <f t="shared" ref="CV86:DG86" si="423">CV65/CV9</f>
        <v>0</v>
      </c>
      <c r="CW86" s="334">
        <f t="shared" si="423"/>
        <v>0</v>
      </c>
      <c r="CX86" s="334">
        <f t="shared" si="423"/>
        <v>0</v>
      </c>
      <c r="CY86" s="334">
        <f t="shared" si="423"/>
        <v>0</v>
      </c>
      <c r="CZ86" s="352">
        <f t="shared" si="423"/>
        <v>0</v>
      </c>
      <c r="DA86" s="334">
        <f t="shared" si="423"/>
        <v>0</v>
      </c>
      <c r="DB86" s="334">
        <f t="shared" si="423"/>
        <v>0</v>
      </c>
      <c r="DC86" s="334">
        <f t="shared" si="423"/>
        <v>0</v>
      </c>
      <c r="DD86" s="334">
        <f t="shared" si="423"/>
        <v>0</v>
      </c>
      <c r="DE86" s="352">
        <f t="shared" si="423"/>
        <v>0</v>
      </c>
      <c r="DF86" s="334">
        <f t="shared" si="423"/>
        <v>0</v>
      </c>
      <c r="DG86" s="334">
        <f t="shared" si="423"/>
        <v>0</v>
      </c>
      <c r="DH86" s="324"/>
      <c r="DI86" s="324"/>
      <c r="DJ86" s="352"/>
      <c r="DK86" s="324"/>
      <c r="DL86" s="324"/>
      <c r="DM86" s="324"/>
      <c r="DN86" s="324"/>
      <c r="DO86" s="325"/>
      <c r="DP86" s="324"/>
      <c r="DQ86" s="324"/>
      <c r="DR86" s="324"/>
      <c r="DS86" s="324"/>
      <c r="DT86" s="325"/>
      <c r="DU86" s="325"/>
      <c r="DV86" s="325"/>
    </row>
    <row r="87" spans="1:126" s="15" customFormat="1" hidden="1" outlineLevel="1">
      <c r="B87" s="221" t="s">
        <v>558</v>
      </c>
      <c r="C87" s="16"/>
      <c r="D87" s="16"/>
      <c r="E87" s="16"/>
      <c r="F87" s="16"/>
      <c r="G87" s="16"/>
      <c r="H87" s="16"/>
      <c r="I87" s="16"/>
      <c r="J87" s="12"/>
      <c r="K87" s="12"/>
      <c r="L87" s="12"/>
      <c r="M87" s="12"/>
      <c r="N87" s="136"/>
      <c r="S87" s="136"/>
      <c r="X87" s="136"/>
      <c r="AC87" s="111"/>
      <c r="AH87" s="111"/>
      <c r="AI87" s="73"/>
      <c r="AJ87" s="73"/>
      <c r="AK87" s="73"/>
      <c r="AL87" s="73"/>
      <c r="AM87" s="111"/>
      <c r="AN87" s="73"/>
      <c r="AO87" s="73"/>
      <c r="AP87" s="334"/>
      <c r="AQ87" s="334"/>
      <c r="AR87" s="111"/>
      <c r="AS87" s="334"/>
      <c r="AT87" s="334"/>
      <c r="AU87" s="334"/>
      <c r="AV87" s="334"/>
      <c r="AW87" s="111"/>
      <c r="AX87" s="334"/>
      <c r="AY87" s="334"/>
      <c r="AZ87" s="334"/>
      <c r="BA87" s="334"/>
      <c r="BB87" s="111"/>
      <c r="BC87" s="334"/>
      <c r="BD87" s="334"/>
      <c r="BE87" s="334"/>
      <c r="BF87" s="334"/>
      <c r="BG87" s="352"/>
      <c r="BH87" s="334"/>
      <c r="BI87" s="334"/>
      <c r="BJ87" s="334"/>
      <c r="BK87" s="334"/>
      <c r="BL87" s="352"/>
      <c r="BM87" s="334"/>
      <c r="BN87" s="334"/>
      <c r="BO87" s="334"/>
      <c r="BP87" s="334"/>
      <c r="BQ87" s="352"/>
      <c r="BR87" s="334"/>
      <c r="BS87" s="334"/>
      <c r="BT87" s="334"/>
      <c r="BU87" s="334"/>
      <c r="BV87" s="352"/>
      <c r="BW87" s="334"/>
      <c r="BX87" s="334"/>
      <c r="BY87" s="334"/>
      <c r="BZ87" s="334"/>
      <c r="CA87" s="352"/>
      <c r="CB87" s="334"/>
      <c r="CC87" s="334"/>
      <c r="CD87" s="334"/>
      <c r="CE87" s="334"/>
      <c r="CF87" s="352"/>
      <c r="CG87" s="334"/>
      <c r="CH87" s="334"/>
      <c r="CI87" s="334"/>
      <c r="CJ87" s="334"/>
      <c r="CK87" s="352"/>
      <c r="CL87" s="334"/>
      <c r="CM87" s="334"/>
      <c r="CN87" s="334"/>
      <c r="CO87" s="334"/>
      <c r="CP87" s="352"/>
      <c r="CQ87" s="334"/>
      <c r="CR87" s="334"/>
      <c r="CS87" s="334"/>
      <c r="CT87" s="334"/>
      <c r="CU87" s="352"/>
      <c r="CV87" s="334" t="e">
        <f t="shared" ref="CV87:DG87" si="424">CV66/CV10</f>
        <v>#DIV/0!</v>
      </c>
      <c r="CW87" s="334" t="e">
        <f t="shared" si="424"/>
        <v>#DIV/0!</v>
      </c>
      <c r="CX87" s="334" t="e">
        <f t="shared" si="424"/>
        <v>#DIV/0!</v>
      </c>
      <c r="CY87" s="334" t="e">
        <f t="shared" si="424"/>
        <v>#DIV/0!</v>
      </c>
      <c r="CZ87" s="352" t="e">
        <f t="shared" si="424"/>
        <v>#DIV/0!</v>
      </c>
      <c r="DA87" s="334">
        <f t="shared" si="424"/>
        <v>0</v>
      </c>
      <c r="DB87" s="334">
        <f t="shared" si="424"/>
        <v>0</v>
      </c>
      <c r="DC87" s="334">
        <f t="shared" si="424"/>
        <v>0</v>
      </c>
      <c r="DD87" s="334">
        <f t="shared" si="424"/>
        <v>0</v>
      </c>
      <c r="DE87" s="352">
        <f t="shared" si="424"/>
        <v>0</v>
      </c>
      <c r="DF87" s="334">
        <f t="shared" si="424"/>
        <v>0</v>
      </c>
      <c r="DG87" s="334">
        <f t="shared" si="424"/>
        <v>0</v>
      </c>
      <c r="DH87" s="324"/>
      <c r="DI87" s="324"/>
      <c r="DJ87" s="352"/>
      <c r="DK87" s="324"/>
      <c r="DL87" s="324"/>
      <c r="DM87" s="324"/>
      <c r="DN87" s="324"/>
      <c r="DO87" s="325"/>
      <c r="DP87" s="324"/>
      <c r="DQ87" s="324"/>
      <c r="DR87" s="324"/>
      <c r="DS87" s="324"/>
      <c r="DT87" s="325"/>
      <c r="DU87" s="325"/>
      <c r="DV87" s="325"/>
    </row>
    <row r="88" spans="1:126" s="15" customFormat="1" collapsed="1">
      <c r="A88" s="147"/>
      <c r="B88" s="97" t="s">
        <v>72</v>
      </c>
      <c r="C88" s="77" t="e">
        <f t="shared" ref="C88:X88" si="425">C67/C11</f>
        <v>#DIV/0!</v>
      </c>
      <c r="D88" s="77" t="e">
        <f t="shared" si="425"/>
        <v>#DIV/0!</v>
      </c>
      <c r="E88" s="77" t="e">
        <f t="shared" si="425"/>
        <v>#DIV/0!</v>
      </c>
      <c r="F88" s="77" t="e">
        <f t="shared" si="425"/>
        <v>#DIV/0!</v>
      </c>
      <c r="G88" s="77" t="e">
        <f t="shared" si="425"/>
        <v>#DIV/0!</v>
      </c>
      <c r="H88" s="77" t="e">
        <f t="shared" si="425"/>
        <v>#DIV/0!</v>
      </c>
      <c r="I88" s="77" t="e">
        <f t="shared" si="425"/>
        <v>#DIV/0!</v>
      </c>
      <c r="J88" s="76" t="e">
        <f t="shared" si="425"/>
        <v>#DIV/0!</v>
      </c>
      <c r="K88" s="76" t="e">
        <f t="shared" si="425"/>
        <v>#DIV/0!</v>
      </c>
      <c r="L88" s="76" t="e">
        <f t="shared" si="425"/>
        <v>#DIV/0!</v>
      </c>
      <c r="M88" s="76" t="e">
        <f t="shared" si="425"/>
        <v>#DIV/0!</v>
      </c>
      <c r="N88" s="181" t="e">
        <f t="shared" si="425"/>
        <v>#DIV/0!</v>
      </c>
      <c r="O88" s="76" t="e">
        <f t="shared" si="425"/>
        <v>#DIV/0!</v>
      </c>
      <c r="P88" s="76" t="e">
        <f t="shared" si="425"/>
        <v>#DIV/0!</v>
      </c>
      <c r="Q88" s="76" t="e">
        <f t="shared" si="425"/>
        <v>#DIV/0!</v>
      </c>
      <c r="R88" s="76" t="e">
        <f t="shared" si="425"/>
        <v>#DIV/0!</v>
      </c>
      <c r="S88" s="181" t="e">
        <f t="shared" si="425"/>
        <v>#DIV/0!</v>
      </c>
      <c r="T88" s="76" t="e">
        <f t="shared" si="425"/>
        <v>#DIV/0!</v>
      </c>
      <c r="U88" s="76" t="e">
        <f t="shared" si="425"/>
        <v>#DIV/0!</v>
      </c>
      <c r="V88" s="76" t="e">
        <f t="shared" si="425"/>
        <v>#DIV/0!</v>
      </c>
      <c r="W88" s="76" t="e">
        <f t="shared" si="425"/>
        <v>#DIV/0!</v>
      </c>
      <c r="X88" s="181" t="e">
        <f t="shared" si="425"/>
        <v>#DIV/0!</v>
      </c>
      <c r="Y88" s="76"/>
      <c r="Z88" s="76"/>
      <c r="AA88" s="76"/>
      <c r="AB88" s="76"/>
      <c r="AC88" s="181" t="e">
        <f>AC67/AC11</f>
        <v>#DIV/0!</v>
      </c>
      <c r="AD88" s="76"/>
      <c r="AE88" s="76"/>
      <c r="AF88" s="76"/>
      <c r="AG88" s="76"/>
      <c r="AH88" s="181" t="e">
        <f t="shared" ref="AH88:BM88" si="426">AH67/AH11</f>
        <v>#DIV/0!</v>
      </c>
      <c r="AI88" s="76" t="e">
        <f t="shared" si="426"/>
        <v>#DIV/0!</v>
      </c>
      <c r="AJ88" s="76" t="e">
        <f t="shared" si="426"/>
        <v>#DIV/0!</v>
      </c>
      <c r="AK88" s="76" t="e">
        <f t="shared" si="426"/>
        <v>#DIV/0!</v>
      </c>
      <c r="AL88" s="76" t="e">
        <f t="shared" si="426"/>
        <v>#DIV/0!</v>
      </c>
      <c r="AM88" s="181" t="e">
        <f t="shared" si="426"/>
        <v>#DIV/0!</v>
      </c>
      <c r="AN88" s="76" t="e">
        <f t="shared" si="426"/>
        <v>#DIV/0!</v>
      </c>
      <c r="AO88" s="76" t="e">
        <f t="shared" si="426"/>
        <v>#DIV/0!</v>
      </c>
      <c r="AP88" s="76" t="e">
        <f t="shared" si="426"/>
        <v>#DIV/0!</v>
      </c>
      <c r="AQ88" s="76" t="e">
        <f t="shared" si="426"/>
        <v>#DIV/0!</v>
      </c>
      <c r="AR88" s="181" t="e">
        <f t="shared" si="426"/>
        <v>#DIV/0!</v>
      </c>
      <c r="AS88" s="76" t="e">
        <f t="shared" si="426"/>
        <v>#DIV/0!</v>
      </c>
      <c r="AT88" s="76" t="e">
        <f t="shared" si="426"/>
        <v>#DIV/0!</v>
      </c>
      <c r="AU88" s="76" t="e">
        <f t="shared" si="426"/>
        <v>#DIV/0!</v>
      </c>
      <c r="AV88" s="76" t="e">
        <f t="shared" si="426"/>
        <v>#DIV/0!</v>
      </c>
      <c r="AW88" s="181" t="e">
        <f t="shared" si="426"/>
        <v>#DIV/0!</v>
      </c>
      <c r="AX88" s="76" t="e">
        <f t="shared" si="426"/>
        <v>#DIV/0!</v>
      </c>
      <c r="AY88" s="76" t="e">
        <f t="shared" si="426"/>
        <v>#DIV/0!</v>
      </c>
      <c r="AZ88" s="76" t="e">
        <f t="shared" si="426"/>
        <v>#DIV/0!</v>
      </c>
      <c r="BA88" s="76" t="e">
        <f t="shared" si="426"/>
        <v>#DIV/0!</v>
      </c>
      <c r="BB88" s="181" t="e">
        <f t="shared" si="426"/>
        <v>#DIV/0!</v>
      </c>
      <c r="BC88" s="76" t="e">
        <f t="shared" si="426"/>
        <v>#DIV/0!</v>
      </c>
      <c r="BD88" s="76" t="e">
        <f t="shared" si="426"/>
        <v>#DIV/0!</v>
      </c>
      <c r="BE88" s="76" t="e">
        <f t="shared" si="426"/>
        <v>#DIV/0!</v>
      </c>
      <c r="BF88" s="76" t="e">
        <f t="shared" si="426"/>
        <v>#DIV/0!</v>
      </c>
      <c r="BG88" s="181" t="e">
        <f t="shared" si="426"/>
        <v>#DIV/0!</v>
      </c>
      <c r="BH88" s="76" t="e">
        <f t="shared" si="426"/>
        <v>#DIV/0!</v>
      </c>
      <c r="BI88" s="76" t="e">
        <f t="shared" si="426"/>
        <v>#DIV/0!</v>
      </c>
      <c r="BJ88" s="76" t="e">
        <f t="shared" si="426"/>
        <v>#DIV/0!</v>
      </c>
      <c r="BK88" s="76" t="e">
        <f t="shared" si="426"/>
        <v>#DIV/0!</v>
      </c>
      <c r="BL88" s="181" t="e">
        <f t="shared" si="426"/>
        <v>#DIV/0!</v>
      </c>
      <c r="BM88" s="76">
        <f t="shared" si="426"/>
        <v>0</v>
      </c>
      <c r="BN88" s="76">
        <f t="shared" ref="BN88:CU88" si="427">BN67/BN11</f>
        <v>0</v>
      </c>
      <c r="BO88" s="76">
        <f t="shared" si="427"/>
        <v>0</v>
      </c>
      <c r="BP88" s="76">
        <f t="shared" si="427"/>
        <v>0</v>
      </c>
      <c r="BQ88" s="181">
        <f t="shared" si="427"/>
        <v>0</v>
      </c>
      <c r="BR88" s="76">
        <f t="shared" si="427"/>
        <v>0</v>
      </c>
      <c r="BS88" s="76">
        <f t="shared" si="427"/>
        <v>0</v>
      </c>
      <c r="BT88" s="76">
        <f t="shared" si="427"/>
        <v>0</v>
      </c>
      <c r="BU88" s="76">
        <f t="shared" si="427"/>
        <v>0</v>
      </c>
      <c r="BV88" s="181">
        <f t="shared" si="427"/>
        <v>0</v>
      </c>
      <c r="BW88" s="76">
        <f t="shared" si="427"/>
        <v>0</v>
      </c>
      <c r="BX88" s="76">
        <f t="shared" si="427"/>
        <v>0</v>
      </c>
      <c r="BY88" s="76">
        <f t="shared" si="427"/>
        <v>0</v>
      </c>
      <c r="BZ88" s="76">
        <f t="shared" si="427"/>
        <v>0</v>
      </c>
      <c r="CA88" s="181">
        <f t="shared" si="427"/>
        <v>0</v>
      </c>
      <c r="CB88" s="76">
        <f t="shared" si="427"/>
        <v>0</v>
      </c>
      <c r="CC88" s="76">
        <f t="shared" si="427"/>
        <v>0</v>
      </c>
      <c r="CD88" s="76">
        <f t="shared" si="427"/>
        <v>0</v>
      </c>
      <c r="CE88" s="76">
        <f t="shared" si="427"/>
        <v>0</v>
      </c>
      <c r="CF88" s="181">
        <f t="shared" si="427"/>
        <v>0</v>
      </c>
      <c r="CG88" s="76">
        <f t="shared" si="427"/>
        <v>0</v>
      </c>
      <c r="CH88" s="76">
        <f t="shared" si="427"/>
        <v>0</v>
      </c>
      <c r="CI88" s="76">
        <f t="shared" si="427"/>
        <v>0</v>
      </c>
      <c r="CJ88" s="76">
        <f t="shared" si="427"/>
        <v>0</v>
      </c>
      <c r="CK88" s="181">
        <f t="shared" si="427"/>
        <v>0</v>
      </c>
      <c r="CL88" s="76">
        <f t="shared" si="427"/>
        <v>0.1455099376178732</v>
      </c>
      <c r="CM88" s="76">
        <f t="shared" si="427"/>
        <v>-0.1567419575633128</v>
      </c>
      <c r="CN88" s="76">
        <f t="shared" si="427"/>
        <v>7.113821138211382E-2</v>
      </c>
      <c r="CO88" s="76">
        <f t="shared" si="427"/>
        <v>9.6305165925419087E-2</v>
      </c>
      <c r="CP88" s="181">
        <f t="shared" si="427"/>
        <v>5.5757190817530167E-2</v>
      </c>
      <c r="CQ88" s="76">
        <f t="shared" si="427"/>
        <v>0.12840544871794871</v>
      </c>
      <c r="CR88" s="76">
        <f t="shared" si="427"/>
        <v>3.6371151064269476E-2</v>
      </c>
      <c r="CS88" s="76">
        <f t="shared" si="427"/>
        <v>0.15672471285661357</v>
      </c>
      <c r="CT88" s="76">
        <f t="shared" si="427"/>
        <v>0.20046045058378556</v>
      </c>
      <c r="CU88" s="181">
        <f t="shared" si="427"/>
        <v>0.1352416705771938</v>
      </c>
      <c r="CV88" s="76">
        <f t="shared" ref="CV88:DG88" si="428">CV67/CV11</f>
        <v>0.16205604140638943</v>
      </c>
      <c r="CW88" s="76">
        <f t="shared" si="428"/>
        <v>0.18736739023992166</v>
      </c>
      <c r="CX88" s="76">
        <f t="shared" si="428"/>
        <v>0.19149888143176733</v>
      </c>
      <c r="CY88" s="76">
        <f t="shared" si="428"/>
        <v>0.18844386080105055</v>
      </c>
      <c r="CZ88" s="181">
        <f t="shared" si="428"/>
        <v>0.18330134357005759</v>
      </c>
      <c r="DA88" s="76">
        <f t="shared" si="428"/>
        <v>0.20085166784953867</v>
      </c>
      <c r="DB88" s="76">
        <f t="shared" si="428"/>
        <v>0.20108764385987099</v>
      </c>
      <c r="DC88" s="76">
        <f t="shared" si="428"/>
        <v>0.21439546152937006</v>
      </c>
      <c r="DD88" s="76">
        <f t="shared" si="428"/>
        <v>0.20264420264420263</v>
      </c>
      <c r="DE88" s="181">
        <f t="shared" si="428"/>
        <v>0.20497496871088861</v>
      </c>
      <c r="DF88" s="76">
        <f t="shared" si="428"/>
        <v>0.20740465577018327</v>
      </c>
      <c r="DG88" s="76">
        <f t="shared" si="428"/>
        <v>0.24601726863675058</v>
      </c>
      <c r="DH88" s="76">
        <f t="shared" ref="DH88:DV88" si="429">DH67/DH11</f>
        <v>0.22576316672257632</v>
      </c>
      <c r="DI88" s="76">
        <f t="shared" si="429"/>
        <v>0.24283834396193946</v>
      </c>
      <c r="DJ88" s="503">
        <f t="shared" si="429"/>
        <v>0.23108681415677229</v>
      </c>
      <c r="DK88" s="76">
        <f t="shared" si="429"/>
        <v>0.24619486723697367</v>
      </c>
      <c r="DL88" s="76">
        <f t="shared" si="429"/>
        <v>0.25554132597773621</v>
      </c>
      <c r="DM88" s="76">
        <f t="shared" si="429"/>
        <v>0.23557121597161099</v>
      </c>
      <c r="DN88" s="76">
        <f t="shared" si="429"/>
        <v>0.22515915813413617</v>
      </c>
      <c r="DO88" s="181">
        <f t="shared" si="429"/>
        <v>0.24028993241402338</v>
      </c>
      <c r="DP88" s="76">
        <f t="shared" ref="DP88:DT88" si="430">DP67/DP11</f>
        <v>0.2478534272866964</v>
      </c>
      <c r="DQ88" s="76">
        <f t="shared" si="430"/>
        <v>0.24364066755267003</v>
      </c>
      <c r="DR88" s="76">
        <f t="shared" si="430"/>
        <v>0.24232724880690784</v>
      </c>
      <c r="DS88" s="76">
        <f t="shared" si="430"/>
        <v>0.23507965167186556</v>
      </c>
      <c r="DT88" s="181">
        <f t="shared" si="430"/>
        <v>0.24195045629363041</v>
      </c>
      <c r="DU88" s="181">
        <f t="shared" si="429"/>
        <v>0.2429274342057981</v>
      </c>
      <c r="DV88" s="181">
        <f t="shared" si="429"/>
        <v>0.24406701641135176</v>
      </c>
    </row>
    <row r="89" spans="1:126" s="15" customFormat="1" ht="12">
      <c r="B89" s="175" t="s">
        <v>640</v>
      </c>
      <c r="C89" s="176" t="e">
        <f t="shared" ref="C89:AH89" si="431">C71/C11</f>
        <v>#DIV/0!</v>
      </c>
      <c r="D89" s="176" t="e">
        <f t="shared" si="431"/>
        <v>#DIV/0!</v>
      </c>
      <c r="E89" s="176" t="e">
        <f t="shared" si="431"/>
        <v>#DIV/0!</v>
      </c>
      <c r="F89" s="176" t="e">
        <f t="shared" si="431"/>
        <v>#DIV/0!</v>
      </c>
      <c r="G89" s="176" t="e">
        <f t="shared" si="431"/>
        <v>#DIV/0!</v>
      </c>
      <c r="H89" s="176" t="e">
        <f t="shared" si="431"/>
        <v>#DIV/0!</v>
      </c>
      <c r="I89" s="176" t="e">
        <f t="shared" si="431"/>
        <v>#DIV/0!</v>
      </c>
      <c r="J89" s="175" t="e">
        <f t="shared" si="431"/>
        <v>#DIV/0!</v>
      </c>
      <c r="K89" s="175" t="e">
        <f t="shared" si="431"/>
        <v>#DIV/0!</v>
      </c>
      <c r="L89" s="175" t="e">
        <f t="shared" si="431"/>
        <v>#DIV/0!</v>
      </c>
      <c r="M89" s="175" t="e">
        <f t="shared" si="431"/>
        <v>#DIV/0!</v>
      </c>
      <c r="N89" s="177" t="e">
        <f t="shared" si="431"/>
        <v>#DIV/0!</v>
      </c>
      <c r="O89" s="175" t="e">
        <f t="shared" si="431"/>
        <v>#DIV/0!</v>
      </c>
      <c r="P89" s="175" t="e">
        <f t="shared" si="431"/>
        <v>#DIV/0!</v>
      </c>
      <c r="Q89" s="175" t="e">
        <f t="shared" si="431"/>
        <v>#DIV/0!</v>
      </c>
      <c r="R89" s="175" t="e">
        <f t="shared" si="431"/>
        <v>#DIV/0!</v>
      </c>
      <c r="S89" s="177" t="e">
        <f t="shared" si="431"/>
        <v>#DIV/0!</v>
      </c>
      <c r="T89" s="175" t="e">
        <f t="shared" si="431"/>
        <v>#DIV/0!</v>
      </c>
      <c r="U89" s="175" t="e">
        <f t="shared" si="431"/>
        <v>#DIV/0!</v>
      </c>
      <c r="V89" s="175" t="e">
        <f t="shared" si="431"/>
        <v>#DIV/0!</v>
      </c>
      <c r="W89" s="175" t="e">
        <f t="shared" si="431"/>
        <v>#DIV/0!</v>
      </c>
      <c r="X89" s="177" t="e">
        <f t="shared" si="431"/>
        <v>#DIV/0!</v>
      </c>
      <c r="Y89" s="175" t="e">
        <f t="shared" si="431"/>
        <v>#DIV/0!</v>
      </c>
      <c r="Z89" s="175" t="e">
        <f t="shared" si="431"/>
        <v>#DIV/0!</v>
      </c>
      <c r="AA89" s="175" t="e">
        <f t="shared" si="431"/>
        <v>#DIV/0!</v>
      </c>
      <c r="AB89" s="175" t="e">
        <f t="shared" si="431"/>
        <v>#DIV/0!</v>
      </c>
      <c r="AC89" s="177" t="e">
        <f t="shared" si="431"/>
        <v>#DIV/0!</v>
      </c>
      <c r="AD89" s="175" t="e">
        <f t="shared" si="431"/>
        <v>#DIV/0!</v>
      </c>
      <c r="AE89" s="175" t="e">
        <f t="shared" si="431"/>
        <v>#DIV/0!</v>
      </c>
      <c r="AF89" s="175" t="e">
        <f t="shared" si="431"/>
        <v>#DIV/0!</v>
      </c>
      <c r="AG89" s="175" t="e">
        <f t="shared" si="431"/>
        <v>#DIV/0!</v>
      </c>
      <c r="AH89" s="177" t="e">
        <f t="shared" si="431"/>
        <v>#DIV/0!</v>
      </c>
      <c r="AI89" s="175" t="e">
        <f t="shared" ref="AI89:BN89" si="432">AI71/AI11</f>
        <v>#DIV/0!</v>
      </c>
      <c r="AJ89" s="175" t="e">
        <f t="shared" si="432"/>
        <v>#DIV/0!</v>
      </c>
      <c r="AK89" s="175" t="e">
        <f t="shared" si="432"/>
        <v>#DIV/0!</v>
      </c>
      <c r="AL89" s="175" t="e">
        <f t="shared" si="432"/>
        <v>#DIV/0!</v>
      </c>
      <c r="AM89" s="177" t="e">
        <f t="shared" si="432"/>
        <v>#DIV/0!</v>
      </c>
      <c r="AN89" s="175" t="e">
        <f t="shared" si="432"/>
        <v>#DIV/0!</v>
      </c>
      <c r="AO89" s="175" t="e">
        <f t="shared" si="432"/>
        <v>#DIV/0!</v>
      </c>
      <c r="AP89" s="175" t="e">
        <f t="shared" si="432"/>
        <v>#DIV/0!</v>
      </c>
      <c r="AQ89" s="175" t="e">
        <f t="shared" si="432"/>
        <v>#DIV/0!</v>
      </c>
      <c r="AR89" s="177" t="e">
        <f t="shared" si="432"/>
        <v>#DIV/0!</v>
      </c>
      <c r="AS89" s="175" t="e">
        <f t="shared" si="432"/>
        <v>#DIV/0!</v>
      </c>
      <c r="AT89" s="175" t="e">
        <f t="shared" si="432"/>
        <v>#DIV/0!</v>
      </c>
      <c r="AU89" s="175" t="e">
        <f t="shared" si="432"/>
        <v>#DIV/0!</v>
      </c>
      <c r="AV89" s="175" t="e">
        <f t="shared" si="432"/>
        <v>#DIV/0!</v>
      </c>
      <c r="AW89" s="177" t="e">
        <f t="shared" si="432"/>
        <v>#DIV/0!</v>
      </c>
      <c r="AX89" s="175" t="e">
        <f t="shared" si="432"/>
        <v>#DIV/0!</v>
      </c>
      <c r="AY89" s="175" t="e">
        <f t="shared" si="432"/>
        <v>#DIV/0!</v>
      </c>
      <c r="AZ89" s="175" t="e">
        <f t="shared" si="432"/>
        <v>#DIV/0!</v>
      </c>
      <c r="BA89" s="175" t="e">
        <f t="shared" si="432"/>
        <v>#DIV/0!</v>
      </c>
      <c r="BB89" s="177" t="e">
        <f t="shared" si="432"/>
        <v>#DIV/0!</v>
      </c>
      <c r="BC89" s="175" t="e">
        <f t="shared" si="432"/>
        <v>#DIV/0!</v>
      </c>
      <c r="BD89" s="175" t="e">
        <f t="shared" si="432"/>
        <v>#DIV/0!</v>
      </c>
      <c r="BE89" s="175" t="e">
        <f t="shared" si="432"/>
        <v>#DIV/0!</v>
      </c>
      <c r="BF89" s="175" t="e">
        <f t="shared" si="432"/>
        <v>#DIV/0!</v>
      </c>
      <c r="BG89" s="177" t="e">
        <f t="shared" si="432"/>
        <v>#DIV/0!</v>
      </c>
      <c r="BH89" s="175" t="e">
        <f t="shared" si="432"/>
        <v>#DIV/0!</v>
      </c>
      <c r="BI89" s="175" t="e">
        <f t="shared" si="432"/>
        <v>#DIV/0!</v>
      </c>
      <c r="BJ89" s="175" t="e">
        <f t="shared" si="432"/>
        <v>#DIV/0!</v>
      </c>
      <c r="BK89" s="175" t="e">
        <f t="shared" si="432"/>
        <v>#DIV/0!</v>
      </c>
      <c r="BL89" s="177" t="e">
        <f t="shared" si="432"/>
        <v>#DIV/0!</v>
      </c>
      <c r="BM89" s="175">
        <f t="shared" si="432"/>
        <v>0</v>
      </c>
      <c r="BN89" s="175">
        <f t="shared" si="432"/>
        <v>0</v>
      </c>
      <c r="BO89" s="175">
        <f t="shared" ref="BO89:CT89" si="433">BO71/BO11</f>
        <v>0</v>
      </c>
      <c r="BP89" s="175">
        <f t="shared" si="433"/>
        <v>0</v>
      </c>
      <c r="BQ89" s="177">
        <f t="shared" si="433"/>
        <v>0</v>
      </c>
      <c r="BR89" s="175">
        <f t="shared" si="433"/>
        <v>0</v>
      </c>
      <c r="BS89" s="175">
        <f t="shared" si="433"/>
        <v>0</v>
      </c>
      <c r="BT89" s="175">
        <f t="shared" si="433"/>
        <v>0</v>
      </c>
      <c r="BU89" s="175">
        <f t="shared" si="433"/>
        <v>0</v>
      </c>
      <c r="BV89" s="177">
        <f t="shared" si="433"/>
        <v>0</v>
      </c>
      <c r="BW89" s="175">
        <f t="shared" si="433"/>
        <v>0</v>
      </c>
      <c r="BX89" s="175">
        <f t="shared" si="433"/>
        <v>0</v>
      </c>
      <c r="BY89" s="175">
        <f t="shared" si="433"/>
        <v>0</v>
      </c>
      <c r="BZ89" s="175">
        <f t="shared" si="433"/>
        <v>0</v>
      </c>
      <c r="CA89" s="177">
        <f t="shared" si="433"/>
        <v>0</v>
      </c>
      <c r="CB89" s="175">
        <f t="shared" si="433"/>
        <v>0</v>
      </c>
      <c r="CC89" s="175">
        <f t="shared" si="433"/>
        <v>0</v>
      </c>
      <c r="CD89" s="175">
        <f t="shared" si="433"/>
        <v>0</v>
      </c>
      <c r="CE89" s="175">
        <f t="shared" si="433"/>
        <v>0</v>
      </c>
      <c r="CF89" s="177">
        <f t="shared" si="433"/>
        <v>0</v>
      </c>
      <c r="CG89" s="175">
        <f t="shared" si="433"/>
        <v>0</v>
      </c>
      <c r="CH89" s="175">
        <f t="shared" si="433"/>
        <v>0</v>
      </c>
      <c r="CI89" s="175">
        <f t="shared" si="433"/>
        <v>0</v>
      </c>
      <c r="CJ89" s="175">
        <f t="shared" si="433"/>
        <v>0</v>
      </c>
      <c r="CK89" s="177">
        <f t="shared" si="433"/>
        <v>0</v>
      </c>
      <c r="CL89" s="175">
        <f t="shared" si="433"/>
        <v>0.14971710430871898</v>
      </c>
      <c r="CM89" s="175">
        <f t="shared" si="433"/>
        <v>-0.15195071868583163</v>
      </c>
      <c r="CN89" s="175">
        <f t="shared" si="433"/>
        <v>0.1758130081300813</v>
      </c>
      <c r="CO89" s="175">
        <f t="shared" si="433"/>
        <v>0.17362299007868628</v>
      </c>
      <c r="CP89" s="177">
        <f t="shared" si="433"/>
        <v>0.10189637963887124</v>
      </c>
      <c r="CQ89" s="175">
        <f t="shared" si="433"/>
        <v>0.15985576923076922</v>
      </c>
      <c r="CR89" s="175">
        <f t="shared" si="433"/>
        <v>0.18970861748295104</v>
      </c>
      <c r="CS89" s="175">
        <f t="shared" si="433"/>
        <v>0.24379399777695443</v>
      </c>
      <c r="CT89" s="175">
        <f t="shared" si="433"/>
        <v>0.25900345337937841</v>
      </c>
      <c r="CU89" s="177">
        <f t="shared" ref="CU89:DV89" si="434">CU71/CU11</f>
        <v>0.21618958235570154</v>
      </c>
      <c r="CV89" s="175">
        <f t="shared" si="434"/>
        <v>7.4067463858647153E-2</v>
      </c>
      <c r="CW89" s="175">
        <f t="shared" si="434"/>
        <v>0.16614982862738698</v>
      </c>
      <c r="CX89" s="175">
        <f t="shared" si="434"/>
        <v>5.3542132736763608E-2</v>
      </c>
      <c r="CY89" s="175">
        <f t="shared" si="434"/>
        <v>0.17938279711096519</v>
      </c>
      <c r="CZ89" s="177">
        <f t="shared" si="434"/>
        <v>0.12122840690978887</v>
      </c>
      <c r="DA89" s="175">
        <f t="shared" si="434"/>
        <v>0.17700496806245564</v>
      </c>
      <c r="DB89" s="175">
        <f t="shared" si="434"/>
        <v>0.1751612495257367</v>
      </c>
      <c r="DC89" s="175">
        <f t="shared" si="434"/>
        <v>0.18839380687861954</v>
      </c>
      <c r="DD89" s="175">
        <f t="shared" si="434"/>
        <v>0.1561951561951562</v>
      </c>
      <c r="DE89" s="177">
        <f t="shared" si="434"/>
        <v>0.17399874843554444</v>
      </c>
      <c r="DF89" s="175">
        <f t="shared" si="434"/>
        <v>0.1919266963843487</v>
      </c>
      <c r="DG89" s="175">
        <f t="shared" si="434"/>
        <v>0.23069439377356196</v>
      </c>
      <c r="DH89" s="175">
        <f t="shared" si="434"/>
        <v>0.20328748742032876</v>
      </c>
      <c r="DI89" s="175">
        <f t="shared" si="434"/>
        <v>0.20123494280797652</v>
      </c>
      <c r="DJ89" s="504">
        <f t="shared" si="434"/>
        <v>0.20651462088209332</v>
      </c>
      <c r="DK89" s="175">
        <f t="shared" si="434"/>
        <v>0.23841795356071549</v>
      </c>
      <c r="DL89" s="175">
        <f t="shared" si="434"/>
        <v>0.23022362328834597</v>
      </c>
      <c r="DM89" s="175">
        <f t="shared" si="434"/>
        <v>0.21272170286493156</v>
      </c>
      <c r="DN89" s="175">
        <f t="shared" si="434"/>
        <v>0.19215738263861451</v>
      </c>
      <c r="DO89" s="177">
        <f t="shared" si="434"/>
        <v>0.21751434974707046</v>
      </c>
      <c r="DP89" s="175">
        <f t="shared" ref="DP89:DT89" si="435">DP71/DP11</f>
        <v>0.232233583055593</v>
      </c>
      <c r="DQ89" s="175">
        <f t="shared" si="435"/>
        <v>0.22621109392361491</v>
      </c>
      <c r="DR89" s="175">
        <f t="shared" si="435"/>
        <v>0.22032073075794517</v>
      </c>
      <c r="DS89" s="175">
        <f t="shared" si="435"/>
        <v>0.21139893321603531</v>
      </c>
      <c r="DT89" s="177">
        <f t="shared" si="435"/>
        <v>0.22209371196718344</v>
      </c>
      <c r="DU89" s="177">
        <f t="shared" si="434"/>
        <v>0.22433029072022478</v>
      </c>
      <c r="DV89" s="177">
        <f t="shared" si="434"/>
        <v>0.22638396129000812</v>
      </c>
    </row>
    <row r="90" spans="1:126" s="221" customFormat="1" ht="12">
      <c r="B90" s="934" t="s">
        <v>73</v>
      </c>
      <c r="C90" s="504"/>
      <c r="D90" s="504"/>
      <c r="E90" s="504"/>
      <c r="F90" s="504"/>
      <c r="G90" s="504"/>
      <c r="H90" s="504"/>
      <c r="I90" s="504"/>
      <c r="J90" s="934"/>
      <c r="K90" s="934"/>
      <c r="L90" s="934"/>
      <c r="M90" s="934"/>
      <c r="N90" s="177"/>
      <c r="O90" s="934"/>
      <c r="P90" s="934"/>
      <c r="Q90" s="934"/>
      <c r="R90" s="934"/>
      <c r="S90" s="177"/>
      <c r="T90" s="934"/>
      <c r="U90" s="934"/>
      <c r="V90" s="934"/>
      <c r="W90" s="934"/>
      <c r="X90" s="177"/>
      <c r="Y90" s="934"/>
      <c r="Z90" s="934"/>
      <c r="AA90" s="934"/>
      <c r="AB90" s="934"/>
      <c r="AC90" s="177"/>
      <c r="AD90" s="934"/>
      <c r="AE90" s="934"/>
      <c r="AF90" s="934"/>
      <c r="AG90" s="934"/>
      <c r="AH90" s="177"/>
      <c r="AI90" s="934"/>
      <c r="AJ90" s="934"/>
      <c r="AK90" s="934"/>
      <c r="AL90" s="934"/>
      <c r="AM90" s="177"/>
      <c r="AN90" s="934"/>
      <c r="AO90" s="934"/>
      <c r="AP90" s="934"/>
      <c r="AQ90" s="934"/>
      <c r="AR90" s="177"/>
      <c r="AS90" s="934"/>
      <c r="AT90" s="934"/>
      <c r="AU90" s="934"/>
      <c r="AV90" s="934"/>
      <c r="AW90" s="177"/>
      <c r="AX90" s="934"/>
      <c r="AY90" s="934"/>
      <c r="AZ90" s="934"/>
      <c r="BA90" s="934"/>
      <c r="BB90" s="177"/>
      <c r="BC90" s="934"/>
      <c r="BD90" s="934"/>
      <c r="BE90" s="934"/>
      <c r="BF90" s="934"/>
      <c r="BG90" s="177"/>
      <c r="BH90" s="934"/>
      <c r="BI90" s="934"/>
      <c r="BJ90" s="934"/>
      <c r="BK90" s="934"/>
      <c r="BL90" s="177"/>
      <c r="BM90" s="934"/>
      <c r="BN90" s="934"/>
      <c r="BO90" s="934"/>
      <c r="BP90" s="934"/>
      <c r="BQ90" s="177"/>
      <c r="BR90" s="934"/>
      <c r="BS90" s="934"/>
      <c r="BT90" s="934"/>
      <c r="BU90" s="934"/>
      <c r="BV90" s="177"/>
      <c r="BW90" s="934"/>
      <c r="BX90" s="934"/>
      <c r="BY90" s="934"/>
      <c r="BZ90" s="934"/>
      <c r="CA90" s="177"/>
      <c r="CB90" s="934"/>
      <c r="CC90" s="934"/>
      <c r="CD90" s="934"/>
      <c r="CE90" s="934"/>
      <c r="CF90" s="177"/>
      <c r="CG90" s="934"/>
      <c r="CH90" s="934"/>
      <c r="CI90" s="934"/>
      <c r="CJ90" s="934"/>
      <c r="CK90" s="177"/>
      <c r="CL90" s="934">
        <f t="shared" ref="CL90:DV90" si="436">CL72/(CL11+CL9)</f>
        <v>0.1684668071654373</v>
      </c>
      <c r="CM90" s="934">
        <f t="shared" si="436"/>
        <v>-9.8657326328079387E-2</v>
      </c>
      <c r="CN90" s="934">
        <f t="shared" si="436"/>
        <v>0.12144008597528211</v>
      </c>
      <c r="CO90" s="934">
        <f t="shared" si="436"/>
        <v>0.20567268314879417</v>
      </c>
      <c r="CP90" s="177">
        <f t="shared" si="436"/>
        <v>0.11265909182157627</v>
      </c>
      <c r="CQ90" s="934">
        <f t="shared" si="436"/>
        <v>0.19482312338222604</v>
      </c>
      <c r="CR90" s="934">
        <f t="shared" si="436"/>
        <v>0.21101079837139317</v>
      </c>
      <c r="CS90" s="934">
        <f t="shared" si="436"/>
        <v>0.27485866311938811</v>
      </c>
      <c r="CT90" s="934">
        <f t="shared" si="436"/>
        <v>0.30497269330267318</v>
      </c>
      <c r="CU90" s="177">
        <f t="shared" si="436"/>
        <v>0.24967234600262123</v>
      </c>
      <c r="CV90" s="934">
        <f t="shared" si="436"/>
        <v>-5.1358567614261032E-2</v>
      </c>
      <c r="CW90" s="934">
        <f t="shared" si="436"/>
        <v>0.17394458145945163</v>
      </c>
      <c r="CX90" s="934">
        <f t="shared" si="436"/>
        <v>5.08843537414966E-2</v>
      </c>
      <c r="CY90" s="934">
        <f t="shared" si="436"/>
        <v>0.10801476717875431</v>
      </c>
      <c r="CZ90" s="177">
        <f t="shared" si="436"/>
        <v>7.4223463301961598E-2</v>
      </c>
      <c r="DA90" s="934">
        <f t="shared" si="436"/>
        <v>0.12480857580398162</v>
      </c>
      <c r="DB90" s="934">
        <f t="shared" si="436"/>
        <v>0.14816084075851038</v>
      </c>
      <c r="DC90" s="934">
        <f t="shared" si="436"/>
        <v>0.1690852413200043</v>
      </c>
      <c r="DD90" s="934">
        <f t="shared" si="436"/>
        <v>0.17280033840947548</v>
      </c>
      <c r="DE90" s="177">
        <f t="shared" si="436"/>
        <v>0.1550821805425896</v>
      </c>
      <c r="DF90" s="934">
        <f t="shared" si="436"/>
        <v>0.18503629257398102</v>
      </c>
      <c r="DG90" s="934">
        <f t="shared" si="436"/>
        <v>0.2522542335605894</v>
      </c>
      <c r="DH90" s="934">
        <f t="shared" si="436"/>
        <v>0.19863848811217233</v>
      </c>
      <c r="DI90" s="934">
        <f t="shared" si="436"/>
        <v>0.23205697373288939</v>
      </c>
      <c r="DJ90" s="504">
        <f t="shared" si="436"/>
        <v>0.21742500581350283</v>
      </c>
      <c r="DK90" s="934">
        <f t="shared" si="436"/>
        <v>0.27216909914443888</v>
      </c>
      <c r="DL90" s="934">
        <f t="shared" si="436"/>
        <v>0.2756378681903261</v>
      </c>
      <c r="DM90" s="934">
        <f t="shared" si="436"/>
        <v>0.21272170286493156</v>
      </c>
      <c r="DN90" s="934">
        <f t="shared" si="436"/>
        <v>0.19215738263861451</v>
      </c>
      <c r="DO90" s="177">
        <f t="shared" si="436"/>
        <v>0.23753139200659504</v>
      </c>
      <c r="DP90" s="934">
        <f t="shared" ref="DP90:DT90" si="437">DP72/(DP11+DP9)</f>
        <v>0.232233583055593</v>
      </c>
      <c r="DQ90" s="934">
        <f t="shared" si="437"/>
        <v>0.22621109392361491</v>
      </c>
      <c r="DR90" s="934">
        <f t="shared" si="437"/>
        <v>0.22032073075794517</v>
      </c>
      <c r="DS90" s="934">
        <f t="shared" si="437"/>
        <v>0.21139893321603531</v>
      </c>
      <c r="DT90" s="177">
        <f t="shared" si="437"/>
        <v>0.22209371196718344</v>
      </c>
      <c r="DU90" s="177">
        <f t="shared" si="436"/>
        <v>0.22433029072022478</v>
      </c>
      <c r="DV90" s="177">
        <f t="shared" si="436"/>
        <v>0.22638396129000812</v>
      </c>
    </row>
    <row r="91" spans="1:126" s="15" customFormat="1" hidden="1" outlineLevel="1">
      <c r="C91" s="16"/>
      <c r="D91" s="16"/>
      <c r="E91" s="16"/>
      <c r="F91" s="16"/>
      <c r="G91" s="16"/>
      <c r="H91" s="16"/>
      <c r="I91" s="16"/>
      <c r="J91" s="12"/>
      <c r="K91" s="12"/>
      <c r="L91" s="12"/>
      <c r="M91" s="12"/>
      <c r="N91" s="136"/>
      <c r="S91" s="136"/>
      <c r="X91" s="136"/>
      <c r="AC91" s="136"/>
      <c r="AH91" s="136"/>
      <c r="AM91" s="136"/>
      <c r="AR91" s="16"/>
      <c r="AW91" s="16"/>
      <c r="BB91" s="16"/>
      <c r="BG91" s="16"/>
      <c r="BL91" s="16"/>
      <c r="BQ91" s="16"/>
      <c r="BV91" s="16"/>
      <c r="CA91" s="16"/>
      <c r="CF91" s="16"/>
      <c r="CK91" s="16"/>
      <c r="CP91" s="16"/>
      <c r="CU91" s="16"/>
      <c r="CZ91" s="16"/>
      <c r="DE91" s="16"/>
      <c r="DJ91" s="16"/>
      <c r="DO91" s="16"/>
      <c r="DT91" s="16"/>
      <c r="DU91" s="16"/>
      <c r="DV91" s="16"/>
    </row>
    <row r="92" spans="1:126" s="15" customFormat="1" ht="12" hidden="1" outlineLevel="1">
      <c r="B92" s="189" t="s">
        <v>166</v>
      </c>
      <c r="C92" s="16"/>
      <c r="D92" s="16"/>
      <c r="E92" s="16"/>
      <c r="F92" s="16"/>
      <c r="G92" s="16"/>
      <c r="H92" s="16"/>
      <c r="I92" s="16"/>
      <c r="J92" s="12"/>
      <c r="K92" s="12"/>
      <c r="L92" s="12"/>
      <c r="M92" s="12"/>
      <c r="N92" s="136"/>
      <c r="S92" s="136"/>
      <c r="X92" s="136"/>
      <c r="AC92" s="136"/>
      <c r="AH92" s="136"/>
      <c r="AM92" s="136"/>
      <c r="AR92" s="16"/>
      <c r="AW92" s="16"/>
      <c r="BB92" s="16"/>
      <c r="BG92" s="16"/>
      <c r="BL92" s="16"/>
      <c r="BQ92" s="16"/>
      <c r="BV92" s="16"/>
      <c r="CA92" s="16"/>
      <c r="CF92" s="16"/>
      <c r="CK92" s="16"/>
      <c r="CP92" s="16"/>
      <c r="CU92" s="16"/>
      <c r="CZ92" s="16"/>
      <c r="DE92" s="16"/>
      <c r="DJ92" s="16"/>
      <c r="DO92" s="16"/>
      <c r="DT92" s="16"/>
      <c r="DU92" s="16"/>
      <c r="DV92" s="16"/>
    </row>
    <row r="93" spans="1:126" s="15" customFormat="1" hidden="1" outlineLevel="1">
      <c r="B93" s="221" t="s">
        <v>381</v>
      </c>
      <c r="C93" s="75"/>
      <c r="D93" s="75"/>
      <c r="E93" s="75"/>
      <c r="F93" s="75"/>
      <c r="G93" s="75"/>
      <c r="H93" s="75"/>
      <c r="I93" s="75"/>
      <c r="J93" s="74"/>
      <c r="K93" s="74"/>
      <c r="L93" s="74"/>
      <c r="M93" s="74"/>
      <c r="N93" s="111"/>
      <c r="O93" s="73"/>
      <c r="P93" s="73"/>
      <c r="Q93" s="73"/>
      <c r="R93" s="73"/>
      <c r="S93" s="75"/>
      <c r="T93" s="73"/>
      <c r="U93" s="73"/>
      <c r="V93" s="73"/>
      <c r="W93" s="73"/>
      <c r="X93" s="75"/>
      <c r="Y93" s="73"/>
      <c r="Z93" s="73"/>
      <c r="AA93" s="73"/>
      <c r="AB93" s="73"/>
      <c r="AC93" s="75"/>
      <c r="AD93" s="73"/>
      <c r="AE93" s="73"/>
      <c r="AF93" s="73"/>
      <c r="AG93" s="73"/>
      <c r="AH93" s="75"/>
      <c r="AI93" s="73"/>
      <c r="AJ93" s="73"/>
      <c r="AK93" s="73"/>
      <c r="AL93" s="73"/>
      <c r="AM93" s="75"/>
      <c r="AN93" s="73"/>
      <c r="AO93" s="73"/>
      <c r="AP93" s="73"/>
      <c r="AQ93" s="73"/>
      <c r="AR93" s="75"/>
      <c r="AS93" s="304"/>
      <c r="AT93" s="304"/>
      <c r="AU93" s="304"/>
      <c r="AV93" s="304"/>
      <c r="AW93" s="338"/>
      <c r="AX93" s="304"/>
      <c r="AY93" s="327"/>
      <c r="AZ93" s="73"/>
      <c r="BA93" s="73"/>
      <c r="BB93" s="75"/>
      <c r="BC93" s="304"/>
      <c r="BD93" s="327"/>
      <c r="BE93" s="73"/>
      <c r="BF93" s="73"/>
      <c r="BG93" s="75"/>
      <c r="BH93" s="73" t="str">
        <f t="shared" ref="BH93:BK95" si="438">IF(ISERROR((BH63-BC63)/(BH7-BC7)), "-- ", (BH63-BC63)/(BH7-BC7))</f>
        <v xml:space="preserve">-- </v>
      </c>
      <c r="BI93" s="73" t="str">
        <f t="shared" si="438"/>
        <v xml:space="preserve">-- </v>
      </c>
      <c r="BJ93" s="73" t="str">
        <f t="shared" si="438"/>
        <v xml:space="preserve">-- </v>
      </c>
      <c r="BK93" s="73" t="str">
        <f t="shared" si="438"/>
        <v xml:space="preserve">-- </v>
      </c>
      <c r="BL93" s="75"/>
      <c r="BM93" s="73">
        <f t="shared" ref="BM93:BP95" si="439">IF(ISERROR((BM63-BH63)/(BM7-BH7)), "-- ", (BM63-BH63)/(BM7-BH7))</f>
        <v>0</v>
      </c>
      <c r="BN93" s="73">
        <f t="shared" si="439"/>
        <v>0</v>
      </c>
      <c r="BO93" s="73">
        <f t="shared" si="439"/>
        <v>0</v>
      </c>
      <c r="BP93" s="73">
        <f t="shared" si="439"/>
        <v>0</v>
      </c>
      <c r="BQ93" s="75"/>
      <c r="BR93" s="73">
        <f t="shared" ref="BR93:BU95" si="440">IF(ISERROR((BR63-BM63)/(BR7-BM7)), "-- ", (BR63-BM63)/(BR7-BM7))</f>
        <v>0</v>
      </c>
      <c r="BS93" s="73">
        <f t="shared" si="440"/>
        <v>0</v>
      </c>
      <c r="BT93" s="73">
        <f t="shared" si="440"/>
        <v>0</v>
      </c>
      <c r="BU93" s="73">
        <f t="shared" si="440"/>
        <v>0</v>
      </c>
      <c r="BV93" s="75"/>
      <c r="BW93" s="73">
        <f t="shared" ref="BW93:BZ95" si="441">IF(ISERROR((BW63-BR63)/(BW7-BR7)), "-- ", (BW63-BR63)/(BW7-BR7))</f>
        <v>0</v>
      </c>
      <c r="BX93" s="73">
        <f t="shared" si="441"/>
        <v>0</v>
      </c>
      <c r="BY93" s="73">
        <f t="shared" si="441"/>
        <v>0</v>
      </c>
      <c r="BZ93" s="73">
        <f t="shared" si="441"/>
        <v>0</v>
      </c>
      <c r="CA93" s="75"/>
      <c r="CB93" s="73">
        <f t="shared" ref="CB93:CE95" si="442">IF(ISERROR((CB63-BW63)/(CB7-BW7)), "-- ", (CB63-BW63)/(CB7-BW7))</f>
        <v>0</v>
      </c>
      <c r="CC93" s="73">
        <f t="shared" si="442"/>
        <v>0</v>
      </c>
      <c r="CD93" s="73">
        <f t="shared" si="442"/>
        <v>0</v>
      </c>
      <c r="CE93" s="73">
        <f t="shared" si="442"/>
        <v>0</v>
      </c>
      <c r="CF93" s="75"/>
      <c r="CG93" s="73">
        <f t="shared" ref="CG93:CJ95" si="443">IF(ISERROR((CG63-CB63)/(CG7-CB7)), "-- ", (CG63-CB63)/(CG7-CB7))</f>
        <v>0</v>
      </c>
      <c r="CH93" s="73">
        <f t="shared" si="443"/>
        <v>0</v>
      </c>
      <c r="CI93" s="73">
        <f t="shared" si="443"/>
        <v>0</v>
      </c>
      <c r="CJ93" s="73">
        <f t="shared" si="443"/>
        <v>0</v>
      </c>
      <c r="CK93" s="75"/>
      <c r="CL93" s="73">
        <f t="shared" ref="CL93:CO95" si="444">IF(ISERROR((CL63-CG63)/(CL7-CG7)), "-- ", (CL63-CG63)/(CL7-CG7))</f>
        <v>0</v>
      </c>
      <c r="CM93" s="73">
        <f t="shared" si="444"/>
        <v>0</v>
      </c>
      <c r="CN93" s="73">
        <f t="shared" si="444"/>
        <v>0</v>
      </c>
      <c r="CO93" s="73">
        <f t="shared" si="444"/>
        <v>0</v>
      </c>
      <c r="CP93" s="75"/>
      <c r="CQ93" s="73">
        <f t="shared" ref="CQ93:CT95" si="445">IF(ISERROR((CQ63-CL63)/(CQ7-CL7)), "-- ", (CQ63-CL63)/(CQ7-CL7))</f>
        <v>0</v>
      </c>
      <c r="CR93" s="73">
        <f t="shared" si="445"/>
        <v>0</v>
      </c>
      <c r="CS93" s="73">
        <f t="shared" si="445"/>
        <v>0</v>
      </c>
      <c r="CT93" s="73">
        <f t="shared" si="445"/>
        <v>0</v>
      </c>
      <c r="CU93" s="75"/>
      <c r="CV93" s="73">
        <f t="shared" ref="CV93:DE95" si="446">IF(ISERROR((CV63-CQ63)/(CV7-CQ7)), "-- ", (CV63-CQ63)/(CV7-CQ7))</f>
        <v>0</v>
      </c>
      <c r="CW93" s="73">
        <f t="shared" si="446"/>
        <v>0</v>
      </c>
      <c r="CX93" s="73">
        <f t="shared" si="446"/>
        <v>0</v>
      </c>
      <c r="CY93" s="73">
        <f t="shared" si="446"/>
        <v>0</v>
      </c>
      <c r="CZ93" s="75">
        <f t="shared" si="446"/>
        <v>0</v>
      </c>
      <c r="DA93" s="73">
        <f t="shared" si="446"/>
        <v>0.88034807831762152</v>
      </c>
      <c r="DB93" s="73">
        <f t="shared" si="446"/>
        <v>0.97064989517819711</v>
      </c>
      <c r="DC93" s="73">
        <f t="shared" si="446"/>
        <v>1.0397039030955586</v>
      </c>
      <c r="DD93" s="73">
        <f t="shared" si="446"/>
        <v>1.6722595078299776</v>
      </c>
      <c r="DE93" s="75">
        <f t="shared" si="446"/>
        <v>1.0872832369942196</v>
      </c>
      <c r="DF93" s="73">
        <f t="shared" ref="DF93:DO95" si="447">IF(ISERROR((DF63-DA63)/(DF7-DA7)), "-- ", (DF63-DA63)/(DF7-DA7))</f>
        <v>0.23726851851851852</v>
      </c>
      <c r="DG93" s="73">
        <f t="shared" si="447"/>
        <v>0.73417721518987344</v>
      </c>
      <c r="DH93" s="73">
        <f t="shared" si="447"/>
        <v>0.46520146520146521</v>
      </c>
      <c r="DI93" s="73">
        <f t="shared" si="447"/>
        <v>0.54299754299754299</v>
      </c>
      <c r="DJ93" s="75">
        <f t="shared" si="447"/>
        <v>0.46662260409781892</v>
      </c>
      <c r="DK93" s="73">
        <f t="shared" si="447"/>
        <v>0.56867196367763906</v>
      </c>
      <c r="DL93" s="73">
        <f t="shared" si="447"/>
        <v>0.29763186221743809</v>
      </c>
      <c r="DM93" s="73">
        <f t="shared" si="447"/>
        <v>0.2822149690948777</v>
      </c>
      <c r="DN93" s="73">
        <f t="shared" si="447"/>
        <v>-0.15519574833300376</v>
      </c>
      <c r="DO93" s="75">
        <f t="shared" si="447"/>
        <v>0.28591293089496667</v>
      </c>
      <c r="DP93" s="73">
        <f t="shared" ref="DP93:DP95" si="448">IF(ISERROR((DP63-DK63)/(DP7-DK7)), "-- ", (DP63-DK63)/(DP7-DK7))</f>
        <v>0.28831306435430698</v>
      </c>
      <c r="DQ93" s="73">
        <f t="shared" ref="DQ93:DQ95" si="449">IF(ISERROR((DQ63-DL63)/(DQ7-DL7)), "-- ", (DQ63-DL63)/(DQ7-DL7))</f>
        <v>0.20322009654925804</v>
      </c>
      <c r="DR93" s="73">
        <f t="shared" ref="DR93:DR95" si="450">IF(ISERROR((DR63-DM63)/(DR7-DM7)), "-- ", (DR63-DM63)/(DR7-DM7))</f>
        <v>0.29833333333333339</v>
      </c>
      <c r="DS93" s="73">
        <f t="shared" ref="DS93:DS95" si="451">IF(ISERROR((DS63-DN63)/(DS7-DN7)), "-- ", (DS63-DN63)/(DS7-DN7))</f>
        <v>0.27578649237472774</v>
      </c>
      <c r="DT93" s="75">
        <f t="shared" ref="DT93:DT95" si="452">IF(ISERROR((DT63-DO63)/(DT7-DO7)), "-- ", (DT63-DO63)/(DT7-DO7))</f>
        <v>0.26766457525233817</v>
      </c>
      <c r="DU93" s="75">
        <f t="shared" ref="DU93:DV95" si="453">IF(ISERROR((DU63-DT63)/(DU7-DT7)), "-- ", (DU63-DT63)/(DU7-DT7))</f>
        <v>0.26628988114225988</v>
      </c>
      <c r="DV93" s="75">
        <f t="shared" si="453"/>
        <v>0.28051351351351389</v>
      </c>
    </row>
    <row r="94" spans="1:126" s="15" customFormat="1" hidden="1" outlineLevel="1">
      <c r="B94" s="317" t="s">
        <v>457</v>
      </c>
      <c r="C94" s="75"/>
      <c r="D94" s="75"/>
      <c r="E94" s="75"/>
      <c r="F94" s="75"/>
      <c r="G94" s="75"/>
      <c r="H94" s="75"/>
      <c r="I94" s="75"/>
      <c r="J94" s="74"/>
      <c r="K94" s="74"/>
      <c r="L94" s="74"/>
      <c r="M94" s="74"/>
      <c r="N94" s="111"/>
      <c r="O94" s="73"/>
      <c r="P94" s="73"/>
      <c r="Q94" s="73"/>
      <c r="R94" s="73"/>
      <c r="S94" s="75"/>
      <c r="T94" s="73"/>
      <c r="U94" s="73"/>
      <c r="V94" s="73"/>
      <c r="W94" s="73"/>
      <c r="X94" s="75"/>
      <c r="Y94" s="73"/>
      <c r="Z94" s="73"/>
      <c r="AA94" s="73"/>
      <c r="AB94" s="73"/>
      <c r="AC94" s="75"/>
      <c r="AD94" s="73"/>
      <c r="AE94" s="73"/>
      <c r="AF94" s="73"/>
      <c r="AG94" s="73"/>
      <c r="AH94" s="75"/>
      <c r="AI94" s="73"/>
      <c r="AJ94" s="73"/>
      <c r="AK94" s="73"/>
      <c r="AL94" s="73"/>
      <c r="AM94" s="75"/>
      <c r="AN94" s="73"/>
      <c r="AO94" s="73"/>
      <c r="AP94" s="73"/>
      <c r="AQ94" s="73"/>
      <c r="AR94" s="75"/>
      <c r="AS94" s="304"/>
      <c r="AT94" s="304"/>
      <c r="AU94" s="304"/>
      <c r="AV94" s="304"/>
      <c r="AW94" s="338"/>
      <c r="AX94" s="304"/>
      <c r="AY94" s="327"/>
      <c r="AZ94" s="73"/>
      <c r="BA94" s="73"/>
      <c r="BB94" s="75"/>
      <c r="BC94" s="304"/>
      <c r="BD94" s="327"/>
      <c r="BE94" s="73"/>
      <c r="BF94" s="73"/>
      <c r="BG94" s="75"/>
      <c r="BH94" s="73" t="str">
        <f t="shared" si="438"/>
        <v xml:space="preserve">-- </v>
      </c>
      <c r="BI94" s="73" t="str">
        <f t="shared" si="438"/>
        <v xml:space="preserve">-- </v>
      </c>
      <c r="BJ94" s="73" t="str">
        <f t="shared" si="438"/>
        <v xml:space="preserve">-- </v>
      </c>
      <c r="BK94" s="73" t="str">
        <f t="shared" si="438"/>
        <v xml:space="preserve">-- </v>
      </c>
      <c r="BL94" s="75"/>
      <c r="BM94" s="73">
        <f t="shared" si="439"/>
        <v>0</v>
      </c>
      <c r="BN94" s="73">
        <f t="shared" si="439"/>
        <v>0</v>
      </c>
      <c r="BO94" s="73">
        <f t="shared" si="439"/>
        <v>0</v>
      </c>
      <c r="BP94" s="73">
        <f t="shared" si="439"/>
        <v>0</v>
      </c>
      <c r="BQ94" s="75"/>
      <c r="BR94" s="73">
        <f t="shared" si="440"/>
        <v>0</v>
      </c>
      <c r="BS94" s="73">
        <f t="shared" si="440"/>
        <v>0</v>
      </c>
      <c r="BT94" s="73">
        <f t="shared" si="440"/>
        <v>0</v>
      </c>
      <c r="BU94" s="73">
        <f t="shared" si="440"/>
        <v>0</v>
      </c>
      <c r="BV94" s="75"/>
      <c r="BW94" s="73">
        <f t="shared" si="441"/>
        <v>0</v>
      </c>
      <c r="BX94" s="73">
        <f t="shared" si="441"/>
        <v>0</v>
      </c>
      <c r="BY94" s="73">
        <f t="shared" si="441"/>
        <v>0</v>
      </c>
      <c r="BZ94" s="73">
        <f t="shared" si="441"/>
        <v>0</v>
      </c>
      <c r="CA94" s="75"/>
      <c r="CB94" s="73">
        <f t="shared" si="442"/>
        <v>0</v>
      </c>
      <c r="CC94" s="73">
        <f t="shared" si="442"/>
        <v>0</v>
      </c>
      <c r="CD94" s="73">
        <f t="shared" si="442"/>
        <v>0</v>
      </c>
      <c r="CE94" s="73">
        <f t="shared" si="442"/>
        <v>0</v>
      </c>
      <c r="CF94" s="75"/>
      <c r="CG94" s="73">
        <f t="shared" si="443"/>
        <v>0</v>
      </c>
      <c r="CH94" s="73">
        <f t="shared" si="443"/>
        <v>0</v>
      </c>
      <c r="CI94" s="73">
        <f t="shared" si="443"/>
        <v>0</v>
      </c>
      <c r="CJ94" s="73">
        <f t="shared" si="443"/>
        <v>0</v>
      </c>
      <c r="CK94" s="75"/>
      <c r="CL94" s="73">
        <f t="shared" si="444"/>
        <v>0</v>
      </c>
      <c r="CM94" s="73">
        <f t="shared" si="444"/>
        <v>0</v>
      </c>
      <c r="CN94" s="73">
        <f t="shared" si="444"/>
        <v>0</v>
      </c>
      <c r="CO94" s="73">
        <f t="shared" si="444"/>
        <v>0</v>
      </c>
      <c r="CP94" s="75"/>
      <c r="CQ94" s="73">
        <f t="shared" si="445"/>
        <v>0</v>
      </c>
      <c r="CR94" s="73">
        <f t="shared" si="445"/>
        <v>0</v>
      </c>
      <c r="CS94" s="73">
        <f t="shared" si="445"/>
        <v>0</v>
      </c>
      <c r="CT94" s="73">
        <f t="shared" si="445"/>
        <v>0</v>
      </c>
      <c r="CU94" s="75"/>
      <c r="CV94" s="73">
        <f t="shared" si="446"/>
        <v>0</v>
      </c>
      <c r="CW94" s="73">
        <f t="shared" si="446"/>
        <v>0</v>
      </c>
      <c r="CX94" s="73">
        <f t="shared" si="446"/>
        <v>0</v>
      </c>
      <c r="CY94" s="73">
        <f t="shared" si="446"/>
        <v>0</v>
      </c>
      <c r="CZ94" s="75">
        <f t="shared" si="446"/>
        <v>0</v>
      </c>
      <c r="DA94" s="73">
        <f t="shared" si="446"/>
        <v>0.93055555555555558</v>
      </c>
      <c r="DB94" s="73">
        <f t="shared" si="446"/>
        <v>0.36281588447653429</v>
      </c>
      <c r="DC94" s="73">
        <f t="shared" si="446"/>
        <v>0.5711252653927813</v>
      </c>
      <c r="DD94" s="73">
        <f t="shared" si="446"/>
        <v>0.7053571428571429</v>
      </c>
      <c r="DE94" s="75">
        <f t="shared" si="446"/>
        <v>0.57577679137603044</v>
      </c>
      <c r="DF94" s="73">
        <f t="shared" si="447"/>
        <v>0.15895953757225434</v>
      </c>
      <c r="DG94" s="73">
        <f t="shared" si="447"/>
        <v>5.5</v>
      </c>
      <c r="DH94" s="73">
        <f t="shared" si="447"/>
        <v>-1.2894736842105263</v>
      </c>
      <c r="DI94" s="73">
        <f t="shared" si="447"/>
        <v>3.7383177570093455E-2</v>
      </c>
      <c r="DJ94" s="75">
        <f t="shared" si="447"/>
        <v>0.29593810444874274</v>
      </c>
      <c r="DK94" s="73">
        <f t="shared" si="447"/>
        <v>3.3333333333333335</v>
      </c>
      <c r="DL94" s="73">
        <f t="shared" si="447"/>
        <v>0.1111111111111111</v>
      </c>
      <c r="DM94" s="73">
        <f t="shared" si="447"/>
        <v>0.42096344181899242</v>
      </c>
      <c r="DN94" s="73">
        <f t="shared" si="447"/>
        <v>0.46969707264594257</v>
      </c>
      <c r="DO94" s="75">
        <f t="shared" si="447"/>
        <v>0.40843482690312161</v>
      </c>
      <c r="DP94" s="73">
        <f t="shared" si="448"/>
        <v>6.6675493181514306E-3</v>
      </c>
      <c r="DQ94" s="73">
        <f t="shared" si="449"/>
        <v>-0.1998146703082323</v>
      </c>
      <c r="DR94" s="73">
        <f t="shared" si="450"/>
        <v>0.2519999999999995</v>
      </c>
      <c r="DS94" s="73">
        <f t="shared" si="451"/>
        <v>0.54</v>
      </c>
      <c r="DT94" s="75">
        <f t="shared" si="452"/>
        <v>0.14226239116113265</v>
      </c>
      <c r="DU94" s="75">
        <f t="shared" si="453"/>
        <v>0.16311450407670997</v>
      </c>
      <c r="DV94" s="75">
        <f t="shared" si="453"/>
        <v>0.12999999999999973</v>
      </c>
    </row>
    <row r="95" spans="1:126" s="15" customFormat="1" hidden="1" outlineLevel="1">
      <c r="B95" s="317" t="s">
        <v>382</v>
      </c>
      <c r="C95" s="75"/>
      <c r="D95" s="75"/>
      <c r="E95" s="75"/>
      <c r="F95" s="75"/>
      <c r="G95" s="75"/>
      <c r="H95" s="75"/>
      <c r="I95" s="75"/>
      <c r="J95" s="74"/>
      <c r="K95" s="74"/>
      <c r="L95" s="74"/>
      <c r="M95" s="74"/>
      <c r="N95" s="111"/>
      <c r="O95" s="73"/>
      <c r="P95" s="73"/>
      <c r="Q95" s="73"/>
      <c r="R95" s="73"/>
      <c r="S95" s="75"/>
      <c r="T95" s="73"/>
      <c r="U95" s="73"/>
      <c r="V95" s="73"/>
      <c r="W95" s="73"/>
      <c r="X95" s="75"/>
      <c r="Y95" s="326"/>
      <c r="Z95" s="73"/>
      <c r="AA95" s="73"/>
      <c r="AB95" s="73"/>
      <c r="AC95" s="75"/>
      <c r="AD95" s="73"/>
      <c r="AE95" s="73"/>
      <c r="AF95" s="73"/>
      <c r="AG95" s="73"/>
      <c r="AH95" s="75"/>
      <c r="AI95" s="73"/>
      <c r="AJ95" s="73"/>
      <c r="AK95" s="73"/>
      <c r="AL95" s="73"/>
      <c r="AM95" s="75"/>
      <c r="AN95" s="73"/>
      <c r="AO95" s="73"/>
      <c r="AP95" s="73"/>
      <c r="AQ95" s="73"/>
      <c r="AR95" s="75"/>
      <c r="AS95" s="73"/>
      <c r="AT95" s="73"/>
      <c r="AU95" s="73"/>
      <c r="AV95" s="73"/>
      <c r="AW95" s="75"/>
      <c r="AX95" s="73"/>
      <c r="AY95" s="73"/>
      <c r="AZ95" s="73"/>
      <c r="BA95" s="73"/>
      <c r="BB95" s="75"/>
      <c r="BC95" s="73"/>
      <c r="BD95" s="73"/>
      <c r="BE95" s="73"/>
      <c r="BF95" s="73"/>
      <c r="BG95" s="75"/>
      <c r="BH95" s="73" t="str">
        <f t="shared" si="438"/>
        <v xml:space="preserve">-- </v>
      </c>
      <c r="BI95" s="73" t="str">
        <f t="shared" si="438"/>
        <v xml:space="preserve">-- </v>
      </c>
      <c r="BJ95" s="73" t="str">
        <f t="shared" si="438"/>
        <v xml:space="preserve">-- </v>
      </c>
      <c r="BK95" s="73" t="str">
        <f t="shared" si="438"/>
        <v xml:space="preserve">-- </v>
      </c>
      <c r="BL95" s="75"/>
      <c r="BM95" s="73" t="str">
        <f t="shared" si="439"/>
        <v xml:space="preserve">-- </v>
      </c>
      <c r="BN95" s="73" t="str">
        <f t="shared" si="439"/>
        <v xml:space="preserve">-- </v>
      </c>
      <c r="BO95" s="73" t="str">
        <f t="shared" si="439"/>
        <v xml:space="preserve">-- </v>
      </c>
      <c r="BP95" s="73" t="str">
        <f t="shared" si="439"/>
        <v xml:space="preserve">-- </v>
      </c>
      <c r="BQ95" s="75"/>
      <c r="BR95" s="73" t="str">
        <f t="shared" si="440"/>
        <v xml:space="preserve">-- </v>
      </c>
      <c r="BS95" s="73" t="str">
        <f t="shared" si="440"/>
        <v xml:space="preserve">-- </v>
      </c>
      <c r="BT95" s="73" t="str">
        <f t="shared" si="440"/>
        <v xml:space="preserve">-- </v>
      </c>
      <c r="BU95" s="73" t="str">
        <f t="shared" si="440"/>
        <v xml:space="preserve">-- </v>
      </c>
      <c r="BV95" s="75"/>
      <c r="BW95" s="73" t="str">
        <f t="shared" si="441"/>
        <v xml:space="preserve">-- </v>
      </c>
      <c r="BX95" s="73" t="str">
        <f t="shared" si="441"/>
        <v xml:space="preserve">-- </v>
      </c>
      <c r="BY95" s="73" t="str">
        <f t="shared" si="441"/>
        <v xml:space="preserve">-- </v>
      </c>
      <c r="BZ95" s="73" t="str">
        <f t="shared" si="441"/>
        <v xml:space="preserve">-- </v>
      </c>
      <c r="CA95" s="75"/>
      <c r="CB95" s="73" t="str">
        <f t="shared" si="442"/>
        <v xml:space="preserve">-- </v>
      </c>
      <c r="CC95" s="73" t="str">
        <f t="shared" si="442"/>
        <v xml:space="preserve">-- </v>
      </c>
      <c r="CD95" s="73" t="str">
        <f t="shared" si="442"/>
        <v xml:space="preserve">-- </v>
      </c>
      <c r="CE95" s="73" t="str">
        <f t="shared" si="442"/>
        <v xml:space="preserve">-- </v>
      </c>
      <c r="CF95" s="75"/>
      <c r="CG95" s="73" t="str">
        <f t="shared" si="443"/>
        <v xml:space="preserve">-- </v>
      </c>
      <c r="CH95" s="73" t="str">
        <f t="shared" si="443"/>
        <v xml:space="preserve">-- </v>
      </c>
      <c r="CI95" s="73" t="str">
        <f t="shared" si="443"/>
        <v xml:space="preserve">-- </v>
      </c>
      <c r="CJ95" s="73" t="str">
        <f t="shared" si="443"/>
        <v xml:space="preserve">-- </v>
      </c>
      <c r="CK95" s="75"/>
      <c r="CL95" s="73">
        <f t="shared" si="444"/>
        <v>0</v>
      </c>
      <c r="CM95" s="73">
        <f t="shared" si="444"/>
        <v>0</v>
      </c>
      <c r="CN95" s="73">
        <f t="shared" si="444"/>
        <v>0</v>
      </c>
      <c r="CO95" s="73">
        <f t="shared" si="444"/>
        <v>0</v>
      </c>
      <c r="CP95" s="75"/>
      <c r="CQ95" s="73">
        <f t="shared" si="445"/>
        <v>0</v>
      </c>
      <c r="CR95" s="73">
        <f t="shared" si="445"/>
        <v>0</v>
      </c>
      <c r="CS95" s="73">
        <f t="shared" si="445"/>
        <v>0</v>
      </c>
      <c r="CT95" s="73">
        <f t="shared" si="445"/>
        <v>0</v>
      </c>
      <c r="CU95" s="75"/>
      <c r="CV95" s="73">
        <f t="shared" si="446"/>
        <v>0</v>
      </c>
      <c r="CW95" s="73">
        <f t="shared" si="446"/>
        <v>0</v>
      </c>
      <c r="CX95" s="73">
        <f t="shared" si="446"/>
        <v>0</v>
      </c>
      <c r="CY95" s="73">
        <f t="shared" si="446"/>
        <v>0</v>
      </c>
      <c r="CZ95" s="75">
        <f t="shared" si="446"/>
        <v>0</v>
      </c>
      <c r="DA95" s="73">
        <f t="shared" si="446"/>
        <v>0</v>
      </c>
      <c r="DB95" s="73">
        <f t="shared" si="446"/>
        <v>0</v>
      </c>
      <c r="DC95" s="73">
        <f t="shared" si="446"/>
        <v>0</v>
      </c>
      <c r="DD95" s="73">
        <f t="shared" si="446"/>
        <v>0</v>
      </c>
      <c r="DE95" s="75">
        <f t="shared" si="446"/>
        <v>0</v>
      </c>
      <c r="DF95" s="73">
        <f t="shared" si="447"/>
        <v>0</v>
      </c>
      <c r="DG95" s="73">
        <f t="shared" si="447"/>
        <v>0</v>
      </c>
      <c r="DH95" s="73">
        <f t="shared" si="447"/>
        <v>0</v>
      </c>
      <c r="DI95" s="73">
        <f t="shared" si="447"/>
        <v>0</v>
      </c>
      <c r="DJ95" s="75">
        <f t="shared" si="447"/>
        <v>0</v>
      </c>
      <c r="DK95" s="73">
        <f t="shared" si="447"/>
        <v>0</v>
      </c>
      <c r="DL95" s="73">
        <f t="shared" si="447"/>
        <v>0</v>
      </c>
      <c r="DM95" s="73">
        <f t="shared" si="447"/>
        <v>0</v>
      </c>
      <c r="DN95" s="73">
        <f t="shared" si="447"/>
        <v>0</v>
      </c>
      <c r="DO95" s="75">
        <f t="shared" si="447"/>
        <v>0</v>
      </c>
      <c r="DP95" s="73">
        <f t="shared" si="448"/>
        <v>0</v>
      </c>
      <c r="DQ95" s="73" t="str">
        <f t="shared" si="449"/>
        <v xml:space="preserve">-- </v>
      </c>
      <c r="DR95" s="73" t="str">
        <f t="shared" si="450"/>
        <v xml:space="preserve">-- </v>
      </c>
      <c r="DS95" s="73" t="str">
        <f t="shared" si="451"/>
        <v xml:space="preserve">-- </v>
      </c>
      <c r="DT95" s="75">
        <f t="shared" si="452"/>
        <v>0</v>
      </c>
      <c r="DU95" s="75" t="str">
        <f t="shared" si="453"/>
        <v xml:space="preserve">-- </v>
      </c>
      <c r="DV95" s="75" t="str">
        <f t="shared" si="453"/>
        <v xml:space="preserve">-- </v>
      </c>
    </row>
    <row r="96" spans="1:126" s="12" customFormat="1" hidden="1" outlineLevel="1">
      <c r="A96" s="49"/>
      <c r="B96" s="221" t="s">
        <v>383</v>
      </c>
      <c r="C96" s="75"/>
      <c r="D96" s="75"/>
      <c r="E96" s="75"/>
      <c r="F96" s="75"/>
      <c r="G96" s="75"/>
      <c r="H96" s="75"/>
      <c r="I96" s="75"/>
      <c r="J96" s="74"/>
      <c r="K96" s="74"/>
      <c r="L96" s="74"/>
      <c r="M96" s="74"/>
      <c r="N96" s="111"/>
      <c r="O96" s="74"/>
      <c r="P96" s="74"/>
      <c r="Q96" s="74"/>
      <c r="R96" s="74"/>
      <c r="S96" s="75"/>
      <c r="T96" s="74"/>
      <c r="U96" s="74"/>
      <c r="V96" s="74"/>
      <c r="W96" s="74"/>
      <c r="X96" s="75"/>
      <c r="Y96" s="74"/>
      <c r="Z96" s="74"/>
      <c r="AA96" s="74"/>
      <c r="AB96" s="74"/>
      <c r="AC96" s="75"/>
      <c r="AD96" s="74"/>
      <c r="AE96" s="74"/>
      <c r="AF96" s="74"/>
      <c r="AG96" s="74"/>
      <c r="AH96" s="75"/>
      <c r="AI96" s="74"/>
      <c r="AJ96" s="74"/>
      <c r="AK96" s="74"/>
      <c r="AL96" s="74"/>
      <c r="AM96" s="75"/>
      <c r="AN96" s="405"/>
      <c r="AO96" s="74"/>
      <c r="AP96" s="74"/>
      <c r="AQ96" s="406"/>
      <c r="AR96" s="75"/>
      <c r="AS96" s="74"/>
      <c r="AT96" s="74"/>
      <c r="AU96" s="74"/>
      <c r="AV96" s="74"/>
      <c r="AW96" s="75"/>
      <c r="AX96" s="74"/>
      <c r="AY96" s="74"/>
      <c r="AZ96" s="74"/>
      <c r="BA96" s="74"/>
      <c r="BB96" s="75"/>
      <c r="BC96" s="74"/>
      <c r="BD96" s="74"/>
      <c r="BE96" s="74"/>
      <c r="BF96" s="74"/>
      <c r="BG96" s="75"/>
      <c r="BH96" s="74" t="str">
        <f>IF(ISERROR((BH66-BC66)/(#REF!-#REF!)), "-- ", (BH66-BC66)/(#REF!-#REF!))</f>
        <v xml:space="preserve">-- </v>
      </c>
      <c r="BI96" s="74" t="str">
        <f>IF(ISERROR((BI66-BD66)/(#REF!-#REF!)), "-- ", (BI66-BD66)/(#REF!-#REF!))</f>
        <v xml:space="preserve">-- </v>
      </c>
      <c r="BJ96" s="74" t="str">
        <f>IF(ISERROR((BJ66-BE66)/(#REF!-#REF!)), "-- ", (BJ66-BE66)/(#REF!-#REF!))</f>
        <v xml:space="preserve">-- </v>
      </c>
      <c r="BK96" s="74" t="str">
        <f>IF(ISERROR((BK66-BF66)/(#REF!-#REF!)), "-- ", (BK66-BF66)/(#REF!-#REF!))</f>
        <v xml:space="preserve">-- </v>
      </c>
      <c r="BL96" s="75"/>
      <c r="BM96" s="74" t="str">
        <f>IF(ISERROR((BM66-BH66)/(#REF!-#REF!)), "-- ", (BM66-BH66)/(#REF!-#REF!))</f>
        <v xml:space="preserve">-- </v>
      </c>
      <c r="BN96" s="74" t="str">
        <f>IF(ISERROR((BN66-BI66)/(#REF!-#REF!)), "-- ", (BN66-BI66)/(#REF!-#REF!))</f>
        <v xml:space="preserve">-- </v>
      </c>
      <c r="BO96" s="74" t="str">
        <f>IF(ISERROR((BO66-BJ66)/(#REF!-#REF!)), "-- ", (BO66-BJ66)/(#REF!-#REF!))</f>
        <v xml:space="preserve">-- </v>
      </c>
      <c r="BP96" s="74" t="str">
        <f>IF(ISERROR((BP66-BK66)/(#REF!-#REF!)), "-- ", (BP66-BK66)/(#REF!-#REF!))</f>
        <v xml:space="preserve">-- </v>
      </c>
      <c r="BQ96" s="75"/>
      <c r="BR96" s="74" t="str">
        <f>IF(ISERROR((BR66-BM66)/(#REF!-#REF!)), "-- ", (BR66-BM66)/(#REF!-#REF!))</f>
        <v xml:space="preserve">-- </v>
      </c>
      <c r="BS96" s="74" t="str">
        <f>IF(ISERROR((BS66-BN66)/(#REF!-#REF!)), "-- ", (BS66-BN66)/(#REF!-#REF!))</f>
        <v xml:space="preserve">-- </v>
      </c>
      <c r="BT96" s="74" t="str">
        <f>IF(ISERROR((BT66-BO66)/(#REF!-#REF!)), "-- ", (BT66-BO66)/(#REF!-#REF!))</f>
        <v xml:space="preserve">-- </v>
      </c>
      <c r="BU96" s="74" t="str">
        <f>IF(ISERROR((BU66-BP66)/(#REF!-#REF!)), "-- ", (BU66-BP66)/(#REF!-#REF!))</f>
        <v xml:space="preserve">-- </v>
      </c>
      <c r="BV96" s="75"/>
      <c r="BW96" s="74" t="str">
        <f>IF(ISERROR((BW66-BR66)/(#REF!-#REF!)), "-- ", (BW66-BR66)/(#REF!-#REF!))</f>
        <v xml:space="preserve">-- </v>
      </c>
      <c r="BX96" s="74" t="str">
        <f>IF(ISERROR((BX66-BS66)/(#REF!-#REF!)), "-- ", (BX66-BS66)/(#REF!-#REF!))</f>
        <v xml:space="preserve">-- </v>
      </c>
      <c r="BY96" s="74" t="str">
        <f>IF(ISERROR((BY66-BT66)/(#REF!-#REF!)), "-- ", (BY66-BT66)/(#REF!-#REF!))</f>
        <v xml:space="preserve">-- </v>
      </c>
      <c r="BZ96" s="74" t="str">
        <f>IF(ISERROR((BZ66-BU66)/(#REF!-#REF!)), "-- ", (BZ66-BU66)/(#REF!-#REF!))</f>
        <v xml:space="preserve">-- </v>
      </c>
      <c r="CA96" s="75"/>
      <c r="CB96" s="74" t="str">
        <f>IF(ISERROR((CB66-BW66)/(#REF!-#REF!)), "-- ", (CB66-BW66)/(#REF!-#REF!))</f>
        <v xml:space="preserve">-- </v>
      </c>
      <c r="CC96" s="74" t="str">
        <f>IF(ISERROR((CC66-BX66)/(#REF!-#REF!)), "-- ", (CC66-BX66)/(#REF!-#REF!))</f>
        <v xml:space="preserve">-- </v>
      </c>
      <c r="CD96" s="74" t="str">
        <f>IF(ISERROR((CD66-BY66)/(#REF!-#REF!)), "-- ", (CD66-BY66)/(#REF!-#REF!))</f>
        <v xml:space="preserve">-- </v>
      </c>
      <c r="CE96" s="74" t="str">
        <f>IF(ISERROR((CE66-BZ66)/(#REF!-#REF!)), "-- ", (CE66-BZ66)/(#REF!-#REF!))</f>
        <v xml:space="preserve">-- </v>
      </c>
      <c r="CF96" s="75"/>
      <c r="CG96" s="74" t="str">
        <f>IF(ISERROR((CG66-CB66)/(#REF!-#REF!)), "-- ", (CG66-CB66)/(#REF!-#REF!))</f>
        <v xml:space="preserve">-- </v>
      </c>
      <c r="CH96" s="74" t="str">
        <f>IF(ISERROR((CH66-CC66)/(#REF!-#REF!)), "-- ", (CH66-CC66)/(#REF!-#REF!))</f>
        <v xml:space="preserve">-- </v>
      </c>
      <c r="CI96" s="74" t="str">
        <f>IF(ISERROR((CI66-CD66)/(#REF!-#REF!)), "-- ", (CI66-CD66)/(#REF!-#REF!))</f>
        <v xml:space="preserve">-- </v>
      </c>
      <c r="CJ96" s="74" t="str">
        <f>IF(ISERROR((CJ66-CE66)/(#REF!-#REF!)), "-- ", (CJ66-CE66)/(#REF!-#REF!))</f>
        <v xml:space="preserve">-- </v>
      </c>
      <c r="CK96" s="75"/>
      <c r="CL96" s="74" t="str">
        <f>IF(ISERROR((CL66-CG66)/(#REF!-#REF!)), "-- ", (CL66-CG66)/(#REF!-#REF!))</f>
        <v xml:space="preserve">-- </v>
      </c>
      <c r="CM96" s="74" t="str">
        <f>IF(ISERROR((CM66-CH66)/(#REF!-#REF!)), "-- ", (CM66-CH66)/(#REF!-#REF!))</f>
        <v xml:space="preserve">-- </v>
      </c>
      <c r="CN96" s="74" t="str">
        <f>IF(ISERROR((CN66-CI66)/(#REF!-#REF!)), "-- ", (CN66-CI66)/(#REF!-#REF!))</f>
        <v xml:space="preserve">-- </v>
      </c>
      <c r="CO96" s="74" t="str">
        <f>IF(ISERROR((CO66-CJ66)/(#REF!-#REF!)), "-- ", (CO66-CJ66)/(#REF!-#REF!))</f>
        <v xml:space="preserve">-- </v>
      </c>
      <c r="CP96" s="75"/>
      <c r="CQ96" s="74" t="str">
        <f>IF(ISERROR((CQ66-CL66)/(#REF!-#REF!)), "-- ", (CQ66-CL66)/(#REF!-#REF!))</f>
        <v xml:space="preserve">-- </v>
      </c>
      <c r="CR96" s="74" t="str">
        <f>IF(ISERROR((CR66-CM66)/(#REF!-#REF!)), "-- ", (CR66-CM66)/(#REF!-#REF!))</f>
        <v xml:space="preserve">-- </v>
      </c>
      <c r="CS96" s="74" t="str">
        <f>IF(ISERROR((CS66-CN66)/(#REF!-#REF!)), "-- ", (CS66-CN66)/(#REF!-#REF!))</f>
        <v xml:space="preserve">-- </v>
      </c>
      <c r="CT96" s="74" t="str">
        <f>IF(ISERROR((CT66-CO66)/(#REF!-#REF!)), "-- ", (CT66-CO66)/(#REF!-#REF!))</f>
        <v xml:space="preserve">-- </v>
      </c>
      <c r="CU96" s="75"/>
      <c r="CV96" s="74" t="str">
        <f>IF(ISERROR((CV66-CQ66)/(#REF!-#REF!)), "-- ", (CV66-CQ66)/(#REF!-#REF!))</f>
        <v xml:space="preserve">-- </v>
      </c>
      <c r="CW96" s="74" t="str">
        <f>IF(ISERROR((CW66-CR66)/(#REF!-#REF!)), "-- ", (CW66-CR66)/(#REF!-#REF!))</f>
        <v xml:space="preserve">-- </v>
      </c>
      <c r="CX96" s="74" t="str">
        <f>IF(ISERROR((CX66-CS66)/(#REF!-#REF!)), "-- ", (CX66-CS66)/(#REF!-#REF!))</f>
        <v xml:space="preserve">-- </v>
      </c>
      <c r="CY96" s="74" t="str">
        <f>IF(ISERROR((CY66-CT66)/(#REF!-#REF!)), "-- ", (CY66-CT66)/(#REF!-#REF!))</f>
        <v xml:space="preserve">-- </v>
      </c>
      <c r="CZ96" s="75" t="str">
        <f>IF(ISERROR((CZ66-CU66)/(#REF!-#REF!)), "-- ", (CZ66-CU66)/(#REF!-#REF!))</f>
        <v xml:space="preserve">-- </v>
      </c>
      <c r="DA96" s="74" t="str">
        <f>IF(ISERROR((DA66-CV66)/(#REF!-#REF!)), "-- ", (DA66-CV66)/(#REF!-#REF!))</f>
        <v xml:space="preserve">-- </v>
      </c>
      <c r="DB96" s="74" t="str">
        <f>IF(ISERROR((DB66-CW66)/(#REF!-#REF!)), "-- ", (DB66-CW66)/(#REF!-#REF!))</f>
        <v xml:space="preserve">-- </v>
      </c>
      <c r="DC96" s="74" t="str">
        <f>IF(ISERROR((DC66-CX66)/(#REF!-#REF!)), "-- ", (DC66-CX66)/(#REF!-#REF!))</f>
        <v xml:space="preserve">-- </v>
      </c>
      <c r="DD96" s="74" t="str">
        <f>IF(ISERROR((DD66-CY66)/(#REF!-#REF!)), "-- ", (DD66-CY66)/(#REF!-#REF!))</f>
        <v xml:space="preserve">-- </v>
      </c>
      <c r="DE96" s="75" t="str">
        <f>IF(ISERROR((DE66-CZ66)/(#REF!-#REF!)), "-- ", (DE66-CZ66)/(#REF!-#REF!))</f>
        <v xml:space="preserve">-- </v>
      </c>
      <c r="DF96" s="74" t="str">
        <f>IF(ISERROR((DF66-DA66)/(#REF!-#REF!)), "-- ", (DF66-DA66)/(#REF!-#REF!))</f>
        <v xml:space="preserve">-- </v>
      </c>
      <c r="DG96" s="74" t="str">
        <f>IF(ISERROR((DG66-DB66)/(#REF!-#REF!)), "-- ", (DG66-DB66)/(#REF!-#REF!))</f>
        <v xml:space="preserve">-- </v>
      </c>
      <c r="DH96" s="74" t="str">
        <f>IF(ISERROR((DH66-DC66)/(#REF!-#REF!)), "-- ", (DH66-DC66)/(#REF!-#REF!))</f>
        <v xml:space="preserve">-- </v>
      </c>
      <c r="DI96" s="74" t="str">
        <f>IF(ISERROR((DI66-DD66)/(#REF!-#REF!)), "-- ", (DI66-DD66)/(#REF!-#REF!))</f>
        <v xml:space="preserve">-- </v>
      </c>
      <c r="DJ96" s="75" t="str">
        <f>IF(ISERROR((DJ66-DE66)/(#REF!-#REF!)), "-- ", (DJ66-DE66)/(#REF!-#REF!))</f>
        <v xml:space="preserve">-- </v>
      </c>
      <c r="DK96" s="74" t="str">
        <f>IF(ISERROR((DK66-DF66)/(#REF!-#REF!)), "-- ", (DK66-DF66)/(#REF!-#REF!))</f>
        <v xml:space="preserve">-- </v>
      </c>
      <c r="DL96" s="74" t="str">
        <f>IF(ISERROR((DL66-DG66)/(#REF!-#REF!)), "-- ", (DL66-DG66)/(#REF!-#REF!))</f>
        <v xml:space="preserve">-- </v>
      </c>
      <c r="DM96" s="74" t="str">
        <f>IF(ISERROR((DM66-DH66)/(#REF!-#REF!)), "-- ", (DM66-DH66)/(#REF!-#REF!))</f>
        <v xml:space="preserve">-- </v>
      </c>
      <c r="DN96" s="74" t="str">
        <f>IF(ISERROR((DN66-DI66)/(#REF!-#REF!)), "-- ", (DN66-DI66)/(#REF!-#REF!))</f>
        <v xml:space="preserve">-- </v>
      </c>
      <c r="DO96" s="75" t="str">
        <f>IF(ISERROR((DO66-DJ66)/(#REF!-#REF!)), "-- ", (DO66-DJ66)/(#REF!-#REF!))</f>
        <v xml:space="preserve">-- </v>
      </c>
      <c r="DP96" s="74" t="str">
        <f>IF(ISERROR((DP66-DK66)/(#REF!-#REF!)), "-- ", (DP66-DK66)/(#REF!-#REF!))</f>
        <v xml:space="preserve">-- </v>
      </c>
      <c r="DQ96" s="74" t="str">
        <f>IF(ISERROR((DQ66-DL66)/(#REF!-#REF!)), "-- ", (DQ66-DL66)/(#REF!-#REF!))</f>
        <v xml:space="preserve">-- </v>
      </c>
      <c r="DR96" s="74" t="str">
        <f>IF(ISERROR((DR66-DM66)/(#REF!-#REF!)), "-- ", (DR66-DM66)/(#REF!-#REF!))</f>
        <v xml:space="preserve">-- </v>
      </c>
      <c r="DS96" s="74" t="str">
        <f>IF(ISERROR((DS66-DN66)/(#REF!-#REF!)), "-- ", (DS66-DN66)/(#REF!-#REF!))</f>
        <v xml:space="preserve">-- </v>
      </c>
      <c r="DT96" s="75" t="str">
        <f>IF(ISERROR((DT66-DO66)/(#REF!-#REF!)), "-- ", (DT66-DO66)/(#REF!-#REF!))</f>
        <v xml:space="preserve">-- </v>
      </c>
      <c r="DU96" s="75" t="str">
        <f>IF(ISERROR((DU66-DT66)/(#REF!-#REF!)), "-- ", (DU66-DT66)/(#REF!-#REF!))</f>
        <v xml:space="preserve">-- </v>
      </c>
      <c r="DV96" s="75" t="str">
        <f>IF(ISERROR((DV66-DU66)/(#REF!-#REF!)), "-- ", (DV66-DU66)/(#REF!-#REF!))</f>
        <v xml:space="preserve">-- </v>
      </c>
    </row>
    <row r="97" spans="2:126" s="15" customFormat="1" ht="12" hidden="1" customHeight="1" outlineLevel="1">
      <c r="B97" s="147" t="s">
        <v>345</v>
      </c>
      <c r="C97" s="75"/>
      <c r="D97" s="75"/>
      <c r="E97" s="75"/>
      <c r="F97" s="75"/>
      <c r="G97" s="75"/>
      <c r="H97" s="75"/>
      <c r="I97" s="75"/>
      <c r="J97" s="74"/>
      <c r="K97" s="74"/>
      <c r="L97" s="74"/>
      <c r="M97" s="74"/>
      <c r="N97" s="75"/>
      <c r="O97" s="74"/>
      <c r="P97" s="74"/>
      <c r="Q97" s="74"/>
      <c r="R97" s="74"/>
      <c r="S97" s="75"/>
      <c r="T97" s="74"/>
      <c r="U97" s="74"/>
      <c r="V97" s="74"/>
      <c r="W97" s="74"/>
      <c r="X97" s="75"/>
      <c r="Y97" s="74"/>
      <c r="Z97" s="74"/>
      <c r="AA97" s="74"/>
      <c r="AB97" s="74"/>
      <c r="AC97" s="111"/>
      <c r="AD97" s="74"/>
      <c r="AE97" s="74"/>
      <c r="AF97" s="74"/>
      <c r="AG97" s="74"/>
      <c r="AH97" s="111"/>
      <c r="AI97" s="74"/>
      <c r="AJ97" s="74"/>
      <c r="AK97" s="74"/>
      <c r="AL97" s="74"/>
      <c r="AM97" s="111"/>
      <c r="AN97" s="74"/>
      <c r="AO97" s="74"/>
      <c r="AP97" s="74"/>
      <c r="AQ97" s="74"/>
      <c r="AR97" s="75"/>
      <c r="AS97" s="74"/>
      <c r="AT97" s="74"/>
      <c r="AU97" s="74"/>
      <c r="AV97" s="74"/>
      <c r="AW97" s="75"/>
      <c r="AX97" s="74"/>
      <c r="AY97" s="74"/>
      <c r="AZ97" s="74"/>
      <c r="BA97" s="74"/>
      <c r="BB97" s="75"/>
      <c r="BC97" s="74"/>
      <c r="BD97" s="74"/>
      <c r="BE97" s="74"/>
      <c r="BF97" s="74"/>
      <c r="BG97" s="75"/>
      <c r="BH97" s="74"/>
      <c r="BI97" s="74"/>
      <c r="BJ97" s="74"/>
      <c r="BK97" s="74"/>
      <c r="BL97" s="75"/>
      <c r="BM97" s="74"/>
      <c r="BN97" s="74"/>
      <c r="BO97" s="74"/>
      <c r="BP97" s="74"/>
      <c r="BQ97" s="75"/>
      <c r="BR97" s="74"/>
      <c r="BS97" s="74"/>
      <c r="BT97" s="74"/>
      <c r="BU97" s="74"/>
      <c r="BV97" s="75"/>
      <c r="BW97" s="74"/>
      <c r="BX97" s="74"/>
      <c r="BY97" s="74"/>
      <c r="BZ97" s="74"/>
      <c r="CA97" s="75">
        <f>(CA67-BV67)/(CA11-BV11)</f>
        <v>0</v>
      </c>
      <c r="CB97" s="74"/>
      <c r="CC97" s="74"/>
      <c r="CD97" s="74"/>
      <c r="CE97" s="74"/>
      <c r="CF97" s="75">
        <f t="shared" ref="CF97:DO97" si="454">(CF67-CA67)/(CF11-CA11)</f>
        <v>0</v>
      </c>
      <c r="CG97" s="74">
        <f t="shared" si="454"/>
        <v>0</v>
      </c>
      <c r="CH97" s="74">
        <f t="shared" si="454"/>
        <v>0</v>
      </c>
      <c r="CI97" s="74">
        <f t="shared" si="454"/>
        <v>0</v>
      </c>
      <c r="CJ97" s="74">
        <f t="shared" si="454"/>
        <v>0</v>
      </c>
      <c r="CK97" s="75">
        <f t="shared" si="454"/>
        <v>0</v>
      </c>
      <c r="CL97" s="74">
        <f t="shared" si="454"/>
        <v>-0.9453345900094251</v>
      </c>
      <c r="CM97" s="74">
        <f t="shared" si="454"/>
        <v>0.28144203195411716</v>
      </c>
      <c r="CN97" s="74">
        <f t="shared" si="454"/>
        <v>-0.16370439663236669</v>
      </c>
      <c r="CO97" s="74">
        <f t="shared" si="454"/>
        <v>-0.29741151611199185</v>
      </c>
      <c r="CP97" s="75">
        <f t="shared" si="454"/>
        <v>-0.16314881189433161</v>
      </c>
      <c r="CQ97" s="74">
        <f t="shared" si="454"/>
        <v>0.19042609153077328</v>
      </c>
      <c r="CR97" s="74">
        <f t="shared" si="454"/>
        <v>1.8925438596491229</v>
      </c>
      <c r="CS97" s="74">
        <f t="shared" si="454"/>
        <v>1.0376569037656904</v>
      </c>
      <c r="CT97" s="74">
        <f t="shared" si="454"/>
        <v>2.7914893617021277</v>
      </c>
      <c r="CU97" s="75">
        <f t="shared" si="454"/>
        <v>-2.2581967213114753</v>
      </c>
      <c r="CV97" s="74">
        <f t="shared" si="454"/>
        <v>0.4369885433715221</v>
      </c>
      <c r="CW97" s="74">
        <f t="shared" si="454"/>
        <v>0.75465838509316774</v>
      </c>
      <c r="CX97" s="74">
        <f t="shared" si="454"/>
        <v>0.33511859219586843</v>
      </c>
      <c r="CY97" s="74">
        <f t="shared" si="454"/>
        <v>0.1408083441981747</v>
      </c>
      <c r="CZ97" s="75">
        <f t="shared" si="454"/>
        <v>0.39936708860759496</v>
      </c>
      <c r="DA97" s="74">
        <f t="shared" si="454"/>
        <v>0.35159500693481277</v>
      </c>
      <c r="DB97" s="74">
        <f t="shared" si="454"/>
        <v>0.24831460674157305</v>
      </c>
      <c r="DC97" s="74">
        <f t="shared" si="454"/>
        <v>0.30182232346241455</v>
      </c>
      <c r="DD97" s="74">
        <f t="shared" si="454"/>
        <v>0.31866952789699571</v>
      </c>
      <c r="DE97" s="75">
        <f t="shared" si="454"/>
        <v>0.30050761421319799</v>
      </c>
      <c r="DF97" s="74">
        <f t="shared" si="454"/>
        <v>0.25218234723569349</v>
      </c>
      <c r="DG97" s="74">
        <f t="shared" si="454"/>
        <v>1.370253164556962</v>
      </c>
      <c r="DH97" s="74">
        <f t="shared" si="454"/>
        <v>0.42531120331950206</v>
      </c>
      <c r="DI97" s="74">
        <f t="shared" si="454"/>
        <v>0.50075075075075071</v>
      </c>
      <c r="DJ97" s="75">
        <f t="shared" si="454"/>
        <v>0.49509648845302118</v>
      </c>
      <c r="DK97" s="74">
        <f t="shared" si="454"/>
        <v>0.58486486486486489</v>
      </c>
      <c r="DL97" s="74">
        <f t="shared" si="454"/>
        <v>0.29616182572614108</v>
      </c>
      <c r="DM97" s="74">
        <f t="shared" si="454"/>
        <v>0.31368726288228271</v>
      </c>
      <c r="DN97" s="74">
        <f t="shared" si="454"/>
        <v>-1.5247009594076008E-2</v>
      </c>
      <c r="DO97" s="75">
        <f t="shared" si="454"/>
        <v>0.30902635490765207</v>
      </c>
      <c r="DP97" s="74">
        <f t="shared" ref="DP97" si="455">(DP67-DK67)/(DP11-DK11)</f>
        <v>0.25986963730903601</v>
      </c>
      <c r="DQ97" s="74">
        <f t="shared" ref="DQ97" si="456">(DQ67-DL67)/(DQ11-DL11)</f>
        <v>0.15238205854579814</v>
      </c>
      <c r="DR97" s="74">
        <f t="shared" ref="DR97" si="457">(DR67-DM67)/(DR11-DM11)</f>
        <v>0.29486489078504152</v>
      </c>
      <c r="DS97" s="74">
        <f t="shared" ref="DS97" si="458">(DS67-DN67)/(DS11-DN11)</f>
        <v>0.29920340569380571</v>
      </c>
      <c r="DT97" s="75">
        <f t="shared" ref="DT97" si="459">(DT67-DO67)/(DT11-DO11)</f>
        <v>0.25397081795566423</v>
      </c>
      <c r="DU97" s="75">
        <f>(DU67-DT67)/(DU11-DT11)</f>
        <v>0.25435055041459309</v>
      </c>
      <c r="DV97" s="75">
        <f>(DV67-DU67)/(DV11-DU11)</f>
        <v>0.26059856960643263</v>
      </c>
    </row>
    <row r="98" spans="2:126" s="15" customFormat="1" ht="12" hidden="1" outlineLevel="1">
      <c r="B98" s="175" t="s">
        <v>70</v>
      </c>
      <c r="C98" s="72"/>
      <c r="D98" s="72" t="e">
        <f t="shared" ref="D98:I98" si="460">(D71-C71)/(D11-C11)</f>
        <v>#DIV/0!</v>
      </c>
      <c r="E98" s="72" t="e">
        <f t="shared" si="460"/>
        <v>#DIV/0!</v>
      </c>
      <c r="F98" s="72" t="e">
        <f t="shared" si="460"/>
        <v>#DIV/0!</v>
      </c>
      <c r="G98" s="72" t="e">
        <f t="shared" si="460"/>
        <v>#DIV/0!</v>
      </c>
      <c r="H98" s="72" t="e">
        <f t="shared" si="460"/>
        <v>#DIV/0!</v>
      </c>
      <c r="I98" s="72" t="e">
        <f t="shared" si="460"/>
        <v>#DIV/0!</v>
      </c>
      <c r="J98" s="71"/>
      <c r="K98" s="71"/>
      <c r="L98" s="71"/>
      <c r="M98" s="71"/>
      <c r="N98" s="72" t="e">
        <f t="shared" ref="N98:AA98" si="461">(N71-I71)/(N11-I11)</f>
        <v>#DIV/0!</v>
      </c>
      <c r="O98" s="71" t="e">
        <f t="shared" si="461"/>
        <v>#DIV/0!</v>
      </c>
      <c r="P98" s="71" t="e">
        <f t="shared" si="461"/>
        <v>#DIV/0!</v>
      </c>
      <c r="Q98" s="71" t="e">
        <f t="shared" si="461"/>
        <v>#DIV/0!</v>
      </c>
      <c r="R98" s="71" t="e">
        <f t="shared" si="461"/>
        <v>#DIV/0!</v>
      </c>
      <c r="S98" s="72" t="e">
        <f t="shared" si="461"/>
        <v>#DIV/0!</v>
      </c>
      <c r="T98" s="71" t="e">
        <f t="shared" si="461"/>
        <v>#DIV/0!</v>
      </c>
      <c r="U98" s="71" t="e">
        <f t="shared" si="461"/>
        <v>#DIV/0!</v>
      </c>
      <c r="V98" s="71" t="e">
        <f t="shared" si="461"/>
        <v>#DIV/0!</v>
      </c>
      <c r="W98" s="71" t="e">
        <f t="shared" si="461"/>
        <v>#DIV/0!</v>
      </c>
      <c r="X98" s="72" t="e">
        <f t="shared" si="461"/>
        <v>#DIV/0!</v>
      </c>
      <c r="Y98" s="71" t="e">
        <f t="shared" si="461"/>
        <v>#DIV/0!</v>
      </c>
      <c r="Z98" s="71" t="e">
        <f t="shared" si="461"/>
        <v>#DIV/0!</v>
      </c>
      <c r="AA98" s="71" t="e">
        <f t="shared" si="461"/>
        <v>#DIV/0!</v>
      </c>
      <c r="AB98" s="70" t="s">
        <v>175</v>
      </c>
      <c r="AC98" s="72" t="e">
        <f>(AC71-X71)/(AC11-X11)</f>
        <v>#DIV/0!</v>
      </c>
      <c r="AD98" s="71"/>
      <c r="AE98" s="71"/>
      <c r="AF98" s="71"/>
      <c r="AG98" s="71"/>
      <c r="AH98" s="72" t="e">
        <f>(AH71-AC71)/(AH11-AC11)</f>
        <v>#DIV/0!</v>
      </c>
      <c r="AI98" s="71"/>
      <c r="AJ98" s="71"/>
      <c r="AK98" s="71"/>
      <c r="AL98" s="71"/>
      <c r="AM98" s="72" t="e">
        <f t="shared" ref="AM98:BR98" si="462">(AM71-AH71)/(AM11-AH11)</f>
        <v>#DIV/0!</v>
      </c>
      <c r="AN98" s="71" t="e">
        <f t="shared" si="462"/>
        <v>#DIV/0!</v>
      </c>
      <c r="AO98" s="71" t="e">
        <f t="shared" si="462"/>
        <v>#DIV/0!</v>
      </c>
      <c r="AP98" s="71" t="e">
        <f t="shared" si="462"/>
        <v>#DIV/0!</v>
      </c>
      <c r="AQ98" s="71" t="e">
        <f t="shared" si="462"/>
        <v>#DIV/0!</v>
      </c>
      <c r="AR98" s="72" t="e">
        <f t="shared" si="462"/>
        <v>#DIV/0!</v>
      </c>
      <c r="AS98" s="71" t="e">
        <f t="shared" si="462"/>
        <v>#DIV/0!</v>
      </c>
      <c r="AT98" s="71" t="e">
        <f t="shared" si="462"/>
        <v>#DIV/0!</v>
      </c>
      <c r="AU98" s="71" t="e">
        <f t="shared" si="462"/>
        <v>#DIV/0!</v>
      </c>
      <c r="AV98" s="71" t="e">
        <f t="shared" si="462"/>
        <v>#DIV/0!</v>
      </c>
      <c r="AW98" s="72" t="e">
        <f t="shared" si="462"/>
        <v>#DIV/0!</v>
      </c>
      <c r="AX98" s="71" t="e">
        <f t="shared" si="462"/>
        <v>#DIV/0!</v>
      </c>
      <c r="AY98" s="71" t="e">
        <f t="shared" si="462"/>
        <v>#DIV/0!</v>
      </c>
      <c r="AZ98" s="71" t="e">
        <f t="shared" si="462"/>
        <v>#DIV/0!</v>
      </c>
      <c r="BA98" s="71" t="e">
        <f t="shared" si="462"/>
        <v>#DIV/0!</v>
      </c>
      <c r="BB98" s="72" t="e">
        <f t="shared" si="462"/>
        <v>#DIV/0!</v>
      </c>
      <c r="BC98" s="71" t="e">
        <f t="shared" si="462"/>
        <v>#DIV/0!</v>
      </c>
      <c r="BD98" s="71" t="e">
        <f t="shared" si="462"/>
        <v>#DIV/0!</v>
      </c>
      <c r="BE98" s="71" t="e">
        <f t="shared" si="462"/>
        <v>#DIV/0!</v>
      </c>
      <c r="BF98" s="71" t="e">
        <f t="shared" si="462"/>
        <v>#DIV/0!</v>
      </c>
      <c r="BG98" s="72" t="e">
        <f t="shared" si="462"/>
        <v>#DIV/0!</v>
      </c>
      <c r="BH98" s="71" t="e">
        <f t="shared" si="462"/>
        <v>#DIV/0!</v>
      </c>
      <c r="BI98" s="71" t="e">
        <f t="shared" si="462"/>
        <v>#DIV/0!</v>
      </c>
      <c r="BJ98" s="71" t="e">
        <f t="shared" si="462"/>
        <v>#DIV/0!</v>
      </c>
      <c r="BK98" s="71" t="e">
        <f t="shared" si="462"/>
        <v>#DIV/0!</v>
      </c>
      <c r="BL98" s="72" t="e">
        <f t="shared" si="462"/>
        <v>#DIV/0!</v>
      </c>
      <c r="BM98" s="71">
        <f t="shared" si="462"/>
        <v>0</v>
      </c>
      <c r="BN98" s="71">
        <f t="shared" si="462"/>
        <v>0</v>
      </c>
      <c r="BO98" s="71">
        <f t="shared" si="462"/>
        <v>0</v>
      </c>
      <c r="BP98" s="71">
        <f t="shared" si="462"/>
        <v>0</v>
      </c>
      <c r="BQ98" s="72">
        <f t="shared" si="462"/>
        <v>0</v>
      </c>
      <c r="BR98" s="71">
        <f t="shared" si="462"/>
        <v>0</v>
      </c>
      <c r="BS98" s="71">
        <f t="shared" ref="BS98:CX98" si="463">(BS71-BN71)/(BS11-BN11)</f>
        <v>0</v>
      </c>
      <c r="BT98" s="71">
        <f t="shared" si="463"/>
        <v>0</v>
      </c>
      <c r="BU98" s="71">
        <f t="shared" si="463"/>
        <v>0</v>
      </c>
      <c r="BV98" s="72">
        <f t="shared" si="463"/>
        <v>0</v>
      </c>
      <c r="BW98" s="71">
        <f t="shared" si="463"/>
        <v>0</v>
      </c>
      <c r="BX98" s="71">
        <f t="shared" si="463"/>
        <v>0</v>
      </c>
      <c r="BY98" s="71">
        <f t="shared" si="463"/>
        <v>0</v>
      </c>
      <c r="BZ98" s="71">
        <f t="shared" si="463"/>
        <v>0</v>
      </c>
      <c r="CA98" s="72">
        <f t="shared" si="463"/>
        <v>0</v>
      </c>
      <c r="CB98" s="71">
        <f t="shared" si="463"/>
        <v>0</v>
      </c>
      <c r="CC98" s="71">
        <f t="shared" si="463"/>
        <v>0</v>
      </c>
      <c r="CD98" s="71">
        <f t="shared" si="463"/>
        <v>0</v>
      </c>
      <c r="CE98" s="71">
        <f t="shared" si="463"/>
        <v>0</v>
      </c>
      <c r="CF98" s="72">
        <f t="shared" si="463"/>
        <v>0</v>
      </c>
      <c r="CG98" s="71">
        <f t="shared" si="463"/>
        <v>0</v>
      </c>
      <c r="CH98" s="71">
        <f t="shared" si="463"/>
        <v>0</v>
      </c>
      <c r="CI98" s="71">
        <f t="shared" si="463"/>
        <v>0</v>
      </c>
      <c r="CJ98" s="71">
        <f t="shared" si="463"/>
        <v>0</v>
      </c>
      <c r="CK98" s="72">
        <f t="shared" si="463"/>
        <v>0</v>
      </c>
      <c r="CL98" s="71">
        <f t="shared" si="463"/>
        <v>-0.9726672950047125</v>
      </c>
      <c r="CM98" s="71">
        <f t="shared" si="463"/>
        <v>0.27283900040966819</v>
      </c>
      <c r="CN98" s="71">
        <f t="shared" si="463"/>
        <v>-0.40458372310570628</v>
      </c>
      <c r="CO98" s="71">
        <f t="shared" si="463"/>
        <v>-0.53618594823032273</v>
      </c>
      <c r="CP98" s="72">
        <f t="shared" si="463"/>
        <v>-0.29815478560998276</v>
      </c>
      <c r="CQ98" s="71">
        <f t="shared" si="463"/>
        <v>0.12309310889005787</v>
      </c>
      <c r="CR98" s="71">
        <f t="shared" si="463"/>
        <v>3.4736842105263159</v>
      </c>
      <c r="CS98" s="71">
        <f t="shared" si="463"/>
        <v>0.94351464435146448</v>
      </c>
      <c r="CT98" s="71">
        <f t="shared" si="463"/>
        <v>2.3829787234042552</v>
      </c>
      <c r="CU98" s="72">
        <f t="shared" si="463"/>
        <v>-3.2254098360655736</v>
      </c>
      <c r="CV98" s="71">
        <f t="shared" si="463"/>
        <v>-0.62684124386252049</v>
      </c>
      <c r="CW98" s="71">
        <f t="shared" si="463"/>
        <v>7.7639751552795025E-2</v>
      </c>
      <c r="CX98" s="71">
        <f t="shared" si="463"/>
        <v>-0.73221117061973984</v>
      </c>
      <c r="CY98" s="71">
        <f t="shared" ref="CY98:DO98" si="464">(CY71-CT71)/(CY11-CT11)</f>
        <v>-0.13624511082138202</v>
      </c>
      <c r="CZ98" s="72">
        <f t="shared" si="464"/>
        <v>-0.30569620253164559</v>
      </c>
      <c r="DA98" s="71">
        <f t="shared" si="464"/>
        <v>0.57697642163661578</v>
      </c>
      <c r="DB98" s="71">
        <f t="shared" si="464"/>
        <v>0.20617977528089887</v>
      </c>
      <c r="DC98" s="71">
        <f t="shared" si="464"/>
        <v>0.70330296127562641</v>
      </c>
      <c r="DD98" s="71">
        <f t="shared" si="464"/>
        <v>-3.3261802575107295E-2</v>
      </c>
      <c r="DE98" s="72">
        <f t="shared" si="464"/>
        <v>0.40659898477157358</v>
      </c>
      <c r="DF98" s="71">
        <f t="shared" si="464"/>
        <v>0.29388942774005822</v>
      </c>
      <c r="DG98" s="71">
        <f t="shared" si="464"/>
        <v>1.620253164556962</v>
      </c>
      <c r="DH98" s="71">
        <f t="shared" si="464"/>
        <v>0.46473029045643155</v>
      </c>
      <c r="DI98" s="71">
        <f t="shared" si="464"/>
        <v>0.49024024024024027</v>
      </c>
      <c r="DJ98" s="72">
        <f t="shared" si="464"/>
        <v>0.53527364757987983</v>
      </c>
      <c r="DK98" s="71">
        <f t="shared" si="464"/>
        <v>0.64432432432432429</v>
      </c>
      <c r="DL98" s="71">
        <f t="shared" si="464"/>
        <v>0.22821576763485477</v>
      </c>
      <c r="DM98" s="71">
        <f t="shared" si="464"/>
        <v>0.28786035658942344</v>
      </c>
      <c r="DN98" s="71">
        <f t="shared" si="464"/>
        <v>6.8718358132940222E-2</v>
      </c>
      <c r="DO98" s="72">
        <f t="shared" si="464"/>
        <v>0.2996693312918004</v>
      </c>
      <c r="DP98" s="71">
        <f t="shared" ref="DP98" si="465">(DP71-DK71)/(DP11-DK11)</f>
        <v>0.18742803329094163</v>
      </c>
      <c r="DQ98" s="71">
        <f t="shared" ref="DQ98" si="466">(DQ71-DL71)/(DQ11-DL11)</f>
        <v>0.19544154863078397</v>
      </c>
      <c r="DR98" s="71">
        <f t="shared" ref="DR98" si="467">(DR71-DM71)/(DR11-DM11)</f>
        <v>0.27941384302631644</v>
      </c>
      <c r="DS98" s="71">
        <f t="shared" ref="DS98" si="468">(DS71-DN71)/(DS11-DN11)</f>
        <v>0.33577182369116521</v>
      </c>
      <c r="DT98" s="72">
        <f t="shared" ref="DT98" si="469">(DT71-DO71)/(DT11-DO11)</f>
        <v>0.25524324431852741</v>
      </c>
      <c r="DU98" s="72">
        <f>(DU71-DT71)/(DU11-DT11)</f>
        <v>0.25048103444525621</v>
      </c>
      <c r="DV98" s="72">
        <f>(DV71-DU71)/(DV11-DU11)</f>
        <v>0.25617590091848808</v>
      </c>
    </row>
    <row r="99" spans="2:126" s="15" customFormat="1" hidden="1" outlineLevel="1">
      <c r="C99" s="16"/>
      <c r="D99" s="16"/>
      <c r="E99" s="16"/>
      <c r="F99" s="16"/>
      <c r="G99" s="16"/>
      <c r="H99" s="16"/>
      <c r="I99" s="16"/>
      <c r="J99" s="12"/>
      <c r="K99" s="12"/>
      <c r="L99" s="12"/>
      <c r="M99" s="12"/>
      <c r="N99" s="136"/>
      <c r="S99" s="136"/>
      <c r="X99" s="136"/>
      <c r="AC99" s="136"/>
      <c r="AH99" s="136"/>
      <c r="AM99" s="136"/>
      <c r="AR99" s="16"/>
      <c r="AW99" s="16"/>
      <c r="BB99" s="16"/>
      <c r="BG99" s="16"/>
      <c r="BL99" s="16"/>
      <c r="BQ99" s="16"/>
      <c r="BV99" s="16"/>
      <c r="CA99" s="16"/>
      <c r="CF99" s="16"/>
      <c r="CK99" s="16"/>
      <c r="CP99" s="16"/>
      <c r="CU99" s="16"/>
      <c r="CZ99" s="16"/>
      <c r="DE99" s="16"/>
      <c r="DJ99" s="16"/>
      <c r="DO99" s="16"/>
      <c r="DT99" s="16"/>
      <c r="DU99" s="16"/>
      <c r="DV99" s="16"/>
    </row>
    <row r="100" spans="2:126" s="15" customFormat="1" ht="12" hidden="1" outlineLevel="1">
      <c r="B100" s="189" t="s">
        <v>90</v>
      </c>
      <c r="C100" s="16"/>
      <c r="D100" s="16"/>
      <c r="E100" s="16"/>
      <c r="F100" s="16"/>
      <c r="G100" s="16"/>
      <c r="H100" s="16"/>
      <c r="I100" s="16"/>
      <c r="J100" s="12"/>
      <c r="K100" s="12"/>
      <c r="L100" s="12"/>
      <c r="M100" s="12"/>
      <c r="N100" s="136"/>
      <c r="S100" s="136"/>
      <c r="X100" s="136"/>
      <c r="AC100" s="136"/>
      <c r="AH100" s="136"/>
      <c r="AM100" s="136"/>
      <c r="AR100" s="16"/>
      <c r="AW100" s="16"/>
      <c r="BB100" s="16"/>
      <c r="BG100" s="16"/>
      <c r="BL100" s="16"/>
      <c r="BQ100" s="16"/>
      <c r="BV100" s="16"/>
      <c r="CA100" s="16"/>
      <c r="CF100" s="16"/>
      <c r="CK100" s="16"/>
      <c r="CP100" s="16"/>
      <c r="CU100" s="16"/>
      <c r="CZ100" s="16"/>
      <c r="DE100" s="16"/>
      <c r="DJ100" s="16"/>
      <c r="DO100" s="16"/>
      <c r="DT100" s="16"/>
      <c r="DU100" s="16"/>
      <c r="DV100" s="16"/>
    </row>
    <row r="101" spans="2:126" s="15" customFormat="1" hidden="1" outlineLevel="1">
      <c r="B101" s="221" t="s">
        <v>381</v>
      </c>
      <c r="C101" s="16"/>
      <c r="D101" s="16"/>
      <c r="E101" s="16"/>
      <c r="F101" s="16"/>
      <c r="G101" s="16"/>
      <c r="H101" s="16"/>
      <c r="I101" s="16"/>
      <c r="J101" s="12"/>
      <c r="K101" s="12"/>
      <c r="L101" s="12"/>
      <c r="M101" s="12"/>
      <c r="N101" s="136"/>
      <c r="O101" s="12"/>
      <c r="P101" s="12"/>
      <c r="Q101" s="12"/>
      <c r="R101" s="12"/>
      <c r="S101" s="136"/>
      <c r="T101" s="12"/>
      <c r="U101" s="12"/>
      <c r="V101" s="12"/>
      <c r="W101" s="12"/>
      <c r="X101" s="136"/>
      <c r="Y101" s="12"/>
      <c r="Z101" s="12"/>
      <c r="AA101" s="12"/>
      <c r="AB101" s="12"/>
      <c r="AC101" s="136"/>
      <c r="AD101" s="12"/>
      <c r="AE101" s="12"/>
      <c r="AF101" s="12"/>
      <c r="AG101" s="12"/>
      <c r="AH101" s="115"/>
      <c r="AI101" s="12"/>
      <c r="AJ101" s="12"/>
      <c r="AK101" s="12"/>
      <c r="AL101" s="12"/>
      <c r="AM101" s="115"/>
      <c r="AN101" s="91"/>
      <c r="AO101" s="91"/>
      <c r="AP101" s="91"/>
      <c r="AQ101" s="91"/>
      <c r="AR101" s="89"/>
      <c r="AS101" s="91"/>
      <c r="AT101" s="91"/>
      <c r="AU101" s="91"/>
      <c r="AV101" s="91"/>
      <c r="AW101" s="89"/>
      <c r="AX101" s="91"/>
      <c r="AY101" s="91"/>
      <c r="AZ101" s="91"/>
      <c r="BA101" s="91"/>
      <c r="BB101" s="89"/>
      <c r="BC101" s="91"/>
      <c r="BD101" s="91"/>
      <c r="BE101" s="91"/>
      <c r="BF101" s="91"/>
      <c r="BG101" s="89"/>
      <c r="BH101" s="91"/>
      <c r="BI101" s="91"/>
      <c r="BJ101" s="91"/>
      <c r="BK101" s="91"/>
      <c r="BL101" s="89"/>
      <c r="BM101" s="91"/>
      <c r="BN101" s="91"/>
      <c r="BO101" s="91"/>
      <c r="BP101" s="91"/>
      <c r="BQ101" s="89"/>
      <c r="BR101" s="91"/>
      <c r="BS101" s="91"/>
      <c r="BT101" s="91"/>
      <c r="BU101" s="91"/>
      <c r="BV101" s="89"/>
      <c r="BW101" s="91"/>
      <c r="BX101" s="91"/>
      <c r="BY101" s="91"/>
      <c r="BZ101" s="91"/>
      <c r="CA101" s="89"/>
      <c r="CB101" s="91"/>
      <c r="CC101" s="91"/>
      <c r="CD101" s="91"/>
      <c r="CE101" s="91"/>
      <c r="CF101" s="89"/>
      <c r="CG101" s="91"/>
      <c r="CH101" s="91"/>
      <c r="CI101" s="91"/>
      <c r="CJ101" s="91"/>
      <c r="CK101" s="89"/>
      <c r="CL101" s="91"/>
      <c r="CM101" s="91"/>
      <c r="CN101" s="91"/>
      <c r="CO101" s="91"/>
      <c r="CP101" s="89"/>
      <c r="CQ101" s="91"/>
      <c r="CR101" s="91"/>
      <c r="CS101" s="91"/>
      <c r="CT101" s="91"/>
      <c r="CU101" s="89"/>
      <c r="CV101" s="91"/>
      <c r="CW101" s="91"/>
      <c r="CX101" s="91"/>
      <c r="CY101" s="91"/>
      <c r="CZ101" s="89"/>
      <c r="DA101" s="91" t="e">
        <f t="shared" ref="DA101:DO104" si="470">DA63/CV63-1</f>
        <v>#DIV/0!</v>
      </c>
      <c r="DB101" s="91" t="e">
        <f t="shared" si="470"/>
        <v>#DIV/0!</v>
      </c>
      <c r="DC101" s="91" t="e">
        <f t="shared" si="470"/>
        <v>#DIV/0!</v>
      </c>
      <c r="DD101" s="91" t="e">
        <f t="shared" si="470"/>
        <v>#DIV/0!</v>
      </c>
      <c r="DE101" s="89" t="e">
        <f t="shared" si="470"/>
        <v>#DIV/0!</v>
      </c>
      <c r="DF101" s="91">
        <f t="shared" si="470"/>
        <v>0.16886326194398693</v>
      </c>
      <c r="DG101" s="91">
        <f t="shared" si="470"/>
        <v>0.20878329733621315</v>
      </c>
      <c r="DH101" s="91">
        <f t="shared" si="470"/>
        <v>0.16440129449838192</v>
      </c>
      <c r="DI101" s="91">
        <f t="shared" si="470"/>
        <v>0.44347826086956532</v>
      </c>
      <c r="DJ101" s="89">
        <f t="shared" si="470"/>
        <v>0.25022151337940812</v>
      </c>
      <c r="DK101" s="91">
        <f t="shared" si="470"/>
        <v>0.35306553911205074</v>
      </c>
      <c r="DL101" s="91">
        <f t="shared" si="470"/>
        <v>0.32936271590232291</v>
      </c>
      <c r="DM101" s="91">
        <f t="shared" si="470"/>
        <v>0.15380166759310732</v>
      </c>
      <c r="DN101" s="91">
        <f t="shared" si="470"/>
        <v>-4.3572752548656224E-2</v>
      </c>
      <c r="DO101" s="89">
        <f t="shared" si="470"/>
        <v>0.17528833451452863</v>
      </c>
      <c r="DP101" s="91">
        <f t="shared" ref="DP101:DP104" si="471">DP63/DK63-1</f>
        <v>0.16763002083333323</v>
      </c>
      <c r="DQ101" s="91">
        <f t="shared" ref="DQ101:DQ104" si="472">DQ63/DL63-1</f>
        <v>0.10184677419354848</v>
      </c>
      <c r="DR101" s="91">
        <f t="shared" ref="DR101:DR104" si="473">DR63/DM63-1</f>
        <v>0.17211538461538467</v>
      </c>
      <c r="DS101" s="91">
        <f t="shared" ref="DS101:DS104" si="474">DS63/DN63-1</f>
        <v>0.2025376000000001</v>
      </c>
      <c r="DT101" s="89">
        <f t="shared" ref="DT101:DT104" si="475">DT63/DO63-1</f>
        <v>0.15973415975321315</v>
      </c>
      <c r="DU101" s="89">
        <f t="shared" ref="DU101:DV104" si="476">DU63/DT63-1</f>
        <v>9.3611432783754722E-2</v>
      </c>
      <c r="DV101" s="89">
        <f t="shared" si="476"/>
        <v>7.8037593984962461E-2</v>
      </c>
    </row>
    <row r="102" spans="2:126" s="15" customFormat="1" hidden="1" outlineLevel="1">
      <c r="B102" s="317" t="s">
        <v>457</v>
      </c>
      <c r="C102" s="16"/>
      <c r="D102" s="16"/>
      <c r="E102" s="16"/>
      <c r="F102" s="16"/>
      <c r="G102" s="16"/>
      <c r="H102" s="16"/>
      <c r="I102" s="16"/>
      <c r="J102" s="12"/>
      <c r="K102" s="12"/>
      <c r="L102" s="12"/>
      <c r="M102" s="12"/>
      <c r="N102" s="136"/>
      <c r="O102" s="12"/>
      <c r="P102" s="12"/>
      <c r="Q102" s="12"/>
      <c r="R102" s="12"/>
      <c r="S102" s="136"/>
      <c r="T102" s="12"/>
      <c r="U102" s="12"/>
      <c r="V102" s="12"/>
      <c r="W102" s="12"/>
      <c r="X102" s="136"/>
      <c r="Y102" s="12"/>
      <c r="Z102" s="12"/>
      <c r="AA102" s="12"/>
      <c r="AB102" s="12"/>
      <c r="AC102" s="136"/>
      <c r="AD102" s="12"/>
      <c r="AE102" s="12"/>
      <c r="AF102" s="12"/>
      <c r="AG102" s="12"/>
      <c r="AH102" s="115"/>
      <c r="AI102" s="12"/>
      <c r="AJ102" s="12"/>
      <c r="AK102" s="12"/>
      <c r="AL102" s="12"/>
      <c r="AM102" s="115"/>
      <c r="AN102" s="91"/>
      <c r="AO102" s="91"/>
      <c r="AP102" s="91"/>
      <c r="AQ102" s="91"/>
      <c r="AR102" s="89"/>
      <c r="AS102" s="91"/>
      <c r="AT102" s="91"/>
      <c r="AU102" s="91"/>
      <c r="AV102" s="91"/>
      <c r="AW102" s="89"/>
      <c r="AX102" s="91"/>
      <c r="AY102" s="91"/>
      <c r="AZ102" s="91"/>
      <c r="BA102" s="91"/>
      <c r="BB102" s="89"/>
      <c r="BC102" s="91"/>
      <c r="BD102" s="91"/>
      <c r="BE102" s="91"/>
      <c r="BF102" s="91"/>
      <c r="BG102" s="89"/>
      <c r="BH102" s="91"/>
      <c r="BI102" s="91"/>
      <c r="BJ102" s="91"/>
      <c r="BK102" s="91"/>
      <c r="BL102" s="89"/>
      <c r="BM102" s="91"/>
      <c r="BN102" s="91"/>
      <c r="BO102" s="91"/>
      <c r="BP102" s="91"/>
      <c r="BQ102" s="89"/>
      <c r="BR102" s="91"/>
      <c r="BS102" s="91"/>
      <c r="BT102" s="91"/>
      <c r="BU102" s="91"/>
      <c r="BV102" s="89"/>
      <c r="BW102" s="91"/>
      <c r="BX102" s="91"/>
      <c r="BY102" s="91"/>
      <c r="BZ102" s="91"/>
      <c r="CA102" s="89"/>
      <c r="CB102" s="91"/>
      <c r="CC102" s="91"/>
      <c r="CD102" s="91"/>
      <c r="CE102" s="91"/>
      <c r="CF102" s="89"/>
      <c r="CG102" s="91"/>
      <c r="CH102" s="91"/>
      <c r="CI102" s="91"/>
      <c r="CJ102" s="91"/>
      <c r="CK102" s="89"/>
      <c r="CL102" s="91"/>
      <c r="CM102" s="91"/>
      <c r="CN102" s="91"/>
      <c r="CO102" s="91"/>
      <c r="CP102" s="89"/>
      <c r="CQ102" s="91"/>
      <c r="CR102" s="91"/>
      <c r="CS102" s="91"/>
      <c r="CT102" s="91"/>
      <c r="CU102" s="89"/>
      <c r="CV102" s="91"/>
      <c r="CW102" s="91"/>
      <c r="CX102" s="91"/>
      <c r="CY102" s="91"/>
      <c r="CZ102" s="89"/>
      <c r="DA102" s="91" t="e">
        <f t="shared" si="470"/>
        <v>#DIV/0!</v>
      </c>
      <c r="DB102" s="91" t="e">
        <f t="shared" si="470"/>
        <v>#DIV/0!</v>
      </c>
      <c r="DC102" s="91" t="e">
        <f t="shared" si="470"/>
        <v>#DIV/0!</v>
      </c>
      <c r="DD102" s="91" t="e">
        <f t="shared" si="470"/>
        <v>#DIV/0!</v>
      </c>
      <c r="DE102" s="89" t="e">
        <f t="shared" si="470"/>
        <v>#DIV/0!</v>
      </c>
      <c r="DF102" s="91">
        <f t="shared" si="470"/>
        <v>0.27363184079601988</v>
      </c>
      <c r="DG102" s="91">
        <f t="shared" si="470"/>
        <v>0.71144278606965172</v>
      </c>
      <c r="DH102" s="91">
        <f t="shared" si="470"/>
        <v>-0.18215613382899631</v>
      </c>
      <c r="DI102" s="91">
        <f t="shared" si="470"/>
        <v>1.6877637130801704E-2</v>
      </c>
      <c r="DJ102" s="89">
        <f t="shared" si="470"/>
        <v>0.16850220264317173</v>
      </c>
      <c r="DK102" s="91">
        <f t="shared" si="470"/>
        <v>0.15625</v>
      </c>
      <c r="DL102" s="91">
        <f t="shared" si="470"/>
        <v>5.232558139534893E-2</v>
      </c>
      <c r="DM102" s="91">
        <f t="shared" si="470"/>
        <v>0.34335309090909094</v>
      </c>
      <c r="DN102" s="91">
        <f t="shared" si="470"/>
        <v>0.34420414937759336</v>
      </c>
      <c r="DO102" s="89">
        <f t="shared" si="470"/>
        <v>0.20404418473138564</v>
      </c>
      <c r="DP102" s="91">
        <f t="shared" si="471"/>
        <v>3.402702702702598E-3</v>
      </c>
      <c r="DQ102" s="91">
        <f t="shared" si="472"/>
        <v>-7.0735497237569001E-2</v>
      </c>
      <c r="DR102" s="91">
        <f t="shared" si="473"/>
        <v>8.2622950819672081E-2</v>
      </c>
      <c r="DS102" s="91">
        <f t="shared" si="474"/>
        <v>0.22500000000000031</v>
      </c>
      <c r="DT102" s="89">
        <f t="shared" si="475"/>
        <v>5.6915173594037638E-2</v>
      </c>
      <c r="DU102" s="89">
        <f t="shared" si="476"/>
        <v>6.3545687696536346E-2</v>
      </c>
      <c r="DV102" s="89">
        <f t="shared" si="476"/>
        <v>4.3999999999999817E-2</v>
      </c>
    </row>
    <row r="103" spans="2:126" s="15" customFormat="1" hidden="1" outlineLevel="1">
      <c r="B103" s="317" t="s">
        <v>382</v>
      </c>
      <c r="C103" s="16"/>
      <c r="D103" s="16"/>
      <c r="E103" s="16"/>
      <c r="F103" s="16"/>
      <c r="G103" s="16"/>
      <c r="H103" s="16"/>
      <c r="I103" s="16"/>
      <c r="J103" s="12"/>
      <c r="K103" s="12"/>
      <c r="L103" s="12"/>
      <c r="M103" s="12"/>
      <c r="N103" s="136"/>
      <c r="S103" s="136"/>
      <c r="X103" s="136"/>
      <c r="AC103" s="136"/>
      <c r="AH103" s="115"/>
      <c r="AM103" s="115"/>
      <c r="AN103" s="91"/>
      <c r="AO103" s="90"/>
      <c r="AP103" s="90"/>
      <c r="AQ103" s="90"/>
      <c r="AR103" s="89"/>
      <c r="AS103" s="90"/>
      <c r="AT103" s="90"/>
      <c r="AU103" s="90"/>
      <c r="AV103" s="90"/>
      <c r="AW103" s="89"/>
      <c r="AX103" s="90"/>
      <c r="AY103" s="90"/>
      <c r="AZ103" s="90"/>
      <c r="BA103" s="90"/>
      <c r="BB103" s="89"/>
      <c r="BC103" s="90"/>
      <c r="BD103" s="90"/>
      <c r="BE103" s="90"/>
      <c r="BF103" s="90"/>
      <c r="BG103" s="89"/>
      <c r="BH103" s="90"/>
      <c r="BI103" s="90"/>
      <c r="BJ103" s="90"/>
      <c r="BK103" s="90"/>
      <c r="BL103" s="89"/>
      <c r="BM103" s="90"/>
      <c r="BN103" s="90"/>
      <c r="BO103" s="90"/>
      <c r="BP103" s="90"/>
      <c r="BQ103" s="89"/>
      <c r="BR103" s="90"/>
      <c r="BS103" s="90"/>
      <c r="BT103" s="90"/>
      <c r="BU103" s="90"/>
      <c r="BV103" s="89"/>
      <c r="BW103" s="90"/>
      <c r="BX103" s="90"/>
      <c r="BY103" s="90"/>
      <c r="BZ103" s="90"/>
      <c r="CA103" s="89"/>
      <c r="CB103" s="90"/>
      <c r="CC103" s="90"/>
      <c r="CD103" s="90"/>
      <c r="CE103" s="90"/>
      <c r="CF103" s="89"/>
      <c r="CG103" s="90"/>
      <c r="CH103" s="90"/>
      <c r="CI103" s="90"/>
      <c r="CJ103" s="90"/>
      <c r="CK103" s="89"/>
      <c r="CL103" s="90"/>
      <c r="CM103" s="90"/>
      <c r="CN103" s="90"/>
      <c r="CO103" s="90"/>
      <c r="CP103" s="89"/>
      <c r="CQ103" s="90"/>
      <c r="CR103" s="90"/>
      <c r="CS103" s="90"/>
      <c r="CT103" s="90"/>
      <c r="CU103" s="89"/>
      <c r="CV103" s="90"/>
      <c r="CW103" s="90"/>
      <c r="CX103" s="90"/>
      <c r="CY103" s="90"/>
      <c r="CZ103" s="89"/>
      <c r="DA103" s="90" t="e">
        <f t="shared" si="470"/>
        <v>#DIV/0!</v>
      </c>
      <c r="DB103" s="90" t="e">
        <f t="shared" si="470"/>
        <v>#DIV/0!</v>
      </c>
      <c r="DC103" s="90" t="e">
        <f t="shared" si="470"/>
        <v>#DIV/0!</v>
      </c>
      <c r="DD103" s="90" t="e">
        <f t="shared" si="470"/>
        <v>#DIV/0!</v>
      </c>
      <c r="DE103" s="89" t="e">
        <f t="shared" si="470"/>
        <v>#DIV/0!</v>
      </c>
      <c r="DF103" s="90" t="e">
        <f t="shared" si="470"/>
        <v>#DIV/0!</v>
      </c>
      <c r="DG103" s="90" t="e">
        <f t="shared" si="470"/>
        <v>#DIV/0!</v>
      </c>
      <c r="DH103" s="90" t="e">
        <f t="shared" si="470"/>
        <v>#DIV/0!</v>
      </c>
      <c r="DI103" s="90" t="e">
        <f t="shared" si="470"/>
        <v>#DIV/0!</v>
      </c>
      <c r="DJ103" s="89" t="e">
        <f t="shared" si="470"/>
        <v>#DIV/0!</v>
      </c>
      <c r="DK103" s="90" t="e">
        <f t="shared" si="470"/>
        <v>#DIV/0!</v>
      </c>
      <c r="DL103" s="90" t="e">
        <f t="shared" si="470"/>
        <v>#DIV/0!</v>
      </c>
      <c r="DM103" s="90" t="e">
        <f t="shared" si="470"/>
        <v>#DIV/0!</v>
      </c>
      <c r="DN103" s="90" t="e">
        <f t="shared" si="470"/>
        <v>#DIV/0!</v>
      </c>
      <c r="DO103" s="89" t="e">
        <f t="shared" si="470"/>
        <v>#DIV/0!</v>
      </c>
      <c r="DP103" s="90" t="e">
        <f t="shared" si="471"/>
        <v>#DIV/0!</v>
      </c>
      <c r="DQ103" s="90" t="e">
        <f t="shared" si="472"/>
        <v>#DIV/0!</v>
      </c>
      <c r="DR103" s="90" t="e">
        <f t="shared" si="473"/>
        <v>#DIV/0!</v>
      </c>
      <c r="DS103" s="90" t="e">
        <f t="shared" si="474"/>
        <v>#DIV/0!</v>
      </c>
      <c r="DT103" s="89" t="e">
        <f t="shared" si="475"/>
        <v>#DIV/0!</v>
      </c>
      <c r="DU103" s="89" t="e">
        <f t="shared" si="476"/>
        <v>#DIV/0!</v>
      </c>
      <c r="DV103" s="89" t="e">
        <f t="shared" si="476"/>
        <v>#DIV/0!</v>
      </c>
    </row>
    <row r="104" spans="2:126" s="15" customFormat="1" hidden="1" outlineLevel="1">
      <c r="B104" s="221" t="s">
        <v>383</v>
      </c>
      <c r="C104" s="16"/>
      <c r="D104" s="16"/>
      <c r="E104" s="16"/>
      <c r="F104" s="16"/>
      <c r="G104" s="16"/>
      <c r="H104" s="16"/>
      <c r="I104" s="16"/>
      <c r="J104" s="12"/>
      <c r="K104" s="12"/>
      <c r="L104" s="12"/>
      <c r="M104" s="12"/>
      <c r="N104" s="136"/>
      <c r="S104" s="136"/>
      <c r="X104" s="136"/>
      <c r="AC104" s="136"/>
      <c r="AH104" s="115"/>
      <c r="AM104" s="115"/>
      <c r="AN104" s="91"/>
      <c r="AO104" s="90"/>
      <c r="AP104" s="90"/>
      <c r="AQ104" s="90"/>
      <c r="AR104" s="89"/>
      <c r="AS104" s="90"/>
      <c r="AT104" s="90"/>
      <c r="AU104" s="90"/>
      <c r="AV104" s="90"/>
      <c r="AW104" s="89"/>
      <c r="AX104" s="90"/>
      <c r="AY104" s="90"/>
      <c r="AZ104" s="90"/>
      <c r="BA104" s="90"/>
      <c r="BB104" s="89"/>
      <c r="BC104" s="90"/>
      <c r="BD104" s="90"/>
      <c r="BE104" s="90"/>
      <c r="BF104" s="90"/>
      <c r="BG104" s="89"/>
      <c r="BH104" s="90"/>
      <c r="BI104" s="90"/>
      <c r="BJ104" s="90"/>
      <c r="BK104" s="90"/>
      <c r="BL104" s="89"/>
      <c r="BM104" s="90"/>
      <c r="BN104" s="90"/>
      <c r="BO104" s="90"/>
      <c r="BP104" s="90"/>
      <c r="BQ104" s="89"/>
      <c r="BR104" s="90"/>
      <c r="BS104" s="90"/>
      <c r="BT104" s="90"/>
      <c r="BU104" s="90"/>
      <c r="BV104" s="89"/>
      <c r="BW104" s="90"/>
      <c r="BX104" s="90"/>
      <c r="BY104" s="90"/>
      <c r="BZ104" s="90"/>
      <c r="CA104" s="89"/>
      <c r="CB104" s="90"/>
      <c r="CC104" s="90"/>
      <c r="CD104" s="90"/>
      <c r="CE104" s="90"/>
      <c r="CF104" s="89"/>
      <c r="CG104" s="90"/>
      <c r="CH104" s="90"/>
      <c r="CI104" s="90"/>
      <c r="CJ104" s="90"/>
      <c r="CK104" s="89"/>
      <c r="CL104" s="90"/>
      <c r="CM104" s="90"/>
      <c r="CN104" s="90"/>
      <c r="CO104" s="90"/>
      <c r="CP104" s="89"/>
      <c r="CQ104" s="90"/>
      <c r="CR104" s="90"/>
      <c r="CS104" s="90"/>
      <c r="CT104" s="90"/>
      <c r="CU104" s="89"/>
      <c r="CV104" s="90"/>
      <c r="CW104" s="90"/>
      <c r="CX104" s="90"/>
      <c r="CY104" s="90"/>
      <c r="CZ104" s="89"/>
      <c r="DA104" s="90" t="e">
        <f t="shared" si="470"/>
        <v>#DIV/0!</v>
      </c>
      <c r="DB104" s="90" t="e">
        <f t="shared" si="470"/>
        <v>#DIV/0!</v>
      </c>
      <c r="DC104" s="90" t="e">
        <f t="shared" si="470"/>
        <v>#DIV/0!</v>
      </c>
      <c r="DD104" s="90" t="e">
        <f t="shared" si="470"/>
        <v>#DIV/0!</v>
      </c>
      <c r="DE104" s="89" t="e">
        <f t="shared" si="470"/>
        <v>#DIV/0!</v>
      </c>
      <c r="DF104" s="90" t="e">
        <f t="shared" si="470"/>
        <v>#DIV/0!</v>
      </c>
      <c r="DG104" s="90" t="e">
        <f t="shared" si="470"/>
        <v>#DIV/0!</v>
      </c>
      <c r="DH104" s="90" t="e">
        <f t="shared" si="470"/>
        <v>#DIV/0!</v>
      </c>
      <c r="DI104" s="90" t="e">
        <f t="shared" si="470"/>
        <v>#DIV/0!</v>
      </c>
      <c r="DJ104" s="89" t="e">
        <f t="shared" si="470"/>
        <v>#DIV/0!</v>
      </c>
      <c r="DK104" s="90" t="e">
        <f t="shared" si="470"/>
        <v>#DIV/0!</v>
      </c>
      <c r="DL104" s="90" t="e">
        <f t="shared" si="470"/>
        <v>#DIV/0!</v>
      </c>
      <c r="DM104" s="90" t="e">
        <f t="shared" si="470"/>
        <v>#DIV/0!</v>
      </c>
      <c r="DN104" s="90" t="e">
        <f t="shared" si="470"/>
        <v>#DIV/0!</v>
      </c>
      <c r="DO104" s="89" t="e">
        <f t="shared" si="470"/>
        <v>#DIV/0!</v>
      </c>
      <c r="DP104" s="90" t="e">
        <f t="shared" si="471"/>
        <v>#DIV/0!</v>
      </c>
      <c r="DQ104" s="90" t="e">
        <f t="shared" si="472"/>
        <v>#DIV/0!</v>
      </c>
      <c r="DR104" s="90" t="e">
        <f t="shared" si="473"/>
        <v>#DIV/0!</v>
      </c>
      <c r="DS104" s="90" t="e">
        <f t="shared" si="474"/>
        <v>#DIV/0!</v>
      </c>
      <c r="DT104" s="89" t="e">
        <f t="shared" si="475"/>
        <v>#DIV/0!</v>
      </c>
      <c r="DU104" s="89" t="e">
        <f t="shared" si="476"/>
        <v>#DIV/0!</v>
      </c>
      <c r="DV104" s="89" t="e">
        <f t="shared" si="476"/>
        <v>#DIV/0!</v>
      </c>
    </row>
    <row r="105" spans="2:126" s="15" customFormat="1" hidden="1" outlineLevel="1">
      <c r="B105" s="85" t="s">
        <v>72</v>
      </c>
      <c r="C105" s="84"/>
      <c r="D105" s="84" t="str">
        <f t="shared" ref="D105:I105" si="477">IF(ISERROR(D67/C67-1),"",(D67/C67-1))</f>
        <v/>
      </c>
      <c r="E105" s="84" t="str">
        <f t="shared" si="477"/>
        <v/>
      </c>
      <c r="F105" s="84" t="str">
        <f t="shared" si="477"/>
        <v/>
      </c>
      <c r="G105" s="84" t="str">
        <f t="shared" si="477"/>
        <v/>
      </c>
      <c r="H105" s="84" t="str">
        <f t="shared" si="477"/>
        <v/>
      </c>
      <c r="I105" s="84" t="str">
        <f t="shared" si="477"/>
        <v/>
      </c>
      <c r="J105" s="83"/>
      <c r="K105" s="83"/>
      <c r="L105" s="83"/>
      <c r="M105" s="83"/>
      <c r="N105" s="265" t="str">
        <f t="shared" ref="N105:AS105" si="478">IF(ISERROR(N67/I67-1),"",(N67/I67-1))</f>
        <v/>
      </c>
      <c r="O105" s="83" t="str">
        <f t="shared" si="478"/>
        <v/>
      </c>
      <c r="P105" s="83" t="str">
        <f t="shared" si="478"/>
        <v/>
      </c>
      <c r="Q105" s="83" t="str">
        <f t="shared" si="478"/>
        <v/>
      </c>
      <c r="R105" s="83" t="str">
        <f t="shared" si="478"/>
        <v/>
      </c>
      <c r="S105" s="265" t="str">
        <f t="shared" si="478"/>
        <v/>
      </c>
      <c r="T105" s="83" t="str">
        <f t="shared" si="478"/>
        <v/>
      </c>
      <c r="U105" s="83" t="str">
        <f t="shared" si="478"/>
        <v/>
      </c>
      <c r="V105" s="83" t="str">
        <f t="shared" si="478"/>
        <v/>
      </c>
      <c r="W105" s="83" t="str">
        <f t="shared" si="478"/>
        <v/>
      </c>
      <c r="X105" s="265" t="str">
        <f t="shared" si="478"/>
        <v/>
      </c>
      <c r="Y105" s="83" t="str">
        <f t="shared" si="478"/>
        <v/>
      </c>
      <c r="Z105" s="83" t="str">
        <f t="shared" si="478"/>
        <v/>
      </c>
      <c r="AA105" s="83" t="str">
        <f t="shared" si="478"/>
        <v/>
      </c>
      <c r="AB105" s="83" t="str">
        <f t="shared" si="478"/>
        <v/>
      </c>
      <c r="AC105" s="265" t="str">
        <f t="shared" si="478"/>
        <v/>
      </c>
      <c r="AD105" s="83" t="str">
        <f t="shared" si="478"/>
        <v/>
      </c>
      <c r="AE105" s="83" t="str">
        <f t="shared" si="478"/>
        <v/>
      </c>
      <c r="AF105" s="83" t="str">
        <f t="shared" si="478"/>
        <v/>
      </c>
      <c r="AG105" s="83" t="str">
        <f t="shared" si="478"/>
        <v/>
      </c>
      <c r="AH105" s="265" t="str">
        <f t="shared" si="478"/>
        <v/>
      </c>
      <c r="AI105" s="83" t="str">
        <f t="shared" si="478"/>
        <v/>
      </c>
      <c r="AJ105" s="83" t="str">
        <f t="shared" si="478"/>
        <v/>
      </c>
      <c r="AK105" s="83" t="str">
        <f t="shared" si="478"/>
        <v/>
      </c>
      <c r="AL105" s="83" t="str">
        <f t="shared" si="478"/>
        <v/>
      </c>
      <c r="AM105" s="265" t="str">
        <f t="shared" si="478"/>
        <v/>
      </c>
      <c r="AN105" s="83" t="str">
        <f t="shared" si="478"/>
        <v/>
      </c>
      <c r="AO105" s="83" t="str">
        <f t="shared" si="478"/>
        <v/>
      </c>
      <c r="AP105" s="83" t="str">
        <f t="shared" si="478"/>
        <v/>
      </c>
      <c r="AQ105" s="83" t="str">
        <f t="shared" si="478"/>
        <v/>
      </c>
      <c r="AR105" s="265" t="str">
        <f t="shared" si="478"/>
        <v/>
      </c>
      <c r="AS105" s="83" t="str">
        <f t="shared" si="478"/>
        <v/>
      </c>
      <c r="AT105" s="83" t="str">
        <f t="shared" ref="AT105:BY105" si="479">IF(ISERROR(AT67/AO67-1),"",(AT67/AO67-1))</f>
        <v/>
      </c>
      <c r="AU105" s="83" t="str">
        <f t="shared" si="479"/>
        <v/>
      </c>
      <c r="AV105" s="83" t="str">
        <f t="shared" si="479"/>
        <v/>
      </c>
      <c r="AW105" s="265" t="str">
        <f t="shared" si="479"/>
        <v/>
      </c>
      <c r="AX105" s="83" t="str">
        <f t="shared" si="479"/>
        <v/>
      </c>
      <c r="AY105" s="83" t="str">
        <f t="shared" si="479"/>
        <v/>
      </c>
      <c r="AZ105" s="83" t="str">
        <f t="shared" si="479"/>
        <v/>
      </c>
      <c r="BA105" s="83" t="str">
        <f t="shared" si="479"/>
        <v/>
      </c>
      <c r="BB105" s="265" t="str">
        <f t="shared" si="479"/>
        <v/>
      </c>
      <c r="BC105" s="83" t="str">
        <f t="shared" si="479"/>
        <v/>
      </c>
      <c r="BD105" s="83" t="str">
        <f t="shared" si="479"/>
        <v/>
      </c>
      <c r="BE105" s="83" t="str">
        <f t="shared" si="479"/>
        <v/>
      </c>
      <c r="BF105" s="83" t="str">
        <f t="shared" si="479"/>
        <v/>
      </c>
      <c r="BG105" s="265" t="str">
        <f t="shared" si="479"/>
        <v/>
      </c>
      <c r="BH105" s="83" t="str">
        <f t="shared" si="479"/>
        <v/>
      </c>
      <c r="BI105" s="83" t="str">
        <f t="shared" si="479"/>
        <v/>
      </c>
      <c r="BJ105" s="83" t="str">
        <f t="shared" si="479"/>
        <v/>
      </c>
      <c r="BK105" s="83" t="str">
        <f t="shared" si="479"/>
        <v/>
      </c>
      <c r="BL105" s="265" t="str">
        <f t="shared" si="479"/>
        <v/>
      </c>
      <c r="BM105" s="83" t="str">
        <f t="shared" si="479"/>
        <v/>
      </c>
      <c r="BN105" s="83" t="str">
        <f t="shared" si="479"/>
        <v/>
      </c>
      <c r="BO105" s="83" t="str">
        <f t="shared" si="479"/>
        <v/>
      </c>
      <c r="BP105" s="83" t="str">
        <f t="shared" si="479"/>
        <v/>
      </c>
      <c r="BQ105" s="265" t="str">
        <f t="shared" si="479"/>
        <v/>
      </c>
      <c r="BR105" s="83" t="str">
        <f t="shared" si="479"/>
        <v/>
      </c>
      <c r="BS105" s="83" t="str">
        <f t="shared" si="479"/>
        <v/>
      </c>
      <c r="BT105" s="83" t="str">
        <f t="shared" si="479"/>
        <v/>
      </c>
      <c r="BU105" s="83" t="str">
        <f t="shared" si="479"/>
        <v/>
      </c>
      <c r="BV105" s="265" t="str">
        <f t="shared" si="479"/>
        <v/>
      </c>
      <c r="BW105" s="83" t="str">
        <f t="shared" si="479"/>
        <v/>
      </c>
      <c r="BX105" s="83" t="str">
        <f t="shared" si="479"/>
        <v/>
      </c>
      <c r="BY105" s="83" t="str">
        <f t="shared" si="479"/>
        <v/>
      </c>
      <c r="BZ105" s="83" t="str">
        <f t="shared" ref="BZ105:DE105" si="480">IF(ISERROR(BZ67/BU67-1),"",(BZ67/BU67-1))</f>
        <v/>
      </c>
      <c r="CA105" s="265" t="str">
        <f t="shared" si="480"/>
        <v/>
      </c>
      <c r="CB105" s="83" t="str">
        <f t="shared" si="480"/>
        <v/>
      </c>
      <c r="CC105" s="83" t="str">
        <f t="shared" si="480"/>
        <v/>
      </c>
      <c r="CD105" s="83" t="str">
        <f t="shared" si="480"/>
        <v/>
      </c>
      <c r="CE105" s="83" t="str">
        <f t="shared" si="480"/>
        <v/>
      </c>
      <c r="CF105" s="265" t="str">
        <f t="shared" si="480"/>
        <v/>
      </c>
      <c r="CG105" s="83" t="str">
        <f t="shared" si="480"/>
        <v/>
      </c>
      <c r="CH105" s="83" t="str">
        <f t="shared" si="480"/>
        <v/>
      </c>
      <c r="CI105" s="83" t="str">
        <f t="shared" si="480"/>
        <v/>
      </c>
      <c r="CJ105" s="83" t="str">
        <f t="shared" si="480"/>
        <v/>
      </c>
      <c r="CK105" s="265" t="str">
        <f t="shared" si="480"/>
        <v/>
      </c>
      <c r="CL105" s="83" t="str">
        <f t="shared" si="480"/>
        <v/>
      </c>
      <c r="CM105" s="83" t="str">
        <f t="shared" si="480"/>
        <v/>
      </c>
      <c r="CN105" s="83" t="str">
        <f t="shared" si="480"/>
        <v/>
      </c>
      <c r="CO105" s="83" t="str">
        <f t="shared" si="480"/>
        <v/>
      </c>
      <c r="CP105" s="265" t="str">
        <f t="shared" si="480"/>
        <v/>
      </c>
      <c r="CQ105" s="83">
        <f t="shared" si="480"/>
        <v>-0.3609172482552343</v>
      </c>
      <c r="CR105" s="83">
        <f t="shared" si="480"/>
        <v>-1.2561863173216885</v>
      </c>
      <c r="CS105" s="83">
        <f t="shared" si="480"/>
        <v>1.4171428571428573</v>
      </c>
      <c r="CT105" s="83">
        <f t="shared" si="480"/>
        <v>1.1651865008880993</v>
      </c>
      <c r="CU105" s="265">
        <f t="shared" si="480"/>
        <v>1.3449959316517495</v>
      </c>
      <c r="CV105" s="83">
        <f t="shared" si="480"/>
        <v>0.41653666146645874</v>
      </c>
      <c r="CW105" s="83">
        <f t="shared" si="480"/>
        <v>5.5227272727272725</v>
      </c>
      <c r="CX105" s="83">
        <f t="shared" si="480"/>
        <v>0.51773049645390068</v>
      </c>
      <c r="CY105" s="83">
        <f t="shared" si="480"/>
        <v>0.17719442165709598</v>
      </c>
      <c r="CZ105" s="265">
        <f t="shared" si="480"/>
        <v>0.65683553088133251</v>
      </c>
      <c r="DA105" s="83">
        <f t="shared" si="480"/>
        <v>0.55837004405286339</v>
      </c>
      <c r="DB105" s="83">
        <f t="shared" si="480"/>
        <v>0.38501742160278751</v>
      </c>
      <c r="DC105" s="83">
        <f t="shared" si="480"/>
        <v>0.41277258566978192</v>
      </c>
      <c r="DD105" s="83">
        <f t="shared" si="480"/>
        <v>0.20696864111498248</v>
      </c>
      <c r="DE105" s="265">
        <f t="shared" si="480"/>
        <v>0.37193717277486904</v>
      </c>
      <c r="DF105" s="83">
        <f t="shared" ref="DF105:DO105" si="481">IF(ISERROR(DF67/DA67-1),"",(DF67/DA67-1))</f>
        <v>0.18374558303886923</v>
      </c>
      <c r="DG105" s="83">
        <f t="shared" si="481"/>
        <v>0.27232704402515728</v>
      </c>
      <c r="DH105" s="83">
        <f t="shared" si="481"/>
        <v>0.11300992282249167</v>
      </c>
      <c r="DI105" s="83">
        <f t="shared" si="481"/>
        <v>0.38510392609699773</v>
      </c>
      <c r="DJ105" s="265">
        <f t="shared" si="481"/>
        <v>0.23889482521752403</v>
      </c>
      <c r="DK105" s="83">
        <f t="shared" si="481"/>
        <v>0.32298507462686565</v>
      </c>
      <c r="DL105" s="83">
        <f t="shared" si="481"/>
        <v>0.28225407810182901</v>
      </c>
      <c r="DM105" s="83">
        <f t="shared" si="481"/>
        <v>0.17445610698365543</v>
      </c>
      <c r="DN105" s="83">
        <f t="shared" si="481"/>
        <v>-4.6172571904961046E-3</v>
      </c>
      <c r="DO105" s="265">
        <f t="shared" si="481"/>
        <v>0.1790475702316412</v>
      </c>
      <c r="DP105" s="83">
        <f t="shared" ref="DP105" si="482">IF(ISERROR(DP67/DK67-1),"",(DP67/DK67-1))</f>
        <v>0.14569351985559553</v>
      </c>
      <c r="DQ105" s="83">
        <f t="shared" ref="DQ105" si="483">IF(ISERROR(DQ67/DL67-1),"",(DQ67/DL67-1))</f>
        <v>7.7762432536623072E-2</v>
      </c>
      <c r="DR105" s="83">
        <f t="shared" ref="DR105" si="484">IF(ISERROR(DR67/DM67-1),"",(DR67/DM67-1))</f>
        <v>0.16096150200524062</v>
      </c>
      <c r="DS105" s="83">
        <f t="shared" ref="DS105" si="485">IF(ISERROR(DS67/DN67-1),"",(DS67/DN67-1))</f>
        <v>0.20558492009793294</v>
      </c>
      <c r="DT105" s="265">
        <f t="shared" ref="DT105" si="486">IF(ISERROR(DT67/DO67-1),"",(DT67/DO67-1))</f>
        <v>0.14600772469774048</v>
      </c>
      <c r="DU105" s="265">
        <f>IF(ISERROR(DU67/DT67-1),"",(DU67/DT67-1))</f>
        <v>8.9909666450929571E-2</v>
      </c>
      <c r="DV105" s="265">
        <f>IF(ISERROR(DV67/DU67-1),"",(DV67/DU67-1))</f>
        <v>7.3948175738257849E-2</v>
      </c>
    </row>
    <row r="106" spans="2:126" s="15" customFormat="1" hidden="1" outlineLevel="1">
      <c r="B106" s="82" t="s">
        <v>74</v>
      </c>
      <c r="C106" s="81"/>
      <c r="D106" s="81" t="str">
        <f t="shared" ref="D106:I107" si="487">IF(ISERROR(D70/C70-1),"",(D70/C70-1))</f>
        <v/>
      </c>
      <c r="E106" s="81" t="str">
        <f t="shared" si="487"/>
        <v/>
      </c>
      <c r="F106" s="81" t="str">
        <f t="shared" si="487"/>
        <v/>
      </c>
      <c r="G106" s="81" t="str">
        <f t="shared" si="487"/>
        <v/>
      </c>
      <c r="H106" s="81" t="str">
        <f t="shared" si="487"/>
        <v/>
      </c>
      <c r="I106" s="81" t="str">
        <f t="shared" si="487"/>
        <v/>
      </c>
      <c r="J106" s="80"/>
      <c r="K106" s="80"/>
      <c r="L106" s="80"/>
      <c r="M106" s="80"/>
      <c r="N106" s="266" t="str">
        <f t="shared" ref="N106:W107" si="488">IF(ISERROR(N70/I70-1),"",(N70/I70-1))</f>
        <v/>
      </c>
      <c r="O106" s="80" t="str">
        <f t="shared" si="488"/>
        <v/>
      </c>
      <c r="P106" s="80" t="str">
        <f t="shared" si="488"/>
        <v/>
      </c>
      <c r="Q106" s="80" t="str">
        <f t="shared" si="488"/>
        <v/>
      </c>
      <c r="R106" s="80" t="str">
        <f t="shared" si="488"/>
        <v/>
      </c>
      <c r="S106" s="266" t="str">
        <f t="shared" si="488"/>
        <v/>
      </c>
      <c r="T106" s="80" t="str">
        <f t="shared" si="488"/>
        <v/>
      </c>
      <c r="U106" s="80" t="str">
        <f t="shared" si="488"/>
        <v/>
      </c>
      <c r="V106" s="80" t="str">
        <f t="shared" si="488"/>
        <v/>
      </c>
      <c r="W106" s="80" t="str">
        <f t="shared" si="488"/>
        <v/>
      </c>
      <c r="X106" s="266" t="str">
        <f t="shared" ref="X106:AG107" si="489">IF(ISERROR(X70/S70-1),"",(X70/S70-1))</f>
        <v/>
      </c>
      <c r="Y106" s="80" t="str">
        <f t="shared" si="489"/>
        <v/>
      </c>
      <c r="Z106" s="80" t="str">
        <f t="shared" si="489"/>
        <v/>
      </c>
      <c r="AA106" s="80" t="str">
        <f t="shared" si="489"/>
        <v/>
      </c>
      <c r="AB106" s="80" t="str">
        <f t="shared" si="489"/>
        <v/>
      </c>
      <c r="AC106" s="266" t="str">
        <f t="shared" si="489"/>
        <v/>
      </c>
      <c r="AD106" s="80" t="str">
        <f t="shared" si="489"/>
        <v/>
      </c>
      <c r="AE106" s="80" t="str">
        <f t="shared" si="489"/>
        <v/>
      </c>
      <c r="AF106" s="80" t="str">
        <f t="shared" si="489"/>
        <v/>
      </c>
      <c r="AG106" s="80" t="str">
        <f t="shared" si="489"/>
        <v/>
      </c>
      <c r="AH106" s="266" t="str">
        <f t="shared" ref="AH106:AQ107" si="490">IF(ISERROR(AH70/AC70-1),"",(AH70/AC70-1))</f>
        <v/>
      </c>
      <c r="AI106" s="80" t="str">
        <f t="shared" si="490"/>
        <v/>
      </c>
      <c r="AJ106" s="80" t="str">
        <f t="shared" si="490"/>
        <v/>
      </c>
      <c r="AK106" s="80" t="str">
        <f t="shared" si="490"/>
        <v/>
      </c>
      <c r="AL106" s="80" t="str">
        <f t="shared" si="490"/>
        <v/>
      </c>
      <c r="AM106" s="266" t="str">
        <f t="shared" si="490"/>
        <v/>
      </c>
      <c r="AN106" s="80" t="str">
        <f t="shared" si="490"/>
        <v/>
      </c>
      <c r="AO106" s="80" t="str">
        <f t="shared" si="490"/>
        <v/>
      </c>
      <c r="AP106" s="80" t="str">
        <f t="shared" si="490"/>
        <v/>
      </c>
      <c r="AQ106" s="80" t="str">
        <f t="shared" si="490"/>
        <v/>
      </c>
      <c r="AR106" s="266" t="str">
        <f t="shared" ref="AR106:BA107" si="491">IF(ISERROR(AR70/AM70-1),"",(AR70/AM70-1))</f>
        <v/>
      </c>
      <c r="AS106" s="80" t="str">
        <f t="shared" si="491"/>
        <v/>
      </c>
      <c r="AT106" s="80" t="str">
        <f t="shared" si="491"/>
        <v/>
      </c>
      <c r="AU106" s="80" t="str">
        <f t="shared" si="491"/>
        <v/>
      </c>
      <c r="AV106" s="80" t="str">
        <f t="shared" si="491"/>
        <v/>
      </c>
      <c r="AW106" s="266" t="str">
        <f t="shared" si="491"/>
        <v/>
      </c>
      <c r="AX106" s="80" t="str">
        <f t="shared" si="491"/>
        <v/>
      </c>
      <c r="AY106" s="80" t="str">
        <f t="shared" si="491"/>
        <v/>
      </c>
      <c r="AZ106" s="80" t="str">
        <f t="shared" si="491"/>
        <v/>
      </c>
      <c r="BA106" s="80" t="str">
        <f t="shared" si="491"/>
        <v/>
      </c>
      <c r="BB106" s="266" t="str">
        <f t="shared" ref="BB106:BK107" si="492">IF(ISERROR(BB70/AW70-1),"",(BB70/AW70-1))</f>
        <v/>
      </c>
      <c r="BC106" s="80" t="str">
        <f t="shared" si="492"/>
        <v/>
      </c>
      <c r="BD106" s="80" t="str">
        <f t="shared" si="492"/>
        <v/>
      </c>
      <c r="BE106" s="80" t="str">
        <f t="shared" si="492"/>
        <v/>
      </c>
      <c r="BF106" s="80" t="str">
        <f t="shared" si="492"/>
        <v/>
      </c>
      <c r="BG106" s="266" t="str">
        <f t="shared" si="492"/>
        <v/>
      </c>
      <c r="BH106" s="80" t="str">
        <f t="shared" si="492"/>
        <v/>
      </c>
      <c r="BI106" s="80" t="str">
        <f t="shared" si="492"/>
        <v/>
      </c>
      <c r="BJ106" s="80" t="str">
        <f t="shared" si="492"/>
        <v/>
      </c>
      <c r="BK106" s="80" t="str">
        <f t="shared" si="492"/>
        <v/>
      </c>
      <c r="BL106" s="266" t="str">
        <f t="shared" ref="BL106:BU107" si="493">IF(ISERROR(BL70/BG70-1),"",(BL70/BG70-1))</f>
        <v/>
      </c>
      <c r="BM106" s="80" t="str">
        <f t="shared" si="493"/>
        <v/>
      </c>
      <c r="BN106" s="80" t="str">
        <f t="shared" si="493"/>
        <v/>
      </c>
      <c r="BO106" s="80" t="str">
        <f t="shared" si="493"/>
        <v/>
      </c>
      <c r="BP106" s="80" t="str">
        <f t="shared" si="493"/>
        <v/>
      </c>
      <c r="BQ106" s="266" t="str">
        <f t="shared" si="493"/>
        <v/>
      </c>
      <c r="BR106" s="80" t="str">
        <f t="shared" si="493"/>
        <v/>
      </c>
      <c r="BS106" s="80" t="str">
        <f t="shared" si="493"/>
        <v/>
      </c>
      <c r="BT106" s="80" t="str">
        <f t="shared" si="493"/>
        <v/>
      </c>
      <c r="BU106" s="80" t="str">
        <f t="shared" si="493"/>
        <v/>
      </c>
      <c r="BV106" s="266" t="str">
        <f t="shared" ref="BV106:CE107" si="494">IF(ISERROR(BV70/BQ70-1),"",(BV70/BQ70-1))</f>
        <v/>
      </c>
      <c r="BW106" s="80" t="str">
        <f t="shared" si="494"/>
        <v/>
      </c>
      <c r="BX106" s="80" t="str">
        <f t="shared" si="494"/>
        <v/>
      </c>
      <c r="BY106" s="80" t="str">
        <f t="shared" si="494"/>
        <v/>
      </c>
      <c r="BZ106" s="80" t="str">
        <f t="shared" si="494"/>
        <v/>
      </c>
      <c r="CA106" s="266" t="str">
        <f t="shared" si="494"/>
        <v/>
      </c>
      <c r="CB106" s="80" t="str">
        <f t="shared" si="494"/>
        <v/>
      </c>
      <c r="CC106" s="80" t="str">
        <f t="shared" si="494"/>
        <v/>
      </c>
      <c r="CD106" s="80" t="str">
        <f t="shared" si="494"/>
        <v/>
      </c>
      <c r="CE106" s="80" t="str">
        <f t="shared" si="494"/>
        <v/>
      </c>
      <c r="CF106" s="266" t="str">
        <f t="shared" ref="CF106:CO107" si="495">IF(ISERROR(CF70/CA70-1),"",(CF70/CA70-1))</f>
        <v/>
      </c>
      <c r="CG106" s="80" t="str">
        <f t="shared" si="495"/>
        <v/>
      </c>
      <c r="CH106" s="80" t="str">
        <f t="shared" si="495"/>
        <v/>
      </c>
      <c r="CI106" s="80" t="str">
        <f t="shared" si="495"/>
        <v/>
      </c>
      <c r="CJ106" s="80" t="str">
        <f t="shared" si="495"/>
        <v/>
      </c>
      <c r="CK106" s="266" t="str">
        <f t="shared" si="495"/>
        <v/>
      </c>
      <c r="CL106" s="80" t="str">
        <f t="shared" si="495"/>
        <v/>
      </c>
      <c r="CM106" s="80" t="str">
        <f t="shared" si="495"/>
        <v/>
      </c>
      <c r="CN106" s="80" t="str">
        <f t="shared" si="495"/>
        <v/>
      </c>
      <c r="CO106" s="80" t="str">
        <f t="shared" si="495"/>
        <v/>
      </c>
      <c r="CP106" s="266" t="str">
        <f t="shared" ref="CP106:CY107" si="496">IF(ISERROR(CP70/CK70-1),"",(CP70/CK70-1))</f>
        <v/>
      </c>
      <c r="CQ106" s="80">
        <f t="shared" si="496"/>
        <v>4.4137931034482758</v>
      </c>
      <c r="CR106" s="80">
        <f t="shared" si="496"/>
        <v>34.333333333333336</v>
      </c>
      <c r="CS106" s="80">
        <f t="shared" si="496"/>
        <v>-8.737864077669899E-2</v>
      </c>
      <c r="CT106" s="80">
        <f t="shared" si="496"/>
        <v>-0.21238938053097345</v>
      </c>
      <c r="CU106" s="266">
        <f t="shared" si="496"/>
        <v>0.69616519174041303</v>
      </c>
      <c r="CV106" s="80">
        <f t="shared" si="496"/>
        <v>-4.1401273885350314</v>
      </c>
      <c r="CW106" s="80">
        <f t="shared" si="496"/>
        <v>-1.1752021563342319</v>
      </c>
      <c r="CX106" s="80">
        <f t="shared" si="496"/>
        <v>-2.9680851063829787</v>
      </c>
      <c r="CY106" s="80">
        <f t="shared" si="496"/>
        <v>-1.1938202247191012</v>
      </c>
      <c r="CZ106" s="266">
        <f t="shared" ref="CZ106:DI107" si="497">IF(ISERROR(CZ70/CU70-1),"",(CZ70/CU70-1))</f>
        <v>-1.9373913043478261</v>
      </c>
      <c r="DA106" s="80">
        <f t="shared" si="497"/>
        <v>-0.65922920892494929</v>
      </c>
      <c r="DB106" s="80">
        <f t="shared" si="497"/>
        <v>0.57692307692307687</v>
      </c>
      <c r="DC106" s="80">
        <f t="shared" si="497"/>
        <v>-0.76216216216216215</v>
      </c>
      <c r="DD106" s="80">
        <f t="shared" si="497"/>
        <v>4.7536231884057969</v>
      </c>
      <c r="DE106" s="266">
        <f t="shared" si="497"/>
        <v>-0.38775510204081631</v>
      </c>
      <c r="DF106" s="80">
        <f t="shared" si="497"/>
        <v>-0.25595238095238093</v>
      </c>
      <c r="DG106" s="80">
        <f t="shared" si="497"/>
        <v>-0.38536585365853659</v>
      </c>
      <c r="DH106" s="80">
        <f t="shared" si="497"/>
        <v>-8.6363636363636309E-2</v>
      </c>
      <c r="DI106" s="80">
        <f t="shared" si="497"/>
        <v>3.5264483627204024E-2</v>
      </c>
      <c r="DJ106" s="266">
        <f t="shared" ref="DJ106:DO107" si="498">IF(ISERROR(DJ70/DE70-1),"",(DJ70/DE70-1))</f>
        <v>-0.12828282828282833</v>
      </c>
      <c r="DK106" s="80">
        <f t="shared" si="498"/>
        <v>-0.43999999999999995</v>
      </c>
      <c r="DL106" s="80">
        <f t="shared" si="498"/>
        <v>1.0396825396825395</v>
      </c>
      <c r="DM106" s="80">
        <f t="shared" si="498"/>
        <v>0.14427860696517403</v>
      </c>
      <c r="DN106" s="80">
        <f t="shared" si="498"/>
        <v>-0.14841849148418496</v>
      </c>
      <c r="DO106" s="266">
        <f t="shared" si="498"/>
        <v>5.0984936268829717E-2</v>
      </c>
      <c r="DP106" s="80">
        <f t="shared" ref="DP106:DP107" si="499">IF(ISERROR(DP70/DK70-1),"",(DP70/DK70-1))</f>
        <v>1.2857142857142856</v>
      </c>
      <c r="DQ106" s="80">
        <f t="shared" ref="DQ106:DQ107" si="500">IF(ISERROR(DQ70/DL70-1),"",(DQ70/DL70-1))</f>
        <v>-0.22178988326848248</v>
      </c>
      <c r="DR106" s="80">
        <f t="shared" ref="DR106:DR107" si="501">IF(ISERROR(DR70/DM70-1),"",(DR70/DM70-1))</f>
        <v>8.6956521739130377E-2</v>
      </c>
      <c r="DS106" s="80">
        <f t="shared" ref="DS106:DS107" si="502">IF(ISERROR(DS70/DN70-1),"",(DS70/DN70-1))</f>
        <v>-0.17142857142857137</v>
      </c>
      <c r="DT106" s="266">
        <f t="shared" ref="DT106:DT107" si="503">IF(ISERROR(DT70/DO70-1),"",(DT70/DO70-1))</f>
        <v>-7.717750826901848E-3</v>
      </c>
      <c r="DU106" s="266">
        <f t="shared" ref="DU106:DV107" si="504">IF(ISERROR(DU70/DT70-1),"",(DU70/DT70-1))</f>
        <v>1.6666666666666607E-2</v>
      </c>
      <c r="DV106" s="266">
        <f t="shared" si="504"/>
        <v>1.6393442622950838E-2</v>
      </c>
    </row>
    <row r="107" spans="2:126" s="15" customFormat="1" ht="12" hidden="1" outlineLevel="1">
      <c r="B107" s="171" t="s">
        <v>75</v>
      </c>
      <c r="C107" s="166"/>
      <c r="D107" s="166" t="str">
        <f t="shared" si="487"/>
        <v/>
      </c>
      <c r="E107" s="166" t="str">
        <f t="shared" si="487"/>
        <v/>
      </c>
      <c r="F107" s="166" t="str">
        <f t="shared" si="487"/>
        <v/>
      </c>
      <c r="G107" s="166" t="str">
        <f t="shared" si="487"/>
        <v/>
      </c>
      <c r="H107" s="166" t="str">
        <f t="shared" si="487"/>
        <v/>
      </c>
      <c r="I107" s="166" t="str">
        <f t="shared" si="487"/>
        <v/>
      </c>
      <c r="J107" s="167"/>
      <c r="K107" s="167"/>
      <c r="L107" s="167"/>
      <c r="M107" s="167"/>
      <c r="N107" s="168" t="str">
        <f t="shared" si="488"/>
        <v/>
      </c>
      <c r="O107" s="167" t="str">
        <f t="shared" si="488"/>
        <v/>
      </c>
      <c r="P107" s="167" t="str">
        <f t="shared" si="488"/>
        <v/>
      </c>
      <c r="Q107" s="167" t="str">
        <f t="shared" si="488"/>
        <v/>
      </c>
      <c r="R107" s="167" t="str">
        <f t="shared" si="488"/>
        <v/>
      </c>
      <c r="S107" s="168" t="str">
        <f t="shared" si="488"/>
        <v/>
      </c>
      <c r="T107" s="167" t="str">
        <f t="shared" si="488"/>
        <v/>
      </c>
      <c r="U107" s="167" t="str">
        <f t="shared" si="488"/>
        <v/>
      </c>
      <c r="V107" s="167" t="str">
        <f t="shared" si="488"/>
        <v/>
      </c>
      <c r="W107" s="167" t="str">
        <f t="shared" si="488"/>
        <v/>
      </c>
      <c r="X107" s="168" t="str">
        <f t="shared" si="489"/>
        <v/>
      </c>
      <c r="Y107" s="167" t="str">
        <f t="shared" si="489"/>
        <v/>
      </c>
      <c r="Z107" s="167" t="str">
        <f t="shared" si="489"/>
        <v/>
      </c>
      <c r="AA107" s="167" t="str">
        <f t="shared" si="489"/>
        <v/>
      </c>
      <c r="AB107" s="167" t="str">
        <f t="shared" si="489"/>
        <v/>
      </c>
      <c r="AC107" s="168" t="str">
        <f t="shared" si="489"/>
        <v/>
      </c>
      <c r="AD107" s="167" t="str">
        <f t="shared" si="489"/>
        <v/>
      </c>
      <c r="AE107" s="167" t="str">
        <f t="shared" si="489"/>
        <v/>
      </c>
      <c r="AF107" s="167" t="str">
        <f t="shared" si="489"/>
        <v/>
      </c>
      <c r="AG107" s="167" t="str">
        <f t="shared" si="489"/>
        <v/>
      </c>
      <c r="AH107" s="168" t="str">
        <f t="shared" si="490"/>
        <v/>
      </c>
      <c r="AI107" s="167" t="str">
        <f t="shared" si="490"/>
        <v/>
      </c>
      <c r="AJ107" s="167" t="str">
        <f t="shared" si="490"/>
        <v/>
      </c>
      <c r="AK107" s="167" t="str">
        <f t="shared" si="490"/>
        <v/>
      </c>
      <c r="AL107" s="167" t="str">
        <f t="shared" si="490"/>
        <v/>
      </c>
      <c r="AM107" s="168" t="str">
        <f t="shared" si="490"/>
        <v/>
      </c>
      <c r="AN107" s="167" t="str">
        <f t="shared" si="490"/>
        <v/>
      </c>
      <c r="AO107" s="167" t="str">
        <f t="shared" si="490"/>
        <v/>
      </c>
      <c r="AP107" s="167" t="str">
        <f t="shared" si="490"/>
        <v/>
      </c>
      <c r="AQ107" s="167" t="str">
        <f t="shared" si="490"/>
        <v/>
      </c>
      <c r="AR107" s="168" t="str">
        <f t="shared" si="491"/>
        <v/>
      </c>
      <c r="AS107" s="167" t="str">
        <f t="shared" si="491"/>
        <v/>
      </c>
      <c r="AT107" s="167" t="str">
        <f t="shared" si="491"/>
        <v/>
      </c>
      <c r="AU107" s="167" t="str">
        <f t="shared" si="491"/>
        <v/>
      </c>
      <c r="AV107" s="167" t="str">
        <f t="shared" si="491"/>
        <v/>
      </c>
      <c r="AW107" s="168" t="str">
        <f t="shared" si="491"/>
        <v/>
      </c>
      <c r="AX107" s="167" t="str">
        <f t="shared" si="491"/>
        <v/>
      </c>
      <c r="AY107" s="167" t="str">
        <f t="shared" si="491"/>
        <v/>
      </c>
      <c r="AZ107" s="167" t="str">
        <f t="shared" si="491"/>
        <v/>
      </c>
      <c r="BA107" s="167" t="str">
        <f t="shared" si="491"/>
        <v/>
      </c>
      <c r="BB107" s="168" t="str">
        <f t="shared" si="492"/>
        <v/>
      </c>
      <c r="BC107" s="167" t="str">
        <f t="shared" si="492"/>
        <v/>
      </c>
      <c r="BD107" s="167" t="str">
        <f t="shared" si="492"/>
        <v/>
      </c>
      <c r="BE107" s="167" t="str">
        <f t="shared" si="492"/>
        <v/>
      </c>
      <c r="BF107" s="167" t="str">
        <f t="shared" si="492"/>
        <v/>
      </c>
      <c r="BG107" s="168" t="str">
        <f t="shared" si="492"/>
        <v/>
      </c>
      <c r="BH107" s="167" t="str">
        <f t="shared" si="492"/>
        <v/>
      </c>
      <c r="BI107" s="167" t="str">
        <f t="shared" si="492"/>
        <v/>
      </c>
      <c r="BJ107" s="167" t="str">
        <f t="shared" si="492"/>
        <v/>
      </c>
      <c r="BK107" s="167" t="str">
        <f t="shared" si="492"/>
        <v/>
      </c>
      <c r="BL107" s="168" t="str">
        <f t="shared" si="493"/>
        <v/>
      </c>
      <c r="BM107" s="167" t="str">
        <f t="shared" si="493"/>
        <v/>
      </c>
      <c r="BN107" s="167" t="str">
        <f t="shared" si="493"/>
        <v/>
      </c>
      <c r="BO107" s="167" t="str">
        <f t="shared" si="493"/>
        <v/>
      </c>
      <c r="BP107" s="167" t="str">
        <f t="shared" si="493"/>
        <v/>
      </c>
      <c r="BQ107" s="168" t="str">
        <f t="shared" si="493"/>
        <v/>
      </c>
      <c r="BR107" s="167" t="str">
        <f t="shared" si="493"/>
        <v/>
      </c>
      <c r="BS107" s="167" t="str">
        <f t="shared" si="493"/>
        <v/>
      </c>
      <c r="BT107" s="167" t="str">
        <f t="shared" si="493"/>
        <v/>
      </c>
      <c r="BU107" s="167" t="str">
        <f t="shared" si="493"/>
        <v/>
      </c>
      <c r="BV107" s="168" t="str">
        <f t="shared" si="494"/>
        <v/>
      </c>
      <c r="BW107" s="167" t="str">
        <f t="shared" si="494"/>
        <v/>
      </c>
      <c r="BX107" s="167" t="str">
        <f t="shared" si="494"/>
        <v/>
      </c>
      <c r="BY107" s="167" t="str">
        <f t="shared" si="494"/>
        <v/>
      </c>
      <c r="BZ107" s="167" t="str">
        <f t="shared" si="494"/>
        <v/>
      </c>
      <c r="CA107" s="168" t="str">
        <f t="shared" si="494"/>
        <v/>
      </c>
      <c r="CB107" s="167" t="str">
        <f t="shared" si="494"/>
        <v/>
      </c>
      <c r="CC107" s="167" t="str">
        <f t="shared" si="494"/>
        <v/>
      </c>
      <c r="CD107" s="167" t="str">
        <f t="shared" si="494"/>
        <v/>
      </c>
      <c r="CE107" s="167" t="str">
        <f t="shared" si="494"/>
        <v/>
      </c>
      <c r="CF107" s="168" t="str">
        <f t="shared" si="495"/>
        <v/>
      </c>
      <c r="CG107" s="167" t="str">
        <f t="shared" si="495"/>
        <v/>
      </c>
      <c r="CH107" s="167" t="str">
        <f t="shared" si="495"/>
        <v/>
      </c>
      <c r="CI107" s="167" t="str">
        <f t="shared" si="495"/>
        <v/>
      </c>
      <c r="CJ107" s="167" t="str">
        <f t="shared" si="495"/>
        <v/>
      </c>
      <c r="CK107" s="168" t="str">
        <f t="shared" si="495"/>
        <v/>
      </c>
      <c r="CL107" s="167" t="str">
        <f t="shared" si="495"/>
        <v/>
      </c>
      <c r="CM107" s="167" t="str">
        <f t="shared" si="495"/>
        <v/>
      </c>
      <c r="CN107" s="167" t="str">
        <f t="shared" si="495"/>
        <v/>
      </c>
      <c r="CO107" s="167" t="str">
        <f t="shared" si="495"/>
        <v/>
      </c>
      <c r="CP107" s="168" t="str">
        <f t="shared" si="496"/>
        <v/>
      </c>
      <c r="CQ107" s="167">
        <f t="shared" si="496"/>
        <v>-0.22674418604651159</v>
      </c>
      <c r="CR107" s="167">
        <f t="shared" si="496"/>
        <v>-2.3783783783783781</v>
      </c>
      <c r="CS107" s="167">
        <f t="shared" si="496"/>
        <v>0.52138728323699413</v>
      </c>
      <c r="CT107" s="167">
        <f t="shared" si="496"/>
        <v>0.55172413793103448</v>
      </c>
      <c r="CU107" s="168">
        <f t="shared" si="496"/>
        <v>1.0512021371326803</v>
      </c>
      <c r="CV107" s="167">
        <f t="shared" si="496"/>
        <v>-0.47994987468671679</v>
      </c>
      <c r="CW107" s="167">
        <f t="shared" si="496"/>
        <v>0.10893246187363825</v>
      </c>
      <c r="CX107" s="167">
        <f t="shared" si="496"/>
        <v>-0.72720364741641341</v>
      </c>
      <c r="CY107" s="167">
        <f t="shared" si="496"/>
        <v>-0.13269841269841265</v>
      </c>
      <c r="CZ107" s="168">
        <f t="shared" si="497"/>
        <v>-0.31452138050792278</v>
      </c>
      <c r="DA107" s="167">
        <f t="shared" si="497"/>
        <v>2.0048192771084339</v>
      </c>
      <c r="DB107" s="167">
        <f t="shared" si="497"/>
        <v>0.36051080550098225</v>
      </c>
      <c r="DC107" s="167">
        <f t="shared" si="497"/>
        <v>3.4401114206128129</v>
      </c>
      <c r="DD107" s="167">
        <f t="shared" si="497"/>
        <v>-2.2693997071742356E-2</v>
      </c>
      <c r="DE107" s="168">
        <f t="shared" si="497"/>
        <v>0.76092463584547176</v>
      </c>
      <c r="DF107" s="167">
        <f t="shared" si="497"/>
        <v>0.24298315958299921</v>
      </c>
      <c r="DG107" s="167">
        <f t="shared" si="497"/>
        <v>0.36967509025270751</v>
      </c>
      <c r="DH107" s="167">
        <f t="shared" si="497"/>
        <v>0.14052697616060228</v>
      </c>
      <c r="DI107" s="167">
        <f t="shared" si="497"/>
        <v>0.48913857677902617</v>
      </c>
      <c r="DJ107" s="168">
        <f t="shared" si="498"/>
        <v>0.30426182341305519</v>
      </c>
      <c r="DK107" s="167">
        <f t="shared" si="498"/>
        <v>0.38451612903225807</v>
      </c>
      <c r="DL107" s="167">
        <f t="shared" si="498"/>
        <v>0.23194517659462299</v>
      </c>
      <c r="DM107" s="167">
        <f t="shared" si="498"/>
        <v>0.17779256325632575</v>
      </c>
      <c r="DN107" s="167">
        <f t="shared" si="498"/>
        <v>2.511227364185098E-2</v>
      </c>
      <c r="DO107" s="168">
        <f t="shared" si="498"/>
        <v>0.19428513442713347</v>
      </c>
      <c r="DP107" s="167">
        <f t="shared" si="499"/>
        <v>0.10850738117427761</v>
      </c>
      <c r="DQ107" s="167">
        <f t="shared" si="500"/>
        <v>0.11070421480530612</v>
      </c>
      <c r="DR107" s="167">
        <f t="shared" si="501"/>
        <v>0.16891075092425534</v>
      </c>
      <c r="DS107" s="167">
        <f t="shared" si="502"/>
        <v>0.27033452500663424</v>
      </c>
      <c r="DT107" s="168">
        <f t="shared" si="503"/>
        <v>0.1621040754897658</v>
      </c>
      <c r="DU107" s="168">
        <f t="shared" si="504"/>
        <v>9.6458107230887435E-2</v>
      </c>
      <c r="DV107" s="168">
        <f t="shared" si="504"/>
        <v>7.8719504775379034E-2</v>
      </c>
    </row>
    <row r="108" spans="2:126" s="15" customFormat="1" hidden="1" outlineLevel="1">
      <c r="C108" s="16"/>
      <c r="D108" s="16"/>
      <c r="E108" s="16"/>
      <c r="F108" s="16"/>
      <c r="G108" s="16"/>
      <c r="H108" s="16"/>
      <c r="I108" s="16"/>
      <c r="J108" s="12"/>
      <c r="K108" s="12"/>
      <c r="L108" s="12"/>
      <c r="M108" s="12"/>
      <c r="N108" s="136"/>
      <c r="S108" s="136"/>
      <c r="X108" s="136"/>
      <c r="AC108" s="136"/>
      <c r="AH108" s="136"/>
      <c r="AM108" s="136"/>
      <c r="AR108" s="16"/>
      <c r="AW108" s="16"/>
      <c r="BB108" s="16"/>
      <c r="BG108" s="16"/>
      <c r="BL108" s="16"/>
      <c r="BQ108" s="16"/>
      <c r="BV108" s="16"/>
      <c r="CA108" s="16"/>
      <c r="CF108" s="16"/>
      <c r="CK108" s="16"/>
      <c r="CP108" s="16"/>
      <c r="CU108" s="16"/>
      <c r="CZ108" s="16"/>
      <c r="DE108" s="16"/>
      <c r="DJ108" s="16"/>
      <c r="DO108" s="16"/>
      <c r="DT108" s="16"/>
      <c r="DU108" s="16"/>
      <c r="DV108" s="16"/>
    </row>
    <row r="109" spans="2:126" s="15" customFormat="1" ht="12" hidden="1" outlineLevel="1">
      <c r="B109" s="189" t="s">
        <v>91</v>
      </c>
      <c r="C109" s="16"/>
      <c r="D109" s="16"/>
      <c r="E109" s="16"/>
      <c r="F109" s="16"/>
      <c r="G109" s="16"/>
      <c r="H109" s="16"/>
      <c r="I109" s="16"/>
      <c r="J109" s="12"/>
      <c r="K109" s="12"/>
      <c r="L109" s="12"/>
      <c r="M109" s="12"/>
      <c r="N109" s="136"/>
      <c r="S109" s="136"/>
      <c r="X109" s="136"/>
      <c r="AC109" s="136"/>
      <c r="AH109" s="136"/>
      <c r="AM109" s="136"/>
      <c r="AR109" s="16"/>
      <c r="AW109" s="16"/>
      <c r="BB109" s="16"/>
      <c r="BG109" s="16"/>
      <c r="BL109" s="16"/>
      <c r="BQ109" s="16"/>
      <c r="BV109" s="16"/>
      <c r="CA109" s="16"/>
      <c r="CF109" s="16"/>
      <c r="CK109" s="16"/>
      <c r="CP109" s="16"/>
      <c r="CU109" s="16"/>
      <c r="CZ109" s="16"/>
      <c r="DE109" s="16"/>
      <c r="DJ109" s="16"/>
      <c r="DO109" s="16"/>
      <c r="DT109" s="16"/>
      <c r="DU109" s="16"/>
      <c r="DV109" s="16"/>
    </row>
    <row r="110" spans="2:126" s="15" customFormat="1" hidden="1" outlineLevel="1">
      <c r="B110" s="221" t="s">
        <v>381</v>
      </c>
      <c r="C110" s="222"/>
      <c r="D110" s="222"/>
      <c r="E110" s="16"/>
      <c r="F110" s="16"/>
      <c r="G110" s="16"/>
      <c r="H110" s="16"/>
      <c r="I110" s="16"/>
      <c r="J110" s="12"/>
      <c r="K110" s="12"/>
      <c r="L110" s="12"/>
      <c r="M110" s="12"/>
      <c r="N110" s="136"/>
      <c r="S110" s="136"/>
      <c r="X110" s="136"/>
      <c r="AC110" s="136"/>
      <c r="AH110" s="136"/>
      <c r="AJ110" s="90" t="e">
        <f>#REF!/#REF!-1</f>
        <v>#REF!</v>
      </c>
      <c r="AK110" s="90" t="e">
        <f>#REF!/#REF!-1</f>
        <v>#REF!</v>
      </c>
      <c r="AL110" s="90" t="e">
        <f>#REF!/#REF!-1</f>
        <v>#REF!</v>
      </c>
      <c r="AM110" s="136"/>
      <c r="AN110" s="90" t="e">
        <f>#REF!/#REF!-1</f>
        <v>#REF!</v>
      </c>
      <c r="AO110" s="90" t="e">
        <f>#REF!/#REF!-1</f>
        <v>#REF!</v>
      </c>
      <c r="AP110" s="90" t="e">
        <f>#REF!/#REF!-1</f>
        <v>#REF!</v>
      </c>
      <c r="AQ110" s="90" t="e">
        <f>#REF!/#REF!-1</f>
        <v>#REF!</v>
      </c>
      <c r="AR110" s="16"/>
      <c r="AS110" s="90"/>
      <c r="AT110" s="90"/>
      <c r="AU110" s="90"/>
      <c r="AV110" s="90"/>
      <c r="AW110" s="16"/>
      <c r="AX110" s="90" t="e">
        <f>AX63/AV63-1</f>
        <v>#DIV/0!</v>
      </c>
      <c r="AY110" s="90" t="e">
        <f t="shared" ref="AY110:BA113" si="505">AY63/AX63-1</f>
        <v>#DIV/0!</v>
      </c>
      <c r="AZ110" s="90" t="e">
        <f t="shared" si="505"/>
        <v>#DIV/0!</v>
      </c>
      <c r="BA110" s="90" t="e">
        <f t="shared" si="505"/>
        <v>#DIV/0!</v>
      </c>
      <c r="BB110" s="16"/>
      <c r="BC110" s="90" t="e">
        <f>BC63/BA63-1</f>
        <v>#DIV/0!</v>
      </c>
      <c r="BD110" s="90" t="e">
        <f t="shared" ref="BD110:BF113" si="506">BD63/BC63-1</f>
        <v>#DIV/0!</v>
      </c>
      <c r="BE110" s="90" t="e">
        <f t="shared" si="506"/>
        <v>#DIV/0!</v>
      </c>
      <c r="BF110" s="90" t="e">
        <f t="shared" si="506"/>
        <v>#DIV/0!</v>
      </c>
      <c r="BG110" s="16"/>
      <c r="BH110" s="90" t="e">
        <f>BH63/BF63-1</f>
        <v>#DIV/0!</v>
      </c>
      <c r="BI110" s="90" t="e">
        <f t="shared" ref="BI110:BK113" si="507">BI63/BH63-1</f>
        <v>#DIV/0!</v>
      </c>
      <c r="BJ110" s="90" t="e">
        <f t="shared" si="507"/>
        <v>#DIV/0!</v>
      </c>
      <c r="BK110" s="90" t="e">
        <f t="shared" si="507"/>
        <v>#DIV/0!</v>
      </c>
      <c r="BL110" s="16"/>
      <c r="BM110" s="90" t="e">
        <f>BM63/BK63-1</f>
        <v>#DIV/0!</v>
      </c>
      <c r="BN110" s="90" t="e">
        <f t="shared" ref="BN110:BP113" si="508">BN63/BM63-1</f>
        <v>#DIV/0!</v>
      </c>
      <c r="BO110" s="90" t="e">
        <f t="shared" si="508"/>
        <v>#DIV/0!</v>
      </c>
      <c r="BP110" s="90" t="e">
        <f t="shared" si="508"/>
        <v>#DIV/0!</v>
      </c>
      <c r="BQ110" s="16"/>
      <c r="BR110" s="90" t="e">
        <f>BR63/BP63-1</f>
        <v>#DIV/0!</v>
      </c>
      <c r="BS110" s="90" t="e">
        <f t="shared" ref="BS110:BU113" si="509">BS63/BR63-1</f>
        <v>#DIV/0!</v>
      </c>
      <c r="BT110" s="90" t="e">
        <f t="shared" si="509"/>
        <v>#DIV/0!</v>
      </c>
      <c r="BU110" s="90" t="e">
        <f t="shared" si="509"/>
        <v>#DIV/0!</v>
      </c>
      <c r="BV110" s="16"/>
      <c r="BW110" s="90" t="e">
        <f>BW63/BU63-1</f>
        <v>#DIV/0!</v>
      </c>
      <c r="BX110" s="90" t="e">
        <f t="shared" ref="BX110:BZ113" si="510">BX63/BW63-1</f>
        <v>#DIV/0!</v>
      </c>
      <c r="BY110" s="90" t="e">
        <f t="shared" si="510"/>
        <v>#DIV/0!</v>
      </c>
      <c r="BZ110" s="90" t="e">
        <f t="shared" si="510"/>
        <v>#DIV/0!</v>
      </c>
      <c r="CA110" s="16"/>
      <c r="CB110" s="90" t="e">
        <f>CB63/BZ63-1</f>
        <v>#DIV/0!</v>
      </c>
      <c r="CC110" s="90" t="e">
        <f t="shared" ref="CC110:CE113" si="511">CC63/CB63-1</f>
        <v>#DIV/0!</v>
      </c>
      <c r="CD110" s="90" t="e">
        <f t="shared" si="511"/>
        <v>#DIV/0!</v>
      </c>
      <c r="CE110" s="90" t="e">
        <f t="shared" si="511"/>
        <v>#DIV/0!</v>
      </c>
      <c r="CF110" s="16"/>
      <c r="CG110" s="90" t="e">
        <f>CG63/CE63-1</f>
        <v>#DIV/0!</v>
      </c>
      <c r="CH110" s="90" t="e">
        <f t="shared" ref="CH110:CJ113" si="512">CH63/CG63-1</f>
        <v>#DIV/0!</v>
      </c>
      <c r="CI110" s="90" t="e">
        <f t="shared" si="512"/>
        <v>#DIV/0!</v>
      </c>
      <c r="CJ110" s="90" t="e">
        <f t="shared" si="512"/>
        <v>#DIV/0!</v>
      </c>
      <c r="CK110" s="16"/>
      <c r="CL110" s="90" t="e">
        <f>CL63/CJ63-1</f>
        <v>#DIV/0!</v>
      </c>
      <c r="CM110" s="90" t="e">
        <f t="shared" ref="CM110:CO113" si="513">CM63/CL63-1</f>
        <v>#DIV/0!</v>
      </c>
      <c r="CN110" s="90" t="e">
        <f t="shared" si="513"/>
        <v>#DIV/0!</v>
      </c>
      <c r="CO110" s="90" t="e">
        <f t="shared" si="513"/>
        <v>#DIV/0!</v>
      </c>
      <c r="CP110" s="16"/>
      <c r="CQ110" s="90" t="e">
        <f>CQ63/CO63-1</f>
        <v>#DIV/0!</v>
      </c>
      <c r="CR110" s="90" t="e">
        <f t="shared" ref="CR110:CT113" si="514">CR63/CQ63-1</f>
        <v>#DIV/0!</v>
      </c>
      <c r="CS110" s="90" t="e">
        <f t="shared" si="514"/>
        <v>#DIV/0!</v>
      </c>
      <c r="CT110" s="90" t="e">
        <f t="shared" si="514"/>
        <v>#DIV/0!</v>
      </c>
      <c r="CU110" s="16"/>
      <c r="CV110" s="90" t="e">
        <f>CV63/CT63-1</f>
        <v>#DIV/0!</v>
      </c>
      <c r="CW110" s="90" t="e">
        <f t="shared" ref="CW110:CY113" si="515">CW63/CV63-1</f>
        <v>#DIV/0!</v>
      </c>
      <c r="CX110" s="90" t="e">
        <f t="shared" si="515"/>
        <v>#DIV/0!</v>
      </c>
      <c r="CY110" s="90" t="e">
        <f t="shared" si="515"/>
        <v>#DIV/0!</v>
      </c>
      <c r="CZ110" s="16"/>
      <c r="DA110" s="90" t="e">
        <f>DA63/CY63-1</f>
        <v>#DIV/0!</v>
      </c>
      <c r="DB110" s="90">
        <f t="shared" ref="DB110:DD113" si="516">DB63/DA63-1</f>
        <v>0.14415156507413518</v>
      </c>
      <c r="DC110" s="90">
        <f t="shared" si="516"/>
        <v>0.11231101511879049</v>
      </c>
      <c r="DD110" s="90">
        <f t="shared" si="516"/>
        <v>-3.2362459546925515E-2</v>
      </c>
      <c r="DE110" s="16"/>
      <c r="DF110" s="90">
        <f>DF63/DD63-1</f>
        <v>-5.0836120401337781E-2</v>
      </c>
      <c r="DG110" s="90">
        <f t="shared" ref="DG110:DI113" si="517">DG63/DF63-1</f>
        <v>0.18322762508809021</v>
      </c>
      <c r="DH110" s="90">
        <f t="shared" si="517"/>
        <v>7.1471113758189375E-2</v>
      </c>
      <c r="DI110" s="90">
        <f t="shared" si="517"/>
        <v>0.1995553085047248</v>
      </c>
      <c r="DJ110" s="16"/>
      <c r="DK110" s="90">
        <f>DK63/DI63-1</f>
        <v>-0.11028730305838741</v>
      </c>
      <c r="DL110" s="90">
        <f t="shared" ref="DL110:DN113" si="518">DL63/DK63-1</f>
        <v>0.16250000000000009</v>
      </c>
      <c r="DM110" s="90">
        <f t="shared" si="518"/>
        <v>-7.0031720430107414E-2</v>
      </c>
      <c r="DN110" s="90">
        <f t="shared" si="518"/>
        <v>-5.6459319632248262E-3</v>
      </c>
      <c r="DO110" s="16"/>
      <c r="DP110" s="90">
        <f>DP63/DN63-1</f>
        <v>8.6183248787530919E-2</v>
      </c>
      <c r="DQ110" s="90">
        <f t="shared" ref="DQ110:DQ113" si="519">DQ63/DP63-1</f>
        <v>9.7005774214188767E-2</v>
      </c>
      <c r="DR110" s="90">
        <f t="shared" ref="DR110:DR113" si="520">DR63/DQ63-1</f>
        <v>-1.0724400871459649E-2</v>
      </c>
      <c r="DS110" s="90">
        <f t="shared" ref="DS110:DS113" si="521">DS63/DR63-1</f>
        <v>2.0162494428439537E-2</v>
      </c>
      <c r="DT110" s="16"/>
      <c r="DU110" s="16"/>
      <c r="DV110" s="16"/>
    </row>
    <row r="111" spans="2:126" s="15" customFormat="1" hidden="1" outlineLevel="1">
      <c r="B111" s="317" t="s">
        <v>457</v>
      </c>
      <c r="C111" s="222"/>
      <c r="D111" s="222"/>
      <c r="E111" s="16"/>
      <c r="F111" s="16"/>
      <c r="G111" s="16"/>
      <c r="H111" s="16"/>
      <c r="I111" s="16"/>
      <c r="J111" s="12"/>
      <c r="K111" s="12"/>
      <c r="L111" s="12"/>
      <c r="M111" s="12"/>
      <c r="N111" s="136"/>
      <c r="S111" s="136"/>
      <c r="X111" s="136"/>
      <c r="AC111" s="136"/>
      <c r="AH111" s="136"/>
      <c r="AJ111" s="90"/>
      <c r="AK111" s="90"/>
      <c r="AL111" s="90"/>
      <c r="AM111" s="136"/>
      <c r="AN111" s="90"/>
      <c r="AO111" s="90"/>
      <c r="AP111" s="90"/>
      <c r="AQ111" s="90"/>
      <c r="AR111" s="16"/>
      <c r="AS111" s="90"/>
      <c r="AT111" s="90"/>
      <c r="AU111" s="90"/>
      <c r="AV111" s="90"/>
      <c r="AW111" s="16"/>
      <c r="AX111" s="90" t="e">
        <f>AX64/AV64-1</f>
        <v>#DIV/0!</v>
      </c>
      <c r="AY111" s="90" t="e">
        <f t="shared" si="505"/>
        <v>#DIV/0!</v>
      </c>
      <c r="AZ111" s="90" t="e">
        <f t="shared" si="505"/>
        <v>#DIV/0!</v>
      </c>
      <c r="BA111" s="90" t="e">
        <f t="shared" si="505"/>
        <v>#DIV/0!</v>
      </c>
      <c r="BB111" s="16"/>
      <c r="BC111" s="90" t="e">
        <f>BC64/BA64-1</f>
        <v>#DIV/0!</v>
      </c>
      <c r="BD111" s="90" t="e">
        <f t="shared" si="506"/>
        <v>#DIV/0!</v>
      </c>
      <c r="BE111" s="90" t="e">
        <f t="shared" si="506"/>
        <v>#DIV/0!</v>
      </c>
      <c r="BF111" s="90" t="e">
        <f t="shared" si="506"/>
        <v>#DIV/0!</v>
      </c>
      <c r="BG111" s="16"/>
      <c r="BH111" s="90" t="e">
        <f>BH64/BF64-1</f>
        <v>#DIV/0!</v>
      </c>
      <c r="BI111" s="90" t="e">
        <f t="shared" si="507"/>
        <v>#DIV/0!</v>
      </c>
      <c r="BJ111" s="90" t="e">
        <f t="shared" si="507"/>
        <v>#DIV/0!</v>
      </c>
      <c r="BK111" s="90" t="e">
        <f t="shared" si="507"/>
        <v>#DIV/0!</v>
      </c>
      <c r="BL111" s="16"/>
      <c r="BM111" s="90" t="e">
        <f>BM64/BK64-1</f>
        <v>#DIV/0!</v>
      </c>
      <c r="BN111" s="90" t="e">
        <f t="shared" si="508"/>
        <v>#DIV/0!</v>
      </c>
      <c r="BO111" s="90" t="e">
        <f t="shared" si="508"/>
        <v>#DIV/0!</v>
      </c>
      <c r="BP111" s="90" t="e">
        <f t="shared" si="508"/>
        <v>#DIV/0!</v>
      </c>
      <c r="BQ111" s="16"/>
      <c r="BR111" s="90" t="e">
        <f>BR64/BP64-1</f>
        <v>#DIV/0!</v>
      </c>
      <c r="BS111" s="90" t="e">
        <f t="shared" si="509"/>
        <v>#DIV/0!</v>
      </c>
      <c r="BT111" s="90" t="e">
        <f t="shared" si="509"/>
        <v>#DIV/0!</v>
      </c>
      <c r="BU111" s="90" t="e">
        <f t="shared" si="509"/>
        <v>#DIV/0!</v>
      </c>
      <c r="BV111" s="16"/>
      <c r="BW111" s="90" t="e">
        <f>BW64/BU64-1</f>
        <v>#DIV/0!</v>
      </c>
      <c r="BX111" s="90" t="e">
        <f t="shared" si="510"/>
        <v>#DIV/0!</v>
      </c>
      <c r="BY111" s="90" t="e">
        <f t="shared" si="510"/>
        <v>#DIV/0!</v>
      </c>
      <c r="BZ111" s="90" t="e">
        <f t="shared" si="510"/>
        <v>#DIV/0!</v>
      </c>
      <c r="CA111" s="16"/>
      <c r="CB111" s="90" t="e">
        <f>CB64/BZ64-1</f>
        <v>#DIV/0!</v>
      </c>
      <c r="CC111" s="90" t="e">
        <f t="shared" si="511"/>
        <v>#DIV/0!</v>
      </c>
      <c r="CD111" s="90" t="e">
        <f t="shared" si="511"/>
        <v>#DIV/0!</v>
      </c>
      <c r="CE111" s="90" t="e">
        <f t="shared" si="511"/>
        <v>#DIV/0!</v>
      </c>
      <c r="CF111" s="16"/>
      <c r="CG111" s="90" t="e">
        <f>CG64/CE64-1</f>
        <v>#DIV/0!</v>
      </c>
      <c r="CH111" s="90" t="e">
        <f t="shared" si="512"/>
        <v>#DIV/0!</v>
      </c>
      <c r="CI111" s="90" t="e">
        <f t="shared" si="512"/>
        <v>#DIV/0!</v>
      </c>
      <c r="CJ111" s="90" t="e">
        <f t="shared" si="512"/>
        <v>#DIV/0!</v>
      </c>
      <c r="CK111" s="16"/>
      <c r="CL111" s="90" t="e">
        <f>CL64/CJ64-1</f>
        <v>#DIV/0!</v>
      </c>
      <c r="CM111" s="90" t="e">
        <f t="shared" si="513"/>
        <v>#DIV/0!</v>
      </c>
      <c r="CN111" s="90" t="e">
        <f t="shared" si="513"/>
        <v>#DIV/0!</v>
      </c>
      <c r="CO111" s="90" t="e">
        <f t="shared" si="513"/>
        <v>#DIV/0!</v>
      </c>
      <c r="CP111" s="16"/>
      <c r="CQ111" s="90" t="e">
        <f>CQ64/CO64-1</f>
        <v>#DIV/0!</v>
      </c>
      <c r="CR111" s="90" t="e">
        <f t="shared" si="514"/>
        <v>#DIV/0!</v>
      </c>
      <c r="CS111" s="90" t="e">
        <f t="shared" si="514"/>
        <v>#DIV/0!</v>
      </c>
      <c r="CT111" s="90" t="e">
        <f t="shared" si="514"/>
        <v>#DIV/0!</v>
      </c>
      <c r="CU111" s="16"/>
      <c r="CV111" s="90" t="e">
        <f>CV64/CT64-1</f>
        <v>#DIV/0!</v>
      </c>
      <c r="CW111" s="90" t="e">
        <f t="shared" si="515"/>
        <v>#DIV/0!</v>
      </c>
      <c r="CX111" s="90" t="e">
        <f t="shared" si="515"/>
        <v>#DIV/0!</v>
      </c>
      <c r="CY111" s="90" t="e">
        <f t="shared" si="515"/>
        <v>#DIV/0!</v>
      </c>
      <c r="CZ111" s="16"/>
      <c r="DA111" s="90" t="e">
        <f>DA64/CY64-1</f>
        <v>#DIV/0!</v>
      </c>
      <c r="DB111" s="90">
        <f t="shared" si="516"/>
        <v>0</v>
      </c>
      <c r="DC111" s="90">
        <f t="shared" si="516"/>
        <v>0.3383084577114428</v>
      </c>
      <c r="DD111" s="90">
        <f t="shared" si="516"/>
        <v>-0.1189591078066915</v>
      </c>
      <c r="DE111" s="16"/>
      <c r="DF111" s="90">
        <f>DF64/DD64-1</f>
        <v>8.0168776371307926E-2</v>
      </c>
      <c r="DG111" s="90">
        <f t="shared" si="517"/>
        <v>0.34375</v>
      </c>
      <c r="DH111" s="90">
        <f t="shared" si="517"/>
        <v>-0.36046511627906974</v>
      </c>
      <c r="DI111" s="90">
        <f t="shared" si="517"/>
        <v>9.5454545454545459E-2</v>
      </c>
      <c r="DJ111" s="16"/>
      <c r="DK111" s="90">
        <f>DK64/DI64-1</f>
        <v>0.22821576763485485</v>
      </c>
      <c r="DL111" s="90">
        <f t="shared" si="518"/>
        <v>0.22297297297297303</v>
      </c>
      <c r="DM111" s="90">
        <f t="shared" si="518"/>
        <v>-0.1835975690607734</v>
      </c>
      <c r="DN111" s="90">
        <f t="shared" si="518"/>
        <v>9.6148552022198741E-2</v>
      </c>
      <c r="DO111" s="16"/>
      <c r="DP111" s="90">
        <f>DP64/DN64-1</f>
        <v>-8.3178681365086105E-2</v>
      </c>
      <c r="DQ111" s="90">
        <f t="shared" si="519"/>
        <v>0.13261143164206146</v>
      </c>
      <c r="DR111" s="90">
        <f t="shared" si="520"/>
        <v>-4.8864982776879673E-2</v>
      </c>
      <c r="DS111" s="90">
        <f t="shared" si="521"/>
        <v>0.24030436931948551</v>
      </c>
      <c r="DT111" s="16"/>
      <c r="DU111" s="16"/>
      <c r="DV111" s="16"/>
    </row>
    <row r="112" spans="2:126" s="15" customFormat="1" hidden="1" outlineLevel="1">
      <c r="B112" s="317" t="s">
        <v>382</v>
      </c>
      <c r="C112" s="222"/>
      <c r="D112" s="222"/>
      <c r="E112" s="16"/>
      <c r="F112" s="16"/>
      <c r="G112" s="16"/>
      <c r="H112" s="16"/>
      <c r="I112" s="16"/>
      <c r="J112" s="12"/>
      <c r="K112" s="12"/>
      <c r="L112" s="12"/>
      <c r="M112" s="12"/>
      <c r="N112" s="136"/>
      <c r="S112" s="136"/>
      <c r="X112" s="136"/>
      <c r="AC112" s="136"/>
      <c r="AH112" s="136"/>
      <c r="AJ112" s="90" t="e">
        <f t="shared" ref="AJ112:AL113" si="522">AJ61/AI61-1</f>
        <v>#DIV/0!</v>
      </c>
      <c r="AK112" s="90" t="e">
        <f t="shared" si="522"/>
        <v>#DIV/0!</v>
      </c>
      <c r="AL112" s="90" t="e">
        <f t="shared" si="522"/>
        <v>#DIV/0!</v>
      </c>
      <c r="AM112" s="136"/>
      <c r="AN112" s="90" t="e">
        <f>AN61/AL61-1</f>
        <v>#DIV/0!</v>
      </c>
      <c r="AO112" s="90" t="e">
        <f t="shared" ref="AO112:AQ113" si="523">AO61/AN61-1</f>
        <v>#DIV/0!</v>
      </c>
      <c r="AP112" s="90" t="e">
        <f t="shared" si="523"/>
        <v>#DIV/0!</v>
      </c>
      <c r="AQ112" s="90" t="e">
        <f t="shared" si="523"/>
        <v>#DIV/0!</v>
      </c>
      <c r="AR112" s="16"/>
      <c r="AS112" s="90"/>
      <c r="AT112" s="90"/>
      <c r="AU112" s="90"/>
      <c r="AV112" s="90"/>
      <c r="AW112" s="16"/>
      <c r="AX112" s="90" t="e">
        <f>AX65/AV65-1</f>
        <v>#DIV/0!</v>
      </c>
      <c r="AY112" s="90" t="e">
        <f t="shared" si="505"/>
        <v>#DIV/0!</v>
      </c>
      <c r="AZ112" s="90" t="e">
        <f t="shared" si="505"/>
        <v>#DIV/0!</v>
      </c>
      <c r="BA112" s="90" t="e">
        <f t="shared" si="505"/>
        <v>#DIV/0!</v>
      </c>
      <c r="BB112" s="16"/>
      <c r="BC112" s="90" t="e">
        <f>BC65/BA65-1</f>
        <v>#DIV/0!</v>
      </c>
      <c r="BD112" s="90" t="e">
        <f t="shared" si="506"/>
        <v>#DIV/0!</v>
      </c>
      <c r="BE112" s="90" t="e">
        <f t="shared" si="506"/>
        <v>#DIV/0!</v>
      </c>
      <c r="BF112" s="90" t="e">
        <f t="shared" si="506"/>
        <v>#DIV/0!</v>
      </c>
      <c r="BG112" s="16"/>
      <c r="BH112" s="90" t="e">
        <f>BH65/BF65-1</f>
        <v>#DIV/0!</v>
      </c>
      <c r="BI112" s="90" t="e">
        <f t="shared" si="507"/>
        <v>#DIV/0!</v>
      </c>
      <c r="BJ112" s="90" t="e">
        <f t="shared" si="507"/>
        <v>#DIV/0!</v>
      </c>
      <c r="BK112" s="90" t="e">
        <f t="shared" si="507"/>
        <v>#DIV/0!</v>
      </c>
      <c r="BL112" s="16"/>
      <c r="BM112" s="90" t="e">
        <f>BM65/BK65-1</f>
        <v>#DIV/0!</v>
      </c>
      <c r="BN112" s="90" t="e">
        <f t="shared" si="508"/>
        <v>#DIV/0!</v>
      </c>
      <c r="BO112" s="90" t="e">
        <f t="shared" si="508"/>
        <v>#DIV/0!</v>
      </c>
      <c r="BP112" s="90" t="e">
        <f t="shared" si="508"/>
        <v>#DIV/0!</v>
      </c>
      <c r="BQ112" s="16"/>
      <c r="BR112" s="90" t="e">
        <f>BR65/BP65-1</f>
        <v>#DIV/0!</v>
      </c>
      <c r="BS112" s="90" t="e">
        <f t="shared" si="509"/>
        <v>#DIV/0!</v>
      </c>
      <c r="BT112" s="90" t="e">
        <f t="shared" si="509"/>
        <v>#DIV/0!</v>
      </c>
      <c r="BU112" s="90" t="e">
        <f t="shared" si="509"/>
        <v>#DIV/0!</v>
      </c>
      <c r="BV112" s="16"/>
      <c r="BW112" s="90" t="e">
        <f>BW65/BU65-1</f>
        <v>#DIV/0!</v>
      </c>
      <c r="BX112" s="90" t="e">
        <f t="shared" si="510"/>
        <v>#DIV/0!</v>
      </c>
      <c r="BY112" s="90" t="e">
        <f t="shared" si="510"/>
        <v>#DIV/0!</v>
      </c>
      <c r="BZ112" s="90" t="e">
        <f t="shared" si="510"/>
        <v>#DIV/0!</v>
      </c>
      <c r="CA112" s="16"/>
      <c r="CB112" s="90" t="e">
        <f>CB65/BZ65-1</f>
        <v>#DIV/0!</v>
      </c>
      <c r="CC112" s="90" t="e">
        <f t="shared" si="511"/>
        <v>#DIV/0!</v>
      </c>
      <c r="CD112" s="90" t="e">
        <f t="shared" si="511"/>
        <v>#DIV/0!</v>
      </c>
      <c r="CE112" s="90" t="e">
        <f t="shared" si="511"/>
        <v>#DIV/0!</v>
      </c>
      <c r="CF112" s="16"/>
      <c r="CG112" s="90" t="e">
        <f>CG65/CE65-1</f>
        <v>#DIV/0!</v>
      </c>
      <c r="CH112" s="90" t="e">
        <f t="shared" si="512"/>
        <v>#DIV/0!</v>
      </c>
      <c r="CI112" s="90" t="e">
        <f t="shared" si="512"/>
        <v>#DIV/0!</v>
      </c>
      <c r="CJ112" s="90" t="e">
        <f t="shared" si="512"/>
        <v>#DIV/0!</v>
      </c>
      <c r="CK112" s="16"/>
      <c r="CL112" s="90" t="e">
        <f>CL65/CJ65-1</f>
        <v>#DIV/0!</v>
      </c>
      <c r="CM112" s="90" t="e">
        <f t="shared" si="513"/>
        <v>#DIV/0!</v>
      </c>
      <c r="CN112" s="90" t="e">
        <f t="shared" si="513"/>
        <v>#DIV/0!</v>
      </c>
      <c r="CO112" s="90" t="e">
        <f t="shared" si="513"/>
        <v>#DIV/0!</v>
      </c>
      <c r="CP112" s="16"/>
      <c r="CQ112" s="90" t="e">
        <f>CQ65/CO65-1</f>
        <v>#DIV/0!</v>
      </c>
      <c r="CR112" s="90" t="e">
        <f t="shared" si="514"/>
        <v>#DIV/0!</v>
      </c>
      <c r="CS112" s="90" t="e">
        <f t="shared" si="514"/>
        <v>#DIV/0!</v>
      </c>
      <c r="CT112" s="90" t="e">
        <f t="shared" si="514"/>
        <v>#DIV/0!</v>
      </c>
      <c r="CU112" s="16"/>
      <c r="CV112" s="90" t="e">
        <f>CV65/CT65-1</f>
        <v>#DIV/0!</v>
      </c>
      <c r="CW112" s="90" t="e">
        <f t="shared" si="515"/>
        <v>#DIV/0!</v>
      </c>
      <c r="CX112" s="90" t="e">
        <f t="shared" si="515"/>
        <v>#DIV/0!</v>
      </c>
      <c r="CY112" s="90" t="e">
        <f t="shared" si="515"/>
        <v>#DIV/0!</v>
      </c>
      <c r="CZ112" s="16"/>
      <c r="DA112" s="90" t="e">
        <f>DA65/CY65-1</f>
        <v>#DIV/0!</v>
      </c>
      <c r="DB112" s="90" t="e">
        <f t="shared" si="516"/>
        <v>#DIV/0!</v>
      </c>
      <c r="DC112" s="90" t="e">
        <f t="shared" si="516"/>
        <v>#DIV/0!</v>
      </c>
      <c r="DD112" s="90" t="e">
        <f t="shared" si="516"/>
        <v>#DIV/0!</v>
      </c>
      <c r="DE112" s="16"/>
      <c r="DF112" s="90" t="e">
        <f>DF65/DD65-1</f>
        <v>#DIV/0!</v>
      </c>
      <c r="DG112" s="90" t="e">
        <f t="shared" si="517"/>
        <v>#DIV/0!</v>
      </c>
      <c r="DH112" s="90" t="e">
        <f t="shared" si="517"/>
        <v>#DIV/0!</v>
      </c>
      <c r="DI112" s="90" t="e">
        <f t="shared" si="517"/>
        <v>#DIV/0!</v>
      </c>
      <c r="DJ112" s="16"/>
      <c r="DK112" s="90" t="e">
        <f>DK65/DI65-1</f>
        <v>#DIV/0!</v>
      </c>
      <c r="DL112" s="90" t="e">
        <f t="shared" si="518"/>
        <v>#DIV/0!</v>
      </c>
      <c r="DM112" s="90" t="e">
        <f t="shared" si="518"/>
        <v>#DIV/0!</v>
      </c>
      <c r="DN112" s="90" t="e">
        <f t="shared" si="518"/>
        <v>#DIV/0!</v>
      </c>
      <c r="DO112" s="16"/>
      <c r="DP112" s="90" t="e">
        <f>DP65/DN65-1</f>
        <v>#DIV/0!</v>
      </c>
      <c r="DQ112" s="90" t="e">
        <f t="shared" si="519"/>
        <v>#DIV/0!</v>
      </c>
      <c r="DR112" s="90" t="e">
        <f t="shared" si="520"/>
        <v>#DIV/0!</v>
      </c>
      <c r="DS112" s="90" t="e">
        <f t="shared" si="521"/>
        <v>#DIV/0!</v>
      </c>
      <c r="DT112" s="16"/>
      <c r="DU112" s="16"/>
      <c r="DV112" s="16"/>
    </row>
    <row r="113" spans="1:126" s="15" customFormat="1" hidden="1" outlineLevel="1">
      <c r="B113" s="221" t="s">
        <v>383</v>
      </c>
      <c r="C113" s="222"/>
      <c r="D113" s="222"/>
      <c r="E113" s="16"/>
      <c r="F113" s="16"/>
      <c r="G113" s="16"/>
      <c r="H113" s="16"/>
      <c r="I113" s="16"/>
      <c r="J113" s="12"/>
      <c r="K113" s="12"/>
      <c r="L113" s="12"/>
      <c r="M113" s="12"/>
      <c r="N113" s="136"/>
      <c r="S113" s="136"/>
      <c r="X113" s="136"/>
      <c r="AC113" s="136"/>
      <c r="AH113" s="136"/>
      <c r="AJ113" s="90" t="e">
        <f t="shared" si="522"/>
        <v>#DIV/0!</v>
      </c>
      <c r="AK113" s="90" t="e">
        <f t="shared" si="522"/>
        <v>#DIV/0!</v>
      </c>
      <c r="AL113" s="90" t="e">
        <f t="shared" si="522"/>
        <v>#DIV/0!</v>
      </c>
      <c r="AM113" s="136"/>
      <c r="AN113" s="90" t="e">
        <f>AN62/AL62-1</f>
        <v>#DIV/0!</v>
      </c>
      <c r="AO113" s="90" t="e">
        <f t="shared" si="523"/>
        <v>#DIV/0!</v>
      </c>
      <c r="AP113" s="90" t="e">
        <f t="shared" si="523"/>
        <v>#DIV/0!</v>
      </c>
      <c r="AQ113" s="90" t="e">
        <f t="shared" si="523"/>
        <v>#DIV/0!</v>
      </c>
      <c r="AR113" s="16"/>
      <c r="AS113" s="90"/>
      <c r="AT113" s="90"/>
      <c r="AU113" s="90"/>
      <c r="AV113" s="90"/>
      <c r="AW113" s="16"/>
      <c r="AX113" s="90" t="e">
        <f>AX66/AV66-1</f>
        <v>#DIV/0!</v>
      </c>
      <c r="AY113" s="90" t="e">
        <f t="shared" si="505"/>
        <v>#DIV/0!</v>
      </c>
      <c r="AZ113" s="90" t="e">
        <f t="shared" si="505"/>
        <v>#DIV/0!</v>
      </c>
      <c r="BA113" s="90" t="e">
        <f t="shared" si="505"/>
        <v>#DIV/0!</v>
      </c>
      <c r="BB113" s="16"/>
      <c r="BC113" s="90" t="e">
        <f>BC66/BA66-1</f>
        <v>#DIV/0!</v>
      </c>
      <c r="BD113" s="90" t="e">
        <f t="shared" si="506"/>
        <v>#DIV/0!</v>
      </c>
      <c r="BE113" s="90" t="e">
        <f t="shared" si="506"/>
        <v>#DIV/0!</v>
      </c>
      <c r="BF113" s="90" t="e">
        <f t="shared" si="506"/>
        <v>#DIV/0!</v>
      </c>
      <c r="BG113" s="16"/>
      <c r="BH113" s="90" t="e">
        <f>BH66/BF66-1</f>
        <v>#DIV/0!</v>
      </c>
      <c r="BI113" s="90" t="e">
        <f t="shared" si="507"/>
        <v>#DIV/0!</v>
      </c>
      <c r="BJ113" s="90" t="e">
        <f t="shared" si="507"/>
        <v>#DIV/0!</v>
      </c>
      <c r="BK113" s="90" t="e">
        <f t="shared" si="507"/>
        <v>#DIV/0!</v>
      </c>
      <c r="BL113" s="16"/>
      <c r="BM113" s="90" t="e">
        <f>BM66/BK66-1</f>
        <v>#DIV/0!</v>
      </c>
      <c r="BN113" s="90" t="e">
        <f t="shared" si="508"/>
        <v>#DIV/0!</v>
      </c>
      <c r="BO113" s="90" t="e">
        <f t="shared" si="508"/>
        <v>#DIV/0!</v>
      </c>
      <c r="BP113" s="90" t="e">
        <f t="shared" si="508"/>
        <v>#DIV/0!</v>
      </c>
      <c r="BQ113" s="16"/>
      <c r="BR113" s="90" t="e">
        <f>BR66/BP66-1</f>
        <v>#DIV/0!</v>
      </c>
      <c r="BS113" s="90" t="e">
        <f t="shared" si="509"/>
        <v>#DIV/0!</v>
      </c>
      <c r="BT113" s="90" t="e">
        <f t="shared" si="509"/>
        <v>#DIV/0!</v>
      </c>
      <c r="BU113" s="90" t="e">
        <f t="shared" si="509"/>
        <v>#DIV/0!</v>
      </c>
      <c r="BV113" s="16"/>
      <c r="BW113" s="90" t="e">
        <f>BW66/BU66-1</f>
        <v>#DIV/0!</v>
      </c>
      <c r="BX113" s="90" t="e">
        <f t="shared" si="510"/>
        <v>#DIV/0!</v>
      </c>
      <c r="BY113" s="90" t="e">
        <f t="shared" si="510"/>
        <v>#DIV/0!</v>
      </c>
      <c r="BZ113" s="90" t="e">
        <f t="shared" si="510"/>
        <v>#DIV/0!</v>
      </c>
      <c r="CA113" s="16"/>
      <c r="CB113" s="90" t="e">
        <f>CB66/BZ66-1</f>
        <v>#DIV/0!</v>
      </c>
      <c r="CC113" s="90" t="e">
        <f t="shared" si="511"/>
        <v>#DIV/0!</v>
      </c>
      <c r="CD113" s="90" t="e">
        <f t="shared" si="511"/>
        <v>#DIV/0!</v>
      </c>
      <c r="CE113" s="90" t="e">
        <f t="shared" si="511"/>
        <v>#DIV/0!</v>
      </c>
      <c r="CF113" s="16"/>
      <c r="CG113" s="90" t="e">
        <f>CG66/CE66-1</f>
        <v>#DIV/0!</v>
      </c>
      <c r="CH113" s="90" t="e">
        <f t="shared" si="512"/>
        <v>#DIV/0!</v>
      </c>
      <c r="CI113" s="90" t="e">
        <f t="shared" si="512"/>
        <v>#DIV/0!</v>
      </c>
      <c r="CJ113" s="90" t="e">
        <f t="shared" si="512"/>
        <v>#DIV/0!</v>
      </c>
      <c r="CK113" s="16"/>
      <c r="CL113" s="90" t="e">
        <f>CL66/CJ66-1</f>
        <v>#DIV/0!</v>
      </c>
      <c r="CM113" s="90" t="e">
        <f t="shared" si="513"/>
        <v>#DIV/0!</v>
      </c>
      <c r="CN113" s="90" t="e">
        <f t="shared" si="513"/>
        <v>#DIV/0!</v>
      </c>
      <c r="CO113" s="90" t="e">
        <f t="shared" si="513"/>
        <v>#DIV/0!</v>
      </c>
      <c r="CP113" s="16"/>
      <c r="CQ113" s="90" t="e">
        <f>CQ66/CO66-1</f>
        <v>#DIV/0!</v>
      </c>
      <c r="CR113" s="90" t="e">
        <f t="shared" si="514"/>
        <v>#DIV/0!</v>
      </c>
      <c r="CS113" s="90" t="e">
        <f t="shared" si="514"/>
        <v>#DIV/0!</v>
      </c>
      <c r="CT113" s="90" t="e">
        <f t="shared" si="514"/>
        <v>#DIV/0!</v>
      </c>
      <c r="CU113" s="16"/>
      <c r="CV113" s="90" t="e">
        <f>CV66/CT66-1</f>
        <v>#DIV/0!</v>
      </c>
      <c r="CW113" s="90" t="e">
        <f t="shared" si="515"/>
        <v>#DIV/0!</v>
      </c>
      <c r="CX113" s="90" t="e">
        <f t="shared" si="515"/>
        <v>#DIV/0!</v>
      </c>
      <c r="CY113" s="90" t="e">
        <f t="shared" si="515"/>
        <v>#DIV/0!</v>
      </c>
      <c r="CZ113" s="16"/>
      <c r="DA113" s="90" t="e">
        <f>DA66/CY66-1</f>
        <v>#DIV/0!</v>
      </c>
      <c r="DB113" s="90" t="e">
        <f t="shared" si="516"/>
        <v>#DIV/0!</v>
      </c>
      <c r="DC113" s="90" t="e">
        <f t="shared" si="516"/>
        <v>#DIV/0!</v>
      </c>
      <c r="DD113" s="90" t="e">
        <f t="shared" si="516"/>
        <v>#DIV/0!</v>
      </c>
      <c r="DE113" s="16"/>
      <c r="DF113" s="90" t="e">
        <f>DF66/DD66-1</f>
        <v>#DIV/0!</v>
      </c>
      <c r="DG113" s="90" t="e">
        <f t="shared" si="517"/>
        <v>#DIV/0!</v>
      </c>
      <c r="DH113" s="90" t="e">
        <f t="shared" si="517"/>
        <v>#DIV/0!</v>
      </c>
      <c r="DI113" s="90" t="e">
        <f t="shared" si="517"/>
        <v>#DIV/0!</v>
      </c>
      <c r="DJ113" s="16"/>
      <c r="DK113" s="90" t="e">
        <f>DK66/DI66-1</f>
        <v>#DIV/0!</v>
      </c>
      <c r="DL113" s="90" t="e">
        <f t="shared" si="518"/>
        <v>#DIV/0!</v>
      </c>
      <c r="DM113" s="90" t="e">
        <f t="shared" si="518"/>
        <v>#DIV/0!</v>
      </c>
      <c r="DN113" s="90" t="e">
        <f t="shared" si="518"/>
        <v>#DIV/0!</v>
      </c>
      <c r="DO113" s="16"/>
      <c r="DP113" s="90" t="e">
        <f>DP66/DN66-1</f>
        <v>#DIV/0!</v>
      </c>
      <c r="DQ113" s="90" t="e">
        <f t="shared" si="519"/>
        <v>#DIV/0!</v>
      </c>
      <c r="DR113" s="90" t="e">
        <f t="shared" si="520"/>
        <v>#DIV/0!</v>
      </c>
      <c r="DS113" s="90" t="e">
        <f t="shared" si="521"/>
        <v>#DIV/0!</v>
      </c>
      <c r="DT113" s="16"/>
      <c r="DU113" s="16"/>
      <c r="DV113" s="16"/>
    </row>
    <row r="114" spans="1:126" s="93" customFormat="1" ht="12" hidden="1" customHeight="1" outlineLevel="2">
      <c r="A114" s="15"/>
      <c r="B114" s="15" t="s">
        <v>72</v>
      </c>
      <c r="C114" s="79"/>
      <c r="D114" s="79"/>
      <c r="E114" s="79"/>
      <c r="F114" s="79"/>
      <c r="G114" s="79"/>
      <c r="H114" s="79"/>
      <c r="I114" s="79"/>
      <c r="J114" s="78"/>
      <c r="K114" s="95" t="str">
        <f>IF(ISERROR(K67/J67-1),"",K67/J67-1)</f>
        <v/>
      </c>
      <c r="L114" s="95" t="str">
        <f>IF(ISERROR(L67/K67-1),"",L67/K67-1)</f>
        <v/>
      </c>
      <c r="M114" s="95" t="str">
        <f>IF(ISERROR(M67/L67-1),"",M67/L67-1)</f>
        <v/>
      </c>
      <c r="N114" s="162"/>
      <c r="O114" s="94" t="str">
        <f>IF(ISERROR(O67/M67-1),"",O67/M67-1)</f>
        <v/>
      </c>
      <c r="P114" s="94" t="str">
        <f>IF(ISERROR(P67/O67-1),"",P67/O67-1)</f>
        <v/>
      </c>
      <c r="Q114" s="94" t="str">
        <f>IF(ISERROR(Q67/P67-1),"",Q67/P67-1)</f>
        <v/>
      </c>
      <c r="R114" s="94" t="str">
        <f>IF(ISERROR(R67/Q67-1),"",R67/Q67-1)</f>
        <v/>
      </c>
      <c r="S114" s="162"/>
      <c r="T114" s="94" t="str">
        <f>IF(ISERROR(T67/R67-1),"",T67/R67-1)</f>
        <v/>
      </c>
      <c r="U114" s="94" t="str">
        <f>IF(ISERROR(U67/T67-1),"",U67/T67-1)</f>
        <v/>
      </c>
      <c r="V114" s="94" t="str">
        <f>IF(ISERROR(V67/U67-1),"",V67/U67-1)</f>
        <v/>
      </c>
      <c r="W114" s="94" t="str">
        <f>IF(ISERROR(W67/V67-1),"",W67/V67-1)</f>
        <v/>
      </c>
      <c r="X114" s="162"/>
      <c r="Y114" s="94" t="str">
        <f>IF(ISERROR(Y67/W67-1),"",Y67/W67-1)</f>
        <v/>
      </c>
      <c r="Z114" s="94" t="str">
        <f>IF(ISERROR(Z67/Y67-1),"",Z67/Y67-1)</f>
        <v/>
      </c>
      <c r="AA114" s="94" t="str">
        <f>IF(ISERROR(AA67/Z67-1),"",AA67/Z67-1)</f>
        <v/>
      </c>
      <c r="AB114" s="94" t="str">
        <f>IF(ISERROR(AB67/AA67-1),"",AB67/AA67-1)</f>
        <v/>
      </c>
      <c r="AC114" s="162"/>
      <c r="AD114" s="94" t="str">
        <f>IF(ISERROR(AD67/AB67-1),"",AD67/AB67-1)</f>
        <v/>
      </c>
      <c r="AE114" s="94" t="str">
        <f>IF(ISERROR(AE67/AD67-1),"",AE67/AD67-1)</f>
        <v/>
      </c>
      <c r="AF114" s="94" t="str">
        <f>IF(ISERROR(AF67/AE67-1),"",AF67/AE67-1)</f>
        <v/>
      </c>
      <c r="AG114" s="94" t="str">
        <f>IF(ISERROR(AG67/AF67-1),"",AG67/AF67-1)</f>
        <v/>
      </c>
      <c r="AH114" s="162"/>
      <c r="AI114" s="94" t="str">
        <f>IF(ISERROR(AI67/AG67-1),"",AI67/AG67-1)</f>
        <v/>
      </c>
      <c r="AJ114" s="94" t="str">
        <f>IF(ISERROR(AJ67/AI67-1),"",AJ67/AI67-1)</f>
        <v/>
      </c>
      <c r="AK114" s="94" t="str">
        <f>IF(ISERROR(AK67/AJ67-1),"",AK67/AJ67-1)</f>
        <v/>
      </c>
      <c r="AL114" s="94" t="str">
        <f>IF(ISERROR(AL67/AK67-1),"",AL67/AK67-1)</f>
        <v/>
      </c>
      <c r="AM114" s="162"/>
      <c r="AN114" s="94" t="str">
        <f>IF(ISERROR(AN67/AL67-1),"",AN67/AL67-1)</f>
        <v/>
      </c>
      <c r="AO114" s="94" t="str">
        <f>IF(ISERROR(AO67/AN67-1),"",AO67/AN67-1)</f>
        <v/>
      </c>
      <c r="AP114" s="94" t="str">
        <f>IF(ISERROR(AP67/AO67-1),"",AP67/AO67-1)</f>
        <v/>
      </c>
      <c r="AQ114" s="94" t="str">
        <f>IF(ISERROR(AQ67/AP67-1),"",AQ67/AP67-1)</f>
        <v/>
      </c>
      <c r="AR114" s="96"/>
      <c r="AS114" s="94" t="str">
        <f>IF(ISERROR(AS67/AQ67-1),"",AS67/AQ67-1)</f>
        <v/>
      </c>
      <c r="AT114" s="94" t="str">
        <f>IF(ISERROR(AT67/AS67-1),"",AT67/AS67-1)</f>
        <v/>
      </c>
      <c r="AU114" s="94" t="str">
        <f>IF(ISERROR(AU67/AT67-1),"",AU67/AT67-1)</f>
        <v/>
      </c>
      <c r="AV114" s="94" t="str">
        <f>IF(ISERROR(AV67/AU67-1),"",AV67/AU67-1)</f>
        <v/>
      </c>
      <c r="AW114" s="96"/>
      <c r="AX114" s="94" t="str">
        <f>IF(ISERROR(AX67/AV67-1),"",AX67/AV67-1)</f>
        <v/>
      </c>
      <c r="AY114" s="94" t="str">
        <f>IF(ISERROR(AY67/AX67-1),"",AY67/AX67-1)</f>
        <v/>
      </c>
      <c r="AZ114" s="94" t="str">
        <f>IF(ISERROR(AZ67/AY67-1),"",AZ67/AY67-1)</f>
        <v/>
      </c>
      <c r="BA114" s="94" t="str">
        <f>IF(ISERROR(BA67/AZ67-1),"",BA67/AZ67-1)</f>
        <v/>
      </c>
      <c r="BB114" s="96"/>
      <c r="BC114" s="94" t="str">
        <f>IF(ISERROR(BC67/BA67-1),"",BC67/BA67-1)</f>
        <v/>
      </c>
      <c r="BD114" s="94" t="str">
        <f>IF(ISERROR(BD67/BC67-1),"",BD67/BC67-1)</f>
        <v/>
      </c>
      <c r="BE114" s="94" t="str">
        <f>IF(ISERROR(BE67/BD67-1),"",BE67/BD67-1)</f>
        <v/>
      </c>
      <c r="BF114" s="94" t="str">
        <f>IF(ISERROR(BF67/BE67-1),"",BF67/BE67-1)</f>
        <v/>
      </c>
      <c r="BG114" s="96"/>
      <c r="BH114" s="94" t="str">
        <f>IF(ISERROR(BH67/BF67-1),"",BH67/BF67-1)</f>
        <v/>
      </c>
      <c r="BI114" s="94" t="str">
        <f>IF(ISERROR(BI67/BH67-1),"",BI67/BH67-1)</f>
        <v/>
      </c>
      <c r="BJ114" s="94" t="str">
        <f>IF(ISERROR(BJ67/BI67-1),"",BJ67/BI67-1)</f>
        <v/>
      </c>
      <c r="BK114" s="94" t="str">
        <f>IF(ISERROR(BK67/BJ67-1),"",BK67/BJ67-1)</f>
        <v/>
      </c>
      <c r="BL114" s="96"/>
      <c r="BM114" s="94" t="str">
        <f>IF(ISERROR(BM67/BK67-1),"",BM67/BK67-1)</f>
        <v/>
      </c>
      <c r="BN114" s="94" t="str">
        <f>IF(ISERROR(BN67/BM67-1),"",BN67/BM67-1)</f>
        <v/>
      </c>
      <c r="BO114" s="94" t="str">
        <f>IF(ISERROR(BO67/BN67-1),"",BO67/BN67-1)</f>
        <v/>
      </c>
      <c r="BP114" s="94" t="str">
        <f>IF(ISERROR(BP67/BO67-1),"",BP67/BO67-1)</f>
        <v/>
      </c>
      <c r="BQ114" s="96"/>
      <c r="BR114" s="94" t="str">
        <f>IF(ISERROR(BR67/BP67-1),"",BR67/BP67-1)</f>
        <v/>
      </c>
      <c r="BS114" s="94" t="str">
        <f>IF(ISERROR(BS67/BR67-1),"",BS67/BR67-1)</f>
        <v/>
      </c>
      <c r="BT114" s="94" t="str">
        <f>IF(ISERROR(BT67/BS67-1),"",BT67/BS67-1)</f>
        <v/>
      </c>
      <c r="BU114" s="94" t="str">
        <f>IF(ISERROR(BU67/BT67-1),"",BU67/BT67-1)</f>
        <v/>
      </c>
      <c r="BV114" s="96"/>
      <c r="BW114" s="94" t="str">
        <f>IF(ISERROR(BW67/BU67-1),"",BW67/BU67-1)</f>
        <v/>
      </c>
      <c r="BX114" s="94" t="str">
        <f>IF(ISERROR(BX67/BW67-1),"",BX67/BW67-1)</f>
        <v/>
      </c>
      <c r="BY114" s="94" t="str">
        <f>IF(ISERROR(BY67/BX67-1),"",BY67/BX67-1)</f>
        <v/>
      </c>
      <c r="BZ114" s="94" t="str">
        <f>IF(ISERROR(BZ67/BY67-1),"",BZ67/BY67-1)</f>
        <v/>
      </c>
      <c r="CA114" s="96"/>
      <c r="CB114" s="94" t="str">
        <f>IF(ISERROR(CB67/BZ67-1),"",CB67/BZ67-1)</f>
        <v/>
      </c>
      <c r="CC114" s="94" t="str">
        <f>IF(ISERROR(CC67/CB67-1),"",CC67/CB67-1)</f>
        <v/>
      </c>
      <c r="CD114" s="94" t="str">
        <f>IF(ISERROR(CD67/CC67-1),"",CD67/CC67-1)</f>
        <v/>
      </c>
      <c r="CE114" s="94" t="str">
        <f>IF(ISERROR(CE67/CD67-1),"",CE67/CD67-1)</f>
        <v/>
      </c>
      <c r="CF114" s="96"/>
      <c r="CG114" s="94" t="str">
        <f>IF(ISERROR(CG67/CF67-1),"",CG67/CF67-1)</f>
        <v/>
      </c>
      <c r="CH114" s="94" t="str">
        <f>IF(ISERROR(CH67/CG67-1),"",CH67/CG67-1)</f>
        <v/>
      </c>
      <c r="CI114" s="94" t="str">
        <f>IF(ISERROR(CI67/CH67-1),"",CI67/CH67-1)</f>
        <v/>
      </c>
      <c r="CJ114" s="94" t="str">
        <f>IF(ISERROR(CJ67/CI67-1),"",CJ67/CI67-1)</f>
        <v/>
      </c>
      <c r="CK114" s="96"/>
      <c r="CL114" s="94" t="str">
        <f>IF(ISERROR(CL67/CJ67-1),"",CL67/CJ67-1)</f>
        <v/>
      </c>
      <c r="CM114" s="94">
        <f>IF(ISERROR(CM67/CL67-1),"",CM67/CL67-1)</f>
        <v>-1.6849451645064806</v>
      </c>
      <c r="CN114" s="94">
        <f>IF(ISERROR(CN67/CM67-1),"",CN67/CM67-1)</f>
        <v>-1.5094614264919941</v>
      </c>
      <c r="CO114" s="94">
        <f>IF(ISERROR(CO67/CN67-1),"",CO67/CN67-1)</f>
        <v>0.60857142857142854</v>
      </c>
      <c r="CP114" s="96"/>
      <c r="CQ114" s="94">
        <f>IF(ISERROR(CQ67/CO67-1),"",CQ67/CO67-1)</f>
        <v>0.13854351687388977</v>
      </c>
      <c r="CR114" s="94">
        <f>IF(ISERROR(CR67/CQ67-1),"",CR67/CQ67-1)</f>
        <v>-0.72542901716068642</v>
      </c>
      <c r="CS114" s="94">
        <f>IF(ISERROR(CS67/CR67-1),"",CS67/CR67-1)</f>
        <v>3.8068181818181817</v>
      </c>
      <c r="CT114" s="94">
        <f>IF(ISERROR(CT67/CS67-1),"",CT67/CS67-1)</f>
        <v>0.44089834515366433</v>
      </c>
      <c r="CU114" s="96"/>
      <c r="CV114" s="94">
        <f>IF(ISERROR(CV67/CT67-1),"",CV67/CT67-1)</f>
        <v>-0.25512715340442982</v>
      </c>
      <c r="CW114" s="94">
        <f>IF(ISERROR(CW67/CV67-1),"",CW67/CV67-1)</f>
        <v>0.26431718061674014</v>
      </c>
      <c r="CX114" s="94">
        <f>IF(ISERROR(CX67/CW67-1),"",CX67/CW67-1)</f>
        <v>0.11846689895470375</v>
      </c>
      <c r="CY114" s="94">
        <f>IF(ISERROR(CY67/CX67-1),"",CY67/CX67-1)</f>
        <v>0.11760124610591904</v>
      </c>
      <c r="CZ114" s="96"/>
      <c r="DA114" s="94">
        <f>IF(ISERROR(DA67/CY67-1),"",DA67/CY67-1)</f>
        <v>-1.3937282229965153E-2</v>
      </c>
      <c r="DB114" s="94">
        <f>IF(ISERROR(DB67/DA67-1),"",DB67/DA67-1)</f>
        <v>0.12367491166077738</v>
      </c>
      <c r="DC114" s="94">
        <f>IF(ISERROR(DC67/DB67-1),"",DC67/DB67-1)</f>
        <v>0.14088050314465406</v>
      </c>
      <c r="DD114" s="94">
        <f>IF(ISERROR(DD67/DC67-1),"",DD67/DC67-1)</f>
        <v>-4.5203969128996713E-2</v>
      </c>
      <c r="DE114" s="96"/>
      <c r="DF114" s="94">
        <f>IF(ISERROR(DF67/DD67-1),"",DF67/DD67-1)</f>
        <v>-3.2909930715935287E-2</v>
      </c>
      <c r="DG114" s="94">
        <f>IF(ISERROR(DG67/DF67-1),"",DG67/DF67-1)</f>
        <v>0.20776119402985072</v>
      </c>
      <c r="DH114" s="94">
        <f>IF(ISERROR(DH67/DG67-1),"",DH67/DG67-1)</f>
        <v>-1.9772614928323939E-3</v>
      </c>
      <c r="DI114" s="94">
        <f>IF(ISERROR(DI67/DH67-1),"",DI67/DH67-1)</f>
        <v>0.18821198613174839</v>
      </c>
      <c r="DJ114" s="96"/>
      <c r="DK114" s="94">
        <f>IF(ISERROR(DK67/DI67-1),"",DK67/DI67-1)</f>
        <v>-7.6281784076698611E-2</v>
      </c>
      <c r="DL114" s="94">
        <f>IF(ISERROR(DL67/DK67-1),"",DL67/DK67-1)</f>
        <v>0.17057761732851984</v>
      </c>
      <c r="DM114" s="94">
        <f>IF(ISERROR(DM67/DL67-1),"",DM67/DL67-1)</f>
        <v>-8.5880154202004566E-2</v>
      </c>
      <c r="DN114" s="94">
        <f>IF(ISERROR(DN67/DM67-1),"",DN67/DM67-1)</f>
        <v>7.0412157271089182E-3</v>
      </c>
      <c r="DO114" s="96"/>
      <c r="DP114" s="94">
        <f>IF(ISERROR(DP67/DN67-1),"",DP67/DN67-1)</f>
        <v>6.3207074666387975E-2</v>
      </c>
      <c r="DQ114" s="94">
        <f>IF(ISERROR(DQ67/DP67-1),"",DQ67/DP67-1)</f>
        <v>0.10117108848090872</v>
      </c>
      <c r="DR114" s="94">
        <f>IF(ISERROR(DR67/DQ67-1),"",DR67/DQ67-1)</f>
        <v>-1.5313656189832492E-2</v>
      </c>
      <c r="DS114" s="94">
        <f>IF(ISERROR(DS67/DR67-1),"",DS67/DR67-1)</f>
        <v>4.5748460651550138E-2</v>
      </c>
      <c r="DT114" s="96"/>
      <c r="DU114" s="96"/>
      <c r="DV114" s="96"/>
    </row>
    <row r="115" spans="1:126" s="93" customFormat="1" ht="12" hidden="1" customHeight="1" outlineLevel="2">
      <c r="A115" s="15"/>
      <c r="B115" s="15" t="s">
        <v>74</v>
      </c>
      <c r="C115" s="79"/>
      <c r="D115" s="79"/>
      <c r="E115" s="79"/>
      <c r="F115" s="79"/>
      <c r="G115" s="79"/>
      <c r="H115" s="79"/>
      <c r="I115" s="79"/>
      <c r="J115" s="78"/>
      <c r="K115" s="95" t="str">
        <f t="shared" ref="K115:M116" si="524">IF(ISERROR(K70/J70-1),"",K70/J70-1)</f>
        <v/>
      </c>
      <c r="L115" s="95" t="str">
        <f t="shared" si="524"/>
        <v/>
      </c>
      <c r="M115" s="95" t="str">
        <f t="shared" si="524"/>
        <v/>
      </c>
      <c r="N115" s="162"/>
      <c r="O115" s="94" t="str">
        <f>IF(ISERROR(O70/M70-1),"",O70/M70-1)</f>
        <v/>
      </c>
      <c r="P115" s="94" t="str">
        <f t="shared" ref="P115:R116" si="525">IF(ISERROR(P70/O70-1),"",P70/O70-1)</f>
        <v/>
      </c>
      <c r="Q115" s="94" t="str">
        <f t="shared" si="525"/>
        <v/>
      </c>
      <c r="R115" s="94" t="str">
        <f t="shared" si="525"/>
        <v/>
      </c>
      <c r="S115" s="162"/>
      <c r="T115" s="94" t="str">
        <f>IF(ISERROR(T70/R70-1),"",T70/R70-1)</f>
        <v/>
      </c>
      <c r="U115" s="94" t="str">
        <f t="shared" ref="U115:W116" si="526">IF(ISERROR(U70/T70-1),"",U70/T70-1)</f>
        <v/>
      </c>
      <c r="V115" s="94" t="str">
        <f t="shared" si="526"/>
        <v/>
      </c>
      <c r="W115" s="94" t="str">
        <f t="shared" si="526"/>
        <v/>
      </c>
      <c r="X115" s="162"/>
      <c r="Y115" s="94" t="str">
        <f>IF(ISERROR(Y70/W70-1),"",Y70/W70-1)</f>
        <v/>
      </c>
      <c r="Z115" s="94" t="str">
        <f t="shared" ref="Z115:AB116" si="527">IF(ISERROR(Z70/Y70-1),"",Z70/Y70-1)</f>
        <v/>
      </c>
      <c r="AA115" s="94" t="str">
        <f t="shared" si="527"/>
        <v/>
      </c>
      <c r="AB115" s="94" t="str">
        <f t="shared" si="527"/>
        <v/>
      </c>
      <c r="AC115" s="162"/>
      <c r="AD115" s="94" t="str">
        <f>IF(ISERROR(AD70/AB70-1),"",AD70/AB70-1)</f>
        <v/>
      </c>
      <c r="AE115" s="94" t="str">
        <f t="shared" ref="AE115:AG116" si="528">IF(ISERROR(AE70/AD70-1),"",AE70/AD70-1)</f>
        <v/>
      </c>
      <c r="AF115" s="94" t="str">
        <f t="shared" si="528"/>
        <v/>
      </c>
      <c r="AG115" s="94" t="str">
        <f t="shared" si="528"/>
        <v/>
      </c>
      <c r="AH115" s="162"/>
      <c r="AI115" s="94" t="str">
        <f>IF(ISERROR(AI70/AG70-1),"",AI70/AG70-1)</f>
        <v/>
      </c>
      <c r="AJ115" s="94" t="str">
        <f t="shared" ref="AJ115:AL116" si="529">IF(ISERROR(AJ70/AI70-1),"",AJ70/AI70-1)</f>
        <v/>
      </c>
      <c r="AK115" s="94" t="str">
        <f t="shared" si="529"/>
        <v/>
      </c>
      <c r="AL115" s="94" t="str">
        <f t="shared" si="529"/>
        <v/>
      </c>
      <c r="AM115" s="162"/>
      <c r="AN115" s="94" t="str">
        <f>IF(ISERROR(AN70/AL70-1),"",AN70/AL70-1)</f>
        <v/>
      </c>
      <c r="AO115" s="94" t="str">
        <f t="shared" ref="AO115:AQ116" si="530">IF(ISERROR(AO70/AN70-1),"",AO70/AN70-1)</f>
        <v/>
      </c>
      <c r="AP115" s="94" t="str">
        <f t="shared" si="530"/>
        <v/>
      </c>
      <c r="AQ115" s="94" t="str">
        <f t="shared" si="530"/>
        <v/>
      </c>
      <c r="AR115" s="96"/>
      <c r="AS115" s="94" t="str">
        <f>IF(ISERROR(AS70/AQ70-1),"",AS70/AQ70-1)</f>
        <v/>
      </c>
      <c r="AT115" s="94" t="str">
        <f t="shared" ref="AT115:AV116" si="531">IF(ISERROR(AT70/AS70-1),"",AT70/AS70-1)</f>
        <v/>
      </c>
      <c r="AU115" s="94" t="str">
        <f t="shared" si="531"/>
        <v/>
      </c>
      <c r="AV115" s="94" t="str">
        <f t="shared" si="531"/>
        <v/>
      </c>
      <c r="AW115" s="96"/>
      <c r="AX115" s="94" t="str">
        <f>IF(ISERROR(AX70/AV70-1),"",AX70/AV70-1)</f>
        <v/>
      </c>
      <c r="AY115" s="94" t="str">
        <f t="shared" ref="AY115:BA116" si="532">IF(ISERROR(AY70/AX70-1),"",AY70/AX70-1)</f>
        <v/>
      </c>
      <c r="AZ115" s="94" t="str">
        <f t="shared" si="532"/>
        <v/>
      </c>
      <c r="BA115" s="94" t="str">
        <f t="shared" si="532"/>
        <v/>
      </c>
      <c r="BB115" s="96"/>
      <c r="BC115" s="94" t="str">
        <f>IF(ISERROR(BC70/BA70-1),"",BC70/BA70-1)</f>
        <v/>
      </c>
      <c r="BD115" s="94" t="str">
        <f t="shared" ref="BD115:BF116" si="533">IF(ISERROR(BD70/BC70-1),"",BD70/BC70-1)</f>
        <v/>
      </c>
      <c r="BE115" s="94" t="str">
        <f t="shared" si="533"/>
        <v/>
      </c>
      <c r="BF115" s="94" t="str">
        <f t="shared" si="533"/>
        <v/>
      </c>
      <c r="BG115" s="96"/>
      <c r="BH115" s="94" t="str">
        <f>IF(ISERROR(BH70/BF70-1),"",BH70/BF70-1)</f>
        <v/>
      </c>
      <c r="BI115" s="94" t="str">
        <f t="shared" ref="BI115:BK116" si="534">IF(ISERROR(BI70/BH70-1),"",BI70/BH70-1)</f>
        <v/>
      </c>
      <c r="BJ115" s="94" t="str">
        <f t="shared" si="534"/>
        <v/>
      </c>
      <c r="BK115" s="94" t="str">
        <f t="shared" si="534"/>
        <v/>
      </c>
      <c r="BL115" s="96"/>
      <c r="BM115" s="94" t="str">
        <f>IF(ISERROR(BM70/BK70-1),"",BM70/BK70-1)</f>
        <v/>
      </c>
      <c r="BN115" s="94" t="str">
        <f t="shared" ref="BN115:BP116" si="535">IF(ISERROR(BN70/BM70-1),"",BN70/BM70-1)</f>
        <v/>
      </c>
      <c r="BO115" s="94" t="str">
        <f t="shared" si="535"/>
        <v/>
      </c>
      <c r="BP115" s="94" t="str">
        <f t="shared" si="535"/>
        <v/>
      </c>
      <c r="BQ115" s="96"/>
      <c r="BR115" s="94" t="str">
        <f>IF(ISERROR(BR70/BP70-1),"",BR70/BP70-1)</f>
        <v/>
      </c>
      <c r="BS115" s="94" t="str">
        <f t="shared" ref="BS115:BU116" si="536">IF(ISERROR(BS70/BR70-1),"",BS70/BR70-1)</f>
        <v/>
      </c>
      <c r="BT115" s="94" t="str">
        <f t="shared" si="536"/>
        <v/>
      </c>
      <c r="BU115" s="94" t="str">
        <f t="shared" si="536"/>
        <v/>
      </c>
      <c r="BV115" s="96"/>
      <c r="BW115" s="94" t="str">
        <f>IF(ISERROR(BW70/BU70-1),"",BW70/BU70-1)</f>
        <v/>
      </c>
      <c r="BX115" s="94" t="str">
        <f t="shared" ref="BX115:BZ116" si="537">IF(ISERROR(BX70/BW70-1),"",BX70/BW70-1)</f>
        <v/>
      </c>
      <c r="BY115" s="94" t="str">
        <f t="shared" si="537"/>
        <v/>
      </c>
      <c r="BZ115" s="94" t="str">
        <f t="shared" si="537"/>
        <v/>
      </c>
      <c r="CA115" s="96"/>
      <c r="CB115" s="94" t="str">
        <f>IF(ISERROR(CB70/BZ70-1),"",CB70/BZ70-1)</f>
        <v/>
      </c>
      <c r="CC115" s="94" t="str">
        <f t="shared" ref="CC115:CE116" si="538">IF(ISERROR(CC70/CB70-1),"",CC70/CB70-1)</f>
        <v/>
      </c>
      <c r="CD115" s="94" t="str">
        <f t="shared" si="538"/>
        <v/>
      </c>
      <c r="CE115" s="94" t="str">
        <f t="shared" si="538"/>
        <v/>
      </c>
      <c r="CF115" s="96"/>
      <c r="CG115" s="94" t="str">
        <f>IF(ISERROR(CG70/CF70-1),"",CG70/CF70-1)</f>
        <v/>
      </c>
      <c r="CH115" s="94" t="str">
        <f>IF(ISERROR(CH70/CG70-1),"",CH70/CG70-1)</f>
        <v/>
      </c>
      <c r="CI115" s="94" t="str">
        <f>IF(ISERROR(CI70/CH70-1),"",CI70/CH70-1)</f>
        <v/>
      </c>
      <c r="CJ115" s="94" t="str">
        <f>IF(ISERROR(CJ70/CI70-1),"",CJ70/CI70-1)</f>
        <v/>
      </c>
      <c r="CK115" s="96"/>
      <c r="CL115" s="94" t="str">
        <f>IF(ISERROR(CL70/CJ70-1),"",CL70/CJ70-1)</f>
        <v/>
      </c>
      <c r="CM115" s="94">
        <f t="shared" ref="CM115:CO116" si="539">IF(ISERROR(CM70/CL70-1),"",CM70/CL70-1)</f>
        <v>-0.27586206896551724</v>
      </c>
      <c r="CN115" s="94">
        <f t="shared" si="539"/>
        <v>23.523809523809526</v>
      </c>
      <c r="CO115" s="94">
        <f t="shared" si="539"/>
        <v>-0.12233009708737863</v>
      </c>
      <c r="CP115" s="96"/>
      <c r="CQ115" s="94">
        <f>IF(ISERROR(CQ70/CO70-1),"",CQ70/CO70-1)</f>
        <v>-0.65265486725663724</v>
      </c>
      <c r="CR115" s="94">
        <f t="shared" ref="CR115:CT116" si="540">IF(ISERROR(CR70/CQ70-1),"",CR70/CQ70-1)</f>
        <v>3.7261146496815289</v>
      </c>
      <c r="CS115" s="94">
        <f t="shared" si="540"/>
        <v>-0.36657681940700804</v>
      </c>
      <c r="CT115" s="94">
        <f t="shared" si="540"/>
        <v>-0.24255319148936172</v>
      </c>
      <c r="CU115" s="96"/>
      <c r="CV115" s="94">
        <f>IF(ISERROR(CV70/CT70-1),"",CV70/CT70-1)</f>
        <v>-2.3848314606741576</v>
      </c>
      <c r="CW115" s="94">
        <f t="shared" ref="CW115:CY116" si="541">IF(ISERROR(CW70/CV70-1),"",CW70/CV70-1)</f>
        <v>-0.73630831643002026</v>
      </c>
      <c r="CX115" s="94">
        <f t="shared" si="541"/>
        <v>6.115384615384615</v>
      </c>
      <c r="CY115" s="94">
        <f t="shared" si="541"/>
        <v>-0.92540540540540539</v>
      </c>
      <c r="CZ115" s="96"/>
      <c r="DA115" s="94">
        <f>IF(ISERROR(DA70/CY70-1),"",DA70/CY70-1)</f>
        <v>1.4347826086956523</v>
      </c>
      <c r="DB115" s="94">
        <f t="shared" ref="DB115" si="542">IF(ISERROR(DB70/DA70-1),"",DB70/DA70-1)</f>
        <v>0.22023809523809534</v>
      </c>
      <c r="DC115" s="94">
        <f t="shared" ref="DC115" si="543">IF(ISERROR(DC70/DB70-1),"",DC70/DB70-1)</f>
        <v>7.3170731707317138E-2</v>
      </c>
      <c r="DD115" s="94">
        <f t="shared" ref="DD115" si="544">IF(ISERROR(DD70/DC70-1),"",DD70/DC70-1)</f>
        <v>0.80454545454545445</v>
      </c>
      <c r="DE115" s="96"/>
      <c r="DF115" s="94">
        <f>IF(ISERROR(DF70/DD70-1),"",DF70/DD70-1)</f>
        <v>-0.68513853904282118</v>
      </c>
      <c r="DG115" s="94">
        <f t="shared" ref="DG115" si="545">IF(ISERROR(DG70/DF70-1),"",DG70/DF70-1)</f>
        <v>8.0000000000000071E-3</v>
      </c>
      <c r="DH115" s="94">
        <f t="shared" ref="DH115" si="546">IF(ISERROR(DH70/DG70-1),"",DH70/DG70-1)</f>
        <v>0.59523809523809534</v>
      </c>
      <c r="DI115" s="94">
        <f t="shared" ref="DI115" si="547">IF(ISERROR(DI70/DH70-1),"",DI70/DH70-1)</f>
        <v>1.044776119402985</v>
      </c>
      <c r="DJ115" s="96"/>
      <c r="DK115" s="94">
        <f>IF(ISERROR(DK70/DI70-1),"",DK70/DI70-1)</f>
        <v>-0.82968369829683697</v>
      </c>
      <c r="DL115" s="94">
        <f t="shared" ref="DL115" si="548">IF(ISERROR(DL70/DK70-1),"",DL70/DK70-1)</f>
        <v>2.6714285714285713</v>
      </c>
      <c r="DM115" s="94">
        <f t="shared" ref="DM115" si="549">IF(ISERROR(DM70/DL70-1),"",DM70/DL70-1)</f>
        <v>-0.10505836575875482</v>
      </c>
      <c r="DN115" s="94">
        <f t="shared" ref="DN115" si="550">IF(ISERROR(DN70/DM70-1),"",DN70/DM70-1)</f>
        <v>0.52173913043478271</v>
      </c>
      <c r="DO115" s="96"/>
      <c r="DP115" s="94">
        <f>IF(ISERROR(DP70/DN70-1),"",DP70/DN70-1)</f>
        <v>-0.54285714285714293</v>
      </c>
      <c r="DQ115" s="94">
        <f t="shared" ref="DQ115" si="551">IF(ISERROR(DQ70/DP70-1),"",DQ70/DP70-1)</f>
        <v>0.25</v>
      </c>
      <c r="DR115" s="94">
        <f t="shared" ref="DR115" si="552">IF(ISERROR(DR70/DQ70-1),"",DR70/DQ70-1)</f>
        <v>0.25</v>
      </c>
      <c r="DS115" s="94">
        <f t="shared" ref="DS115" si="553">IF(ISERROR(DS70/DR70-1),"",DS70/DR70-1)</f>
        <v>0.15999999999999992</v>
      </c>
      <c r="DT115" s="96"/>
      <c r="DU115" s="96"/>
      <c r="DV115" s="96"/>
    </row>
    <row r="116" spans="1:126" s="93" customFormat="1" ht="12" hidden="1" outlineLevel="1">
      <c r="A116" s="15"/>
      <c r="B116" s="175" t="s">
        <v>75</v>
      </c>
      <c r="C116" s="176"/>
      <c r="D116" s="176"/>
      <c r="E116" s="176"/>
      <c r="F116" s="176"/>
      <c r="G116" s="176"/>
      <c r="H116" s="176"/>
      <c r="I116" s="176"/>
      <c r="J116" s="175"/>
      <c r="K116" s="167" t="str">
        <f t="shared" si="524"/>
        <v/>
      </c>
      <c r="L116" s="167" t="str">
        <f t="shared" si="524"/>
        <v/>
      </c>
      <c r="M116" s="167" t="str">
        <f t="shared" si="524"/>
        <v/>
      </c>
      <c r="N116" s="168"/>
      <c r="O116" s="167" t="str">
        <f>IF(ISERROR(O71/M71-1),"",O71/M71-1)</f>
        <v/>
      </c>
      <c r="P116" s="167" t="str">
        <f t="shared" si="525"/>
        <v/>
      </c>
      <c r="Q116" s="167" t="str">
        <f t="shared" si="525"/>
        <v/>
      </c>
      <c r="R116" s="167" t="str">
        <f t="shared" si="525"/>
        <v/>
      </c>
      <c r="S116" s="168"/>
      <c r="T116" s="167" t="str">
        <f>IF(ISERROR(T71/R71-1),"",T71/R71-1)</f>
        <v/>
      </c>
      <c r="U116" s="167" t="str">
        <f t="shared" si="526"/>
        <v/>
      </c>
      <c r="V116" s="167" t="str">
        <f t="shared" si="526"/>
        <v/>
      </c>
      <c r="W116" s="167" t="str">
        <f t="shared" si="526"/>
        <v/>
      </c>
      <c r="X116" s="168"/>
      <c r="Y116" s="167" t="str">
        <f>IF(ISERROR(Y71/W71-1),"",Y71/W71-1)</f>
        <v/>
      </c>
      <c r="Z116" s="167" t="str">
        <f t="shared" si="527"/>
        <v/>
      </c>
      <c r="AA116" s="167" t="str">
        <f t="shared" si="527"/>
        <v/>
      </c>
      <c r="AB116" s="167" t="str">
        <f t="shared" si="527"/>
        <v/>
      </c>
      <c r="AC116" s="168"/>
      <c r="AD116" s="167" t="str">
        <f>IF(ISERROR(AD71/AB71-1),"",AD71/AB71-1)</f>
        <v/>
      </c>
      <c r="AE116" s="167" t="str">
        <f t="shared" si="528"/>
        <v/>
      </c>
      <c r="AF116" s="167" t="str">
        <f t="shared" si="528"/>
        <v/>
      </c>
      <c r="AG116" s="167" t="str">
        <f t="shared" si="528"/>
        <v/>
      </c>
      <c r="AH116" s="168"/>
      <c r="AI116" s="167" t="str">
        <f>IF(ISERROR(AI71/AG71-1),"",AI71/AG71-1)</f>
        <v/>
      </c>
      <c r="AJ116" s="167" t="str">
        <f t="shared" si="529"/>
        <v/>
      </c>
      <c r="AK116" s="167" t="str">
        <f t="shared" si="529"/>
        <v/>
      </c>
      <c r="AL116" s="167" t="str">
        <f t="shared" si="529"/>
        <v/>
      </c>
      <c r="AM116" s="168"/>
      <c r="AN116" s="167" t="str">
        <f>IF(ISERROR(AN71/AL71-1),"",AN71/AL71-1)</f>
        <v/>
      </c>
      <c r="AO116" s="167" t="str">
        <f t="shared" si="530"/>
        <v/>
      </c>
      <c r="AP116" s="167" t="str">
        <f t="shared" si="530"/>
        <v/>
      </c>
      <c r="AQ116" s="167" t="str">
        <f t="shared" si="530"/>
        <v/>
      </c>
      <c r="AR116" s="168"/>
      <c r="AS116" s="167" t="str">
        <f>IF(ISERROR(AS71/AQ71-1),"",AS71/AQ71-1)</f>
        <v/>
      </c>
      <c r="AT116" s="167" t="str">
        <f t="shared" si="531"/>
        <v/>
      </c>
      <c r="AU116" s="167" t="str">
        <f t="shared" si="531"/>
        <v/>
      </c>
      <c r="AV116" s="167" t="str">
        <f t="shared" si="531"/>
        <v/>
      </c>
      <c r="AW116" s="168"/>
      <c r="AX116" s="167" t="str">
        <f>IF(ISERROR(AX71/AV71-1),"",AX71/AV71-1)</f>
        <v/>
      </c>
      <c r="AY116" s="167" t="str">
        <f t="shared" si="532"/>
        <v/>
      </c>
      <c r="AZ116" s="167" t="str">
        <f t="shared" si="532"/>
        <v/>
      </c>
      <c r="BA116" s="167" t="str">
        <f t="shared" si="532"/>
        <v/>
      </c>
      <c r="BB116" s="168"/>
      <c r="BC116" s="167" t="str">
        <f>IF(ISERROR(BC71/BA71-1),"",BC71/BA71-1)</f>
        <v/>
      </c>
      <c r="BD116" s="167" t="str">
        <f t="shared" si="533"/>
        <v/>
      </c>
      <c r="BE116" s="167" t="str">
        <f t="shared" si="533"/>
        <v/>
      </c>
      <c r="BF116" s="167" t="str">
        <f t="shared" si="533"/>
        <v/>
      </c>
      <c r="BG116" s="168"/>
      <c r="BH116" s="167" t="str">
        <f>IF(ISERROR(BH71/BF71-1),"",BH71/BF71-1)</f>
        <v/>
      </c>
      <c r="BI116" s="167" t="str">
        <f t="shared" si="534"/>
        <v/>
      </c>
      <c r="BJ116" s="167" t="str">
        <f t="shared" si="534"/>
        <v/>
      </c>
      <c r="BK116" s="167" t="str">
        <f t="shared" si="534"/>
        <v/>
      </c>
      <c r="BL116" s="168"/>
      <c r="BM116" s="167" t="str">
        <f>IF(ISERROR(BM71/BK71-1),"",BM71/BK71-1)</f>
        <v/>
      </c>
      <c r="BN116" s="167" t="str">
        <f t="shared" si="535"/>
        <v/>
      </c>
      <c r="BO116" s="167" t="str">
        <f t="shared" si="535"/>
        <v/>
      </c>
      <c r="BP116" s="167" t="str">
        <f t="shared" si="535"/>
        <v/>
      </c>
      <c r="BQ116" s="168"/>
      <c r="BR116" s="167" t="str">
        <f>IF(ISERROR(BR71/BP71-1),"",BR71/BP71-1)</f>
        <v/>
      </c>
      <c r="BS116" s="167" t="str">
        <f t="shared" si="536"/>
        <v/>
      </c>
      <c r="BT116" s="167" t="str">
        <f t="shared" si="536"/>
        <v/>
      </c>
      <c r="BU116" s="167" t="str">
        <f t="shared" si="536"/>
        <v/>
      </c>
      <c r="BV116" s="168"/>
      <c r="BW116" s="167" t="str">
        <f>IF(ISERROR(BW71/BU71-1),"",BW71/BU71-1)</f>
        <v/>
      </c>
      <c r="BX116" s="167" t="str">
        <f t="shared" si="537"/>
        <v/>
      </c>
      <c r="BY116" s="167" t="str">
        <f t="shared" si="537"/>
        <v/>
      </c>
      <c r="BZ116" s="167" t="str">
        <f t="shared" si="537"/>
        <v/>
      </c>
      <c r="CA116" s="168"/>
      <c r="CB116" s="167" t="str">
        <f>IF(ISERROR(CB71/BZ71-1),"",CB71/BZ71-1)</f>
        <v/>
      </c>
      <c r="CC116" s="167" t="str">
        <f t="shared" si="538"/>
        <v/>
      </c>
      <c r="CD116" s="167" t="str">
        <f t="shared" si="538"/>
        <v/>
      </c>
      <c r="CE116" s="167" t="str">
        <f t="shared" si="538"/>
        <v/>
      </c>
      <c r="CF116" s="168"/>
      <c r="CG116" s="167" t="str">
        <f>IF(ISERROR(CG71/CE71-1),"",CG71/CE71-1)</f>
        <v/>
      </c>
      <c r="CH116" s="167" t="str">
        <f>IF(ISERROR(CH71/CG71-1),"",CH71/CG71-1)</f>
        <v/>
      </c>
      <c r="CI116" s="167" t="str">
        <f>IF(ISERROR(CI71/CH71-1),"",CI71/CH71-1)</f>
        <v/>
      </c>
      <c r="CJ116" s="167" t="str">
        <f>IF(ISERROR(CJ71/CI71-1),"",CJ71/CI71-1)</f>
        <v/>
      </c>
      <c r="CK116" s="168"/>
      <c r="CL116" s="167" t="str">
        <f>IF(ISERROR(CL71/CJ71-1),"",CL71/CJ71-1)</f>
        <v/>
      </c>
      <c r="CM116" s="167">
        <f t="shared" si="539"/>
        <v>-1.6453488372093024</v>
      </c>
      <c r="CN116" s="167">
        <f t="shared" si="539"/>
        <v>-2.2987987987987988</v>
      </c>
      <c r="CO116" s="167">
        <f t="shared" si="539"/>
        <v>0.17341040462427748</v>
      </c>
      <c r="CP116" s="168"/>
      <c r="CQ116" s="167">
        <f>IF(ISERROR(CQ71/CO71-1),"",CQ71/CO71-1)</f>
        <v>-0.21379310344827585</v>
      </c>
      <c r="CR116" s="167">
        <f t="shared" si="540"/>
        <v>0.15037593984962405</v>
      </c>
      <c r="CS116" s="167">
        <f t="shared" si="540"/>
        <v>0.43355119825708055</v>
      </c>
      <c r="CT116" s="167">
        <f t="shared" si="540"/>
        <v>0.19680851063829796</v>
      </c>
      <c r="CU116" s="168"/>
      <c r="CV116" s="167">
        <f>IF(ISERROR(CV71/CT71-1),"",CV71/CT71-1)</f>
        <v>-0.73650793650793656</v>
      </c>
      <c r="CW116" s="167">
        <f t="shared" si="541"/>
        <v>1.4530120481927713</v>
      </c>
      <c r="CX116" s="167">
        <f t="shared" si="541"/>
        <v>-0.6473477406679764</v>
      </c>
      <c r="CY116" s="167">
        <f t="shared" si="541"/>
        <v>2.8050139275766015</v>
      </c>
      <c r="CZ116" s="168"/>
      <c r="DA116" s="167">
        <f>IF(ISERROR(DA71/CY71-1),"",DA71/CY71-1)</f>
        <v>-8.7115666178623763E-2</v>
      </c>
      <c r="DB116" s="167">
        <f>IF(ISERROR(DB71/DA71-1),"",DB71/DA71-1)</f>
        <v>0.1106655974338413</v>
      </c>
      <c r="DC116" s="167">
        <f>IF(ISERROR(DC71/DB71-1),"",DC71/DB71-1)</f>
        <v>0.1509025270758122</v>
      </c>
      <c r="DD116" s="167">
        <f>IF(ISERROR(DD71/DC71-1),"",DD71/DC71-1)</f>
        <v>-0.16248431618569636</v>
      </c>
      <c r="DE116" s="168"/>
      <c r="DF116" s="167">
        <f>IF(ISERROR(DF71/DD71-1),"",DF71/DD71-1)</f>
        <v>0.16104868913857673</v>
      </c>
      <c r="DG116" s="167">
        <f>IF(ISERROR(DG71/DF71-1),"",DG71/DF71-1)</f>
        <v>0.22387096774193549</v>
      </c>
      <c r="DH116" s="167">
        <f>IF(ISERROR(DH71/DG71-1),"",DH71/DG71-1)</f>
        <v>-4.1644702161307334E-2</v>
      </c>
      <c r="DI116" s="167">
        <f>IF(ISERROR(DI71/DH71-1),"",DI71/DH71-1)</f>
        <v>9.3509350935093494E-2</v>
      </c>
      <c r="DJ116" s="168"/>
      <c r="DK116" s="167">
        <f>IF(ISERROR(DK71/DI71-1),"",DK71/DI71-1)</f>
        <v>7.9476861167002033E-2</v>
      </c>
      <c r="DL116" s="167">
        <f>IF(ISERROR(DL71/DK71-1),"",DL71/DK71-1)</f>
        <v>8.9002795899347564E-2</v>
      </c>
      <c r="DM116" s="167">
        <f>IF(ISERROR(DM71/DL71-1),"",DM71/DL71-1)</f>
        <v>-8.3771125374411559E-2</v>
      </c>
      <c r="DN116" s="167">
        <f>IF(ISERROR(DN71/DM71-1),"",DN71/DM71-1)</f>
        <v>-4.8245088348601528E-2</v>
      </c>
      <c r="DO116" s="168"/>
      <c r="DP116" s="167">
        <f>IF(ISERROR(DP71/DN71-1),"",DP71/DN71-1)</f>
        <v>0.16729464584337639</v>
      </c>
      <c r="DQ116" s="167">
        <f>IF(ISERROR(DQ71/DP71-1),"",DQ71/DP71-1)</f>
        <v>9.1160975454075865E-2</v>
      </c>
      <c r="DR116" s="167">
        <f>IF(ISERROR(DR71/DQ71-1),"",DR71/DQ71-1)</f>
        <v>-3.5756083769958091E-2</v>
      </c>
      <c r="DS116" s="167">
        <f>IF(ISERROR(DS71/DR71-1),"",DS71/DR71-1)</f>
        <v>3.433655876585906E-2</v>
      </c>
      <c r="DT116" s="168"/>
      <c r="DU116" s="168"/>
      <c r="DV116" s="168"/>
    </row>
    <row r="117" spans="1:126" s="93" customFormat="1" ht="12" hidden="1" outlineLevel="1">
      <c r="A117" s="15"/>
      <c r="B117" s="927"/>
      <c r="C117" s="928"/>
      <c r="D117" s="928"/>
      <c r="E117" s="928"/>
      <c r="F117" s="928"/>
      <c r="G117" s="928"/>
      <c r="H117" s="928"/>
      <c r="I117" s="928"/>
      <c r="J117" s="927"/>
      <c r="K117" s="929"/>
      <c r="L117" s="929"/>
      <c r="M117" s="929"/>
      <c r="N117" s="930"/>
      <c r="O117" s="929"/>
      <c r="P117" s="929"/>
      <c r="Q117" s="929"/>
      <c r="R117" s="929"/>
      <c r="S117" s="930"/>
      <c r="T117" s="929"/>
      <c r="U117" s="929"/>
      <c r="V117" s="929"/>
      <c r="W117" s="929"/>
      <c r="X117" s="930"/>
      <c r="Y117" s="929"/>
      <c r="Z117" s="929"/>
      <c r="AA117" s="929"/>
      <c r="AB117" s="929"/>
      <c r="AC117" s="930"/>
      <c r="AD117" s="929"/>
      <c r="AE117" s="929"/>
      <c r="AF117" s="929"/>
      <c r="AG117" s="929"/>
      <c r="AH117" s="930"/>
      <c r="AI117" s="929"/>
      <c r="AJ117" s="929"/>
      <c r="AK117" s="929"/>
      <c r="AL117" s="929"/>
      <c r="AM117" s="930"/>
      <c r="AN117" s="929"/>
      <c r="AO117" s="929"/>
      <c r="AP117" s="929"/>
      <c r="AQ117" s="929"/>
      <c r="AR117" s="930"/>
      <c r="AS117" s="929"/>
      <c r="AT117" s="929"/>
      <c r="AU117" s="929"/>
      <c r="AV117" s="929"/>
      <c r="AW117" s="930"/>
      <c r="AX117" s="929"/>
      <c r="AY117" s="929"/>
      <c r="AZ117" s="929"/>
      <c r="BA117" s="929"/>
      <c r="BB117" s="930"/>
      <c r="BC117" s="929"/>
      <c r="BD117" s="929"/>
      <c r="BE117" s="929"/>
      <c r="BF117" s="929"/>
      <c r="BG117" s="930"/>
      <c r="BH117" s="929"/>
      <c r="BI117" s="929"/>
      <c r="BJ117" s="929"/>
      <c r="BK117" s="929"/>
      <c r="BL117" s="930"/>
      <c r="BM117" s="929"/>
      <c r="BN117" s="929"/>
      <c r="BO117" s="929"/>
      <c r="BP117" s="929"/>
      <c r="BQ117" s="930"/>
      <c r="BR117" s="929"/>
      <c r="BS117" s="929"/>
      <c r="BT117" s="929"/>
      <c r="BU117" s="929"/>
      <c r="BV117" s="930"/>
      <c r="BW117" s="929"/>
      <c r="BX117" s="929"/>
      <c r="BY117" s="929"/>
      <c r="BZ117" s="929"/>
      <c r="CA117" s="930"/>
      <c r="CB117" s="929"/>
      <c r="CC117" s="929"/>
      <c r="CD117" s="929"/>
      <c r="CE117" s="929"/>
      <c r="CF117" s="930"/>
      <c r="CG117" s="929"/>
      <c r="CH117" s="929"/>
      <c r="CI117" s="929"/>
      <c r="CJ117" s="929"/>
      <c r="CK117" s="930"/>
      <c r="CL117" s="929"/>
      <c r="CM117" s="929"/>
      <c r="CN117" s="929"/>
      <c r="CO117" s="929"/>
      <c r="CP117" s="930"/>
      <c r="CQ117" s="929"/>
      <c r="CR117" s="929"/>
      <c r="CS117" s="929"/>
      <c r="CT117" s="929"/>
      <c r="CU117" s="930"/>
      <c r="CV117" s="929"/>
      <c r="CW117" s="929"/>
      <c r="CX117" s="929"/>
      <c r="CY117" s="929"/>
      <c r="CZ117" s="930"/>
      <c r="DA117" s="929"/>
      <c r="DB117" s="929"/>
      <c r="DC117" s="929"/>
      <c r="DD117" s="929"/>
      <c r="DE117" s="930"/>
      <c r="DF117" s="929"/>
      <c r="DG117" s="929"/>
      <c r="DH117" s="929"/>
      <c r="DI117" s="929"/>
      <c r="DJ117" s="930"/>
      <c r="DK117" s="929"/>
      <c r="DL117" s="929"/>
      <c r="DM117" s="929"/>
      <c r="DN117" s="929"/>
      <c r="DO117" s="930"/>
      <c r="DP117" s="929"/>
      <c r="DQ117" s="929"/>
      <c r="DR117" s="929"/>
      <c r="DS117" s="929"/>
      <c r="DT117" s="930"/>
      <c r="DU117" s="930"/>
      <c r="DV117" s="930"/>
    </row>
    <row r="118" spans="1:126" s="15" customFormat="1" collapsed="1">
      <c r="C118" s="16"/>
      <c r="D118" s="16"/>
      <c r="E118" s="16"/>
      <c r="F118" s="16"/>
      <c r="G118" s="16"/>
      <c r="H118" s="16"/>
      <c r="I118" s="16"/>
      <c r="J118" s="12"/>
      <c r="K118" s="12"/>
      <c r="L118" s="12"/>
      <c r="M118" s="12"/>
      <c r="N118" s="136"/>
      <c r="S118" s="136"/>
      <c r="X118" s="136"/>
      <c r="AC118" s="136"/>
      <c r="AH118" s="136"/>
      <c r="AM118" s="136"/>
      <c r="AR118" s="16"/>
      <c r="AW118" s="16"/>
      <c r="BB118" s="16"/>
      <c r="BG118" s="16"/>
      <c r="BL118" s="16"/>
      <c r="BQ118" s="16"/>
      <c r="BV118" s="16"/>
      <c r="CA118" s="16"/>
      <c r="CF118" s="16"/>
      <c r="CK118" s="16"/>
      <c r="CP118" s="16"/>
      <c r="CU118" s="16"/>
      <c r="CZ118" s="16"/>
      <c r="DE118" s="16"/>
      <c r="DJ118" s="16"/>
      <c r="DO118" s="16"/>
      <c r="DT118" s="16"/>
      <c r="DU118" s="16"/>
      <c r="DV118" s="16"/>
    </row>
    <row r="119" spans="1:126" s="15" customFormat="1" ht="12">
      <c r="B119" s="110" t="s">
        <v>76</v>
      </c>
      <c r="C119" s="16"/>
      <c r="D119" s="16"/>
      <c r="E119" s="16"/>
      <c r="F119" s="16"/>
      <c r="G119" s="16"/>
      <c r="H119" s="16"/>
      <c r="I119" s="16"/>
      <c r="J119" s="12"/>
      <c r="K119" s="12"/>
      <c r="L119" s="12"/>
      <c r="M119" s="12"/>
      <c r="N119" s="136"/>
      <c r="S119" s="136"/>
      <c r="X119" s="136"/>
      <c r="AC119" s="136"/>
      <c r="AH119" s="136"/>
      <c r="AM119" s="136"/>
      <c r="AR119" s="16"/>
      <c r="AW119" s="16"/>
      <c r="BB119" s="16"/>
      <c r="BG119" s="16"/>
      <c r="BL119" s="16"/>
      <c r="BQ119" s="16"/>
      <c r="BV119" s="16"/>
      <c r="CA119" s="16"/>
      <c r="CF119" s="16"/>
      <c r="CK119" s="16"/>
      <c r="CP119" s="16"/>
      <c r="CU119" s="16"/>
      <c r="CZ119" s="16"/>
      <c r="DE119" s="16"/>
      <c r="DJ119" s="16"/>
      <c r="DK119" s="1062"/>
      <c r="DL119" s="1062"/>
      <c r="DO119" s="16"/>
      <c r="DP119" s="1062"/>
      <c r="DQ119" s="1062"/>
      <c r="DT119" s="16"/>
      <c r="DU119" s="16"/>
      <c r="DV119" s="16"/>
    </row>
    <row r="120" spans="1:126" s="306" customFormat="1">
      <c r="B120" s="221" t="s">
        <v>381</v>
      </c>
      <c r="C120" s="308"/>
      <c r="D120" s="308"/>
      <c r="E120" s="308"/>
      <c r="F120" s="308"/>
      <c r="G120" s="308"/>
      <c r="H120" s="308"/>
      <c r="I120" s="308"/>
      <c r="J120" s="315"/>
      <c r="K120" s="315"/>
      <c r="L120" s="315"/>
      <c r="M120" s="315"/>
      <c r="N120" s="316"/>
      <c r="S120" s="316"/>
      <c r="X120" s="316"/>
      <c r="AC120" s="316"/>
      <c r="AH120" s="316"/>
      <c r="AM120" s="316"/>
      <c r="AP120" s="68"/>
      <c r="AQ120" s="68"/>
      <c r="AR120" s="69"/>
      <c r="AS120" s="68">
        <f>data!AS171</f>
        <v>0</v>
      </c>
      <c r="AT120" s="68">
        <f>data!AT171</f>
        <v>0</v>
      </c>
      <c r="AU120" s="68">
        <f>data!AU171</f>
        <v>0</v>
      </c>
      <c r="AV120" s="68">
        <f>data!AV171</f>
        <v>0</v>
      </c>
      <c r="AW120" s="69">
        <f>data!AW171</f>
        <v>0</v>
      </c>
      <c r="AX120" s="68">
        <f>data!AX171</f>
        <v>0</v>
      </c>
      <c r="AY120" s="68">
        <f>data!AY171</f>
        <v>0</v>
      </c>
      <c r="AZ120" s="68">
        <f>data!AZ171</f>
        <v>0</v>
      </c>
      <c r="BA120" s="68">
        <f>data!BA171</f>
        <v>0</v>
      </c>
      <c r="BB120" s="69">
        <f>data!BB171</f>
        <v>0</v>
      </c>
      <c r="BC120" s="68">
        <f>data!BC171</f>
        <v>0</v>
      </c>
      <c r="BD120" s="68">
        <f>data!BD171</f>
        <v>0</v>
      </c>
      <c r="BE120" s="68">
        <f>data!BE171</f>
        <v>0</v>
      </c>
      <c r="BF120" s="68">
        <f>data!BF171</f>
        <v>0</v>
      </c>
      <c r="BG120" s="69">
        <f>data!BG171</f>
        <v>0</v>
      </c>
      <c r="BH120" s="68">
        <f>data!BH171</f>
        <v>0</v>
      </c>
      <c r="BI120" s="68">
        <f>data!BI171</f>
        <v>0</v>
      </c>
      <c r="BJ120" s="68">
        <f>data!BJ171</f>
        <v>0</v>
      </c>
      <c r="BK120" s="68">
        <f>data!BK171</f>
        <v>0</v>
      </c>
      <c r="BL120" s="69">
        <f>data!BL171</f>
        <v>0</v>
      </c>
      <c r="BM120" s="68">
        <f>data!BM171</f>
        <v>0</v>
      </c>
      <c r="BN120" s="68">
        <f>data!BN171</f>
        <v>0</v>
      </c>
      <c r="BO120" s="68">
        <f>data!BO171</f>
        <v>0</v>
      </c>
      <c r="BP120" s="68">
        <f>data!BP171</f>
        <v>0</v>
      </c>
      <c r="BQ120" s="69">
        <f>data!BQ171</f>
        <v>0</v>
      </c>
      <c r="BR120" s="68">
        <f>data!BR171</f>
        <v>0</v>
      </c>
      <c r="BS120" s="68">
        <f>data!BS171</f>
        <v>0</v>
      </c>
      <c r="BT120" s="68">
        <f>data!BT171</f>
        <v>0</v>
      </c>
      <c r="BU120" s="68">
        <f>data!BU171</f>
        <v>0</v>
      </c>
      <c r="BV120" s="69">
        <f>data!BV171</f>
        <v>0</v>
      </c>
      <c r="BW120" s="68">
        <f>data!BW171</f>
        <v>0</v>
      </c>
      <c r="BX120" s="68">
        <f>data!BX171</f>
        <v>0</v>
      </c>
      <c r="BY120" s="68">
        <f>data!BY171</f>
        <v>0</v>
      </c>
      <c r="BZ120" s="68">
        <f>data!BZ171</f>
        <v>0</v>
      </c>
      <c r="CA120" s="69">
        <f>data!CA171</f>
        <v>0</v>
      </c>
      <c r="CB120" s="68">
        <f>data!CB171</f>
        <v>0</v>
      </c>
      <c r="CC120" s="68">
        <f>data!CC171</f>
        <v>0</v>
      </c>
      <c r="CD120" s="68">
        <f>data!CD171</f>
        <v>0</v>
      </c>
      <c r="CE120" s="68">
        <f>data!CE171</f>
        <v>0</v>
      </c>
      <c r="CF120" s="69">
        <f>data!CF171</f>
        <v>0</v>
      </c>
      <c r="CG120" s="68">
        <f>data!CG171</f>
        <v>0</v>
      </c>
      <c r="CH120" s="68">
        <f>data!CH171</f>
        <v>0</v>
      </c>
      <c r="CI120" s="68">
        <f>data!CI171</f>
        <v>0</v>
      </c>
      <c r="CJ120" s="68">
        <f>data!CJ171</f>
        <v>0</v>
      </c>
      <c r="CK120" s="69">
        <f>data!CK171</f>
        <v>0</v>
      </c>
      <c r="CL120" s="68">
        <f>data!CL171</f>
        <v>0</v>
      </c>
      <c r="CM120" s="68">
        <f>data!CM171</f>
        <v>0</v>
      </c>
      <c r="CN120" s="68">
        <f>data!CN171</f>
        <v>0</v>
      </c>
      <c r="CO120" s="68">
        <f>data!CO171</f>
        <v>0</v>
      </c>
      <c r="CP120" s="69">
        <f>data!CP171</f>
        <v>0</v>
      </c>
      <c r="CQ120" s="68">
        <f>data!CQ171</f>
        <v>0</v>
      </c>
      <c r="CR120" s="68">
        <f>data!CR171</f>
        <v>0</v>
      </c>
      <c r="CS120" s="68">
        <f>data!CS171</f>
        <v>0</v>
      </c>
      <c r="CT120" s="68">
        <f>data!CT171</f>
        <v>0</v>
      </c>
      <c r="CU120" s="69">
        <f>data!CU171</f>
        <v>0</v>
      </c>
      <c r="CV120" s="68">
        <f>data!CV171</f>
        <v>0</v>
      </c>
      <c r="CW120" s="68">
        <f>data!CW171</f>
        <v>0</v>
      </c>
      <c r="CX120" s="68">
        <f>data!CX171</f>
        <v>0</v>
      </c>
      <c r="CY120" s="68">
        <f>data!CY171</f>
        <v>0</v>
      </c>
      <c r="CZ120" s="69">
        <f>data!CZ171</f>
        <v>0</v>
      </c>
      <c r="DA120" s="68">
        <f>data!DA171</f>
        <v>1000</v>
      </c>
      <c r="DB120" s="68">
        <f>data!DB171</f>
        <v>0</v>
      </c>
      <c r="DC120" s="68"/>
      <c r="DD120" s="68"/>
      <c r="DE120" s="69"/>
      <c r="DF120" s="68"/>
      <c r="DG120" s="68"/>
      <c r="DH120" s="68"/>
      <c r="DI120" s="68"/>
      <c r="DJ120" s="69"/>
      <c r="DK120" s="1062"/>
      <c r="DL120" s="1062"/>
      <c r="DM120" s="68"/>
      <c r="DN120" s="68"/>
      <c r="DO120" s="69"/>
      <c r="DP120" s="1062"/>
      <c r="DQ120" s="1062"/>
      <c r="DR120" s="68"/>
      <c r="DS120" s="68"/>
      <c r="DT120" s="69"/>
      <c r="DU120" s="69"/>
      <c r="DV120" s="69"/>
    </row>
    <row r="121" spans="1:126" s="306" customFormat="1">
      <c r="B121" s="317" t="s">
        <v>457</v>
      </c>
      <c r="C121" s="308"/>
      <c r="D121" s="308"/>
      <c r="E121" s="308"/>
      <c r="F121" s="308"/>
      <c r="G121" s="308"/>
      <c r="H121" s="308"/>
      <c r="I121" s="308"/>
      <c r="J121" s="315"/>
      <c r="K121" s="315"/>
      <c r="L121" s="315"/>
      <c r="M121" s="315"/>
      <c r="N121" s="316"/>
      <c r="S121" s="316"/>
      <c r="X121" s="316"/>
      <c r="AC121" s="316"/>
      <c r="AH121" s="316"/>
      <c r="AM121" s="316"/>
      <c r="AP121" s="68"/>
      <c r="AQ121" s="68"/>
      <c r="AR121" s="69"/>
      <c r="AS121" s="68">
        <f>data!AS172</f>
        <v>0</v>
      </c>
      <c r="AT121" s="68">
        <f>data!AT172</f>
        <v>0</v>
      </c>
      <c r="AU121" s="68">
        <f>data!AU172</f>
        <v>0</v>
      </c>
      <c r="AV121" s="68">
        <f>data!AV172</f>
        <v>0</v>
      </c>
      <c r="AW121" s="69">
        <f>data!AW172</f>
        <v>0</v>
      </c>
      <c r="AX121" s="68">
        <f>data!AX172</f>
        <v>0</v>
      </c>
      <c r="AY121" s="68">
        <f>data!AY172</f>
        <v>0</v>
      </c>
      <c r="AZ121" s="68">
        <f>data!AZ172</f>
        <v>0</v>
      </c>
      <c r="BA121" s="68">
        <f>data!BA172</f>
        <v>0</v>
      </c>
      <c r="BB121" s="69">
        <f>data!BB172</f>
        <v>0</v>
      </c>
      <c r="BC121" s="68">
        <f>data!BC172</f>
        <v>0</v>
      </c>
      <c r="BD121" s="68">
        <f>data!BD172</f>
        <v>0</v>
      </c>
      <c r="BE121" s="68">
        <f>data!BE172</f>
        <v>0</v>
      </c>
      <c r="BF121" s="68">
        <f>data!BF172</f>
        <v>0</v>
      </c>
      <c r="BG121" s="69">
        <f>data!BG172</f>
        <v>0</v>
      </c>
      <c r="BH121" s="68">
        <f>data!BH172</f>
        <v>0</v>
      </c>
      <c r="BI121" s="68">
        <f>data!BI172</f>
        <v>0</v>
      </c>
      <c r="BJ121" s="68">
        <f>data!BJ172</f>
        <v>0</v>
      </c>
      <c r="BK121" s="68">
        <f>data!BK172</f>
        <v>0</v>
      </c>
      <c r="BL121" s="69">
        <f>data!BL172</f>
        <v>0</v>
      </c>
      <c r="BM121" s="68">
        <f>data!BM172</f>
        <v>0</v>
      </c>
      <c r="BN121" s="68">
        <f>data!BN172</f>
        <v>0</v>
      </c>
      <c r="BO121" s="68">
        <f>data!BO172</f>
        <v>0</v>
      </c>
      <c r="BP121" s="68">
        <f>data!BP172</f>
        <v>0</v>
      </c>
      <c r="BQ121" s="69">
        <f>+BP121</f>
        <v>0</v>
      </c>
      <c r="BR121" s="68">
        <f>data!BR172</f>
        <v>0</v>
      </c>
      <c r="BS121" s="68">
        <f>data!BS172</f>
        <v>0</v>
      </c>
      <c r="BT121" s="68">
        <f>data!BT172</f>
        <v>0</v>
      </c>
      <c r="BU121" s="68">
        <f>data!BU172</f>
        <v>0</v>
      </c>
      <c r="BV121" s="69">
        <f>data!BV172</f>
        <v>0</v>
      </c>
      <c r="BW121" s="68">
        <f>data!BW172</f>
        <v>0</v>
      </c>
      <c r="BX121" s="68">
        <f>data!BX172</f>
        <v>0</v>
      </c>
      <c r="BY121" s="68">
        <f>data!BY172</f>
        <v>0</v>
      </c>
      <c r="BZ121" s="68">
        <f>data!BZ172</f>
        <v>0</v>
      </c>
      <c r="CA121" s="69">
        <f>data!CA172</f>
        <v>0</v>
      </c>
      <c r="CB121" s="68">
        <f>data!CB172</f>
        <v>0</v>
      </c>
      <c r="CC121" s="68">
        <f>data!CC172</f>
        <v>0</v>
      </c>
      <c r="CD121" s="68">
        <f>data!CD172</f>
        <v>0</v>
      </c>
      <c r="CE121" s="68">
        <f>data!CE172</f>
        <v>0</v>
      </c>
      <c r="CF121" s="69">
        <f>data!CF172</f>
        <v>0</v>
      </c>
      <c r="CG121" s="68">
        <f>data!CG172</f>
        <v>0</v>
      </c>
      <c r="CH121" s="68">
        <f>data!CH172</f>
        <v>0</v>
      </c>
      <c r="CI121" s="68">
        <f>data!CI172</f>
        <v>0</v>
      </c>
      <c r="CJ121" s="68">
        <f>data!CJ172</f>
        <v>0</v>
      </c>
      <c r="CK121" s="69">
        <f>data!CK172</f>
        <v>0</v>
      </c>
      <c r="CL121" s="68">
        <f>data!CL172</f>
        <v>0</v>
      </c>
      <c r="CM121" s="68">
        <f>data!CM172</f>
        <v>0</v>
      </c>
      <c r="CN121" s="68">
        <f>data!CN172</f>
        <v>0</v>
      </c>
      <c r="CO121" s="68">
        <f>data!CO172</f>
        <v>0</v>
      </c>
      <c r="CP121" s="69">
        <f>data!CP172</f>
        <v>0</v>
      </c>
      <c r="CQ121" s="68">
        <f>data!CQ172</f>
        <v>0</v>
      </c>
      <c r="CR121" s="68">
        <f>data!CR172</f>
        <v>0</v>
      </c>
      <c r="CS121" s="68">
        <f>data!CS172</f>
        <v>0</v>
      </c>
      <c r="CT121" s="68">
        <f>data!CT172</f>
        <v>0</v>
      </c>
      <c r="CU121" s="69">
        <f>data!CU172</f>
        <v>0</v>
      </c>
      <c r="CV121" s="68">
        <f>data!CV172</f>
        <v>0</v>
      </c>
      <c r="CW121" s="68">
        <f>data!CW172</f>
        <v>0</v>
      </c>
      <c r="CX121" s="68">
        <f>data!CX172</f>
        <v>0</v>
      </c>
      <c r="CY121" s="68">
        <f>data!CY172</f>
        <v>0</v>
      </c>
      <c r="CZ121" s="69">
        <f>data!CZ172</f>
        <v>0</v>
      </c>
      <c r="DA121" s="68">
        <f>data!DA172</f>
        <v>219.37067618835081</v>
      </c>
      <c r="DB121" s="68">
        <f>data!DB172</f>
        <v>0</v>
      </c>
      <c r="DC121" s="68"/>
      <c r="DD121" s="68"/>
      <c r="DE121" s="69"/>
      <c r="DF121" s="68"/>
      <c r="DG121" s="68"/>
      <c r="DH121" s="68"/>
      <c r="DI121" s="68"/>
      <c r="DJ121" s="69"/>
      <c r="DK121" s="68"/>
      <c r="DL121" s="68"/>
      <c r="DM121" s="68"/>
      <c r="DN121" s="68"/>
      <c r="DO121" s="69"/>
      <c r="DP121" s="68"/>
      <c r="DQ121" s="68"/>
      <c r="DR121" s="68"/>
      <c r="DS121" s="68"/>
      <c r="DT121" s="69"/>
      <c r="DU121" s="69"/>
      <c r="DV121" s="69"/>
    </row>
    <row r="122" spans="1:126" s="306" customFormat="1" hidden="1" outlineLevel="1">
      <c r="B122" s="317" t="s">
        <v>382</v>
      </c>
      <c r="C122" s="308"/>
      <c r="D122" s="308"/>
      <c r="E122" s="308"/>
      <c r="F122" s="308"/>
      <c r="G122" s="308"/>
      <c r="H122" s="308"/>
      <c r="I122" s="308"/>
      <c r="J122" s="315"/>
      <c r="K122" s="315"/>
      <c r="L122" s="315"/>
      <c r="M122" s="315"/>
      <c r="N122" s="316"/>
      <c r="S122" s="316"/>
      <c r="X122" s="316"/>
      <c r="AC122" s="316"/>
      <c r="AH122" s="316"/>
      <c r="AM122" s="316"/>
      <c r="AP122" s="67"/>
      <c r="AQ122" s="67"/>
      <c r="AR122" s="69"/>
      <c r="AS122" s="67">
        <f>data!AS173</f>
        <v>0</v>
      </c>
      <c r="AT122" s="67">
        <f>data!AT173</f>
        <v>0</v>
      </c>
      <c r="AU122" s="67">
        <f>data!AU173</f>
        <v>0</v>
      </c>
      <c r="AV122" s="67">
        <f>data!AV173</f>
        <v>0</v>
      </c>
      <c r="AW122" s="69">
        <f>data!AW173</f>
        <v>0</v>
      </c>
      <c r="AX122" s="67">
        <f>data!AX173</f>
        <v>0</v>
      </c>
      <c r="AY122" s="67">
        <f>data!AY173</f>
        <v>0</v>
      </c>
      <c r="AZ122" s="67">
        <f>data!AZ173</f>
        <v>0</v>
      </c>
      <c r="BA122" s="67">
        <f>data!BA173</f>
        <v>0</v>
      </c>
      <c r="BB122" s="69">
        <f>data!BB173</f>
        <v>0</v>
      </c>
      <c r="BC122" s="67">
        <f>data!BC173</f>
        <v>0</v>
      </c>
      <c r="BD122" s="67">
        <f>data!BD173</f>
        <v>0</v>
      </c>
      <c r="BE122" s="67">
        <f>data!BE173</f>
        <v>0</v>
      </c>
      <c r="BF122" s="67">
        <f>data!BF173</f>
        <v>0</v>
      </c>
      <c r="BG122" s="69">
        <f>data!BG173</f>
        <v>0</v>
      </c>
      <c r="BH122" s="67">
        <f>data!BH173</f>
        <v>0</v>
      </c>
      <c r="BI122" s="67">
        <f>data!BI173</f>
        <v>0</v>
      </c>
      <c r="BJ122" s="67">
        <f>data!BJ173</f>
        <v>0</v>
      </c>
      <c r="BK122" s="67">
        <f>data!BK173</f>
        <v>0</v>
      </c>
      <c r="BL122" s="69">
        <f>data!BL173</f>
        <v>0</v>
      </c>
      <c r="BM122" s="67">
        <f>data!BM173</f>
        <v>0</v>
      </c>
      <c r="BN122" s="67">
        <f>data!BN173</f>
        <v>0</v>
      </c>
      <c r="BO122" s="67">
        <f>data!BO173</f>
        <v>0</v>
      </c>
      <c r="BP122" s="67">
        <f>data!BP173</f>
        <v>0</v>
      </c>
      <c r="BQ122" s="69">
        <f>data!BQ173</f>
        <v>0</v>
      </c>
      <c r="BR122" s="67">
        <f>data!BR173</f>
        <v>0</v>
      </c>
      <c r="BS122" s="67">
        <f>data!BS173</f>
        <v>0</v>
      </c>
      <c r="BT122" s="67">
        <f>data!BT173</f>
        <v>0</v>
      </c>
      <c r="BU122" s="67">
        <f>data!BU173</f>
        <v>0</v>
      </c>
      <c r="BV122" s="69">
        <f>data!BV173</f>
        <v>0</v>
      </c>
      <c r="BW122" s="67">
        <f>data!BW173</f>
        <v>0</v>
      </c>
      <c r="BX122" s="67">
        <f>data!BX173</f>
        <v>0</v>
      </c>
      <c r="BY122" s="67">
        <f>data!BY173</f>
        <v>0</v>
      </c>
      <c r="BZ122" s="67">
        <f>data!BZ173</f>
        <v>0</v>
      </c>
      <c r="CA122" s="69">
        <f>data!CA173</f>
        <v>0</v>
      </c>
      <c r="CB122" s="67">
        <f>data!CB173</f>
        <v>0</v>
      </c>
      <c r="CC122" s="67">
        <f>data!CC173</f>
        <v>0</v>
      </c>
      <c r="CD122" s="67">
        <f>data!CD173</f>
        <v>0</v>
      </c>
      <c r="CE122" s="67">
        <f>data!CE173</f>
        <v>0</v>
      </c>
      <c r="CF122" s="69">
        <f>data!CF173</f>
        <v>0</v>
      </c>
      <c r="CG122" s="67">
        <f>data!CG173</f>
        <v>0</v>
      </c>
      <c r="CH122" s="67">
        <f>data!CH173</f>
        <v>0</v>
      </c>
      <c r="CI122" s="67">
        <f>data!CI173</f>
        <v>0</v>
      </c>
      <c r="CJ122" s="67">
        <f>data!CJ173</f>
        <v>0</v>
      </c>
      <c r="CK122" s="69">
        <f>data!CK173</f>
        <v>0</v>
      </c>
      <c r="CL122" s="67">
        <f>data!CL173</f>
        <v>0</v>
      </c>
      <c r="CM122" s="67">
        <f>data!CM173</f>
        <v>0</v>
      </c>
      <c r="CN122" s="67">
        <f>data!CN173</f>
        <v>0</v>
      </c>
      <c r="CO122" s="67">
        <f>data!CO173</f>
        <v>0</v>
      </c>
      <c r="CP122" s="69">
        <f>data!CP173</f>
        <v>0</v>
      </c>
      <c r="CQ122" s="67">
        <f>data!CQ173</f>
        <v>0</v>
      </c>
      <c r="CR122" s="67">
        <f>data!CR173</f>
        <v>0</v>
      </c>
      <c r="CS122" s="67">
        <f>data!CS173</f>
        <v>0</v>
      </c>
      <c r="CT122" s="67">
        <f>data!CT173</f>
        <v>0</v>
      </c>
      <c r="CU122" s="69">
        <f>data!CU173</f>
        <v>0</v>
      </c>
      <c r="CV122" s="67">
        <f>data!CV173</f>
        <v>0</v>
      </c>
      <c r="CW122" s="67">
        <f>data!CW173</f>
        <v>0</v>
      </c>
      <c r="CX122" s="67">
        <f>data!CX173</f>
        <v>0</v>
      </c>
      <c r="CY122" s="67">
        <f>data!CY173</f>
        <v>0</v>
      </c>
      <c r="CZ122" s="69">
        <f>data!CZ173</f>
        <v>0</v>
      </c>
      <c r="DA122" s="67">
        <f>data!DA173</f>
        <v>0</v>
      </c>
      <c r="DB122" s="67">
        <f>data!DB173</f>
        <v>0</v>
      </c>
      <c r="DC122" s="67"/>
      <c r="DD122" s="67"/>
      <c r="DE122" s="69"/>
      <c r="DF122" s="67"/>
      <c r="DG122" s="67"/>
      <c r="DH122" s="67"/>
      <c r="DI122" s="67"/>
      <c r="DJ122" s="69"/>
      <c r="DK122" s="67"/>
      <c r="DL122" s="67"/>
      <c r="DM122" s="67"/>
      <c r="DN122" s="67"/>
      <c r="DO122" s="69"/>
      <c r="DP122" s="67"/>
      <c r="DQ122" s="67"/>
      <c r="DR122" s="67"/>
      <c r="DS122" s="67"/>
      <c r="DT122" s="69"/>
      <c r="DU122" s="69"/>
      <c r="DV122" s="69"/>
    </row>
    <row r="123" spans="1:126" s="15" customFormat="1" hidden="1" outlineLevel="1">
      <c r="B123" s="221" t="s">
        <v>383</v>
      </c>
      <c r="C123" s="69"/>
      <c r="D123" s="69"/>
      <c r="E123" s="69"/>
      <c r="F123" s="69"/>
      <c r="G123" s="69"/>
      <c r="H123" s="69"/>
      <c r="I123" s="69"/>
      <c r="J123" s="68"/>
      <c r="K123" s="68"/>
      <c r="L123" s="68"/>
      <c r="M123" s="68"/>
      <c r="N123" s="69"/>
      <c r="O123" s="67"/>
      <c r="P123" s="67"/>
      <c r="Q123" s="67"/>
      <c r="R123" s="67"/>
      <c r="S123" s="69"/>
      <c r="T123" s="67"/>
      <c r="U123" s="67"/>
      <c r="V123" s="67"/>
      <c r="W123" s="67"/>
      <c r="X123" s="69"/>
      <c r="Y123" s="67"/>
      <c r="Z123" s="67"/>
      <c r="AA123" s="67"/>
      <c r="AB123" s="67"/>
      <c r="AC123" s="69"/>
      <c r="AD123" s="67"/>
      <c r="AE123" s="67"/>
      <c r="AF123" s="67"/>
      <c r="AG123" s="67"/>
      <c r="AH123" s="69"/>
      <c r="AI123" s="67"/>
      <c r="AJ123" s="67"/>
      <c r="AK123" s="68"/>
      <c r="AL123" s="68"/>
      <c r="AM123" s="69"/>
      <c r="AN123" s="68"/>
      <c r="AO123" s="68"/>
      <c r="AP123" s="68"/>
      <c r="AQ123" s="68"/>
      <c r="AR123" s="69"/>
      <c r="AS123" s="68">
        <f>data!AS174</f>
        <v>0</v>
      </c>
      <c r="AT123" s="68">
        <f>data!AT174</f>
        <v>0</v>
      </c>
      <c r="AU123" s="68">
        <f>data!AU174</f>
        <v>0</v>
      </c>
      <c r="AV123" s="68">
        <f>data!AV174</f>
        <v>0</v>
      </c>
      <c r="AW123" s="69">
        <f>data!AW174</f>
        <v>0</v>
      </c>
      <c r="AX123" s="68">
        <f>data!AX174</f>
        <v>0</v>
      </c>
      <c r="AY123" s="68">
        <f>data!AY174</f>
        <v>0</v>
      </c>
      <c r="AZ123" s="68">
        <f>data!AZ174</f>
        <v>0</v>
      </c>
      <c r="BA123" s="68">
        <f>data!BA174</f>
        <v>0</v>
      </c>
      <c r="BB123" s="69">
        <f>data!BB174</f>
        <v>0</v>
      </c>
      <c r="BC123" s="68">
        <f>data!BC174</f>
        <v>0</v>
      </c>
      <c r="BD123" s="68">
        <f>data!BD174</f>
        <v>0</v>
      </c>
      <c r="BE123" s="68">
        <f>data!BE174</f>
        <v>0</v>
      </c>
      <c r="BF123" s="68">
        <f>data!BF174</f>
        <v>0</v>
      </c>
      <c r="BG123" s="69">
        <f>data!BG174</f>
        <v>0</v>
      </c>
      <c r="BH123" s="68">
        <f>data!BH174</f>
        <v>0</v>
      </c>
      <c r="BI123" s="68">
        <f>data!BI174</f>
        <v>0</v>
      </c>
      <c r="BJ123" s="68">
        <f>data!BJ174</f>
        <v>0</v>
      </c>
      <c r="BK123" s="68">
        <f>data!BK174</f>
        <v>0</v>
      </c>
      <c r="BL123" s="69">
        <f>data!BL174</f>
        <v>0</v>
      </c>
      <c r="BM123" s="68">
        <f>data!BM174</f>
        <v>0</v>
      </c>
      <c r="BN123" s="68">
        <f>data!BN174</f>
        <v>0</v>
      </c>
      <c r="BO123" s="68">
        <f>data!BO174</f>
        <v>0</v>
      </c>
      <c r="BP123" s="68">
        <f>data!BP174</f>
        <v>0</v>
      </c>
      <c r="BQ123" s="69">
        <f>data!BQ174</f>
        <v>0</v>
      </c>
      <c r="BR123" s="68">
        <f>data!BR174</f>
        <v>0</v>
      </c>
      <c r="BS123" s="68">
        <f>data!BS174</f>
        <v>0</v>
      </c>
      <c r="BT123" s="68">
        <f>data!BT174</f>
        <v>0</v>
      </c>
      <c r="BU123" s="68">
        <f>data!BU174</f>
        <v>0</v>
      </c>
      <c r="BV123" s="69">
        <f>data!BV174</f>
        <v>0</v>
      </c>
      <c r="BW123" s="68">
        <f>data!BW174</f>
        <v>0</v>
      </c>
      <c r="BX123" s="68">
        <f>data!BX174</f>
        <v>0</v>
      </c>
      <c r="BY123" s="68">
        <f>data!BY174</f>
        <v>0</v>
      </c>
      <c r="BZ123" s="68">
        <f>data!BZ174</f>
        <v>0</v>
      </c>
      <c r="CA123" s="69">
        <f>data!CA174</f>
        <v>0</v>
      </c>
      <c r="CB123" s="68">
        <f>data!CB174</f>
        <v>0</v>
      </c>
      <c r="CC123" s="68">
        <f>data!CC174</f>
        <v>0</v>
      </c>
      <c r="CD123" s="68">
        <f>data!CD174</f>
        <v>0</v>
      </c>
      <c r="CE123" s="68">
        <f>data!CE174</f>
        <v>0</v>
      </c>
      <c r="CF123" s="69">
        <f>data!CF174</f>
        <v>0</v>
      </c>
      <c r="CG123" s="68">
        <f>data!CG174</f>
        <v>0</v>
      </c>
      <c r="CH123" s="68">
        <f>data!CH174</f>
        <v>0</v>
      </c>
      <c r="CI123" s="68">
        <f>data!CI174</f>
        <v>0</v>
      </c>
      <c r="CJ123" s="68">
        <f>data!CJ174</f>
        <v>0</v>
      </c>
      <c r="CK123" s="69">
        <f>data!CK174</f>
        <v>0</v>
      </c>
      <c r="CL123" s="68">
        <f>data!CL174</f>
        <v>0</v>
      </c>
      <c r="CM123" s="68">
        <f>data!CM174</f>
        <v>0</v>
      </c>
      <c r="CN123" s="68">
        <f>data!CN174</f>
        <v>0</v>
      </c>
      <c r="CO123" s="68">
        <f>data!CO174</f>
        <v>0</v>
      </c>
      <c r="CP123" s="69">
        <f>data!CP174</f>
        <v>0</v>
      </c>
      <c r="CQ123" s="68">
        <f>data!CQ174</f>
        <v>0</v>
      </c>
      <c r="CR123" s="68">
        <f>data!CR174</f>
        <v>0</v>
      </c>
      <c r="CS123" s="68">
        <f>data!CS174</f>
        <v>0</v>
      </c>
      <c r="CT123" s="68">
        <f>data!CT174</f>
        <v>0</v>
      </c>
      <c r="CU123" s="69">
        <f>data!CU174</f>
        <v>0</v>
      </c>
      <c r="CV123" s="68">
        <f>data!CV174</f>
        <v>0</v>
      </c>
      <c r="CW123" s="68">
        <f>data!CW174</f>
        <v>0</v>
      </c>
      <c r="CX123" s="68">
        <f>data!CX174</f>
        <v>0</v>
      </c>
      <c r="CY123" s="68">
        <f>data!CY174</f>
        <v>0</v>
      </c>
      <c r="CZ123" s="69">
        <f>data!CZ174</f>
        <v>0</v>
      </c>
      <c r="DA123" s="68">
        <f>data!DA174</f>
        <v>0</v>
      </c>
      <c r="DB123" s="68">
        <f>data!DB174</f>
        <v>0</v>
      </c>
      <c r="DC123" s="68"/>
      <c r="DD123" s="68"/>
      <c r="DE123" s="69"/>
      <c r="DF123" s="68"/>
      <c r="DG123" s="68"/>
      <c r="DH123" s="68"/>
      <c r="DI123" s="68"/>
      <c r="DJ123" s="69"/>
      <c r="DK123" s="68"/>
      <c r="DL123" s="68"/>
      <c r="DM123" s="68"/>
      <c r="DN123" s="68"/>
      <c r="DO123" s="69"/>
      <c r="DP123" s="68"/>
      <c r="DQ123" s="68"/>
      <c r="DR123" s="68"/>
      <c r="DS123" s="68"/>
      <c r="DT123" s="69"/>
      <c r="DU123" s="69"/>
      <c r="DV123" s="69"/>
    </row>
    <row r="124" spans="1:126" s="15" customFormat="1" hidden="1" outlineLevel="1">
      <c r="B124" s="15" t="s">
        <v>79</v>
      </c>
      <c r="C124" s="69"/>
      <c r="D124" s="69"/>
      <c r="E124" s="69"/>
      <c r="F124" s="69"/>
      <c r="G124" s="69"/>
      <c r="H124" s="69"/>
      <c r="I124" s="69"/>
      <c r="J124" s="68"/>
      <c r="K124" s="68"/>
      <c r="L124" s="68"/>
      <c r="M124" s="68"/>
      <c r="N124" s="69"/>
      <c r="O124" s="67"/>
      <c r="P124" s="67"/>
      <c r="Q124" s="67"/>
      <c r="R124" s="67"/>
      <c r="S124" s="69"/>
      <c r="T124" s="67"/>
      <c r="U124" s="67"/>
      <c r="V124" s="67"/>
      <c r="W124" s="67"/>
      <c r="X124" s="69"/>
      <c r="Y124" s="67"/>
      <c r="Z124" s="67"/>
      <c r="AA124" s="67"/>
      <c r="AB124" s="67"/>
      <c r="AC124" s="69"/>
      <c r="AD124" s="67"/>
      <c r="AE124" s="67"/>
      <c r="AF124" s="67"/>
      <c r="AG124" s="67"/>
      <c r="AH124" s="69"/>
      <c r="AI124" s="67"/>
      <c r="AJ124" s="67"/>
      <c r="AK124" s="67"/>
      <c r="AL124" s="67"/>
      <c r="AM124" s="69"/>
      <c r="AN124" s="67"/>
      <c r="AO124" s="67"/>
      <c r="AP124" s="67"/>
      <c r="AQ124" s="67"/>
      <c r="AR124" s="69"/>
      <c r="AS124" s="67"/>
      <c r="AT124" s="67"/>
      <c r="AU124" s="67"/>
      <c r="AV124" s="67"/>
      <c r="AW124" s="69"/>
      <c r="AX124" s="67"/>
      <c r="AY124" s="67"/>
      <c r="AZ124" s="67"/>
      <c r="BA124" s="67"/>
      <c r="BB124" s="69"/>
      <c r="BC124" s="67"/>
      <c r="BD124" s="67"/>
      <c r="BE124" s="67"/>
      <c r="BF124" s="67"/>
      <c r="BG124" s="69"/>
      <c r="BH124" s="67"/>
      <c r="BI124" s="67"/>
      <c r="BJ124" s="67"/>
      <c r="BK124" s="67"/>
      <c r="BL124" s="69"/>
      <c r="BM124" s="67"/>
      <c r="BN124" s="67"/>
      <c r="BO124" s="67"/>
      <c r="BP124" s="67"/>
      <c r="BQ124" s="69"/>
      <c r="BR124" s="67"/>
      <c r="BS124" s="67"/>
      <c r="BT124" s="67"/>
      <c r="BU124" s="67"/>
      <c r="BV124" s="69"/>
      <c r="BW124" s="67"/>
      <c r="BX124" s="67"/>
      <c r="BY124" s="67"/>
      <c r="BZ124" s="67"/>
      <c r="CA124" s="69"/>
      <c r="CB124" s="67"/>
      <c r="CC124" s="67"/>
      <c r="CD124" s="67"/>
      <c r="CE124" s="67"/>
      <c r="CF124" s="69"/>
      <c r="CG124" s="67"/>
      <c r="CH124" s="67"/>
      <c r="CI124" s="67"/>
      <c r="CJ124" s="67"/>
      <c r="CK124" s="69"/>
      <c r="CL124" s="67"/>
      <c r="CM124" s="67"/>
      <c r="CN124" s="67"/>
      <c r="CO124" s="67"/>
      <c r="CP124" s="69"/>
      <c r="CQ124" s="67"/>
      <c r="CR124" s="67"/>
      <c r="CS124" s="67"/>
      <c r="CT124" s="67"/>
      <c r="CU124" s="69"/>
      <c r="CV124" s="67"/>
      <c r="CW124" s="67"/>
      <c r="CX124" s="67"/>
      <c r="CY124" s="67"/>
      <c r="CZ124" s="69"/>
      <c r="DA124" s="67"/>
      <c r="DB124" s="67"/>
      <c r="DC124" s="67"/>
      <c r="DD124" s="67"/>
      <c r="DE124" s="69"/>
      <c r="DF124" s="67"/>
      <c r="DG124" s="67"/>
      <c r="DH124" s="67"/>
      <c r="DI124" s="67"/>
      <c r="DJ124" s="69"/>
      <c r="DK124" s="67"/>
      <c r="DL124" s="67"/>
      <c r="DM124" s="67"/>
      <c r="DN124" s="67"/>
      <c r="DO124" s="69"/>
      <c r="DP124" s="67"/>
      <c r="DQ124" s="67"/>
      <c r="DR124" s="67"/>
      <c r="DS124" s="67"/>
      <c r="DT124" s="69"/>
      <c r="DU124" s="69"/>
      <c r="DV124" s="69"/>
    </row>
    <row r="125" spans="1:126" s="189" customFormat="1" ht="12" collapsed="1">
      <c r="B125" s="171" t="s">
        <v>77</v>
      </c>
      <c r="C125" s="66"/>
      <c r="D125" s="66"/>
      <c r="E125" s="66"/>
      <c r="F125" s="66"/>
      <c r="G125" s="66"/>
      <c r="H125" s="66"/>
      <c r="I125" s="66"/>
      <c r="J125" s="65"/>
      <c r="K125" s="65"/>
      <c r="L125" s="65"/>
      <c r="M125" s="65"/>
      <c r="N125" s="66"/>
      <c r="O125" s="65"/>
      <c r="P125" s="65"/>
      <c r="Q125" s="65"/>
      <c r="R125" s="65"/>
      <c r="S125" s="66"/>
      <c r="T125" s="65"/>
      <c r="U125" s="65"/>
      <c r="V125" s="65"/>
      <c r="W125" s="65"/>
      <c r="X125" s="66"/>
      <c r="Y125" s="65"/>
      <c r="Z125" s="65"/>
      <c r="AA125" s="65"/>
      <c r="AB125" s="65"/>
      <c r="AC125" s="66"/>
      <c r="AD125" s="65"/>
      <c r="AE125" s="65"/>
      <c r="AF125" s="65"/>
      <c r="AG125" s="65"/>
      <c r="AH125" s="66"/>
      <c r="AI125" s="64"/>
      <c r="AJ125" s="65"/>
      <c r="AK125" s="65"/>
      <c r="AL125" s="63"/>
      <c r="AM125" s="66"/>
      <c r="AN125" s="65"/>
      <c r="AO125" s="65"/>
      <c r="AP125" s="65"/>
      <c r="AQ125" s="65"/>
      <c r="AR125" s="66"/>
      <c r="AS125" s="65">
        <f t="shared" ref="AS125:BX125" si="554">SUM(AS120:AS123)</f>
        <v>0</v>
      </c>
      <c r="AT125" s="65">
        <f t="shared" si="554"/>
        <v>0</v>
      </c>
      <c r="AU125" s="65">
        <f t="shared" si="554"/>
        <v>0</v>
      </c>
      <c r="AV125" s="65">
        <f t="shared" si="554"/>
        <v>0</v>
      </c>
      <c r="AW125" s="66">
        <f t="shared" si="554"/>
        <v>0</v>
      </c>
      <c r="AX125" s="65">
        <f t="shared" si="554"/>
        <v>0</v>
      </c>
      <c r="AY125" s="65">
        <f t="shared" si="554"/>
        <v>0</v>
      </c>
      <c r="AZ125" s="65">
        <f t="shared" si="554"/>
        <v>0</v>
      </c>
      <c r="BA125" s="65">
        <f t="shared" si="554"/>
        <v>0</v>
      </c>
      <c r="BB125" s="66">
        <f t="shared" si="554"/>
        <v>0</v>
      </c>
      <c r="BC125" s="65">
        <f t="shared" si="554"/>
        <v>0</v>
      </c>
      <c r="BD125" s="65">
        <f t="shared" si="554"/>
        <v>0</v>
      </c>
      <c r="BE125" s="65">
        <f t="shared" si="554"/>
        <v>0</v>
      </c>
      <c r="BF125" s="65">
        <f t="shared" si="554"/>
        <v>0</v>
      </c>
      <c r="BG125" s="66">
        <f t="shared" si="554"/>
        <v>0</v>
      </c>
      <c r="BH125" s="65">
        <f t="shared" si="554"/>
        <v>0</v>
      </c>
      <c r="BI125" s="65">
        <f t="shared" si="554"/>
        <v>0</v>
      </c>
      <c r="BJ125" s="65">
        <f t="shared" si="554"/>
        <v>0</v>
      </c>
      <c r="BK125" s="65">
        <f t="shared" si="554"/>
        <v>0</v>
      </c>
      <c r="BL125" s="66">
        <f t="shared" si="554"/>
        <v>0</v>
      </c>
      <c r="BM125" s="65">
        <f t="shared" si="554"/>
        <v>0</v>
      </c>
      <c r="BN125" s="65">
        <f t="shared" si="554"/>
        <v>0</v>
      </c>
      <c r="BO125" s="65">
        <f t="shared" si="554"/>
        <v>0</v>
      </c>
      <c r="BP125" s="65">
        <f t="shared" si="554"/>
        <v>0</v>
      </c>
      <c r="BQ125" s="66">
        <f t="shared" si="554"/>
        <v>0</v>
      </c>
      <c r="BR125" s="65">
        <f t="shared" si="554"/>
        <v>0</v>
      </c>
      <c r="BS125" s="65">
        <f t="shared" si="554"/>
        <v>0</v>
      </c>
      <c r="BT125" s="65">
        <f t="shared" si="554"/>
        <v>0</v>
      </c>
      <c r="BU125" s="65">
        <f t="shared" si="554"/>
        <v>0</v>
      </c>
      <c r="BV125" s="66">
        <f t="shared" si="554"/>
        <v>0</v>
      </c>
      <c r="BW125" s="65">
        <f t="shared" si="554"/>
        <v>0</v>
      </c>
      <c r="BX125" s="65">
        <f t="shared" si="554"/>
        <v>0</v>
      </c>
      <c r="BY125" s="65">
        <f t="shared" ref="BY125:DB125" si="555">SUM(BY120:BY123)</f>
        <v>0</v>
      </c>
      <c r="BZ125" s="65">
        <f t="shared" si="555"/>
        <v>0</v>
      </c>
      <c r="CA125" s="66">
        <f t="shared" si="555"/>
        <v>0</v>
      </c>
      <c r="CB125" s="65">
        <f t="shared" si="555"/>
        <v>0</v>
      </c>
      <c r="CC125" s="65">
        <f t="shared" si="555"/>
        <v>0</v>
      </c>
      <c r="CD125" s="65">
        <f t="shared" si="555"/>
        <v>0</v>
      </c>
      <c r="CE125" s="65">
        <f t="shared" si="555"/>
        <v>0</v>
      </c>
      <c r="CF125" s="66">
        <f t="shared" si="555"/>
        <v>0</v>
      </c>
      <c r="CG125" s="65">
        <f t="shared" si="555"/>
        <v>0</v>
      </c>
      <c r="CH125" s="65">
        <f t="shared" si="555"/>
        <v>0</v>
      </c>
      <c r="CI125" s="65">
        <f t="shared" si="555"/>
        <v>0</v>
      </c>
      <c r="CJ125" s="65">
        <f t="shared" si="555"/>
        <v>0</v>
      </c>
      <c r="CK125" s="66">
        <f t="shared" si="555"/>
        <v>0</v>
      </c>
      <c r="CL125" s="65">
        <f t="shared" si="555"/>
        <v>0</v>
      </c>
      <c r="CM125" s="65">
        <f t="shared" si="555"/>
        <v>0</v>
      </c>
      <c r="CN125" s="65">
        <f t="shared" si="555"/>
        <v>0</v>
      </c>
      <c r="CO125" s="65">
        <f t="shared" si="555"/>
        <v>0</v>
      </c>
      <c r="CP125" s="66">
        <f t="shared" si="555"/>
        <v>0</v>
      </c>
      <c r="CQ125" s="65">
        <f t="shared" si="555"/>
        <v>0</v>
      </c>
      <c r="CR125" s="65">
        <f t="shared" si="555"/>
        <v>0</v>
      </c>
      <c r="CS125" s="65">
        <f t="shared" si="555"/>
        <v>0</v>
      </c>
      <c r="CT125" s="65">
        <f t="shared" si="555"/>
        <v>0</v>
      </c>
      <c r="CU125" s="66">
        <f t="shared" si="555"/>
        <v>0</v>
      </c>
      <c r="CV125" s="65">
        <f t="shared" si="555"/>
        <v>0</v>
      </c>
      <c r="CW125" s="65">
        <f t="shared" si="555"/>
        <v>0</v>
      </c>
      <c r="CX125" s="65">
        <f t="shared" si="555"/>
        <v>0</v>
      </c>
      <c r="CY125" s="65">
        <f t="shared" si="555"/>
        <v>0</v>
      </c>
      <c r="CZ125" s="66">
        <f t="shared" si="555"/>
        <v>0</v>
      </c>
      <c r="DA125" s="65">
        <f t="shared" si="555"/>
        <v>1219.3706761883509</v>
      </c>
      <c r="DB125" s="65">
        <f t="shared" si="555"/>
        <v>0</v>
      </c>
      <c r="DC125" s="65"/>
      <c r="DD125" s="65"/>
      <c r="DE125" s="66"/>
      <c r="DF125" s="65"/>
      <c r="DG125" s="65"/>
      <c r="DH125" s="65"/>
      <c r="DI125" s="65"/>
      <c r="DJ125" s="66"/>
      <c r="DK125" s="65"/>
      <c r="DL125" s="65"/>
      <c r="DM125" s="65"/>
      <c r="DN125" s="65"/>
      <c r="DO125" s="66"/>
      <c r="DP125" s="65"/>
      <c r="DQ125" s="65"/>
      <c r="DR125" s="65"/>
      <c r="DS125" s="65"/>
      <c r="DT125" s="66"/>
      <c r="DU125" s="66"/>
      <c r="DV125" s="66"/>
    </row>
    <row r="126" spans="1:126" s="15" customFormat="1" hidden="1">
      <c r="B126" s="15" t="s">
        <v>78</v>
      </c>
      <c r="C126" s="69"/>
      <c r="D126" s="69"/>
      <c r="E126" s="69"/>
      <c r="F126" s="69"/>
      <c r="G126" s="69"/>
      <c r="H126" s="69"/>
      <c r="I126" s="69"/>
      <c r="J126" s="68"/>
      <c r="K126" s="68"/>
      <c r="L126" s="68"/>
      <c r="M126" s="68"/>
      <c r="N126" s="69"/>
      <c r="O126" s="67"/>
      <c r="P126" s="67"/>
      <c r="Q126" s="67"/>
      <c r="R126" s="67"/>
      <c r="S126" s="69"/>
      <c r="T126" s="67"/>
      <c r="U126" s="67"/>
      <c r="V126" s="67"/>
      <c r="W126" s="67"/>
      <c r="X126" s="69"/>
      <c r="Y126" s="67"/>
      <c r="Z126" s="67"/>
      <c r="AA126" s="67"/>
      <c r="AB126" s="67"/>
      <c r="AC126" s="69"/>
      <c r="AD126" s="67"/>
      <c r="AE126" s="67"/>
      <c r="AF126" s="67"/>
      <c r="AG126" s="67"/>
      <c r="AH126" s="69"/>
      <c r="AI126" s="90"/>
      <c r="AJ126" s="67"/>
      <c r="AK126" s="67"/>
      <c r="AL126" s="67"/>
      <c r="AM126" s="69"/>
      <c r="AN126" s="90"/>
      <c r="AO126" s="67"/>
      <c r="AP126" s="90"/>
      <c r="AQ126" s="67"/>
      <c r="AR126" s="69"/>
      <c r="AS126" s="67"/>
      <c r="AT126" s="67"/>
      <c r="AU126" s="67"/>
      <c r="AV126" s="67"/>
      <c r="AW126" s="69"/>
      <c r="AX126" s="67"/>
      <c r="AY126" s="67"/>
      <c r="AZ126" s="67"/>
      <c r="BA126" s="67"/>
      <c r="BB126" s="69"/>
      <c r="BC126" s="67"/>
      <c r="BD126" s="67"/>
      <c r="BE126" s="67"/>
      <c r="BF126" s="67"/>
      <c r="BG126" s="69"/>
      <c r="BH126" s="67"/>
      <c r="BI126" s="67"/>
      <c r="BJ126" s="67"/>
      <c r="BK126" s="67"/>
      <c r="BL126" s="69"/>
      <c r="BM126" s="67"/>
      <c r="BN126" s="67"/>
      <c r="BO126" s="67"/>
      <c r="BP126" s="67"/>
      <c r="BQ126" s="69"/>
      <c r="BR126" s="67"/>
      <c r="BS126" s="67"/>
      <c r="BT126" s="67"/>
      <c r="BU126" s="67"/>
      <c r="BV126" s="69"/>
      <c r="BW126" s="67"/>
      <c r="BX126" s="67"/>
      <c r="BY126" s="67"/>
      <c r="BZ126" s="67"/>
      <c r="CA126" s="69"/>
      <c r="CB126" s="67"/>
      <c r="CC126" s="67"/>
      <c r="CD126" s="67"/>
      <c r="CE126" s="67"/>
      <c r="CF126" s="69"/>
      <c r="CG126" s="67"/>
      <c r="CH126" s="67"/>
      <c r="CI126" s="67"/>
      <c r="CJ126" s="67"/>
      <c r="CK126" s="69"/>
      <c r="CL126" s="67"/>
      <c r="CM126" s="67"/>
      <c r="CN126" s="67"/>
      <c r="CO126" s="67"/>
      <c r="CP126" s="69"/>
      <c r="CQ126" s="67"/>
      <c r="CR126" s="67"/>
      <c r="CS126" s="67"/>
      <c r="CT126" s="67"/>
      <c r="CU126" s="69"/>
      <c r="CV126" s="67"/>
      <c r="CW126" s="67"/>
      <c r="CX126" s="67"/>
      <c r="CY126" s="67"/>
      <c r="CZ126" s="69"/>
      <c r="DA126" s="67"/>
      <c r="DB126" s="67"/>
      <c r="DC126" s="67"/>
      <c r="DD126" s="67"/>
      <c r="DE126" s="69"/>
      <c r="DF126" s="67"/>
      <c r="DG126" s="67"/>
      <c r="DH126" s="67"/>
      <c r="DI126" s="67"/>
      <c r="DJ126" s="69"/>
      <c r="DK126" s="67"/>
      <c r="DL126" s="67"/>
      <c r="DM126" s="67"/>
      <c r="DN126" s="67"/>
      <c r="DO126" s="69"/>
      <c r="DP126" s="67"/>
      <c r="DQ126" s="67"/>
      <c r="DR126" s="67"/>
      <c r="DS126" s="67"/>
      <c r="DT126" s="69"/>
      <c r="DU126" s="69"/>
      <c r="DV126" s="69"/>
    </row>
    <row r="127" spans="1:126" s="15" customFormat="1">
      <c r="C127" s="69"/>
      <c r="D127" s="69"/>
      <c r="E127" s="69"/>
      <c r="F127" s="69"/>
      <c r="G127" s="69"/>
      <c r="H127" s="69"/>
      <c r="I127" s="69"/>
      <c r="J127" s="68"/>
      <c r="K127" s="68"/>
      <c r="L127" s="68"/>
      <c r="M127" s="68"/>
      <c r="N127" s="69"/>
      <c r="O127" s="67"/>
      <c r="P127" s="67"/>
      <c r="Q127" s="67"/>
      <c r="R127" s="67"/>
      <c r="S127" s="69"/>
      <c r="T127" s="67"/>
      <c r="U127" s="67"/>
      <c r="V127" s="67"/>
      <c r="W127" s="67"/>
      <c r="X127" s="69"/>
      <c r="Y127" s="67"/>
      <c r="Z127" s="67"/>
      <c r="AA127" s="67"/>
      <c r="AB127" s="67"/>
      <c r="AC127" s="69"/>
      <c r="AD127" s="67"/>
      <c r="AE127" s="67"/>
      <c r="AF127" s="67"/>
      <c r="AG127" s="67"/>
      <c r="AH127" s="69"/>
      <c r="AI127" s="67"/>
      <c r="AJ127" s="67"/>
      <c r="AK127" s="67"/>
      <c r="AL127" s="67"/>
      <c r="AM127" s="69"/>
      <c r="AN127" s="67"/>
      <c r="AO127" s="67"/>
      <c r="AP127" s="67"/>
      <c r="AQ127" s="67"/>
      <c r="AR127" s="69"/>
      <c r="AS127" s="67"/>
      <c r="AT127" s="67"/>
      <c r="AU127" s="67"/>
      <c r="AV127" s="67"/>
      <c r="AW127" s="69"/>
      <c r="AX127" s="67"/>
      <c r="AY127" s="67"/>
      <c r="AZ127" s="67"/>
      <c r="BA127" s="67"/>
      <c r="BB127" s="69"/>
      <c r="BC127" s="73"/>
      <c r="BD127" s="67"/>
      <c r="BE127" s="73"/>
      <c r="BF127" s="73"/>
      <c r="BG127" s="69"/>
      <c r="BH127" s="67"/>
      <c r="BI127" s="67"/>
      <c r="BJ127" s="67"/>
      <c r="BK127" s="67"/>
      <c r="BL127" s="69"/>
      <c r="BM127" s="90"/>
      <c r="BN127" s="67"/>
      <c r="BO127" s="73"/>
      <c r="BP127" s="67"/>
      <c r="BQ127" s="69"/>
      <c r="BR127" s="90"/>
      <c r="BS127" s="90"/>
      <c r="BT127" s="67"/>
      <c r="BU127" s="67"/>
      <c r="BV127" s="69"/>
      <c r="BW127" s="67"/>
      <c r="BX127" s="67"/>
      <c r="BY127" s="67"/>
      <c r="BZ127" s="67"/>
      <c r="CA127" s="69"/>
      <c r="CB127" s="67"/>
      <c r="CC127" s="67"/>
      <c r="CD127" s="67"/>
      <c r="CE127" s="67"/>
      <c r="CF127" s="69"/>
      <c r="CG127" s="67"/>
      <c r="CH127" s="67"/>
      <c r="CI127" s="67"/>
      <c r="CJ127" s="67"/>
      <c r="CK127" s="69"/>
      <c r="CL127" s="67"/>
      <c r="CM127" s="67"/>
      <c r="CN127" s="67"/>
      <c r="CO127" s="67"/>
      <c r="CP127" s="69"/>
      <c r="CQ127" s="493"/>
      <c r="CR127" s="67"/>
      <c r="CS127" s="67"/>
      <c r="CT127" s="67"/>
      <c r="CU127" s="69"/>
      <c r="CV127" s="493"/>
      <c r="CW127" s="67"/>
      <c r="CX127" s="73"/>
      <c r="CY127" s="67"/>
      <c r="CZ127" s="69"/>
      <c r="DA127" s="501"/>
      <c r="DB127" s="67"/>
      <c r="DC127" s="67"/>
      <c r="DD127" s="67"/>
      <c r="DE127" s="69"/>
      <c r="DF127" s="67"/>
      <c r="DG127" s="67"/>
      <c r="DH127" s="67"/>
      <c r="DI127" s="67"/>
      <c r="DJ127" s="69"/>
      <c r="DK127" s="67"/>
      <c r="DL127" s="67"/>
      <c r="DM127" s="67"/>
      <c r="DN127" s="67"/>
      <c r="DO127" s="69"/>
      <c r="DP127" s="67"/>
      <c r="DQ127" s="67"/>
      <c r="DR127" s="67"/>
      <c r="DS127" s="67"/>
      <c r="DT127" s="69"/>
      <c r="DU127" s="69"/>
      <c r="DV127" s="69"/>
    </row>
    <row r="128" spans="1:126" s="15" customFormat="1" ht="12">
      <c r="B128" s="137" t="s">
        <v>92</v>
      </c>
      <c r="C128" s="69"/>
      <c r="D128" s="69"/>
      <c r="E128" s="69"/>
      <c r="F128" s="69"/>
      <c r="G128" s="69"/>
      <c r="H128" s="69"/>
      <c r="I128" s="69"/>
      <c r="J128" s="68"/>
      <c r="K128" s="68"/>
      <c r="L128" s="68"/>
      <c r="M128" s="68"/>
      <c r="N128" s="69"/>
      <c r="O128" s="67"/>
      <c r="P128" s="67"/>
      <c r="Q128" s="67"/>
      <c r="R128" s="67"/>
      <c r="S128" s="69"/>
      <c r="T128" s="67"/>
      <c r="U128" s="67"/>
      <c r="V128" s="67"/>
      <c r="W128" s="67"/>
      <c r="X128" s="69"/>
      <c r="Y128" s="67"/>
      <c r="Z128" s="67"/>
      <c r="AA128" s="67"/>
      <c r="AB128" s="67"/>
      <c r="AC128" s="69"/>
      <c r="AD128" s="67"/>
      <c r="AE128" s="67"/>
      <c r="AF128" s="67"/>
      <c r="AG128" s="67"/>
      <c r="AH128" s="69"/>
      <c r="AI128" s="67"/>
      <c r="AJ128" s="67"/>
      <c r="AK128" s="67"/>
      <c r="AL128" s="67"/>
      <c r="AM128" s="69"/>
      <c r="AN128" s="67"/>
      <c r="AO128" s="67"/>
      <c r="AP128" s="67"/>
      <c r="AQ128" s="67"/>
      <c r="AR128" s="69"/>
      <c r="AS128" s="67"/>
      <c r="AT128" s="67"/>
      <c r="AU128" s="67"/>
      <c r="AV128" s="67"/>
      <c r="AW128" s="69"/>
      <c r="AX128" s="67"/>
      <c r="AY128" s="67"/>
      <c r="AZ128" s="67"/>
      <c r="BA128" s="67"/>
      <c r="BB128" s="69"/>
      <c r="BC128" s="67"/>
      <c r="BD128" s="67"/>
      <c r="BE128" s="67"/>
      <c r="BF128" s="67"/>
      <c r="BG128" s="69"/>
      <c r="BH128" s="67"/>
      <c r="BI128" s="67"/>
      <c r="BJ128" s="67"/>
      <c r="BK128" s="67"/>
      <c r="BL128" s="69"/>
      <c r="BM128" s="67"/>
      <c r="BN128" s="67"/>
      <c r="BO128" s="67"/>
      <c r="BP128" s="67"/>
      <c r="BQ128" s="69"/>
      <c r="BR128" s="67"/>
      <c r="BS128" s="67"/>
      <c r="BT128" s="67"/>
      <c r="BU128" s="67"/>
      <c r="BV128" s="69"/>
      <c r="BW128" s="67"/>
      <c r="BX128" s="67"/>
      <c r="BY128" s="67"/>
      <c r="BZ128" s="67"/>
      <c r="CA128" s="69"/>
      <c r="CB128" s="67"/>
      <c r="CC128" s="67"/>
      <c r="CD128" s="67"/>
      <c r="CE128" s="67"/>
      <c r="CF128" s="69"/>
      <c r="CG128" s="67"/>
      <c r="CH128" s="67"/>
      <c r="CI128" s="67"/>
      <c r="CJ128" s="67"/>
      <c r="CK128" s="69"/>
      <c r="CL128" s="67"/>
      <c r="CM128" s="67"/>
      <c r="CN128" s="67"/>
      <c r="CO128" s="67"/>
      <c r="CP128" s="69"/>
      <c r="CQ128" s="67"/>
      <c r="CR128" s="67"/>
      <c r="CS128" s="67"/>
      <c r="CT128" s="67"/>
      <c r="CU128" s="69"/>
      <c r="CV128" s="67"/>
      <c r="CW128" s="67"/>
      <c r="CX128" s="67"/>
      <c r="CY128" s="67"/>
      <c r="CZ128" s="69"/>
      <c r="DA128" s="67"/>
      <c r="DB128" s="67"/>
      <c r="DC128" s="67"/>
      <c r="DD128" s="67"/>
      <c r="DE128" s="69"/>
      <c r="DF128" s="67"/>
      <c r="DG128" s="67"/>
      <c r="DH128" s="67"/>
      <c r="DI128" s="67"/>
      <c r="DJ128" s="69"/>
      <c r="DK128" s="67"/>
      <c r="DL128" s="67"/>
      <c r="DM128" s="67"/>
      <c r="DN128" s="67"/>
      <c r="DO128" s="69"/>
      <c r="DP128" s="67"/>
      <c r="DQ128" s="67"/>
      <c r="DR128" s="67"/>
      <c r="DS128" s="67"/>
      <c r="DT128" s="69"/>
      <c r="DU128" s="69"/>
      <c r="DV128" s="69"/>
    </row>
    <row r="129" spans="1:126" s="15" customFormat="1">
      <c r="B129" s="221" t="s">
        <v>381</v>
      </c>
      <c r="C129" s="69"/>
      <c r="D129" s="69"/>
      <c r="E129" s="69"/>
      <c r="F129" s="69"/>
      <c r="G129" s="69"/>
      <c r="H129" s="69"/>
      <c r="I129" s="69"/>
      <c r="J129" s="68"/>
      <c r="K129" s="68"/>
      <c r="L129" s="68"/>
      <c r="M129" s="68"/>
      <c r="N129" s="69"/>
      <c r="O129" s="67"/>
      <c r="P129" s="67"/>
      <c r="Q129" s="67"/>
      <c r="R129" s="67"/>
      <c r="S129" s="69"/>
      <c r="T129" s="67"/>
      <c r="U129" s="67"/>
      <c r="V129" s="67"/>
      <c r="W129" s="67"/>
      <c r="X129" s="69"/>
      <c r="Y129" s="67"/>
      <c r="Z129" s="67"/>
      <c r="AA129" s="67"/>
      <c r="AB129" s="67"/>
      <c r="AC129" s="69"/>
      <c r="AD129" s="67"/>
      <c r="AE129" s="67"/>
      <c r="AF129" s="67"/>
      <c r="AG129" s="67"/>
      <c r="AH129" s="69"/>
      <c r="AI129" s="62"/>
      <c r="AJ129" s="68"/>
      <c r="AK129" s="68"/>
      <c r="AL129" s="68"/>
      <c r="AM129" s="69"/>
      <c r="AN129" s="68"/>
      <c r="AO129" s="68"/>
      <c r="AP129" s="68"/>
      <c r="AQ129" s="68"/>
      <c r="AR129" s="69"/>
      <c r="AS129" s="68"/>
      <c r="AT129" s="68"/>
      <c r="AU129" s="68"/>
      <c r="AV129" s="68"/>
      <c r="AW129" s="69">
        <f>IF(AV129=0,0,SUM(AS129:AV129))</f>
        <v>0</v>
      </c>
      <c r="AX129" s="68">
        <f t="shared" ref="AX129:BA131" si="556">IF(AX120&lt;=0,0,AX120-AW120+AX7)</f>
        <v>0</v>
      </c>
      <c r="AY129" s="68">
        <f t="shared" si="556"/>
        <v>0</v>
      </c>
      <c r="AZ129" s="68">
        <f t="shared" si="556"/>
        <v>0</v>
      </c>
      <c r="BA129" s="68">
        <f t="shared" si="556"/>
        <v>0</v>
      </c>
      <c r="BB129" s="69">
        <f>IF(BB120&lt;=0,0,BB120-AW120+BB7)</f>
        <v>0</v>
      </c>
      <c r="BC129" s="68">
        <f t="shared" ref="BC129:BF131" si="557">IF(BC120&lt;=0,0,BC120-BB120+BC7)</f>
        <v>0</v>
      </c>
      <c r="BD129" s="68">
        <f t="shared" si="557"/>
        <v>0</v>
      </c>
      <c r="BE129" s="68">
        <f t="shared" si="557"/>
        <v>0</v>
      </c>
      <c r="BF129" s="68">
        <f t="shared" si="557"/>
        <v>0</v>
      </c>
      <c r="BG129" s="69">
        <f>IF(BG120&lt;=0,0,BG120-BB120+BG7)</f>
        <v>0</v>
      </c>
      <c r="BH129" s="68">
        <f t="shared" ref="BH129:BK131" si="558">IF(BH120&lt;=0,0,BH120-BG120+BH7)</f>
        <v>0</v>
      </c>
      <c r="BI129" s="68">
        <f t="shared" si="558"/>
        <v>0</v>
      </c>
      <c r="BJ129" s="68">
        <f t="shared" si="558"/>
        <v>0</v>
      </c>
      <c r="BK129" s="68">
        <f t="shared" si="558"/>
        <v>0</v>
      </c>
      <c r="BL129" s="69">
        <f>IF(BL120&lt;=0,0,BL120-BG120+BL7)</f>
        <v>0</v>
      </c>
      <c r="BM129" s="68">
        <f>IF(BM120&lt;=0,0,BM120-BL120+BM7)</f>
        <v>0</v>
      </c>
      <c r="BN129" s="68">
        <f>IF(BN120&lt;=0,0,BN120-BM120+BN7)</f>
        <v>0</v>
      </c>
      <c r="BO129" s="68">
        <f>IF(BO120&lt;=0,0,BO120-BN120+BO7)</f>
        <v>0</v>
      </c>
      <c r="BP129" s="68">
        <f>IF(BP120&lt;=0,0,BP120-BO120+BP7)</f>
        <v>0</v>
      </c>
      <c r="BQ129" s="69">
        <f>IF(BQ120&lt;=0,0,BQ120-BL120+BQ7)</f>
        <v>0</v>
      </c>
      <c r="BR129" s="68">
        <f t="shared" ref="BR129:BU131" si="559">IF(BR120&lt;=0,0,BR120-BQ120+BR7)</f>
        <v>0</v>
      </c>
      <c r="BS129" s="68">
        <f t="shared" si="559"/>
        <v>0</v>
      </c>
      <c r="BT129" s="68">
        <f t="shared" si="559"/>
        <v>0</v>
      </c>
      <c r="BU129" s="68">
        <f t="shared" si="559"/>
        <v>0</v>
      </c>
      <c r="BV129" s="69">
        <f>IF(BV120&lt;=0,0,BV120-BQ120+BV7)</f>
        <v>0</v>
      </c>
      <c r="BW129" s="68">
        <f t="shared" ref="BW129:BZ131" si="560">IF(BW120&lt;=0,0,BW120-BV120+BW7)</f>
        <v>0</v>
      </c>
      <c r="BX129" s="68">
        <f t="shared" si="560"/>
        <v>0</v>
      </c>
      <c r="BY129" s="68">
        <f t="shared" si="560"/>
        <v>0</v>
      </c>
      <c r="BZ129" s="68">
        <f t="shared" si="560"/>
        <v>0</v>
      </c>
      <c r="CA129" s="69">
        <f>IF(CA120&lt;=0,0,CA120-BV120+CA7)</f>
        <v>0</v>
      </c>
      <c r="CB129" s="68">
        <f t="shared" ref="CB129:CE131" si="561">IF(CB120&lt;=0,0,CB120-CA120+CB7)</f>
        <v>0</v>
      </c>
      <c r="CC129" s="68">
        <f t="shared" si="561"/>
        <v>0</v>
      </c>
      <c r="CD129" s="68">
        <f t="shared" si="561"/>
        <v>0</v>
      </c>
      <c r="CE129" s="68">
        <f t="shared" si="561"/>
        <v>0</v>
      </c>
      <c r="CF129" s="69">
        <f>IF(CF120&lt;=0,0,CF120-CA120+CF7)</f>
        <v>0</v>
      </c>
      <c r="CG129" s="68">
        <f t="shared" ref="CG129:CJ131" si="562">IF(CG120&lt;=0,0,CG120-CF120+CG7)</f>
        <v>0</v>
      </c>
      <c r="CH129" s="68">
        <f t="shared" si="562"/>
        <v>0</v>
      </c>
      <c r="CI129" s="68">
        <f t="shared" si="562"/>
        <v>0</v>
      </c>
      <c r="CJ129" s="68">
        <f t="shared" si="562"/>
        <v>0</v>
      </c>
      <c r="CK129" s="69">
        <f>IF(CK120&lt;=0,0,CK120-CF120+CK7)</f>
        <v>0</v>
      </c>
      <c r="CL129" s="68">
        <f t="shared" ref="CL129:CO131" si="563">IF(CL120&lt;=0,0,CL120-CK120+CL7)</f>
        <v>0</v>
      </c>
      <c r="CM129" s="68">
        <f t="shared" si="563"/>
        <v>0</v>
      </c>
      <c r="CN129" s="68">
        <f t="shared" si="563"/>
        <v>0</v>
      </c>
      <c r="CO129" s="68">
        <f t="shared" si="563"/>
        <v>0</v>
      </c>
      <c r="CP129" s="69">
        <f>IF(CP120&lt;=0,0,CP120-CK120+CP7)</f>
        <v>0</v>
      </c>
      <c r="CQ129" s="68">
        <f t="shared" ref="CQ129:CT131" si="564">IF(CQ120&lt;=0,0,CQ120-CP120+CQ7)</f>
        <v>0</v>
      </c>
      <c r="CR129" s="68">
        <f t="shared" si="564"/>
        <v>0</v>
      </c>
      <c r="CS129" s="68">
        <f t="shared" si="564"/>
        <v>0</v>
      </c>
      <c r="CT129" s="68">
        <f t="shared" si="564"/>
        <v>0</v>
      </c>
      <c r="CU129" s="69">
        <f>IF(CU120&lt;=0,0,CU120-CP120+CU7)</f>
        <v>0</v>
      </c>
      <c r="CV129" s="68">
        <f t="shared" ref="CV129:CY131" si="565">IF(CV120&lt;=0,0,CV120-CU120+CV7)</f>
        <v>0</v>
      </c>
      <c r="CW129" s="68">
        <f t="shared" si="565"/>
        <v>0</v>
      </c>
      <c r="CX129" s="68">
        <f t="shared" si="565"/>
        <v>0</v>
      </c>
      <c r="CY129" s="68">
        <f t="shared" si="565"/>
        <v>0</v>
      </c>
      <c r="CZ129" s="69">
        <f>IF(CZ120&lt;=0,0,CZ120-CU120+CZ7)</f>
        <v>0</v>
      </c>
      <c r="DA129" s="68">
        <f t="shared" ref="DA129:DB131" si="566">IF(DA120&lt;=0,0,DA120-CZ120+DA7)</f>
        <v>6232</v>
      </c>
      <c r="DB129" s="68">
        <f t="shared" si="566"/>
        <v>0</v>
      </c>
      <c r="DC129" s="68"/>
      <c r="DD129" s="68"/>
      <c r="DE129" s="69"/>
      <c r="DF129" s="68"/>
      <c r="DG129" s="68"/>
      <c r="DH129" s="68"/>
      <c r="DI129" s="68"/>
      <c r="DJ129" s="69"/>
      <c r="DK129" s="68"/>
      <c r="DL129" s="68"/>
      <c r="DM129" s="68"/>
      <c r="DN129" s="68"/>
      <c r="DO129" s="69"/>
      <c r="DP129" s="68"/>
      <c r="DQ129" s="68"/>
      <c r="DR129" s="68"/>
      <c r="DS129" s="68"/>
      <c r="DT129" s="69"/>
      <c r="DU129" s="69"/>
      <c r="DV129" s="69"/>
    </row>
    <row r="130" spans="1:126" s="15" customFormat="1">
      <c r="B130" s="317" t="s">
        <v>457</v>
      </c>
      <c r="C130" s="69"/>
      <c r="D130" s="69"/>
      <c r="E130" s="69"/>
      <c r="F130" s="69"/>
      <c r="G130" s="69"/>
      <c r="H130" s="69"/>
      <c r="I130" s="69"/>
      <c r="J130" s="68"/>
      <c r="K130" s="68"/>
      <c r="L130" s="68"/>
      <c r="M130" s="68"/>
      <c r="N130" s="69"/>
      <c r="O130" s="67"/>
      <c r="P130" s="67"/>
      <c r="Q130" s="67"/>
      <c r="R130" s="67"/>
      <c r="S130" s="69"/>
      <c r="T130" s="67"/>
      <c r="U130" s="67"/>
      <c r="V130" s="67"/>
      <c r="W130" s="67"/>
      <c r="X130" s="69"/>
      <c r="Y130" s="67"/>
      <c r="Z130" s="67"/>
      <c r="AA130" s="67"/>
      <c r="AB130" s="67"/>
      <c r="AC130" s="69"/>
      <c r="AD130" s="67"/>
      <c r="AE130" s="67"/>
      <c r="AF130" s="67"/>
      <c r="AG130" s="67"/>
      <c r="AH130" s="69"/>
      <c r="AI130" s="68"/>
      <c r="AJ130" s="68"/>
      <c r="AK130" s="68"/>
      <c r="AL130" s="68"/>
      <c r="AM130" s="69"/>
      <c r="AN130" s="68"/>
      <c r="AO130" s="68"/>
      <c r="AP130" s="68"/>
      <c r="AQ130" s="68"/>
      <c r="AR130" s="69"/>
      <c r="AS130" s="68"/>
      <c r="AT130" s="68"/>
      <c r="AU130" s="68"/>
      <c r="AV130" s="68"/>
      <c r="AW130" s="69"/>
      <c r="AX130" s="68">
        <f t="shared" si="556"/>
        <v>0</v>
      </c>
      <c r="AY130" s="68">
        <f t="shared" si="556"/>
        <v>0</v>
      </c>
      <c r="AZ130" s="68">
        <f t="shared" si="556"/>
        <v>0</v>
      </c>
      <c r="BA130" s="68">
        <f t="shared" si="556"/>
        <v>0</v>
      </c>
      <c r="BB130" s="69">
        <f>IF(BB121&lt;=0,0,BB121-AW121+BB8)</f>
        <v>0</v>
      </c>
      <c r="BC130" s="68">
        <f t="shared" si="557"/>
        <v>0</v>
      </c>
      <c r="BD130" s="68">
        <f t="shared" si="557"/>
        <v>0</v>
      </c>
      <c r="BE130" s="68">
        <f t="shared" si="557"/>
        <v>0</v>
      </c>
      <c r="BF130" s="68">
        <f t="shared" si="557"/>
        <v>0</v>
      </c>
      <c r="BG130" s="69">
        <f>IF(BG121&lt;=0,0,BG121-BB121+BG8)</f>
        <v>0</v>
      </c>
      <c r="BH130" s="68">
        <f t="shared" si="558"/>
        <v>0</v>
      </c>
      <c r="BI130" s="68">
        <f t="shared" si="558"/>
        <v>0</v>
      </c>
      <c r="BJ130" s="68">
        <f t="shared" si="558"/>
        <v>0</v>
      </c>
      <c r="BK130" s="68">
        <f t="shared" si="558"/>
        <v>0</v>
      </c>
      <c r="BL130" s="69">
        <f>IF(BL121&lt;=0,0,BL121-BG121+BL8)</f>
        <v>0</v>
      </c>
      <c r="BM130" s="68">
        <f t="shared" ref="BM130:BO131" si="567">IF(BM121&lt;=0,0,BM121-BL121+BM8)</f>
        <v>0</v>
      </c>
      <c r="BN130" s="68">
        <f t="shared" si="567"/>
        <v>0</v>
      </c>
      <c r="BO130" s="68">
        <f t="shared" si="567"/>
        <v>0</v>
      </c>
      <c r="BP130" s="68">
        <f>IF(BP121&lt;=0,0,BP121-BO121+BP8-15600)</f>
        <v>0</v>
      </c>
      <c r="BQ130" s="69">
        <f>IF(BQ121&lt;=0,0,BQ121-BL121+BQ8-15600)</f>
        <v>0</v>
      </c>
      <c r="BR130" s="68">
        <f t="shared" si="559"/>
        <v>0</v>
      </c>
      <c r="BS130" s="68">
        <f t="shared" si="559"/>
        <v>0</v>
      </c>
      <c r="BT130" s="68">
        <f t="shared" si="559"/>
        <v>0</v>
      </c>
      <c r="BU130" s="68">
        <f t="shared" si="559"/>
        <v>0</v>
      </c>
      <c r="BV130" s="69">
        <f>IF(BV121&lt;=0,0,BV121-BQ121+BV8)</f>
        <v>0</v>
      </c>
      <c r="BW130" s="68">
        <f t="shared" si="560"/>
        <v>0</v>
      </c>
      <c r="BX130" s="68">
        <f t="shared" si="560"/>
        <v>0</v>
      </c>
      <c r="BY130" s="68">
        <f t="shared" si="560"/>
        <v>0</v>
      </c>
      <c r="BZ130" s="68">
        <f t="shared" si="560"/>
        <v>0</v>
      </c>
      <c r="CA130" s="69">
        <f>IF(CA121&lt;=0,0,CA121-BV121+CA8)</f>
        <v>0</v>
      </c>
      <c r="CB130" s="68">
        <f t="shared" si="561"/>
        <v>0</v>
      </c>
      <c r="CC130" s="68">
        <f t="shared" si="561"/>
        <v>0</v>
      </c>
      <c r="CD130" s="68">
        <f t="shared" si="561"/>
        <v>0</v>
      </c>
      <c r="CE130" s="68">
        <f t="shared" si="561"/>
        <v>0</v>
      </c>
      <c r="CF130" s="69">
        <f>IF(CF121&lt;=0,0,CF121-CA121+CF8)</f>
        <v>0</v>
      </c>
      <c r="CG130" s="68">
        <f t="shared" si="562"/>
        <v>0</v>
      </c>
      <c r="CH130" s="68">
        <f t="shared" si="562"/>
        <v>0</v>
      </c>
      <c r="CI130" s="68">
        <f t="shared" si="562"/>
        <v>0</v>
      </c>
      <c r="CJ130" s="68">
        <f t="shared" si="562"/>
        <v>0</v>
      </c>
      <c r="CK130" s="69">
        <f>IF(CK121&lt;=0,0,CK121-CF121+CK8)</f>
        <v>0</v>
      </c>
      <c r="CL130" s="68">
        <f t="shared" si="563"/>
        <v>0</v>
      </c>
      <c r="CM130" s="68">
        <f t="shared" si="563"/>
        <v>0</v>
      </c>
      <c r="CN130" s="68">
        <f t="shared" si="563"/>
        <v>0</v>
      </c>
      <c r="CO130" s="68">
        <f t="shared" si="563"/>
        <v>0</v>
      </c>
      <c r="CP130" s="69">
        <f>IF(CP121&lt;=0,0,CP121-CK121+CP8)</f>
        <v>0</v>
      </c>
      <c r="CQ130" s="68">
        <f t="shared" si="564"/>
        <v>0</v>
      </c>
      <c r="CR130" s="68">
        <f t="shared" si="564"/>
        <v>0</v>
      </c>
      <c r="CS130" s="68">
        <f t="shared" si="564"/>
        <v>0</v>
      </c>
      <c r="CT130" s="68">
        <f t="shared" si="564"/>
        <v>0</v>
      </c>
      <c r="CU130" s="69">
        <f>IF(CU121&lt;=0,0,CU121-CP121+CU8)</f>
        <v>0</v>
      </c>
      <c r="CV130" s="68">
        <f t="shared" si="565"/>
        <v>0</v>
      </c>
      <c r="CW130" s="68">
        <f t="shared" si="565"/>
        <v>0</v>
      </c>
      <c r="CX130" s="68">
        <f t="shared" si="565"/>
        <v>0</v>
      </c>
      <c r="CY130" s="68">
        <f t="shared" si="565"/>
        <v>0</v>
      </c>
      <c r="CZ130" s="69">
        <f>IF(CZ121&lt;=0,0,CZ121-CU121+CZ8)</f>
        <v>0</v>
      </c>
      <c r="DA130" s="68">
        <f t="shared" si="566"/>
        <v>2185.3706761883509</v>
      </c>
      <c r="DB130" s="68">
        <f t="shared" si="566"/>
        <v>0</v>
      </c>
      <c r="DC130" s="68"/>
      <c r="DD130" s="68"/>
      <c r="DE130" s="69"/>
      <c r="DF130" s="68"/>
      <c r="DG130" s="68"/>
      <c r="DH130" s="68"/>
      <c r="DI130" s="68"/>
      <c r="DJ130" s="69"/>
      <c r="DK130" s="68"/>
      <c r="DL130" s="68"/>
      <c r="DM130" s="68"/>
      <c r="DN130" s="68"/>
      <c r="DO130" s="69"/>
      <c r="DP130" s="68"/>
      <c r="DQ130" s="68"/>
      <c r="DR130" s="68"/>
      <c r="DS130" s="68"/>
      <c r="DT130" s="69"/>
      <c r="DU130" s="69"/>
      <c r="DV130" s="69"/>
    </row>
    <row r="131" spans="1:126" s="15" customFormat="1" hidden="1" outlineLevel="1">
      <c r="B131" s="317" t="s">
        <v>382</v>
      </c>
      <c r="C131" s="69"/>
      <c r="D131" s="69"/>
      <c r="E131" s="69"/>
      <c r="F131" s="69"/>
      <c r="G131" s="69"/>
      <c r="H131" s="69"/>
      <c r="I131" s="69"/>
      <c r="J131" s="68"/>
      <c r="K131" s="68"/>
      <c r="L131" s="68"/>
      <c r="M131" s="68"/>
      <c r="N131" s="69"/>
      <c r="O131" s="67"/>
      <c r="P131" s="67"/>
      <c r="Q131" s="67"/>
      <c r="R131" s="67"/>
      <c r="S131" s="69"/>
      <c r="T131" s="67"/>
      <c r="U131" s="67"/>
      <c r="V131" s="67"/>
      <c r="W131" s="67"/>
      <c r="X131" s="69"/>
      <c r="Y131" s="67"/>
      <c r="Z131" s="67"/>
      <c r="AA131" s="67"/>
      <c r="AB131" s="67"/>
      <c r="AC131" s="69"/>
      <c r="AD131" s="67"/>
      <c r="AE131" s="67"/>
      <c r="AF131" s="67"/>
      <c r="AG131" s="67"/>
      <c r="AH131" s="69"/>
      <c r="AI131" s="67"/>
      <c r="AJ131" s="67"/>
      <c r="AK131" s="67"/>
      <c r="AL131" s="67"/>
      <c r="AM131" s="69"/>
      <c r="AN131" s="67"/>
      <c r="AO131" s="67"/>
      <c r="AP131" s="67"/>
      <c r="AQ131" s="67"/>
      <c r="AR131" s="69"/>
      <c r="AS131" s="67"/>
      <c r="AT131" s="67"/>
      <c r="AU131" s="67"/>
      <c r="AV131" s="67"/>
      <c r="AW131" s="69">
        <f t="shared" ref="AW131:AW132" si="568">IF(AV131=0,0,SUM(AS131:AV131))</f>
        <v>0</v>
      </c>
      <c r="AX131" s="67">
        <f t="shared" si="556"/>
        <v>0</v>
      </c>
      <c r="AY131" s="67">
        <f t="shared" si="556"/>
        <v>0</v>
      </c>
      <c r="AZ131" s="67">
        <f t="shared" si="556"/>
        <v>0</v>
      </c>
      <c r="BA131" s="67">
        <f t="shared" si="556"/>
        <v>0</v>
      </c>
      <c r="BB131" s="69">
        <f>IF(BB122&lt;=0,0,BB122-AW122+BB9)</f>
        <v>0</v>
      </c>
      <c r="BC131" s="67">
        <f t="shared" si="557"/>
        <v>0</v>
      </c>
      <c r="BD131" s="67">
        <f t="shared" si="557"/>
        <v>0</v>
      </c>
      <c r="BE131" s="67">
        <f t="shared" si="557"/>
        <v>0</v>
      </c>
      <c r="BF131" s="67">
        <f t="shared" si="557"/>
        <v>0</v>
      </c>
      <c r="BG131" s="69">
        <f>IF(BG122&lt;=0,0,BG122-BB122+BG9)</f>
        <v>0</v>
      </c>
      <c r="BH131" s="67">
        <f t="shared" si="558"/>
        <v>0</v>
      </c>
      <c r="BI131" s="67">
        <f t="shared" si="558"/>
        <v>0</v>
      </c>
      <c r="BJ131" s="67">
        <f t="shared" si="558"/>
        <v>0</v>
      </c>
      <c r="BK131" s="67">
        <f t="shared" si="558"/>
        <v>0</v>
      </c>
      <c r="BL131" s="69">
        <f>IF(BL122&lt;=0,0,BL122-BG122+BL9)</f>
        <v>0</v>
      </c>
      <c r="BM131" s="67">
        <f t="shared" si="567"/>
        <v>0</v>
      </c>
      <c r="BN131" s="67">
        <f t="shared" si="567"/>
        <v>0</v>
      </c>
      <c r="BO131" s="67">
        <f t="shared" si="567"/>
        <v>0</v>
      </c>
      <c r="BP131" s="67">
        <f>IF(BP122&lt;=0,0,BP122-BO122+BP9)</f>
        <v>0</v>
      </c>
      <c r="BQ131" s="69">
        <f>IF(BQ122&lt;=0,0,BQ122-BL122+BQ9)</f>
        <v>0</v>
      </c>
      <c r="BR131" s="67">
        <f t="shared" si="559"/>
        <v>0</v>
      </c>
      <c r="BS131" s="67">
        <f t="shared" si="559"/>
        <v>0</v>
      </c>
      <c r="BT131" s="67">
        <f t="shared" si="559"/>
        <v>0</v>
      </c>
      <c r="BU131" s="67">
        <f t="shared" si="559"/>
        <v>0</v>
      </c>
      <c r="BV131" s="69">
        <f>IF(BV122&lt;=0,0,BV122-BQ122+BV9)</f>
        <v>0</v>
      </c>
      <c r="BW131" s="67">
        <f t="shared" si="560"/>
        <v>0</v>
      </c>
      <c r="BX131" s="67">
        <f t="shared" si="560"/>
        <v>0</v>
      </c>
      <c r="BY131" s="67">
        <f t="shared" si="560"/>
        <v>0</v>
      </c>
      <c r="BZ131" s="67">
        <f t="shared" si="560"/>
        <v>0</v>
      </c>
      <c r="CA131" s="69">
        <f>IF(CA122&lt;=0,0,CA122-BV122+CA9)</f>
        <v>0</v>
      </c>
      <c r="CB131" s="67">
        <f t="shared" si="561"/>
        <v>0</v>
      </c>
      <c r="CC131" s="67">
        <f t="shared" si="561"/>
        <v>0</v>
      </c>
      <c r="CD131" s="67">
        <f t="shared" si="561"/>
        <v>0</v>
      </c>
      <c r="CE131" s="67">
        <f t="shared" si="561"/>
        <v>0</v>
      </c>
      <c r="CF131" s="69">
        <f>IF(CF122&lt;=0,0,CF122-CA122+CF9)</f>
        <v>0</v>
      </c>
      <c r="CG131" s="67">
        <f t="shared" si="562"/>
        <v>0</v>
      </c>
      <c r="CH131" s="67">
        <f t="shared" si="562"/>
        <v>0</v>
      </c>
      <c r="CI131" s="67">
        <f t="shared" si="562"/>
        <v>0</v>
      </c>
      <c r="CJ131" s="67">
        <f t="shared" si="562"/>
        <v>0</v>
      </c>
      <c r="CK131" s="69">
        <f>IF(CK122&lt;=0,0,CK122-CF122+CK9)</f>
        <v>0</v>
      </c>
      <c r="CL131" s="67">
        <f t="shared" si="563"/>
        <v>0</v>
      </c>
      <c r="CM131" s="67">
        <f t="shared" si="563"/>
        <v>0</v>
      </c>
      <c r="CN131" s="67">
        <f t="shared" si="563"/>
        <v>0</v>
      </c>
      <c r="CO131" s="67">
        <f t="shared" si="563"/>
        <v>0</v>
      </c>
      <c r="CP131" s="69">
        <f>IF(CP122&lt;=0,0,CP122-CK122+CP9)</f>
        <v>0</v>
      </c>
      <c r="CQ131" s="67">
        <f t="shared" si="564"/>
        <v>0</v>
      </c>
      <c r="CR131" s="67">
        <f t="shared" si="564"/>
        <v>0</v>
      </c>
      <c r="CS131" s="67">
        <f t="shared" si="564"/>
        <v>0</v>
      </c>
      <c r="CT131" s="67">
        <f t="shared" si="564"/>
        <v>0</v>
      </c>
      <c r="CU131" s="69">
        <f>IF(CU122&lt;=0,0,CU122-CP122+CU9)</f>
        <v>0</v>
      </c>
      <c r="CV131" s="67">
        <f t="shared" si="565"/>
        <v>0</v>
      </c>
      <c r="CW131" s="67">
        <f t="shared" si="565"/>
        <v>0</v>
      </c>
      <c r="CX131" s="67">
        <f t="shared" si="565"/>
        <v>0</v>
      </c>
      <c r="CY131" s="67">
        <f t="shared" si="565"/>
        <v>0</v>
      </c>
      <c r="CZ131" s="69">
        <f>IF(CZ122&lt;=0,0,CZ122-CU122+CZ9)</f>
        <v>0</v>
      </c>
      <c r="DA131" s="67">
        <f t="shared" si="566"/>
        <v>0</v>
      </c>
      <c r="DB131" s="67">
        <f t="shared" si="566"/>
        <v>0</v>
      </c>
      <c r="DC131" s="67"/>
      <c r="DD131" s="67"/>
      <c r="DE131" s="69"/>
      <c r="DF131" s="67"/>
      <c r="DG131" s="67"/>
      <c r="DH131" s="67"/>
      <c r="DI131" s="67"/>
      <c r="DJ131" s="69"/>
      <c r="DK131" s="67"/>
      <c r="DL131" s="67"/>
      <c r="DM131" s="67"/>
      <c r="DN131" s="67"/>
      <c r="DO131" s="69"/>
      <c r="DP131" s="67"/>
      <c r="DQ131" s="67"/>
      <c r="DR131" s="67"/>
      <c r="DS131" s="67"/>
      <c r="DT131" s="69"/>
      <c r="DU131" s="69"/>
      <c r="DV131" s="69"/>
    </row>
    <row r="132" spans="1:126" s="15" customFormat="1" hidden="1" outlineLevel="1">
      <c r="B132" s="221" t="s">
        <v>383</v>
      </c>
      <c r="C132" s="69"/>
      <c r="D132" s="69"/>
      <c r="E132" s="69"/>
      <c r="F132" s="69"/>
      <c r="G132" s="69"/>
      <c r="H132" s="69"/>
      <c r="I132" s="69"/>
      <c r="J132" s="68"/>
      <c r="K132" s="68"/>
      <c r="L132" s="68"/>
      <c r="M132" s="68"/>
      <c r="N132" s="69"/>
      <c r="O132" s="67"/>
      <c r="P132" s="67"/>
      <c r="Q132" s="67"/>
      <c r="R132" s="67"/>
      <c r="S132" s="69"/>
      <c r="T132" s="67"/>
      <c r="U132" s="67"/>
      <c r="V132" s="67"/>
      <c r="W132" s="67"/>
      <c r="X132" s="69"/>
      <c r="Y132" s="67"/>
      <c r="Z132" s="67"/>
      <c r="AA132" s="67"/>
      <c r="AB132" s="67"/>
      <c r="AC132" s="69"/>
      <c r="AD132" s="67"/>
      <c r="AE132" s="67"/>
      <c r="AF132" s="67"/>
      <c r="AG132" s="67"/>
      <c r="AH132" s="69"/>
      <c r="AI132" s="67"/>
      <c r="AJ132" s="67"/>
      <c r="AK132" s="67"/>
      <c r="AL132" s="67"/>
      <c r="AM132" s="69"/>
      <c r="AN132" s="67"/>
      <c r="AO132" s="67"/>
      <c r="AP132" s="67"/>
      <c r="AQ132" s="67"/>
      <c r="AR132" s="69"/>
      <c r="AS132" s="67"/>
      <c r="AT132" s="67"/>
      <c r="AU132" s="67"/>
      <c r="AV132" s="67"/>
      <c r="AW132" s="69">
        <f t="shared" si="568"/>
        <v>0</v>
      </c>
      <c r="AX132" s="67">
        <f>IF(AX123&lt;=0,0,AX123-AW123+#REF!)</f>
        <v>0</v>
      </c>
      <c r="AY132" s="67">
        <f>IF(AY123&lt;=0,0,AY123-AX123+#REF!)</f>
        <v>0</v>
      </c>
      <c r="AZ132" s="67">
        <f>IF(AZ123&lt;=0,0,AZ123-AY123+#REF!)</f>
        <v>0</v>
      </c>
      <c r="BA132" s="67">
        <f>IF(BA123&lt;=0,0,BA123-AZ123+#REF!)</f>
        <v>0</v>
      </c>
      <c r="BB132" s="69">
        <f>IF(BB123&lt;=0,0,BB123-AW123+#REF!)</f>
        <v>0</v>
      </c>
      <c r="BC132" s="67">
        <f>IF(BC123&lt;=0,0,BC123-BB123+#REF!)</f>
        <v>0</v>
      </c>
      <c r="BD132" s="67">
        <f>IF(BD123&lt;=0,0,BD123-BC123+#REF!)</f>
        <v>0</v>
      </c>
      <c r="BE132" s="67">
        <f>IF(BE123&lt;=0,0,BE123-BD123+#REF!)</f>
        <v>0</v>
      </c>
      <c r="BF132" s="67">
        <f>IF(BF123&lt;=0,0,BF123-BE123+#REF!)</f>
        <v>0</v>
      </c>
      <c r="BG132" s="69">
        <f>IF(BG123&lt;=0,0,BG123-BB123+#REF!)</f>
        <v>0</v>
      </c>
      <c r="BH132" s="67">
        <f>IF(BH123&lt;=0,0,BH123-BG123+#REF!)</f>
        <v>0</v>
      </c>
      <c r="BI132" s="67">
        <f>IF(BI123&lt;=0,0,BI123-BH123+#REF!)</f>
        <v>0</v>
      </c>
      <c r="BJ132" s="67">
        <f>IF(BJ123&lt;=0,0,BJ123-BI123+#REF!)</f>
        <v>0</v>
      </c>
      <c r="BK132" s="67">
        <f>IF(BK123&lt;=0,0,BK123-BJ123+#REF!)</f>
        <v>0</v>
      </c>
      <c r="BL132" s="69">
        <f>IF(BL123&lt;=0,0,BL123-BG123+#REF!)</f>
        <v>0</v>
      </c>
      <c r="BM132" s="67">
        <f>IF(BM123&lt;=0,0,BM123-BL123+#REF!)</f>
        <v>0</v>
      </c>
      <c r="BN132" s="67">
        <f>IF(BN123&lt;=0,0,BN123-BM123+#REF!)</f>
        <v>0</v>
      </c>
      <c r="BO132" s="67">
        <f>IF(BO123&lt;=0,0,BO123-BN123+#REF!)</f>
        <v>0</v>
      </c>
      <c r="BP132" s="67">
        <f>IF(BP123&lt;=0,0,BP123-BO123+#REF!)</f>
        <v>0</v>
      </c>
      <c r="BQ132" s="69">
        <f>IF(BQ123&lt;=0,0,BQ123-BL123+#REF!)</f>
        <v>0</v>
      </c>
      <c r="BR132" s="67">
        <f>IF(BR123&lt;=0,0,BR123-BQ123+#REF!)</f>
        <v>0</v>
      </c>
      <c r="BS132" s="67">
        <f>IF(BS123&lt;=0,0,BS123-BR123+#REF!)</f>
        <v>0</v>
      </c>
      <c r="BT132" s="67">
        <f>IF(BT123&lt;=0,0,BT123-BS123+#REF!)</f>
        <v>0</v>
      </c>
      <c r="BU132" s="67">
        <f>IF(BU123&lt;=0,0,BU123-BT123+#REF!)</f>
        <v>0</v>
      </c>
      <c r="BV132" s="69">
        <f>IF(BV123&lt;=0,0,BV123-BQ123+#REF!)</f>
        <v>0</v>
      </c>
      <c r="BW132" s="67">
        <f>IF(BW123&lt;=0,0,BW123-BV123+#REF!)</f>
        <v>0</v>
      </c>
      <c r="BX132" s="67">
        <f>IF(BX123&lt;=0,0,BX123-BW123+#REF!)</f>
        <v>0</v>
      </c>
      <c r="BY132" s="67">
        <f>IF(BY123&lt;=0,0,BY123-BX123+#REF!)</f>
        <v>0</v>
      </c>
      <c r="BZ132" s="67">
        <f>IF(BZ123&lt;=0,0,BZ123-BY123+#REF!)</f>
        <v>0</v>
      </c>
      <c r="CA132" s="69">
        <f>IF(CA123&lt;=0,0,CA123-BV123+#REF!)</f>
        <v>0</v>
      </c>
      <c r="CB132" s="67">
        <f>IF(CB123&lt;=0,0,CB123-CA123+#REF!)</f>
        <v>0</v>
      </c>
      <c r="CC132" s="67">
        <f>IF(CC123&lt;=0,0,CC123-CB123+#REF!)</f>
        <v>0</v>
      </c>
      <c r="CD132" s="67">
        <f>IF(CD123&lt;=0,0,CD123-CC123+#REF!)</f>
        <v>0</v>
      </c>
      <c r="CE132" s="67">
        <f>IF(CE123&lt;=0,0,CE123-CD123+#REF!)</f>
        <v>0</v>
      </c>
      <c r="CF132" s="69">
        <f>IF(CF123&lt;=0,0,CF123-CA123+#REF!)</f>
        <v>0</v>
      </c>
      <c r="CG132" s="67">
        <f>IF(CG123&lt;=0,0,CG123-CF123+#REF!)</f>
        <v>0</v>
      </c>
      <c r="CH132" s="67">
        <f>IF(CH123&lt;=0,0,CH123-CG123+#REF!)</f>
        <v>0</v>
      </c>
      <c r="CI132" s="67">
        <f>IF(CI123&lt;=0,0,CI123-CH123+#REF!)</f>
        <v>0</v>
      </c>
      <c r="CJ132" s="67">
        <f>IF(CJ123&lt;=0,0,CJ123-CI123+#REF!)</f>
        <v>0</v>
      </c>
      <c r="CK132" s="69">
        <f>IF(CK123&lt;=0,0,CK123-CF123+#REF!)</f>
        <v>0</v>
      </c>
      <c r="CL132" s="67">
        <f>IF(CL123&lt;=0,0,CL123-CK123+#REF!)</f>
        <v>0</v>
      </c>
      <c r="CM132" s="67">
        <f>IF(CM123&lt;=0,0,CM123-CL123+#REF!)</f>
        <v>0</v>
      </c>
      <c r="CN132" s="67">
        <f>IF(CN123&lt;=0,0,CN123-CM123+#REF!)</f>
        <v>0</v>
      </c>
      <c r="CO132" s="67">
        <f>IF(CO123&lt;=0,0,CO123-CN123+#REF!)</f>
        <v>0</v>
      </c>
      <c r="CP132" s="69">
        <f>IF(CP123&lt;=0,0,CP123-CK123+#REF!)</f>
        <v>0</v>
      </c>
      <c r="CQ132" s="67">
        <f>IF(CQ123&lt;=0,0,CQ123-CP123+#REF!)</f>
        <v>0</v>
      </c>
      <c r="CR132" s="67">
        <f>IF(CR123&lt;=0,0,CR123-CQ123+#REF!)</f>
        <v>0</v>
      </c>
      <c r="CS132" s="67">
        <f>IF(CS123&lt;=0,0,CS123-CR123+#REF!)</f>
        <v>0</v>
      </c>
      <c r="CT132" s="67">
        <f>IF(CT123&lt;=0,0,CT123-CS123+#REF!)</f>
        <v>0</v>
      </c>
      <c r="CU132" s="69">
        <f>IF(CU123&lt;=0,0,CU123-CP123+#REF!)</f>
        <v>0</v>
      </c>
      <c r="CV132" s="67">
        <f>IF(CV123&lt;=0,0,CV123-CU123+#REF!)</f>
        <v>0</v>
      </c>
      <c r="CW132" s="67">
        <f>IF(CW123&lt;=0,0,CW123-CV123+#REF!)</f>
        <v>0</v>
      </c>
      <c r="CX132" s="67">
        <f>IF(CX123&lt;=0,0,CX123-CW123+#REF!)</f>
        <v>0</v>
      </c>
      <c r="CY132" s="67">
        <f>IF(CY123&lt;=0,0,CY123-CX123+#REF!)</f>
        <v>0</v>
      </c>
      <c r="CZ132" s="69">
        <f>IF(CZ123&lt;=0,0,CZ123-CU123+#REF!)</f>
        <v>0</v>
      </c>
      <c r="DA132" s="67">
        <f>IF(DA123&lt;=0,0,DA123-CZ123+#REF!)</f>
        <v>0</v>
      </c>
      <c r="DB132" s="67">
        <f>IF(DB123&lt;=0,0,DB123-DA123+#REF!)</f>
        <v>0</v>
      </c>
      <c r="DC132" s="67"/>
      <c r="DD132" s="67"/>
      <c r="DE132" s="69"/>
      <c r="DF132" s="67"/>
      <c r="DG132" s="67"/>
      <c r="DH132" s="67"/>
      <c r="DI132" s="67"/>
      <c r="DJ132" s="69"/>
      <c r="DK132" s="67"/>
      <c r="DL132" s="67"/>
      <c r="DM132" s="67"/>
      <c r="DN132" s="67"/>
      <c r="DO132" s="69"/>
      <c r="DP132" s="67"/>
      <c r="DQ132" s="67"/>
      <c r="DR132" s="67"/>
      <c r="DS132" s="67"/>
      <c r="DT132" s="69"/>
      <c r="DU132" s="69"/>
      <c r="DV132" s="69"/>
    </row>
    <row r="133" spans="1:126" s="15" customFormat="1" ht="12" collapsed="1">
      <c r="B133" s="270" t="s">
        <v>172</v>
      </c>
      <c r="C133" s="275"/>
      <c r="D133" s="276"/>
      <c r="E133" s="275"/>
      <c r="F133" s="275"/>
      <c r="G133" s="275"/>
      <c r="H133" s="277"/>
      <c r="I133" s="275"/>
      <c r="J133" s="278"/>
      <c r="K133" s="278"/>
      <c r="L133" s="278"/>
      <c r="M133" s="278"/>
      <c r="N133" s="275"/>
      <c r="O133" s="278"/>
      <c r="P133" s="278"/>
      <c r="Q133" s="278"/>
      <c r="R133" s="278"/>
      <c r="S133" s="275"/>
      <c r="T133" s="278"/>
      <c r="U133" s="278"/>
      <c r="V133" s="278"/>
      <c r="W133" s="278"/>
      <c r="X133" s="275"/>
      <c r="Y133" s="278"/>
      <c r="Z133" s="278"/>
      <c r="AA133" s="278"/>
      <c r="AB133" s="278"/>
      <c r="AC133" s="275"/>
      <c r="AD133" s="278"/>
      <c r="AE133" s="278"/>
      <c r="AF133" s="278"/>
      <c r="AG133" s="278"/>
      <c r="AH133" s="275"/>
      <c r="AI133" s="278"/>
      <c r="AJ133" s="278"/>
      <c r="AK133" s="278"/>
      <c r="AL133" s="278"/>
      <c r="AM133" s="275"/>
      <c r="AN133" s="65"/>
      <c r="AO133" s="278"/>
      <c r="AP133" s="278"/>
      <c r="AQ133" s="278"/>
      <c r="AR133" s="275"/>
      <c r="AS133" s="278">
        <f>IF(AS125&lt;=0,0,AS125-AR125+AS11)</f>
        <v>0</v>
      </c>
      <c r="AT133" s="278">
        <f>IF(AT125&lt;=0,0,AT125-AS125+AT11)</f>
        <v>0</v>
      </c>
      <c r="AU133" s="278">
        <f>IF(AU125&lt;=0,0,AU125-AT125+AU11)</f>
        <v>0</v>
      </c>
      <c r="AV133" s="278">
        <f>IF(AV125&lt;=0,0,AV125-AU125+AV11)</f>
        <v>0</v>
      </c>
      <c r="AW133" s="275">
        <f>IF(AV133=0,0,SUM(AS133:AV133))</f>
        <v>0</v>
      </c>
      <c r="AX133" s="278">
        <f>IF(AX125&lt;=0,0,AX125-AW125+AX11)</f>
        <v>0</v>
      </c>
      <c r="AY133" s="278">
        <f>IF(AY125&lt;=0,0,AY125-AX125+AY11)</f>
        <v>0</v>
      </c>
      <c r="AZ133" s="278">
        <f>IF(AZ125&lt;=0,0,AZ125-AY125+AZ11)</f>
        <v>0</v>
      </c>
      <c r="BA133" s="278">
        <f>IF(BA125&lt;=0,0,BA125-AZ125+BA11)</f>
        <v>0</v>
      </c>
      <c r="BB133" s="275">
        <f>IF(BB125&lt;=0,0,BB125-AW125+BB11)</f>
        <v>0</v>
      </c>
      <c r="BC133" s="278">
        <f>IF(BC125&lt;=0,0,BC125-BB125+BC11)</f>
        <v>0</v>
      </c>
      <c r="BD133" s="278">
        <f>IF(BD125&lt;=0,0,BD125-BC125+BD11)</f>
        <v>0</v>
      </c>
      <c r="BE133" s="278">
        <f>IF(BE125&lt;=0,0,BE125-BD125+BE11)</f>
        <v>0</v>
      </c>
      <c r="BF133" s="278">
        <f>IF(BF125&lt;=0,0,BF125-BE125+BF11)</f>
        <v>0</v>
      </c>
      <c r="BG133" s="275">
        <f>IF(BG125&lt;=0,0,BG125-BB125+BG11)</f>
        <v>0</v>
      </c>
      <c r="BH133" s="278">
        <f>IF(BH125&lt;=0,0,BH125-BG125+BH11)</f>
        <v>0</v>
      </c>
      <c r="BI133" s="278">
        <f>IF(BI125&lt;=0,0,BI125-BH125+BI11)</f>
        <v>0</v>
      </c>
      <c r="BJ133" s="278">
        <f>IF(BJ125&lt;=0,0,BJ125-BI125+BJ11)</f>
        <v>0</v>
      </c>
      <c r="BK133" s="278">
        <f>IF(BK125&lt;=0,0,BK125-BJ125+BK11)</f>
        <v>0</v>
      </c>
      <c r="BL133" s="275">
        <f>IF(BL125&lt;=0,0,BL125-BG125+BL11)</f>
        <v>0</v>
      </c>
      <c r="BM133" s="278">
        <f>IF(BM125&lt;=0,0,BM125-(BL125-#REF!)+BM11)</f>
        <v>0</v>
      </c>
      <c r="BN133" s="278">
        <f>IF(BN125&lt;=0,0,BN125-BM125+BN11)</f>
        <v>0</v>
      </c>
      <c r="BO133" s="278">
        <f>IF(BO125&lt;=0,0,BO125-BN125+BO11)</f>
        <v>0</v>
      </c>
      <c r="BP133" s="278">
        <f>IF(BP125&lt;=0,0,BP125-15600-BO125+BP11)</f>
        <v>0</v>
      </c>
      <c r="BQ133" s="275">
        <f>IF(BQ125&lt;=0,0,BQ125-15600-(BL125-6000)+BQ11)</f>
        <v>0</v>
      </c>
      <c r="BR133" s="278">
        <f>IF(BR125&lt;=0,0,BR125-BQ125+BR11)</f>
        <v>0</v>
      </c>
      <c r="BS133" s="278">
        <f>IF(BS125&lt;=0,0,BS125-BR125+BS11)</f>
        <v>0</v>
      </c>
      <c r="BT133" s="278">
        <f>IF(BT125&lt;=0,0,BT125-BS125+BT11)</f>
        <v>0</v>
      </c>
      <c r="BU133" s="278">
        <f>IF(BU125&lt;=0,0,BU125-BT125+BU11)</f>
        <v>0</v>
      </c>
      <c r="BV133" s="275">
        <f>IF(BV125&lt;=0,0,BV125-(BQ125)+BV11)</f>
        <v>0</v>
      </c>
      <c r="BW133" s="278">
        <f>IF(BW125&lt;=0,0,BW125-BV125+BW11)</f>
        <v>0</v>
      </c>
      <c r="BX133" s="278">
        <f>IF(BX125&lt;=0,0,BX125-BW125+BX11)</f>
        <v>0</v>
      </c>
      <c r="BY133" s="278">
        <f>IF(BY125&lt;=0,0,BY125-BX125+BY11)</f>
        <v>0</v>
      </c>
      <c r="BZ133" s="278">
        <f>IF(BZ125&lt;=0,0,BZ125-BY125+BZ11)</f>
        <v>0</v>
      </c>
      <c r="CA133" s="275">
        <f>IF(CA125&lt;=0,0,CA125-(BV125)+CA11)</f>
        <v>0</v>
      </c>
      <c r="CB133" s="278">
        <f>IF(CB125&lt;=0,0,CB125-CA125+CB11)</f>
        <v>0</v>
      </c>
      <c r="CC133" s="278">
        <f>IF(CC125&lt;=0,0,CC125-CB125+CC11)</f>
        <v>0</v>
      </c>
      <c r="CD133" s="278">
        <f>IF(CD125&lt;=0,0,CD125-CC125+CD11)</f>
        <v>0</v>
      </c>
      <c r="CE133" s="278">
        <f>IF(CE125&lt;=0,0,CE125-CD125+CE11)</f>
        <v>0</v>
      </c>
      <c r="CF133" s="275">
        <f>IF(CF125&lt;=0,0,CF125-(CA125)+CF11)</f>
        <v>0</v>
      </c>
      <c r="CG133" s="278">
        <f>IF(CG125&lt;=0,0,CG125-CF125+CG11)</f>
        <v>0</v>
      </c>
      <c r="CH133" s="278">
        <f>IF(CH125&lt;=0,0,CH125-CG125+CH11)</f>
        <v>0</v>
      </c>
      <c r="CI133" s="278">
        <f>IF(CI125&lt;=0,0,CI125-CH125+CI11)</f>
        <v>0</v>
      </c>
      <c r="CJ133" s="278">
        <f>IF(CJ125&lt;=0,0,CJ125-CI125+CJ11)</f>
        <v>0</v>
      </c>
      <c r="CK133" s="275">
        <f>IF(CK125&lt;=0,0,CK125-(CF125)+CK11)</f>
        <v>0</v>
      </c>
      <c r="CL133" s="278">
        <f>IF(CL125&lt;=0,0,CL125-CK125+CL11)</f>
        <v>0</v>
      </c>
      <c r="CM133" s="278">
        <f>IF(CM125&lt;=0,0,CM125-CL125+CM11)</f>
        <v>0</v>
      </c>
      <c r="CN133" s="278">
        <f>IF(CN125&lt;=0,0,CN125-CM125+CN11)</f>
        <v>0</v>
      </c>
      <c r="CO133" s="278">
        <f>IF(CO125&lt;=0,0,CO125-CN125+CO11)</f>
        <v>0</v>
      </c>
      <c r="CP133" s="275">
        <f>IF(CP125&lt;=0,0,CP125-(CK125)+CP11)</f>
        <v>0</v>
      </c>
      <c r="CQ133" s="278">
        <f>IF(CQ125&lt;=0,0,CQ125-CP125+CQ11)</f>
        <v>0</v>
      </c>
      <c r="CR133" s="278">
        <f>IF(CR125&lt;=0,0,CR125-CQ125+CR11)</f>
        <v>0</v>
      </c>
      <c r="CS133" s="278">
        <f>IF(CS125&lt;=0,0,CS125-CR125+CS11)</f>
        <v>0</v>
      </c>
      <c r="CT133" s="278">
        <f>IF(CT125&lt;=0,0,CT125-CS125+CT11)</f>
        <v>0</v>
      </c>
      <c r="CU133" s="275">
        <f>IF(CU125&lt;=0,0,CU125-(CP125)+CU11)</f>
        <v>0</v>
      </c>
      <c r="CV133" s="278">
        <f>IF(CV125&lt;=0,0,CV125-CU125+CV11)</f>
        <v>0</v>
      </c>
      <c r="CW133" s="278">
        <f>IF(CW125&lt;=0,0,CW125-CV125+CW11)</f>
        <v>0</v>
      </c>
      <c r="CX133" s="278">
        <f>IF(CX125&lt;=0,0,CX125-CW125+CX11)</f>
        <v>0</v>
      </c>
      <c r="CY133" s="278">
        <f>IF(CY125&lt;=0,0,CY125-CX125+CY11)</f>
        <v>0</v>
      </c>
      <c r="CZ133" s="275">
        <f>IF(CZ125&lt;=0,0,CZ125-(CU125)+CZ11)</f>
        <v>0</v>
      </c>
      <c r="DA133" s="278">
        <f>IF(DA125&lt;=0,0,DA125-CZ125+DA11)</f>
        <v>8264.3706761883514</v>
      </c>
      <c r="DB133" s="278">
        <f>IF(DB125&lt;=0,0,DB125-DA125+DB11)</f>
        <v>0</v>
      </c>
      <c r="DC133" s="278"/>
      <c r="DD133" s="278"/>
      <c r="DE133" s="275"/>
      <c r="DF133" s="278"/>
      <c r="DG133" s="278"/>
      <c r="DH133" s="278"/>
      <c r="DI133" s="278"/>
      <c r="DJ133" s="275"/>
      <c r="DK133" s="278"/>
      <c r="DL133" s="278"/>
      <c r="DM133" s="278"/>
      <c r="DN133" s="278"/>
      <c r="DO133" s="275"/>
      <c r="DP133" s="278"/>
      <c r="DQ133" s="278"/>
      <c r="DR133" s="278"/>
      <c r="DS133" s="278"/>
      <c r="DT133" s="275"/>
      <c r="DU133" s="275"/>
      <c r="DV133" s="275"/>
    </row>
    <row r="134" spans="1:126" s="15" customFormat="1">
      <c r="C134" s="16"/>
      <c r="D134" s="61"/>
      <c r="E134" s="16"/>
      <c r="F134" s="16"/>
      <c r="G134" s="16"/>
      <c r="H134" s="16"/>
      <c r="I134" s="16"/>
      <c r="J134" s="12"/>
      <c r="K134" s="12"/>
      <c r="L134" s="12"/>
      <c r="M134" s="12"/>
      <c r="N134" s="136"/>
      <c r="S134" s="136"/>
      <c r="X134" s="136"/>
      <c r="AC134" s="136"/>
      <c r="AH134" s="136"/>
      <c r="AM134" s="136"/>
      <c r="AR134" s="16"/>
      <c r="AW134" s="16"/>
      <c r="BB134" s="16"/>
      <c r="BG134" s="16"/>
      <c r="BL134" s="16"/>
      <c r="BQ134" s="16"/>
      <c r="BV134" s="16"/>
      <c r="CA134" s="16"/>
      <c r="CF134" s="16"/>
      <c r="CK134" s="16"/>
      <c r="CP134" s="16"/>
      <c r="CU134" s="16"/>
      <c r="CZ134" s="16"/>
      <c r="DE134" s="16"/>
      <c r="DJ134" s="16"/>
      <c r="DO134" s="16"/>
      <c r="DT134" s="16"/>
      <c r="DU134" s="16"/>
      <c r="DV134" s="16"/>
    </row>
    <row r="135" spans="1:126" s="15" customFormat="1" ht="12">
      <c r="B135" s="182" t="s">
        <v>107</v>
      </c>
      <c r="C135" s="12"/>
      <c r="D135" s="16"/>
      <c r="E135" s="16"/>
      <c r="F135" s="16"/>
      <c r="G135" s="16"/>
      <c r="H135" s="16"/>
      <c r="I135" s="16"/>
      <c r="J135" s="12"/>
      <c r="K135" s="12"/>
      <c r="L135" s="12"/>
      <c r="M135" s="12"/>
      <c r="N135" s="136"/>
      <c r="S135" s="136"/>
      <c r="X135" s="136"/>
      <c r="AC135" s="136"/>
      <c r="AH135" s="136"/>
      <c r="AM135" s="136"/>
      <c r="AR135" s="16"/>
      <c r="AW135" s="16"/>
      <c r="BB135" s="16"/>
      <c r="BG135" s="16"/>
      <c r="BL135" s="16"/>
      <c r="BQ135" s="16"/>
      <c r="BV135" s="16"/>
      <c r="CA135" s="16"/>
      <c r="CF135" s="16"/>
      <c r="CK135" s="16"/>
      <c r="CP135" s="16"/>
      <c r="CU135" s="16"/>
      <c r="CZ135" s="16"/>
      <c r="DE135" s="16"/>
      <c r="DJ135" s="16"/>
      <c r="DO135" s="16"/>
      <c r="DT135" s="16"/>
      <c r="DU135" s="16"/>
      <c r="DV135" s="16"/>
    </row>
    <row r="136" spans="1:126" s="12" customFormat="1">
      <c r="A136" s="15"/>
      <c r="B136" s="221" t="s">
        <v>381</v>
      </c>
      <c r="D136" s="16"/>
      <c r="E136" s="16"/>
      <c r="F136" s="16"/>
      <c r="G136" s="16"/>
      <c r="H136" s="16"/>
      <c r="I136" s="16"/>
      <c r="N136" s="136"/>
      <c r="O136" s="15"/>
      <c r="P136" s="15"/>
      <c r="Q136" s="15"/>
      <c r="R136" s="15"/>
      <c r="S136" s="136"/>
      <c r="T136" s="15"/>
      <c r="U136" s="15"/>
      <c r="V136" s="15"/>
      <c r="W136" s="15"/>
      <c r="X136" s="136"/>
      <c r="Y136" s="15"/>
      <c r="Z136" s="15"/>
      <c r="AA136" s="15"/>
      <c r="AB136" s="15"/>
      <c r="AC136" s="136"/>
      <c r="AD136" s="15"/>
      <c r="AE136" s="15"/>
      <c r="AF136" s="15"/>
      <c r="AG136" s="15"/>
      <c r="AH136" s="136"/>
      <c r="AI136" s="56"/>
      <c r="AJ136" s="57"/>
      <c r="AK136" s="57"/>
      <c r="AL136" s="57"/>
      <c r="AM136" s="58"/>
      <c r="AN136" s="57"/>
      <c r="AO136" s="57"/>
      <c r="AP136" s="57"/>
      <c r="AQ136" s="57"/>
      <c r="AR136" s="58"/>
      <c r="AS136" s="57"/>
      <c r="AT136" s="57"/>
      <c r="AU136" s="57"/>
      <c r="AV136" s="57"/>
      <c r="AW136" s="58"/>
      <c r="AX136" s="57" t="e">
        <f t="shared" ref="AX136:CC136" si="569">IF(AX129/AX7=0,"-",AX129/AX7)</f>
        <v>#DIV/0!</v>
      </c>
      <c r="AY136" s="57" t="e">
        <f t="shared" si="569"/>
        <v>#DIV/0!</v>
      </c>
      <c r="AZ136" s="57" t="e">
        <f t="shared" si="569"/>
        <v>#DIV/0!</v>
      </c>
      <c r="BA136" s="57" t="e">
        <f t="shared" si="569"/>
        <v>#DIV/0!</v>
      </c>
      <c r="BB136" s="58" t="e">
        <f t="shared" si="569"/>
        <v>#DIV/0!</v>
      </c>
      <c r="BC136" s="57" t="e">
        <f t="shared" si="569"/>
        <v>#DIV/0!</v>
      </c>
      <c r="BD136" s="57" t="e">
        <f t="shared" si="569"/>
        <v>#DIV/0!</v>
      </c>
      <c r="BE136" s="57" t="e">
        <f t="shared" si="569"/>
        <v>#DIV/0!</v>
      </c>
      <c r="BF136" s="57" t="e">
        <f t="shared" si="569"/>
        <v>#DIV/0!</v>
      </c>
      <c r="BG136" s="58" t="e">
        <f t="shared" si="569"/>
        <v>#DIV/0!</v>
      </c>
      <c r="BH136" s="57" t="e">
        <f t="shared" si="569"/>
        <v>#DIV/0!</v>
      </c>
      <c r="BI136" s="57" t="e">
        <f t="shared" si="569"/>
        <v>#DIV/0!</v>
      </c>
      <c r="BJ136" s="57" t="e">
        <f t="shared" si="569"/>
        <v>#DIV/0!</v>
      </c>
      <c r="BK136" s="57" t="e">
        <f t="shared" si="569"/>
        <v>#DIV/0!</v>
      </c>
      <c r="BL136" s="58" t="e">
        <f t="shared" si="569"/>
        <v>#DIV/0!</v>
      </c>
      <c r="BM136" s="57" t="str">
        <f t="shared" si="569"/>
        <v>-</v>
      </c>
      <c r="BN136" s="57" t="str">
        <f t="shared" si="569"/>
        <v>-</v>
      </c>
      <c r="BO136" s="57" t="str">
        <f t="shared" si="569"/>
        <v>-</v>
      </c>
      <c r="BP136" s="57" t="str">
        <f t="shared" si="569"/>
        <v>-</v>
      </c>
      <c r="BQ136" s="58" t="str">
        <f t="shared" si="569"/>
        <v>-</v>
      </c>
      <c r="BR136" s="57" t="str">
        <f t="shared" si="569"/>
        <v>-</v>
      </c>
      <c r="BS136" s="57" t="str">
        <f t="shared" si="569"/>
        <v>-</v>
      </c>
      <c r="BT136" s="57" t="str">
        <f t="shared" si="569"/>
        <v>-</v>
      </c>
      <c r="BU136" s="57" t="str">
        <f t="shared" si="569"/>
        <v>-</v>
      </c>
      <c r="BV136" s="58" t="str">
        <f t="shared" si="569"/>
        <v>-</v>
      </c>
      <c r="BW136" s="57" t="str">
        <f t="shared" si="569"/>
        <v>-</v>
      </c>
      <c r="BX136" s="57" t="str">
        <f t="shared" si="569"/>
        <v>-</v>
      </c>
      <c r="BY136" s="57" t="str">
        <f t="shared" si="569"/>
        <v>-</v>
      </c>
      <c r="BZ136" s="57" t="str">
        <f t="shared" si="569"/>
        <v>-</v>
      </c>
      <c r="CA136" s="58" t="str">
        <f t="shared" si="569"/>
        <v>-</v>
      </c>
      <c r="CB136" s="57" t="str">
        <f t="shared" si="569"/>
        <v>-</v>
      </c>
      <c r="CC136" s="57" t="str">
        <f t="shared" si="569"/>
        <v>-</v>
      </c>
      <c r="CD136" s="57" t="str">
        <f t="shared" ref="CD136:DB136" si="570">IF(CD129/CD7=0,"-",CD129/CD7)</f>
        <v>-</v>
      </c>
      <c r="CE136" s="57" t="str">
        <f t="shared" si="570"/>
        <v>-</v>
      </c>
      <c r="CF136" s="58" t="str">
        <f t="shared" si="570"/>
        <v>-</v>
      </c>
      <c r="CG136" s="57" t="str">
        <f t="shared" si="570"/>
        <v>-</v>
      </c>
      <c r="CH136" s="57" t="str">
        <f t="shared" si="570"/>
        <v>-</v>
      </c>
      <c r="CI136" s="57" t="str">
        <f t="shared" si="570"/>
        <v>-</v>
      </c>
      <c r="CJ136" s="57" t="str">
        <f t="shared" si="570"/>
        <v>-</v>
      </c>
      <c r="CK136" s="58" t="str">
        <f t="shared" si="570"/>
        <v>-</v>
      </c>
      <c r="CL136" s="57" t="str">
        <f t="shared" si="570"/>
        <v>-</v>
      </c>
      <c r="CM136" s="57" t="str">
        <f t="shared" si="570"/>
        <v>-</v>
      </c>
      <c r="CN136" s="57" t="str">
        <f t="shared" si="570"/>
        <v>-</v>
      </c>
      <c r="CO136" s="57" t="str">
        <f t="shared" si="570"/>
        <v>-</v>
      </c>
      <c r="CP136" s="58" t="str">
        <f t="shared" si="570"/>
        <v>-</v>
      </c>
      <c r="CQ136" s="57" t="str">
        <f t="shared" si="570"/>
        <v>-</v>
      </c>
      <c r="CR136" s="57" t="str">
        <f t="shared" si="570"/>
        <v>-</v>
      </c>
      <c r="CS136" s="57" t="str">
        <f t="shared" si="570"/>
        <v>-</v>
      </c>
      <c r="CT136" s="57" t="str">
        <f t="shared" si="570"/>
        <v>-</v>
      </c>
      <c r="CU136" s="58" t="str">
        <f t="shared" si="570"/>
        <v>-</v>
      </c>
      <c r="CV136" s="57" t="str">
        <f t="shared" si="570"/>
        <v>-</v>
      </c>
      <c r="CW136" s="57" t="str">
        <f t="shared" si="570"/>
        <v>-</v>
      </c>
      <c r="CX136" s="57" t="str">
        <f t="shared" si="570"/>
        <v>-</v>
      </c>
      <c r="CY136" s="57" t="str">
        <f t="shared" si="570"/>
        <v>-</v>
      </c>
      <c r="CZ136" s="58" t="str">
        <f t="shared" si="570"/>
        <v>-</v>
      </c>
      <c r="DA136" s="57">
        <f t="shared" si="570"/>
        <v>1.191131498470948</v>
      </c>
      <c r="DB136" s="57" t="str">
        <f t="shared" si="570"/>
        <v>-</v>
      </c>
      <c r="DC136" s="57"/>
      <c r="DD136" s="57"/>
      <c r="DE136" s="58"/>
      <c r="DF136" s="57"/>
      <c r="DG136" s="57"/>
      <c r="DH136" s="57"/>
      <c r="DI136" s="57"/>
      <c r="DJ136" s="58"/>
      <c r="DK136" s="57"/>
      <c r="DL136" s="57"/>
      <c r="DM136" s="57"/>
      <c r="DN136" s="57"/>
      <c r="DO136" s="58"/>
      <c r="DP136" s="57"/>
      <c r="DQ136" s="57"/>
      <c r="DR136" s="57"/>
      <c r="DS136" s="57"/>
      <c r="DT136" s="58"/>
      <c r="DU136" s="58"/>
      <c r="DV136" s="58"/>
    </row>
    <row r="137" spans="1:126" s="12" customFormat="1">
      <c r="A137" s="15"/>
      <c r="B137" s="317" t="s">
        <v>457</v>
      </c>
      <c r="D137" s="16"/>
      <c r="E137" s="16"/>
      <c r="F137" s="16"/>
      <c r="G137" s="16"/>
      <c r="H137" s="16"/>
      <c r="I137" s="16"/>
      <c r="N137" s="136"/>
      <c r="O137" s="15"/>
      <c r="P137" s="15"/>
      <c r="Q137" s="15"/>
      <c r="R137" s="15"/>
      <c r="S137" s="136"/>
      <c r="T137" s="15"/>
      <c r="U137" s="15"/>
      <c r="V137" s="15"/>
      <c r="W137" s="15"/>
      <c r="X137" s="136"/>
      <c r="Y137" s="15"/>
      <c r="Z137" s="15"/>
      <c r="AA137" s="15"/>
      <c r="AB137" s="15"/>
      <c r="AC137" s="136"/>
      <c r="AD137" s="15"/>
      <c r="AE137" s="15"/>
      <c r="AF137" s="15"/>
      <c r="AG137" s="15"/>
      <c r="AH137" s="136"/>
      <c r="AI137" s="57"/>
      <c r="AJ137" s="57"/>
      <c r="AK137" s="57"/>
      <c r="AL137" s="57"/>
      <c r="AM137" s="58"/>
      <c r="AN137" s="57"/>
      <c r="AO137" s="57"/>
      <c r="AP137" s="57"/>
      <c r="AQ137" s="57"/>
      <c r="AR137" s="58"/>
      <c r="AS137" s="57"/>
      <c r="AT137" s="57"/>
      <c r="AU137" s="57"/>
      <c r="AV137" s="57"/>
      <c r="AW137" s="58"/>
      <c r="AX137" s="57" t="e">
        <f t="shared" ref="AX137:CC137" si="571">IF(AX130/AX8=0,"-",AX130/AX8)</f>
        <v>#DIV/0!</v>
      </c>
      <c r="AY137" s="57" t="e">
        <f t="shared" si="571"/>
        <v>#DIV/0!</v>
      </c>
      <c r="AZ137" s="57" t="e">
        <f t="shared" si="571"/>
        <v>#DIV/0!</v>
      </c>
      <c r="BA137" s="57" t="e">
        <f t="shared" si="571"/>
        <v>#DIV/0!</v>
      </c>
      <c r="BB137" s="58" t="e">
        <f t="shared" si="571"/>
        <v>#DIV/0!</v>
      </c>
      <c r="BC137" s="57" t="e">
        <f t="shared" si="571"/>
        <v>#DIV/0!</v>
      </c>
      <c r="BD137" s="57" t="e">
        <f t="shared" si="571"/>
        <v>#DIV/0!</v>
      </c>
      <c r="BE137" s="57" t="e">
        <f t="shared" si="571"/>
        <v>#DIV/0!</v>
      </c>
      <c r="BF137" s="57" t="e">
        <f t="shared" si="571"/>
        <v>#DIV/0!</v>
      </c>
      <c r="BG137" s="58" t="e">
        <f t="shared" si="571"/>
        <v>#DIV/0!</v>
      </c>
      <c r="BH137" s="57" t="e">
        <f t="shared" si="571"/>
        <v>#DIV/0!</v>
      </c>
      <c r="BI137" s="57" t="e">
        <f t="shared" si="571"/>
        <v>#DIV/0!</v>
      </c>
      <c r="BJ137" s="57" t="e">
        <f t="shared" si="571"/>
        <v>#DIV/0!</v>
      </c>
      <c r="BK137" s="57" t="e">
        <f t="shared" si="571"/>
        <v>#DIV/0!</v>
      </c>
      <c r="BL137" s="58" t="e">
        <f t="shared" si="571"/>
        <v>#DIV/0!</v>
      </c>
      <c r="BM137" s="57" t="str">
        <f t="shared" si="571"/>
        <v>-</v>
      </c>
      <c r="BN137" s="57" t="str">
        <f t="shared" si="571"/>
        <v>-</v>
      </c>
      <c r="BO137" s="57" t="str">
        <f t="shared" si="571"/>
        <v>-</v>
      </c>
      <c r="BP137" s="57" t="str">
        <f t="shared" si="571"/>
        <v>-</v>
      </c>
      <c r="BQ137" s="58" t="str">
        <f t="shared" si="571"/>
        <v>-</v>
      </c>
      <c r="BR137" s="57" t="str">
        <f t="shared" si="571"/>
        <v>-</v>
      </c>
      <c r="BS137" s="57" t="str">
        <f t="shared" si="571"/>
        <v>-</v>
      </c>
      <c r="BT137" s="57" t="str">
        <f t="shared" si="571"/>
        <v>-</v>
      </c>
      <c r="BU137" s="57" t="str">
        <f t="shared" si="571"/>
        <v>-</v>
      </c>
      <c r="BV137" s="58" t="str">
        <f t="shared" si="571"/>
        <v>-</v>
      </c>
      <c r="BW137" s="57" t="str">
        <f t="shared" si="571"/>
        <v>-</v>
      </c>
      <c r="BX137" s="57" t="str">
        <f t="shared" si="571"/>
        <v>-</v>
      </c>
      <c r="BY137" s="57" t="str">
        <f t="shared" si="571"/>
        <v>-</v>
      </c>
      <c r="BZ137" s="57" t="str">
        <f t="shared" si="571"/>
        <v>-</v>
      </c>
      <c r="CA137" s="58" t="str">
        <f t="shared" si="571"/>
        <v>-</v>
      </c>
      <c r="CB137" s="57" t="str">
        <f t="shared" si="571"/>
        <v>-</v>
      </c>
      <c r="CC137" s="57" t="str">
        <f t="shared" si="571"/>
        <v>-</v>
      </c>
      <c r="CD137" s="57" t="str">
        <f t="shared" ref="CD137:DB137" si="572">IF(CD130/CD8=0,"-",CD130/CD8)</f>
        <v>-</v>
      </c>
      <c r="CE137" s="57" t="str">
        <f t="shared" si="572"/>
        <v>-</v>
      </c>
      <c r="CF137" s="58" t="str">
        <f t="shared" si="572"/>
        <v>-</v>
      </c>
      <c r="CG137" s="57" t="str">
        <f t="shared" si="572"/>
        <v>-</v>
      </c>
      <c r="CH137" s="57" t="str">
        <f t="shared" si="572"/>
        <v>-</v>
      </c>
      <c r="CI137" s="57" t="str">
        <f t="shared" si="572"/>
        <v>-</v>
      </c>
      <c r="CJ137" s="57" t="str">
        <f t="shared" si="572"/>
        <v>-</v>
      </c>
      <c r="CK137" s="58" t="str">
        <f t="shared" si="572"/>
        <v>-</v>
      </c>
      <c r="CL137" s="57" t="str">
        <f t="shared" si="572"/>
        <v>-</v>
      </c>
      <c r="CM137" s="57" t="str">
        <f t="shared" si="572"/>
        <v>-</v>
      </c>
      <c r="CN137" s="57" t="str">
        <f t="shared" si="572"/>
        <v>-</v>
      </c>
      <c r="CO137" s="57" t="str">
        <f t="shared" si="572"/>
        <v>-</v>
      </c>
      <c r="CP137" s="58" t="str">
        <f t="shared" si="572"/>
        <v>-</v>
      </c>
      <c r="CQ137" s="57" t="str">
        <f t="shared" si="572"/>
        <v>-</v>
      </c>
      <c r="CR137" s="57" t="str">
        <f t="shared" si="572"/>
        <v>-</v>
      </c>
      <c r="CS137" s="57" t="str">
        <f t="shared" si="572"/>
        <v>-</v>
      </c>
      <c r="CT137" s="57" t="str">
        <f t="shared" si="572"/>
        <v>-</v>
      </c>
      <c r="CU137" s="58" t="str">
        <f t="shared" si="572"/>
        <v>-</v>
      </c>
      <c r="CV137" s="57" t="str">
        <f t="shared" si="572"/>
        <v>-</v>
      </c>
      <c r="CW137" s="57" t="str">
        <f t="shared" si="572"/>
        <v>-</v>
      </c>
      <c r="CX137" s="57" t="str">
        <f t="shared" si="572"/>
        <v>-</v>
      </c>
      <c r="CY137" s="57" t="str">
        <f t="shared" si="572"/>
        <v>-</v>
      </c>
      <c r="CZ137" s="58" t="str">
        <f t="shared" si="572"/>
        <v>-</v>
      </c>
      <c r="DA137" s="57">
        <f t="shared" si="572"/>
        <v>1.1115822361080117</v>
      </c>
      <c r="DB137" s="57" t="str">
        <f t="shared" si="572"/>
        <v>-</v>
      </c>
      <c r="DC137" s="57"/>
      <c r="DD137" s="57"/>
      <c r="DE137" s="58"/>
      <c r="DF137" s="1051"/>
      <c r="DG137" s="57"/>
      <c r="DH137" s="57"/>
      <c r="DI137" s="57"/>
      <c r="DJ137" s="58"/>
      <c r="DK137" s="57"/>
      <c r="DL137" s="57"/>
      <c r="DM137" s="57"/>
      <c r="DN137" s="57"/>
      <c r="DO137" s="58"/>
      <c r="DP137" s="57"/>
      <c r="DQ137" s="57"/>
      <c r="DR137" s="57"/>
      <c r="DS137" s="57"/>
      <c r="DT137" s="58"/>
      <c r="DU137" s="58"/>
      <c r="DV137" s="58"/>
    </row>
    <row r="138" spans="1:126" s="15" customFormat="1" hidden="1" outlineLevel="1">
      <c r="B138" s="317" t="s">
        <v>382</v>
      </c>
      <c r="C138" s="12"/>
      <c r="D138" s="16"/>
      <c r="E138" s="16"/>
      <c r="F138" s="16"/>
      <c r="G138" s="16"/>
      <c r="H138" s="16"/>
      <c r="I138" s="16"/>
      <c r="J138" s="12"/>
      <c r="K138" s="12"/>
      <c r="L138" s="12"/>
      <c r="M138" s="12"/>
      <c r="N138" s="136"/>
      <c r="S138" s="136"/>
      <c r="X138" s="136"/>
      <c r="AC138" s="136"/>
      <c r="AH138" s="136"/>
      <c r="AI138" s="59"/>
      <c r="AJ138" s="59"/>
      <c r="AK138" s="59"/>
      <c r="AL138" s="59"/>
      <c r="AM138" s="58"/>
      <c r="AN138" s="59"/>
      <c r="AO138" s="59"/>
      <c r="AP138" s="59"/>
      <c r="AQ138" s="59"/>
      <c r="AR138" s="58"/>
      <c r="AS138" s="59"/>
      <c r="AT138" s="59"/>
      <c r="AU138" s="59"/>
      <c r="AV138" s="59"/>
      <c r="AW138" s="58"/>
      <c r="AX138" s="59" t="e">
        <f>IF(AX131/#REF!=0,"-",AX131/#REF!)</f>
        <v>#REF!</v>
      </c>
      <c r="AY138" s="59" t="e">
        <f>IF(AY131/#REF!=0,"-",AY131/#REF!)</f>
        <v>#REF!</v>
      </c>
      <c r="AZ138" s="59" t="e">
        <f>IF(AZ131/#REF!=0,"-",AZ131/#REF!)</f>
        <v>#REF!</v>
      </c>
      <c r="BA138" s="59" t="e">
        <f>IF(BA131/#REF!=0,"-",BA131/#REF!)</f>
        <v>#REF!</v>
      </c>
      <c r="BB138" s="58" t="e">
        <f t="shared" ref="BB138:CG138" si="573">IF(BB131/BB9=0,"-",BB131/BB9)</f>
        <v>#DIV/0!</v>
      </c>
      <c r="BC138" s="59" t="e">
        <f t="shared" si="573"/>
        <v>#DIV/0!</v>
      </c>
      <c r="BD138" s="59" t="e">
        <f t="shared" si="573"/>
        <v>#DIV/0!</v>
      </c>
      <c r="BE138" s="59" t="e">
        <f t="shared" si="573"/>
        <v>#DIV/0!</v>
      </c>
      <c r="BF138" s="59" t="e">
        <f t="shared" si="573"/>
        <v>#DIV/0!</v>
      </c>
      <c r="BG138" s="58" t="e">
        <f t="shared" si="573"/>
        <v>#DIV/0!</v>
      </c>
      <c r="BH138" s="59" t="e">
        <f t="shared" si="573"/>
        <v>#DIV/0!</v>
      </c>
      <c r="BI138" s="59" t="e">
        <f t="shared" si="573"/>
        <v>#DIV/0!</v>
      </c>
      <c r="BJ138" s="59" t="e">
        <f t="shared" si="573"/>
        <v>#DIV/0!</v>
      </c>
      <c r="BK138" s="59" t="e">
        <f t="shared" si="573"/>
        <v>#DIV/0!</v>
      </c>
      <c r="BL138" s="58" t="e">
        <f t="shared" si="573"/>
        <v>#DIV/0!</v>
      </c>
      <c r="BM138" s="59" t="e">
        <f t="shared" si="573"/>
        <v>#DIV/0!</v>
      </c>
      <c r="BN138" s="59" t="e">
        <f t="shared" si="573"/>
        <v>#DIV/0!</v>
      </c>
      <c r="BO138" s="59" t="e">
        <f t="shared" si="573"/>
        <v>#DIV/0!</v>
      </c>
      <c r="BP138" s="59" t="e">
        <f t="shared" si="573"/>
        <v>#DIV/0!</v>
      </c>
      <c r="BQ138" s="58" t="e">
        <f t="shared" si="573"/>
        <v>#DIV/0!</v>
      </c>
      <c r="BR138" s="59" t="e">
        <f t="shared" si="573"/>
        <v>#DIV/0!</v>
      </c>
      <c r="BS138" s="59" t="e">
        <f t="shared" si="573"/>
        <v>#DIV/0!</v>
      </c>
      <c r="BT138" s="59" t="e">
        <f t="shared" si="573"/>
        <v>#DIV/0!</v>
      </c>
      <c r="BU138" s="59" t="e">
        <f t="shared" si="573"/>
        <v>#DIV/0!</v>
      </c>
      <c r="BV138" s="58" t="e">
        <f t="shared" si="573"/>
        <v>#DIV/0!</v>
      </c>
      <c r="BW138" s="59" t="e">
        <f t="shared" si="573"/>
        <v>#DIV/0!</v>
      </c>
      <c r="BX138" s="59" t="e">
        <f t="shared" si="573"/>
        <v>#DIV/0!</v>
      </c>
      <c r="BY138" s="59" t="e">
        <f t="shared" si="573"/>
        <v>#DIV/0!</v>
      </c>
      <c r="BZ138" s="59" t="e">
        <f t="shared" si="573"/>
        <v>#DIV/0!</v>
      </c>
      <c r="CA138" s="58" t="e">
        <f t="shared" si="573"/>
        <v>#DIV/0!</v>
      </c>
      <c r="CB138" s="59" t="e">
        <f t="shared" si="573"/>
        <v>#DIV/0!</v>
      </c>
      <c r="CC138" s="59" t="e">
        <f t="shared" si="573"/>
        <v>#DIV/0!</v>
      </c>
      <c r="CD138" s="59" t="e">
        <f t="shared" si="573"/>
        <v>#DIV/0!</v>
      </c>
      <c r="CE138" s="59" t="e">
        <f t="shared" si="573"/>
        <v>#DIV/0!</v>
      </c>
      <c r="CF138" s="58" t="e">
        <f t="shared" si="573"/>
        <v>#DIV/0!</v>
      </c>
      <c r="CG138" s="59" t="e">
        <f t="shared" si="573"/>
        <v>#DIV/0!</v>
      </c>
      <c r="CH138" s="59" t="e">
        <f t="shared" ref="CH138:DB138" si="574">IF(CH131/CH9=0,"-",CH131/CH9)</f>
        <v>#DIV/0!</v>
      </c>
      <c r="CI138" s="59" t="e">
        <f t="shared" si="574"/>
        <v>#DIV/0!</v>
      </c>
      <c r="CJ138" s="59" t="e">
        <f t="shared" si="574"/>
        <v>#DIV/0!</v>
      </c>
      <c r="CK138" s="58" t="e">
        <f t="shared" si="574"/>
        <v>#DIV/0!</v>
      </c>
      <c r="CL138" s="59" t="str">
        <f t="shared" si="574"/>
        <v>-</v>
      </c>
      <c r="CM138" s="59" t="str">
        <f t="shared" si="574"/>
        <v>-</v>
      </c>
      <c r="CN138" s="59" t="str">
        <f t="shared" si="574"/>
        <v>-</v>
      </c>
      <c r="CO138" s="59" t="str">
        <f t="shared" si="574"/>
        <v>-</v>
      </c>
      <c r="CP138" s="58" t="str">
        <f t="shared" si="574"/>
        <v>-</v>
      </c>
      <c r="CQ138" s="59" t="str">
        <f t="shared" si="574"/>
        <v>-</v>
      </c>
      <c r="CR138" s="59" t="str">
        <f t="shared" si="574"/>
        <v>-</v>
      </c>
      <c r="CS138" s="59" t="str">
        <f t="shared" si="574"/>
        <v>-</v>
      </c>
      <c r="CT138" s="59" t="str">
        <f t="shared" si="574"/>
        <v>-</v>
      </c>
      <c r="CU138" s="58" t="str">
        <f t="shared" si="574"/>
        <v>-</v>
      </c>
      <c r="CV138" s="59" t="str">
        <f t="shared" si="574"/>
        <v>-</v>
      </c>
      <c r="CW138" s="59" t="str">
        <f t="shared" si="574"/>
        <v>-</v>
      </c>
      <c r="CX138" s="59" t="str">
        <f t="shared" si="574"/>
        <v>-</v>
      </c>
      <c r="CY138" s="59" t="str">
        <f t="shared" si="574"/>
        <v>-</v>
      </c>
      <c r="CZ138" s="58" t="str">
        <f t="shared" si="574"/>
        <v>-</v>
      </c>
      <c r="DA138" s="59" t="str">
        <f t="shared" si="574"/>
        <v>-</v>
      </c>
      <c r="DB138" s="59" t="str">
        <f t="shared" si="574"/>
        <v>-</v>
      </c>
      <c r="DC138" s="59"/>
      <c r="DD138" s="59"/>
      <c r="DE138" s="58"/>
      <c r="DF138" s="59"/>
      <c r="DG138" s="59"/>
      <c r="DH138" s="59"/>
      <c r="DI138" s="59"/>
      <c r="DJ138" s="58"/>
      <c r="DK138" s="59"/>
      <c r="DL138" s="59"/>
      <c r="DM138" s="59"/>
      <c r="DN138" s="59"/>
      <c r="DO138" s="58"/>
      <c r="DP138" s="59"/>
      <c r="DQ138" s="59"/>
      <c r="DR138" s="59"/>
      <c r="DS138" s="59"/>
      <c r="DT138" s="58"/>
      <c r="DU138" s="58"/>
      <c r="DV138" s="58"/>
    </row>
    <row r="139" spans="1:126" s="15" customFormat="1" hidden="1" outlineLevel="1">
      <c r="B139" s="221" t="s">
        <v>383</v>
      </c>
      <c r="C139" s="12"/>
      <c r="D139" s="16"/>
      <c r="E139" s="16"/>
      <c r="F139" s="16"/>
      <c r="G139" s="16"/>
      <c r="H139" s="16"/>
      <c r="I139" s="16"/>
      <c r="J139" s="12"/>
      <c r="K139" s="12"/>
      <c r="L139" s="12"/>
      <c r="M139" s="12"/>
      <c r="N139" s="136"/>
      <c r="S139" s="136"/>
      <c r="X139" s="136"/>
      <c r="AC139" s="136"/>
      <c r="AH139" s="136"/>
      <c r="AI139" s="57"/>
      <c r="AJ139" s="57"/>
      <c r="AK139" s="57"/>
      <c r="AL139" s="57"/>
      <c r="AM139" s="58"/>
      <c r="AN139" s="57"/>
      <c r="AO139" s="57"/>
      <c r="AP139" s="57"/>
      <c r="AQ139" s="57"/>
      <c r="AR139" s="58"/>
      <c r="AS139" s="57"/>
      <c r="AT139" s="57"/>
      <c r="AU139" s="57"/>
      <c r="AV139" s="57"/>
      <c r="AW139" s="58"/>
      <c r="AX139" s="57" t="e">
        <f>IF(AX132/#REF!=0,"-",AX132/#REF!)</f>
        <v>#REF!</v>
      </c>
      <c r="AY139" s="57" t="e">
        <f>IF(AY132/#REF!=0,"-",AY132/#REF!)</f>
        <v>#REF!</v>
      </c>
      <c r="AZ139" s="57" t="e">
        <f>IF(AZ132/#REF!=0,"-",AZ132/#REF!)</f>
        <v>#REF!</v>
      </c>
      <c r="BA139" s="57" t="e">
        <f>IF(BA132/#REF!=0,"-",BA132/#REF!)</f>
        <v>#REF!</v>
      </c>
      <c r="BB139" s="58" t="e">
        <f>IF(BB132/#REF!=0,"-",BB132/#REF!)</f>
        <v>#REF!</v>
      </c>
      <c r="BC139" s="57" t="e">
        <f>IF(BC132/#REF!=0,"-",BC132/#REF!)</f>
        <v>#REF!</v>
      </c>
      <c r="BD139" s="57" t="e">
        <f>IF(BD132/#REF!=0,"-",BD132/#REF!)</f>
        <v>#REF!</v>
      </c>
      <c r="BE139" s="57" t="e">
        <f>IF(BE132/#REF!=0,"-",BE132/#REF!)</f>
        <v>#REF!</v>
      </c>
      <c r="BF139" s="57" t="e">
        <f>IF(BF132/#REF!=0,"-",BF132/#REF!)</f>
        <v>#REF!</v>
      </c>
      <c r="BG139" s="58" t="e">
        <f>IF(BG132/#REF!=0,"-",BG132/#REF!)</f>
        <v>#REF!</v>
      </c>
      <c r="BH139" s="57" t="e">
        <f>IF(BH132/#REF!=0,"-",BH132/#REF!)</f>
        <v>#REF!</v>
      </c>
      <c r="BI139" s="57" t="e">
        <f>IF(BI132/#REF!=0,"-",BI132/#REF!)</f>
        <v>#REF!</v>
      </c>
      <c r="BJ139" s="57" t="e">
        <f>IF(BJ132/#REF!=0,"-",BJ132/#REF!)</f>
        <v>#REF!</v>
      </c>
      <c r="BK139" s="57" t="e">
        <f>IF(BK132/#REF!=0,"-",BK132/#REF!)</f>
        <v>#REF!</v>
      </c>
      <c r="BL139" s="58" t="e">
        <f>IF(BL132/#REF!=0,"-",BL132/#REF!)</f>
        <v>#REF!</v>
      </c>
      <c r="BM139" s="57" t="e">
        <f>IF(BM132/#REF!=0,"-",BM132/#REF!)</f>
        <v>#REF!</v>
      </c>
      <c r="BN139" s="57" t="e">
        <f>IF(BN132/#REF!=0,"-",BN132/#REF!)</f>
        <v>#REF!</v>
      </c>
      <c r="BO139" s="57" t="e">
        <f>IF(BO132/#REF!=0,"-",BO132/#REF!)</f>
        <v>#REF!</v>
      </c>
      <c r="BP139" s="57" t="e">
        <f>IF(BP132/#REF!=0,"-",BP132/#REF!)</f>
        <v>#REF!</v>
      </c>
      <c r="BQ139" s="58" t="e">
        <f>IF(BQ132/#REF!=0,"-",BQ132/#REF!)</f>
        <v>#REF!</v>
      </c>
      <c r="BR139" s="57" t="e">
        <f>IF(BR132/#REF!=0,"-",BR132/#REF!)</f>
        <v>#REF!</v>
      </c>
      <c r="BS139" s="57" t="e">
        <f>IF(BS132/#REF!=0,"-",BS132/#REF!)</f>
        <v>#REF!</v>
      </c>
      <c r="BT139" s="57" t="e">
        <f>IF(BT132/#REF!=0,"-",BT132/#REF!)</f>
        <v>#REF!</v>
      </c>
      <c r="BU139" s="57" t="e">
        <f>IF(BU132/#REF!=0,"-",BU132/#REF!)</f>
        <v>#REF!</v>
      </c>
      <c r="BV139" s="58" t="e">
        <f>IF(BV132/#REF!=0,"-",BV132/#REF!)</f>
        <v>#REF!</v>
      </c>
      <c r="BW139" s="57" t="e">
        <f>IF(BW132/#REF!=0,"-",BW132/#REF!)</f>
        <v>#REF!</v>
      </c>
      <c r="BX139" s="57" t="e">
        <f>IF(BX132/#REF!=0,"-",BX132/#REF!)</f>
        <v>#REF!</v>
      </c>
      <c r="BY139" s="57" t="e">
        <f>IF(BY132/#REF!=0,"-",BY132/#REF!)</f>
        <v>#REF!</v>
      </c>
      <c r="BZ139" s="57" t="e">
        <f>IF(BZ132/#REF!=0,"-",BZ132/#REF!)</f>
        <v>#REF!</v>
      </c>
      <c r="CA139" s="58" t="e">
        <f>IF(CA132/#REF!=0,"-",CA132/#REF!)</f>
        <v>#REF!</v>
      </c>
      <c r="CB139" s="57" t="e">
        <f>IF(CB132/#REF!=0,"-",CB132/#REF!)</f>
        <v>#REF!</v>
      </c>
      <c r="CC139" s="57" t="e">
        <f>IF(CC132/#REF!=0,"-",CC132/#REF!)</f>
        <v>#REF!</v>
      </c>
      <c r="CD139" s="57" t="e">
        <f>IF(CD132/#REF!=0,"-",CD132/#REF!)</f>
        <v>#REF!</v>
      </c>
      <c r="CE139" s="57" t="e">
        <f>IF(CE132/#REF!=0,"-",CE132/#REF!)</f>
        <v>#REF!</v>
      </c>
      <c r="CF139" s="58" t="e">
        <f>IF(CF132/#REF!=0,"-",CF132/#REF!)</f>
        <v>#REF!</v>
      </c>
      <c r="CG139" s="57" t="e">
        <f>IF(CG132/#REF!=0,"-",CG132/#REF!)</f>
        <v>#REF!</v>
      </c>
      <c r="CH139" s="57" t="e">
        <f>IF(CH132/#REF!=0,"-",CH132/#REF!)</f>
        <v>#REF!</v>
      </c>
      <c r="CI139" s="57" t="e">
        <f>IF(CI132/#REF!=0,"-",CI132/#REF!)</f>
        <v>#REF!</v>
      </c>
      <c r="CJ139" s="57" t="e">
        <f>IF(CJ132/#REF!=0,"-",CJ132/#REF!)</f>
        <v>#REF!</v>
      </c>
      <c r="CK139" s="58" t="e">
        <f>IF(CK132/#REF!=0,"-",CK132/#REF!)</f>
        <v>#REF!</v>
      </c>
      <c r="CL139" s="57" t="e">
        <f>IF(CL132/#REF!=0,"-",CL132/#REF!)</f>
        <v>#REF!</v>
      </c>
      <c r="CM139" s="57" t="e">
        <f>IF(CM132/#REF!=0,"-",CM132/#REF!)</f>
        <v>#REF!</v>
      </c>
      <c r="CN139" s="57" t="e">
        <f>IF(CN132/#REF!=0,"-",CN132/#REF!)</f>
        <v>#REF!</v>
      </c>
      <c r="CO139" s="57" t="e">
        <f>IF(CO132/#REF!=0,"-",CO132/#REF!)</f>
        <v>#REF!</v>
      </c>
      <c r="CP139" s="58" t="e">
        <f>IF(CP132/#REF!=0,"-",CP132/#REF!)</f>
        <v>#REF!</v>
      </c>
      <c r="CQ139" s="57" t="e">
        <f>IF(CQ132/#REF!=0,"-",CQ132/#REF!)</f>
        <v>#REF!</v>
      </c>
      <c r="CR139" s="57" t="e">
        <f>IF(CR132/#REF!=0,"-",CR132/#REF!)</f>
        <v>#REF!</v>
      </c>
      <c r="CS139" s="57" t="e">
        <f>IF(CS132/#REF!=0,"-",CS132/#REF!)</f>
        <v>#REF!</v>
      </c>
      <c r="CT139" s="57" t="e">
        <f>IF(CT132/#REF!=0,"-",CT132/#REF!)</f>
        <v>#REF!</v>
      </c>
      <c r="CU139" s="58" t="e">
        <f>IF(CU132/#REF!=0,"-",CU132/#REF!)</f>
        <v>#REF!</v>
      </c>
      <c r="CV139" s="57" t="e">
        <f>IF(CV132/#REF!=0,"-",CV132/#REF!)</f>
        <v>#REF!</v>
      </c>
      <c r="CW139" s="57" t="e">
        <f>IF(CW132/#REF!=0,"-",CW132/#REF!)</f>
        <v>#REF!</v>
      </c>
      <c r="CX139" s="57" t="e">
        <f>IF(CX132/#REF!=0,"-",CX132/#REF!)</f>
        <v>#REF!</v>
      </c>
      <c r="CY139" s="57" t="e">
        <f>IF(CY132/#REF!=0,"-",CY132/#REF!)</f>
        <v>#REF!</v>
      </c>
      <c r="CZ139" s="58" t="e">
        <f>IF(CZ132/#REF!=0,"-",CZ132/#REF!)</f>
        <v>#REF!</v>
      </c>
      <c r="DA139" s="57" t="e">
        <f>IF(DA132/#REF!=0,"-",DA132/#REF!)</f>
        <v>#REF!</v>
      </c>
      <c r="DB139" s="57" t="e">
        <f>IF(DB132/#REF!=0,"-",DB132/#REF!)</f>
        <v>#REF!</v>
      </c>
      <c r="DC139" s="57"/>
      <c r="DD139" s="57"/>
      <c r="DE139" s="58"/>
      <c r="DF139" s="57"/>
      <c r="DG139" s="57"/>
      <c r="DH139" s="57"/>
      <c r="DI139" s="57"/>
      <c r="DJ139" s="58"/>
      <c r="DK139" s="57"/>
      <c r="DL139" s="57"/>
      <c r="DM139" s="57"/>
      <c r="DN139" s="57"/>
      <c r="DO139" s="58"/>
      <c r="DP139" s="57"/>
      <c r="DQ139" s="57"/>
      <c r="DR139" s="57"/>
      <c r="DS139" s="57"/>
      <c r="DT139" s="58"/>
      <c r="DU139" s="58"/>
      <c r="DV139" s="58"/>
    </row>
    <row r="140" spans="1:126" s="15" customFormat="1" ht="12" collapsed="1">
      <c r="B140" s="171" t="s">
        <v>173</v>
      </c>
      <c r="C140" s="55"/>
      <c r="D140" s="55"/>
      <c r="E140" s="55"/>
      <c r="F140" s="55"/>
      <c r="G140" s="55"/>
      <c r="H140" s="55"/>
      <c r="I140" s="55"/>
      <c r="J140" s="54"/>
      <c r="K140" s="54"/>
      <c r="L140" s="54"/>
      <c r="M140" s="54"/>
      <c r="N140" s="55"/>
      <c r="O140" s="54"/>
      <c r="P140" s="54"/>
      <c r="Q140" s="54"/>
      <c r="R140" s="54"/>
      <c r="S140" s="55"/>
      <c r="T140" s="54"/>
      <c r="U140" s="54"/>
      <c r="V140" s="54"/>
      <c r="W140" s="54"/>
      <c r="X140" s="55"/>
      <c r="Y140" s="54"/>
      <c r="Z140" s="54"/>
      <c r="AA140" s="54"/>
      <c r="AB140" s="54"/>
      <c r="AC140" s="55"/>
      <c r="AD140" s="54"/>
      <c r="AE140" s="54"/>
      <c r="AF140" s="54"/>
      <c r="AG140" s="54"/>
      <c r="AH140" s="55"/>
      <c r="AI140" s="54"/>
      <c r="AJ140" s="54"/>
      <c r="AK140" s="54"/>
      <c r="AL140" s="54"/>
      <c r="AM140" s="55"/>
      <c r="AN140" s="54"/>
      <c r="AO140" s="54"/>
      <c r="AP140" s="54"/>
      <c r="AQ140" s="54"/>
      <c r="AR140" s="55"/>
      <c r="AS140" s="54" t="str">
        <f t="shared" ref="AS140:BX140" si="575">IF(AS133=0,"- ",AS133/AS11)</f>
        <v xml:space="preserve">- </v>
      </c>
      <c r="AT140" s="54" t="str">
        <f t="shared" si="575"/>
        <v xml:space="preserve">- </v>
      </c>
      <c r="AU140" s="54" t="str">
        <f t="shared" si="575"/>
        <v xml:space="preserve">- </v>
      </c>
      <c r="AV140" s="54" t="str">
        <f t="shared" si="575"/>
        <v xml:space="preserve">- </v>
      </c>
      <c r="AW140" s="55" t="str">
        <f t="shared" si="575"/>
        <v xml:space="preserve">- </v>
      </c>
      <c r="AX140" s="54" t="str">
        <f t="shared" si="575"/>
        <v xml:space="preserve">- </v>
      </c>
      <c r="AY140" s="54" t="str">
        <f t="shared" si="575"/>
        <v xml:space="preserve">- </v>
      </c>
      <c r="AZ140" s="54" t="str">
        <f t="shared" si="575"/>
        <v xml:space="preserve">- </v>
      </c>
      <c r="BA140" s="54" t="str">
        <f t="shared" si="575"/>
        <v xml:space="preserve">- </v>
      </c>
      <c r="BB140" s="55" t="str">
        <f t="shared" si="575"/>
        <v xml:space="preserve">- </v>
      </c>
      <c r="BC140" s="54" t="str">
        <f t="shared" si="575"/>
        <v xml:space="preserve">- </v>
      </c>
      <c r="BD140" s="54" t="str">
        <f t="shared" si="575"/>
        <v xml:space="preserve">- </v>
      </c>
      <c r="BE140" s="54" t="str">
        <f t="shared" si="575"/>
        <v xml:space="preserve">- </v>
      </c>
      <c r="BF140" s="54" t="str">
        <f t="shared" si="575"/>
        <v xml:space="preserve">- </v>
      </c>
      <c r="BG140" s="55" t="str">
        <f t="shared" si="575"/>
        <v xml:space="preserve">- </v>
      </c>
      <c r="BH140" s="54" t="str">
        <f t="shared" si="575"/>
        <v xml:space="preserve">- </v>
      </c>
      <c r="BI140" s="54" t="str">
        <f t="shared" si="575"/>
        <v xml:space="preserve">- </v>
      </c>
      <c r="BJ140" s="54" t="str">
        <f t="shared" si="575"/>
        <v xml:space="preserve">- </v>
      </c>
      <c r="BK140" s="54" t="str">
        <f t="shared" si="575"/>
        <v xml:space="preserve">- </v>
      </c>
      <c r="BL140" s="55" t="str">
        <f t="shared" si="575"/>
        <v xml:space="preserve">- </v>
      </c>
      <c r="BM140" s="54" t="str">
        <f t="shared" si="575"/>
        <v xml:space="preserve">- </v>
      </c>
      <c r="BN140" s="54" t="str">
        <f t="shared" si="575"/>
        <v xml:space="preserve">- </v>
      </c>
      <c r="BO140" s="54" t="str">
        <f t="shared" si="575"/>
        <v xml:space="preserve">- </v>
      </c>
      <c r="BP140" s="54" t="str">
        <f t="shared" si="575"/>
        <v xml:space="preserve">- </v>
      </c>
      <c r="BQ140" s="55" t="str">
        <f t="shared" si="575"/>
        <v xml:space="preserve">- </v>
      </c>
      <c r="BR140" s="54" t="str">
        <f t="shared" si="575"/>
        <v xml:space="preserve">- </v>
      </c>
      <c r="BS140" s="54" t="str">
        <f t="shared" si="575"/>
        <v xml:space="preserve">- </v>
      </c>
      <c r="BT140" s="54" t="str">
        <f t="shared" si="575"/>
        <v xml:space="preserve">- </v>
      </c>
      <c r="BU140" s="54" t="str">
        <f t="shared" si="575"/>
        <v xml:space="preserve">- </v>
      </c>
      <c r="BV140" s="55" t="str">
        <f t="shared" si="575"/>
        <v xml:space="preserve">- </v>
      </c>
      <c r="BW140" s="54" t="str">
        <f t="shared" si="575"/>
        <v xml:space="preserve">- </v>
      </c>
      <c r="BX140" s="54" t="str">
        <f t="shared" si="575"/>
        <v xml:space="preserve">- </v>
      </c>
      <c r="BY140" s="54" t="str">
        <f t="shared" ref="BY140:DB140" si="576">IF(BY133=0,"- ",BY133/BY11)</f>
        <v xml:space="preserve">- </v>
      </c>
      <c r="BZ140" s="54" t="str">
        <f t="shared" si="576"/>
        <v xml:space="preserve">- </v>
      </c>
      <c r="CA140" s="55" t="str">
        <f t="shared" si="576"/>
        <v xml:space="preserve">- </v>
      </c>
      <c r="CB140" s="54" t="str">
        <f t="shared" si="576"/>
        <v xml:space="preserve">- </v>
      </c>
      <c r="CC140" s="54" t="str">
        <f t="shared" si="576"/>
        <v xml:space="preserve">- </v>
      </c>
      <c r="CD140" s="54" t="str">
        <f t="shared" si="576"/>
        <v xml:space="preserve">- </v>
      </c>
      <c r="CE140" s="54" t="str">
        <f t="shared" si="576"/>
        <v xml:space="preserve">- </v>
      </c>
      <c r="CF140" s="55" t="str">
        <f t="shared" si="576"/>
        <v xml:space="preserve">- </v>
      </c>
      <c r="CG140" s="54" t="str">
        <f t="shared" si="576"/>
        <v xml:space="preserve">- </v>
      </c>
      <c r="CH140" s="54" t="str">
        <f t="shared" si="576"/>
        <v xml:space="preserve">- </v>
      </c>
      <c r="CI140" s="54" t="str">
        <f t="shared" si="576"/>
        <v xml:space="preserve">- </v>
      </c>
      <c r="CJ140" s="54" t="str">
        <f t="shared" si="576"/>
        <v xml:space="preserve">- </v>
      </c>
      <c r="CK140" s="55" t="str">
        <f t="shared" si="576"/>
        <v xml:space="preserve">- </v>
      </c>
      <c r="CL140" s="54" t="str">
        <f t="shared" si="576"/>
        <v xml:space="preserve">- </v>
      </c>
      <c r="CM140" s="54" t="str">
        <f t="shared" si="576"/>
        <v xml:space="preserve">- </v>
      </c>
      <c r="CN140" s="54" t="str">
        <f t="shared" si="576"/>
        <v xml:space="preserve">- </v>
      </c>
      <c r="CO140" s="54" t="str">
        <f t="shared" si="576"/>
        <v xml:space="preserve">- </v>
      </c>
      <c r="CP140" s="55" t="str">
        <f t="shared" si="576"/>
        <v xml:space="preserve">- </v>
      </c>
      <c r="CQ140" s="54" t="str">
        <f t="shared" si="576"/>
        <v xml:space="preserve">- </v>
      </c>
      <c r="CR140" s="54" t="str">
        <f t="shared" si="576"/>
        <v xml:space="preserve">- </v>
      </c>
      <c r="CS140" s="54" t="str">
        <f t="shared" si="576"/>
        <v xml:space="preserve">- </v>
      </c>
      <c r="CT140" s="54" t="str">
        <f t="shared" si="576"/>
        <v xml:space="preserve">- </v>
      </c>
      <c r="CU140" s="55" t="str">
        <f t="shared" si="576"/>
        <v xml:space="preserve">- </v>
      </c>
      <c r="CV140" s="54" t="str">
        <f t="shared" si="576"/>
        <v xml:space="preserve">- </v>
      </c>
      <c r="CW140" s="54" t="str">
        <f t="shared" si="576"/>
        <v xml:space="preserve">- </v>
      </c>
      <c r="CX140" s="54" t="str">
        <f t="shared" si="576"/>
        <v xml:space="preserve">- </v>
      </c>
      <c r="CY140" s="54" t="str">
        <f t="shared" si="576"/>
        <v xml:space="preserve">- </v>
      </c>
      <c r="CZ140" s="55" t="str">
        <f t="shared" si="576"/>
        <v xml:space="preserve">- </v>
      </c>
      <c r="DA140" s="54">
        <f t="shared" si="576"/>
        <v>1.1730831335966432</v>
      </c>
      <c r="DB140" s="54" t="str">
        <f t="shared" si="576"/>
        <v xml:space="preserve">- </v>
      </c>
      <c r="DC140" s="54"/>
      <c r="DD140" s="54"/>
      <c r="DE140" s="55"/>
      <c r="DF140" s="54"/>
      <c r="DG140" s="54"/>
      <c r="DH140" s="54"/>
      <c r="DI140" s="54"/>
      <c r="DJ140" s="55"/>
      <c r="DK140" s="54"/>
      <c r="DL140" s="54"/>
      <c r="DM140" s="54"/>
      <c r="DN140" s="54"/>
      <c r="DO140" s="55"/>
      <c r="DP140" s="54"/>
      <c r="DQ140" s="54"/>
      <c r="DR140" s="54"/>
      <c r="DS140" s="54"/>
      <c r="DT140" s="55"/>
      <c r="DU140" s="55"/>
      <c r="DV140" s="55"/>
    </row>
    <row r="141" spans="1:126" s="15" customFormat="1" ht="12">
      <c r="B141" s="40"/>
      <c r="C141" s="58"/>
      <c r="D141" s="58"/>
      <c r="E141" s="58"/>
      <c r="F141" s="58"/>
      <c r="G141" s="58"/>
      <c r="H141" s="58"/>
      <c r="I141" s="58"/>
      <c r="J141" s="57"/>
      <c r="K141" s="57"/>
      <c r="L141" s="57"/>
      <c r="M141" s="57"/>
      <c r="N141" s="58"/>
      <c r="O141" s="57"/>
      <c r="P141" s="57"/>
      <c r="Q141" s="57"/>
      <c r="R141" s="57"/>
      <c r="S141" s="58"/>
      <c r="T141" s="57"/>
      <c r="U141" s="57"/>
      <c r="V141" s="57"/>
      <c r="W141" s="57"/>
      <c r="X141" s="58"/>
      <c r="Y141" s="57"/>
      <c r="Z141" s="57"/>
      <c r="AA141" s="57"/>
      <c r="AB141" s="57"/>
      <c r="AC141" s="58"/>
      <c r="AD141" s="57"/>
      <c r="AE141" s="57"/>
      <c r="AF141" s="57"/>
      <c r="AG141" s="57"/>
      <c r="AH141" s="58"/>
      <c r="AI141" s="57"/>
      <c r="AJ141" s="57"/>
      <c r="AK141" s="57"/>
      <c r="AL141" s="57"/>
      <c r="AM141" s="58"/>
      <c r="AN141" s="57"/>
      <c r="AO141" s="57"/>
      <c r="AP141" s="57"/>
      <c r="AQ141" s="57"/>
      <c r="AR141" s="58"/>
      <c r="AS141" s="57"/>
      <c r="AT141" s="57"/>
      <c r="AU141" s="57"/>
      <c r="AV141" s="57"/>
      <c r="AW141" s="58"/>
      <c r="AX141" s="57"/>
      <c r="AY141" s="57"/>
      <c r="AZ141" s="57"/>
      <c r="BA141" s="57"/>
      <c r="BB141" s="58"/>
      <c r="BC141" s="57"/>
      <c r="BD141" s="57"/>
      <c r="BE141" s="57"/>
      <c r="BF141" s="57"/>
      <c r="BG141" s="58"/>
      <c r="BH141" s="57"/>
      <c r="BI141" s="57"/>
      <c r="BJ141" s="57"/>
      <c r="BK141" s="57"/>
      <c r="BL141" s="58"/>
      <c r="BM141" s="57"/>
      <c r="BN141" s="57"/>
      <c r="BO141" s="57"/>
      <c r="BP141" s="57"/>
      <c r="BQ141" s="58"/>
      <c r="BR141" s="57"/>
      <c r="BS141" s="57"/>
      <c r="BT141" s="57"/>
      <c r="BU141" s="57"/>
      <c r="BV141" s="58"/>
      <c r="BW141" s="57"/>
      <c r="BX141" s="57"/>
      <c r="BY141" s="57"/>
      <c r="BZ141" s="57"/>
      <c r="CA141" s="58"/>
      <c r="CB141" s="57"/>
      <c r="CC141" s="57"/>
      <c r="CD141" s="57"/>
      <c r="CE141" s="57"/>
      <c r="CF141" s="58"/>
      <c r="CG141" s="57"/>
      <c r="CH141" s="57"/>
      <c r="CI141" s="57"/>
      <c r="CJ141" s="57"/>
      <c r="CK141" s="58"/>
      <c r="CL141" s="57"/>
      <c r="CM141" s="57"/>
      <c r="CN141" s="57"/>
      <c r="CO141" s="57"/>
      <c r="CP141" s="58"/>
      <c r="CQ141" s="57"/>
      <c r="CR141" s="57"/>
      <c r="CS141" s="57"/>
      <c r="CT141" s="57"/>
      <c r="CU141" s="58"/>
      <c r="CV141" s="57"/>
      <c r="CW141" s="57"/>
      <c r="CX141" s="57"/>
      <c r="CY141" s="57"/>
      <c r="CZ141" s="58"/>
      <c r="DA141" s="57"/>
      <c r="DB141" s="57"/>
      <c r="DC141" s="57"/>
      <c r="DD141" s="57"/>
      <c r="DE141" s="58"/>
      <c r="DF141" s="57"/>
      <c r="DG141" s="57"/>
      <c r="DH141" s="57"/>
      <c r="DI141" s="57"/>
      <c r="DJ141" s="58"/>
      <c r="DK141" s="57"/>
      <c r="DL141" s="57"/>
      <c r="DM141" s="57"/>
      <c r="DN141" s="57"/>
      <c r="DO141" s="58"/>
      <c r="DP141" s="57"/>
      <c r="DQ141" s="57"/>
      <c r="DR141" s="57"/>
      <c r="DS141" s="57"/>
      <c r="DT141" s="58"/>
      <c r="DU141" s="58"/>
      <c r="DV141" s="58"/>
    </row>
    <row r="142" spans="1:126" s="15" customFormat="1" ht="12">
      <c r="B142" s="137" t="s">
        <v>174</v>
      </c>
      <c r="C142" s="58"/>
      <c r="D142" s="58"/>
      <c r="E142" s="58"/>
      <c r="F142" s="58"/>
      <c r="G142" s="58"/>
      <c r="H142" s="58"/>
      <c r="I142" s="58"/>
      <c r="J142" s="57"/>
      <c r="K142" s="57"/>
      <c r="L142" s="57"/>
      <c r="M142" s="57"/>
      <c r="N142" s="58"/>
      <c r="O142" s="59"/>
      <c r="P142" s="59"/>
      <c r="Q142" s="59"/>
      <c r="R142" s="59"/>
      <c r="S142" s="58"/>
      <c r="T142" s="59"/>
      <c r="U142" s="59"/>
      <c r="V142" s="59"/>
      <c r="W142" s="59"/>
      <c r="X142" s="58"/>
      <c r="Y142" s="59"/>
      <c r="Z142" s="59"/>
      <c r="AA142" s="59"/>
      <c r="AB142" s="59"/>
      <c r="AC142" s="58"/>
      <c r="AD142" s="59"/>
      <c r="AE142" s="59"/>
      <c r="AF142" s="59"/>
      <c r="AG142" s="59"/>
      <c r="AH142" s="58"/>
      <c r="AI142" s="59"/>
      <c r="AJ142" s="59"/>
      <c r="AK142" s="59"/>
      <c r="AL142" s="59"/>
      <c r="AM142" s="58"/>
      <c r="AN142" s="59"/>
      <c r="AO142" s="59"/>
      <c r="AP142" s="59"/>
      <c r="AQ142" s="59"/>
      <c r="AR142" s="58"/>
      <c r="AS142" s="59"/>
      <c r="AT142" s="59"/>
      <c r="AU142" s="59"/>
      <c r="AV142" s="59"/>
      <c r="AW142" s="58"/>
      <c r="AX142" s="59"/>
      <c r="AY142" s="59"/>
      <c r="AZ142" s="59"/>
      <c r="BA142" s="59"/>
      <c r="BB142" s="58"/>
      <c r="BC142" s="59"/>
      <c r="BD142" s="59"/>
      <c r="BE142" s="59"/>
      <c r="BF142" s="59"/>
      <c r="BG142" s="58"/>
      <c r="BH142" s="59"/>
      <c r="BI142" s="59"/>
      <c r="BJ142" s="59"/>
      <c r="BK142" s="59"/>
      <c r="BL142" s="58"/>
      <c r="BM142" s="59"/>
      <c r="BN142" s="59"/>
      <c r="BO142" s="59"/>
      <c r="BP142" s="59"/>
      <c r="BQ142" s="58"/>
      <c r="BR142" s="59"/>
      <c r="BS142" s="59"/>
      <c r="BT142" s="59"/>
      <c r="BU142" s="59"/>
      <c r="BV142" s="58"/>
      <c r="BW142" s="59"/>
      <c r="BX142" s="59"/>
      <c r="BY142" s="59"/>
      <c r="BZ142" s="59"/>
      <c r="CA142" s="58"/>
      <c r="CB142" s="59"/>
      <c r="CC142" s="59"/>
      <c r="CD142" s="59"/>
      <c r="CE142" s="59"/>
      <c r="CF142" s="58"/>
      <c r="CG142" s="59"/>
      <c r="CH142" s="59"/>
      <c r="CI142" s="59"/>
      <c r="CJ142" s="59"/>
      <c r="CK142" s="58"/>
      <c r="CL142" s="59"/>
      <c r="CM142" s="59"/>
      <c r="CN142" s="59"/>
      <c r="CO142" s="59"/>
      <c r="CP142" s="58"/>
      <c r="CQ142" s="59"/>
      <c r="CR142" s="59"/>
      <c r="CS142" s="59"/>
      <c r="CT142" s="59"/>
      <c r="CU142" s="58"/>
      <c r="CV142" s="59"/>
      <c r="CW142" s="59"/>
      <c r="CX142" s="59"/>
      <c r="CY142" s="59"/>
      <c r="CZ142" s="58"/>
      <c r="DA142" s="59"/>
      <c r="DB142" s="59"/>
      <c r="DC142" s="59"/>
      <c r="DD142" s="59"/>
      <c r="DE142" s="58"/>
      <c r="DF142" s="59"/>
      <c r="DG142" s="59"/>
      <c r="DH142" s="59"/>
      <c r="DI142" s="59"/>
      <c r="DJ142" s="58"/>
      <c r="DK142" s="59"/>
      <c r="DL142" s="59"/>
      <c r="DM142" s="59"/>
      <c r="DN142" s="59"/>
      <c r="DO142" s="58"/>
      <c r="DP142" s="59"/>
      <c r="DQ142" s="59"/>
      <c r="DR142" s="59"/>
      <c r="DS142" s="59"/>
      <c r="DT142" s="58"/>
      <c r="DU142" s="58"/>
      <c r="DV142" s="58"/>
    </row>
    <row r="143" spans="1:126" s="15" customFormat="1">
      <c r="B143" s="221" t="s">
        <v>381</v>
      </c>
      <c r="C143" s="58"/>
      <c r="D143" s="58"/>
      <c r="E143" s="58"/>
      <c r="F143" s="58"/>
      <c r="G143" s="58"/>
      <c r="H143" s="58"/>
      <c r="I143" s="58"/>
      <c r="J143" s="57"/>
      <c r="K143" s="57"/>
      <c r="L143" s="57"/>
      <c r="M143" s="57"/>
      <c r="N143" s="58"/>
      <c r="O143" s="59"/>
      <c r="P143" s="59"/>
      <c r="Q143" s="59"/>
      <c r="R143" s="59"/>
      <c r="S143" s="58"/>
      <c r="T143" s="59"/>
      <c r="U143" s="59"/>
      <c r="V143" s="59"/>
      <c r="W143" s="59"/>
      <c r="X143" s="58"/>
      <c r="Y143" s="59"/>
      <c r="Z143" s="59"/>
      <c r="AA143" s="59"/>
      <c r="AB143" s="59"/>
      <c r="AC143" s="58"/>
      <c r="AD143" s="59"/>
      <c r="AE143" s="59"/>
      <c r="AF143" s="59"/>
      <c r="AG143" s="59"/>
      <c r="AH143" s="58"/>
      <c r="AI143" s="59"/>
      <c r="AJ143" s="59"/>
      <c r="AK143" s="59"/>
      <c r="AL143" s="59"/>
      <c r="AM143" s="58"/>
      <c r="AN143" s="59"/>
      <c r="AO143" s="59"/>
      <c r="AP143" s="59"/>
      <c r="AQ143" s="59"/>
      <c r="AR143" s="58"/>
      <c r="AS143" s="59"/>
      <c r="AT143" s="59"/>
      <c r="AU143" s="59"/>
      <c r="AV143" s="59"/>
      <c r="AW143" s="58"/>
      <c r="AX143" s="59" t="e">
        <f>IF(AX136="-","-",AVERAGE(AX136,AT136:AV136))</f>
        <v>#DIV/0!</v>
      </c>
      <c r="AY143" s="59" t="e">
        <f>IF(AY136="-","-",AVERAGE(AX136:AY136,AU136:AV136))</f>
        <v>#DIV/0!</v>
      </c>
      <c r="AZ143" s="59" t="e">
        <f>IF(AV136="-","-",AVERAGE(AX136:AZ136))</f>
        <v>#DIV/0!</v>
      </c>
      <c r="BA143" s="59" t="e">
        <f>IF(BA136="-","-",AVERAGE(BA136,AX136:AZ136))</f>
        <v>#DIV/0!</v>
      </c>
      <c r="BB143" s="58" t="e">
        <f>BB136</f>
        <v>#DIV/0!</v>
      </c>
      <c r="BC143" s="59" t="e">
        <f>IF(BC136="-","-",AVERAGE(BC136,AY136:BA136))</f>
        <v>#DIV/0!</v>
      </c>
      <c r="BD143" s="59" t="e">
        <f>IF(BD136="-","-",AVERAGE(BC136:BD136,AZ136:BA136))</f>
        <v>#DIV/0!</v>
      </c>
      <c r="BE143" s="59" t="e">
        <f>IF(BE136="-","-",AVERAGE(BC136:BE136,BA136))</f>
        <v>#DIV/0!</v>
      </c>
      <c r="BF143" s="59" t="e">
        <f>IF(BF136="-","-",AVERAGE(BF136,BC136:BE136))</f>
        <v>#DIV/0!</v>
      </c>
      <c r="BG143" s="58" t="e">
        <f>BG136</f>
        <v>#DIV/0!</v>
      </c>
      <c r="BH143" s="59" t="e">
        <f>IF(BH136="-","-",AVERAGE(BH136,BD136:BF136))</f>
        <v>#DIV/0!</v>
      </c>
      <c r="BI143" s="59" t="e">
        <f>IF(BI136="-","-",AVERAGE(BH136:BI136,BE136:BF136))</f>
        <v>#DIV/0!</v>
      </c>
      <c r="BJ143" s="59" t="e">
        <f>IF(BJ136="-","-",AVERAGE(BH136:BJ136,BF136))</f>
        <v>#DIV/0!</v>
      </c>
      <c r="BK143" s="59" t="e">
        <f>IF(BK136="-","-",AVERAGE(BK136,BH136:BJ136))</f>
        <v>#DIV/0!</v>
      </c>
      <c r="BL143" s="58" t="e">
        <f>BL136</f>
        <v>#DIV/0!</v>
      </c>
      <c r="BM143" s="59" t="str">
        <f>IF(BM136="-","-",AVERAGE(BM136,BI136:BK136))</f>
        <v>-</v>
      </c>
      <c r="BN143" s="59" t="str">
        <f>IF(BN136="-","-",AVERAGE(BM136:BN136,BJ136:BK136))</f>
        <v>-</v>
      </c>
      <c r="BO143" s="59" t="str">
        <f>IF(BO136="-","-",AVERAGE(BM136:BO136,BK136))</f>
        <v>-</v>
      </c>
      <c r="BP143" s="59" t="str">
        <f>IF(BP136="-","-",AVERAGE(BP136,BM136:BO136))</f>
        <v>-</v>
      </c>
      <c r="BQ143" s="58" t="str">
        <f>BQ136</f>
        <v>-</v>
      </c>
      <c r="BR143" s="59" t="str">
        <f>IF(BR136="-","-",AVERAGE(BR136,BN136:BP136))</f>
        <v>-</v>
      </c>
      <c r="BS143" s="59" t="str">
        <f>IF(BS136="-","-",AVERAGE(BR136:BS136,BO136:BP136))</f>
        <v>-</v>
      </c>
      <c r="BT143" s="59" t="str">
        <f>IF(BT136="-","-",AVERAGE(BR136:BT136,BP136))</f>
        <v>-</v>
      </c>
      <c r="BU143" s="59" t="str">
        <f>IF(BU136="-","-",AVERAGE(BU136,BR136:BT136))</f>
        <v>-</v>
      </c>
      <c r="BV143" s="58" t="str">
        <f>BV136</f>
        <v>-</v>
      </c>
      <c r="BW143" s="59" t="str">
        <f>IF(BW136="-","-",AVERAGE(BW136,BS136:BU136))</f>
        <v>-</v>
      </c>
      <c r="BX143" s="59" t="str">
        <f>IF(BX136="-","-",AVERAGE(BW136:BX136,BT136:BU136))</f>
        <v>-</v>
      </c>
      <c r="BY143" s="59" t="str">
        <f>IF(BY136="-","-",AVERAGE(BW136:BY136,BU136))</f>
        <v>-</v>
      </c>
      <c r="BZ143" s="59" t="str">
        <f>IF(BZ136="-","-",AVERAGE(BZ136,BW136:BY136))</f>
        <v>-</v>
      </c>
      <c r="CA143" s="58" t="str">
        <f>CA136</f>
        <v>-</v>
      </c>
      <c r="CB143" s="59" t="str">
        <f>IF(CB136="-","-",AVERAGE(CB136,BX136:BZ136))</f>
        <v>-</v>
      </c>
      <c r="CC143" s="59" t="str">
        <f>IF(CC136="-","-",AVERAGE(CB136:CC136,BY136:BZ136))</f>
        <v>-</v>
      </c>
      <c r="CD143" s="59" t="str">
        <f>IF(CD136="-","-",AVERAGE(CB136:CD136,BZ136))</f>
        <v>-</v>
      </c>
      <c r="CE143" s="59" t="str">
        <f>IF(CE136="-","-",AVERAGE(CE136,CB136:CD136))</f>
        <v>-</v>
      </c>
      <c r="CF143" s="58" t="str">
        <f>CF136</f>
        <v>-</v>
      </c>
      <c r="CG143" s="59" t="str">
        <f>IF(CG136="-","-",AVERAGE(CG136,CC136:CE136))</f>
        <v>-</v>
      </c>
      <c r="CH143" s="59" t="str">
        <f>IF(CH136="-","-",AVERAGE(CG136:CH136,CD136:CE136))</f>
        <v>-</v>
      </c>
      <c r="CI143" s="59" t="str">
        <f>IF(CI136="-","-",AVERAGE(CG136:CI136,CE136))</f>
        <v>-</v>
      </c>
      <c r="CJ143" s="59" t="str">
        <f>IF(CJ136="-","-",AVERAGE(CJ136,CG136:CI136))</f>
        <v>-</v>
      </c>
      <c r="CK143" s="58" t="str">
        <f>CK136</f>
        <v>-</v>
      </c>
      <c r="CL143" s="59" t="str">
        <f>IF(CL136="-","-",AVERAGE(CL136,CH136:CJ136))</f>
        <v>-</v>
      </c>
      <c r="CM143" s="59" t="str">
        <f>IF(CM136="-","-",AVERAGE(CL136:CM136,CI136:CJ136))</f>
        <v>-</v>
      </c>
      <c r="CN143" s="59" t="str">
        <f>IF(CN136="-","-",AVERAGE(CL136:CN136,CJ136))</f>
        <v>-</v>
      </c>
      <c r="CO143" s="59" t="str">
        <f>IF(CO136="-","-",AVERAGE(CO136,CL136:CN136))</f>
        <v>-</v>
      </c>
      <c r="CP143" s="58" t="str">
        <f>CP136</f>
        <v>-</v>
      </c>
      <c r="CQ143" s="59" t="str">
        <f>IF(CQ136="-","-",AVERAGE(CQ136,CM136:CO136))</f>
        <v>-</v>
      </c>
      <c r="CR143" s="59" t="str">
        <f>IF(CR136="-","-",AVERAGE(CQ136:CR136,CN136:CO136))</f>
        <v>-</v>
      </c>
      <c r="CS143" s="59" t="str">
        <f>IF(CS136="-","-",AVERAGE(CQ136:CS136,CO136))</f>
        <v>-</v>
      </c>
      <c r="CT143" s="59" t="str">
        <f>IF(CT136="-","-",AVERAGE(CT136,CQ136:CS136))</f>
        <v>-</v>
      </c>
      <c r="CU143" s="58" t="str">
        <f>CU136</f>
        <v>-</v>
      </c>
      <c r="CV143" s="59" t="str">
        <f>IF(CV136="-","-",AVERAGE(CV136,CR136:CT136))</f>
        <v>-</v>
      </c>
      <c r="CW143" s="59" t="str">
        <f>IF(CW136="-","-",AVERAGE(CV136:CW136,CS136:CT136))</f>
        <v>-</v>
      </c>
      <c r="CX143" s="59" t="str">
        <f>IF(CX136="-","-",AVERAGE(CV136:CX136,CT136))</f>
        <v>-</v>
      </c>
      <c r="CY143" s="59" t="str">
        <f>IF(CY136="-","-",AVERAGE(CY136,CV136:CX136))</f>
        <v>-</v>
      </c>
      <c r="CZ143" s="58" t="str">
        <f>CZ136</f>
        <v>-</v>
      </c>
      <c r="DA143" s="59">
        <f>IF(DA136="-","-",AVERAGE(DA136,CW136:CY136))</f>
        <v>1.191131498470948</v>
      </c>
      <c r="DB143" s="59" t="str">
        <f>IF(DB136="-","-",AVERAGE(DA136:DB136,CX136:CY136))</f>
        <v>-</v>
      </c>
      <c r="DC143" s="59"/>
      <c r="DD143" s="59"/>
      <c r="DE143" s="58"/>
      <c r="DF143" s="59"/>
      <c r="DG143" s="59"/>
      <c r="DH143" s="59"/>
      <c r="DI143" s="59"/>
      <c r="DJ143" s="58"/>
      <c r="DK143" s="59"/>
      <c r="DL143" s="59"/>
      <c r="DM143" s="59"/>
      <c r="DN143" s="59"/>
      <c r="DO143" s="58"/>
      <c r="DP143" s="59"/>
      <c r="DQ143" s="59"/>
      <c r="DR143" s="59"/>
      <c r="DS143" s="59"/>
      <c r="DT143" s="58"/>
      <c r="DU143" s="58"/>
      <c r="DV143" s="58"/>
    </row>
    <row r="144" spans="1:126" s="15" customFormat="1">
      <c r="B144" s="317" t="s">
        <v>457</v>
      </c>
      <c r="C144" s="58"/>
      <c r="D144" s="58"/>
      <c r="E144" s="58"/>
      <c r="F144" s="58"/>
      <c r="G144" s="58"/>
      <c r="H144" s="58"/>
      <c r="I144" s="58"/>
      <c r="J144" s="57"/>
      <c r="K144" s="57"/>
      <c r="L144" s="57"/>
      <c r="M144" s="57"/>
      <c r="N144" s="58"/>
      <c r="O144" s="59"/>
      <c r="P144" s="59"/>
      <c r="Q144" s="59"/>
      <c r="R144" s="59"/>
      <c r="S144" s="58"/>
      <c r="T144" s="59"/>
      <c r="U144" s="59"/>
      <c r="V144" s="59"/>
      <c r="W144" s="59"/>
      <c r="X144" s="58"/>
      <c r="Y144" s="59"/>
      <c r="Z144" s="59"/>
      <c r="AA144" s="59"/>
      <c r="AB144" s="59"/>
      <c r="AC144" s="58"/>
      <c r="AD144" s="59"/>
      <c r="AE144" s="59"/>
      <c r="AF144" s="59"/>
      <c r="AG144" s="59"/>
      <c r="AH144" s="58"/>
      <c r="AI144" s="59"/>
      <c r="AJ144" s="59"/>
      <c r="AK144" s="59"/>
      <c r="AL144" s="59"/>
      <c r="AM144" s="58"/>
      <c r="AN144" s="59"/>
      <c r="AO144" s="59"/>
      <c r="AP144" s="59"/>
      <c r="AQ144" s="59"/>
      <c r="AR144" s="58"/>
      <c r="AS144" s="59"/>
      <c r="AT144" s="59"/>
      <c r="AU144" s="59"/>
      <c r="AV144" s="59"/>
      <c r="AW144" s="58"/>
      <c r="AX144" s="59" t="e">
        <f>IF(AX137="-","-",AVERAGE(AX137,AT137:AV137))</f>
        <v>#DIV/0!</v>
      </c>
      <c r="AY144" s="59" t="e">
        <f>IF(AY137="-","-",AVERAGE(AX137:AY137,AU137:AV137))</f>
        <v>#DIV/0!</v>
      </c>
      <c r="AZ144" s="59" t="e">
        <f>IF(AV137="-","-",AVERAGE(AX137:AZ137))</f>
        <v>#DIV/0!</v>
      </c>
      <c r="BA144" s="59" t="e">
        <f>IF(BA137="-","-",AVERAGE(BA137,AX137:AZ137))</f>
        <v>#DIV/0!</v>
      </c>
      <c r="BB144" s="58" t="e">
        <f>BB137</f>
        <v>#DIV/0!</v>
      </c>
      <c r="BC144" s="59" t="e">
        <f>IF(BC137="-","-",AVERAGE(BC137,AY137:BA137))</f>
        <v>#DIV/0!</v>
      </c>
      <c r="BD144" s="59" t="e">
        <f>IF(BD137="-","-",AVERAGE(BC137:BD137,AZ137:BA137))</f>
        <v>#DIV/0!</v>
      </c>
      <c r="BE144" s="59" t="e">
        <f>IF(BE137="-","-",AVERAGE(BC137:BE137,BA137))</f>
        <v>#DIV/0!</v>
      </c>
      <c r="BF144" s="59" t="e">
        <f>IF(BF137="-","-",AVERAGE(BF137,BC137:BE137))</f>
        <v>#DIV/0!</v>
      </c>
      <c r="BG144" s="58" t="e">
        <f>BG137</f>
        <v>#DIV/0!</v>
      </c>
      <c r="BH144" s="59" t="e">
        <f>IF(BH137="-","-",AVERAGE(BH137,BD137:BF137))</f>
        <v>#DIV/0!</v>
      </c>
      <c r="BI144" s="59" t="e">
        <f>IF(BI137="-","-",AVERAGE(BH137:BI137,BE137:BF137))</f>
        <v>#DIV/0!</v>
      </c>
      <c r="BJ144" s="59" t="e">
        <f>IF(BJ137="-","-",AVERAGE(BH137:BJ137,BF137))</f>
        <v>#DIV/0!</v>
      </c>
      <c r="BK144" s="59" t="e">
        <f>IF(BK137="-","-",AVERAGE(BK137,BH137:BJ137))</f>
        <v>#DIV/0!</v>
      </c>
      <c r="BL144" s="58" t="e">
        <f>BL137</f>
        <v>#DIV/0!</v>
      </c>
      <c r="BM144" s="59" t="str">
        <f>IF(BM137="-","-",AVERAGE(BM137,BI137:BK137))</f>
        <v>-</v>
      </c>
      <c r="BN144" s="59" t="str">
        <f>IF(BN137="-","-",AVERAGE(BM137:BN137,BJ137:BK137))</f>
        <v>-</v>
      </c>
      <c r="BO144" s="59" t="str">
        <f>IF(BO137="-","-",AVERAGE(BM137:BO137,BK137))</f>
        <v>-</v>
      </c>
      <c r="BP144" s="59" t="str">
        <f>IF(BP137="-","-",AVERAGE(BP137,BM137:BO137))</f>
        <v>-</v>
      </c>
      <c r="BQ144" s="58" t="str">
        <f>BQ137</f>
        <v>-</v>
      </c>
      <c r="BR144" s="59" t="str">
        <f>IF(BR137="-","-",AVERAGE(BR137,BN137:BP137))</f>
        <v>-</v>
      </c>
      <c r="BS144" s="59" t="str">
        <f>IF(BS137="-","-",AVERAGE(BR137:BS137,BO137:BP137))</f>
        <v>-</v>
      </c>
      <c r="BT144" s="59" t="str">
        <f>IF(BT137="-","-",AVERAGE(BR137:BT137,BP137))</f>
        <v>-</v>
      </c>
      <c r="BU144" s="59" t="str">
        <f>IF(BU137="-","-",AVERAGE(BU137,BR137:BT137))</f>
        <v>-</v>
      </c>
      <c r="BV144" s="58" t="str">
        <f>BV137</f>
        <v>-</v>
      </c>
      <c r="BW144" s="59" t="str">
        <f>IF(BW137="-","-",AVERAGE(BW137,BS137:BU137))</f>
        <v>-</v>
      </c>
      <c r="BX144" s="59" t="str">
        <f>IF(BX137="-","-",AVERAGE(BW137:BX137,BT137:BU137))</f>
        <v>-</v>
      </c>
      <c r="BY144" s="59" t="str">
        <f>IF(BY137="-","-",AVERAGE(BW137:BY137,BU137))</f>
        <v>-</v>
      </c>
      <c r="BZ144" s="59" t="str">
        <f>IF(BZ137="-","-",AVERAGE(BZ137,BW137:BY137))</f>
        <v>-</v>
      </c>
      <c r="CA144" s="58" t="str">
        <f>CA137</f>
        <v>-</v>
      </c>
      <c r="CB144" s="59" t="str">
        <f>IF(CB137="-","-",AVERAGE(CB137,BX137:BZ137))</f>
        <v>-</v>
      </c>
      <c r="CC144" s="59" t="str">
        <f>IF(CC137="-","-",AVERAGE(CB137:CC137,BY137:BZ137))</f>
        <v>-</v>
      </c>
      <c r="CD144" s="59" t="str">
        <f>IF(CD137="-","-",AVERAGE(CB137:CD137,BZ137))</f>
        <v>-</v>
      </c>
      <c r="CE144" s="59" t="str">
        <f>IF(CE137="-","-",AVERAGE(CE137,CB137:CD137))</f>
        <v>-</v>
      </c>
      <c r="CF144" s="58" t="str">
        <f>CF137</f>
        <v>-</v>
      </c>
      <c r="CG144" s="59" t="str">
        <f>IF(CG137="-","-",AVERAGE(CG137,CC137:CE137))</f>
        <v>-</v>
      </c>
      <c r="CH144" s="59" t="str">
        <f>IF(CH137="-","-",AVERAGE(CG137:CH137,CD137:CE137))</f>
        <v>-</v>
      </c>
      <c r="CI144" s="59" t="str">
        <f>IF(CI137="-","-",AVERAGE(CG137:CI137,CE137))</f>
        <v>-</v>
      </c>
      <c r="CJ144" s="59" t="str">
        <f>IF(CJ137="-","-",AVERAGE(CJ137,CG137:CI137))</f>
        <v>-</v>
      </c>
      <c r="CK144" s="58" t="str">
        <f>CK137</f>
        <v>-</v>
      </c>
      <c r="CL144" s="59" t="str">
        <f>IF(CL137="-","-",AVERAGE(CL137,CH137:CJ137))</f>
        <v>-</v>
      </c>
      <c r="CM144" s="59" t="str">
        <f>IF(CM137="-","-",AVERAGE(CL137:CM137,CI137:CJ137))</f>
        <v>-</v>
      </c>
      <c r="CN144" s="59" t="str">
        <f>IF(CN137="-","-",AVERAGE(CL137:CN137,CJ137))</f>
        <v>-</v>
      </c>
      <c r="CO144" s="59" t="str">
        <f>IF(CO137="-","-",AVERAGE(CO137,CL137:CN137))</f>
        <v>-</v>
      </c>
      <c r="CP144" s="58" t="str">
        <f>CP137</f>
        <v>-</v>
      </c>
      <c r="CQ144" s="59" t="str">
        <f>IF(CQ137="-","-",AVERAGE(CQ137,CM137:CO137))</f>
        <v>-</v>
      </c>
      <c r="CR144" s="59" t="str">
        <f>IF(CR137="-","-",AVERAGE(CQ137:CR137,CN137:CO137))</f>
        <v>-</v>
      </c>
      <c r="CS144" s="59" t="str">
        <f>IF(CS137="-","-",AVERAGE(CQ137:CS137,CO137))</f>
        <v>-</v>
      </c>
      <c r="CT144" s="59" t="str">
        <f>IF(CT137="-","-",AVERAGE(CT137,CQ137:CS137))</f>
        <v>-</v>
      </c>
      <c r="CU144" s="58" t="str">
        <f>CU137</f>
        <v>-</v>
      </c>
      <c r="CV144" s="59" t="str">
        <f>IF(CV137="-","-",AVERAGE(CV137,CR137:CT137))</f>
        <v>-</v>
      </c>
      <c r="CW144" s="59" t="str">
        <f>IF(CW137="-","-",AVERAGE(CV137:CW137,CS137:CT137))</f>
        <v>-</v>
      </c>
      <c r="CX144" s="59" t="str">
        <f>IF(CX137="-","-",AVERAGE(CV137:CX137,CT137))</f>
        <v>-</v>
      </c>
      <c r="CY144" s="59" t="str">
        <f>IF(CY137="-","-",AVERAGE(CY137,CV137:CX137))</f>
        <v>-</v>
      </c>
      <c r="CZ144" s="58" t="str">
        <f>CZ137</f>
        <v>-</v>
      </c>
      <c r="DA144" s="59">
        <f>IF(DA137="-","-",AVERAGE(DA137,CW137:CY137))</f>
        <v>1.1115822361080117</v>
      </c>
      <c r="DB144" s="59" t="str">
        <f>IF(DB137="-","-",AVERAGE(DA137:DB137,CX137:CY137))</f>
        <v>-</v>
      </c>
      <c r="DC144" s="59"/>
      <c r="DD144" s="59"/>
      <c r="DE144" s="58"/>
      <c r="DF144" s="59"/>
      <c r="DG144" s="59"/>
      <c r="DH144" s="59"/>
      <c r="DI144" s="59"/>
      <c r="DJ144" s="58"/>
      <c r="DK144" s="59"/>
      <c r="DL144" s="59"/>
      <c r="DM144" s="59"/>
      <c r="DN144" s="59"/>
      <c r="DO144" s="58"/>
      <c r="DP144" s="59"/>
      <c r="DQ144" s="59"/>
      <c r="DR144" s="59"/>
      <c r="DS144" s="59"/>
      <c r="DT144" s="58"/>
      <c r="DU144" s="58"/>
      <c r="DV144" s="58"/>
    </row>
    <row r="145" spans="1:126" s="15" customFormat="1" hidden="1" outlineLevel="1">
      <c r="B145" s="317" t="s">
        <v>382</v>
      </c>
      <c r="C145" s="58"/>
      <c r="D145" s="58"/>
      <c r="E145" s="58"/>
      <c r="F145" s="58"/>
      <c r="G145" s="58"/>
      <c r="H145" s="58"/>
      <c r="I145" s="58"/>
      <c r="J145" s="57"/>
      <c r="K145" s="57"/>
      <c r="L145" s="57"/>
      <c r="M145" s="57"/>
      <c r="N145" s="58"/>
      <c r="O145" s="59"/>
      <c r="P145" s="59"/>
      <c r="Q145" s="59"/>
      <c r="R145" s="59"/>
      <c r="S145" s="58"/>
      <c r="T145" s="59"/>
      <c r="U145" s="59"/>
      <c r="V145" s="59"/>
      <c r="W145" s="59"/>
      <c r="X145" s="58"/>
      <c r="Y145" s="59"/>
      <c r="Z145" s="59"/>
      <c r="AA145" s="59"/>
      <c r="AB145" s="59"/>
      <c r="AC145" s="58"/>
      <c r="AD145" s="59"/>
      <c r="AE145" s="59"/>
      <c r="AF145" s="59"/>
      <c r="AG145" s="59"/>
      <c r="AH145" s="58"/>
      <c r="AI145" s="59"/>
      <c r="AJ145" s="59"/>
      <c r="AK145" s="59"/>
      <c r="AL145" s="59"/>
      <c r="AM145" s="58"/>
      <c r="AN145" s="59"/>
      <c r="AO145" s="59"/>
      <c r="AP145" s="59"/>
      <c r="AQ145" s="59"/>
      <c r="AR145" s="58"/>
      <c r="AS145" s="59"/>
      <c r="AT145" s="59"/>
      <c r="AU145" s="59"/>
      <c r="AV145" s="59"/>
      <c r="AW145" s="58"/>
      <c r="AX145" s="59" t="e">
        <f>IF(AX138="-","-",AVERAGE(AX138,AT138:AV138))</f>
        <v>#REF!</v>
      </c>
      <c r="AY145" s="59" t="e">
        <f>IF(AY138="-","-",AVERAGE(AX138:AY138,AU138:AV138))</f>
        <v>#REF!</v>
      </c>
      <c r="AZ145" s="59" t="e">
        <f>IF(AV138="-","-",AVERAGE(AX138:AZ138))</f>
        <v>#REF!</v>
      </c>
      <c r="BA145" s="59" t="e">
        <f>IF(BA138="-","-",AVERAGE(BA138,AX138:AZ138))</f>
        <v>#REF!</v>
      </c>
      <c r="BB145" s="58" t="e">
        <f>BB138</f>
        <v>#DIV/0!</v>
      </c>
      <c r="BC145" s="59" t="e">
        <f>IF(BC138="-","-",AVERAGE(BC138,AY138:BA138))</f>
        <v>#DIV/0!</v>
      </c>
      <c r="BD145" s="59" t="e">
        <f>IF(BD138="-","-",AVERAGE(BC138:BD138,AZ138:BA138))</f>
        <v>#DIV/0!</v>
      </c>
      <c r="BE145" s="59" t="e">
        <f>IF(BE138="-","-",AVERAGE(BC138:BE138,BA138))</f>
        <v>#DIV/0!</v>
      </c>
      <c r="BF145" s="59" t="e">
        <f>IF(BF138="-","-",AVERAGE(BF138,BC138:BE138))</f>
        <v>#DIV/0!</v>
      </c>
      <c r="BG145" s="58" t="e">
        <f>BG138</f>
        <v>#DIV/0!</v>
      </c>
      <c r="BH145" s="59" t="e">
        <f>IF(BH138="-","-",AVERAGE(BH138,BD138:BF138))</f>
        <v>#DIV/0!</v>
      </c>
      <c r="BI145" s="59" t="e">
        <f>IF(BI138="-","-",AVERAGE(BH138:BI138,BE138:BF138))</f>
        <v>#DIV/0!</v>
      </c>
      <c r="BJ145" s="59" t="e">
        <f>IF(BJ138="-","-",AVERAGE(BH138:BJ138,BF138))</f>
        <v>#DIV/0!</v>
      </c>
      <c r="BK145" s="59" t="e">
        <f>IF(BK138="-","-",AVERAGE(BK138,BH138:BJ138))</f>
        <v>#DIV/0!</v>
      </c>
      <c r="BL145" s="58" t="e">
        <f>BL138</f>
        <v>#DIV/0!</v>
      </c>
      <c r="BM145" s="59" t="e">
        <f>IF(BM138="-","-",AVERAGE(BM138,BI138:BK138))</f>
        <v>#DIV/0!</v>
      </c>
      <c r="BN145" s="59" t="e">
        <f>IF(BN138="-","-",AVERAGE(BM138:BN138,BJ138:BK138))</f>
        <v>#DIV/0!</v>
      </c>
      <c r="BO145" s="59" t="e">
        <f>IF(BO138="-","-",AVERAGE(BM138:BO138,BK138))</f>
        <v>#DIV/0!</v>
      </c>
      <c r="BP145" s="59" t="e">
        <f>IF(BP138="-","-",AVERAGE(BP138,BM138:BO138))</f>
        <v>#DIV/0!</v>
      </c>
      <c r="BQ145" s="58" t="e">
        <f>BQ138</f>
        <v>#DIV/0!</v>
      </c>
      <c r="BR145" s="59" t="e">
        <f>IF(BR138="-","-",AVERAGE(BR138,BN138:BP138))</f>
        <v>#DIV/0!</v>
      </c>
      <c r="BS145" s="59" t="e">
        <f>IF(BS138="-","-",AVERAGE(BR138:BS138,BO138:BP138))</f>
        <v>#DIV/0!</v>
      </c>
      <c r="BT145" s="59" t="e">
        <f>IF(BT138="-","-",AVERAGE(BR138:BT138,BP138))</f>
        <v>#DIV/0!</v>
      </c>
      <c r="BU145" s="59" t="e">
        <f>IF(BU138="-","-",AVERAGE(BU138,BR138:BT138))</f>
        <v>#DIV/0!</v>
      </c>
      <c r="BV145" s="58" t="e">
        <f>BV138</f>
        <v>#DIV/0!</v>
      </c>
      <c r="BW145" s="59" t="e">
        <f>IF(BW138="-","-",AVERAGE(BW138,BS138:BU138))</f>
        <v>#DIV/0!</v>
      </c>
      <c r="BX145" s="59" t="e">
        <f>IF(BX138="-","-",AVERAGE(BW138:BX138,BT138:BU138))</f>
        <v>#DIV/0!</v>
      </c>
      <c r="BY145" s="59" t="e">
        <f>IF(BY138="-","-",AVERAGE(BW138:BY138,BU138))</f>
        <v>#DIV/0!</v>
      </c>
      <c r="BZ145" s="59" t="e">
        <f>IF(BZ138="-","-",AVERAGE(BZ138,BW138:BY138))</f>
        <v>#DIV/0!</v>
      </c>
      <c r="CA145" s="58" t="e">
        <f>CA138</f>
        <v>#DIV/0!</v>
      </c>
      <c r="CB145" s="59" t="e">
        <f>IF(CB138="-","-",AVERAGE(CB138,BX138:BZ138))</f>
        <v>#DIV/0!</v>
      </c>
      <c r="CC145" s="59" t="e">
        <f>IF(CC138="-","-",AVERAGE(CB138:CC138,BY138:BZ138))</f>
        <v>#DIV/0!</v>
      </c>
      <c r="CD145" s="59" t="e">
        <f>IF(CD138="-","-",AVERAGE(CB138:CD138,BZ138))</f>
        <v>#DIV/0!</v>
      </c>
      <c r="CE145" s="59" t="e">
        <f>IF(CE138="-","-",AVERAGE(CE138,CB138:CD138))</f>
        <v>#DIV/0!</v>
      </c>
      <c r="CF145" s="58" t="e">
        <f>CF138</f>
        <v>#DIV/0!</v>
      </c>
      <c r="CG145" s="59" t="e">
        <f>IF(CG138="-","-",AVERAGE(CG138,CC138:CE138))</f>
        <v>#DIV/0!</v>
      </c>
      <c r="CH145" s="59" t="e">
        <f>IF(CH138="-","-",AVERAGE(CG138:CH138,CD138:CE138))</f>
        <v>#DIV/0!</v>
      </c>
      <c r="CI145" s="59" t="e">
        <f>IF(CI138="-","-",AVERAGE(CG138:CI138,CE138))</f>
        <v>#DIV/0!</v>
      </c>
      <c r="CJ145" s="59" t="e">
        <f>IF(CJ138="-","-",AVERAGE(CJ138,CG138:CI138))</f>
        <v>#DIV/0!</v>
      </c>
      <c r="CK145" s="58" t="e">
        <f>CK138</f>
        <v>#DIV/0!</v>
      </c>
      <c r="CL145" s="59" t="str">
        <f>IF(CL138="-","-",AVERAGE(CL138,CH138:CJ138))</f>
        <v>-</v>
      </c>
      <c r="CM145" s="59" t="str">
        <f>IF(CM138="-","-",AVERAGE(CL138:CM138,CI138:CJ138))</f>
        <v>-</v>
      </c>
      <c r="CN145" s="59" t="str">
        <f>IF(CN138="-","-",AVERAGE(CL138:CN138,CJ138))</f>
        <v>-</v>
      </c>
      <c r="CO145" s="59" t="str">
        <f>IF(CO138="-","-",AVERAGE(CO138,CL138:CN138))</f>
        <v>-</v>
      </c>
      <c r="CP145" s="58" t="str">
        <f>CP138</f>
        <v>-</v>
      </c>
      <c r="CQ145" s="59" t="str">
        <f>IF(CQ138="-","-",AVERAGE(CQ138,CM138:CO138))</f>
        <v>-</v>
      </c>
      <c r="CR145" s="59" t="str">
        <f>IF(CR138="-","-",AVERAGE(CQ138:CR138,CN138:CO138))</f>
        <v>-</v>
      </c>
      <c r="CS145" s="59" t="str">
        <f>IF(CS138="-","-",AVERAGE(CQ138:CS138,CO138))</f>
        <v>-</v>
      </c>
      <c r="CT145" s="59" t="str">
        <f>IF(CT138="-","-",AVERAGE(CT138,CQ138:CS138))</f>
        <v>-</v>
      </c>
      <c r="CU145" s="58" t="str">
        <f>CU138</f>
        <v>-</v>
      </c>
      <c r="CV145" s="59" t="str">
        <f>IF(CV138="-","-",AVERAGE(CV138,CR138:CT138))</f>
        <v>-</v>
      </c>
      <c r="CW145" s="59" t="str">
        <f>IF(CW138="-","-",AVERAGE(CV138:CW138,CS138:CT138))</f>
        <v>-</v>
      </c>
      <c r="CX145" s="59" t="str">
        <f>IF(CX138="-","-",AVERAGE(CV138:CX138,CT138))</f>
        <v>-</v>
      </c>
      <c r="CY145" s="59" t="str">
        <f>IF(CY138="-","-",AVERAGE(CY138,CV138:CX138))</f>
        <v>-</v>
      </c>
      <c r="CZ145" s="58" t="str">
        <f>CZ138</f>
        <v>-</v>
      </c>
      <c r="DA145" s="59" t="str">
        <f>IF(DA138="-","-",AVERAGE(DA138,CW138:CY138))</f>
        <v>-</v>
      </c>
      <c r="DB145" s="59" t="str">
        <f>IF(DB138="-","-",AVERAGE(DA138:DB138,CX138:CY138))</f>
        <v>-</v>
      </c>
      <c r="DC145" s="59"/>
      <c r="DD145" s="59"/>
      <c r="DE145" s="58"/>
      <c r="DF145" s="59"/>
      <c r="DG145" s="59"/>
      <c r="DH145" s="59"/>
      <c r="DI145" s="59"/>
      <c r="DJ145" s="58"/>
      <c r="DK145" s="59"/>
      <c r="DL145" s="59"/>
      <c r="DM145" s="59"/>
      <c r="DN145" s="59"/>
      <c r="DO145" s="58"/>
      <c r="DP145" s="59"/>
      <c r="DQ145" s="59"/>
      <c r="DR145" s="59"/>
      <c r="DS145" s="59"/>
      <c r="DT145" s="58"/>
      <c r="DU145" s="58"/>
      <c r="DV145" s="58"/>
    </row>
    <row r="146" spans="1:126" s="15" customFormat="1" hidden="1" outlineLevel="1">
      <c r="B146" s="221" t="s">
        <v>383</v>
      </c>
      <c r="C146" s="58"/>
      <c r="D146" s="58"/>
      <c r="E146" s="58"/>
      <c r="F146" s="58"/>
      <c r="G146" s="58"/>
      <c r="H146" s="58"/>
      <c r="I146" s="58"/>
      <c r="J146" s="57"/>
      <c r="K146" s="57"/>
      <c r="L146" s="57"/>
      <c r="M146" s="57"/>
      <c r="N146" s="58"/>
      <c r="O146" s="59"/>
      <c r="P146" s="59"/>
      <c r="Q146" s="59"/>
      <c r="R146" s="59"/>
      <c r="S146" s="58"/>
      <c r="T146" s="59"/>
      <c r="U146" s="59"/>
      <c r="V146" s="59"/>
      <c r="W146" s="59"/>
      <c r="X146" s="58"/>
      <c r="Y146" s="59"/>
      <c r="Z146" s="59"/>
      <c r="AA146" s="59"/>
      <c r="AB146" s="59"/>
      <c r="AC146" s="58"/>
      <c r="AD146" s="59"/>
      <c r="AE146" s="59"/>
      <c r="AF146" s="59"/>
      <c r="AG146" s="59"/>
      <c r="AH146" s="58"/>
      <c r="AI146" s="59"/>
      <c r="AJ146" s="59"/>
      <c r="AK146" s="59"/>
      <c r="AL146" s="59"/>
      <c r="AM146" s="58"/>
      <c r="AN146" s="59"/>
      <c r="AO146" s="59"/>
      <c r="AP146" s="59"/>
      <c r="AQ146" s="59"/>
      <c r="AR146" s="58"/>
      <c r="AS146" s="59"/>
      <c r="AT146" s="59"/>
      <c r="AU146" s="59"/>
      <c r="AV146" s="59"/>
      <c r="AW146" s="58"/>
      <c r="AX146" s="59" t="e">
        <f>IF(AX139="-","-",AVERAGE(AX139,AT139:AV139))</f>
        <v>#REF!</v>
      </c>
      <c r="AY146" s="59" t="e">
        <f>IF(AY139="-","-",AVERAGE(AX139:AY139,AU139:AV139))</f>
        <v>#REF!</v>
      </c>
      <c r="AZ146" s="59" t="e">
        <f>IF(AV139="-","-",AVERAGE(AX139:AZ139))</f>
        <v>#REF!</v>
      </c>
      <c r="BA146" s="59" t="e">
        <f>IF(BA139="-","-",AVERAGE(BA139,AX139:AZ139))</f>
        <v>#REF!</v>
      </c>
      <c r="BB146" s="58" t="e">
        <f>BB139</f>
        <v>#REF!</v>
      </c>
      <c r="BC146" s="59" t="e">
        <f>IF(BC139="-","-",AVERAGE(BC139,AY139:BA139))</f>
        <v>#REF!</v>
      </c>
      <c r="BD146" s="59" t="e">
        <f>IF(BD139="-","-",AVERAGE(BC139:BD139,AZ139:BA139))</f>
        <v>#REF!</v>
      </c>
      <c r="BE146" s="59" t="e">
        <f>IF(BE139="-","-",AVERAGE(BC139:BE139,BA139))</f>
        <v>#REF!</v>
      </c>
      <c r="BF146" s="59" t="e">
        <f>IF(BF139="-","-",AVERAGE(BF139,BC139:BE139))</f>
        <v>#REF!</v>
      </c>
      <c r="BG146" s="58" t="e">
        <f>BG139</f>
        <v>#REF!</v>
      </c>
      <c r="BH146" s="59" t="e">
        <f>IF(BH139="-","-",AVERAGE(BH139,BD139:BF139))</f>
        <v>#REF!</v>
      </c>
      <c r="BI146" s="59" t="e">
        <f>IF(BI139="-","-",AVERAGE(BH139:BI139,BE139:BF139))</f>
        <v>#REF!</v>
      </c>
      <c r="BJ146" s="59" t="e">
        <f>IF(BJ139="-","-",AVERAGE(BH139:BJ139,BF139))</f>
        <v>#REF!</v>
      </c>
      <c r="BK146" s="59" t="e">
        <f>IF(BK139="-","-",AVERAGE(BK139,BH139:BJ139))</f>
        <v>#REF!</v>
      </c>
      <c r="BL146" s="58" t="e">
        <f>BL139</f>
        <v>#REF!</v>
      </c>
      <c r="BM146" s="59" t="e">
        <f>IF(BM139="-","-",AVERAGE(BM139,BI139:BK139))</f>
        <v>#REF!</v>
      </c>
      <c r="BN146" s="59" t="e">
        <f>IF(BN139="-","-",AVERAGE(BM139:BN139,BJ139:BK139))</f>
        <v>#REF!</v>
      </c>
      <c r="BO146" s="59" t="e">
        <f>IF(BO139="-","-",AVERAGE(BM139:BO139,BK139))</f>
        <v>#REF!</v>
      </c>
      <c r="BP146" s="59" t="e">
        <f>IF(BP139="-","-",AVERAGE(BP139,BM139:BO139))</f>
        <v>#REF!</v>
      </c>
      <c r="BQ146" s="58" t="e">
        <f>BQ139</f>
        <v>#REF!</v>
      </c>
      <c r="BR146" s="59" t="e">
        <f>IF(BR139="-","-",AVERAGE(BR139,BN139:BP139))</f>
        <v>#REF!</v>
      </c>
      <c r="BS146" s="59" t="e">
        <f>IF(BS139="-","-",AVERAGE(BR139:BS139,BO139:BP139))</f>
        <v>#REF!</v>
      </c>
      <c r="BT146" s="59" t="e">
        <f>IF(BT139="-","-",AVERAGE(BR139:BT139,BP139))</f>
        <v>#REF!</v>
      </c>
      <c r="BU146" s="59" t="e">
        <f>IF(BU139="-","-",AVERAGE(BU139,BR139:BT139))</f>
        <v>#REF!</v>
      </c>
      <c r="BV146" s="58" t="e">
        <f>BV139</f>
        <v>#REF!</v>
      </c>
      <c r="BW146" s="59" t="e">
        <f>IF(BW139="-","-",AVERAGE(BW139,BS139:BU139))</f>
        <v>#REF!</v>
      </c>
      <c r="BX146" s="59" t="e">
        <f>IF(BX139="-","-",AVERAGE(BW139:BX139,BT139:BU139))</f>
        <v>#REF!</v>
      </c>
      <c r="BY146" s="59" t="e">
        <f>IF(BY139="-","-",AVERAGE(BW139:BY139,BU139))</f>
        <v>#REF!</v>
      </c>
      <c r="BZ146" s="59" t="e">
        <f>IF(BZ139="-","-",AVERAGE(BZ139,BW139:BY139))</f>
        <v>#REF!</v>
      </c>
      <c r="CA146" s="58" t="e">
        <f>CA139</f>
        <v>#REF!</v>
      </c>
      <c r="CB146" s="59" t="e">
        <f>IF(CB139="-","-",AVERAGE(CB139,BX139:BZ139))</f>
        <v>#REF!</v>
      </c>
      <c r="CC146" s="59" t="e">
        <f>IF(CC139="-","-",AVERAGE(CB139:CC139,BY139:BZ139))</f>
        <v>#REF!</v>
      </c>
      <c r="CD146" s="59" t="e">
        <f>IF(CD139="-","-",AVERAGE(CB139:CD139,BZ139))</f>
        <v>#REF!</v>
      </c>
      <c r="CE146" s="59" t="e">
        <f>IF(CE139="-","-",AVERAGE(CE139,CB139:CD139))</f>
        <v>#REF!</v>
      </c>
      <c r="CF146" s="58" t="e">
        <f>CF139</f>
        <v>#REF!</v>
      </c>
      <c r="CG146" s="59" t="e">
        <f>IF(CG139="-","-",AVERAGE(CG139,CC139:CE139))</f>
        <v>#REF!</v>
      </c>
      <c r="CH146" s="59" t="e">
        <f>IF(CH139="-","-",AVERAGE(CG139:CH139,CD139:CE139))</f>
        <v>#REF!</v>
      </c>
      <c r="CI146" s="59" t="e">
        <f>IF(CI139="-","-",AVERAGE(CG139:CI139,CE139))</f>
        <v>#REF!</v>
      </c>
      <c r="CJ146" s="59" t="e">
        <f>IF(CJ139="-","-",AVERAGE(CJ139,CG139:CI139))</f>
        <v>#REF!</v>
      </c>
      <c r="CK146" s="58" t="e">
        <f>CK139</f>
        <v>#REF!</v>
      </c>
      <c r="CL146" s="59" t="e">
        <f>IF(CL139="-","-",AVERAGE(CL139,CH139:CJ139))</f>
        <v>#REF!</v>
      </c>
      <c r="CM146" s="59" t="e">
        <f>IF(CM139="-","-",AVERAGE(CL139:CM139,CI139:CJ139))</f>
        <v>#REF!</v>
      </c>
      <c r="CN146" s="59" t="e">
        <f>IF(CN139="-","-",AVERAGE(CL139:CN139,CJ139))</f>
        <v>#REF!</v>
      </c>
      <c r="CO146" s="59" t="e">
        <f>IF(CO139="-","-",AVERAGE(CO139,CL139:CN139))</f>
        <v>#REF!</v>
      </c>
      <c r="CP146" s="58" t="e">
        <f>CP139</f>
        <v>#REF!</v>
      </c>
      <c r="CQ146" s="59" t="e">
        <f>IF(CQ139="-","-",AVERAGE(CQ139,CM139:CO139))</f>
        <v>#REF!</v>
      </c>
      <c r="CR146" s="59" t="e">
        <f>IF(CR139="-","-",AVERAGE(CQ139:CR139,CN139:CO139))</f>
        <v>#REF!</v>
      </c>
      <c r="CS146" s="59" t="e">
        <f>IF(CS139="-","-",AVERAGE(CQ139:CS139,CO139))</f>
        <v>#REF!</v>
      </c>
      <c r="CT146" s="59" t="e">
        <f>IF(CT139="-","-",AVERAGE(CT139,CQ139:CS139))</f>
        <v>#REF!</v>
      </c>
      <c r="CU146" s="58" t="e">
        <f>CU139</f>
        <v>#REF!</v>
      </c>
      <c r="CV146" s="59" t="e">
        <f>IF(CV139="-","-",AVERAGE(CV139,CR139:CT139))</f>
        <v>#REF!</v>
      </c>
      <c r="CW146" s="59" t="e">
        <f>IF(CW139="-","-",AVERAGE(CV139:CW139,CS139:CT139))</f>
        <v>#REF!</v>
      </c>
      <c r="CX146" s="59" t="e">
        <f>IF(CX139="-","-",AVERAGE(CV139:CX139,CT139))</f>
        <v>#REF!</v>
      </c>
      <c r="CY146" s="59" t="e">
        <f>IF(CY139="-","-",AVERAGE(CY139,CV139:CX139))</f>
        <v>#REF!</v>
      </c>
      <c r="CZ146" s="58" t="e">
        <f>CZ139</f>
        <v>#REF!</v>
      </c>
      <c r="DA146" s="59" t="e">
        <f>IF(DA139="-","-",AVERAGE(DA139,CW139:CY139))</f>
        <v>#REF!</v>
      </c>
      <c r="DB146" s="59" t="e">
        <f>IF(DB139="-","-",AVERAGE(DA139:DB139,CX139:CY139))</f>
        <v>#REF!</v>
      </c>
      <c r="DC146" s="59"/>
      <c r="DD146" s="59"/>
      <c r="DE146" s="58"/>
      <c r="DF146" s="59"/>
      <c r="DG146" s="59"/>
      <c r="DH146" s="59"/>
      <c r="DI146" s="59"/>
      <c r="DJ146" s="58"/>
      <c r="DK146" s="59"/>
      <c r="DL146" s="59"/>
      <c r="DM146" s="59"/>
      <c r="DN146" s="59"/>
      <c r="DO146" s="58"/>
      <c r="DP146" s="59"/>
      <c r="DQ146" s="59"/>
      <c r="DR146" s="59"/>
      <c r="DS146" s="59"/>
      <c r="DT146" s="58"/>
      <c r="DU146" s="58"/>
      <c r="DV146" s="58"/>
    </row>
    <row r="147" spans="1:126" s="15" customFormat="1" ht="12" collapsed="1">
      <c r="A147" s="82"/>
      <c r="B147" s="270" t="s">
        <v>176</v>
      </c>
      <c r="C147" s="273"/>
      <c r="D147" s="273"/>
      <c r="E147" s="273"/>
      <c r="F147" s="273"/>
      <c r="G147" s="273"/>
      <c r="H147" s="273"/>
      <c r="I147" s="273"/>
      <c r="J147" s="274"/>
      <c r="K147" s="274"/>
      <c r="L147" s="274"/>
      <c r="M147" s="274"/>
      <c r="N147" s="273"/>
      <c r="O147" s="274"/>
      <c r="P147" s="274"/>
      <c r="Q147" s="274"/>
      <c r="R147" s="274"/>
      <c r="S147" s="273"/>
      <c r="T147" s="274"/>
      <c r="U147" s="274"/>
      <c r="V147" s="274"/>
      <c r="W147" s="274"/>
      <c r="X147" s="273"/>
      <c r="Y147" s="274"/>
      <c r="Z147" s="274"/>
      <c r="AA147" s="274"/>
      <c r="AB147" s="274"/>
      <c r="AC147" s="273"/>
      <c r="AD147" s="274"/>
      <c r="AE147" s="274"/>
      <c r="AF147" s="274"/>
      <c r="AG147" s="274"/>
      <c r="AH147" s="273"/>
      <c r="AI147" s="274"/>
      <c r="AJ147" s="274"/>
      <c r="AK147" s="274"/>
      <c r="AL147" s="274"/>
      <c r="AM147" s="273"/>
      <c r="AN147" s="54"/>
      <c r="AO147" s="274"/>
      <c r="AP147" s="274"/>
      <c r="AQ147" s="274"/>
      <c r="AR147" s="273"/>
      <c r="AS147" s="274" t="str">
        <f>IF(AS140="- ","- ",AVERAGE(AS140,AO140:AQ140))</f>
        <v xml:space="preserve">- </v>
      </c>
      <c r="AT147" s="274" t="str">
        <f>IF(AT140="- ","- ",AVERAGE(AS140:AT140,AP140:AQ140))</f>
        <v xml:space="preserve">- </v>
      </c>
      <c r="AU147" s="274" t="str">
        <f>IF(AU140="- ","- ",AVERAGE(AS140:AU140,AQ140))</f>
        <v xml:space="preserve">- </v>
      </c>
      <c r="AV147" s="274" t="str">
        <f>IF(AV140="- ","- ",AVERAGE(AS140:AV140))</f>
        <v xml:space="preserve">- </v>
      </c>
      <c r="AW147" s="273" t="str">
        <f>AV147</f>
        <v xml:space="preserve">- </v>
      </c>
      <c r="AX147" s="274" t="str">
        <f>IF(AX140="- ","- ",AVERAGE(AX140,AT140:AV140))</f>
        <v xml:space="preserve">- </v>
      </c>
      <c r="AY147" s="274" t="str">
        <f>IF(AY140="- ","- ",AVERAGE(AX140:AY140,AU140:AV140))</f>
        <v xml:space="preserve">- </v>
      </c>
      <c r="AZ147" s="274" t="str">
        <f>IF(AZ140="- ","- ",AVERAGE(AX140:AZ140,AV140))</f>
        <v xml:space="preserve">- </v>
      </c>
      <c r="BA147" s="274" t="str">
        <f>IF(BA140="- ","- ",AVERAGE(AX140:BA140))</f>
        <v xml:space="preserve">- </v>
      </c>
      <c r="BB147" s="273" t="str">
        <f>BA147</f>
        <v xml:space="preserve">- </v>
      </c>
      <c r="BC147" s="274" t="str">
        <f>IF(BC140="- ","- ",AVERAGE(BC140,AY140:BA140))</f>
        <v xml:space="preserve">- </v>
      </c>
      <c r="BD147" s="274" t="str">
        <f>IF(BD140="- ","- ",AVERAGE(BC140:BD140,AZ140:BA140))</f>
        <v xml:space="preserve">- </v>
      </c>
      <c r="BE147" s="274" t="str">
        <f>IF(BE140="- ","- ",AVERAGE(BC140:BE140,BA140))</f>
        <v xml:space="preserve">- </v>
      </c>
      <c r="BF147" s="274" t="str">
        <f>IF(BF140="- ","- ",AVERAGE(BC140:BF140))</f>
        <v xml:space="preserve">- </v>
      </c>
      <c r="BG147" s="273" t="str">
        <f>BF147</f>
        <v xml:space="preserve">- </v>
      </c>
      <c r="BH147" s="274" t="str">
        <f>IF(BH140="- ","- ",AVERAGE(BH140,BD140:BF140))</f>
        <v xml:space="preserve">- </v>
      </c>
      <c r="BI147" s="274" t="str">
        <f>IF(BI140="- ","- ",AVERAGE(BH140:BI140,BE140:BF140))</f>
        <v xml:space="preserve">- </v>
      </c>
      <c r="BJ147" s="274" t="str">
        <f>IF(BJ140="- ","- ",AVERAGE(BH140:BJ140,BF140))</f>
        <v xml:space="preserve">- </v>
      </c>
      <c r="BK147" s="274" t="str">
        <f>IF(BK140="- ","- ",AVERAGE(BH140:BK140))</f>
        <v xml:space="preserve">- </v>
      </c>
      <c r="BL147" s="273" t="str">
        <f>BK147</f>
        <v xml:space="preserve">- </v>
      </c>
      <c r="BM147" s="274" t="str">
        <f>IF(BM140="- ","- ",AVERAGE(BM140,BI140:BK140))</f>
        <v xml:space="preserve">- </v>
      </c>
      <c r="BN147" s="274" t="str">
        <f>IF(BN140="- ","- ",AVERAGE(BM140:BN140,BJ140:BK140))</f>
        <v xml:space="preserve">- </v>
      </c>
      <c r="BO147" s="274" t="str">
        <f>IF(BO140="- ","- ",AVERAGE(BM140:BO140,BK140))</f>
        <v xml:space="preserve">- </v>
      </c>
      <c r="BP147" s="274" t="str">
        <f>IF(BP140="- ","- ",AVERAGE(BM140:BP140))</f>
        <v xml:space="preserve">- </v>
      </c>
      <c r="BQ147" s="273" t="str">
        <f>+BQ140</f>
        <v xml:space="preserve">- </v>
      </c>
      <c r="BR147" s="274" t="str">
        <f>IF(BR140="- ","- ",AVERAGE(BR140,BN140:BP140))</f>
        <v xml:space="preserve">- </v>
      </c>
      <c r="BS147" s="274" t="str">
        <f>IF(BS140="- ","- ",AVERAGE(BR140:BS140,BO140:BP140))</f>
        <v xml:space="preserve">- </v>
      </c>
      <c r="BT147" s="274" t="str">
        <f>IF(BT140="- ","- ",AVERAGE(BR140:BT140,BP140))</f>
        <v xml:space="preserve">- </v>
      </c>
      <c r="BU147" s="274" t="str">
        <f>IF(BU140="- ","- ",AVERAGE(BR140:BU140))</f>
        <v xml:space="preserve">- </v>
      </c>
      <c r="BV147" s="273" t="str">
        <f>+BV140</f>
        <v xml:space="preserve">- </v>
      </c>
      <c r="BW147" s="274" t="str">
        <f>IF(BW140="- ","- ",AVERAGE(BW140,BS140:BU140))</f>
        <v xml:space="preserve">- </v>
      </c>
      <c r="BX147" s="274" t="str">
        <f>IF(BX140="- ","- ",AVERAGE(BW140:BX140,BT140:BU140))</f>
        <v xml:space="preserve">- </v>
      </c>
      <c r="BY147" s="274" t="str">
        <f>IF(BY140="- ","- ",AVERAGE(BW140:BY140,BU140))</f>
        <v xml:space="preserve">- </v>
      </c>
      <c r="BZ147" s="274" t="str">
        <f>IF(BZ140="- ","- ",AVERAGE(BW140:BZ140))</f>
        <v xml:space="preserve">- </v>
      </c>
      <c r="CA147" s="273" t="str">
        <f>+CA140</f>
        <v xml:space="preserve">- </v>
      </c>
      <c r="CB147" s="274" t="str">
        <f>IF(CB140="- ","- ",AVERAGE(CB140,BX140:BZ140))</f>
        <v xml:space="preserve">- </v>
      </c>
      <c r="CC147" s="274" t="str">
        <f>IF(CC140="- ","- ",AVERAGE(CB140:CC140,BY140:BZ140))</f>
        <v xml:space="preserve">- </v>
      </c>
      <c r="CD147" s="274" t="str">
        <f>IF(CD140="- ","- ",AVERAGE(CB140:CD140,BZ140))</f>
        <v xml:space="preserve">- </v>
      </c>
      <c r="CE147" s="274" t="str">
        <f>IF(CE140="- ","- ",AVERAGE(CB140:CE140))</f>
        <v xml:space="preserve">- </v>
      </c>
      <c r="CF147" s="273" t="str">
        <f>+CF140</f>
        <v xml:space="preserve">- </v>
      </c>
      <c r="CG147" s="274" t="str">
        <f>IF(CG140="- ","- ",AVERAGE(CG140,CC140:CE140))</f>
        <v xml:space="preserve">- </v>
      </c>
      <c r="CH147" s="274" t="str">
        <f>IF(CH140="- ","- ",AVERAGE(CG140:CH140,CD140:CE140))</f>
        <v xml:space="preserve">- </v>
      </c>
      <c r="CI147" s="274" t="str">
        <f>IF(CI140="- ","- ",AVERAGE(CG140:CI140,CE140))</f>
        <v xml:space="preserve">- </v>
      </c>
      <c r="CJ147" s="274" t="str">
        <f>IF(CJ140="- ","- ",AVERAGE(CG140:CJ140))</f>
        <v xml:space="preserve">- </v>
      </c>
      <c r="CK147" s="273" t="str">
        <f>+CK140</f>
        <v xml:space="preserve">- </v>
      </c>
      <c r="CL147" s="274" t="str">
        <f>IF(CL140="- ","- ",AVERAGE(CL140,CH140:CJ140))</f>
        <v xml:space="preserve">- </v>
      </c>
      <c r="CM147" s="274" t="str">
        <f>IF(CM140="- ","- ",AVERAGE(CL140:CM140,CI140:CJ140))</f>
        <v xml:space="preserve">- </v>
      </c>
      <c r="CN147" s="274" t="str">
        <f>IF(CN140="- ","- ",AVERAGE(CL140:CN140,CJ140))</f>
        <v xml:space="preserve">- </v>
      </c>
      <c r="CO147" s="274" t="str">
        <f>IF(CO140="- ","- ",AVERAGE(CL140:CO140))</f>
        <v xml:space="preserve">- </v>
      </c>
      <c r="CP147" s="273" t="str">
        <f>+CP140</f>
        <v xml:space="preserve">- </v>
      </c>
      <c r="CQ147" s="274" t="str">
        <f>IF(CQ140="- ","- ",AVERAGE(CQ140,CM140:CO140))</f>
        <v xml:space="preserve">- </v>
      </c>
      <c r="CR147" s="274" t="str">
        <f>IF(CR140="- ","- ",AVERAGE(CQ140:CR140,CN140:CO140))</f>
        <v xml:space="preserve">- </v>
      </c>
      <c r="CS147" s="274" t="str">
        <f>IF(CS140="- ","- ",AVERAGE(CQ140:CS140,CO140))</f>
        <v xml:space="preserve">- </v>
      </c>
      <c r="CT147" s="274" t="str">
        <f>IF(CT140="- ","- ",AVERAGE(CQ140:CT140))</f>
        <v xml:space="preserve">- </v>
      </c>
      <c r="CU147" s="273" t="str">
        <f>+CU140</f>
        <v xml:space="preserve">- </v>
      </c>
      <c r="CV147" s="274" t="str">
        <f>IF(CV140="- ","- ",AVERAGE(CV140,CR140:CT140))</f>
        <v xml:space="preserve">- </v>
      </c>
      <c r="CW147" s="274" t="str">
        <f>IF(CW140="- ","- ",AVERAGE(CV140:CW140,CS140:CT140))</f>
        <v xml:space="preserve">- </v>
      </c>
      <c r="CX147" s="274" t="str">
        <f>IF(CX140="- ","- ",AVERAGE(CV140:CX140,CT140))</f>
        <v xml:space="preserve">- </v>
      </c>
      <c r="CY147" s="274" t="str">
        <f>IF(CY140="- ","- ",AVERAGE(CV140:CY140))</f>
        <v xml:space="preserve">- </v>
      </c>
      <c r="CZ147" s="273" t="str">
        <f>+CZ140</f>
        <v xml:space="preserve">- </v>
      </c>
      <c r="DA147" s="274">
        <f>IF(DA140="- ","- ",AVERAGE(DA140,CW140:CY140))</f>
        <v>1.1730831335966432</v>
      </c>
      <c r="DB147" s="274" t="str">
        <f>IF(DB140="- ","- ",AVERAGE(DA140:DB140,CX140:CY140))</f>
        <v xml:space="preserve">- </v>
      </c>
      <c r="DC147" s="274"/>
      <c r="DD147" s="274"/>
      <c r="DE147" s="273"/>
      <c r="DF147" s="274"/>
      <c r="DG147" s="274"/>
      <c r="DH147" s="274"/>
      <c r="DI147" s="274"/>
      <c r="DJ147" s="273"/>
      <c r="DK147" s="274"/>
      <c r="DL147" s="274"/>
      <c r="DM147" s="274"/>
      <c r="DN147" s="274"/>
      <c r="DO147" s="273"/>
      <c r="DP147" s="274"/>
      <c r="DQ147" s="274"/>
      <c r="DR147" s="274"/>
      <c r="DS147" s="274"/>
      <c r="DT147" s="273"/>
      <c r="DU147" s="273"/>
      <c r="DV147" s="273"/>
    </row>
    <row r="148" spans="1:126" s="15" customFormat="1" ht="6" customHeight="1" thickBot="1">
      <c r="C148" s="53"/>
      <c r="D148" s="53"/>
      <c r="E148" s="53"/>
      <c r="F148" s="53"/>
      <c r="G148" s="53"/>
      <c r="H148" s="53"/>
      <c r="I148" s="53"/>
      <c r="J148" s="52"/>
      <c r="K148" s="52"/>
      <c r="L148" s="52"/>
      <c r="M148" s="52"/>
      <c r="N148" s="180"/>
      <c r="S148" s="180"/>
      <c r="X148" s="180"/>
      <c r="AC148" s="180"/>
      <c r="AH148" s="180"/>
      <c r="AM148" s="180"/>
      <c r="AR148" s="53"/>
      <c r="AW148" s="53"/>
      <c r="BB148" s="53"/>
      <c r="BG148" s="53"/>
      <c r="BL148" s="53"/>
      <c r="BQ148" s="53"/>
      <c r="BV148" s="53"/>
      <c r="CA148" s="53"/>
      <c r="CF148" s="53"/>
      <c r="CK148" s="53"/>
      <c r="CP148" s="53"/>
      <c r="CU148" s="53"/>
      <c r="CZ148" s="53"/>
      <c r="DE148" s="53"/>
      <c r="DJ148" s="53"/>
      <c r="DO148" s="53"/>
      <c r="DT148" s="53"/>
      <c r="DU148" s="53"/>
      <c r="DV148" s="53"/>
    </row>
    <row r="150" spans="1:126">
      <c r="BI150" s="360"/>
      <c r="BK150" s="295"/>
    </row>
    <row r="151" spans="1:126">
      <c r="CG151" s="367"/>
    </row>
  </sheetData>
  <phoneticPr fontId="11" type="noConversion"/>
  <printOptions horizontalCentered="1" verticalCentered="1"/>
  <pageMargins left="0.25" right="0.25" top="0.75" bottom="0.75" header="0.3" footer="0.3"/>
  <pageSetup scale="33" orientation="portrait" r:id="rId1"/>
  <headerFooter alignWithMargins="0"/>
  <customProperties>
    <customPr name="Qube.Worksheet.Visibility" r:id="rId2"/>
    <customPr name="QXL_SHEET_ID" r:id="rId3"/>
  </customProperties>
  <ignoredErrors>
    <ignoredError sqref="AO98:AW100 AQ71:AR71 AH24:AM25 AH32:AM32 AH17:AM18 AH55:AL56 AH54 AO55:AQ56 AH61:AI61 AH60 AO61:AQ62 AM60:AM62 AR61:AR62 AS73:AW74 AO74:AR74 AC70:AK70 AC73:AM74 AC88 AH88:AK88 AM91:AM92 AO91:AW92 AC91:AL92 AC98 AH98 AC118:AM118 AM98 AC99:AM100 AO105:AW109 AS134:AW135 AT133:AW133 BB17:BB18 AH43:AM44 AI71:AK71 AK61:AL61 AR70 AS141:AW142 AW147 AO32 AQ32:AV32 AO31:AR31 AT31:AU31 AO73:AP73 AR73 AS70:AS71 AU71:AW71 AU70 AW70 BB133:BB135 BG134:BG135 BB140:BB142 BG141:BG142 AO17:AW18 AO43:AW44 AH49:AM50 AO49:AR50 AR54:AR56 AM54:AM56 AC105:AM109 AO118:AW118 BB70 AW31 AO24:AW25 AC79:AW83 AM70:AM71 AO114:AW116 AC114:AM116 AW88 AU88 AO88:AS88 AM88" formula="1"/>
  </ignoredErrors>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DV91"/>
  <sheetViews>
    <sheetView showGridLines="0" zoomScaleNormal="100" workbookViewId="0">
      <pane xSplit="2" ySplit="4" topLeftCell="C5" activePane="bottomRight" state="frozen"/>
      <selection activeCell="DF3" sqref="DF3:DI4"/>
      <selection pane="topRight" activeCell="DF3" sqref="DF3:DI4"/>
      <selection pane="bottomLeft" activeCell="DF3" sqref="DF3:DI4"/>
      <selection pane="bottomRight"/>
    </sheetView>
  </sheetViews>
  <sheetFormatPr defaultColWidth="9.75" defaultRowHeight="11.4" outlineLevelRow="1" outlineLevelCol="1"/>
  <cols>
    <col min="1" max="1" width="1.75" style="131" customWidth="1"/>
    <col min="2" max="2" width="48.75" style="131" customWidth="1"/>
    <col min="3" max="9" width="9.75" style="131" hidden="1" customWidth="1"/>
    <col min="10" max="13" width="9.75" style="131" hidden="1" customWidth="1" outlineLevel="1"/>
    <col min="14" max="14" width="9.75" style="131" hidden="1" customWidth="1" collapsed="1"/>
    <col min="15" max="18" width="9.75" style="131" hidden="1" customWidth="1" outlineLevel="1"/>
    <col min="19" max="19" width="9.75" style="131" hidden="1" customWidth="1" collapsed="1"/>
    <col min="20" max="23" width="9.75" style="131" hidden="1" customWidth="1" outlineLevel="1"/>
    <col min="24" max="24" width="9.75" style="131" hidden="1" customWidth="1" collapsed="1"/>
    <col min="25" max="28" width="9.75" style="131" hidden="1" customWidth="1" outlineLevel="1"/>
    <col min="29" max="29" width="9.75" style="131" hidden="1" customWidth="1" collapsed="1"/>
    <col min="30" max="33" width="9.75" style="131" hidden="1" customWidth="1" outlineLevel="1"/>
    <col min="34" max="34" width="9.75" style="131" hidden="1" customWidth="1" collapsed="1"/>
    <col min="35" max="38" width="9.75" style="131" hidden="1" customWidth="1" outlineLevel="1"/>
    <col min="39" max="39" width="9.75" style="131" hidden="1" customWidth="1" collapsed="1"/>
    <col min="40" max="43" width="9.75" style="131" hidden="1" customWidth="1" outlineLevel="1"/>
    <col min="44" max="44" width="9.75" style="131" hidden="1" customWidth="1" collapsed="1"/>
    <col min="45" max="48" width="9.75" style="131" hidden="1" customWidth="1" outlineLevel="1"/>
    <col min="49" max="49" width="9.75" style="131" hidden="1" customWidth="1" collapsed="1"/>
    <col min="50" max="53" width="9.75" style="131" hidden="1" customWidth="1" outlineLevel="1"/>
    <col min="54" max="54" width="0" style="131" hidden="1" customWidth="1" collapsed="1"/>
    <col min="55" max="58" width="9.75" style="131" hidden="1" customWidth="1" outlineLevel="1"/>
    <col min="59" max="59" width="0" style="131" hidden="1" customWidth="1" collapsed="1"/>
    <col min="60" max="63" width="9.75" style="131" hidden="1" customWidth="1" outlineLevel="1"/>
    <col min="64" max="64" width="0" style="131" hidden="1" customWidth="1" collapsed="1"/>
    <col min="65" max="68" width="9.75" style="131" hidden="1" customWidth="1" outlineLevel="1"/>
    <col min="69" max="69" width="0" style="131" hidden="1" customWidth="1" collapsed="1"/>
    <col min="70" max="73" width="9.75" style="131" hidden="1" customWidth="1" outlineLevel="1"/>
    <col min="74" max="74" width="0" style="131" hidden="1" customWidth="1" collapsed="1"/>
    <col min="75" max="78" width="9.75" style="131" hidden="1" customWidth="1" outlineLevel="1"/>
    <col min="79" max="79" width="0" style="131" hidden="1" customWidth="1" collapsed="1"/>
    <col min="80" max="83" width="9.75" style="131" hidden="1" customWidth="1" outlineLevel="1"/>
    <col min="84" max="84" width="0" style="131" hidden="1" customWidth="1" collapsed="1"/>
    <col min="85" max="88" width="9.75" style="131" hidden="1" customWidth="1" outlineLevel="1"/>
    <col min="89" max="89" width="7.875" style="131" hidden="1" customWidth="1" collapsed="1"/>
    <col min="90" max="93" width="9.75" style="131" hidden="1" customWidth="1" outlineLevel="1"/>
    <col min="94" max="94" width="9.75" style="131" collapsed="1"/>
    <col min="95" max="98" width="9.75" style="131" hidden="1" customWidth="1" outlineLevel="1"/>
    <col min="99" max="99" width="9.75" style="131" collapsed="1"/>
    <col min="100" max="103" width="9.75" style="131" hidden="1" customWidth="1" outlineLevel="1"/>
    <col min="104" max="104" width="9.75" style="131" collapsed="1"/>
    <col min="105" max="108" width="9.75" style="131" hidden="1" customWidth="1" outlineLevel="1"/>
    <col min="109" max="109" width="9.75" style="131" collapsed="1"/>
    <col min="110" max="113" width="9.75" style="131" hidden="1" customWidth="1" outlineLevel="1"/>
    <col min="114" max="114" width="9.75" style="131" collapsed="1"/>
    <col min="115" max="118" width="9.75" style="131" customWidth="1" outlineLevel="1"/>
    <col min="119" max="119" width="9.75" style="131"/>
    <col min="120" max="123" width="9.75" style="131" hidden="1" customWidth="1" outlineLevel="1"/>
    <col min="124" max="124" width="9.75" style="131" collapsed="1"/>
    <col min="125" max="16384" width="9.75" style="131"/>
  </cols>
  <sheetData>
    <row r="1" spans="2:126" ht="12" customHeight="1" thickBot="1"/>
    <row r="2" spans="2:126" ht="6" customHeight="1">
      <c r="C2" s="129"/>
      <c r="D2" s="129"/>
      <c r="E2" s="129"/>
      <c r="F2" s="129"/>
      <c r="G2" s="129"/>
      <c r="H2" s="129"/>
      <c r="I2" s="129"/>
      <c r="N2" s="129"/>
      <c r="S2" s="129"/>
      <c r="X2" s="129"/>
      <c r="AC2" s="129"/>
      <c r="AH2" s="129"/>
      <c r="AM2" s="129"/>
      <c r="AR2" s="129"/>
      <c r="AW2" s="129"/>
      <c r="BB2" s="129"/>
      <c r="BG2" s="129"/>
      <c r="BL2" s="129"/>
      <c r="BQ2" s="129"/>
      <c r="BV2" s="129"/>
      <c r="CA2" s="129"/>
      <c r="CF2" s="129"/>
      <c r="CK2" s="129"/>
      <c r="CP2" s="129"/>
      <c r="CU2" s="129"/>
      <c r="CZ2" s="129"/>
      <c r="DE2" s="129"/>
      <c r="DJ2" s="129"/>
      <c r="DO2" s="129"/>
      <c r="DT2" s="129"/>
      <c r="DU2" s="129"/>
      <c r="DV2" s="129"/>
    </row>
    <row r="3" spans="2:126" ht="15.6">
      <c r="B3" s="120" t="s">
        <v>378</v>
      </c>
      <c r="C3" s="369">
        <v>1997</v>
      </c>
      <c r="D3" s="369">
        <v>1998</v>
      </c>
      <c r="E3" s="369">
        <v>1999</v>
      </c>
      <c r="F3" s="369">
        <v>2000</v>
      </c>
      <c r="G3" s="369">
        <v>2001</v>
      </c>
      <c r="H3" s="369">
        <v>2002</v>
      </c>
      <c r="I3" s="369">
        <v>2003</v>
      </c>
      <c r="J3" s="121" t="s">
        <v>0</v>
      </c>
      <c r="K3" s="121" t="s">
        <v>1</v>
      </c>
      <c r="L3" s="121" t="s">
        <v>2</v>
      </c>
      <c r="M3" s="121" t="s">
        <v>3</v>
      </c>
      <c r="N3" s="369">
        <v>2004</v>
      </c>
      <c r="O3" s="121" t="s">
        <v>4</v>
      </c>
      <c r="P3" s="121" t="s">
        <v>5</v>
      </c>
      <c r="Q3" s="121" t="s">
        <v>6</v>
      </c>
      <c r="R3" s="121" t="s">
        <v>7</v>
      </c>
      <c r="S3" s="369">
        <v>2005</v>
      </c>
      <c r="T3" s="121" t="s">
        <v>8</v>
      </c>
      <c r="U3" s="121" t="s">
        <v>9</v>
      </c>
      <c r="V3" s="121" t="s">
        <v>10</v>
      </c>
      <c r="W3" s="121" t="s">
        <v>11</v>
      </c>
      <c r="X3" s="369">
        <v>2006</v>
      </c>
      <c r="Y3" s="121" t="s">
        <v>12</v>
      </c>
      <c r="Z3" s="121" t="s">
        <v>13</v>
      </c>
      <c r="AA3" s="121" t="s">
        <v>14</v>
      </c>
      <c r="AB3" s="121" t="s">
        <v>15</v>
      </c>
      <c r="AC3" s="369">
        <v>2007</v>
      </c>
      <c r="AD3" s="121" t="s">
        <v>16</v>
      </c>
      <c r="AE3" s="121" t="s">
        <v>17</v>
      </c>
      <c r="AF3" s="121" t="s">
        <v>18</v>
      </c>
      <c r="AG3" s="121" t="s">
        <v>19</v>
      </c>
      <c r="AH3" s="369">
        <v>2008</v>
      </c>
      <c r="AI3" s="121" t="s">
        <v>20</v>
      </c>
      <c r="AJ3" s="121" t="s">
        <v>21</v>
      </c>
      <c r="AK3" s="121" t="s">
        <v>22</v>
      </c>
      <c r="AL3" s="121" t="s">
        <v>179</v>
      </c>
      <c r="AM3" s="369">
        <v>2009</v>
      </c>
      <c r="AN3" s="121" t="s">
        <v>139</v>
      </c>
      <c r="AO3" s="121" t="s">
        <v>180</v>
      </c>
      <c r="AP3" s="121" t="s">
        <v>181</v>
      </c>
      <c r="AQ3" s="121" t="s">
        <v>182</v>
      </c>
      <c r="AR3" s="369">
        <v>2010</v>
      </c>
      <c r="AS3" s="121" t="s">
        <v>183</v>
      </c>
      <c r="AT3" s="121" t="s">
        <v>184</v>
      </c>
      <c r="AU3" s="121" t="s">
        <v>185</v>
      </c>
      <c r="AV3" s="121" t="s">
        <v>186</v>
      </c>
      <c r="AW3" s="369">
        <v>2011</v>
      </c>
      <c r="AX3" s="121" t="s">
        <v>210</v>
      </c>
      <c r="AY3" s="121" t="s">
        <v>211</v>
      </c>
      <c r="AZ3" s="121" t="s">
        <v>212</v>
      </c>
      <c r="BA3" s="121" t="s">
        <v>213</v>
      </c>
      <c r="BB3" s="369">
        <v>2012</v>
      </c>
      <c r="BC3" s="121" t="s">
        <v>217</v>
      </c>
      <c r="BD3" s="121" t="s">
        <v>218</v>
      </c>
      <c r="BE3" s="121" t="s">
        <v>219</v>
      </c>
      <c r="BF3" s="121" t="s">
        <v>220</v>
      </c>
      <c r="BG3" s="369">
        <v>2013</v>
      </c>
      <c r="BH3" s="121" t="s">
        <v>221</v>
      </c>
      <c r="BI3" s="121" t="s">
        <v>222</v>
      </c>
      <c r="BJ3" s="121" t="s">
        <v>223</v>
      </c>
      <c r="BK3" s="121" t="s">
        <v>224</v>
      </c>
      <c r="BL3" s="369">
        <v>2014</v>
      </c>
      <c r="BM3" s="121" t="s">
        <v>265</v>
      </c>
      <c r="BN3" s="121" t="s">
        <v>266</v>
      </c>
      <c r="BO3" s="121" t="s">
        <v>267</v>
      </c>
      <c r="BP3" s="121" t="s">
        <v>268</v>
      </c>
      <c r="BQ3" s="369">
        <v>2015</v>
      </c>
      <c r="BR3" s="121" t="s">
        <v>269</v>
      </c>
      <c r="BS3" s="121" t="s">
        <v>270</v>
      </c>
      <c r="BT3" s="121" t="s">
        <v>271</v>
      </c>
      <c r="BU3" s="121" t="s">
        <v>272</v>
      </c>
      <c r="BV3" s="369">
        <v>2016</v>
      </c>
      <c r="BW3" s="121" t="s">
        <v>273</v>
      </c>
      <c r="BX3" s="121" t="s">
        <v>274</v>
      </c>
      <c r="BY3" s="121" t="s">
        <v>275</v>
      </c>
      <c r="BZ3" s="121" t="s">
        <v>276</v>
      </c>
      <c r="CA3" s="369">
        <v>2017</v>
      </c>
      <c r="CB3" s="121" t="s">
        <v>327</v>
      </c>
      <c r="CC3" s="121" t="s">
        <v>328</v>
      </c>
      <c r="CD3" s="121" t="s">
        <v>329</v>
      </c>
      <c r="CE3" s="121" t="s">
        <v>330</v>
      </c>
      <c r="CF3" s="369">
        <v>2018</v>
      </c>
      <c r="CG3" s="121" t="s">
        <v>341</v>
      </c>
      <c r="CH3" s="121" t="s">
        <v>342</v>
      </c>
      <c r="CI3" s="121" t="s">
        <v>343</v>
      </c>
      <c r="CJ3" s="121"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543</v>
      </c>
      <c r="DN3" s="121" t="s">
        <v>544</v>
      </c>
      <c r="DO3" s="369" t="s">
        <v>363</v>
      </c>
      <c r="DP3" s="121" t="s">
        <v>649</v>
      </c>
      <c r="DQ3" s="121" t="s">
        <v>650</v>
      </c>
      <c r="DR3" s="121" t="s">
        <v>651</v>
      </c>
      <c r="DS3" s="121" t="s">
        <v>652</v>
      </c>
      <c r="DT3" s="369" t="s">
        <v>455</v>
      </c>
      <c r="DU3" s="369" t="s">
        <v>456</v>
      </c>
      <c r="DV3" s="369" t="s">
        <v>559</v>
      </c>
    </row>
    <row r="4" spans="2:126" ht="13.2">
      <c r="B4" s="122" t="s">
        <v>94</v>
      </c>
      <c r="C4" s="119">
        <v>35795</v>
      </c>
      <c r="D4" s="119">
        <v>36160</v>
      </c>
      <c r="E4" s="119">
        <v>36525</v>
      </c>
      <c r="F4" s="119">
        <v>36891</v>
      </c>
      <c r="G4" s="119">
        <v>37256</v>
      </c>
      <c r="H4" s="119">
        <v>37621</v>
      </c>
      <c r="I4" s="119">
        <v>37986</v>
      </c>
      <c r="J4" s="123">
        <v>38077</v>
      </c>
      <c r="K4" s="123">
        <v>38168</v>
      </c>
      <c r="L4" s="123">
        <v>38260</v>
      </c>
      <c r="M4" s="123">
        <v>38352</v>
      </c>
      <c r="N4" s="119">
        <v>38352</v>
      </c>
      <c r="O4" s="123">
        <v>38442</v>
      </c>
      <c r="P4" s="123">
        <v>38533</v>
      </c>
      <c r="Q4" s="123">
        <v>38625</v>
      </c>
      <c r="R4" s="123">
        <v>38717</v>
      </c>
      <c r="S4" s="119">
        <v>38717</v>
      </c>
      <c r="T4" s="123">
        <v>38807</v>
      </c>
      <c r="U4" s="123">
        <v>38898</v>
      </c>
      <c r="V4" s="123">
        <v>38990</v>
      </c>
      <c r="W4" s="123">
        <v>39082</v>
      </c>
      <c r="X4" s="119">
        <v>39082</v>
      </c>
      <c r="Y4" s="123">
        <v>39172</v>
      </c>
      <c r="Z4" s="123">
        <v>39263</v>
      </c>
      <c r="AA4" s="123">
        <v>39355</v>
      </c>
      <c r="AB4" s="123">
        <v>39447</v>
      </c>
      <c r="AC4" s="119">
        <v>39447</v>
      </c>
      <c r="AD4" s="123">
        <v>39538</v>
      </c>
      <c r="AE4" s="123">
        <v>39629</v>
      </c>
      <c r="AF4" s="123">
        <v>39721</v>
      </c>
      <c r="AG4" s="123">
        <v>39813</v>
      </c>
      <c r="AH4" s="119">
        <v>39813</v>
      </c>
      <c r="AI4" s="123">
        <v>39903</v>
      </c>
      <c r="AJ4" s="123">
        <v>39994</v>
      </c>
      <c r="AK4" s="123">
        <v>40086</v>
      </c>
      <c r="AL4" s="123">
        <v>40178</v>
      </c>
      <c r="AM4" s="119">
        <v>40178</v>
      </c>
      <c r="AN4" s="123">
        <v>40268</v>
      </c>
      <c r="AO4" s="123">
        <v>40359</v>
      </c>
      <c r="AP4" s="123">
        <v>40451</v>
      </c>
      <c r="AQ4" s="123">
        <v>40543</v>
      </c>
      <c r="AR4" s="119">
        <v>40543</v>
      </c>
      <c r="AS4" s="123">
        <v>40633</v>
      </c>
      <c r="AT4" s="123">
        <v>40724</v>
      </c>
      <c r="AU4" s="123">
        <v>40816</v>
      </c>
      <c r="AV4" s="123">
        <v>40908</v>
      </c>
      <c r="AW4" s="119">
        <v>40908</v>
      </c>
      <c r="AX4" s="123">
        <v>40999</v>
      </c>
      <c r="AY4" s="123">
        <v>41090</v>
      </c>
      <c r="AZ4" s="123">
        <v>41182</v>
      </c>
      <c r="BA4" s="123">
        <v>41274</v>
      </c>
      <c r="BB4" s="119">
        <v>41274</v>
      </c>
      <c r="BC4" s="123">
        <v>41364</v>
      </c>
      <c r="BD4" s="123">
        <v>41455</v>
      </c>
      <c r="BE4" s="123">
        <v>41547</v>
      </c>
      <c r="BF4" s="123">
        <v>41639</v>
      </c>
      <c r="BG4" s="119">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19">
        <v>42735</v>
      </c>
      <c r="BW4" s="123">
        <v>42825</v>
      </c>
      <c r="BX4" s="123">
        <v>42916</v>
      </c>
      <c r="BY4" s="123">
        <v>43008</v>
      </c>
      <c r="BZ4" s="123">
        <v>43100</v>
      </c>
      <c r="CA4" s="119">
        <v>43100</v>
      </c>
      <c r="CB4" s="123">
        <v>43190</v>
      </c>
      <c r="CC4" s="123">
        <v>43281</v>
      </c>
      <c r="CD4" s="123">
        <v>43373</v>
      </c>
      <c r="CE4" s="123">
        <v>43465</v>
      </c>
      <c r="CF4" s="119">
        <v>43465</v>
      </c>
      <c r="CG4" s="123">
        <v>43555</v>
      </c>
      <c r="CH4" s="123">
        <v>43646</v>
      </c>
      <c r="CI4" s="123">
        <v>43738</v>
      </c>
      <c r="CJ4" s="123">
        <v>43830</v>
      </c>
      <c r="CK4" s="119">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19">
        <v>46752</v>
      </c>
      <c r="DV4" s="119">
        <v>47118</v>
      </c>
    </row>
    <row r="5" spans="2:126">
      <c r="C5" s="135"/>
      <c r="D5" s="135"/>
      <c r="E5" s="135"/>
      <c r="F5" s="135"/>
      <c r="G5" s="135"/>
      <c r="H5" s="135"/>
      <c r="I5" s="135"/>
      <c r="N5" s="135"/>
      <c r="S5" s="135"/>
      <c r="X5" s="135"/>
      <c r="AC5" s="135"/>
      <c r="AH5" s="135"/>
      <c r="AM5" s="136"/>
      <c r="AR5" s="135"/>
      <c r="AW5" s="135"/>
      <c r="BB5" s="135"/>
      <c r="BG5" s="135"/>
      <c r="BL5" s="135"/>
      <c r="BQ5" s="135"/>
      <c r="BV5" s="135"/>
      <c r="CA5" s="135"/>
      <c r="CF5" s="135"/>
      <c r="CK5" s="135"/>
      <c r="CP5" s="135"/>
      <c r="CU5" s="135"/>
      <c r="CZ5" s="135"/>
      <c r="DE5" s="135"/>
      <c r="DJ5" s="135"/>
      <c r="DO5" s="135"/>
      <c r="DT5" s="135"/>
      <c r="DU5" s="135"/>
      <c r="DV5" s="135"/>
    </row>
    <row r="6" spans="2:126" hidden="1" outlineLevel="1">
      <c r="B6" s="131" t="s">
        <v>23</v>
      </c>
      <c r="C6" s="213">
        <f>data!C7</f>
        <v>0</v>
      </c>
      <c r="D6" s="213">
        <f>data!D7</f>
        <v>0</v>
      </c>
      <c r="E6" s="213">
        <f>data!E7</f>
        <v>0</v>
      </c>
      <c r="F6" s="213">
        <f>data!F7</f>
        <v>0</v>
      </c>
      <c r="G6" s="213">
        <f>data!G7</f>
        <v>0</v>
      </c>
      <c r="H6" s="213">
        <f>data!H7</f>
        <v>0</v>
      </c>
      <c r="I6" s="213">
        <f>data!I7</f>
        <v>0</v>
      </c>
      <c r="J6" s="214">
        <f>data!J7</f>
        <v>0</v>
      </c>
      <c r="K6" s="214">
        <f>data!K7</f>
        <v>0</v>
      </c>
      <c r="L6" s="214">
        <f>data!L7</f>
        <v>0</v>
      </c>
      <c r="M6" s="214">
        <f>data!M7</f>
        <v>0</v>
      </c>
      <c r="N6" s="213">
        <f t="shared" ref="N6:N10" si="0">SUM(J6:M6)</f>
        <v>0</v>
      </c>
      <c r="O6" s="131">
        <f>data!O7</f>
        <v>0</v>
      </c>
      <c r="P6" s="131">
        <f>data!P7</f>
        <v>0</v>
      </c>
      <c r="Q6" s="131">
        <f>data!Q7</f>
        <v>0</v>
      </c>
      <c r="R6" s="131">
        <f>data!R7</f>
        <v>0</v>
      </c>
      <c r="S6" s="135">
        <f>SUM(O6:R6)</f>
        <v>0</v>
      </c>
      <c r="T6" s="131">
        <f>data!T7</f>
        <v>0</v>
      </c>
      <c r="U6" s="131">
        <f>data!U7</f>
        <v>0</v>
      </c>
      <c r="V6" s="131">
        <f>data!V7</f>
        <v>0</v>
      </c>
      <c r="W6" s="131">
        <f>data!W7</f>
        <v>0</v>
      </c>
      <c r="X6" s="135">
        <f>SUM(T6:W6)</f>
        <v>0</v>
      </c>
      <c r="Y6" s="131">
        <f>data!Y7</f>
        <v>0</v>
      </c>
      <c r="Z6" s="131">
        <f>data!Z7</f>
        <v>0</v>
      </c>
      <c r="AA6" s="131">
        <f>data!AA7</f>
        <v>0</v>
      </c>
      <c r="AB6" s="131">
        <f>data!AB7</f>
        <v>0</v>
      </c>
      <c r="AC6" s="135">
        <f>SUM(Y6:AB6)</f>
        <v>0</v>
      </c>
      <c r="AD6" s="131">
        <f>data!AD7</f>
        <v>0</v>
      </c>
      <c r="AE6" s="131">
        <f>data!AE7</f>
        <v>0</v>
      </c>
      <c r="AF6" s="131">
        <f>data!AF7</f>
        <v>0</v>
      </c>
      <c r="AG6" s="131">
        <f>data!AG7</f>
        <v>0</v>
      </c>
      <c r="AH6" s="135">
        <f>SUM(AD6:AG6)</f>
        <v>0</v>
      </c>
      <c r="AI6" s="131">
        <f>data!AI7</f>
        <v>0</v>
      </c>
      <c r="AJ6" s="131">
        <f>data!AJ7</f>
        <v>0</v>
      </c>
      <c r="AK6" s="131">
        <f>data!AK7</f>
        <v>0</v>
      </c>
      <c r="AL6" s="131">
        <f>data!AL7</f>
        <v>0</v>
      </c>
      <c r="AM6" s="135">
        <f>SUM(AI6:AL6)</f>
        <v>0</v>
      </c>
      <c r="AN6" s="131">
        <f>data!AN7</f>
        <v>0</v>
      </c>
      <c r="AO6" s="131">
        <f>data!AO7</f>
        <v>0</v>
      </c>
      <c r="AP6" s="131">
        <f>data!AP7</f>
        <v>0</v>
      </c>
      <c r="AQ6" s="131">
        <f>data!AQ7</f>
        <v>0</v>
      </c>
      <c r="AR6" s="135">
        <f t="shared" ref="AR6:AR10" si="1">SUM(AN6:AQ6)</f>
        <v>0</v>
      </c>
      <c r="AS6" s="131">
        <f>data!AS7</f>
        <v>0</v>
      </c>
      <c r="AT6" s="131">
        <f>data!AT7</f>
        <v>0</v>
      </c>
      <c r="AU6" s="131">
        <f>data!AU7</f>
        <v>0</v>
      </c>
      <c r="AV6" s="131">
        <f>data!AV7</f>
        <v>0</v>
      </c>
      <c r="AW6" s="135">
        <f t="shared" ref="AW6:AW10" si="2">SUM(AS6:AV6)</f>
        <v>0</v>
      </c>
      <c r="AX6" s="131">
        <f>data!AX7</f>
        <v>0</v>
      </c>
      <c r="AY6" s="131">
        <f>data!AY7</f>
        <v>0</v>
      </c>
      <c r="AZ6" s="131">
        <f>data!AZ7</f>
        <v>0</v>
      </c>
      <c r="BA6" s="131">
        <f>data!BA7</f>
        <v>0</v>
      </c>
      <c r="BB6" s="135">
        <f>data!BB7</f>
        <v>0</v>
      </c>
      <c r="BC6" s="131">
        <f>data!BC7</f>
        <v>0</v>
      </c>
      <c r="BD6" s="131">
        <f>data!BD7</f>
        <v>0</v>
      </c>
      <c r="BE6" s="131">
        <f>data!BE7</f>
        <v>0</v>
      </c>
      <c r="BF6" s="131">
        <f>data!BF7</f>
        <v>0</v>
      </c>
      <c r="BG6" s="135">
        <f>data!BG7</f>
        <v>0</v>
      </c>
      <c r="BH6" s="131">
        <f>data!BH7</f>
        <v>0</v>
      </c>
      <c r="BI6" s="131">
        <f>data!BI7</f>
        <v>0</v>
      </c>
      <c r="BJ6" s="131">
        <f>data!BJ7</f>
        <v>0</v>
      </c>
      <c r="BK6" s="131">
        <f>data!BK7</f>
        <v>0</v>
      </c>
      <c r="BL6" s="135">
        <f>data!BL7</f>
        <v>0</v>
      </c>
      <c r="BM6" s="221">
        <f>data!BM7</f>
        <v>0</v>
      </c>
      <c r="BN6" s="221">
        <f>data!BN7</f>
        <v>0</v>
      </c>
      <c r="BO6" s="221">
        <f>data!BO7</f>
        <v>0</v>
      </c>
      <c r="BP6" s="221">
        <f>data!BP7</f>
        <v>0</v>
      </c>
      <c r="BQ6" s="135">
        <f>data!BQ7</f>
        <v>0</v>
      </c>
      <c r="BR6" s="221">
        <f>data!BR7</f>
        <v>0</v>
      </c>
      <c r="BS6" s="221">
        <f>data!BS7</f>
        <v>0</v>
      </c>
      <c r="BT6" s="221">
        <f>data!BT7</f>
        <v>0</v>
      </c>
      <c r="BU6" s="221"/>
      <c r="BV6" s="135">
        <f>data!BV7</f>
        <v>0</v>
      </c>
      <c r="BW6" s="221"/>
      <c r="BX6" s="221"/>
      <c r="CA6" s="135"/>
      <c r="CB6" s="221">
        <f>data!CB7</f>
        <v>0</v>
      </c>
      <c r="CC6" s="221">
        <f>data!CC7</f>
        <v>0</v>
      </c>
      <c r="CD6" s="131">
        <f>data!CD7</f>
        <v>0</v>
      </c>
      <c r="CE6" s="131">
        <f>data!CE7</f>
        <v>0</v>
      </c>
      <c r="CF6" s="135">
        <f>data!CF7</f>
        <v>0</v>
      </c>
      <c r="CG6" s="131">
        <f>data!CG7</f>
        <v>0</v>
      </c>
      <c r="CH6" s="131">
        <f>data!CH7</f>
        <v>0</v>
      </c>
      <c r="CI6" s="131">
        <f>data!CI7</f>
        <v>0</v>
      </c>
      <c r="CJ6" s="131">
        <f>data!CJ7</f>
        <v>0</v>
      </c>
      <c r="CK6" s="135">
        <f>data!CK7</f>
        <v>0</v>
      </c>
      <c r="CL6" s="131">
        <f>data!CL7</f>
        <v>12339</v>
      </c>
      <c r="CM6" s="131">
        <f>data!CM7</f>
        <v>10720</v>
      </c>
      <c r="CN6" s="131">
        <f>data!CN7</f>
        <v>12306</v>
      </c>
      <c r="CO6" s="131">
        <f>data!CO7</f>
        <v>2219</v>
      </c>
      <c r="CP6" s="135">
        <f>SUM(CL6:CO6)</f>
        <v>37584</v>
      </c>
      <c r="CQ6" s="131">
        <f>data!CQ7</f>
        <v>10349</v>
      </c>
      <c r="CR6" s="131">
        <f>data!CR7</f>
        <v>11105</v>
      </c>
      <c r="CS6" s="131">
        <f>data!CS7</f>
        <v>11530</v>
      </c>
      <c r="CT6" s="131">
        <f>data!CT7</f>
        <v>1216</v>
      </c>
      <c r="CU6" s="135">
        <f>SUM(CQ6:CT6)</f>
        <v>34200</v>
      </c>
      <c r="CV6" s="131">
        <f>data!CV7</f>
        <v>4608</v>
      </c>
      <c r="CW6" s="131">
        <f>data!CW7</f>
        <v>5266</v>
      </c>
      <c r="CX6" s="131">
        <f>data!CX7</f>
        <v>5731</v>
      </c>
      <c r="CY6" s="131">
        <f>data!CY7</f>
        <v>6729</v>
      </c>
      <c r="CZ6" s="135">
        <f>SUM(CV6:CY6)</f>
        <v>22334</v>
      </c>
      <c r="DA6" s="131">
        <f>data!DA7</f>
        <v>5287</v>
      </c>
      <c r="DB6" s="131">
        <f>data!DB7</f>
        <v>6688</v>
      </c>
      <c r="DC6" s="131">
        <f>data!DC7</f>
        <v>6939</v>
      </c>
      <c r="DD6" s="131">
        <f>data!DD7</f>
        <v>7879</v>
      </c>
      <c r="DE6" s="135">
        <f>SUM(DA6:DD6)</f>
        <v>26793</v>
      </c>
      <c r="DF6" s="131">
        <f>data!DF7</f>
        <v>5935</v>
      </c>
      <c r="DG6" s="131">
        <f>data!DG7</f>
        <v>2175</v>
      </c>
      <c r="DH6" s="131">
        <f>data!DH7</f>
        <v>2448</v>
      </c>
      <c r="DI6" s="131">
        <f>data!DI7</f>
        <v>3230</v>
      </c>
      <c r="DJ6" s="135">
        <f>SUM(DF6:DI6)</f>
        <v>13788</v>
      </c>
      <c r="DK6" s="131">
        <f>data!DK7</f>
        <v>2653</v>
      </c>
      <c r="DL6" s="131">
        <f>data!DL7</f>
        <v>2842</v>
      </c>
      <c r="DM6" s="905">
        <f>(DM$9-DM$8)*Aerospace!DM142</f>
        <v>2755.3645622274407</v>
      </c>
      <c r="DN6" s="905">
        <f>(DN$9-DN$8)*Aerospace!DN142</f>
        <v>3467.5303876910621</v>
      </c>
      <c r="DO6" s="135">
        <f>SUM(DK6:DN6)</f>
        <v>11717.894949918504</v>
      </c>
      <c r="DP6" s="905">
        <f>(DP$9-DP$8)*Aerospace!DP142</f>
        <v>3019.1853282968559</v>
      </c>
      <c r="DQ6" s="905">
        <f>(DQ$9-DQ$8)*Aerospace!DQ142</f>
        <v>3212.6134863560242</v>
      </c>
      <c r="DR6" s="905">
        <f>(DR$9-DR$8)*Aerospace!DR142</f>
        <v>3109.6882957396851</v>
      </c>
      <c r="DS6" s="905">
        <f>(DS$9-DS$8)*Aerospace!DS142</f>
        <v>4003.9870148436075</v>
      </c>
      <c r="DT6" s="135">
        <f>SUM(DP6:DS6)</f>
        <v>13345.474125236173</v>
      </c>
      <c r="DU6" s="908">
        <f>(DU$9-DU$8)*Aerospace!DU142</f>
        <v>14392.874565461163</v>
      </c>
      <c r="DV6" s="908">
        <f>(DV$9-DV$8)*Aerospace!DV142</f>
        <v>15385.029600624241</v>
      </c>
    </row>
    <row r="7" spans="2:126" s="15" customFormat="1" hidden="1" outlineLevel="1">
      <c r="B7" s="131" t="s">
        <v>24</v>
      </c>
      <c r="C7" s="213">
        <f>data!C8</f>
        <v>0</v>
      </c>
      <c r="D7" s="213">
        <f>data!D8</f>
        <v>0</v>
      </c>
      <c r="E7" s="213">
        <f>data!E8</f>
        <v>0</v>
      </c>
      <c r="F7" s="213">
        <f>data!F8</f>
        <v>0</v>
      </c>
      <c r="G7" s="213">
        <f>data!G8</f>
        <v>0</v>
      </c>
      <c r="H7" s="213">
        <f>data!H8</f>
        <v>0</v>
      </c>
      <c r="I7" s="213">
        <f>data!I8</f>
        <v>0</v>
      </c>
      <c r="J7" s="214">
        <f>data!J8</f>
        <v>0</v>
      </c>
      <c r="K7" s="214">
        <f>data!K8</f>
        <v>0</v>
      </c>
      <c r="L7" s="214">
        <f>data!L8</f>
        <v>0</v>
      </c>
      <c r="M7" s="214">
        <f>data!M8</f>
        <v>0</v>
      </c>
      <c r="N7" s="213">
        <f t="shared" si="0"/>
        <v>0</v>
      </c>
      <c r="O7" s="191">
        <f>data!O8</f>
        <v>0</v>
      </c>
      <c r="P7" s="191">
        <f>data!P8</f>
        <v>0</v>
      </c>
      <c r="Q7" s="191">
        <f>data!Q8</f>
        <v>0</v>
      </c>
      <c r="R7" s="191">
        <f>data!R8</f>
        <v>0</v>
      </c>
      <c r="S7" s="215">
        <f>SUM(O7:R7)</f>
        <v>0</v>
      </c>
      <c r="T7" s="191">
        <f>data!T8</f>
        <v>0</v>
      </c>
      <c r="U7" s="191">
        <f>data!U8</f>
        <v>0</v>
      </c>
      <c r="V7" s="191">
        <f>data!V8</f>
        <v>0</v>
      </c>
      <c r="W7" s="191">
        <f>data!W8</f>
        <v>0</v>
      </c>
      <c r="X7" s="215">
        <f>SUM(T7:W7)</f>
        <v>0</v>
      </c>
      <c r="Y7" s="191">
        <f>data!Y8</f>
        <v>0</v>
      </c>
      <c r="Z7" s="191">
        <f>data!Z8</f>
        <v>0</v>
      </c>
      <c r="AA7" s="191">
        <f>data!AA8</f>
        <v>0</v>
      </c>
      <c r="AB7" s="191">
        <f>data!AB8</f>
        <v>0</v>
      </c>
      <c r="AC7" s="215">
        <f>SUM(Y7:AB7)</f>
        <v>0</v>
      </c>
      <c r="AD7" s="191">
        <f>data!AD8</f>
        <v>0</v>
      </c>
      <c r="AE7" s="191">
        <f>data!AE8</f>
        <v>0</v>
      </c>
      <c r="AF7" s="191">
        <f>data!AF8</f>
        <v>0</v>
      </c>
      <c r="AG7" s="191">
        <f>data!AG8</f>
        <v>0</v>
      </c>
      <c r="AH7" s="215">
        <f>SUM(AD7:AG7)</f>
        <v>0</v>
      </c>
      <c r="AI7" s="191">
        <f>data!AI8</f>
        <v>0</v>
      </c>
      <c r="AJ7" s="191">
        <f>data!AJ8</f>
        <v>0</v>
      </c>
      <c r="AK7" s="191">
        <f>data!AK8</f>
        <v>0</v>
      </c>
      <c r="AL7" s="191">
        <f>data!AL8</f>
        <v>0</v>
      </c>
      <c r="AM7" s="215">
        <f>SUM(AI7:AL7)</f>
        <v>0</v>
      </c>
      <c r="AN7" s="191">
        <f>data!AN8</f>
        <v>0</v>
      </c>
      <c r="AO7" s="191">
        <f>data!AO8</f>
        <v>0</v>
      </c>
      <c r="AP7" s="191">
        <f>data!AP8</f>
        <v>0</v>
      </c>
      <c r="AQ7" s="191">
        <f>data!AQ8</f>
        <v>0</v>
      </c>
      <c r="AR7" s="215">
        <f t="shared" si="1"/>
        <v>0</v>
      </c>
      <c r="AS7" s="191">
        <f>data!AS8</f>
        <v>0</v>
      </c>
      <c r="AT7" s="191">
        <f>data!AT8</f>
        <v>0</v>
      </c>
      <c r="AU7" s="191">
        <f>data!AU8</f>
        <v>0</v>
      </c>
      <c r="AV7" s="191">
        <f>data!AV8</f>
        <v>0</v>
      </c>
      <c r="AW7" s="215">
        <f t="shared" si="2"/>
        <v>0</v>
      </c>
      <c r="AX7" s="191">
        <f>data!AX8</f>
        <v>0</v>
      </c>
      <c r="AY7" s="191">
        <f>data!AY8</f>
        <v>0</v>
      </c>
      <c r="AZ7" s="191">
        <f>data!AZ8</f>
        <v>0</v>
      </c>
      <c r="BA7" s="191">
        <f>data!BA8</f>
        <v>0</v>
      </c>
      <c r="BB7" s="215">
        <f>data!BB8</f>
        <v>0</v>
      </c>
      <c r="BC7" s="191">
        <f>data!BC8</f>
        <v>0</v>
      </c>
      <c r="BD7" s="191">
        <f>data!BD8</f>
        <v>0</v>
      </c>
      <c r="BE7" s="191">
        <f>data!BE8</f>
        <v>0</v>
      </c>
      <c r="BF7" s="191">
        <f>data!BF8</f>
        <v>0</v>
      </c>
      <c r="BG7" s="215">
        <f>data!BG8</f>
        <v>0</v>
      </c>
      <c r="BH7" s="191">
        <f>data!BH8</f>
        <v>0</v>
      </c>
      <c r="BI7" s="191">
        <f>data!BI8</f>
        <v>0</v>
      </c>
      <c r="BJ7" s="191">
        <f>data!BJ8</f>
        <v>0</v>
      </c>
      <c r="BK7" s="191">
        <f>data!BK8</f>
        <v>0</v>
      </c>
      <c r="BL7" s="215">
        <f>data!BL8</f>
        <v>0</v>
      </c>
      <c r="BM7" s="191">
        <f>data!BM8</f>
        <v>0</v>
      </c>
      <c r="BN7" s="191">
        <f>data!BN8</f>
        <v>0</v>
      </c>
      <c r="BO7" s="191">
        <f>data!BO8</f>
        <v>0</v>
      </c>
      <c r="BP7" s="191">
        <f>data!BP8</f>
        <v>0</v>
      </c>
      <c r="BQ7" s="215">
        <f>data!BQ8</f>
        <v>0</v>
      </c>
      <c r="BR7" s="191">
        <f>data!BR8</f>
        <v>0</v>
      </c>
      <c r="BS7" s="191">
        <f>data!BS8</f>
        <v>0</v>
      </c>
      <c r="BT7" s="191">
        <f>data!BT8</f>
        <v>0</v>
      </c>
      <c r="BU7" s="191"/>
      <c r="BV7" s="215">
        <f>data!BV8</f>
        <v>0</v>
      </c>
      <c r="BW7" s="191"/>
      <c r="BX7" s="191"/>
      <c r="BY7" s="191"/>
      <c r="BZ7" s="191"/>
      <c r="CA7" s="215"/>
      <c r="CB7" s="191">
        <f>data!CB8</f>
        <v>0</v>
      </c>
      <c r="CC7" s="191">
        <f>data!CC8</f>
        <v>0</v>
      </c>
      <c r="CD7" s="191">
        <f>data!CD8</f>
        <v>0</v>
      </c>
      <c r="CE7" s="191">
        <f>data!CE8</f>
        <v>0</v>
      </c>
      <c r="CF7" s="215">
        <f>data!CF8</f>
        <v>0</v>
      </c>
      <c r="CG7" s="191">
        <f>data!CG8</f>
        <v>0</v>
      </c>
      <c r="CH7" s="191">
        <f>data!CH8</f>
        <v>0</v>
      </c>
      <c r="CI7" s="191">
        <f>data!CI8</f>
        <v>0</v>
      </c>
      <c r="CJ7" s="191">
        <f>data!CJ8</f>
        <v>0</v>
      </c>
      <c r="CK7" s="215">
        <f>data!CK8</f>
        <v>0</v>
      </c>
      <c r="CL7" s="191">
        <f>data!CL8</f>
        <v>6452</v>
      </c>
      <c r="CM7" s="191">
        <f>data!CM8</f>
        <v>5329</v>
      </c>
      <c r="CN7" s="191">
        <f>data!CN8</f>
        <v>5560</v>
      </c>
      <c r="CO7" s="191">
        <f>data!CO8</f>
        <v>18044</v>
      </c>
      <c r="CP7" s="215">
        <f t="shared" ref="CP7:CP8" si="3">SUM(CL7:CO7)</f>
        <v>35385</v>
      </c>
      <c r="CQ7" s="191">
        <f>data!CQ8</f>
        <v>5967</v>
      </c>
      <c r="CR7" s="191">
        <f>data!CR8</f>
        <v>6365</v>
      </c>
      <c r="CS7" s="191">
        <f>data!CS8</f>
        <v>6283</v>
      </c>
      <c r="CT7" s="191">
        <f>data!CT8</f>
        <v>18275</v>
      </c>
      <c r="CU7" s="215">
        <f t="shared" ref="CU7:CU8" si="4">SUM(CQ7:CT7)</f>
        <v>36890</v>
      </c>
      <c r="CV7" s="191">
        <f>data!CV8</f>
        <v>7302</v>
      </c>
      <c r="CW7" s="191">
        <f>data!CW8</f>
        <v>8096</v>
      </c>
      <c r="CX7" s="191">
        <f>data!CX8</f>
        <v>8095</v>
      </c>
      <c r="CY7" s="191">
        <f>data!CY8</f>
        <v>9315</v>
      </c>
      <c r="CZ7" s="215">
        <f t="shared" ref="CZ7:CZ8" si="5">SUM(CV7:CY7)</f>
        <v>32808</v>
      </c>
      <c r="DA7" s="191">
        <f>data!DA8</f>
        <v>8407</v>
      </c>
      <c r="DB7" s="191">
        <f>data!DB8</f>
        <v>9163</v>
      </c>
      <c r="DC7" s="191">
        <f>data!DC8</f>
        <v>9565</v>
      </c>
      <c r="DD7" s="191">
        <f>data!DD8</f>
        <v>10637</v>
      </c>
      <c r="DE7" s="215">
        <f t="shared" ref="DE7:DE8" si="6">SUM(DA7:DD7)</f>
        <v>37772</v>
      </c>
      <c r="DF7" s="191">
        <f>data!DF8</f>
        <v>9239</v>
      </c>
      <c r="DG7" s="191">
        <f>data!DG8</f>
        <v>6047</v>
      </c>
      <c r="DH7" s="191">
        <f>data!DH8</f>
        <v>6495</v>
      </c>
      <c r="DI7" s="191">
        <f>data!DI8</f>
        <v>6649</v>
      </c>
      <c r="DJ7" s="215">
        <f t="shared" ref="DJ7:DJ8" si="7">SUM(DF7:DI7)</f>
        <v>28430</v>
      </c>
      <c r="DK7" s="191">
        <f>data!DK8</f>
        <v>6347</v>
      </c>
      <c r="DL7" s="191">
        <f>data!DL8</f>
        <v>7308</v>
      </c>
      <c r="DM7" s="906">
        <f>(DM$9-DM$8)*Aerospace!DM143</f>
        <v>7310.4954377725599</v>
      </c>
      <c r="DN7" s="906">
        <f>(DN$9-DN$8)*Aerospace!DN143</f>
        <v>7137.9596123089368</v>
      </c>
      <c r="DO7" s="215">
        <f t="shared" ref="DO7:DO8" si="8">SUM(DK7:DN7)</f>
        <v>28103.455050081495</v>
      </c>
      <c r="DP7" s="906">
        <f>(DP$9-DP$8)*Aerospace!DP143</f>
        <v>7224.1946717031433</v>
      </c>
      <c r="DQ7" s="906">
        <f>(DQ$9-DQ$8)*Aerospace!DQ143</f>
        <v>8262.1365136439763</v>
      </c>
      <c r="DR7" s="906">
        <f>(DR$9-DR$8)*Aerospace!DR143</f>
        <v>8250.5823042603151</v>
      </c>
      <c r="DS7" s="906">
        <f>(DS$9-DS$8)*Aerospace!DS143</f>
        <v>8242.2630531563918</v>
      </c>
      <c r="DT7" s="215">
        <f t="shared" ref="DT7:DT8" si="9">SUM(DP7:DS7)</f>
        <v>31979.176542763827</v>
      </c>
      <c r="DU7" s="909">
        <f>(DU$9-DU$8)*Aerospace!DU143</f>
        <v>34790.018197261292</v>
      </c>
      <c r="DV7" s="909">
        <f>(DV$9-DV$8)*Aerospace!DV143</f>
        <v>37188.225141318122</v>
      </c>
    </row>
    <row r="8" spans="2:126" s="15" customFormat="1" hidden="1" outlineLevel="1">
      <c r="B8" s="313" t="s">
        <v>637</v>
      </c>
      <c r="C8" s="213"/>
      <c r="D8" s="213"/>
      <c r="E8" s="213"/>
      <c r="F8" s="213"/>
      <c r="G8" s="213"/>
      <c r="H8" s="213"/>
      <c r="I8" s="213"/>
      <c r="J8" s="214"/>
      <c r="K8" s="214"/>
      <c r="L8" s="214"/>
      <c r="M8" s="214"/>
      <c r="N8" s="213"/>
      <c r="O8" s="191"/>
      <c r="P8" s="191"/>
      <c r="Q8" s="191"/>
      <c r="R8" s="191"/>
      <c r="S8" s="215"/>
      <c r="T8" s="191"/>
      <c r="U8" s="191"/>
      <c r="V8" s="191"/>
      <c r="W8" s="191"/>
      <c r="X8" s="215"/>
      <c r="Y8" s="191"/>
      <c r="Z8" s="191"/>
      <c r="AA8" s="191"/>
      <c r="AB8" s="191"/>
      <c r="AC8" s="215"/>
      <c r="AD8" s="191"/>
      <c r="AE8" s="191"/>
      <c r="AF8" s="191"/>
      <c r="AG8" s="191"/>
      <c r="AH8" s="215"/>
      <c r="AI8" s="191"/>
      <c r="AJ8" s="191"/>
      <c r="AK8" s="191"/>
      <c r="AL8" s="191"/>
      <c r="AM8" s="215"/>
      <c r="AN8" s="191"/>
      <c r="AO8" s="191"/>
      <c r="AP8" s="191"/>
      <c r="AQ8" s="191"/>
      <c r="AR8" s="215"/>
      <c r="AS8" s="191"/>
      <c r="AT8" s="191"/>
      <c r="AU8" s="191"/>
      <c r="AV8" s="191"/>
      <c r="AW8" s="215"/>
      <c r="AX8" s="191"/>
      <c r="AY8" s="191"/>
      <c r="AZ8" s="191"/>
      <c r="BA8" s="191"/>
      <c r="BB8" s="215"/>
      <c r="BC8" s="191"/>
      <c r="BD8" s="191"/>
      <c r="BE8" s="191"/>
      <c r="BF8" s="191"/>
      <c r="BG8" s="215"/>
      <c r="BH8" s="191"/>
      <c r="BI8" s="191"/>
      <c r="BJ8" s="191"/>
      <c r="BK8" s="191"/>
      <c r="BL8" s="215"/>
      <c r="BM8" s="191"/>
      <c r="BN8" s="191"/>
      <c r="BO8" s="191"/>
      <c r="BP8" s="191"/>
      <c r="BQ8" s="215"/>
      <c r="BR8" s="191"/>
      <c r="BS8" s="191"/>
      <c r="BT8" s="191"/>
      <c r="BU8" s="191"/>
      <c r="BV8" s="215"/>
      <c r="BW8" s="191"/>
      <c r="BX8" s="191"/>
      <c r="BY8" s="191"/>
      <c r="BZ8" s="191"/>
      <c r="CA8" s="215"/>
      <c r="CB8" s="191"/>
      <c r="CC8" s="191"/>
      <c r="CD8" s="191"/>
      <c r="CE8" s="191"/>
      <c r="CF8" s="215"/>
      <c r="CG8" s="191"/>
      <c r="CH8" s="191"/>
      <c r="CI8" s="191"/>
      <c r="CJ8" s="191"/>
      <c r="CK8" s="215"/>
      <c r="CL8" s="191">
        <f>data!CL10</f>
        <v>699</v>
      </c>
      <c r="CM8" s="191">
        <f>data!CM10</f>
        <v>756</v>
      </c>
      <c r="CN8" s="191">
        <f>data!CN10</f>
        <v>663</v>
      </c>
      <c r="CO8" s="191">
        <f>data!CO10</f>
        <v>747</v>
      </c>
      <c r="CP8" s="215">
        <f t="shared" si="3"/>
        <v>2865</v>
      </c>
      <c r="CQ8" s="191">
        <f>data!CQ10</f>
        <v>803</v>
      </c>
      <c r="CR8" s="191">
        <f>data!CR10</f>
        <v>810</v>
      </c>
      <c r="CS8" s="191">
        <f>data!CS10</f>
        <v>616</v>
      </c>
      <c r="CT8" s="191">
        <f>data!CT10</f>
        <v>877</v>
      </c>
      <c r="CU8" s="215">
        <f t="shared" si="4"/>
        <v>3106</v>
      </c>
      <c r="CV8" s="191">
        <f>data!CV10</f>
        <v>764</v>
      </c>
      <c r="CW8" s="191">
        <f>data!CW10</f>
        <v>766</v>
      </c>
      <c r="CX8" s="191">
        <f>data!CX10</f>
        <v>645</v>
      </c>
      <c r="CY8" s="191">
        <f>data!CY10</f>
        <v>782</v>
      </c>
      <c r="CZ8" s="215">
        <f t="shared" si="5"/>
        <v>2957</v>
      </c>
      <c r="DA8" s="191">
        <f>data!DA10</f>
        <v>791</v>
      </c>
      <c r="DB8" s="191">
        <f>data!DB10</f>
        <v>847</v>
      </c>
      <c r="DC8" s="191">
        <f>data!DC10</f>
        <v>842</v>
      </c>
      <c r="DD8" s="191">
        <f>data!DD10</f>
        <v>909</v>
      </c>
      <c r="DE8" s="215">
        <f t="shared" si="6"/>
        <v>3389</v>
      </c>
      <c r="DF8" s="191">
        <f>data!DF10</f>
        <v>879</v>
      </c>
      <c r="DG8" s="191">
        <f>data!DG10</f>
        <v>871</v>
      </c>
      <c r="DH8" s="191">
        <f>data!DH10</f>
        <v>899</v>
      </c>
      <c r="DI8" s="191">
        <f>data!DI10</f>
        <v>933</v>
      </c>
      <c r="DJ8" s="215">
        <f t="shared" si="7"/>
        <v>3582</v>
      </c>
      <c r="DK8" s="191">
        <f>data!DK10</f>
        <v>934</v>
      </c>
      <c r="DL8" s="191">
        <f>data!DL10</f>
        <v>873</v>
      </c>
      <c r="DM8" s="906">
        <f>SEG!DM9</f>
        <v>0</v>
      </c>
      <c r="DN8" s="906">
        <f>SEG!DN9</f>
        <v>0</v>
      </c>
      <c r="DO8" s="215">
        <f t="shared" si="8"/>
        <v>1807</v>
      </c>
      <c r="DP8" s="906">
        <f>SEG!DP9</f>
        <v>0</v>
      </c>
      <c r="DQ8" s="906">
        <f>SEG!DQ9</f>
        <v>0</v>
      </c>
      <c r="DR8" s="906">
        <f>SEG!DR9</f>
        <v>0</v>
      </c>
      <c r="DS8" s="906">
        <f>SEG!DS9</f>
        <v>0</v>
      </c>
      <c r="DT8" s="215">
        <f t="shared" si="9"/>
        <v>0</v>
      </c>
      <c r="DU8" s="909">
        <f>SEG!DU9</f>
        <v>0</v>
      </c>
      <c r="DV8" s="909">
        <f>SEG!DV9</f>
        <v>0</v>
      </c>
    </row>
    <row r="9" spans="2:126" s="216" customFormat="1" ht="12" collapsed="1">
      <c r="B9" s="216" t="s">
        <v>25</v>
      </c>
      <c r="C9" s="217">
        <f>data!C11</f>
        <v>0</v>
      </c>
      <c r="D9" s="217">
        <f>data!D11</f>
        <v>0</v>
      </c>
      <c r="E9" s="217">
        <f>data!E11</f>
        <v>0</v>
      </c>
      <c r="F9" s="217">
        <f>data!F11</f>
        <v>0</v>
      </c>
      <c r="G9" s="217">
        <f>data!G11</f>
        <v>0</v>
      </c>
      <c r="H9" s="217">
        <f>data!H11</f>
        <v>0</v>
      </c>
      <c r="I9" s="217">
        <f>data!I11</f>
        <v>0</v>
      </c>
      <c r="J9" s="218">
        <f>data!J11</f>
        <v>0</v>
      </c>
      <c r="K9" s="218">
        <f>data!K11</f>
        <v>0</v>
      </c>
      <c r="L9" s="218">
        <f>data!L11</f>
        <v>0</v>
      </c>
      <c r="M9" s="218">
        <f>data!M11</f>
        <v>0</v>
      </c>
      <c r="N9" s="217">
        <f t="shared" si="0"/>
        <v>0</v>
      </c>
      <c r="O9" s="218">
        <f t="shared" ref="O9:X9" si="10">SUM(O6:O7)</f>
        <v>0</v>
      </c>
      <c r="P9" s="218">
        <f t="shared" si="10"/>
        <v>0</v>
      </c>
      <c r="Q9" s="218">
        <f t="shared" si="10"/>
        <v>0</v>
      </c>
      <c r="R9" s="218">
        <f t="shared" si="10"/>
        <v>0</v>
      </c>
      <c r="S9" s="217">
        <f t="shared" si="10"/>
        <v>0</v>
      </c>
      <c r="T9" s="218">
        <f t="shared" si="10"/>
        <v>0</v>
      </c>
      <c r="U9" s="218">
        <f t="shared" si="10"/>
        <v>0</v>
      </c>
      <c r="V9" s="218">
        <f t="shared" si="10"/>
        <v>0</v>
      </c>
      <c r="W9" s="218">
        <f t="shared" si="10"/>
        <v>0</v>
      </c>
      <c r="X9" s="217">
        <f t="shared" si="10"/>
        <v>0</v>
      </c>
      <c r="Y9" s="218">
        <f>SUM(Y6:Y7)</f>
        <v>0</v>
      </c>
      <c r="Z9" s="218">
        <f>SUM(Z6:Z7)</f>
        <v>0</v>
      </c>
      <c r="AA9" s="218">
        <f>SUM(AA6:AA7)</f>
        <v>0</v>
      </c>
      <c r="AB9" s="218">
        <f>SUM(AB6:AB7)</f>
        <v>0</v>
      </c>
      <c r="AC9" s="217">
        <f>SUM(AC6:AC7)</f>
        <v>0</v>
      </c>
      <c r="AD9" s="218">
        <f t="shared" ref="AD9:AM9" si="11">SUM(AD6:AD7)</f>
        <v>0</v>
      </c>
      <c r="AE9" s="218">
        <f t="shared" si="11"/>
        <v>0</v>
      </c>
      <c r="AF9" s="218">
        <f t="shared" si="11"/>
        <v>0</v>
      </c>
      <c r="AG9" s="218">
        <f t="shared" si="11"/>
        <v>0</v>
      </c>
      <c r="AH9" s="217">
        <f t="shared" si="11"/>
        <v>0</v>
      </c>
      <c r="AI9" s="218">
        <f t="shared" si="11"/>
        <v>0</v>
      </c>
      <c r="AJ9" s="218">
        <f t="shared" si="11"/>
        <v>0</v>
      </c>
      <c r="AK9" s="218">
        <f t="shared" si="11"/>
        <v>0</v>
      </c>
      <c r="AL9" s="218">
        <f t="shared" si="11"/>
        <v>0</v>
      </c>
      <c r="AM9" s="217">
        <f t="shared" si="11"/>
        <v>0</v>
      </c>
      <c r="AN9" s="218">
        <f>SUM(AN6:AN7)</f>
        <v>0</v>
      </c>
      <c r="AO9" s="218">
        <f>SUM(AO6:AO7)</f>
        <v>0</v>
      </c>
      <c r="AP9" s="218">
        <f>SUM(AP6:AP7)</f>
        <v>0</v>
      </c>
      <c r="AQ9" s="218">
        <f>SUM(AQ6:AQ7)</f>
        <v>0</v>
      </c>
      <c r="AR9" s="217">
        <f t="shared" si="1"/>
        <v>0</v>
      </c>
      <c r="AS9" s="218">
        <f>SUM(AS6:AS7)</f>
        <v>0</v>
      </c>
      <c r="AT9" s="218">
        <f>SUM(AT6:AT7)</f>
        <v>0</v>
      </c>
      <c r="AU9" s="218">
        <f>SUM(AU6:AU7)</f>
        <v>0</v>
      </c>
      <c r="AV9" s="218">
        <f>data!AV11</f>
        <v>0</v>
      </c>
      <c r="AW9" s="217">
        <f t="shared" si="2"/>
        <v>0</v>
      </c>
      <c r="AX9" s="218">
        <f>data!AX157</f>
        <v>0</v>
      </c>
      <c r="AY9" s="218">
        <f>data!AY157</f>
        <v>0</v>
      </c>
      <c r="AZ9" s="218">
        <f>data!AZ157</f>
        <v>0</v>
      </c>
      <c r="BA9" s="218">
        <f>data!BA157</f>
        <v>0</v>
      </c>
      <c r="BB9" s="217">
        <f>SUM(AX9:BA9)</f>
        <v>0</v>
      </c>
      <c r="BC9" s="218">
        <f>data!BC157</f>
        <v>0</v>
      </c>
      <c r="BD9" s="218">
        <f>data!BD157</f>
        <v>0</v>
      </c>
      <c r="BE9" s="218">
        <f>data!BE157</f>
        <v>0</v>
      </c>
      <c r="BF9" s="218">
        <f>data!BF157</f>
        <v>0</v>
      </c>
      <c r="BG9" s="217">
        <f>SUM(BC9:BF9)</f>
        <v>0</v>
      </c>
      <c r="BH9" s="218">
        <f>data!BH157</f>
        <v>0</v>
      </c>
      <c r="BI9" s="218">
        <f>data!BI157</f>
        <v>0</v>
      </c>
      <c r="BJ9" s="218">
        <f>data!BJ157</f>
        <v>0</v>
      </c>
      <c r="BK9" s="218">
        <f>data!BK157</f>
        <v>0</v>
      </c>
      <c r="BL9" s="217">
        <f>SUM(BH9:BK9)</f>
        <v>0</v>
      </c>
      <c r="BM9" s="218">
        <f>data!BM11</f>
        <v>0</v>
      </c>
      <c r="BN9" s="218">
        <f>data!BN11</f>
        <v>0</v>
      </c>
      <c r="BO9" s="218">
        <f>data!BO11</f>
        <v>0</v>
      </c>
      <c r="BP9" s="218">
        <f>data!BP11</f>
        <v>0</v>
      </c>
      <c r="BQ9" s="217">
        <f>data!BQ11</f>
        <v>0</v>
      </c>
      <c r="BR9" s="218">
        <f>data!BR11</f>
        <v>0</v>
      </c>
      <c r="BS9" s="218">
        <f>data!BS11</f>
        <v>0</v>
      </c>
      <c r="BT9" s="218">
        <f>data!BT11</f>
        <v>0</v>
      </c>
      <c r="BU9" s="218">
        <f>data!BU11</f>
        <v>0</v>
      </c>
      <c r="BV9" s="217">
        <f>SUM(BR9:BU9)</f>
        <v>0</v>
      </c>
      <c r="BW9" s="218">
        <f>data!BW11</f>
        <v>0</v>
      </c>
      <c r="BX9" s="218">
        <f>data!BX11</f>
        <v>0</v>
      </c>
      <c r="BY9" s="218">
        <f>data!BY11</f>
        <v>0</v>
      </c>
      <c r="BZ9" s="218">
        <f>data!BZ11</f>
        <v>0</v>
      </c>
      <c r="CA9" s="217">
        <f>SUM(BW9:BZ9)</f>
        <v>0</v>
      </c>
      <c r="CB9" s="218">
        <f>data!CB11</f>
        <v>0</v>
      </c>
      <c r="CC9" s="218">
        <f>data!CC11</f>
        <v>0</v>
      </c>
      <c r="CD9" s="218">
        <f>data!CD11</f>
        <v>0</v>
      </c>
      <c r="CE9" s="218">
        <f>data!CE11</f>
        <v>0</v>
      </c>
      <c r="CF9" s="217">
        <f>SUM(CB9:CE9)</f>
        <v>0</v>
      </c>
      <c r="CG9" s="218">
        <f>data!CG11</f>
        <v>0</v>
      </c>
      <c r="CH9" s="218">
        <f>data!CH11</f>
        <v>0</v>
      </c>
      <c r="CI9" s="218">
        <f>data!CI11</f>
        <v>0</v>
      </c>
      <c r="CJ9" s="218">
        <f>data!CJ11</f>
        <v>0</v>
      </c>
      <c r="CK9" s="217">
        <f>SUM(CG9:CJ9)</f>
        <v>0</v>
      </c>
      <c r="CL9" s="218">
        <f>SUM(CL6:CL8)</f>
        <v>19490</v>
      </c>
      <c r="CM9" s="218">
        <f t="shared" ref="CM9" si="12">SUM(CM6:CM8)</f>
        <v>16805</v>
      </c>
      <c r="CN9" s="218">
        <f t="shared" ref="CN9" si="13">SUM(CN6:CN8)</f>
        <v>18529</v>
      </c>
      <c r="CO9" s="218">
        <f t="shared" ref="CO9" si="14">SUM(CO6:CO8)</f>
        <v>21010</v>
      </c>
      <c r="CP9" s="217">
        <f>SUM(CP6:CP8)</f>
        <v>75834</v>
      </c>
      <c r="CQ9" s="218">
        <f>SUM(CQ6:CQ8)</f>
        <v>17119</v>
      </c>
      <c r="CR9" s="218">
        <f t="shared" ref="CR9" si="15">SUM(CR6:CR8)</f>
        <v>18280</v>
      </c>
      <c r="CS9" s="218">
        <f t="shared" ref="CS9" si="16">SUM(CS6:CS8)</f>
        <v>18429</v>
      </c>
      <c r="CT9" s="218">
        <f>SUM(CT6:CT8)</f>
        <v>20368</v>
      </c>
      <c r="CU9" s="217">
        <f>SUM(CU6:CU8)</f>
        <v>74196</v>
      </c>
      <c r="CV9" s="218">
        <f>SUM(CV6:CV8)</f>
        <v>12674</v>
      </c>
      <c r="CW9" s="218">
        <f t="shared" ref="CW9" si="17">SUM(CW6:CW8)</f>
        <v>14128</v>
      </c>
      <c r="CX9" s="218">
        <f t="shared" ref="CX9" si="18">SUM(CX6:CX8)</f>
        <v>14471</v>
      </c>
      <c r="CY9" s="218">
        <f t="shared" ref="CY9" si="19">SUM(CY6:CY8)</f>
        <v>16826</v>
      </c>
      <c r="CZ9" s="217">
        <f>SUM(CZ6:CZ8)</f>
        <v>58099</v>
      </c>
      <c r="DA9" s="218">
        <f>SUM(DA6:DA8)</f>
        <v>14485</v>
      </c>
      <c r="DB9" s="218">
        <f t="shared" ref="DB9:DD9" si="20">SUM(DB6:DB8)</f>
        <v>16698</v>
      </c>
      <c r="DC9" s="218">
        <f t="shared" si="20"/>
        <v>17346</v>
      </c>
      <c r="DD9" s="218">
        <f t="shared" si="20"/>
        <v>19425</v>
      </c>
      <c r="DE9" s="217">
        <f>SUM(DE6:DE8)</f>
        <v>67954</v>
      </c>
      <c r="DF9" s="218">
        <f>SUM(DF6:DF8)</f>
        <v>16053</v>
      </c>
      <c r="DG9" s="218">
        <f>SUM(DG6:DG8)</f>
        <v>9093</v>
      </c>
      <c r="DH9" s="218">
        <f>SUM(DH6:DH8)</f>
        <v>9842</v>
      </c>
      <c r="DI9" s="218">
        <f t="shared" ref="DI9" si="21">SUM(DI6:DI8)</f>
        <v>10812</v>
      </c>
      <c r="DJ9" s="217">
        <f>SUM(DJ6:DJ8)</f>
        <v>45800</v>
      </c>
      <c r="DK9" s="218">
        <f>SUM(DK6:DK8)</f>
        <v>9934</v>
      </c>
      <c r="DL9" s="218">
        <f>SUM(DL6:DL8)</f>
        <v>11023</v>
      </c>
      <c r="DM9" s="219">
        <f>SEG!DM11+DM8</f>
        <v>10065.86</v>
      </c>
      <c r="DN9" s="219">
        <f>SEG!DN11+DN8</f>
        <v>10605.49</v>
      </c>
      <c r="DO9" s="217">
        <f>SUM(DO6:DO8)</f>
        <v>41628.35</v>
      </c>
      <c r="DP9" s="219">
        <f>SEG!DP11+DP8</f>
        <v>10243.379999999999</v>
      </c>
      <c r="DQ9" s="219">
        <f>SEG!DQ11+DQ8</f>
        <v>11474.75</v>
      </c>
      <c r="DR9" s="219">
        <f>SEG!DR11+DR8</f>
        <v>11360.270600000002</v>
      </c>
      <c r="DS9" s="219">
        <f>SEG!DS11+DS8</f>
        <v>12246.250067999999</v>
      </c>
      <c r="DT9" s="217">
        <f>SUM(DT6:DT8)</f>
        <v>45324.650668000002</v>
      </c>
      <c r="DU9" s="220">
        <f>SEG!DU11+DU8</f>
        <v>49201.10449810799</v>
      </c>
      <c r="DV9" s="220">
        <f>SEG!DV11+DV8</f>
        <v>52592.721880817982</v>
      </c>
    </row>
    <row r="10" spans="2:126" s="221" customFormat="1">
      <c r="B10" s="221" t="s">
        <v>27</v>
      </c>
      <c r="C10" s="224">
        <f>data!C15</f>
        <v>0</v>
      </c>
      <c r="D10" s="224">
        <f>data!D15</f>
        <v>0</v>
      </c>
      <c r="E10" s="224">
        <f>data!E15</f>
        <v>0</v>
      </c>
      <c r="F10" s="224">
        <f>data!F15</f>
        <v>0</v>
      </c>
      <c r="G10" s="224">
        <f>data!G15</f>
        <v>0</v>
      </c>
      <c r="H10" s="224">
        <f>data!H15</f>
        <v>0</v>
      </c>
      <c r="I10" s="224">
        <f>data!I15</f>
        <v>0</v>
      </c>
      <c r="J10" s="223">
        <f>data!J15</f>
        <v>0</v>
      </c>
      <c r="K10" s="223">
        <f>data!K15</f>
        <v>0</v>
      </c>
      <c r="L10" s="223">
        <f>data!L15</f>
        <v>0</v>
      </c>
      <c r="M10" s="223">
        <f>data!M15</f>
        <v>0</v>
      </c>
      <c r="N10" s="224">
        <f t="shared" si="0"/>
        <v>0</v>
      </c>
      <c r="O10" s="223" t="e">
        <f>SUM(#REF!)</f>
        <v>#REF!</v>
      </c>
      <c r="P10" s="223" t="e">
        <f>SUM(#REF!)</f>
        <v>#REF!</v>
      </c>
      <c r="Q10" s="223" t="e">
        <f>SUM(#REF!)</f>
        <v>#REF!</v>
      </c>
      <c r="R10" s="223" t="e">
        <f>SUM(#REF!)</f>
        <v>#REF!</v>
      </c>
      <c r="S10" s="224" t="e">
        <f>SUM(#REF!)</f>
        <v>#REF!</v>
      </c>
      <c r="T10" s="223" t="e">
        <f>SUM(#REF!)</f>
        <v>#REF!</v>
      </c>
      <c r="U10" s="223" t="e">
        <f>SUM(#REF!)</f>
        <v>#REF!</v>
      </c>
      <c r="V10" s="223" t="e">
        <f>SUM(#REF!)</f>
        <v>#REF!</v>
      </c>
      <c r="W10" s="223" t="e">
        <f>SUM(#REF!)</f>
        <v>#REF!</v>
      </c>
      <c r="X10" s="224" t="e">
        <f>SUM(#REF!)</f>
        <v>#REF!</v>
      </c>
      <c r="Y10" s="223" t="e">
        <f>SUM(#REF!)</f>
        <v>#REF!</v>
      </c>
      <c r="Z10" s="223" t="e">
        <f>SUM(#REF!)</f>
        <v>#REF!</v>
      </c>
      <c r="AA10" s="223" t="e">
        <f>SUM(#REF!)</f>
        <v>#REF!</v>
      </c>
      <c r="AB10" s="223" t="e">
        <f>SUM(#REF!)</f>
        <v>#REF!</v>
      </c>
      <c r="AC10" s="224" t="e">
        <f>SUM(#REF!)</f>
        <v>#REF!</v>
      </c>
      <c r="AD10" s="223" t="e">
        <f>SUM(#REF!)</f>
        <v>#REF!</v>
      </c>
      <c r="AE10" s="223" t="e">
        <f>SUM(#REF!)</f>
        <v>#REF!</v>
      </c>
      <c r="AF10" s="223" t="e">
        <f>SUM(#REF!)</f>
        <v>#REF!</v>
      </c>
      <c r="AG10" s="223" t="e">
        <f>SUM(#REF!)</f>
        <v>#REF!</v>
      </c>
      <c r="AH10" s="224" t="e">
        <f>SUM(#REF!)</f>
        <v>#REF!</v>
      </c>
      <c r="AI10" s="223" t="e">
        <f>SUM(#REF!)</f>
        <v>#REF!</v>
      </c>
      <c r="AJ10" s="223" t="e">
        <f>SUM(#REF!)</f>
        <v>#REF!</v>
      </c>
      <c r="AK10" s="223" t="e">
        <f>SUM(#REF!)</f>
        <v>#REF!</v>
      </c>
      <c r="AL10" s="223" t="e">
        <f>SUM(#REF!)</f>
        <v>#REF!</v>
      </c>
      <c r="AM10" s="224" t="e">
        <f>SUM(#REF!)</f>
        <v>#REF!</v>
      </c>
      <c r="AN10" s="223" t="e">
        <f>SUM(#REF!)</f>
        <v>#REF!</v>
      </c>
      <c r="AO10" s="223" t="e">
        <f>SUM(#REF!)</f>
        <v>#REF!</v>
      </c>
      <c r="AP10" s="223" t="e">
        <f>SUM(#REF!)</f>
        <v>#REF!</v>
      </c>
      <c r="AQ10" s="223">
        <f>data!AQ15</f>
        <v>0</v>
      </c>
      <c r="AR10" s="224" t="e">
        <f t="shared" si="1"/>
        <v>#REF!</v>
      </c>
      <c r="AS10" s="223">
        <f>data!AS15</f>
        <v>0</v>
      </c>
      <c r="AT10" s="223">
        <f>data!AT15</f>
        <v>0</v>
      </c>
      <c r="AU10" s="223">
        <f>data!AU15</f>
        <v>0</v>
      </c>
      <c r="AV10" s="223">
        <f>data!AV15</f>
        <v>0</v>
      </c>
      <c r="AW10" s="224">
        <f t="shared" si="2"/>
        <v>0</v>
      </c>
      <c r="AX10" s="223" t="e">
        <f>SUM(#REF!)</f>
        <v>#REF!</v>
      </c>
      <c r="AY10" s="223" t="e">
        <f>SUM(#REF!)</f>
        <v>#REF!</v>
      </c>
      <c r="AZ10" s="223">
        <f>data!AZ15</f>
        <v>0</v>
      </c>
      <c r="BA10" s="223">
        <f>data!BA15</f>
        <v>0</v>
      </c>
      <c r="BB10" s="224" t="e">
        <f>SUM(AX10:BA10)</f>
        <v>#REF!</v>
      </c>
      <c r="BC10" s="191">
        <f>data!BC15</f>
        <v>0</v>
      </c>
      <c r="BD10" s="223" t="e">
        <f>SUM(#REF!)</f>
        <v>#REF!</v>
      </c>
      <c r="BE10" s="223">
        <f>data!BE15</f>
        <v>0</v>
      </c>
      <c r="BF10" s="223">
        <f>data!BF15</f>
        <v>0</v>
      </c>
      <c r="BG10" s="215" t="e">
        <f>SUM(BC10:BF10)</f>
        <v>#REF!</v>
      </c>
      <c r="BH10" s="223">
        <f>data!BH15</f>
        <v>0</v>
      </c>
      <c r="BI10" s="223">
        <f>data!BI15</f>
        <v>0</v>
      </c>
      <c r="BJ10" s="223">
        <f>data!BJ15</f>
        <v>0</v>
      </c>
      <c r="BK10" s="223">
        <f>data!BK15</f>
        <v>0</v>
      </c>
      <c r="BL10" s="215">
        <f>SUM(BH10:BK10)</f>
        <v>0</v>
      </c>
      <c r="BM10" s="191">
        <f>data!BM15</f>
        <v>0</v>
      </c>
      <c r="BN10" s="191">
        <f>data!BN15</f>
        <v>0</v>
      </c>
      <c r="BO10" s="191">
        <f>data!BO15</f>
        <v>0</v>
      </c>
      <c r="BP10" s="191">
        <f>data!BP15</f>
        <v>0</v>
      </c>
      <c r="BQ10" s="215">
        <f>SUM(BM10:BP10)</f>
        <v>0</v>
      </c>
      <c r="BR10" s="191">
        <f>data!BR15</f>
        <v>0</v>
      </c>
      <c r="BS10" s="191">
        <f>data!BS15</f>
        <v>0</v>
      </c>
      <c r="BT10" s="191">
        <f>data!BT15</f>
        <v>0</v>
      </c>
      <c r="BU10" s="191">
        <f>data!BU15</f>
        <v>0</v>
      </c>
      <c r="BV10" s="215">
        <f>SUM(BR10:BU10)</f>
        <v>0</v>
      </c>
      <c r="BW10" s="191">
        <f>data!BW15</f>
        <v>0</v>
      </c>
      <c r="BX10" s="191">
        <f>data!BX15</f>
        <v>0</v>
      </c>
      <c r="BY10" s="191">
        <f>data!BY15</f>
        <v>0</v>
      </c>
      <c r="BZ10" s="191">
        <f>data!BZ15</f>
        <v>0</v>
      </c>
      <c r="CA10" s="215">
        <f>SUM(BW10:BZ10)</f>
        <v>0</v>
      </c>
      <c r="CB10" s="223">
        <f>CB11-CB9</f>
        <v>0</v>
      </c>
      <c r="CC10" s="223">
        <f>CC11-CC9</f>
        <v>0</v>
      </c>
      <c r="CD10" s="223">
        <f>CD11-CD9</f>
        <v>0</v>
      </c>
      <c r="CE10" s="223">
        <f>CE11-CE9</f>
        <v>0</v>
      </c>
      <c r="CF10" s="215">
        <f>SUM(CB10:CE10)</f>
        <v>0</v>
      </c>
      <c r="CG10" s="223">
        <f>CG11-CG9</f>
        <v>0</v>
      </c>
      <c r="CH10" s="223">
        <f>CH11-CH9</f>
        <v>0</v>
      </c>
      <c r="CI10" s="223">
        <f>CI11-CI9</f>
        <v>0</v>
      </c>
      <c r="CJ10" s="223">
        <f>CJ11-CJ9</f>
        <v>0</v>
      </c>
      <c r="CK10" s="215">
        <f>SUM(CG10:CJ10)</f>
        <v>0</v>
      </c>
      <c r="CL10" s="223">
        <f>SUM(data!CL12:CL13)</f>
        <v>-14427</v>
      </c>
      <c r="CM10" s="223">
        <f>SUM(data!CM12:CM13)</f>
        <v>-13633</v>
      </c>
      <c r="CN10" s="223">
        <f>SUM(data!CN12:CN13)</f>
        <v>-14041</v>
      </c>
      <c r="CO10" s="223">
        <f>SUM(data!CO12:CO13)</f>
        <v>-15770</v>
      </c>
      <c r="CP10" s="215">
        <f>SUM(CL10:CO10)</f>
        <v>-57871</v>
      </c>
      <c r="CQ10" s="223">
        <f>SUM(data!CQ12:CQ13)</f>
        <v>-12538</v>
      </c>
      <c r="CR10" s="223">
        <f>SUM(data!CR12:CR13)</f>
        <v>-13618</v>
      </c>
      <c r="CS10" s="223">
        <f>SUM(data!CS12:CS13)</f>
        <v>-13402</v>
      </c>
      <c r="CT10" s="223">
        <f>SUM(data!CT12:CT13)</f>
        <v>-14338</v>
      </c>
      <c r="CU10" s="215">
        <f>SUM(CQ10:CT10)</f>
        <v>-53896</v>
      </c>
      <c r="CV10" s="223">
        <f>SUM(data!CV12:CV13)</f>
        <v>-9774</v>
      </c>
      <c r="CW10" s="223">
        <f>SUM(data!CW12:CW13)</f>
        <v>-10525</v>
      </c>
      <c r="CX10" s="223">
        <f>SUM(data!CX12:CX13)</f>
        <v>-11534</v>
      </c>
      <c r="CY10" s="223">
        <f>SUM(data!CY12:CY13)</f>
        <v>-12439</v>
      </c>
      <c r="CZ10" s="215">
        <f>SUM(CV10:CY10)</f>
        <v>-44272</v>
      </c>
      <c r="DA10" s="223">
        <f>SUM(data!DA12:DA13)</f>
        <v>-10729</v>
      </c>
      <c r="DB10" s="223">
        <f>SUM(data!DB12:DB13)</f>
        <v>-12362</v>
      </c>
      <c r="DC10" s="223">
        <f>SUM(data!DC12:DC13)</f>
        <v>-12904</v>
      </c>
      <c r="DD10" s="223">
        <f>SUM(data!DD12:DD13)</f>
        <v>-14397</v>
      </c>
      <c r="DE10" s="215">
        <f>SUM(DA10:DD10)</f>
        <v>-50392</v>
      </c>
      <c r="DF10" s="223">
        <f>SUM(data!DF12:DF13)</f>
        <v>-11620</v>
      </c>
      <c r="DG10" s="223">
        <f>SUM(data!DG12:DG13)</f>
        <v>-5575</v>
      </c>
      <c r="DH10" s="223">
        <f>SUM(data!DH12:DH13)</f>
        <v>-6226</v>
      </c>
      <c r="DI10" s="223">
        <f>SUM(data!DI12:DI13)</f>
        <v>-6761</v>
      </c>
      <c r="DJ10" s="215">
        <f>SUM(DF10:DI10)</f>
        <v>-30182</v>
      </c>
      <c r="DK10" s="223">
        <f>SUM(data!DK12:DK13)</f>
        <v>-5995</v>
      </c>
      <c r="DL10" s="223">
        <f>SUM(data!DL12:DL13)</f>
        <v>-6846</v>
      </c>
      <c r="DM10" s="294">
        <f>DM11-DM9</f>
        <v>-5961.7904200000003</v>
      </c>
      <c r="DN10" s="294">
        <f>DN11-DN9</f>
        <v>-6181.3315499999999</v>
      </c>
      <c r="DO10" s="215">
        <f>SUM(DK10:DN10)</f>
        <v>-24984.12197</v>
      </c>
      <c r="DP10" s="294">
        <f>DP11-DP9</f>
        <v>-5662.1964599999992</v>
      </c>
      <c r="DQ10" s="294">
        <f>DQ11-DQ9</f>
        <v>-6411.9629999999997</v>
      </c>
      <c r="DR10" s="294">
        <f>DR11-DR9</f>
        <v>-6642.1147128000011</v>
      </c>
      <c r="DS10" s="294">
        <f>DS11-DS9</f>
        <v>-6901.9996024279999</v>
      </c>
      <c r="DT10" s="215">
        <f>SUM(DP10:DS10)</f>
        <v>-25618.273775228001</v>
      </c>
      <c r="DU10" s="293">
        <f>DU11-DU9</f>
        <v>-28077.580000179129</v>
      </c>
      <c r="DV10" s="293">
        <f>DV11-DV9</f>
        <v>-29905.065180847036</v>
      </c>
    </row>
    <row r="11" spans="2:126" s="216" customFormat="1" ht="12">
      <c r="B11" s="216" t="s">
        <v>68</v>
      </c>
      <c r="C11" s="225">
        <f t="shared" ref="C11:AH11" si="22">C9+C10</f>
        <v>0</v>
      </c>
      <c r="D11" s="225">
        <f t="shared" si="22"/>
        <v>0</v>
      </c>
      <c r="E11" s="225">
        <f t="shared" si="22"/>
        <v>0</v>
      </c>
      <c r="F11" s="225">
        <f t="shared" si="22"/>
        <v>0</v>
      </c>
      <c r="G11" s="225">
        <f t="shared" si="22"/>
        <v>0</v>
      </c>
      <c r="H11" s="225">
        <f t="shared" si="22"/>
        <v>0</v>
      </c>
      <c r="I11" s="225">
        <f t="shared" si="22"/>
        <v>0</v>
      </c>
      <c r="J11" s="216">
        <f t="shared" si="22"/>
        <v>0</v>
      </c>
      <c r="K11" s="216">
        <f t="shared" si="22"/>
        <v>0</v>
      </c>
      <c r="L11" s="216">
        <f t="shared" si="22"/>
        <v>0</v>
      </c>
      <c r="M11" s="216">
        <f t="shared" si="22"/>
        <v>0</v>
      </c>
      <c r="N11" s="225">
        <f t="shared" si="22"/>
        <v>0</v>
      </c>
      <c r="O11" s="216" t="e">
        <f t="shared" si="22"/>
        <v>#REF!</v>
      </c>
      <c r="P11" s="216" t="e">
        <f t="shared" si="22"/>
        <v>#REF!</v>
      </c>
      <c r="Q11" s="216" t="e">
        <f t="shared" si="22"/>
        <v>#REF!</v>
      </c>
      <c r="R11" s="216" t="e">
        <f t="shared" si="22"/>
        <v>#REF!</v>
      </c>
      <c r="S11" s="225" t="e">
        <f t="shared" si="22"/>
        <v>#REF!</v>
      </c>
      <c r="T11" s="216" t="e">
        <f t="shared" si="22"/>
        <v>#REF!</v>
      </c>
      <c r="U11" s="216" t="e">
        <f t="shared" si="22"/>
        <v>#REF!</v>
      </c>
      <c r="V11" s="216" t="e">
        <f t="shared" si="22"/>
        <v>#REF!</v>
      </c>
      <c r="W11" s="216" t="e">
        <f t="shared" si="22"/>
        <v>#REF!</v>
      </c>
      <c r="X11" s="225" t="e">
        <f t="shared" si="22"/>
        <v>#REF!</v>
      </c>
      <c r="Y11" s="216" t="e">
        <f t="shared" si="22"/>
        <v>#REF!</v>
      </c>
      <c r="Z11" s="216" t="e">
        <f t="shared" si="22"/>
        <v>#REF!</v>
      </c>
      <c r="AA11" s="216" t="e">
        <f t="shared" si="22"/>
        <v>#REF!</v>
      </c>
      <c r="AB11" s="216" t="e">
        <f t="shared" si="22"/>
        <v>#REF!</v>
      </c>
      <c r="AC11" s="225" t="e">
        <f t="shared" si="22"/>
        <v>#REF!</v>
      </c>
      <c r="AD11" s="216" t="e">
        <f t="shared" si="22"/>
        <v>#REF!</v>
      </c>
      <c r="AE11" s="216" t="e">
        <f t="shared" si="22"/>
        <v>#REF!</v>
      </c>
      <c r="AF11" s="216" t="e">
        <f t="shared" si="22"/>
        <v>#REF!</v>
      </c>
      <c r="AG11" s="216" t="e">
        <f t="shared" si="22"/>
        <v>#REF!</v>
      </c>
      <c r="AH11" s="225" t="e">
        <f t="shared" si="22"/>
        <v>#REF!</v>
      </c>
      <c r="AI11" s="216" t="e">
        <f t="shared" ref="AI11:BN11" si="23">AI9+AI10</f>
        <v>#REF!</v>
      </c>
      <c r="AJ11" s="216" t="e">
        <f t="shared" si="23"/>
        <v>#REF!</v>
      </c>
      <c r="AK11" s="216" t="e">
        <f t="shared" si="23"/>
        <v>#REF!</v>
      </c>
      <c r="AL11" s="216" t="e">
        <f t="shared" si="23"/>
        <v>#REF!</v>
      </c>
      <c r="AM11" s="225" t="e">
        <f t="shared" si="23"/>
        <v>#REF!</v>
      </c>
      <c r="AN11" s="216" t="e">
        <f t="shared" si="23"/>
        <v>#REF!</v>
      </c>
      <c r="AO11" s="216" t="e">
        <f t="shared" si="23"/>
        <v>#REF!</v>
      </c>
      <c r="AP11" s="216" t="e">
        <f t="shared" si="23"/>
        <v>#REF!</v>
      </c>
      <c r="AQ11" s="216">
        <f t="shared" si="23"/>
        <v>0</v>
      </c>
      <c r="AR11" s="225" t="e">
        <f t="shared" si="23"/>
        <v>#REF!</v>
      </c>
      <c r="AS11" s="216">
        <f t="shared" si="23"/>
        <v>0</v>
      </c>
      <c r="AT11" s="216">
        <f t="shared" si="23"/>
        <v>0</v>
      </c>
      <c r="AU11" s="216">
        <f t="shared" si="23"/>
        <v>0</v>
      </c>
      <c r="AV11" s="216">
        <f t="shared" si="23"/>
        <v>0</v>
      </c>
      <c r="AW11" s="225">
        <f t="shared" si="23"/>
        <v>0</v>
      </c>
      <c r="AX11" s="216" t="e">
        <f t="shared" si="23"/>
        <v>#REF!</v>
      </c>
      <c r="AY11" s="216" t="e">
        <f t="shared" si="23"/>
        <v>#REF!</v>
      </c>
      <c r="AZ11" s="216">
        <f t="shared" si="23"/>
        <v>0</v>
      </c>
      <c r="BA11" s="216">
        <f t="shared" si="23"/>
        <v>0</v>
      </c>
      <c r="BB11" s="225" t="e">
        <f t="shared" si="23"/>
        <v>#REF!</v>
      </c>
      <c r="BC11" s="216">
        <f t="shared" si="23"/>
        <v>0</v>
      </c>
      <c r="BD11" s="216" t="e">
        <f t="shared" si="23"/>
        <v>#REF!</v>
      </c>
      <c r="BE11" s="216">
        <f t="shared" si="23"/>
        <v>0</v>
      </c>
      <c r="BF11" s="216">
        <f t="shared" si="23"/>
        <v>0</v>
      </c>
      <c r="BG11" s="225" t="e">
        <f t="shared" si="23"/>
        <v>#REF!</v>
      </c>
      <c r="BH11" s="216">
        <f t="shared" si="23"/>
        <v>0</v>
      </c>
      <c r="BI11" s="216">
        <f t="shared" si="23"/>
        <v>0</v>
      </c>
      <c r="BJ11" s="216">
        <f t="shared" si="23"/>
        <v>0</v>
      </c>
      <c r="BK11" s="216">
        <f t="shared" si="23"/>
        <v>0</v>
      </c>
      <c r="BL11" s="225">
        <f t="shared" si="23"/>
        <v>0</v>
      </c>
      <c r="BM11" s="216">
        <f t="shared" si="23"/>
        <v>0</v>
      </c>
      <c r="BN11" s="216">
        <f t="shared" si="23"/>
        <v>0</v>
      </c>
      <c r="BO11" s="216">
        <f t="shared" ref="BO11:CA11" si="24">BO9+BO10</f>
        <v>0</v>
      </c>
      <c r="BP11" s="216">
        <f t="shared" si="24"/>
        <v>0</v>
      </c>
      <c r="BQ11" s="225">
        <f t="shared" si="24"/>
        <v>0</v>
      </c>
      <c r="BR11" s="216">
        <f t="shared" si="24"/>
        <v>0</v>
      </c>
      <c r="BS11" s="216">
        <f t="shared" si="24"/>
        <v>0</v>
      </c>
      <c r="BT11" s="216">
        <f t="shared" si="24"/>
        <v>0</v>
      </c>
      <c r="BU11" s="216">
        <f t="shared" si="24"/>
        <v>0</v>
      </c>
      <c r="BV11" s="225">
        <f t="shared" si="24"/>
        <v>0</v>
      </c>
      <c r="BW11" s="216">
        <f t="shared" si="24"/>
        <v>0</v>
      </c>
      <c r="BX11" s="216">
        <f t="shared" si="24"/>
        <v>0</v>
      </c>
      <c r="BY11" s="216">
        <f t="shared" si="24"/>
        <v>0</v>
      </c>
      <c r="BZ11" s="216">
        <f t="shared" si="24"/>
        <v>0</v>
      </c>
      <c r="CA11" s="225">
        <f t="shared" si="24"/>
        <v>0</v>
      </c>
      <c r="CB11" s="216">
        <f>CB14-CB13</f>
        <v>0</v>
      </c>
      <c r="CC11" s="216">
        <f t="shared" ref="CC11:CE11" si="25">CC14-CC13</f>
        <v>0</v>
      </c>
      <c r="CD11" s="216">
        <f t="shared" si="25"/>
        <v>0</v>
      </c>
      <c r="CE11" s="216">
        <f t="shared" si="25"/>
        <v>0</v>
      </c>
      <c r="CF11" s="225">
        <f>CF9+CF10</f>
        <v>0</v>
      </c>
      <c r="CG11" s="216">
        <f t="shared" ref="CG11:CJ11" si="26">CG14-CG13</f>
        <v>0</v>
      </c>
      <c r="CH11" s="216">
        <f t="shared" si="26"/>
        <v>0</v>
      </c>
      <c r="CI11" s="216">
        <f t="shared" si="26"/>
        <v>0</v>
      </c>
      <c r="CJ11" s="216">
        <f t="shared" si="26"/>
        <v>0</v>
      </c>
      <c r="CK11" s="225">
        <f t="shared" ref="CK11:DE11" si="27">CK9+CK10</f>
        <v>0</v>
      </c>
      <c r="CL11" s="216">
        <f t="shared" si="27"/>
        <v>5063</v>
      </c>
      <c r="CM11" s="216">
        <f t="shared" si="27"/>
        <v>3172</v>
      </c>
      <c r="CN11" s="216">
        <f t="shared" si="27"/>
        <v>4488</v>
      </c>
      <c r="CO11" s="216">
        <f t="shared" si="27"/>
        <v>5240</v>
      </c>
      <c r="CP11" s="225">
        <f t="shared" si="27"/>
        <v>17963</v>
      </c>
      <c r="CQ11" s="216">
        <f t="shared" si="27"/>
        <v>4581</v>
      </c>
      <c r="CR11" s="216">
        <f t="shared" si="27"/>
        <v>4662</v>
      </c>
      <c r="CS11" s="216">
        <f t="shared" si="27"/>
        <v>5027</v>
      </c>
      <c r="CT11" s="216">
        <f t="shared" si="27"/>
        <v>6030</v>
      </c>
      <c r="CU11" s="225">
        <f t="shared" si="27"/>
        <v>20300</v>
      </c>
      <c r="CV11" s="216">
        <f t="shared" si="27"/>
        <v>2900</v>
      </c>
      <c r="CW11" s="216">
        <f t="shared" si="27"/>
        <v>3603</v>
      </c>
      <c r="CX11" s="216">
        <f t="shared" si="27"/>
        <v>2937</v>
      </c>
      <c r="CY11" s="216">
        <f t="shared" si="27"/>
        <v>4387</v>
      </c>
      <c r="CZ11" s="225">
        <f t="shared" si="27"/>
        <v>13827</v>
      </c>
      <c r="DA11" s="216">
        <f t="shared" si="27"/>
        <v>3756</v>
      </c>
      <c r="DB11" s="216">
        <f t="shared" si="27"/>
        <v>4336</v>
      </c>
      <c r="DC11" s="216">
        <f t="shared" si="27"/>
        <v>4442</v>
      </c>
      <c r="DD11" s="216">
        <f t="shared" si="27"/>
        <v>5028</v>
      </c>
      <c r="DE11" s="225">
        <f t="shared" si="27"/>
        <v>17562</v>
      </c>
      <c r="DF11" s="216">
        <f t="shared" ref="DF11:DG11" si="28">DF9+DF10</f>
        <v>4433</v>
      </c>
      <c r="DG11" s="216">
        <f t="shared" si="28"/>
        <v>3518</v>
      </c>
      <c r="DH11" s="216">
        <f t="shared" ref="DH11:DI11" si="29">DH9+DH10</f>
        <v>3616</v>
      </c>
      <c r="DI11" s="216">
        <f t="shared" si="29"/>
        <v>4051</v>
      </c>
      <c r="DJ11" s="225">
        <f>DJ9+DJ10</f>
        <v>15618</v>
      </c>
      <c r="DK11" s="216">
        <f t="shared" ref="DK11:DL11" si="30">DK9+DK10</f>
        <v>3939</v>
      </c>
      <c r="DL11" s="216">
        <f t="shared" si="30"/>
        <v>4177</v>
      </c>
      <c r="DM11" s="216">
        <f t="shared" ref="DM11" si="31">DM14-DM13-DM12</f>
        <v>4104.0695800000003</v>
      </c>
      <c r="DN11" s="216">
        <f t="shared" ref="DN11" si="32">DN14-DN13-DN12</f>
        <v>4424.1584499999999</v>
      </c>
      <c r="DO11" s="225">
        <f>DO9+DO10</f>
        <v>16644.228029999998</v>
      </c>
      <c r="DP11" s="216">
        <f t="shared" ref="DP11" si="33">DP14-DP13-DP12</f>
        <v>4581.18354</v>
      </c>
      <c r="DQ11" s="216">
        <f t="shared" ref="DQ11:DS11" si="34">DQ14-DQ13-DQ12</f>
        <v>5062.7870000000003</v>
      </c>
      <c r="DR11" s="216">
        <f t="shared" si="34"/>
        <v>4718.1558872000005</v>
      </c>
      <c r="DS11" s="216">
        <f t="shared" si="34"/>
        <v>5344.2504655719995</v>
      </c>
      <c r="DT11" s="225">
        <f>DT9+DT10</f>
        <v>19706.376892772001</v>
      </c>
      <c r="DU11" s="225">
        <f>DU14-DU13-DU12</f>
        <v>21123.524497928862</v>
      </c>
      <c r="DV11" s="225">
        <f>DV14-DV13-DV12</f>
        <v>22687.656699970947</v>
      </c>
    </row>
    <row r="12" spans="2:126" s="216" customFormat="1" ht="12">
      <c r="B12" s="221" t="s">
        <v>459</v>
      </c>
      <c r="C12" s="225"/>
      <c r="D12" s="225"/>
      <c r="E12" s="225"/>
      <c r="F12" s="225"/>
      <c r="G12" s="225"/>
      <c r="H12" s="225"/>
      <c r="I12" s="225"/>
      <c r="N12" s="225"/>
      <c r="S12" s="225"/>
      <c r="X12" s="225"/>
      <c r="AC12" s="225"/>
      <c r="AH12" s="225"/>
      <c r="AM12" s="225"/>
      <c r="AR12" s="225"/>
      <c r="AW12" s="225"/>
      <c r="BB12" s="225"/>
      <c r="BG12" s="225"/>
      <c r="BL12" s="225"/>
      <c r="BQ12" s="225"/>
      <c r="BV12" s="225"/>
      <c r="CA12" s="225"/>
      <c r="CF12" s="225"/>
      <c r="CK12" s="225"/>
      <c r="CL12" s="221">
        <f>data!CL17</f>
        <v>-3061</v>
      </c>
      <c r="CM12" s="221">
        <f>data!CM17</f>
        <v>-3068</v>
      </c>
      <c r="CN12" s="221">
        <f>data!CN17</f>
        <v>-3215</v>
      </c>
      <c r="CO12" s="221">
        <f>data!CO17</f>
        <v>-3248</v>
      </c>
      <c r="CP12" s="222">
        <f>SUM(CL12:CO12)</f>
        <v>-12592</v>
      </c>
      <c r="CQ12" s="221">
        <f>data!CQ17</f>
        <v>-2891</v>
      </c>
      <c r="CR12" s="221">
        <f>data!CR17</f>
        <v>-2866</v>
      </c>
      <c r="CS12" s="221">
        <f>data!CS17</f>
        <v>-2747</v>
      </c>
      <c r="CT12" s="221">
        <f>data!CT17</f>
        <v>-3203</v>
      </c>
      <c r="CU12" s="222">
        <f>SUM(CQ12:CT12)</f>
        <v>-11707</v>
      </c>
      <c r="CV12" s="221">
        <f>data!CV17</f>
        <v>-2824</v>
      </c>
      <c r="CW12" s="221">
        <f>data!CW17</f>
        <v>-1965</v>
      </c>
      <c r="CX12" s="221">
        <f>data!CX17</f>
        <v>-2137</v>
      </c>
      <c r="CY12" s="221">
        <f>data!CY17</f>
        <v>-2962</v>
      </c>
      <c r="CZ12" s="222">
        <f>SUM(CV12:CY12)</f>
        <v>-9888</v>
      </c>
      <c r="DA12" s="221">
        <f>data!DA17</f>
        <v>-2347</v>
      </c>
      <c r="DB12" s="221">
        <f>data!DB17</f>
        <v>-2584</v>
      </c>
      <c r="DC12" s="221">
        <f>data!DC17</f>
        <v>-2398</v>
      </c>
      <c r="DD12" s="221">
        <f>data!DD17</f>
        <v>-2844</v>
      </c>
      <c r="DE12" s="222">
        <f>SUM(DA12:DD12)</f>
        <v>-10173</v>
      </c>
      <c r="DF12" s="221">
        <f>data!DF17</f>
        <v>-2269</v>
      </c>
      <c r="DG12" s="221">
        <f>data!DG17</f>
        <v>-924</v>
      </c>
      <c r="DH12" s="221">
        <f>data!DH17</f>
        <v>-1330</v>
      </c>
      <c r="DI12" s="221">
        <f>data!DI17</f>
        <v>-1157</v>
      </c>
      <c r="DJ12" s="222">
        <f>SUM(DF12:DI12)</f>
        <v>-5680</v>
      </c>
      <c r="DK12" s="221">
        <f>data!DK17</f>
        <v>-876</v>
      </c>
      <c r="DL12" s="221">
        <f>data!DL17</f>
        <v>-1020</v>
      </c>
      <c r="DM12" s="248">
        <f>-DM9*DM68</f>
        <v>-1459.5497</v>
      </c>
      <c r="DN12" s="248">
        <f>-DN9*DN68</f>
        <v>-1537.7960499999999</v>
      </c>
      <c r="DO12" s="222">
        <f>SUM(DK12:DN12)</f>
        <v>-4893.3457500000004</v>
      </c>
      <c r="DP12" s="248">
        <f>-DP9*DP68</f>
        <v>-1485.2900999999997</v>
      </c>
      <c r="DQ12" s="248">
        <f>-DQ9*DQ68</f>
        <v>-1663.8387499999999</v>
      </c>
      <c r="DR12" s="248">
        <f>-DR9*DR68</f>
        <v>-1647.2392370000002</v>
      </c>
      <c r="DS12" s="248">
        <f>-DS9*DS68</f>
        <v>-1775.7062598599998</v>
      </c>
      <c r="DT12" s="222">
        <f>SUM(DP12:DS12)</f>
        <v>-6572.0743468599994</v>
      </c>
      <c r="DU12" s="152">
        <f>-DU9*DU68</f>
        <v>-6888.1546297351197</v>
      </c>
      <c r="DV12" s="152">
        <f>-DV9*DV68</f>
        <v>-7362.981063314518</v>
      </c>
    </row>
    <row r="13" spans="2:126" s="15" customFormat="1">
      <c r="B13" s="131" t="s">
        <v>460</v>
      </c>
      <c r="C13" s="215">
        <f>data!C18</f>
        <v>0</v>
      </c>
      <c r="D13" s="215">
        <f>data!D18</f>
        <v>0</v>
      </c>
      <c r="E13" s="215">
        <f>data!E18</f>
        <v>0</v>
      </c>
      <c r="F13" s="215">
        <f>data!F18</f>
        <v>0</v>
      </c>
      <c r="G13" s="215">
        <f>data!G18</f>
        <v>0</v>
      </c>
      <c r="H13" s="215">
        <f>data!H18</f>
        <v>0</v>
      </c>
      <c r="I13" s="215">
        <f>data!I18</f>
        <v>0</v>
      </c>
      <c r="J13" s="191">
        <f>data!J18</f>
        <v>0</v>
      </c>
      <c r="K13" s="191">
        <f>data!K18</f>
        <v>0</v>
      </c>
      <c r="L13" s="191">
        <f>data!L18</f>
        <v>0</v>
      </c>
      <c r="M13" s="191">
        <f>data!M18</f>
        <v>0</v>
      </c>
      <c r="N13" s="215">
        <f t="shared" ref="N13:N21" si="35">SUM(J13:M13)</f>
        <v>0</v>
      </c>
      <c r="O13" s="191">
        <f>data!O18</f>
        <v>0</v>
      </c>
      <c r="P13" s="191">
        <f>data!P18</f>
        <v>0</v>
      </c>
      <c r="Q13" s="191">
        <f>data!Q18</f>
        <v>0</v>
      </c>
      <c r="R13" s="191">
        <f>data!R18</f>
        <v>0</v>
      </c>
      <c r="S13" s="215">
        <f t="shared" ref="S13:S21" si="36">SUM(O13:R13)</f>
        <v>0</v>
      </c>
      <c r="T13" s="191">
        <f>data!T18</f>
        <v>0</v>
      </c>
      <c r="U13" s="191">
        <f>data!U18</f>
        <v>0</v>
      </c>
      <c r="V13" s="191">
        <f>data!V18</f>
        <v>0</v>
      </c>
      <c r="W13" s="191">
        <f>data!W18</f>
        <v>0</v>
      </c>
      <c r="X13" s="215">
        <f t="shared" ref="X13:X21" si="37">SUM(T13:W13)</f>
        <v>0</v>
      </c>
      <c r="Y13" s="191">
        <f>data!Y18</f>
        <v>0</v>
      </c>
      <c r="Z13" s="191">
        <f>data!Z18</f>
        <v>0</v>
      </c>
      <c r="AA13" s="191">
        <f>data!AA18</f>
        <v>0</v>
      </c>
      <c r="AB13" s="191">
        <f>data!AB18</f>
        <v>0</v>
      </c>
      <c r="AC13" s="215">
        <f t="shared" ref="AC13:AC21" si="38">SUM(Y13:AB13)</f>
        <v>0</v>
      </c>
      <c r="AD13" s="191">
        <f>data!AD18</f>
        <v>0</v>
      </c>
      <c r="AE13" s="191">
        <f>data!AE18</f>
        <v>0</v>
      </c>
      <c r="AF13" s="191">
        <f>data!AF18</f>
        <v>0</v>
      </c>
      <c r="AG13" s="191">
        <f>data!AG18</f>
        <v>0</v>
      </c>
      <c r="AH13" s="215">
        <f t="shared" ref="AH13:AH21" si="39">SUM(AD13:AG13)</f>
        <v>0</v>
      </c>
      <c r="AI13" s="191">
        <f>data!AI18</f>
        <v>0</v>
      </c>
      <c r="AJ13" s="191">
        <f>data!AJ18</f>
        <v>0</v>
      </c>
      <c r="AK13" s="191">
        <f>data!AK18</f>
        <v>0</v>
      </c>
      <c r="AL13" s="191">
        <f>data!AL18</f>
        <v>0</v>
      </c>
      <c r="AM13" s="215">
        <f>SUM(AI13:AL13)</f>
        <v>0</v>
      </c>
      <c r="AN13" s="223">
        <f>data!AN18</f>
        <v>0</v>
      </c>
      <c r="AO13" s="191">
        <f>data!AO18</f>
        <v>0</v>
      </c>
      <c r="AP13" s="191">
        <f>data!AP18</f>
        <v>0</v>
      </c>
      <c r="AQ13" s="191">
        <f>data!AQ18</f>
        <v>0</v>
      </c>
      <c r="AR13" s="215">
        <f>SUM(AN13:AQ13)</f>
        <v>0</v>
      </c>
      <c r="AS13" s="191">
        <f>data!AS18</f>
        <v>0</v>
      </c>
      <c r="AT13" s="191">
        <f>data!AT18</f>
        <v>0</v>
      </c>
      <c r="AU13" s="191">
        <f>data!AU18</f>
        <v>0</v>
      </c>
      <c r="AV13" s="191">
        <f>data!AV18</f>
        <v>0</v>
      </c>
      <c r="AW13" s="215">
        <f>SUM(AS13:AV13)</f>
        <v>0</v>
      </c>
      <c r="AX13" s="191">
        <f>data!AX18</f>
        <v>0</v>
      </c>
      <c r="AY13" s="191">
        <f>data!AY18</f>
        <v>0</v>
      </c>
      <c r="AZ13" s="191">
        <f>data!AZ18</f>
        <v>0</v>
      </c>
      <c r="BA13" s="191">
        <f>data!BA18</f>
        <v>0</v>
      </c>
      <c r="BB13" s="215">
        <f>SUM(AX13:BA13)</f>
        <v>0</v>
      </c>
      <c r="BC13" s="191">
        <f>data!BC18</f>
        <v>0</v>
      </c>
      <c r="BD13" s="191">
        <f>data!BD18</f>
        <v>0</v>
      </c>
      <c r="BE13" s="191">
        <f>data!BE18</f>
        <v>0</v>
      </c>
      <c r="BF13" s="191">
        <f>data!BF18</f>
        <v>0</v>
      </c>
      <c r="BG13" s="215">
        <f>SUM(BC13:BF13)</f>
        <v>0</v>
      </c>
      <c r="BH13" s="191">
        <f>data!BH18</f>
        <v>0</v>
      </c>
      <c r="BI13" s="191">
        <f>data!BI18</f>
        <v>0</v>
      </c>
      <c r="BJ13" s="191">
        <f>data!BJ18</f>
        <v>0</v>
      </c>
      <c r="BK13" s="191">
        <f>data!BK18</f>
        <v>0</v>
      </c>
      <c r="BL13" s="215">
        <f>SUM(BH13:BK13)</f>
        <v>0</v>
      </c>
      <c r="BM13" s="191">
        <f>data!BM18</f>
        <v>0</v>
      </c>
      <c r="BN13" s="191">
        <f>data!BN18</f>
        <v>0</v>
      </c>
      <c r="BO13" s="191">
        <f>data!BO18</f>
        <v>0</v>
      </c>
      <c r="BP13" s="191">
        <f>data!BP18</f>
        <v>0</v>
      </c>
      <c r="BQ13" s="215">
        <f>SUM(BM13:BP13)</f>
        <v>0</v>
      </c>
      <c r="BR13" s="191">
        <f>data!BR18</f>
        <v>0</v>
      </c>
      <c r="BS13" s="191">
        <f>data!BS18</f>
        <v>0</v>
      </c>
      <c r="BT13" s="191">
        <f>data!BT18</f>
        <v>0</v>
      </c>
      <c r="BU13" s="191">
        <f>data!BU18</f>
        <v>0</v>
      </c>
      <c r="BV13" s="215">
        <f>SUM(BR13:BU13)</f>
        <v>0</v>
      </c>
      <c r="BW13" s="191">
        <f>data!BW18</f>
        <v>0</v>
      </c>
      <c r="BX13" s="191">
        <f>data!BX18</f>
        <v>0</v>
      </c>
      <c r="BY13" s="191">
        <f>data!BY18</f>
        <v>0</v>
      </c>
      <c r="BZ13" s="191">
        <f>data!BZ18</f>
        <v>0</v>
      </c>
      <c r="CA13" s="215">
        <f>SUM(BW13:BZ13)</f>
        <v>0</v>
      </c>
      <c r="CB13" s="191">
        <f>data!CB18</f>
        <v>0</v>
      </c>
      <c r="CC13" s="191">
        <f>data!CC18</f>
        <v>0</v>
      </c>
      <c r="CD13" s="191">
        <f>data!CD18</f>
        <v>0</v>
      </c>
      <c r="CE13" s="191">
        <f>data!CE18</f>
        <v>0</v>
      </c>
      <c r="CF13" s="215">
        <f>SUM(CB13:CE13)</f>
        <v>0</v>
      </c>
      <c r="CG13" s="191">
        <f>data!CG18</f>
        <v>0</v>
      </c>
      <c r="CH13" s="191">
        <f>data!CH18</f>
        <v>0</v>
      </c>
      <c r="CI13" s="191">
        <f>data!CI18</f>
        <v>0</v>
      </c>
      <c r="CJ13" s="191">
        <f>data!CJ18</f>
        <v>0</v>
      </c>
      <c r="CK13" s="215">
        <f>SUM(CG13:CJ13)</f>
        <v>0</v>
      </c>
      <c r="CL13" s="191">
        <f>data!CL18</f>
        <v>-723</v>
      </c>
      <c r="CM13" s="191">
        <f>data!CM18</f>
        <v>-611</v>
      </c>
      <c r="CN13" s="191">
        <f>data!CN18</f>
        <v>-595</v>
      </c>
      <c r="CO13" s="191">
        <f>data!CO18</f>
        <v>-636</v>
      </c>
      <c r="CP13" s="215">
        <f>SUM(CL13:CO13)</f>
        <v>-2565</v>
      </c>
      <c r="CQ13" s="191">
        <f>data!CQ18</f>
        <v>-561</v>
      </c>
      <c r="CR13" s="191">
        <f>data!CR18</f>
        <v>-604</v>
      </c>
      <c r="CS13" s="191">
        <f>data!CS18</f>
        <v>-627</v>
      </c>
      <c r="CT13" s="191">
        <f>data!CT18</f>
        <v>-705</v>
      </c>
      <c r="CU13" s="215">
        <f>SUM(CQ13:CT13)</f>
        <v>-2497</v>
      </c>
      <c r="CV13" s="191">
        <f>data!CV18</f>
        <v>-403</v>
      </c>
      <c r="CW13" s="191">
        <f>data!CW18</f>
        <v>-439</v>
      </c>
      <c r="CX13" s="191">
        <f>data!CX18</f>
        <v>-426</v>
      </c>
      <c r="CY13" s="191">
        <f>data!CY18</f>
        <v>-518</v>
      </c>
      <c r="CZ13" s="215">
        <f>SUM(CV13:CY13)</f>
        <v>-1786</v>
      </c>
      <c r="DA13" s="191">
        <f>data!DA18</f>
        <v>-431</v>
      </c>
      <c r="DB13" s="191">
        <f>data!DB18</f>
        <v>-455</v>
      </c>
      <c r="DC13" s="191">
        <f>data!DC18</f>
        <v>-471</v>
      </c>
      <c r="DD13" s="191">
        <f>data!DD18</f>
        <v>-550</v>
      </c>
      <c r="DE13" s="215">
        <f>SUM(DA13:DD13)</f>
        <v>-1907</v>
      </c>
      <c r="DF13" s="191">
        <f>data!DF18</f>
        <v>-507</v>
      </c>
      <c r="DG13" s="191">
        <f>data!DG18</f>
        <v>-300</v>
      </c>
      <c r="DH13" s="191">
        <f>data!DH18</f>
        <v>-331</v>
      </c>
      <c r="DI13" s="191">
        <f>data!DI18</f>
        <v>-385</v>
      </c>
      <c r="DJ13" s="215">
        <f>SUM(DF13:DI13)</f>
        <v>-1523</v>
      </c>
      <c r="DK13" s="191">
        <f>data!DK18</f>
        <v>-359</v>
      </c>
      <c r="DL13" s="191">
        <f>data!DL18</f>
        <v>-359</v>
      </c>
      <c r="DM13" s="294">
        <f>-DM9*DM69</f>
        <v>-503.29300000000006</v>
      </c>
      <c r="DN13" s="294">
        <f>-DN9*DN69</f>
        <v>-848.43920000000003</v>
      </c>
      <c r="DO13" s="215">
        <f>SUM(DK13:DN13)</f>
        <v>-2069.7322000000004</v>
      </c>
      <c r="DP13" s="294">
        <f>-DP9*DP69</f>
        <v>-717.03660000000002</v>
      </c>
      <c r="DQ13" s="294">
        <f>-DQ9*DQ69</f>
        <v>-803.23250000000007</v>
      </c>
      <c r="DR13" s="294">
        <f>-DR9*DR69</f>
        <v>-568.01353000000006</v>
      </c>
      <c r="DS13" s="294">
        <f>-DS9*DS69</f>
        <v>-979.70000543999993</v>
      </c>
      <c r="DT13" s="215">
        <f>SUM(DP13:DS13)</f>
        <v>-3067.9826354400002</v>
      </c>
      <c r="DU13" s="293">
        <f>-DU9*DU69</f>
        <v>-3198.0717923770194</v>
      </c>
      <c r="DV13" s="293">
        <f>-DV9*DV69</f>
        <v>-3418.5269222531688</v>
      </c>
    </row>
    <row r="14" spans="2:126" s="216" customFormat="1" ht="12">
      <c r="B14" s="216" t="s">
        <v>28</v>
      </c>
      <c r="C14" s="225">
        <f t="shared" ref="C14:M14" si="40">C11+C13</f>
        <v>0</v>
      </c>
      <c r="D14" s="225">
        <f t="shared" si="40"/>
        <v>0</v>
      </c>
      <c r="E14" s="225">
        <f t="shared" si="40"/>
        <v>0</v>
      </c>
      <c r="F14" s="225">
        <f t="shared" si="40"/>
        <v>0</v>
      </c>
      <c r="G14" s="225">
        <f t="shared" si="40"/>
        <v>0</v>
      </c>
      <c r="H14" s="225">
        <f t="shared" si="40"/>
        <v>0</v>
      </c>
      <c r="I14" s="225">
        <f t="shared" si="40"/>
        <v>0</v>
      </c>
      <c r="J14" s="216">
        <f t="shared" si="40"/>
        <v>0</v>
      </c>
      <c r="K14" s="216">
        <f t="shared" si="40"/>
        <v>0</v>
      </c>
      <c r="L14" s="216">
        <f t="shared" si="40"/>
        <v>0</v>
      </c>
      <c r="M14" s="216">
        <f t="shared" si="40"/>
        <v>0</v>
      </c>
      <c r="N14" s="225">
        <f t="shared" ref="N14:AR14" si="41">N11+N13</f>
        <v>0</v>
      </c>
      <c r="O14" s="216" t="e">
        <f t="shared" si="41"/>
        <v>#REF!</v>
      </c>
      <c r="P14" s="216" t="e">
        <f t="shared" si="41"/>
        <v>#REF!</v>
      </c>
      <c r="Q14" s="216" t="e">
        <f t="shared" si="41"/>
        <v>#REF!</v>
      </c>
      <c r="R14" s="216" t="e">
        <f t="shared" si="41"/>
        <v>#REF!</v>
      </c>
      <c r="S14" s="225" t="e">
        <f t="shared" si="41"/>
        <v>#REF!</v>
      </c>
      <c r="T14" s="216" t="e">
        <f t="shared" si="41"/>
        <v>#REF!</v>
      </c>
      <c r="U14" s="216" t="e">
        <f t="shared" si="41"/>
        <v>#REF!</v>
      </c>
      <c r="V14" s="216" t="e">
        <f t="shared" si="41"/>
        <v>#REF!</v>
      </c>
      <c r="W14" s="216" t="e">
        <f t="shared" si="41"/>
        <v>#REF!</v>
      </c>
      <c r="X14" s="225" t="e">
        <f t="shared" si="41"/>
        <v>#REF!</v>
      </c>
      <c r="Y14" s="216" t="e">
        <f t="shared" si="41"/>
        <v>#REF!</v>
      </c>
      <c r="Z14" s="216" t="e">
        <f t="shared" si="41"/>
        <v>#REF!</v>
      </c>
      <c r="AA14" s="216" t="e">
        <f t="shared" si="41"/>
        <v>#REF!</v>
      </c>
      <c r="AB14" s="216" t="e">
        <f t="shared" si="41"/>
        <v>#REF!</v>
      </c>
      <c r="AC14" s="225" t="e">
        <f t="shared" si="41"/>
        <v>#REF!</v>
      </c>
      <c r="AD14" s="216" t="e">
        <f t="shared" si="41"/>
        <v>#REF!</v>
      </c>
      <c r="AE14" s="216" t="e">
        <f t="shared" si="41"/>
        <v>#REF!</v>
      </c>
      <c r="AF14" s="216" t="e">
        <f t="shared" si="41"/>
        <v>#REF!</v>
      </c>
      <c r="AG14" s="216" t="e">
        <f t="shared" si="41"/>
        <v>#REF!</v>
      </c>
      <c r="AH14" s="225" t="e">
        <f t="shared" si="41"/>
        <v>#REF!</v>
      </c>
      <c r="AI14" s="216" t="e">
        <f t="shared" si="41"/>
        <v>#REF!</v>
      </c>
      <c r="AJ14" s="216" t="e">
        <f t="shared" si="41"/>
        <v>#REF!</v>
      </c>
      <c r="AK14" s="216" t="e">
        <f t="shared" si="41"/>
        <v>#REF!</v>
      </c>
      <c r="AL14" s="216" t="e">
        <f t="shared" si="41"/>
        <v>#REF!</v>
      </c>
      <c r="AM14" s="225" t="e">
        <f t="shared" si="41"/>
        <v>#REF!</v>
      </c>
      <c r="AN14" s="216" t="e">
        <f t="shared" si="41"/>
        <v>#REF!</v>
      </c>
      <c r="AO14" s="216" t="e">
        <f t="shared" si="41"/>
        <v>#REF!</v>
      </c>
      <c r="AP14" s="216" t="e">
        <f t="shared" si="41"/>
        <v>#REF!</v>
      </c>
      <c r="AQ14" s="216">
        <f t="shared" si="41"/>
        <v>0</v>
      </c>
      <c r="AR14" s="225" t="e">
        <f t="shared" si="41"/>
        <v>#REF!</v>
      </c>
      <c r="AS14" s="216">
        <f t="shared" ref="AS14:BA14" si="42">AS11+AS13</f>
        <v>0</v>
      </c>
      <c r="AT14" s="216">
        <f t="shared" si="42"/>
        <v>0</v>
      </c>
      <c r="AU14" s="216">
        <f t="shared" si="42"/>
        <v>0</v>
      </c>
      <c r="AV14" s="216">
        <f t="shared" si="42"/>
        <v>0</v>
      </c>
      <c r="AW14" s="225">
        <f t="shared" si="42"/>
        <v>0</v>
      </c>
      <c r="AX14" s="216" t="e">
        <f t="shared" si="42"/>
        <v>#REF!</v>
      </c>
      <c r="AY14" s="216" t="e">
        <f t="shared" si="42"/>
        <v>#REF!</v>
      </c>
      <c r="AZ14" s="216">
        <f t="shared" si="42"/>
        <v>0</v>
      </c>
      <c r="BA14" s="216">
        <f t="shared" si="42"/>
        <v>0</v>
      </c>
      <c r="BB14" s="225" t="e">
        <f t="shared" ref="BB14:BH14" si="43">BB11+BB13</f>
        <v>#REF!</v>
      </c>
      <c r="BC14" s="216">
        <f t="shared" si="43"/>
        <v>0</v>
      </c>
      <c r="BD14" s="216" t="e">
        <f t="shared" si="43"/>
        <v>#REF!</v>
      </c>
      <c r="BE14" s="216">
        <f t="shared" si="43"/>
        <v>0</v>
      </c>
      <c r="BF14" s="216">
        <f t="shared" si="43"/>
        <v>0</v>
      </c>
      <c r="BG14" s="225" t="e">
        <f t="shared" si="43"/>
        <v>#REF!</v>
      </c>
      <c r="BH14" s="216">
        <f t="shared" si="43"/>
        <v>0</v>
      </c>
      <c r="BI14" s="216">
        <f t="shared" ref="BI14:BN14" si="44">BI11+BI13</f>
        <v>0</v>
      </c>
      <c r="BJ14" s="216">
        <f t="shared" si="44"/>
        <v>0</v>
      </c>
      <c r="BK14" s="216">
        <f t="shared" si="44"/>
        <v>0</v>
      </c>
      <c r="BL14" s="225">
        <f t="shared" si="44"/>
        <v>0</v>
      </c>
      <c r="BM14" s="216">
        <f t="shared" si="44"/>
        <v>0</v>
      </c>
      <c r="BN14" s="216">
        <f t="shared" si="44"/>
        <v>0</v>
      </c>
      <c r="BO14" s="216">
        <f t="shared" ref="BO14:BP14" si="45">BO11+BO13</f>
        <v>0</v>
      </c>
      <c r="BP14" s="216">
        <f t="shared" si="45"/>
        <v>0</v>
      </c>
      <c r="BQ14" s="225">
        <f>BQ11+BQ13</f>
        <v>0</v>
      </c>
      <c r="BR14" s="216">
        <f t="shared" ref="BR14:BS14" si="46">BR11+BR13</f>
        <v>0</v>
      </c>
      <c r="BS14" s="216">
        <f t="shared" si="46"/>
        <v>0</v>
      </c>
      <c r="BT14" s="216">
        <f t="shared" ref="BT14" si="47">BT11+BT13</f>
        <v>0</v>
      </c>
      <c r="BU14" s="216">
        <f t="shared" ref="BU14" si="48">BU11+BU13</f>
        <v>0</v>
      </c>
      <c r="BV14" s="225">
        <f>BV11+BV13</f>
        <v>0</v>
      </c>
      <c r="BW14" s="216">
        <f>SEG!BW71</f>
        <v>0</v>
      </c>
      <c r="BX14" s="216">
        <f>SEG!BX71</f>
        <v>0</v>
      </c>
      <c r="BY14" s="216">
        <f>SEG!BY71</f>
        <v>0</v>
      </c>
      <c r="BZ14" s="216">
        <f>SEG!BZ71</f>
        <v>0</v>
      </c>
      <c r="CA14" s="225">
        <f>SUM(BW14:BZ14)</f>
        <v>0</v>
      </c>
      <c r="CB14" s="216">
        <f>SEG!CB71</f>
        <v>0</v>
      </c>
      <c r="CC14" s="216">
        <f>SEG!CC71</f>
        <v>0</v>
      </c>
      <c r="CD14" s="216">
        <f>SEG!CD71</f>
        <v>0</v>
      </c>
      <c r="CE14" s="216">
        <f>SEG!CE71</f>
        <v>0</v>
      </c>
      <c r="CF14" s="225">
        <f>CF11+CF13</f>
        <v>0</v>
      </c>
      <c r="CG14" s="216">
        <f>SEG!CG71</f>
        <v>0</v>
      </c>
      <c r="CH14" s="216">
        <f>SEG!CH71</f>
        <v>0</v>
      </c>
      <c r="CI14" s="216">
        <f>SEG!CI71</f>
        <v>0</v>
      </c>
      <c r="CJ14" s="216">
        <f>SEG!CJ71</f>
        <v>0</v>
      </c>
      <c r="CK14" s="225">
        <f>CK11+CK13</f>
        <v>0</v>
      </c>
      <c r="CL14" s="216">
        <f>+CL11+CL12+CL13</f>
        <v>1279</v>
      </c>
      <c r="CM14" s="216">
        <f t="shared" ref="CM14:CO14" si="49">+CM11+CM12+CM13</f>
        <v>-507</v>
      </c>
      <c r="CN14" s="216">
        <f t="shared" si="49"/>
        <v>678</v>
      </c>
      <c r="CO14" s="216">
        <f t="shared" si="49"/>
        <v>1356</v>
      </c>
      <c r="CP14" s="225">
        <f>+CP11+CP12+CP13</f>
        <v>2806</v>
      </c>
      <c r="CQ14" s="216">
        <f>+CQ11+CQ12+CQ13</f>
        <v>1129</v>
      </c>
      <c r="CR14" s="216">
        <f t="shared" ref="CR14" si="50">+CR11+CR12+CR13</f>
        <v>1192</v>
      </c>
      <c r="CS14" s="216">
        <f t="shared" ref="CS14" si="51">+CS11+CS12+CS13</f>
        <v>1653</v>
      </c>
      <c r="CT14" s="216">
        <f t="shared" ref="CT14" si="52">+CT11+CT12+CT13</f>
        <v>2122</v>
      </c>
      <c r="CU14" s="225">
        <f>+CU11+CU12+CU13</f>
        <v>6096</v>
      </c>
      <c r="CV14" s="216">
        <f>+CV11+CV12+CV13</f>
        <v>-327</v>
      </c>
      <c r="CW14" s="216">
        <f t="shared" ref="CW14" si="53">+CW11+CW12+CW13</f>
        <v>1199</v>
      </c>
      <c r="CX14" s="216">
        <f t="shared" ref="CX14" si="54">+CX11+CX12+CX13</f>
        <v>374</v>
      </c>
      <c r="CY14" s="216">
        <f t="shared" ref="CY14" si="55">+CY11+CY12+CY13</f>
        <v>907</v>
      </c>
      <c r="CZ14" s="225">
        <f>+CZ11+CZ12+CZ13</f>
        <v>2153</v>
      </c>
      <c r="DA14" s="216">
        <f>+DA11+DA12+DA13</f>
        <v>978</v>
      </c>
      <c r="DB14" s="216">
        <f t="shared" ref="DB14" si="56">+DB11+DB12+DB13</f>
        <v>1297</v>
      </c>
      <c r="DC14" s="216">
        <f t="shared" ref="DC14" si="57">+DC11+DC12+DC13</f>
        <v>1573</v>
      </c>
      <c r="DD14" s="216">
        <f t="shared" ref="DD14" si="58">+DD11+DD12+DD13</f>
        <v>1634</v>
      </c>
      <c r="DE14" s="225">
        <f>DE11+DE12+DE13</f>
        <v>5482</v>
      </c>
      <c r="DF14" s="216">
        <f>+DF11+DF12+DF13</f>
        <v>1657</v>
      </c>
      <c r="DG14" s="216">
        <f>+DG11+DG12+DG13</f>
        <v>2294</v>
      </c>
      <c r="DH14" s="216">
        <f>+DH11+DH12+DH13</f>
        <v>1955</v>
      </c>
      <c r="DI14" s="216">
        <f>+DI11+DI12+DI13</f>
        <v>2509</v>
      </c>
      <c r="DJ14" s="225">
        <f>DJ11+DJ12+DJ13</f>
        <v>8415</v>
      </c>
      <c r="DK14" s="216">
        <f>+DK11+DK12+DK13</f>
        <v>2704</v>
      </c>
      <c r="DL14" s="216">
        <f>+DL11+DL12+DL13</f>
        <v>2798</v>
      </c>
      <c r="DM14" s="228">
        <f>SEG!DM71</f>
        <v>2141.2268800000002</v>
      </c>
      <c r="DN14" s="228">
        <f>SEG!DN71</f>
        <v>2037.9231999999997</v>
      </c>
      <c r="DO14" s="225">
        <f>DO11+DO12+DO13</f>
        <v>9681.1500799999976</v>
      </c>
      <c r="DP14" s="228">
        <f>SEG!DP71</f>
        <v>2378.8568399999999</v>
      </c>
      <c r="DQ14" s="228">
        <f>SEG!DQ71</f>
        <v>2595.7157500000003</v>
      </c>
      <c r="DR14" s="228">
        <f>SEG!DR71</f>
        <v>2502.9031202000006</v>
      </c>
      <c r="DS14" s="228">
        <f>SEG!DS71</f>
        <v>2588.8442002719999</v>
      </c>
      <c r="DT14" s="225">
        <f>DT11+DT12+DT13</f>
        <v>10066.319910472001</v>
      </c>
      <c r="DU14" s="229">
        <f>SEG!DU71</f>
        <v>11037.298075816725</v>
      </c>
      <c r="DV14" s="229">
        <f>SEG!DV71</f>
        <v>11906.148714403262</v>
      </c>
    </row>
    <row r="15" spans="2:126" s="15" customFormat="1">
      <c r="B15" s="221" t="s">
        <v>31</v>
      </c>
      <c r="C15" s="222">
        <f>data!C20</f>
        <v>0</v>
      </c>
      <c r="D15" s="222">
        <f>data!D20</f>
        <v>0</v>
      </c>
      <c r="E15" s="222">
        <f>data!E20</f>
        <v>0</v>
      </c>
      <c r="F15" s="222">
        <f>data!F20</f>
        <v>0</v>
      </c>
      <c r="G15" s="222">
        <f>data!G20</f>
        <v>0</v>
      </c>
      <c r="H15" s="222">
        <f>data!H20</f>
        <v>0</v>
      </c>
      <c r="I15" s="222">
        <f>data!I20</f>
        <v>0</v>
      </c>
      <c r="J15" s="221">
        <f>data!J20</f>
        <v>0</v>
      </c>
      <c r="K15" s="221">
        <f>data!K20</f>
        <v>0</v>
      </c>
      <c r="L15" s="221">
        <f>data!L20</f>
        <v>0</v>
      </c>
      <c r="M15" s="221">
        <f>data!M20</f>
        <v>0</v>
      </c>
      <c r="N15" s="222">
        <f t="shared" si="35"/>
        <v>0</v>
      </c>
      <c r="O15" s="221">
        <f>data!O20</f>
        <v>0</v>
      </c>
      <c r="P15" s="221">
        <f>data!P20</f>
        <v>0</v>
      </c>
      <c r="Q15" s="221">
        <f>data!Q20</f>
        <v>0</v>
      </c>
      <c r="R15" s="221">
        <f>data!R20</f>
        <v>0</v>
      </c>
      <c r="S15" s="222">
        <f t="shared" si="36"/>
        <v>0</v>
      </c>
      <c r="T15" s="221">
        <f>data!T20</f>
        <v>0</v>
      </c>
      <c r="U15" s="221">
        <f>data!U20</f>
        <v>0</v>
      </c>
      <c r="V15" s="221">
        <f>data!V20</f>
        <v>0</v>
      </c>
      <c r="W15" s="221">
        <f>data!W20</f>
        <v>0</v>
      </c>
      <c r="X15" s="222">
        <f t="shared" si="37"/>
        <v>0</v>
      </c>
      <c r="Y15" s="221">
        <f>data!Y20</f>
        <v>0</v>
      </c>
      <c r="Z15" s="221">
        <f>data!Z20</f>
        <v>0</v>
      </c>
      <c r="AA15" s="221">
        <f>data!AA20</f>
        <v>0</v>
      </c>
      <c r="AB15" s="221">
        <f>data!AB20</f>
        <v>0</v>
      </c>
      <c r="AC15" s="222">
        <f t="shared" si="38"/>
        <v>0</v>
      </c>
      <c r="AD15" s="221">
        <f>data!AD20</f>
        <v>0</v>
      </c>
      <c r="AE15" s="221">
        <f>data!AE20</f>
        <v>0</v>
      </c>
      <c r="AF15" s="221">
        <f>data!AF20</f>
        <v>0</v>
      </c>
      <c r="AG15" s="221">
        <f>data!AG20</f>
        <v>0</v>
      </c>
      <c r="AH15" s="222">
        <f t="shared" si="39"/>
        <v>0</v>
      </c>
      <c r="AI15" s="221">
        <f>data!AI20</f>
        <v>0</v>
      </c>
      <c r="AJ15" s="221">
        <f>data!AJ20</f>
        <v>0</v>
      </c>
      <c r="AK15" s="221">
        <f>data!AK20</f>
        <v>0</v>
      </c>
      <c r="AL15" s="221">
        <f>data!AL20</f>
        <v>0</v>
      </c>
      <c r="AM15" s="222">
        <f>SUM(AI15:AL15)</f>
        <v>0</v>
      </c>
      <c r="AN15" s="221">
        <f>data!AN20</f>
        <v>0</v>
      </c>
      <c r="AO15" s="221">
        <f>data!AO20</f>
        <v>0</v>
      </c>
      <c r="AP15" s="221">
        <f>data!AP20</f>
        <v>0</v>
      </c>
      <c r="AQ15" s="221">
        <f>data!AQ20</f>
        <v>0</v>
      </c>
      <c r="AR15" s="222">
        <f>SUM(AN15:AQ15)</f>
        <v>0</v>
      </c>
      <c r="AS15" s="221">
        <f>data!AS20</f>
        <v>0</v>
      </c>
      <c r="AT15" s="221">
        <f>data!AT20</f>
        <v>0</v>
      </c>
      <c r="AU15" s="221">
        <f>data!AU20</f>
        <v>0</v>
      </c>
      <c r="AV15" s="221">
        <f>data!AV20</f>
        <v>0</v>
      </c>
      <c r="AW15" s="222">
        <f>SUM(AS15:AV15)</f>
        <v>0</v>
      </c>
      <c r="AX15" s="221">
        <f>data!AX20</f>
        <v>0</v>
      </c>
      <c r="AY15" s="221">
        <f>data!AY20</f>
        <v>0</v>
      </c>
      <c r="AZ15" s="221">
        <f>data!AZ20</f>
        <v>0</v>
      </c>
      <c r="BA15" s="221">
        <f>data!BA20</f>
        <v>0</v>
      </c>
      <c r="BB15" s="222">
        <f>SUM(AX15:BA15)</f>
        <v>0</v>
      </c>
      <c r="BC15" s="221">
        <f>data!BC20</f>
        <v>0</v>
      </c>
      <c r="BD15" s="221">
        <f>data!BD20</f>
        <v>0</v>
      </c>
      <c r="BE15" s="221">
        <f>data!BE20</f>
        <v>0</v>
      </c>
      <c r="BF15" s="221">
        <f>data!BF20</f>
        <v>0</v>
      </c>
      <c r="BG15" s="222">
        <f>SUM(BC15:BF15)</f>
        <v>0</v>
      </c>
      <c r="BH15" s="221">
        <f>data!BH20</f>
        <v>0</v>
      </c>
      <c r="BI15" s="221">
        <f>data!BI20</f>
        <v>0</v>
      </c>
      <c r="BJ15" s="221">
        <f>data!BJ20</f>
        <v>0</v>
      </c>
      <c r="BK15" s="221">
        <f>data!BK20</f>
        <v>0</v>
      </c>
      <c r="BL15" s="222">
        <f>SUM(BH15:BK15)</f>
        <v>0</v>
      </c>
      <c r="BM15" s="221">
        <f>data!BM20</f>
        <v>0</v>
      </c>
      <c r="BN15" s="221">
        <f>data!BN20</f>
        <v>0</v>
      </c>
      <c r="BO15" s="221">
        <f>data!BO20</f>
        <v>0</v>
      </c>
      <c r="BP15" s="221">
        <f>data!BP20</f>
        <v>0</v>
      </c>
      <c r="BQ15" s="222">
        <f>SUM(BM15:BP15)</f>
        <v>0</v>
      </c>
      <c r="BR15" s="221">
        <f>data!BR20</f>
        <v>0</v>
      </c>
      <c r="BS15" s="221">
        <f>data!BS20</f>
        <v>0</v>
      </c>
      <c r="BT15" s="221">
        <f>data!BT20</f>
        <v>0</v>
      </c>
      <c r="BU15" s="221">
        <f>data!BU20</f>
        <v>0</v>
      </c>
      <c r="BV15" s="222">
        <f>SUM(BR15:BU15)</f>
        <v>0</v>
      </c>
      <c r="BW15" s="221">
        <f>data!BW20</f>
        <v>0</v>
      </c>
      <c r="BX15" s="221">
        <f>data!BX20</f>
        <v>0</v>
      </c>
      <c r="BY15" s="221">
        <f>data!BY20</f>
        <v>0</v>
      </c>
      <c r="BZ15" s="221">
        <f>data!BZ20</f>
        <v>0</v>
      </c>
      <c r="CA15" s="222">
        <f>SUM(BW15:BZ15)</f>
        <v>0</v>
      </c>
      <c r="CB15" s="221">
        <f>data!CB20</f>
        <v>0</v>
      </c>
      <c r="CC15" s="221">
        <f>data!CC20</f>
        <v>0</v>
      </c>
      <c r="CD15" s="221">
        <f>data!CD20</f>
        <v>0</v>
      </c>
      <c r="CE15" s="221">
        <f>data!CE20</f>
        <v>0</v>
      </c>
      <c r="CF15" s="222">
        <f>SUM(CB15:CE15)</f>
        <v>0</v>
      </c>
      <c r="CG15" s="221">
        <f>data!CG20</f>
        <v>0</v>
      </c>
      <c r="CH15" s="221">
        <f>data!CH20</f>
        <v>0</v>
      </c>
      <c r="CI15" s="221">
        <f>data!CI20</f>
        <v>0</v>
      </c>
      <c r="CJ15" s="221">
        <f>data!CJ20</f>
        <v>0</v>
      </c>
      <c r="CK15" s="222">
        <f>SUM(CG15:CJ15)</f>
        <v>0</v>
      </c>
      <c r="CL15" s="221">
        <f>data!CL20</f>
        <v>-561</v>
      </c>
      <c r="CM15" s="221">
        <f>data!CM20</f>
        <v>-561</v>
      </c>
      <c r="CN15" s="221">
        <f>data!CN20</f>
        <v>-526</v>
      </c>
      <c r="CO15" s="221">
        <f>data!CO20</f>
        <v>-420</v>
      </c>
      <c r="CP15" s="222">
        <f>SUM(CL15:CO15)</f>
        <v>-2068</v>
      </c>
      <c r="CQ15" s="221">
        <f>data!CQ20</f>
        <v>-500</v>
      </c>
      <c r="CR15" s="221">
        <f>data!CR20</f>
        <v>-488</v>
      </c>
      <c r="CS15" s="221">
        <f>data!CS20</f>
        <v>-462</v>
      </c>
      <c r="CT15" s="221">
        <f>data!CT20</f>
        <v>-426</v>
      </c>
      <c r="CU15" s="222">
        <f>SUM(CQ15:CT15)</f>
        <v>-1876</v>
      </c>
      <c r="CV15" s="221">
        <f>data!CV20</f>
        <v>-387</v>
      </c>
      <c r="CW15" s="221">
        <f>data!CW20</f>
        <v>-368</v>
      </c>
      <c r="CX15" s="221">
        <f>data!CX20</f>
        <v>-374</v>
      </c>
      <c r="CY15" s="221">
        <f>data!CY20</f>
        <v>-348</v>
      </c>
      <c r="CZ15" s="222">
        <f>SUM(CV15:CY15)</f>
        <v>-1477</v>
      </c>
      <c r="DA15" s="221">
        <f>data!DA20</f>
        <v>-269</v>
      </c>
      <c r="DB15" s="221">
        <f>data!DB20</f>
        <v>-267</v>
      </c>
      <c r="DC15" s="221">
        <f>data!DC20</f>
        <v>-286</v>
      </c>
      <c r="DD15" s="221">
        <f>data!DD20</f>
        <v>-296</v>
      </c>
      <c r="DE15" s="222">
        <f>SUM(DA15:DD15)</f>
        <v>-1118</v>
      </c>
      <c r="DF15" s="221">
        <f>data!DF20</f>
        <v>-278</v>
      </c>
      <c r="DG15" s="221">
        <f>data!DG20</f>
        <v>-248</v>
      </c>
      <c r="DH15" s="221">
        <f>data!DH20</f>
        <v>-251</v>
      </c>
      <c r="DI15" s="221">
        <f>data!DI20</f>
        <v>-224</v>
      </c>
      <c r="DJ15" s="222">
        <f>SUM(DF15:DI15)</f>
        <v>-1001</v>
      </c>
      <c r="DK15" s="221">
        <f>data!DK20</f>
        <v>-210</v>
      </c>
      <c r="DL15" s="221">
        <f>data!DL20</f>
        <v>-158</v>
      </c>
      <c r="DM15" s="256">
        <f>-((0.056*BS!DM31/4)-((BS!DM7*0.005)/4))</f>
        <v>-224.71461022415002</v>
      </c>
      <c r="DN15" s="256">
        <f>-((0.056*BS!DN31/4)-((BS!DN7*0.005)/4))</f>
        <v>-225.3392704483</v>
      </c>
      <c r="DO15" s="222">
        <f>SUM(DK15:DN15)</f>
        <v>-818.05388067244996</v>
      </c>
      <c r="DP15" s="256">
        <f>-((0.056*BS!DP31/4)-((BS!DP7*0.005)/4))</f>
        <v>-226.18869470607251</v>
      </c>
      <c r="DQ15" s="256">
        <f>-((0.056*BS!DQ31/4)-((BS!DQ7*0.005)/4))</f>
        <v>-227.79699646384501</v>
      </c>
      <c r="DR15" s="256">
        <f>-((0.056*BS!DR31/4)-((BS!DR7*0.005)/4))</f>
        <v>-228.21417572161749</v>
      </c>
      <c r="DS15" s="256">
        <f>-((0.056*BS!DS31/4)-((BS!DS7*0.005)/4))</f>
        <v>-227.06549122939001</v>
      </c>
      <c r="DT15" s="222">
        <f>SUM(DP15:DS15)</f>
        <v>-909.26535812092504</v>
      </c>
      <c r="DU15" s="261">
        <f>-((0.056*BS!DU31)-((BS!DU7*0.01)))</f>
        <v>-873.25723702114806</v>
      </c>
      <c r="DV15" s="261">
        <f>-((0.056*BS!DV31)-((BS!DV7*0.01)))</f>
        <v>-877.33992708508026</v>
      </c>
    </row>
    <row r="16" spans="2:126" s="15" customFormat="1" hidden="1" outlineLevel="1">
      <c r="B16" s="221" t="str">
        <f>data!B21</f>
        <v>Non-operating benefit income</v>
      </c>
      <c r="C16" s="222"/>
      <c r="D16" s="222"/>
      <c r="E16" s="222"/>
      <c r="F16" s="222"/>
      <c r="G16" s="222"/>
      <c r="H16" s="222"/>
      <c r="I16" s="222"/>
      <c r="J16" s="221"/>
      <c r="K16" s="221"/>
      <c r="L16" s="221"/>
      <c r="M16" s="221"/>
      <c r="N16" s="222"/>
      <c r="O16" s="221"/>
      <c r="P16" s="221"/>
      <c r="Q16" s="221"/>
      <c r="R16" s="221"/>
      <c r="S16" s="222"/>
      <c r="T16" s="221"/>
      <c r="U16" s="221"/>
      <c r="V16" s="221"/>
      <c r="W16" s="221"/>
      <c r="X16" s="222"/>
      <c r="Y16" s="221"/>
      <c r="Z16" s="221"/>
      <c r="AA16" s="221"/>
      <c r="AB16" s="221"/>
      <c r="AC16" s="222"/>
      <c r="AD16" s="221"/>
      <c r="AE16" s="221"/>
      <c r="AF16" s="221"/>
      <c r="AG16" s="221"/>
      <c r="AH16" s="222"/>
      <c r="AI16" s="221"/>
      <c r="AJ16" s="221"/>
      <c r="AK16" s="221"/>
      <c r="AL16" s="221"/>
      <c r="AM16" s="222"/>
      <c r="AN16" s="221"/>
      <c r="AO16" s="221"/>
      <c r="AP16" s="221"/>
      <c r="AQ16" s="221"/>
      <c r="AR16" s="222"/>
      <c r="AS16" s="221"/>
      <c r="AT16" s="221"/>
      <c r="AU16" s="221"/>
      <c r="AV16" s="221"/>
      <c r="AW16" s="222"/>
      <c r="AX16" s="221"/>
      <c r="AY16" s="221"/>
      <c r="AZ16" s="221"/>
      <c r="BA16" s="221"/>
      <c r="BB16" s="222"/>
      <c r="BC16" s="221"/>
      <c r="BD16" s="221"/>
      <c r="BE16" s="221"/>
      <c r="BF16" s="221"/>
      <c r="BG16" s="222"/>
      <c r="BH16" s="221"/>
      <c r="BI16" s="221"/>
      <c r="BJ16" s="221"/>
      <c r="BK16" s="221"/>
      <c r="BL16" s="222"/>
      <c r="BM16" s="221"/>
      <c r="BN16" s="221"/>
      <c r="BO16" s="221"/>
      <c r="BP16" s="221"/>
      <c r="BQ16" s="222"/>
      <c r="BR16" s="221"/>
      <c r="BS16" s="221"/>
      <c r="BT16" s="221"/>
      <c r="BU16" s="221"/>
      <c r="BV16" s="222"/>
      <c r="BW16" s="221">
        <f>data!BW21</f>
        <v>0</v>
      </c>
      <c r="BX16" s="221">
        <f>data!BX21</f>
        <v>0</v>
      </c>
      <c r="BY16" s="221">
        <f>data!BY21</f>
        <v>0</v>
      </c>
      <c r="BZ16" s="221">
        <f>data!BZ21</f>
        <v>0</v>
      </c>
      <c r="CA16" s="222">
        <f>SUM(BW16:BZ16)</f>
        <v>0</v>
      </c>
      <c r="CB16" s="394"/>
      <c r="CC16" s="418"/>
      <c r="CD16" s="418"/>
      <c r="CE16" s="418"/>
      <c r="CF16" s="222"/>
      <c r="CG16" s="418"/>
      <c r="CH16" s="418"/>
      <c r="CI16" s="418"/>
      <c r="CJ16" s="418"/>
      <c r="CK16" s="222"/>
      <c r="CL16" s="221">
        <f>data!CL21</f>
        <v>-618</v>
      </c>
      <c r="CM16" s="221">
        <f>data!CM21</f>
        <v>-598</v>
      </c>
      <c r="CN16" s="221">
        <f>data!CN21</f>
        <v>-605</v>
      </c>
      <c r="CO16" s="221">
        <f>data!CO21</f>
        <v>-609</v>
      </c>
      <c r="CP16" s="222">
        <f>SUM(CL16:CO16)</f>
        <v>-2430</v>
      </c>
      <c r="CQ16" s="221">
        <f>data!CQ21</f>
        <v>-430</v>
      </c>
      <c r="CR16" s="221">
        <f>data!CR21</f>
        <v>-517</v>
      </c>
      <c r="CS16" s="221">
        <f>data!CS21</f>
        <v>-427</v>
      </c>
      <c r="CT16" s="221">
        <f>data!CT21</f>
        <v>-408</v>
      </c>
      <c r="CU16" s="222">
        <f>SUM(CQ16:CT16)</f>
        <v>-1782</v>
      </c>
      <c r="CV16" s="221">
        <f>data!CV21</f>
        <v>105</v>
      </c>
      <c r="CW16" s="221">
        <f>data!CW21</f>
        <v>101</v>
      </c>
      <c r="CX16" s="221">
        <f>data!CX21</f>
        <v>96</v>
      </c>
      <c r="CY16" s="221">
        <f>data!CY21</f>
        <v>107</v>
      </c>
      <c r="CZ16" s="222">
        <f>SUM(CV16:CY16)</f>
        <v>409</v>
      </c>
      <c r="DA16" s="221">
        <f>data!DA21</f>
        <v>385</v>
      </c>
      <c r="DB16" s="221">
        <f>data!DB21</f>
        <v>402</v>
      </c>
      <c r="DC16" s="221">
        <f>data!DC21</f>
        <v>396</v>
      </c>
      <c r="DD16" s="221">
        <f>data!DD21</f>
        <v>402</v>
      </c>
      <c r="DE16" s="222">
        <f>SUM(DA16:DD16)</f>
        <v>1585</v>
      </c>
      <c r="DF16" s="221">
        <f>data!DF21</f>
        <v>362</v>
      </c>
      <c r="DG16" s="221">
        <f>data!DG21</f>
        <v>204</v>
      </c>
      <c r="DH16" s="221">
        <f>data!DH21</f>
        <v>207</v>
      </c>
      <c r="DI16" s="221">
        <f>data!DI21</f>
        <v>213</v>
      </c>
      <c r="DJ16" s="222">
        <f>SUM(DF16:DI16)</f>
        <v>986</v>
      </c>
      <c r="DK16" s="221">
        <f>data!DK21</f>
        <v>201</v>
      </c>
      <c r="DL16" s="221">
        <f>data!DL21</f>
        <v>197</v>
      </c>
      <c r="DM16" s="418">
        <f t="shared" ref="DM16:DN17" si="59">DM$9*DM70</f>
        <v>0</v>
      </c>
      <c r="DN16" s="418">
        <f t="shared" si="59"/>
        <v>0</v>
      </c>
      <c r="DO16" s="222">
        <f>SUM(DK16:DN16)</f>
        <v>398</v>
      </c>
      <c r="DP16" s="418">
        <f t="shared" ref="DP16" si="60">DP$9*DP70</f>
        <v>0</v>
      </c>
      <c r="DQ16" s="418">
        <f t="shared" ref="DQ16:DS16" si="61">DQ$9*DQ70</f>
        <v>0</v>
      </c>
      <c r="DR16" s="418">
        <f t="shared" si="61"/>
        <v>0</v>
      </c>
      <c r="DS16" s="418">
        <f t="shared" si="61"/>
        <v>0</v>
      </c>
      <c r="DT16" s="222">
        <f>SUM(DP16:DS16)</f>
        <v>0</v>
      </c>
      <c r="DU16" s="152">
        <f t="shared" ref="DU16:DV17" si="62">DU$9*DU70</f>
        <v>0</v>
      </c>
      <c r="DV16" s="152">
        <f t="shared" si="62"/>
        <v>0</v>
      </c>
    </row>
    <row r="17" spans="2:126" s="15" customFormat="1" collapsed="1">
      <c r="B17" s="221" t="s">
        <v>32</v>
      </c>
      <c r="C17" s="224">
        <f>data!C22</f>
        <v>0</v>
      </c>
      <c r="D17" s="224">
        <f>data!D22</f>
        <v>0</v>
      </c>
      <c r="E17" s="224">
        <f>data!E22</f>
        <v>0</v>
      </c>
      <c r="F17" s="224">
        <f>data!F22</f>
        <v>0</v>
      </c>
      <c r="G17" s="224">
        <f>data!G22</f>
        <v>0</v>
      </c>
      <c r="H17" s="224">
        <f>data!H22</f>
        <v>0</v>
      </c>
      <c r="I17" s="224">
        <f>data!I22</f>
        <v>0</v>
      </c>
      <c r="J17" s="223">
        <f>data!J22</f>
        <v>0</v>
      </c>
      <c r="K17" s="223">
        <f>data!K22</f>
        <v>0</v>
      </c>
      <c r="L17" s="223">
        <f>data!L22</f>
        <v>0</v>
      </c>
      <c r="M17" s="223">
        <f>data!M22</f>
        <v>0</v>
      </c>
      <c r="N17" s="224">
        <f t="shared" si="35"/>
        <v>0</v>
      </c>
      <c r="O17" s="223">
        <f>data!O22</f>
        <v>0</v>
      </c>
      <c r="P17" s="223">
        <f>data!P22</f>
        <v>0</v>
      </c>
      <c r="Q17" s="223">
        <f>data!Q22</f>
        <v>0</v>
      </c>
      <c r="R17" s="223">
        <f>data!R22</f>
        <v>0</v>
      </c>
      <c r="S17" s="224">
        <f t="shared" si="36"/>
        <v>0</v>
      </c>
      <c r="T17" s="223">
        <f>data!T22</f>
        <v>0</v>
      </c>
      <c r="U17" s="223">
        <f>data!U22</f>
        <v>0</v>
      </c>
      <c r="V17" s="223">
        <f>data!V22</f>
        <v>0</v>
      </c>
      <c r="W17" s="223">
        <f>data!W22</f>
        <v>0</v>
      </c>
      <c r="X17" s="224">
        <f t="shared" si="37"/>
        <v>0</v>
      </c>
      <c r="Y17" s="223">
        <f>data!Y22</f>
        <v>0</v>
      </c>
      <c r="Z17" s="223">
        <f>data!Z22</f>
        <v>0</v>
      </c>
      <c r="AA17" s="223">
        <f>data!AA22</f>
        <v>0</v>
      </c>
      <c r="AB17" s="223">
        <f>data!AB22</f>
        <v>0</v>
      </c>
      <c r="AC17" s="224">
        <f t="shared" si="38"/>
        <v>0</v>
      </c>
      <c r="AD17" s="223">
        <f>data!AD22</f>
        <v>0</v>
      </c>
      <c r="AE17" s="223">
        <f>data!AE22</f>
        <v>0</v>
      </c>
      <c r="AF17" s="223">
        <f>data!AF22</f>
        <v>0</v>
      </c>
      <c r="AG17" s="223">
        <f>data!AG22</f>
        <v>0</v>
      </c>
      <c r="AH17" s="224">
        <f t="shared" si="39"/>
        <v>0</v>
      </c>
      <c r="AI17" s="223">
        <f>data!AI22</f>
        <v>0</v>
      </c>
      <c r="AJ17" s="223">
        <f>data!AJ22</f>
        <v>0</v>
      </c>
      <c r="AK17" s="223">
        <f>data!AK22</f>
        <v>0</v>
      </c>
      <c r="AL17" s="223">
        <f>data!AL22</f>
        <v>0</v>
      </c>
      <c r="AM17" s="224">
        <f>SUM(AI17:AL17)</f>
        <v>0</v>
      </c>
      <c r="AN17" s="223">
        <f>data!AN22</f>
        <v>0</v>
      </c>
      <c r="AO17" s="223">
        <f>data!AO22</f>
        <v>0</v>
      </c>
      <c r="AP17" s="223">
        <f>data!AP22</f>
        <v>0</v>
      </c>
      <c r="AQ17" s="223">
        <f>data!AQ22</f>
        <v>0</v>
      </c>
      <c r="AR17" s="224">
        <f>SUM(AN17:AQ17)</f>
        <v>0</v>
      </c>
      <c r="AS17" s="223">
        <f>data!AS22</f>
        <v>0</v>
      </c>
      <c r="AT17" s="223">
        <f>data!AT22</f>
        <v>0</v>
      </c>
      <c r="AU17" s="223">
        <f>data!AU22</f>
        <v>0</v>
      </c>
      <c r="AV17" s="223">
        <f>data!AV22</f>
        <v>0</v>
      </c>
      <c r="AW17" s="224">
        <f>SUM(AS17:AV17)</f>
        <v>0</v>
      </c>
      <c r="AX17" s="223">
        <f>data!AX22</f>
        <v>0</v>
      </c>
      <c r="AY17" s="223">
        <f>data!AY22</f>
        <v>0</v>
      </c>
      <c r="AZ17" s="223">
        <f>data!AZ22</f>
        <v>0</v>
      </c>
      <c r="BA17" s="223">
        <f>data!BA22</f>
        <v>0</v>
      </c>
      <c r="BB17" s="224">
        <f>SUM(AX17:BA17)</f>
        <v>0</v>
      </c>
      <c r="BC17" s="191">
        <f>data!BC22</f>
        <v>0</v>
      </c>
      <c r="BD17" s="223">
        <f>data!BD22</f>
        <v>0</v>
      </c>
      <c r="BE17" s="223">
        <f>data!BE22</f>
        <v>0</v>
      </c>
      <c r="BF17" s="223">
        <f>data!BF22</f>
        <v>0</v>
      </c>
      <c r="BG17" s="215">
        <f>SUM(BC17:BF17)</f>
        <v>0</v>
      </c>
      <c r="BH17" s="223">
        <f>data!BH22</f>
        <v>0</v>
      </c>
      <c r="BI17" s="223">
        <f>data!BI22</f>
        <v>0</v>
      </c>
      <c r="BJ17" s="223">
        <f>data!BJ22</f>
        <v>0</v>
      </c>
      <c r="BK17" s="223">
        <f>data!BK22</f>
        <v>0</v>
      </c>
      <c r="BL17" s="215">
        <f>SUM(BH17:BK17)</f>
        <v>0</v>
      </c>
      <c r="BM17" s="191">
        <f>data!BM22</f>
        <v>0</v>
      </c>
      <c r="BN17" s="191">
        <f>data!BN22</f>
        <v>0</v>
      </c>
      <c r="BO17" s="191">
        <f>data!BO22</f>
        <v>0</v>
      </c>
      <c r="BP17" s="191">
        <f>data!BP22</f>
        <v>0</v>
      </c>
      <c r="BQ17" s="215">
        <f>SUM(BM17:BP17)</f>
        <v>0</v>
      </c>
      <c r="BR17" s="191">
        <f>data!BR22</f>
        <v>0</v>
      </c>
      <c r="BS17" s="191">
        <f>data!BS22</f>
        <v>0</v>
      </c>
      <c r="BT17" s="191">
        <f>data!BT22</f>
        <v>0</v>
      </c>
      <c r="BU17" s="191">
        <f>data!BU22</f>
        <v>0</v>
      </c>
      <c r="BV17" s="215">
        <f>SUM(BR17:BU17)</f>
        <v>0</v>
      </c>
      <c r="BW17" s="392">
        <f>data!BW22</f>
        <v>0</v>
      </c>
      <c r="BX17" s="392">
        <f>data!BX22</f>
        <v>0</v>
      </c>
      <c r="BY17" s="392">
        <f>data!BY22</f>
        <v>0</v>
      </c>
      <c r="BZ17" s="392">
        <f>data!BZ22</f>
        <v>0</v>
      </c>
      <c r="CA17" s="215">
        <f>SUM(BW17:BZ17)</f>
        <v>0</v>
      </c>
      <c r="CB17" s="392">
        <f>data!CB22</f>
        <v>0</v>
      </c>
      <c r="CC17" s="392">
        <f>data!CC22</f>
        <v>0</v>
      </c>
      <c r="CD17" s="392">
        <f>data!CD22</f>
        <v>0</v>
      </c>
      <c r="CE17" s="392">
        <f>data!CE22</f>
        <v>0</v>
      </c>
      <c r="CF17" s="484">
        <f>SUM(CB17:CE17)</f>
        <v>0</v>
      </c>
      <c r="CG17" s="392">
        <f>data!CG22</f>
        <v>0</v>
      </c>
      <c r="CH17" s="392">
        <f>data!CH22</f>
        <v>0</v>
      </c>
      <c r="CI17" s="392">
        <f>data!CI22</f>
        <v>0</v>
      </c>
      <c r="CJ17" s="392">
        <f>data!CJ22</f>
        <v>0</v>
      </c>
      <c r="CK17" s="484">
        <f>SUM(CG17:CJ17)</f>
        <v>0</v>
      </c>
      <c r="CL17" s="392">
        <f>data!CL22</f>
        <v>6208</v>
      </c>
      <c r="CM17" s="392">
        <f>data!CM22</f>
        <v>367</v>
      </c>
      <c r="CN17" s="392">
        <f>data!CN22</f>
        <v>-1166</v>
      </c>
      <c r="CO17" s="392">
        <f>data!CO22</f>
        <v>2253</v>
      </c>
      <c r="CP17" s="484">
        <f>SUM(CL17:CO17)</f>
        <v>7662</v>
      </c>
      <c r="CQ17" s="392">
        <f>data!CQ22</f>
        <v>39</v>
      </c>
      <c r="CR17" s="392">
        <f>data!CR22</f>
        <v>-1223</v>
      </c>
      <c r="CS17" s="392">
        <f>data!CS22</f>
        <v>-180</v>
      </c>
      <c r="CT17" s="392">
        <f>data!CT22</f>
        <v>-4756</v>
      </c>
      <c r="CU17" s="484">
        <f>SUM(CQ17:CT17)</f>
        <v>-6120</v>
      </c>
      <c r="CV17" s="392">
        <f>data!CV22</f>
        <v>-571</v>
      </c>
      <c r="CW17" s="392">
        <f>data!CW22</f>
        <v>-1896</v>
      </c>
      <c r="CX17" s="392">
        <f>data!CX22</f>
        <v>-326</v>
      </c>
      <c r="CY17" s="392">
        <f>data!CY22</f>
        <v>908</v>
      </c>
      <c r="CZ17" s="484">
        <f>SUM(CV17:CY17)</f>
        <v>-1885</v>
      </c>
      <c r="DA17" s="392">
        <f>data!DA22</f>
        <v>5397</v>
      </c>
      <c r="DB17" s="392">
        <f>data!DB22</f>
        <v>-43</v>
      </c>
      <c r="DC17" s="392">
        <f>data!DC22</f>
        <v>-1383</v>
      </c>
      <c r="DD17" s="392">
        <f>data!DD22</f>
        <v>272</v>
      </c>
      <c r="DE17" s="484">
        <f>SUM(DA17:DD17)</f>
        <v>4243</v>
      </c>
      <c r="DF17" s="392">
        <f>data!DF22</f>
        <v>127</v>
      </c>
      <c r="DG17" s="392">
        <f>data!DG22</f>
        <v>-803</v>
      </c>
      <c r="DH17" s="392">
        <f>data!DH22</f>
        <v>-18</v>
      </c>
      <c r="DI17" s="392">
        <f>data!DI22</f>
        <v>-205</v>
      </c>
      <c r="DJ17" s="484">
        <f>SUM(DF17:DI17)</f>
        <v>-899</v>
      </c>
      <c r="DK17" s="392">
        <f>data!DK22</f>
        <v>-450</v>
      </c>
      <c r="DL17" s="392">
        <f>data!DL22</f>
        <v>-448</v>
      </c>
      <c r="DM17" s="912">
        <f t="shared" si="59"/>
        <v>0</v>
      </c>
      <c r="DN17" s="912">
        <f t="shared" si="59"/>
        <v>0</v>
      </c>
      <c r="DO17" s="484">
        <f>SUM(DK17:DN17)</f>
        <v>-898</v>
      </c>
      <c r="DP17" s="912">
        <f t="shared" ref="DP17" si="63">DP$9*DP71</f>
        <v>0</v>
      </c>
      <c r="DQ17" s="912">
        <f t="shared" ref="DQ17:DS17" si="64">DQ$9*DQ71</f>
        <v>0</v>
      </c>
      <c r="DR17" s="912">
        <f t="shared" si="64"/>
        <v>0</v>
      </c>
      <c r="DS17" s="912">
        <f t="shared" si="64"/>
        <v>0</v>
      </c>
      <c r="DT17" s="484">
        <f>SUM(DP17:DS17)</f>
        <v>0</v>
      </c>
      <c r="DU17" s="293">
        <f t="shared" si="62"/>
        <v>0</v>
      </c>
      <c r="DV17" s="293">
        <f t="shared" si="62"/>
        <v>0</v>
      </c>
    </row>
    <row r="18" spans="2:126" s="216" customFormat="1" ht="12">
      <c r="B18" s="216" t="s">
        <v>29</v>
      </c>
      <c r="C18" s="225">
        <f t="shared" ref="C18:AQ18" si="65">C14+C15+C17</f>
        <v>0</v>
      </c>
      <c r="D18" s="225">
        <f t="shared" si="65"/>
        <v>0</v>
      </c>
      <c r="E18" s="225">
        <f t="shared" si="65"/>
        <v>0</v>
      </c>
      <c r="F18" s="225">
        <f t="shared" si="65"/>
        <v>0</v>
      </c>
      <c r="G18" s="225">
        <f t="shared" si="65"/>
        <v>0</v>
      </c>
      <c r="H18" s="225">
        <f t="shared" si="65"/>
        <v>0</v>
      </c>
      <c r="I18" s="225">
        <f t="shared" si="65"/>
        <v>0</v>
      </c>
      <c r="J18" s="216">
        <f t="shared" si="65"/>
        <v>0</v>
      </c>
      <c r="K18" s="216">
        <f t="shared" si="65"/>
        <v>0</v>
      </c>
      <c r="L18" s="216">
        <f t="shared" si="65"/>
        <v>0</v>
      </c>
      <c r="M18" s="216">
        <f t="shared" si="65"/>
        <v>0</v>
      </c>
      <c r="N18" s="225">
        <f t="shared" si="65"/>
        <v>0</v>
      </c>
      <c r="O18" s="216" t="e">
        <f t="shared" si="65"/>
        <v>#REF!</v>
      </c>
      <c r="P18" s="216" t="e">
        <f t="shared" si="65"/>
        <v>#REF!</v>
      </c>
      <c r="Q18" s="216" t="e">
        <f t="shared" si="65"/>
        <v>#REF!</v>
      </c>
      <c r="R18" s="216" t="e">
        <f t="shared" si="65"/>
        <v>#REF!</v>
      </c>
      <c r="S18" s="225" t="e">
        <f t="shared" si="65"/>
        <v>#REF!</v>
      </c>
      <c r="T18" s="216" t="e">
        <f t="shared" si="65"/>
        <v>#REF!</v>
      </c>
      <c r="U18" s="216" t="e">
        <f t="shared" si="65"/>
        <v>#REF!</v>
      </c>
      <c r="V18" s="216" t="e">
        <f t="shared" si="65"/>
        <v>#REF!</v>
      </c>
      <c r="W18" s="216" t="e">
        <f t="shared" si="65"/>
        <v>#REF!</v>
      </c>
      <c r="X18" s="225" t="e">
        <f t="shared" si="65"/>
        <v>#REF!</v>
      </c>
      <c r="Y18" s="216" t="e">
        <f t="shared" si="65"/>
        <v>#REF!</v>
      </c>
      <c r="Z18" s="216" t="e">
        <f t="shared" si="65"/>
        <v>#REF!</v>
      </c>
      <c r="AA18" s="216" t="e">
        <f t="shared" si="65"/>
        <v>#REF!</v>
      </c>
      <c r="AB18" s="216" t="e">
        <f t="shared" si="65"/>
        <v>#REF!</v>
      </c>
      <c r="AC18" s="225" t="e">
        <f t="shared" si="65"/>
        <v>#REF!</v>
      </c>
      <c r="AD18" s="216" t="e">
        <f t="shared" si="65"/>
        <v>#REF!</v>
      </c>
      <c r="AE18" s="216" t="e">
        <f t="shared" si="65"/>
        <v>#REF!</v>
      </c>
      <c r="AF18" s="216" t="e">
        <f t="shared" si="65"/>
        <v>#REF!</v>
      </c>
      <c r="AG18" s="216" t="e">
        <f t="shared" si="65"/>
        <v>#REF!</v>
      </c>
      <c r="AH18" s="225" t="e">
        <f t="shared" si="65"/>
        <v>#REF!</v>
      </c>
      <c r="AI18" s="216" t="e">
        <f t="shared" si="65"/>
        <v>#REF!</v>
      </c>
      <c r="AJ18" s="216" t="e">
        <f t="shared" si="65"/>
        <v>#REF!</v>
      </c>
      <c r="AK18" s="216" t="e">
        <f t="shared" si="65"/>
        <v>#REF!</v>
      </c>
      <c r="AL18" s="216" t="e">
        <f t="shared" si="65"/>
        <v>#REF!</v>
      </c>
      <c r="AM18" s="225" t="e">
        <f t="shared" si="65"/>
        <v>#REF!</v>
      </c>
      <c r="AN18" s="216" t="e">
        <f t="shared" si="65"/>
        <v>#REF!</v>
      </c>
      <c r="AO18" s="216" t="e">
        <f t="shared" si="65"/>
        <v>#REF!</v>
      </c>
      <c r="AP18" s="216" t="e">
        <f t="shared" si="65"/>
        <v>#REF!</v>
      </c>
      <c r="AQ18" s="216">
        <f t="shared" si="65"/>
        <v>0</v>
      </c>
      <c r="AR18" s="225" t="e">
        <f>AR14+AR17+AR15</f>
        <v>#REF!</v>
      </c>
      <c r="AS18" s="216">
        <f t="shared" ref="AS18:BV18" si="66">AS14+AS15+AS17</f>
        <v>0</v>
      </c>
      <c r="AT18" s="216">
        <f t="shared" si="66"/>
        <v>0</v>
      </c>
      <c r="AU18" s="216">
        <f t="shared" si="66"/>
        <v>0</v>
      </c>
      <c r="AV18" s="216">
        <f t="shared" si="66"/>
        <v>0</v>
      </c>
      <c r="AW18" s="225">
        <f t="shared" si="66"/>
        <v>0</v>
      </c>
      <c r="AX18" s="216" t="e">
        <f t="shared" si="66"/>
        <v>#REF!</v>
      </c>
      <c r="AY18" s="216" t="e">
        <f t="shared" si="66"/>
        <v>#REF!</v>
      </c>
      <c r="AZ18" s="216">
        <f t="shared" si="66"/>
        <v>0</v>
      </c>
      <c r="BA18" s="216">
        <f t="shared" si="66"/>
        <v>0</v>
      </c>
      <c r="BB18" s="225" t="e">
        <f t="shared" si="66"/>
        <v>#REF!</v>
      </c>
      <c r="BC18" s="216">
        <f t="shared" si="66"/>
        <v>0</v>
      </c>
      <c r="BD18" s="216" t="e">
        <f t="shared" si="66"/>
        <v>#REF!</v>
      </c>
      <c r="BE18" s="216">
        <f t="shared" si="66"/>
        <v>0</v>
      </c>
      <c r="BF18" s="216">
        <f t="shared" si="66"/>
        <v>0</v>
      </c>
      <c r="BG18" s="225" t="e">
        <f t="shared" si="66"/>
        <v>#REF!</v>
      </c>
      <c r="BH18" s="216">
        <f t="shared" si="66"/>
        <v>0</v>
      </c>
      <c r="BI18" s="216">
        <f t="shared" si="66"/>
        <v>0</v>
      </c>
      <c r="BJ18" s="216">
        <f t="shared" si="66"/>
        <v>0</v>
      </c>
      <c r="BK18" s="216">
        <f t="shared" si="66"/>
        <v>0</v>
      </c>
      <c r="BL18" s="225">
        <f t="shared" si="66"/>
        <v>0</v>
      </c>
      <c r="BM18" s="216">
        <f t="shared" si="66"/>
        <v>0</v>
      </c>
      <c r="BN18" s="216">
        <f t="shared" si="66"/>
        <v>0</v>
      </c>
      <c r="BO18" s="216">
        <f t="shared" si="66"/>
        <v>0</v>
      </c>
      <c r="BP18" s="216">
        <f t="shared" si="66"/>
        <v>0</v>
      </c>
      <c r="BQ18" s="225">
        <f t="shared" si="66"/>
        <v>0</v>
      </c>
      <c r="BR18" s="216">
        <f t="shared" si="66"/>
        <v>0</v>
      </c>
      <c r="BS18" s="216">
        <f t="shared" si="66"/>
        <v>0</v>
      </c>
      <c r="BT18" s="216">
        <f t="shared" si="66"/>
        <v>0</v>
      </c>
      <c r="BU18" s="216">
        <f t="shared" si="66"/>
        <v>0</v>
      </c>
      <c r="BV18" s="225">
        <f t="shared" si="66"/>
        <v>0</v>
      </c>
      <c r="BW18" s="216">
        <f t="shared" ref="BW18:CF18" si="67">BW14+BW15+BW17+BW16</f>
        <v>0</v>
      </c>
      <c r="BX18" s="216">
        <f t="shared" si="67"/>
        <v>0</v>
      </c>
      <c r="BY18" s="216">
        <f t="shared" si="67"/>
        <v>0</v>
      </c>
      <c r="BZ18" s="216">
        <f t="shared" si="67"/>
        <v>0</v>
      </c>
      <c r="CA18" s="225">
        <f t="shared" si="67"/>
        <v>0</v>
      </c>
      <c r="CB18" s="216">
        <f t="shared" si="67"/>
        <v>0</v>
      </c>
      <c r="CC18" s="216">
        <f t="shared" si="67"/>
        <v>0</v>
      </c>
      <c r="CD18" s="216">
        <f t="shared" si="67"/>
        <v>0</v>
      </c>
      <c r="CE18" s="216">
        <f t="shared" si="67"/>
        <v>0</v>
      </c>
      <c r="CF18" s="225">
        <f t="shared" si="67"/>
        <v>0</v>
      </c>
      <c r="CG18" s="216">
        <f t="shared" ref="CG18:CK18" si="68">CG14+CG15+CG17+CG16</f>
        <v>0</v>
      </c>
      <c r="CH18" s="216">
        <f t="shared" si="68"/>
        <v>0</v>
      </c>
      <c r="CI18" s="216">
        <f t="shared" si="68"/>
        <v>0</v>
      </c>
      <c r="CJ18" s="216">
        <f t="shared" ref="CJ18" si="69">CJ14+CJ15+CJ17+CJ16</f>
        <v>0</v>
      </c>
      <c r="CK18" s="225">
        <f t="shared" si="68"/>
        <v>0</v>
      </c>
      <c r="CL18" s="216">
        <f>CL14+CL15+CL17+CL16</f>
        <v>6308</v>
      </c>
      <c r="CM18" s="216">
        <f t="shared" ref="CM18" si="70">CM14+CM15+CM17+CM16</f>
        <v>-1299</v>
      </c>
      <c r="CN18" s="216">
        <f t="shared" ref="CN18:CO18" si="71">CN14+CN15+CN17+CN16</f>
        <v>-1619</v>
      </c>
      <c r="CO18" s="216">
        <f t="shared" si="71"/>
        <v>2580</v>
      </c>
      <c r="CP18" s="225">
        <f>CP14+CP15+CP17+CP16</f>
        <v>5970</v>
      </c>
      <c r="CQ18" s="216">
        <f>CQ14+CQ15+CQ17+CQ16</f>
        <v>238</v>
      </c>
      <c r="CR18" s="216">
        <f t="shared" ref="CR18:CT18" si="72">CR14+CR15+CR17+CR16</f>
        <v>-1036</v>
      </c>
      <c r="CS18" s="216">
        <f t="shared" si="72"/>
        <v>584</v>
      </c>
      <c r="CT18" s="216">
        <f t="shared" si="72"/>
        <v>-3468</v>
      </c>
      <c r="CU18" s="225">
        <f>CU14+CU15+CU17+CU16</f>
        <v>-3682</v>
      </c>
      <c r="CV18" s="216">
        <f>CV14+CV15+CV17+CV16</f>
        <v>-1180</v>
      </c>
      <c r="CW18" s="216">
        <f t="shared" ref="CW18:CY18" si="73">CW14+CW15+CW17+CW16</f>
        <v>-964</v>
      </c>
      <c r="CX18" s="216">
        <f t="shared" si="73"/>
        <v>-230</v>
      </c>
      <c r="CY18" s="216">
        <f t="shared" si="73"/>
        <v>1574</v>
      </c>
      <c r="CZ18" s="225">
        <f>CZ14+CZ15+CZ17+CZ16</f>
        <v>-800</v>
      </c>
      <c r="DA18" s="216">
        <f>DA14+DA15+DA17+DA16</f>
        <v>6491</v>
      </c>
      <c r="DB18" s="216">
        <f t="shared" ref="DB18:DD18" si="74">DB14+DB15+DB17+DB16</f>
        <v>1389</v>
      </c>
      <c r="DC18" s="216">
        <f t="shared" si="74"/>
        <v>300</v>
      </c>
      <c r="DD18" s="216">
        <f t="shared" si="74"/>
        <v>2012</v>
      </c>
      <c r="DE18" s="225">
        <f>DE14+DE15+DE17+DE16</f>
        <v>10192</v>
      </c>
      <c r="DF18" s="216">
        <f>DF14+DF15+DF17+DF16</f>
        <v>1868</v>
      </c>
      <c r="DG18" s="216">
        <f>DG14+DG15+DG17+DG16</f>
        <v>1447</v>
      </c>
      <c r="DH18" s="216">
        <f>DH14+DH15+DH17+DH16</f>
        <v>1893</v>
      </c>
      <c r="DI18" s="216">
        <f>DI14+DI15+DI17+DI16</f>
        <v>2293</v>
      </c>
      <c r="DJ18" s="225">
        <f t="shared" ref="DJ18:DN18" si="75">DJ14+DJ15+DJ17+DJ16</f>
        <v>7501</v>
      </c>
      <c r="DK18" s="216">
        <f>DK14+DK15+DK17+DK16</f>
        <v>2245</v>
      </c>
      <c r="DL18" s="216">
        <f>DL14+DL15+DL17+DL16</f>
        <v>2389</v>
      </c>
      <c r="DM18" s="216">
        <f t="shared" si="75"/>
        <v>1916.5122697758502</v>
      </c>
      <c r="DN18" s="216">
        <f t="shared" si="75"/>
        <v>1812.5839295516998</v>
      </c>
      <c r="DO18" s="225">
        <f t="shared" ref="DO18:DP18" si="76">DO14+DO15+DO17+DO16</f>
        <v>8363.0961993275469</v>
      </c>
      <c r="DP18" s="216">
        <f t="shared" si="76"/>
        <v>2152.6681452939274</v>
      </c>
      <c r="DQ18" s="216">
        <f t="shared" ref="DQ18:DT18" si="77">DQ14+DQ15+DQ17+DQ16</f>
        <v>2367.9187535361552</v>
      </c>
      <c r="DR18" s="216">
        <f t="shared" si="77"/>
        <v>2274.6889444783828</v>
      </c>
      <c r="DS18" s="216">
        <f t="shared" si="77"/>
        <v>2361.77870904261</v>
      </c>
      <c r="DT18" s="225">
        <f t="shared" si="77"/>
        <v>9157.0545523510755</v>
      </c>
      <c r="DU18" s="225">
        <f t="shared" ref="DU18:DV18" si="78">DU14+DU15+DU17+DU16</f>
        <v>10164.040838795578</v>
      </c>
      <c r="DV18" s="225">
        <f t="shared" si="78"/>
        <v>11028.808787318181</v>
      </c>
    </row>
    <row r="19" spans="2:126" s="15" customFormat="1">
      <c r="B19" s="221" t="s">
        <v>30</v>
      </c>
      <c r="C19" s="222">
        <f>data!C24</f>
        <v>0</v>
      </c>
      <c r="D19" s="222">
        <f>data!D24</f>
        <v>0</v>
      </c>
      <c r="E19" s="222">
        <f>data!E24</f>
        <v>0</v>
      </c>
      <c r="F19" s="222">
        <f>data!F24</f>
        <v>0</v>
      </c>
      <c r="G19" s="222">
        <f>data!G24</f>
        <v>0</v>
      </c>
      <c r="H19" s="222">
        <f>data!H24</f>
        <v>0</v>
      </c>
      <c r="I19" s="222">
        <f>data!I24</f>
        <v>0</v>
      </c>
      <c r="J19" s="221">
        <f>data!J24</f>
        <v>0</v>
      </c>
      <c r="K19" s="221">
        <f>data!K24</f>
        <v>0</v>
      </c>
      <c r="L19" s="221">
        <f>data!L24</f>
        <v>0</v>
      </c>
      <c r="M19" s="221">
        <f>data!M24</f>
        <v>0</v>
      </c>
      <c r="N19" s="222">
        <f t="shared" si="35"/>
        <v>0</v>
      </c>
      <c r="O19" s="221">
        <f>data!O24</f>
        <v>0</v>
      </c>
      <c r="P19" s="221">
        <f>data!P24</f>
        <v>0</v>
      </c>
      <c r="Q19" s="221">
        <f>data!Q24</f>
        <v>0</v>
      </c>
      <c r="R19" s="221">
        <f>data!R24</f>
        <v>0</v>
      </c>
      <c r="S19" s="222">
        <f t="shared" si="36"/>
        <v>0</v>
      </c>
      <c r="T19" s="221">
        <f>data!T24</f>
        <v>0</v>
      </c>
      <c r="U19" s="221">
        <f>data!U24</f>
        <v>0</v>
      </c>
      <c r="V19" s="221">
        <f>data!V24</f>
        <v>0</v>
      </c>
      <c r="W19" s="221">
        <f>data!W24</f>
        <v>0</v>
      </c>
      <c r="X19" s="222">
        <f t="shared" si="37"/>
        <v>0</v>
      </c>
      <c r="Y19" s="221">
        <f>data!Y24</f>
        <v>0</v>
      </c>
      <c r="Z19" s="221">
        <f>data!Z24</f>
        <v>0</v>
      </c>
      <c r="AA19" s="221">
        <f>data!AA24</f>
        <v>0</v>
      </c>
      <c r="AB19" s="221">
        <f>data!AB24</f>
        <v>0</v>
      </c>
      <c r="AC19" s="222">
        <f t="shared" si="38"/>
        <v>0</v>
      </c>
      <c r="AD19" s="221">
        <f>data!AD24</f>
        <v>0</v>
      </c>
      <c r="AE19" s="221">
        <f>data!AE24</f>
        <v>0</v>
      </c>
      <c r="AF19" s="221">
        <f>data!AF24</f>
        <v>0</v>
      </c>
      <c r="AG19" s="221">
        <f>data!AG24</f>
        <v>0</v>
      </c>
      <c r="AH19" s="222">
        <f t="shared" si="39"/>
        <v>0</v>
      </c>
      <c r="AI19" s="221">
        <f>data!AI24</f>
        <v>0</v>
      </c>
      <c r="AJ19" s="221">
        <f>data!AJ24</f>
        <v>0</v>
      </c>
      <c r="AK19" s="221">
        <f>data!AK24</f>
        <v>0</v>
      </c>
      <c r="AL19" s="221">
        <f>data!AL24</f>
        <v>0</v>
      </c>
      <c r="AM19" s="222">
        <f>SUM(AI19:AL19)</f>
        <v>0</v>
      </c>
      <c r="AN19" s="221">
        <f>data!AN24</f>
        <v>0</v>
      </c>
      <c r="AO19" s="221">
        <f>data!AO24</f>
        <v>0</v>
      </c>
      <c r="AP19" s="221">
        <f>data!AP24</f>
        <v>0</v>
      </c>
      <c r="AQ19" s="221">
        <f>data!AQ24</f>
        <v>0</v>
      </c>
      <c r="AR19" s="222">
        <f>SUM(AN19:AQ19)</f>
        <v>0</v>
      </c>
      <c r="AS19" s="221">
        <f>data!AS24</f>
        <v>0</v>
      </c>
      <c r="AT19" s="221">
        <f>data!AT24</f>
        <v>0</v>
      </c>
      <c r="AU19" s="221">
        <f>data!AU24</f>
        <v>0</v>
      </c>
      <c r="AV19" s="221">
        <f>data!AV24</f>
        <v>0</v>
      </c>
      <c r="AW19" s="260">
        <f>SUM(AS19:AV19)</f>
        <v>0</v>
      </c>
      <c r="AX19" s="221">
        <f>data!AX24</f>
        <v>0</v>
      </c>
      <c r="AY19" s="221">
        <f>data!AY24</f>
        <v>0</v>
      </c>
      <c r="AZ19" s="221">
        <f>data!AZ24</f>
        <v>0</v>
      </c>
      <c r="BA19" s="221">
        <f>data!BA24</f>
        <v>0</v>
      </c>
      <c r="BB19" s="260">
        <f>SUM(AX19:BA19)</f>
        <v>0</v>
      </c>
      <c r="BC19" s="221">
        <f>data!BC24</f>
        <v>0</v>
      </c>
      <c r="BD19" s="221">
        <f>data!BD24</f>
        <v>0</v>
      </c>
      <c r="BE19" s="221">
        <f>data!BE24</f>
        <v>0</v>
      </c>
      <c r="BF19" s="221">
        <f>data!BF24</f>
        <v>0</v>
      </c>
      <c r="BG19" s="222">
        <f>SUM(BC19:BF19)</f>
        <v>0</v>
      </c>
      <c r="BH19" s="221">
        <f>data!BH24</f>
        <v>0</v>
      </c>
      <c r="BI19" s="221">
        <f>data!BI24</f>
        <v>0</v>
      </c>
      <c r="BJ19" s="221">
        <f>data!BJ24</f>
        <v>0</v>
      </c>
      <c r="BK19" s="221">
        <f>data!BK24</f>
        <v>0</v>
      </c>
      <c r="BL19" s="222">
        <f>SUM(BH19:BK19)</f>
        <v>0</v>
      </c>
      <c r="BM19" s="221">
        <f>data!BM24</f>
        <v>0</v>
      </c>
      <c r="BN19" s="221">
        <f>data!BN24</f>
        <v>0</v>
      </c>
      <c r="BO19" s="221">
        <f>data!BO24</f>
        <v>0</v>
      </c>
      <c r="BP19" s="221">
        <f>data!BP24</f>
        <v>0</v>
      </c>
      <c r="BQ19" s="222">
        <f>SUM(BM19:BP19)</f>
        <v>0</v>
      </c>
      <c r="BR19" s="221">
        <f>data!BR24</f>
        <v>0</v>
      </c>
      <c r="BS19" s="221">
        <f>data!BS24</f>
        <v>0</v>
      </c>
      <c r="BT19" s="221">
        <f>data!BT24</f>
        <v>0</v>
      </c>
      <c r="BU19" s="221">
        <f>data!BU24</f>
        <v>0</v>
      </c>
      <c r="BV19" s="222">
        <f>SUM(BR19:BU19)</f>
        <v>0</v>
      </c>
      <c r="BW19" s="221">
        <f>data!BW24</f>
        <v>0</v>
      </c>
      <c r="BX19" s="221">
        <f>data!BX24</f>
        <v>0</v>
      </c>
      <c r="BY19" s="221">
        <f>data!BY24</f>
        <v>0</v>
      </c>
      <c r="BZ19" s="221">
        <f>data!BZ24</f>
        <v>0</v>
      </c>
      <c r="CA19" s="222">
        <f>SUM(BW19:BZ19)</f>
        <v>0</v>
      </c>
      <c r="CB19" s="221">
        <f>data!CB24</f>
        <v>0</v>
      </c>
      <c r="CC19" s="221">
        <f>data!CC24</f>
        <v>0</v>
      </c>
      <c r="CD19" s="221">
        <f>data!CD24</f>
        <v>0</v>
      </c>
      <c r="CE19" s="221">
        <f>data!CE24</f>
        <v>0</v>
      </c>
      <c r="CF19" s="222">
        <f>SUM(CB19:CE19)</f>
        <v>0</v>
      </c>
      <c r="CG19" s="221">
        <f>data!CG24</f>
        <v>0</v>
      </c>
      <c r="CH19" s="221">
        <f>data!CH24</f>
        <v>0</v>
      </c>
      <c r="CI19" s="221">
        <f>data!CI24</f>
        <v>0</v>
      </c>
      <c r="CJ19" s="221">
        <f>data!CJ24</f>
        <v>0</v>
      </c>
      <c r="CK19" s="222">
        <f>SUM(CG19:CJ19)</f>
        <v>0</v>
      </c>
      <c r="CL19" s="221">
        <f>data!CL24</f>
        <v>-54</v>
      </c>
      <c r="CM19" s="221">
        <f>data!CM24</f>
        <v>160</v>
      </c>
      <c r="CN19" s="221">
        <f>data!CN24</f>
        <v>483</v>
      </c>
      <c r="CO19" s="221">
        <f>data!CO24</f>
        <v>-102</v>
      </c>
      <c r="CP19" s="222">
        <f>SUM(CL19:CO19)</f>
        <v>487</v>
      </c>
      <c r="CQ19" s="221">
        <f>data!CQ24</f>
        <v>-142</v>
      </c>
      <c r="CR19" s="221">
        <f>data!CR24</f>
        <v>466</v>
      </c>
      <c r="CS19" s="221">
        <f>data!CS24</f>
        <v>-2</v>
      </c>
      <c r="CT19" s="221">
        <f>data!CT24</f>
        <v>-36</v>
      </c>
      <c r="CU19" s="222">
        <f>SUM(CQ19:CT19)</f>
        <v>286</v>
      </c>
      <c r="CV19" s="221">
        <f>data!CV24</f>
        <v>-29</v>
      </c>
      <c r="CW19" s="221">
        <f>data!CW24</f>
        <v>-161</v>
      </c>
      <c r="CX19" s="221">
        <f>data!CX24</f>
        <v>-13</v>
      </c>
      <c r="CY19" s="221">
        <f>data!CY24</f>
        <v>206</v>
      </c>
      <c r="CZ19" s="222">
        <f>SUM(CV19:CY19)</f>
        <v>3</v>
      </c>
      <c r="DA19" s="221">
        <f>data!DA24</f>
        <v>-271</v>
      </c>
      <c r="DB19" s="221">
        <f>data!DB24</f>
        <v>-333</v>
      </c>
      <c r="DC19" s="221">
        <f>data!DC24</f>
        <v>-138</v>
      </c>
      <c r="DD19" s="221">
        <f>data!DD24</f>
        <v>-420</v>
      </c>
      <c r="DE19" s="222">
        <f>SUM(DA19:DD19)</f>
        <v>-1162</v>
      </c>
      <c r="DF19" s="221">
        <f>data!DF24</f>
        <v>-318</v>
      </c>
      <c r="DG19" s="221">
        <f>data!DG24</f>
        <v>-125</v>
      </c>
      <c r="DH19" s="221">
        <f>data!DH24</f>
        <v>-198</v>
      </c>
      <c r="DI19" s="221">
        <f>data!DI24</f>
        <v>-396</v>
      </c>
      <c r="DJ19" s="222">
        <f>SUM(DF19:DI19)</f>
        <v>-1037</v>
      </c>
      <c r="DK19" s="221">
        <f>data!DK24</f>
        <v>-283</v>
      </c>
      <c r="DL19" s="221">
        <f>data!DL24</f>
        <v>-389</v>
      </c>
      <c r="DM19" s="230">
        <f>-DM75*DM18</f>
        <v>-421.63269935068706</v>
      </c>
      <c r="DN19" s="230">
        <f>-DN75*DN18</f>
        <v>-398.76846450137396</v>
      </c>
      <c r="DO19" s="222">
        <f>SUM(DK19:DN19)</f>
        <v>-1492.401163852061</v>
      </c>
      <c r="DP19" s="230">
        <f>-DP75*DP18</f>
        <v>-452.06031051172477</v>
      </c>
      <c r="DQ19" s="230">
        <f>-DQ75*DQ18</f>
        <v>-497.26293824259255</v>
      </c>
      <c r="DR19" s="230">
        <f>-DR75*DR18</f>
        <v>-500.43156778524423</v>
      </c>
      <c r="DS19" s="230">
        <f>-DS75*DS18</f>
        <v>-519.59131598937415</v>
      </c>
      <c r="DT19" s="222">
        <f>SUM(DP19:DS19)</f>
        <v>-1969.3461325289356</v>
      </c>
      <c r="DU19" s="231">
        <f>-DU75*DU18</f>
        <v>-2032.8081677591156</v>
      </c>
      <c r="DV19" s="231">
        <f>-DV75*DV18</f>
        <v>-2205.7617574636365</v>
      </c>
    </row>
    <row r="20" spans="2:126" ht="12">
      <c r="B20" s="234" t="s">
        <v>34</v>
      </c>
      <c r="C20" s="235">
        <f t="shared" ref="C20:M20" si="79">C18+C19</f>
        <v>0</v>
      </c>
      <c r="D20" s="235">
        <f t="shared" si="79"/>
        <v>0</v>
      </c>
      <c r="E20" s="235">
        <f t="shared" si="79"/>
        <v>0</v>
      </c>
      <c r="F20" s="235">
        <f t="shared" si="79"/>
        <v>0</v>
      </c>
      <c r="G20" s="235">
        <f t="shared" si="79"/>
        <v>0</v>
      </c>
      <c r="H20" s="235">
        <f t="shared" si="79"/>
        <v>0</v>
      </c>
      <c r="I20" s="236">
        <f t="shared" si="79"/>
        <v>0</v>
      </c>
      <c r="J20" s="234">
        <f t="shared" si="79"/>
        <v>0</v>
      </c>
      <c r="K20" s="234">
        <f t="shared" si="79"/>
        <v>0</v>
      </c>
      <c r="L20" s="234">
        <f t="shared" si="79"/>
        <v>0</v>
      </c>
      <c r="M20" s="234">
        <f t="shared" si="79"/>
        <v>0</v>
      </c>
      <c r="N20" s="236">
        <f t="shared" ref="N20:BA20" si="80">N18+N19</f>
        <v>0</v>
      </c>
      <c r="O20" s="234" t="e">
        <f>O18+O19</f>
        <v>#REF!</v>
      </c>
      <c r="P20" s="234" t="e">
        <f t="shared" si="80"/>
        <v>#REF!</v>
      </c>
      <c r="Q20" s="234" t="e">
        <f t="shared" si="80"/>
        <v>#REF!</v>
      </c>
      <c r="R20" s="234" t="e">
        <f t="shared" si="80"/>
        <v>#REF!</v>
      </c>
      <c r="S20" s="236" t="e">
        <f t="shared" si="80"/>
        <v>#REF!</v>
      </c>
      <c r="T20" s="234" t="e">
        <f t="shared" si="80"/>
        <v>#REF!</v>
      </c>
      <c r="U20" s="234" t="e">
        <f t="shared" si="80"/>
        <v>#REF!</v>
      </c>
      <c r="V20" s="234" t="e">
        <f t="shared" si="80"/>
        <v>#REF!</v>
      </c>
      <c r="W20" s="234" t="e">
        <f t="shared" si="80"/>
        <v>#REF!</v>
      </c>
      <c r="X20" s="236" t="e">
        <f t="shared" si="80"/>
        <v>#REF!</v>
      </c>
      <c r="Y20" s="234" t="e">
        <f t="shared" si="80"/>
        <v>#REF!</v>
      </c>
      <c r="Z20" s="234" t="e">
        <f t="shared" si="80"/>
        <v>#REF!</v>
      </c>
      <c r="AA20" s="234" t="e">
        <f t="shared" si="80"/>
        <v>#REF!</v>
      </c>
      <c r="AB20" s="234" t="e">
        <f t="shared" si="80"/>
        <v>#REF!</v>
      </c>
      <c r="AC20" s="236" t="e">
        <f t="shared" si="80"/>
        <v>#REF!</v>
      </c>
      <c r="AD20" s="234" t="e">
        <f t="shared" si="80"/>
        <v>#REF!</v>
      </c>
      <c r="AE20" s="234" t="e">
        <f t="shared" si="80"/>
        <v>#REF!</v>
      </c>
      <c r="AF20" s="234" t="e">
        <f t="shared" si="80"/>
        <v>#REF!</v>
      </c>
      <c r="AG20" s="234" t="e">
        <f t="shared" si="80"/>
        <v>#REF!</v>
      </c>
      <c r="AH20" s="236" t="e">
        <f t="shared" si="80"/>
        <v>#REF!</v>
      </c>
      <c r="AI20" s="237" t="e">
        <f t="shared" si="80"/>
        <v>#REF!</v>
      </c>
      <c r="AJ20" s="234" t="e">
        <f t="shared" si="80"/>
        <v>#REF!</v>
      </c>
      <c r="AK20" s="234" t="e">
        <f t="shared" si="80"/>
        <v>#REF!</v>
      </c>
      <c r="AL20" s="234" t="e">
        <f t="shared" si="80"/>
        <v>#REF!</v>
      </c>
      <c r="AM20" s="236" t="e">
        <f>AM18+AM19</f>
        <v>#REF!</v>
      </c>
      <c r="AN20" s="237" t="e">
        <f t="shared" si="80"/>
        <v>#REF!</v>
      </c>
      <c r="AO20" s="234" t="e">
        <f t="shared" ref="AO20:AV20" si="81">AO18+AO19</f>
        <v>#REF!</v>
      </c>
      <c r="AP20" s="234" t="e">
        <f t="shared" si="81"/>
        <v>#REF!</v>
      </c>
      <c r="AQ20" s="234">
        <f t="shared" si="81"/>
        <v>0</v>
      </c>
      <c r="AR20" s="236" t="e">
        <f t="shared" si="81"/>
        <v>#REF!</v>
      </c>
      <c r="AS20" s="234">
        <f t="shared" si="81"/>
        <v>0</v>
      </c>
      <c r="AT20" s="234">
        <f t="shared" si="81"/>
        <v>0</v>
      </c>
      <c r="AU20" s="234">
        <f t="shared" si="81"/>
        <v>0</v>
      </c>
      <c r="AV20" s="234">
        <f t="shared" si="81"/>
        <v>0</v>
      </c>
      <c r="AW20" s="236">
        <f t="shared" si="80"/>
        <v>0</v>
      </c>
      <c r="AX20" s="237" t="e">
        <f t="shared" si="80"/>
        <v>#REF!</v>
      </c>
      <c r="AY20" s="234" t="e">
        <f t="shared" si="80"/>
        <v>#REF!</v>
      </c>
      <c r="AZ20" s="234">
        <f t="shared" si="80"/>
        <v>0</v>
      </c>
      <c r="BA20" s="234">
        <f t="shared" si="80"/>
        <v>0</v>
      </c>
      <c r="BB20" s="236" t="e">
        <f t="shared" ref="BB20:BG20" si="82">BB18+BB19</f>
        <v>#REF!</v>
      </c>
      <c r="BC20" s="234">
        <f t="shared" si="82"/>
        <v>0</v>
      </c>
      <c r="BD20" s="234" t="e">
        <f t="shared" si="82"/>
        <v>#REF!</v>
      </c>
      <c r="BE20" s="234">
        <f>BE18+BE19</f>
        <v>0</v>
      </c>
      <c r="BF20" s="234">
        <f>BF18+BF19</f>
        <v>0</v>
      </c>
      <c r="BG20" s="236" t="e">
        <f t="shared" si="82"/>
        <v>#REF!</v>
      </c>
      <c r="BH20" s="234">
        <f t="shared" ref="BH20:BQ20" si="83">BH18+BH19</f>
        <v>0</v>
      </c>
      <c r="BI20" s="234">
        <f t="shared" si="83"/>
        <v>0</v>
      </c>
      <c r="BJ20" s="234">
        <f t="shared" si="83"/>
        <v>0</v>
      </c>
      <c r="BK20" s="234">
        <f t="shared" si="83"/>
        <v>0</v>
      </c>
      <c r="BL20" s="236">
        <f t="shared" si="83"/>
        <v>0</v>
      </c>
      <c r="BM20" s="234">
        <f t="shared" si="83"/>
        <v>0</v>
      </c>
      <c r="BN20" s="234">
        <f t="shared" ref="BN20" si="84">BN18+BN19</f>
        <v>0</v>
      </c>
      <c r="BO20" s="234">
        <f t="shared" ref="BO20:BP20" si="85">BO18+BO19</f>
        <v>0</v>
      </c>
      <c r="BP20" s="234">
        <f t="shared" si="85"/>
        <v>0</v>
      </c>
      <c r="BQ20" s="236">
        <f t="shared" si="83"/>
        <v>0</v>
      </c>
      <c r="BR20" s="234">
        <f t="shared" ref="BR20:BS20" si="86">BR18+BR19</f>
        <v>0</v>
      </c>
      <c r="BS20" s="234">
        <f t="shared" si="86"/>
        <v>0</v>
      </c>
      <c r="BT20" s="234">
        <f t="shared" ref="BT20" si="87">BT18+BT19</f>
        <v>0</v>
      </c>
      <c r="BU20" s="234">
        <f t="shared" ref="BU20:CA20" si="88">BU18+BU19</f>
        <v>0</v>
      </c>
      <c r="BV20" s="236">
        <f t="shared" si="88"/>
        <v>0</v>
      </c>
      <c r="BW20" s="234">
        <f t="shared" si="88"/>
        <v>0</v>
      </c>
      <c r="BX20" s="234">
        <f t="shared" ref="BX20:BY20" si="89">BX18+BX19</f>
        <v>0</v>
      </c>
      <c r="BY20" s="234">
        <f t="shared" si="89"/>
        <v>0</v>
      </c>
      <c r="BZ20" s="234">
        <f t="shared" ref="BZ20" si="90">BZ18+BZ19</f>
        <v>0</v>
      </c>
      <c r="CA20" s="236">
        <f t="shared" si="88"/>
        <v>0</v>
      </c>
      <c r="CB20" s="234">
        <f t="shared" ref="CB20:CF20" si="91">CB18+CB19</f>
        <v>0</v>
      </c>
      <c r="CC20" s="234">
        <f t="shared" si="91"/>
        <v>0</v>
      </c>
      <c r="CD20" s="234">
        <f t="shared" si="91"/>
        <v>0</v>
      </c>
      <c r="CE20" s="234">
        <f t="shared" si="91"/>
        <v>0</v>
      </c>
      <c r="CF20" s="236">
        <f t="shared" si="91"/>
        <v>0</v>
      </c>
      <c r="CG20" s="234">
        <f t="shared" ref="CG20:CK20" si="92">CG18+CG19</f>
        <v>0</v>
      </c>
      <c r="CH20" s="234">
        <f t="shared" si="92"/>
        <v>0</v>
      </c>
      <c r="CI20" s="234">
        <f t="shared" si="92"/>
        <v>0</v>
      </c>
      <c r="CJ20" s="234">
        <f t="shared" ref="CJ20" si="93">CJ18+CJ19</f>
        <v>0</v>
      </c>
      <c r="CK20" s="236">
        <f t="shared" si="92"/>
        <v>0</v>
      </c>
      <c r="CL20" s="234">
        <f t="shared" ref="CL20" si="94">CL18+CL19</f>
        <v>6254</v>
      </c>
      <c r="CM20" s="234">
        <f t="shared" ref="CM20:CQ20" si="95">CM18+CM19</f>
        <v>-1139</v>
      </c>
      <c r="CN20" s="234">
        <f t="shared" ref="CN20:CO20" si="96">CN18+CN19</f>
        <v>-1136</v>
      </c>
      <c r="CO20" s="234">
        <f t="shared" si="96"/>
        <v>2478</v>
      </c>
      <c r="CP20" s="236">
        <f t="shared" si="95"/>
        <v>6457</v>
      </c>
      <c r="CQ20" s="234">
        <f t="shared" si="95"/>
        <v>96</v>
      </c>
      <c r="CR20" s="234">
        <f t="shared" ref="CR20:DE20" si="97">CR18+CR19</f>
        <v>-570</v>
      </c>
      <c r="CS20" s="234">
        <f t="shared" si="97"/>
        <v>582</v>
      </c>
      <c r="CT20" s="234">
        <f t="shared" si="97"/>
        <v>-3504</v>
      </c>
      <c r="CU20" s="236">
        <f t="shared" si="97"/>
        <v>-3396</v>
      </c>
      <c r="CV20" s="234">
        <f t="shared" si="97"/>
        <v>-1209</v>
      </c>
      <c r="CW20" s="234">
        <f t="shared" si="97"/>
        <v>-1125</v>
      </c>
      <c r="CX20" s="234">
        <f t="shared" si="97"/>
        <v>-243</v>
      </c>
      <c r="CY20" s="234">
        <f t="shared" si="97"/>
        <v>1780</v>
      </c>
      <c r="CZ20" s="236">
        <f t="shared" si="97"/>
        <v>-797</v>
      </c>
      <c r="DA20" s="234">
        <f t="shared" si="97"/>
        <v>6220</v>
      </c>
      <c r="DB20" s="234">
        <f t="shared" si="97"/>
        <v>1056</v>
      </c>
      <c r="DC20" s="234">
        <f t="shared" si="97"/>
        <v>162</v>
      </c>
      <c r="DD20" s="234">
        <f t="shared" si="97"/>
        <v>1592</v>
      </c>
      <c r="DE20" s="236">
        <f t="shared" si="97"/>
        <v>9030</v>
      </c>
      <c r="DF20" s="234">
        <f t="shared" ref="DF20:DG20" si="98">DF18+DF19</f>
        <v>1550</v>
      </c>
      <c r="DG20" s="234">
        <f t="shared" si="98"/>
        <v>1322</v>
      </c>
      <c r="DH20" s="234">
        <f t="shared" ref="DH20:DI20" si="99">DH18+DH19</f>
        <v>1695</v>
      </c>
      <c r="DI20" s="234">
        <f t="shared" si="99"/>
        <v>1897</v>
      </c>
      <c r="DJ20" s="236">
        <f t="shared" ref="DJ20:DN20" si="100">DJ18+DJ19</f>
        <v>6464</v>
      </c>
      <c r="DK20" s="234">
        <f t="shared" si="100"/>
        <v>1962</v>
      </c>
      <c r="DL20" s="234">
        <f t="shared" si="100"/>
        <v>2000</v>
      </c>
      <c r="DM20" s="234">
        <f t="shared" si="100"/>
        <v>1494.8795704251631</v>
      </c>
      <c r="DN20" s="234">
        <f t="shared" si="100"/>
        <v>1413.8154650503259</v>
      </c>
      <c r="DO20" s="236">
        <f t="shared" ref="DO20" si="101">DO18+DO19</f>
        <v>6870.6950354754863</v>
      </c>
      <c r="DP20" s="234">
        <f>DP18+DP19</f>
        <v>1700.6078347822026</v>
      </c>
      <c r="DQ20" s="234">
        <f>DQ18+DQ19</f>
        <v>1870.6558152935627</v>
      </c>
      <c r="DR20" s="234">
        <f t="shared" ref="DR20:DT20" si="102">DR18+DR19</f>
        <v>1774.2573766931387</v>
      </c>
      <c r="DS20" s="234">
        <f t="shared" si="102"/>
        <v>1842.1873930532358</v>
      </c>
      <c r="DT20" s="236">
        <f t="shared" si="102"/>
        <v>7187.7084198221401</v>
      </c>
      <c r="DU20" s="236">
        <f t="shared" ref="DU20:DV20" si="103">DU18+DU19</f>
        <v>8131.2326710364623</v>
      </c>
      <c r="DV20" s="236">
        <f t="shared" si="103"/>
        <v>8823.0470298545442</v>
      </c>
    </row>
    <row r="21" spans="2:126" s="15" customFormat="1">
      <c r="B21" s="221" t="s">
        <v>540</v>
      </c>
      <c r="C21" s="224">
        <f>data!C28</f>
        <v>0</v>
      </c>
      <c r="D21" s="224">
        <f>data!D28</f>
        <v>0</v>
      </c>
      <c r="E21" s="224">
        <f>data!E28</f>
        <v>0</v>
      </c>
      <c r="F21" s="224">
        <f>data!F28</f>
        <v>0</v>
      </c>
      <c r="G21" s="224">
        <f>data!G28</f>
        <v>0</v>
      </c>
      <c r="H21" s="224">
        <f>data!H28</f>
        <v>0</v>
      </c>
      <c r="I21" s="224">
        <f>data!I28</f>
        <v>0</v>
      </c>
      <c r="J21" s="223">
        <f>data!J28</f>
        <v>0</v>
      </c>
      <c r="K21" s="223">
        <f>data!K28</f>
        <v>0</v>
      </c>
      <c r="L21" s="223">
        <f>data!L28</f>
        <v>0</v>
      </c>
      <c r="M21" s="223">
        <f>data!M28</f>
        <v>0</v>
      </c>
      <c r="N21" s="224">
        <f t="shared" si="35"/>
        <v>0</v>
      </c>
      <c r="O21" s="223">
        <f>data!O28</f>
        <v>0</v>
      </c>
      <c r="P21" s="223">
        <f>data!P28</f>
        <v>0</v>
      </c>
      <c r="Q21" s="223">
        <f>data!Q28</f>
        <v>0</v>
      </c>
      <c r="R21" s="223">
        <f>data!R28</f>
        <v>0</v>
      </c>
      <c r="S21" s="224">
        <f t="shared" si="36"/>
        <v>0</v>
      </c>
      <c r="T21" s="223">
        <f>data!T28</f>
        <v>0</v>
      </c>
      <c r="U21" s="223">
        <f>data!U28</f>
        <v>0</v>
      </c>
      <c r="V21" s="223">
        <f>data!V28</f>
        <v>0</v>
      </c>
      <c r="W21" s="223">
        <f>data!W28</f>
        <v>0</v>
      </c>
      <c r="X21" s="224">
        <f t="shared" si="37"/>
        <v>0</v>
      </c>
      <c r="Y21" s="223">
        <f>data!Y28</f>
        <v>0</v>
      </c>
      <c r="Z21" s="223">
        <f>data!Z28</f>
        <v>0</v>
      </c>
      <c r="AA21" s="223">
        <f>data!AA28</f>
        <v>0</v>
      </c>
      <c r="AB21" s="223">
        <f>data!AB28</f>
        <v>0</v>
      </c>
      <c r="AC21" s="224">
        <f t="shared" si="38"/>
        <v>0</v>
      </c>
      <c r="AD21" s="223">
        <f>data!AD28</f>
        <v>0</v>
      </c>
      <c r="AE21" s="223">
        <f>data!AE28</f>
        <v>0</v>
      </c>
      <c r="AF21" s="223">
        <f>data!AF28</f>
        <v>0</v>
      </c>
      <c r="AG21" s="223">
        <f>data!AG28</f>
        <v>0</v>
      </c>
      <c r="AH21" s="224">
        <f t="shared" si="39"/>
        <v>0</v>
      </c>
      <c r="AI21" s="223">
        <f>data!AI28</f>
        <v>0</v>
      </c>
      <c r="AJ21" s="223">
        <f>data!AJ28</f>
        <v>0</v>
      </c>
      <c r="AK21" s="223">
        <f>data!AK28</f>
        <v>0</v>
      </c>
      <c r="AL21" s="223">
        <f>data!AL28</f>
        <v>0</v>
      </c>
      <c r="AM21" s="224">
        <f>SUM(AI21:AL21)</f>
        <v>0</v>
      </c>
      <c r="AN21" s="223">
        <f>data!AN28</f>
        <v>0</v>
      </c>
      <c r="AO21" s="223">
        <f>data!AO28</f>
        <v>0</v>
      </c>
      <c r="AP21" s="223">
        <f>data!AP28</f>
        <v>0</v>
      </c>
      <c r="AQ21" s="223">
        <f>data!AQ28</f>
        <v>0</v>
      </c>
      <c r="AR21" s="224">
        <f>SUM(AN21:AQ21)</f>
        <v>0</v>
      </c>
      <c r="AS21" s="223">
        <f>data!AS28</f>
        <v>0</v>
      </c>
      <c r="AT21" s="223">
        <f>data!AT28</f>
        <v>0</v>
      </c>
      <c r="AU21" s="223">
        <f>data!AU28</f>
        <v>0</v>
      </c>
      <c r="AV21" s="223">
        <f>data!AV28</f>
        <v>0</v>
      </c>
      <c r="AW21" s="224">
        <f>SUM(AS21:AV21)</f>
        <v>0</v>
      </c>
      <c r="AX21" s="223">
        <f>data!AX28</f>
        <v>0</v>
      </c>
      <c r="AY21" s="223">
        <f>data!AY28</f>
        <v>0</v>
      </c>
      <c r="AZ21" s="223">
        <f>data!AZ28</f>
        <v>0</v>
      </c>
      <c r="BA21" s="223">
        <f>data!BA28</f>
        <v>0</v>
      </c>
      <c r="BB21" s="224">
        <f>SUM(AX21:BA21)</f>
        <v>0</v>
      </c>
      <c r="BC21" s="191">
        <f>data!BC28</f>
        <v>0</v>
      </c>
      <c r="BD21" s="223">
        <f>data!BD28</f>
        <v>0</v>
      </c>
      <c r="BE21" s="223">
        <f>data!BE28</f>
        <v>0</v>
      </c>
      <c r="BF21" s="223">
        <f>data!BF28</f>
        <v>0</v>
      </c>
      <c r="BG21" s="215">
        <f>SUM(BC21:BF21)</f>
        <v>0</v>
      </c>
      <c r="BH21" s="223">
        <f>data!BH28</f>
        <v>0</v>
      </c>
      <c r="BI21" s="223">
        <f>data!BI28</f>
        <v>0</v>
      </c>
      <c r="BJ21" s="223">
        <f>data!BJ28</f>
        <v>0</v>
      </c>
      <c r="BK21" s="223">
        <f>data!BK28</f>
        <v>0</v>
      </c>
      <c r="BL21" s="215">
        <f>SUM(BH21:BK21)</f>
        <v>0</v>
      </c>
      <c r="BM21" s="191">
        <f>data!BM28</f>
        <v>0</v>
      </c>
      <c r="BN21" s="191">
        <f>data!BN28</f>
        <v>0</v>
      </c>
      <c r="BO21" s="191">
        <f>data!BO28</f>
        <v>0</v>
      </c>
      <c r="BP21" s="191">
        <f>data!BP28</f>
        <v>0</v>
      </c>
      <c r="BQ21" s="215">
        <f>SUM(BM21:BP21)</f>
        <v>0</v>
      </c>
      <c r="BR21" s="191">
        <f>data!BR28</f>
        <v>0</v>
      </c>
      <c r="BS21" s="191">
        <f>data!BS28</f>
        <v>0</v>
      </c>
      <c r="BT21" s="191">
        <f>data!BT28</f>
        <v>0</v>
      </c>
      <c r="BU21" s="191">
        <f>data!BU28</f>
        <v>0</v>
      </c>
      <c r="BV21" s="215">
        <f>SUM(BR21:BU21)</f>
        <v>0</v>
      </c>
      <c r="BW21" s="191">
        <f>data!BW28</f>
        <v>0</v>
      </c>
      <c r="BX21" s="191">
        <f>data!BX28</f>
        <v>0</v>
      </c>
      <c r="BY21" s="191">
        <f>data!BY28</f>
        <v>0</v>
      </c>
      <c r="BZ21" s="191">
        <f>data!BZ28</f>
        <v>0</v>
      </c>
      <c r="CA21" s="215">
        <f>SUM(BW21:BZ21)</f>
        <v>0</v>
      </c>
      <c r="CB21" s="191">
        <f>data!CB28</f>
        <v>0</v>
      </c>
      <c r="CC21" s="191">
        <f>data!CC28</f>
        <v>0</v>
      </c>
      <c r="CD21" s="191">
        <f>data!CD28</f>
        <v>0</v>
      </c>
      <c r="CE21" s="191">
        <f>data!CE28</f>
        <v>0</v>
      </c>
      <c r="CF21" s="215">
        <f>SUM(CB21:CE21)</f>
        <v>0</v>
      </c>
      <c r="CG21" s="191">
        <f>data!CG28</f>
        <v>0</v>
      </c>
      <c r="CH21" s="191">
        <f>data!CH28</f>
        <v>0</v>
      </c>
      <c r="CI21" s="191">
        <f>data!CI28</f>
        <v>0</v>
      </c>
      <c r="CJ21" s="191">
        <f>data!CJ28</f>
        <v>0</v>
      </c>
      <c r="CK21" s="215">
        <f>SUM(CG21:CJ21)</f>
        <v>0</v>
      </c>
      <c r="CL21" s="191">
        <f>data!CL26+data!CL28</f>
        <v>-55</v>
      </c>
      <c r="CM21" s="191">
        <f>data!CM26+data!CM28</f>
        <v>-848</v>
      </c>
      <c r="CN21" s="191">
        <f>data!CN26+data!CN28</f>
        <v>-7</v>
      </c>
      <c r="CO21" s="191">
        <f>data!CO26+data!CO28</f>
        <v>157</v>
      </c>
      <c r="CP21" s="215">
        <f>SUM(CL21:CO21)</f>
        <v>-753</v>
      </c>
      <c r="CQ21" s="191">
        <f>data!CQ26+data!CQ28</f>
        <v>-2899</v>
      </c>
      <c r="CR21" s="191">
        <f>data!CR26+data!CR28</f>
        <v>-561</v>
      </c>
      <c r="CS21" s="191">
        <f>data!CS26+data!CS28</f>
        <v>675</v>
      </c>
      <c r="CT21" s="191">
        <f>data!CT26+data!CT28</f>
        <v>-339</v>
      </c>
      <c r="CU21" s="215">
        <f>SUM(CQ21:CT21)</f>
        <v>-3124</v>
      </c>
      <c r="CV21" s="191">
        <f>data!CV26+data!CV28</f>
        <v>73</v>
      </c>
      <c r="CW21" s="191">
        <f>data!CW26+data!CW28</f>
        <v>245</v>
      </c>
      <c r="CX21" s="191">
        <f>data!CX26+data!CX28</f>
        <v>405</v>
      </c>
      <c r="CY21" s="191">
        <f>data!CY26+data!CY28</f>
        <v>412</v>
      </c>
      <c r="CZ21" s="215">
        <f>SUM(CV21:CY21)</f>
        <v>1135</v>
      </c>
      <c r="DA21" s="191">
        <f>data!DA26+data!DA28</f>
        <v>1284</v>
      </c>
      <c r="DB21" s="191">
        <f>data!DB26+data!DB28</f>
        <v>-1023</v>
      </c>
      <c r="DC21" s="191">
        <f>data!DC26+data!DC28</f>
        <v>187</v>
      </c>
      <c r="DD21" s="191">
        <f>data!DD26+data!DD28</f>
        <v>3</v>
      </c>
      <c r="DE21" s="215">
        <f>SUM(DA21:DD21)</f>
        <v>451</v>
      </c>
      <c r="DF21" s="191">
        <f>data!DF26+data!DF28</f>
        <v>-13</v>
      </c>
      <c r="DG21" s="191">
        <f>data!DG26+data!DG28</f>
        <v>-56</v>
      </c>
      <c r="DH21" s="191">
        <f>data!DH26+data!DH28</f>
        <v>157</v>
      </c>
      <c r="DI21" s="191">
        <f>data!DI26+data!DI28</f>
        <v>2</v>
      </c>
      <c r="DJ21" s="215">
        <f>SUM(DF21:DI21)</f>
        <v>90</v>
      </c>
      <c r="DK21" s="191">
        <f>data!DK26+data!DK28</f>
        <v>15</v>
      </c>
      <c r="DL21" s="191">
        <f>data!DL26+data!DL28</f>
        <v>28</v>
      </c>
      <c r="DM21" s="232">
        <v>0</v>
      </c>
      <c r="DN21" s="232">
        <v>0</v>
      </c>
      <c r="DO21" s="215">
        <f>SUM(DK21:DN21)</f>
        <v>43</v>
      </c>
      <c r="DP21" s="232">
        <v>0</v>
      </c>
      <c r="DQ21" s="232">
        <v>0</v>
      </c>
      <c r="DR21" s="232">
        <v>0</v>
      </c>
      <c r="DS21" s="232">
        <v>0</v>
      </c>
      <c r="DT21" s="215">
        <f>SUM(DP21:DS21)</f>
        <v>0</v>
      </c>
      <c r="DU21" s="233">
        <v>0</v>
      </c>
      <c r="DV21" s="233">
        <v>0</v>
      </c>
    </row>
    <row r="22" spans="2:126">
      <c r="B22" s="221" t="s">
        <v>547</v>
      </c>
      <c r="C22" s="238">
        <f t="shared" ref="C22:AH22" si="104">C20+C21</f>
        <v>0</v>
      </c>
      <c r="D22" s="238">
        <f t="shared" si="104"/>
        <v>0</v>
      </c>
      <c r="E22" s="238">
        <f t="shared" si="104"/>
        <v>0</v>
      </c>
      <c r="F22" s="238">
        <f t="shared" si="104"/>
        <v>0</v>
      </c>
      <c r="G22" s="238">
        <f t="shared" si="104"/>
        <v>0</v>
      </c>
      <c r="H22" s="238">
        <f t="shared" si="104"/>
        <v>0</v>
      </c>
      <c r="I22" s="222">
        <f t="shared" si="104"/>
        <v>0</v>
      </c>
      <c r="J22" s="221">
        <f t="shared" si="104"/>
        <v>0</v>
      </c>
      <c r="K22" s="221">
        <f t="shared" si="104"/>
        <v>0</v>
      </c>
      <c r="L22" s="221">
        <f t="shared" si="104"/>
        <v>0</v>
      </c>
      <c r="M22" s="221">
        <f t="shared" si="104"/>
        <v>0</v>
      </c>
      <c r="N22" s="222">
        <f t="shared" si="104"/>
        <v>0</v>
      </c>
      <c r="O22" s="221" t="e">
        <f t="shared" si="104"/>
        <v>#REF!</v>
      </c>
      <c r="P22" s="221" t="e">
        <f t="shared" si="104"/>
        <v>#REF!</v>
      </c>
      <c r="Q22" s="221" t="e">
        <f t="shared" si="104"/>
        <v>#REF!</v>
      </c>
      <c r="R22" s="221" t="e">
        <f t="shared" si="104"/>
        <v>#REF!</v>
      </c>
      <c r="S22" s="222" t="e">
        <f t="shared" si="104"/>
        <v>#REF!</v>
      </c>
      <c r="T22" s="221" t="e">
        <f t="shared" si="104"/>
        <v>#REF!</v>
      </c>
      <c r="U22" s="221" t="e">
        <f t="shared" si="104"/>
        <v>#REF!</v>
      </c>
      <c r="V22" s="221" t="e">
        <f t="shared" si="104"/>
        <v>#REF!</v>
      </c>
      <c r="W22" s="221" t="e">
        <f t="shared" si="104"/>
        <v>#REF!</v>
      </c>
      <c r="X22" s="222" t="e">
        <f t="shared" si="104"/>
        <v>#REF!</v>
      </c>
      <c r="Y22" s="221" t="e">
        <f t="shared" si="104"/>
        <v>#REF!</v>
      </c>
      <c r="Z22" s="221" t="e">
        <f t="shared" si="104"/>
        <v>#REF!</v>
      </c>
      <c r="AA22" s="221" t="e">
        <f t="shared" si="104"/>
        <v>#REF!</v>
      </c>
      <c r="AB22" s="221" t="e">
        <f t="shared" si="104"/>
        <v>#REF!</v>
      </c>
      <c r="AC22" s="222" t="e">
        <f t="shared" si="104"/>
        <v>#REF!</v>
      </c>
      <c r="AD22" s="221" t="e">
        <f t="shared" si="104"/>
        <v>#REF!</v>
      </c>
      <c r="AE22" s="221" t="e">
        <f t="shared" si="104"/>
        <v>#REF!</v>
      </c>
      <c r="AF22" s="221" t="e">
        <f t="shared" si="104"/>
        <v>#REF!</v>
      </c>
      <c r="AG22" s="221" t="e">
        <f t="shared" si="104"/>
        <v>#REF!</v>
      </c>
      <c r="AH22" s="222" t="e">
        <f t="shared" si="104"/>
        <v>#REF!</v>
      </c>
      <c r="AI22" s="221" t="e">
        <f t="shared" ref="AI22:BN22" si="105">AI20+AI21</f>
        <v>#REF!</v>
      </c>
      <c r="AJ22" s="221" t="e">
        <f t="shared" si="105"/>
        <v>#REF!</v>
      </c>
      <c r="AK22" s="221" t="e">
        <f t="shared" si="105"/>
        <v>#REF!</v>
      </c>
      <c r="AL22" s="221" t="e">
        <f t="shared" si="105"/>
        <v>#REF!</v>
      </c>
      <c r="AM22" s="222" t="e">
        <f t="shared" si="105"/>
        <v>#REF!</v>
      </c>
      <c r="AN22" s="221" t="e">
        <f t="shared" si="105"/>
        <v>#REF!</v>
      </c>
      <c r="AO22" s="221" t="e">
        <f t="shared" si="105"/>
        <v>#REF!</v>
      </c>
      <c r="AP22" s="221" t="e">
        <f t="shared" si="105"/>
        <v>#REF!</v>
      </c>
      <c r="AQ22" s="221">
        <f t="shared" si="105"/>
        <v>0</v>
      </c>
      <c r="AR22" s="222" t="e">
        <f t="shared" si="105"/>
        <v>#REF!</v>
      </c>
      <c r="AS22" s="221">
        <f t="shared" si="105"/>
        <v>0</v>
      </c>
      <c r="AT22" s="221">
        <f t="shared" si="105"/>
        <v>0</v>
      </c>
      <c r="AU22" s="221">
        <f t="shared" si="105"/>
        <v>0</v>
      </c>
      <c r="AV22" s="221">
        <f t="shared" si="105"/>
        <v>0</v>
      </c>
      <c r="AW22" s="222">
        <f t="shared" si="105"/>
        <v>0</v>
      </c>
      <c r="AX22" s="221" t="e">
        <f t="shared" si="105"/>
        <v>#REF!</v>
      </c>
      <c r="AY22" s="221" t="e">
        <f t="shared" si="105"/>
        <v>#REF!</v>
      </c>
      <c r="AZ22" s="221">
        <f t="shared" si="105"/>
        <v>0</v>
      </c>
      <c r="BA22" s="221">
        <f t="shared" si="105"/>
        <v>0</v>
      </c>
      <c r="BB22" s="222" t="e">
        <f t="shared" si="105"/>
        <v>#REF!</v>
      </c>
      <c r="BC22" s="221">
        <f t="shared" si="105"/>
        <v>0</v>
      </c>
      <c r="BD22" s="221" t="e">
        <f t="shared" si="105"/>
        <v>#REF!</v>
      </c>
      <c r="BE22" s="221">
        <f t="shared" si="105"/>
        <v>0</v>
      </c>
      <c r="BF22" s="221">
        <f t="shared" si="105"/>
        <v>0</v>
      </c>
      <c r="BG22" s="222" t="e">
        <f t="shared" si="105"/>
        <v>#REF!</v>
      </c>
      <c r="BH22" s="221">
        <f t="shared" si="105"/>
        <v>0</v>
      </c>
      <c r="BI22" s="221">
        <f t="shared" si="105"/>
        <v>0</v>
      </c>
      <c r="BJ22" s="221">
        <f t="shared" si="105"/>
        <v>0</v>
      </c>
      <c r="BK22" s="221">
        <f t="shared" si="105"/>
        <v>0</v>
      </c>
      <c r="BL22" s="222">
        <f t="shared" si="105"/>
        <v>0</v>
      </c>
      <c r="BM22" s="221">
        <f t="shared" si="105"/>
        <v>0</v>
      </c>
      <c r="BN22" s="221">
        <f t="shared" si="105"/>
        <v>0</v>
      </c>
      <c r="BO22" s="221">
        <f t="shared" ref="BO22:CT22" si="106">BO20+BO21</f>
        <v>0</v>
      </c>
      <c r="BP22" s="221">
        <f t="shared" si="106"/>
        <v>0</v>
      </c>
      <c r="BQ22" s="222">
        <f t="shared" si="106"/>
        <v>0</v>
      </c>
      <c r="BR22" s="221">
        <f t="shared" si="106"/>
        <v>0</v>
      </c>
      <c r="BS22" s="221">
        <f t="shared" si="106"/>
        <v>0</v>
      </c>
      <c r="BT22" s="221">
        <f t="shared" si="106"/>
        <v>0</v>
      </c>
      <c r="BU22" s="221">
        <f t="shared" si="106"/>
        <v>0</v>
      </c>
      <c r="BV22" s="222">
        <f t="shared" si="106"/>
        <v>0</v>
      </c>
      <c r="BW22" s="221">
        <f t="shared" si="106"/>
        <v>0</v>
      </c>
      <c r="BX22" s="221">
        <f t="shared" si="106"/>
        <v>0</v>
      </c>
      <c r="BY22" s="221">
        <f t="shared" si="106"/>
        <v>0</v>
      </c>
      <c r="BZ22" s="221">
        <f t="shared" si="106"/>
        <v>0</v>
      </c>
      <c r="CA22" s="222">
        <f t="shared" si="106"/>
        <v>0</v>
      </c>
      <c r="CB22" s="221">
        <f t="shared" si="106"/>
        <v>0</v>
      </c>
      <c r="CC22" s="221">
        <f t="shared" si="106"/>
        <v>0</v>
      </c>
      <c r="CD22" s="221">
        <f t="shared" si="106"/>
        <v>0</v>
      </c>
      <c r="CE22" s="221">
        <f t="shared" si="106"/>
        <v>0</v>
      </c>
      <c r="CF22" s="222">
        <f t="shared" si="106"/>
        <v>0</v>
      </c>
      <c r="CG22" s="221">
        <f t="shared" si="106"/>
        <v>0</v>
      </c>
      <c r="CH22" s="221">
        <f t="shared" si="106"/>
        <v>0</v>
      </c>
      <c r="CI22" s="221">
        <f t="shared" si="106"/>
        <v>0</v>
      </c>
      <c r="CJ22" s="221">
        <f t="shared" si="106"/>
        <v>0</v>
      </c>
      <c r="CK22" s="222">
        <f t="shared" si="106"/>
        <v>0</v>
      </c>
      <c r="CL22" s="221">
        <f t="shared" si="106"/>
        <v>6199</v>
      </c>
      <c r="CM22" s="221">
        <f t="shared" si="106"/>
        <v>-1987</v>
      </c>
      <c r="CN22" s="221">
        <f t="shared" si="106"/>
        <v>-1143</v>
      </c>
      <c r="CO22" s="221">
        <f t="shared" si="106"/>
        <v>2635</v>
      </c>
      <c r="CP22" s="222">
        <f t="shared" si="106"/>
        <v>5704</v>
      </c>
      <c r="CQ22" s="221">
        <f t="shared" si="106"/>
        <v>-2803</v>
      </c>
      <c r="CR22" s="221">
        <f t="shared" si="106"/>
        <v>-1131</v>
      </c>
      <c r="CS22" s="221">
        <f t="shared" si="106"/>
        <v>1257</v>
      </c>
      <c r="CT22" s="221">
        <f t="shared" si="106"/>
        <v>-3843</v>
      </c>
      <c r="CU22" s="222">
        <f t="shared" ref="CU22:DV22" si="107">CU20+CU21</f>
        <v>-6520</v>
      </c>
      <c r="CV22" s="221">
        <f t="shared" si="107"/>
        <v>-1136</v>
      </c>
      <c r="CW22" s="221">
        <f t="shared" si="107"/>
        <v>-880</v>
      </c>
      <c r="CX22" s="221">
        <f t="shared" si="107"/>
        <v>162</v>
      </c>
      <c r="CY22" s="221">
        <f t="shared" si="107"/>
        <v>2192</v>
      </c>
      <c r="CZ22" s="222">
        <f t="shared" si="107"/>
        <v>338</v>
      </c>
      <c r="DA22" s="221">
        <f t="shared" si="107"/>
        <v>7504</v>
      </c>
      <c r="DB22" s="221">
        <f t="shared" si="107"/>
        <v>33</v>
      </c>
      <c r="DC22" s="221">
        <f t="shared" si="107"/>
        <v>349</v>
      </c>
      <c r="DD22" s="221">
        <f t="shared" si="107"/>
        <v>1595</v>
      </c>
      <c r="DE22" s="222">
        <f t="shared" si="107"/>
        <v>9481</v>
      </c>
      <c r="DF22" s="221">
        <f t="shared" si="107"/>
        <v>1537</v>
      </c>
      <c r="DG22" s="221">
        <f t="shared" si="107"/>
        <v>1266</v>
      </c>
      <c r="DH22" s="221">
        <f t="shared" si="107"/>
        <v>1852</v>
      </c>
      <c r="DI22" s="221">
        <f t="shared" si="107"/>
        <v>1899</v>
      </c>
      <c r="DJ22" s="222">
        <f t="shared" si="107"/>
        <v>6554</v>
      </c>
      <c r="DK22" s="221">
        <f t="shared" ref="DK22:DL22" si="108">DK20+DK21</f>
        <v>1977</v>
      </c>
      <c r="DL22" s="221">
        <f t="shared" si="108"/>
        <v>2028</v>
      </c>
      <c r="DM22" s="221">
        <f t="shared" si="107"/>
        <v>1494.8795704251631</v>
      </c>
      <c r="DN22" s="221">
        <f t="shared" si="107"/>
        <v>1413.8154650503259</v>
      </c>
      <c r="DO22" s="222">
        <f t="shared" si="107"/>
        <v>6913.6950354754863</v>
      </c>
      <c r="DP22" s="221">
        <f t="shared" si="107"/>
        <v>1700.6078347822026</v>
      </c>
      <c r="DQ22" s="221">
        <f t="shared" ref="DQ22:DT22" si="109">DQ20+DQ21</f>
        <v>1870.6558152935627</v>
      </c>
      <c r="DR22" s="221">
        <f t="shared" si="109"/>
        <v>1774.2573766931387</v>
      </c>
      <c r="DS22" s="221">
        <f t="shared" si="109"/>
        <v>1842.1873930532358</v>
      </c>
      <c r="DT22" s="222">
        <f t="shared" si="109"/>
        <v>7187.7084198221401</v>
      </c>
      <c r="DU22" s="222">
        <f t="shared" si="107"/>
        <v>8131.2326710364623</v>
      </c>
      <c r="DV22" s="222">
        <f t="shared" si="107"/>
        <v>8823.0470298545442</v>
      </c>
    </row>
    <row r="23" spans="2:126">
      <c r="B23" s="221" t="s">
        <v>472</v>
      </c>
      <c r="C23" s="238"/>
      <c r="D23" s="238"/>
      <c r="E23" s="238"/>
      <c r="F23" s="238"/>
      <c r="G23" s="238"/>
      <c r="H23" s="238"/>
      <c r="I23" s="222"/>
      <c r="J23" s="221"/>
      <c r="K23" s="221"/>
      <c r="L23" s="221"/>
      <c r="M23" s="221"/>
      <c r="N23" s="222"/>
      <c r="O23" s="221"/>
      <c r="P23" s="221"/>
      <c r="Q23" s="221"/>
      <c r="R23" s="221"/>
      <c r="S23" s="222"/>
      <c r="T23" s="221"/>
      <c r="U23" s="221"/>
      <c r="V23" s="221"/>
      <c r="W23" s="221"/>
      <c r="X23" s="222"/>
      <c r="Y23" s="221"/>
      <c r="Z23" s="221"/>
      <c r="AA23" s="221"/>
      <c r="AB23" s="221"/>
      <c r="AC23" s="222"/>
      <c r="AD23" s="221"/>
      <c r="AE23" s="221"/>
      <c r="AF23" s="221"/>
      <c r="AG23" s="221"/>
      <c r="AH23" s="222"/>
      <c r="AI23" s="221"/>
      <c r="AJ23" s="221"/>
      <c r="AK23" s="221"/>
      <c r="AL23" s="221"/>
      <c r="AM23" s="222"/>
      <c r="AN23" s="221"/>
      <c r="AO23" s="221"/>
      <c r="AP23" s="221"/>
      <c r="AQ23" s="221"/>
      <c r="AR23" s="222"/>
      <c r="AS23" s="221"/>
      <c r="AT23" s="221"/>
      <c r="AU23" s="221"/>
      <c r="AV23" s="221"/>
      <c r="AW23" s="222"/>
      <c r="AX23" s="221"/>
      <c r="AY23" s="221"/>
      <c r="AZ23" s="221"/>
      <c r="BA23" s="221"/>
      <c r="BB23" s="222"/>
      <c r="BC23" s="221"/>
      <c r="BD23" s="221"/>
      <c r="BE23" s="221"/>
      <c r="BF23" s="221"/>
      <c r="BG23" s="222"/>
      <c r="BH23" s="221"/>
      <c r="BI23" s="221"/>
      <c r="BJ23" s="221"/>
      <c r="BK23" s="221"/>
      <c r="BL23" s="222"/>
      <c r="BM23" s="221"/>
      <c r="BN23" s="221"/>
      <c r="BO23" s="221"/>
      <c r="BP23" s="221"/>
      <c r="BQ23" s="222"/>
      <c r="BR23" s="221"/>
      <c r="BS23" s="221"/>
      <c r="BT23" s="221"/>
      <c r="BU23" s="221"/>
      <c r="BV23" s="222"/>
      <c r="BW23" s="221"/>
      <c r="BX23" s="221"/>
      <c r="BY23" s="221"/>
      <c r="BZ23" s="221"/>
      <c r="CA23" s="222"/>
      <c r="CB23" s="221"/>
      <c r="CC23" s="221"/>
      <c r="CD23" s="221"/>
      <c r="CE23" s="221"/>
      <c r="CF23" s="222"/>
      <c r="CG23" s="221"/>
      <c r="CH23" s="221"/>
      <c r="CI23" s="221"/>
      <c r="CJ23" s="221"/>
      <c r="CK23" s="222"/>
      <c r="CL23" s="221">
        <f>data!CL30</f>
        <v>-43</v>
      </c>
      <c r="CM23" s="221">
        <f>data!CM30</f>
        <v>-192</v>
      </c>
      <c r="CN23" s="221">
        <f>data!CN30</f>
        <v>-46</v>
      </c>
      <c r="CO23" s="221">
        <f>data!CO30</f>
        <v>-193</v>
      </c>
      <c r="CP23" s="222">
        <f>SUM(CL23:CO23)</f>
        <v>-474</v>
      </c>
      <c r="CQ23" s="221">
        <f>data!CQ30</f>
        <v>-72</v>
      </c>
      <c r="CR23" s="221">
        <f>data!CR30</f>
        <v>-57</v>
      </c>
      <c r="CS23" s="221">
        <f>data!CS30</f>
        <v>-52</v>
      </c>
      <c r="CT23" s="221">
        <f>data!CT30</f>
        <v>-56</v>
      </c>
      <c r="CU23" s="222">
        <f>SUM(CQ23:CT23)</f>
        <v>-237</v>
      </c>
      <c r="CV23" s="221">
        <f>data!CV30</f>
        <v>-52</v>
      </c>
      <c r="CW23" s="221">
        <f>data!CW30</f>
        <v>-67</v>
      </c>
      <c r="CX23" s="221">
        <f>data!CX30</f>
        <v>-73</v>
      </c>
      <c r="CY23" s="221">
        <f>data!CY30</f>
        <v>-97</v>
      </c>
      <c r="CZ23" s="222">
        <f>SUM(CV23:CY23)</f>
        <v>-289</v>
      </c>
      <c r="DA23" s="221">
        <f>data!DA30</f>
        <v>-145</v>
      </c>
      <c r="DB23" s="221">
        <f>data!DB30</f>
        <v>-58</v>
      </c>
      <c r="DC23" s="221">
        <f>data!DC30</f>
        <v>-91</v>
      </c>
      <c r="DD23" s="221">
        <f>data!DD30</f>
        <v>-1</v>
      </c>
      <c r="DE23" s="222">
        <f>SUM(DA23:DD23)</f>
        <v>-295</v>
      </c>
      <c r="DF23" s="221">
        <f>data!DF30</f>
        <v>0</v>
      </c>
      <c r="DG23" s="221">
        <f>data!DG30</f>
        <v>0</v>
      </c>
      <c r="DH23" s="221">
        <f>data!DH30</f>
        <v>0</v>
      </c>
      <c r="DI23" s="221">
        <f>data!DI30</f>
        <v>0</v>
      </c>
      <c r="DJ23" s="222">
        <f>SUM(DF23:DI23)</f>
        <v>0</v>
      </c>
      <c r="DK23" s="221">
        <f>data!DK30</f>
        <v>0</v>
      </c>
      <c r="DL23" s="221">
        <f>data!DL30</f>
        <v>0</v>
      </c>
      <c r="DM23" s="905">
        <v>0</v>
      </c>
      <c r="DN23" s="905">
        <v>0</v>
      </c>
      <c r="DO23" s="222">
        <f>SUM(DK23:DN23)</f>
        <v>0</v>
      </c>
      <c r="DP23" s="905">
        <v>0</v>
      </c>
      <c r="DQ23" s="905">
        <v>0</v>
      </c>
      <c r="DR23" s="905">
        <v>0</v>
      </c>
      <c r="DS23" s="905">
        <v>0</v>
      </c>
      <c r="DT23" s="222">
        <f>SUM(DP23:DS23)</f>
        <v>0</v>
      </c>
      <c r="DU23" s="908">
        <v>0</v>
      </c>
      <c r="DV23" s="908">
        <v>0</v>
      </c>
    </row>
    <row r="24" spans="2:126">
      <c r="B24" s="221" t="s">
        <v>474</v>
      </c>
      <c r="C24" s="238"/>
      <c r="D24" s="238"/>
      <c r="E24" s="238"/>
      <c r="F24" s="238"/>
      <c r="G24" s="238"/>
      <c r="H24" s="238"/>
      <c r="I24" s="222"/>
      <c r="J24" s="221"/>
      <c r="K24" s="221"/>
      <c r="L24" s="221"/>
      <c r="M24" s="221"/>
      <c r="N24" s="222"/>
      <c r="O24" s="221"/>
      <c r="P24" s="221"/>
      <c r="Q24" s="221"/>
      <c r="R24" s="221"/>
      <c r="S24" s="222"/>
      <c r="T24" s="221"/>
      <c r="U24" s="221"/>
      <c r="V24" s="221"/>
      <c r="W24" s="221"/>
      <c r="X24" s="222"/>
      <c r="Y24" s="221"/>
      <c r="Z24" s="221"/>
      <c r="AA24" s="221"/>
      <c r="AB24" s="221"/>
      <c r="AC24" s="222"/>
      <c r="AD24" s="221"/>
      <c r="AE24" s="221"/>
      <c r="AF24" s="221"/>
      <c r="AG24" s="221"/>
      <c r="AH24" s="222"/>
      <c r="AI24" s="221"/>
      <c r="AJ24" s="221"/>
      <c r="AK24" s="221"/>
      <c r="AL24" s="221"/>
      <c r="AM24" s="222"/>
      <c r="AN24" s="221"/>
      <c r="AO24" s="221"/>
      <c r="AP24" s="221"/>
      <c r="AQ24" s="221"/>
      <c r="AR24" s="222"/>
      <c r="AS24" s="221"/>
      <c r="AT24" s="221"/>
      <c r="AU24" s="221"/>
      <c r="AV24" s="221"/>
      <c r="AW24" s="222"/>
      <c r="AX24" s="221"/>
      <c r="AY24" s="221"/>
      <c r="AZ24" s="221"/>
      <c r="BA24" s="221"/>
      <c r="BB24" s="222"/>
      <c r="BC24" s="221"/>
      <c r="BD24" s="221"/>
      <c r="BE24" s="221"/>
      <c r="BF24" s="221"/>
      <c r="BG24" s="222"/>
      <c r="BH24" s="221"/>
      <c r="BI24" s="221"/>
      <c r="BJ24" s="221"/>
      <c r="BK24" s="221"/>
      <c r="BL24" s="222"/>
      <c r="BM24" s="221"/>
      <c r="BN24" s="221"/>
      <c r="BO24" s="221"/>
      <c r="BP24" s="221"/>
      <c r="BQ24" s="222"/>
      <c r="BR24" s="221"/>
      <c r="BS24" s="221"/>
      <c r="BT24" s="221"/>
      <c r="BU24" s="221"/>
      <c r="BV24" s="222"/>
      <c r="BW24" s="221"/>
      <c r="BX24" s="221"/>
      <c r="BY24" s="221"/>
      <c r="BZ24" s="221"/>
      <c r="CA24" s="222"/>
      <c r="CB24" s="221"/>
      <c r="CC24" s="221"/>
      <c r="CD24" s="221"/>
      <c r="CE24" s="221"/>
      <c r="CF24" s="222"/>
      <c r="CG24" s="221"/>
      <c r="CH24" s="221"/>
      <c r="CI24" s="221"/>
      <c r="CJ24" s="221"/>
      <c r="CK24" s="222"/>
      <c r="CL24" s="221">
        <f>+CL22+CL23</f>
        <v>6156</v>
      </c>
      <c r="CM24" s="221">
        <f t="shared" ref="CM24:CO24" si="110">+CM22+CM23</f>
        <v>-2179</v>
      </c>
      <c r="CN24" s="221">
        <f t="shared" si="110"/>
        <v>-1189</v>
      </c>
      <c r="CO24" s="221">
        <f t="shared" si="110"/>
        <v>2442</v>
      </c>
      <c r="CP24" s="222">
        <f t="shared" ref="CP24" si="111">CP22+CP23</f>
        <v>5230</v>
      </c>
      <c r="CQ24" s="221">
        <f>+CQ22+CQ23</f>
        <v>-2875</v>
      </c>
      <c r="CR24" s="221">
        <f t="shared" ref="CR24" si="112">+CR22+CR23</f>
        <v>-1188</v>
      </c>
      <c r="CS24" s="221">
        <f t="shared" ref="CS24" si="113">+CS22+CS23</f>
        <v>1205</v>
      </c>
      <c r="CT24" s="221">
        <f t="shared" ref="CT24" si="114">+CT22+CT23</f>
        <v>-3899</v>
      </c>
      <c r="CU24" s="222">
        <f t="shared" ref="CU24" si="115">CU22+CU23</f>
        <v>-6757</v>
      </c>
      <c r="CV24" s="221">
        <f>+CV22+CV23</f>
        <v>-1188</v>
      </c>
      <c r="CW24" s="221">
        <f t="shared" ref="CW24" si="116">+CW22+CW23</f>
        <v>-947</v>
      </c>
      <c r="CX24" s="221">
        <f t="shared" ref="CX24" si="117">+CX22+CX23</f>
        <v>89</v>
      </c>
      <c r="CY24" s="221">
        <f t="shared" ref="CY24" si="118">+CY22+CY23</f>
        <v>2095</v>
      </c>
      <c r="CZ24" s="222">
        <f t="shared" ref="CZ24" si="119">CZ22+CZ23</f>
        <v>49</v>
      </c>
      <c r="DA24" s="221">
        <f>+DA22+DA23</f>
        <v>7359</v>
      </c>
      <c r="DB24" s="221">
        <f t="shared" ref="DB24" si="120">+DB22+DB23</f>
        <v>-25</v>
      </c>
      <c r="DC24" s="221">
        <f t="shared" ref="DC24" si="121">+DC22+DC23</f>
        <v>258</v>
      </c>
      <c r="DD24" s="221">
        <f t="shared" ref="DD24" si="122">+DD22+DD23</f>
        <v>1594</v>
      </c>
      <c r="DE24" s="222">
        <f t="shared" ref="DE24" si="123">DE22+DE23</f>
        <v>9186</v>
      </c>
      <c r="DF24" s="221">
        <f>+DF22+DF23</f>
        <v>1537</v>
      </c>
      <c r="DG24" s="221">
        <f>+DG22+DG23</f>
        <v>1266</v>
      </c>
      <c r="DH24" s="221">
        <f>+DH22+DH23</f>
        <v>1852</v>
      </c>
      <c r="DI24" s="221">
        <f>+DI22+DI23</f>
        <v>1899</v>
      </c>
      <c r="DJ24" s="222">
        <f t="shared" ref="DJ24" si="124">DJ22+DJ23</f>
        <v>6554</v>
      </c>
      <c r="DK24" s="221">
        <f>+DK22+DK23</f>
        <v>1977</v>
      </c>
      <c r="DL24" s="221">
        <f>+DL22+DL23</f>
        <v>2028</v>
      </c>
      <c r="DM24" s="221">
        <f t="shared" ref="DM24" si="125">+DM22+DM23</f>
        <v>1494.8795704251631</v>
      </c>
      <c r="DN24" s="221">
        <f t="shared" ref="DN24" si="126">+DN22+DN23</f>
        <v>1413.8154650503259</v>
      </c>
      <c r="DO24" s="222">
        <f t="shared" ref="DO24:DU24" si="127">DO22+DO23</f>
        <v>6913.6950354754863</v>
      </c>
      <c r="DP24" s="221">
        <f t="shared" ref="DP24" si="128">+DP22+DP23</f>
        <v>1700.6078347822026</v>
      </c>
      <c r="DQ24" s="221">
        <f t="shared" ref="DQ24:DS24" si="129">+DQ22+DQ23</f>
        <v>1870.6558152935627</v>
      </c>
      <c r="DR24" s="221">
        <f t="shared" si="129"/>
        <v>1774.2573766931387</v>
      </c>
      <c r="DS24" s="221">
        <f t="shared" si="129"/>
        <v>1842.1873930532358</v>
      </c>
      <c r="DT24" s="222">
        <f t="shared" ref="DT24" si="130">DT22+DT23</f>
        <v>7187.7084198221401</v>
      </c>
      <c r="DU24" s="222">
        <f t="shared" si="127"/>
        <v>8131.2326710364623</v>
      </c>
      <c r="DV24" s="222">
        <f t="shared" ref="DV24" si="131">DV22+DV23</f>
        <v>8823.0470298545442</v>
      </c>
    </row>
    <row r="25" spans="2:126">
      <c r="B25" s="221" t="s">
        <v>563</v>
      </c>
      <c r="C25" s="238"/>
      <c r="D25" s="238"/>
      <c r="E25" s="238"/>
      <c r="F25" s="238"/>
      <c r="G25" s="238"/>
      <c r="H25" s="238"/>
      <c r="I25" s="222"/>
      <c r="J25" s="221"/>
      <c r="K25" s="221"/>
      <c r="L25" s="221"/>
      <c r="M25" s="221"/>
      <c r="N25" s="222"/>
      <c r="O25" s="221"/>
      <c r="P25" s="221"/>
      <c r="Q25" s="221"/>
      <c r="R25" s="221"/>
      <c r="S25" s="222"/>
      <c r="T25" s="221"/>
      <c r="U25" s="221"/>
      <c r="V25" s="221"/>
      <c r="W25" s="221"/>
      <c r="X25" s="222"/>
      <c r="Y25" s="221"/>
      <c r="Z25" s="221"/>
      <c r="AA25" s="221"/>
      <c r="AB25" s="221"/>
      <c r="AC25" s="222"/>
      <c r="AD25" s="221"/>
      <c r="AE25" s="221"/>
      <c r="AF25" s="221"/>
      <c r="AG25" s="221"/>
      <c r="AH25" s="222"/>
      <c r="AI25" s="221"/>
      <c r="AJ25" s="221"/>
      <c r="AK25" s="221"/>
      <c r="AL25" s="221"/>
      <c r="AM25" s="222"/>
      <c r="AN25" s="221"/>
      <c r="AO25" s="221"/>
      <c r="AP25" s="221"/>
      <c r="AQ25" s="221"/>
      <c r="AR25" s="222"/>
      <c r="AS25" s="221"/>
      <c r="AT25" s="221"/>
      <c r="AU25" s="221"/>
      <c r="AV25" s="221"/>
      <c r="AW25" s="222"/>
      <c r="AX25" s="221"/>
      <c r="AY25" s="221"/>
      <c r="AZ25" s="221"/>
      <c r="BA25" s="221"/>
      <c r="BB25" s="222"/>
      <c r="BC25" s="221"/>
      <c r="BD25" s="221"/>
      <c r="BE25" s="221"/>
      <c r="BF25" s="221"/>
      <c r="BG25" s="222"/>
      <c r="BH25" s="221"/>
      <c r="BI25" s="221"/>
      <c r="BJ25" s="221"/>
      <c r="BK25" s="221"/>
      <c r="BL25" s="222"/>
      <c r="BM25" s="221"/>
      <c r="BN25" s="221"/>
      <c r="BO25" s="221"/>
      <c r="BP25" s="221"/>
      <c r="BQ25" s="222"/>
      <c r="BR25" s="221"/>
      <c r="BS25" s="221"/>
      <c r="BT25" s="221"/>
      <c r="BU25" s="221"/>
      <c r="BV25" s="222"/>
      <c r="BW25" s="221"/>
      <c r="BX25" s="221"/>
      <c r="BY25" s="221"/>
      <c r="BZ25" s="221"/>
      <c r="CA25" s="222"/>
      <c r="CB25" s="221"/>
      <c r="CC25" s="221"/>
      <c r="CD25" s="221"/>
      <c r="CE25" s="221"/>
      <c r="CF25" s="222"/>
      <c r="CG25" s="221"/>
      <c r="CH25" s="221"/>
      <c r="CI25" s="221"/>
      <c r="CJ25" s="221"/>
      <c r="CK25" s="222"/>
      <c r="CL25" s="221">
        <f>data!CL32</f>
        <v>-21</v>
      </c>
      <c r="CM25" s="221">
        <f>data!CM32</f>
        <v>-993</v>
      </c>
      <c r="CN25" s="221">
        <f>data!CN32</f>
        <v>-58</v>
      </c>
      <c r="CO25" s="221">
        <f>CP25-SUM(CL25:CN25)</f>
        <v>161</v>
      </c>
      <c r="CP25" s="222">
        <f>data!CP32</f>
        <v>-911</v>
      </c>
      <c r="CQ25" s="221">
        <f>data!CQ32</f>
        <v>-2894</v>
      </c>
      <c r="CR25" s="221">
        <f>data!CR32</f>
        <v>-564</v>
      </c>
      <c r="CS25" s="221">
        <f>data!CS32</f>
        <v>602</v>
      </c>
      <c r="CT25" s="221">
        <f>CU25-SUM(CQ25:CS25)</f>
        <v>-339</v>
      </c>
      <c r="CU25" s="222">
        <f>data!CU32</f>
        <v>-3195</v>
      </c>
      <c r="CV25" s="221">
        <f>data!CV32</f>
        <v>88</v>
      </c>
      <c r="CW25" s="221">
        <f>data!CW32</f>
        <v>252</v>
      </c>
      <c r="CX25" s="221">
        <f>data!CX32</f>
        <v>403</v>
      </c>
      <c r="CY25" s="221">
        <f>CZ25-SUM(CV25:CX25)</f>
        <v>408</v>
      </c>
      <c r="CZ25" s="222">
        <f>data!CZ32</f>
        <v>1151</v>
      </c>
      <c r="DA25" s="221">
        <f>data!DA32</f>
        <v>1257</v>
      </c>
      <c r="DB25" s="221">
        <f>data!DB32</f>
        <v>-1019</v>
      </c>
      <c r="DC25" s="221">
        <f>data!DC32</f>
        <v>173</v>
      </c>
      <c r="DD25" s="221">
        <f>DE25-SUM(DA25:DC25)</f>
        <v>3</v>
      </c>
      <c r="DE25" s="222">
        <f>data!DE32</f>
        <v>414</v>
      </c>
      <c r="DF25" s="221">
        <f>data!DF32</f>
        <v>14</v>
      </c>
      <c r="DG25" s="221">
        <f>data!DG32</f>
        <v>-54</v>
      </c>
      <c r="DH25" s="221">
        <f>data!DH32</f>
        <v>147</v>
      </c>
      <c r="DI25" s="221">
        <f>data!DI32</f>
        <v>-6</v>
      </c>
      <c r="DJ25" s="222">
        <f>SUM(DF25:DI25)</f>
        <v>101</v>
      </c>
      <c r="DK25" s="221">
        <f>data!DK32</f>
        <v>-6</v>
      </c>
      <c r="DL25" s="221">
        <f>data!DL32</f>
        <v>0</v>
      </c>
      <c r="DM25" s="905">
        <v>0</v>
      </c>
      <c r="DN25" s="905">
        <v>0</v>
      </c>
      <c r="DO25" s="222">
        <f>SUM(DK25:DN25)</f>
        <v>-6</v>
      </c>
      <c r="DP25" s="905">
        <v>0</v>
      </c>
      <c r="DQ25" s="905">
        <v>0</v>
      </c>
      <c r="DR25" s="905">
        <v>0</v>
      </c>
      <c r="DS25" s="905">
        <v>0</v>
      </c>
      <c r="DT25" s="222">
        <f>SUM(DP25:DS25)</f>
        <v>0</v>
      </c>
      <c r="DU25" s="908">
        <v>0</v>
      </c>
      <c r="DV25" s="908">
        <v>0</v>
      </c>
    </row>
    <row r="26" spans="2:126">
      <c r="B26" s="221" t="s">
        <v>36</v>
      </c>
      <c r="C26" s="238"/>
      <c r="D26" s="238"/>
      <c r="E26" s="238"/>
      <c r="F26" s="238"/>
      <c r="G26" s="238"/>
      <c r="H26" s="238"/>
      <c r="I26" s="222"/>
      <c r="J26" s="221"/>
      <c r="K26" s="221"/>
      <c r="L26" s="221"/>
      <c r="M26" s="221"/>
      <c r="N26" s="222"/>
      <c r="O26" s="221"/>
      <c r="P26" s="221"/>
      <c r="Q26" s="221"/>
      <c r="R26" s="221"/>
      <c r="S26" s="222"/>
      <c r="T26" s="221"/>
      <c r="U26" s="221"/>
      <c r="V26" s="221"/>
      <c r="W26" s="221"/>
      <c r="X26" s="222"/>
      <c r="Y26" s="221"/>
      <c r="Z26" s="221"/>
      <c r="AA26" s="221"/>
      <c r="AB26" s="221"/>
      <c r="AC26" s="222"/>
      <c r="AD26" s="221"/>
      <c r="AE26" s="221"/>
      <c r="AF26" s="221"/>
      <c r="AG26" s="221"/>
      <c r="AH26" s="222"/>
      <c r="AI26" s="221"/>
      <c r="AJ26" s="221"/>
      <c r="AK26" s="221"/>
      <c r="AL26" s="221"/>
      <c r="AM26" s="222"/>
      <c r="AN26" s="221"/>
      <c r="AO26" s="221"/>
      <c r="AP26" s="221"/>
      <c r="AQ26" s="221"/>
      <c r="AR26" s="222"/>
      <c r="AS26" s="221"/>
      <c r="AT26" s="221"/>
      <c r="AU26" s="221"/>
      <c r="AV26" s="221"/>
      <c r="AW26" s="222"/>
      <c r="AX26" s="221"/>
      <c r="AY26" s="221"/>
      <c r="AZ26" s="221"/>
      <c r="BA26" s="221"/>
      <c r="BB26" s="222"/>
      <c r="BC26" s="221"/>
      <c r="BD26" s="221"/>
      <c r="BE26" s="221"/>
      <c r="BF26" s="221"/>
      <c r="BG26" s="222"/>
      <c r="BH26" s="221"/>
      <c r="BI26" s="221"/>
      <c r="BJ26" s="221"/>
      <c r="BK26" s="221"/>
      <c r="BL26" s="222"/>
      <c r="BM26" s="221"/>
      <c r="BN26" s="221"/>
      <c r="BO26" s="221"/>
      <c r="BP26" s="221"/>
      <c r="BQ26" s="222"/>
      <c r="BR26" s="221"/>
      <c r="BS26" s="221"/>
      <c r="BT26" s="221"/>
      <c r="BU26" s="221"/>
      <c r="BV26" s="222"/>
      <c r="BW26" s="221"/>
      <c r="BX26" s="221"/>
      <c r="BY26" s="221"/>
      <c r="BZ26" s="221"/>
      <c r="CA26" s="222"/>
      <c r="CB26" s="221"/>
      <c r="CC26" s="221"/>
      <c r="CD26" s="221"/>
      <c r="CE26" s="221"/>
      <c r="CF26" s="222"/>
      <c r="CG26" s="221"/>
      <c r="CH26" s="221"/>
      <c r="CI26" s="221"/>
      <c r="CJ26" s="221"/>
      <c r="CK26" s="222"/>
      <c r="CL26" s="221">
        <f>CL24-CL25</f>
        <v>6177</v>
      </c>
      <c r="CM26" s="221">
        <f t="shared" ref="CM26:CN26" si="132">CM24-CM25</f>
        <v>-1186</v>
      </c>
      <c r="CN26" s="221">
        <f t="shared" si="132"/>
        <v>-1131</v>
      </c>
      <c r="CO26" s="221">
        <f>CP26-SUM(CL26:CN26)</f>
        <v>2281</v>
      </c>
      <c r="CP26" s="222">
        <f>CP24-CP25</f>
        <v>6141</v>
      </c>
      <c r="CQ26" s="221">
        <f>CQ24-CQ25</f>
        <v>19</v>
      </c>
      <c r="CR26" s="221">
        <f t="shared" ref="CR26:CS26" si="133">CR24-CR25</f>
        <v>-624</v>
      </c>
      <c r="CS26" s="221">
        <f t="shared" si="133"/>
        <v>603</v>
      </c>
      <c r="CT26" s="221">
        <f>CU26-SUM(CQ26:CS26)</f>
        <v>-3560</v>
      </c>
      <c r="CU26" s="222">
        <f>CU24-CU25</f>
        <v>-3562</v>
      </c>
      <c r="CV26" s="221">
        <f>CV24-CV25</f>
        <v>-1276</v>
      </c>
      <c r="CW26" s="221">
        <f>CW24-CW25</f>
        <v>-1199</v>
      </c>
      <c r="CX26" s="221">
        <f>CX24-CX25</f>
        <v>-314</v>
      </c>
      <c r="CY26" s="221">
        <f>CZ26-SUM(CV26:CX26)</f>
        <v>1687</v>
      </c>
      <c r="CZ26" s="222">
        <f>CZ24-CZ25</f>
        <v>-1102</v>
      </c>
      <c r="DA26" s="221">
        <f>DA24-DA25</f>
        <v>6102</v>
      </c>
      <c r="DB26" s="221">
        <f>DB24-DB25</f>
        <v>994</v>
      </c>
      <c r="DC26" s="221">
        <f>DC24-DC25</f>
        <v>85</v>
      </c>
      <c r="DD26" s="221">
        <f>DE26-SUM(DA26:DC26)</f>
        <v>1591</v>
      </c>
      <c r="DE26" s="222">
        <f t="shared" ref="DE26:DV26" si="134">DE24-DE25</f>
        <v>8772</v>
      </c>
      <c r="DF26" s="221">
        <f t="shared" si="134"/>
        <v>1523</v>
      </c>
      <c r="DG26" s="221">
        <f t="shared" ref="DG26:DH26" si="135">DG24-DG25</f>
        <v>1320</v>
      </c>
      <c r="DH26" s="221">
        <f t="shared" si="135"/>
        <v>1705</v>
      </c>
      <c r="DI26" s="221">
        <f t="shared" ref="DI26" si="136">DI24-DI25</f>
        <v>1905</v>
      </c>
      <c r="DJ26" s="222">
        <f t="shared" si="134"/>
        <v>6453</v>
      </c>
      <c r="DK26" s="221">
        <f t="shared" ref="DK26:DL26" si="137">DK24-DK25</f>
        <v>1983</v>
      </c>
      <c r="DL26" s="221">
        <f t="shared" si="137"/>
        <v>2028</v>
      </c>
      <c r="DM26" s="221">
        <f t="shared" si="134"/>
        <v>1494.8795704251631</v>
      </c>
      <c r="DN26" s="221">
        <f t="shared" si="134"/>
        <v>1413.8154650503259</v>
      </c>
      <c r="DO26" s="222">
        <f t="shared" si="134"/>
        <v>6919.6950354754863</v>
      </c>
      <c r="DP26" s="221">
        <f t="shared" si="134"/>
        <v>1700.6078347822026</v>
      </c>
      <c r="DQ26" s="221">
        <f t="shared" ref="DQ26:DT26" si="138">DQ24-DQ25</f>
        <v>1870.6558152935627</v>
      </c>
      <c r="DR26" s="221">
        <f t="shared" si="138"/>
        <v>1774.2573766931387</v>
      </c>
      <c r="DS26" s="221">
        <f t="shared" si="138"/>
        <v>1842.1873930532358</v>
      </c>
      <c r="DT26" s="222">
        <f t="shared" si="138"/>
        <v>7187.7084198221401</v>
      </c>
      <c r="DU26" s="222">
        <f t="shared" si="134"/>
        <v>8131.2326710364623</v>
      </c>
      <c r="DV26" s="222">
        <f t="shared" si="134"/>
        <v>8823.0470298545442</v>
      </c>
    </row>
    <row r="27" spans="2:126" hidden="1" outlineLevel="1">
      <c r="B27" s="221"/>
      <c r="C27" s="222"/>
      <c r="D27" s="222"/>
      <c r="E27" s="222"/>
      <c r="F27" s="222"/>
      <c r="G27" s="222"/>
      <c r="H27" s="222"/>
      <c r="I27" s="222"/>
      <c r="J27" s="221"/>
      <c r="K27" s="221"/>
      <c r="L27" s="221"/>
      <c r="M27" s="221"/>
      <c r="N27" s="222"/>
      <c r="O27" s="221"/>
      <c r="P27" s="221"/>
      <c r="Q27" s="221"/>
      <c r="R27" s="221"/>
      <c r="S27" s="222"/>
      <c r="T27" s="221"/>
      <c r="U27" s="221"/>
      <c r="V27" s="221"/>
      <c r="W27" s="221"/>
      <c r="X27" s="222"/>
      <c r="Y27" s="221"/>
      <c r="Z27" s="221"/>
      <c r="AA27" s="221"/>
      <c r="AB27" s="221"/>
      <c r="AC27" s="222"/>
      <c r="AD27" s="221"/>
      <c r="AE27" s="221"/>
      <c r="AF27" s="221"/>
      <c r="AG27" s="221"/>
      <c r="AH27" s="222"/>
      <c r="AI27" s="221"/>
      <c r="AJ27" s="221"/>
      <c r="AK27" s="221"/>
      <c r="AL27" s="221"/>
      <c r="AM27" s="222"/>
      <c r="AN27" s="221"/>
      <c r="AO27" s="221"/>
      <c r="AP27" s="221"/>
      <c r="AQ27" s="221"/>
      <c r="AR27" s="222"/>
      <c r="AS27" s="221"/>
      <c r="AT27" s="221"/>
      <c r="AU27" s="221"/>
      <c r="AV27" s="221"/>
      <c r="AW27" s="222"/>
      <c r="AX27" s="221"/>
      <c r="AY27" s="221"/>
      <c r="AZ27" s="221"/>
      <c r="BA27" s="221"/>
      <c r="BB27" s="222"/>
      <c r="BC27" s="221"/>
      <c r="BD27" s="221"/>
      <c r="BE27" s="221"/>
      <c r="BF27" s="221"/>
      <c r="BG27" s="222"/>
      <c r="BH27" s="221"/>
      <c r="BI27" s="221"/>
      <c r="BJ27" s="221"/>
      <c r="BK27" s="221"/>
      <c r="BL27" s="222"/>
      <c r="BM27" s="221"/>
      <c r="BN27" s="221"/>
      <c r="BO27" s="221"/>
      <c r="BP27" s="221"/>
      <c r="BQ27" s="222"/>
      <c r="BR27" s="221"/>
      <c r="BS27" s="221"/>
      <c r="BT27" s="221"/>
      <c r="BU27" s="221"/>
      <c r="BV27" s="222"/>
      <c r="BW27" s="221"/>
      <c r="BX27" s="221"/>
      <c r="BY27" s="221"/>
      <c r="BZ27" s="221"/>
      <c r="CA27" s="222"/>
      <c r="CB27" s="221"/>
      <c r="CC27" s="221"/>
      <c r="CD27" s="221"/>
      <c r="CE27" s="221"/>
      <c r="CF27" s="222"/>
      <c r="CG27" s="221"/>
      <c r="CH27" s="221"/>
      <c r="CI27" s="221"/>
      <c r="CJ27" s="221"/>
      <c r="CK27" s="222"/>
      <c r="CL27" s="221"/>
      <c r="CM27" s="221"/>
      <c r="CN27" s="221"/>
      <c r="CO27" s="221"/>
      <c r="CP27" s="222"/>
      <c r="CQ27" s="221"/>
      <c r="CR27" s="221"/>
      <c r="CS27" s="221"/>
      <c r="CT27" s="221"/>
      <c r="CU27" s="222"/>
      <c r="CV27" s="221"/>
      <c r="CW27" s="221"/>
      <c r="CX27" s="221"/>
      <c r="CY27" s="221"/>
      <c r="CZ27" s="222"/>
      <c r="DA27" s="221"/>
      <c r="DB27" s="221"/>
      <c r="DC27" s="221"/>
      <c r="DD27" s="221"/>
      <c r="DE27" s="222"/>
      <c r="DF27" s="221"/>
      <c r="DG27" s="221"/>
      <c r="DH27" s="221"/>
      <c r="DI27" s="221"/>
      <c r="DJ27" s="222"/>
      <c r="DK27" s="221"/>
      <c r="DL27" s="221"/>
      <c r="DM27" s="221"/>
      <c r="DN27" s="221"/>
      <c r="DO27" s="222"/>
      <c r="DP27" s="221"/>
      <c r="DQ27" s="221"/>
      <c r="DR27" s="221"/>
      <c r="DS27" s="221"/>
      <c r="DT27" s="222"/>
      <c r="DU27" s="222"/>
      <c r="DV27" s="222"/>
    </row>
    <row r="28" spans="2:126" hidden="1" outlineLevel="1">
      <c r="B28" s="221" t="s">
        <v>37</v>
      </c>
      <c r="C28" s="24" t="e">
        <f t="shared" ref="C28:AH28" si="139">C20/C51</f>
        <v>#DIV/0!</v>
      </c>
      <c r="D28" s="24" t="e">
        <f t="shared" si="139"/>
        <v>#DIV/0!</v>
      </c>
      <c r="E28" s="24" t="e">
        <f t="shared" si="139"/>
        <v>#DIV/0!</v>
      </c>
      <c r="F28" s="24" t="e">
        <f t="shared" si="139"/>
        <v>#DIV/0!</v>
      </c>
      <c r="G28" s="24" t="e">
        <f t="shared" si="139"/>
        <v>#DIV/0!</v>
      </c>
      <c r="H28" s="24" t="e">
        <f t="shared" si="139"/>
        <v>#DIV/0!</v>
      </c>
      <c r="I28" s="24" t="e">
        <f t="shared" si="139"/>
        <v>#DIV/0!</v>
      </c>
      <c r="J28" s="23" t="e">
        <f t="shared" si="139"/>
        <v>#DIV/0!</v>
      </c>
      <c r="K28" s="23" t="e">
        <f t="shared" si="139"/>
        <v>#DIV/0!</v>
      </c>
      <c r="L28" s="23" t="e">
        <f t="shared" si="139"/>
        <v>#DIV/0!</v>
      </c>
      <c r="M28" s="23" t="e">
        <f t="shared" si="139"/>
        <v>#DIV/0!</v>
      </c>
      <c r="N28" s="24" t="e">
        <f t="shared" si="139"/>
        <v>#DIV/0!</v>
      </c>
      <c r="O28" s="23" t="e">
        <f t="shared" si="139"/>
        <v>#REF!</v>
      </c>
      <c r="P28" s="23" t="e">
        <f t="shared" si="139"/>
        <v>#REF!</v>
      </c>
      <c r="Q28" s="23" t="e">
        <f t="shared" si="139"/>
        <v>#REF!</v>
      </c>
      <c r="R28" s="23" t="e">
        <f t="shared" si="139"/>
        <v>#REF!</v>
      </c>
      <c r="S28" s="24" t="e">
        <f t="shared" si="139"/>
        <v>#REF!</v>
      </c>
      <c r="T28" s="23" t="e">
        <f t="shared" si="139"/>
        <v>#REF!</v>
      </c>
      <c r="U28" s="23" t="e">
        <f t="shared" si="139"/>
        <v>#REF!</v>
      </c>
      <c r="V28" s="23" t="e">
        <f t="shared" si="139"/>
        <v>#REF!</v>
      </c>
      <c r="W28" s="23" t="e">
        <f t="shared" si="139"/>
        <v>#REF!</v>
      </c>
      <c r="X28" s="24" t="e">
        <f t="shared" si="139"/>
        <v>#REF!</v>
      </c>
      <c r="Y28" s="23" t="e">
        <f t="shared" si="139"/>
        <v>#REF!</v>
      </c>
      <c r="Z28" s="23" t="e">
        <f t="shared" si="139"/>
        <v>#REF!</v>
      </c>
      <c r="AA28" s="23" t="e">
        <f t="shared" si="139"/>
        <v>#REF!</v>
      </c>
      <c r="AB28" s="23" t="e">
        <f t="shared" si="139"/>
        <v>#REF!</v>
      </c>
      <c r="AC28" s="24" t="e">
        <f t="shared" si="139"/>
        <v>#REF!</v>
      </c>
      <c r="AD28" s="23" t="e">
        <f t="shared" si="139"/>
        <v>#REF!</v>
      </c>
      <c r="AE28" s="23" t="e">
        <f t="shared" si="139"/>
        <v>#REF!</v>
      </c>
      <c r="AF28" s="23" t="e">
        <f t="shared" si="139"/>
        <v>#REF!</v>
      </c>
      <c r="AG28" s="23" t="e">
        <f t="shared" si="139"/>
        <v>#REF!</v>
      </c>
      <c r="AH28" s="24" t="e">
        <f t="shared" si="139"/>
        <v>#REF!</v>
      </c>
      <c r="AI28" s="23" t="e">
        <f t="shared" ref="AI28:BA28" si="140">AI20/AI51</f>
        <v>#REF!</v>
      </c>
      <c r="AJ28" s="23" t="e">
        <f t="shared" si="140"/>
        <v>#REF!</v>
      </c>
      <c r="AK28" s="23" t="e">
        <f t="shared" si="140"/>
        <v>#REF!</v>
      </c>
      <c r="AL28" s="23" t="e">
        <f t="shared" si="140"/>
        <v>#REF!</v>
      </c>
      <c r="AM28" s="24" t="e">
        <f t="shared" si="140"/>
        <v>#REF!</v>
      </c>
      <c r="AN28" s="23" t="e">
        <f t="shared" si="140"/>
        <v>#REF!</v>
      </c>
      <c r="AO28" s="23" t="e">
        <f t="shared" si="140"/>
        <v>#REF!</v>
      </c>
      <c r="AP28" s="23" t="e">
        <f t="shared" si="140"/>
        <v>#REF!</v>
      </c>
      <c r="AQ28" s="23" t="e">
        <f t="shared" si="140"/>
        <v>#DIV/0!</v>
      </c>
      <c r="AR28" s="24" t="e">
        <f t="shared" si="140"/>
        <v>#REF!</v>
      </c>
      <c r="AS28" s="23" t="e">
        <f t="shared" si="140"/>
        <v>#DIV/0!</v>
      </c>
      <c r="AT28" s="23" t="e">
        <f t="shared" si="140"/>
        <v>#DIV/0!</v>
      </c>
      <c r="AU28" s="23" t="e">
        <f t="shared" si="140"/>
        <v>#DIV/0!</v>
      </c>
      <c r="AV28" s="23" t="e">
        <f t="shared" si="140"/>
        <v>#DIV/0!</v>
      </c>
      <c r="AW28" s="24" t="e">
        <f t="shared" si="140"/>
        <v>#DIV/0!</v>
      </c>
      <c r="AX28" s="23" t="e">
        <f t="shared" si="140"/>
        <v>#REF!</v>
      </c>
      <c r="AY28" s="23" t="e">
        <f t="shared" si="140"/>
        <v>#REF!</v>
      </c>
      <c r="AZ28" s="23" t="e">
        <f t="shared" si="140"/>
        <v>#DIV/0!</v>
      </c>
      <c r="BA28" s="23" t="e">
        <f t="shared" si="140"/>
        <v>#DIV/0!</v>
      </c>
      <c r="BB28" s="24"/>
      <c r="BC28" s="23"/>
      <c r="BD28" s="23"/>
      <c r="BE28" s="23"/>
      <c r="BF28" s="23"/>
      <c r="BG28" s="24"/>
      <c r="BH28" s="23"/>
      <c r="BI28" s="23"/>
      <c r="BJ28" s="23"/>
      <c r="BK28" s="23"/>
      <c r="BL28" s="24"/>
      <c r="BM28" s="23"/>
      <c r="BN28" s="23"/>
      <c r="BO28" s="23"/>
      <c r="BP28" s="23"/>
      <c r="BQ28" s="24"/>
      <c r="BR28" s="23"/>
      <c r="BS28" s="23"/>
      <c r="BT28" s="23"/>
      <c r="BU28" s="23"/>
      <c r="BV28" s="24"/>
      <c r="BW28" s="23"/>
      <c r="BX28" s="23"/>
      <c r="BY28" s="23"/>
      <c r="BZ28" s="23"/>
      <c r="CA28" s="24"/>
      <c r="CB28" s="23"/>
      <c r="CC28" s="23"/>
      <c r="CD28" s="23"/>
      <c r="CE28" s="23"/>
      <c r="CF28" s="24"/>
      <c r="CG28" s="23"/>
      <c r="CH28" s="23"/>
      <c r="CI28" s="23"/>
      <c r="CJ28" s="23"/>
      <c r="CK28" s="24"/>
      <c r="CL28" s="23">
        <f t="shared" ref="CL28:DV28" si="141">CL20/CL51</f>
        <v>0.71347954986673312</v>
      </c>
      <c r="CM28" s="23">
        <f t="shared" si="141"/>
        <v>-0.12970740146927368</v>
      </c>
      <c r="CN28" s="23">
        <f t="shared" si="141"/>
        <v>-0.12968224539328368</v>
      </c>
      <c r="CO28" s="23">
        <f t="shared" si="141"/>
        <v>2.2615956451145038</v>
      </c>
      <c r="CP28" s="24">
        <f t="shared" si="141"/>
        <v>0.94254670469729984</v>
      </c>
      <c r="CQ28" s="23">
        <f t="shared" si="141"/>
        <v>1.0935633431188268E-2</v>
      </c>
      <c r="CR28" s="23">
        <f t="shared" si="141"/>
        <v>-6.4910639892437214E-2</v>
      </c>
      <c r="CS28" s="23">
        <f t="shared" si="141"/>
        <v>0.5299884551394568</v>
      </c>
      <c r="CT28" s="23">
        <f t="shared" si="141"/>
        <v>-3.1882741014530271</v>
      </c>
      <c r="CU28" s="24">
        <f t="shared" si="141"/>
        <v>-0.68755000640050656</v>
      </c>
      <c r="CV28" s="23">
        <f t="shared" si="141"/>
        <v>-1.0984268820807344</v>
      </c>
      <c r="CW28" s="23">
        <f t="shared" si="141"/>
        <v>-1.0259421070882164</v>
      </c>
      <c r="CX28" s="23">
        <f t="shared" si="141"/>
        <v>-0.22239140238865207</v>
      </c>
      <c r="CY28" s="23">
        <f t="shared" si="141"/>
        <v>1.6343770085391609</v>
      </c>
      <c r="CZ28" s="24">
        <f t="shared" si="141"/>
        <v>-0.72802238688022169</v>
      </c>
      <c r="DA28" s="23">
        <f t="shared" si="141"/>
        <v>5.711871725642558</v>
      </c>
      <c r="DB28" s="23">
        <f t="shared" si="141"/>
        <v>0.97025097231068835</v>
      </c>
      <c r="DC28" s="23">
        <f t="shared" si="141"/>
        <v>0.14884424606683422</v>
      </c>
      <c r="DD28" s="23">
        <f t="shared" si="141"/>
        <v>1.4626760423527219</v>
      </c>
      <c r="DE28" s="24">
        <f t="shared" si="141"/>
        <v>8.2955527022916797</v>
      </c>
      <c r="DF28" s="23">
        <f t="shared" si="141"/>
        <v>1.4207149404216315</v>
      </c>
      <c r="DG28" s="23">
        <f t="shared" si="141"/>
        <v>1.2139577594123048</v>
      </c>
      <c r="DH28" s="23">
        <f t="shared" si="141"/>
        <v>1.5650969529085872</v>
      </c>
      <c r="DI28" s="23">
        <f t="shared" si="141"/>
        <v>1.7668006063894384</v>
      </c>
      <c r="DJ28" s="24">
        <f t="shared" si="141"/>
        <v>5.962147855768162</v>
      </c>
      <c r="DK28" s="23">
        <f t="shared" ref="DK28:DL28" si="142">DK20/DK51</f>
        <v>1.8398580035477807</v>
      </c>
      <c r="DL28" s="23">
        <f t="shared" si="142"/>
        <v>1.8860106711596523</v>
      </c>
      <c r="DM28" s="23">
        <f t="shared" si="141"/>
        <v>1.4106771179969959</v>
      </c>
      <c r="DN28" s="23">
        <f t="shared" si="141"/>
        <v>1.3354393483216489</v>
      </c>
      <c r="DO28" s="24">
        <f t="shared" si="141"/>
        <v>6.4738408182348666</v>
      </c>
      <c r="DP28" s="23">
        <f t="shared" si="141"/>
        <v>1.6151051577883493</v>
      </c>
      <c r="DQ28" s="23">
        <f t="shared" ref="DQ28:DT28" si="143">DQ20/DQ51</f>
        <v>1.7884935193606615</v>
      </c>
      <c r="DR28" s="23">
        <f t="shared" si="143"/>
        <v>1.707758314771773</v>
      </c>
      <c r="DS28" s="23">
        <f t="shared" si="143"/>
        <v>1.7843056127548105</v>
      </c>
      <c r="DT28" s="24">
        <f t="shared" si="143"/>
        <v>6.8942585316048595</v>
      </c>
      <c r="DU28" s="24">
        <f t="shared" si="141"/>
        <v>7.9595890131949787</v>
      </c>
      <c r="DV28" s="24">
        <f t="shared" si="141"/>
        <v>8.8268921388198134</v>
      </c>
    </row>
    <row r="29" spans="2:126" s="15" customFormat="1" hidden="1" outlineLevel="1">
      <c r="B29" s="221" t="s">
        <v>540</v>
      </c>
      <c r="C29" s="22" t="e">
        <f t="shared" ref="C29:AW29" si="144">C21/C51</f>
        <v>#DIV/0!</v>
      </c>
      <c r="D29" s="22" t="e">
        <f t="shared" si="144"/>
        <v>#DIV/0!</v>
      </c>
      <c r="E29" s="22" t="e">
        <f t="shared" si="144"/>
        <v>#DIV/0!</v>
      </c>
      <c r="F29" s="22" t="e">
        <f t="shared" si="144"/>
        <v>#DIV/0!</v>
      </c>
      <c r="G29" s="22" t="e">
        <f t="shared" si="144"/>
        <v>#DIV/0!</v>
      </c>
      <c r="H29" s="22" t="e">
        <f t="shared" si="144"/>
        <v>#DIV/0!</v>
      </c>
      <c r="I29" s="22" t="e">
        <f t="shared" si="144"/>
        <v>#DIV/0!</v>
      </c>
      <c r="J29" s="21" t="e">
        <f t="shared" si="144"/>
        <v>#DIV/0!</v>
      </c>
      <c r="K29" s="21" t="e">
        <f t="shared" si="144"/>
        <v>#DIV/0!</v>
      </c>
      <c r="L29" s="21" t="e">
        <f t="shared" si="144"/>
        <v>#DIV/0!</v>
      </c>
      <c r="M29" s="21" t="e">
        <f t="shared" si="144"/>
        <v>#DIV/0!</v>
      </c>
      <c r="N29" s="22" t="e">
        <f>N21/N51</f>
        <v>#DIV/0!</v>
      </c>
      <c r="O29" s="21" t="e">
        <f t="shared" si="144"/>
        <v>#DIV/0!</v>
      </c>
      <c r="P29" s="21" t="e">
        <f t="shared" si="144"/>
        <v>#DIV/0!</v>
      </c>
      <c r="Q29" s="21" t="e">
        <f t="shared" si="144"/>
        <v>#DIV/0!</v>
      </c>
      <c r="R29" s="21" t="e">
        <f t="shared" si="144"/>
        <v>#DIV/0!</v>
      </c>
      <c r="S29" s="22" t="e">
        <f t="shared" si="144"/>
        <v>#DIV/0!</v>
      </c>
      <c r="T29" s="21" t="e">
        <f t="shared" si="144"/>
        <v>#DIV/0!</v>
      </c>
      <c r="U29" s="21" t="e">
        <f t="shared" si="144"/>
        <v>#DIV/0!</v>
      </c>
      <c r="V29" s="21" t="e">
        <f t="shared" si="144"/>
        <v>#DIV/0!</v>
      </c>
      <c r="W29" s="21" t="e">
        <f t="shared" si="144"/>
        <v>#DIV/0!</v>
      </c>
      <c r="X29" s="22" t="e">
        <f t="shared" si="144"/>
        <v>#DIV/0!</v>
      </c>
      <c r="Y29" s="21" t="e">
        <f t="shared" si="144"/>
        <v>#DIV/0!</v>
      </c>
      <c r="Z29" s="21" t="e">
        <f t="shared" si="144"/>
        <v>#DIV/0!</v>
      </c>
      <c r="AA29" s="21" t="e">
        <f t="shared" si="144"/>
        <v>#DIV/0!</v>
      </c>
      <c r="AB29" s="21" t="e">
        <f t="shared" si="144"/>
        <v>#DIV/0!</v>
      </c>
      <c r="AC29" s="22" t="e">
        <f t="shared" si="144"/>
        <v>#DIV/0!</v>
      </c>
      <c r="AD29" s="21" t="e">
        <f t="shared" si="144"/>
        <v>#DIV/0!</v>
      </c>
      <c r="AE29" s="21" t="e">
        <f t="shared" si="144"/>
        <v>#DIV/0!</v>
      </c>
      <c r="AF29" s="21" t="e">
        <f t="shared" si="144"/>
        <v>#DIV/0!</v>
      </c>
      <c r="AG29" s="21" t="e">
        <f t="shared" si="144"/>
        <v>#DIV/0!</v>
      </c>
      <c r="AH29" s="22" t="e">
        <f t="shared" si="144"/>
        <v>#DIV/0!</v>
      </c>
      <c r="AI29" s="21" t="e">
        <f t="shared" si="144"/>
        <v>#DIV/0!</v>
      </c>
      <c r="AJ29" s="21" t="e">
        <f t="shared" si="144"/>
        <v>#DIV/0!</v>
      </c>
      <c r="AK29" s="21" t="e">
        <f t="shared" si="144"/>
        <v>#DIV/0!</v>
      </c>
      <c r="AL29" s="21" t="e">
        <f t="shared" si="144"/>
        <v>#DIV/0!</v>
      </c>
      <c r="AM29" s="22" t="e">
        <f t="shared" si="144"/>
        <v>#DIV/0!</v>
      </c>
      <c r="AN29" s="21" t="e">
        <f>AN21/AN51</f>
        <v>#DIV/0!</v>
      </c>
      <c r="AO29" s="21" t="e">
        <f t="shared" si="144"/>
        <v>#DIV/0!</v>
      </c>
      <c r="AP29" s="21" t="e">
        <f t="shared" ref="AP29:AV29" si="145">AP21/AP51</f>
        <v>#DIV/0!</v>
      </c>
      <c r="AQ29" s="21" t="e">
        <f t="shared" si="145"/>
        <v>#DIV/0!</v>
      </c>
      <c r="AR29" s="22" t="e">
        <f t="shared" si="145"/>
        <v>#DIV/0!</v>
      </c>
      <c r="AS29" s="21" t="e">
        <f>AS21/AS51</f>
        <v>#DIV/0!</v>
      </c>
      <c r="AT29" s="21" t="e">
        <f t="shared" si="145"/>
        <v>#DIV/0!</v>
      </c>
      <c r="AU29" s="21" t="e">
        <f t="shared" si="145"/>
        <v>#DIV/0!</v>
      </c>
      <c r="AV29" s="21" t="e">
        <f t="shared" si="145"/>
        <v>#DIV/0!</v>
      </c>
      <c r="AW29" s="22" t="e">
        <f t="shared" si="144"/>
        <v>#DIV/0!</v>
      </c>
      <c r="AX29" s="21" t="e">
        <f>AX21/AX51</f>
        <v>#DIV/0!</v>
      </c>
      <c r="AY29" s="21" t="e">
        <f>AY21/AY51</f>
        <v>#DIV/0!</v>
      </c>
      <c r="AZ29" s="21" t="e">
        <f>AZ21/AZ51</f>
        <v>#DIV/0!</v>
      </c>
      <c r="BA29" s="21" t="e">
        <f>BA21/BA51</f>
        <v>#DIV/0!</v>
      </c>
      <c r="BB29" s="22"/>
      <c r="BC29" s="33"/>
      <c r="BD29" s="21"/>
      <c r="BE29" s="21"/>
      <c r="BF29" s="21"/>
      <c r="BG29" s="36"/>
      <c r="BH29" s="21"/>
      <c r="BI29" s="21"/>
      <c r="BJ29" s="21"/>
      <c r="BK29" s="21"/>
      <c r="BL29" s="36"/>
      <c r="BM29" s="33"/>
      <c r="BN29" s="33"/>
      <c r="BO29" s="33"/>
      <c r="BP29" s="33"/>
      <c r="BQ29" s="36"/>
      <c r="BR29" s="33"/>
      <c r="BS29" s="21"/>
      <c r="BT29" s="21"/>
      <c r="BU29" s="21"/>
      <c r="BV29" s="36"/>
      <c r="BW29" s="21"/>
      <c r="BX29" s="21"/>
      <c r="BY29" s="21"/>
      <c r="BZ29" s="21"/>
      <c r="CA29" s="36"/>
      <c r="CB29" s="21"/>
      <c r="CC29" s="21"/>
      <c r="CD29" s="21"/>
      <c r="CE29" s="21"/>
      <c r="CF29" s="36"/>
      <c r="CG29" s="21"/>
      <c r="CH29" s="21"/>
      <c r="CI29" s="21"/>
      <c r="CJ29" s="21"/>
      <c r="CK29" s="36"/>
      <c r="CL29" s="21">
        <f t="shared" ref="CL29:CP29" si="146">CL21/CL51</f>
        <v>-6.2746042920803196E-3</v>
      </c>
      <c r="CM29" s="21">
        <f t="shared" si="146"/>
        <v>-9.6568811629450454E-2</v>
      </c>
      <c r="CN29" s="21">
        <f t="shared" si="146"/>
        <v>-7.9909834309241704E-4</v>
      </c>
      <c r="CO29" s="21">
        <f t="shared" si="146"/>
        <v>0.14328915104236364</v>
      </c>
      <c r="CP29" s="36">
        <f t="shared" si="146"/>
        <v>-0.10991755747825101</v>
      </c>
      <c r="CQ29" s="21">
        <f t="shared" ref="CQ29:DE29" si="147">CQ21/CQ51</f>
        <v>-0.33023334705223739</v>
      </c>
      <c r="CR29" s="21">
        <f t="shared" si="147"/>
        <v>-6.3885735052030324E-2</v>
      </c>
      <c r="CS29" s="21">
        <f t="shared" si="147"/>
        <v>0.6146773319916381</v>
      </c>
      <c r="CT29" s="21">
        <f t="shared" si="147"/>
        <v>-0.30845460056865759</v>
      </c>
      <c r="CU29" s="36">
        <f t="shared" si="147"/>
        <v>-0.63248121907985344</v>
      </c>
      <c r="CV29" s="21">
        <f t="shared" si="147"/>
        <v>6.6323542094204796E-2</v>
      </c>
      <c r="CW29" s="21">
        <f t="shared" si="147"/>
        <v>0.22342739221032268</v>
      </c>
      <c r="CX29" s="21">
        <f t="shared" si="147"/>
        <v>0.3706523373144201</v>
      </c>
      <c r="CY29" s="21">
        <f t="shared" si="147"/>
        <v>0.37829400422367093</v>
      </c>
      <c r="CZ29" s="36">
        <f t="shared" si="147"/>
        <v>1.0367696475646822</v>
      </c>
      <c r="DA29" s="21">
        <f t="shared" si="147"/>
        <v>1.1791066391840908</v>
      </c>
      <c r="DB29" s="21">
        <f t="shared" si="147"/>
        <v>-0.93993062942597927</v>
      </c>
      <c r="DC29" s="21">
        <f t="shared" si="147"/>
        <v>0.17181403712653084</v>
      </c>
      <c r="DD29" s="21">
        <f t="shared" si="147"/>
        <v>2.7562990747852798E-3</v>
      </c>
      <c r="DE29" s="36">
        <f t="shared" si="147"/>
        <v>0.414318302185332</v>
      </c>
      <c r="DF29" s="21">
        <f t="shared" ref="DF29:DJ29" si="148">DF21/DF51</f>
        <v>-1.1915673693858845E-2</v>
      </c>
      <c r="DG29" s="21">
        <f t="shared" ref="DG29:DH29" si="149">DG21/DG51</f>
        <v>-5.1423324150596875E-2</v>
      </c>
      <c r="DH29" s="21">
        <f t="shared" si="149"/>
        <v>0.14496768236380425</v>
      </c>
      <c r="DI29" s="21">
        <f t="shared" si="148"/>
        <v>1.8627312666203884E-3</v>
      </c>
      <c r="DJ29" s="36">
        <f t="shared" si="148"/>
        <v>8.3012578437366119E-2</v>
      </c>
      <c r="DK29" s="21">
        <f t="shared" ref="DK29:DL29" si="150">DK21/DK51</f>
        <v>1.4066192687674164E-2</v>
      </c>
      <c r="DL29" s="21">
        <f t="shared" si="150"/>
        <v>2.640414939623513E-2</v>
      </c>
      <c r="DM29" s="21">
        <f t="shared" ref="DM29:DP29" si="151">DM21/DM51</f>
        <v>0</v>
      </c>
      <c r="DN29" s="21">
        <f t="shared" si="151"/>
        <v>0</v>
      </c>
      <c r="DO29" s="36">
        <f t="shared" si="151"/>
        <v>4.051630202574321E-2</v>
      </c>
      <c r="DP29" s="21">
        <f t="shared" si="151"/>
        <v>0</v>
      </c>
      <c r="DQ29" s="21">
        <f t="shared" ref="DQ29:DT29" si="152">DQ21/DQ51</f>
        <v>0</v>
      </c>
      <c r="DR29" s="21">
        <f t="shared" si="152"/>
        <v>0</v>
      </c>
      <c r="DS29" s="21">
        <f t="shared" si="152"/>
        <v>0</v>
      </c>
      <c r="DT29" s="36">
        <f t="shared" si="152"/>
        <v>0</v>
      </c>
      <c r="DU29" s="36">
        <f t="shared" ref="DU29:DV29" si="153">DU21/DU51</f>
        <v>0</v>
      </c>
      <c r="DV29" s="36">
        <f t="shared" si="153"/>
        <v>0</v>
      </c>
    </row>
    <row r="30" spans="2:126" hidden="1" outlineLevel="1">
      <c r="B30" s="221" t="s">
        <v>38</v>
      </c>
      <c r="C30" s="24" t="e">
        <f t="shared" ref="C30:M30" si="154">SUM(C28:C29)</f>
        <v>#DIV/0!</v>
      </c>
      <c r="D30" s="24" t="e">
        <f t="shared" si="154"/>
        <v>#DIV/0!</v>
      </c>
      <c r="E30" s="24" t="e">
        <f t="shared" si="154"/>
        <v>#DIV/0!</v>
      </c>
      <c r="F30" s="24" t="e">
        <f t="shared" si="154"/>
        <v>#DIV/0!</v>
      </c>
      <c r="G30" s="24" t="e">
        <f t="shared" si="154"/>
        <v>#DIV/0!</v>
      </c>
      <c r="H30" s="24" t="e">
        <f t="shared" si="154"/>
        <v>#DIV/0!</v>
      </c>
      <c r="I30" s="24" t="e">
        <f t="shared" si="154"/>
        <v>#DIV/0!</v>
      </c>
      <c r="J30" s="23" t="e">
        <f t="shared" si="154"/>
        <v>#DIV/0!</v>
      </c>
      <c r="K30" s="23" t="e">
        <f t="shared" si="154"/>
        <v>#DIV/0!</v>
      </c>
      <c r="L30" s="23" t="e">
        <f t="shared" si="154"/>
        <v>#DIV/0!</v>
      </c>
      <c r="M30" s="23" t="e">
        <f t="shared" si="154"/>
        <v>#DIV/0!</v>
      </c>
      <c r="N30" s="24" t="e">
        <f t="shared" ref="N30:AW30" si="155">SUM(N28:N29)</f>
        <v>#DIV/0!</v>
      </c>
      <c r="O30" s="23" t="e">
        <f>SUM(O28:O29)</f>
        <v>#REF!</v>
      </c>
      <c r="P30" s="23" t="e">
        <f t="shared" si="155"/>
        <v>#REF!</v>
      </c>
      <c r="Q30" s="23" t="e">
        <f t="shared" si="155"/>
        <v>#REF!</v>
      </c>
      <c r="R30" s="23" t="e">
        <f t="shared" si="155"/>
        <v>#REF!</v>
      </c>
      <c r="S30" s="24" t="e">
        <f t="shared" si="155"/>
        <v>#REF!</v>
      </c>
      <c r="T30" s="23" t="e">
        <f t="shared" si="155"/>
        <v>#REF!</v>
      </c>
      <c r="U30" s="23" t="e">
        <f t="shared" si="155"/>
        <v>#REF!</v>
      </c>
      <c r="V30" s="23" t="e">
        <f t="shared" si="155"/>
        <v>#REF!</v>
      </c>
      <c r="W30" s="23" t="e">
        <f t="shared" si="155"/>
        <v>#REF!</v>
      </c>
      <c r="X30" s="24" t="e">
        <f t="shared" si="155"/>
        <v>#REF!</v>
      </c>
      <c r="Y30" s="23" t="e">
        <f t="shared" si="155"/>
        <v>#REF!</v>
      </c>
      <c r="Z30" s="23" t="e">
        <f t="shared" si="155"/>
        <v>#REF!</v>
      </c>
      <c r="AA30" s="23" t="e">
        <f t="shared" si="155"/>
        <v>#REF!</v>
      </c>
      <c r="AB30" s="23" t="e">
        <f t="shared" si="155"/>
        <v>#REF!</v>
      </c>
      <c r="AC30" s="24" t="e">
        <f t="shared" si="155"/>
        <v>#REF!</v>
      </c>
      <c r="AD30" s="23" t="e">
        <f t="shared" si="155"/>
        <v>#REF!</v>
      </c>
      <c r="AE30" s="23" t="e">
        <f t="shared" si="155"/>
        <v>#REF!</v>
      </c>
      <c r="AF30" s="23" t="e">
        <f t="shared" si="155"/>
        <v>#REF!</v>
      </c>
      <c r="AG30" s="23" t="e">
        <f t="shared" si="155"/>
        <v>#REF!</v>
      </c>
      <c r="AH30" s="24" t="e">
        <f t="shared" si="155"/>
        <v>#REF!</v>
      </c>
      <c r="AI30" s="23" t="e">
        <f t="shared" si="155"/>
        <v>#REF!</v>
      </c>
      <c r="AJ30" s="23" t="e">
        <f t="shared" si="155"/>
        <v>#REF!</v>
      </c>
      <c r="AK30" s="23" t="e">
        <f t="shared" si="155"/>
        <v>#REF!</v>
      </c>
      <c r="AL30" s="23" t="e">
        <f t="shared" si="155"/>
        <v>#REF!</v>
      </c>
      <c r="AM30" s="24" t="e">
        <f t="shared" si="155"/>
        <v>#REF!</v>
      </c>
      <c r="AN30" s="23" t="e">
        <f t="shared" si="155"/>
        <v>#REF!</v>
      </c>
      <c r="AO30" s="23" t="e">
        <f t="shared" si="155"/>
        <v>#REF!</v>
      </c>
      <c r="AP30" s="23" t="e">
        <f>SUM(AP28:AP29)</f>
        <v>#REF!</v>
      </c>
      <c r="AQ30" s="23" t="e">
        <f>SUM(AQ28:AQ29)</f>
        <v>#DIV/0!</v>
      </c>
      <c r="AR30" s="24" t="e">
        <f t="shared" si="155"/>
        <v>#REF!</v>
      </c>
      <c r="AS30" s="23" t="e">
        <f>SUM(AS28:AS29)</f>
        <v>#DIV/0!</v>
      </c>
      <c r="AT30" s="23" t="e">
        <f>SUM(AT28:AT29)</f>
        <v>#DIV/0!</v>
      </c>
      <c r="AU30" s="23" t="e">
        <f>SUM(AU28:AU29)</f>
        <v>#DIV/0!</v>
      </c>
      <c r="AV30" s="23" t="e">
        <f>SUM(AV28:AV29)</f>
        <v>#DIV/0!</v>
      </c>
      <c r="AW30" s="24" t="e">
        <f t="shared" si="155"/>
        <v>#DIV/0!</v>
      </c>
      <c r="AX30" s="23" t="e">
        <f t="shared" ref="AX30:BA30" si="156">SUM(AX28:AX29)</f>
        <v>#REF!</v>
      </c>
      <c r="AY30" s="23" t="e">
        <f t="shared" si="156"/>
        <v>#REF!</v>
      </c>
      <c r="AZ30" s="23" t="e">
        <f t="shared" si="156"/>
        <v>#DIV/0!</v>
      </c>
      <c r="BA30" s="23" t="e">
        <f t="shared" si="156"/>
        <v>#DIV/0!</v>
      </c>
      <c r="BB30" s="24"/>
      <c r="BC30" s="23"/>
      <c r="BD30" s="23"/>
      <c r="BE30" s="23"/>
      <c r="BF30" s="23"/>
      <c r="BG30" s="24"/>
      <c r="BH30" s="23"/>
      <c r="BI30" s="23"/>
      <c r="BJ30" s="23"/>
      <c r="BK30" s="23"/>
      <c r="BL30" s="24"/>
      <c r="BM30" s="23"/>
      <c r="BN30" s="23"/>
      <c r="BO30" s="23"/>
      <c r="BP30" s="23"/>
      <c r="BQ30" s="24"/>
      <c r="BR30" s="23"/>
      <c r="BS30" s="23"/>
      <c r="BT30" s="23"/>
      <c r="BU30" s="23"/>
      <c r="BV30" s="24"/>
      <c r="BW30" s="23"/>
      <c r="BX30" s="23"/>
      <c r="BY30" s="23"/>
      <c r="BZ30" s="23"/>
      <c r="CA30" s="24"/>
      <c r="CB30" s="23"/>
      <c r="CC30" s="23"/>
      <c r="CD30" s="23"/>
      <c r="CE30" s="23"/>
      <c r="CF30" s="24"/>
      <c r="CG30" s="23"/>
      <c r="CH30" s="23"/>
      <c r="CI30" s="23"/>
      <c r="CJ30" s="23"/>
      <c r="CK30" s="24"/>
      <c r="CL30" s="23">
        <f t="shared" ref="CL30:CP30" si="157">SUM(CL28:CL29)</f>
        <v>0.70720494557465285</v>
      </c>
      <c r="CM30" s="23">
        <f t="shared" si="157"/>
        <v>-0.22627621309872414</v>
      </c>
      <c r="CN30" s="23">
        <f t="shared" si="157"/>
        <v>-0.1304813437363761</v>
      </c>
      <c r="CO30" s="23">
        <f t="shared" si="157"/>
        <v>2.4048847961568676</v>
      </c>
      <c r="CP30" s="24">
        <f t="shared" si="157"/>
        <v>0.83262914721904879</v>
      </c>
      <c r="CQ30" s="23">
        <f t="shared" ref="CQ30:DE30" si="158">SUM(CQ28:CQ29)</f>
        <v>-0.31929771362104914</v>
      </c>
      <c r="CR30" s="23">
        <f t="shared" si="158"/>
        <v>-0.12879637494446755</v>
      </c>
      <c r="CS30" s="23">
        <f t="shared" si="158"/>
        <v>1.1446657871310948</v>
      </c>
      <c r="CT30" s="23">
        <f t="shared" si="158"/>
        <v>-3.4967287020216848</v>
      </c>
      <c r="CU30" s="24">
        <f t="shared" si="158"/>
        <v>-1.3200312254803599</v>
      </c>
      <c r="CV30" s="23">
        <f t="shared" si="158"/>
        <v>-1.0321033399865296</v>
      </c>
      <c r="CW30" s="23">
        <f t="shared" si="158"/>
        <v>-0.80251471487789372</v>
      </c>
      <c r="CX30" s="23">
        <f t="shared" si="158"/>
        <v>0.14826093492576803</v>
      </c>
      <c r="CY30" s="23">
        <f t="shared" si="158"/>
        <v>2.0126710127628318</v>
      </c>
      <c r="CZ30" s="24">
        <f t="shared" si="158"/>
        <v>0.30874726068446046</v>
      </c>
      <c r="DA30" s="23">
        <f t="shared" si="158"/>
        <v>6.8909783648266485</v>
      </c>
      <c r="DB30" s="23">
        <f t="shared" si="158"/>
        <v>3.0320342884709084E-2</v>
      </c>
      <c r="DC30" s="23">
        <f t="shared" si="158"/>
        <v>0.32065828319336509</v>
      </c>
      <c r="DD30" s="23">
        <f t="shared" si="158"/>
        <v>1.4654323414275072</v>
      </c>
      <c r="DE30" s="24">
        <f t="shared" si="158"/>
        <v>8.7098710044770122</v>
      </c>
      <c r="DF30" s="23">
        <f t="shared" ref="DF30:DJ30" si="159">SUM(DF28:DF29)</f>
        <v>1.4087992667277727</v>
      </c>
      <c r="DG30" s="23">
        <f t="shared" ref="DG30:DH30" si="160">SUM(DG28:DG29)</f>
        <v>1.162534435261708</v>
      </c>
      <c r="DH30" s="23">
        <f t="shared" si="160"/>
        <v>1.7100646352723914</v>
      </c>
      <c r="DI30" s="23">
        <f t="shared" si="159"/>
        <v>1.7686633376560588</v>
      </c>
      <c r="DJ30" s="24">
        <f t="shared" si="159"/>
        <v>6.0451604342055285</v>
      </c>
      <c r="DK30" s="23">
        <f t="shared" ref="DK30:DL30" si="161">SUM(DK28:DK29)</f>
        <v>1.8539241962354549</v>
      </c>
      <c r="DL30" s="23">
        <f t="shared" si="161"/>
        <v>1.9124148205558873</v>
      </c>
      <c r="DM30" s="23">
        <f t="shared" ref="DM30:DP30" si="162">SUM(DM28:DM29)</f>
        <v>1.4106771179969959</v>
      </c>
      <c r="DN30" s="23">
        <f t="shared" si="162"/>
        <v>1.3354393483216489</v>
      </c>
      <c r="DO30" s="24">
        <f t="shared" si="162"/>
        <v>6.5143571202606099</v>
      </c>
      <c r="DP30" s="23">
        <f t="shared" si="162"/>
        <v>1.6151051577883493</v>
      </c>
      <c r="DQ30" s="23">
        <f t="shared" ref="DQ30:DT30" si="163">SUM(DQ28:DQ29)</f>
        <v>1.7884935193606615</v>
      </c>
      <c r="DR30" s="23">
        <f t="shared" si="163"/>
        <v>1.707758314771773</v>
      </c>
      <c r="DS30" s="23">
        <f t="shared" si="163"/>
        <v>1.7843056127548105</v>
      </c>
      <c r="DT30" s="24">
        <f t="shared" si="163"/>
        <v>6.8942585316048595</v>
      </c>
      <c r="DU30" s="24">
        <f t="shared" ref="DU30:DV30" si="164">SUM(DU28:DU29)</f>
        <v>7.9595890131949787</v>
      </c>
      <c r="DV30" s="24">
        <f t="shared" si="164"/>
        <v>8.8268921388198134</v>
      </c>
    </row>
    <row r="31" spans="2:126" collapsed="1">
      <c r="B31" s="221"/>
      <c r="C31" s="24" t="s">
        <v>198</v>
      </c>
      <c r="D31" s="24"/>
      <c r="E31" s="24"/>
      <c r="F31" s="24"/>
      <c r="G31" s="24"/>
      <c r="H31" s="24"/>
      <c r="I31" s="24"/>
      <c r="J31" s="23"/>
      <c r="K31" s="23"/>
      <c r="L31" s="23"/>
      <c r="M31" s="23"/>
      <c r="N31" s="24"/>
      <c r="O31" s="23"/>
      <c r="P31" s="23"/>
      <c r="Q31" s="23"/>
      <c r="R31" s="23"/>
      <c r="S31" s="24"/>
      <c r="T31" s="23"/>
      <c r="U31" s="23"/>
      <c r="V31" s="23"/>
      <c r="W31" s="23"/>
      <c r="X31" s="24"/>
      <c r="Y31" s="23"/>
      <c r="Z31" s="23"/>
      <c r="AA31" s="23"/>
      <c r="AB31" s="23"/>
      <c r="AC31" s="24"/>
      <c r="AD31" s="23"/>
      <c r="AE31" s="23"/>
      <c r="AF31" s="23"/>
      <c r="AG31" s="23"/>
      <c r="AH31" s="24"/>
      <c r="AI31" s="23"/>
      <c r="AJ31" s="23"/>
      <c r="AK31" s="23"/>
      <c r="AL31" s="23"/>
      <c r="AM31" s="24"/>
      <c r="AN31" s="23"/>
      <c r="AO31" s="23"/>
      <c r="AP31" s="23"/>
      <c r="AQ31" s="23"/>
      <c r="AR31" s="24"/>
      <c r="AS31" s="23"/>
      <c r="AT31" s="23"/>
      <c r="AU31" s="23"/>
      <c r="AV31" s="23"/>
      <c r="AW31" s="24"/>
      <c r="AX31" s="23"/>
      <c r="AY31" s="23"/>
      <c r="AZ31" s="23"/>
      <c r="BA31" s="23"/>
      <c r="BB31" s="24"/>
      <c r="BC31" s="23"/>
      <c r="BD31" s="23"/>
      <c r="BE31" s="23"/>
      <c r="BF31" s="23"/>
      <c r="BG31" s="24"/>
      <c r="BH31" s="23"/>
      <c r="BI31" s="23"/>
      <c r="BJ31" s="23"/>
      <c r="BK31" s="23"/>
      <c r="BL31" s="24"/>
      <c r="BM31" s="23"/>
      <c r="BN31" s="23"/>
      <c r="BO31" s="23"/>
      <c r="BP31" s="23"/>
      <c r="BQ31" s="24"/>
      <c r="BR31" s="23"/>
      <c r="BS31" s="23"/>
      <c r="BT31" s="23"/>
      <c r="BU31" s="23"/>
      <c r="BV31" s="400"/>
      <c r="BW31" s="23"/>
      <c r="BX31" s="23"/>
      <c r="BY31" s="23"/>
      <c r="BZ31" s="23"/>
      <c r="CA31" s="24"/>
      <c r="CB31" s="23"/>
      <c r="CC31" s="23"/>
      <c r="CD31" s="23"/>
      <c r="CE31" s="23"/>
      <c r="CF31" s="24"/>
      <c r="CG31" s="23"/>
      <c r="CH31" s="23"/>
      <c r="CI31" s="23"/>
      <c r="CJ31" s="23"/>
      <c r="CK31" s="24"/>
      <c r="CL31" s="23"/>
      <c r="CM31" s="23"/>
      <c r="CN31" s="23"/>
      <c r="CO31" s="23"/>
      <c r="CP31" s="24"/>
      <c r="CQ31" s="23"/>
      <c r="CR31" s="23"/>
      <c r="CS31" s="23"/>
      <c r="CT31" s="23"/>
      <c r="CU31" s="24"/>
      <c r="CV31" s="23"/>
      <c r="CW31" s="23"/>
      <c r="CX31" s="23"/>
      <c r="CY31" s="23"/>
      <c r="CZ31" s="24"/>
      <c r="DA31" s="23"/>
      <c r="DB31" s="23"/>
      <c r="DC31" s="23"/>
      <c r="DD31" s="23"/>
      <c r="DE31" s="24"/>
      <c r="DF31" s="23"/>
      <c r="DG31" s="23"/>
      <c r="DH31" s="23"/>
      <c r="DI31" s="23"/>
      <c r="DJ31" s="24"/>
      <c r="DK31" s="23"/>
      <c r="DL31" s="23"/>
      <c r="DM31" s="23"/>
      <c r="DN31" s="23"/>
      <c r="DO31" s="24"/>
      <c r="DP31" s="23"/>
      <c r="DQ31" s="23"/>
      <c r="DR31" s="23"/>
      <c r="DS31" s="23"/>
      <c r="DT31" s="24"/>
      <c r="DU31" s="24"/>
      <c r="DV31" s="24"/>
    </row>
    <row r="32" spans="2:126" ht="12">
      <c r="B32" s="234" t="s">
        <v>39</v>
      </c>
      <c r="C32" s="20" t="e">
        <f t="shared" ref="C32:AH32" si="165">C20/C52</f>
        <v>#DIV/0!</v>
      </c>
      <c r="D32" s="20" t="e">
        <f t="shared" si="165"/>
        <v>#DIV/0!</v>
      </c>
      <c r="E32" s="20" t="e">
        <f t="shared" si="165"/>
        <v>#DIV/0!</v>
      </c>
      <c r="F32" s="20" t="e">
        <f t="shared" si="165"/>
        <v>#DIV/0!</v>
      </c>
      <c r="G32" s="20" t="e">
        <f t="shared" si="165"/>
        <v>#DIV/0!</v>
      </c>
      <c r="H32" s="20" t="e">
        <f t="shared" si="165"/>
        <v>#DIV/0!</v>
      </c>
      <c r="I32" s="20" t="e">
        <f t="shared" si="165"/>
        <v>#DIV/0!</v>
      </c>
      <c r="J32" s="19" t="e">
        <f t="shared" si="165"/>
        <v>#DIV/0!</v>
      </c>
      <c r="K32" s="19" t="e">
        <f t="shared" si="165"/>
        <v>#DIV/0!</v>
      </c>
      <c r="L32" s="19" t="e">
        <f t="shared" si="165"/>
        <v>#DIV/0!</v>
      </c>
      <c r="M32" s="19" t="e">
        <f t="shared" si="165"/>
        <v>#DIV/0!</v>
      </c>
      <c r="N32" s="20" t="e">
        <f t="shared" si="165"/>
        <v>#DIV/0!</v>
      </c>
      <c r="O32" s="19" t="e">
        <f t="shared" si="165"/>
        <v>#REF!</v>
      </c>
      <c r="P32" s="19" t="e">
        <f t="shared" si="165"/>
        <v>#REF!</v>
      </c>
      <c r="Q32" s="19" t="e">
        <f t="shared" si="165"/>
        <v>#REF!</v>
      </c>
      <c r="R32" s="19" t="e">
        <f t="shared" si="165"/>
        <v>#REF!</v>
      </c>
      <c r="S32" s="20" t="e">
        <f t="shared" si="165"/>
        <v>#REF!</v>
      </c>
      <c r="T32" s="19" t="e">
        <f t="shared" si="165"/>
        <v>#REF!</v>
      </c>
      <c r="U32" s="19" t="e">
        <f t="shared" si="165"/>
        <v>#REF!</v>
      </c>
      <c r="V32" s="19" t="e">
        <f t="shared" si="165"/>
        <v>#REF!</v>
      </c>
      <c r="W32" s="19" t="e">
        <f t="shared" si="165"/>
        <v>#REF!</v>
      </c>
      <c r="X32" s="20" t="e">
        <f t="shared" si="165"/>
        <v>#REF!</v>
      </c>
      <c r="Y32" s="19" t="e">
        <f t="shared" si="165"/>
        <v>#REF!</v>
      </c>
      <c r="Z32" s="19" t="e">
        <f t="shared" si="165"/>
        <v>#REF!</v>
      </c>
      <c r="AA32" s="19" t="e">
        <f t="shared" si="165"/>
        <v>#REF!</v>
      </c>
      <c r="AB32" s="19" t="e">
        <f t="shared" si="165"/>
        <v>#REF!</v>
      </c>
      <c r="AC32" s="20" t="e">
        <f t="shared" si="165"/>
        <v>#REF!</v>
      </c>
      <c r="AD32" s="19" t="e">
        <f t="shared" si="165"/>
        <v>#REF!</v>
      </c>
      <c r="AE32" s="19" t="e">
        <f t="shared" si="165"/>
        <v>#REF!</v>
      </c>
      <c r="AF32" s="19" t="e">
        <f t="shared" si="165"/>
        <v>#REF!</v>
      </c>
      <c r="AG32" s="19" t="e">
        <f t="shared" si="165"/>
        <v>#REF!</v>
      </c>
      <c r="AH32" s="20" t="e">
        <f t="shared" si="165"/>
        <v>#REF!</v>
      </c>
      <c r="AI32" s="19" t="e">
        <f t="shared" ref="AI32:BA32" si="166">AI20/AI52</f>
        <v>#REF!</v>
      </c>
      <c r="AJ32" s="19" t="e">
        <f t="shared" si="166"/>
        <v>#REF!</v>
      </c>
      <c r="AK32" s="19" t="e">
        <f t="shared" si="166"/>
        <v>#REF!</v>
      </c>
      <c r="AL32" s="19" t="e">
        <f t="shared" si="166"/>
        <v>#REF!</v>
      </c>
      <c r="AM32" s="20" t="e">
        <f t="shared" si="166"/>
        <v>#REF!</v>
      </c>
      <c r="AN32" s="19" t="e">
        <f t="shared" si="166"/>
        <v>#REF!</v>
      </c>
      <c r="AO32" s="19" t="e">
        <f t="shared" si="166"/>
        <v>#REF!</v>
      </c>
      <c r="AP32" s="19" t="e">
        <f t="shared" si="166"/>
        <v>#REF!</v>
      </c>
      <c r="AQ32" s="19" t="e">
        <f t="shared" si="166"/>
        <v>#DIV/0!</v>
      </c>
      <c r="AR32" s="20" t="e">
        <f t="shared" si="166"/>
        <v>#REF!</v>
      </c>
      <c r="AS32" s="19" t="e">
        <f t="shared" si="166"/>
        <v>#DIV/0!</v>
      </c>
      <c r="AT32" s="19" t="e">
        <f t="shared" si="166"/>
        <v>#DIV/0!</v>
      </c>
      <c r="AU32" s="19" t="e">
        <f t="shared" si="166"/>
        <v>#DIV/0!</v>
      </c>
      <c r="AV32" s="19" t="e">
        <f t="shared" si="166"/>
        <v>#DIV/0!</v>
      </c>
      <c r="AW32" s="20" t="e">
        <f t="shared" si="166"/>
        <v>#DIV/0!</v>
      </c>
      <c r="AX32" s="19" t="e">
        <f t="shared" si="166"/>
        <v>#REF!</v>
      </c>
      <c r="AY32" s="19" t="e">
        <f t="shared" si="166"/>
        <v>#REF!</v>
      </c>
      <c r="AZ32" s="19" t="e">
        <f t="shared" si="166"/>
        <v>#DIV/0!</v>
      </c>
      <c r="BA32" s="19" t="e">
        <f t="shared" si="166"/>
        <v>#DIV/0!</v>
      </c>
      <c r="BB32" s="20"/>
      <c r="BC32" s="19"/>
      <c r="BD32" s="19"/>
      <c r="BE32" s="19"/>
      <c r="BF32" s="19"/>
      <c r="BG32" s="20"/>
      <c r="BH32" s="19"/>
      <c r="BI32" s="19"/>
      <c r="BJ32" s="19"/>
      <c r="BK32" s="19"/>
      <c r="BL32" s="20"/>
      <c r="BM32" s="19"/>
      <c r="BN32" s="19"/>
      <c r="BO32" s="19"/>
      <c r="BP32" s="19"/>
      <c r="BQ32" s="20"/>
      <c r="BR32" s="19"/>
      <c r="BS32" s="19"/>
      <c r="BT32" s="19"/>
      <c r="BU32" s="19"/>
      <c r="BV32" s="20"/>
      <c r="BW32" s="19"/>
      <c r="BX32" s="19"/>
      <c r="BY32" s="19"/>
      <c r="BZ32" s="19"/>
      <c r="CA32" s="20"/>
      <c r="CB32" s="19"/>
      <c r="CC32" s="19"/>
      <c r="CD32" s="19"/>
      <c r="CE32" s="19"/>
      <c r="CF32" s="20"/>
      <c r="CG32" s="19"/>
      <c r="CH32" s="19"/>
      <c r="CI32" s="19"/>
      <c r="CJ32" s="19"/>
      <c r="CK32" s="20"/>
      <c r="CL32" s="19">
        <f t="shared" ref="CL32:DG32" si="167">CL20/CL52</f>
        <v>0.71347954986673312</v>
      </c>
      <c r="CM32" s="19">
        <f t="shared" si="167"/>
        <v>-0.12970740146927368</v>
      </c>
      <c r="CN32" s="19">
        <f t="shared" si="167"/>
        <v>-0.12968224539328368</v>
      </c>
      <c r="CO32" s="19">
        <f t="shared" si="167"/>
        <v>2.2615956451145038</v>
      </c>
      <c r="CP32" s="20">
        <f t="shared" si="167"/>
        <v>0.94254670469729984</v>
      </c>
      <c r="CQ32" s="19">
        <f t="shared" si="167"/>
        <v>1.0935633431188268E-2</v>
      </c>
      <c r="CR32" s="19">
        <f t="shared" si="167"/>
        <v>-6.4910639892437214E-2</v>
      </c>
      <c r="CS32" s="19">
        <f t="shared" si="167"/>
        <v>0.5299884551394568</v>
      </c>
      <c r="CT32" s="19">
        <f t="shared" si="167"/>
        <v>-3.1882741014530271</v>
      </c>
      <c r="CU32" s="20">
        <f t="shared" si="167"/>
        <v>-0.68755000640050656</v>
      </c>
      <c r="CV32" s="19">
        <f t="shared" si="167"/>
        <v>-1.0984268820807344</v>
      </c>
      <c r="CW32" s="19">
        <f t="shared" si="167"/>
        <v>-1.0259421070882164</v>
      </c>
      <c r="CX32" s="19">
        <f t="shared" si="167"/>
        <v>-0.22239140238865207</v>
      </c>
      <c r="CY32" s="19">
        <f t="shared" si="167"/>
        <v>1.6343770085391609</v>
      </c>
      <c r="CZ32" s="20">
        <f t="shared" si="167"/>
        <v>-0.72802238688022169</v>
      </c>
      <c r="DA32" s="19">
        <f t="shared" si="167"/>
        <v>5.711871725642558</v>
      </c>
      <c r="DB32" s="19">
        <f t="shared" si="167"/>
        <v>0.97025097231068835</v>
      </c>
      <c r="DC32" s="19">
        <f t="shared" si="167"/>
        <v>0.14884424606683422</v>
      </c>
      <c r="DD32" s="19">
        <f t="shared" si="167"/>
        <v>1.4626760423527219</v>
      </c>
      <c r="DE32" s="20">
        <f t="shared" si="167"/>
        <v>8.2955527022916797</v>
      </c>
      <c r="DF32" s="19">
        <f t="shared" si="167"/>
        <v>1.4052583862194017</v>
      </c>
      <c r="DG32" s="19">
        <f t="shared" si="167"/>
        <v>1.2018181818181819</v>
      </c>
      <c r="DH32" s="19">
        <f>DH26/DH52</f>
        <v>1.5599268069533394</v>
      </c>
      <c r="DI32" s="19">
        <f t="shared" ref="DI32:DV32" si="168">DI20/DI52</f>
        <v>1.7504970781910676</v>
      </c>
      <c r="DJ32" s="20">
        <f t="shared" si="168"/>
        <v>5.9036112401600711</v>
      </c>
      <c r="DK32" s="19">
        <f t="shared" si="168"/>
        <v>1.8312716635202628</v>
      </c>
      <c r="DL32" s="19">
        <f t="shared" si="168"/>
        <v>1.8683916383207602</v>
      </c>
      <c r="DM32" s="19">
        <f t="shared" si="168"/>
        <v>1.3974893913995272</v>
      </c>
      <c r="DN32" s="19">
        <f t="shared" si="168"/>
        <v>1.3229433006901621</v>
      </c>
      <c r="DO32" s="20">
        <f t="shared" si="168"/>
        <v>6.4209030643155982</v>
      </c>
      <c r="DP32" s="19">
        <f t="shared" si="168"/>
        <v>1.6017941364070571</v>
      </c>
      <c r="DQ32" s="19">
        <f t="shared" ref="DQ32:DT32" si="169">DQ20/DQ52</f>
        <v>1.7736556737472535</v>
      </c>
      <c r="DR32" s="19">
        <f t="shared" si="169"/>
        <v>1.6934956092030538</v>
      </c>
      <c r="DS32" s="19">
        <f t="shared" si="169"/>
        <v>1.7693105750541385</v>
      </c>
      <c r="DT32" s="20">
        <f t="shared" si="169"/>
        <v>6.8368782057028392</v>
      </c>
      <c r="DU32" s="20">
        <f t="shared" si="168"/>
        <v>7.8919917780750772</v>
      </c>
      <c r="DV32" s="20">
        <f t="shared" si="168"/>
        <v>8.7502937016553197</v>
      </c>
    </row>
    <row r="33" spans="2:126" s="15" customFormat="1">
      <c r="B33" s="131" t="s">
        <v>540</v>
      </c>
      <c r="C33" s="36" t="e">
        <f t="shared" ref="C33:AW33" si="170">C21/C52</f>
        <v>#DIV/0!</v>
      </c>
      <c r="D33" s="36" t="e">
        <f t="shared" si="170"/>
        <v>#DIV/0!</v>
      </c>
      <c r="E33" s="36" t="e">
        <f t="shared" si="170"/>
        <v>#DIV/0!</v>
      </c>
      <c r="F33" s="36" t="e">
        <f t="shared" si="170"/>
        <v>#DIV/0!</v>
      </c>
      <c r="G33" s="36" t="e">
        <f t="shared" si="170"/>
        <v>#DIV/0!</v>
      </c>
      <c r="H33" s="36" t="e">
        <f t="shared" si="170"/>
        <v>#DIV/0!</v>
      </c>
      <c r="I33" s="36" t="e">
        <f t="shared" si="170"/>
        <v>#DIV/0!</v>
      </c>
      <c r="J33" s="33" t="e">
        <f t="shared" si="170"/>
        <v>#DIV/0!</v>
      </c>
      <c r="K33" s="33" t="e">
        <f t="shared" si="170"/>
        <v>#DIV/0!</v>
      </c>
      <c r="L33" s="33" t="e">
        <f t="shared" si="170"/>
        <v>#DIV/0!</v>
      </c>
      <c r="M33" s="33" t="e">
        <f t="shared" si="170"/>
        <v>#DIV/0!</v>
      </c>
      <c r="N33" s="36" t="e">
        <f>N21/N52</f>
        <v>#DIV/0!</v>
      </c>
      <c r="O33" s="33" t="e">
        <f t="shared" si="170"/>
        <v>#DIV/0!</v>
      </c>
      <c r="P33" s="33" t="e">
        <f t="shared" si="170"/>
        <v>#DIV/0!</v>
      </c>
      <c r="Q33" s="33" t="e">
        <f t="shared" si="170"/>
        <v>#DIV/0!</v>
      </c>
      <c r="R33" s="33" t="e">
        <f t="shared" si="170"/>
        <v>#DIV/0!</v>
      </c>
      <c r="S33" s="36" t="e">
        <f t="shared" si="170"/>
        <v>#DIV/0!</v>
      </c>
      <c r="T33" s="33" t="e">
        <f t="shared" si="170"/>
        <v>#DIV/0!</v>
      </c>
      <c r="U33" s="33" t="e">
        <f t="shared" si="170"/>
        <v>#DIV/0!</v>
      </c>
      <c r="V33" s="33" t="e">
        <f t="shared" si="170"/>
        <v>#DIV/0!</v>
      </c>
      <c r="W33" s="33" t="e">
        <f t="shared" si="170"/>
        <v>#DIV/0!</v>
      </c>
      <c r="X33" s="36" t="e">
        <f t="shared" si="170"/>
        <v>#DIV/0!</v>
      </c>
      <c r="Y33" s="33" t="e">
        <f t="shared" si="170"/>
        <v>#DIV/0!</v>
      </c>
      <c r="Z33" s="33" t="e">
        <f t="shared" si="170"/>
        <v>#DIV/0!</v>
      </c>
      <c r="AA33" s="33" t="e">
        <f t="shared" si="170"/>
        <v>#DIV/0!</v>
      </c>
      <c r="AB33" s="33" t="e">
        <f t="shared" si="170"/>
        <v>#DIV/0!</v>
      </c>
      <c r="AC33" s="36" t="e">
        <f t="shared" si="170"/>
        <v>#DIV/0!</v>
      </c>
      <c r="AD33" s="33" t="e">
        <f t="shared" si="170"/>
        <v>#DIV/0!</v>
      </c>
      <c r="AE33" s="33" t="e">
        <f t="shared" si="170"/>
        <v>#DIV/0!</v>
      </c>
      <c r="AF33" s="33" t="e">
        <f t="shared" si="170"/>
        <v>#DIV/0!</v>
      </c>
      <c r="AG33" s="33" t="e">
        <f t="shared" si="170"/>
        <v>#DIV/0!</v>
      </c>
      <c r="AH33" s="36" t="e">
        <f t="shared" si="170"/>
        <v>#DIV/0!</v>
      </c>
      <c r="AI33" s="33" t="e">
        <f t="shared" si="170"/>
        <v>#DIV/0!</v>
      </c>
      <c r="AJ33" s="33" t="e">
        <f t="shared" si="170"/>
        <v>#DIV/0!</v>
      </c>
      <c r="AK33" s="33" t="e">
        <f t="shared" si="170"/>
        <v>#DIV/0!</v>
      </c>
      <c r="AL33" s="33" t="e">
        <f t="shared" si="170"/>
        <v>#DIV/0!</v>
      </c>
      <c r="AM33" s="36" t="e">
        <f t="shared" si="170"/>
        <v>#DIV/0!</v>
      </c>
      <c r="AN33" s="21" t="e">
        <f>AN21/AN52</f>
        <v>#DIV/0!</v>
      </c>
      <c r="AO33" s="33" t="e">
        <f t="shared" si="170"/>
        <v>#DIV/0!</v>
      </c>
      <c r="AP33" s="33" t="e">
        <f t="shared" ref="AP33:AV33" si="171">AP21/AP52</f>
        <v>#DIV/0!</v>
      </c>
      <c r="AQ33" s="33" t="e">
        <f t="shared" si="171"/>
        <v>#DIV/0!</v>
      </c>
      <c r="AR33" s="36" t="e">
        <f t="shared" si="171"/>
        <v>#DIV/0!</v>
      </c>
      <c r="AS33" s="33" t="e">
        <f>AS21/AS52</f>
        <v>#DIV/0!</v>
      </c>
      <c r="AT33" s="33" t="e">
        <f t="shared" si="171"/>
        <v>#DIV/0!</v>
      </c>
      <c r="AU33" s="33" t="e">
        <f t="shared" si="171"/>
        <v>#DIV/0!</v>
      </c>
      <c r="AV33" s="33" t="e">
        <f t="shared" si="171"/>
        <v>#DIV/0!</v>
      </c>
      <c r="AW33" s="36" t="e">
        <f t="shared" si="170"/>
        <v>#DIV/0!</v>
      </c>
      <c r="AX33" s="33" t="e">
        <f>AX21/AX52</f>
        <v>#DIV/0!</v>
      </c>
      <c r="AY33" s="33" t="e">
        <f>AY21/AY52</f>
        <v>#DIV/0!</v>
      </c>
      <c r="AZ33" s="33" t="e">
        <f>AZ21/AZ52</f>
        <v>#DIV/0!</v>
      </c>
      <c r="BA33" s="33" t="e">
        <f>BA21/BA52</f>
        <v>#DIV/0!</v>
      </c>
      <c r="BB33" s="36"/>
      <c r="BC33" s="33"/>
      <c r="BD33" s="33"/>
      <c r="BE33" s="33"/>
      <c r="BF33" s="33"/>
      <c r="BG33" s="36"/>
      <c r="BH33" s="33"/>
      <c r="BI33" s="33"/>
      <c r="BJ33" s="33"/>
      <c r="BK33" s="33"/>
      <c r="BL33" s="36"/>
      <c r="BM33" s="33"/>
      <c r="BN33" s="33"/>
      <c r="BO33" s="33"/>
      <c r="BP33" s="33"/>
      <c r="BQ33" s="36"/>
      <c r="BR33" s="33"/>
      <c r="BS33" s="33"/>
      <c r="BT33" s="33"/>
      <c r="BU33" s="33"/>
      <c r="BV33" s="36"/>
      <c r="BW33" s="33"/>
      <c r="BX33" s="33"/>
      <c r="BY33" s="33"/>
      <c r="BZ33" s="33"/>
      <c r="CA33" s="36"/>
      <c r="CB33" s="33"/>
      <c r="CC33" s="33"/>
      <c r="CD33" s="33"/>
      <c r="CE33" s="33"/>
      <c r="CF33" s="36"/>
      <c r="CG33" s="33"/>
      <c r="CH33" s="33"/>
      <c r="CI33" s="33"/>
      <c r="CJ33" s="33"/>
      <c r="CK33" s="36"/>
      <c r="CL33" s="33">
        <f t="shared" ref="CL33:CP33" si="172">CL21/CL52</f>
        <v>-6.2746042920803196E-3</v>
      </c>
      <c r="CM33" s="33">
        <f t="shared" si="172"/>
        <v>-9.6568811629450454E-2</v>
      </c>
      <c r="CN33" s="33">
        <f t="shared" si="172"/>
        <v>-7.9909834309241704E-4</v>
      </c>
      <c r="CO33" s="33">
        <f t="shared" si="172"/>
        <v>0.14328915104236364</v>
      </c>
      <c r="CP33" s="36">
        <f t="shared" si="172"/>
        <v>-0.10991755747825101</v>
      </c>
      <c r="CQ33" s="33">
        <f t="shared" ref="CQ33:DE33" si="173">CQ21/CQ52</f>
        <v>-0.33023334705223739</v>
      </c>
      <c r="CR33" s="33">
        <f t="shared" si="173"/>
        <v>-6.3885735052030324E-2</v>
      </c>
      <c r="CS33" s="33">
        <f t="shared" si="173"/>
        <v>0.6146773319916381</v>
      </c>
      <c r="CT33" s="33">
        <f t="shared" si="173"/>
        <v>-0.30845460056865759</v>
      </c>
      <c r="CU33" s="36">
        <f t="shared" si="173"/>
        <v>-0.63248121907985344</v>
      </c>
      <c r="CV33" s="33">
        <f t="shared" si="173"/>
        <v>6.6323542094204796E-2</v>
      </c>
      <c r="CW33" s="33">
        <f t="shared" si="173"/>
        <v>0.22342739221032268</v>
      </c>
      <c r="CX33" s="33">
        <f t="shared" si="173"/>
        <v>0.3706523373144201</v>
      </c>
      <c r="CY33" s="33">
        <f t="shared" si="173"/>
        <v>0.37829400422367093</v>
      </c>
      <c r="CZ33" s="36">
        <f t="shared" si="173"/>
        <v>1.0367696475646822</v>
      </c>
      <c r="DA33" s="33">
        <f t="shared" si="173"/>
        <v>1.1791066391840908</v>
      </c>
      <c r="DB33" s="33">
        <f t="shared" si="173"/>
        <v>-0.93993062942597927</v>
      </c>
      <c r="DC33" s="33">
        <f t="shared" si="173"/>
        <v>0.17181403712653084</v>
      </c>
      <c r="DD33" s="33">
        <f t="shared" si="173"/>
        <v>2.7562990747852798E-3</v>
      </c>
      <c r="DE33" s="36">
        <f t="shared" si="173"/>
        <v>0.414318302185332</v>
      </c>
      <c r="DF33" s="33">
        <f>DF21/DF52</f>
        <v>-1.1786038077969175E-2</v>
      </c>
      <c r="DG33" s="33">
        <f>DG21/DG52</f>
        <v>-5.0909090909090911E-2</v>
      </c>
      <c r="DH33" s="33">
        <f>DH21/DH52</f>
        <v>0.14364135407136322</v>
      </c>
      <c r="DI33" s="33">
        <f t="shared" ref="DI33:DJ33" si="174">DI21/DI52</f>
        <v>1.8455425178609043E-3</v>
      </c>
      <c r="DJ33" s="36">
        <f t="shared" si="174"/>
        <v>8.2197557489852482E-2</v>
      </c>
      <c r="DK33" s="33">
        <f>DK21/DK52</f>
        <v>1.4000547886240541E-2</v>
      </c>
      <c r="DL33" s="33">
        <f>DL21/DL52</f>
        <v>2.6157482936490641E-2</v>
      </c>
      <c r="DM33" s="33">
        <f t="shared" ref="DM33:DP33" si="175">DM21/DM52</f>
        <v>0</v>
      </c>
      <c r="DN33" s="33">
        <f t="shared" si="175"/>
        <v>0</v>
      </c>
      <c r="DO33" s="36">
        <f t="shared" si="175"/>
        <v>4.0184992979602291E-2</v>
      </c>
      <c r="DP33" s="33">
        <f t="shared" si="175"/>
        <v>0</v>
      </c>
      <c r="DQ33" s="33">
        <f t="shared" ref="DQ33:DT33" si="176">DQ21/DQ52</f>
        <v>0</v>
      </c>
      <c r="DR33" s="33">
        <f t="shared" si="176"/>
        <v>0</v>
      </c>
      <c r="DS33" s="33">
        <f t="shared" si="176"/>
        <v>0</v>
      </c>
      <c r="DT33" s="36">
        <f t="shared" si="176"/>
        <v>0</v>
      </c>
      <c r="DU33" s="36">
        <f t="shared" ref="DU33:DV33" si="177">DU21/DU52</f>
        <v>0</v>
      </c>
      <c r="DV33" s="36">
        <f t="shared" si="177"/>
        <v>0</v>
      </c>
    </row>
    <row r="34" spans="2:126" s="15" customFormat="1">
      <c r="B34" s="131" t="s">
        <v>472</v>
      </c>
      <c r="C34" s="36"/>
      <c r="D34" s="36"/>
      <c r="E34" s="36"/>
      <c r="F34" s="36"/>
      <c r="G34" s="36"/>
      <c r="H34" s="36"/>
      <c r="I34" s="36"/>
      <c r="J34" s="33"/>
      <c r="K34" s="33"/>
      <c r="L34" s="33"/>
      <c r="M34" s="33"/>
      <c r="N34" s="36"/>
      <c r="O34" s="33"/>
      <c r="P34" s="33"/>
      <c r="Q34" s="33"/>
      <c r="R34" s="33"/>
      <c r="S34" s="36"/>
      <c r="T34" s="33"/>
      <c r="U34" s="33"/>
      <c r="V34" s="33"/>
      <c r="W34" s="33"/>
      <c r="X34" s="36"/>
      <c r="Y34" s="33"/>
      <c r="Z34" s="33"/>
      <c r="AA34" s="33"/>
      <c r="AB34" s="33"/>
      <c r="AC34" s="36"/>
      <c r="AD34" s="33"/>
      <c r="AE34" s="33"/>
      <c r="AF34" s="33"/>
      <c r="AG34" s="33"/>
      <c r="AH34" s="36"/>
      <c r="AI34" s="33"/>
      <c r="AJ34" s="33"/>
      <c r="AK34" s="33"/>
      <c r="AL34" s="33"/>
      <c r="AM34" s="36"/>
      <c r="AN34" s="21"/>
      <c r="AO34" s="33"/>
      <c r="AP34" s="33"/>
      <c r="AQ34" s="33"/>
      <c r="AR34" s="36"/>
      <c r="AS34" s="33"/>
      <c r="AT34" s="33"/>
      <c r="AU34" s="33"/>
      <c r="AV34" s="33"/>
      <c r="AW34" s="36"/>
      <c r="AX34" s="33"/>
      <c r="AY34" s="33"/>
      <c r="AZ34" s="33"/>
      <c r="BA34" s="33"/>
      <c r="BB34" s="36"/>
      <c r="BC34" s="33"/>
      <c r="BD34" s="33"/>
      <c r="BE34" s="33"/>
      <c r="BF34" s="33"/>
      <c r="BG34" s="36"/>
      <c r="BH34" s="33"/>
      <c r="BI34" s="33"/>
      <c r="BJ34" s="33"/>
      <c r="BK34" s="33"/>
      <c r="BL34" s="36"/>
      <c r="BM34" s="33"/>
      <c r="BN34" s="33"/>
      <c r="BO34" s="33"/>
      <c r="BP34" s="33"/>
      <c r="BQ34" s="36"/>
      <c r="BR34" s="33"/>
      <c r="BS34" s="33"/>
      <c r="BT34" s="33"/>
      <c r="BU34" s="33"/>
      <c r="BV34" s="36"/>
      <c r="BW34" s="33"/>
      <c r="BX34" s="33"/>
      <c r="BY34" s="33"/>
      <c r="BZ34" s="33"/>
      <c r="CA34" s="36"/>
      <c r="CB34" s="33"/>
      <c r="CC34" s="33"/>
      <c r="CD34" s="33"/>
      <c r="CE34" s="33"/>
      <c r="CF34" s="36"/>
      <c r="CG34" s="33"/>
      <c r="CH34" s="33"/>
      <c r="CI34" s="33"/>
      <c r="CJ34" s="33"/>
      <c r="CK34" s="36"/>
      <c r="CL34" s="23">
        <f>CL23/CL52</f>
        <v>-4.9055997192627952E-3</v>
      </c>
      <c r="CM34" s="23">
        <f t="shared" ref="CM34:CP34" si="178">CM23/CM52</f>
        <v>-2.1864636595347275E-2</v>
      </c>
      <c r="CN34" s="23">
        <f t="shared" si="178"/>
        <v>-5.25121768317874E-3</v>
      </c>
      <c r="CO34" s="23">
        <f t="shared" si="178"/>
        <v>-0.17614526210940246</v>
      </c>
      <c r="CP34" s="24">
        <f t="shared" si="178"/>
        <v>-6.9191131799058406E-2</v>
      </c>
      <c r="CQ34" s="23">
        <f>CQ23/CQ52</f>
        <v>-8.2017250733912011E-3</v>
      </c>
      <c r="CR34" s="23">
        <f t="shared" ref="CR34:CU34" si="179">CR23/CR52</f>
        <v>-6.4910639892437217E-3</v>
      </c>
      <c r="CS34" s="23">
        <f t="shared" si="179"/>
        <v>-4.7352920390466936E-2</v>
      </c>
      <c r="CT34" s="23">
        <f t="shared" si="179"/>
        <v>-5.0954152306326918E-2</v>
      </c>
      <c r="CU34" s="24">
        <f t="shared" si="179"/>
        <v>-4.798273012865726E-2</v>
      </c>
      <c r="CV34" s="23">
        <f>CV23/CV52</f>
        <v>-4.7244166971214377E-2</v>
      </c>
      <c r="CW34" s="23">
        <f t="shared" ref="CW34:CZ34" si="180">CW23/CW52</f>
        <v>-6.1100552155476003E-2</v>
      </c>
      <c r="CX34" s="23">
        <f t="shared" si="180"/>
        <v>-6.680893981222881E-2</v>
      </c>
      <c r="CY34" s="23">
        <f t="shared" si="180"/>
        <v>-8.9064365072077864E-2</v>
      </c>
      <c r="CZ34" s="24">
        <f t="shared" si="180"/>
        <v>-0.26398804241955343</v>
      </c>
      <c r="DA34" s="23">
        <f>DA23/DA52</f>
        <v>-0.1331545659514744</v>
      </c>
      <c r="DB34" s="23">
        <f t="shared" ref="DB34:DU34" si="181">DB23/DB52</f>
        <v>-5.3290299615549167E-2</v>
      </c>
      <c r="DC34" s="23">
        <f t="shared" si="181"/>
        <v>-8.3610039457295768E-2</v>
      </c>
      <c r="DD34" s="23">
        <f t="shared" si="181"/>
        <v>-9.1876635826176E-4</v>
      </c>
      <c r="DE34" s="24">
        <f t="shared" si="181"/>
        <v>-0.27100642825869831</v>
      </c>
      <c r="DF34" s="23">
        <f>DF23/DF52</f>
        <v>0</v>
      </c>
      <c r="DG34" s="23">
        <f>DG23/DG52</f>
        <v>0</v>
      </c>
      <c r="DH34" s="23">
        <f>DH23/DH52</f>
        <v>0</v>
      </c>
      <c r="DI34" s="23">
        <f t="shared" si="181"/>
        <v>0</v>
      </c>
      <c r="DJ34" s="24">
        <f t="shared" si="181"/>
        <v>0</v>
      </c>
      <c r="DK34" s="23">
        <f>DK23/DK52</f>
        <v>0</v>
      </c>
      <c r="DL34" s="23">
        <f>DL23/DL52</f>
        <v>0</v>
      </c>
      <c r="DM34" s="23">
        <f t="shared" si="181"/>
        <v>0</v>
      </c>
      <c r="DN34" s="23">
        <f t="shared" si="181"/>
        <v>0</v>
      </c>
      <c r="DO34" s="24">
        <f t="shared" si="181"/>
        <v>0</v>
      </c>
      <c r="DP34" s="23">
        <f t="shared" si="181"/>
        <v>0</v>
      </c>
      <c r="DQ34" s="23">
        <f t="shared" ref="DQ34:DT34" si="182">DQ23/DQ52</f>
        <v>0</v>
      </c>
      <c r="DR34" s="23">
        <f t="shared" si="182"/>
        <v>0</v>
      </c>
      <c r="DS34" s="23">
        <f t="shared" si="182"/>
        <v>0</v>
      </c>
      <c r="DT34" s="24">
        <f t="shared" si="182"/>
        <v>0</v>
      </c>
      <c r="DU34" s="24">
        <f t="shared" si="181"/>
        <v>0</v>
      </c>
      <c r="DV34" s="24">
        <f t="shared" ref="DV34" si="183">DV23/DV52</f>
        <v>0</v>
      </c>
    </row>
    <row r="35" spans="2:126" s="15" customFormat="1">
      <c r="B35" s="15" t="s">
        <v>40</v>
      </c>
      <c r="C35" s="35" t="e">
        <f t="shared" ref="C35:M35" si="184">SUM(C32:C33)</f>
        <v>#DIV/0!</v>
      </c>
      <c r="D35" s="35" t="e">
        <f t="shared" si="184"/>
        <v>#DIV/0!</v>
      </c>
      <c r="E35" s="35" t="e">
        <f t="shared" si="184"/>
        <v>#DIV/0!</v>
      </c>
      <c r="F35" s="35" t="e">
        <f t="shared" si="184"/>
        <v>#DIV/0!</v>
      </c>
      <c r="G35" s="35" t="e">
        <f t="shared" si="184"/>
        <v>#DIV/0!</v>
      </c>
      <c r="H35" s="35" t="e">
        <f t="shared" si="184"/>
        <v>#DIV/0!</v>
      </c>
      <c r="I35" s="35" t="e">
        <f t="shared" si="184"/>
        <v>#DIV/0!</v>
      </c>
      <c r="J35" s="25" t="e">
        <f t="shared" si="184"/>
        <v>#DIV/0!</v>
      </c>
      <c r="K35" s="25" t="e">
        <f t="shared" si="184"/>
        <v>#DIV/0!</v>
      </c>
      <c r="L35" s="25" t="e">
        <f t="shared" si="184"/>
        <v>#DIV/0!</v>
      </c>
      <c r="M35" s="25" t="e">
        <f t="shared" si="184"/>
        <v>#DIV/0!</v>
      </c>
      <c r="N35" s="35" t="e">
        <f t="shared" ref="N35:AW35" si="185">SUM(N32:N33)</f>
        <v>#DIV/0!</v>
      </c>
      <c r="O35" s="25" t="e">
        <f>SUM(O32:O33)</f>
        <v>#REF!</v>
      </c>
      <c r="P35" s="25" t="e">
        <f t="shared" si="185"/>
        <v>#REF!</v>
      </c>
      <c r="Q35" s="25" t="e">
        <f t="shared" si="185"/>
        <v>#REF!</v>
      </c>
      <c r="R35" s="25" t="e">
        <f t="shared" si="185"/>
        <v>#REF!</v>
      </c>
      <c r="S35" s="35" t="e">
        <f t="shared" si="185"/>
        <v>#REF!</v>
      </c>
      <c r="T35" s="25" t="e">
        <f t="shared" si="185"/>
        <v>#REF!</v>
      </c>
      <c r="U35" s="25" t="e">
        <f t="shared" si="185"/>
        <v>#REF!</v>
      </c>
      <c r="V35" s="25" t="e">
        <f t="shared" si="185"/>
        <v>#REF!</v>
      </c>
      <c r="W35" s="25" t="e">
        <f t="shared" si="185"/>
        <v>#REF!</v>
      </c>
      <c r="X35" s="35" t="e">
        <f t="shared" si="185"/>
        <v>#REF!</v>
      </c>
      <c r="Y35" s="25" t="e">
        <f t="shared" si="185"/>
        <v>#REF!</v>
      </c>
      <c r="Z35" s="25" t="e">
        <f t="shared" si="185"/>
        <v>#REF!</v>
      </c>
      <c r="AA35" s="25" t="e">
        <f t="shared" si="185"/>
        <v>#REF!</v>
      </c>
      <c r="AB35" s="25" t="e">
        <f t="shared" si="185"/>
        <v>#REF!</v>
      </c>
      <c r="AC35" s="35" t="e">
        <f t="shared" si="185"/>
        <v>#REF!</v>
      </c>
      <c r="AD35" s="25" t="e">
        <f t="shared" si="185"/>
        <v>#REF!</v>
      </c>
      <c r="AE35" s="25" t="e">
        <f t="shared" si="185"/>
        <v>#REF!</v>
      </c>
      <c r="AF35" s="25" t="e">
        <f t="shared" si="185"/>
        <v>#REF!</v>
      </c>
      <c r="AG35" s="25" t="e">
        <f t="shared" si="185"/>
        <v>#REF!</v>
      </c>
      <c r="AH35" s="35" t="e">
        <f t="shared" si="185"/>
        <v>#REF!</v>
      </c>
      <c r="AI35" s="25" t="e">
        <f t="shared" si="185"/>
        <v>#REF!</v>
      </c>
      <c r="AJ35" s="25" t="e">
        <f t="shared" si="185"/>
        <v>#REF!</v>
      </c>
      <c r="AK35" s="25" t="e">
        <f t="shared" si="185"/>
        <v>#REF!</v>
      </c>
      <c r="AL35" s="25" t="e">
        <f t="shared" si="185"/>
        <v>#REF!</v>
      </c>
      <c r="AM35" s="35" t="e">
        <f t="shared" si="185"/>
        <v>#REF!</v>
      </c>
      <c r="AN35" s="23" t="e">
        <f t="shared" si="185"/>
        <v>#REF!</v>
      </c>
      <c r="AO35" s="25" t="e">
        <f t="shared" si="185"/>
        <v>#REF!</v>
      </c>
      <c r="AP35" s="25" t="e">
        <f>SUM(AP32:AP33)</f>
        <v>#REF!</v>
      </c>
      <c r="AQ35" s="25" t="e">
        <f>SUM(AQ32:AQ33)</f>
        <v>#DIV/0!</v>
      </c>
      <c r="AR35" s="35" t="e">
        <f t="shared" si="185"/>
        <v>#REF!</v>
      </c>
      <c r="AS35" s="25" t="e">
        <f>SUM(AS32:AS33)</f>
        <v>#DIV/0!</v>
      </c>
      <c r="AT35" s="25" t="e">
        <f>SUM(AT32:AT33)</f>
        <v>#DIV/0!</v>
      </c>
      <c r="AU35" s="25" t="e">
        <f>SUM(AU32:AU33)</f>
        <v>#DIV/0!</v>
      </c>
      <c r="AV35" s="25" t="e">
        <f>SUM(AV32:AV33)</f>
        <v>#DIV/0!</v>
      </c>
      <c r="AW35" s="35" t="e">
        <f t="shared" si="185"/>
        <v>#DIV/0!</v>
      </c>
      <c r="AX35" s="25" t="e">
        <f t="shared" ref="AX35:BA35" si="186">SUM(AX32:AX33)</f>
        <v>#REF!</v>
      </c>
      <c r="AY35" s="25" t="e">
        <f t="shared" si="186"/>
        <v>#REF!</v>
      </c>
      <c r="AZ35" s="25" t="e">
        <f>SUM(AZ32:AZ33)</f>
        <v>#DIV/0!</v>
      </c>
      <c r="BA35" s="25" t="e">
        <f t="shared" si="186"/>
        <v>#DIV/0!</v>
      </c>
      <c r="BB35" s="35"/>
      <c r="BC35" s="23"/>
      <c r="BD35" s="25"/>
      <c r="BE35" s="25"/>
      <c r="BF35" s="25"/>
      <c r="BG35" s="24"/>
      <c r="BH35" s="25"/>
      <c r="BI35" s="25"/>
      <c r="BJ35" s="25"/>
      <c r="BK35" s="25"/>
      <c r="BL35" s="24"/>
      <c r="BM35" s="23"/>
      <c r="BN35" s="23"/>
      <c r="BO35" s="25"/>
      <c r="BP35" s="25"/>
      <c r="BQ35" s="24"/>
      <c r="BR35" s="23"/>
      <c r="BS35" s="25"/>
      <c r="BT35" s="25"/>
      <c r="BU35" s="25"/>
      <c r="BV35" s="24"/>
      <c r="BW35" s="25"/>
      <c r="BX35" s="25"/>
      <c r="BY35" s="25"/>
      <c r="BZ35" s="25"/>
      <c r="CA35" s="24"/>
      <c r="CB35" s="25"/>
      <c r="CC35" s="25"/>
      <c r="CD35" s="25"/>
      <c r="CE35" s="25"/>
      <c r="CF35" s="24"/>
      <c r="CG35" s="25"/>
      <c r="CH35" s="25"/>
      <c r="CI35" s="25"/>
      <c r="CJ35" s="25"/>
      <c r="CK35" s="24"/>
      <c r="CL35" s="25">
        <f>SUM(CL32:CL34)</f>
        <v>0.70229934585539011</v>
      </c>
      <c r="CM35" s="25">
        <f t="shared" ref="CM35:CO35" si="187">SUM(CM32:CM34)</f>
        <v>-0.24814084969407141</v>
      </c>
      <c r="CN35" s="25">
        <f t="shared" si="187"/>
        <v>-0.13573256141955484</v>
      </c>
      <c r="CO35" s="25">
        <f t="shared" si="187"/>
        <v>2.2287395340474649</v>
      </c>
      <c r="CP35" s="24">
        <f>SUM(CP32:CP34)</f>
        <v>0.76343801541999035</v>
      </c>
      <c r="CQ35" s="25">
        <f>SUM(CQ32:CQ34)</f>
        <v>-0.32749943869444031</v>
      </c>
      <c r="CR35" s="25">
        <f t="shared" ref="CR35" si="188">SUM(CR32:CR34)</f>
        <v>-0.13528743893371128</v>
      </c>
      <c r="CS35" s="25">
        <f t="shared" ref="CS35" si="189">SUM(CS32:CS34)</f>
        <v>1.0973128667406278</v>
      </c>
      <c r="CT35" s="25">
        <f t="shared" ref="CT35" si="190">SUM(CT32:CT34)</f>
        <v>-3.5476828543280119</v>
      </c>
      <c r="CU35" s="24">
        <f>SUM(CU32:CU34)</f>
        <v>-1.3680139556090172</v>
      </c>
      <c r="CV35" s="25">
        <f>SUM(CV32:CV34)</f>
        <v>-1.0793475069577441</v>
      </c>
      <c r="CW35" s="25">
        <f t="shared" ref="CW35" si="191">SUM(CW32:CW34)</f>
        <v>-0.86361526703336977</v>
      </c>
      <c r="CX35" s="25">
        <f t="shared" ref="CX35" si="192">SUM(CX32:CX34)</f>
        <v>8.1451995113539219E-2</v>
      </c>
      <c r="CY35" s="25">
        <f t="shared" ref="CY35" si="193">SUM(CY32:CY34)</f>
        <v>1.9236066476907538</v>
      </c>
      <c r="CZ35" s="24">
        <f>SUM(CZ32:CZ34)</f>
        <v>4.475921826490703E-2</v>
      </c>
      <c r="DA35" s="25">
        <f>SUM(DA32:DA34)</f>
        <v>6.7578237988751741</v>
      </c>
      <c r="DB35" s="25">
        <f t="shared" ref="DB35" si="194">SUM(DB32:DB34)</f>
        <v>-2.2969956730840083E-2</v>
      </c>
      <c r="DC35" s="25">
        <f t="shared" ref="DC35" si="195">SUM(DC32:DC34)</f>
        <v>0.23704824373606931</v>
      </c>
      <c r="DD35" s="25">
        <f t="shared" ref="DD35" si="196">SUM(DD32:DD34)</f>
        <v>1.4645135750692455</v>
      </c>
      <c r="DE35" s="24">
        <f>SUM(DE32:DE34)</f>
        <v>8.4388645762183145</v>
      </c>
      <c r="DF35" s="25">
        <f t="shared" ref="DF35:DI35" si="197">SUM(DF32:DF33)</f>
        <v>1.3934723481414326</v>
      </c>
      <c r="DG35" s="25">
        <f t="shared" ref="DG35:DH35" si="198">SUM(DG32:DG33)</f>
        <v>1.1509090909090909</v>
      </c>
      <c r="DH35" s="25">
        <f t="shared" si="198"/>
        <v>1.7035681610247027</v>
      </c>
      <c r="DI35" s="25">
        <f t="shared" si="197"/>
        <v>1.7523426207089285</v>
      </c>
      <c r="DJ35" s="24">
        <f t="shared" ref="DJ35:DN35" si="199">SUM(DJ32:DJ33)</f>
        <v>5.9858087976499235</v>
      </c>
      <c r="DK35" s="25">
        <f t="shared" si="199"/>
        <v>1.8452722114065034</v>
      </c>
      <c r="DL35" s="25">
        <f t="shared" si="199"/>
        <v>1.8945491212572507</v>
      </c>
      <c r="DM35" s="25">
        <f t="shared" si="199"/>
        <v>1.3974893913995272</v>
      </c>
      <c r="DN35" s="25">
        <f t="shared" si="199"/>
        <v>1.3229433006901621</v>
      </c>
      <c r="DO35" s="24">
        <f t="shared" ref="DO35:DS35" si="200">SUM(DO32:DO33)</f>
        <v>6.4610880572952007</v>
      </c>
      <c r="DP35" s="25">
        <f t="shared" ref="DP35" si="201">SUM(DP32:DP33)</f>
        <v>1.6017941364070571</v>
      </c>
      <c r="DQ35" s="25">
        <f t="shared" si="200"/>
        <v>1.7736556737472535</v>
      </c>
      <c r="DR35" s="25">
        <f t="shared" si="200"/>
        <v>1.6934956092030538</v>
      </c>
      <c r="DS35" s="25">
        <f t="shared" si="200"/>
        <v>1.7693105750541385</v>
      </c>
      <c r="DT35" s="24">
        <f t="shared" ref="DT35" si="202">SUM(DT32:DT33)</f>
        <v>6.8368782057028392</v>
      </c>
      <c r="DU35" s="24">
        <f t="shared" ref="DU35:DV35" si="203">SUM(DU32:DU33)</f>
        <v>7.8919917780750772</v>
      </c>
      <c r="DV35" s="24">
        <f t="shared" si="203"/>
        <v>8.7502937016553197</v>
      </c>
    </row>
    <row r="36" spans="2:126" s="15" customFormat="1">
      <c r="C36" s="35"/>
      <c r="D36" s="35"/>
      <c r="E36" s="35"/>
      <c r="F36" s="35"/>
      <c r="G36" s="35"/>
      <c r="H36" s="35"/>
      <c r="I36" s="35"/>
      <c r="J36" s="25"/>
      <c r="K36" s="25"/>
      <c r="L36" s="25"/>
      <c r="M36" s="25"/>
      <c r="N36" s="35"/>
      <c r="O36" s="25"/>
      <c r="P36" s="25"/>
      <c r="Q36" s="25"/>
      <c r="R36" s="25"/>
      <c r="S36" s="35"/>
      <c r="T36" s="25"/>
      <c r="U36" s="25"/>
      <c r="V36" s="25"/>
      <c r="W36" s="25"/>
      <c r="X36" s="35"/>
      <c r="Y36" s="25"/>
      <c r="Z36" s="25"/>
      <c r="AA36" s="25"/>
      <c r="AB36" s="25"/>
      <c r="AC36" s="35"/>
      <c r="AD36" s="25"/>
      <c r="AE36" s="25"/>
      <c r="AF36" s="25"/>
      <c r="AG36" s="25"/>
      <c r="AH36" s="35"/>
      <c r="AI36" s="25"/>
      <c r="AJ36" s="25"/>
      <c r="AK36" s="25"/>
      <c r="AL36" s="25"/>
      <c r="AM36" s="35"/>
      <c r="AN36" s="23"/>
      <c r="AO36" s="25"/>
      <c r="AP36" s="25"/>
      <c r="AQ36" s="25"/>
      <c r="AR36" s="35"/>
      <c r="AS36" s="25"/>
      <c r="AT36" s="25"/>
      <c r="AU36" s="25"/>
      <c r="AV36" s="25"/>
      <c r="AW36" s="35"/>
      <c r="AX36" s="25"/>
      <c r="AY36" s="25"/>
      <c r="AZ36" s="25"/>
      <c r="BA36" s="25"/>
      <c r="BB36" s="35"/>
      <c r="BC36" s="23"/>
      <c r="BD36" s="25"/>
      <c r="BE36" s="25"/>
      <c r="BF36" s="25"/>
      <c r="BG36" s="24"/>
      <c r="BH36" s="25"/>
      <c r="BI36" s="25"/>
      <c r="BJ36" s="25"/>
      <c r="BK36" s="25"/>
      <c r="BL36" s="24"/>
      <c r="BM36" s="23"/>
      <c r="BN36" s="23"/>
      <c r="BO36" s="25"/>
      <c r="BP36" s="25"/>
      <c r="BQ36" s="24"/>
      <c r="BR36" s="23"/>
      <c r="BS36" s="25"/>
      <c r="BT36" s="25"/>
      <c r="BU36" s="25"/>
      <c r="BV36" s="24"/>
      <c r="BW36" s="25"/>
      <c r="BX36" s="25"/>
      <c r="BY36" s="25"/>
      <c r="BZ36" s="25"/>
      <c r="CA36" s="24"/>
      <c r="CB36" s="25"/>
      <c r="CC36" s="25"/>
      <c r="CD36" s="25"/>
      <c r="CE36" s="25"/>
      <c r="CF36" s="24"/>
      <c r="CG36" s="25"/>
      <c r="CH36" s="25"/>
      <c r="CI36" s="25"/>
      <c r="CJ36" s="25"/>
      <c r="CK36" s="24"/>
      <c r="CL36" s="25"/>
      <c r="CM36" s="25"/>
      <c r="CN36" s="25"/>
      <c r="CO36" s="25"/>
      <c r="CP36" s="24"/>
      <c r="CQ36" s="25"/>
      <c r="CR36" s="25"/>
      <c r="CS36" s="25"/>
      <c r="CT36" s="25"/>
      <c r="CU36" s="24"/>
      <c r="CV36" s="25"/>
      <c r="CW36" s="25"/>
      <c r="CX36" s="25"/>
      <c r="CY36" s="25"/>
      <c r="CZ36" s="24"/>
      <c r="DA36" s="25"/>
      <c r="DB36" s="25"/>
      <c r="DC36" s="25"/>
      <c r="DD36" s="25"/>
      <c r="DE36" s="24"/>
      <c r="DF36" s="25"/>
      <c r="DG36" s="25"/>
      <c r="DH36" s="25"/>
      <c r="DI36" s="25"/>
      <c r="DJ36" s="24"/>
      <c r="DK36" s="25"/>
      <c r="DL36" s="25"/>
      <c r="DM36" s="25"/>
      <c r="DN36" s="949"/>
      <c r="DO36" s="948"/>
      <c r="DP36" s="25"/>
      <c r="DQ36" s="25"/>
      <c r="DR36" s="25"/>
      <c r="DS36" s="949"/>
      <c r="DT36" s="948"/>
      <c r="DU36" s="24"/>
      <c r="DV36" s="24"/>
    </row>
    <row r="37" spans="2:126" s="15" customFormat="1" ht="12">
      <c r="B37" s="312" t="s">
        <v>551</v>
      </c>
      <c r="C37" s="35"/>
      <c r="D37" s="35"/>
      <c r="E37" s="35"/>
      <c r="F37" s="35"/>
      <c r="G37" s="35"/>
      <c r="H37" s="35"/>
      <c r="I37" s="35"/>
      <c r="J37" s="25"/>
      <c r="K37" s="25"/>
      <c r="L37" s="25"/>
      <c r="M37" s="25"/>
      <c r="N37" s="35"/>
      <c r="O37" s="25"/>
      <c r="P37" s="25"/>
      <c r="Q37" s="25"/>
      <c r="R37" s="25"/>
      <c r="S37" s="35"/>
      <c r="T37" s="25"/>
      <c r="U37" s="25"/>
      <c r="V37" s="25"/>
      <c r="W37" s="25"/>
      <c r="X37" s="35"/>
      <c r="Y37" s="25"/>
      <c r="Z37" s="25"/>
      <c r="AA37" s="25"/>
      <c r="AB37" s="25"/>
      <c r="AC37" s="35"/>
      <c r="AD37" s="25"/>
      <c r="AE37" s="25"/>
      <c r="AF37" s="25"/>
      <c r="AG37" s="25"/>
      <c r="AH37" s="35"/>
      <c r="AI37" s="25"/>
      <c r="AJ37" s="25"/>
      <c r="AK37" s="25"/>
      <c r="AL37" s="25"/>
      <c r="AM37" s="35"/>
      <c r="AN37" s="23"/>
      <c r="AO37" s="25"/>
      <c r="AP37" s="25"/>
      <c r="AQ37" s="25"/>
      <c r="AR37" s="35"/>
      <c r="AS37" s="25"/>
      <c r="AT37" s="25"/>
      <c r="AU37" s="25"/>
      <c r="AV37" s="25"/>
      <c r="AW37" s="35"/>
      <c r="AX37" s="25"/>
      <c r="AY37" s="25"/>
      <c r="AZ37" s="25"/>
      <c r="BA37" s="25"/>
      <c r="BB37" s="35"/>
      <c r="BC37" s="23"/>
      <c r="BD37" s="25"/>
      <c r="BE37" s="25"/>
      <c r="BF37" s="25"/>
      <c r="BG37" s="24"/>
      <c r="BH37" s="25"/>
      <c r="BI37" s="25"/>
      <c r="BJ37" s="25"/>
      <c r="BK37" s="25"/>
      <c r="BL37" s="24"/>
      <c r="BM37" s="23"/>
      <c r="BN37" s="23"/>
      <c r="BO37" s="25"/>
      <c r="BP37" s="25"/>
      <c r="BQ37" s="24"/>
      <c r="BR37" s="23"/>
      <c r="BS37" s="25"/>
      <c r="BT37" s="25"/>
      <c r="BU37" s="25"/>
      <c r="BV37" s="24"/>
      <c r="BW37" s="25"/>
      <c r="BX37" s="25"/>
      <c r="BY37" s="25"/>
      <c r="BZ37" s="25"/>
      <c r="CA37" s="24"/>
      <c r="CB37" s="25"/>
      <c r="CC37" s="25"/>
      <c r="CD37" s="25"/>
      <c r="CE37" s="25"/>
      <c r="CF37" s="24"/>
      <c r="CG37" s="25"/>
      <c r="CH37" s="25"/>
      <c r="CI37" s="25"/>
      <c r="CJ37" s="25"/>
      <c r="CK37" s="24"/>
      <c r="CL37" s="25"/>
      <c r="CM37" s="25"/>
      <c r="CN37" s="25"/>
      <c r="CO37" s="25"/>
      <c r="CP37" s="24"/>
      <c r="CQ37" s="25"/>
      <c r="CR37" s="25"/>
      <c r="CS37" s="25"/>
      <c r="CT37" s="25"/>
      <c r="CU37" s="24"/>
      <c r="CV37" s="25"/>
      <c r="CW37" s="25"/>
      <c r="CX37" s="25"/>
      <c r="CY37" s="25"/>
      <c r="CZ37" s="24"/>
      <c r="DA37" s="25"/>
      <c r="DB37" s="25"/>
      <c r="DC37" s="25"/>
      <c r="DD37" s="25"/>
      <c r="DE37" s="24"/>
      <c r="DF37" s="25"/>
      <c r="DG37" s="25"/>
      <c r="DH37" s="25"/>
      <c r="DI37" s="25"/>
      <c r="DJ37" s="24"/>
      <c r="DK37" s="25"/>
      <c r="DL37" s="25"/>
      <c r="DM37" s="25"/>
      <c r="DN37" s="25"/>
      <c r="DO37" s="948"/>
      <c r="DP37" s="25"/>
      <c r="DQ37" s="25"/>
      <c r="DR37" s="25"/>
      <c r="DS37" s="25"/>
      <c r="DT37" s="948"/>
      <c r="DU37" s="24"/>
      <c r="DV37" s="24"/>
    </row>
    <row r="38" spans="2:126" s="15" customFormat="1" hidden="1" outlineLevel="1">
      <c r="B38" s="301" t="str">
        <f>B26</f>
        <v>Net income reported</v>
      </c>
      <c r="C38" s="35"/>
      <c r="D38" s="35"/>
      <c r="E38" s="35"/>
      <c r="F38" s="35"/>
      <c r="G38" s="35"/>
      <c r="H38" s="35"/>
      <c r="I38" s="35"/>
      <c r="J38" s="25"/>
      <c r="K38" s="25"/>
      <c r="L38" s="25"/>
      <c r="M38" s="25"/>
      <c r="N38" s="35"/>
      <c r="O38" s="25"/>
      <c r="P38" s="25"/>
      <c r="Q38" s="25"/>
      <c r="R38" s="25"/>
      <c r="S38" s="35"/>
      <c r="T38" s="25"/>
      <c r="U38" s="25"/>
      <c r="V38" s="25"/>
      <c r="W38" s="25"/>
      <c r="X38" s="35"/>
      <c r="Y38" s="25"/>
      <c r="Z38" s="25"/>
      <c r="AA38" s="25"/>
      <c r="AB38" s="25"/>
      <c r="AC38" s="35"/>
      <c r="AD38" s="25"/>
      <c r="AE38" s="25"/>
      <c r="AF38" s="25"/>
      <c r="AG38" s="25"/>
      <c r="AH38" s="35"/>
      <c r="AI38" s="25"/>
      <c r="AJ38" s="25"/>
      <c r="AK38" s="25"/>
      <c r="AL38" s="25"/>
      <c r="AM38" s="35"/>
      <c r="AN38" s="23"/>
      <c r="AO38" s="25"/>
      <c r="AP38" s="25"/>
      <c r="AQ38" s="25"/>
      <c r="AR38" s="35"/>
      <c r="AS38" s="25"/>
      <c r="AT38" s="25"/>
      <c r="AU38" s="25"/>
      <c r="AV38" s="25"/>
      <c r="AW38" s="35"/>
      <c r="AX38" s="25"/>
      <c r="AY38" s="25"/>
      <c r="AZ38" s="25"/>
      <c r="BA38" s="25"/>
      <c r="BB38" s="35"/>
      <c r="BC38" s="23"/>
      <c r="BD38" s="25"/>
      <c r="BE38" s="25"/>
      <c r="BF38" s="25"/>
      <c r="BG38" s="24"/>
      <c r="BH38" s="25"/>
      <c r="BI38" s="25"/>
      <c r="BJ38" s="25"/>
      <c r="BK38" s="25"/>
      <c r="BL38" s="24"/>
      <c r="BM38" s="23"/>
      <c r="BN38" s="23"/>
      <c r="BO38" s="25"/>
      <c r="BP38" s="25"/>
      <c r="BQ38" s="24"/>
      <c r="BR38" s="23"/>
      <c r="BS38" s="25"/>
      <c r="BT38" s="25"/>
      <c r="BU38" s="25"/>
      <c r="BV38" s="24"/>
      <c r="BW38" s="25"/>
      <c r="BX38" s="25"/>
      <c r="BY38" s="25"/>
      <c r="BZ38" s="25"/>
      <c r="CA38" s="24"/>
      <c r="CB38" s="25"/>
      <c r="CC38" s="25"/>
      <c r="CD38" s="25"/>
      <c r="CE38" s="25"/>
      <c r="CF38" s="24"/>
      <c r="CG38" s="25"/>
      <c r="CH38" s="25"/>
      <c r="CI38" s="25"/>
      <c r="CJ38" s="25"/>
      <c r="CK38" s="24"/>
      <c r="CL38" s="221">
        <f>CL26</f>
        <v>6177</v>
      </c>
      <c r="CM38" s="221">
        <f t="shared" ref="CM38:CO38" si="204">CM26</f>
        <v>-1186</v>
      </c>
      <c r="CN38" s="221">
        <f t="shared" si="204"/>
        <v>-1131</v>
      </c>
      <c r="CO38" s="221">
        <f t="shared" si="204"/>
        <v>2281</v>
      </c>
      <c r="CP38" s="222">
        <f>SUM(CL38:CO38)</f>
        <v>6141</v>
      </c>
      <c r="CQ38" s="221">
        <f>CQ26</f>
        <v>19</v>
      </c>
      <c r="CR38" s="221">
        <f t="shared" ref="CR38:CS38" si="205">CR26</f>
        <v>-624</v>
      </c>
      <c r="CS38" s="221">
        <f t="shared" si="205"/>
        <v>603</v>
      </c>
      <c r="CT38" s="221">
        <f t="shared" ref="CT38:CT46" si="206">CU38-SUM(CQ38:CS38)</f>
        <v>-3560</v>
      </c>
      <c r="CU38" s="222">
        <f>CU26</f>
        <v>-3562</v>
      </c>
      <c r="CV38" s="221">
        <f>CV26</f>
        <v>-1276</v>
      </c>
      <c r="CW38" s="221">
        <f>CW26</f>
        <v>-1199</v>
      </c>
      <c r="CX38" s="221">
        <f>CX26</f>
        <v>-314</v>
      </c>
      <c r="CY38" s="221">
        <f t="shared" ref="CY38:CY46" si="207">CZ38-SUM(CV38:CX38)</f>
        <v>1687</v>
      </c>
      <c r="CZ38" s="222">
        <f>CZ26</f>
        <v>-1102</v>
      </c>
      <c r="DA38" s="221">
        <f>DA26</f>
        <v>6102</v>
      </c>
      <c r="DB38" s="221">
        <f>DB26</f>
        <v>994</v>
      </c>
      <c r="DC38" s="221">
        <f>DC26</f>
        <v>85</v>
      </c>
      <c r="DD38" s="221">
        <f t="shared" ref="DD38:DD45" si="208">DE38-SUM(DA38:DC38)</f>
        <v>1591</v>
      </c>
      <c r="DE38" s="222">
        <f>DE26</f>
        <v>8772</v>
      </c>
      <c r="DF38" s="221">
        <f>DF26</f>
        <v>1523</v>
      </c>
      <c r="DG38" s="221">
        <f t="shared" ref="DG38:DI38" si="209">DG26</f>
        <v>1320</v>
      </c>
      <c r="DH38" s="221">
        <f t="shared" si="209"/>
        <v>1705</v>
      </c>
      <c r="DI38" s="394">
        <f t="shared" si="209"/>
        <v>1905</v>
      </c>
      <c r="DJ38" s="222">
        <f>SUM(DF38:DI38)</f>
        <v>6453</v>
      </c>
      <c r="DK38" s="221">
        <f>DK20</f>
        <v>1962</v>
      </c>
      <c r="DL38" s="221">
        <f>DL20</f>
        <v>2000</v>
      </c>
      <c r="DM38" s="221">
        <f>DM20</f>
        <v>1494.8795704251631</v>
      </c>
      <c r="DN38" s="221">
        <f>DN20</f>
        <v>1413.8154650503259</v>
      </c>
      <c r="DO38" s="222">
        <f>SUM(DK38:DN38)</f>
        <v>6870.695035475489</v>
      </c>
      <c r="DP38" s="221">
        <f>DP20</f>
        <v>1700.6078347822026</v>
      </c>
      <c r="DQ38" s="221">
        <f>DQ20</f>
        <v>1870.6558152935627</v>
      </c>
      <c r="DR38" s="221">
        <f>DR20</f>
        <v>1774.2573766931387</v>
      </c>
      <c r="DS38" s="221">
        <f>DS20</f>
        <v>1842.1873930532358</v>
      </c>
      <c r="DT38" s="222">
        <f>SUM(DP38:DS38)</f>
        <v>7187.7084198221391</v>
      </c>
      <c r="DU38" s="222">
        <f>DU20</f>
        <v>8131.2326710364623</v>
      </c>
      <c r="DV38" s="222">
        <f>DV20</f>
        <v>8823.0470298545442</v>
      </c>
    </row>
    <row r="39" spans="2:126" s="15" customFormat="1" hidden="1" outlineLevel="1">
      <c r="B39" s="301" t="s">
        <v>552</v>
      </c>
      <c r="C39" s="35"/>
      <c r="D39" s="35"/>
      <c r="E39" s="35"/>
      <c r="F39" s="35"/>
      <c r="G39" s="35"/>
      <c r="H39" s="35"/>
      <c r="I39" s="35"/>
      <c r="J39" s="25"/>
      <c r="K39" s="25"/>
      <c r="L39" s="25"/>
      <c r="M39" s="25"/>
      <c r="N39" s="35"/>
      <c r="O39" s="25"/>
      <c r="P39" s="25"/>
      <c r="Q39" s="25"/>
      <c r="R39" s="25"/>
      <c r="S39" s="35"/>
      <c r="T39" s="25"/>
      <c r="U39" s="25"/>
      <c r="V39" s="25"/>
      <c r="W39" s="25"/>
      <c r="X39" s="35"/>
      <c r="Y39" s="25"/>
      <c r="Z39" s="25"/>
      <c r="AA39" s="25"/>
      <c r="AB39" s="25"/>
      <c r="AC39" s="35"/>
      <c r="AD39" s="25"/>
      <c r="AE39" s="25"/>
      <c r="AF39" s="25"/>
      <c r="AG39" s="25"/>
      <c r="AH39" s="35"/>
      <c r="AI39" s="25"/>
      <c r="AJ39" s="25"/>
      <c r="AK39" s="25"/>
      <c r="AL39" s="25"/>
      <c r="AM39" s="35"/>
      <c r="AN39" s="23"/>
      <c r="AO39" s="25"/>
      <c r="AP39" s="25"/>
      <c r="AQ39" s="25"/>
      <c r="AR39" s="35"/>
      <c r="AS39" s="25"/>
      <c r="AT39" s="25"/>
      <c r="AU39" s="25"/>
      <c r="AV39" s="25"/>
      <c r="AW39" s="35"/>
      <c r="AX39" s="25"/>
      <c r="AY39" s="25"/>
      <c r="AZ39" s="25"/>
      <c r="BA39" s="25"/>
      <c r="BB39" s="35"/>
      <c r="BC39" s="23"/>
      <c r="BD39" s="25"/>
      <c r="BE39" s="25"/>
      <c r="BF39" s="25"/>
      <c r="BG39" s="24"/>
      <c r="BH39" s="25"/>
      <c r="BI39" s="25"/>
      <c r="BJ39" s="25"/>
      <c r="BK39" s="25"/>
      <c r="BL39" s="24"/>
      <c r="BM39" s="23"/>
      <c r="BN39" s="23"/>
      <c r="BO39" s="25"/>
      <c r="BP39" s="25"/>
      <c r="BQ39" s="24"/>
      <c r="BR39" s="23"/>
      <c r="BS39" s="25"/>
      <c r="BT39" s="25"/>
      <c r="BU39" s="25"/>
      <c r="BV39" s="24"/>
      <c r="BW39" s="25"/>
      <c r="BX39" s="25"/>
      <c r="BY39" s="25"/>
      <c r="BZ39" s="25"/>
      <c r="CA39" s="24"/>
      <c r="CB39" s="25"/>
      <c r="CC39" s="25"/>
      <c r="CD39" s="25"/>
      <c r="CE39" s="25"/>
      <c r="CF39" s="24"/>
      <c r="CG39" s="25"/>
      <c r="CH39" s="25"/>
      <c r="CI39" s="25"/>
      <c r="CJ39" s="25"/>
      <c r="CK39" s="24"/>
      <c r="CL39" s="221"/>
      <c r="CM39" s="221"/>
      <c r="CN39" s="221"/>
      <c r="CO39" s="25"/>
      <c r="CP39" s="222"/>
      <c r="CQ39" s="221">
        <v>111</v>
      </c>
      <c r="CR39" s="221">
        <v>181</v>
      </c>
      <c r="CS39" s="221">
        <v>42</v>
      </c>
      <c r="CT39" s="221">
        <f t="shared" si="206"/>
        <v>110</v>
      </c>
      <c r="CU39" s="222">
        <v>444</v>
      </c>
      <c r="CV39" s="221">
        <v>84</v>
      </c>
      <c r="CW39" s="221">
        <v>46</v>
      </c>
      <c r="CX39" s="221">
        <v>78</v>
      </c>
      <c r="CY39" s="221">
        <f t="shared" si="207"/>
        <v>-49</v>
      </c>
      <c r="CZ39" s="222">
        <v>159</v>
      </c>
      <c r="DA39" s="221">
        <v>54</v>
      </c>
      <c r="DB39" s="221">
        <v>50</v>
      </c>
      <c r="DC39" s="221">
        <v>77</v>
      </c>
      <c r="DD39" s="221">
        <f t="shared" si="208"/>
        <v>79</v>
      </c>
      <c r="DE39" s="222">
        <v>260</v>
      </c>
      <c r="DF39" s="221">
        <v>158</v>
      </c>
      <c r="DG39" s="221">
        <v>134</v>
      </c>
      <c r="DH39" s="221">
        <v>135</v>
      </c>
      <c r="DI39" s="394">
        <v>379</v>
      </c>
      <c r="DJ39" s="222">
        <f t="shared" ref="DJ39:DJ46" si="210">SUM(DF39:DI39)</f>
        <v>806</v>
      </c>
      <c r="DK39" s="221">
        <v>231</v>
      </c>
      <c r="DL39" s="1089">
        <v>118</v>
      </c>
      <c r="DM39" s="905">
        <v>0</v>
      </c>
      <c r="DN39" s="905">
        <v>0</v>
      </c>
      <c r="DO39" s="222">
        <f t="shared" ref="DO39:DO46" si="211">SUM(DK39:DN39)</f>
        <v>349</v>
      </c>
      <c r="DP39" s="905">
        <v>0</v>
      </c>
      <c r="DQ39" s="905">
        <v>0</v>
      </c>
      <c r="DR39" s="905">
        <v>0</v>
      </c>
      <c r="DS39" s="905">
        <v>0</v>
      </c>
      <c r="DT39" s="222">
        <f t="shared" ref="DT39:DT46" si="212">SUM(DP39:DS39)</f>
        <v>0</v>
      </c>
      <c r="DU39" s="908">
        <v>0</v>
      </c>
      <c r="DV39" s="908">
        <v>0</v>
      </c>
    </row>
    <row r="40" spans="2:126" s="15" customFormat="1" hidden="1" outlineLevel="1">
      <c r="B40" s="301" t="s">
        <v>553</v>
      </c>
      <c r="C40" s="35"/>
      <c r="D40" s="35"/>
      <c r="E40" s="35"/>
      <c r="F40" s="35"/>
      <c r="G40" s="35"/>
      <c r="H40" s="35"/>
      <c r="I40" s="35"/>
      <c r="J40" s="25"/>
      <c r="K40" s="25"/>
      <c r="L40" s="25"/>
      <c r="M40" s="25"/>
      <c r="N40" s="35"/>
      <c r="O40" s="25"/>
      <c r="P40" s="25"/>
      <c r="Q40" s="25"/>
      <c r="R40" s="25"/>
      <c r="S40" s="35"/>
      <c r="T40" s="25"/>
      <c r="U40" s="25"/>
      <c r="V40" s="25"/>
      <c r="W40" s="25"/>
      <c r="X40" s="35"/>
      <c r="Y40" s="25"/>
      <c r="Z40" s="25"/>
      <c r="AA40" s="25"/>
      <c r="AB40" s="25"/>
      <c r="AC40" s="35"/>
      <c r="AD40" s="25"/>
      <c r="AE40" s="25"/>
      <c r="AF40" s="25"/>
      <c r="AG40" s="25"/>
      <c r="AH40" s="35"/>
      <c r="AI40" s="25"/>
      <c r="AJ40" s="25"/>
      <c r="AK40" s="25"/>
      <c r="AL40" s="25"/>
      <c r="AM40" s="35"/>
      <c r="AN40" s="23"/>
      <c r="AO40" s="25"/>
      <c r="AP40" s="25"/>
      <c r="AQ40" s="25"/>
      <c r="AR40" s="35"/>
      <c r="AS40" s="25"/>
      <c r="AT40" s="25"/>
      <c r="AU40" s="25"/>
      <c r="AV40" s="25"/>
      <c r="AW40" s="35"/>
      <c r="AX40" s="25"/>
      <c r="AY40" s="25"/>
      <c r="AZ40" s="25"/>
      <c r="BA40" s="25"/>
      <c r="BB40" s="35"/>
      <c r="BC40" s="23"/>
      <c r="BD40" s="25"/>
      <c r="BE40" s="25"/>
      <c r="BF40" s="25"/>
      <c r="BG40" s="24"/>
      <c r="BH40" s="25"/>
      <c r="BI40" s="25"/>
      <c r="BJ40" s="25"/>
      <c r="BK40" s="25"/>
      <c r="BL40" s="24"/>
      <c r="BM40" s="23"/>
      <c r="BN40" s="23"/>
      <c r="BO40" s="25"/>
      <c r="BP40" s="25"/>
      <c r="BQ40" s="24"/>
      <c r="BR40" s="23"/>
      <c r="BS40" s="25"/>
      <c r="BT40" s="25"/>
      <c r="BU40" s="25"/>
      <c r="BV40" s="24"/>
      <c r="BW40" s="25"/>
      <c r="BX40" s="25"/>
      <c r="BY40" s="25"/>
      <c r="BZ40" s="25"/>
      <c r="CA40" s="24"/>
      <c r="CB40" s="25"/>
      <c r="CC40" s="25"/>
      <c r="CD40" s="25"/>
      <c r="CE40" s="25"/>
      <c r="CF40" s="24"/>
      <c r="CG40" s="25"/>
      <c r="CH40" s="25"/>
      <c r="CI40" s="25"/>
      <c r="CJ40" s="25"/>
      <c r="CK40" s="24"/>
      <c r="CL40" s="221"/>
      <c r="CM40" s="221"/>
      <c r="CN40" s="221"/>
      <c r="CO40" s="25"/>
      <c r="CP40" s="222"/>
      <c r="CQ40" s="221">
        <v>-340</v>
      </c>
      <c r="CR40" s="221">
        <v>-409</v>
      </c>
      <c r="CS40" s="221">
        <v>-337</v>
      </c>
      <c r="CT40" s="221">
        <f t="shared" si="206"/>
        <v>-322</v>
      </c>
      <c r="CU40" s="222">
        <v>-1408</v>
      </c>
      <c r="CV40" s="221">
        <v>83</v>
      </c>
      <c r="CW40" s="221">
        <v>80</v>
      </c>
      <c r="CX40" s="221">
        <v>76</v>
      </c>
      <c r="CY40" s="221">
        <f t="shared" si="207"/>
        <v>84</v>
      </c>
      <c r="CZ40" s="222">
        <v>323</v>
      </c>
      <c r="DA40" s="221">
        <v>304</v>
      </c>
      <c r="DB40" s="221">
        <v>318</v>
      </c>
      <c r="DC40" s="221">
        <v>313</v>
      </c>
      <c r="DD40" s="221">
        <f t="shared" si="208"/>
        <v>317</v>
      </c>
      <c r="DE40" s="222">
        <v>1252</v>
      </c>
      <c r="DF40" s="221">
        <v>286</v>
      </c>
      <c r="DG40" s="221">
        <v>161</v>
      </c>
      <c r="DH40" s="221">
        <v>164</v>
      </c>
      <c r="DI40" s="394">
        <v>168</v>
      </c>
      <c r="DJ40" s="222">
        <f t="shared" si="210"/>
        <v>779</v>
      </c>
      <c r="DK40" s="221">
        <v>159</v>
      </c>
      <c r="DL40" s="1089">
        <v>156</v>
      </c>
      <c r="DM40" s="905">
        <v>0</v>
      </c>
      <c r="DN40" s="905">
        <v>0</v>
      </c>
      <c r="DO40" s="222">
        <f t="shared" si="211"/>
        <v>315</v>
      </c>
      <c r="DP40" s="905">
        <v>0</v>
      </c>
      <c r="DQ40" s="905">
        <v>0</v>
      </c>
      <c r="DR40" s="905">
        <v>0</v>
      </c>
      <c r="DS40" s="905">
        <v>0</v>
      </c>
      <c r="DT40" s="222">
        <f t="shared" si="212"/>
        <v>0</v>
      </c>
      <c r="DU40" s="908">
        <v>0</v>
      </c>
      <c r="DV40" s="908">
        <v>0</v>
      </c>
    </row>
    <row r="41" spans="2:126" s="15" customFormat="1" hidden="1" outlineLevel="1">
      <c r="B41" s="301" t="s">
        <v>554</v>
      </c>
      <c r="C41" s="35"/>
      <c r="D41" s="35"/>
      <c r="E41" s="35"/>
      <c r="F41" s="35"/>
      <c r="G41" s="35"/>
      <c r="H41" s="35"/>
      <c r="I41" s="35"/>
      <c r="J41" s="25"/>
      <c r="K41" s="25"/>
      <c r="L41" s="25"/>
      <c r="M41" s="25"/>
      <c r="N41" s="35"/>
      <c r="O41" s="25"/>
      <c r="P41" s="25"/>
      <c r="Q41" s="25"/>
      <c r="R41" s="25"/>
      <c r="S41" s="35"/>
      <c r="T41" s="25"/>
      <c r="U41" s="25"/>
      <c r="V41" s="25"/>
      <c r="W41" s="25"/>
      <c r="X41" s="35"/>
      <c r="Y41" s="25"/>
      <c r="Z41" s="25"/>
      <c r="AA41" s="25"/>
      <c r="AB41" s="25"/>
      <c r="AC41" s="35"/>
      <c r="AD41" s="25"/>
      <c r="AE41" s="25"/>
      <c r="AF41" s="25"/>
      <c r="AG41" s="25"/>
      <c r="AH41" s="35"/>
      <c r="AI41" s="25"/>
      <c r="AJ41" s="25"/>
      <c r="AK41" s="25"/>
      <c r="AL41" s="25"/>
      <c r="AM41" s="35"/>
      <c r="AN41" s="23"/>
      <c r="AO41" s="25"/>
      <c r="AP41" s="25"/>
      <c r="AQ41" s="25"/>
      <c r="AR41" s="35"/>
      <c r="AS41" s="25"/>
      <c r="AT41" s="25"/>
      <c r="AU41" s="25"/>
      <c r="AV41" s="25"/>
      <c r="AW41" s="35"/>
      <c r="AX41" s="25"/>
      <c r="AY41" s="25"/>
      <c r="AZ41" s="25"/>
      <c r="BA41" s="25"/>
      <c r="BB41" s="35"/>
      <c r="BC41" s="23"/>
      <c r="BD41" s="25"/>
      <c r="BE41" s="25"/>
      <c r="BF41" s="25"/>
      <c r="BG41" s="24"/>
      <c r="BH41" s="25"/>
      <c r="BI41" s="25"/>
      <c r="BJ41" s="25"/>
      <c r="BK41" s="25"/>
      <c r="BL41" s="24"/>
      <c r="BM41" s="23"/>
      <c r="BN41" s="23"/>
      <c r="BO41" s="25"/>
      <c r="BP41" s="25"/>
      <c r="BQ41" s="24"/>
      <c r="BR41" s="23"/>
      <c r="BS41" s="25"/>
      <c r="BT41" s="25"/>
      <c r="BU41" s="25"/>
      <c r="BV41" s="24"/>
      <c r="BW41" s="25"/>
      <c r="BX41" s="25"/>
      <c r="BY41" s="25"/>
      <c r="BZ41" s="25"/>
      <c r="CA41" s="24"/>
      <c r="CB41" s="25"/>
      <c r="CC41" s="25"/>
      <c r="CD41" s="25"/>
      <c r="CE41" s="25"/>
      <c r="CF41" s="24"/>
      <c r="CG41" s="25"/>
      <c r="CH41" s="25"/>
      <c r="CI41" s="25"/>
      <c r="CJ41" s="25"/>
      <c r="CK41" s="24"/>
      <c r="CL41" s="221"/>
      <c r="CM41" s="221"/>
      <c r="CN41" s="221"/>
      <c r="CO41" s="25"/>
      <c r="CP41" s="222"/>
      <c r="CQ41" s="221">
        <v>2</v>
      </c>
      <c r="CR41" s="221">
        <v>-4</v>
      </c>
      <c r="CS41" s="221">
        <v>-126</v>
      </c>
      <c r="CT41" s="221">
        <f t="shared" si="206"/>
        <v>91</v>
      </c>
      <c r="CU41" s="222">
        <v>-37</v>
      </c>
      <c r="CV41" s="221">
        <v>3</v>
      </c>
      <c r="CW41" s="221">
        <v>19</v>
      </c>
      <c r="CX41" s="221">
        <v>61</v>
      </c>
      <c r="CY41" s="221">
        <f t="shared" si="207"/>
        <v>19</v>
      </c>
      <c r="CZ41" s="222">
        <v>102</v>
      </c>
      <c r="DA41" s="221">
        <v>-53</v>
      </c>
      <c r="DB41" s="221">
        <v>19</v>
      </c>
      <c r="DC41" s="221">
        <v>-1</v>
      </c>
      <c r="DD41" s="221">
        <f t="shared" si="208"/>
        <v>3</v>
      </c>
      <c r="DE41" s="222">
        <v>-32</v>
      </c>
      <c r="DF41" s="221">
        <v>12</v>
      </c>
      <c r="DG41" s="221">
        <v>8</v>
      </c>
      <c r="DH41" s="221">
        <v>346</v>
      </c>
      <c r="DI41" s="394">
        <v>25</v>
      </c>
      <c r="DJ41" s="222">
        <f t="shared" si="210"/>
        <v>391</v>
      </c>
      <c r="DK41" s="221">
        <v>8</v>
      </c>
      <c r="DL41" s="1089">
        <v>0</v>
      </c>
      <c r="DM41" s="905">
        <v>0</v>
      </c>
      <c r="DN41" s="905">
        <v>0</v>
      </c>
      <c r="DO41" s="222">
        <f t="shared" si="211"/>
        <v>8</v>
      </c>
      <c r="DP41" s="905">
        <v>0</v>
      </c>
      <c r="DQ41" s="905">
        <v>0</v>
      </c>
      <c r="DR41" s="905">
        <v>0</v>
      </c>
      <c r="DS41" s="905">
        <v>0</v>
      </c>
      <c r="DT41" s="222">
        <f t="shared" si="212"/>
        <v>0</v>
      </c>
      <c r="DU41" s="908">
        <v>0</v>
      </c>
      <c r="DV41" s="908">
        <v>0</v>
      </c>
    </row>
    <row r="42" spans="2:126" s="15" customFormat="1" hidden="1" outlineLevel="1">
      <c r="B42" s="301" t="s">
        <v>555</v>
      </c>
      <c r="C42" s="35"/>
      <c r="D42" s="35"/>
      <c r="E42" s="35"/>
      <c r="F42" s="35"/>
      <c r="G42" s="35"/>
      <c r="H42" s="35"/>
      <c r="I42" s="35"/>
      <c r="J42" s="25"/>
      <c r="K42" s="25"/>
      <c r="L42" s="25"/>
      <c r="M42" s="25"/>
      <c r="N42" s="35"/>
      <c r="O42" s="25"/>
      <c r="P42" s="25"/>
      <c r="Q42" s="25"/>
      <c r="R42" s="25"/>
      <c r="S42" s="35"/>
      <c r="T42" s="25"/>
      <c r="U42" s="25"/>
      <c r="V42" s="25"/>
      <c r="W42" s="25"/>
      <c r="X42" s="35"/>
      <c r="Y42" s="25"/>
      <c r="Z42" s="25"/>
      <c r="AA42" s="25"/>
      <c r="AB42" s="25"/>
      <c r="AC42" s="35"/>
      <c r="AD42" s="25"/>
      <c r="AE42" s="25"/>
      <c r="AF42" s="25"/>
      <c r="AG42" s="25"/>
      <c r="AH42" s="35"/>
      <c r="AI42" s="25"/>
      <c r="AJ42" s="25"/>
      <c r="AK42" s="25"/>
      <c r="AL42" s="25"/>
      <c r="AM42" s="35"/>
      <c r="AN42" s="23"/>
      <c r="AO42" s="25"/>
      <c r="AP42" s="25"/>
      <c r="AQ42" s="25"/>
      <c r="AR42" s="35"/>
      <c r="AS42" s="25"/>
      <c r="AT42" s="25"/>
      <c r="AU42" s="25"/>
      <c r="AV42" s="25"/>
      <c r="AW42" s="35"/>
      <c r="AX42" s="25"/>
      <c r="AY42" s="25"/>
      <c r="AZ42" s="25"/>
      <c r="BA42" s="25"/>
      <c r="BB42" s="35"/>
      <c r="BC42" s="23"/>
      <c r="BD42" s="25"/>
      <c r="BE42" s="25"/>
      <c r="BF42" s="25"/>
      <c r="BG42" s="24"/>
      <c r="BH42" s="25"/>
      <c r="BI42" s="25"/>
      <c r="BJ42" s="25"/>
      <c r="BK42" s="25"/>
      <c r="BL42" s="24"/>
      <c r="BM42" s="23"/>
      <c r="BN42" s="23"/>
      <c r="BO42" s="25"/>
      <c r="BP42" s="25"/>
      <c r="BQ42" s="24"/>
      <c r="BR42" s="23"/>
      <c r="BS42" s="25"/>
      <c r="BT42" s="25"/>
      <c r="BU42" s="25"/>
      <c r="BV42" s="24"/>
      <c r="BW42" s="25"/>
      <c r="BX42" s="25"/>
      <c r="BY42" s="25"/>
      <c r="BZ42" s="25"/>
      <c r="CA42" s="24"/>
      <c r="CB42" s="25"/>
      <c r="CC42" s="25"/>
      <c r="CD42" s="25"/>
      <c r="CE42" s="25"/>
      <c r="CF42" s="24"/>
      <c r="CG42" s="25"/>
      <c r="CH42" s="25"/>
      <c r="CI42" s="25"/>
      <c r="CJ42" s="25"/>
      <c r="CK42" s="24"/>
      <c r="CL42" s="221"/>
      <c r="CM42" s="221"/>
      <c r="CN42" s="221"/>
      <c r="CO42" s="25"/>
      <c r="CP42" s="222"/>
      <c r="CQ42" s="221">
        <v>229</v>
      </c>
      <c r="CR42" s="221">
        <v>692</v>
      </c>
      <c r="CS42" s="221">
        <v>490</v>
      </c>
      <c r="CT42" s="221">
        <f t="shared" si="206"/>
        <v>638</v>
      </c>
      <c r="CU42" s="222">
        <v>2049</v>
      </c>
      <c r="CV42" s="221">
        <v>-239</v>
      </c>
      <c r="CW42" s="221">
        <v>-1537</v>
      </c>
      <c r="CX42" s="221">
        <v>-98</v>
      </c>
      <c r="CY42" s="221">
        <f t="shared" si="207"/>
        <v>1932</v>
      </c>
      <c r="CZ42" s="222">
        <v>58</v>
      </c>
      <c r="DA42" s="221">
        <v>5906</v>
      </c>
      <c r="DB42" s="221">
        <v>357</v>
      </c>
      <c r="DC42" s="221">
        <v>-1110</v>
      </c>
      <c r="DD42" s="221">
        <f t="shared" si="208"/>
        <v>621</v>
      </c>
      <c r="DE42" s="222">
        <v>5774</v>
      </c>
      <c r="DF42" s="221">
        <v>633</v>
      </c>
      <c r="DG42" s="221">
        <v>-393</v>
      </c>
      <c r="DH42" s="221">
        <v>357</v>
      </c>
      <c r="DI42" s="394">
        <v>-68</v>
      </c>
      <c r="DJ42" s="222">
        <f t="shared" si="210"/>
        <v>529</v>
      </c>
      <c r="DK42" s="221">
        <v>0</v>
      </c>
      <c r="DL42" s="1089">
        <v>3</v>
      </c>
      <c r="DM42" s="905">
        <v>0</v>
      </c>
      <c r="DN42" s="905">
        <v>0</v>
      </c>
      <c r="DO42" s="222">
        <f t="shared" si="211"/>
        <v>3</v>
      </c>
      <c r="DP42" s="905">
        <v>0</v>
      </c>
      <c r="DQ42" s="905">
        <v>0</v>
      </c>
      <c r="DR42" s="905">
        <v>0</v>
      </c>
      <c r="DS42" s="905">
        <v>0</v>
      </c>
      <c r="DT42" s="222">
        <f t="shared" si="212"/>
        <v>0</v>
      </c>
      <c r="DU42" s="908">
        <v>0</v>
      </c>
      <c r="DV42" s="908">
        <v>0</v>
      </c>
    </row>
    <row r="43" spans="2:126" s="15" customFormat="1" hidden="1" outlineLevel="1">
      <c r="B43" s="301" t="s">
        <v>556</v>
      </c>
      <c r="C43" s="35"/>
      <c r="D43" s="35"/>
      <c r="E43" s="35"/>
      <c r="F43" s="35"/>
      <c r="G43" s="35"/>
      <c r="H43" s="35"/>
      <c r="I43" s="35"/>
      <c r="J43" s="25"/>
      <c r="K43" s="25"/>
      <c r="L43" s="25"/>
      <c r="M43" s="25"/>
      <c r="N43" s="35"/>
      <c r="O43" s="25"/>
      <c r="P43" s="25"/>
      <c r="Q43" s="25"/>
      <c r="R43" s="25"/>
      <c r="S43" s="35"/>
      <c r="T43" s="25"/>
      <c r="U43" s="25"/>
      <c r="V43" s="25"/>
      <c r="W43" s="25"/>
      <c r="X43" s="35"/>
      <c r="Y43" s="25"/>
      <c r="Z43" s="25"/>
      <c r="AA43" s="25"/>
      <c r="AB43" s="25"/>
      <c r="AC43" s="35"/>
      <c r="AD43" s="25"/>
      <c r="AE43" s="25"/>
      <c r="AF43" s="25"/>
      <c r="AG43" s="25"/>
      <c r="AH43" s="35"/>
      <c r="AI43" s="25"/>
      <c r="AJ43" s="25"/>
      <c r="AK43" s="25"/>
      <c r="AL43" s="25"/>
      <c r="AM43" s="35"/>
      <c r="AN43" s="23"/>
      <c r="AO43" s="25"/>
      <c r="AP43" s="25"/>
      <c r="AQ43" s="25"/>
      <c r="AR43" s="35"/>
      <c r="AS43" s="25"/>
      <c r="AT43" s="25"/>
      <c r="AU43" s="25"/>
      <c r="AV43" s="25"/>
      <c r="AW43" s="35"/>
      <c r="AX43" s="25"/>
      <c r="AY43" s="25"/>
      <c r="AZ43" s="25"/>
      <c r="BA43" s="25"/>
      <c r="BB43" s="35"/>
      <c r="BC43" s="23"/>
      <c r="BD43" s="25"/>
      <c r="BE43" s="25"/>
      <c r="BF43" s="25"/>
      <c r="BG43" s="24"/>
      <c r="BH43" s="25"/>
      <c r="BI43" s="25"/>
      <c r="BJ43" s="25"/>
      <c r="BK43" s="25"/>
      <c r="BL43" s="24"/>
      <c r="BM43" s="23"/>
      <c r="BN43" s="23"/>
      <c r="BO43" s="25"/>
      <c r="BP43" s="25"/>
      <c r="BQ43" s="24"/>
      <c r="BR43" s="23"/>
      <c r="BS43" s="25"/>
      <c r="BT43" s="25"/>
      <c r="BU43" s="25"/>
      <c r="BV43" s="24"/>
      <c r="BW43" s="25"/>
      <c r="BX43" s="25"/>
      <c r="BY43" s="25"/>
      <c r="BZ43" s="25"/>
      <c r="CA43" s="24"/>
      <c r="CB43" s="25"/>
      <c r="CC43" s="25"/>
      <c r="CD43" s="25"/>
      <c r="CE43" s="25"/>
      <c r="CF43" s="24"/>
      <c r="CG43" s="25"/>
      <c r="CH43" s="25"/>
      <c r="CI43" s="25"/>
      <c r="CJ43" s="25"/>
      <c r="CK43" s="24"/>
      <c r="CL43" s="221"/>
      <c r="CM43" s="221"/>
      <c r="CN43" s="221"/>
      <c r="CO43" s="25"/>
      <c r="CP43" s="222"/>
      <c r="CQ43" s="221">
        <v>-84</v>
      </c>
      <c r="CR43" s="221">
        <v>-218</v>
      </c>
      <c r="CS43" s="221">
        <v>-57</v>
      </c>
      <c r="CT43" s="221">
        <f t="shared" si="206"/>
        <v>13</v>
      </c>
      <c r="CU43" s="222">
        <v>-346</v>
      </c>
      <c r="CV43" s="221">
        <v>-27</v>
      </c>
      <c r="CW43" s="221">
        <v>-28</v>
      </c>
      <c r="CX43" s="221">
        <v>-81</v>
      </c>
      <c r="CY43" s="221">
        <f t="shared" si="207"/>
        <v>-494</v>
      </c>
      <c r="CZ43" s="222">
        <v>-630</v>
      </c>
      <c r="DA43" s="221">
        <v>-119</v>
      </c>
      <c r="DB43" s="221">
        <v>-109</v>
      </c>
      <c r="DC43" s="221">
        <v>-118</v>
      </c>
      <c r="DD43" s="221">
        <f t="shared" si="208"/>
        <v>-190</v>
      </c>
      <c r="DE43" s="222">
        <v>-536</v>
      </c>
      <c r="DF43" s="221">
        <v>-172</v>
      </c>
      <c r="DG43" s="221">
        <v>-61</v>
      </c>
      <c r="DH43" s="221">
        <v>-298</v>
      </c>
      <c r="DI43" s="394">
        <v>0</v>
      </c>
      <c r="DJ43" s="222">
        <f t="shared" si="210"/>
        <v>-531</v>
      </c>
      <c r="DK43" s="221">
        <v>-1</v>
      </c>
      <c r="DL43" s="1089">
        <v>-21</v>
      </c>
      <c r="DM43" s="905">
        <v>-10</v>
      </c>
      <c r="DN43" s="905">
        <v>-10</v>
      </c>
      <c r="DO43" s="222">
        <f t="shared" si="211"/>
        <v>-42</v>
      </c>
      <c r="DP43" s="905">
        <v>-10</v>
      </c>
      <c r="DQ43" s="905">
        <v>-10</v>
      </c>
      <c r="DR43" s="905">
        <v>-10</v>
      </c>
      <c r="DS43" s="905">
        <v>-10</v>
      </c>
      <c r="DT43" s="222">
        <f t="shared" si="212"/>
        <v>-40</v>
      </c>
      <c r="DU43" s="908">
        <v>0</v>
      </c>
      <c r="DV43" s="908">
        <v>0</v>
      </c>
    </row>
    <row r="44" spans="2:126" s="15" customFormat="1" hidden="1" outlineLevel="1">
      <c r="B44" s="301" t="s">
        <v>550</v>
      </c>
      <c r="C44" s="35"/>
      <c r="D44" s="35"/>
      <c r="E44" s="35"/>
      <c r="F44" s="35"/>
      <c r="G44" s="35"/>
      <c r="H44" s="35"/>
      <c r="I44" s="35"/>
      <c r="J44" s="25"/>
      <c r="K44" s="25"/>
      <c r="L44" s="25"/>
      <c r="M44" s="25"/>
      <c r="N44" s="35"/>
      <c r="O44" s="25"/>
      <c r="P44" s="25"/>
      <c r="Q44" s="25"/>
      <c r="R44" s="25"/>
      <c r="S44" s="35"/>
      <c r="T44" s="25"/>
      <c r="U44" s="25"/>
      <c r="V44" s="25"/>
      <c r="W44" s="25"/>
      <c r="X44" s="35"/>
      <c r="Y44" s="25"/>
      <c r="Z44" s="25"/>
      <c r="AA44" s="25"/>
      <c r="AB44" s="25"/>
      <c r="AC44" s="35"/>
      <c r="AD44" s="25"/>
      <c r="AE44" s="25"/>
      <c r="AF44" s="25"/>
      <c r="AG44" s="25"/>
      <c r="AH44" s="35"/>
      <c r="AI44" s="25"/>
      <c r="AJ44" s="25"/>
      <c r="AK44" s="25"/>
      <c r="AL44" s="25"/>
      <c r="AM44" s="35"/>
      <c r="AN44" s="23"/>
      <c r="AO44" s="25"/>
      <c r="AP44" s="25"/>
      <c r="AQ44" s="25"/>
      <c r="AR44" s="35"/>
      <c r="AS44" s="25"/>
      <c r="AT44" s="25"/>
      <c r="AU44" s="25"/>
      <c r="AV44" s="25"/>
      <c r="AW44" s="35"/>
      <c r="AX44" s="25"/>
      <c r="AY44" s="25"/>
      <c r="AZ44" s="25"/>
      <c r="BA44" s="25"/>
      <c r="BB44" s="35"/>
      <c r="BC44" s="23"/>
      <c r="BD44" s="25"/>
      <c r="BE44" s="25"/>
      <c r="BF44" s="25"/>
      <c r="BG44" s="24"/>
      <c r="BH44" s="25"/>
      <c r="BI44" s="25"/>
      <c r="BJ44" s="25"/>
      <c r="BK44" s="25"/>
      <c r="BL44" s="24"/>
      <c r="BM44" s="23"/>
      <c r="BN44" s="23"/>
      <c r="BO44" s="25"/>
      <c r="BP44" s="25"/>
      <c r="BQ44" s="24"/>
      <c r="BR44" s="23"/>
      <c r="BS44" s="25"/>
      <c r="BT44" s="25"/>
      <c r="BU44" s="25"/>
      <c r="BV44" s="24"/>
      <c r="BW44" s="25"/>
      <c r="BX44" s="25"/>
      <c r="BY44" s="25"/>
      <c r="BZ44" s="25"/>
      <c r="CA44" s="24"/>
      <c r="CB44" s="25"/>
      <c r="CC44" s="25"/>
      <c r="CD44" s="25"/>
      <c r="CE44" s="25"/>
      <c r="CF44" s="24"/>
      <c r="CG44" s="25"/>
      <c r="CH44" s="25"/>
      <c r="CI44" s="25"/>
      <c r="CJ44" s="25"/>
      <c r="CK44" s="24"/>
      <c r="CL44" s="221"/>
      <c r="CM44" s="221"/>
      <c r="CN44" s="221"/>
      <c r="CO44" s="25"/>
      <c r="CP44" s="222"/>
      <c r="CQ44" s="221">
        <v>0</v>
      </c>
      <c r="CR44" s="221">
        <v>0</v>
      </c>
      <c r="CS44" s="221">
        <v>0</v>
      </c>
      <c r="CT44" s="221">
        <f t="shared" si="206"/>
        <v>0</v>
      </c>
      <c r="CU44" s="222">
        <v>0</v>
      </c>
      <c r="CV44" s="221">
        <v>-123</v>
      </c>
      <c r="CW44" s="221">
        <v>-132</v>
      </c>
      <c r="CX44" s="221">
        <v>-132</v>
      </c>
      <c r="CY44" s="221">
        <f t="shared" si="207"/>
        <v>-305</v>
      </c>
      <c r="CZ44" s="222">
        <v>-692</v>
      </c>
      <c r="DA44" s="221">
        <v>-261</v>
      </c>
      <c r="DB44" s="221">
        <v>-192</v>
      </c>
      <c r="DC44" s="221">
        <v>51</v>
      </c>
      <c r="DD44" s="221">
        <f t="shared" si="208"/>
        <v>-379</v>
      </c>
      <c r="DE44" s="222">
        <v>-781</v>
      </c>
      <c r="DF44" s="221">
        <v>-301</v>
      </c>
      <c r="DG44" s="221">
        <v>141</v>
      </c>
      <c r="DH44" s="221">
        <v>-13</v>
      </c>
      <c r="DI44" s="394">
        <v>-46</v>
      </c>
      <c r="DJ44" s="222">
        <f t="shared" si="210"/>
        <v>-219</v>
      </c>
      <c r="DK44" s="221">
        <v>-51</v>
      </c>
      <c r="DL44" s="1089">
        <v>-37</v>
      </c>
      <c r="DM44" s="905">
        <v>-20</v>
      </c>
      <c r="DN44" s="905">
        <v>-20</v>
      </c>
      <c r="DO44" s="222">
        <f t="shared" si="211"/>
        <v>-128</v>
      </c>
      <c r="DP44" s="905">
        <v>-20</v>
      </c>
      <c r="DQ44" s="905">
        <v>-20</v>
      </c>
      <c r="DR44" s="905">
        <v>-20</v>
      </c>
      <c r="DS44" s="905">
        <v>-20</v>
      </c>
      <c r="DT44" s="222">
        <f t="shared" si="212"/>
        <v>-80</v>
      </c>
      <c r="DU44" s="908">
        <v>0</v>
      </c>
      <c r="DV44" s="908">
        <v>0</v>
      </c>
    </row>
    <row r="45" spans="2:126" s="15" customFormat="1" hidden="1" outlineLevel="1">
      <c r="B45" s="313" t="s">
        <v>646</v>
      </c>
      <c r="C45" s="35"/>
      <c r="D45" s="35"/>
      <c r="E45" s="35"/>
      <c r="F45" s="35"/>
      <c r="G45" s="35"/>
      <c r="H45" s="35"/>
      <c r="I45" s="35"/>
      <c r="J45" s="25"/>
      <c r="K45" s="25"/>
      <c r="L45" s="25"/>
      <c r="M45" s="25"/>
      <c r="N45" s="35"/>
      <c r="O45" s="25"/>
      <c r="P45" s="25"/>
      <c r="Q45" s="25"/>
      <c r="R45" s="25"/>
      <c r="S45" s="35"/>
      <c r="T45" s="25"/>
      <c r="U45" s="25"/>
      <c r="V45" s="25"/>
      <c r="W45" s="25"/>
      <c r="X45" s="35"/>
      <c r="Y45" s="25"/>
      <c r="Z45" s="25"/>
      <c r="AA45" s="25"/>
      <c r="AB45" s="25"/>
      <c r="AC45" s="35"/>
      <c r="AD45" s="25"/>
      <c r="AE45" s="25"/>
      <c r="AF45" s="25"/>
      <c r="AG45" s="25"/>
      <c r="AH45" s="35"/>
      <c r="AI45" s="25"/>
      <c r="AJ45" s="25"/>
      <c r="AK45" s="25"/>
      <c r="AL45" s="25"/>
      <c r="AM45" s="35"/>
      <c r="AN45" s="23"/>
      <c r="AO45" s="25"/>
      <c r="AP45" s="25"/>
      <c r="AQ45" s="25"/>
      <c r="AR45" s="35"/>
      <c r="AS45" s="25"/>
      <c r="AT45" s="25"/>
      <c r="AU45" s="25"/>
      <c r="AV45" s="25"/>
      <c r="AW45" s="35"/>
      <c r="AX45" s="25"/>
      <c r="AY45" s="25"/>
      <c r="AZ45" s="25"/>
      <c r="BA45" s="25"/>
      <c r="BB45" s="35"/>
      <c r="BC45" s="23"/>
      <c r="BD45" s="25"/>
      <c r="BE45" s="25"/>
      <c r="BF45" s="25"/>
      <c r="BG45" s="24"/>
      <c r="BH45" s="25"/>
      <c r="BI45" s="25"/>
      <c r="BJ45" s="25"/>
      <c r="BK45" s="25"/>
      <c r="BL45" s="24"/>
      <c r="BM45" s="23"/>
      <c r="BN45" s="23"/>
      <c r="BO45" s="25"/>
      <c r="BP45" s="25"/>
      <c r="BQ45" s="24"/>
      <c r="BR45" s="23"/>
      <c r="BS45" s="25"/>
      <c r="BT45" s="25"/>
      <c r="BU45" s="25"/>
      <c r="BV45" s="24"/>
      <c r="BW45" s="25"/>
      <c r="BX45" s="25"/>
      <c r="BY45" s="25"/>
      <c r="BZ45" s="25"/>
      <c r="CA45" s="24"/>
      <c r="CB45" s="25"/>
      <c r="CC45" s="25"/>
      <c r="CD45" s="25"/>
      <c r="CE45" s="25"/>
      <c r="CF45" s="24"/>
      <c r="CG45" s="25"/>
      <c r="CH45" s="25"/>
      <c r="CI45" s="25"/>
      <c r="CJ45" s="25"/>
      <c r="CK45" s="24"/>
      <c r="CL45" s="221"/>
      <c r="CM45" s="221"/>
      <c r="CN45" s="221"/>
      <c r="CO45" s="25"/>
      <c r="CP45" s="222"/>
      <c r="CQ45" s="221">
        <v>0</v>
      </c>
      <c r="CR45" s="221">
        <v>0</v>
      </c>
      <c r="CS45" s="221">
        <v>0</v>
      </c>
      <c r="CT45" s="221">
        <f t="shared" si="206"/>
        <v>0</v>
      </c>
      <c r="CU45" s="222">
        <v>0</v>
      </c>
      <c r="CV45" s="221">
        <f>-740</f>
        <v>-740</v>
      </c>
      <c r="CW45" s="221">
        <v>-1</v>
      </c>
      <c r="CX45" s="221">
        <v>0</v>
      </c>
      <c r="CY45" s="221">
        <f t="shared" si="207"/>
        <v>1</v>
      </c>
      <c r="CZ45" s="222">
        <v>-740</v>
      </c>
      <c r="DA45" s="221">
        <v>0</v>
      </c>
      <c r="DB45" s="221">
        <v>0</v>
      </c>
      <c r="DC45" s="221">
        <v>0</v>
      </c>
      <c r="DD45" s="221">
        <f t="shared" si="208"/>
        <v>0</v>
      </c>
      <c r="DE45" s="222">
        <v>0</v>
      </c>
      <c r="DF45" s="221">
        <v>0</v>
      </c>
      <c r="DG45" s="221">
        <v>0</v>
      </c>
      <c r="DH45" s="221">
        <v>-251</v>
      </c>
      <c r="DI45" s="394">
        <v>3</v>
      </c>
      <c r="DJ45" s="222">
        <f t="shared" si="210"/>
        <v>-248</v>
      </c>
      <c r="DK45" s="221">
        <v>0</v>
      </c>
      <c r="DL45" s="1089">
        <v>0</v>
      </c>
      <c r="DM45" s="905">
        <v>0</v>
      </c>
      <c r="DN45" s="905">
        <v>0</v>
      </c>
      <c r="DO45" s="222">
        <f t="shared" si="211"/>
        <v>0</v>
      </c>
      <c r="DP45" s="905">
        <v>0</v>
      </c>
      <c r="DQ45" s="905">
        <v>0</v>
      </c>
      <c r="DR45" s="905">
        <v>0</v>
      </c>
      <c r="DS45" s="905">
        <v>0</v>
      </c>
      <c r="DT45" s="222">
        <f t="shared" si="212"/>
        <v>0</v>
      </c>
      <c r="DU45" s="908">
        <v>0</v>
      </c>
      <c r="DV45" s="908">
        <v>0</v>
      </c>
    </row>
    <row r="46" spans="2:126" s="15" customFormat="1" hidden="1" outlineLevel="1">
      <c r="B46" s="313" t="s">
        <v>65</v>
      </c>
      <c r="C46" s="35"/>
      <c r="D46" s="35"/>
      <c r="E46" s="35"/>
      <c r="F46" s="35"/>
      <c r="G46" s="35"/>
      <c r="H46" s="35"/>
      <c r="I46" s="35"/>
      <c r="J46" s="25"/>
      <c r="K46" s="25"/>
      <c r="L46" s="25"/>
      <c r="M46" s="25"/>
      <c r="N46" s="35"/>
      <c r="O46" s="25"/>
      <c r="P46" s="25"/>
      <c r="Q46" s="25"/>
      <c r="R46" s="25"/>
      <c r="S46" s="35"/>
      <c r="T46" s="25"/>
      <c r="U46" s="25"/>
      <c r="V46" s="25"/>
      <c r="W46" s="25"/>
      <c r="X46" s="35"/>
      <c r="Y46" s="25"/>
      <c r="Z46" s="25"/>
      <c r="AA46" s="25"/>
      <c r="AB46" s="25"/>
      <c r="AC46" s="35"/>
      <c r="AD46" s="25"/>
      <c r="AE46" s="25"/>
      <c r="AF46" s="25"/>
      <c r="AG46" s="25"/>
      <c r="AH46" s="35"/>
      <c r="AI46" s="25"/>
      <c r="AJ46" s="25"/>
      <c r="AK46" s="25"/>
      <c r="AL46" s="25"/>
      <c r="AM46" s="35"/>
      <c r="AN46" s="23"/>
      <c r="AO46" s="25"/>
      <c r="AP46" s="25"/>
      <c r="AQ46" s="25"/>
      <c r="AR46" s="35"/>
      <c r="AS46" s="25"/>
      <c r="AT46" s="25"/>
      <c r="AU46" s="25"/>
      <c r="AV46" s="25"/>
      <c r="AW46" s="35"/>
      <c r="AX46" s="25"/>
      <c r="AY46" s="25"/>
      <c r="AZ46" s="25"/>
      <c r="BA46" s="25"/>
      <c r="BB46" s="35"/>
      <c r="BC46" s="23"/>
      <c r="BD46" s="25"/>
      <c r="BE46" s="25"/>
      <c r="BF46" s="25"/>
      <c r="BG46" s="24"/>
      <c r="BH46" s="25"/>
      <c r="BI46" s="25"/>
      <c r="BJ46" s="25"/>
      <c r="BK46" s="25"/>
      <c r="BL46" s="24"/>
      <c r="BM46" s="23"/>
      <c r="BN46" s="23"/>
      <c r="BO46" s="25"/>
      <c r="BP46" s="25"/>
      <c r="BQ46" s="24"/>
      <c r="BR46" s="23"/>
      <c r="BS46" s="25"/>
      <c r="BT46" s="25"/>
      <c r="BU46" s="25"/>
      <c r="BV46" s="24"/>
      <c r="BW46" s="25"/>
      <c r="BX46" s="25"/>
      <c r="BY46" s="25"/>
      <c r="BZ46" s="25"/>
      <c r="CA46" s="24"/>
      <c r="CB46" s="25"/>
      <c r="CC46" s="25"/>
      <c r="CD46" s="25"/>
      <c r="CE46" s="25"/>
      <c r="CF46" s="24"/>
      <c r="CG46" s="25"/>
      <c r="CH46" s="25"/>
      <c r="CI46" s="25"/>
      <c r="CJ46" s="25"/>
      <c r="CK46" s="24"/>
      <c r="CL46" s="221">
        <f>CL38-CL47</f>
        <v>5983</v>
      </c>
      <c r="CM46" s="221">
        <f t="shared" ref="CM46:CP46" si="213">CM38-CM47</f>
        <v>33</v>
      </c>
      <c r="CN46" s="221">
        <f t="shared" si="213"/>
        <v>-1550</v>
      </c>
      <c r="CO46" s="221">
        <f t="shared" si="213"/>
        <v>1756</v>
      </c>
      <c r="CP46" s="222">
        <f t="shared" si="213"/>
        <v>6222</v>
      </c>
      <c r="CQ46" s="221">
        <f>2-44</f>
        <v>-42</v>
      </c>
      <c r="CR46" s="221">
        <f>-1119-2+8</f>
        <v>-1113</v>
      </c>
      <c r="CS46" s="221">
        <v>-9</v>
      </c>
      <c r="CT46" s="221">
        <f t="shared" si="206"/>
        <v>-4985</v>
      </c>
      <c r="CU46" s="222">
        <f>-6094-9+8-54</f>
        <v>-6149</v>
      </c>
      <c r="CV46" s="221">
        <f>-215</f>
        <v>-215</v>
      </c>
      <c r="CW46" s="221">
        <v>-37</v>
      </c>
      <c r="CX46" s="221">
        <v>-33</v>
      </c>
      <c r="CY46" s="221">
        <f t="shared" si="207"/>
        <v>-230</v>
      </c>
      <c r="CZ46" s="222">
        <f>-397-248+4+126</f>
        <v>-515</v>
      </c>
      <c r="DA46" s="221">
        <v>-25</v>
      </c>
      <c r="DB46" s="221">
        <v>-250</v>
      </c>
      <c r="DC46" s="221">
        <v>-130</v>
      </c>
      <c r="DD46" s="221">
        <v>430</v>
      </c>
      <c r="DE46" s="222">
        <f>SUM(DA46:DD46)</f>
        <v>25</v>
      </c>
      <c r="DF46" s="221">
        <v>1</v>
      </c>
      <c r="DG46" s="221">
        <v>9</v>
      </c>
      <c r="DH46" s="221">
        <v>11</v>
      </c>
      <c r="DI46" s="394">
        <v>9</v>
      </c>
      <c r="DJ46" s="222">
        <f t="shared" si="210"/>
        <v>30</v>
      </c>
      <c r="DK46" s="221">
        <v>15</v>
      </c>
      <c r="DL46" s="1089">
        <f>12-8</f>
        <v>4</v>
      </c>
      <c r="DM46" s="905">
        <v>0</v>
      </c>
      <c r="DN46" s="905">
        <v>0</v>
      </c>
      <c r="DO46" s="222">
        <f t="shared" si="211"/>
        <v>19</v>
      </c>
      <c r="DP46" s="905">
        <v>0</v>
      </c>
      <c r="DQ46" s="905">
        <v>0</v>
      </c>
      <c r="DR46" s="905">
        <v>0</v>
      </c>
      <c r="DS46" s="905">
        <v>0</v>
      </c>
      <c r="DT46" s="222">
        <f t="shared" si="212"/>
        <v>0</v>
      </c>
      <c r="DU46" s="908">
        <v>0</v>
      </c>
      <c r="DV46" s="908">
        <v>0</v>
      </c>
    </row>
    <row r="47" spans="2:126" s="15" customFormat="1" hidden="1" outlineLevel="1">
      <c r="B47" s="313" t="s">
        <v>548</v>
      </c>
      <c r="C47" s="35"/>
      <c r="D47" s="35"/>
      <c r="E47" s="35"/>
      <c r="F47" s="35"/>
      <c r="G47" s="35"/>
      <c r="H47" s="35"/>
      <c r="I47" s="35"/>
      <c r="J47" s="25"/>
      <c r="K47" s="25"/>
      <c r="L47" s="25"/>
      <c r="M47" s="25"/>
      <c r="N47" s="35"/>
      <c r="O47" s="25"/>
      <c r="P47" s="25"/>
      <c r="Q47" s="25"/>
      <c r="R47" s="25"/>
      <c r="S47" s="35"/>
      <c r="T47" s="25"/>
      <c r="U47" s="25"/>
      <c r="V47" s="25"/>
      <c r="W47" s="25"/>
      <c r="X47" s="35"/>
      <c r="Y47" s="25"/>
      <c r="Z47" s="25"/>
      <c r="AA47" s="25"/>
      <c r="AB47" s="25"/>
      <c r="AC47" s="35"/>
      <c r="AD47" s="25"/>
      <c r="AE47" s="25"/>
      <c r="AF47" s="25"/>
      <c r="AG47" s="25"/>
      <c r="AH47" s="35"/>
      <c r="AI47" s="25"/>
      <c r="AJ47" s="25"/>
      <c r="AK47" s="25"/>
      <c r="AL47" s="25"/>
      <c r="AM47" s="35"/>
      <c r="AN47" s="23"/>
      <c r="AO47" s="25"/>
      <c r="AP47" s="25"/>
      <c r="AQ47" s="25"/>
      <c r="AR47" s="35"/>
      <c r="AS47" s="25"/>
      <c r="AT47" s="25"/>
      <c r="AU47" s="25"/>
      <c r="AV47" s="25"/>
      <c r="AW47" s="35"/>
      <c r="AX47" s="25"/>
      <c r="AY47" s="25"/>
      <c r="AZ47" s="25"/>
      <c r="BA47" s="25"/>
      <c r="BB47" s="35"/>
      <c r="BC47" s="23"/>
      <c r="BD47" s="25"/>
      <c r="BE47" s="25"/>
      <c r="BF47" s="25"/>
      <c r="BG47" s="24"/>
      <c r="BH47" s="25"/>
      <c r="BI47" s="25"/>
      <c r="BJ47" s="25"/>
      <c r="BK47" s="25"/>
      <c r="BL47" s="24"/>
      <c r="BM47" s="23"/>
      <c r="BN47" s="23"/>
      <c r="BO47" s="25"/>
      <c r="BP47" s="25"/>
      <c r="BQ47" s="24"/>
      <c r="BR47" s="23"/>
      <c r="BS47" s="25"/>
      <c r="BT47" s="25"/>
      <c r="BU47" s="25"/>
      <c r="BV47" s="24"/>
      <c r="BW47" s="25"/>
      <c r="BX47" s="25"/>
      <c r="BY47" s="25"/>
      <c r="BZ47" s="25"/>
      <c r="CA47" s="24"/>
      <c r="CB47" s="25"/>
      <c r="CC47" s="25"/>
      <c r="CD47" s="25"/>
      <c r="CE47" s="25"/>
      <c r="CF47" s="24"/>
      <c r="CG47" s="25"/>
      <c r="CH47" s="25"/>
      <c r="CI47" s="25"/>
      <c r="CJ47" s="25"/>
      <c r="CK47" s="24"/>
      <c r="CL47" s="221">
        <v>194</v>
      </c>
      <c r="CM47" s="221">
        <v>-1219</v>
      </c>
      <c r="CN47" s="221">
        <v>419</v>
      </c>
      <c r="CO47" s="221">
        <f>CP47-SUM(CL47:CN47)</f>
        <v>525</v>
      </c>
      <c r="CP47" s="222">
        <f>-(81)</f>
        <v>-81</v>
      </c>
      <c r="CQ47" s="221">
        <f>CQ38-(SUM(CQ39:CQ46))</f>
        <v>143</v>
      </c>
      <c r="CR47" s="221">
        <f t="shared" ref="CR47:CS47" si="214">CR38-(SUM(CR39:CR46))</f>
        <v>247</v>
      </c>
      <c r="CS47" s="221">
        <f t="shared" si="214"/>
        <v>600</v>
      </c>
      <c r="CT47" s="221">
        <f t="shared" ref="CT47:DE47" si="215">CT38-(SUM(CT39:CT46))</f>
        <v>895</v>
      </c>
      <c r="CU47" s="222">
        <f t="shared" si="215"/>
        <v>1885</v>
      </c>
      <c r="CV47" s="221">
        <f t="shared" si="215"/>
        <v>-102</v>
      </c>
      <c r="CW47" s="221">
        <f t="shared" si="215"/>
        <v>391</v>
      </c>
      <c r="CX47" s="221">
        <f t="shared" si="215"/>
        <v>-185</v>
      </c>
      <c r="CY47" s="221">
        <f t="shared" si="215"/>
        <v>729</v>
      </c>
      <c r="CZ47" s="222">
        <f t="shared" si="215"/>
        <v>833</v>
      </c>
      <c r="DA47" s="221">
        <f t="shared" si="215"/>
        <v>296</v>
      </c>
      <c r="DB47" s="221">
        <f t="shared" si="215"/>
        <v>801</v>
      </c>
      <c r="DC47" s="221">
        <f t="shared" si="215"/>
        <v>1003</v>
      </c>
      <c r="DD47" s="221">
        <f t="shared" si="215"/>
        <v>710</v>
      </c>
      <c r="DE47" s="222">
        <f t="shared" si="215"/>
        <v>2810</v>
      </c>
      <c r="DF47" s="221">
        <f t="shared" ref="DF47" si="216">DF38-(SUM(DF39:DF46))</f>
        <v>906</v>
      </c>
      <c r="DG47" s="221">
        <f t="shared" ref="DG47:DH47" si="217">DG38-(SUM(DG39:DG46))</f>
        <v>1321</v>
      </c>
      <c r="DH47" s="221">
        <f t="shared" si="217"/>
        <v>1254</v>
      </c>
      <c r="DI47" s="394">
        <f t="shared" ref="DI47" si="218">DI38-(SUM(DI39:DI46))</f>
        <v>1435</v>
      </c>
      <c r="DJ47" s="222">
        <f>SUM(DF47:DI47)</f>
        <v>4916</v>
      </c>
      <c r="DK47" s="221">
        <f t="shared" ref="DK47" si="219">DK38-(SUM(DK39:DK46))</f>
        <v>1601</v>
      </c>
      <c r="DL47" s="221">
        <f t="shared" ref="DL47" si="220">DL38-(SUM(DL39:DL46))</f>
        <v>1777</v>
      </c>
      <c r="DM47" s="221">
        <f t="shared" ref="DM47" si="221">DM38-(SUM(DM39:DM46))</f>
        <v>1524.8795704251631</v>
      </c>
      <c r="DN47" s="221">
        <f t="shared" ref="DN47" si="222">DN38-(SUM(DN39:DN46))</f>
        <v>1443.8154650503259</v>
      </c>
      <c r="DO47" s="222">
        <f>SUM(DK47:DN47)</f>
        <v>6346.695035475489</v>
      </c>
      <c r="DP47" s="221">
        <f t="shared" ref="DP47" si="223">DP38-(SUM(DP39:DP46))</f>
        <v>1730.6078347822026</v>
      </c>
      <c r="DQ47" s="221">
        <f t="shared" ref="DQ47:DS47" si="224">DQ38-(SUM(DQ39:DQ46))</f>
        <v>1900.6558152935627</v>
      </c>
      <c r="DR47" s="221">
        <f t="shared" si="224"/>
        <v>1804.2573766931387</v>
      </c>
      <c r="DS47" s="221">
        <f t="shared" si="224"/>
        <v>1872.1873930532358</v>
      </c>
      <c r="DT47" s="222">
        <f>SUM(DP47:DS47)</f>
        <v>7307.7084198221391</v>
      </c>
      <c r="DU47" s="222">
        <f t="shared" ref="DU47:DV47" si="225">DU38-(SUM(DU39:DU46))</f>
        <v>8131.2326710364623</v>
      </c>
      <c r="DV47" s="222">
        <f t="shared" si="225"/>
        <v>8823.0470298545442</v>
      </c>
    </row>
    <row r="48" spans="2:126" ht="12" collapsed="1">
      <c r="B48" s="234" t="s">
        <v>549</v>
      </c>
      <c r="C48" s="20"/>
      <c r="D48" s="20"/>
      <c r="E48" s="20"/>
      <c r="F48" s="20"/>
      <c r="G48" s="20"/>
      <c r="H48" s="20"/>
      <c r="I48" s="20"/>
      <c r="J48" s="19"/>
      <c r="K48" s="19"/>
      <c r="L48" s="19"/>
      <c r="M48" s="19"/>
      <c r="N48" s="20"/>
      <c r="O48" s="19"/>
      <c r="P48" s="19"/>
      <c r="Q48" s="19"/>
      <c r="R48" s="19"/>
      <c r="S48" s="20"/>
      <c r="T48" s="19"/>
      <c r="U48" s="19"/>
      <c r="V48" s="19"/>
      <c r="W48" s="19"/>
      <c r="X48" s="20"/>
      <c r="Y48" s="19"/>
      <c r="Z48" s="19"/>
      <c r="AA48" s="19"/>
      <c r="AB48" s="19"/>
      <c r="AC48" s="20"/>
      <c r="AD48" s="19"/>
      <c r="AE48" s="19"/>
      <c r="AF48" s="19"/>
      <c r="AG48" s="19"/>
      <c r="AH48" s="20"/>
      <c r="AI48" s="19"/>
      <c r="AJ48" s="19"/>
      <c r="AK48" s="19"/>
      <c r="AL48" s="19"/>
      <c r="AM48" s="20"/>
      <c r="AN48" s="19"/>
      <c r="AO48" s="19"/>
      <c r="AP48" s="19"/>
      <c r="AQ48" s="19"/>
      <c r="AR48" s="20"/>
      <c r="AS48" s="19"/>
      <c r="AT48" s="19"/>
      <c r="AU48" s="19"/>
      <c r="AV48" s="19"/>
      <c r="AW48" s="20"/>
      <c r="AX48" s="19"/>
      <c r="AY48" s="19"/>
      <c r="AZ48" s="19"/>
      <c r="BA48" s="19"/>
      <c r="BB48" s="20"/>
      <c r="BC48" s="19"/>
      <c r="BD48" s="19"/>
      <c r="BE48" s="19"/>
      <c r="BF48" s="19"/>
      <c r="BG48" s="20"/>
      <c r="BH48" s="19"/>
      <c r="BI48" s="19"/>
      <c r="BJ48" s="19"/>
      <c r="BK48" s="19"/>
      <c r="BL48" s="20"/>
      <c r="BM48" s="19"/>
      <c r="BN48" s="19"/>
      <c r="BO48" s="19"/>
      <c r="BP48" s="19"/>
      <c r="BQ48" s="20"/>
      <c r="BR48" s="19"/>
      <c r="BS48" s="19"/>
      <c r="BT48" s="19"/>
      <c r="BU48" s="19"/>
      <c r="BV48" s="20"/>
      <c r="BW48" s="19"/>
      <c r="BX48" s="19"/>
      <c r="BY48" s="19"/>
      <c r="BZ48" s="19"/>
      <c r="CA48" s="20"/>
      <c r="CB48" s="19"/>
      <c r="CC48" s="19"/>
      <c r="CD48" s="19"/>
      <c r="CE48" s="19"/>
      <c r="CF48" s="20"/>
      <c r="CG48" s="19"/>
      <c r="CH48" s="19"/>
      <c r="CI48" s="19"/>
      <c r="CJ48" s="19"/>
      <c r="CK48" s="20"/>
      <c r="CL48" s="19">
        <f>CL47/CL52</f>
        <v>2.2132240593883308E-2</v>
      </c>
      <c r="CM48" s="19">
        <f t="shared" ref="CM48:CO48" si="226">CM47/CM52</f>
        <v>-0.13881766671733503</v>
      </c>
      <c r="CN48" s="19">
        <f t="shared" si="226"/>
        <v>4.7831743679388965E-2</v>
      </c>
      <c r="CO48" s="19">
        <f t="shared" si="226"/>
        <v>0.47915161972764914</v>
      </c>
      <c r="CP48" s="20">
        <f>CP47/CP52</f>
        <v>-1.1823801003636563E-2</v>
      </c>
      <c r="CQ48" s="19">
        <f>CQ47/CQ52</f>
        <v>1.6289537298540858E-2</v>
      </c>
      <c r="CR48" s="19">
        <f t="shared" ref="CR48:CS48" si="227">CR47/CR52</f>
        <v>2.8127943953389464E-2</v>
      </c>
      <c r="CS48" s="19">
        <f t="shared" si="227"/>
        <v>0.54637985065923389</v>
      </c>
      <c r="CT48" s="19">
        <f t="shared" ref="CT48:DE48" si="228">CT47/CT52</f>
        <v>0.814356541324332</v>
      </c>
      <c r="CU48" s="20">
        <f t="shared" si="228"/>
        <v>0.38163479448320226</v>
      </c>
      <c r="CV48" s="19">
        <f t="shared" si="228"/>
        <v>-9.2671250597382043E-2</v>
      </c>
      <c r="CW48" s="19">
        <f t="shared" si="228"/>
        <v>0.35657187899688231</v>
      </c>
      <c r="CX48" s="19">
        <f t="shared" si="228"/>
        <v>-0.16931032692140177</v>
      </c>
      <c r="CY48" s="19">
        <f t="shared" si="228"/>
        <v>0.66936002203654399</v>
      </c>
      <c r="CZ48" s="20">
        <f t="shared" si="228"/>
        <v>0.76090671050341863</v>
      </c>
      <c r="DA48" s="19">
        <f t="shared" si="228"/>
        <v>0.27181897601128568</v>
      </c>
      <c r="DB48" s="19">
        <f t="shared" si="228"/>
        <v>0.73595741365611866</v>
      </c>
      <c r="DC48" s="19">
        <f t="shared" si="228"/>
        <v>0.92154801731502911</v>
      </c>
      <c r="DD48" s="19">
        <f t="shared" si="228"/>
        <v>0.65232411436584958</v>
      </c>
      <c r="DE48" s="20">
        <f t="shared" si="228"/>
        <v>2.5814510623964142</v>
      </c>
      <c r="DF48" s="19">
        <f>DF47/DF52</f>
        <v>0.82139619220308246</v>
      </c>
      <c r="DG48" s="19">
        <f t="shared" ref="DG48:DH48" si="229">DG47/DG52</f>
        <v>1.2009090909090909</v>
      </c>
      <c r="DH48" s="19">
        <f t="shared" si="229"/>
        <v>1.1473010064043916</v>
      </c>
      <c r="DI48" s="19">
        <f t="shared" ref="DI48" si="230">DI47/DI52</f>
        <v>1.3241767565651987</v>
      </c>
      <c r="DJ48" s="20">
        <f t="shared" ref="DJ48" si="231">DJ47/DJ52</f>
        <v>4.489813251334609</v>
      </c>
      <c r="DK48" s="19">
        <f t="shared" ref="DK48" si="232">DK47/DK52</f>
        <v>1.4943251443914072</v>
      </c>
      <c r="DL48" s="19">
        <f t="shared" ref="DL48" si="233">DL47/DL52</f>
        <v>1.6600659706479954</v>
      </c>
      <c r="DM48" s="19">
        <f t="shared" ref="DM48" si="234">DM47/DM52</f>
        <v>1.4255349159831978</v>
      </c>
      <c r="DN48" s="19">
        <f t="shared" ref="DN48" si="235">DN47/DN52</f>
        <v>1.3510150681886823</v>
      </c>
      <c r="DO48" s="20">
        <f t="shared" ref="DO48:DU48" si="236">DO47/DO52</f>
        <v>5.9312068707967267</v>
      </c>
      <c r="DP48" s="19">
        <f t="shared" ref="DP48" si="237">DP47/DP52</f>
        <v>1.6300509885215635</v>
      </c>
      <c r="DQ48" s="19">
        <f t="shared" si="236"/>
        <v>1.8021000673002532</v>
      </c>
      <c r="DR48" s="19">
        <f t="shared" si="236"/>
        <v>1.722130050261871</v>
      </c>
      <c r="DS48" s="19">
        <f t="shared" si="236"/>
        <v>1.7981237769313105</v>
      </c>
      <c r="DT48" s="20">
        <f t="shared" ref="DT48" si="238">DT47/DT52</f>
        <v>6.9510210363193101</v>
      </c>
      <c r="DU48" s="20">
        <f t="shared" si="236"/>
        <v>7.8919917780750772</v>
      </c>
      <c r="DV48" s="20">
        <f t="shared" ref="DV48" si="239">DV47/DV52</f>
        <v>8.7502937016553197</v>
      </c>
    </row>
    <row r="49" spans="1:126" s="15" customFormat="1">
      <c r="C49" s="16"/>
      <c r="D49" s="16"/>
      <c r="E49" s="16"/>
      <c r="F49" s="16"/>
      <c r="G49" s="16"/>
      <c r="H49" s="16"/>
      <c r="I49" s="16"/>
      <c r="N49" s="16"/>
      <c r="S49" s="16"/>
      <c r="X49" s="16"/>
      <c r="AC49" s="16"/>
      <c r="AH49" s="16"/>
      <c r="AM49" s="16"/>
      <c r="AN49" s="221"/>
      <c r="AR49" s="299"/>
      <c r="AW49" s="299"/>
      <c r="BB49" s="299"/>
      <c r="BC49" s="221"/>
      <c r="BG49" s="299"/>
      <c r="BL49" s="299"/>
      <c r="BM49" s="502"/>
      <c r="BQ49" s="299"/>
      <c r="BR49" s="502"/>
      <c r="BV49" s="299"/>
      <c r="BW49" s="502"/>
      <c r="BY49" s="432"/>
      <c r="BZ49" s="432"/>
      <c r="CA49" s="433"/>
      <c r="CB49" s="502"/>
      <c r="CC49" s="432"/>
      <c r="CD49" s="432"/>
      <c r="CE49" s="432"/>
      <c r="CF49" s="433"/>
      <c r="CG49" s="502"/>
      <c r="CH49" s="432"/>
      <c r="CI49" s="432"/>
      <c r="CJ49" s="432"/>
      <c r="CK49" s="433"/>
      <c r="CL49" s="911"/>
      <c r="CM49" s="432"/>
      <c r="CN49" s="432"/>
      <c r="CO49" s="432"/>
      <c r="CP49" s="433"/>
      <c r="CQ49" s="502"/>
      <c r="CR49" s="432"/>
      <c r="CS49" s="432"/>
      <c r="CT49" s="432"/>
      <c r="CU49" s="433"/>
      <c r="CV49" s="502"/>
      <c r="CW49" s="432"/>
      <c r="CX49" s="432"/>
      <c r="CY49" s="432"/>
      <c r="CZ49" s="433"/>
      <c r="DA49" s="502"/>
      <c r="DB49" s="432"/>
      <c r="DC49" s="1057"/>
      <c r="DD49" s="432"/>
      <c r="DE49" s="433"/>
      <c r="DF49" s="432"/>
      <c r="DG49" s="432"/>
      <c r="DH49" s="432"/>
      <c r="DI49" s="432"/>
      <c r="DJ49" s="509"/>
      <c r="DK49" s="432"/>
      <c r="DL49" s="432"/>
      <c r="DM49" s="432"/>
      <c r="DN49" s="432"/>
      <c r="DO49" s="509"/>
      <c r="DP49" s="432"/>
      <c r="DQ49" s="432"/>
      <c r="DR49" s="432"/>
      <c r="DS49" s="432"/>
      <c r="DT49" s="509"/>
      <c r="DU49" s="433"/>
      <c r="DV49" s="433"/>
    </row>
    <row r="50" spans="1:126" ht="12">
      <c r="B50" s="216" t="s">
        <v>178</v>
      </c>
      <c r="C50" s="135"/>
      <c r="D50" s="135"/>
      <c r="E50" s="135"/>
      <c r="F50" s="135"/>
      <c r="G50" s="135"/>
      <c r="H50" s="135"/>
      <c r="I50" s="135"/>
      <c r="N50" s="135"/>
      <c r="S50" s="135"/>
      <c r="X50" s="135"/>
      <c r="AC50" s="4"/>
      <c r="AH50" s="4"/>
      <c r="AM50" s="4"/>
      <c r="AN50" s="221"/>
      <c r="AR50" s="4"/>
      <c r="AW50" s="4"/>
      <c r="BB50" s="4"/>
      <c r="BC50" s="221"/>
      <c r="BG50" s="298"/>
      <c r="BL50" s="298"/>
      <c r="BQ50" s="298"/>
      <c r="BV50" s="298"/>
      <c r="CA50" s="298"/>
      <c r="CF50" s="298"/>
      <c r="CK50" s="298"/>
      <c r="CP50" s="433"/>
      <c r="CU50" s="298"/>
      <c r="CZ50" s="298"/>
      <c r="DB50" s="221"/>
      <c r="DC50" s="1056"/>
      <c r="DE50" s="298"/>
      <c r="DG50" s="221"/>
      <c r="DH50" s="221"/>
      <c r="DJ50" s="354"/>
      <c r="DO50" s="354"/>
      <c r="DT50" s="354"/>
      <c r="DU50" s="298"/>
      <c r="DV50" s="298"/>
    </row>
    <row r="51" spans="1:126" s="15" customFormat="1">
      <c r="A51" s="131"/>
      <c r="B51" s="131" t="s">
        <v>41</v>
      </c>
      <c r="C51" s="239">
        <f>data!C44</f>
        <v>0</v>
      </c>
      <c r="D51" s="239">
        <f>data!D44</f>
        <v>0</v>
      </c>
      <c r="E51" s="239">
        <f>data!E44</f>
        <v>0</v>
      </c>
      <c r="F51" s="239">
        <f>data!F44</f>
        <v>0</v>
      </c>
      <c r="G51" s="239">
        <f>data!G44</f>
        <v>0</v>
      </c>
      <c r="H51" s="239">
        <f>data!H44</f>
        <v>0</v>
      </c>
      <c r="I51" s="239">
        <f>data!I44</f>
        <v>0</v>
      </c>
      <c r="J51" s="240">
        <f>data!J44</f>
        <v>0</v>
      </c>
      <c r="K51" s="240">
        <f>data!K44</f>
        <v>0</v>
      </c>
      <c r="L51" s="240">
        <f>data!L44</f>
        <v>0</v>
      </c>
      <c r="M51" s="240">
        <f>data!M44</f>
        <v>0</v>
      </c>
      <c r="N51" s="239" t="e">
        <f>data!N44</f>
        <v>#DIV/0!</v>
      </c>
      <c r="O51" s="240">
        <f>data!O44</f>
        <v>0</v>
      </c>
      <c r="P51" s="240">
        <f>data!P44</f>
        <v>0</v>
      </c>
      <c r="Q51" s="240">
        <f>data!Q44</f>
        <v>0</v>
      </c>
      <c r="R51" s="240">
        <f>data!R44</f>
        <v>0</v>
      </c>
      <c r="S51" s="239" t="e">
        <f>data!S44</f>
        <v>#DIV/0!</v>
      </c>
      <c r="T51" s="240">
        <f>data!T44</f>
        <v>0</v>
      </c>
      <c r="U51" s="240">
        <f>data!U44</f>
        <v>0</v>
      </c>
      <c r="V51" s="240">
        <f>data!V44</f>
        <v>0</v>
      </c>
      <c r="W51" s="240">
        <f>data!W44</f>
        <v>0</v>
      </c>
      <c r="X51" s="239" t="e">
        <f>data!X44</f>
        <v>#DIV/0!</v>
      </c>
      <c r="Y51" s="240">
        <f>data!Y44</f>
        <v>0</v>
      </c>
      <c r="Z51" s="240">
        <f>data!Z44</f>
        <v>0</v>
      </c>
      <c r="AA51" s="240">
        <f>data!AA44</f>
        <v>0</v>
      </c>
      <c r="AB51" s="240">
        <f>data!AB44</f>
        <v>0</v>
      </c>
      <c r="AC51" s="239" t="e">
        <f>data!AC44</f>
        <v>#DIV/0!</v>
      </c>
      <c r="AD51" s="240">
        <f>data!AD44</f>
        <v>0</v>
      </c>
      <c r="AE51" s="240">
        <f>data!AE44</f>
        <v>0</v>
      </c>
      <c r="AF51" s="240">
        <f>data!AF44</f>
        <v>0</v>
      </c>
      <c r="AG51" s="240">
        <f>data!AG44</f>
        <v>0</v>
      </c>
      <c r="AH51" s="239" t="e">
        <f>data!AH44</f>
        <v>#DIV/0!</v>
      </c>
      <c r="AI51" s="240">
        <f>data!AI44</f>
        <v>0</v>
      </c>
      <c r="AJ51" s="240">
        <f>data!AJ44</f>
        <v>0</v>
      </c>
      <c r="AK51" s="240">
        <f>data!AK44</f>
        <v>0</v>
      </c>
      <c r="AL51" s="240">
        <f>data!AL44</f>
        <v>0</v>
      </c>
      <c r="AM51" s="4" t="e">
        <f>data!AM44</f>
        <v>#DIV/0!</v>
      </c>
      <c r="AN51" s="302">
        <f>data!AN44</f>
        <v>0</v>
      </c>
      <c r="AO51" s="302">
        <f>data!AO44</f>
        <v>0</v>
      </c>
      <c r="AP51" s="302">
        <f>data!AP44</f>
        <v>0</v>
      </c>
      <c r="AQ51" s="302">
        <f>data!AQ44</f>
        <v>0</v>
      </c>
      <c r="AR51" s="4" t="e">
        <f>data!AR44</f>
        <v>#DIV/0!</v>
      </c>
      <c r="AS51" s="302">
        <f>data!AS44</f>
        <v>0</v>
      </c>
      <c r="AT51" s="302">
        <f>data!AT44</f>
        <v>0</v>
      </c>
      <c r="AU51" s="302">
        <f>data!AU44</f>
        <v>0</v>
      </c>
      <c r="AV51" s="302">
        <f>data!AV44</f>
        <v>0</v>
      </c>
      <c r="AW51" s="4">
        <f>AVERAGE(AS51:AV51)</f>
        <v>0</v>
      </c>
      <c r="AX51" s="302">
        <f>data!AX44</f>
        <v>0</v>
      </c>
      <c r="AY51" s="302">
        <f>data!AY44</f>
        <v>0</v>
      </c>
      <c r="AZ51" s="302">
        <f>data!AZ44</f>
        <v>0</v>
      </c>
      <c r="BA51" s="302">
        <f>data!BA44</f>
        <v>0</v>
      </c>
      <c r="BB51" s="4"/>
      <c r="BC51" s="302"/>
      <c r="BD51" s="302"/>
      <c r="BE51" s="302"/>
      <c r="BF51" s="302"/>
      <c r="BG51" s="4"/>
      <c r="BH51" s="302"/>
      <c r="BI51" s="302"/>
      <c r="BJ51" s="302"/>
      <c r="BK51" s="302"/>
      <c r="BL51" s="4"/>
      <c r="BM51" s="302"/>
      <c r="BN51" s="302"/>
      <c r="BO51" s="302"/>
      <c r="BP51" s="302"/>
      <c r="BQ51" s="4"/>
      <c r="BR51" s="302"/>
      <c r="BS51" s="302"/>
      <c r="BT51" s="302"/>
      <c r="BU51" s="302"/>
      <c r="BV51" s="4"/>
      <c r="BW51" s="302"/>
      <c r="BX51" s="302"/>
      <c r="BY51" s="302"/>
      <c r="BZ51" s="302"/>
      <c r="CA51" s="4"/>
      <c r="CB51" s="302"/>
      <c r="CC51" s="302"/>
      <c r="CD51" s="302"/>
      <c r="CE51" s="302"/>
      <c r="CF51" s="347"/>
      <c r="CG51" s="302"/>
      <c r="CH51" s="302"/>
      <c r="CI51" s="302"/>
      <c r="CJ51" s="302"/>
      <c r="CK51" s="347"/>
      <c r="CL51" s="302">
        <f>data!CL44</f>
        <v>8765.4930000000004</v>
      </c>
      <c r="CM51" s="302">
        <f>data!CM44</f>
        <v>8781.3030490000001</v>
      </c>
      <c r="CN51" s="302">
        <f>data!CN44</f>
        <v>8759.8729999999996</v>
      </c>
      <c r="CO51" s="302">
        <f>data!CO44</f>
        <v>1095.6865809999999</v>
      </c>
      <c r="CP51" s="347">
        <f>AVERAGE(CL51:CO51)</f>
        <v>6850.5889074999996</v>
      </c>
      <c r="CQ51" s="302">
        <f>data!CQ44</f>
        <v>8778.6409999999996</v>
      </c>
      <c r="CR51" s="302">
        <f>data!CR44</f>
        <v>8781.3030490000001</v>
      </c>
      <c r="CS51" s="302">
        <f>data!CS44</f>
        <v>1098.1371280000001</v>
      </c>
      <c r="CT51" s="302">
        <f>data!CT44</f>
        <v>1099.0272130000001</v>
      </c>
      <c r="CU51" s="347">
        <f>AVERAGE(CQ51:CT51)</f>
        <v>4939.2770974999994</v>
      </c>
      <c r="CV51" s="302">
        <f>data!CV44</f>
        <v>1100.664978</v>
      </c>
      <c r="CW51" s="302">
        <f>data!CW44</f>
        <v>1096.5531020000001</v>
      </c>
      <c r="CX51" s="302">
        <f>data!CX44</f>
        <v>1092.66814</v>
      </c>
      <c r="CY51" s="302">
        <f>data!CY44</f>
        <v>1089.0999999999999</v>
      </c>
      <c r="CZ51" s="347">
        <f>AVERAGE(CV51:CY51)</f>
        <v>1094.7465550000002</v>
      </c>
      <c r="DA51" s="302">
        <f>data!DA44</f>
        <v>1088.9600290000001</v>
      </c>
      <c r="DB51" s="302">
        <f>data!DB44</f>
        <v>1088.378193</v>
      </c>
      <c r="DC51" s="302">
        <f>data!DC44</f>
        <v>1088.386043</v>
      </c>
      <c r="DD51" s="302">
        <f>data!DD44</f>
        <v>1088.4159950000001</v>
      </c>
      <c r="DE51" s="347">
        <f>AVERAGE(DA51:DD51)</f>
        <v>1088.535065</v>
      </c>
      <c r="DF51" s="302">
        <f>data!DF44</f>
        <v>1091</v>
      </c>
      <c r="DG51" s="302">
        <f>data!DG44</f>
        <v>1089</v>
      </c>
      <c r="DH51" s="302">
        <f>data!DH44</f>
        <v>1083</v>
      </c>
      <c r="DI51" s="302">
        <f t="shared" ref="DI51" si="240">DH51-(DH52-DI52)</f>
        <v>1073.6921830000001</v>
      </c>
      <c r="DJ51" s="347">
        <f>AVERAGE(DF51:DI51)</f>
        <v>1084.17304575</v>
      </c>
      <c r="DK51" s="302">
        <f>data!DK44</f>
        <v>1066.386643</v>
      </c>
      <c r="DL51" s="302">
        <f>data!DL44</f>
        <v>1060.4393869999999</v>
      </c>
      <c r="DM51" s="241">
        <f t="shared" ref="DM51" si="241">DL51-(DL52-DM52)</f>
        <v>1059.6893869999999</v>
      </c>
      <c r="DN51" s="241">
        <f t="shared" ref="DN51" si="242">DM51-(DM52-DN52)</f>
        <v>1058.6893869999999</v>
      </c>
      <c r="DO51" s="347">
        <f>AVERAGE(DK51:DN51)</f>
        <v>1061.301201</v>
      </c>
      <c r="DP51" s="241">
        <f t="shared" ref="DP51:DQ51" si="243">DO51-(DO52-DP52)</f>
        <v>1052.9393869999999</v>
      </c>
      <c r="DQ51" s="241">
        <f t="shared" si="243"/>
        <v>1045.9393869999999</v>
      </c>
      <c r="DR51" s="241">
        <f t="shared" ref="DR51" si="244">DQ51-(DQ52-DR52)</f>
        <v>1038.9393869999999</v>
      </c>
      <c r="DS51" s="241">
        <f t="shared" ref="DS51" si="245">DR51-(DR52-DS52)</f>
        <v>1032.4393869999999</v>
      </c>
      <c r="DT51" s="347">
        <f>AVERAGE(DP51:DS51)</f>
        <v>1042.5643869999999</v>
      </c>
      <c r="DU51" s="242">
        <f t="shared" ref="DU51:DV51" si="246">DT51-(DT52-DU52)</f>
        <v>1021.5643869999999</v>
      </c>
      <c r="DV51" s="242">
        <f t="shared" si="246"/>
        <v>999.5643869999999</v>
      </c>
    </row>
    <row r="52" spans="1:126" s="15" customFormat="1">
      <c r="B52" s="15" t="s">
        <v>42</v>
      </c>
      <c r="C52" s="4">
        <f>data!C45</f>
        <v>0</v>
      </c>
      <c r="D52" s="4">
        <f>data!D45</f>
        <v>0</v>
      </c>
      <c r="E52" s="4">
        <f>data!E45</f>
        <v>0</v>
      </c>
      <c r="F52" s="4">
        <f>data!F45</f>
        <v>0</v>
      </c>
      <c r="G52" s="4">
        <f>data!G45</f>
        <v>0</v>
      </c>
      <c r="H52" s="4">
        <f>data!H45</f>
        <v>0</v>
      </c>
      <c r="I52" s="4">
        <f>data!I45</f>
        <v>0</v>
      </c>
      <c r="J52" s="3">
        <f>data!J45</f>
        <v>0</v>
      </c>
      <c r="K52" s="3">
        <f>data!K45</f>
        <v>0</v>
      </c>
      <c r="L52" s="3">
        <f>data!L45</f>
        <v>0</v>
      </c>
      <c r="M52" s="3">
        <f>data!M45</f>
        <v>0</v>
      </c>
      <c r="N52" s="4" t="e">
        <f>data!N45</f>
        <v>#DIV/0!</v>
      </c>
      <c r="O52" s="3">
        <f>data!O45</f>
        <v>0</v>
      </c>
      <c r="P52" s="3">
        <f>data!P45</f>
        <v>0</v>
      </c>
      <c r="Q52" s="3">
        <f>data!Q45</f>
        <v>0</v>
      </c>
      <c r="R52" s="3">
        <f>data!R45</f>
        <v>0</v>
      </c>
      <c r="S52" s="4" t="e">
        <f>data!S45</f>
        <v>#DIV/0!</v>
      </c>
      <c r="T52" s="3">
        <f>data!T45</f>
        <v>0</v>
      </c>
      <c r="U52" s="3">
        <f>data!U45</f>
        <v>0</v>
      </c>
      <c r="V52" s="3">
        <f>data!V45</f>
        <v>0</v>
      </c>
      <c r="W52" s="3">
        <f>data!W45</f>
        <v>0</v>
      </c>
      <c r="X52" s="4" t="e">
        <f>data!X45</f>
        <v>#DIV/0!</v>
      </c>
      <c r="Y52" s="3">
        <f>data!Y45</f>
        <v>0</v>
      </c>
      <c r="Z52" s="3">
        <f>data!Z45</f>
        <v>0</v>
      </c>
      <c r="AA52" s="3">
        <f>data!AA45</f>
        <v>0</v>
      </c>
      <c r="AB52" s="3">
        <f>data!AB45</f>
        <v>0</v>
      </c>
      <c r="AC52" s="4" t="e">
        <f>data!AC45</f>
        <v>#DIV/0!</v>
      </c>
      <c r="AD52" s="3">
        <f>data!AD45</f>
        <v>0</v>
      </c>
      <c r="AE52" s="3">
        <f>data!AE45</f>
        <v>0</v>
      </c>
      <c r="AF52" s="3">
        <f>data!AF45</f>
        <v>0</v>
      </c>
      <c r="AG52" s="3">
        <f>data!AG45</f>
        <v>0</v>
      </c>
      <c r="AH52" s="4" t="e">
        <f>data!AH45</f>
        <v>#DIV/0!</v>
      </c>
      <c r="AI52" s="3">
        <f>data!AI45</f>
        <v>0</v>
      </c>
      <c r="AJ52" s="3">
        <f>data!AJ45</f>
        <v>0</v>
      </c>
      <c r="AK52" s="3">
        <f>data!AK45</f>
        <v>0</v>
      </c>
      <c r="AL52" s="3">
        <f>data!AL45</f>
        <v>0</v>
      </c>
      <c r="AM52" s="4" t="e">
        <f>data!AM45</f>
        <v>#DIV/0!</v>
      </c>
      <c r="AN52" s="302">
        <f>data!AN45</f>
        <v>0</v>
      </c>
      <c r="AO52" s="302">
        <f>data!AO45</f>
        <v>0</v>
      </c>
      <c r="AP52" s="302">
        <f>data!AP45</f>
        <v>0</v>
      </c>
      <c r="AQ52" s="302">
        <f>data!AQ45</f>
        <v>0</v>
      </c>
      <c r="AR52" s="4" t="e">
        <f>data!AR45</f>
        <v>#DIV/0!</v>
      </c>
      <c r="AS52" s="302">
        <f>data!AS45</f>
        <v>0</v>
      </c>
      <c r="AT52" s="302">
        <f>data!AT45</f>
        <v>0</v>
      </c>
      <c r="AU52" s="302">
        <f>data!AU45</f>
        <v>0</v>
      </c>
      <c r="AV52" s="302">
        <f>data!AV45</f>
        <v>0</v>
      </c>
      <c r="AW52" s="4">
        <f>AVERAGE(AS52:AV52)</f>
        <v>0</v>
      </c>
      <c r="AX52" s="302">
        <f>data!AX45</f>
        <v>0</v>
      </c>
      <c r="AY52" s="302">
        <f>data!AY45</f>
        <v>0</v>
      </c>
      <c r="AZ52" s="302">
        <f>data!AZ45</f>
        <v>0</v>
      </c>
      <c r="BA52" s="302">
        <f>data!BA45</f>
        <v>0</v>
      </c>
      <c r="BB52" s="4"/>
      <c r="BC52" s="302"/>
      <c r="BD52" s="302"/>
      <c r="BE52" s="302"/>
      <c r="BF52" s="302"/>
      <c r="BG52" s="4"/>
      <c r="BH52" s="302"/>
      <c r="BI52" s="302"/>
      <c r="BJ52" s="302"/>
      <c r="BK52" s="302"/>
      <c r="BL52" s="4"/>
      <c r="BM52" s="302"/>
      <c r="BN52" s="302"/>
      <c r="BO52" s="302"/>
      <c r="BP52" s="302"/>
      <c r="BQ52" s="4"/>
      <c r="BR52" s="302"/>
      <c r="BS52" s="302"/>
      <c r="BT52" s="302"/>
      <c r="BU52" s="302"/>
      <c r="BV52" s="4"/>
      <c r="BW52" s="302"/>
      <c r="BX52" s="302"/>
      <c r="BY52" s="302"/>
      <c r="BZ52" s="302"/>
      <c r="CA52" s="4"/>
      <c r="CB52" s="302"/>
      <c r="CC52" s="302"/>
      <c r="CD52" s="302"/>
      <c r="CE52" s="302"/>
      <c r="CF52" s="4"/>
      <c r="CG52" s="302"/>
      <c r="CH52" s="302"/>
      <c r="CI52" s="302"/>
      <c r="CJ52" s="302"/>
      <c r="CK52" s="4"/>
      <c r="CL52" s="302">
        <f>data!CL45</f>
        <v>8765.4930000000004</v>
      </c>
      <c r="CM52" s="302">
        <f>data!CM45</f>
        <v>8781.3030490000001</v>
      </c>
      <c r="CN52" s="302">
        <f>data!CN45</f>
        <v>8759.8729999999996</v>
      </c>
      <c r="CO52" s="302">
        <f>data!CO45</f>
        <v>1095.6865809999999</v>
      </c>
      <c r="CP52" s="4">
        <f>AVERAGE(CL52:CO52)</f>
        <v>6850.5889074999996</v>
      </c>
      <c r="CQ52" s="302">
        <f>data!CQ45</f>
        <v>8778.6409999999996</v>
      </c>
      <c r="CR52" s="302">
        <f>data!CR45</f>
        <v>8781.3030490000001</v>
      </c>
      <c r="CS52" s="302">
        <f>data!CS45</f>
        <v>1098.1371280000001</v>
      </c>
      <c r="CT52" s="302">
        <f>data!CT45</f>
        <v>1099.0272130000001</v>
      </c>
      <c r="CU52" s="4">
        <f>AVERAGE(CQ52:CT52)</f>
        <v>4939.2770974999994</v>
      </c>
      <c r="CV52" s="302">
        <f>data!CV45</f>
        <v>1100.664978</v>
      </c>
      <c r="CW52" s="302">
        <f>data!CW45</f>
        <v>1096.5531020000001</v>
      </c>
      <c r="CX52" s="302">
        <f>data!CX45</f>
        <v>1092.66814</v>
      </c>
      <c r="CY52" s="302">
        <f>data!CY45</f>
        <v>1089.0999999999999</v>
      </c>
      <c r="CZ52" s="4">
        <f>AVERAGE(CV52:CY52)</f>
        <v>1094.7465550000002</v>
      </c>
      <c r="DA52" s="302">
        <f>data!DA45</f>
        <v>1088.9600290000001</v>
      </c>
      <c r="DB52" s="302">
        <f>data!DB45</f>
        <v>1088.378193</v>
      </c>
      <c r="DC52" s="302">
        <f>data!DC45</f>
        <v>1088.386043</v>
      </c>
      <c r="DD52" s="302">
        <f>data!DD45</f>
        <v>1088.4159950000001</v>
      </c>
      <c r="DE52" s="4">
        <f>AVERAGE(DA52:DD52)</f>
        <v>1088.535065</v>
      </c>
      <c r="DF52" s="302">
        <f>data!DF45</f>
        <v>1103</v>
      </c>
      <c r="DG52" s="302">
        <f>data!DG45</f>
        <v>1100</v>
      </c>
      <c r="DH52" s="302">
        <f>data!DH45</f>
        <v>1093</v>
      </c>
      <c r="DI52" s="302">
        <f>data!DI45</f>
        <v>1083.6921830000001</v>
      </c>
      <c r="DJ52" s="347">
        <f>AVERAGE(DF52:DI52)</f>
        <v>1094.92304575</v>
      </c>
      <c r="DK52" s="302">
        <f>+DK51+5</f>
        <v>1071.386643</v>
      </c>
      <c r="DL52" s="302">
        <f>+DL51+10</f>
        <v>1070.4393869999999</v>
      </c>
      <c r="DM52" s="241">
        <f>DL52-0.75</f>
        <v>1069.6893869999999</v>
      </c>
      <c r="DN52" s="241">
        <f>DM52-1</f>
        <v>1068.6893869999999</v>
      </c>
      <c r="DO52" s="347">
        <f>AVERAGE(DK52:DN52)</f>
        <v>1070.051201</v>
      </c>
      <c r="DP52" s="241">
        <f>DN52-7</f>
        <v>1061.6893869999999</v>
      </c>
      <c r="DQ52" s="241">
        <f>DP52-7</f>
        <v>1054.6893869999999</v>
      </c>
      <c r="DR52" s="241">
        <f t="shared" ref="DR52" si="247">DQ52-7</f>
        <v>1047.6893869999999</v>
      </c>
      <c r="DS52" s="241">
        <f>DR52-6.5</f>
        <v>1041.1893869999999</v>
      </c>
      <c r="DT52" s="347">
        <f>AVERAGE(DP52:DS52)</f>
        <v>1051.3143869999999</v>
      </c>
      <c r="DU52" s="242">
        <f>DT52-21</f>
        <v>1030.3143869999999</v>
      </c>
      <c r="DV52" s="242">
        <f>DU52-22</f>
        <v>1008.3143869999999</v>
      </c>
    </row>
    <row r="53" spans="1:126" s="15" customFormat="1">
      <c r="C53" s="16"/>
      <c r="D53" s="103"/>
      <c r="E53" s="103"/>
      <c r="F53" s="103"/>
      <c r="G53" s="103"/>
      <c r="H53" s="103"/>
      <c r="I53" s="103"/>
      <c r="J53" s="50"/>
      <c r="K53" s="50"/>
      <c r="L53" s="50"/>
      <c r="M53" s="50"/>
      <c r="N53" s="103"/>
      <c r="O53" s="50"/>
      <c r="P53" s="50"/>
      <c r="Q53" s="50"/>
      <c r="R53" s="50"/>
      <c r="S53" s="103"/>
      <c r="T53" s="50"/>
      <c r="U53" s="50"/>
      <c r="V53" s="50"/>
      <c r="W53" s="333"/>
      <c r="X53" s="103"/>
      <c r="Y53" s="50"/>
      <c r="Z53" s="50"/>
      <c r="AA53" s="50"/>
      <c r="AB53" s="333"/>
      <c r="AC53" s="89"/>
      <c r="AD53" s="50"/>
      <c r="AE53" s="50"/>
      <c r="AF53" s="50"/>
      <c r="AG53" s="333"/>
      <c r="AH53" s="89"/>
      <c r="AI53" s="50"/>
      <c r="AJ53" s="50"/>
      <c r="AK53" s="50"/>
      <c r="AL53" s="333"/>
      <c r="AM53" s="89"/>
      <c r="AN53" s="144"/>
      <c r="AO53" s="144"/>
      <c r="AP53" s="144"/>
      <c r="AQ53" s="333"/>
      <c r="AR53" s="89"/>
      <c r="AS53" s="144"/>
      <c r="AT53" s="144"/>
      <c r="AU53" s="144"/>
      <c r="AV53" s="144"/>
      <c r="AW53" s="89"/>
      <c r="AX53" s="144"/>
      <c r="AY53" s="144"/>
      <c r="AZ53" s="144"/>
      <c r="BA53" s="144"/>
      <c r="BB53" s="89"/>
      <c r="BC53" s="144"/>
      <c r="BD53" s="144"/>
      <c r="BE53" s="144"/>
      <c r="BF53" s="144"/>
      <c r="BG53" s="89"/>
      <c r="BH53" s="144"/>
      <c r="BI53" s="144"/>
      <c r="BJ53" s="144"/>
      <c r="BK53" s="144"/>
      <c r="BL53" s="4"/>
      <c r="BM53" s="144"/>
      <c r="BN53" s="144"/>
      <c r="BO53" s="144"/>
      <c r="BP53" s="391"/>
      <c r="BQ53" s="89"/>
      <c r="BR53" s="144"/>
      <c r="BS53" s="144"/>
      <c r="BT53" s="144"/>
      <c r="BU53" s="163"/>
      <c r="BV53" s="4"/>
      <c r="BW53" s="144"/>
      <c r="BX53" s="144"/>
      <c r="BY53" s="144"/>
      <c r="BZ53" s="163"/>
      <c r="CA53" s="4"/>
      <c r="CB53" s="144"/>
      <c r="CC53" s="144"/>
      <c r="CD53" s="144"/>
      <c r="CE53" s="163"/>
      <c r="CF53" s="89"/>
      <c r="CG53" s="144"/>
      <c r="CH53" s="144"/>
      <c r="CI53" s="144"/>
      <c r="CJ53" s="391"/>
      <c r="CK53" s="89"/>
      <c r="CL53" s="144"/>
      <c r="CM53" s="144"/>
      <c r="CN53" s="144"/>
      <c r="CO53" s="144"/>
      <c r="CP53" s="89"/>
      <c r="CQ53" s="144"/>
      <c r="CR53" s="144"/>
      <c r="CS53" s="144"/>
      <c r="CT53" s="144"/>
      <c r="CU53" s="89"/>
      <c r="CV53" s="144"/>
      <c r="CW53" s="144"/>
      <c r="CX53" s="144"/>
      <c r="CY53" s="144"/>
      <c r="CZ53" s="89"/>
      <c r="DA53" s="144"/>
      <c r="DB53" s="144"/>
      <c r="DC53" s="144"/>
      <c r="DD53" s="144"/>
      <c r="DE53" s="89"/>
      <c r="DF53" s="144"/>
      <c r="DG53" s="144"/>
      <c r="DH53" s="144"/>
      <c r="DI53" s="144"/>
      <c r="DJ53" s="89"/>
      <c r="DK53" s="1086"/>
      <c r="DL53" s="144"/>
      <c r="DM53" s="144"/>
      <c r="DN53" s="144"/>
      <c r="DO53" s="89"/>
      <c r="DP53" s="144"/>
      <c r="DQ53" s="144"/>
      <c r="DR53" s="144"/>
      <c r="DS53" s="144"/>
      <c r="DT53" s="89"/>
      <c r="DU53" s="89"/>
      <c r="DV53" s="89"/>
    </row>
    <row r="54" spans="1:126" s="15" customFormat="1">
      <c r="B54" s="15" t="s">
        <v>168</v>
      </c>
      <c r="C54" s="35">
        <f>data!C202</f>
        <v>0</v>
      </c>
      <c r="D54" s="35">
        <f>data!D202</f>
        <v>0</v>
      </c>
      <c r="E54" s="35">
        <f>data!E202</f>
        <v>0</v>
      </c>
      <c r="F54" s="35">
        <f>data!F202</f>
        <v>0</v>
      </c>
      <c r="G54" s="35">
        <f>data!G202</f>
        <v>0</v>
      </c>
      <c r="H54" s="35">
        <f>data!H202</f>
        <v>0</v>
      </c>
      <c r="I54" s="35">
        <f>data!I202</f>
        <v>0</v>
      </c>
      <c r="J54" s="25">
        <f>data!J202</f>
        <v>0</v>
      </c>
      <c r="K54" s="25">
        <f>data!K202</f>
        <v>0</v>
      </c>
      <c r="L54" s="25">
        <f>data!L202</f>
        <v>0</v>
      </c>
      <c r="M54" s="25">
        <f>data!M202</f>
        <v>0</v>
      </c>
      <c r="N54" s="35">
        <f>SUM(J54:M54)</f>
        <v>0</v>
      </c>
      <c r="O54" s="25">
        <f>data!O202</f>
        <v>0</v>
      </c>
      <c r="P54" s="25">
        <f>data!P202</f>
        <v>0</v>
      </c>
      <c r="Q54" s="25">
        <f>data!Q202</f>
        <v>0</v>
      </c>
      <c r="R54" s="25">
        <f>data!R202</f>
        <v>0</v>
      </c>
      <c r="S54" s="35">
        <f>SUM(O54:R54)</f>
        <v>0</v>
      </c>
      <c r="T54" s="25">
        <f>data!T202</f>
        <v>0</v>
      </c>
      <c r="U54" s="25">
        <f>data!U202</f>
        <v>0</v>
      </c>
      <c r="V54" s="25">
        <f>data!V202</f>
        <v>0</v>
      </c>
      <c r="W54" s="25">
        <f>data!W202</f>
        <v>0</v>
      </c>
      <c r="X54" s="35">
        <f>SUM(T54:W54)</f>
        <v>0</v>
      </c>
      <c r="Y54" s="25">
        <f>data!Y202</f>
        <v>0</v>
      </c>
      <c r="Z54" s="25">
        <f>data!Z202</f>
        <v>0</v>
      </c>
      <c r="AA54" s="25">
        <f>data!AA202</f>
        <v>0</v>
      </c>
      <c r="AB54" s="25">
        <f>data!AB202</f>
        <v>0</v>
      </c>
      <c r="AC54" s="35">
        <f>SUM(Y54:AB54)</f>
        <v>0</v>
      </c>
      <c r="AD54" s="25">
        <f>data!AD202</f>
        <v>0</v>
      </c>
      <c r="AE54" s="25">
        <f>data!AE202</f>
        <v>0</v>
      </c>
      <c r="AF54" s="25">
        <f>data!AF202</f>
        <v>0</v>
      </c>
      <c r="AG54" s="25">
        <f>data!AG202</f>
        <v>0</v>
      </c>
      <c r="AH54" s="35">
        <f>SUM(AD54:AG54)</f>
        <v>0</v>
      </c>
      <c r="AI54" s="25">
        <f>data!AI202</f>
        <v>0</v>
      </c>
      <c r="AJ54" s="25">
        <f>data!AJ202</f>
        <v>0</v>
      </c>
      <c r="AK54" s="25">
        <f>data!AK202</f>
        <v>0</v>
      </c>
      <c r="AL54" s="25">
        <f>data!AL202</f>
        <v>0</v>
      </c>
      <c r="AM54" s="35">
        <f>SUM(AI54:AL54)</f>
        <v>0</v>
      </c>
      <c r="AN54" s="25">
        <f>data!AN202</f>
        <v>0</v>
      </c>
      <c r="AO54" s="25">
        <f>data!AO202</f>
        <v>0</v>
      </c>
      <c r="AP54" s="25">
        <f>data!AP202</f>
        <v>0</v>
      </c>
      <c r="AQ54" s="25">
        <f>data!AQ202</f>
        <v>0</v>
      </c>
      <c r="AR54" s="35">
        <f>SUM(AN54:AQ54)</f>
        <v>0</v>
      </c>
      <c r="AS54" s="25">
        <f>data!AS202</f>
        <v>0</v>
      </c>
      <c r="AT54" s="25">
        <f>data!AT202</f>
        <v>0</v>
      </c>
      <c r="AU54" s="25">
        <f>data!AU202</f>
        <v>0</v>
      </c>
      <c r="AV54" s="25">
        <v>1</v>
      </c>
      <c r="AW54" s="35">
        <f>SUM(AS54:AV54)</f>
        <v>1</v>
      </c>
      <c r="AX54" s="25">
        <f>data!AX202</f>
        <v>0</v>
      </c>
      <c r="AY54" s="25">
        <f>data!AY202</f>
        <v>0</v>
      </c>
      <c r="AZ54" s="25">
        <f>data!AZ202</f>
        <v>0</v>
      </c>
      <c r="BA54" s="23">
        <f>data!BA202</f>
        <v>0</v>
      </c>
      <c r="BB54" s="35"/>
      <c r="BC54" s="23"/>
      <c r="BD54" s="25"/>
      <c r="BE54" s="25"/>
      <c r="BF54" s="25"/>
      <c r="BG54" s="35"/>
      <c r="BH54" s="25"/>
      <c r="BI54" s="25"/>
      <c r="BJ54" s="25"/>
      <c r="BK54" s="25"/>
      <c r="BL54" s="35"/>
      <c r="BM54" s="25"/>
      <c r="BN54" s="25"/>
      <c r="BO54" s="25"/>
      <c r="BP54" s="25"/>
      <c r="BQ54" s="35"/>
      <c r="BR54" s="25"/>
      <c r="BS54" s="25"/>
      <c r="BT54" s="25"/>
      <c r="BU54" s="25"/>
      <c r="BV54" s="35"/>
      <c r="BW54" s="25"/>
      <c r="BX54" s="25"/>
      <c r="BY54" s="25"/>
      <c r="BZ54" s="25"/>
      <c r="CA54" s="35"/>
      <c r="CB54" s="25"/>
      <c r="CC54" s="25"/>
      <c r="CD54" s="25"/>
      <c r="CE54" s="25"/>
      <c r="CF54" s="35"/>
      <c r="CG54" s="25"/>
      <c r="CH54" s="25"/>
      <c r="CI54" s="25"/>
      <c r="CJ54" s="25"/>
      <c r="CK54" s="35"/>
      <c r="CL54" s="398">
        <f>data!CL202</f>
        <v>0.06</v>
      </c>
      <c r="CM54" s="398">
        <f>data!CM202</f>
        <v>0.06</v>
      </c>
      <c r="CN54" s="398">
        <f>data!CN202</f>
        <v>0.06</v>
      </c>
      <c r="CO54" s="398">
        <f>data!CO202</f>
        <v>0.06</v>
      </c>
      <c r="CP54" s="35">
        <f>SUM(CL54:CO54)</f>
        <v>0.24</v>
      </c>
      <c r="CQ54" s="398">
        <f>data!CQ202</f>
        <v>0.06</v>
      </c>
      <c r="CR54" s="398">
        <f>data!CR202</f>
        <v>0.06</v>
      </c>
      <c r="CS54" s="398">
        <f>data!CS202</f>
        <v>0.06</v>
      </c>
      <c r="CT54" s="398">
        <f>data!CT202</f>
        <v>0.06</v>
      </c>
      <c r="CU54" s="35">
        <f>SUM(CQ54:CT54)</f>
        <v>0.24</v>
      </c>
      <c r="CV54" s="398">
        <f>data!CV202</f>
        <v>0.06</v>
      </c>
      <c r="CW54" s="398">
        <f>data!CW202</f>
        <v>0.06</v>
      </c>
      <c r="CX54" s="398">
        <f>data!CX202</f>
        <v>0.06</v>
      </c>
      <c r="CY54" s="398">
        <f>data!CY202</f>
        <v>0.06</v>
      </c>
      <c r="CZ54" s="35">
        <f>SUM(CV54:CY54)</f>
        <v>0.24</v>
      </c>
      <c r="DA54" s="398">
        <f>data!DA202</f>
        <v>0.08</v>
      </c>
      <c r="DB54" s="398">
        <f>data!DB202</f>
        <v>0.08</v>
      </c>
      <c r="DC54" s="398">
        <f>data!DC202</f>
        <v>0.08</v>
      </c>
      <c r="DD54" s="398">
        <f>data!DD202</f>
        <v>0.08</v>
      </c>
      <c r="DE54" s="35">
        <f>SUM(DA54:DD54)</f>
        <v>0.32</v>
      </c>
      <c r="DF54" s="398">
        <f>-CFLO!DF42/IS!DF52</f>
        <v>7.7969174977334549E-2</v>
      </c>
      <c r="DG54" s="398">
        <f>data!DG202</f>
        <v>0.28000000000000003</v>
      </c>
      <c r="DH54" s="398">
        <f>data!DH202</f>
        <v>0.28000000000000003</v>
      </c>
      <c r="DI54" s="398">
        <f>data!DI202</f>
        <v>0.28000000000000003</v>
      </c>
      <c r="DJ54" s="24">
        <f>SUM(DF54:DI54)</f>
        <v>0.91796917497733466</v>
      </c>
      <c r="DK54" s="398">
        <f>data!DK202</f>
        <v>0.36</v>
      </c>
      <c r="DL54" s="398">
        <f>data!DL202</f>
        <v>0.36</v>
      </c>
      <c r="DM54" s="18">
        <f t="shared" ref="DM54" si="248">DL54</f>
        <v>0.36</v>
      </c>
      <c r="DN54" s="18">
        <f>DM54</f>
        <v>0.36</v>
      </c>
      <c r="DO54" s="24">
        <f>SUM(DK54:DN54)</f>
        <v>1.44</v>
      </c>
      <c r="DP54" s="18">
        <f>DN54*1.15</f>
        <v>0.41399999999999998</v>
      </c>
      <c r="DQ54" s="18">
        <f>DP54</f>
        <v>0.41399999999999998</v>
      </c>
      <c r="DR54" s="18">
        <f t="shared" ref="DR54" si="249">DQ54</f>
        <v>0.41399999999999998</v>
      </c>
      <c r="DS54" s="18">
        <f>DR54</f>
        <v>0.41399999999999998</v>
      </c>
      <c r="DT54" s="24">
        <f>SUM(DP54:DS54)</f>
        <v>1.6559999999999999</v>
      </c>
      <c r="DU54" s="17">
        <f>DT54*1.15</f>
        <v>1.9043999999999996</v>
      </c>
      <c r="DV54" s="17">
        <f>DU54*1.15</f>
        <v>2.1900599999999995</v>
      </c>
    </row>
    <row r="55" spans="1:126" s="15" customFormat="1">
      <c r="B55" s="90" t="s">
        <v>169</v>
      </c>
      <c r="C55" s="89" t="e">
        <f>C54/C32</f>
        <v>#DIV/0!</v>
      </c>
      <c r="D55" s="89" t="e">
        <f t="shared" ref="D55:AL55" si="250">D54/D32</f>
        <v>#DIV/0!</v>
      </c>
      <c r="E55" s="89" t="e">
        <f t="shared" si="250"/>
        <v>#DIV/0!</v>
      </c>
      <c r="F55" s="89" t="e">
        <f t="shared" si="250"/>
        <v>#DIV/0!</v>
      </c>
      <c r="G55" s="89" t="e">
        <f t="shared" si="250"/>
        <v>#DIV/0!</v>
      </c>
      <c r="H55" s="89" t="e">
        <f t="shared" si="250"/>
        <v>#DIV/0!</v>
      </c>
      <c r="I55" s="89" t="e">
        <f t="shared" si="250"/>
        <v>#DIV/0!</v>
      </c>
      <c r="J55" s="91" t="e">
        <f t="shared" si="250"/>
        <v>#DIV/0!</v>
      </c>
      <c r="K55" s="91" t="e">
        <f t="shared" si="250"/>
        <v>#DIV/0!</v>
      </c>
      <c r="L55" s="91" t="e">
        <f t="shared" si="250"/>
        <v>#DIV/0!</v>
      </c>
      <c r="M55" s="91" t="e">
        <f t="shared" si="250"/>
        <v>#DIV/0!</v>
      </c>
      <c r="N55" s="89" t="e">
        <f t="shared" si="250"/>
        <v>#DIV/0!</v>
      </c>
      <c r="O55" s="91" t="e">
        <f t="shared" si="250"/>
        <v>#REF!</v>
      </c>
      <c r="P55" s="91" t="e">
        <f t="shared" si="250"/>
        <v>#REF!</v>
      </c>
      <c r="Q55" s="91" t="e">
        <f t="shared" si="250"/>
        <v>#REF!</v>
      </c>
      <c r="R55" s="91" t="e">
        <f t="shared" si="250"/>
        <v>#REF!</v>
      </c>
      <c r="S55" s="89" t="e">
        <f t="shared" si="250"/>
        <v>#REF!</v>
      </c>
      <c r="T55" s="91" t="e">
        <f t="shared" si="250"/>
        <v>#REF!</v>
      </c>
      <c r="U55" s="91" t="e">
        <f t="shared" si="250"/>
        <v>#REF!</v>
      </c>
      <c r="V55" s="91" t="e">
        <f t="shared" si="250"/>
        <v>#REF!</v>
      </c>
      <c r="W55" s="91" t="e">
        <f t="shared" si="250"/>
        <v>#REF!</v>
      </c>
      <c r="X55" s="89" t="e">
        <f t="shared" si="250"/>
        <v>#REF!</v>
      </c>
      <c r="Y55" s="91" t="e">
        <f t="shared" si="250"/>
        <v>#REF!</v>
      </c>
      <c r="Z55" s="91" t="e">
        <f t="shared" si="250"/>
        <v>#REF!</v>
      </c>
      <c r="AA55" s="91" t="e">
        <f t="shared" si="250"/>
        <v>#REF!</v>
      </c>
      <c r="AB55" s="91" t="e">
        <f t="shared" si="250"/>
        <v>#REF!</v>
      </c>
      <c r="AC55" s="89" t="e">
        <f t="shared" si="250"/>
        <v>#REF!</v>
      </c>
      <c r="AD55" s="91" t="e">
        <f t="shared" si="250"/>
        <v>#REF!</v>
      </c>
      <c r="AE55" s="91" t="e">
        <f t="shared" si="250"/>
        <v>#REF!</v>
      </c>
      <c r="AF55" s="91" t="e">
        <f t="shared" si="250"/>
        <v>#REF!</v>
      </c>
      <c r="AG55" s="91" t="e">
        <f t="shared" si="250"/>
        <v>#REF!</v>
      </c>
      <c r="AH55" s="89" t="e">
        <f t="shared" si="250"/>
        <v>#REF!</v>
      </c>
      <c r="AI55" s="91" t="e">
        <f t="shared" si="250"/>
        <v>#REF!</v>
      </c>
      <c r="AJ55" s="91" t="e">
        <f t="shared" si="250"/>
        <v>#REF!</v>
      </c>
      <c r="AK55" s="91" t="e">
        <f t="shared" si="250"/>
        <v>#REF!</v>
      </c>
      <c r="AL55" s="91" t="e">
        <f t="shared" si="250"/>
        <v>#REF!</v>
      </c>
      <c r="AM55" s="89" t="e">
        <f t="shared" ref="AM55:AW55" si="251">AM54/AM32</f>
        <v>#REF!</v>
      </c>
      <c r="AN55" s="91" t="e">
        <f>Z54/Z32</f>
        <v>#REF!</v>
      </c>
      <c r="AO55" s="91" t="e">
        <f t="shared" si="251"/>
        <v>#REF!</v>
      </c>
      <c r="AP55" s="91" t="e">
        <f>AP54/AP32</f>
        <v>#REF!</v>
      </c>
      <c r="AQ55" s="91" t="e">
        <f t="shared" si="251"/>
        <v>#DIV/0!</v>
      </c>
      <c r="AR55" s="89" t="e">
        <f t="shared" si="251"/>
        <v>#REF!</v>
      </c>
      <c r="AS55" s="91" t="e">
        <f>AE54/AE32</f>
        <v>#REF!</v>
      </c>
      <c r="AT55" s="91" t="e">
        <f>AT54/AT32</f>
        <v>#DIV/0!</v>
      </c>
      <c r="AU55" s="91" t="e">
        <f>AU54/AU32</f>
        <v>#DIV/0!</v>
      </c>
      <c r="AV55" s="91" t="e">
        <f>AV54/AV32</f>
        <v>#DIV/0!</v>
      </c>
      <c r="AW55" s="89" t="e">
        <f t="shared" si="251"/>
        <v>#DIV/0!</v>
      </c>
      <c r="AX55" s="91" t="e">
        <f>AJ54/AJ32</f>
        <v>#REF!</v>
      </c>
      <c r="AY55" s="91" t="e">
        <f t="shared" ref="AY55:BA55" si="252">AY54/AY32</f>
        <v>#REF!</v>
      </c>
      <c r="AZ55" s="91" t="e">
        <f t="shared" si="252"/>
        <v>#DIV/0!</v>
      </c>
      <c r="BA55" s="91" t="e">
        <f t="shared" si="252"/>
        <v>#DIV/0!</v>
      </c>
      <c r="BB55" s="89"/>
      <c r="BC55" s="91"/>
      <c r="BD55" s="91"/>
      <c r="BE55" s="91"/>
      <c r="BF55" s="91"/>
      <c r="BG55" s="89"/>
      <c r="BH55" s="91"/>
      <c r="BI55" s="91"/>
      <c r="BJ55" s="91"/>
      <c r="BK55" s="91"/>
      <c r="BL55" s="89"/>
      <c r="BM55" s="91"/>
      <c r="BN55" s="91"/>
      <c r="BO55" s="91"/>
      <c r="BP55" s="91"/>
      <c r="BQ55" s="89"/>
      <c r="BR55" s="91"/>
      <c r="BS55" s="91"/>
      <c r="BT55" s="91"/>
      <c r="BU55" s="91"/>
      <c r="BV55" s="89"/>
      <c r="BW55" s="91"/>
      <c r="BX55" s="91"/>
      <c r="BY55" s="91"/>
      <c r="BZ55" s="91"/>
      <c r="CA55" s="89"/>
      <c r="CB55" s="91"/>
      <c r="CC55" s="91"/>
      <c r="CD55" s="91"/>
      <c r="CE55" s="91"/>
      <c r="CF55" s="89"/>
      <c r="CG55" s="91"/>
      <c r="CH55" s="91"/>
      <c r="CI55" s="91"/>
      <c r="CJ55" s="91"/>
      <c r="CK55" s="89"/>
      <c r="CL55" s="91">
        <f t="shared" ref="CL55:CP55" si="253">CL54/CL32</f>
        <v>8.4094912056283971E-2</v>
      </c>
      <c r="CM55" s="91">
        <f t="shared" si="253"/>
        <v>-0.46257961627743632</v>
      </c>
      <c r="CN55" s="91">
        <f t="shared" si="253"/>
        <v>-0.46266934859154923</v>
      </c>
      <c r="CO55" s="91">
        <f t="shared" ref="CO55" si="254">CO54/CO32</f>
        <v>2.6529941428571426E-2</v>
      </c>
      <c r="CP55" s="89">
        <f t="shared" si="253"/>
        <v>0.25462929190026323</v>
      </c>
      <c r="CQ55" s="91">
        <f t="shared" ref="CQ55:DE55" si="255">CQ54/CQ32</f>
        <v>5.4866506249999993</v>
      </c>
      <c r="CR55" s="91">
        <f t="shared" si="255"/>
        <v>-0.92434768936842115</v>
      </c>
      <c r="CS55" s="91">
        <f t="shared" si="255"/>
        <v>0.1132100131958763</v>
      </c>
      <c r="CT55" s="91">
        <f t="shared" si="255"/>
        <v>-1.8818959126712331E-2</v>
      </c>
      <c r="CU55" s="89">
        <f t="shared" si="255"/>
        <v>-0.34906551925795049</v>
      </c>
      <c r="CV55" s="91">
        <f t="shared" si="255"/>
        <v>-5.4623572109181139E-2</v>
      </c>
      <c r="CW55" s="91">
        <f t="shared" si="255"/>
        <v>-5.8482832106666667E-2</v>
      </c>
      <c r="CX55" s="91">
        <f t="shared" si="255"/>
        <v>-0.26979460246913578</v>
      </c>
      <c r="CY55" s="91">
        <f t="shared" si="255"/>
        <v>3.6711235955056175E-2</v>
      </c>
      <c r="CZ55" s="89">
        <f>CZ54/CZ32</f>
        <v>-0.32966019222082815</v>
      </c>
      <c r="DA55" s="91">
        <f t="shared" si="255"/>
        <v>1.400591677170418E-2</v>
      </c>
      <c r="DB55" s="91">
        <f t="shared" si="255"/>
        <v>8.2452893409090913E-2</v>
      </c>
      <c r="DC55" s="91">
        <f t="shared" si="255"/>
        <v>0.53747458913580248</v>
      </c>
      <c r="DD55" s="91">
        <f t="shared" si="255"/>
        <v>5.4694271105527645E-2</v>
      </c>
      <c r="DE55" s="89">
        <f t="shared" si="255"/>
        <v>3.8574886024363236E-2</v>
      </c>
      <c r="DF55" s="91">
        <f t="shared" ref="DF55:DJ55" si="256">DF54/DF32</f>
        <v>5.548387096774194E-2</v>
      </c>
      <c r="DG55" s="91">
        <f t="shared" si="256"/>
        <v>0.2329803328290469</v>
      </c>
      <c r="DH55" s="91">
        <f t="shared" ref="DH55" si="257">DH54/DH32</f>
        <v>0.17949560117302055</v>
      </c>
      <c r="DI55" s="91">
        <f t="shared" si="256"/>
        <v>0.15995456575645761</v>
      </c>
      <c r="DJ55" s="354">
        <f t="shared" si="256"/>
        <v>0.15549282255117544</v>
      </c>
      <c r="DK55" s="91">
        <f t="shared" ref="DK55:DP55" si="258">DK54/DK32</f>
        <v>0.19658470513761467</v>
      </c>
      <c r="DL55" s="91">
        <f t="shared" si="258"/>
        <v>0.19267908965999997</v>
      </c>
      <c r="DM55" s="91">
        <f t="shared" si="258"/>
        <v>0.25760481776500288</v>
      </c>
      <c r="DN55" s="91">
        <f t="shared" si="258"/>
        <v>0.27212050570284663</v>
      </c>
      <c r="DO55" s="354">
        <f t="shared" si="258"/>
        <v>0.22426751900411832</v>
      </c>
      <c r="DP55" s="91">
        <f t="shared" si="258"/>
        <v>0.25846017948887778</v>
      </c>
      <c r="DQ55" s="91">
        <f t="shared" ref="DQ55:DT55" si="259">DQ54/DQ32</f>
        <v>0.23341621833810067</v>
      </c>
      <c r="DR55" s="91">
        <f t="shared" si="259"/>
        <v>0.24446476137887671</v>
      </c>
      <c r="DS55" s="91">
        <f t="shared" si="259"/>
        <v>0.23398944528850293</v>
      </c>
      <c r="DT55" s="354">
        <f t="shared" si="259"/>
        <v>0.24221581110201468</v>
      </c>
      <c r="DU55" s="89">
        <f t="shared" ref="DU55:DV55" si="260">DU54/DU32</f>
        <v>0.24130790471559496</v>
      </c>
      <c r="DV55" s="89">
        <f t="shared" si="260"/>
        <v>0.25028417041426837</v>
      </c>
    </row>
    <row r="56" spans="1:126" s="15" customFormat="1" hidden="1" outlineLevel="1">
      <c r="C56" s="35"/>
      <c r="D56" s="35"/>
      <c r="E56" s="35"/>
      <c r="F56" s="35"/>
      <c r="G56" s="35"/>
      <c r="H56" s="35"/>
      <c r="I56" s="35"/>
      <c r="J56" s="25"/>
      <c r="K56" s="25"/>
      <c r="L56" s="25"/>
      <c r="M56" s="25"/>
      <c r="N56" s="35"/>
      <c r="O56" s="25"/>
      <c r="P56" s="25"/>
      <c r="Q56" s="25"/>
      <c r="R56" s="25"/>
      <c r="S56" s="35"/>
      <c r="T56" s="25"/>
      <c r="U56" s="25"/>
      <c r="V56" s="25"/>
      <c r="W56" s="25"/>
      <c r="X56" s="35"/>
      <c r="Y56" s="25"/>
      <c r="Z56" s="25"/>
      <c r="AA56" s="25"/>
      <c r="AB56" s="25"/>
      <c r="AC56" s="35"/>
      <c r="AD56" s="25"/>
      <c r="AE56" s="25"/>
      <c r="AF56" s="25"/>
      <c r="AG56" s="25"/>
      <c r="AH56" s="35"/>
      <c r="AI56" s="25"/>
      <c r="AJ56" s="25"/>
      <c r="AK56" s="25"/>
      <c r="AL56" s="25"/>
      <c r="AM56" s="35"/>
      <c r="AN56" s="25"/>
      <c r="AO56" s="25"/>
      <c r="AP56" s="25"/>
      <c r="AQ56" s="25"/>
      <c r="AR56" s="35"/>
      <c r="AS56" s="25"/>
      <c r="AT56" s="25"/>
      <c r="AU56" s="25"/>
      <c r="AV56" s="25"/>
      <c r="AW56" s="35"/>
      <c r="AX56" s="25"/>
      <c r="AY56" s="25"/>
      <c r="AZ56" s="25"/>
      <c r="BA56" s="25"/>
      <c r="BB56" s="35"/>
      <c r="BC56" s="25"/>
      <c r="BD56" s="25"/>
      <c r="BE56" s="25"/>
      <c r="BF56" s="25"/>
      <c r="BG56" s="35"/>
      <c r="BH56" s="25"/>
      <c r="BI56" s="25"/>
      <c r="BJ56" s="25"/>
      <c r="BK56" s="25"/>
      <c r="BL56" s="35"/>
      <c r="BM56" s="25"/>
      <c r="BN56" s="25"/>
      <c r="BO56" s="25"/>
      <c r="BP56" s="25"/>
      <c r="BQ56" s="35"/>
      <c r="BR56" s="25"/>
      <c r="BS56" s="25"/>
      <c r="BT56" s="25"/>
      <c r="BU56" s="25"/>
      <c r="BV56" s="35"/>
      <c r="BW56" s="25"/>
      <c r="BX56" s="25"/>
      <c r="BY56" s="25"/>
      <c r="BZ56" s="25"/>
      <c r="CA56" s="35"/>
      <c r="CB56" s="25"/>
      <c r="CC56" s="25"/>
      <c r="CD56" s="25"/>
      <c r="CE56" s="25"/>
      <c r="CF56" s="35"/>
      <c r="CG56" s="25"/>
      <c r="CH56" s="25"/>
      <c r="CI56" s="25"/>
      <c r="CJ56" s="25"/>
      <c r="CK56" s="35"/>
      <c r="CL56" s="25"/>
      <c r="CM56" s="25"/>
      <c r="CN56" s="25"/>
      <c r="CO56" s="25"/>
      <c r="CP56" s="35"/>
      <c r="CQ56" s="25"/>
      <c r="CR56" s="25"/>
      <c r="CS56" s="25"/>
      <c r="CT56" s="25"/>
      <c r="CU56" s="35"/>
      <c r="CV56" s="25"/>
      <c r="CW56" s="25"/>
      <c r="CX56" s="25"/>
      <c r="CY56" s="25"/>
      <c r="CZ56" s="35"/>
      <c r="DA56" s="25"/>
      <c r="DB56" s="25"/>
      <c r="DC56" s="25"/>
      <c r="DD56" s="25"/>
      <c r="DE56" s="35"/>
      <c r="DF56" s="25"/>
      <c r="DG56" s="25"/>
      <c r="DH56" s="25"/>
      <c r="DI56" s="25"/>
      <c r="DJ56" s="24"/>
      <c r="DK56" s="25"/>
      <c r="DL56" s="25"/>
      <c r="DM56" s="25"/>
      <c r="DN56" s="25"/>
      <c r="DO56" s="35"/>
      <c r="DP56" s="25"/>
      <c r="DQ56" s="25"/>
      <c r="DR56" s="25"/>
      <c r="DS56" s="25"/>
      <c r="DT56" s="35"/>
      <c r="DU56" s="35"/>
      <c r="DV56" s="35"/>
    </row>
    <row r="57" spans="1:126" s="15" customFormat="1" hidden="1" outlineLevel="1">
      <c r="B57" s="15" t="s">
        <v>202</v>
      </c>
      <c r="C57" s="69">
        <f>data!C207</f>
        <v>0</v>
      </c>
      <c r="D57" s="69">
        <f>data!D207</f>
        <v>0</v>
      </c>
      <c r="E57" s="69">
        <f>data!E207</f>
        <v>0</v>
      </c>
      <c r="F57" s="69">
        <f>data!F207</f>
        <v>0</v>
      </c>
      <c r="G57" s="69">
        <f>data!G207</f>
        <v>0</v>
      </c>
      <c r="H57" s="69">
        <f>data!H207</f>
        <v>0</v>
      </c>
      <c r="I57" s="69">
        <f>data!I207</f>
        <v>0</v>
      </c>
      <c r="J57" s="67">
        <f>data!J207</f>
        <v>0</v>
      </c>
      <c r="K57" s="67">
        <f>data!K207</f>
        <v>0</v>
      </c>
      <c r="L57" s="67">
        <f>data!L207</f>
        <v>0</v>
      </c>
      <c r="M57" s="67">
        <f>data!M207</f>
        <v>0</v>
      </c>
      <c r="N57" s="69">
        <f>SUM(J57:M57)</f>
        <v>0</v>
      </c>
      <c r="O57" s="67">
        <f>data!O207</f>
        <v>0</v>
      </c>
      <c r="P57" s="67">
        <f>data!P207</f>
        <v>0</v>
      </c>
      <c r="Q57" s="67">
        <f>data!Q207</f>
        <v>0</v>
      </c>
      <c r="R57" s="67">
        <f>data!R207</f>
        <v>0</v>
      </c>
      <c r="S57" s="69">
        <f>SUM(O57:R57)</f>
        <v>0</v>
      </c>
      <c r="T57" s="67">
        <f>data!T207</f>
        <v>0</v>
      </c>
      <c r="U57" s="67">
        <f>data!U207</f>
        <v>0</v>
      </c>
      <c r="V57" s="67">
        <f>data!V207</f>
        <v>0</v>
      </c>
      <c r="W57" s="67">
        <f>data!W207</f>
        <v>0</v>
      </c>
      <c r="X57" s="69">
        <f>SUM(T57:W57)</f>
        <v>0</v>
      </c>
      <c r="Y57" s="67">
        <f>data!Y207</f>
        <v>0</v>
      </c>
      <c r="Z57" s="67">
        <f>data!Z207</f>
        <v>0</v>
      </c>
      <c r="AA57" s="67">
        <f>data!AA207</f>
        <v>0</v>
      </c>
      <c r="AB57" s="67">
        <f>data!AB207</f>
        <v>0</v>
      </c>
      <c r="AC57" s="69">
        <f>SUM(Y57:AB57)</f>
        <v>0</v>
      </c>
      <c r="AD57" s="67">
        <f>data!AD207</f>
        <v>0</v>
      </c>
      <c r="AE57" s="67">
        <f>data!AE207</f>
        <v>0</v>
      </c>
      <c r="AF57" s="67">
        <f>data!AF207</f>
        <v>0</v>
      </c>
      <c r="AG57" s="67">
        <f>data!AG207</f>
        <v>0</v>
      </c>
      <c r="AH57" s="69">
        <f>SUM(AD57:AG57)</f>
        <v>0</v>
      </c>
      <c r="AI57" s="67">
        <f>data!AI207</f>
        <v>0</v>
      </c>
      <c r="AJ57" s="67">
        <f>data!AJ207</f>
        <v>0</v>
      </c>
      <c r="AK57" s="67">
        <f>data!AK207</f>
        <v>0</v>
      </c>
      <c r="AL57" s="67">
        <f>data!AL207</f>
        <v>0</v>
      </c>
      <c r="AM57" s="69">
        <f>SUM(AI57:AL57)</f>
        <v>0</v>
      </c>
      <c r="AN57" s="67">
        <f>data!AN207</f>
        <v>0</v>
      </c>
      <c r="AO57" s="67">
        <f>data!AO207</f>
        <v>0</v>
      </c>
      <c r="AP57" s="67">
        <f>data!AP207</f>
        <v>0</v>
      </c>
      <c r="AQ57" s="67">
        <f>data!AQ207</f>
        <v>0</v>
      </c>
      <c r="AR57" s="69">
        <f>SUM(AN57:AQ57)</f>
        <v>0</v>
      </c>
      <c r="AS57" s="248" t="e">
        <f>SEG!#REF!</f>
        <v>#REF!</v>
      </c>
      <c r="AT57" s="248" t="e">
        <f>SEG!#REF!</f>
        <v>#REF!</v>
      </c>
      <c r="AU57" s="248" t="e">
        <f>SEG!#REF!</f>
        <v>#REF!</v>
      </c>
      <c r="AV57" s="248" t="e">
        <f>SEG!#REF!</f>
        <v>#REF!</v>
      </c>
      <c r="AW57" s="69" t="e">
        <f>SUM(AS57:AV57)</f>
        <v>#REF!</v>
      </c>
      <c r="AX57" s="221" t="e">
        <f>SEG!#REF!</f>
        <v>#REF!</v>
      </c>
      <c r="AY57" s="221" t="e">
        <f>SEG!#REF!</f>
        <v>#REF!</v>
      </c>
      <c r="AZ57" s="221" t="e">
        <f>SEG!#REF!</f>
        <v>#REF!</v>
      </c>
      <c r="BA57" s="221" t="e">
        <f>SEG!#REF!</f>
        <v>#REF!</v>
      </c>
      <c r="BB57" s="361"/>
      <c r="BC57" s="221"/>
      <c r="BD57" s="221"/>
      <c r="BE57" s="221"/>
      <c r="BF57" s="221"/>
      <c r="BG57" s="372"/>
      <c r="BH57" s="221"/>
      <c r="BI57" s="221"/>
      <c r="BJ57" s="221"/>
      <c r="BK57" s="221"/>
      <c r="BL57" s="372"/>
      <c r="BM57" s="221"/>
      <c r="BN57" s="221"/>
      <c r="BO57" s="221"/>
      <c r="BP57" s="221"/>
      <c r="BQ57" s="372"/>
      <c r="BR57" s="221"/>
      <c r="BS57" s="221"/>
      <c r="BT57" s="221"/>
      <c r="BU57" s="221"/>
      <c r="BV57" s="372"/>
      <c r="BW57" s="221"/>
      <c r="BX57" s="221"/>
      <c r="BY57" s="221"/>
      <c r="BZ57" s="221"/>
      <c r="CA57" s="372"/>
      <c r="CB57" s="394"/>
      <c r="CC57" s="394"/>
      <c r="CD57" s="394"/>
      <c r="CE57" s="394"/>
      <c r="CF57" s="485"/>
      <c r="CG57" s="394"/>
      <c r="CH57" s="394"/>
      <c r="CI57" s="394"/>
      <c r="CJ57" s="394"/>
      <c r="CK57" s="485"/>
      <c r="CL57" s="394"/>
      <c r="CM57" s="394"/>
      <c r="CN57" s="394"/>
      <c r="CO57" s="394"/>
      <c r="CP57" s="485">
        <f>SUM(CL57:CO57)</f>
        <v>0</v>
      </c>
      <c r="CQ57" s="394"/>
      <c r="CR57" s="394"/>
      <c r="CS57" s="394"/>
      <c r="CT57" s="394"/>
      <c r="CU57" s="485">
        <f>SUM(CQ57:CT57)</f>
        <v>0</v>
      </c>
      <c r="CV57" s="394"/>
      <c r="CW57" s="394"/>
      <c r="CX57" s="394"/>
      <c r="CY57" s="394"/>
      <c r="CZ57" s="485">
        <f>SUM(CV57:CY57)</f>
        <v>0</v>
      </c>
      <c r="DA57" s="394"/>
      <c r="DB57" s="394"/>
      <c r="DC57" s="394"/>
      <c r="DD57" s="394"/>
      <c r="DE57" s="485">
        <f>SUM(DA57:DD57)</f>
        <v>0</v>
      </c>
      <c r="DF57" s="418"/>
      <c r="DG57" s="945"/>
      <c r="DH57" s="945"/>
      <c r="DI57" s="945"/>
      <c r="DJ57" s="944"/>
      <c r="DK57" s="418"/>
      <c r="DL57" s="418"/>
      <c r="DM57" s="418"/>
      <c r="DN57" s="418"/>
      <c r="DO57" s="444"/>
      <c r="DP57" s="418"/>
      <c r="DQ57" s="418"/>
      <c r="DR57" s="418"/>
      <c r="DS57" s="418"/>
      <c r="DT57" s="444"/>
      <c r="DU57" s="444"/>
      <c r="DV57" s="444"/>
    </row>
    <row r="58" spans="1:126" s="15" customFormat="1" hidden="1" outlineLevel="1">
      <c r="B58" s="15" t="s">
        <v>201</v>
      </c>
      <c r="C58" s="35" t="e">
        <f t="shared" ref="C58:AH58" si="261">(C57*(1-C75))/C52</f>
        <v>#VALUE!</v>
      </c>
      <c r="D58" s="35" t="e">
        <f t="shared" si="261"/>
        <v>#VALUE!</v>
      </c>
      <c r="E58" s="35" t="e">
        <f t="shared" si="261"/>
        <v>#VALUE!</v>
      </c>
      <c r="F58" s="35" t="e">
        <f t="shared" si="261"/>
        <v>#VALUE!</v>
      </c>
      <c r="G58" s="35" t="e">
        <f t="shared" si="261"/>
        <v>#VALUE!</v>
      </c>
      <c r="H58" s="35" t="e">
        <f t="shared" si="261"/>
        <v>#VALUE!</v>
      </c>
      <c r="I58" s="35" t="e">
        <f t="shared" si="261"/>
        <v>#VALUE!</v>
      </c>
      <c r="J58" s="25" t="e">
        <f t="shared" si="261"/>
        <v>#VALUE!</v>
      </c>
      <c r="K58" s="25" t="e">
        <f t="shared" si="261"/>
        <v>#VALUE!</v>
      </c>
      <c r="L58" s="25" t="e">
        <f t="shared" si="261"/>
        <v>#VALUE!</v>
      </c>
      <c r="M58" s="25" t="e">
        <f t="shared" si="261"/>
        <v>#VALUE!</v>
      </c>
      <c r="N58" s="35" t="e">
        <f t="shared" si="261"/>
        <v>#VALUE!</v>
      </c>
      <c r="O58" s="25" t="e">
        <f t="shared" si="261"/>
        <v>#VALUE!</v>
      </c>
      <c r="P58" s="25" t="e">
        <f t="shared" si="261"/>
        <v>#VALUE!</v>
      </c>
      <c r="Q58" s="25" t="e">
        <f t="shared" si="261"/>
        <v>#VALUE!</v>
      </c>
      <c r="R58" s="25" t="e">
        <f t="shared" si="261"/>
        <v>#VALUE!</v>
      </c>
      <c r="S58" s="35" t="e">
        <f t="shared" si="261"/>
        <v>#VALUE!</v>
      </c>
      <c r="T58" s="25" t="e">
        <f t="shared" si="261"/>
        <v>#VALUE!</v>
      </c>
      <c r="U58" s="25" t="e">
        <f t="shared" si="261"/>
        <v>#VALUE!</v>
      </c>
      <c r="V58" s="25" t="e">
        <f t="shared" si="261"/>
        <v>#VALUE!</v>
      </c>
      <c r="W58" s="25" t="e">
        <f t="shared" si="261"/>
        <v>#VALUE!</v>
      </c>
      <c r="X58" s="35" t="e">
        <f t="shared" si="261"/>
        <v>#VALUE!</v>
      </c>
      <c r="Y58" s="25" t="e">
        <f t="shared" si="261"/>
        <v>#VALUE!</v>
      </c>
      <c r="Z58" s="25" t="e">
        <f t="shared" si="261"/>
        <v>#VALUE!</v>
      </c>
      <c r="AA58" s="25" t="e">
        <f t="shared" si="261"/>
        <v>#VALUE!</v>
      </c>
      <c r="AB58" s="25" t="e">
        <f t="shared" si="261"/>
        <v>#VALUE!</v>
      </c>
      <c r="AC58" s="35" t="e">
        <f t="shared" si="261"/>
        <v>#VALUE!</v>
      </c>
      <c r="AD58" s="25" t="e">
        <f t="shared" si="261"/>
        <v>#VALUE!</v>
      </c>
      <c r="AE58" s="25" t="e">
        <f t="shared" si="261"/>
        <v>#VALUE!</v>
      </c>
      <c r="AF58" s="25" t="e">
        <f t="shared" si="261"/>
        <v>#VALUE!</v>
      </c>
      <c r="AG58" s="25" t="e">
        <f t="shared" si="261"/>
        <v>#VALUE!</v>
      </c>
      <c r="AH58" s="35" t="e">
        <f t="shared" si="261"/>
        <v>#VALUE!</v>
      </c>
      <c r="AI58" s="25" t="e">
        <f t="shared" ref="AI58:BA58" si="262">(AI57*(1-AI75))/AI52</f>
        <v>#VALUE!</v>
      </c>
      <c r="AJ58" s="25" t="e">
        <f t="shared" si="262"/>
        <v>#VALUE!</v>
      </c>
      <c r="AK58" s="25" t="e">
        <f t="shared" si="262"/>
        <v>#VALUE!</v>
      </c>
      <c r="AL58" s="25" t="e">
        <f t="shared" si="262"/>
        <v>#VALUE!</v>
      </c>
      <c r="AM58" s="35" t="e">
        <f t="shared" si="262"/>
        <v>#VALUE!</v>
      </c>
      <c r="AN58" s="25" t="e">
        <f t="shared" si="262"/>
        <v>#VALUE!</v>
      </c>
      <c r="AO58" s="25" t="e">
        <f t="shared" si="262"/>
        <v>#VALUE!</v>
      </c>
      <c r="AP58" s="25" t="e">
        <f t="shared" si="262"/>
        <v>#VALUE!</v>
      </c>
      <c r="AQ58" s="25" t="e">
        <f t="shared" si="262"/>
        <v>#VALUE!</v>
      </c>
      <c r="AR58" s="35" t="e">
        <f t="shared" si="262"/>
        <v>#VALUE!</v>
      </c>
      <c r="AS58" s="25" t="e">
        <f t="shared" si="262"/>
        <v>#REF!</v>
      </c>
      <c r="AT58" s="25" t="e">
        <f t="shared" si="262"/>
        <v>#REF!</v>
      </c>
      <c r="AU58" s="25" t="e">
        <f t="shared" si="262"/>
        <v>#REF!</v>
      </c>
      <c r="AV58" s="25" t="e">
        <f t="shared" si="262"/>
        <v>#REF!</v>
      </c>
      <c r="AW58" s="35" t="e">
        <f t="shared" si="262"/>
        <v>#REF!</v>
      </c>
      <c r="AX58" s="25" t="e">
        <f t="shared" si="262"/>
        <v>#REF!</v>
      </c>
      <c r="AY58" s="25" t="e">
        <f t="shared" si="262"/>
        <v>#REF!</v>
      </c>
      <c r="AZ58" s="25" t="e">
        <f t="shared" si="262"/>
        <v>#REF!</v>
      </c>
      <c r="BA58" s="25" t="e">
        <f t="shared" si="262"/>
        <v>#REF!</v>
      </c>
      <c r="BB58" s="35"/>
      <c r="BC58" s="25"/>
      <c r="BD58" s="25"/>
      <c r="BE58" s="25"/>
      <c r="BF58" s="25"/>
      <c r="BG58" s="35"/>
      <c r="BH58" s="25"/>
      <c r="BI58" s="25"/>
      <c r="BJ58" s="25"/>
      <c r="BK58" s="25"/>
      <c r="BL58" s="35"/>
      <c r="BM58" s="25"/>
      <c r="BN58" s="25"/>
      <c r="BO58" s="25"/>
      <c r="BP58" s="25"/>
      <c r="BQ58" s="35"/>
      <c r="BR58" s="25"/>
      <c r="BS58" s="25"/>
      <c r="BT58" s="25"/>
      <c r="BU58" s="25"/>
      <c r="BV58" s="35"/>
      <c r="BW58" s="25"/>
      <c r="BX58" s="25"/>
      <c r="BY58" s="25"/>
      <c r="BZ58" s="25"/>
      <c r="CA58" s="35"/>
      <c r="CB58" s="25"/>
      <c r="CC58" s="25"/>
      <c r="CD58" s="25"/>
      <c r="CE58" s="25"/>
      <c r="CF58" s="35"/>
      <c r="CG58" s="25"/>
      <c r="CH58" s="25"/>
      <c r="CI58" s="25"/>
      <c r="CJ58" s="25"/>
      <c r="CK58" s="35"/>
      <c r="CL58" s="398"/>
      <c r="CM58" s="398"/>
      <c r="CN58" s="398"/>
      <c r="CO58" s="398"/>
      <c r="CP58" s="1010">
        <f t="shared" ref="CP58:DE58" si="263">(CP57*(1-CP75))/CP52</f>
        <v>0</v>
      </c>
      <c r="CQ58" s="398"/>
      <c r="CR58" s="398"/>
      <c r="CS58" s="398"/>
      <c r="CT58" s="398"/>
      <c r="CU58" s="1010">
        <f t="shared" si="263"/>
        <v>0</v>
      </c>
      <c r="CV58" s="398"/>
      <c r="CW58" s="398"/>
      <c r="CX58" s="398"/>
      <c r="CY58" s="398"/>
      <c r="CZ58" s="1010">
        <f t="shared" si="263"/>
        <v>0</v>
      </c>
      <c r="DA58" s="398"/>
      <c r="DB58" s="398"/>
      <c r="DC58" s="398"/>
      <c r="DD58" s="398"/>
      <c r="DE58" s="1010">
        <f t="shared" si="263"/>
        <v>0</v>
      </c>
      <c r="DF58" s="398"/>
      <c r="DG58" s="382"/>
      <c r="DH58" s="382"/>
      <c r="DI58" s="382"/>
      <c r="DJ58" s="946"/>
      <c r="DK58" s="25"/>
      <c r="DL58" s="25"/>
      <c r="DM58" s="25"/>
      <c r="DN58" s="25"/>
      <c r="DO58" s="35"/>
      <c r="DP58" s="25"/>
      <c r="DQ58" s="25"/>
      <c r="DR58" s="25"/>
      <c r="DS58" s="25"/>
      <c r="DT58" s="35"/>
      <c r="DU58" s="35"/>
      <c r="DV58" s="35"/>
    </row>
    <row r="59" spans="1:126" s="15" customFormat="1" collapsed="1">
      <c r="C59" s="16"/>
      <c r="D59" s="103"/>
      <c r="E59" s="103"/>
      <c r="F59" s="103"/>
      <c r="G59" s="103"/>
      <c r="H59" s="103"/>
      <c r="I59" s="89" t="e">
        <f>I54/H54-1</f>
        <v>#DIV/0!</v>
      </c>
      <c r="J59" s="50"/>
      <c r="K59" s="50"/>
      <c r="L59" s="50"/>
      <c r="M59" s="90" t="e">
        <f>M54/L54-1</f>
        <v>#DIV/0!</v>
      </c>
      <c r="N59" s="103"/>
      <c r="O59" s="50"/>
      <c r="P59" s="50"/>
      <c r="Q59" s="50"/>
      <c r="R59" s="90" t="e">
        <f>R54/Q54-1</f>
        <v>#DIV/0!</v>
      </c>
      <c r="S59" s="103"/>
      <c r="T59" s="50"/>
      <c r="U59" s="50"/>
      <c r="V59" s="50"/>
      <c r="W59" s="90" t="e">
        <f>W54/V54-1</f>
        <v>#DIV/0!</v>
      </c>
      <c r="X59" s="103"/>
      <c r="Y59" s="50"/>
      <c r="Z59" s="50"/>
      <c r="AA59" s="50"/>
      <c r="AB59" s="90" t="e">
        <f>AB54/AA54-1</f>
        <v>#DIV/0!</v>
      </c>
      <c r="AC59" s="103"/>
      <c r="AD59" s="50"/>
      <c r="AE59" s="50"/>
      <c r="AF59" s="50"/>
      <c r="AG59" s="90" t="e">
        <f>AG54/AF54-1</f>
        <v>#DIV/0!</v>
      </c>
      <c r="AH59" s="103"/>
      <c r="AI59" s="50"/>
      <c r="AJ59" s="50"/>
      <c r="AK59" s="50"/>
      <c r="AL59" s="90" t="e">
        <f>AL54/AK54-1</f>
        <v>#DIV/0!</v>
      </c>
      <c r="AM59" s="103"/>
      <c r="AN59" s="50"/>
      <c r="AO59" s="50"/>
      <c r="AP59" s="50"/>
      <c r="AQ59" s="90" t="e">
        <f>AQ54/AP54-1</f>
        <v>#DIV/0!</v>
      </c>
      <c r="AR59" s="103"/>
      <c r="AS59" s="50"/>
      <c r="AT59" s="50"/>
      <c r="AU59" s="50"/>
      <c r="AV59" s="90" t="e">
        <f>AV54/AU54-1</f>
        <v>#DIV/0!</v>
      </c>
      <c r="AW59" s="103"/>
      <c r="AX59" s="50"/>
      <c r="AY59" s="50"/>
      <c r="AZ59" s="50"/>
      <c r="BA59" s="90" t="e">
        <f>BA54/AZ54-1</f>
        <v>#DIV/0!</v>
      </c>
      <c r="BB59" s="103"/>
      <c r="BC59" s="50"/>
      <c r="BD59" s="50"/>
      <c r="BE59" s="50"/>
      <c r="BF59" s="50"/>
      <c r="BG59" s="103"/>
      <c r="BH59" s="50"/>
      <c r="BI59" s="50"/>
      <c r="BJ59" s="50"/>
      <c r="BK59" s="50"/>
      <c r="BL59" s="103"/>
      <c r="BM59" s="50"/>
      <c r="BN59" s="50"/>
      <c r="BO59" s="50"/>
      <c r="BP59" s="50"/>
      <c r="BQ59" s="103"/>
      <c r="BR59" s="50"/>
      <c r="BS59" s="50"/>
      <c r="BT59" s="50"/>
      <c r="BU59" s="50"/>
      <c r="BV59" s="103"/>
      <c r="BW59" s="50"/>
      <c r="BX59" s="50"/>
      <c r="BY59" s="50"/>
      <c r="BZ59" s="50"/>
      <c r="CA59" s="103"/>
      <c r="CB59" s="50"/>
      <c r="CC59" s="50"/>
      <c r="CD59" s="50"/>
      <c r="CE59" s="50"/>
      <c r="CF59" s="103"/>
      <c r="CG59" s="50"/>
      <c r="CH59" s="50"/>
      <c r="CI59" s="50"/>
      <c r="CJ59" s="50"/>
      <c r="CK59" s="103"/>
      <c r="CL59" s="50"/>
      <c r="CM59" s="50"/>
      <c r="CN59" s="50"/>
      <c r="CO59" s="50"/>
      <c r="CP59" s="103"/>
      <c r="CQ59" s="50"/>
      <c r="CR59" s="50"/>
      <c r="CS59" s="50"/>
      <c r="CT59" s="50"/>
      <c r="CU59" s="103"/>
      <c r="CV59" s="50"/>
      <c r="CW59" s="50"/>
      <c r="CX59" s="50"/>
      <c r="CY59" s="50"/>
      <c r="CZ59" s="103"/>
      <c r="DA59" s="50"/>
      <c r="DB59" s="50"/>
      <c r="DC59" s="50"/>
      <c r="DD59" s="50"/>
      <c r="DE59" s="103"/>
      <c r="DF59" s="50"/>
      <c r="DG59" s="50"/>
      <c r="DH59" s="50"/>
      <c r="DI59" s="50"/>
      <c r="DJ59" s="507"/>
      <c r="DK59" s="50"/>
      <c r="DL59" s="50"/>
      <c r="DM59" s="50"/>
      <c r="DN59" s="50"/>
      <c r="DO59" s="103"/>
      <c r="DP59" s="50"/>
      <c r="DQ59" s="50"/>
      <c r="DR59" s="50"/>
      <c r="DS59" s="50"/>
      <c r="DT59" s="103"/>
      <c r="DU59" s="103"/>
      <c r="DV59" s="103"/>
    </row>
    <row r="60" spans="1:126" s="12" customFormat="1" ht="3" customHeight="1">
      <c r="A60" s="97"/>
      <c r="B60" s="97"/>
      <c r="C60" s="98"/>
      <c r="D60" s="98"/>
      <c r="E60" s="98"/>
      <c r="F60" s="98"/>
      <c r="G60" s="98"/>
      <c r="H60" s="98"/>
      <c r="I60" s="98"/>
      <c r="J60" s="97"/>
      <c r="K60" s="97"/>
      <c r="L60" s="97"/>
      <c r="M60" s="97"/>
      <c r="N60" s="98"/>
      <c r="O60" s="97"/>
      <c r="P60" s="97"/>
      <c r="Q60" s="97"/>
      <c r="R60" s="97"/>
      <c r="S60" s="98"/>
      <c r="T60" s="97"/>
      <c r="U60" s="97"/>
      <c r="V60" s="97"/>
      <c r="W60" s="97"/>
      <c r="X60" s="98"/>
      <c r="Y60" s="97"/>
      <c r="Z60" s="97"/>
      <c r="AA60" s="97"/>
      <c r="AB60" s="97"/>
      <c r="AC60" s="98"/>
      <c r="AD60" s="97"/>
      <c r="AE60" s="97"/>
      <c r="AF60" s="97"/>
      <c r="AG60" s="97"/>
      <c r="AH60" s="98"/>
      <c r="AI60" s="97"/>
      <c r="AJ60" s="97"/>
      <c r="AK60" s="97"/>
      <c r="AL60" s="97"/>
      <c r="AM60" s="98"/>
      <c r="AN60" s="97"/>
      <c r="AO60" s="97"/>
      <c r="AP60" s="97"/>
      <c r="AQ60" s="97"/>
      <c r="AR60" s="98"/>
      <c r="AS60" s="97"/>
      <c r="AT60" s="97"/>
      <c r="AU60" s="97"/>
      <c r="AV60" s="97"/>
      <c r="AW60" s="98"/>
      <c r="AX60" s="97"/>
      <c r="AY60" s="97"/>
      <c r="AZ60" s="97"/>
      <c r="BA60" s="97"/>
      <c r="BB60" s="98"/>
      <c r="BC60" s="97"/>
      <c r="BD60" s="97"/>
      <c r="BE60" s="97"/>
      <c r="BF60" s="97"/>
      <c r="BG60" s="98"/>
      <c r="BH60" s="97"/>
      <c r="BI60" s="97"/>
      <c r="BJ60" s="97"/>
      <c r="BK60" s="97"/>
      <c r="BL60" s="98"/>
      <c r="BM60" s="97"/>
      <c r="BN60" s="97"/>
      <c r="BO60" s="97"/>
      <c r="BP60" s="97"/>
      <c r="BQ60" s="98"/>
      <c r="BR60" s="97"/>
      <c r="BS60" s="97"/>
      <c r="BT60" s="97"/>
      <c r="BU60" s="97"/>
      <c r="BV60" s="98"/>
      <c r="BW60" s="97"/>
      <c r="BX60" s="97"/>
      <c r="BY60" s="97"/>
      <c r="BZ60" s="97"/>
      <c r="CA60" s="98"/>
      <c r="CB60" s="97"/>
      <c r="CC60" s="97"/>
      <c r="CD60" s="97"/>
      <c r="CE60" s="97"/>
      <c r="CF60" s="98"/>
      <c r="CG60" s="97"/>
      <c r="CH60" s="97"/>
      <c r="CI60" s="97"/>
      <c r="CJ60" s="97"/>
      <c r="CK60" s="98"/>
      <c r="CL60" s="97"/>
      <c r="CM60" s="97"/>
      <c r="CN60" s="97"/>
      <c r="CO60" s="97"/>
      <c r="CP60" s="98"/>
      <c r="CQ60" s="97"/>
      <c r="CR60" s="97"/>
      <c r="CS60" s="97"/>
      <c r="CT60" s="97"/>
      <c r="CU60" s="98"/>
      <c r="CV60" s="97"/>
      <c r="CW60" s="97"/>
      <c r="CX60" s="97"/>
      <c r="CY60" s="97"/>
      <c r="CZ60" s="98"/>
      <c r="DA60" s="97"/>
      <c r="DB60" s="97"/>
      <c r="DC60" s="97"/>
      <c r="DD60" s="97"/>
      <c r="DE60" s="98"/>
      <c r="DF60" s="97"/>
      <c r="DG60" s="97"/>
      <c r="DH60" s="97"/>
      <c r="DI60" s="97"/>
      <c r="DJ60" s="466"/>
      <c r="DK60" s="97"/>
      <c r="DL60" s="97"/>
      <c r="DM60" s="97"/>
      <c r="DN60" s="97"/>
      <c r="DO60" s="98"/>
      <c r="DP60" s="97"/>
      <c r="DQ60" s="97"/>
      <c r="DR60" s="97"/>
      <c r="DS60" s="97"/>
      <c r="DT60" s="98"/>
      <c r="DU60" s="98"/>
      <c r="DV60" s="98"/>
    </row>
    <row r="61" spans="1:126" ht="12">
      <c r="A61" s="15"/>
      <c r="B61" s="2" t="s">
        <v>95</v>
      </c>
      <c r="C61" s="135"/>
      <c r="D61" s="135"/>
      <c r="E61" s="135"/>
      <c r="F61" s="135"/>
      <c r="G61" s="135"/>
      <c r="H61" s="135"/>
      <c r="I61" s="135"/>
      <c r="N61" s="135"/>
      <c r="S61" s="135"/>
      <c r="X61" s="135"/>
      <c r="AC61" s="135"/>
      <c r="AH61" s="135"/>
      <c r="AM61" s="135"/>
      <c r="AR61" s="135"/>
      <c r="AW61" s="135"/>
      <c r="BB61" s="135"/>
      <c r="BG61" s="135"/>
      <c r="BL61" s="135"/>
      <c r="BQ61" s="135"/>
      <c r="BV61" s="135"/>
      <c r="CA61" s="135"/>
      <c r="CF61" s="135"/>
      <c r="CK61" s="135"/>
      <c r="CP61" s="135"/>
      <c r="CU61" s="135"/>
      <c r="CZ61" s="135"/>
      <c r="DE61" s="135"/>
      <c r="DJ61" s="222"/>
      <c r="DO61" s="135"/>
      <c r="DT61" s="135"/>
      <c r="DU61" s="135"/>
      <c r="DV61" s="135"/>
    </row>
    <row r="62" spans="1:126">
      <c r="B62" s="221" t="s">
        <v>647</v>
      </c>
      <c r="C62" s="155">
        <f t="shared" ref="C62:AL62" si="264">C14</f>
        <v>0</v>
      </c>
      <c r="D62" s="155">
        <f t="shared" si="264"/>
        <v>0</v>
      </c>
      <c r="E62" s="155">
        <f t="shared" si="264"/>
        <v>0</v>
      </c>
      <c r="F62" s="155">
        <f t="shared" si="264"/>
        <v>0</v>
      </c>
      <c r="G62" s="155">
        <f t="shared" si="264"/>
        <v>0</v>
      </c>
      <c r="H62" s="155">
        <f t="shared" si="264"/>
        <v>0</v>
      </c>
      <c r="I62" s="155">
        <f t="shared" si="264"/>
        <v>0</v>
      </c>
      <c r="J62" s="157">
        <f t="shared" si="264"/>
        <v>0</v>
      </c>
      <c r="K62" s="157">
        <f t="shared" si="264"/>
        <v>0</v>
      </c>
      <c r="L62" s="157">
        <f t="shared" si="264"/>
        <v>0</v>
      </c>
      <c r="M62" s="157">
        <f t="shared" si="264"/>
        <v>0</v>
      </c>
      <c r="N62" s="155">
        <f t="shared" si="264"/>
        <v>0</v>
      </c>
      <c r="O62" s="157" t="e">
        <f t="shared" si="264"/>
        <v>#REF!</v>
      </c>
      <c r="P62" s="157" t="e">
        <f t="shared" si="264"/>
        <v>#REF!</v>
      </c>
      <c r="Q62" s="157" t="e">
        <f t="shared" si="264"/>
        <v>#REF!</v>
      </c>
      <c r="R62" s="157" t="e">
        <f t="shared" si="264"/>
        <v>#REF!</v>
      </c>
      <c r="S62" s="155" t="e">
        <f t="shared" si="264"/>
        <v>#REF!</v>
      </c>
      <c r="T62" s="157" t="e">
        <f t="shared" si="264"/>
        <v>#REF!</v>
      </c>
      <c r="U62" s="157" t="e">
        <f t="shared" si="264"/>
        <v>#REF!</v>
      </c>
      <c r="V62" s="157" t="e">
        <f t="shared" si="264"/>
        <v>#REF!</v>
      </c>
      <c r="W62" s="157" t="e">
        <f t="shared" si="264"/>
        <v>#REF!</v>
      </c>
      <c r="X62" s="155" t="e">
        <f t="shared" si="264"/>
        <v>#REF!</v>
      </c>
      <c r="Y62" s="157" t="e">
        <f t="shared" si="264"/>
        <v>#REF!</v>
      </c>
      <c r="Z62" s="157" t="e">
        <f t="shared" si="264"/>
        <v>#REF!</v>
      </c>
      <c r="AA62" s="157" t="e">
        <f t="shared" si="264"/>
        <v>#REF!</v>
      </c>
      <c r="AB62" s="157" t="e">
        <f t="shared" si="264"/>
        <v>#REF!</v>
      </c>
      <c r="AC62" s="155" t="e">
        <f t="shared" si="264"/>
        <v>#REF!</v>
      </c>
      <c r="AD62" s="157" t="e">
        <f t="shared" si="264"/>
        <v>#REF!</v>
      </c>
      <c r="AE62" s="157" t="e">
        <f t="shared" si="264"/>
        <v>#REF!</v>
      </c>
      <c r="AF62" s="157" t="e">
        <f t="shared" si="264"/>
        <v>#REF!</v>
      </c>
      <c r="AG62" s="157" t="e">
        <f t="shared" si="264"/>
        <v>#REF!</v>
      </c>
      <c r="AH62" s="155" t="e">
        <f t="shared" si="264"/>
        <v>#REF!</v>
      </c>
      <c r="AI62" s="157" t="e">
        <f t="shared" si="264"/>
        <v>#REF!</v>
      </c>
      <c r="AJ62" s="157" t="e">
        <f t="shared" si="264"/>
        <v>#REF!</v>
      </c>
      <c r="AK62" s="157" t="e">
        <f t="shared" si="264"/>
        <v>#REF!</v>
      </c>
      <c r="AL62" s="157" t="e">
        <f t="shared" si="264"/>
        <v>#REF!</v>
      </c>
      <c r="AM62" s="155" t="e">
        <f>SUM(AI62:AL62)</f>
        <v>#REF!</v>
      </c>
      <c r="AN62" s="157" t="e">
        <f>AN14</f>
        <v>#REF!</v>
      </c>
      <c r="AO62" s="157" t="e">
        <f>AO14</f>
        <v>#REF!</v>
      </c>
      <c r="AP62" s="157" t="e">
        <f>AP14</f>
        <v>#REF!</v>
      </c>
      <c r="AQ62" s="157">
        <f>AQ14</f>
        <v>0</v>
      </c>
      <c r="AR62" s="155" t="e">
        <f>SUM(AN62:AQ62)</f>
        <v>#REF!</v>
      </c>
      <c r="AS62" s="157">
        <f t="shared" ref="AS62:BX62" si="265">AS14</f>
        <v>0</v>
      </c>
      <c r="AT62" s="157">
        <f t="shared" si="265"/>
        <v>0</v>
      </c>
      <c r="AU62" s="157">
        <f t="shared" si="265"/>
        <v>0</v>
      </c>
      <c r="AV62" s="157">
        <f t="shared" si="265"/>
        <v>0</v>
      </c>
      <c r="AW62" s="155">
        <f t="shared" si="265"/>
        <v>0</v>
      </c>
      <c r="AX62" s="157" t="e">
        <f t="shared" si="265"/>
        <v>#REF!</v>
      </c>
      <c r="AY62" s="157" t="e">
        <f t="shared" si="265"/>
        <v>#REF!</v>
      </c>
      <c r="AZ62" s="157">
        <f t="shared" si="265"/>
        <v>0</v>
      </c>
      <c r="BA62" s="157">
        <f t="shared" si="265"/>
        <v>0</v>
      </c>
      <c r="BB62" s="155" t="e">
        <f t="shared" si="265"/>
        <v>#REF!</v>
      </c>
      <c r="BC62" s="157">
        <f t="shared" si="265"/>
        <v>0</v>
      </c>
      <c r="BD62" s="157" t="e">
        <f t="shared" si="265"/>
        <v>#REF!</v>
      </c>
      <c r="BE62" s="157">
        <f t="shared" si="265"/>
        <v>0</v>
      </c>
      <c r="BF62" s="157">
        <f t="shared" si="265"/>
        <v>0</v>
      </c>
      <c r="BG62" s="155" t="e">
        <f t="shared" si="265"/>
        <v>#REF!</v>
      </c>
      <c r="BH62" s="157">
        <f t="shared" si="265"/>
        <v>0</v>
      </c>
      <c r="BI62" s="157">
        <f t="shared" si="265"/>
        <v>0</v>
      </c>
      <c r="BJ62" s="157">
        <f t="shared" si="265"/>
        <v>0</v>
      </c>
      <c r="BK62" s="157">
        <f t="shared" si="265"/>
        <v>0</v>
      </c>
      <c r="BL62" s="155">
        <f t="shared" si="265"/>
        <v>0</v>
      </c>
      <c r="BM62" s="157">
        <f t="shared" si="265"/>
        <v>0</v>
      </c>
      <c r="BN62" s="157">
        <f t="shared" si="265"/>
        <v>0</v>
      </c>
      <c r="BO62" s="157">
        <f t="shared" si="265"/>
        <v>0</v>
      </c>
      <c r="BP62" s="157">
        <f t="shared" si="265"/>
        <v>0</v>
      </c>
      <c r="BQ62" s="155">
        <f t="shared" si="265"/>
        <v>0</v>
      </c>
      <c r="BR62" s="157">
        <f t="shared" si="265"/>
        <v>0</v>
      </c>
      <c r="BS62" s="157">
        <f t="shared" si="265"/>
        <v>0</v>
      </c>
      <c r="BT62" s="157">
        <f t="shared" si="265"/>
        <v>0</v>
      </c>
      <c r="BU62" s="157">
        <f t="shared" si="265"/>
        <v>0</v>
      </c>
      <c r="BV62" s="155">
        <f t="shared" si="265"/>
        <v>0</v>
      </c>
      <c r="BW62" s="157">
        <f t="shared" si="265"/>
        <v>0</v>
      </c>
      <c r="BX62" s="157">
        <f t="shared" si="265"/>
        <v>0</v>
      </c>
      <c r="BY62" s="157">
        <f t="shared" ref="BY62:CK62" si="266">BY14</f>
        <v>0</v>
      </c>
      <c r="BZ62" s="157">
        <f t="shared" si="266"/>
        <v>0</v>
      </c>
      <c r="CA62" s="155">
        <f t="shared" si="266"/>
        <v>0</v>
      </c>
      <c r="CB62" s="157">
        <f t="shared" si="266"/>
        <v>0</v>
      </c>
      <c r="CC62" s="157">
        <f t="shared" si="266"/>
        <v>0</v>
      </c>
      <c r="CD62" s="157">
        <f t="shared" si="266"/>
        <v>0</v>
      </c>
      <c r="CE62" s="157">
        <f t="shared" si="266"/>
        <v>0</v>
      </c>
      <c r="CF62" s="155">
        <f t="shared" si="266"/>
        <v>0</v>
      </c>
      <c r="CG62" s="157">
        <f t="shared" si="266"/>
        <v>0</v>
      </c>
      <c r="CH62" s="157">
        <f t="shared" si="266"/>
        <v>0</v>
      </c>
      <c r="CI62" s="157">
        <f t="shared" si="266"/>
        <v>0</v>
      </c>
      <c r="CJ62" s="157">
        <f t="shared" si="266"/>
        <v>0</v>
      </c>
      <c r="CK62" s="155">
        <f t="shared" si="266"/>
        <v>0</v>
      </c>
      <c r="CL62" s="157">
        <f>SEG!CL71</f>
        <v>1032</v>
      </c>
      <c r="CM62" s="157">
        <f>SEG!CM71</f>
        <v>-666</v>
      </c>
      <c r="CN62" s="157">
        <f>SEG!CN71</f>
        <v>865</v>
      </c>
      <c r="CO62" s="157">
        <f>SEG!CO71</f>
        <v>1015</v>
      </c>
      <c r="CP62" s="155">
        <f>SUM(CL62:CO62)</f>
        <v>2246</v>
      </c>
      <c r="CQ62" s="157">
        <f>SEG!CQ71</f>
        <v>798</v>
      </c>
      <c r="CR62" s="157">
        <f>SEG!CR71</f>
        <v>918</v>
      </c>
      <c r="CS62" s="157">
        <f>SEG!CS71</f>
        <v>1316</v>
      </c>
      <c r="CT62" s="157">
        <f>SEG!CT71</f>
        <v>1575</v>
      </c>
      <c r="CU62" s="155">
        <f>SUM(CQ62:CT62)</f>
        <v>4607</v>
      </c>
      <c r="CV62" s="157">
        <f>SEG!CV71</f>
        <v>415</v>
      </c>
      <c r="CW62" s="157">
        <f>SEG!CW71</f>
        <v>1018</v>
      </c>
      <c r="CX62" s="157">
        <f>SEG!CX71</f>
        <v>359</v>
      </c>
      <c r="CY62" s="157">
        <f>SEG!CY71</f>
        <v>1366</v>
      </c>
      <c r="CZ62" s="155">
        <f>SUM(CV62:CY62)</f>
        <v>3158</v>
      </c>
      <c r="DA62" s="157">
        <f>SEG!DA71</f>
        <v>1247</v>
      </c>
      <c r="DB62" s="157">
        <f>SEG!DB71</f>
        <v>1385</v>
      </c>
      <c r="DC62" s="157">
        <f>SEG!DC71</f>
        <v>1594</v>
      </c>
      <c r="DD62" s="157">
        <f>SEG!DD71</f>
        <v>1335</v>
      </c>
      <c r="DE62" s="155">
        <f>SUM(DA62:DD62)</f>
        <v>5561</v>
      </c>
      <c r="DF62" s="157">
        <f>SEG!DF71</f>
        <v>1550</v>
      </c>
      <c r="DG62" s="157">
        <f>SEG!DG71</f>
        <v>1897</v>
      </c>
      <c r="DH62" s="157">
        <f>SEG!DH71</f>
        <v>1818</v>
      </c>
      <c r="DI62" s="157">
        <f>SEG!DI71</f>
        <v>1988</v>
      </c>
      <c r="DJ62" s="155">
        <f>SUM(DF62:DI62)</f>
        <v>7253</v>
      </c>
      <c r="DK62" s="157">
        <f>SEG!DK71</f>
        <v>2146</v>
      </c>
      <c r="DL62" s="157">
        <f>SEG!DL71</f>
        <v>2337</v>
      </c>
      <c r="DM62" s="157">
        <f>SEG!DM71</f>
        <v>2141.2268800000002</v>
      </c>
      <c r="DN62" s="157">
        <f>SEG!DN71</f>
        <v>2037.9231999999997</v>
      </c>
      <c r="DO62" s="155">
        <f>SUM(DK62:DN62)</f>
        <v>8662.1500799999994</v>
      </c>
      <c r="DP62" s="157">
        <f>SEG!DP71</f>
        <v>2378.8568399999999</v>
      </c>
      <c r="DQ62" s="157">
        <f>SEG!DQ71</f>
        <v>2595.7157500000003</v>
      </c>
      <c r="DR62" s="157">
        <f>SEG!DR71</f>
        <v>2502.9031202000006</v>
      </c>
      <c r="DS62" s="157">
        <f>SEG!DS71</f>
        <v>2588.8442002719999</v>
      </c>
      <c r="DT62" s="155">
        <f>SUM(DP62:DS62)</f>
        <v>10066.319910472001</v>
      </c>
      <c r="DU62" s="155">
        <f>SEG!DU71</f>
        <v>11037.298075816725</v>
      </c>
      <c r="DV62" s="155">
        <f>SEG!DV71</f>
        <v>11906.148714403262</v>
      </c>
    </row>
    <row r="63" spans="1:126">
      <c r="B63" s="131" t="s">
        <v>96</v>
      </c>
      <c r="C63" s="155">
        <f>CFLO!C8+CFLO!C9</f>
        <v>0</v>
      </c>
      <c r="D63" s="155">
        <f>CFLO!D8+CFLO!D9</f>
        <v>0</v>
      </c>
      <c r="E63" s="155">
        <f>CFLO!E8+CFLO!E9</f>
        <v>0</v>
      </c>
      <c r="F63" s="155">
        <f>CFLO!F8+CFLO!F9</f>
        <v>0</v>
      </c>
      <c r="G63" s="155">
        <f>CFLO!G8+CFLO!G9</f>
        <v>0</v>
      </c>
      <c r="H63" s="155">
        <f>CFLO!H8+CFLO!H9</f>
        <v>0</v>
      </c>
      <c r="I63" s="155">
        <f>CFLO!I8+CFLO!I9</f>
        <v>0</v>
      </c>
      <c r="J63" s="157">
        <f>CFLO!J8+CFLO!J9</f>
        <v>0</v>
      </c>
      <c r="K63" s="157">
        <f>CFLO!K8+CFLO!K9</f>
        <v>0</v>
      </c>
      <c r="L63" s="157">
        <f>CFLO!L8+CFLO!L9</f>
        <v>0</v>
      </c>
      <c r="M63" s="157">
        <f>CFLO!M8+CFLO!M9</f>
        <v>0</v>
      </c>
      <c r="N63" s="155">
        <f>CFLO!N8+CFLO!N9</f>
        <v>0</v>
      </c>
      <c r="O63" s="157">
        <f>CFLO!O8+CFLO!O9</f>
        <v>0</v>
      </c>
      <c r="P63" s="157">
        <f>CFLO!P8+CFLO!P9</f>
        <v>0</v>
      </c>
      <c r="Q63" s="157">
        <f>CFLO!Q8+CFLO!Q9</f>
        <v>0</v>
      </c>
      <c r="R63" s="157">
        <f>CFLO!R8+CFLO!R9</f>
        <v>0</v>
      </c>
      <c r="S63" s="155">
        <f>CFLO!S8+CFLO!S9</f>
        <v>0</v>
      </c>
      <c r="T63" s="157">
        <f>CFLO!T8+CFLO!T9</f>
        <v>0</v>
      </c>
      <c r="U63" s="157">
        <f>CFLO!U8+CFLO!U9</f>
        <v>0</v>
      </c>
      <c r="V63" s="157">
        <f>CFLO!V8+CFLO!V9</f>
        <v>0</v>
      </c>
      <c r="W63" s="157">
        <f>CFLO!W8+CFLO!W9</f>
        <v>0</v>
      </c>
      <c r="X63" s="155">
        <f>CFLO!X8+CFLO!X9</f>
        <v>0</v>
      </c>
      <c r="Y63" s="157">
        <f>CFLO!Y8+CFLO!Y9</f>
        <v>0</v>
      </c>
      <c r="Z63" s="157">
        <f>CFLO!Z8+CFLO!Z9</f>
        <v>0</v>
      </c>
      <c r="AA63" s="157">
        <f>CFLO!AA8+CFLO!AA9</f>
        <v>0</v>
      </c>
      <c r="AB63" s="157">
        <f>CFLO!AB8+CFLO!AB9</f>
        <v>0</v>
      </c>
      <c r="AC63" s="155">
        <f>CFLO!AC8+CFLO!AC9</f>
        <v>0</v>
      </c>
      <c r="AD63" s="157">
        <f>CFLO!AD8+CFLO!AD9</f>
        <v>0</v>
      </c>
      <c r="AE63" s="157">
        <f>CFLO!AE8+CFLO!AE9</f>
        <v>0</v>
      </c>
      <c r="AF63" s="157">
        <f>CFLO!AF8+CFLO!AF9</f>
        <v>0</v>
      </c>
      <c r="AG63" s="157">
        <f>CFLO!AG8+CFLO!AG9</f>
        <v>0</v>
      </c>
      <c r="AH63" s="155">
        <f>CFLO!AH8+CFLO!AH9</f>
        <v>0</v>
      </c>
      <c r="AI63" s="157">
        <f>CFLO!AI8+CFLO!AI9</f>
        <v>0</v>
      </c>
      <c r="AJ63" s="157">
        <f>CFLO!AJ8+CFLO!AJ9</f>
        <v>0</v>
      </c>
      <c r="AK63" s="157">
        <f>CFLO!AK8+CFLO!AK9</f>
        <v>0</v>
      </c>
      <c r="AL63" s="157">
        <f>CFLO!AL8+CFLO!AL9</f>
        <v>0</v>
      </c>
      <c r="AM63" s="155">
        <f>SUM(AI63:AL63)</f>
        <v>0</v>
      </c>
      <c r="AN63" s="157">
        <f>CFLO!AN8+CFLO!AN9</f>
        <v>0</v>
      </c>
      <c r="AO63" s="157">
        <f>CFLO!AO8+CFLO!AO9</f>
        <v>0</v>
      </c>
      <c r="AP63" s="157">
        <f>CFLO!AP8+CFLO!AP9</f>
        <v>0</v>
      </c>
      <c r="AQ63" s="157">
        <f>CFLO!AQ8+CFLO!AQ9</f>
        <v>0</v>
      </c>
      <c r="AR63" s="155">
        <f>SUM(AN63:AQ63)</f>
        <v>0</v>
      </c>
      <c r="AS63" s="157">
        <f>CFLO!AS8+CFLO!AS9</f>
        <v>0</v>
      </c>
      <c r="AT63" s="157">
        <f>CFLO!AT8+CFLO!AT9</f>
        <v>0</v>
      </c>
      <c r="AU63" s="157">
        <f>CFLO!AU8+CFLO!AU9</f>
        <v>0</v>
      </c>
      <c r="AV63" s="157">
        <f>CFLO!AV8+CFLO!AV9</f>
        <v>0</v>
      </c>
      <c r="AW63" s="155">
        <f>SUM(AS63:AV63)</f>
        <v>0</v>
      </c>
      <c r="AX63" s="157">
        <f>CFLO!AX8+CFLO!AX9</f>
        <v>0</v>
      </c>
      <c r="AY63" s="157">
        <f>CFLO!AY8+CFLO!AY9</f>
        <v>0</v>
      </c>
      <c r="AZ63" s="157">
        <f>CFLO!AZ8+CFLO!AZ9</f>
        <v>0</v>
      </c>
      <c r="BA63" s="157">
        <f>CFLO!BA8+CFLO!BA9</f>
        <v>0</v>
      </c>
      <c r="BB63" s="155">
        <f>SUM(AX63:BA63)</f>
        <v>0</v>
      </c>
      <c r="BC63" s="157">
        <f>CFLO!BC8+CFLO!BC9</f>
        <v>0</v>
      </c>
      <c r="BD63" s="157">
        <f>CFLO!BD8+CFLO!BD9</f>
        <v>0</v>
      </c>
      <c r="BE63" s="157">
        <f>CFLO!BE8+CFLO!BE9</f>
        <v>0</v>
      </c>
      <c r="BF63" s="157">
        <f>CFLO!BF8+CFLO!BF9</f>
        <v>0</v>
      </c>
      <c r="BG63" s="155">
        <f>SUM(BC63:BF63)</f>
        <v>0</v>
      </c>
      <c r="BH63" s="157">
        <f>CFLO!BH8+CFLO!BH9</f>
        <v>0</v>
      </c>
      <c r="BI63" s="157">
        <f>CFLO!BI8+CFLO!BI9</f>
        <v>0</v>
      </c>
      <c r="BJ63" s="157">
        <f>CFLO!BJ8+CFLO!BJ9</f>
        <v>0</v>
      </c>
      <c r="BK63" s="157">
        <f>CFLO!BK8+CFLO!BK9</f>
        <v>0</v>
      </c>
      <c r="BL63" s="155">
        <f>SUM(BH63:BK63)</f>
        <v>0</v>
      </c>
      <c r="BM63" s="157">
        <f>CFLO!BM8+CFLO!BM9</f>
        <v>0</v>
      </c>
      <c r="BN63" s="157">
        <f>CFLO!BN8+CFLO!BN9</f>
        <v>0</v>
      </c>
      <c r="BO63" s="157">
        <f>CFLO!BO8+CFLO!BO9</f>
        <v>0</v>
      </c>
      <c r="BP63" s="157">
        <f>CFLO!BP8+CFLO!BP9</f>
        <v>0</v>
      </c>
      <c r="BQ63" s="155">
        <f>SUM(BM63:BP63)</f>
        <v>0</v>
      </c>
      <c r="BR63" s="157">
        <f>CFLO!BR8+CFLO!BR9</f>
        <v>0</v>
      </c>
      <c r="BS63" s="157">
        <f>CFLO!BS8+CFLO!BS9</f>
        <v>0</v>
      </c>
      <c r="BT63" s="157">
        <f>CFLO!BT8+CFLO!BT9</f>
        <v>0</v>
      </c>
      <c r="BU63" s="157">
        <f>CFLO!BU8+CFLO!BU9</f>
        <v>0</v>
      </c>
      <c r="BV63" s="155">
        <f>SUM(BR63:BU63)</f>
        <v>0</v>
      </c>
      <c r="BW63" s="157">
        <f>CFLO!BW8+CFLO!BW9</f>
        <v>0</v>
      </c>
      <c r="BX63" s="157">
        <f>CFLO!BX8+CFLO!BX9</f>
        <v>0</v>
      </c>
      <c r="BY63" s="157">
        <f>CFLO!BY8+CFLO!BY9</f>
        <v>0</v>
      </c>
      <c r="BZ63" s="157">
        <f>CFLO!BZ8+CFLO!BZ9</f>
        <v>0</v>
      </c>
      <c r="CA63" s="155">
        <f>SUM(BW63:BZ63)</f>
        <v>0</v>
      </c>
      <c r="CB63" s="157">
        <f>CFLO!CB8+CFLO!CB9</f>
        <v>0</v>
      </c>
      <c r="CC63" s="157">
        <f>CFLO!CC8+CFLO!CC9</f>
        <v>0</v>
      </c>
      <c r="CD63" s="157">
        <f>CFLO!CD8+CFLO!CD9</f>
        <v>0</v>
      </c>
      <c r="CE63" s="157">
        <f>CFLO!CE8+CFLO!CE9</f>
        <v>0</v>
      </c>
      <c r="CF63" s="155">
        <f>SUM(CB63:CE63)</f>
        <v>0</v>
      </c>
      <c r="CG63" s="157">
        <f>CFLO!CG8+CFLO!CG9</f>
        <v>0</v>
      </c>
      <c r="CH63" s="157">
        <f>CFLO!CH8+CFLO!CH9</f>
        <v>0</v>
      </c>
      <c r="CI63" s="157">
        <f>CFLO!CI8+CFLO!CI9</f>
        <v>0</v>
      </c>
      <c r="CJ63" s="157">
        <f>CFLO!CJ8+CFLO!CJ9</f>
        <v>0</v>
      </c>
      <c r="CK63" s="155">
        <f>SUM(CG63:CJ63)</f>
        <v>0</v>
      </c>
      <c r="CL63" s="157">
        <f>CFLO!CL8+CFLO!CL9</f>
        <v>779</v>
      </c>
      <c r="CM63" s="157">
        <f>CFLO!CM8+CFLO!CM9</f>
        <v>759</v>
      </c>
      <c r="CN63" s="157">
        <f>CFLO!CN8+CFLO!CN9</f>
        <v>1162</v>
      </c>
      <c r="CO63" s="494">
        <f>CFLO!CO8+CFLO!CO9</f>
        <v>764</v>
      </c>
      <c r="CP63" s="155">
        <f>SUM(CL63:CO63)</f>
        <v>3464</v>
      </c>
      <c r="CQ63" s="157">
        <f>CFLO!CQ8+CFLO!CQ9</f>
        <v>753</v>
      </c>
      <c r="CR63" s="157">
        <f>CFLO!CR8+CFLO!CR9</f>
        <v>771</v>
      </c>
      <c r="CS63" s="157">
        <f>CFLO!CS8+CFLO!CS9</f>
        <v>726</v>
      </c>
      <c r="CT63" s="494">
        <f>CFLO!CT8+CFLO!CT9</f>
        <v>759</v>
      </c>
      <c r="CU63" s="155">
        <f>SUM(CQ63:CT63)</f>
        <v>3009</v>
      </c>
      <c r="CV63" s="157">
        <f>CFLO!CV8+CFLO!CV9</f>
        <v>1325</v>
      </c>
      <c r="CW63" s="157">
        <f>CFLO!CW8+CFLO!CW9</f>
        <v>516</v>
      </c>
      <c r="CX63" s="157">
        <f>CFLO!CX8+CFLO!CX9</f>
        <v>482</v>
      </c>
      <c r="CY63" s="494">
        <f>CFLO!CY8+CFLO!CY9</f>
        <v>579</v>
      </c>
      <c r="CZ63" s="155">
        <f>SUM(CV63:CY63)</f>
        <v>2902</v>
      </c>
      <c r="DA63" s="157">
        <f>CFLO!DA8+CFLO!DA9</f>
        <v>507</v>
      </c>
      <c r="DB63" s="157">
        <f>CFLO!DB8+CFLO!DB9</f>
        <v>511</v>
      </c>
      <c r="DC63" s="157">
        <f>CFLO!DC8+CFLO!DC9</f>
        <v>527</v>
      </c>
      <c r="DD63" s="494">
        <f>CFLO!DD8+CFLO!DD9</f>
        <v>534</v>
      </c>
      <c r="DE63" s="155">
        <f>SUM(DA63:DD63)</f>
        <v>2079</v>
      </c>
      <c r="DF63" s="157">
        <f>CFLO!DF8+CFLO!DF9</f>
        <v>523</v>
      </c>
      <c r="DG63" s="157">
        <v>295</v>
      </c>
      <c r="DH63" s="157">
        <f>CFLO!DH8+CFLO!DH9</f>
        <v>313</v>
      </c>
      <c r="DI63" s="157">
        <f>CFLO!DI8+CFLO!DI9</f>
        <v>298</v>
      </c>
      <c r="DJ63" s="238">
        <f>SUM(DF63:DI63)</f>
        <v>1429</v>
      </c>
      <c r="DK63" s="157">
        <f>CFLO!DK8+CFLO!DK9</f>
        <v>299</v>
      </c>
      <c r="DL63" s="157">
        <f>CFLO!DL8+CFLO!DL9</f>
        <v>311</v>
      </c>
      <c r="DM63" s="157">
        <f>CFLO!DM8+CFLO!DM9</f>
        <v>510</v>
      </c>
      <c r="DN63" s="157">
        <f>CFLO!DN8+CFLO!DN9</f>
        <v>565</v>
      </c>
      <c r="DO63" s="155">
        <f>CFLO!DO8+CFLO!DO9</f>
        <v>1685</v>
      </c>
      <c r="DP63" s="157">
        <f>CFLO!DP8+CFLO!DP9</f>
        <v>520</v>
      </c>
      <c r="DQ63" s="157">
        <f>CFLO!DQ8+CFLO!DQ9</f>
        <v>520</v>
      </c>
      <c r="DR63" s="157">
        <f>CFLO!DR8+CFLO!DR9</f>
        <v>510</v>
      </c>
      <c r="DS63" s="157">
        <f>CFLO!DS8+CFLO!DS9</f>
        <v>565</v>
      </c>
      <c r="DT63" s="155">
        <f>CFLO!DT8+CFLO!DT9</f>
        <v>2115</v>
      </c>
      <c r="DU63" s="155">
        <f>CFLO!DU8+CFLO!DU9</f>
        <v>2170</v>
      </c>
      <c r="DV63" s="155">
        <f>CFLO!DV8+CFLO!DV9</f>
        <v>2190</v>
      </c>
    </row>
    <row r="64" spans="1:126" ht="12">
      <c r="B64" s="234" t="s">
        <v>648</v>
      </c>
      <c r="C64" s="235">
        <f>C62+C63</f>
        <v>0</v>
      </c>
      <c r="D64" s="235">
        <f t="shared" ref="D64:AW64" si="267">D62+D63</f>
        <v>0</v>
      </c>
      <c r="E64" s="235">
        <f t="shared" si="267"/>
        <v>0</v>
      </c>
      <c r="F64" s="235">
        <f t="shared" si="267"/>
        <v>0</v>
      </c>
      <c r="G64" s="235">
        <f t="shared" si="267"/>
        <v>0</v>
      </c>
      <c r="H64" s="235">
        <f t="shared" si="267"/>
        <v>0</v>
      </c>
      <c r="I64" s="235">
        <f t="shared" si="267"/>
        <v>0</v>
      </c>
      <c r="J64" s="243">
        <f t="shared" si="267"/>
        <v>0</v>
      </c>
      <c r="K64" s="243">
        <f t="shared" si="267"/>
        <v>0</v>
      </c>
      <c r="L64" s="243">
        <f t="shared" si="267"/>
        <v>0</v>
      </c>
      <c r="M64" s="243">
        <f t="shared" si="267"/>
        <v>0</v>
      </c>
      <c r="N64" s="235">
        <f t="shared" si="267"/>
        <v>0</v>
      </c>
      <c r="O64" s="243" t="e">
        <f t="shared" si="267"/>
        <v>#REF!</v>
      </c>
      <c r="P64" s="243" t="e">
        <f t="shared" si="267"/>
        <v>#REF!</v>
      </c>
      <c r="Q64" s="243" t="e">
        <f t="shared" si="267"/>
        <v>#REF!</v>
      </c>
      <c r="R64" s="243" t="e">
        <f t="shared" si="267"/>
        <v>#REF!</v>
      </c>
      <c r="S64" s="235" t="e">
        <f t="shared" si="267"/>
        <v>#REF!</v>
      </c>
      <c r="T64" s="243" t="e">
        <f t="shared" si="267"/>
        <v>#REF!</v>
      </c>
      <c r="U64" s="243" t="e">
        <f t="shared" si="267"/>
        <v>#REF!</v>
      </c>
      <c r="V64" s="243" t="e">
        <f t="shared" si="267"/>
        <v>#REF!</v>
      </c>
      <c r="W64" s="243" t="e">
        <f t="shared" si="267"/>
        <v>#REF!</v>
      </c>
      <c r="X64" s="235" t="e">
        <f t="shared" si="267"/>
        <v>#REF!</v>
      </c>
      <c r="Y64" s="243" t="e">
        <f t="shared" si="267"/>
        <v>#REF!</v>
      </c>
      <c r="Z64" s="243" t="e">
        <f t="shared" si="267"/>
        <v>#REF!</v>
      </c>
      <c r="AA64" s="243" t="e">
        <f t="shared" si="267"/>
        <v>#REF!</v>
      </c>
      <c r="AB64" s="243" t="e">
        <f t="shared" si="267"/>
        <v>#REF!</v>
      </c>
      <c r="AC64" s="235" t="e">
        <f t="shared" si="267"/>
        <v>#REF!</v>
      </c>
      <c r="AD64" s="243" t="e">
        <f t="shared" si="267"/>
        <v>#REF!</v>
      </c>
      <c r="AE64" s="243" t="e">
        <f t="shared" si="267"/>
        <v>#REF!</v>
      </c>
      <c r="AF64" s="243" t="e">
        <f t="shared" si="267"/>
        <v>#REF!</v>
      </c>
      <c r="AG64" s="243" t="e">
        <f t="shared" si="267"/>
        <v>#REF!</v>
      </c>
      <c r="AH64" s="235" t="e">
        <f t="shared" si="267"/>
        <v>#REF!</v>
      </c>
      <c r="AI64" s="243" t="e">
        <f t="shared" si="267"/>
        <v>#REF!</v>
      </c>
      <c r="AJ64" s="243" t="e">
        <f t="shared" si="267"/>
        <v>#REF!</v>
      </c>
      <c r="AK64" s="243" t="e">
        <f t="shared" si="267"/>
        <v>#REF!</v>
      </c>
      <c r="AL64" s="243" t="e">
        <f t="shared" si="267"/>
        <v>#REF!</v>
      </c>
      <c r="AM64" s="235" t="e">
        <f t="shared" si="267"/>
        <v>#REF!</v>
      </c>
      <c r="AN64" s="243" t="e">
        <f t="shared" si="267"/>
        <v>#REF!</v>
      </c>
      <c r="AO64" s="243" t="e">
        <f>AO62+AO63</f>
        <v>#REF!</v>
      </c>
      <c r="AP64" s="243" t="e">
        <f>AP62+AP63</f>
        <v>#REF!</v>
      </c>
      <c r="AQ64" s="243">
        <f>AQ62+AQ63</f>
        <v>0</v>
      </c>
      <c r="AR64" s="235" t="e">
        <f t="shared" si="267"/>
        <v>#REF!</v>
      </c>
      <c r="AS64" s="243">
        <f>AS62+AS63</f>
        <v>0</v>
      </c>
      <c r="AT64" s="243">
        <f>AT62+AT63</f>
        <v>0</v>
      </c>
      <c r="AU64" s="243">
        <f>AU62+AU63</f>
        <v>0</v>
      </c>
      <c r="AV64" s="243">
        <f>AV62+AV63</f>
        <v>0</v>
      </c>
      <c r="AW64" s="235">
        <f t="shared" si="267"/>
        <v>0</v>
      </c>
      <c r="AX64" s="243" t="e">
        <f t="shared" ref="AX64:BG64" si="268">AX62+AX63</f>
        <v>#REF!</v>
      </c>
      <c r="AY64" s="243" t="e">
        <f t="shared" si="268"/>
        <v>#REF!</v>
      </c>
      <c r="AZ64" s="243">
        <f t="shared" si="268"/>
        <v>0</v>
      </c>
      <c r="BA64" s="243">
        <f t="shared" si="268"/>
        <v>0</v>
      </c>
      <c r="BB64" s="235" t="e">
        <f t="shared" si="268"/>
        <v>#REF!</v>
      </c>
      <c r="BC64" s="243">
        <f>BC62+BC63</f>
        <v>0</v>
      </c>
      <c r="BD64" s="243" t="e">
        <f>BD62+BD63</f>
        <v>#REF!</v>
      </c>
      <c r="BE64" s="243">
        <f>BE62+BE63</f>
        <v>0</v>
      </c>
      <c r="BF64" s="243">
        <f>BF62+BF63</f>
        <v>0</v>
      </c>
      <c r="BG64" s="235" t="e">
        <f t="shared" si="268"/>
        <v>#REF!</v>
      </c>
      <c r="BH64" s="243">
        <f t="shared" ref="BH64:BQ64" si="269">BH62+BH63</f>
        <v>0</v>
      </c>
      <c r="BI64" s="243">
        <f t="shared" si="269"/>
        <v>0</v>
      </c>
      <c r="BJ64" s="243">
        <f t="shared" si="269"/>
        <v>0</v>
      </c>
      <c r="BK64" s="243">
        <f t="shared" si="269"/>
        <v>0</v>
      </c>
      <c r="BL64" s="235">
        <f t="shared" si="269"/>
        <v>0</v>
      </c>
      <c r="BM64" s="243">
        <f t="shared" si="269"/>
        <v>0</v>
      </c>
      <c r="BN64" s="243">
        <f t="shared" ref="BN64" si="270">BN62+BN63</f>
        <v>0</v>
      </c>
      <c r="BO64" s="243">
        <f t="shared" ref="BO64:BP64" si="271">BO62+BO63</f>
        <v>0</v>
      </c>
      <c r="BP64" s="243">
        <f t="shared" si="271"/>
        <v>0</v>
      </c>
      <c r="BQ64" s="235">
        <f t="shared" si="269"/>
        <v>0</v>
      </c>
      <c r="BR64" s="243">
        <f t="shared" ref="BR64" si="272">BR62+BR63</f>
        <v>0</v>
      </c>
      <c r="BS64" s="243">
        <f t="shared" ref="BS64:BW64" si="273">BS62+BS63</f>
        <v>0</v>
      </c>
      <c r="BT64" s="243">
        <f t="shared" si="273"/>
        <v>0</v>
      </c>
      <c r="BU64" s="243">
        <f t="shared" si="273"/>
        <v>0</v>
      </c>
      <c r="BV64" s="235">
        <f t="shared" si="273"/>
        <v>0</v>
      </c>
      <c r="BW64" s="243">
        <f t="shared" si="273"/>
        <v>0</v>
      </c>
      <c r="BX64" s="243">
        <f t="shared" ref="BX64:CB64" si="274">BX62+BX63</f>
        <v>0</v>
      </c>
      <c r="BY64" s="243">
        <f t="shared" si="274"/>
        <v>0</v>
      </c>
      <c r="BZ64" s="243">
        <f t="shared" si="274"/>
        <v>0</v>
      </c>
      <c r="CA64" s="235">
        <f t="shared" si="274"/>
        <v>0</v>
      </c>
      <c r="CB64" s="243">
        <f t="shared" si="274"/>
        <v>0</v>
      </c>
      <c r="CC64" s="243">
        <f t="shared" ref="CC64:CF64" si="275">CC62+CC63</f>
        <v>0</v>
      </c>
      <c r="CD64" s="243">
        <f t="shared" si="275"/>
        <v>0</v>
      </c>
      <c r="CE64" s="243">
        <f t="shared" si="275"/>
        <v>0</v>
      </c>
      <c r="CF64" s="235">
        <f t="shared" si="275"/>
        <v>0</v>
      </c>
      <c r="CG64" s="243">
        <f t="shared" ref="CG64:CK64" si="276">CG62+CG63</f>
        <v>0</v>
      </c>
      <c r="CH64" s="243">
        <f t="shared" si="276"/>
        <v>0</v>
      </c>
      <c r="CI64" s="243">
        <f t="shared" si="276"/>
        <v>0</v>
      </c>
      <c r="CJ64" s="243">
        <f t="shared" si="276"/>
        <v>0</v>
      </c>
      <c r="CK64" s="235">
        <f t="shared" si="276"/>
        <v>0</v>
      </c>
      <c r="CL64" s="243">
        <f t="shared" ref="CL64:CP64" si="277">CL62+CL63</f>
        <v>1811</v>
      </c>
      <c r="CM64" s="243">
        <f t="shared" si="277"/>
        <v>93</v>
      </c>
      <c r="CN64" s="243">
        <f t="shared" si="277"/>
        <v>2027</v>
      </c>
      <c r="CO64" s="243">
        <f t="shared" si="277"/>
        <v>1779</v>
      </c>
      <c r="CP64" s="235">
        <f t="shared" si="277"/>
        <v>5710</v>
      </c>
      <c r="CQ64" s="243">
        <f t="shared" ref="CQ64:DE64" si="278">CQ62+CQ63</f>
        <v>1551</v>
      </c>
      <c r="CR64" s="243">
        <f t="shared" si="278"/>
        <v>1689</v>
      </c>
      <c r="CS64" s="243">
        <f t="shared" si="278"/>
        <v>2042</v>
      </c>
      <c r="CT64" s="243">
        <f t="shared" si="278"/>
        <v>2334</v>
      </c>
      <c r="CU64" s="235">
        <f t="shared" si="278"/>
        <v>7616</v>
      </c>
      <c r="CV64" s="243">
        <f t="shared" si="278"/>
        <v>1740</v>
      </c>
      <c r="CW64" s="243">
        <f t="shared" si="278"/>
        <v>1534</v>
      </c>
      <c r="CX64" s="243">
        <f t="shared" si="278"/>
        <v>841</v>
      </c>
      <c r="CY64" s="243">
        <f t="shared" si="278"/>
        <v>1945</v>
      </c>
      <c r="CZ64" s="235">
        <f t="shared" si="278"/>
        <v>6060</v>
      </c>
      <c r="DA64" s="243">
        <f t="shared" si="278"/>
        <v>1754</v>
      </c>
      <c r="DB64" s="243">
        <f t="shared" si="278"/>
        <v>1896</v>
      </c>
      <c r="DC64" s="243">
        <f t="shared" si="278"/>
        <v>2121</v>
      </c>
      <c r="DD64" s="243">
        <f t="shared" si="278"/>
        <v>1869</v>
      </c>
      <c r="DE64" s="235">
        <f t="shared" si="278"/>
        <v>7640</v>
      </c>
      <c r="DF64" s="243">
        <f t="shared" ref="DF64:DJ64" si="279">DF62+DF63</f>
        <v>2073</v>
      </c>
      <c r="DG64" s="243">
        <f t="shared" si="279"/>
        <v>2192</v>
      </c>
      <c r="DH64" s="243">
        <f t="shared" si="279"/>
        <v>2131</v>
      </c>
      <c r="DI64" s="243">
        <f t="shared" si="279"/>
        <v>2286</v>
      </c>
      <c r="DJ64" s="235">
        <f t="shared" si="279"/>
        <v>8682</v>
      </c>
      <c r="DK64" s="243">
        <f t="shared" ref="DK64:DN64" si="280">DK62+DK63</f>
        <v>2445</v>
      </c>
      <c r="DL64" s="243">
        <f t="shared" si="280"/>
        <v>2648</v>
      </c>
      <c r="DM64" s="243">
        <f t="shared" si="280"/>
        <v>2651.2268800000002</v>
      </c>
      <c r="DN64" s="243">
        <f t="shared" si="280"/>
        <v>2602.9231999999997</v>
      </c>
      <c r="DO64" s="235">
        <f t="shared" ref="DO64:DS64" si="281">DO62+DO63</f>
        <v>10347.150079999999</v>
      </c>
      <c r="DP64" s="243">
        <f t="shared" ref="DP64" si="282">DP62+DP63</f>
        <v>2898.8568399999999</v>
      </c>
      <c r="DQ64" s="243">
        <f t="shared" si="281"/>
        <v>3115.7157500000003</v>
      </c>
      <c r="DR64" s="243">
        <f t="shared" si="281"/>
        <v>3012.9031202000006</v>
      </c>
      <c r="DS64" s="243">
        <f t="shared" si="281"/>
        <v>3153.8442002719999</v>
      </c>
      <c r="DT64" s="235">
        <f t="shared" ref="DT64" si="283">DT62+DT63</f>
        <v>12181.319910472001</v>
      </c>
      <c r="DU64" s="235">
        <f t="shared" ref="DU64:DV64" si="284">DU62+DU63</f>
        <v>13207.298075816725</v>
      </c>
      <c r="DV64" s="235">
        <f t="shared" si="284"/>
        <v>14096.148714403262</v>
      </c>
    </row>
    <row r="65" spans="1:126">
      <c r="C65" s="135"/>
      <c r="D65" s="135"/>
      <c r="E65" s="135"/>
      <c r="F65" s="135"/>
      <c r="G65" s="135"/>
      <c r="H65" s="135"/>
      <c r="I65" s="135"/>
      <c r="N65" s="135"/>
      <c r="S65" s="135"/>
      <c r="X65" s="135"/>
      <c r="AC65" s="135"/>
      <c r="AH65" s="135"/>
      <c r="AM65" s="135"/>
      <c r="AR65" s="135"/>
      <c r="AW65" s="135"/>
      <c r="BB65" s="135"/>
      <c r="BG65" s="135"/>
      <c r="BL65" s="135"/>
      <c r="BQ65" s="135"/>
      <c r="BV65" s="135"/>
      <c r="CA65" s="135"/>
      <c r="CF65" s="135"/>
      <c r="CK65" s="135"/>
      <c r="CP65" s="135"/>
      <c r="CU65" s="135"/>
      <c r="CZ65" s="135"/>
      <c r="DE65" s="135"/>
      <c r="DJ65" s="135"/>
      <c r="DO65" s="135"/>
      <c r="DT65" s="135"/>
      <c r="DU65" s="135"/>
      <c r="DV65" s="135"/>
    </row>
    <row r="66" spans="1:126" ht="12">
      <c r="B66" s="1" t="s">
        <v>177</v>
      </c>
      <c r="C66" s="135"/>
      <c r="D66" s="135"/>
      <c r="E66" s="135"/>
      <c r="F66" s="135"/>
      <c r="G66" s="135"/>
      <c r="H66" s="135"/>
      <c r="I66" s="135"/>
      <c r="N66" s="135"/>
      <c r="S66" s="135"/>
      <c r="X66" s="135"/>
      <c r="AC66" s="135"/>
      <c r="AH66" s="135"/>
      <c r="AM66" s="135"/>
      <c r="AR66" s="135"/>
      <c r="AW66" s="135"/>
      <c r="BB66" s="135"/>
      <c r="BG66" s="135"/>
      <c r="BL66" s="135"/>
      <c r="BQ66" s="135"/>
      <c r="BV66" s="135"/>
      <c r="CA66" s="135"/>
      <c r="CF66" s="135"/>
      <c r="CK66" s="135"/>
      <c r="CP66" s="135"/>
      <c r="CU66" s="135"/>
      <c r="CZ66" s="135"/>
      <c r="DE66" s="135"/>
      <c r="DJ66" s="135"/>
      <c r="DO66" s="135"/>
      <c r="DT66" s="135"/>
      <c r="DU66" s="135"/>
      <c r="DV66" s="135"/>
    </row>
    <row r="67" spans="1:126" s="15" customFormat="1">
      <c r="A67" s="131"/>
      <c r="B67" s="244" t="s">
        <v>98</v>
      </c>
      <c r="C67" s="79" t="str">
        <f t="shared" ref="C67:AH67" si="285">IF(ISERROR(C11/C9),"",C11/C9)</f>
        <v/>
      </c>
      <c r="D67" s="79" t="str">
        <f t="shared" si="285"/>
        <v/>
      </c>
      <c r="E67" s="79" t="str">
        <f t="shared" si="285"/>
        <v/>
      </c>
      <c r="F67" s="79" t="str">
        <f t="shared" si="285"/>
        <v/>
      </c>
      <c r="G67" s="79" t="str">
        <f t="shared" si="285"/>
        <v/>
      </c>
      <c r="H67" s="79" t="str">
        <f t="shared" si="285"/>
        <v/>
      </c>
      <c r="I67" s="79" t="str">
        <f t="shared" si="285"/>
        <v/>
      </c>
      <c r="J67" s="93" t="str">
        <f t="shared" si="285"/>
        <v/>
      </c>
      <c r="K67" s="93" t="str">
        <f t="shared" si="285"/>
        <v/>
      </c>
      <c r="L67" s="93" t="str">
        <f t="shared" si="285"/>
        <v/>
      </c>
      <c r="M67" s="93" t="str">
        <f t="shared" si="285"/>
        <v/>
      </c>
      <c r="N67" s="79" t="str">
        <f t="shared" si="285"/>
        <v/>
      </c>
      <c r="O67" s="93" t="str">
        <f t="shared" si="285"/>
        <v/>
      </c>
      <c r="P67" s="93" t="str">
        <f t="shared" si="285"/>
        <v/>
      </c>
      <c r="Q67" s="93" t="str">
        <f t="shared" si="285"/>
        <v/>
      </c>
      <c r="R67" s="93" t="str">
        <f t="shared" si="285"/>
        <v/>
      </c>
      <c r="S67" s="79" t="str">
        <f t="shared" si="285"/>
        <v/>
      </c>
      <c r="T67" s="93" t="str">
        <f t="shared" si="285"/>
        <v/>
      </c>
      <c r="U67" s="93" t="str">
        <f t="shared" si="285"/>
        <v/>
      </c>
      <c r="V67" s="93" t="str">
        <f t="shared" si="285"/>
        <v/>
      </c>
      <c r="W67" s="93" t="str">
        <f t="shared" si="285"/>
        <v/>
      </c>
      <c r="X67" s="79" t="str">
        <f t="shared" si="285"/>
        <v/>
      </c>
      <c r="Y67" s="93" t="str">
        <f t="shared" si="285"/>
        <v/>
      </c>
      <c r="Z67" s="93" t="str">
        <f t="shared" si="285"/>
        <v/>
      </c>
      <c r="AA67" s="93" t="str">
        <f t="shared" si="285"/>
        <v/>
      </c>
      <c r="AB67" s="93" t="str">
        <f t="shared" si="285"/>
        <v/>
      </c>
      <c r="AC67" s="79" t="str">
        <f t="shared" si="285"/>
        <v/>
      </c>
      <c r="AD67" s="93" t="str">
        <f t="shared" si="285"/>
        <v/>
      </c>
      <c r="AE67" s="93" t="str">
        <f t="shared" si="285"/>
        <v/>
      </c>
      <c r="AF67" s="93" t="str">
        <f t="shared" si="285"/>
        <v/>
      </c>
      <c r="AG67" s="93" t="str">
        <f t="shared" si="285"/>
        <v/>
      </c>
      <c r="AH67" s="79" t="str">
        <f t="shared" si="285"/>
        <v/>
      </c>
      <c r="AI67" s="93" t="str">
        <f t="shared" ref="AI67:BN67" si="286">IF(ISERROR(AI11/AI9),"",AI11/AI9)</f>
        <v/>
      </c>
      <c r="AJ67" s="93" t="str">
        <f t="shared" si="286"/>
        <v/>
      </c>
      <c r="AK67" s="93" t="str">
        <f t="shared" si="286"/>
        <v/>
      </c>
      <c r="AL67" s="93" t="str">
        <f t="shared" si="286"/>
        <v/>
      </c>
      <c r="AM67" s="79" t="str">
        <f t="shared" si="286"/>
        <v/>
      </c>
      <c r="AN67" s="93" t="str">
        <f t="shared" si="286"/>
        <v/>
      </c>
      <c r="AO67" s="93" t="str">
        <f t="shared" si="286"/>
        <v/>
      </c>
      <c r="AP67" s="93" t="str">
        <f t="shared" si="286"/>
        <v/>
      </c>
      <c r="AQ67" s="93" t="str">
        <f t="shared" si="286"/>
        <v/>
      </c>
      <c r="AR67" s="79" t="str">
        <f t="shared" si="286"/>
        <v/>
      </c>
      <c r="AS67" s="93" t="str">
        <f t="shared" si="286"/>
        <v/>
      </c>
      <c r="AT67" s="93" t="str">
        <f t="shared" si="286"/>
        <v/>
      </c>
      <c r="AU67" s="93" t="str">
        <f t="shared" si="286"/>
        <v/>
      </c>
      <c r="AV67" s="93" t="str">
        <f t="shared" si="286"/>
        <v/>
      </c>
      <c r="AW67" s="79" t="str">
        <f t="shared" si="286"/>
        <v/>
      </c>
      <c r="AX67" s="93" t="str">
        <f t="shared" si="286"/>
        <v/>
      </c>
      <c r="AY67" s="93" t="str">
        <f t="shared" si="286"/>
        <v/>
      </c>
      <c r="AZ67" s="93" t="str">
        <f t="shared" si="286"/>
        <v/>
      </c>
      <c r="BA67" s="93" t="str">
        <f t="shared" si="286"/>
        <v/>
      </c>
      <c r="BB67" s="79" t="str">
        <f t="shared" si="286"/>
        <v/>
      </c>
      <c r="BC67" s="93" t="str">
        <f t="shared" si="286"/>
        <v/>
      </c>
      <c r="BD67" s="93" t="str">
        <f t="shared" si="286"/>
        <v/>
      </c>
      <c r="BE67" s="93" t="str">
        <f t="shared" si="286"/>
        <v/>
      </c>
      <c r="BF67" s="93" t="str">
        <f t="shared" si="286"/>
        <v/>
      </c>
      <c r="BG67" s="79" t="str">
        <f t="shared" si="286"/>
        <v/>
      </c>
      <c r="BH67" s="93" t="str">
        <f t="shared" si="286"/>
        <v/>
      </c>
      <c r="BI67" s="93" t="str">
        <f t="shared" si="286"/>
        <v/>
      </c>
      <c r="BJ67" s="93" t="str">
        <f t="shared" si="286"/>
        <v/>
      </c>
      <c r="BK67" s="93" t="str">
        <f t="shared" si="286"/>
        <v/>
      </c>
      <c r="BL67" s="79" t="str">
        <f t="shared" si="286"/>
        <v/>
      </c>
      <c r="BM67" s="93" t="str">
        <f t="shared" si="286"/>
        <v/>
      </c>
      <c r="BN67" s="93" t="str">
        <f t="shared" si="286"/>
        <v/>
      </c>
      <c r="BO67" s="93" t="str">
        <f t="shared" ref="BO67:CT67" si="287">IF(ISERROR(BO11/BO9),"",BO11/BO9)</f>
        <v/>
      </c>
      <c r="BP67" s="93" t="str">
        <f t="shared" si="287"/>
        <v/>
      </c>
      <c r="BQ67" s="79" t="str">
        <f t="shared" si="287"/>
        <v/>
      </c>
      <c r="BR67" s="93" t="str">
        <f t="shared" si="287"/>
        <v/>
      </c>
      <c r="BS67" s="93" t="str">
        <f t="shared" si="287"/>
        <v/>
      </c>
      <c r="BT67" s="93" t="str">
        <f t="shared" si="287"/>
        <v/>
      </c>
      <c r="BU67" s="93" t="str">
        <f t="shared" si="287"/>
        <v/>
      </c>
      <c r="BV67" s="79" t="str">
        <f t="shared" si="287"/>
        <v/>
      </c>
      <c r="BW67" s="93" t="str">
        <f t="shared" si="287"/>
        <v/>
      </c>
      <c r="BX67" s="93" t="str">
        <f t="shared" si="287"/>
        <v/>
      </c>
      <c r="BY67" s="93" t="str">
        <f t="shared" si="287"/>
        <v/>
      </c>
      <c r="BZ67" s="93" t="str">
        <f t="shared" si="287"/>
        <v/>
      </c>
      <c r="CA67" s="79" t="str">
        <f t="shared" si="287"/>
        <v/>
      </c>
      <c r="CB67" s="93" t="str">
        <f t="shared" si="287"/>
        <v/>
      </c>
      <c r="CC67" s="93" t="str">
        <f t="shared" si="287"/>
        <v/>
      </c>
      <c r="CD67" s="93" t="str">
        <f t="shared" si="287"/>
        <v/>
      </c>
      <c r="CE67" s="93" t="str">
        <f t="shared" si="287"/>
        <v/>
      </c>
      <c r="CF67" s="79" t="str">
        <f t="shared" si="287"/>
        <v/>
      </c>
      <c r="CG67" s="93" t="str">
        <f t="shared" si="287"/>
        <v/>
      </c>
      <c r="CH67" s="93" t="str">
        <f t="shared" si="287"/>
        <v/>
      </c>
      <c r="CI67" s="93" t="str">
        <f t="shared" si="287"/>
        <v/>
      </c>
      <c r="CJ67" s="93" t="str">
        <f t="shared" si="287"/>
        <v/>
      </c>
      <c r="CK67" s="79" t="str">
        <f t="shared" si="287"/>
        <v/>
      </c>
      <c r="CL67" s="93">
        <f t="shared" si="287"/>
        <v>0.25977424320164189</v>
      </c>
      <c r="CM67" s="93">
        <f t="shared" si="287"/>
        <v>0.18875334721808987</v>
      </c>
      <c r="CN67" s="93">
        <f t="shared" si="287"/>
        <v>0.24221490636299856</v>
      </c>
      <c r="CO67" s="93">
        <f t="shared" si="287"/>
        <v>0.24940504521656354</v>
      </c>
      <c r="CP67" s="79">
        <f t="shared" si="287"/>
        <v>0.2368726428778648</v>
      </c>
      <c r="CQ67" s="93">
        <f t="shared" si="287"/>
        <v>0.26759740639056018</v>
      </c>
      <c r="CR67" s="93">
        <f t="shared" si="287"/>
        <v>0.25503282275711159</v>
      </c>
      <c r="CS67" s="93">
        <f t="shared" si="287"/>
        <v>0.27277660209452492</v>
      </c>
      <c r="CT67" s="93">
        <f t="shared" si="287"/>
        <v>0.29605263157894735</v>
      </c>
      <c r="CU67" s="79">
        <f t="shared" ref="CU67:CZ67" si="288">IF(ISERROR(CU11/CU9),"",CU11/CU9)</f>
        <v>0.27359965496792282</v>
      </c>
      <c r="CV67" s="93">
        <f t="shared" si="288"/>
        <v>0.22881489663878807</v>
      </c>
      <c r="CW67" s="93">
        <f t="shared" si="288"/>
        <v>0.25502548131370328</v>
      </c>
      <c r="CX67" s="93">
        <f t="shared" si="288"/>
        <v>0.20295763941676456</v>
      </c>
      <c r="CY67" s="93">
        <f t="shared" si="288"/>
        <v>0.26072744561987399</v>
      </c>
      <c r="CZ67" s="79">
        <f t="shared" si="288"/>
        <v>0.23799032685588392</v>
      </c>
      <c r="DA67" s="93">
        <v>0</v>
      </c>
      <c r="DB67" s="93">
        <f t="shared" ref="DB67:DV67" si="289">IF(ISERROR(DB11/DB9),"",DB11/DB9)</f>
        <v>0.25967181698406994</v>
      </c>
      <c r="DC67" s="93">
        <f t="shared" si="289"/>
        <v>0.25608209385449093</v>
      </c>
      <c r="DD67" s="93">
        <f t="shared" si="289"/>
        <v>0.25884169884169883</v>
      </c>
      <c r="DE67" s="79">
        <f t="shared" si="289"/>
        <v>0.25843953262501101</v>
      </c>
      <c r="DF67" s="93">
        <f t="shared" si="289"/>
        <v>0.27614776054320067</v>
      </c>
      <c r="DG67" s="93">
        <f t="shared" si="289"/>
        <v>0.38689101506653467</v>
      </c>
      <c r="DH67" s="93">
        <f t="shared" si="289"/>
        <v>0.36740499898394635</v>
      </c>
      <c r="DI67" s="93">
        <f t="shared" ref="DI67" si="290">IF(ISERROR(DI11/DI9),"",DI11/DI9)</f>
        <v>0.37467628560858307</v>
      </c>
      <c r="DJ67" s="471">
        <f t="shared" si="289"/>
        <v>0.34100436681222707</v>
      </c>
      <c r="DK67" s="93">
        <f t="shared" ref="DK67:DL67" si="291">IF(ISERROR(DK11/DK9),"",DK11/DK9)</f>
        <v>0.39651701228105496</v>
      </c>
      <c r="DL67" s="93">
        <f t="shared" si="291"/>
        <v>0.37893495418670053</v>
      </c>
      <c r="DM67" s="93">
        <f t="shared" si="289"/>
        <v>0.40772170286493159</v>
      </c>
      <c r="DN67" s="93">
        <f t="shared" si="289"/>
        <v>0.41715738263861452</v>
      </c>
      <c r="DO67" s="79">
        <f t="shared" si="289"/>
        <v>0.39982915561150029</v>
      </c>
      <c r="DP67" s="93">
        <f t="shared" si="289"/>
        <v>0.44723358305559302</v>
      </c>
      <c r="DQ67" s="93">
        <f t="shared" ref="DQ67:DT67" si="292">IF(ISERROR(DQ11/DQ9),"",DQ11/DQ9)</f>
        <v>0.44121109392361491</v>
      </c>
      <c r="DR67" s="93">
        <f t="shared" si="292"/>
        <v>0.41532073075794512</v>
      </c>
      <c r="DS67" s="93">
        <f t="shared" si="292"/>
        <v>0.43639893321603529</v>
      </c>
      <c r="DT67" s="79">
        <f t="shared" si="292"/>
        <v>0.43478276395597348</v>
      </c>
      <c r="DU67" s="79">
        <f t="shared" si="289"/>
        <v>0.42933029072022477</v>
      </c>
      <c r="DV67" s="79">
        <f t="shared" si="289"/>
        <v>0.43138396129000811</v>
      </c>
    </row>
    <row r="68" spans="1:126" s="15" customFormat="1">
      <c r="A68" s="131"/>
      <c r="B68" s="244" t="s">
        <v>545</v>
      </c>
      <c r="C68" s="79"/>
      <c r="D68" s="79"/>
      <c r="E68" s="79"/>
      <c r="F68" s="79"/>
      <c r="G68" s="79"/>
      <c r="H68" s="79"/>
      <c r="I68" s="79"/>
      <c r="J68" s="93"/>
      <c r="K68" s="93"/>
      <c r="L68" s="93"/>
      <c r="M68" s="93"/>
      <c r="N68" s="79"/>
      <c r="O68" s="93"/>
      <c r="P68" s="93"/>
      <c r="Q68" s="93"/>
      <c r="R68" s="93"/>
      <c r="S68" s="79"/>
      <c r="T68" s="93"/>
      <c r="U68" s="93"/>
      <c r="V68" s="93"/>
      <c r="W68" s="93"/>
      <c r="X68" s="79"/>
      <c r="Y68" s="93"/>
      <c r="Z68" s="93"/>
      <c r="AA68" s="93"/>
      <c r="AB68" s="93"/>
      <c r="AC68" s="79"/>
      <c r="AD68" s="93"/>
      <c r="AE68" s="93"/>
      <c r="AF68" s="93"/>
      <c r="AG68" s="93"/>
      <c r="AH68" s="79"/>
      <c r="AI68" s="93"/>
      <c r="AJ68" s="93"/>
      <c r="AK68" s="93"/>
      <c r="AL68" s="93"/>
      <c r="AM68" s="79"/>
      <c r="AN68" s="93"/>
      <c r="AO68" s="93"/>
      <c r="AP68" s="93"/>
      <c r="AQ68" s="93"/>
      <c r="AR68" s="79"/>
      <c r="AS68" s="93"/>
      <c r="AT68" s="93"/>
      <c r="AU68" s="93"/>
      <c r="AV68" s="93"/>
      <c r="AW68" s="79"/>
      <c r="AX68" s="93"/>
      <c r="AY68" s="93"/>
      <c r="AZ68" s="93"/>
      <c r="BA68" s="93"/>
      <c r="BB68" s="79"/>
      <c r="BC68" s="93"/>
      <c r="BD68" s="93"/>
      <c r="BE68" s="93"/>
      <c r="BF68" s="93"/>
      <c r="BG68" s="79"/>
      <c r="BH68" s="93"/>
      <c r="BI68" s="93"/>
      <c r="BJ68" s="93"/>
      <c r="BK68" s="93"/>
      <c r="BL68" s="79"/>
      <c r="BM68" s="93"/>
      <c r="BN68" s="93"/>
      <c r="BO68" s="93"/>
      <c r="BP68" s="93"/>
      <c r="BQ68" s="79"/>
      <c r="BR68" s="93"/>
      <c r="BS68" s="93"/>
      <c r="BT68" s="93"/>
      <c r="BU68" s="93"/>
      <c r="BV68" s="79"/>
      <c r="BW68" s="93"/>
      <c r="BX68" s="93"/>
      <c r="BY68" s="93"/>
      <c r="BZ68" s="93"/>
      <c r="CA68" s="79"/>
      <c r="CB68" s="93"/>
      <c r="CC68" s="93"/>
      <c r="CD68" s="93"/>
      <c r="CE68" s="93"/>
      <c r="CF68" s="79"/>
      <c r="CG68" s="93"/>
      <c r="CH68" s="93"/>
      <c r="CI68" s="93"/>
      <c r="CJ68" s="93"/>
      <c r="CK68" s="79"/>
      <c r="CL68" s="93">
        <f t="shared" ref="CL68:DH68" si="293">IF(ISERROR(-CL12/CL9),"",-CL12/CL9)</f>
        <v>0.15705489994869162</v>
      </c>
      <c r="CM68" s="93">
        <f t="shared" si="293"/>
        <v>0.18256471288307052</v>
      </c>
      <c r="CN68" s="93">
        <f t="shared" si="293"/>
        <v>0.17351179232554373</v>
      </c>
      <c r="CO68" s="93">
        <f t="shared" si="293"/>
        <v>0.15459305092812947</v>
      </c>
      <c r="CP68" s="79">
        <f t="shared" si="293"/>
        <v>0.16604689189545585</v>
      </c>
      <c r="CQ68" s="93">
        <f t="shared" si="293"/>
        <v>0.16887668672235528</v>
      </c>
      <c r="CR68" s="93">
        <f t="shared" si="293"/>
        <v>0.15678336980306345</v>
      </c>
      <c r="CS68" s="93">
        <f t="shared" si="293"/>
        <v>0.14905854902599164</v>
      </c>
      <c r="CT68" s="93">
        <f t="shared" si="293"/>
        <v>0.15725648075412413</v>
      </c>
      <c r="CU68" s="79">
        <f t="shared" si="293"/>
        <v>0.15778478624184591</v>
      </c>
      <c r="CV68" s="93">
        <f t="shared" si="293"/>
        <v>0.22281836831308191</v>
      </c>
      <c r="CW68" s="93">
        <f t="shared" si="293"/>
        <v>0.1390855039637599</v>
      </c>
      <c r="CX68" s="93">
        <f t="shared" si="293"/>
        <v>0.14767465966415591</v>
      </c>
      <c r="CY68" s="93">
        <f t="shared" si="293"/>
        <v>0.17603708546297397</v>
      </c>
      <c r="CZ68" s="79">
        <f t="shared" si="293"/>
        <v>0.17019225804230709</v>
      </c>
      <c r="DA68" s="93">
        <f t="shared" si="293"/>
        <v>0.16202968588194683</v>
      </c>
      <c r="DB68" s="93">
        <f t="shared" si="293"/>
        <v>0.15474907174511918</v>
      </c>
      <c r="DC68" s="93">
        <f t="shared" si="293"/>
        <v>0.13824512855989854</v>
      </c>
      <c r="DD68" s="93">
        <f t="shared" si="293"/>
        <v>0.14640926640926641</v>
      </c>
      <c r="DE68" s="79">
        <f t="shared" si="293"/>
        <v>0.14970421167260206</v>
      </c>
      <c r="DF68" s="93">
        <f t="shared" si="293"/>
        <v>0.14134429701613405</v>
      </c>
      <c r="DG68" s="93">
        <f t="shared" si="293"/>
        <v>0.10161662817551963</v>
      </c>
      <c r="DH68" s="93">
        <f t="shared" si="293"/>
        <v>0.13513513513513514</v>
      </c>
      <c r="DI68" s="93">
        <f t="shared" ref="DI68" si="294">IF(ISERROR(-DI12/DI9),"",-DI12/DI9)</f>
        <v>0.10701072881982981</v>
      </c>
      <c r="DJ68" s="79">
        <f>IF(ISERROR(-DJ12/DJ9),"",-DJ12/DJ9)</f>
        <v>0.1240174672489083</v>
      </c>
      <c r="DK68" s="93">
        <f t="shared" ref="DK68:DL68" si="295">IF(ISERROR(-DK12/DK9),"",-DK12/DK9)</f>
        <v>8.8182001207972621E-2</v>
      </c>
      <c r="DL68" s="93">
        <f t="shared" si="295"/>
        <v>9.2533792978318069E-2</v>
      </c>
      <c r="DM68" s="907">
        <v>0.14499999999999999</v>
      </c>
      <c r="DN68" s="907">
        <v>0.14499999999999999</v>
      </c>
      <c r="DO68" s="79">
        <f>IF(ISERROR(-DO12/DO9),"",-DO12/DO9)</f>
        <v>0.11754839550450595</v>
      </c>
      <c r="DP68" s="907">
        <v>0.14499999999999999</v>
      </c>
      <c r="DQ68" s="907">
        <v>0.14499999999999999</v>
      </c>
      <c r="DR68" s="907">
        <v>0.14499999999999999</v>
      </c>
      <c r="DS68" s="907">
        <v>0.14499999999999999</v>
      </c>
      <c r="DT68" s="79">
        <f>IF(ISERROR(-DT12/DT9),"",-DT12/DT9)</f>
        <v>0.14499999999999999</v>
      </c>
      <c r="DU68" s="174">
        <v>0.14000000000000001</v>
      </c>
      <c r="DV68" s="174">
        <v>0.14000000000000001</v>
      </c>
    </row>
    <row r="69" spans="1:126" s="15" customFormat="1">
      <c r="A69" s="131"/>
      <c r="B69" s="244" t="s">
        <v>546</v>
      </c>
      <c r="C69" s="79"/>
      <c r="D69" s="79"/>
      <c r="E69" s="79"/>
      <c r="F69" s="79"/>
      <c r="G69" s="79"/>
      <c r="H69" s="79"/>
      <c r="I69" s="79"/>
      <c r="J69" s="93"/>
      <c r="K69" s="93"/>
      <c r="L69" s="93"/>
      <c r="M69" s="93"/>
      <c r="N69" s="79"/>
      <c r="O69" s="93"/>
      <c r="P69" s="93"/>
      <c r="Q69" s="93"/>
      <c r="R69" s="93"/>
      <c r="S69" s="79"/>
      <c r="T69" s="93"/>
      <c r="U69" s="93"/>
      <c r="V69" s="93"/>
      <c r="W69" s="93"/>
      <c r="X69" s="79"/>
      <c r="Y69" s="93"/>
      <c r="Z69" s="93"/>
      <c r="AA69" s="93"/>
      <c r="AB69" s="93"/>
      <c r="AC69" s="79"/>
      <c r="AD69" s="93"/>
      <c r="AE69" s="93"/>
      <c r="AF69" s="93"/>
      <c r="AG69" s="93"/>
      <c r="AH69" s="79"/>
      <c r="AI69" s="93"/>
      <c r="AJ69" s="93"/>
      <c r="AK69" s="93"/>
      <c r="AL69" s="93"/>
      <c r="AM69" s="79"/>
      <c r="AN69" s="93"/>
      <c r="AO69" s="93"/>
      <c r="AP69" s="93"/>
      <c r="AQ69" s="93"/>
      <c r="AR69" s="79"/>
      <c r="AS69" s="93"/>
      <c r="AT69" s="93"/>
      <c r="AU69" s="93"/>
      <c r="AV69" s="93"/>
      <c r="AW69" s="79"/>
      <c r="AX69" s="93"/>
      <c r="AY69" s="93"/>
      <c r="AZ69" s="93"/>
      <c r="BA69" s="93"/>
      <c r="BB69" s="79"/>
      <c r="BC69" s="93"/>
      <c r="BD69" s="93"/>
      <c r="BE69" s="93"/>
      <c r="BF69" s="93"/>
      <c r="BG69" s="79"/>
      <c r="BH69" s="93"/>
      <c r="BI69" s="93"/>
      <c r="BJ69" s="93"/>
      <c r="BK69" s="93"/>
      <c r="BL69" s="79"/>
      <c r="BM69" s="93"/>
      <c r="BN69" s="93"/>
      <c r="BO69" s="93"/>
      <c r="BP69" s="93"/>
      <c r="BQ69" s="79"/>
      <c r="BR69" s="93"/>
      <c r="BS69" s="93"/>
      <c r="BT69" s="93"/>
      <c r="BU69" s="93"/>
      <c r="BV69" s="79"/>
      <c r="BW69" s="93"/>
      <c r="BX69" s="93"/>
      <c r="BY69" s="93"/>
      <c r="BZ69" s="93"/>
      <c r="CA69" s="79"/>
      <c r="CB69" s="93"/>
      <c r="CC69" s="93"/>
      <c r="CD69" s="93"/>
      <c r="CE69" s="93"/>
      <c r="CF69" s="79"/>
      <c r="CG69" s="93"/>
      <c r="CH69" s="93"/>
      <c r="CI69" s="93"/>
      <c r="CJ69" s="93"/>
      <c r="CK69" s="79"/>
      <c r="CL69" s="93">
        <f t="shared" ref="CL69:DH69" si="296">IF(ISERROR(-CL13/CL9),"",-CL13/CL9)</f>
        <v>3.7095946639302206E-2</v>
      </c>
      <c r="CM69" s="93">
        <f t="shared" si="296"/>
        <v>3.6358226718238622E-2</v>
      </c>
      <c r="CN69" s="93">
        <f t="shared" si="296"/>
        <v>3.2111824707215714E-2</v>
      </c>
      <c r="CO69" s="93">
        <f t="shared" si="296"/>
        <v>3.0271299381247025E-2</v>
      </c>
      <c r="CP69" s="79">
        <f t="shared" si="296"/>
        <v>3.3823878471398054E-2</v>
      </c>
      <c r="CQ69" s="93">
        <f t="shared" si="296"/>
        <v>3.2770605759682221E-2</v>
      </c>
      <c r="CR69" s="93">
        <f t="shared" si="296"/>
        <v>3.3041575492341359E-2</v>
      </c>
      <c r="CS69" s="93">
        <f t="shared" si="296"/>
        <v>3.4022464593846655E-2</v>
      </c>
      <c r="CT69" s="93">
        <f t="shared" si="296"/>
        <v>3.4613118617439119E-2</v>
      </c>
      <c r="CU69" s="79">
        <f t="shared" si="296"/>
        <v>3.3654105342606072E-2</v>
      </c>
      <c r="CV69" s="93">
        <f t="shared" si="296"/>
        <v>3.1797380463941927E-2</v>
      </c>
      <c r="CW69" s="93">
        <f t="shared" si="296"/>
        <v>3.1073046432616082E-2</v>
      </c>
      <c r="CX69" s="93">
        <f t="shared" si="296"/>
        <v>2.9438186718264113E-2</v>
      </c>
      <c r="CY69" s="93">
        <f t="shared" si="296"/>
        <v>3.0785688814929275E-2</v>
      </c>
      <c r="CZ69" s="79">
        <f t="shared" si="296"/>
        <v>3.0740632368887588E-2</v>
      </c>
      <c r="DA69" s="93">
        <f t="shared" si="296"/>
        <v>2.9754918881601658E-2</v>
      </c>
      <c r="DB69" s="93">
        <f t="shared" si="296"/>
        <v>2.7248772308060845E-2</v>
      </c>
      <c r="DC69" s="93">
        <f t="shared" si="296"/>
        <v>2.7153234175025943E-2</v>
      </c>
      <c r="DD69" s="93">
        <f t="shared" si="296"/>
        <v>2.8314028314028315E-2</v>
      </c>
      <c r="DE69" s="79">
        <f t="shared" si="296"/>
        <v>2.8063101509844895E-2</v>
      </c>
      <c r="DF69" s="93">
        <f t="shared" si="296"/>
        <v>3.1582881704354325E-2</v>
      </c>
      <c r="DG69" s="93">
        <f t="shared" si="296"/>
        <v>3.2992411745298579E-2</v>
      </c>
      <c r="DH69" s="93">
        <f t="shared" si="296"/>
        <v>3.3631375736638894E-2</v>
      </c>
      <c r="DI69" s="93">
        <f t="shared" ref="DI69" si="297">IF(ISERROR(-DI13/DI9),"",-DI13/DI9)</f>
        <v>3.5608583055863854E-2</v>
      </c>
      <c r="DJ69" s="79">
        <f>IF(ISERROR(-DJ13/DJ9),"",-DJ13/DJ9)</f>
        <v>3.3253275109170304E-2</v>
      </c>
      <c r="DK69" s="93">
        <f t="shared" ref="DK69:DL69" si="298">IF(ISERROR(-DK13/DK9),"",-DK13/DK9)</f>
        <v>3.6138514193678278E-2</v>
      </c>
      <c r="DL69" s="93">
        <f t="shared" si="298"/>
        <v>3.2568266352172727E-2</v>
      </c>
      <c r="DM69" s="907">
        <v>0.05</v>
      </c>
      <c r="DN69" s="907">
        <v>0.08</v>
      </c>
      <c r="DO69" s="79">
        <f>IF(ISERROR(-DO13/DO9),"",-DO13/DO9)</f>
        <v>4.9719294663372451E-2</v>
      </c>
      <c r="DP69" s="907">
        <v>7.0000000000000007E-2</v>
      </c>
      <c r="DQ69" s="907">
        <v>7.0000000000000007E-2</v>
      </c>
      <c r="DR69" s="907">
        <v>0.05</v>
      </c>
      <c r="DS69" s="907">
        <v>0.08</v>
      </c>
      <c r="DT69" s="79">
        <f>IF(ISERROR(-DT13/DT9),"",-DT13/DT9)</f>
        <v>6.7689051988790064E-2</v>
      </c>
      <c r="DU69" s="174">
        <v>6.5000000000000002E-2</v>
      </c>
      <c r="DV69" s="174">
        <v>6.5000000000000002E-2</v>
      </c>
    </row>
    <row r="70" spans="1:126" s="15" customFormat="1">
      <c r="A70" s="131"/>
      <c r="B70" s="244" t="s">
        <v>458</v>
      </c>
      <c r="C70" s="79"/>
      <c r="D70" s="79"/>
      <c r="E70" s="79"/>
      <c r="F70" s="79"/>
      <c r="G70" s="79"/>
      <c r="H70" s="79"/>
      <c r="I70" s="79"/>
      <c r="J70" s="93"/>
      <c r="K70" s="93"/>
      <c r="L70" s="93"/>
      <c r="M70" s="93"/>
      <c r="N70" s="79"/>
      <c r="O70" s="93"/>
      <c r="P70" s="93"/>
      <c r="Q70" s="93"/>
      <c r="R70" s="93"/>
      <c r="S70" s="79"/>
      <c r="T70" s="93"/>
      <c r="U70" s="93"/>
      <c r="V70" s="93"/>
      <c r="W70" s="93"/>
      <c r="X70" s="79"/>
      <c r="Y70" s="93"/>
      <c r="Z70" s="93"/>
      <c r="AA70" s="93"/>
      <c r="AB70" s="93"/>
      <c r="AC70" s="79"/>
      <c r="AD70" s="93"/>
      <c r="AE70" s="93"/>
      <c r="AF70" s="93"/>
      <c r="AG70" s="93"/>
      <c r="AH70" s="79"/>
      <c r="AI70" s="93"/>
      <c r="AJ70" s="93"/>
      <c r="AK70" s="93"/>
      <c r="AL70" s="93"/>
      <c r="AM70" s="79"/>
      <c r="AN70" s="93"/>
      <c r="AO70" s="93"/>
      <c r="AP70" s="93"/>
      <c r="AQ70" s="93"/>
      <c r="AR70" s="79"/>
      <c r="AS70" s="93"/>
      <c r="AT70" s="93"/>
      <c r="AU70" s="93"/>
      <c r="AV70" s="93"/>
      <c r="AW70" s="79"/>
      <c r="AX70" s="93"/>
      <c r="AY70" s="93"/>
      <c r="AZ70" s="93"/>
      <c r="BA70" s="93"/>
      <c r="BB70" s="79"/>
      <c r="BC70" s="93"/>
      <c r="BD70" s="93"/>
      <c r="BE70" s="93"/>
      <c r="BF70" s="93"/>
      <c r="BG70" s="79"/>
      <c r="BH70" s="93"/>
      <c r="BI70" s="93"/>
      <c r="BJ70" s="93"/>
      <c r="BK70" s="93"/>
      <c r="BL70" s="79"/>
      <c r="BM70" s="93"/>
      <c r="BN70" s="93"/>
      <c r="BO70" s="93"/>
      <c r="BP70" s="93"/>
      <c r="BQ70" s="79"/>
      <c r="BR70" s="93"/>
      <c r="BS70" s="93"/>
      <c r="BT70" s="93"/>
      <c r="BU70" s="93"/>
      <c r="BV70" s="79"/>
      <c r="BW70" s="93"/>
      <c r="BX70" s="93"/>
      <c r="BY70" s="93"/>
      <c r="BZ70" s="93"/>
      <c r="CA70" s="79"/>
      <c r="CB70" s="93"/>
      <c r="CC70" s="93"/>
      <c r="CD70" s="93"/>
      <c r="CE70" s="93"/>
      <c r="CF70" s="79"/>
      <c r="CG70" s="93"/>
      <c r="CH70" s="93"/>
      <c r="CI70" s="93"/>
      <c r="CJ70" s="93"/>
      <c r="CK70" s="79"/>
      <c r="CL70" s="93">
        <f t="shared" ref="CL70:DH70" si="299">IF(ISERROR(CL16/CL9),"",CL16/CL9)</f>
        <v>-3.1708568496664959E-2</v>
      </c>
      <c r="CM70" s="93">
        <f t="shared" si="299"/>
        <v>-3.55846474263612E-2</v>
      </c>
      <c r="CN70" s="93">
        <f t="shared" si="299"/>
        <v>-3.2651519240110095E-2</v>
      </c>
      <c r="CO70" s="93">
        <f t="shared" si="299"/>
        <v>-2.8986197049024272E-2</v>
      </c>
      <c r="CP70" s="79">
        <f t="shared" si="299"/>
        <v>-3.204367434132447E-2</v>
      </c>
      <c r="CQ70" s="93">
        <f t="shared" si="299"/>
        <v>-2.5118289619720777E-2</v>
      </c>
      <c r="CR70" s="93">
        <f t="shared" si="299"/>
        <v>-2.8282275711159738E-2</v>
      </c>
      <c r="CS70" s="93">
        <f t="shared" si="299"/>
        <v>-2.3170003798361278E-2</v>
      </c>
      <c r="CT70" s="93">
        <f t="shared" si="299"/>
        <v>-2.0031421838177535E-2</v>
      </c>
      <c r="CU70" s="79">
        <f t="shared" si="299"/>
        <v>-2.4017467248908297E-2</v>
      </c>
      <c r="CV70" s="93">
        <f t="shared" si="299"/>
        <v>8.284677292094051E-3</v>
      </c>
      <c r="CW70" s="93">
        <f t="shared" si="299"/>
        <v>7.1489241223103061E-3</v>
      </c>
      <c r="CX70" s="93">
        <f t="shared" si="299"/>
        <v>6.6339575703130401E-3</v>
      </c>
      <c r="CY70" s="93">
        <f t="shared" si="299"/>
        <v>6.3592059907286343E-3</v>
      </c>
      <c r="CZ70" s="79">
        <f t="shared" si="299"/>
        <v>7.0397080844764974E-3</v>
      </c>
      <c r="DA70" s="93">
        <f t="shared" si="299"/>
        <v>2.6579219882637211E-2</v>
      </c>
      <c r="DB70" s="93">
        <f t="shared" si="299"/>
        <v>2.4074739489759252E-2</v>
      </c>
      <c r="DC70" s="93">
        <f t="shared" si="299"/>
        <v>2.2829470771359391E-2</v>
      </c>
      <c r="DD70" s="93">
        <f t="shared" si="299"/>
        <v>2.0694980694980696E-2</v>
      </c>
      <c r="DE70" s="79">
        <f t="shared" si="299"/>
        <v>2.3324601936604173E-2</v>
      </c>
      <c r="DF70" s="93">
        <f t="shared" si="299"/>
        <v>2.2550302124213543E-2</v>
      </c>
      <c r="DG70" s="93">
        <f t="shared" si="299"/>
        <v>2.2434839986803037E-2</v>
      </c>
      <c r="DH70" s="93">
        <f t="shared" si="299"/>
        <v>2.1032310505994717E-2</v>
      </c>
      <c r="DI70" s="93">
        <f t="shared" ref="DI70" si="300">IF(ISERROR(DI16/DI9),"",DI16/DI9)</f>
        <v>1.9700332963374027E-2</v>
      </c>
      <c r="DJ70" s="79">
        <f t="shared" ref="DJ70:DV70" si="301">DI70</f>
        <v>1.9700332963374027E-2</v>
      </c>
      <c r="DK70" s="93">
        <f t="shared" ref="DK70:DL70" si="302">IF(ISERROR(DK16/DK9),"",DK16/DK9)</f>
        <v>2.023354137306221E-2</v>
      </c>
      <c r="DL70" s="93">
        <f t="shared" si="302"/>
        <v>1.7871722761498683E-2</v>
      </c>
      <c r="DM70" s="907">
        <v>0</v>
      </c>
      <c r="DN70" s="907">
        <v>0</v>
      </c>
      <c r="DO70" s="79">
        <f t="shared" si="301"/>
        <v>0</v>
      </c>
      <c r="DP70" s="907">
        <v>0</v>
      </c>
      <c r="DQ70" s="907">
        <v>0</v>
      </c>
      <c r="DR70" s="907">
        <v>0</v>
      </c>
      <c r="DS70" s="907">
        <v>0</v>
      </c>
      <c r="DT70" s="79">
        <f t="shared" ref="DT70:DT71" si="303">DS70</f>
        <v>0</v>
      </c>
      <c r="DU70" s="174">
        <f t="shared" si="301"/>
        <v>0</v>
      </c>
      <c r="DV70" s="174">
        <f t="shared" si="301"/>
        <v>0</v>
      </c>
    </row>
    <row r="71" spans="1:126" s="15" customFormat="1">
      <c r="A71" s="131"/>
      <c r="B71" s="244" t="s">
        <v>32</v>
      </c>
      <c r="C71" s="79"/>
      <c r="D71" s="79"/>
      <c r="E71" s="79"/>
      <c r="F71" s="79"/>
      <c r="G71" s="79"/>
      <c r="H71" s="79"/>
      <c r="I71" s="79"/>
      <c r="J71" s="93"/>
      <c r="K71" s="93"/>
      <c r="L71" s="93"/>
      <c r="M71" s="93"/>
      <c r="N71" s="79"/>
      <c r="O71" s="93"/>
      <c r="P71" s="93"/>
      <c r="Q71" s="93"/>
      <c r="R71" s="93"/>
      <c r="S71" s="79"/>
      <c r="T71" s="93"/>
      <c r="U71" s="93"/>
      <c r="V71" s="93"/>
      <c r="W71" s="93"/>
      <c r="X71" s="79"/>
      <c r="Y71" s="93"/>
      <c r="Z71" s="93"/>
      <c r="AA71" s="93"/>
      <c r="AB71" s="93"/>
      <c r="AC71" s="79"/>
      <c r="AD71" s="93"/>
      <c r="AE71" s="93"/>
      <c r="AF71" s="93"/>
      <c r="AG71" s="93"/>
      <c r="AH71" s="79"/>
      <c r="AI71" s="93"/>
      <c r="AJ71" s="93"/>
      <c r="AK71" s="93"/>
      <c r="AL71" s="93"/>
      <c r="AM71" s="79"/>
      <c r="AN71" s="93"/>
      <c r="AO71" s="93"/>
      <c r="AP71" s="93"/>
      <c r="AQ71" s="93"/>
      <c r="AR71" s="79"/>
      <c r="AS71" s="93"/>
      <c r="AT71" s="93"/>
      <c r="AU71" s="93"/>
      <c r="AV71" s="93"/>
      <c r="AW71" s="79"/>
      <c r="AX71" s="93"/>
      <c r="AY71" s="93"/>
      <c r="AZ71" s="93"/>
      <c r="BA71" s="93"/>
      <c r="BB71" s="79"/>
      <c r="BC71" s="93"/>
      <c r="BD71" s="93"/>
      <c r="BE71" s="93"/>
      <c r="BF71" s="93"/>
      <c r="BG71" s="79"/>
      <c r="BH71" s="93"/>
      <c r="BI71" s="93"/>
      <c r="BJ71" s="93"/>
      <c r="BK71" s="93"/>
      <c r="BL71" s="79"/>
      <c r="BM71" s="93"/>
      <c r="BN71" s="93"/>
      <c r="BO71" s="93"/>
      <c r="BP71" s="93"/>
      <c r="BQ71" s="79"/>
      <c r="BR71" s="93"/>
      <c r="BS71" s="93"/>
      <c r="BT71" s="93"/>
      <c r="BU71" s="93"/>
      <c r="BV71" s="79"/>
      <c r="BW71" s="93"/>
      <c r="BX71" s="93"/>
      <c r="BY71" s="93"/>
      <c r="BZ71" s="93"/>
      <c r="CA71" s="79"/>
      <c r="CB71" s="93"/>
      <c r="CC71" s="93"/>
      <c r="CD71" s="93"/>
      <c r="CE71" s="93"/>
      <c r="CF71" s="79"/>
      <c r="CG71" s="93"/>
      <c r="CH71" s="93"/>
      <c r="CI71" s="93"/>
      <c r="CJ71" s="93"/>
      <c r="CK71" s="79"/>
      <c r="CL71" s="93">
        <f t="shared" ref="CL71:DH71" si="304">IF(ISERROR(CL17/CL9),"",CL17/CL9)</f>
        <v>0.31852231913801948</v>
      </c>
      <c r="CM71" s="93">
        <f t="shared" si="304"/>
        <v>2.1838738470693245E-2</v>
      </c>
      <c r="CN71" s="93">
        <f t="shared" si="304"/>
        <v>-6.2928382535484911E-2</v>
      </c>
      <c r="CO71" s="93">
        <f t="shared" si="304"/>
        <v>0.10723465016658734</v>
      </c>
      <c r="CP71" s="79">
        <f t="shared" si="304"/>
        <v>0.10103647440462062</v>
      </c>
      <c r="CQ71" s="93">
        <f t="shared" si="304"/>
        <v>2.2781704538816518E-3</v>
      </c>
      <c r="CR71" s="93">
        <f t="shared" si="304"/>
        <v>-6.6903719912472653E-2</v>
      </c>
      <c r="CS71" s="93">
        <f t="shared" si="304"/>
        <v>-9.7672147159368391E-3</v>
      </c>
      <c r="CT71" s="93">
        <f t="shared" si="304"/>
        <v>-0.23350353495679496</v>
      </c>
      <c r="CU71" s="79">
        <f t="shared" si="304"/>
        <v>-8.2484230955846671E-2</v>
      </c>
      <c r="CV71" s="93">
        <f t="shared" si="304"/>
        <v>-4.5052864131292412E-2</v>
      </c>
      <c r="CW71" s="93">
        <f t="shared" si="304"/>
        <v>-0.13420158550396377</v>
      </c>
      <c r="CX71" s="93">
        <f t="shared" si="304"/>
        <v>-2.2527814249188031E-2</v>
      </c>
      <c r="CY71" s="93">
        <f t="shared" si="304"/>
        <v>5.3964103173659815E-2</v>
      </c>
      <c r="CZ71" s="79">
        <f t="shared" si="304"/>
        <v>-3.2444620389335446E-2</v>
      </c>
      <c r="DA71" s="93">
        <f t="shared" si="304"/>
        <v>0.37259233690024163</v>
      </c>
      <c r="DB71" s="93">
        <f t="shared" si="304"/>
        <v>-2.5751587016409152E-3</v>
      </c>
      <c r="DC71" s="93">
        <f t="shared" si="304"/>
        <v>-7.9730197163611211E-2</v>
      </c>
      <c r="DD71" s="93">
        <f t="shared" si="304"/>
        <v>1.4002574002574002E-2</v>
      </c>
      <c r="DE71" s="79">
        <f t="shared" si="304"/>
        <v>6.2439297171616094E-2</v>
      </c>
      <c r="DF71" s="93">
        <f t="shared" si="304"/>
        <v>7.9112938391577899E-3</v>
      </c>
      <c r="DG71" s="93">
        <f t="shared" si="304"/>
        <v>-8.8309688771582531E-2</v>
      </c>
      <c r="DH71" s="93">
        <f t="shared" si="304"/>
        <v>-1.828896565738671E-3</v>
      </c>
      <c r="DI71" s="93">
        <f t="shared" ref="DI71" si="305">IF(ISERROR(DI17/DI9),"",DI17/DI9)</f>
        <v>-1.8960414354421015E-2</v>
      </c>
      <c r="DJ71" s="79">
        <f t="shared" ref="DJ71:DV71" si="306">DI71</f>
        <v>-1.8960414354421015E-2</v>
      </c>
      <c r="DK71" s="93">
        <f t="shared" ref="DK71:DL71" si="307">IF(ISERROR(DK17/DK9),"",DK17/DK9)</f>
        <v>-4.5298973223273607E-2</v>
      </c>
      <c r="DL71" s="93">
        <f t="shared" si="307"/>
        <v>-4.0642293386555381E-2</v>
      </c>
      <c r="DM71" s="907">
        <v>0</v>
      </c>
      <c r="DN71" s="907">
        <v>0</v>
      </c>
      <c r="DO71" s="79">
        <f t="shared" si="306"/>
        <v>0</v>
      </c>
      <c r="DP71" s="907">
        <v>0</v>
      </c>
      <c r="DQ71" s="907">
        <v>0</v>
      </c>
      <c r="DR71" s="907">
        <v>0</v>
      </c>
      <c r="DS71" s="907">
        <v>0</v>
      </c>
      <c r="DT71" s="79">
        <f t="shared" si="303"/>
        <v>0</v>
      </c>
      <c r="DU71" s="174">
        <f t="shared" si="306"/>
        <v>0</v>
      </c>
      <c r="DV71" s="174">
        <f t="shared" si="306"/>
        <v>0</v>
      </c>
    </row>
    <row r="72" spans="1:126" s="15" customFormat="1">
      <c r="B72" s="244" t="s">
        <v>99</v>
      </c>
      <c r="C72" s="79" t="str">
        <f t="shared" ref="C72:AH72" si="308">IF(ISERROR(C64/C9),"",C64/C9)</f>
        <v/>
      </c>
      <c r="D72" s="79" t="str">
        <f t="shared" si="308"/>
        <v/>
      </c>
      <c r="E72" s="79" t="str">
        <f t="shared" si="308"/>
        <v/>
      </c>
      <c r="F72" s="79" t="str">
        <f t="shared" si="308"/>
        <v/>
      </c>
      <c r="G72" s="79" t="str">
        <f t="shared" si="308"/>
        <v/>
      </c>
      <c r="H72" s="79" t="str">
        <f t="shared" si="308"/>
        <v/>
      </c>
      <c r="I72" s="79" t="str">
        <f t="shared" si="308"/>
        <v/>
      </c>
      <c r="J72" s="93" t="str">
        <f t="shared" si="308"/>
        <v/>
      </c>
      <c r="K72" s="93" t="str">
        <f t="shared" si="308"/>
        <v/>
      </c>
      <c r="L72" s="93" t="str">
        <f t="shared" si="308"/>
        <v/>
      </c>
      <c r="M72" s="93" t="str">
        <f t="shared" si="308"/>
        <v/>
      </c>
      <c r="N72" s="79" t="str">
        <f t="shared" si="308"/>
        <v/>
      </c>
      <c r="O72" s="93" t="str">
        <f t="shared" si="308"/>
        <v/>
      </c>
      <c r="P72" s="93" t="str">
        <f t="shared" si="308"/>
        <v/>
      </c>
      <c r="Q72" s="93" t="str">
        <f t="shared" si="308"/>
        <v/>
      </c>
      <c r="R72" s="93" t="str">
        <f t="shared" si="308"/>
        <v/>
      </c>
      <c r="S72" s="79" t="str">
        <f t="shared" si="308"/>
        <v/>
      </c>
      <c r="T72" s="93" t="str">
        <f t="shared" si="308"/>
        <v/>
      </c>
      <c r="U72" s="93" t="str">
        <f t="shared" si="308"/>
        <v/>
      </c>
      <c r="V72" s="93" t="str">
        <f t="shared" si="308"/>
        <v/>
      </c>
      <c r="W72" s="93" t="str">
        <f t="shared" si="308"/>
        <v/>
      </c>
      <c r="X72" s="79" t="str">
        <f t="shared" si="308"/>
        <v/>
      </c>
      <c r="Y72" s="93" t="str">
        <f t="shared" si="308"/>
        <v/>
      </c>
      <c r="Z72" s="93" t="str">
        <f t="shared" si="308"/>
        <v/>
      </c>
      <c r="AA72" s="93" t="str">
        <f t="shared" si="308"/>
        <v/>
      </c>
      <c r="AB72" s="93" t="str">
        <f t="shared" si="308"/>
        <v/>
      </c>
      <c r="AC72" s="79" t="str">
        <f t="shared" si="308"/>
        <v/>
      </c>
      <c r="AD72" s="93" t="str">
        <f t="shared" si="308"/>
        <v/>
      </c>
      <c r="AE72" s="93" t="str">
        <f t="shared" si="308"/>
        <v/>
      </c>
      <c r="AF72" s="93" t="str">
        <f t="shared" si="308"/>
        <v/>
      </c>
      <c r="AG72" s="93" t="str">
        <f t="shared" si="308"/>
        <v/>
      </c>
      <c r="AH72" s="79" t="str">
        <f t="shared" si="308"/>
        <v/>
      </c>
      <c r="AI72" s="93" t="str">
        <f t="shared" ref="AI72:BN72" si="309">IF(ISERROR(AI64/AI9),"",AI64/AI9)</f>
        <v/>
      </c>
      <c r="AJ72" s="93" t="str">
        <f t="shared" si="309"/>
        <v/>
      </c>
      <c r="AK72" s="93" t="str">
        <f t="shared" si="309"/>
        <v/>
      </c>
      <c r="AL72" s="93" t="str">
        <f t="shared" si="309"/>
        <v/>
      </c>
      <c r="AM72" s="79" t="str">
        <f t="shared" si="309"/>
        <v/>
      </c>
      <c r="AN72" s="93" t="str">
        <f t="shared" si="309"/>
        <v/>
      </c>
      <c r="AO72" s="93" t="str">
        <f t="shared" si="309"/>
        <v/>
      </c>
      <c r="AP72" s="93" t="str">
        <f t="shared" si="309"/>
        <v/>
      </c>
      <c r="AQ72" s="93" t="str">
        <f t="shared" si="309"/>
        <v/>
      </c>
      <c r="AR72" s="79" t="str">
        <f t="shared" si="309"/>
        <v/>
      </c>
      <c r="AS72" s="93" t="str">
        <f t="shared" si="309"/>
        <v/>
      </c>
      <c r="AT72" s="93" t="str">
        <f t="shared" si="309"/>
        <v/>
      </c>
      <c r="AU72" s="93" t="str">
        <f t="shared" si="309"/>
        <v/>
      </c>
      <c r="AV72" s="93" t="str">
        <f t="shared" si="309"/>
        <v/>
      </c>
      <c r="AW72" s="79" t="str">
        <f t="shared" si="309"/>
        <v/>
      </c>
      <c r="AX72" s="93" t="str">
        <f t="shared" si="309"/>
        <v/>
      </c>
      <c r="AY72" s="93" t="str">
        <f t="shared" si="309"/>
        <v/>
      </c>
      <c r="AZ72" s="93" t="str">
        <f t="shared" si="309"/>
        <v/>
      </c>
      <c r="BA72" s="93" t="str">
        <f t="shared" si="309"/>
        <v/>
      </c>
      <c r="BB72" s="79" t="str">
        <f t="shared" si="309"/>
        <v/>
      </c>
      <c r="BC72" s="93" t="str">
        <f t="shared" si="309"/>
        <v/>
      </c>
      <c r="BD72" s="93" t="str">
        <f t="shared" si="309"/>
        <v/>
      </c>
      <c r="BE72" s="93" t="str">
        <f t="shared" si="309"/>
        <v/>
      </c>
      <c r="BF72" s="93" t="str">
        <f t="shared" si="309"/>
        <v/>
      </c>
      <c r="BG72" s="79" t="str">
        <f t="shared" si="309"/>
        <v/>
      </c>
      <c r="BH72" s="93" t="str">
        <f t="shared" si="309"/>
        <v/>
      </c>
      <c r="BI72" s="93" t="str">
        <f t="shared" si="309"/>
        <v/>
      </c>
      <c r="BJ72" s="93" t="str">
        <f t="shared" si="309"/>
        <v/>
      </c>
      <c r="BK72" s="93" t="str">
        <f t="shared" si="309"/>
        <v/>
      </c>
      <c r="BL72" s="79" t="str">
        <f t="shared" si="309"/>
        <v/>
      </c>
      <c r="BM72" s="93" t="str">
        <f t="shared" si="309"/>
        <v/>
      </c>
      <c r="BN72" s="93" t="str">
        <f t="shared" si="309"/>
        <v/>
      </c>
      <c r="BO72" s="93" t="str">
        <f t="shared" ref="BO72:CT72" si="310">IF(ISERROR(BO64/BO9),"",BO64/BO9)</f>
        <v/>
      </c>
      <c r="BP72" s="93" t="str">
        <f t="shared" si="310"/>
        <v/>
      </c>
      <c r="BQ72" s="79" t="str">
        <f t="shared" si="310"/>
        <v/>
      </c>
      <c r="BR72" s="93" t="str">
        <f t="shared" si="310"/>
        <v/>
      </c>
      <c r="BS72" s="93" t="str">
        <f t="shared" si="310"/>
        <v/>
      </c>
      <c r="BT72" s="93" t="str">
        <f t="shared" si="310"/>
        <v/>
      </c>
      <c r="BU72" s="93" t="str">
        <f t="shared" si="310"/>
        <v/>
      </c>
      <c r="BV72" s="79" t="str">
        <f t="shared" si="310"/>
        <v/>
      </c>
      <c r="BW72" s="93" t="str">
        <f t="shared" si="310"/>
        <v/>
      </c>
      <c r="BX72" s="93" t="str">
        <f t="shared" si="310"/>
        <v/>
      </c>
      <c r="BY72" s="93" t="str">
        <f t="shared" si="310"/>
        <v/>
      </c>
      <c r="BZ72" s="93" t="str">
        <f t="shared" si="310"/>
        <v/>
      </c>
      <c r="CA72" s="79" t="str">
        <f t="shared" si="310"/>
        <v/>
      </c>
      <c r="CB72" s="93" t="str">
        <f t="shared" si="310"/>
        <v/>
      </c>
      <c r="CC72" s="93" t="str">
        <f t="shared" si="310"/>
        <v/>
      </c>
      <c r="CD72" s="93" t="str">
        <f t="shared" si="310"/>
        <v/>
      </c>
      <c r="CE72" s="93" t="str">
        <f t="shared" si="310"/>
        <v/>
      </c>
      <c r="CF72" s="79" t="str">
        <f t="shared" si="310"/>
        <v/>
      </c>
      <c r="CG72" s="93" t="str">
        <f t="shared" si="310"/>
        <v/>
      </c>
      <c r="CH72" s="93" t="str">
        <f t="shared" si="310"/>
        <v/>
      </c>
      <c r="CI72" s="93" t="str">
        <f t="shared" si="310"/>
        <v/>
      </c>
      <c r="CJ72" s="93" t="str">
        <f t="shared" si="310"/>
        <v/>
      </c>
      <c r="CK72" s="79" t="str">
        <f t="shared" si="310"/>
        <v/>
      </c>
      <c r="CL72" s="93">
        <f t="shared" si="310"/>
        <v>9.2919445869676751E-2</v>
      </c>
      <c r="CM72" s="93">
        <f t="shared" si="310"/>
        <v>5.5340672418922937E-3</v>
      </c>
      <c r="CN72" s="93">
        <f t="shared" si="310"/>
        <v>0.10939608181769118</v>
      </c>
      <c r="CO72" s="93">
        <f t="shared" si="310"/>
        <v>8.4673964778676822E-2</v>
      </c>
      <c r="CP72" s="79">
        <f t="shared" si="310"/>
        <v>7.5296041353482612E-2</v>
      </c>
      <c r="CQ72" s="93">
        <f t="shared" si="310"/>
        <v>9.0601086512062626E-2</v>
      </c>
      <c r="CR72" s="93">
        <f t="shared" si="310"/>
        <v>9.2396061269146609E-2</v>
      </c>
      <c r="CS72" s="93">
        <f t="shared" si="310"/>
        <v>0.11080362472190569</v>
      </c>
      <c r="CT72" s="93">
        <f t="shared" si="310"/>
        <v>0.11459151610369206</v>
      </c>
      <c r="CU72" s="79">
        <f t="shared" ref="CU72:DV72" si="311">IF(ISERROR(CU64/CU9),"",CU64/CU9)</f>
        <v>0.10264704296727586</v>
      </c>
      <c r="CV72" s="93">
        <f t="shared" si="311"/>
        <v>0.13728893798327285</v>
      </c>
      <c r="CW72" s="93">
        <f t="shared" si="311"/>
        <v>0.10857870894677236</v>
      </c>
      <c r="CX72" s="93">
        <f t="shared" si="311"/>
        <v>5.8116232464929862E-2</v>
      </c>
      <c r="CY72" s="93">
        <f t="shared" si="311"/>
        <v>0.11559491263520742</v>
      </c>
      <c r="CZ72" s="79">
        <f t="shared" si="311"/>
        <v>0.10430472125165666</v>
      </c>
      <c r="DA72" s="93">
        <f t="shared" si="311"/>
        <v>0.12109078356920952</v>
      </c>
      <c r="DB72" s="93">
        <f t="shared" si="311"/>
        <v>0.11354653251886454</v>
      </c>
      <c r="DC72" s="93">
        <f t="shared" si="311"/>
        <v>0.12227602905569007</v>
      </c>
      <c r="DD72" s="93">
        <f t="shared" si="311"/>
        <v>9.6216216216216219E-2</v>
      </c>
      <c r="DE72" s="79">
        <f t="shared" si="311"/>
        <v>0.1124289960855873</v>
      </c>
      <c r="DF72" s="93">
        <f t="shared" si="311"/>
        <v>0.12913474116987478</v>
      </c>
      <c r="DG72" s="93">
        <f t="shared" si="311"/>
        <v>0.24106455515231498</v>
      </c>
      <c r="DH72" s="93">
        <f t="shared" si="311"/>
        <v>0.21652103231050598</v>
      </c>
      <c r="DI72" s="93">
        <f t="shared" ref="DI72" si="312">IF(ISERROR(DI64/DI9),"",DI64/DI9)</f>
        <v>0.21143174250832408</v>
      </c>
      <c r="DJ72" s="471">
        <f t="shared" si="311"/>
        <v>0.18956331877729257</v>
      </c>
      <c r="DK72" s="93">
        <f t="shared" ref="DK72:DL72" si="313">IF(ISERROR(DK64/DK9),"",DK64/DK9)</f>
        <v>0.24612442117978658</v>
      </c>
      <c r="DL72" s="93">
        <f t="shared" si="313"/>
        <v>0.24022498412410415</v>
      </c>
      <c r="DM72" s="93">
        <f t="shared" si="311"/>
        <v>0.26338801453626415</v>
      </c>
      <c r="DN72" s="93">
        <f t="shared" si="311"/>
        <v>0.24543167736709948</v>
      </c>
      <c r="DO72" s="79">
        <f t="shared" si="311"/>
        <v>0.24856017785955964</v>
      </c>
      <c r="DP72" s="93">
        <f t="shared" si="311"/>
        <v>0.28299807680667904</v>
      </c>
      <c r="DQ72" s="93">
        <f t="shared" ref="DQ72:DT72" si="314">IF(ISERROR(DQ64/DQ9),"",DQ64/DQ9)</f>
        <v>0.27152798535915817</v>
      </c>
      <c r="DR72" s="93">
        <f t="shared" si="314"/>
        <v>0.26521402757782903</v>
      </c>
      <c r="DS72" s="93">
        <f t="shared" si="314"/>
        <v>0.25753550537998043</v>
      </c>
      <c r="DT72" s="79">
        <f t="shared" si="314"/>
        <v>0.26875706113433384</v>
      </c>
      <c r="DU72" s="79">
        <f t="shared" si="311"/>
        <v>0.26843499166415269</v>
      </c>
      <c r="DV72" s="79">
        <f t="shared" si="311"/>
        <v>0.26802470399510764</v>
      </c>
    </row>
    <row r="73" spans="1:126" s="15" customFormat="1">
      <c r="B73" s="244" t="s">
        <v>100</v>
      </c>
      <c r="C73" s="79" t="str">
        <f t="shared" ref="C73:AH73" si="315">IF(ISERROR(C62/C9),"",C62/C9)</f>
        <v/>
      </c>
      <c r="D73" s="79" t="str">
        <f t="shared" si="315"/>
        <v/>
      </c>
      <c r="E73" s="79" t="str">
        <f t="shared" si="315"/>
        <v/>
      </c>
      <c r="F73" s="79" t="str">
        <f t="shared" si="315"/>
        <v/>
      </c>
      <c r="G73" s="79" t="str">
        <f t="shared" si="315"/>
        <v/>
      </c>
      <c r="H73" s="79" t="str">
        <f t="shared" si="315"/>
        <v/>
      </c>
      <c r="I73" s="79" t="str">
        <f t="shared" si="315"/>
        <v/>
      </c>
      <c r="J73" s="93" t="str">
        <f t="shared" si="315"/>
        <v/>
      </c>
      <c r="K73" s="93" t="str">
        <f t="shared" si="315"/>
        <v/>
      </c>
      <c r="L73" s="93" t="str">
        <f t="shared" si="315"/>
        <v/>
      </c>
      <c r="M73" s="93" t="str">
        <f t="shared" si="315"/>
        <v/>
      </c>
      <c r="N73" s="79" t="str">
        <f t="shared" si="315"/>
        <v/>
      </c>
      <c r="O73" s="93" t="str">
        <f t="shared" si="315"/>
        <v/>
      </c>
      <c r="P73" s="93" t="str">
        <f t="shared" si="315"/>
        <v/>
      </c>
      <c r="Q73" s="93" t="str">
        <f t="shared" si="315"/>
        <v/>
      </c>
      <c r="R73" s="93" t="str">
        <f t="shared" si="315"/>
        <v/>
      </c>
      <c r="S73" s="79" t="str">
        <f t="shared" si="315"/>
        <v/>
      </c>
      <c r="T73" s="93" t="str">
        <f t="shared" si="315"/>
        <v/>
      </c>
      <c r="U73" s="93" t="str">
        <f t="shared" si="315"/>
        <v/>
      </c>
      <c r="V73" s="93" t="str">
        <f t="shared" si="315"/>
        <v/>
      </c>
      <c r="W73" s="93" t="str">
        <f t="shared" si="315"/>
        <v/>
      </c>
      <c r="X73" s="79" t="str">
        <f t="shared" si="315"/>
        <v/>
      </c>
      <c r="Y73" s="93" t="str">
        <f t="shared" si="315"/>
        <v/>
      </c>
      <c r="Z73" s="93" t="str">
        <f t="shared" si="315"/>
        <v/>
      </c>
      <c r="AA73" s="93" t="str">
        <f t="shared" si="315"/>
        <v/>
      </c>
      <c r="AB73" s="93" t="str">
        <f t="shared" si="315"/>
        <v/>
      </c>
      <c r="AC73" s="79" t="str">
        <f t="shared" si="315"/>
        <v/>
      </c>
      <c r="AD73" s="93" t="str">
        <f t="shared" si="315"/>
        <v/>
      </c>
      <c r="AE73" s="93" t="str">
        <f t="shared" si="315"/>
        <v/>
      </c>
      <c r="AF73" s="93" t="str">
        <f t="shared" si="315"/>
        <v/>
      </c>
      <c r="AG73" s="93" t="str">
        <f t="shared" si="315"/>
        <v/>
      </c>
      <c r="AH73" s="79" t="str">
        <f t="shared" si="315"/>
        <v/>
      </c>
      <c r="AI73" s="93" t="str">
        <f t="shared" ref="AI73:BN73" si="316">IF(ISERROR(AI62/AI9),"",AI62/AI9)</f>
        <v/>
      </c>
      <c r="AJ73" s="93" t="str">
        <f t="shared" si="316"/>
        <v/>
      </c>
      <c r="AK73" s="93" t="str">
        <f t="shared" si="316"/>
        <v/>
      </c>
      <c r="AL73" s="93" t="str">
        <f t="shared" si="316"/>
        <v/>
      </c>
      <c r="AM73" s="79" t="str">
        <f t="shared" si="316"/>
        <v/>
      </c>
      <c r="AN73" s="93" t="str">
        <f t="shared" si="316"/>
        <v/>
      </c>
      <c r="AO73" s="93" t="str">
        <f t="shared" si="316"/>
        <v/>
      </c>
      <c r="AP73" s="93" t="str">
        <f t="shared" si="316"/>
        <v/>
      </c>
      <c r="AQ73" s="93" t="str">
        <f t="shared" si="316"/>
        <v/>
      </c>
      <c r="AR73" s="79" t="str">
        <f t="shared" si="316"/>
        <v/>
      </c>
      <c r="AS73" s="93" t="str">
        <f t="shared" si="316"/>
        <v/>
      </c>
      <c r="AT73" s="93" t="str">
        <f t="shared" si="316"/>
        <v/>
      </c>
      <c r="AU73" s="93" t="str">
        <f t="shared" si="316"/>
        <v/>
      </c>
      <c r="AV73" s="93" t="str">
        <f t="shared" si="316"/>
        <v/>
      </c>
      <c r="AW73" s="79" t="str">
        <f t="shared" si="316"/>
        <v/>
      </c>
      <c r="AX73" s="93" t="str">
        <f t="shared" si="316"/>
        <v/>
      </c>
      <c r="AY73" s="93" t="str">
        <f t="shared" si="316"/>
        <v/>
      </c>
      <c r="AZ73" s="93" t="str">
        <f t="shared" si="316"/>
        <v/>
      </c>
      <c r="BA73" s="93" t="str">
        <f t="shared" si="316"/>
        <v/>
      </c>
      <c r="BB73" s="79" t="str">
        <f t="shared" si="316"/>
        <v/>
      </c>
      <c r="BC73" s="93" t="str">
        <f t="shared" si="316"/>
        <v/>
      </c>
      <c r="BD73" s="93" t="str">
        <f t="shared" si="316"/>
        <v/>
      </c>
      <c r="BE73" s="93" t="str">
        <f t="shared" si="316"/>
        <v/>
      </c>
      <c r="BF73" s="93" t="str">
        <f t="shared" si="316"/>
        <v/>
      </c>
      <c r="BG73" s="79" t="str">
        <f t="shared" si="316"/>
        <v/>
      </c>
      <c r="BH73" s="93" t="str">
        <f t="shared" si="316"/>
        <v/>
      </c>
      <c r="BI73" s="93" t="str">
        <f t="shared" si="316"/>
        <v/>
      </c>
      <c r="BJ73" s="93" t="str">
        <f t="shared" si="316"/>
        <v/>
      </c>
      <c r="BK73" s="93" t="str">
        <f t="shared" si="316"/>
        <v/>
      </c>
      <c r="BL73" s="79" t="str">
        <f t="shared" si="316"/>
        <v/>
      </c>
      <c r="BM73" s="93" t="str">
        <f t="shared" si="316"/>
        <v/>
      </c>
      <c r="BN73" s="93" t="str">
        <f t="shared" si="316"/>
        <v/>
      </c>
      <c r="BO73" s="93" t="str">
        <f t="shared" ref="BO73:CT73" si="317">IF(ISERROR(BO62/BO9),"",BO62/BO9)</f>
        <v/>
      </c>
      <c r="BP73" s="93" t="str">
        <f t="shared" si="317"/>
        <v/>
      </c>
      <c r="BQ73" s="79" t="str">
        <f t="shared" si="317"/>
        <v/>
      </c>
      <c r="BR73" s="93" t="str">
        <f t="shared" si="317"/>
        <v/>
      </c>
      <c r="BS73" s="93" t="str">
        <f t="shared" si="317"/>
        <v/>
      </c>
      <c r="BT73" s="93" t="str">
        <f t="shared" si="317"/>
        <v/>
      </c>
      <c r="BU73" s="93" t="str">
        <f t="shared" si="317"/>
        <v/>
      </c>
      <c r="BV73" s="79" t="str">
        <f t="shared" si="317"/>
        <v/>
      </c>
      <c r="BW73" s="93" t="str">
        <f t="shared" si="317"/>
        <v/>
      </c>
      <c r="BX73" s="93" t="str">
        <f t="shared" si="317"/>
        <v/>
      </c>
      <c r="BY73" s="93" t="str">
        <f t="shared" si="317"/>
        <v/>
      </c>
      <c r="BZ73" s="93" t="str">
        <f t="shared" si="317"/>
        <v/>
      </c>
      <c r="CA73" s="79" t="str">
        <f t="shared" si="317"/>
        <v/>
      </c>
      <c r="CB73" s="93" t="str">
        <f t="shared" si="317"/>
        <v/>
      </c>
      <c r="CC73" s="93" t="str">
        <f t="shared" si="317"/>
        <v/>
      </c>
      <c r="CD73" s="93" t="str">
        <f t="shared" si="317"/>
        <v/>
      </c>
      <c r="CE73" s="93" t="str">
        <f t="shared" si="317"/>
        <v/>
      </c>
      <c r="CF73" s="79" t="str">
        <f t="shared" si="317"/>
        <v/>
      </c>
      <c r="CG73" s="93" t="str">
        <f t="shared" si="317"/>
        <v/>
      </c>
      <c r="CH73" s="93" t="str">
        <f t="shared" si="317"/>
        <v/>
      </c>
      <c r="CI73" s="93" t="str">
        <f t="shared" si="317"/>
        <v/>
      </c>
      <c r="CJ73" s="93" t="str">
        <f t="shared" si="317"/>
        <v/>
      </c>
      <c r="CK73" s="79" t="str">
        <f t="shared" si="317"/>
        <v/>
      </c>
      <c r="CL73" s="93">
        <f t="shared" si="317"/>
        <v>5.2950230887634682E-2</v>
      </c>
      <c r="CM73" s="93">
        <f t="shared" si="317"/>
        <v>-3.9631062183873848E-2</v>
      </c>
      <c r="CN73" s="93">
        <f t="shared" si="317"/>
        <v>4.6683577095364026E-2</v>
      </c>
      <c r="CO73" s="93">
        <f t="shared" si="317"/>
        <v>4.831032841504046E-2</v>
      </c>
      <c r="CP73" s="79">
        <f t="shared" si="317"/>
        <v>2.9617322045520478E-2</v>
      </c>
      <c r="CQ73" s="93">
        <f t="shared" si="317"/>
        <v>4.6614872364039953E-2</v>
      </c>
      <c r="CR73" s="93">
        <f t="shared" si="317"/>
        <v>5.0218818380743983E-2</v>
      </c>
      <c r="CS73" s="93">
        <f t="shared" si="317"/>
        <v>7.1409192034293772E-2</v>
      </c>
      <c r="CT73" s="93">
        <f t="shared" si="317"/>
        <v>7.7327179890023565E-2</v>
      </c>
      <c r="CU73" s="79">
        <f t="shared" ref="CU73:DV73" si="318">IF(ISERROR(CU62/CU9),"",CU62/CU9)</f>
        <v>6.2092296080651248E-2</v>
      </c>
      <c r="CV73" s="93">
        <f t="shared" si="318"/>
        <v>3.2744200725895532E-2</v>
      </c>
      <c r="CW73" s="93">
        <f t="shared" si="318"/>
        <v>7.2055492638731594E-2</v>
      </c>
      <c r="CX73" s="93">
        <f t="shared" si="318"/>
        <v>2.480823716398314E-2</v>
      </c>
      <c r="CY73" s="93">
        <f t="shared" si="318"/>
        <v>8.1183882087245932E-2</v>
      </c>
      <c r="CZ73" s="79">
        <f t="shared" si="318"/>
        <v>5.435549665226596E-2</v>
      </c>
      <c r="DA73" s="93">
        <f t="shared" si="318"/>
        <v>8.608905764584053E-2</v>
      </c>
      <c r="DB73" s="93">
        <f t="shared" si="318"/>
        <v>8.2944065157503896E-2</v>
      </c>
      <c r="DC73" s="93">
        <f t="shared" si="318"/>
        <v>9.1894384872593105E-2</v>
      </c>
      <c r="DD73" s="93">
        <f t="shared" si="318"/>
        <v>6.8725868725868722E-2</v>
      </c>
      <c r="DE73" s="79">
        <f t="shared" si="318"/>
        <v>8.1834770580098304E-2</v>
      </c>
      <c r="DF73" s="93">
        <f t="shared" si="318"/>
        <v>9.6555161029091133E-2</v>
      </c>
      <c r="DG73" s="93">
        <f t="shared" si="318"/>
        <v>0.20862201693610469</v>
      </c>
      <c r="DH73" s="93">
        <f t="shared" si="318"/>
        <v>0.18471855313960578</v>
      </c>
      <c r="DI73" s="93">
        <f t="shared" ref="DI73" si="319">IF(ISERROR(DI62/DI9),"",DI62/DI9)</f>
        <v>0.18386977432482426</v>
      </c>
      <c r="DJ73" s="471">
        <f t="shared" si="318"/>
        <v>0.15836244541484717</v>
      </c>
      <c r="DK73" s="93">
        <f t="shared" ref="DK73:DL73" si="320">IF(ISERROR(DK62/DK9),"",DK62/DK9)</f>
        <v>0.21602577008254478</v>
      </c>
      <c r="DL73" s="93">
        <f t="shared" si="320"/>
        <v>0.2120112492062052</v>
      </c>
      <c r="DM73" s="93">
        <f t="shared" si="318"/>
        <v>0.21272170286493156</v>
      </c>
      <c r="DN73" s="93">
        <f t="shared" si="318"/>
        <v>0.19215738263861451</v>
      </c>
      <c r="DO73" s="79">
        <f t="shared" si="318"/>
        <v>0.20808295500542298</v>
      </c>
      <c r="DP73" s="93">
        <f t="shared" si="318"/>
        <v>0.232233583055593</v>
      </c>
      <c r="DQ73" s="93">
        <f t="shared" ref="DQ73:DT73" si="321">IF(ISERROR(DQ62/DQ9),"",DQ62/DQ9)</f>
        <v>0.22621109392361491</v>
      </c>
      <c r="DR73" s="93">
        <f t="shared" si="321"/>
        <v>0.22032073075794517</v>
      </c>
      <c r="DS73" s="93">
        <f t="shared" si="321"/>
        <v>0.21139893321603531</v>
      </c>
      <c r="DT73" s="79">
        <f t="shared" si="321"/>
        <v>0.22209371196718344</v>
      </c>
      <c r="DU73" s="79">
        <f t="shared" si="318"/>
        <v>0.22433029072022478</v>
      </c>
      <c r="DV73" s="79">
        <f t="shared" si="318"/>
        <v>0.22638396129000812</v>
      </c>
    </row>
    <row r="74" spans="1:126" s="15" customFormat="1">
      <c r="B74" s="244"/>
      <c r="C74" s="79"/>
      <c r="D74" s="79"/>
      <c r="E74" s="79"/>
      <c r="F74" s="79"/>
      <c r="G74" s="79"/>
      <c r="H74" s="79"/>
      <c r="I74" s="79"/>
      <c r="J74" s="93"/>
      <c r="K74" s="93"/>
      <c r="L74" s="93"/>
      <c r="M74" s="93"/>
      <c r="N74" s="79"/>
      <c r="O74" s="93"/>
      <c r="P74" s="93"/>
      <c r="Q74" s="93"/>
      <c r="R74" s="93"/>
      <c r="S74" s="79"/>
      <c r="T74" s="93"/>
      <c r="U74" s="93"/>
      <c r="V74" s="93"/>
      <c r="W74" s="93"/>
      <c r="X74" s="79"/>
      <c r="Y74" s="93"/>
      <c r="Z74" s="93"/>
      <c r="AA74" s="93"/>
      <c r="AB74" s="93"/>
      <c r="AC74" s="79"/>
      <c r="AD74" s="93"/>
      <c r="AE74" s="93"/>
      <c r="AF74" s="93"/>
      <c r="AG74" s="93"/>
      <c r="AH74" s="79"/>
      <c r="AI74" s="93"/>
      <c r="AJ74" s="93"/>
      <c r="AK74" s="93"/>
      <c r="AL74" s="93"/>
      <c r="AM74" s="79"/>
      <c r="AN74" s="93"/>
      <c r="AO74" s="93"/>
      <c r="AP74" s="93"/>
      <c r="AQ74" s="93"/>
      <c r="AR74" s="79"/>
      <c r="AS74" s="93"/>
      <c r="AT74" s="93"/>
      <c r="AU74" s="93"/>
      <c r="AV74" s="93"/>
      <c r="AW74" s="79"/>
      <c r="AX74" s="93"/>
      <c r="AY74" s="93"/>
      <c r="AZ74" s="93"/>
      <c r="BA74" s="93"/>
      <c r="BB74" s="79"/>
      <c r="BC74" s="93"/>
      <c r="BD74" s="93"/>
      <c r="BE74" s="93"/>
      <c r="BF74" s="93"/>
      <c r="BG74" s="79"/>
      <c r="BH74" s="93"/>
      <c r="BI74" s="93"/>
      <c r="BJ74" s="93"/>
      <c r="BK74" s="93"/>
      <c r="BL74" s="79"/>
      <c r="BM74" s="93"/>
      <c r="BN74" s="93"/>
      <c r="BO74" s="93"/>
      <c r="BP74" s="93"/>
      <c r="BQ74" s="79"/>
      <c r="BR74" s="93"/>
      <c r="BS74" s="93"/>
      <c r="BT74" s="93"/>
      <c r="BU74" s="93"/>
      <c r="BV74" s="79"/>
      <c r="BW74" s="93"/>
      <c r="BX74" s="93"/>
      <c r="BY74" s="93"/>
      <c r="BZ74" s="93"/>
      <c r="CA74" s="79"/>
      <c r="CB74" s="93"/>
      <c r="CC74" s="93"/>
      <c r="CD74" s="93"/>
      <c r="CE74" s="93"/>
      <c r="CF74" s="79"/>
      <c r="CG74" s="93"/>
      <c r="CH74" s="93"/>
      <c r="CI74" s="93"/>
      <c r="CJ74" s="93"/>
      <c r="CK74" s="79"/>
      <c r="CL74" s="93"/>
      <c r="CM74" s="93"/>
      <c r="CN74" s="93"/>
      <c r="CO74" s="93"/>
      <c r="CP74" s="79"/>
      <c r="CQ74" s="93"/>
      <c r="CR74" s="93"/>
      <c r="CS74" s="93"/>
      <c r="CT74" s="93"/>
      <c r="CU74" s="79"/>
      <c r="CV74" s="93"/>
      <c r="CW74" s="93"/>
      <c r="CX74" s="93"/>
      <c r="CY74" s="93"/>
      <c r="CZ74" s="79"/>
      <c r="DA74" s="93"/>
      <c r="DB74" s="93"/>
      <c r="DC74" s="93"/>
      <c r="DD74" s="93"/>
      <c r="DE74" s="79"/>
      <c r="DF74" s="93"/>
      <c r="DG74" s="93"/>
      <c r="DH74" s="93"/>
      <c r="DI74" s="93"/>
      <c r="DJ74" s="471"/>
      <c r="DK74" s="93"/>
      <c r="DL74" s="93"/>
      <c r="DM74" s="93"/>
      <c r="DN74" s="93"/>
      <c r="DO74" s="79"/>
      <c r="DP74" s="93"/>
      <c r="DQ74" s="93"/>
      <c r="DR74" s="93"/>
      <c r="DS74" s="93"/>
      <c r="DT74" s="79"/>
      <c r="DU74" s="79"/>
      <c r="DV74" s="79"/>
    </row>
    <row r="75" spans="1:126" s="15" customFormat="1">
      <c r="B75" s="244" t="s">
        <v>101</v>
      </c>
      <c r="C75" s="79" t="str">
        <f t="shared" ref="C75:AH75" si="322">IF(ISERROR(-C19/C18),"",-C19/C18)</f>
        <v/>
      </c>
      <c r="D75" s="79" t="str">
        <f t="shared" si="322"/>
        <v/>
      </c>
      <c r="E75" s="79" t="str">
        <f t="shared" si="322"/>
        <v/>
      </c>
      <c r="F75" s="79" t="str">
        <f t="shared" si="322"/>
        <v/>
      </c>
      <c r="G75" s="79" t="str">
        <f t="shared" si="322"/>
        <v/>
      </c>
      <c r="H75" s="79" t="str">
        <f t="shared" si="322"/>
        <v/>
      </c>
      <c r="I75" s="79" t="str">
        <f t="shared" si="322"/>
        <v/>
      </c>
      <c r="J75" s="93" t="str">
        <f t="shared" si="322"/>
        <v/>
      </c>
      <c r="K75" s="93" t="str">
        <f t="shared" si="322"/>
        <v/>
      </c>
      <c r="L75" s="93" t="str">
        <f t="shared" si="322"/>
        <v/>
      </c>
      <c r="M75" s="93" t="str">
        <f t="shared" si="322"/>
        <v/>
      </c>
      <c r="N75" s="79" t="str">
        <f t="shared" si="322"/>
        <v/>
      </c>
      <c r="O75" s="93" t="str">
        <f t="shared" si="322"/>
        <v/>
      </c>
      <c r="P75" s="93" t="str">
        <f t="shared" si="322"/>
        <v/>
      </c>
      <c r="Q75" s="93" t="str">
        <f t="shared" si="322"/>
        <v/>
      </c>
      <c r="R75" s="93" t="str">
        <f t="shared" si="322"/>
        <v/>
      </c>
      <c r="S75" s="79" t="str">
        <f t="shared" si="322"/>
        <v/>
      </c>
      <c r="T75" s="93" t="str">
        <f t="shared" si="322"/>
        <v/>
      </c>
      <c r="U75" s="93" t="str">
        <f t="shared" si="322"/>
        <v/>
      </c>
      <c r="V75" s="93" t="str">
        <f t="shared" si="322"/>
        <v/>
      </c>
      <c r="W75" s="93" t="str">
        <f t="shared" si="322"/>
        <v/>
      </c>
      <c r="X75" s="79" t="str">
        <f t="shared" si="322"/>
        <v/>
      </c>
      <c r="Y75" s="93" t="str">
        <f t="shared" si="322"/>
        <v/>
      </c>
      <c r="Z75" s="93" t="str">
        <f t="shared" si="322"/>
        <v/>
      </c>
      <c r="AA75" s="93" t="str">
        <f t="shared" si="322"/>
        <v/>
      </c>
      <c r="AB75" s="93" t="str">
        <f t="shared" si="322"/>
        <v/>
      </c>
      <c r="AC75" s="79" t="str">
        <f t="shared" si="322"/>
        <v/>
      </c>
      <c r="AD75" s="93" t="str">
        <f t="shared" si="322"/>
        <v/>
      </c>
      <c r="AE75" s="93" t="str">
        <f t="shared" si="322"/>
        <v/>
      </c>
      <c r="AF75" s="93" t="str">
        <f t="shared" si="322"/>
        <v/>
      </c>
      <c r="AG75" s="93" t="str">
        <f t="shared" si="322"/>
        <v/>
      </c>
      <c r="AH75" s="79" t="str">
        <f t="shared" si="322"/>
        <v/>
      </c>
      <c r="AI75" s="93" t="str">
        <f t="shared" ref="AI75:BN75" si="323">IF(ISERROR(-AI19/AI18),"",-AI19/AI18)</f>
        <v/>
      </c>
      <c r="AJ75" s="93" t="str">
        <f t="shared" si="323"/>
        <v/>
      </c>
      <c r="AK75" s="93" t="str">
        <f t="shared" si="323"/>
        <v/>
      </c>
      <c r="AL75" s="93" t="str">
        <f t="shared" si="323"/>
        <v/>
      </c>
      <c r="AM75" s="79" t="str">
        <f t="shared" si="323"/>
        <v/>
      </c>
      <c r="AN75" s="300" t="str">
        <f t="shared" si="323"/>
        <v/>
      </c>
      <c r="AO75" s="300" t="str">
        <f t="shared" si="323"/>
        <v/>
      </c>
      <c r="AP75" s="300" t="str">
        <f t="shared" si="323"/>
        <v/>
      </c>
      <c r="AQ75" s="300" t="str">
        <f t="shared" si="323"/>
        <v/>
      </c>
      <c r="AR75" s="79" t="str">
        <f t="shared" si="323"/>
        <v/>
      </c>
      <c r="AS75" s="300" t="str">
        <f t="shared" si="323"/>
        <v/>
      </c>
      <c r="AT75" s="300" t="str">
        <f t="shared" si="323"/>
        <v/>
      </c>
      <c r="AU75" s="300" t="str">
        <f t="shared" si="323"/>
        <v/>
      </c>
      <c r="AV75" s="300" t="str">
        <f t="shared" si="323"/>
        <v/>
      </c>
      <c r="AW75" s="79" t="str">
        <f t="shared" si="323"/>
        <v/>
      </c>
      <c r="AX75" s="300" t="str">
        <f t="shared" si="323"/>
        <v/>
      </c>
      <c r="AY75" s="300" t="str">
        <f t="shared" si="323"/>
        <v/>
      </c>
      <c r="AZ75" s="300" t="str">
        <f t="shared" si="323"/>
        <v/>
      </c>
      <c r="BA75" s="300" t="str">
        <f t="shared" si="323"/>
        <v/>
      </c>
      <c r="BB75" s="79" t="str">
        <f t="shared" si="323"/>
        <v/>
      </c>
      <c r="BC75" s="351" t="str">
        <f t="shared" si="323"/>
        <v/>
      </c>
      <c r="BD75" s="351" t="str">
        <f t="shared" si="323"/>
        <v/>
      </c>
      <c r="BE75" s="351" t="str">
        <f t="shared" si="323"/>
        <v/>
      </c>
      <c r="BF75" s="351" t="str">
        <f t="shared" si="323"/>
        <v/>
      </c>
      <c r="BG75" s="79" t="str">
        <f t="shared" si="323"/>
        <v/>
      </c>
      <c r="BH75" s="351" t="str">
        <f t="shared" si="323"/>
        <v/>
      </c>
      <c r="BI75" s="351" t="str">
        <f t="shared" si="323"/>
        <v/>
      </c>
      <c r="BJ75" s="351" t="str">
        <f t="shared" si="323"/>
        <v/>
      </c>
      <c r="BK75" s="351" t="str">
        <f t="shared" si="323"/>
        <v/>
      </c>
      <c r="BL75" s="79" t="str">
        <f t="shared" si="323"/>
        <v/>
      </c>
      <c r="BM75" s="351" t="str">
        <f t="shared" si="323"/>
        <v/>
      </c>
      <c r="BN75" s="351" t="str">
        <f t="shared" si="323"/>
        <v/>
      </c>
      <c r="BO75" s="351" t="str">
        <f t="shared" ref="BO75:CT75" si="324">IF(ISERROR(-BO19/BO18),"",-BO19/BO18)</f>
        <v/>
      </c>
      <c r="BP75" s="351" t="str">
        <f t="shared" si="324"/>
        <v/>
      </c>
      <c r="BQ75" s="79" t="str">
        <f t="shared" si="324"/>
        <v/>
      </c>
      <c r="BR75" s="351" t="str">
        <f t="shared" si="324"/>
        <v/>
      </c>
      <c r="BS75" s="351" t="str">
        <f t="shared" si="324"/>
        <v/>
      </c>
      <c r="BT75" s="351" t="str">
        <f t="shared" si="324"/>
        <v/>
      </c>
      <c r="BU75" s="351" t="str">
        <f t="shared" si="324"/>
        <v/>
      </c>
      <c r="BV75" s="79" t="str">
        <f t="shared" si="324"/>
        <v/>
      </c>
      <c r="BW75" s="351" t="str">
        <f t="shared" si="324"/>
        <v/>
      </c>
      <c r="BX75" s="351" t="str">
        <f t="shared" si="324"/>
        <v/>
      </c>
      <c r="BY75" s="351" t="str">
        <f t="shared" si="324"/>
        <v/>
      </c>
      <c r="BZ75" s="351" t="str">
        <f t="shared" si="324"/>
        <v/>
      </c>
      <c r="CA75" s="79" t="str">
        <f t="shared" si="324"/>
        <v/>
      </c>
      <c r="CB75" s="351" t="str">
        <f t="shared" si="324"/>
        <v/>
      </c>
      <c r="CC75" s="351" t="str">
        <f t="shared" si="324"/>
        <v/>
      </c>
      <c r="CD75" s="351" t="str">
        <f t="shared" si="324"/>
        <v/>
      </c>
      <c r="CE75" s="351" t="str">
        <f t="shared" si="324"/>
        <v/>
      </c>
      <c r="CF75" s="79" t="str">
        <f t="shared" si="324"/>
        <v/>
      </c>
      <c r="CG75" s="351" t="str">
        <f t="shared" si="324"/>
        <v/>
      </c>
      <c r="CH75" s="351" t="str">
        <f t="shared" si="324"/>
        <v/>
      </c>
      <c r="CI75" s="351" t="str">
        <f t="shared" si="324"/>
        <v/>
      </c>
      <c r="CJ75" s="351" t="str">
        <f t="shared" si="324"/>
        <v/>
      </c>
      <c r="CK75" s="79" t="str">
        <f t="shared" si="324"/>
        <v/>
      </c>
      <c r="CL75" s="351">
        <f t="shared" si="324"/>
        <v>8.5605580215599233E-3</v>
      </c>
      <c r="CM75" s="351">
        <f t="shared" si="324"/>
        <v>0.12317167051578137</v>
      </c>
      <c r="CN75" s="351">
        <f t="shared" si="324"/>
        <v>0.2983323038912909</v>
      </c>
      <c r="CO75" s="351">
        <f t="shared" si="324"/>
        <v>3.9534883720930232E-2</v>
      </c>
      <c r="CP75" s="79">
        <f t="shared" si="324"/>
        <v>-8.1574539363484092E-2</v>
      </c>
      <c r="CQ75" s="351">
        <f t="shared" si="324"/>
        <v>0.59663865546218486</v>
      </c>
      <c r="CR75" s="351">
        <f t="shared" si="324"/>
        <v>0.4498069498069498</v>
      </c>
      <c r="CS75" s="351">
        <f t="shared" si="324"/>
        <v>3.4246575342465752E-3</v>
      </c>
      <c r="CT75" s="351">
        <f t="shared" si="324"/>
        <v>-1.0380622837370242E-2</v>
      </c>
      <c r="CU75" s="79">
        <f t="shared" ref="CU75:DH75" si="325">IF(ISERROR(-CU19/CU18),"",-CU19/CU18)</f>
        <v>7.767517653449213E-2</v>
      </c>
      <c r="CV75" s="351">
        <f t="shared" si="325"/>
        <v>-2.4576271186440679E-2</v>
      </c>
      <c r="CW75" s="351">
        <f t="shared" si="325"/>
        <v>-0.16701244813278007</v>
      </c>
      <c r="CX75" s="351">
        <f t="shared" si="325"/>
        <v>-5.6521739130434782E-2</v>
      </c>
      <c r="CY75" s="351">
        <f t="shared" si="325"/>
        <v>-0.13087674714104194</v>
      </c>
      <c r="CZ75" s="79">
        <f t="shared" si="325"/>
        <v>3.7499999999999999E-3</v>
      </c>
      <c r="DA75" s="351">
        <f t="shared" si="325"/>
        <v>4.1750115544600216E-2</v>
      </c>
      <c r="DB75" s="351">
        <f t="shared" si="325"/>
        <v>0.23974082073434125</v>
      </c>
      <c r="DC75" s="351">
        <f t="shared" si="325"/>
        <v>0.46</v>
      </c>
      <c r="DD75" s="351">
        <f t="shared" si="325"/>
        <v>0.20874751491053678</v>
      </c>
      <c r="DE75" s="79">
        <f t="shared" si="325"/>
        <v>0.11401098901098901</v>
      </c>
      <c r="DF75" s="351">
        <f t="shared" si="325"/>
        <v>0.17023554603854391</v>
      </c>
      <c r="DG75" s="351">
        <f t="shared" si="325"/>
        <v>8.6385625431928126E-2</v>
      </c>
      <c r="DH75" s="351">
        <f t="shared" si="325"/>
        <v>0.1045958795562599</v>
      </c>
      <c r="DI75" s="351">
        <f t="shared" ref="DI75" si="326">IF(ISERROR(-DI19/DI18),"",-DI19/DI18)</f>
        <v>0.17269952027911034</v>
      </c>
      <c r="DJ75" s="471">
        <f>IF(ISERROR(-DJ19/DJ18),"",-DJ19/DJ18)</f>
        <v>0.13824823356885749</v>
      </c>
      <c r="DK75" s="351">
        <f t="shared" ref="DK75:DL75" si="327">IF(ISERROR(-DK19/DK18),"",-DK19/DK18)</f>
        <v>0.12605790645879733</v>
      </c>
      <c r="DL75" s="351">
        <f t="shared" si="327"/>
        <v>0.16282963583089158</v>
      </c>
      <c r="DM75" s="173">
        <v>0.22</v>
      </c>
      <c r="DN75" s="173">
        <v>0.22</v>
      </c>
      <c r="DO75" s="471">
        <f>IF(ISERROR(-DO19/DO18),"",-DO19/DO18)</f>
        <v>0.17845079481114431</v>
      </c>
      <c r="DP75" s="173">
        <v>0.21</v>
      </c>
      <c r="DQ75" s="173">
        <v>0.21</v>
      </c>
      <c r="DR75" s="173">
        <v>0.22</v>
      </c>
      <c r="DS75" s="173">
        <v>0.22</v>
      </c>
      <c r="DT75" s="471">
        <f>IF(ISERROR(-DT19/DT18),"",-DT19/DT18)</f>
        <v>0.21506327403316666</v>
      </c>
      <c r="DU75" s="174">
        <v>0.2</v>
      </c>
      <c r="DV75" s="174">
        <v>0.2</v>
      </c>
    </row>
    <row r="76" spans="1:126" s="15" customFormat="1">
      <c r="B76" s="244" t="s">
        <v>102</v>
      </c>
      <c r="C76" s="79" t="str">
        <f t="shared" ref="C76:AM76" si="328">IF(ISERROR(C20/C9),"",C20/C9)</f>
        <v/>
      </c>
      <c r="D76" s="79" t="str">
        <f t="shared" si="328"/>
        <v/>
      </c>
      <c r="E76" s="79" t="str">
        <f t="shared" si="328"/>
        <v/>
      </c>
      <c r="F76" s="79" t="str">
        <f t="shared" si="328"/>
        <v/>
      </c>
      <c r="G76" s="79" t="str">
        <f t="shared" si="328"/>
        <v/>
      </c>
      <c r="H76" s="79" t="str">
        <f t="shared" si="328"/>
        <v/>
      </c>
      <c r="I76" s="79" t="str">
        <f t="shared" si="328"/>
        <v/>
      </c>
      <c r="J76" s="78" t="str">
        <f t="shared" si="328"/>
        <v/>
      </c>
      <c r="K76" s="78" t="str">
        <f t="shared" si="328"/>
        <v/>
      </c>
      <c r="L76" s="78" t="str">
        <f t="shared" si="328"/>
        <v/>
      </c>
      <c r="M76" s="78" t="str">
        <f t="shared" si="328"/>
        <v/>
      </c>
      <c r="N76" s="79" t="str">
        <f t="shared" si="328"/>
        <v/>
      </c>
      <c r="O76" s="78" t="str">
        <f t="shared" si="328"/>
        <v/>
      </c>
      <c r="P76" s="78" t="str">
        <f t="shared" si="328"/>
        <v/>
      </c>
      <c r="Q76" s="78" t="str">
        <f t="shared" si="328"/>
        <v/>
      </c>
      <c r="R76" s="78" t="str">
        <f t="shared" si="328"/>
        <v/>
      </c>
      <c r="S76" s="79" t="str">
        <f t="shared" si="328"/>
        <v/>
      </c>
      <c r="T76" s="78" t="str">
        <f t="shared" si="328"/>
        <v/>
      </c>
      <c r="U76" s="78" t="str">
        <f t="shared" si="328"/>
        <v/>
      </c>
      <c r="V76" s="78" t="str">
        <f t="shared" si="328"/>
        <v/>
      </c>
      <c r="W76" s="78" t="str">
        <f t="shared" si="328"/>
        <v/>
      </c>
      <c r="X76" s="79" t="str">
        <f t="shared" si="328"/>
        <v/>
      </c>
      <c r="Y76" s="78" t="str">
        <f t="shared" si="328"/>
        <v/>
      </c>
      <c r="Z76" s="78" t="str">
        <f t="shared" si="328"/>
        <v/>
      </c>
      <c r="AA76" s="78" t="str">
        <f t="shared" si="328"/>
        <v/>
      </c>
      <c r="AB76" s="78" t="str">
        <f t="shared" si="328"/>
        <v/>
      </c>
      <c r="AC76" s="79" t="str">
        <f t="shared" si="328"/>
        <v/>
      </c>
      <c r="AD76" s="78" t="str">
        <f t="shared" si="328"/>
        <v/>
      </c>
      <c r="AE76" s="78" t="str">
        <f t="shared" si="328"/>
        <v/>
      </c>
      <c r="AF76" s="78" t="str">
        <f t="shared" si="328"/>
        <v/>
      </c>
      <c r="AG76" s="78" t="str">
        <f t="shared" si="328"/>
        <v/>
      </c>
      <c r="AH76" s="79" t="str">
        <f t="shared" si="328"/>
        <v/>
      </c>
      <c r="AI76" s="78" t="str">
        <f t="shared" si="328"/>
        <v/>
      </c>
      <c r="AJ76" s="78" t="str">
        <f t="shared" si="328"/>
        <v/>
      </c>
      <c r="AK76" s="78" t="str">
        <f t="shared" si="328"/>
        <v/>
      </c>
      <c r="AL76" s="78" t="str">
        <f t="shared" si="328"/>
        <v/>
      </c>
      <c r="AM76" s="79" t="str">
        <f t="shared" si="328"/>
        <v/>
      </c>
      <c r="AN76" s="78" t="str">
        <f>IF(ISERROR(Z20/Z9),"",Z20/Z9)</f>
        <v/>
      </c>
      <c r="AO76" s="78" t="str">
        <f>IF(ISERROR(AO20/AO9),"",AO20/AO9)</f>
        <v/>
      </c>
      <c r="AP76" s="78" t="str">
        <f>IF(ISERROR(AP20/AP9),"",AP20/AP9)</f>
        <v/>
      </c>
      <c r="AQ76" s="78" t="str">
        <f>IF(ISERROR(AQ20/AQ9),"",AQ20/AQ9)</f>
        <v/>
      </c>
      <c r="AR76" s="79" t="str">
        <f>IF(ISERROR(AR20/AR9),"",AR20/AR9)</f>
        <v/>
      </c>
      <c r="AS76" s="78" t="str">
        <f>IF(ISERROR(AE20/AE9),"",AE20/AE9)</f>
        <v/>
      </c>
      <c r="AT76" s="78" t="str">
        <f>IF(ISERROR(AT20/AT9),"",AT20/AT9)</f>
        <v/>
      </c>
      <c r="AU76" s="78" t="str">
        <f>IF(ISERROR(AU20/AU9),"",AU20/AU9)</f>
        <v/>
      </c>
      <c r="AV76" s="78" t="str">
        <f>IF(ISERROR(AV20/AV9),"",AV20/AV9)</f>
        <v/>
      </c>
      <c r="AW76" s="79" t="str">
        <f>IF(ISERROR(AW20/AW9),"",AW20/AW9)</f>
        <v/>
      </c>
      <c r="AX76" s="78" t="str">
        <f>IF(ISERROR(AJ20/AJ9),"",AJ20/AJ9)</f>
        <v/>
      </c>
      <c r="AY76" s="78" t="str">
        <f t="shared" ref="AY76:CD76" si="329">IF(ISERROR(AY20/AY9),"",AY20/AY9)</f>
        <v/>
      </c>
      <c r="AZ76" s="78" t="str">
        <f t="shared" si="329"/>
        <v/>
      </c>
      <c r="BA76" s="78" t="str">
        <f t="shared" si="329"/>
        <v/>
      </c>
      <c r="BB76" s="79" t="str">
        <f t="shared" si="329"/>
        <v/>
      </c>
      <c r="BC76" s="78" t="str">
        <f t="shared" si="329"/>
        <v/>
      </c>
      <c r="BD76" s="78" t="str">
        <f t="shared" si="329"/>
        <v/>
      </c>
      <c r="BE76" s="78" t="str">
        <f t="shared" si="329"/>
        <v/>
      </c>
      <c r="BF76" s="78" t="str">
        <f t="shared" si="329"/>
        <v/>
      </c>
      <c r="BG76" s="79" t="str">
        <f t="shared" si="329"/>
        <v/>
      </c>
      <c r="BH76" s="78" t="str">
        <f t="shared" si="329"/>
        <v/>
      </c>
      <c r="BI76" s="78" t="str">
        <f t="shared" si="329"/>
        <v/>
      </c>
      <c r="BJ76" s="78" t="str">
        <f t="shared" si="329"/>
        <v/>
      </c>
      <c r="BK76" s="78" t="str">
        <f t="shared" si="329"/>
        <v/>
      </c>
      <c r="BL76" s="79" t="str">
        <f t="shared" si="329"/>
        <v/>
      </c>
      <c r="BM76" s="78" t="str">
        <f t="shared" si="329"/>
        <v/>
      </c>
      <c r="BN76" s="78" t="str">
        <f t="shared" si="329"/>
        <v/>
      </c>
      <c r="BO76" s="78" t="str">
        <f t="shared" si="329"/>
        <v/>
      </c>
      <c r="BP76" s="78" t="str">
        <f t="shared" si="329"/>
        <v/>
      </c>
      <c r="BQ76" s="79" t="str">
        <f t="shared" si="329"/>
        <v/>
      </c>
      <c r="BR76" s="78" t="str">
        <f t="shared" si="329"/>
        <v/>
      </c>
      <c r="BS76" s="78" t="str">
        <f t="shared" si="329"/>
        <v/>
      </c>
      <c r="BT76" s="78" t="str">
        <f t="shared" si="329"/>
        <v/>
      </c>
      <c r="BU76" s="78" t="str">
        <f t="shared" si="329"/>
        <v/>
      </c>
      <c r="BV76" s="79" t="str">
        <f t="shared" si="329"/>
        <v/>
      </c>
      <c r="BW76" s="78" t="str">
        <f t="shared" si="329"/>
        <v/>
      </c>
      <c r="BX76" s="78" t="str">
        <f t="shared" si="329"/>
        <v/>
      </c>
      <c r="BY76" s="78" t="str">
        <f t="shared" si="329"/>
        <v/>
      </c>
      <c r="BZ76" s="78" t="str">
        <f t="shared" si="329"/>
        <v/>
      </c>
      <c r="CA76" s="79" t="str">
        <f t="shared" si="329"/>
        <v/>
      </c>
      <c r="CB76" s="78" t="str">
        <f t="shared" si="329"/>
        <v/>
      </c>
      <c r="CC76" s="78" t="str">
        <f t="shared" si="329"/>
        <v/>
      </c>
      <c r="CD76" s="78" t="str">
        <f t="shared" si="329"/>
        <v/>
      </c>
      <c r="CE76" s="78" t="str">
        <f t="shared" ref="CE76:DJ76" si="330">IF(ISERROR(CE20/CE9),"",CE20/CE9)</f>
        <v/>
      </c>
      <c r="CF76" s="79" t="str">
        <f t="shared" si="330"/>
        <v/>
      </c>
      <c r="CG76" s="78" t="str">
        <f t="shared" si="330"/>
        <v/>
      </c>
      <c r="CH76" s="78" t="str">
        <f t="shared" si="330"/>
        <v/>
      </c>
      <c r="CI76" s="78" t="str">
        <f t="shared" si="330"/>
        <v/>
      </c>
      <c r="CJ76" s="78" t="str">
        <f t="shared" si="330"/>
        <v/>
      </c>
      <c r="CK76" s="79" t="str">
        <f t="shared" si="330"/>
        <v/>
      </c>
      <c r="CL76" s="78">
        <f t="shared" si="330"/>
        <v>0.32088250384812722</v>
      </c>
      <c r="CM76" s="78">
        <f t="shared" si="330"/>
        <v>-6.7777447188336809E-2</v>
      </c>
      <c r="CN76" s="78">
        <f t="shared" si="330"/>
        <v>-6.1309298936801773E-2</v>
      </c>
      <c r="CO76" s="78">
        <f t="shared" si="330"/>
        <v>0.1179438362684436</v>
      </c>
      <c r="CP76" s="79">
        <f t="shared" si="330"/>
        <v>8.5146504206556423E-2</v>
      </c>
      <c r="CQ76" s="78">
        <f t="shared" si="330"/>
        <v>5.6078041941702199E-3</v>
      </c>
      <c r="CR76" s="78">
        <f t="shared" si="330"/>
        <v>-3.1181619256017507E-2</v>
      </c>
      <c r="CS76" s="78">
        <f t="shared" si="330"/>
        <v>3.1580660914862446E-2</v>
      </c>
      <c r="CT76" s="78">
        <f t="shared" si="330"/>
        <v>-0.1720345640219953</v>
      </c>
      <c r="CU76" s="79">
        <f t="shared" si="330"/>
        <v>-4.5770661491185506E-2</v>
      </c>
      <c r="CV76" s="78">
        <f t="shared" si="330"/>
        <v>-9.539214139182578E-2</v>
      </c>
      <c r="CW76" s="78">
        <f t="shared" si="330"/>
        <v>-7.9629105322763308E-2</v>
      </c>
      <c r="CX76" s="78">
        <f t="shared" si="330"/>
        <v>-1.6792205099854882E-2</v>
      </c>
      <c r="CY76" s="78">
        <f t="shared" si="330"/>
        <v>0.10578866040651373</v>
      </c>
      <c r="CZ76" s="79">
        <f t="shared" si="330"/>
        <v>-1.371796416461557E-2</v>
      </c>
      <c r="DA76" s="78">
        <f t="shared" si="330"/>
        <v>0.42940973420780115</v>
      </c>
      <c r="DB76" s="78">
        <f t="shared" si="330"/>
        <v>6.3241106719367585E-2</v>
      </c>
      <c r="DC76" s="78">
        <f t="shared" si="330"/>
        <v>9.3393289519197505E-3</v>
      </c>
      <c r="DD76" s="78">
        <f t="shared" si="330"/>
        <v>8.195624195624196E-2</v>
      </c>
      <c r="DE76" s="79">
        <f t="shared" si="330"/>
        <v>0.1328840097713159</v>
      </c>
      <c r="DF76" s="78">
        <f t="shared" si="330"/>
        <v>9.6555161029091133E-2</v>
      </c>
      <c r="DG76" s="78">
        <f t="shared" si="330"/>
        <v>0.14538656109094908</v>
      </c>
      <c r="DH76" s="78">
        <f t="shared" si="330"/>
        <v>0.17222109327372484</v>
      </c>
      <c r="DI76" s="78">
        <f t="shared" ref="DI76" si="331">IF(ISERROR(DI20/DI9),"",DI20/DI9)</f>
        <v>0.17545320014798371</v>
      </c>
      <c r="DJ76" s="471">
        <f t="shared" si="330"/>
        <v>0.14113537117903929</v>
      </c>
      <c r="DK76" s="78">
        <f t="shared" ref="DK76:DL76" si="332">IF(ISERROR(DK20/DK9),"",DK20/DK9)</f>
        <v>0.19750352325347292</v>
      </c>
      <c r="DL76" s="78">
        <f t="shared" si="332"/>
        <v>0.18143880976140797</v>
      </c>
      <c r="DM76" s="78">
        <f t="shared" ref="DM76:DV76" si="333">IF(ISERROR(DM20/DM9),"",DM20/DM9)</f>
        <v>0.14850987103190022</v>
      </c>
      <c r="DN76" s="78">
        <f t="shared" si="333"/>
        <v>0.13330977305624972</v>
      </c>
      <c r="DO76" s="79">
        <f t="shared" si="333"/>
        <v>0.16504845941468943</v>
      </c>
      <c r="DP76" s="78">
        <f t="shared" si="333"/>
        <v>0.16602018423432527</v>
      </c>
      <c r="DQ76" s="78">
        <f t="shared" ref="DQ76:DT76" si="334">IF(ISERROR(DQ20/DQ9),"",DQ20/DQ9)</f>
        <v>0.16302366633639623</v>
      </c>
      <c r="DR76" s="78">
        <f t="shared" si="334"/>
        <v>0.15618090793481085</v>
      </c>
      <c r="DS76" s="78">
        <f t="shared" si="334"/>
        <v>0.15042869309577092</v>
      </c>
      <c r="DT76" s="79">
        <f t="shared" si="334"/>
        <v>0.15858276487273157</v>
      </c>
      <c r="DU76" s="79">
        <f t="shared" si="333"/>
        <v>0.16526524666431311</v>
      </c>
      <c r="DV76" s="79">
        <f t="shared" si="333"/>
        <v>0.1677617494270163</v>
      </c>
    </row>
    <row r="77" spans="1:126" s="15" customFormat="1">
      <c r="C77" s="16"/>
      <c r="D77" s="16"/>
      <c r="E77" s="16"/>
      <c r="F77" s="16"/>
      <c r="G77" s="16"/>
      <c r="H77" s="16"/>
      <c r="I77" s="16"/>
      <c r="N77" s="16"/>
      <c r="S77" s="16"/>
      <c r="X77" s="16"/>
      <c r="AC77" s="16"/>
      <c r="AH77" s="16"/>
      <c r="AM77" s="16"/>
      <c r="AR77" s="16"/>
      <c r="AW77" s="16"/>
      <c r="BB77" s="16"/>
      <c r="BG77" s="16"/>
      <c r="BL77" s="16"/>
      <c r="BQ77" s="16"/>
      <c r="BV77" s="16"/>
      <c r="CA77" s="16"/>
      <c r="CF77" s="16"/>
      <c r="CK77" s="16"/>
      <c r="CP77" s="16"/>
      <c r="CU77" s="16"/>
      <c r="CZ77" s="16"/>
      <c r="DE77" s="16"/>
      <c r="DJ77" s="16"/>
      <c r="DO77" s="16"/>
      <c r="DT77" s="16"/>
      <c r="DU77" s="16"/>
      <c r="DV77" s="16"/>
    </row>
    <row r="78" spans="1:126" ht="12">
      <c r="A78" s="15"/>
      <c r="B78" s="1" t="s">
        <v>103</v>
      </c>
      <c r="C78" s="135"/>
      <c r="D78" s="135"/>
      <c r="E78" s="135"/>
      <c r="F78" s="135"/>
      <c r="G78" s="135"/>
      <c r="H78" s="135"/>
      <c r="I78" s="135"/>
      <c r="N78" s="135"/>
      <c r="S78" s="135"/>
      <c r="X78" s="135"/>
      <c r="AC78" s="135"/>
      <c r="AH78" s="135"/>
      <c r="AM78" s="135"/>
      <c r="AR78" s="135"/>
      <c r="AW78" s="135"/>
      <c r="BB78" s="135"/>
      <c r="BG78" s="135"/>
      <c r="BL78" s="135"/>
      <c r="BQ78" s="135"/>
      <c r="BV78" s="135"/>
      <c r="CA78" s="135"/>
      <c r="CF78" s="135"/>
      <c r="CK78" s="135"/>
      <c r="CP78" s="135"/>
      <c r="CU78" s="135"/>
      <c r="CZ78" s="135"/>
      <c r="DE78" s="135"/>
      <c r="DJ78" s="135"/>
      <c r="DO78" s="135"/>
      <c r="DT78" s="135"/>
      <c r="DU78" s="135"/>
      <c r="DV78" s="135"/>
    </row>
    <row r="79" spans="1:126">
      <c r="CK79" s="135"/>
      <c r="CP79" s="135"/>
      <c r="CU79" s="135"/>
      <c r="CZ79" s="135"/>
      <c r="DE79" s="135"/>
      <c r="DJ79" s="135"/>
      <c r="DO79" s="135"/>
      <c r="DT79" s="135"/>
      <c r="DU79" s="135"/>
      <c r="DV79" s="135"/>
    </row>
    <row r="80" spans="1:126">
      <c r="CK80" s="135"/>
      <c r="CP80" s="135"/>
      <c r="CU80" s="135"/>
      <c r="CZ80" s="135"/>
      <c r="DE80" s="135"/>
      <c r="DJ80" s="135"/>
      <c r="DO80" s="135"/>
      <c r="DT80" s="135"/>
      <c r="DU80" s="135"/>
      <c r="DV80" s="135"/>
    </row>
    <row r="81" spans="1:126" s="15" customFormat="1">
      <c r="B81" s="245" t="s">
        <v>28</v>
      </c>
      <c r="C81" s="79"/>
      <c r="D81" s="96" t="str">
        <f t="shared" ref="D81:I81" si="335">IF(ISERROR(D62/C62-1),"",(D62/C62-1))</f>
        <v/>
      </c>
      <c r="E81" s="96" t="str">
        <f t="shared" si="335"/>
        <v/>
      </c>
      <c r="F81" s="96" t="str">
        <f t="shared" si="335"/>
        <v/>
      </c>
      <c r="G81" s="96" t="str">
        <f t="shared" si="335"/>
        <v/>
      </c>
      <c r="H81" s="96" t="str">
        <f t="shared" si="335"/>
        <v/>
      </c>
      <c r="I81" s="96" t="str">
        <f t="shared" si="335"/>
        <v/>
      </c>
      <c r="J81" s="94"/>
      <c r="K81" s="94"/>
      <c r="L81" s="94"/>
      <c r="M81" s="94"/>
      <c r="N81" s="96" t="str">
        <f t="shared" ref="N81:AW81" si="336">IF(ISERROR(N62/I62-1),"",(N62/I62-1))</f>
        <v/>
      </c>
      <c r="O81" s="94" t="str">
        <f t="shared" si="336"/>
        <v/>
      </c>
      <c r="P81" s="94" t="str">
        <f t="shared" si="336"/>
        <v/>
      </c>
      <c r="Q81" s="94" t="str">
        <f t="shared" si="336"/>
        <v/>
      </c>
      <c r="R81" s="94" t="str">
        <f t="shared" si="336"/>
        <v/>
      </c>
      <c r="S81" s="96" t="str">
        <f t="shared" si="336"/>
        <v/>
      </c>
      <c r="T81" s="94" t="str">
        <f t="shared" si="336"/>
        <v/>
      </c>
      <c r="U81" s="94" t="str">
        <f t="shared" si="336"/>
        <v/>
      </c>
      <c r="V81" s="94" t="str">
        <f t="shared" si="336"/>
        <v/>
      </c>
      <c r="W81" s="94" t="str">
        <f t="shared" si="336"/>
        <v/>
      </c>
      <c r="X81" s="96" t="str">
        <f t="shared" si="336"/>
        <v/>
      </c>
      <c r="Y81" s="94" t="str">
        <f t="shared" si="336"/>
        <v/>
      </c>
      <c r="Z81" s="94" t="str">
        <f t="shared" si="336"/>
        <v/>
      </c>
      <c r="AA81" s="94" t="str">
        <f t="shared" si="336"/>
        <v/>
      </c>
      <c r="AB81" s="94" t="str">
        <f t="shared" si="336"/>
        <v/>
      </c>
      <c r="AC81" s="96" t="str">
        <f t="shared" si="336"/>
        <v/>
      </c>
      <c r="AD81" s="94" t="str">
        <f t="shared" si="336"/>
        <v/>
      </c>
      <c r="AE81" s="94" t="str">
        <f t="shared" si="336"/>
        <v/>
      </c>
      <c r="AF81" s="94" t="str">
        <f t="shared" si="336"/>
        <v/>
      </c>
      <c r="AG81" s="94" t="str">
        <f t="shared" si="336"/>
        <v/>
      </c>
      <c r="AH81" s="96" t="str">
        <f t="shared" si="336"/>
        <v/>
      </c>
      <c r="AI81" s="94" t="str">
        <f t="shared" si="336"/>
        <v/>
      </c>
      <c r="AJ81" s="94" t="str">
        <f t="shared" si="336"/>
        <v/>
      </c>
      <c r="AK81" s="94" t="str">
        <f t="shared" si="336"/>
        <v/>
      </c>
      <c r="AL81" s="94" t="str">
        <f t="shared" si="336"/>
        <v/>
      </c>
      <c r="AM81" s="96" t="str">
        <f t="shared" si="336"/>
        <v/>
      </c>
      <c r="AN81" s="94" t="str">
        <f t="shared" si="336"/>
        <v/>
      </c>
      <c r="AO81" s="94" t="str">
        <f t="shared" si="336"/>
        <v/>
      </c>
      <c r="AP81" s="94" t="str">
        <f t="shared" si="336"/>
        <v/>
      </c>
      <c r="AQ81" s="94" t="str">
        <f t="shared" si="336"/>
        <v/>
      </c>
      <c r="AR81" s="96" t="str">
        <f t="shared" si="336"/>
        <v/>
      </c>
      <c r="AS81" s="94" t="str">
        <f t="shared" si="336"/>
        <v/>
      </c>
      <c r="AT81" s="94" t="str">
        <f t="shared" si="336"/>
        <v/>
      </c>
      <c r="AU81" s="94" t="str">
        <f t="shared" si="336"/>
        <v/>
      </c>
      <c r="AV81" s="94" t="str">
        <f t="shared" si="336"/>
        <v/>
      </c>
      <c r="AW81" s="96" t="str">
        <f t="shared" si="336"/>
        <v/>
      </c>
      <c r="AX81" s="94" t="str">
        <f t="shared" ref="AX81:BG81" si="337">IF(ISERROR(AX62/AS62-1),"",(AX62/AS62-1))</f>
        <v/>
      </c>
      <c r="AY81" s="94" t="str">
        <f t="shared" si="337"/>
        <v/>
      </c>
      <c r="AZ81" s="94" t="str">
        <f t="shared" si="337"/>
        <v/>
      </c>
      <c r="BA81" s="94" t="str">
        <f t="shared" si="337"/>
        <v/>
      </c>
      <c r="BB81" s="96" t="str">
        <f t="shared" si="337"/>
        <v/>
      </c>
      <c r="BC81" s="94" t="str">
        <f t="shared" si="337"/>
        <v/>
      </c>
      <c r="BD81" s="94" t="str">
        <f t="shared" si="337"/>
        <v/>
      </c>
      <c r="BE81" s="94" t="str">
        <f t="shared" si="337"/>
        <v/>
      </c>
      <c r="BF81" s="94" t="str">
        <f t="shared" si="337"/>
        <v/>
      </c>
      <c r="BG81" s="96" t="str">
        <f t="shared" si="337"/>
        <v/>
      </c>
      <c r="BH81" s="94" t="str">
        <f t="shared" ref="BH81:BO81" si="338">IF(ISERROR(BH62/BC62-1),"",(BH62/BC62-1))</f>
        <v/>
      </c>
      <c r="BI81" s="94" t="str">
        <f t="shared" si="338"/>
        <v/>
      </c>
      <c r="BJ81" s="94" t="str">
        <f t="shared" si="338"/>
        <v/>
      </c>
      <c r="BK81" s="94" t="str">
        <f t="shared" si="338"/>
        <v/>
      </c>
      <c r="BL81" s="96" t="str">
        <f t="shared" si="338"/>
        <v/>
      </c>
      <c r="BM81" s="94" t="str">
        <f t="shared" si="338"/>
        <v/>
      </c>
      <c r="BN81" s="94" t="str">
        <f t="shared" si="338"/>
        <v/>
      </c>
      <c r="BO81" s="94" t="str">
        <f t="shared" si="338"/>
        <v/>
      </c>
      <c r="BP81" s="94" t="str">
        <f t="shared" ref="BP81" si="339">IF(ISERROR(BP62/BK62-1),"",(BP62/BK62-1))</f>
        <v/>
      </c>
      <c r="BQ81" s="96" t="str">
        <f t="shared" ref="BQ81" si="340">IF(ISERROR(BQ62/BL62-1),"",(BQ62/BL62-1))</f>
        <v/>
      </c>
      <c r="BR81" s="94" t="str">
        <f t="shared" ref="BR81" si="341">IF(ISERROR(BR62/BM62-1),"",(BR62/BM62-1))</f>
        <v/>
      </c>
      <c r="BS81" s="94" t="str">
        <f t="shared" ref="BS81" si="342">IF(ISERROR(BS62/BN62-1),"",(BS62/BN62-1))</f>
        <v/>
      </c>
      <c r="BT81" s="94" t="str">
        <f t="shared" ref="BT81" si="343">IF(ISERROR(BT62/BO62-1),"",(BT62/BO62-1))</f>
        <v/>
      </c>
      <c r="BU81" s="94" t="str">
        <f t="shared" ref="BU81:BV81" si="344">IF(ISERROR(BU62/BP62-1),"",(BU62/BP62-1))</f>
        <v/>
      </c>
      <c r="BV81" s="96" t="str">
        <f t="shared" si="344"/>
        <v/>
      </c>
      <c r="BW81" s="94" t="str">
        <f t="shared" ref="BW81" si="345">IF(ISERROR(BW62/BR62-1),"",(BW62/BR62-1))</f>
        <v/>
      </c>
      <c r="BX81" s="94" t="str">
        <f t="shared" ref="BX81" si="346">IF(ISERROR(BX62/BS62-1),"",(BX62/BS62-1))</f>
        <v/>
      </c>
      <c r="BY81" s="94" t="str">
        <f t="shared" ref="BY81" si="347">IF(ISERROR(BY62/BT62-1),"",(BY62/BT62-1))</f>
        <v/>
      </c>
      <c r="BZ81" s="94" t="str">
        <f t="shared" ref="BZ81" si="348">IF(ISERROR(BZ62/BU62-1),"",(BZ62/BU62-1))</f>
        <v/>
      </c>
      <c r="CA81" s="96" t="str">
        <f t="shared" ref="CA81" si="349">IF(ISERROR(CA62/BV62-1),"",(CA62/BV62-1))</f>
        <v/>
      </c>
      <c r="CB81" s="94" t="str">
        <f t="shared" ref="CB81" si="350">IF(ISERROR(CB62/BW62-1),"",(CB62/BW62-1))</f>
        <v/>
      </c>
      <c r="CC81" s="94" t="str">
        <f t="shared" ref="CC81" si="351">IF(ISERROR(CC62/BX62-1),"",(CC62/BX62-1))</f>
        <v/>
      </c>
      <c r="CD81" s="94" t="str">
        <f t="shared" ref="CD81" si="352">IF(ISERROR(CD62/BY62-1),"",(CD62/BY62-1))</f>
        <v/>
      </c>
      <c r="CE81" s="94" t="str">
        <f t="shared" ref="CE81" si="353">IF(ISERROR(CE62/BZ62-1),"",(CE62/BZ62-1))</f>
        <v/>
      </c>
      <c r="CF81" s="96" t="str">
        <f>IF(ISERROR(CF62/CA62-1),"",(CF62/CA62-1))</f>
        <v/>
      </c>
      <c r="CG81" s="94" t="str">
        <f t="shared" ref="CG81" si="354">IF(ISERROR(CG62/CB62-1),"",(CG62/CB62-1))</f>
        <v/>
      </c>
      <c r="CH81" s="94" t="str">
        <f t="shared" ref="CH81" si="355">IF(ISERROR(CH62/CC62-1),"",(CH62/CC62-1))</f>
        <v/>
      </c>
      <c r="CI81" s="94" t="str">
        <f t="shared" ref="CI81" si="356">IF(ISERROR(CI62/CD62-1),"",(CI62/CD62-1))</f>
        <v/>
      </c>
      <c r="CJ81" s="94" t="str">
        <f t="shared" ref="CJ81" si="357">IF(ISERROR(CJ62/CE62-1),"",(CJ62/CE62-1))</f>
        <v/>
      </c>
      <c r="CK81" s="96" t="str">
        <f>IF(ISERROR(CK62/CF62-1),"",(CK62/CF62-1))</f>
        <v/>
      </c>
      <c r="CL81" s="94" t="str">
        <f t="shared" ref="CL81" si="358">IF(ISERROR(CL62/CG62-1),"",(CL62/CG62-1))</f>
        <v/>
      </c>
      <c r="CM81" s="94" t="str">
        <f t="shared" ref="CM81" si="359">IF(ISERROR(CM62/CH62-1),"",(CM62/CH62-1))</f>
        <v/>
      </c>
      <c r="CN81" s="94" t="str">
        <f t="shared" ref="CN81" si="360">IF(ISERROR(CN62/CI62-1),"",(CN62/CI62-1))</f>
        <v/>
      </c>
      <c r="CO81" s="94" t="str">
        <f t="shared" ref="CO81" si="361">IF(ISERROR(CO62/CJ62-1),"",(CO62/CJ62-1))</f>
        <v/>
      </c>
      <c r="CP81" s="96" t="str">
        <f>IF(ISERROR(CP62/CK62-1),"",(CP62/CK62-1))</f>
        <v/>
      </c>
      <c r="CQ81" s="94">
        <f t="shared" ref="CQ81" si="362">IF(ISERROR(CQ62/CL62-1),"",(CQ62/CL62-1))</f>
        <v>-0.22674418604651159</v>
      </c>
      <c r="CR81" s="94">
        <f t="shared" ref="CR81" si="363">IF(ISERROR(CR62/CM62-1),"",(CR62/CM62-1))</f>
        <v>-2.3783783783783781</v>
      </c>
      <c r="CS81" s="94">
        <f t="shared" ref="CS81" si="364">IF(ISERROR(CS62/CN62-1),"",(CS62/CN62-1))</f>
        <v>0.52138728323699413</v>
      </c>
      <c r="CT81" s="94">
        <f t="shared" ref="CT81" si="365">IF(ISERROR(CT62/CO62-1),"",(CT62/CO62-1))</f>
        <v>0.55172413793103448</v>
      </c>
      <c r="CU81" s="96">
        <f>IF(ISERROR(CU62/CP62-1),"",(CU62/CP62-1))</f>
        <v>1.0512021371326803</v>
      </c>
      <c r="CV81" s="94">
        <f t="shared" ref="CV81" si="366">IF(ISERROR(CV62/CQ62-1),"",(CV62/CQ62-1))</f>
        <v>-0.47994987468671679</v>
      </c>
      <c r="CW81" s="94">
        <f t="shared" ref="CW81" si="367">IF(ISERROR(CW62/CR62-1),"",(CW62/CR62-1))</f>
        <v>0.10893246187363825</v>
      </c>
      <c r="CX81" s="94">
        <f t="shared" ref="CX81" si="368">IF(ISERROR(CX62/CS62-1),"",(CX62/CS62-1))</f>
        <v>-0.72720364741641341</v>
      </c>
      <c r="CY81" s="94">
        <f t="shared" ref="CY81" si="369">IF(ISERROR(CY62/CT62-1),"",(CY62/CT62-1))</f>
        <v>-0.13269841269841265</v>
      </c>
      <c r="CZ81" s="96">
        <f>IF(ISERROR(CZ62/CU62-1),"",(CZ62/CU62-1))</f>
        <v>-0.31452138050792278</v>
      </c>
      <c r="DA81" s="94">
        <f t="shared" ref="DA81" si="370">IF(ISERROR(DA62/CV62-1),"",(DA62/CV62-1))</f>
        <v>2.0048192771084339</v>
      </c>
      <c r="DB81" s="94">
        <f t="shared" ref="DB81" si="371">IF(ISERROR(DB62/CW62-1),"",(DB62/CW62-1))</f>
        <v>0.36051080550098225</v>
      </c>
      <c r="DC81" s="94">
        <f t="shared" ref="DC81" si="372">IF(ISERROR(DC62/CX62-1),"",(DC62/CX62-1))</f>
        <v>3.4401114206128129</v>
      </c>
      <c r="DD81" s="94">
        <f t="shared" ref="DD81" si="373">IF(ISERROR(DD62/CY62-1),"",(DD62/CY62-1))</f>
        <v>-2.2693997071742356E-2</v>
      </c>
      <c r="DE81" s="96">
        <f>IF(ISERROR(DE62/CZ62-1),"",(DE62/CZ62-1))</f>
        <v>0.76092463584547176</v>
      </c>
      <c r="DF81" s="94">
        <f t="shared" ref="DF81:DL81" si="374">IF(ISERROR(DF62/DA62-1),"",(DF62/DA62-1))</f>
        <v>0.24298315958299921</v>
      </c>
      <c r="DG81" s="94">
        <f t="shared" si="374"/>
        <v>0.36967509025270751</v>
      </c>
      <c r="DH81" s="94">
        <f t="shared" si="374"/>
        <v>0.14052697616060228</v>
      </c>
      <c r="DI81" s="94">
        <f t="shared" si="374"/>
        <v>0.48913857677902617</v>
      </c>
      <c r="DJ81" s="96">
        <f>IF(ISERROR(DJ62/DE62-1),"",(DJ62/DE62-1))</f>
        <v>0.30426182341305519</v>
      </c>
      <c r="DK81" s="94">
        <f t="shared" si="374"/>
        <v>0.38451612903225807</v>
      </c>
      <c r="DL81" s="94">
        <f t="shared" si="374"/>
        <v>0.23194517659462299</v>
      </c>
      <c r="DM81" s="94">
        <f t="shared" ref="DM81" si="375">IF(ISERROR(DM62/DH62-1),"",(DM62/DH62-1))</f>
        <v>0.17779256325632575</v>
      </c>
      <c r="DN81" s="94">
        <f t="shared" ref="DN81" si="376">IF(ISERROR(DN62/DI62-1),"",(DN62/DI62-1))</f>
        <v>2.511227364185098E-2</v>
      </c>
      <c r="DO81" s="96">
        <f>IF(ISERROR(DO62/DJ62-1),"",(DO62/DJ62-1))</f>
        <v>0.19428513442713347</v>
      </c>
      <c r="DP81" s="94">
        <f t="shared" ref="DP81" si="377">IF(ISERROR(DP62/DK62-1),"",(DP62/DK62-1))</f>
        <v>0.10850738117427761</v>
      </c>
      <c r="DQ81" s="94">
        <f t="shared" ref="DQ81" si="378">IF(ISERROR(DQ62/DL62-1),"",(DQ62/DL62-1))</f>
        <v>0.11070421480530612</v>
      </c>
      <c r="DR81" s="94">
        <f t="shared" ref="DR81" si="379">IF(ISERROR(DR62/DM62-1),"",(DR62/DM62-1))</f>
        <v>0.16891075092425534</v>
      </c>
      <c r="DS81" s="94">
        <f t="shared" ref="DS81" si="380">IF(ISERROR(DS62/DN62-1),"",(DS62/DN62-1))</f>
        <v>0.27033452500663424</v>
      </c>
      <c r="DT81" s="96">
        <f>IF(ISERROR(DT62/DO62-1),"",(DT62/DO62-1))</f>
        <v>0.1621040754897658</v>
      </c>
      <c r="DU81" s="96">
        <f t="shared" ref="DU81:DV81" si="381">IF(ISERROR(DU62/DT62-1),"",(DU62/DT62-1))</f>
        <v>9.6458107230887435E-2</v>
      </c>
      <c r="DV81" s="96">
        <f t="shared" si="381"/>
        <v>7.8719504775379034E-2</v>
      </c>
    </row>
    <row r="82" spans="1:126" s="15" customFormat="1">
      <c r="B82" s="245" t="s">
        <v>104</v>
      </c>
      <c r="C82" s="79"/>
      <c r="D82" s="96" t="str">
        <f t="shared" ref="D82:I82" si="382">IF(ISERROR(D20/C20-1),"",(D20/C20-1))</f>
        <v/>
      </c>
      <c r="E82" s="96" t="str">
        <f t="shared" si="382"/>
        <v/>
      </c>
      <c r="F82" s="96" t="str">
        <f t="shared" si="382"/>
        <v/>
      </c>
      <c r="G82" s="96" t="str">
        <f t="shared" si="382"/>
        <v/>
      </c>
      <c r="H82" s="96" t="str">
        <f t="shared" si="382"/>
        <v/>
      </c>
      <c r="I82" s="96" t="str">
        <f t="shared" si="382"/>
        <v/>
      </c>
      <c r="J82" s="94"/>
      <c r="K82" s="94"/>
      <c r="L82" s="94"/>
      <c r="M82" s="94"/>
      <c r="N82" s="96" t="str">
        <f t="shared" ref="N82:AS82" si="383">IF(ISERROR(N20/I20-1),"",(N20/I20-1))</f>
        <v/>
      </c>
      <c r="O82" s="94" t="str">
        <f t="shared" si="383"/>
        <v/>
      </c>
      <c r="P82" s="94" t="str">
        <f t="shared" si="383"/>
        <v/>
      </c>
      <c r="Q82" s="94" t="str">
        <f t="shared" si="383"/>
        <v/>
      </c>
      <c r="R82" s="94" t="str">
        <f t="shared" si="383"/>
        <v/>
      </c>
      <c r="S82" s="96" t="str">
        <f t="shared" si="383"/>
        <v/>
      </c>
      <c r="T82" s="94" t="str">
        <f t="shared" si="383"/>
        <v/>
      </c>
      <c r="U82" s="94" t="str">
        <f t="shared" si="383"/>
        <v/>
      </c>
      <c r="V82" s="94" t="str">
        <f t="shared" si="383"/>
        <v/>
      </c>
      <c r="W82" s="94" t="str">
        <f t="shared" si="383"/>
        <v/>
      </c>
      <c r="X82" s="96" t="str">
        <f t="shared" si="383"/>
        <v/>
      </c>
      <c r="Y82" s="94" t="str">
        <f t="shared" si="383"/>
        <v/>
      </c>
      <c r="Z82" s="94" t="str">
        <f t="shared" si="383"/>
        <v/>
      </c>
      <c r="AA82" s="94" t="str">
        <f t="shared" si="383"/>
        <v/>
      </c>
      <c r="AB82" s="94" t="str">
        <f t="shared" si="383"/>
        <v/>
      </c>
      <c r="AC82" s="96" t="str">
        <f t="shared" si="383"/>
        <v/>
      </c>
      <c r="AD82" s="94" t="str">
        <f t="shared" si="383"/>
        <v/>
      </c>
      <c r="AE82" s="94" t="str">
        <f t="shared" si="383"/>
        <v/>
      </c>
      <c r="AF82" s="94" t="str">
        <f t="shared" si="383"/>
        <v/>
      </c>
      <c r="AG82" s="94" t="str">
        <f t="shared" si="383"/>
        <v/>
      </c>
      <c r="AH82" s="96" t="str">
        <f t="shared" si="383"/>
        <v/>
      </c>
      <c r="AI82" s="94" t="str">
        <f t="shared" si="383"/>
        <v/>
      </c>
      <c r="AJ82" s="94" t="str">
        <f t="shared" si="383"/>
        <v/>
      </c>
      <c r="AK82" s="94" t="str">
        <f t="shared" si="383"/>
        <v/>
      </c>
      <c r="AL82" s="94" t="str">
        <f t="shared" si="383"/>
        <v/>
      </c>
      <c r="AM82" s="96" t="str">
        <f t="shared" si="383"/>
        <v/>
      </c>
      <c r="AN82" s="94" t="str">
        <f t="shared" si="383"/>
        <v/>
      </c>
      <c r="AO82" s="94" t="str">
        <f t="shared" si="383"/>
        <v/>
      </c>
      <c r="AP82" s="94" t="str">
        <f t="shared" si="383"/>
        <v/>
      </c>
      <c r="AQ82" s="94" t="str">
        <f t="shared" si="383"/>
        <v/>
      </c>
      <c r="AR82" s="96" t="str">
        <f t="shared" si="383"/>
        <v/>
      </c>
      <c r="AS82" s="94" t="str">
        <f t="shared" si="383"/>
        <v/>
      </c>
      <c r="AT82" s="94" t="str">
        <f t="shared" ref="AT82:BY82" si="384">IF(ISERROR(AT20/AO20-1),"",(AT20/AO20-1))</f>
        <v/>
      </c>
      <c r="AU82" s="94" t="str">
        <f t="shared" si="384"/>
        <v/>
      </c>
      <c r="AV82" s="94" t="str">
        <f t="shared" si="384"/>
        <v/>
      </c>
      <c r="AW82" s="96" t="str">
        <f t="shared" si="384"/>
        <v/>
      </c>
      <c r="AX82" s="94" t="str">
        <f t="shared" si="384"/>
        <v/>
      </c>
      <c r="AY82" s="94" t="str">
        <f t="shared" si="384"/>
        <v/>
      </c>
      <c r="AZ82" s="94" t="str">
        <f t="shared" si="384"/>
        <v/>
      </c>
      <c r="BA82" s="94" t="str">
        <f t="shared" si="384"/>
        <v/>
      </c>
      <c r="BB82" s="96" t="str">
        <f t="shared" si="384"/>
        <v/>
      </c>
      <c r="BC82" s="94" t="str">
        <f t="shared" si="384"/>
        <v/>
      </c>
      <c r="BD82" s="94" t="str">
        <f t="shared" si="384"/>
        <v/>
      </c>
      <c r="BE82" s="94" t="str">
        <f t="shared" si="384"/>
        <v/>
      </c>
      <c r="BF82" s="94" t="str">
        <f t="shared" si="384"/>
        <v/>
      </c>
      <c r="BG82" s="96" t="str">
        <f t="shared" si="384"/>
        <v/>
      </c>
      <c r="BH82" s="94" t="str">
        <f t="shared" si="384"/>
        <v/>
      </c>
      <c r="BI82" s="94" t="str">
        <f t="shared" si="384"/>
        <v/>
      </c>
      <c r="BJ82" s="94" t="str">
        <f t="shared" si="384"/>
        <v/>
      </c>
      <c r="BK82" s="94" t="str">
        <f t="shared" si="384"/>
        <v/>
      </c>
      <c r="BL82" s="96" t="str">
        <f t="shared" si="384"/>
        <v/>
      </c>
      <c r="BM82" s="94" t="str">
        <f t="shared" si="384"/>
        <v/>
      </c>
      <c r="BN82" s="94" t="str">
        <f t="shared" si="384"/>
        <v/>
      </c>
      <c r="BO82" s="94" t="str">
        <f t="shared" si="384"/>
        <v/>
      </c>
      <c r="BP82" s="94" t="str">
        <f t="shared" si="384"/>
        <v/>
      </c>
      <c r="BQ82" s="96" t="str">
        <f t="shared" si="384"/>
        <v/>
      </c>
      <c r="BR82" s="94" t="str">
        <f t="shared" si="384"/>
        <v/>
      </c>
      <c r="BS82" s="94" t="str">
        <f t="shared" si="384"/>
        <v/>
      </c>
      <c r="BT82" s="94" t="str">
        <f t="shared" si="384"/>
        <v/>
      </c>
      <c r="BU82" s="94" t="str">
        <f t="shared" si="384"/>
        <v/>
      </c>
      <c r="BV82" s="96" t="str">
        <f t="shared" si="384"/>
        <v/>
      </c>
      <c r="BW82" s="94" t="str">
        <f t="shared" si="384"/>
        <v/>
      </c>
      <c r="BX82" s="94" t="str">
        <f t="shared" si="384"/>
        <v/>
      </c>
      <c r="BY82" s="94" t="str">
        <f t="shared" si="384"/>
        <v/>
      </c>
      <c r="BZ82" s="94" t="str">
        <f t="shared" ref="BZ82:DE82" si="385">IF(ISERROR(BZ20/BU20-1),"",(BZ20/BU20-1))</f>
        <v/>
      </c>
      <c r="CA82" s="96" t="str">
        <f t="shared" si="385"/>
        <v/>
      </c>
      <c r="CB82" s="94" t="str">
        <f t="shared" si="385"/>
        <v/>
      </c>
      <c r="CC82" s="94" t="str">
        <f t="shared" si="385"/>
        <v/>
      </c>
      <c r="CD82" s="94" t="str">
        <f t="shared" si="385"/>
        <v/>
      </c>
      <c r="CE82" s="94" t="str">
        <f t="shared" si="385"/>
        <v/>
      </c>
      <c r="CF82" s="96" t="str">
        <f t="shared" si="385"/>
        <v/>
      </c>
      <c r="CG82" s="94" t="str">
        <f t="shared" si="385"/>
        <v/>
      </c>
      <c r="CH82" s="94" t="str">
        <f t="shared" si="385"/>
        <v/>
      </c>
      <c r="CI82" s="94" t="str">
        <f t="shared" si="385"/>
        <v/>
      </c>
      <c r="CJ82" s="94" t="str">
        <f t="shared" si="385"/>
        <v/>
      </c>
      <c r="CK82" s="96" t="str">
        <f t="shared" si="385"/>
        <v/>
      </c>
      <c r="CL82" s="94" t="str">
        <f t="shared" si="385"/>
        <v/>
      </c>
      <c r="CM82" s="94" t="str">
        <f t="shared" si="385"/>
        <v/>
      </c>
      <c r="CN82" s="94" t="str">
        <f t="shared" si="385"/>
        <v/>
      </c>
      <c r="CO82" s="94" t="str">
        <f t="shared" si="385"/>
        <v/>
      </c>
      <c r="CP82" s="96" t="str">
        <f t="shared" si="385"/>
        <v/>
      </c>
      <c r="CQ82" s="94">
        <f t="shared" si="385"/>
        <v>-0.98464982411256796</v>
      </c>
      <c r="CR82" s="94">
        <f t="shared" si="385"/>
        <v>-0.49956101843722567</v>
      </c>
      <c r="CS82" s="94">
        <f t="shared" si="385"/>
        <v>-1.512323943661972</v>
      </c>
      <c r="CT82" s="94">
        <f t="shared" si="385"/>
        <v>-2.4140435835351091</v>
      </c>
      <c r="CU82" s="96">
        <f t="shared" si="385"/>
        <v>-1.5259408393991016</v>
      </c>
      <c r="CV82" s="94">
        <f t="shared" si="385"/>
        <v>-13.59375</v>
      </c>
      <c r="CW82" s="94">
        <f t="shared" si="385"/>
        <v>0.97368421052631571</v>
      </c>
      <c r="CX82" s="94">
        <f t="shared" si="385"/>
        <v>-1.4175257731958764</v>
      </c>
      <c r="CY82" s="94">
        <f t="shared" si="385"/>
        <v>-1.5079908675799087</v>
      </c>
      <c r="CZ82" s="96">
        <f t="shared" si="385"/>
        <v>-0.76531213191990577</v>
      </c>
      <c r="DA82" s="94">
        <f t="shared" si="385"/>
        <v>-6.1447477253928868</v>
      </c>
      <c r="DB82" s="94">
        <f t="shared" si="385"/>
        <v>-1.9386666666666668</v>
      </c>
      <c r="DC82" s="94">
        <f t="shared" si="385"/>
        <v>-1.6666666666666665</v>
      </c>
      <c r="DD82" s="94">
        <f t="shared" si="385"/>
        <v>-0.10561797752808988</v>
      </c>
      <c r="DE82" s="96">
        <f t="shared" si="385"/>
        <v>-12.329987452948558</v>
      </c>
      <c r="DF82" s="94">
        <f t="shared" ref="DF82:DO82" si="386">IF(ISERROR(DF20/DA20-1),"",(DF20/DA20-1))</f>
        <v>-0.75080385852090026</v>
      </c>
      <c r="DG82" s="94">
        <f t="shared" si="386"/>
        <v>0.25189393939393945</v>
      </c>
      <c r="DH82" s="94">
        <f t="shared" si="386"/>
        <v>9.4629629629629637</v>
      </c>
      <c r="DI82" s="94">
        <f t="shared" si="386"/>
        <v>0.19158291457286425</v>
      </c>
      <c r="DJ82" s="96">
        <f t="shared" si="386"/>
        <v>-0.28416389811738652</v>
      </c>
      <c r="DK82" s="94">
        <f t="shared" si="386"/>
        <v>0.26580645161290328</v>
      </c>
      <c r="DL82" s="94">
        <f t="shared" si="386"/>
        <v>0.51285930408472002</v>
      </c>
      <c r="DM82" s="94">
        <f t="shared" si="386"/>
        <v>-0.11806515019164421</v>
      </c>
      <c r="DN82" s="94">
        <f t="shared" si="386"/>
        <v>-0.25470982337884773</v>
      </c>
      <c r="DO82" s="96">
        <f t="shared" si="386"/>
        <v>6.2916929993113602E-2</v>
      </c>
      <c r="DP82" s="94">
        <f t="shared" ref="DP82" si="387">IF(ISERROR(DP20/DK20-1),"",(DP20/DK20-1))</f>
        <v>-0.13322740327104865</v>
      </c>
      <c r="DQ82" s="94">
        <f t="shared" ref="DQ82" si="388">IF(ISERROR(DQ20/DL20-1),"",(DQ20/DL20-1))</f>
        <v>-6.4672092353218691E-2</v>
      </c>
      <c r="DR82" s="94">
        <f t="shared" ref="DR82" si="389">IF(ISERROR(DR20/DM20-1),"",(DR20/DM20-1))</f>
        <v>0.18688984169374723</v>
      </c>
      <c r="DS82" s="94">
        <f t="shared" ref="DS82" si="390">IF(ISERROR(DS20/DN20-1),"",(DS20/DN20-1))</f>
        <v>0.30298998602880722</v>
      </c>
      <c r="DT82" s="96">
        <f t="shared" ref="DT82" si="391">IF(ISERROR(DT20/DO20-1),"",(DT20/DO20-1))</f>
        <v>4.6139929469990681E-2</v>
      </c>
      <c r="DU82" s="96">
        <f>IF(ISERROR(DU20/DT20-1),"",(DU20/DT20-1))</f>
        <v>0.1312691328173925</v>
      </c>
      <c r="DV82" s="96">
        <f>IF(ISERROR(DV20/DU20-1),"",(DV20/DU20-1))</f>
        <v>8.5081117071256873E-2</v>
      </c>
    </row>
    <row r="83" spans="1:126" s="15" customFormat="1">
      <c r="B83" s="245" t="s">
        <v>105</v>
      </c>
      <c r="C83" s="79"/>
      <c r="D83" s="96" t="str">
        <f t="shared" ref="D83:I83" si="392">IF(ISERROR(D32/C32-1),"",(D32/C32-1))</f>
        <v/>
      </c>
      <c r="E83" s="96" t="str">
        <f t="shared" si="392"/>
        <v/>
      </c>
      <c r="F83" s="96" t="str">
        <f t="shared" si="392"/>
        <v/>
      </c>
      <c r="G83" s="96" t="str">
        <f t="shared" si="392"/>
        <v/>
      </c>
      <c r="H83" s="96" t="str">
        <f t="shared" si="392"/>
        <v/>
      </c>
      <c r="I83" s="96" t="str">
        <f t="shared" si="392"/>
        <v/>
      </c>
      <c r="J83" s="94"/>
      <c r="K83" s="94"/>
      <c r="L83" s="94"/>
      <c r="M83" s="94"/>
      <c r="N83" s="96" t="str">
        <f t="shared" ref="N83:AW83" si="393">IF(ISERROR(N32/I32-1),"",(N32/I32-1))</f>
        <v/>
      </c>
      <c r="O83" s="94" t="str">
        <f t="shared" si="393"/>
        <v/>
      </c>
      <c r="P83" s="94" t="str">
        <f t="shared" si="393"/>
        <v/>
      </c>
      <c r="Q83" s="94" t="str">
        <f t="shared" si="393"/>
        <v/>
      </c>
      <c r="R83" s="94" t="str">
        <f t="shared" si="393"/>
        <v/>
      </c>
      <c r="S83" s="96" t="str">
        <f t="shared" si="393"/>
        <v/>
      </c>
      <c r="T83" s="94" t="str">
        <f t="shared" si="393"/>
        <v/>
      </c>
      <c r="U83" s="94" t="str">
        <f t="shared" si="393"/>
        <v/>
      </c>
      <c r="V83" s="94" t="str">
        <f t="shared" si="393"/>
        <v/>
      </c>
      <c r="W83" s="94" t="str">
        <f t="shared" si="393"/>
        <v/>
      </c>
      <c r="X83" s="96" t="str">
        <f t="shared" si="393"/>
        <v/>
      </c>
      <c r="Y83" s="94" t="str">
        <f t="shared" si="393"/>
        <v/>
      </c>
      <c r="Z83" s="94" t="str">
        <f t="shared" si="393"/>
        <v/>
      </c>
      <c r="AA83" s="94" t="str">
        <f t="shared" si="393"/>
        <v/>
      </c>
      <c r="AB83" s="94" t="str">
        <f t="shared" si="393"/>
        <v/>
      </c>
      <c r="AC83" s="96" t="str">
        <f t="shared" si="393"/>
        <v/>
      </c>
      <c r="AD83" s="94" t="str">
        <f t="shared" si="393"/>
        <v/>
      </c>
      <c r="AE83" s="94" t="str">
        <f t="shared" si="393"/>
        <v/>
      </c>
      <c r="AF83" s="94" t="str">
        <f t="shared" si="393"/>
        <v/>
      </c>
      <c r="AG83" s="94" t="str">
        <f t="shared" si="393"/>
        <v/>
      </c>
      <c r="AH83" s="96" t="str">
        <f t="shared" si="393"/>
        <v/>
      </c>
      <c r="AI83" s="94" t="str">
        <f t="shared" si="393"/>
        <v/>
      </c>
      <c r="AJ83" s="94" t="str">
        <f t="shared" si="393"/>
        <v/>
      </c>
      <c r="AK83" s="94" t="str">
        <f t="shared" si="393"/>
        <v/>
      </c>
      <c r="AL83" s="94" t="str">
        <f t="shared" si="393"/>
        <v/>
      </c>
      <c r="AM83" s="96" t="str">
        <f t="shared" si="393"/>
        <v/>
      </c>
      <c r="AN83" s="94" t="str">
        <f t="shared" si="393"/>
        <v/>
      </c>
      <c r="AO83" s="94" t="str">
        <f t="shared" si="393"/>
        <v/>
      </c>
      <c r="AP83" s="94" t="str">
        <f t="shared" si="393"/>
        <v/>
      </c>
      <c r="AQ83" s="94" t="str">
        <f t="shared" si="393"/>
        <v/>
      </c>
      <c r="AR83" s="96" t="str">
        <f t="shared" si="393"/>
        <v/>
      </c>
      <c r="AS83" s="94" t="str">
        <f t="shared" si="393"/>
        <v/>
      </c>
      <c r="AT83" s="94" t="str">
        <f t="shared" si="393"/>
        <v/>
      </c>
      <c r="AU83" s="94" t="str">
        <f t="shared" si="393"/>
        <v/>
      </c>
      <c r="AV83" s="94" t="str">
        <f t="shared" si="393"/>
        <v/>
      </c>
      <c r="AW83" s="96" t="str">
        <f t="shared" si="393"/>
        <v/>
      </c>
      <c r="AX83" s="94" t="str">
        <f t="shared" ref="AX83:BG83" si="394">IF(ISERROR(AX32/AS32-1),"",(AX32/AS32-1))</f>
        <v/>
      </c>
      <c r="AY83" s="94" t="str">
        <f t="shared" si="394"/>
        <v/>
      </c>
      <c r="AZ83" s="94" t="str">
        <f t="shared" si="394"/>
        <v/>
      </c>
      <c r="BA83" s="94" t="str">
        <f t="shared" si="394"/>
        <v/>
      </c>
      <c r="BB83" s="96" t="str">
        <f t="shared" si="394"/>
        <v/>
      </c>
      <c r="BC83" s="94" t="str">
        <f t="shared" si="394"/>
        <v/>
      </c>
      <c r="BD83" s="94" t="str">
        <f t="shared" si="394"/>
        <v/>
      </c>
      <c r="BE83" s="94" t="str">
        <f t="shared" si="394"/>
        <v/>
      </c>
      <c r="BF83" s="94" t="str">
        <f t="shared" si="394"/>
        <v/>
      </c>
      <c r="BG83" s="96" t="str">
        <f t="shared" si="394"/>
        <v/>
      </c>
      <c r="BH83" s="94" t="str">
        <f t="shared" ref="BH83:BO83" si="395">IF(ISERROR(BH32/BC32-1),"",(BH32/BC32-1))</f>
        <v/>
      </c>
      <c r="BI83" s="94" t="str">
        <f t="shared" si="395"/>
        <v/>
      </c>
      <c r="BJ83" s="94" t="str">
        <f t="shared" si="395"/>
        <v/>
      </c>
      <c r="BK83" s="94" t="str">
        <f t="shared" si="395"/>
        <v/>
      </c>
      <c r="BL83" s="96" t="str">
        <f t="shared" si="395"/>
        <v/>
      </c>
      <c r="BM83" s="94" t="str">
        <f t="shared" si="395"/>
        <v/>
      </c>
      <c r="BN83" s="94" t="str">
        <f t="shared" si="395"/>
        <v/>
      </c>
      <c r="BO83" s="94" t="str">
        <f t="shared" si="395"/>
        <v/>
      </c>
      <c r="BP83" s="94" t="str">
        <f t="shared" ref="BP83" si="396">IF(ISERROR(BP32/BK32-1),"",(BP32/BK32-1))</f>
        <v/>
      </c>
      <c r="BQ83" s="96" t="str">
        <f t="shared" ref="BQ83" si="397">IF(ISERROR(BQ32/BL32-1),"",(BQ32/BL32-1))</f>
        <v/>
      </c>
      <c r="BR83" s="94" t="str">
        <f t="shared" ref="BR83" si="398">IF(ISERROR(BR32/BM32-1),"",(BR32/BM32-1))</f>
        <v/>
      </c>
      <c r="BS83" s="94" t="str">
        <f t="shared" ref="BS83" si="399">IF(ISERROR(BS32/BN32-1),"",(BS32/BN32-1))</f>
        <v/>
      </c>
      <c r="BT83" s="94" t="str">
        <f t="shared" ref="BT83" si="400">IF(ISERROR(BT32/BO32-1),"",(BT32/BO32-1))</f>
        <v/>
      </c>
      <c r="BU83" s="94" t="str">
        <f t="shared" ref="BU83:BV83" si="401">IF(ISERROR(BU32/BP32-1),"",(BU32/BP32-1))</f>
        <v/>
      </c>
      <c r="BV83" s="96" t="str">
        <f t="shared" si="401"/>
        <v/>
      </c>
      <c r="BW83" s="94" t="str">
        <f t="shared" ref="BW83" si="402">IF(ISERROR(BW32/BR32-1),"",(BW32/BR32-1))</f>
        <v/>
      </c>
      <c r="BX83" s="94" t="str">
        <f t="shared" ref="BX83" si="403">IF(ISERROR(BX32/BS32-1),"",(BX32/BS32-1))</f>
        <v/>
      </c>
      <c r="BY83" s="94" t="str">
        <f t="shared" ref="BY83" si="404">IF(ISERROR(BY32/BT32-1),"",(BY32/BT32-1))</f>
        <v/>
      </c>
      <c r="BZ83" s="94" t="str">
        <f t="shared" ref="BZ83" si="405">IF(ISERROR(BZ32/BU32-1),"",(BZ32/BU32-1))</f>
        <v/>
      </c>
      <c r="CA83" s="96" t="str">
        <f t="shared" ref="CA83" si="406">IF(ISERROR(CA32/BV32-1),"",(CA32/BV32-1))</f>
        <v/>
      </c>
      <c r="CB83" s="94" t="str">
        <f t="shared" ref="CB83" si="407">IF(ISERROR(CB32/BW32-1),"",(CB32/BW32-1))</f>
        <v/>
      </c>
      <c r="CC83" s="94" t="str">
        <f t="shared" ref="CC83" si="408">IF(ISERROR(CC32/BX32-1),"",(CC32/BX32-1))</f>
        <v/>
      </c>
      <c r="CD83" s="94" t="str">
        <f t="shared" ref="CD83" si="409">IF(ISERROR(CD32/BY32-1),"",(CD32/BY32-1))</f>
        <v/>
      </c>
      <c r="CE83" s="94" t="str">
        <f t="shared" ref="CE83" si="410">IF(ISERROR(CE32/BZ32-1),"",(CE32/BZ32-1))</f>
        <v/>
      </c>
      <c r="CF83" s="96" t="str">
        <f>IF(ISERROR(CF32/CA32-1),"",(CF32/CA32-1))</f>
        <v/>
      </c>
      <c r="CG83" s="94" t="str">
        <f t="shared" ref="CG83" si="411">IF(ISERROR(CG32/CB32-1),"",(CG32/CB32-1))</f>
        <v/>
      </c>
      <c r="CH83" s="94" t="str">
        <f t="shared" ref="CH83" si="412">IF(ISERROR(CH32/CC32-1),"",(CH32/CC32-1))</f>
        <v/>
      </c>
      <c r="CI83" s="94" t="str">
        <f t="shared" ref="CI83" si="413">IF(ISERROR(CI32/CD32-1),"",(CI32/CD32-1))</f>
        <v/>
      </c>
      <c r="CJ83" s="94" t="str">
        <f t="shared" ref="CJ83" si="414">IF(ISERROR(CJ32/CE32-1),"",(CJ32/CE32-1))</f>
        <v/>
      </c>
      <c r="CK83" s="96" t="str">
        <f>IF(ISERROR(CK32/CF32-1),"",(CK32/CF32-1))</f>
        <v/>
      </c>
      <c r="CL83" s="94" t="str">
        <f t="shared" ref="CL83" si="415">IF(ISERROR(CL32/CG32-1),"",(CL32/CG32-1))</f>
        <v/>
      </c>
      <c r="CM83" s="94" t="str">
        <f t="shared" ref="CM83" si="416">IF(ISERROR(CM32/CH32-1),"",(CM32/CH32-1))</f>
        <v/>
      </c>
      <c r="CN83" s="94" t="str">
        <f t="shared" ref="CN83" si="417">IF(ISERROR(CN32/CI32-1),"",(CN32/CI32-1))</f>
        <v/>
      </c>
      <c r="CO83" s="94" t="str">
        <f t="shared" ref="CO83" si="418">IF(ISERROR(CO32/CJ32-1),"",(CO32/CJ32-1))</f>
        <v/>
      </c>
      <c r="CP83" s="96" t="str">
        <f>IF(ISERROR(CP32/CK32-1),"",(CP32/CK32-1))</f>
        <v/>
      </c>
      <c r="CQ83" s="94">
        <f t="shared" ref="CQ83" si="419">IF(ISERROR(CQ32/CL32-1),"",(CQ32/CL32-1))</f>
        <v>-0.98467281447207444</v>
      </c>
      <c r="CR83" s="94">
        <f t="shared" ref="CR83" si="420">IF(ISERROR(CR32/CM32-1),"",(CR32/CM32-1))</f>
        <v>-0.49956101843722567</v>
      </c>
      <c r="CS83" s="94">
        <f t="shared" ref="CS83" si="421">IF(ISERROR(CS32/CN32-1),"",(CS32/CN32-1))</f>
        <v>-5.0868235550068999</v>
      </c>
      <c r="CT83" s="94">
        <f t="shared" ref="CT83" si="422">IF(ISERROR(CT32/CO32-1),"",(CT32/CO32-1))</f>
        <v>-2.4097454194963337</v>
      </c>
      <c r="CU83" s="96">
        <f>IF(ISERROR(CU32/CP32-1),"",(CU32/CP32-1))</f>
        <v>-1.7294598803157601</v>
      </c>
      <c r="CV83" s="94">
        <f t="shared" ref="CV83" si="423">IF(ISERROR(CV32/CQ32-1),"",(CV32/CQ32-1))</f>
        <v>-101.44474231808437</v>
      </c>
      <c r="CW83" s="94">
        <f t="shared" ref="CW83" si="424">IF(ISERROR(CW32/CR32-1),"",(CW32/CR32-1))</f>
        <v>14.805453601879369</v>
      </c>
      <c r="CX83" s="94">
        <f t="shared" ref="CX83" si="425">IF(ISERROR(CX32/CS32-1),"",(CX32/CS32-1))</f>
        <v>-1.4196155599844791</v>
      </c>
      <c r="CY83" s="94">
        <f t="shared" ref="CY83" si="426">IF(ISERROR(CY32/CT32-1),"",(CY32/CT32-1))</f>
        <v>-1.5126212353556139</v>
      </c>
      <c r="CZ83" s="96">
        <f>IF(ISERROR(CZ32/CU32-1),"",(CZ32/CU32-1))</f>
        <v>5.8864635448987901E-2</v>
      </c>
      <c r="DA83" s="94">
        <f t="shared" ref="DA83" si="427">IF(ISERROR(DA32/CV32-1),"",(DA32/CV32-1))</f>
        <v>-6.2000472847338193</v>
      </c>
      <c r="DB83" s="94">
        <f t="shared" ref="DB83" si="428">IF(ISERROR(DB32/CW32-1),"",(DB32/CW32-1))</f>
        <v>-1.9457170785829345</v>
      </c>
      <c r="DC83" s="94">
        <f t="shared" ref="DC83" si="429">IF(ISERROR(DC32/CX32-1),"",(DC32/CX32-1))</f>
        <v>-1.6692895699569961</v>
      </c>
      <c r="DD83" s="94">
        <f t="shared" ref="DD83" si="430">IF(ISERROR(DD32/CY32-1),"",(DD32/CY32-1))</f>
        <v>-0.10505591138969139</v>
      </c>
      <c r="DE83" s="96">
        <f>IF(ISERROR(DE32/CZ32-1),"",(DE32/CZ32-1))</f>
        <v>-12.394639576731191</v>
      </c>
      <c r="DF83" s="94">
        <f t="shared" ref="DF83:DL83" si="431">IF(ISERROR(DF32/DA32-1),"",(DF32/DA32-1))</f>
        <v>-0.75397584999839662</v>
      </c>
      <c r="DG83" s="94">
        <f t="shared" si="431"/>
        <v>0.23866733053202482</v>
      </c>
      <c r="DH83" s="94">
        <f t="shared" si="431"/>
        <v>9.4802627456146293</v>
      </c>
      <c r="DI83" s="94">
        <f t="shared" si="431"/>
        <v>0.19677702205020342</v>
      </c>
      <c r="DJ83" s="96">
        <f>IF(ISERROR(DJ32/DE32-1),"",(DJ32/DE32-1))</f>
        <v>-0.28834021649586117</v>
      </c>
      <c r="DK83" s="94">
        <f t="shared" si="431"/>
        <v>0.30315654507280643</v>
      </c>
      <c r="DL83" s="94">
        <f t="shared" si="431"/>
        <v>0.55463752053921023</v>
      </c>
      <c r="DM83" s="94">
        <f t="shared" ref="DM83" si="432">IF(ISERROR(DM32/DH32-1),"",(DM32/DH32-1))</f>
        <v>-0.10413143413508308</v>
      </c>
      <c r="DN83" s="94">
        <f t="shared" ref="DN83" si="433">IF(ISERROR(DN32/DI32-1),"",(DN32/DI32-1))</f>
        <v>-0.24424706720603728</v>
      </c>
      <c r="DO83" s="96">
        <f>IF(ISERROR(DO32/DJ32-1),"",(DO32/DJ32-1))</f>
        <v>8.7622948583840232E-2</v>
      </c>
      <c r="DP83" s="94">
        <f t="shared" ref="DP83" si="434">IF(ISERROR(DP32/DK32-1),"",(DP32/DK32-1))</f>
        <v>-0.12531047778682924</v>
      </c>
      <c r="DQ83" s="94">
        <f t="shared" ref="DQ83" si="435">IF(ISERROR(DQ32/DL32-1),"",(DQ32/DL32-1))</f>
        <v>-5.0704553922459095E-2</v>
      </c>
      <c r="DR83" s="94">
        <f t="shared" ref="DR83" si="436">IF(ISERROR(DR32/DM32-1),"",(DR32/DM32-1))</f>
        <v>0.21181285498495894</v>
      </c>
      <c r="DS83" s="94">
        <f t="shared" ref="DS83" si="437">IF(ISERROR(DS32/DN32-1),"",(DS32/DN32-1))</f>
        <v>0.33740469008090712</v>
      </c>
      <c r="DT83" s="96">
        <f>IF(ISERROR(DT32/DO32-1),"",(DT32/DO32-1))</f>
        <v>6.4784522865488858E-2</v>
      </c>
      <c r="DU83" s="96">
        <f t="shared" ref="DU83:DV83" si="438">IF(ISERROR(DU32/DT32-1),"",(DU32/DT32-1))</f>
        <v>0.15432680539667021</v>
      </c>
      <c r="DV83" s="96">
        <f t="shared" si="438"/>
        <v>0.10875605901728269</v>
      </c>
    </row>
    <row r="84" spans="1:126" s="15" customFormat="1">
      <c r="C84" s="16"/>
      <c r="D84" s="16"/>
      <c r="E84" s="16"/>
      <c r="F84" s="16"/>
      <c r="G84" s="16"/>
      <c r="H84" s="16"/>
      <c r="I84" s="16"/>
      <c r="N84" s="16"/>
      <c r="S84" s="16"/>
      <c r="X84" s="16"/>
      <c r="AC84" s="16"/>
      <c r="AH84" s="16"/>
      <c r="AM84" s="16"/>
      <c r="AR84" s="16"/>
      <c r="AW84" s="16"/>
      <c r="BB84" s="16"/>
      <c r="BG84" s="16"/>
      <c r="BL84" s="16"/>
      <c r="BQ84" s="16"/>
      <c r="BV84" s="16"/>
      <c r="CA84" s="16"/>
      <c r="CF84" s="16"/>
      <c r="CK84" s="16"/>
      <c r="CP84" s="16"/>
      <c r="CU84" s="16"/>
      <c r="CZ84" s="16"/>
      <c r="DE84" s="16"/>
      <c r="DJ84" s="16"/>
      <c r="DO84" s="16"/>
      <c r="DT84" s="16"/>
      <c r="DU84" s="16"/>
      <c r="DV84" s="16"/>
    </row>
    <row r="85" spans="1:126" ht="12">
      <c r="A85" s="15"/>
      <c r="B85" s="1" t="s">
        <v>106</v>
      </c>
      <c r="C85" s="135"/>
      <c r="D85" s="135"/>
      <c r="E85" s="135"/>
      <c r="F85" s="135"/>
      <c r="G85" s="135"/>
      <c r="H85" s="135"/>
      <c r="I85" s="135"/>
      <c r="N85" s="135"/>
      <c r="S85" s="135"/>
      <c r="X85" s="135"/>
      <c r="AC85" s="135"/>
      <c r="AH85" s="135"/>
      <c r="AM85" s="135"/>
      <c r="AR85" s="135"/>
      <c r="AW85" s="135"/>
      <c r="BB85" s="135"/>
      <c r="BG85" s="135"/>
      <c r="BL85" s="135"/>
      <c r="BQ85" s="135"/>
      <c r="BV85" s="135"/>
      <c r="CA85" s="135"/>
      <c r="CF85" s="135"/>
      <c r="CK85" s="135"/>
      <c r="CP85" s="135"/>
      <c r="CU85" s="135"/>
      <c r="CZ85" s="135"/>
      <c r="DE85" s="135"/>
      <c r="DJ85" s="135"/>
      <c r="DO85" s="135"/>
      <c r="DT85" s="135"/>
      <c r="DU85" s="135"/>
      <c r="DV85" s="135"/>
    </row>
    <row r="86" spans="1:126" s="93" customFormat="1">
      <c r="A86" s="131"/>
      <c r="B86" s="244" t="s">
        <v>71</v>
      </c>
      <c r="C86" s="96"/>
      <c r="D86" s="96"/>
      <c r="E86" s="96"/>
      <c r="F86" s="96"/>
      <c r="G86" s="96"/>
      <c r="H86" s="96"/>
      <c r="I86" s="96"/>
      <c r="J86" s="94"/>
      <c r="K86" s="94"/>
      <c r="L86" s="94"/>
      <c r="M86" s="94"/>
      <c r="N86" s="96"/>
      <c r="O86" s="94" t="str">
        <f>IF(ISERROR(O9/M9-1),"",(O9/M9-1))</f>
        <v/>
      </c>
      <c r="P86" s="94" t="str">
        <f>IF(ISERROR(P9/O9-1),"",(P9/O9-1))</f>
        <v/>
      </c>
      <c r="Q86" s="94" t="str">
        <f>IF(ISERROR(Q9/P9-1),"",(Q9/P9-1))</f>
        <v/>
      </c>
      <c r="R86" s="94" t="str">
        <f>IF(ISERROR(R9/Q9-1),"",(R9/Q9-1))</f>
        <v/>
      </c>
      <c r="S86" s="96"/>
      <c r="T86" s="94" t="str">
        <f>IF(ISERROR(T9/R9-1),"",(T9/R9-1))</f>
        <v/>
      </c>
      <c r="U86" s="94" t="str">
        <f>IF(ISERROR(U9/T9-1),"",(U9/T9-1))</f>
        <v/>
      </c>
      <c r="V86" s="94" t="str">
        <f>IF(ISERROR(V9/U9-1),"",(V9/U9-1))</f>
        <v/>
      </c>
      <c r="W86" s="94" t="str">
        <f>IF(ISERROR(W9/V9-1),"",(W9/V9-1))</f>
        <v/>
      </c>
      <c r="X86" s="96"/>
      <c r="Y86" s="94" t="str">
        <f>IF(ISERROR(Y9/W9-1),"",(Y9/W9-1))</f>
        <v/>
      </c>
      <c r="Z86" s="94" t="str">
        <f>IF(ISERROR(Z9/Y9-1),"",(Z9/Y9-1))</f>
        <v/>
      </c>
      <c r="AA86" s="94" t="str">
        <f>IF(ISERROR(AA9/Z9-1),"",(AA9/Z9-1))</f>
        <v/>
      </c>
      <c r="AB86" s="94" t="str">
        <f>IF(ISERROR(AB9/AA9-1),"",(AB9/AA9-1))</f>
        <v/>
      </c>
      <c r="AC86" s="96"/>
      <c r="AD86" s="94" t="str">
        <f>IF(ISERROR(AD9/AB9-1),"",(AD9/AB9-1))</f>
        <v/>
      </c>
      <c r="AE86" s="94" t="str">
        <f>IF(ISERROR(AE9/AD9-1),"",(AE9/AD9-1))</f>
        <v/>
      </c>
      <c r="AF86" s="94" t="str">
        <f>IF(ISERROR(AF9/AE9-1),"",(AF9/AE9-1))</f>
        <v/>
      </c>
      <c r="AG86" s="94" t="str">
        <f>IF(ISERROR(AG9/AF9-1),"",(AG9/AF9-1))</f>
        <v/>
      </c>
      <c r="AH86" s="96"/>
      <c r="AI86" s="94" t="str">
        <f>IF(ISERROR(AI9/AG9-1),"",(AI9/AG9-1))</f>
        <v/>
      </c>
      <c r="AJ86" s="94" t="str">
        <f>IF(ISERROR(AJ9/AI9-1),"",(AJ9/AI9-1))</f>
        <v/>
      </c>
      <c r="AK86" s="94" t="str">
        <f>IF(ISERROR(AK9/AJ9-1),"",(AK9/AJ9-1))</f>
        <v/>
      </c>
      <c r="AL86" s="94" t="str">
        <f>IF(ISERROR(AL9/AK9-1),"",(AL9/AK9-1))</f>
        <v/>
      </c>
      <c r="AM86" s="96"/>
      <c r="AN86" s="94" t="str">
        <f>IF(ISERROR(AN9/AL9-1),"",(AN9/AL9-1))</f>
        <v/>
      </c>
      <c r="AO86" s="94" t="str">
        <f>IF(ISERROR(AO9/AN9-1),"",(AO9/AN9-1))</f>
        <v/>
      </c>
      <c r="AP86" s="94" t="str">
        <f>IF(ISERROR(AP9/AO9-1),"",(AP9/AO9-1))</f>
        <v/>
      </c>
      <c r="AQ86" s="94" t="str">
        <f>IF(ISERROR(AQ9/AP9-1),"",(AQ9/AP9-1))</f>
        <v/>
      </c>
      <c r="AR86" s="96"/>
      <c r="AS86" s="94" t="str">
        <f>IF(ISERROR(AS9/AQ9-1),"",(AS9/AQ9-1))</f>
        <v/>
      </c>
      <c r="AT86" s="94" t="str">
        <f>IF(ISERROR(AT9/AS9-1),"",(AT9/AS9-1))</f>
        <v/>
      </c>
      <c r="AU86" s="94" t="str">
        <f>IF(ISERROR(AU9/AT9-1),"",(AU9/AT9-1))</f>
        <v/>
      </c>
      <c r="AV86" s="94" t="str">
        <f>IF(ISERROR(AV9/AU9-1),"",(AV9/AU9-1))</f>
        <v/>
      </c>
      <c r="AW86" s="96"/>
      <c r="AX86" s="94" t="str">
        <f>IF(ISERROR(AX9/AV9-1),"",(AX9/AV9-1))</f>
        <v/>
      </c>
      <c r="AY86" s="94" t="str">
        <f>IF(ISERROR(AY9/AX9-1),"",(AY9/AX9-1))</f>
        <v/>
      </c>
      <c r="AZ86" s="94" t="str">
        <f>IF(ISERROR(AZ9/AY9-1),"",(AZ9/AY9-1))</f>
        <v/>
      </c>
      <c r="BA86" s="94" t="str">
        <f>IF(ISERROR(BA9/AZ9-1),"",(BA9/AZ9-1))</f>
        <v/>
      </c>
      <c r="BB86" s="96"/>
      <c r="BC86" s="94" t="str">
        <f>IF(ISERROR(BC9/BA9-1),"",(BC9/BA9-1))</f>
        <v/>
      </c>
      <c r="BD86" s="94" t="str">
        <f>IF(ISERROR(BD9/BC9-1),"",(BD9/BC9-1))</f>
        <v/>
      </c>
      <c r="BE86" s="94" t="str">
        <f>IF(ISERROR(BE9/BD9-1),"",(BE9/BD9-1))</f>
        <v/>
      </c>
      <c r="BF86" s="94" t="str">
        <f>IF(ISERROR(BF9/BE9-1),"",(BF9/BE9-1))</f>
        <v/>
      </c>
      <c r="BG86" s="96"/>
      <c r="BH86" s="94" t="str">
        <f>IF(ISERROR(BH9/BF9-1),"",(BH9/BF9-1))</f>
        <v/>
      </c>
      <c r="BI86" s="94" t="str">
        <f>IF(ISERROR(BI9/BH9-1),"",(BI9/BH9-1))</f>
        <v/>
      </c>
      <c r="BJ86" s="94" t="str">
        <f>IF(ISERROR(BJ9/BI9-1),"",(BJ9/BI9-1))</f>
        <v/>
      </c>
      <c r="BK86" s="94" t="str">
        <f>IF(ISERROR(BK9/BJ9-1),"",(BK9/BJ9-1))</f>
        <v/>
      </c>
      <c r="BL86" s="96"/>
      <c r="BM86" s="94" t="str">
        <f>IF(ISERROR(BM9/BK9-1),"",(BM9/BK9-1))</f>
        <v/>
      </c>
      <c r="BN86" s="94" t="str">
        <f>IF(ISERROR(BN9/BM9-1),"",(BN9/BM9-1))</f>
        <v/>
      </c>
      <c r="BO86" s="94" t="str">
        <f>IF(ISERROR(BO9/BN9-1),"",(BO9/BN9-1))</f>
        <v/>
      </c>
      <c r="BP86" s="94" t="str">
        <f>IF(ISERROR(BP9/BO9-1),"",(BP9/BO9-1))</f>
        <v/>
      </c>
      <c r="BQ86" s="96"/>
      <c r="BR86" s="94" t="str">
        <f>IF(ISERROR(BR9/BP9-1),"",(BR9/BP9-1))</f>
        <v/>
      </c>
      <c r="BS86" s="94" t="str">
        <f>IF(ISERROR(BS9/BR9-1),"",(BS9/BR9-1))</f>
        <v/>
      </c>
      <c r="BT86" s="94" t="str">
        <f>IF(ISERROR(BT9/BS9-1),"",(BT9/BS9-1))</f>
        <v/>
      </c>
      <c r="BU86" s="94" t="str">
        <f>IF(ISERROR(BU9/BT9-1),"",(BU9/BT9-1))</f>
        <v/>
      </c>
      <c r="BV86" s="96"/>
      <c r="BW86" s="94" t="str">
        <f>IF(ISERROR(BW9/BU9-1),"",(BW9/BU9-1))</f>
        <v/>
      </c>
      <c r="BX86" s="94" t="str">
        <f>IF(ISERROR(BX9/BW9-1),"",(BX9/BW9-1))</f>
        <v/>
      </c>
      <c r="BY86" s="94" t="str">
        <f>IF(ISERROR(BY9/BX9-1),"",(BY9/BX9-1))</f>
        <v/>
      </c>
      <c r="BZ86" s="94" t="str">
        <f>IF(ISERROR(BZ9/BY9-1),"",(BZ9/BY9-1))</f>
        <v/>
      </c>
      <c r="CA86" s="96"/>
      <c r="CB86" s="94" t="str">
        <f>IF(ISERROR(CB9/BZ9-1),"",(CB9/BZ9-1))</f>
        <v/>
      </c>
      <c r="CC86" s="94" t="str">
        <f>IF(ISERROR(CC9/CB9-1),"",(CC9/CB9-1))</f>
        <v/>
      </c>
      <c r="CD86" s="94" t="str">
        <f>IF(ISERROR(CD9/CC9-1),"",(CD9/CC9-1))</f>
        <v/>
      </c>
      <c r="CE86" s="94" t="str">
        <f>IF(ISERROR(CE9/CD9-1),"",(CE9/CD9-1))</f>
        <v/>
      </c>
      <c r="CF86" s="96"/>
      <c r="CG86" s="94" t="str">
        <f>IF(ISERROR(CG9/CE9-1),"",(CG9/CE9-1))</f>
        <v/>
      </c>
      <c r="CH86" s="94" t="str">
        <f>IF(ISERROR(CH9/CG9-1),"",(CH9/CG9-1))</f>
        <v/>
      </c>
      <c r="CI86" s="94" t="str">
        <f>IF(ISERROR(CI9/CH9-1),"",(CI9/CH9-1))</f>
        <v/>
      </c>
      <c r="CJ86" s="94" t="str">
        <f>IF(ISERROR(CJ9/CI9-1),"",(CJ9/CI9-1))</f>
        <v/>
      </c>
      <c r="CK86" s="96"/>
      <c r="CL86" s="94" t="str">
        <f>IF(ISERROR(CL9/CJ9-1),"",(CL9/CJ9-1))</f>
        <v/>
      </c>
      <c r="CM86" s="94">
        <f>IF(ISERROR(CM9/CL9-1),"",(CM9/CL9-1))</f>
        <v>-0.137762955361724</v>
      </c>
      <c r="CN86" s="94">
        <f>IF(ISERROR(CN9/CM9-1),"",(CN9/CM9-1))</f>
        <v>0.10258851532282054</v>
      </c>
      <c r="CO86" s="94">
        <f>IF(ISERROR(CO9/CN9-1),"",(CO9/CN9-1))</f>
        <v>0.13389821361109622</v>
      </c>
      <c r="CP86" s="96"/>
      <c r="CQ86" s="94">
        <f>IF(ISERROR(CQ9/CO9-1),"",(CQ9/CO9-1))</f>
        <v>-0.18519752498810094</v>
      </c>
      <c r="CR86" s="94">
        <f>IF(ISERROR(CR9/CQ9-1),"",(CR9/CQ9-1))</f>
        <v>6.7819381973245996E-2</v>
      </c>
      <c r="CS86" s="94">
        <f>IF(ISERROR(CS9/CR9-1),"",(CS9/CR9-1))</f>
        <v>8.1509846827132471E-3</v>
      </c>
      <c r="CT86" s="94">
        <f>IF(ISERROR(CT9/CS9-1),"",(CT9/CS9-1))</f>
        <v>0.10521460741223065</v>
      </c>
      <c r="CU86" s="96"/>
      <c r="CV86" s="94">
        <f>IF(ISERROR(CV9/CT9-1),"",(CV9/CT9-1))</f>
        <v>-0.37774941084053415</v>
      </c>
      <c r="CW86" s="94">
        <f>IF(ISERROR(CW9/CV9-1),"",(CW9/CV9-1))</f>
        <v>0.11472305507337865</v>
      </c>
      <c r="CX86" s="94">
        <f>IF(ISERROR(CX9/CW9-1),"",(CX9/CW9-1))</f>
        <v>2.4278029445073512E-2</v>
      </c>
      <c r="CY86" s="94">
        <f>IF(ISERROR(CY9/CX9-1),"",(CY9/CX9-1))</f>
        <v>0.16273927164674173</v>
      </c>
      <c r="CZ86" s="96"/>
      <c r="DA86" s="94">
        <f>IF(ISERROR(DA9/CY9-1),"",(DA9/CY9-1))</f>
        <v>-0.13912991798407226</v>
      </c>
      <c r="DB86" s="94">
        <f>IF(ISERROR(DB9/DA9-1),"",(DB9/DA9-1))</f>
        <v>0.1527787366240938</v>
      </c>
      <c r="DC86" s="94">
        <f>IF(ISERROR(DC9/DB9-1),"",(DC9/DB9-1))</f>
        <v>3.8807042759611887E-2</v>
      </c>
      <c r="DD86" s="94">
        <f>IF(ISERROR(DD9/DC9-1),"",(DD9/DC9-1))</f>
        <v>0.11985472154963683</v>
      </c>
      <c r="DE86" s="96"/>
      <c r="DF86" s="94">
        <f>IF(ISERROR(DF9/DD9-1),"",(DF9/DD9-1))</f>
        <v>-0.17359073359073363</v>
      </c>
      <c r="DG86" s="94">
        <f>IF(ISERROR(DG9/DF9-1),"",(DG9/DF9-1))</f>
        <v>-0.43356381984675763</v>
      </c>
      <c r="DH86" s="94">
        <f>IF(ISERROR(DH9/DG9-1),"",(DH9/DG9-1))</f>
        <v>8.2371054657428777E-2</v>
      </c>
      <c r="DI86" s="94">
        <f>IF(ISERROR(DI9/DH9-1),"",(DI9/DH9-1))</f>
        <v>9.8557203820361705E-2</v>
      </c>
      <c r="DJ86" s="96"/>
      <c r="DK86" s="94">
        <f>IF(ISERROR(DK9/DI9-1),"",(DK9/DI9-1))</f>
        <v>-8.120606733259339E-2</v>
      </c>
      <c r="DL86" s="94">
        <f>IF(ISERROR(DL9/DK9-1),"",(DL9/DK9-1))</f>
        <v>0.10962351520032221</v>
      </c>
      <c r="DM86" s="94">
        <f>IF(ISERROR(DM9/DL9-1),"",(DM9/DL9-1))</f>
        <v>-8.6831171187516931E-2</v>
      </c>
      <c r="DN86" s="94">
        <f>IF(ISERROR(DN9/DM9-1),"",(DN9/DM9-1))</f>
        <v>5.3609925033727857E-2</v>
      </c>
      <c r="DO86" s="96"/>
      <c r="DP86" s="94">
        <f>IF(ISERROR(DP9/DN9-1),"",(DP9/DN9-1))</f>
        <v>-3.4143636927666754E-2</v>
      </c>
      <c r="DQ86" s="94">
        <f>IF(ISERROR(DQ9/DP9-1),"",(DQ9/DP9-1))</f>
        <v>0.12021129744283643</v>
      </c>
      <c r="DR86" s="94">
        <f>IF(ISERROR(DR9/DQ9-1),"",(DR9/DQ9-1))</f>
        <v>-9.976635656550159E-3</v>
      </c>
      <c r="DS86" s="94">
        <f>IF(ISERROR(DS9/DR9-1),"",(DS9/DR9-1))</f>
        <v>7.7989292614209171E-2</v>
      </c>
      <c r="DT86" s="96"/>
      <c r="DU86" s="96"/>
      <c r="DV86" s="96"/>
    </row>
    <row r="87" spans="1:126" s="93" customFormat="1">
      <c r="A87" s="15"/>
      <c r="B87" s="244" t="s">
        <v>97</v>
      </c>
      <c r="C87" s="96"/>
      <c r="D87" s="96"/>
      <c r="E87" s="96"/>
      <c r="F87" s="96"/>
      <c r="G87" s="96"/>
      <c r="H87" s="96"/>
      <c r="I87" s="96"/>
      <c r="J87" s="94"/>
      <c r="K87" s="94"/>
      <c r="L87" s="94"/>
      <c r="M87" s="94"/>
      <c r="N87" s="96"/>
      <c r="O87" s="94" t="str">
        <f>IF(ISERROR(O64/M64-1),"",(O64/M64-1))</f>
        <v/>
      </c>
      <c r="P87" s="94" t="str">
        <f>IF(ISERROR(P64/O64-1),"",(P64/O64-1))</f>
        <v/>
      </c>
      <c r="Q87" s="94" t="str">
        <f>IF(ISERROR(Q64/P64-1),"",(Q64/P64-1))</f>
        <v/>
      </c>
      <c r="R87" s="94" t="str">
        <f>IF(ISERROR(R64/Q64-1),"",(R64/Q64-1))</f>
        <v/>
      </c>
      <c r="S87" s="96"/>
      <c r="T87" s="94" t="str">
        <f>IF(ISERROR(T64/R64-1),"",(T64/R64-1))</f>
        <v/>
      </c>
      <c r="U87" s="94" t="str">
        <f>IF(ISERROR(U64/T64-1),"",(U64/T64-1))</f>
        <v/>
      </c>
      <c r="V87" s="94" t="str">
        <f>IF(ISERROR(V64/U64-1),"",(V64/U64-1))</f>
        <v/>
      </c>
      <c r="W87" s="94" t="str">
        <f>IF(ISERROR(W64/V64-1),"",(W64/V64-1))</f>
        <v/>
      </c>
      <c r="X87" s="96"/>
      <c r="Y87" s="94" t="str">
        <f>IF(ISERROR(Y64/W64-1),"",(Y64/W64-1))</f>
        <v/>
      </c>
      <c r="Z87" s="94" t="str">
        <f>IF(ISERROR(Z64/Y64-1),"",(Z64/Y64-1))</f>
        <v/>
      </c>
      <c r="AA87" s="94" t="str">
        <f>IF(ISERROR(AA64/Z64-1),"",(AA64/Z64-1))</f>
        <v/>
      </c>
      <c r="AB87" s="94" t="str">
        <f>IF(ISERROR(AB64/AA64-1),"",(AB64/AA64-1))</f>
        <v/>
      </c>
      <c r="AC87" s="96"/>
      <c r="AD87" s="94" t="str">
        <f>IF(ISERROR(AD64/AB64-1),"",(AD64/AB64-1))</f>
        <v/>
      </c>
      <c r="AE87" s="94" t="str">
        <f>IF(ISERROR(AE64/AD64-1),"",(AE64/AD64-1))</f>
        <v/>
      </c>
      <c r="AF87" s="94" t="str">
        <f>IF(ISERROR(AF64/AE64-1),"",(AF64/AE64-1))</f>
        <v/>
      </c>
      <c r="AG87" s="94" t="str">
        <f>IF(ISERROR(AG64/AF64-1),"",(AG64/AF64-1))</f>
        <v/>
      </c>
      <c r="AH87" s="96"/>
      <c r="AI87" s="94" t="str">
        <f>IF(ISERROR(AI64/AG64-1),"",(AI64/AG64-1))</f>
        <v/>
      </c>
      <c r="AJ87" s="94" t="str">
        <f>IF(ISERROR(AJ64/AI64-1),"",(AJ64/AI64-1))</f>
        <v/>
      </c>
      <c r="AK87" s="94" t="str">
        <f>IF(ISERROR(AK64/AJ64-1),"",(AK64/AJ64-1))</f>
        <v/>
      </c>
      <c r="AL87" s="94" t="str">
        <f>IF(ISERROR(AL64/AK64-1),"",(AL64/AK64-1))</f>
        <v/>
      </c>
      <c r="AM87" s="96"/>
      <c r="AN87" s="94" t="str">
        <f>IF(ISERROR(AN64/AL64-1),"",(AN64/AL64-1))</f>
        <v/>
      </c>
      <c r="AO87" s="94" t="str">
        <f>IF(ISERROR(AO64/AN64-1),"",(AO64/AN64-1))</f>
        <v/>
      </c>
      <c r="AP87" s="94" t="str">
        <f>IF(ISERROR(AP64/AO64-1),"",(AP64/AO64-1))</f>
        <v/>
      </c>
      <c r="AQ87" s="94" t="str">
        <f>IF(ISERROR(AQ64/AP64-1),"",(AQ64/AP64-1))</f>
        <v/>
      </c>
      <c r="AR87" s="96"/>
      <c r="AS87" s="94" t="str">
        <f>IF(ISERROR(AS64/AQ64-1),"",(AS64/AQ64-1))</f>
        <v/>
      </c>
      <c r="AT87" s="94" t="str">
        <f>IF(ISERROR(AT64/AS64-1),"",(AT64/AS64-1))</f>
        <v/>
      </c>
      <c r="AU87" s="94" t="str">
        <f>IF(ISERROR(AU64/AT64-1),"",(AU64/AT64-1))</f>
        <v/>
      </c>
      <c r="AV87" s="94" t="str">
        <f>IF(ISERROR(AV64/AU64-1),"",(AV64/AU64-1))</f>
        <v/>
      </c>
      <c r="AW87" s="96"/>
      <c r="AX87" s="94" t="str">
        <f>IF(ISERROR(AX64/AV64-1),"",(AX64/AV64-1))</f>
        <v/>
      </c>
      <c r="AY87" s="94" t="str">
        <f>IF(ISERROR(AY64/AX64-1),"",(AY64/AX64-1))</f>
        <v/>
      </c>
      <c r="AZ87" s="94" t="str">
        <f>IF(ISERROR(AZ64/AY64-1),"",(AZ64/AY64-1))</f>
        <v/>
      </c>
      <c r="BA87" s="94" t="str">
        <f>IF(ISERROR(BA64/AZ64-1),"",(BA64/AZ64-1))</f>
        <v/>
      </c>
      <c r="BB87" s="96"/>
      <c r="BC87" s="94" t="str">
        <f>IF(ISERROR(BC64/BA64-1),"",(BC64/BA64-1))</f>
        <v/>
      </c>
      <c r="BD87" s="94" t="str">
        <f>IF(ISERROR(BD64/BC64-1),"",(BD64/BC64-1))</f>
        <v/>
      </c>
      <c r="BE87" s="94" t="str">
        <f>IF(ISERROR(BE64/BD64-1),"",(BE64/BD64-1))</f>
        <v/>
      </c>
      <c r="BF87" s="94" t="str">
        <f>IF(ISERROR(BF64/BE64-1),"",(BF64/BE64-1))</f>
        <v/>
      </c>
      <c r="BG87" s="96"/>
      <c r="BH87" s="94" t="str">
        <f>IF(ISERROR(BH64/BF64-1),"",(BH64/BF64-1))</f>
        <v/>
      </c>
      <c r="BI87" s="94" t="str">
        <f>IF(ISERROR(BI64/BH64-1),"",(BI64/BH64-1))</f>
        <v/>
      </c>
      <c r="BJ87" s="94" t="str">
        <f>IF(ISERROR(BJ64/BI64-1),"",(BJ64/BI64-1))</f>
        <v/>
      </c>
      <c r="BK87" s="94" t="str">
        <f>IF(ISERROR(BK64/BJ64-1),"",(BK64/BJ64-1))</f>
        <v/>
      </c>
      <c r="BL87" s="96"/>
      <c r="BM87" s="94" t="str">
        <f>IF(ISERROR(BM64/BK64-1),"",(BM64/BK64-1))</f>
        <v/>
      </c>
      <c r="BN87" s="94" t="str">
        <f>IF(ISERROR(BN64/BM64-1),"",(BN64/BM64-1))</f>
        <v/>
      </c>
      <c r="BO87" s="94" t="str">
        <f>IF(ISERROR(BO64/BN64-1),"",(BO64/BN64-1))</f>
        <v/>
      </c>
      <c r="BP87" s="94" t="str">
        <f>IF(ISERROR(BP64/BO64-1),"",(BP64/BO64-1))</f>
        <v/>
      </c>
      <c r="BQ87" s="96"/>
      <c r="BR87" s="94" t="str">
        <f>IF(ISERROR(BR64/BP64-1),"",(BR64/BP64-1))</f>
        <v/>
      </c>
      <c r="BS87" s="94" t="str">
        <f t="shared" ref="BS87:BU87" si="439">IF(ISERROR(BS64/BR64-1),"",(BS64/BR64-1))</f>
        <v/>
      </c>
      <c r="BT87" s="94" t="str">
        <f t="shared" si="439"/>
        <v/>
      </c>
      <c r="BU87" s="94" t="str">
        <f t="shared" si="439"/>
        <v/>
      </c>
      <c r="BV87" s="96"/>
      <c r="BW87" s="94" t="str">
        <f>IF(ISERROR(BW64/BU64-1),"",(BW64/BU64-1))</f>
        <v/>
      </c>
      <c r="BX87" s="94" t="str">
        <f t="shared" ref="BX87" si="440">IF(ISERROR(BX64/BW64-1),"",(BX64/BW64-1))</f>
        <v/>
      </c>
      <c r="BY87" s="94" t="str">
        <f t="shared" ref="BY87" si="441">IF(ISERROR(BY64/BX64-1),"",(BY64/BX64-1))</f>
        <v/>
      </c>
      <c r="BZ87" s="94" t="str">
        <f t="shared" ref="BZ87" si="442">IF(ISERROR(BZ64/BY64-1),"",(BZ64/BY64-1))</f>
        <v/>
      </c>
      <c r="CA87" s="96"/>
      <c r="CB87" s="94" t="str">
        <f>IF(ISERROR(CB64/BZ64-1),"",(CB64/BZ64-1))</f>
        <v/>
      </c>
      <c r="CC87" s="94" t="str">
        <f t="shared" ref="CC87" si="443">IF(ISERROR(CC64/CB64-1),"",(CC64/CB64-1))</f>
        <v/>
      </c>
      <c r="CD87" s="94" t="str">
        <f t="shared" ref="CD87" si="444">IF(ISERROR(CD64/CC64-1),"",(CD64/CC64-1))</f>
        <v/>
      </c>
      <c r="CE87" s="94" t="str">
        <f t="shared" ref="CE87" si="445">IF(ISERROR(CE64/CD64-1),"",(CE64/CD64-1))</f>
        <v/>
      </c>
      <c r="CF87" s="96"/>
      <c r="CG87" s="94" t="str">
        <f>IF(ISERROR(CG64/CE64-1),"",(CG64/CE64-1))</f>
        <v/>
      </c>
      <c r="CH87" s="94" t="str">
        <f t="shared" ref="CH87" si="446">IF(ISERROR(CH64/CG64-1),"",(CH64/CG64-1))</f>
        <v/>
      </c>
      <c r="CI87" s="94" t="str">
        <f t="shared" ref="CI87" si="447">IF(ISERROR(CI64/CH64-1),"",(CI64/CH64-1))</f>
        <v/>
      </c>
      <c r="CJ87" s="94" t="str">
        <f t="shared" ref="CJ87" si="448">IF(ISERROR(CJ64/CI64-1),"",(CJ64/CI64-1))</f>
        <v/>
      </c>
      <c r="CK87" s="96"/>
      <c r="CL87" s="94" t="str">
        <f>IF(ISERROR(CL64/CJ64-1),"",(CL64/CJ64-1))</f>
        <v/>
      </c>
      <c r="CM87" s="94">
        <f t="shared" ref="CM87" si="449">IF(ISERROR(CM64/CL64-1),"",(CM64/CL64-1))</f>
        <v>-0.94864715626725571</v>
      </c>
      <c r="CN87" s="94">
        <f t="shared" ref="CN87" si="450">IF(ISERROR(CN64/CM64-1),"",(CN64/CM64-1))</f>
        <v>20.795698924731184</v>
      </c>
      <c r="CO87" s="94">
        <f t="shared" ref="CO87" si="451">IF(ISERROR(CO64/CN64-1),"",(CO64/CN64-1))</f>
        <v>-0.1223482979773064</v>
      </c>
      <c r="CP87" s="96"/>
      <c r="CQ87" s="94">
        <f>IF(ISERROR(CQ64/CO64-1),"",(CQ64/CO64-1))</f>
        <v>-0.12816188870151768</v>
      </c>
      <c r="CR87" s="94">
        <f t="shared" ref="CR87" si="452">IF(ISERROR(CR64/CQ64-1),"",(CR64/CQ64-1))</f>
        <v>8.8974854932301728E-2</v>
      </c>
      <c r="CS87" s="94">
        <f t="shared" ref="CS87" si="453">IF(ISERROR(CS64/CR64-1),"",(CS64/CR64-1))</f>
        <v>0.20899940793368854</v>
      </c>
      <c r="CT87" s="94">
        <f t="shared" ref="CT87" si="454">IF(ISERROR(CT64/CS64-1),"",(CT64/CS64-1))</f>
        <v>0.14299706170421156</v>
      </c>
      <c r="CU87" s="96"/>
      <c r="CV87" s="94">
        <f>IF(ISERROR(CV64/CT64-1),"",(CV64/CT64-1))</f>
        <v>-0.25449871465295626</v>
      </c>
      <c r="CW87" s="94">
        <f t="shared" ref="CW87" si="455">IF(ISERROR(CW64/CV64-1),"",(CW64/CV64-1))</f>
        <v>-0.11839080459770113</v>
      </c>
      <c r="CX87" s="94">
        <f t="shared" ref="CX87" si="456">IF(ISERROR(CX64/CW64-1),"",(CX64/CW64-1))</f>
        <v>-0.45176010430247715</v>
      </c>
      <c r="CY87" s="94">
        <f t="shared" ref="CY87" si="457">IF(ISERROR(CY64/CX64-1),"",(CY64/CX64-1))</f>
        <v>1.3127229488703924</v>
      </c>
      <c r="CZ87" s="96"/>
      <c r="DA87" s="94">
        <f>IF(ISERROR(DA64/CY64-1),"",(DA64/CY64-1))</f>
        <v>-9.8200514138817474E-2</v>
      </c>
      <c r="DB87" s="94">
        <f t="shared" ref="DB87" si="458">IF(ISERROR(DB64/DA64-1),"",(DB64/DA64-1))</f>
        <v>8.0957810718357948E-2</v>
      </c>
      <c r="DC87" s="94">
        <f t="shared" ref="DC87" si="459">IF(ISERROR(DC64/DB64-1),"",(DC64/DB64-1))</f>
        <v>0.11867088607594933</v>
      </c>
      <c r="DD87" s="94">
        <f t="shared" ref="DD87" si="460">IF(ISERROR(DD64/DC64-1),"",(DD64/DC64-1))</f>
        <v>-0.11881188118811881</v>
      </c>
      <c r="DE87" s="96"/>
      <c r="DF87" s="94">
        <f>IF(ISERROR(DF64/DD64-1),"",(DF64/DD64-1))</f>
        <v>0.10914927768860361</v>
      </c>
      <c r="DG87" s="94">
        <f t="shared" ref="DG87:DI87" si="461">IF(ISERROR(DG64/DF64-1),"",(DG64/DF64-1))</f>
        <v>5.7404727448142845E-2</v>
      </c>
      <c r="DH87" s="94">
        <f t="shared" si="461"/>
        <v>-2.7828467153284686E-2</v>
      </c>
      <c r="DI87" s="94">
        <f t="shared" si="461"/>
        <v>7.2735804786485225E-2</v>
      </c>
      <c r="DJ87" s="96"/>
      <c r="DK87" s="94">
        <f>IF(ISERROR(DK64/DI64-1),"",(DK64/DI64-1))</f>
        <v>6.9553805774278166E-2</v>
      </c>
      <c r="DL87" s="94">
        <f t="shared" ref="DL87" si="462">IF(ISERROR(DL64/DK64-1),"",(DL64/DK64-1))</f>
        <v>8.3026584867075703E-2</v>
      </c>
      <c r="DM87" s="94">
        <f t="shared" ref="DM87" si="463">IF(ISERROR(DM64/DL64-1),"",(DM64/DL64-1))</f>
        <v>1.2186102719033975E-3</v>
      </c>
      <c r="DN87" s="94">
        <f t="shared" ref="DN87" si="464">IF(ISERROR(DN64/DM64-1),"",(DN64/DM64-1))</f>
        <v>-1.821936868714924E-2</v>
      </c>
      <c r="DO87" s="96"/>
      <c r="DP87" s="94">
        <f>IF(ISERROR(DP64/DN64-1),"",(DP64/DN64-1))</f>
        <v>0.1136928050739261</v>
      </c>
      <c r="DQ87" s="94">
        <f t="shared" ref="DQ87" si="465">IF(ISERROR(DQ64/DP64-1),"",(DQ64/DP64-1))</f>
        <v>7.4808423447361605E-2</v>
      </c>
      <c r="DR87" s="94">
        <f t="shared" ref="DR87" si="466">IF(ISERROR(DR64/DQ64-1),"",(DR64/DQ64-1))</f>
        <v>-3.2998077504342249E-2</v>
      </c>
      <c r="DS87" s="94">
        <f t="shared" ref="DS87" si="467">IF(ISERROR(DS64/DR64-1),"",(DS64/DR64-1))</f>
        <v>4.6779160978346779E-2</v>
      </c>
      <c r="DT87" s="96"/>
      <c r="DU87" s="96"/>
      <c r="DV87" s="96"/>
    </row>
    <row r="88" spans="1:126" s="93" customFormat="1">
      <c r="A88" s="15"/>
      <c r="B88" s="244" t="s">
        <v>28</v>
      </c>
      <c r="C88" s="96"/>
      <c r="D88" s="96"/>
      <c r="E88" s="96"/>
      <c r="F88" s="96"/>
      <c r="G88" s="96"/>
      <c r="H88" s="96"/>
      <c r="I88" s="96"/>
      <c r="J88" s="94"/>
      <c r="K88" s="94"/>
      <c r="L88" s="94"/>
      <c r="M88" s="94"/>
      <c r="N88" s="96"/>
      <c r="O88" s="94" t="str">
        <f>IF(ISERROR(O62/M62-1),"",O62/M62-1)</f>
        <v/>
      </c>
      <c r="P88" s="94" t="str">
        <f>IF(ISERROR(P62/O62-1),"",P62/O62-1)</f>
        <v/>
      </c>
      <c r="Q88" s="94" t="str">
        <f>IF(ISERROR(Q62/P62-1),"",Q62/P62-1)</f>
        <v/>
      </c>
      <c r="R88" s="94" t="str">
        <f>IF(ISERROR(R62/Q62-1),"",R62/Q62-1)</f>
        <v/>
      </c>
      <c r="S88" s="96"/>
      <c r="T88" s="94" t="str">
        <f>IF(ISERROR(T62/R62-1),"",T62/R62-1)</f>
        <v/>
      </c>
      <c r="U88" s="94" t="str">
        <f>IF(ISERROR(U62/T62-1),"",U62/T62-1)</f>
        <v/>
      </c>
      <c r="V88" s="94" t="str">
        <f>IF(ISERROR(V62/U62-1),"",V62/U62-1)</f>
        <v/>
      </c>
      <c r="W88" s="94" t="str">
        <f>IF(ISERROR(W62/V62-1),"",W62/V62-1)</f>
        <v/>
      </c>
      <c r="X88" s="96"/>
      <c r="Y88" s="94" t="str">
        <f>IF(ISERROR(Y62/W62-1),"",Y62/W62-1)</f>
        <v/>
      </c>
      <c r="Z88" s="94" t="str">
        <f>IF(ISERROR(Z62/Y62-1),"",Z62/Y62-1)</f>
        <v/>
      </c>
      <c r="AA88" s="94" t="str">
        <f>IF(ISERROR(AA62/Z62-1),"",AA62/Z62-1)</f>
        <v/>
      </c>
      <c r="AB88" s="94" t="str">
        <f>IF(ISERROR(AB62/AA62-1),"",AB62/AA62-1)</f>
        <v/>
      </c>
      <c r="AC88" s="96"/>
      <c r="AD88" s="94" t="str">
        <f>IF(ISERROR(AD62/AB62-1),"",AD62/AB62-1)</f>
        <v/>
      </c>
      <c r="AE88" s="94" t="str">
        <f>IF(ISERROR(AE62/AD62-1),"",AE62/AD62-1)</f>
        <v/>
      </c>
      <c r="AF88" s="94" t="str">
        <f>IF(ISERROR(AF62/AE62-1),"",AF62/AE62-1)</f>
        <v/>
      </c>
      <c r="AG88" s="94" t="str">
        <f>IF(ISERROR(AG62/AF62-1),"",AG62/AF62-1)</f>
        <v/>
      </c>
      <c r="AH88" s="96"/>
      <c r="AI88" s="94" t="str">
        <f>IF(ISERROR(AI62/AG62-1),"",AI62/AG62-1)</f>
        <v/>
      </c>
      <c r="AJ88" s="94" t="str">
        <f>IF(ISERROR(AJ62/AI62-1),"",AJ62/AI62-1)</f>
        <v/>
      </c>
      <c r="AK88" s="94" t="str">
        <f>IF(ISERROR(AK62/AJ62-1),"",AK62/AJ62-1)</f>
        <v/>
      </c>
      <c r="AL88" s="94" t="str">
        <f>IF(ISERROR(AL62/AK62-1),"",AL62/AK62-1)</f>
        <v/>
      </c>
      <c r="AM88" s="96"/>
      <c r="AN88" s="94" t="str">
        <f>IF(ISERROR(AN62/AL62-1),"",AN62/AL62-1)</f>
        <v/>
      </c>
      <c r="AO88" s="94" t="str">
        <f>IF(ISERROR(AO62/AN62-1),"",AO62/AN62-1)</f>
        <v/>
      </c>
      <c r="AP88" s="94" t="str">
        <f>IF(ISERROR(AP62/AO62-1),"",AP62/AO62-1)</f>
        <v/>
      </c>
      <c r="AQ88" s="94" t="str">
        <f>IF(ISERROR(AQ62/AP62-1),"",AQ62/AP62-1)</f>
        <v/>
      </c>
      <c r="AR88" s="96"/>
      <c r="AS88" s="94" t="str">
        <f>IF(ISERROR(AS62/AQ62-1),"",AS62/AQ62-1)</f>
        <v/>
      </c>
      <c r="AT88" s="94" t="str">
        <f>IF(ISERROR(AT62/AS62-1),"",AT62/AS62-1)</f>
        <v/>
      </c>
      <c r="AU88" s="94" t="str">
        <f>IF(ISERROR(AU62/AT62-1),"",AU62/AT62-1)</f>
        <v/>
      </c>
      <c r="AV88" s="94" t="str">
        <f>IF(ISERROR(AV62/AU62-1),"",AV62/AU62-1)</f>
        <v/>
      </c>
      <c r="AW88" s="96"/>
      <c r="AX88" s="94" t="str">
        <f>IF(ISERROR(AX62/AV62-1),"",AX62/AV62-1)</f>
        <v/>
      </c>
      <c r="AY88" s="94" t="str">
        <f>IF(ISERROR(AY62/AX62-1),"",AY62/AX62-1)</f>
        <v/>
      </c>
      <c r="AZ88" s="94" t="str">
        <f>IF(ISERROR(AZ62/AY62-1),"",AZ62/AY62-1)</f>
        <v/>
      </c>
      <c r="BA88" s="94" t="str">
        <f>IF(ISERROR(BA62/AZ62-1),"",BA62/AZ62-1)</f>
        <v/>
      </c>
      <c r="BB88" s="96"/>
      <c r="BC88" s="94" t="str">
        <f>IF(ISERROR(BC62/BA62-1),"",BC62/BA62-1)</f>
        <v/>
      </c>
      <c r="BD88" s="94" t="str">
        <f>IF(ISERROR(BD62/BC62-1),"",BD62/BC62-1)</f>
        <v/>
      </c>
      <c r="BE88" s="94" t="str">
        <f>IF(ISERROR(BE62/BD62-1),"",BE62/BD62-1)</f>
        <v/>
      </c>
      <c r="BF88" s="94" t="str">
        <f>IF(ISERROR(BF62/BE62-1),"",BF62/BE62-1)</f>
        <v/>
      </c>
      <c r="BG88" s="96"/>
      <c r="BH88" s="94" t="str">
        <f>IF(ISERROR(BH62/BF62-1),"",BH62/BF62-1)</f>
        <v/>
      </c>
      <c r="BI88" s="94" t="str">
        <f>IF(ISERROR(BI62/BH62-1),"",BI62/BH62-1)</f>
        <v/>
      </c>
      <c r="BJ88" s="94" t="str">
        <f>IF(ISERROR(BJ62/BI62-1),"",BJ62/BI62-1)</f>
        <v/>
      </c>
      <c r="BK88" s="94" t="str">
        <f>IF(ISERROR(BK62/BJ62-1),"",BK62/BJ62-1)</f>
        <v/>
      </c>
      <c r="BL88" s="96"/>
      <c r="BM88" s="94" t="str">
        <f>IF(ISERROR(BM62/BK62-1),"",BM62/BK62-1)</f>
        <v/>
      </c>
      <c r="BN88" s="94" t="str">
        <f>IF(ISERROR(BN62/BM62-1),"",BN62/BM62-1)</f>
        <v/>
      </c>
      <c r="BO88" s="94" t="str">
        <f>IF(ISERROR(BO62/BN62-1),"",BO62/BN62-1)</f>
        <v/>
      </c>
      <c r="BP88" s="94" t="str">
        <f>IF(ISERROR(BP62/BO62-1),"",BP62/BO62-1)</f>
        <v/>
      </c>
      <c r="BQ88" s="96"/>
      <c r="BR88" s="94" t="str">
        <f>IF(ISERROR(BR62/BP62-1),"",BR62/BP62-1)</f>
        <v/>
      </c>
      <c r="BS88" s="94" t="str">
        <f t="shared" ref="BS88:BU88" si="468">IF(ISERROR(BS62/BR62-1),"",BS62/BR62-1)</f>
        <v/>
      </c>
      <c r="BT88" s="94" t="str">
        <f t="shared" si="468"/>
        <v/>
      </c>
      <c r="BU88" s="94" t="str">
        <f t="shared" si="468"/>
        <v/>
      </c>
      <c r="BV88" s="96"/>
      <c r="BW88" s="94" t="str">
        <f>IF(ISERROR(BW62/BU62-1),"",BW62/BU62-1)</f>
        <v/>
      </c>
      <c r="BX88" s="94" t="str">
        <f t="shared" ref="BX88" si="469">IF(ISERROR(BX62/BW62-1),"",BX62/BW62-1)</f>
        <v/>
      </c>
      <c r="BY88" s="94" t="str">
        <f t="shared" ref="BY88" si="470">IF(ISERROR(BY62/BX62-1),"",BY62/BX62-1)</f>
        <v/>
      </c>
      <c r="BZ88" s="94" t="str">
        <f t="shared" ref="BZ88" si="471">IF(ISERROR(BZ62/BY62-1),"",BZ62/BY62-1)</f>
        <v/>
      </c>
      <c r="CA88" s="96"/>
      <c r="CB88" s="94" t="str">
        <f>IF(ISERROR(CB62/BZ62-1),"",CB62/BZ62-1)</f>
        <v/>
      </c>
      <c r="CC88" s="94" t="str">
        <f t="shared" ref="CC88" si="472">IF(ISERROR(CC62/CB62-1),"",CC62/CB62-1)</f>
        <v/>
      </c>
      <c r="CD88" s="94" t="str">
        <f t="shared" ref="CD88" si="473">IF(ISERROR(CD62/CC62-1),"",CD62/CC62-1)</f>
        <v/>
      </c>
      <c r="CE88" s="94" t="str">
        <f t="shared" ref="CE88" si="474">IF(ISERROR(CE62/CD62-1),"",CE62/CD62-1)</f>
        <v/>
      </c>
      <c r="CF88" s="96"/>
      <c r="CG88" s="94" t="str">
        <f>IF(ISERROR(CG62/CE62-1),"",CG62/CE62-1)</f>
        <v/>
      </c>
      <c r="CH88" s="94" t="str">
        <f t="shared" ref="CH88" si="475">IF(ISERROR(CH62/CG62-1),"",CH62/CG62-1)</f>
        <v/>
      </c>
      <c r="CI88" s="94" t="str">
        <f t="shared" ref="CI88" si="476">IF(ISERROR(CI62/CH62-1),"",CI62/CH62-1)</f>
        <v/>
      </c>
      <c r="CJ88" s="94" t="str">
        <f t="shared" ref="CJ88" si="477">IF(ISERROR(CJ62/CI62-1),"",CJ62/CI62-1)</f>
        <v/>
      </c>
      <c r="CK88" s="96"/>
      <c r="CL88" s="94" t="str">
        <f>IF(ISERROR(CL62/CJ62-1),"",CL62/CJ62-1)</f>
        <v/>
      </c>
      <c r="CM88" s="94">
        <f t="shared" ref="CM88" si="478">IF(ISERROR(CM62/CL62-1),"",CM62/CL62-1)</f>
        <v>-1.6453488372093024</v>
      </c>
      <c r="CN88" s="94">
        <f t="shared" ref="CN88" si="479">IF(ISERROR(CN62/CM62-1),"",CN62/CM62-1)</f>
        <v>-2.2987987987987988</v>
      </c>
      <c r="CO88" s="94">
        <f t="shared" ref="CO88" si="480">IF(ISERROR(CO62/CN62-1),"",CO62/CN62-1)</f>
        <v>0.17341040462427748</v>
      </c>
      <c r="CP88" s="96"/>
      <c r="CQ88" s="94">
        <f>IF(ISERROR(CQ62/CO62-1),"",CQ62/CO62-1)</f>
        <v>-0.21379310344827585</v>
      </c>
      <c r="CR88" s="94">
        <f t="shared" ref="CR88" si="481">IF(ISERROR(CR62/CQ62-1),"",CR62/CQ62-1)</f>
        <v>0.15037593984962405</v>
      </c>
      <c r="CS88" s="94">
        <f t="shared" ref="CS88" si="482">IF(ISERROR(CS62/CR62-1),"",CS62/CR62-1)</f>
        <v>0.43355119825708055</v>
      </c>
      <c r="CT88" s="94">
        <f t="shared" ref="CT88" si="483">IF(ISERROR(CT62/CS62-1),"",CT62/CS62-1)</f>
        <v>0.19680851063829796</v>
      </c>
      <c r="CU88" s="96"/>
      <c r="CV88" s="94">
        <f>IF(ISERROR(CV62/CT62-1),"",CV62/CT62-1)</f>
        <v>-0.73650793650793656</v>
      </c>
      <c r="CW88" s="94">
        <f t="shared" ref="CW88" si="484">IF(ISERROR(CW62/CV62-1),"",CW62/CV62-1)</f>
        <v>1.4530120481927713</v>
      </c>
      <c r="CX88" s="94">
        <f t="shared" ref="CX88" si="485">IF(ISERROR(CX62/CW62-1),"",CX62/CW62-1)</f>
        <v>-0.6473477406679764</v>
      </c>
      <c r="CY88" s="94">
        <f t="shared" ref="CY88" si="486">IF(ISERROR(CY62/CX62-1),"",CY62/CX62-1)</f>
        <v>2.8050139275766015</v>
      </c>
      <c r="CZ88" s="96"/>
      <c r="DA88" s="94">
        <f>IF(ISERROR(DA62/CY62-1),"",DA62/CY62-1)</f>
        <v>-8.7115666178623763E-2</v>
      </c>
      <c r="DB88" s="94">
        <f t="shared" ref="DB88" si="487">IF(ISERROR(DB62/DA62-1),"",DB62/DA62-1)</f>
        <v>0.1106655974338413</v>
      </c>
      <c r="DC88" s="94">
        <f t="shared" ref="DC88" si="488">IF(ISERROR(DC62/DB62-1),"",DC62/DB62-1)</f>
        <v>0.1509025270758122</v>
      </c>
      <c r="DD88" s="94">
        <f t="shared" ref="DD88" si="489">IF(ISERROR(DD62/DC62-1),"",DD62/DC62-1)</f>
        <v>-0.16248431618569636</v>
      </c>
      <c r="DE88" s="96"/>
      <c r="DF88" s="94">
        <f>IF(ISERROR(DF62/DD62-1),"",DF62/DD62-1)</f>
        <v>0.16104868913857673</v>
      </c>
      <c r="DG88" s="94">
        <f t="shared" ref="DG88:DI88" si="490">IF(ISERROR(DG62/DF62-1),"",DG62/DF62-1)</f>
        <v>0.22387096774193549</v>
      </c>
      <c r="DH88" s="94">
        <f t="shared" si="490"/>
        <v>-4.1644702161307334E-2</v>
      </c>
      <c r="DI88" s="94">
        <f t="shared" si="490"/>
        <v>9.3509350935093494E-2</v>
      </c>
      <c r="DJ88" s="96"/>
      <c r="DK88" s="94">
        <f>IF(ISERROR(DK62/DI62-1),"",DK62/DI62-1)</f>
        <v>7.9476861167002033E-2</v>
      </c>
      <c r="DL88" s="94">
        <f t="shared" ref="DL88" si="491">IF(ISERROR(DL62/DK62-1),"",DL62/DK62-1)</f>
        <v>8.9002795899347564E-2</v>
      </c>
      <c r="DM88" s="94">
        <f t="shared" ref="DM88" si="492">IF(ISERROR(DM62/DL62-1),"",DM62/DL62-1)</f>
        <v>-8.3771125374411559E-2</v>
      </c>
      <c r="DN88" s="94">
        <f t="shared" ref="DN88" si="493">IF(ISERROR(DN62/DM62-1),"",DN62/DM62-1)</f>
        <v>-4.8245088348601528E-2</v>
      </c>
      <c r="DO88" s="96"/>
      <c r="DP88" s="94">
        <f>IF(ISERROR(DP62/DN62-1),"",DP62/DN62-1)</f>
        <v>0.16729464584337639</v>
      </c>
      <c r="DQ88" s="94">
        <f t="shared" ref="DQ88" si="494">IF(ISERROR(DQ62/DP62-1),"",DQ62/DP62-1)</f>
        <v>9.1160975454075865E-2</v>
      </c>
      <c r="DR88" s="94">
        <f t="shared" ref="DR88" si="495">IF(ISERROR(DR62/DQ62-1),"",DR62/DQ62-1)</f>
        <v>-3.5756083769958091E-2</v>
      </c>
      <c r="DS88" s="94">
        <f t="shared" ref="DS88" si="496">IF(ISERROR(DS62/DR62-1),"",DS62/DR62-1)</f>
        <v>3.433655876585906E-2</v>
      </c>
      <c r="DT88" s="96"/>
      <c r="DU88" s="96"/>
      <c r="DV88" s="96"/>
    </row>
    <row r="89" spans="1:126" s="93" customFormat="1">
      <c r="A89" s="15"/>
      <c r="B89" s="244" t="s">
        <v>104</v>
      </c>
      <c r="C89" s="96"/>
      <c r="D89" s="96"/>
      <c r="E89" s="96"/>
      <c r="F89" s="96"/>
      <c r="G89" s="96"/>
      <c r="H89" s="96"/>
      <c r="I89" s="96"/>
      <c r="J89" s="94"/>
      <c r="K89" s="94"/>
      <c r="L89" s="94"/>
      <c r="M89" s="94"/>
      <c r="N89" s="96"/>
      <c r="O89" s="94" t="str">
        <f>IF(ISERROR(O20/M20-1),"",O20/M20-1)</f>
        <v/>
      </c>
      <c r="P89" s="94" t="str">
        <f>IF(ISERROR(P20/O20-1),"",P20/O20-1)</f>
        <v/>
      </c>
      <c r="Q89" s="94" t="str">
        <f>IF(ISERROR(Q20/P20-1),"",Q20/P20-1)</f>
        <v/>
      </c>
      <c r="R89" s="94" t="str">
        <f>IF(ISERROR(R20/Q20-1),"",R20/Q20-1)</f>
        <v/>
      </c>
      <c r="S89" s="96"/>
      <c r="T89" s="94" t="str">
        <f>IF(ISERROR(T20/R20-1),"",T20/R20-1)</f>
        <v/>
      </c>
      <c r="U89" s="94" t="str">
        <f>IF(ISERROR(U20/T20-1),"",U20/T20-1)</f>
        <v/>
      </c>
      <c r="V89" s="94" t="str">
        <f>IF(ISERROR(V20/U20-1),"",V20/U20-1)</f>
        <v/>
      </c>
      <c r="W89" s="94" t="str">
        <f>IF(ISERROR(W20/V20-1),"",W20/V20-1)</f>
        <v/>
      </c>
      <c r="X89" s="96"/>
      <c r="Y89" s="94" t="str">
        <f>IF(ISERROR(Y20/W20-1),"",Y20/W20-1)</f>
        <v/>
      </c>
      <c r="Z89" s="94" t="str">
        <f>IF(ISERROR(Z20/Y20-1),"",Z20/Y20-1)</f>
        <v/>
      </c>
      <c r="AA89" s="94" t="str">
        <f>IF(ISERROR(AA20/Z20-1),"",AA20/Z20-1)</f>
        <v/>
      </c>
      <c r="AB89" s="94" t="str">
        <f>IF(ISERROR(AB20/AA20-1),"",AB20/AA20-1)</f>
        <v/>
      </c>
      <c r="AC89" s="96"/>
      <c r="AD89" s="94" t="str">
        <f>IF(ISERROR(AD20/AB20-1),"",AD20/AB20-1)</f>
        <v/>
      </c>
      <c r="AE89" s="94" t="str">
        <f>IF(ISERROR(AE20/AD20-1),"",AE20/AD20-1)</f>
        <v/>
      </c>
      <c r="AF89" s="94" t="str">
        <f>IF(ISERROR(AF20/AE20-1),"",AF20/AE20-1)</f>
        <v/>
      </c>
      <c r="AG89" s="94" t="str">
        <f>IF(ISERROR(AG20/AF20-1),"",AG20/AF20-1)</f>
        <v/>
      </c>
      <c r="AH89" s="96"/>
      <c r="AI89" s="94" t="str">
        <f>IF(ISERROR(AI20/AG20-1),"",AI20/AG20-1)</f>
        <v/>
      </c>
      <c r="AJ89" s="94" t="str">
        <f>IF(ISERROR(AJ20/AI20-1),"",AJ20/AI20-1)</f>
        <v/>
      </c>
      <c r="AK89" s="94" t="str">
        <f>IF(ISERROR(AK20/AJ20-1),"",AK20/AJ20-1)</f>
        <v/>
      </c>
      <c r="AL89" s="94" t="str">
        <f>IF(ISERROR(AL20/AK20-1),"",AL20/AK20-1)</f>
        <v/>
      </c>
      <c r="AM89" s="96"/>
      <c r="AN89" s="94" t="str">
        <f>IF(ISERROR(AN20/AL20-1),"",AN20/AL20-1)</f>
        <v/>
      </c>
      <c r="AO89" s="94" t="str">
        <f>IF(ISERROR(AO20/AN20-1),"",AO20/AN20-1)</f>
        <v/>
      </c>
      <c r="AP89" s="94" t="str">
        <f>IF(ISERROR(AP20/AO20-1),"",AP20/AO20-1)</f>
        <v/>
      </c>
      <c r="AQ89" s="94" t="str">
        <f>IF(ISERROR(AQ20/AP20-1),"",AQ20/AP20-1)</f>
        <v/>
      </c>
      <c r="AR89" s="96"/>
      <c r="AS89" s="94" t="str">
        <f>IF(ISERROR(AS20/AQ20-1),"",AS20/AQ20-1)</f>
        <v/>
      </c>
      <c r="AT89" s="94" t="str">
        <f>IF(ISERROR(AT20/AS20-1),"",AT20/AS20-1)</f>
        <v/>
      </c>
      <c r="AU89" s="94" t="str">
        <f>IF(ISERROR(AU20/AT20-1),"",AU20/AT20-1)</f>
        <v/>
      </c>
      <c r="AV89" s="94" t="str">
        <f>IF(ISERROR(AV20/AU20-1),"",AV20/AU20-1)</f>
        <v/>
      </c>
      <c r="AW89" s="96"/>
      <c r="AX89" s="94" t="str">
        <f>IF(ISERROR(AX20/AV20-1),"",AX20/AV20-1)</f>
        <v/>
      </c>
      <c r="AY89" s="94" t="str">
        <f>IF(ISERROR(AY20/AX20-1),"",AY20/AX20-1)</f>
        <v/>
      </c>
      <c r="AZ89" s="94" t="str">
        <f>IF(ISERROR(AZ20/AY20-1),"",AZ20/AY20-1)</f>
        <v/>
      </c>
      <c r="BA89" s="94" t="str">
        <f>IF(ISERROR(BA20/AZ20-1),"",BA20/AZ20-1)</f>
        <v/>
      </c>
      <c r="BB89" s="96"/>
      <c r="BC89" s="94" t="str">
        <f>IF(ISERROR(BC20/BA20-1),"",BC20/BA20-1)</f>
        <v/>
      </c>
      <c r="BD89" s="94" t="str">
        <f>IF(ISERROR(BD20/BC20-1),"",BD20/BC20-1)</f>
        <v/>
      </c>
      <c r="BE89" s="94" t="str">
        <f>IF(ISERROR(BE20/BD20-1),"",BE20/BD20-1)</f>
        <v/>
      </c>
      <c r="BF89" s="94" t="str">
        <f>IF(ISERROR(BF20/BE20-1),"",BF20/BE20-1)</f>
        <v/>
      </c>
      <c r="BG89" s="96"/>
      <c r="BH89" s="94" t="str">
        <f>IF(ISERROR(BH20/BF20-1),"",BH20/BF20-1)</f>
        <v/>
      </c>
      <c r="BI89" s="94" t="str">
        <f>IF(ISERROR(BI20/BH20-1),"",BI20/BH20-1)</f>
        <v/>
      </c>
      <c r="BJ89" s="94" t="str">
        <f>IF(ISERROR(BJ20/BI20-1),"",BJ20/BI20-1)</f>
        <v/>
      </c>
      <c r="BK89" s="94" t="str">
        <f>IF(ISERROR(BK20/BJ20-1),"",BK20/BJ20-1)</f>
        <v/>
      </c>
      <c r="BL89" s="96"/>
      <c r="BM89" s="94" t="str">
        <f>IF(ISERROR(BM20/BK20-1),"",BM20/BK20-1)</f>
        <v/>
      </c>
      <c r="BN89" s="94" t="str">
        <f>IF(ISERROR(BN20/BM20-1),"",BN20/BM20-1)</f>
        <v/>
      </c>
      <c r="BO89" s="94" t="str">
        <f>IF(ISERROR(BO20/BN20-1),"",BO20/BN20-1)</f>
        <v/>
      </c>
      <c r="BP89" s="94" t="str">
        <f>IF(ISERROR(BP20/BO20-1),"",BP20/BO20-1)</f>
        <v/>
      </c>
      <c r="BQ89" s="96"/>
      <c r="BR89" s="94" t="str">
        <f>IF(ISERROR(BR20/BP20-1),"",BR20/BP20-1)</f>
        <v/>
      </c>
      <c r="BS89" s="94" t="str">
        <f>IF(ISERROR(BS20/BR20-1),"",BS20/BR20-1)</f>
        <v/>
      </c>
      <c r="BT89" s="94" t="str">
        <f>IF(ISERROR(BT20/BS20-1),"",BT20/BS20-1)</f>
        <v/>
      </c>
      <c r="BU89" s="94" t="str">
        <f>IF(ISERROR(BU20/BT20-1),"",BU20/BT20-1)</f>
        <v/>
      </c>
      <c r="BV89" s="96"/>
      <c r="BW89" s="94" t="str">
        <f>IF(ISERROR(BW20/BU20-1),"",BW20/BU20-1)</f>
        <v/>
      </c>
      <c r="BX89" s="94" t="str">
        <f>IF(ISERROR(BX20/BW20-1),"",BX20/BW20-1)</f>
        <v/>
      </c>
      <c r="BY89" s="94" t="str">
        <f>IF(ISERROR(BY20/BX20-1),"",BY20/BX20-1)</f>
        <v/>
      </c>
      <c r="BZ89" s="94" t="str">
        <f>IF(ISERROR(BZ20/BY20-1),"",BZ20/BY20-1)</f>
        <v/>
      </c>
      <c r="CA89" s="96"/>
      <c r="CB89" s="94" t="str">
        <f>IF(ISERROR(CB20/BZ20-1),"",CB20/BZ20-1)</f>
        <v/>
      </c>
      <c r="CC89" s="94" t="str">
        <f>IF(ISERROR(CC20/CB20-1),"",CC20/CB20-1)</f>
        <v/>
      </c>
      <c r="CD89" s="94" t="str">
        <f>IF(ISERROR(CD20/CC20-1),"",CD20/CC20-1)</f>
        <v/>
      </c>
      <c r="CE89" s="94" t="str">
        <f>IF(ISERROR(CE20/CD20-1),"",CE20/CD20-1)</f>
        <v/>
      </c>
      <c r="CF89" s="96"/>
      <c r="CG89" s="94" t="str">
        <f>IF(ISERROR(CG20/CE20-1),"",CG20/CE20-1)</f>
        <v/>
      </c>
      <c r="CH89" s="94" t="str">
        <f>IF(ISERROR(CH20/CG20-1),"",CH20/CG20-1)</f>
        <v/>
      </c>
      <c r="CI89" s="94" t="str">
        <f>IF(ISERROR(CI20/CH20-1),"",CI20/CH20-1)</f>
        <v/>
      </c>
      <c r="CJ89" s="94" t="str">
        <f>IF(ISERROR(CJ20/CI20-1),"",CJ20/CI20-1)</f>
        <v/>
      </c>
      <c r="CK89" s="96"/>
      <c r="CL89" s="94" t="str">
        <f>IF(ISERROR(CL20/CJ20-1),"",CL20/CJ20-1)</f>
        <v/>
      </c>
      <c r="CM89" s="94">
        <f>IF(ISERROR(CM20/CL20-1),"",CM20/CL20-1)</f>
        <v>-1.1821234409977615</v>
      </c>
      <c r="CN89" s="94">
        <f>IF(ISERROR(CN20/CM20-1),"",CN20/CM20-1)</f>
        <v>-2.6338893766462146E-3</v>
      </c>
      <c r="CO89" s="94">
        <f>IF(ISERROR(CO20/CN20-1),"",CO20/CN20-1)</f>
        <v>-3.181338028169014</v>
      </c>
      <c r="CP89" s="96"/>
      <c r="CQ89" s="94">
        <f>IF(ISERROR(CQ20/CO20-1),"",CQ20/CO20-1)</f>
        <v>-0.96125907990314774</v>
      </c>
      <c r="CR89" s="94">
        <f>IF(ISERROR(CR20/CQ20-1),"",CR20/CQ20-1)</f>
        <v>-6.9375</v>
      </c>
      <c r="CS89" s="94">
        <f>IF(ISERROR(CS20/CR20-1),"",CS20/CR20-1)</f>
        <v>-2.0210526315789474</v>
      </c>
      <c r="CT89" s="94">
        <f>IF(ISERROR(CT20/CS20-1),"",CT20/CS20-1)</f>
        <v>-7.0206185567010309</v>
      </c>
      <c r="CU89" s="96"/>
      <c r="CV89" s="94">
        <f>IF(ISERROR(CV20/CT20-1),"",CV20/CT20-1)</f>
        <v>-0.65496575342465757</v>
      </c>
      <c r="CW89" s="94">
        <f>IF(ISERROR(CW20/CV20-1),"",CW20/CV20-1)</f>
        <v>-6.9478908188585597E-2</v>
      </c>
      <c r="CX89" s="94">
        <f>IF(ISERROR(CX20/CW20-1),"",CX20/CW20-1)</f>
        <v>-0.78400000000000003</v>
      </c>
      <c r="CY89" s="94">
        <f>IF(ISERROR(CY20/CX20-1),"",CY20/CX20-1)</f>
        <v>-8.3251028806584362</v>
      </c>
      <c r="CZ89" s="96"/>
      <c r="DA89" s="94">
        <f>IF(ISERROR(DA20/CY20-1),"",DA20/CY20-1)</f>
        <v>2.49438202247191</v>
      </c>
      <c r="DB89" s="94">
        <f>IF(ISERROR(DB20/DA20-1),"",DB20/DA20-1)</f>
        <v>-0.83022508038585208</v>
      </c>
      <c r="DC89" s="94">
        <f>IF(ISERROR(DC20/DB20-1),"",DC20/DB20-1)</f>
        <v>-0.84659090909090906</v>
      </c>
      <c r="DD89" s="94">
        <f>IF(ISERROR(DD20/DC20-1),"",DD20/DC20-1)</f>
        <v>8.8271604938271597</v>
      </c>
      <c r="DE89" s="96"/>
      <c r="DF89" s="94">
        <f>IF(ISERROR(DF20/DD20-1),"",DF20/DD20-1)</f>
        <v>-2.6381909547738669E-2</v>
      </c>
      <c r="DG89" s="94">
        <f>IF(ISERROR(DG20/DF20-1),"",DG20/DF20-1)</f>
        <v>-0.14709677419354839</v>
      </c>
      <c r="DH89" s="94">
        <f>IF(ISERROR(DH20/DG20-1),"",DH20/DG20-1)</f>
        <v>0.28214826021180039</v>
      </c>
      <c r="DI89" s="94">
        <f>IF(ISERROR(DI20/DH20-1),"",DI20/DH20-1)</f>
        <v>0.11917404129793518</v>
      </c>
      <c r="DJ89" s="96"/>
      <c r="DK89" s="94">
        <f>IF(ISERROR(DK20/DI20-1),"",DK20/DI20-1)</f>
        <v>3.4264628360569427E-2</v>
      </c>
      <c r="DL89" s="94">
        <f>IF(ISERROR(DL20/DK20-1),"",DL20/DK20-1)</f>
        <v>1.9367991845055998E-2</v>
      </c>
      <c r="DM89" s="94">
        <f>IF(ISERROR(DM20/DL20-1),"",DM20/DL20-1)</f>
        <v>-0.25256021478741841</v>
      </c>
      <c r="DN89" s="94">
        <f>IF(ISERROR(DN20/DM20-1),"",DN20/DM20-1)</f>
        <v>-5.4227850175102454E-2</v>
      </c>
      <c r="DO89" s="96"/>
      <c r="DP89" s="94">
        <f>IF(ISERROR(DP20/DN20-1),"",DP20/DN20-1)</f>
        <v>0.20284993114123862</v>
      </c>
      <c r="DQ89" s="94">
        <f>IF(ISERROR(DQ20/DP20-1),"",DQ20/DP20-1)</f>
        <v>9.9992471534825045E-2</v>
      </c>
      <c r="DR89" s="94">
        <f>IF(ISERROR(DR20/DQ20-1),"",DR20/DQ20-1)</f>
        <v>-5.1531894757078089E-2</v>
      </c>
      <c r="DS89" s="94">
        <f>IF(ISERROR(DS20/DR20-1),"",DS20/DR20-1)</f>
        <v>3.8286450011387307E-2</v>
      </c>
      <c r="DT89" s="96"/>
      <c r="DU89" s="96"/>
      <c r="DV89" s="96"/>
    </row>
    <row r="90" spans="1:126" s="93" customFormat="1">
      <c r="A90" s="82"/>
      <c r="B90" s="267" t="s">
        <v>105</v>
      </c>
      <c r="C90" s="81"/>
      <c r="D90" s="81"/>
      <c r="E90" s="81"/>
      <c r="F90" s="81"/>
      <c r="G90" s="81"/>
      <c r="H90" s="81"/>
      <c r="I90" s="81"/>
      <c r="J90" s="80"/>
      <c r="K90" s="80"/>
      <c r="L90" s="80"/>
      <c r="M90" s="80"/>
      <c r="N90" s="81"/>
      <c r="O90" s="80" t="str">
        <f>IF(ISERROR(O32/M32-1),"",(O32/M32-1))</f>
        <v/>
      </c>
      <c r="P90" s="80" t="str">
        <f>IF(ISERROR(P32/O32-1),"",(P32/O32-1))</f>
        <v/>
      </c>
      <c r="Q90" s="80" t="str">
        <f>IF(ISERROR(Q32/P32-1),"",(Q32/P32-1))</f>
        <v/>
      </c>
      <c r="R90" s="80" t="str">
        <f>IF(ISERROR(R32/Q32-1),"",(R32/Q32-1))</f>
        <v/>
      </c>
      <c r="S90" s="81"/>
      <c r="T90" s="80" t="str">
        <f>IF(ISERROR(T32/R32-1),"",(T32/R32-1))</f>
        <v/>
      </c>
      <c r="U90" s="80" t="str">
        <f>IF(ISERROR(U32/T32-1),"",(U32/T32-1))</f>
        <v/>
      </c>
      <c r="V90" s="80" t="str">
        <f>IF(ISERROR(V32/U32-1),"",(V32/U32-1))</f>
        <v/>
      </c>
      <c r="W90" s="80" t="str">
        <f>IF(ISERROR(W32/V32-1),"",(W32/V32-1))</f>
        <v/>
      </c>
      <c r="X90" s="81"/>
      <c r="Y90" s="80" t="str">
        <f>IF(ISERROR(Y32/W32-1),"",(Y32/W32-1))</f>
        <v/>
      </c>
      <c r="Z90" s="80" t="str">
        <f>IF(ISERROR(Z32/Y32-1),"",(Z32/Y32-1))</f>
        <v/>
      </c>
      <c r="AA90" s="80" t="str">
        <f>IF(ISERROR(AA32/Z32-1),"",(AA32/Z32-1))</f>
        <v/>
      </c>
      <c r="AB90" s="80" t="str">
        <f>IF(ISERROR(AB32/AA32-1),"",(AB32/AA32-1))</f>
        <v/>
      </c>
      <c r="AC90" s="81"/>
      <c r="AD90" s="80" t="str">
        <f>IF(ISERROR(AD32/AB32-1),"",(AD32/AB32-1))</f>
        <v/>
      </c>
      <c r="AE90" s="80" t="str">
        <f>IF(ISERROR(AE32/AD32-1),"",(AE32/AD32-1))</f>
        <v/>
      </c>
      <c r="AF90" s="80" t="str">
        <f>IF(ISERROR(AF32/AE32-1),"",(AF32/AE32-1))</f>
        <v/>
      </c>
      <c r="AG90" s="80" t="str">
        <f>IF(ISERROR(AG32/AF32-1),"",(AG32/AF32-1))</f>
        <v/>
      </c>
      <c r="AH90" s="81"/>
      <c r="AI90" s="80" t="str">
        <f>IF(ISERROR(AI32/AG32-1),"",(AI32/AG32-1))</f>
        <v/>
      </c>
      <c r="AJ90" s="80" t="str">
        <f>IF(ISERROR(AJ32/AI32-1),"",(AJ32/AI32-1))</f>
        <v/>
      </c>
      <c r="AK90" s="80" t="str">
        <f>IF(ISERROR(AK32/AJ32-1),"",(AK32/AJ32-1))</f>
        <v/>
      </c>
      <c r="AL90" s="80" t="str">
        <f>IF(ISERROR(AL32/AK32-1),"",(AL32/AK32-1))</f>
        <v/>
      </c>
      <c r="AM90" s="81"/>
      <c r="AN90" s="80" t="str">
        <f>IF(ISERROR(AN32/AL32-1),"",(AN32/AL32-1))</f>
        <v/>
      </c>
      <c r="AO90" s="80" t="str">
        <f>IF(ISERROR(AO32/AN32-1),"",(AO32/AN32-1))</f>
        <v/>
      </c>
      <c r="AP90" s="80" t="str">
        <f>IF(ISERROR(AP32/AO32-1),"",(AP32/AO32-1))</f>
        <v/>
      </c>
      <c r="AQ90" s="80" t="str">
        <f>IF(ISERROR(AQ32/AP32-1),"",(AQ32/AP32-1))</f>
        <v/>
      </c>
      <c r="AR90" s="81"/>
      <c r="AS90" s="80" t="str">
        <f>IF(ISERROR(AS32/AQ32-1),"",(AS32/AQ32-1))</f>
        <v/>
      </c>
      <c r="AT90" s="80" t="str">
        <f>IF(ISERROR(AT32/AS32-1),"",(AT32/AS32-1))</f>
        <v/>
      </c>
      <c r="AU90" s="80" t="str">
        <f>IF(ISERROR(AU32/AT32-1),"",(AU32/AT32-1))</f>
        <v/>
      </c>
      <c r="AV90" s="80" t="str">
        <f>IF(ISERROR(AV32/AU32-1),"",(AV32/AU32-1))</f>
        <v/>
      </c>
      <c r="AW90" s="81"/>
      <c r="AX90" s="80" t="str">
        <f>IF(ISERROR(AX32/AV32-1),"",(AX32/AV32-1))</f>
        <v/>
      </c>
      <c r="AY90" s="80" t="str">
        <f>IF(ISERROR(AY32/AX32-1),"",(AY32/AX32-1))</f>
        <v/>
      </c>
      <c r="AZ90" s="80" t="str">
        <f>IF(ISERROR(AZ32/AY32-1),"",(AZ32/AY32-1))</f>
        <v/>
      </c>
      <c r="BA90" s="80" t="str">
        <f>IF(ISERROR(BA32/AZ32-1),"",(BA32/AZ32-1))</f>
        <v/>
      </c>
      <c r="BB90" s="81"/>
      <c r="BC90" s="80" t="str">
        <f>IF(ISERROR(BC32/BA32-1),"",(BC32/BA32-1))</f>
        <v/>
      </c>
      <c r="BD90" s="80" t="str">
        <f>IF(ISERROR(BD32/BC32-1),"",(BD32/BC32-1))</f>
        <v/>
      </c>
      <c r="BE90" s="80" t="str">
        <f>IF(ISERROR(BE32/BD32-1),"",(BE32/BD32-1))</f>
        <v/>
      </c>
      <c r="BF90" s="80" t="str">
        <f>IF(ISERROR(BF32/BE32-1),"",(BF32/BE32-1))</f>
        <v/>
      </c>
      <c r="BG90" s="81"/>
      <c r="BH90" s="80" t="str">
        <f>IF(ISERROR(BH32/BF32-1),"",(BH32/BF32-1))</f>
        <v/>
      </c>
      <c r="BI90" s="80" t="str">
        <f>IF(ISERROR(BI32/BH32-1),"",(BI32/BH32-1))</f>
        <v/>
      </c>
      <c r="BJ90" s="80" t="str">
        <f>IF(ISERROR(BJ32/BI32-1),"",(BJ32/BI32-1))</f>
        <v/>
      </c>
      <c r="BK90" s="80" t="str">
        <f>IF(ISERROR(BK32/BJ32-1),"",(BK32/BJ32-1))</f>
        <v/>
      </c>
      <c r="BL90" s="81"/>
      <c r="BM90" s="80" t="str">
        <f>IF(ISERROR(BM32/BK32-1),"",(BM32/BK32-1))</f>
        <v/>
      </c>
      <c r="BN90" s="80" t="str">
        <f>IF(ISERROR(BN32/BM32-1),"",(BN32/BM32-1))</f>
        <v/>
      </c>
      <c r="BO90" s="80" t="str">
        <f>IF(ISERROR(BO32/BN32-1),"",(BO32/BN32-1))</f>
        <v/>
      </c>
      <c r="BP90" s="80" t="str">
        <f>IF(ISERROR(BP32/BO32-1),"",(BP32/BO32-1))</f>
        <v/>
      </c>
      <c r="BQ90" s="81"/>
      <c r="BR90" s="80" t="str">
        <f>IF(ISERROR(BR32/BP32-1),"",(BR32/BP32-1))</f>
        <v/>
      </c>
      <c r="BS90" s="80" t="str">
        <f t="shared" ref="BS90:BU90" si="497">IF(ISERROR(BS32/BR32-1),"",(BS32/BR32-1))</f>
        <v/>
      </c>
      <c r="BT90" s="80" t="str">
        <f t="shared" si="497"/>
        <v/>
      </c>
      <c r="BU90" s="80" t="str">
        <f t="shared" si="497"/>
        <v/>
      </c>
      <c r="BV90" s="81"/>
      <c r="BW90" s="80" t="str">
        <f>IF(ISERROR(BW32/BU32-1),"",(BW32/BU32-1))</f>
        <v/>
      </c>
      <c r="BX90" s="80" t="str">
        <f t="shared" ref="BX90" si="498">IF(ISERROR(BX32/BW32-1),"",(BX32/BW32-1))</f>
        <v/>
      </c>
      <c r="BY90" s="80" t="str">
        <f t="shared" ref="BY90" si="499">IF(ISERROR(BY32/BX32-1),"",(BY32/BX32-1))</f>
        <v/>
      </c>
      <c r="BZ90" s="80" t="str">
        <f t="shared" ref="BZ90" si="500">IF(ISERROR(BZ32/BY32-1),"",(BZ32/BY32-1))</f>
        <v/>
      </c>
      <c r="CA90" s="81"/>
      <c r="CB90" s="80" t="str">
        <f>IF(ISERROR(CB32/BZ32-1),"",(CB32/BZ32-1))</f>
        <v/>
      </c>
      <c r="CC90" s="80" t="str">
        <f t="shared" ref="CC90" si="501">IF(ISERROR(CC32/CB32-1),"",(CC32/CB32-1))</f>
        <v/>
      </c>
      <c r="CD90" s="80" t="str">
        <f t="shared" ref="CD90" si="502">IF(ISERROR(CD32/CC32-1),"",(CD32/CC32-1))</f>
        <v/>
      </c>
      <c r="CE90" s="80" t="str">
        <f t="shared" ref="CE90" si="503">IF(ISERROR(CE32/CD32-1),"",(CE32/CD32-1))</f>
        <v/>
      </c>
      <c r="CF90" s="81"/>
      <c r="CG90" s="80" t="str">
        <f>IF(ISERROR(CG32/CE32-1),"",(CG32/CE32-1))</f>
        <v/>
      </c>
      <c r="CH90" s="80" t="str">
        <f t="shared" ref="CH90" si="504">IF(ISERROR(CH32/CG32-1),"",(CH32/CG32-1))</f>
        <v/>
      </c>
      <c r="CI90" s="80" t="str">
        <f t="shared" ref="CI90" si="505">IF(ISERROR(CI32/CH32-1),"",(CI32/CH32-1))</f>
        <v/>
      </c>
      <c r="CJ90" s="80" t="str">
        <f t="shared" ref="CJ90" si="506">IF(ISERROR(CJ32/CI32-1),"",(CJ32/CI32-1))</f>
        <v/>
      </c>
      <c r="CK90" s="81"/>
      <c r="CL90" s="80" t="str">
        <f>IF(ISERROR(CL32/CJ32-1),"",(CL32/CJ32-1))</f>
        <v/>
      </c>
      <c r="CM90" s="80">
        <f t="shared" ref="CM90" si="507">IF(ISERROR(CM32/CL32-1),"",(CM32/CL32-1))</f>
        <v>-1.1817955419934614</v>
      </c>
      <c r="CN90" s="80">
        <f t="shared" ref="CN90" si="508">IF(ISERROR(CN32/CM32-1),"",(CN32/CM32-1))</f>
        <v>-1.9394479964163214E-4</v>
      </c>
      <c r="CO90" s="80">
        <f t="shared" ref="CO90" si="509">IF(ISERROR(CO32/CN32-1),"",(CO32/CN32-1))</f>
        <v>-18.439516398376867</v>
      </c>
      <c r="CP90" s="81"/>
      <c r="CQ90" s="80">
        <f>IF(ISERROR(CQ32/CO32-1),"",(CQ32/CO32-1))</f>
        <v>-0.99516463809310418</v>
      </c>
      <c r="CR90" s="80">
        <f t="shared" ref="CR90" si="510">IF(ISERROR(CR32/CQ32-1),"",(CR32/CQ32-1))</f>
        <v>-6.9357000489165088</v>
      </c>
      <c r="CS90" s="80">
        <f t="shared" ref="CS90" si="511">IF(ISERROR(CS32/CR32-1),"",(CS32/CR32-1))</f>
        <v>-9.1648933983349341</v>
      </c>
      <c r="CT90" s="80">
        <f t="shared" ref="CT90" si="512">IF(ISERROR(CT32/CS32-1),"",(CT32/CS32-1))</f>
        <v>-7.0157425516261309</v>
      </c>
      <c r="CU90" s="81"/>
      <c r="CV90" s="80">
        <f>IF(ISERROR(CV32/CT32-1),"",(CV32/CT32-1))</f>
        <v>-0.65547915670734325</v>
      </c>
      <c r="CW90" s="80">
        <f t="shared" ref="CW90" si="513">IF(ISERROR(CW32/CV32-1),"",(CW32/CV32-1))</f>
        <v>-6.5989622227026201E-2</v>
      </c>
      <c r="CX90" s="80">
        <f t="shared" ref="CX90" si="514">IF(ISERROR(CX32/CW32-1),"",(CX32/CW32-1))</f>
        <v>-0.78323201586897184</v>
      </c>
      <c r="CY90" s="80">
        <f t="shared" ref="CY90" si="515">IF(ISERROR(CY32/CX32-1),"",(CY32/CX32-1))</f>
        <v>-8.3491015883919708</v>
      </c>
      <c r="CZ90" s="81"/>
      <c r="DA90" s="80">
        <f>IF(ISERROR(DA32/CY32-1),"",(DA32/CY32-1))</f>
        <v>2.4948311777512973</v>
      </c>
      <c r="DB90" s="80">
        <f t="shared" ref="DB90" si="516">IF(ISERROR(DB32/DA32-1),"",(DB32/DA32-1))</f>
        <v>-0.83013432042689306</v>
      </c>
      <c r="DC90" s="80">
        <f t="shared" ref="DC90" si="517">IF(ISERROR(DC32/DB32-1),"",(DC32/DB32-1))</f>
        <v>-0.84659201555618524</v>
      </c>
      <c r="DD90" s="80">
        <f t="shared" ref="DD90" si="518">IF(ISERROR(DD32/DC32-1),"",(DD32/DC32-1))</f>
        <v>8.8268900612788848</v>
      </c>
      <c r="DE90" s="81"/>
      <c r="DF90" s="80">
        <f>IF(ISERROR(DF32/DD32-1),"",(DF32/DD32-1))</f>
        <v>-3.9255210634997151E-2</v>
      </c>
      <c r="DG90" s="80">
        <f t="shared" ref="DG90:DI90" si="519">IF(ISERROR(DG32/DF32-1),"",(DG32/DF32-1))</f>
        <v>-0.14477067448680347</v>
      </c>
      <c r="DH90" s="80">
        <f t="shared" si="519"/>
        <v>0.29797238097479073</v>
      </c>
      <c r="DI90" s="80">
        <f t="shared" si="519"/>
        <v>0.12216616214829146</v>
      </c>
      <c r="DJ90" s="81"/>
      <c r="DK90" s="80">
        <f>IF(ISERROR(DK32/DI32-1),"",(DK32/DI32-1))</f>
        <v>4.6143799001747698E-2</v>
      </c>
      <c r="DL90" s="80">
        <f t="shared" ref="DL90" si="520">IF(ISERROR(DL32/DK32-1),"",(DL32/DK32-1))</f>
        <v>2.0270053613531847E-2</v>
      </c>
      <c r="DM90" s="80">
        <f t="shared" ref="DM90" si="521">IF(ISERROR(DM32/DL32-1),"",(DM32/DL32-1))</f>
        <v>-0.25203615626564357</v>
      </c>
      <c r="DN90" s="80">
        <f t="shared" ref="DN90" si="522">IF(ISERROR(DN32/DM32-1),"",(DN32/DM32-1))</f>
        <v>-5.3342866978553838E-2</v>
      </c>
      <c r="DO90" s="81"/>
      <c r="DP90" s="80">
        <f>IF(ISERROR(DP32/DN32-1),"",(DP32/DN32-1))</f>
        <v>0.21078064008595243</v>
      </c>
      <c r="DQ90" s="80">
        <f t="shared" ref="DQ90" si="523">IF(ISERROR(DQ32/DP32-1),"",(DQ32/DP32-1))</f>
        <v>0.10729314924681543</v>
      </c>
      <c r="DR90" s="80">
        <f t="shared" ref="DR90" si="524">IF(ISERROR(DR32/DQ32-1),"",(DR32/DQ32-1))</f>
        <v>-4.5194828810737109E-2</v>
      </c>
      <c r="DS90" s="80">
        <f t="shared" ref="DS90" si="525">IF(ISERROR(DS32/DR32-1),"",(DS32/DR32-1))</f>
        <v>4.4768327380997786E-2</v>
      </c>
      <c r="DT90" s="81"/>
      <c r="DU90" s="81"/>
      <c r="DV90" s="81"/>
    </row>
    <row r="91" spans="1:126" ht="6" customHeight="1" thickBot="1">
      <c r="C91" s="179"/>
      <c r="D91" s="179"/>
      <c r="E91" s="179"/>
      <c r="F91" s="179"/>
      <c r="G91" s="179"/>
      <c r="H91" s="179"/>
      <c r="I91" s="179"/>
      <c r="N91" s="179"/>
      <c r="S91" s="179"/>
      <c r="X91" s="179"/>
      <c r="AC91" s="179"/>
      <c r="AH91" s="179"/>
      <c r="AM91" s="179"/>
      <c r="AR91" s="179"/>
      <c r="AW91" s="179"/>
      <c r="BB91" s="179"/>
      <c r="BG91" s="179"/>
      <c r="BL91" s="179"/>
      <c r="BQ91" s="179"/>
      <c r="BV91" s="179"/>
      <c r="CA91" s="179"/>
      <c r="CF91" s="179"/>
      <c r="CK91" s="179"/>
      <c r="CP91" s="179"/>
      <c r="CU91" s="179"/>
      <c r="CZ91" s="179"/>
      <c r="DE91" s="179"/>
      <c r="DJ91" s="179"/>
      <c r="DO91" s="179"/>
      <c r="DT91" s="179"/>
      <c r="DU91" s="179"/>
      <c r="DV91" s="179"/>
    </row>
  </sheetData>
  <phoneticPr fontId="11" type="noConversion"/>
  <pageMargins left="0.25" right="0.25" top="0.75" bottom="0.75" header="0.3" footer="0.3"/>
  <pageSetup scale="44" orientation="portrait" r:id="rId1"/>
  <headerFooter alignWithMargins="0"/>
  <customProperties>
    <customPr name="Qube.Worksheet.Visibility" r:id="rId2"/>
    <customPr name="QXL_SHEET_ID" r:id="rId3"/>
  </customProperties>
  <ignoredErrors>
    <ignoredError sqref="AS84:AV85 AN77:AN78 C60:AG67 C27:M30 N27 D31:M31 AS77:AV78 N9:V9 O17:W17 O14:S14 O13:W13 O11:V11 AH60:AH64 AI63:AM64 AH65:AM66 AS76:BA76 AH75:AP76 AT60:BB62 AX64:BB66 BB13:BB14 BB10:BB11 AR75:AR76 AW75 AW13:AW15 C59:H59 X9:AM9 X13:AR14 AS55:BA58 AU20:AV20 AX32:AY32 AX22:AY22 AX20:AY20 AX18:AY18 AW54 AU18:AV18 AT27:AV27 AT28:AU31 AW51:AW52 AW27:BA31 AW59:AZ59 AT49:BA49 AT35:AY35 BB19:BB22 AO10:AR10 AO9:AP9 O18:S18 C51:L52 X59:AA59 AH59:AK59 X54:AR58 C49:AB50 X51:AM52 AC49:AR49 AN51:AR51 AM59:AP59 AR59:AU59 AI60:AP62 AQ60:AR66 AN11:AR11 AW10:AW11 AN52:AQ52 AT32 BG13 BG18:BG19 BG21 BA18:BB18 BA35 BA32 AR9 BB59 AC59:AF59 S59:V59 N59:Q59 J59:L59 O15:AR15 C13:N15 C9:M9 BG10:BG11 X17:AR22 AU22:AV22 AW17:AW22 O19:W22 C17:N22 O27:AR33 AV27:AV33 AW33:BA33 AT33:AU33 C32:M33 O10:AM10 C10:N11 AT64:AW67 AR67 AS60:AS67 AX67:BA67 AH67:AL67 AN63:AP67 AM65:AM67 AR72:BA73 AH72:AP73 O35:AR35 C35:M35" formula="1"/>
  </ignoredError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DV90"/>
  <sheetViews>
    <sheetView showGridLines="0" zoomScaleNormal="100" workbookViewId="0">
      <pane xSplit="2" ySplit="4" topLeftCell="C5" activePane="bottomRight" state="frozen"/>
      <selection activeCell="DF3" sqref="DF3:DI4"/>
      <selection pane="topRight" activeCell="DF3" sqref="DF3:DI4"/>
      <selection pane="bottomLeft" activeCell="DF3" sqref="DF3:DI4"/>
      <selection pane="bottomRight"/>
    </sheetView>
  </sheetViews>
  <sheetFormatPr defaultColWidth="9.75" defaultRowHeight="11.4" outlineLevelRow="1" outlineLevelCol="1"/>
  <cols>
    <col min="1" max="1" width="1.75" customWidth="1"/>
    <col min="2" max="2" width="41.75" customWidth="1"/>
    <col min="3" max="9" width="9.75" hidden="1" customWidth="1"/>
    <col min="10" max="13" width="9.75" hidden="1" customWidth="1" outlineLevel="1"/>
    <col min="14" max="14" width="9.75" hidden="1" customWidth="1" collapsed="1"/>
    <col min="15" max="18" width="9.75" hidden="1" customWidth="1" outlineLevel="1"/>
    <col min="19" max="19" width="9.75" hidden="1" customWidth="1" collapsed="1"/>
    <col min="20" max="23" width="9.75" hidden="1" customWidth="1" outlineLevel="1"/>
    <col min="24" max="24" width="9.75" hidden="1" customWidth="1" collapsed="1"/>
    <col min="25" max="28" width="9.75" hidden="1" customWidth="1" outlineLevel="1"/>
    <col min="29" max="29" width="9.75" hidden="1" customWidth="1" collapsed="1"/>
    <col min="30" max="33" width="9.75" hidden="1" customWidth="1" outlineLevel="1"/>
    <col min="34" max="34" width="9.75" hidden="1" customWidth="1" collapsed="1"/>
    <col min="35" max="38" width="9.75" hidden="1" customWidth="1" outlineLevel="1"/>
    <col min="39" max="39" width="9.75" hidden="1" customWidth="1" collapsed="1"/>
    <col min="40" max="43" width="9.75" hidden="1" customWidth="1" outlineLevel="1"/>
    <col min="44" max="44" width="9.75" hidden="1" customWidth="1" collapsed="1"/>
    <col min="45" max="48" width="9.75" hidden="1" customWidth="1" outlineLevel="1"/>
    <col min="49" max="49" width="9.75" hidden="1" customWidth="1" collapsed="1"/>
    <col min="50" max="53" width="9.75" hidden="1" customWidth="1" outlineLevel="1"/>
    <col min="54" max="54" width="0" hidden="1" customWidth="1" collapsed="1"/>
    <col min="55" max="58" width="9.75" hidden="1" customWidth="1" outlineLevel="1"/>
    <col min="59" max="59" width="0" hidden="1" customWidth="1" collapsed="1"/>
    <col min="60" max="63" width="9.75" hidden="1" customWidth="1" outlineLevel="1"/>
    <col min="64" max="64" width="0" hidden="1" customWidth="1" collapsed="1"/>
    <col min="65" max="68" width="9.75" hidden="1" customWidth="1" outlineLevel="1"/>
    <col min="69" max="69" width="0" hidden="1" customWidth="1" collapsed="1"/>
    <col min="70" max="73" width="9.75" hidden="1" customWidth="1" outlineLevel="1"/>
    <col min="74" max="74" width="0" hidden="1" customWidth="1" collapsed="1"/>
    <col min="75" max="78" width="9.75" hidden="1" customWidth="1" outlineLevel="1"/>
    <col min="79" max="79" width="0" hidden="1" customWidth="1" collapsed="1"/>
    <col min="80" max="83" width="9.75" hidden="1" customWidth="1" outlineLevel="1"/>
    <col min="84" max="84" width="0" hidden="1" customWidth="1" collapsed="1"/>
    <col min="85" max="88" width="9.75" hidden="1" customWidth="1" outlineLevel="1"/>
    <col min="89" max="89" width="0" hidden="1" customWidth="1" collapsed="1"/>
    <col min="90" max="93" width="9.75" hidden="1" customWidth="1" outlineLevel="1"/>
    <col min="94" max="94" width="9.75" collapsed="1"/>
    <col min="95" max="98" width="9.75" hidden="1" customWidth="1" outlineLevel="1"/>
    <col min="99" max="99" width="9.75" collapsed="1"/>
    <col min="100" max="103" width="9.75" hidden="1" customWidth="1" outlineLevel="1"/>
    <col min="104" max="104" width="9.75" collapsed="1"/>
    <col min="105" max="108" width="9.75" hidden="1" customWidth="1" outlineLevel="1"/>
    <col min="109" max="109" width="9.75" collapsed="1"/>
    <col min="110" max="113" width="9.75" hidden="1" customWidth="1" outlineLevel="1"/>
    <col min="114" max="114" width="9.75" collapsed="1"/>
    <col min="115" max="118" width="9.75" customWidth="1" outlineLevel="1"/>
    <col min="120" max="123" width="0" hidden="1" customWidth="1" outlineLevel="1"/>
    <col min="124" max="124" width="9.75" collapsed="1"/>
  </cols>
  <sheetData>
    <row r="1" spans="2:126" ht="12" customHeight="1" thickBot="1"/>
    <row r="2" spans="2:126" ht="6" customHeight="1">
      <c r="C2" s="117"/>
      <c r="D2" s="117"/>
      <c r="E2" s="117"/>
      <c r="F2" s="117"/>
      <c r="G2" s="117"/>
      <c r="H2" s="117"/>
      <c r="I2" s="117"/>
      <c r="N2" s="117"/>
      <c r="S2" s="117"/>
      <c r="X2" s="117"/>
      <c r="AC2" s="117"/>
      <c r="AH2" s="117"/>
      <c r="AI2" s="124"/>
      <c r="AM2" s="117"/>
      <c r="AN2" s="124"/>
      <c r="AR2" s="117"/>
      <c r="AS2" s="124"/>
      <c r="AW2" s="117"/>
      <c r="AX2" s="124"/>
      <c r="BB2" s="117"/>
      <c r="BC2" s="124"/>
      <c r="BG2" s="117"/>
      <c r="BH2" s="124"/>
      <c r="BL2" s="117"/>
      <c r="BM2" s="124"/>
      <c r="BQ2" s="117"/>
      <c r="BR2" s="124"/>
      <c r="BV2" s="117"/>
      <c r="BW2" s="124"/>
      <c r="CA2" s="117"/>
      <c r="CB2" s="124"/>
      <c r="CF2" s="117"/>
      <c r="CK2" s="117"/>
      <c r="CP2" s="117"/>
      <c r="CU2" s="117"/>
      <c r="CZ2" s="117"/>
      <c r="DE2" s="117"/>
      <c r="DJ2" s="117"/>
      <c r="DO2" s="117"/>
      <c r="DT2" s="117"/>
      <c r="DU2" s="117"/>
      <c r="DV2" s="117"/>
    </row>
    <row r="3" spans="2:126" ht="15.6">
      <c r="B3" s="120" t="s">
        <v>379</v>
      </c>
      <c r="C3" s="369">
        <v>1997</v>
      </c>
      <c r="D3" s="369">
        <v>1998</v>
      </c>
      <c r="E3" s="369">
        <v>1999</v>
      </c>
      <c r="F3" s="369">
        <v>2000</v>
      </c>
      <c r="G3" s="369">
        <v>2001</v>
      </c>
      <c r="H3" s="369">
        <v>2002</v>
      </c>
      <c r="I3" s="369">
        <v>2003</v>
      </c>
      <c r="J3" s="121" t="s">
        <v>0</v>
      </c>
      <c r="K3" s="121" t="s">
        <v>1</v>
      </c>
      <c r="L3" s="121" t="s">
        <v>2</v>
      </c>
      <c r="M3" s="121" t="s">
        <v>3</v>
      </c>
      <c r="N3" s="369">
        <v>2004</v>
      </c>
      <c r="O3" s="121" t="s">
        <v>4</v>
      </c>
      <c r="P3" s="121" t="s">
        <v>5</v>
      </c>
      <c r="Q3" s="121" t="s">
        <v>6</v>
      </c>
      <c r="R3" s="121" t="s">
        <v>7</v>
      </c>
      <c r="S3" s="369">
        <v>2005</v>
      </c>
      <c r="T3" s="121" t="s">
        <v>8</v>
      </c>
      <c r="U3" s="121" t="s">
        <v>9</v>
      </c>
      <c r="V3" s="121" t="s">
        <v>10</v>
      </c>
      <c r="W3" s="121" t="s">
        <v>11</v>
      </c>
      <c r="X3" s="369">
        <v>2006</v>
      </c>
      <c r="Y3" s="121" t="s">
        <v>12</v>
      </c>
      <c r="Z3" s="121" t="s">
        <v>13</v>
      </c>
      <c r="AA3" s="121" t="s">
        <v>14</v>
      </c>
      <c r="AB3" s="121" t="s">
        <v>15</v>
      </c>
      <c r="AC3" s="369">
        <v>2007</v>
      </c>
      <c r="AD3" s="121" t="s">
        <v>16</v>
      </c>
      <c r="AE3" s="121" t="s">
        <v>17</v>
      </c>
      <c r="AF3" s="121" t="s">
        <v>18</v>
      </c>
      <c r="AG3" s="121" t="s">
        <v>19</v>
      </c>
      <c r="AH3" s="369">
        <v>2008</v>
      </c>
      <c r="AI3" s="121" t="s">
        <v>20</v>
      </c>
      <c r="AJ3" s="121" t="s">
        <v>21</v>
      </c>
      <c r="AK3" s="121" t="s">
        <v>22</v>
      </c>
      <c r="AL3" s="121" t="s">
        <v>179</v>
      </c>
      <c r="AM3" s="369">
        <v>2009</v>
      </c>
      <c r="AN3" s="121" t="s">
        <v>139</v>
      </c>
      <c r="AO3" s="121" t="s">
        <v>180</v>
      </c>
      <c r="AP3" s="121" t="s">
        <v>181</v>
      </c>
      <c r="AQ3" s="121" t="s">
        <v>182</v>
      </c>
      <c r="AR3" s="369">
        <v>2010</v>
      </c>
      <c r="AS3" s="121" t="s">
        <v>183</v>
      </c>
      <c r="AT3" s="121" t="s">
        <v>184</v>
      </c>
      <c r="AU3" s="121" t="s">
        <v>185</v>
      </c>
      <c r="AV3" s="121" t="s">
        <v>186</v>
      </c>
      <c r="AW3" s="369">
        <v>2011</v>
      </c>
      <c r="AX3" s="121" t="s">
        <v>210</v>
      </c>
      <c r="AY3" s="121" t="s">
        <v>211</v>
      </c>
      <c r="AZ3" s="121" t="s">
        <v>212</v>
      </c>
      <c r="BA3" s="121" t="s">
        <v>213</v>
      </c>
      <c r="BB3" s="369">
        <v>2012</v>
      </c>
      <c r="BC3" s="121" t="s">
        <v>217</v>
      </c>
      <c r="BD3" s="121" t="s">
        <v>218</v>
      </c>
      <c r="BE3" s="121" t="s">
        <v>219</v>
      </c>
      <c r="BF3" s="121" t="s">
        <v>220</v>
      </c>
      <c r="BG3" s="369">
        <v>2013</v>
      </c>
      <c r="BH3" s="121" t="s">
        <v>221</v>
      </c>
      <c r="BI3" s="121" t="s">
        <v>222</v>
      </c>
      <c r="BJ3" s="121" t="s">
        <v>223</v>
      </c>
      <c r="BK3" s="121" t="s">
        <v>224</v>
      </c>
      <c r="BL3" s="369">
        <v>2014</v>
      </c>
      <c r="BM3" s="121" t="s">
        <v>265</v>
      </c>
      <c r="BN3" s="121" t="s">
        <v>266</v>
      </c>
      <c r="BO3" s="121" t="s">
        <v>267</v>
      </c>
      <c r="BP3" s="121" t="s">
        <v>268</v>
      </c>
      <c r="BQ3" s="369">
        <v>2015</v>
      </c>
      <c r="BR3" s="121" t="s">
        <v>269</v>
      </c>
      <c r="BS3" s="121" t="s">
        <v>270</v>
      </c>
      <c r="BT3" s="121" t="s">
        <v>271</v>
      </c>
      <c r="BU3" s="121" t="s">
        <v>272</v>
      </c>
      <c r="BV3" s="369">
        <v>2016</v>
      </c>
      <c r="BW3" s="121" t="s">
        <v>273</v>
      </c>
      <c r="BX3" s="121" t="s">
        <v>274</v>
      </c>
      <c r="BY3" s="121" t="s">
        <v>275</v>
      </c>
      <c r="BZ3" s="121" t="s">
        <v>276</v>
      </c>
      <c r="CA3" s="369">
        <v>2017</v>
      </c>
      <c r="CB3" s="121" t="s">
        <v>327</v>
      </c>
      <c r="CC3" s="121" t="s">
        <v>328</v>
      </c>
      <c r="CD3" s="121" t="s">
        <v>329</v>
      </c>
      <c r="CE3" s="121" t="s">
        <v>330</v>
      </c>
      <c r="CF3" s="369">
        <v>2018</v>
      </c>
      <c r="CG3" s="121" t="s">
        <v>341</v>
      </c>
      <c r="CH3" s="121" t="s">
        <v>342</v>
      </c>
      <c r="CI3" s="121" t="s">
        <v>343</v>
      </c>
      <c r="CJ3" s="121"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543</v>
      </c>
      <c r="DN3" s="121" t="s">
        <v>544</v>
      </c>
      <c r="DO3" s="369" t="s">
        <v>363</v>
      </c>
      <c r="DP3" s="121" t="s">
        <v>461</v>
      </c>
      <c r="DQ3" s="121" t="s">
        <v>542</v>
      </c>
      <c r="DR3" s="121" t="s">
        <v>543</v>
      </c>
      <c r="DS3" s="121" t="s">
        <v>544</v>
      </c>
      <c r="DT3" s="369" t="s">
        <v>363</v>
      </c>
      <c r="DU3" s="369" t="s">
        <v>456</v>
      </c>
      <c r="DV3" s="369" t="s">
        <v>559</v>
      </c>
    </row>
    <row r="4" spans="2:126" ht="13.2">
      <c r="B4" s="122" t="s">
        <v>81</v>
      </c>
      <c r="C4" s="119">
        <v>35795</v>
      </c>
      <c r="D4" s="119">
        <v>36160</v>
      </c>
      <c r="E4" s="119">
        <v>36525</v>
      </c>
      <c r="F4" s="119">
        <v>36891</v>
      </c>
      <c r="G4" s="119">
        <v>37256</v>
      </c>
      <c r="H4" s="119">
        <v>37621</v>
      </c>
      <c r="I4" s="119">
        <v>37986</v>
      </c>
      <c r="J4" s="123">
        <v>38077</v>
      </c>
      <c r="K4" s="123">
        <v>38168</v>
      </c>
      <c r="L4" s="123">
        <v>38260</v>
      </c>
      <c r="M4" s="123">
        <v>38352</v>
      </c>
      <c r="N4" s="119">
        <v>38352</v>
      </c>
      <c r="O4" s="123">
        <v>38442</v>
      </c>
      <c r="P4" s="123">
        <v>38533</v>
      </c>
      <c r="Q4" s="123">
        <v>38625</v>
      </c>
      <c r="R4" s="123">
        <v>38717</v>
      </c>
      <c r="S4" s="119">
        <v>38717</v>
      </c>
      <c r="T4" s="123">
        <v>38807</v>
      </c>
      <c r="U4" s="123">
        <v>38898</v>
      </c>
      <c r="V4" s="123">
        <v>38990</v>
      </c>
      <c r="W4" s="123">
        <v>39082</v>
      </c>
      <c r="X4" s="119">
        <v>39082</v>
      </c>
      <c r="Y4" s="123">
        <v>39172</v>
      </c>
      <c r="Z4" s="123">
        <v>39263</v>
      </c>
      <c r="AA4" s="123">
        <v>39355</v>
      </c>
      <c r="AB4" s="123">
        <v>39447</v>
      </c>
      <c r="AC4" s="119">
        <v>39447</v>
      </c>
      <c r="AD4" s="123">
        <v>39538</v>
      </c>
      <c r="AE4" s="123">
        <v>39629</v>
      </c>
      <c r="AF4" s="123">
        <v>39721</v>
      </c>
      <c r="AG4" s="123">
        <v>39813</v>
      </c>
      <c r="AH4" s="119">
        <v>39813</v>
      </c>
      <c r="AI4" s="123">
        <v>39903</v>
      </c>
      <c r="AJ4" s="123">
        <v>39994</v>
      </c>
      <c r="AK4" s="123">
        <v>40086</v>
      </c>
      <c r="AL4" s="123">
        <v>40178</v>
      </c>
      <c r="AM4" s="119">
        <v>40178</v>
      </c>
      <c r="AN4" s="123">
        <v>40268</v>
      </c>
      <c r="AO4" s="123">
        <v>40359</v>
      </c>
      <c r="AP4" s="123">
        <v>40451</v>
      </c>
      <c r="AQ4" s="123">
        <v>40543</v>
      </c>
      <c r="AR4" s="119">
        <v>40543</v>
      </c>
      <c r="AS4" s="123">
        <v>40633</v>
      </c>
      <c r="AT4" s="123">
        <v>40724</v>
      </c>
      <c r="AU4" s="123">
        <v>40816</v>
      </c>
      <c r="AV4" s="123">
        <v>40908</v>
      </c>
      <c r="AW4" s="119">
        <v>40908</v>
      </c>
      <c r="AX4" s="123">
        <v>40999</v>
      </c>
      <c r="AY4" s="123">
        <v>41090</v>
      </c>
      <c r="AZ4" s="123">
        <v>41182</v>
      </c>
      <c r="BA4" s="123">
        <v>41274</v>
      </c>
      <c r="BB4" s="119">
        <v>41274</v>
      </c>
      <c r="BC4" s="123">
        <v>41364</v>
      </c>
      <c r="BD4" s="123">
        <v>41455</v>
      </c>
      <c r="BE4" s="123">
        <v>41547</v>
      </c>
      <c r="BF4" s="123">
        <v>41639</v>
      </c>
      <c r="BG4" s="119">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19">
        <v>42735</v>
      </c>
      <c r="BW4" s="123">
        <v>42825</v>
      </c>
      <c r="BX4" s="123">
        <v>42916</v>
      </c>
      <c r="BY4" s="123">
        <v>43008</v>
      </c>
      <c r="BZ4" s="123">
        <v>43100</v>
      </c>
      <c r="CA4" s="119">
        <v>43100</v>
      </c>
      <c r="CB4" s="123">
        <v>43190</v>
      </c>
      <c r="CC4" s="123">
        <v>43281</v>
      </c>
      <c r="CD4" s="123">
        <v>43373</v>
      </c>
      <c r="CE4" s="123">
        <v>43465</v>
      </c>
      <c r="CF4" s="119">
        <v>43465</v>
      </c>
      <c r="CG4" s="123">
        <v>43555</v>
      </c>
      <c r="CH4" s="123">
        <v>43646</v>
      </c>
      <c r="CI4" s="123">
        <v>43738</v>
      </c>
      <c r="CJ4" s="123">
        <v>43830</v>
      </c>
      <c r="CK4" s="119">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45747</v>
      </c>
      <c r="DQ4" s="123">
        <v>45838</v>
      </c>
      <c r="DR4" s="123">
        <v>45930</v>
      </c>
      <c r="DS4" s="123">
        <v>46022</v>
      </c>
      <c r="DT4" s="119">
        <v>46022</v>
      </c>
      <c r="DU4" s="119">
        <v>46752</v>
      </c>
      <c r="DV4" s="119">
        <v>47118</v>
      </c>
    </row>
    <row r="5" spans="2:126" s="131" customFormat="1">
      <c r="C5" s="135"/>
      <c r="D5" s="135"/>
      <c r="E5" s="135"/>
      <c r="F5" s="135"/>
      <c r="G5" s="135"/>
      <c r="H5" s="135"/>
      <c r="I5" s="135"/>
      <c r="N5" s="135"/>
      <c r="S5" s="135"/>
      <c r="X5" s="135"/>
      <c r="AC5" s="135"/>
      <c r="AH5" s="135"/>
      <c r="AM5" s="135"/>
      <c r="AR5" s="135"/>
      <c r="AW5" s="135"/>
      <c r="BB5" s="135"/>
      <c r="BG5" s="135"/>
      <c r="BL5" s="135"/>
      <c r="BQ5" s="135"/>
      <c r="BV5" s="135"/>
      <c r="CA5" s="135"/>
      <c r="CF5" s="135"/>
      <c r="CK5" s="135"/>
      <c r="CP5" s="135"/>
      <c r="CU5" s="135"/>
      <c r="CZ5" s="135"/>
      <c r="DE5" s="135"/>
      <c r="DJ5" s="135"/>
      <c r="DO5" s="135"/>
      <c r="DT5" s="135"/>
      <c r="DU5" s="135"/>
      <c r="DV5" s="135"/>
    </row>
    <row r="6" spans="2:126" s="15" customFormat="1" ht="12">
      <c r="B6" s="110" t="s">
        <v>43</v>
      </c>
      <c r="C6" s="16"/>
      <c r="D6" s="16"/>
      <c r="E6" s="16"/>
      <c r="F6" s="16"/>
      <c r="G6" s="16"/>
      <c r="H6" s="16"/>
      <c r="I6" s="16"/>
      <c r="N6" s="16"/>
      <c r="S6" s="16"/>
      <c r="X6" s="16"/>
      <c r="AC6" s="16"/>
      <c r="AH6" s="16"/>
      <c r="AM6" s="16"/>
      <c r="AR6" s="16"/>
      <c r="AW6" s="16"/>
      <c r="BB6" s="16"/>
      <c r="BE6" s="109"/>
      <c r="BG6" s="16"/>
      <c r="BL6" s="16"/>
      <c r="BQ6" s="16"/>
      <c r="BV6" s="16"/>
      <c r="CA6" s="16"/>
      <c r="CF6" s="16"/>
      <c r="CK6" s="16"/>
      <c r="CP6" s="16"/>
      <c r="CU6" s="16"/>
      <c r="CZ6" s="16"/>
      <c r="DE6" s="16"/>
      <c r="DJ6" s="16"/>
      <c r="DO6" s="16"/>
      <c r="DT6" s="16"/>
      <c r="DU6" s="16"/>
      <c r="DV6" s="16"/>
    </row>
    <row r="7" spans="2:126" s="15" customFormat="1">
      <c r="B7" s="101" t="s">
        <v>44</v>
      </c>
      <c r="C7" s="104">
        <f>data!C51</f>
        <v>0</v>
      </c>
      <c r="D7" s="104">
        <f>data!D51</f>
        <v>0</v>
      </c>
      <c r="E7" s="104">
        <f>data!E51</f>
        <v>0</v>
      </c>
      <c r="F7" s="104">
        <f>data!F51</f>
        <v>0</v>
      </c>
      <c r="G7" s="104">
        <f>data!G51</f>
        <v>0</v>
      </c>
      <c r="H7" s="104">
        <f>data!H51</f>
        <v>0</v>
      </c>
      <c r="I7" s="104">
        <f>data!I51</f>
        <v>0</v>
      </c>
      <c r="J7" s="105"/>
      <c r="K7" s="105"/>
      <c r="L7" s="105"/>
      <c r="M7" s="105"/>
      <c r="N7" s="104"/>
      <c r="O7" s="105"/>
      <c r="P7" s="105"/>
      <c r="Q7" s="105"/>
      <c r="R7" s="105"/>
      <c r="S7" s="104"/>
      <c r="T7" s="105"/>
      <c r="U7" s="105"/>
      <c r="V7" s="105"/>
      <c r="W7" s="105"/>
      <c r="X7" s="104"/>
      <c r="Y7" s="105"/>
      <c r="Z7" s="105"/>
      <c r="AA7" s="105"/>
      <c r="AB7" s="105"/>
      <c r="AC7" s="104"/>
      <c r="AD7" s="105"/>
      <c r="AE7" s="105"/>
      <c r="AF7" s="105"/>
      <c r="AG7" s="105"/>
      <c r="AH7" s="104"/>
      <c r="AI7" s="105"/>
      <c r="AJ7" s="105"/>
      <c r="AK7" s="105"/>
      <c r="AL7" s="105"/>
      <c r="AM7" s="104"/>
      <c r="AN7" s="148"/>
      <c r="AO7" s="148"/>
      <c r="AP7" s="148"/>
      <c r="AQ7" s="105"/>
      <c r="AR7" s="104"/>
      <c r="AS7" s="148"/>
      <c r="AT7" s="148"/>
      <c r="AU7" s="148"/>
      <c r="AV7" s="148"/>
      <c r="AW7" s="104"/>
      <c r="AX7" s="343"/>
      <c r="AY7" s="343"/>
      <c r="AZ7" s="343"/>
      <c r="BA7" s="343"/>
      <c r="BB7" s="104"/>
      <c r="BC7" s="343"/>
      <c r="BD7" s="343"/>
      <c r="BE7" s="343"/>
      <c r="BF7" s="343"/>
      <c r="BG7" s="104"/>
      <c r="BH7" s="343"/>
      <c r="BI7" s="343"/>
      <c r="BJ7" s="343"/>
      <c r="BK7" s="343"/>
      <c r="BL7" s="104"/>
      <c r="BM7" s="343"/>
      <c r="BN7" s="343"/>
      <c r="BO7" s="343"/>
      <c r="BP7" s="343"/>
      <c r="BQ7" s="104"/>
      <c r="BR7" s="149"/>
      <c r="BS7" s="343"/>
      <c r="BT7" s="343"/>
      <c r="BU7" s="343"/>
      <c r="BV7" s="104"/>
      <c r="BW7" s="343"/>
      <c r="BX7" s="343"/>
      <c r="BY7" s="343"/>
      <c r="BZ7" s="343"/>
      <c r="CA7" s="104">
        <f t="shared" ref="CA7:CA16" si="0">BZ7</f>
        <v>0</v>
      </c>
      <c r="CB7" s="343">
        <f>data!CB51</f>
        <v>0</v>
      </c>
      <c r="CC7" s="343">
        <f>data!CC51</f>
        <v>0</v>
      </c>
      <c r="CD7" s="343">
        <f>data!CD51</f>
        <v>0</v>
      </c>
      <c r="CE7" s="343">
        <f>data!CE51</f>
        <v>0</v>
      </c>
      <c r="CF7" s="104">
        <f t="shared" ref="CF7:CF16" si="1">CE7</f>
        <v>0</v>
      </c>
      <c r="CG7" s="343">
        <f>data!CG51</f>
        <v>0</v>
      </c>
      <c r="CH7" s="343">
        <f>data!CH51</f>
        <v>0</v>
      </c>
      <c r="CI7" s="343">
        <f>data!CI51</f>
        <v>0</v>
      </c>
      <c r="CJ7" s="343">
        <f>data!CJ51</f>
        <v>0</v>
      </c>
      <c r="CK7" s="425">
        <f t="shared" ref="CK7:CK16" si="2">CJ7</f>
        <v>0</v>
      </c>
      <c r="CL7" s="343">
        <f>data!CL51</f>
        <v>0</v>
      </c>
      <c r="CM7" s="343">
        <f>data!CM51</f>
        <v>0</v>
      </c>
      <c r="CN7" s="343">
        <f>data!CN51</f>
        <v>0</v>
      </c>
      <c r="CO7" s="343">
        <f>data!CO51</f>
        <v>36530</v>
      </c>
      <c r="CP7" s="425">
        <f t="shared" ref="CP7:CP13" si="3">CO7</f>
        <v>36530</v>
      </c>
      <c r="CQ7" s="343">
        <f>data!CQ51</f>
        <v>31783</v>
      </c>
      <c r="CR7" s="343">
        <f>data!CR51</f>
        <v>22460</v>
      </c>
      <c r="CS7" s="343">
        <f>data!CS51</f>
        <v>24955</v>
      </c>
      <c r="CT7" s="343">
        <f>data!CT51</f>
        <v>15770</v>
      </c>
      <c r="CU7" s="425">
        <f t="shared" ref="CU7:CU13" si="4">CT7</f>
        <v>15770</v>
      </c>
      <c r="CV7" s="343">
        <f>data!CV51</f>
        <v>12842</v>
      </c>
      <c r="CW7" s="343">
        <f>data!CW51</f>
        <v>13190</v>
      </c>
      <c r="CX7" s="343">
        <f>data!CX51</f>
        <v>12595</v>
      </c>
      <c r="CY7" s="343">
        <f>data!CY51</f>
        <v>15810</v>
      </c>
      <c r="CZ7" s="425">
        <f t="shared" ref="CZ7:CZ13" si="5">CY7</f>
        <v>15810</v>
      </c>
      <c r="DA7" s="343">
        <f>data!DA51</f>
        <v>12001</v>
      </c>
      <c r="DB7" s="343">
        <f>data!DB51</f>
        <v>12766</v>
      </c>
      <c r="DC7" s="343">
        <f>data!DC51</f>
        <v>13127</v>
      </c>
      <c r="DD7" s="343">
        <f>data!DD51</f>
        <v>16967</v>
      </c>
      <c r="DE7" s="425">
        <f t="shared" ref="DE7:DE13" si="6">DD7</f>
        <v>16967</v>
      </c>
      <c r="DF7" s="343">
        <f>data!DF51</f>
        <v>18447</v>
      </c>
      <c r="DG7" s="343">
        <f>data!DG51</f>
        <v>12107</v>
      </c>
      <c r="DH7" s="343">
        <f>data!DH51</f>
        <v>13724</v>
      </c>
      <c r="DI7" s="343">
        <f>data!DI51</f>
        <v>13619</v>
      </c>
      <c r="DJ7" s="425">
        <f t="shared" ref="DJ7:DJ9" si="7">DI7</f>
        <v>13619</v>
      </c>
      <c r="DK7" s="343">
        <f>data!DK51</f>
        <v>12405</v>
      </c>
      <c r="DL7" s="343">
        <f>data!DL51</f>
        <v>10861</v>
      </c>
      <c r="DM7" s="149">
        <f>CFLO!DM47+DL7</f>
        <v>10605.911820680001</v>
      </c>
      <c r="DN7" s="149">
        <f>CFLO!DN47+DM7</f>
        <v>10106.183641360001</v>
      </c>
      <c r="DO7" s="425">
        <f t="shared" ref="DO7:DO9" si="8">DN7</f>
        <v>10106.183641360001</v>
      </c>
      <c r="DP7" s="149">
        <f>CFLO!DP47+DO7</f>
        <v>9426.644235142001</v>
      </c>
      <c r="DQ7" s="149">
        <f>CFLO!DQ47+DP7</f>
        <v>8140.0028289240008</v>
      </c>
      <c r="DR7" s="149">
        <f>CFLO!DR47+DQ7</f>
        <v>7806.2594227060008</v>
      </c>
      <c r="DS7" s="149">
        <f>CFLO!DS47+DR7</f>
        <v>8725.2070164880006</v>
      </c>
      <c r="DT7" s="425">
        <f t="shared" ref="DT7:DT9" si="9">DS7</f>
        <v>8725.2070164880006</v>
      </c>
      <c r="DU7" s="151">
        <f>CFLO!DU47+DT7</f>
        <v>7863.0762978852017</v>
      </c>
      <c r="DV7" s="151">
        <f>CFLO!DV47+DU7</f>
        <v>7454.8072914919831</v>
      </c>
    </row>
    <row r="8" spans="2:126" s="15" customFormat="1">
      <c r="B8" s="101" t="s">
        <v>476</v>
      </c>
      <c r="C8" s="16" t="e">
        <f>data!#REF!</f>
        <v>#REF!</v>
      </c>
      <c r="D8" s="16" t="e">
        <f>data!#REF!</f>
        <v>#REF!</v>
      </c>
      <c r="E8" s="16" t="e">
        <f>data!#REF!</f>
        <v>#REF!</v>
      </c>
      <c r="F8" s="16" t="e">
        <f>data!#REF!</f>
        <v>#REF!</v>
      </c>
      <c r="G8" s="16" t="e">
        <f>data!#REF!</f>
        <v>#REF!</v>
      </c>
      <c r="H8" s="16" t="e">
        <f>data!#REF!</f>
        <v>#REF!</v>
      </c>
      <c r="I8" s="16" t="e">
        <f>data!#REF!</f>
        <v>#REF!</v>
      </c>
      <c r="N8" s="16"/>
      <c r="S8" s="16"/>
      <c r="X8" s="16"/>
      <c r="AC8" s="16"/>
      <c r="AH8" s="16"/>
      <c r="AM8" s="16"/>
      <c r="AN8" s="131"/>
      <c r="AO8" s="131"/>
      <c r="AP8" s="131"/>
      <c r="AR8" s="16"/>
      <c r="AS8" s="131"/>
      <c r="AT8" s="131"/>
      <c r="AU8" s="131"/>
      <c r="AV8" s="131"/>
      <c r="AW8" s="16"/>
      <c r="AX8" s="221"/>
      <c r="AY8" s="221"/>
      <c r="AZ8" s="221"/>
      <c r="BA8" s="221"/>
      <c r="BB8" s="16"/>
      <c r="BC8" s="221"/>
      <c r="BD8" s="221"/>
      <c r="BE8" s="221"/>
      <c r="BF8" s="221"/>
      <c r="BG8" s="16"/>
      <c r="BH8" s="221"/>
      <c r="BI8" s="221"/>
      <c r="BJ8" s="221"/>
      <c r="BK8" s="221"/>
      <c r="BL8" s="16"/>
      <c r="BM8" s="221"/>
      <c r="BN8" s="221"/>
      <c r="BO8" s="221"/>
      <c r="BP8" s="221"/>
      <c r="BQ8" s="16"/>
      <c r="BR8" s="221"/>
      <c r="BS8" s="221"/>
      <c r="BT8" s="221"/>
      <c r="BU8" s="221"/>
      <c r="BV8" s="16"/>
      <c r="BW8" s="221"/>
      <c r="BX8" s="221"/>
      <c r="BY8" s="221"/>
      <c r="BZ8" s="221"/>
      <c r="CA8" s="16">
        <f t="shared" si="0"/>
        <v>0</v>
      </c>
      <c r="CB8" s="221"/>
      <c r="CC8" s="221"/>
      <c r="CD8" s="221"/>
      <c r="CE8" s="221"/>
      <c r="CF8" s="16"/>
      <c r="CG8" s="221"/>
      <c r="CH8" s="221"/>
      <c r="CI8" s="221"/>
      <c r="CJ8" s="221"/>
      <c r="CK8" s="222"/>
      <c r="CL8" s="221"/>
      <c r="CM8" s="221"/>
      <c r="CN8" s="221"/>
      <c r="CO8" s="221">
        <f>data!CO52</f>
        <v>7319</v>
      </c>
      <c r="CP8" s="222">
        <f t="shared" si="3"/>
        <v>7319</v>
      </c>
      <c r="CQ8" s="221">
        <f>data!CQ52</f>
        <v>6741</v>
      </c>
      <c r="CR8" s="221">
        <f>data!CR52</f>
        <v>6134</v>
      </c>
      <c r="CS8" s="221">
        <f>data!CS52</f>
        <v>5300</v>
      </c>
      <c r="CT8" s="221">
        <f>data!CT52</f>
        <v>12297</v>
      </c>
      <c r="CU8" s="222">
        <f t="shared" si="4"/>
        <v>12297</v>
      </c>
      <c r="CV8" s="221">
        <f>data!CV52</f>
        <v>10779</v>
      </c>
      <c r="CW8" s="221">
        <f>data!CW52</f>
        <v>6745</v>
      </c>
      <c r="CX8" s="221">
        <f>data!CX52</f>
        <v>6297</v>
      </c>
      <c r="CY8" s="221">
        <f>data!CY52</f>
        <v>7609</v>
      </c>
      <c r="CZ8" s="222">
        <f t="shared" si="5"/>
        <v>7609</v>
      </c>
      <c r="DA8" s="221">
        <f>data!DA52</f>
        <v>12814</v>
      </c>
      <c r="DB8" s="221">
        <f>data!DB52</f>
        <v>10885</v>
      </c>
      <c r="DC8" s="221">
        <f>data!DC52</f>
        <v>7054</v>
      </c>
      <c r="DD8" s="221">
        <f>data!DD52</f>
        <v>5706</v>
      </c>
      <c r="DE8" s="222">
        <f t="shared" si="6"/>
        <v>5706</v>
      </c>
      <c r="DF8" s="221">
        <f>data!DF52</f>
        <v>3737</v>
      </c>
      <c r="DG8" s="221">
        <f>data!DG52</f>
        <v>3338</v>
      </c>
      <c r="DH8" s="221">
        <f>data!DH52</f>
        <v>2232</v>
      </c>
      <c r="DI8" s="221">
        <f>data!DI52</f>
        <v>982</v>
      </c>
      <c r="DJ8" s="222">
        <f t="shared" si="7"/>
        <v>982</v>
      </c>
      <c r="DK8" s="221">
        <f>data!DK52</f>
        <v>1000</v>
      </c>
      <c r="DL8" s="221">
        <f>data!DL52</f>
        <v>998</v>
      </c>
      <c r="DM8" s="246">
        <f t="shared" ref="DM8" si="10">DL8</f>
        <v>998</v>
      </c>
      <c r="DN8" s="246">
        <f t="shared" ref="DN8" si="11">DM8</f>
        <v>998</v>
      </c>
      <c r="DO8" s="222">
        <f t="shared" si="8"/>
        <v>998</v>
      </c>
      <c r="DP8" s="246">
        <f t="shared" ref="DP8:DQ8" si="12">DO8</f>
        <v>998</v>
      </c>
      <c r="DQ8" s="246">
        <f t="shared" si="12"/>
        <v>998</v>
      </c>
      <c r="DR8" s="246">
        <f t="shared" ref="DR8" si="13">DQ8</f>
        <v>998</v>
      </c>
      <c r="DS8" s="246">
        <f t="shared" ref="DS8" si="14">DR8</f>
        <v>998</v>
      </c>
      <c r="DT8" s="222">
        <f t="shared" si="9"/>
        <v>998</v>
      </c>
      <c r="DU8" s="247">
        <f t="shared" ref="DU8:DV8" si="15">DT8</f>
        <v>998</v>
      </c>
      <c r="DV8" s="247">
        <f t="shared" si="15"/>
        <v>998</v>
      </c>
    </row>
    <row r="9" spans="2:126" s="15" customFormat="1">
      <c r="B9" s="101" t="s">
        <v>45</v>
      </c>
      <c r="C9" s="16">
        <f>data!C53</f>
        <v>0</v>
      </c>
      <c r="D9" s="16">
        <f>data!D53</f>
        <v>0</v>
      </c>
      <c r="E9" s="16">
        <f>data!E53</f>
        <v>0</v>
      </c>
      <c r="F9" s="16">
        <f>data!F53</f>
        <v>0</v>
      </c>
      <c r="G9" s="16">
        <f>data!G53</f>
        <v>0</v>
      </c>
      <c r="H9" s="16">
        <f>data!H53</f>
        <v>0</v>
      </c>
      <c r="I9" s="16">
        <f>data!I53</f>
        <v>0</v>
      </c>
      <c r="N9" s="16"/>
      <c r="S9" s="16"/>
      <c r="X9" s="16"/>
      <c r="AC9" s="16"/>
      <c r="AH9" s="16"/>
      <c r="AM9" s="16"/>
      <c r="AN9" s="131"/>
      <c r="AO9" s="131"/>
      <c r="AP9" s="131"/>
      <c r="AR9" s="16"/>
      <c r="AS9" s="131"/>
      <c r="AT9" s="131"/>
      <c r="AU9" s="131"/>
      <c r="AV9" s="131"/>
      <c r="AW9" s="16"/>
      <c r="AX9" s="221"/>
      <c r="AY9" s="221"/>
      <c r="AZ9" s="221"/>
      <c r="BA9" s="221"/>
      <c r="BB9" s="16"/>
      <c r="BC9" s="221"/>
      <c r="BD9" s="221"/>
      <c r="BE9" s="221"/>
      <c r="BF9" s="221"/>
      <c r="BG9" s="16"/>
      <c r="BH9" s="221"/>
      <c r="BI9" s="221"/>
      <c r="BJ9" s="221"/>
      <c r="BK9" s="221"/>
      <c r="BL9" s="16"/>
      <c r="BM9" s="221"/>
      <c r="BN9" s="221"/>
      <c r="BO9" s="221"/>
      <c r="BP9" s="221"/>
      <c r="BQ9" s="16"/>
      <c r="BR9" s="248"/>
      <c r="BS9" s="221"/>
      <c r="BT9" s="221"/>
      <c r="BU9" s="221"/>
      <c r="BV9" s="16"/>
      <c r="BW9" s="221"/>
      <c r="BX9" s="221"/>
      <c r="BY9" s="221"/>
      <c r="BZ9" s="221"/>
      <c r="CA9" s="16">
        <f t="shared" si="0"/>
        <v>0</v>
      </c>
      <c r="CB9" s="221">
        <f>data!CB53</f>
        <v>0</v>
      </c>
      <c r="CC9" s="221">
        <f>data!CC53</f>
        <v>0</v>
      </c>
      <c r="CD9" s="221">
        <f>data!CD53</f>
        <v>0</v>
      </c>
      <c r="CE9" s="221">
        <f>data!CE53</f>
        <v>0</v>
      </c>
      <c r="CF9" s="16">
        <f t="shared" si="1"/>
        <v>0</v>
      </c>
      <c r="CG9" s="221">
        <f>data!CG53</f>
        <v>0</v>
      </c>
      <c r="CH9" s="221">
        <f>data!CH53</f>
        <v>0</v>
      </c>
      <c r="CI9" s="221">
        <f>data!CI53</f>
        <v>0</v>
      </c>
      <c r="CJ9" s="221">
        <f>data!CJ53</f>
        <v>0</v>
      </c>
      <c r="CK9" s="222">
        <f t="shared" si="2"/>
        <v>0</v>
      </c>
      <c r="CL9" s="221">
        <f>data!CL53</f>
        <v>0</v>
      </c>
      <c r="CM9" s="221">
        <f>data!CM53</f>
        <v>0</v>
      </c>
      <c r="CN9" s="221">
        <f>data!CN53</f>
        <v>0</v>
      </c>
      <c r="CO9" s="221">
        <f>data!CO53+data!CO54</f>
        <v>17017</v>
      </c>
      <c r="CP9" s="222">
        <f t="shared" si="3"/>
        <v>17017</v>
      </c>
      <c r="CQ9" s="221">
        <f>data!CQ53+data!CQ54</f>
        <v>15687</v>
      </c>
      <c r="CR9" s="221">
        <f>data!CR53+data!CR54</f>
        <v>15506</v>
      </c>
      <c r="CS9" s="221">
        <f>data!CS53+data!CS54</f>
        <v>15145</v>
      </c>
      <c r="CT9" s="221">
        <f>data!CT53+data!CT54</f>
        <v>15620</v>
      </c>
      <c r="CU9" s="222">
        <f t="shared" si="4"/>
        <v>15620</v>
      </c>
      <c r="CV9" s="221">
        <f>data!CV53+data!CV54</f>
        <v>16050</v>
      </c>
      <c r="CW9" s="221">
        <f>data!CW53+data!CW54</f>
        <v>16283</v>
      </c>
      <c r="CX9" s="221">
        <f>data!CX53+data!CX54</f>
        <v>17197</v>
      </c>
      <c r="CY9" s="221">
        <f>data!CY53+data!CY54</f>
        <v>14831</v>
      </c>
      <c r="CZ9" s="222">
        <f t="shared" si="5"/>
        <v>14831</v>
      </c>
      <c r="DA9" s="221">
        <f>data!DA53+data!DA54</f>
        <v>14212</v>
      </c>
      <c r="DB9" s="221">
        <f>data!DB53+data!DB54</f>
        <v>14767</v>
      </c>
      <c r="DC9" s="221">
        <f>data!DC53+data!DC54</f>
        <v>14546</v>
      </c>
      <c r="DD9" s="221">
        <f>data!DD53+data!DD54</f>
        <v>15466</v>
      </c>
      <c r="DE9" s="222">
        <f t="shared" si="6"/>
        <v>15466</v>
      </c>
      <c r="DF9" s="221">
        <f>data!DF53+data!DF54</f>
        <v>15100</v>
      </c>
      <c r="DG9" s="221">
        <f>data!DG53+data!DG54</f>
        <v>8370</v>
      </c>
      <c r="DH9" s="221">
        <f>data!DH53+data!DH54</f>
        <v>8936</v>
      </c>
      <c r="DI9" s="221">
        <f>data!DI53+data!DI54</f>
        <v>9327</v>
      </c>
      <c r="DJ9" s="222">
        <f t="shared" si="7"/>
        <v>9327</v>
      </c>
      <c r="DK9" s="221">
        <f>data!DK53+data!DK54</f>
        <v>9653</v>
      </c>
      <c r="DL9" s="221">
        <f>data!DL53+data!DL54</f>
        <v>10512</v>
      </c>
      <c r="DM9" s="248">
        <f>IS!DM9*DM72/90</f>
        <v>8388.2166666666672</v>
      </c>
      <c r="DN9" s="248">
        <f>IS!DN9*DN72/90</f>
        <v>8837.9083333333328</v>
      </c>
      <c r="DO9" s="222">
        <f t="shared" si="8"/>
        <v>8837.9083333333328</v>
      </c>
      <c r="DP9" s="248">
        <f>IS!DP9*DP72/90</f>
        <v>8536.1499999999978</v>
      </c>
      <c r="DQ9" s="248">
        <f>IS!DQ9*DQ72/90</f>
        <v>9562.2916666666661</v>
      </c>
      <c r="DR9" s="248">
        <f>IS!DR9*DR72/90</f>
        <v>9466.8921666666683</v>
      </c>
      <c r="DS9" s="248">
        <f>IS!DS9*DS72/90</f>
        <v>10205.20839</v>
      </c>
      <c r="DT9" s="222">
        <f t="shared" si="9"/>
        <v>10205.20839</v>
      </c>
      <c r="DU9" s="152">
        <f>IS!DU9*DU72/365</f>
        <v>10109.815992761916</v>
      </c>
      <c r="DV9" s="152">
        <f>IS!DV9*DV72/365</f>
        <v>10806.723674140681</v>
      </c>
    </row>
    <row r="10" spans="2:126" s="15" customFormat="1">
      <c r="B10" s="101" t="s">
        <v>46</v>
      </c>
      <c r="C10" s="16">
        <f>data!C55</f>
        <v>0</v>
      </c>
      <c r="D10" s="16">
        <f>data!D55</f>
        <v>0</v>
      </c>
      <c r="E10" s="16">
        <f>data!E55</f>
        <v>0</v>
      </c>
      <c r="F10" s="16">
        <f>data!F55</f>
        <v>0</v>
      </c>
      <c r="G10" s="16">
        <f>data!G55</f>
        <v>0</v>
      </c>
      <c r="H10" s="16">
        <f>data!H55</f>
        <v>0</v>
      </c>
      <c r="I10" s="16">
        <f>data!I55</f>
        <v>0</v>
      </c>
      <c r="N10" s="16"/>
      <c r="S10" s="16"/>
      <c r="X10" s="16"/>
      <c r="AC10" s="16"/>
      <c r="AH10" s="16"/>
      <c r="AM10" s="16"/>
      <c r="AN10" s="131"/>
      <c r="AO10" s="131"/>
      <c r="AP10" s="131"/>
      <c r="AR10" s="16"/>
      <c r="AS10" s="131"/>
      <c r="AT10" s="131"/>
      <c r="AU10" s="131"/>
      <c r="AV10" s="131"/>
      <c r="AW10" s="16"/>
      <c r="AX10" s="221"/>
      <c r="AY10" s="221"/>
      <c r="AZ10" s="221"/>
      <c r="BA10" s="221"/>
      <c r="BB10" s="16"/>
      <c r="BC10" s="221"/>
      <c r="BD10" s="221"/>
      <c r="BE10" s="221"/>
      <c r="BF10" s="221"/>
      <c r="BG10" s="16"/>
      <c r="BH10" s="221"/>
      <c r="BI10" s="221"/>
      <c r="BJ10" s="221"/>
      <c r="BK10" s="221"/>
      <c r="BL10" s="16"/>
      <c r="BM10" s="221"/>
      <c r="BN10" s="221"/>
      <c r="BO10" s="221"/>
      <c r="BP10" s="221"/>
      <c r="BQ10" s="16"/>
      <c r="BR10" s="248"/>
      <c r="BS10" s="221"/>
      <c r="BT10" s="221"/>
      <c r="BU10" s="221"/>
      <c r="BV10" s="16"/>
      <c r="BW10" s="221"/>
      <c r="BX10" s="221"/>
      <c r="BY10" s="221"/>
      <c r="BZ10" s="221"/>
      <c r="CA10" s="16">
        <f>BZ10</f>
        <v>0</v>
      </c>
      <c r="CB10" s="221">
        <f>data!CB55</f>
        <v>0</v>
      </c>
      <c r="CC10" s="221">
        <f>data!CC55</f>
        <v>0</v>
      </c>
      <c r="CD10" s="221">
        <f>data!CD55</f>
        <v>0</v>
      </c>
      <c r="CE10" s="221">
        <f>data!CE55</f>
        <v>0</v>
      </c>
      <c r="CF10" s="16">
        <f>CE10</f>
        <v>0</v>
      </c>
      <c r="CG10" s="221">
        <f>data!CG55</f>
        <v>0</v>
      </c>
      <c r="CH10" s="221">
        <f>data!CH55</f>
        <v>0</v>
      </c>
      <c r="CI10" s="221">
        <f>data!CI55</f>
        <v>0</v>
      </c>
      <c r="CJ10" s="221">
        <f>data!CJ55</f>
        <v>0</v>
      </c>
      <c r="CK10" s="222">
        <f>CJ10</f>
        <v>0</v>
      </c>
      <c r="CL10" s="221">
        <f>data!CL55</f>
        <v>0</v>
      </c>
      <c r="CM10" s="221">
        <f>data!CM55</f>
        <v>0</v>
      </c>
      <c r="CN10" s="221">
        <f>data!CN55</f>
        <v>0</v>
      </c>
      <c r="CO10" s="221">
        <f>data!CO55</f>
        <v>15890</v>
      </c>
      <c r="CP10" s="222">
        <f t="shared" si="3"/>
        <v>15890</v>
      </c>
      <c r="CQ10" s="221">
        <f>data!CQ55</f>
        <v>16530</v>
      </c>
      <c r="CR10" s="221">
        <f>data!CR55</f>
        <v>17016</v>
      </c>
      <c r="CS10" s="221">
        <f>data!CS55</f>
        <v>16790</v>
      </c>
      <c r="CT10" s="221">
        <f>data!CT55</f>
        <v>15847</v>
      </c>
      <c r="CU10" s="222">
        <f t="shared" si="4"/>
        <v>15847</v>
      </c>
      <c r="CV10" s="221">
        <f>data!CV55</f>
        <v>16570</v>
      </c>
      <c r="CW10" s="221">
        <f>data!CW55</f>
        <v>17553</v>
      </c>
      <c r="CX10" s="221">
        <f>data!CX55</f>
        <v>17536</v>
      </c>
      <c r="CY10" s="221">
        <f>data!CY55</f>
        <v>14891</v>
      </c>
      <c r="CZ10" s="222">
        <f t="shared" si="5"/>
        <v>14891</v>
      </c>
      <c r="DA10" s="221">
        <f>data!DA55</f>
        <v>16198</v>
      </c>
      <c r="DB10" s="221">
        <f>data!DB55</f>
        <v>16789</v>
      </c>
      <c r="DC10" s="221">
        <f>data!DC55</f>
        <v>17020</v>
      </c>
      <c r="DD10" s="221">
        <f>data!DD55</f>
        <v>16528</v>
      </c>
      <c r="DE10" s="222">
        <f t="shared" si="6"/>
        <v>16528</v>
      </c>
      <c r="DF10" s="221">
        <f>data!DF55</f>
        <v>17603</v>
      </c>
      <c r="DG10" s="221">
        <f>data!DG55</f>
        <v>9469</v>
      </c>
      <c r="DH10" s="221">
        <f>data!DH55</f>
        <v>9718</v>
      </c>
      <c r="DI10" s="221">
        <f>data!DI55</f>
        <v>9763</v>
      </c>
      <c r="DJ10" s="222">
        <f>DI10</f>
        <v>9763</v>
      </c>
      <c r="DK10" s="221">
        <f>data!DK55</f>
        <v>10504</v>
      </c>
      <c r="DL10" s="221">
        <f>data!DL55</f>
        <v>11297</v>
      </c>
      <c r="DM10" s="248">
        <f>-IS!DM10*BS!DM76/90</f>
        <v>8059.4574196296307</v>
      </c>
      <c r="DN10" s="248">
        <f>-IS!DN10*BS!DN76/90</f>
        <v>8356.2445027777776</v>
      </c>
      <c r="DO10" s="222">
        <f>DN10</f>
        <v>8356.2445027777776</v>
      </c>
      <c r="DP10" s="248">
        <f>-IS!DP10*BS!DP76/90</f>
        <v>7654.4507699999995</v>
      </c>
      <c r="DQ10" s="248">
        <f>-IS!DQ10*BS!DQ76/90</f>
        <v>8668.0240555555556</v>
      </c>
      <c r="DR10" s="248">
        <f>-IS!DR10*BS!DR76/90</f>
        <v>8979.1550747111123</v>
      </c>
      <c r="DS10" s="248">
        <f>-IS!DS10*BS!DS76/90</f>
        <v>9330.4809440230365</v>
      </c>
      <c r="DT10" s="222">
        <f>DS10</f>
        <v>9330.4809440230365</v>
      </c>
      <c r="DU10" s="152">
        <f>-IS!DU10*BS!DU76/365</f>
        <v>9359.1933333930428</v>
      </c>
      <c r="DV10" s="152">
        <f>-IS!DV10*BS!DV76/365</f>
        <v>9968.3550602823452</v>
      </c>
    </row>
    <row r="11" spans="2:126" s="427" customFormat="1">
      <c r="B11" s="439" t="s">
        <v>340</v>
      </c>
      <c r="C11" s="440"/>
      <c r="D11" s="440"/>
      <c r="E11" s="440"/>
      <c r="F11" s="440"/>
      <c r="G11" s="440"/>
      <c r="H11" s="440"/>
      <c r="I11" s="440"/>
      <c r="N11" s="440"/>
      <c r="S11" s="440"/>
      <c r="X11" s="440"/>
      <c r="AC11" s="440"/>
      <c r="AH11" s="440"/>
      <c r="AM11" s="440"/>
      <c r="AN11" s="417"/>
      <c r="AO11" s="417"/>
      <c r="AP11" s="417"/>
      <c r="AR11" s="440"/>
      <c r="AS11" s="417"/>
      <c r="AT11" s="417"/>
      <c r="AU11" s="417"/>
      <c r="AV11" s="417"/>
      <c r="AW11" s="440"/>
      <c r="AX11" s="394"/>
      <c r="AY11" s="394"/>
      <c r="AZ11" s="394"/>
      <c r="BA11" s="394"/>
      <c r="BB11" s="440"/>
      <c r="BC11" s="394"/>
      <c r="BD11" s="394"/>
      <c r="BE11" s="394"/>
      <c r="BF11" s="394"/>
      <c r="BG11" s="440"/>
      <c r="BH11" s="394"/>
      <c r="BI11" s="394"/>
      <c r="BJ11" s="394"/>
      <c r="BK11" s="394"/>
      <c r="BL11" s="440"/>
      <c r="BM11" s="394"/>
      <c r="BN11" s="394"/>
      <c r="BO11" s="394"/>
      <c r="BP11" s="394"/>
      <c r="BQ11" s="440"/>
      <c r="BR11" s="418"/>
      <c r="BS11" s="394"/>
      <c r="BT11" s="394"/>
      <c r="BU11" s="394"/>
      <c r="BV11" s="440"/>
      <c r="BW11" s="394"/>
      <c r="BX11" s="394"/>
      <c r="BY11" s="394"/>
      <c r="BZ11" s="394"/>
      <c r="CA11" s="440">
        <v>0</v>
      </c>
      <c r="CB11" s="394"/>
      <c r="CC11" s="394"/>
      <c r="CD11" s="394"/>
      <c r="CE11" s="394"/>
      <c r="CF11" s="440"/>
      <c r="CG11" s="394"/>
      <c r="CH11" s="394"/>
      <c r="CI11" s="394"/>
      <c r="CJ11" s="394"/>
      <c r="CK11" s="465"/>
      <c r="CL11" s="394"/>
      <c r="CM11" s="394"/>
      <c r="CN11" s="394"/>
      <c r="CO11" s="394">
        <f>data!CO56</f>
        <v>5764</v>
      </c>
      <c r="CP11" s="465">
        <f t="shared" si="3"/>
        <v>5764</v>
      </c>
      <c r="CQ11" s="394">
        <f>data!CQ56</f>
        <v>5821</v>
      </c>
      <c r="CR11" s="394">
        <f>data!CR56</f>
        <v>5431</v>
      </c>
      <c r="CS11" s="394">
        <f>data!CS56</f>
        <v>5238</v>
      </c>
      <c r="CT11" s="394">
        <f>data!CT56</f>
        <v>4881</v>
      </c>
      <c r="CU11" s="465">
        <f t="shared" si="4"/>
        <v>4881</v>
      </c>
      <c r="CV11" s="394">
        <f>data!CV56</f>
        <v>4246</v>
      </c>
      <c r="CW11" s="394">
        <f>data!CW56</f>
        <v>4241</v>
      </c>
      <c r="CX11" s="394">
        <f>data!CX56</f>
        <v>3701</v>
      </c>
      <c r="CY11" s="394">
        <f>data!CY56</f>
        <v>2468</v>
      </c>
      <c r="CZ11" s="465">
        <f t="shared" si="5"/>
        <v>2468</v>
      </c>
      <c r="DA11" s="394">
        <f>data!DA56</f>
        <v>2244</v>
      </c>
      <c r="DB11" s="394">
        <f>data!DB56</f>
        <v>2037</v>
      </c>
      <c r="DC11" s="394">
        <f>data!DC56</f>
        <v>1875</v>
      </c>
      <c r="DD11" s="394">
        <f>data!DD56</f>
        <v>1500</v>
      </c>
      <c r="DE11" s="465">
        <f t="shared" si="6"/>
        <v>1500</v>
      </c>
      <c r="DF11" s="394">
        <f>data!DF56</f>
        <v>1547</v>
      </c>
      <c r="DG11" s="394">
        <f>data!DG56</f>
        <v>2719</v>
      </c>
      <c r="DH11" s="394">
        <f>data!DH56</f>
        <v>2884</v>
      </c>
      <c r="DI11" s="394">
        <f>data!DI56</f>
        <v>2982</v>
      </c>
      <c r="DJ11" s="465">
        <f>DI11</f>
        <v>2982</v>
      </c>
      <c r="DK11" s="394">
        <f>data!DK56</f>
        <v>2940</v>
      </c>
      <c r="DL11" s="394">
        <f>data!DL56</f>
        <v>3059</v>
      </c>
      <c r="DM11" s="248">
        <f>IS!DM9*DM73/90</f>
        <v>2236.8577777777778</v>
      </c>
      <c r="DN11" s="248">
        <f>IS!DN9*DN73/90</f>
        <v>2356.7755555555555</v>
      </c>
      <c r="DO11" s="465">
        <f>DN11</f>
        <v>2356.7755555555555</v>
      </c>
      <c r="DP11" s="248">
        <f>IS!DP9*DP73/90</f>
        <v>2276.3066666666664</v>
      </c>
      <c r="DQ11" s="248">
        <f>IS!DQ9*DQ73/90</f>
        <v>2549.9444444444443</v>
      </c>
      <c r="DR11" s="248">
        <f>IS!DR9*DR73/90</f>
        <v>2524.5045777777782</v>
      </c>
      <c r="DS11" s="248">
        <f>IS!DS9*DS73/90</f>
        <v>2721.3889039999999</v>
      </c>
      <c r="DT11" s="465">
        <f>DS11</f>
        <v>2721.3889039999999</v>
      </c>
      <c r="DU11" s="152">
        <f>IS!DU9*DU73/365</f>
        <v>2021.9631985523831</v>
      </c>
      <c r="DV11" s="152">
        <f>IS!DV9*DV73/365</f>
        <v>2161.3447348281361</v>
      </c>
    </row>
    <row r="12" spans="2:126" s="15" customFormat="1">
      <c r="B12" s="101" t="s">
        <v>48</v>
      </c>
      <c r="C12" s="215">
        <f>data!C58</f>
        <v>0</v>
      </c>
      <c r="D12" s="215">
        <f>data!D58</f>
        <v>0</v>
      </c>
      <c r="E12" s="215">
        <f>data!E58</f>
        <v>0</v>
      </c>
      <c r="F12" s="215">
        <f>data!F58</f>
        <v>0</v>
      </c>
      <c r="G12" s="215">
        <f>data!G58</f>
        <v>0</v>
      </c>
      <c r="H12" s="215">
        <f>data!H58</f>
        <v>0</v>
      </c>
      <c r="I12" s="215">
        <f>data!I58</f>
        <v>0</v>
      </c>
      <c r="J12" s="191"/>
      <c r="K12" s="191"/>
      <c r="L12" s="191"/>
      <c r="M12" s="191"/>
      <c r="N12" s="215"/>
      <c r="O12" s="191"/>
      <c r="P12" s="191"/>
      <c r="Q12" s="191"/>
      <c r="R12" s="191"/>
      <c r="S12" s="215"/>
      <c r="T12" s="191"/>
      <c r="U12" s="191"/>
      <c r="V12" s="191"/>
      <c r="W12" s="191"/>
      <c r="X12" s="215"/>
      <c r="Y12" s="191"/>
      <c r="Z12" s="191"/>
      <c r="AA12" s="191"/>
      <c r="AB12" s="191"/>
      <c r="AC12" s="215"/>
      <c r="AD12" s="191"/>
      <c r="AE12" s="191"/>
      <c r="AF12" s="191"/>
      <c r="AG12" s="191"/>
      <c r="AH12" s="215"/>
      <c r="AI12" s="191"/>
      <c r="AJ12" s="191"/>
      <c r="AK12" s="191"/>
      <c r="AL12" s="191"/>
      <c r="AM12" s="215"/>
      <c r="AN12" s="191"/>
      <c r="AO12" s="191"/>
      <c r="AP12" s="191"/>
      <c r="AQ12" s="191"/>
      <c r="AR12" s="215"/>
      <c r="AS12" s="191"/>
      <c r="AT12" s="191"/>
      <c r="AU12" s="191"/>
      <c r="AV12" s="191"/>
      <c r="AW12" s="215"/>
      <c r="AX12" s="191"/>
      <c r="AY12" s="191"/>
      <c r="AZ12" s="191"/>
      <c r="BA12" s="191"/>
      <c r="BB12" s="215"/>
      <c r="BC12" s="191"/>
      <c r="BD12" s="191"/>
      <c r="BE12" s="191"/>
      <c r="BF12" s="191"/>
      <c r="BG12" s="215"/>
      <c r="BH12" s="191"/>
      <c r="BI12" s="191"/>
      <c r="BJ12" s="191"/>
      <c r="BK12" s="191"/>
      <c r="BL12" s="215"/>
      <c r="BM12" s="191"/>
      <c r="BN12" s="191"/>
      <c r="BO12" s="191"/>
      <c r="BP12" s="191"/>
      <c r="BQ12" s="215"/>
      <c r="BR12" s="191"/>
      <c r="BS12" s="191"/>
      <c r="BT12" s="191"/>
      <c r="BU12" s="191"/>
      <c r="BV12" s="215"/>
      <c r="BW12" s="191"/>
      <c r="BX12" s="191"/>
      <c r="BY12" s="191"/>
      <c r="BZ12" s="191"/>
      <c r="CA12" s="215">
        <f t="shared" si="0"/>
        <v>0</v>
      </c>
      <c r="CB12" s="191">
        <f>data!CB58</f>
        <v>0</v>
      </c>
      <c r="CC12" s="191">
        <f>data!CC58</f>
        <v>0</v>
      </c>
      <c r="CD12" s="191">
        <f>data!CD58</f>
        <v>0</v>
      </c>
      <c r="CE12" s="191">
        <f>data!CE58</f>
        <v>0</v>
      </c>
      <c r="CF12" s="215">
        <f t="shared" si="1"/>
        <v>0</v>
      </c>
      <c r="CG12" s="191">
        <f>data!CG58</f>
        <v>0</v>
      </c>
      <c r="CH12" s="191">
        <f>data!CH58</f>
        <v>0</v>
      </c>
      <c r="CI12" s="191">
        <f>data!CI58</f>
        <v>0</v>
      </c>
      <c r="CJ12" s="191">
        <f>data!CJ58</f>
        <v>0</v>
      </c>
      <c r="CK12" s="215">
        <f t="shared" si="2"/>
        <v>0</v>
      </c>
      <c r="CL12" s="191">
        <f>data!CL58</f>
        <v>0</v>
      </c>
      <c r="CM12" s="191">
        <f>data!CM58</f>
        <v>0</v>
      </c>
      <c r="CN12" s="191">
        <f>data!CN58</f>
        <v>0</v>
      </c>
      <c r="CO12" s="191">
        <f>data!CO57</f>
        <v>2658</v>
      </c>
      <c r="CP12" s="215">
        <f t="shared" si="3"/>
        <v>2658</v>
      </c>
      <c r="CQ12" s="191">
        <f>data!CQ57</f>
        <v>2715</v>
      </c>
      <c r="CR12" s="191">
        <f>data!CR57</f>
        <v>2678</v>
      </c>
      <c r="CS12" s="191">
        <f>data!CS57</f>
        <v>2377</v>
      </c>
      <c r="CT12" s="191">
        <f>data!CT57</f>
        <v>1933</v>
      </c>
      <c r="CU12" s="215">
        <f t="shared" si="4"/>
        <v>1933</v>
      </c>
      <c r="CV12" s="191">
        <f>data!CV57</f>
        <v>2065</v>
      </c>
      <c r="CW12" s="191">
        <f>data!CW57</f>
        <v>1879</v>
      </c>
      <c r="CX12" s="191">
        <f>data!CX57</f>
        <v>2059</v>
      </c>
      <c r="CY12" s="191">
        <f>data!CY57</f>
        <v>1400</v>
      </c>
      <c r="CZ12" s="215">
        <f t="shared" si="5"/>
        <v>1400</v>
      </c>
      <c r="DA12" s="191">
        <f>data!DA57</f>
        <v>1464</v>
      </c>
      <c r="DB12" s="191">
        <f>data!DB57</f>
        <v>1638</v>
      </c>
      <c r="DC12" s="191">
        <f>data!DC57</f>
        <v>1438</v>
      </c>
      <c r="DD12" s="191">
        <f>data!DD57</f>
        <v>1647</v>
      </c>
      <c r="DE12" s="215">
        <f t="shared" si="6"/>
        <v>1647</v>
      </c>
      <c r="DF12" s="191">
        <f>data!DF57</f>
        <v>1650</v>
      </c>
      <c r="DG12" s="191">
        <f>data!DG57</f>
        <v>1212</v>
      </c>
      <c r="DH12" s="191">
        <f>data!DH57</f>
        <v>1156</v>
      </c>
      <c r="DI12" s="191">
        <f>data!DI57</f>
        <v>962</v>
      </c>
      <c r="DJ12" s="215">
        <f t="shared" ref="DJ12" si="16">DI12</f>
        <v>962</v>
      </c>
      <c r="DK12" s="191">
        <f>data!DK57</f>
        <v>1073</v>
      </c>
      <c r="DL12" s="191">
        <f>data!DL57</f>
        <v>1074</v>
      </c>
      <c r="DM12" s="226">
        <f t="shared" ref="DM12" si="17">DL12</f>
        <v>1074</v>
      </c>
      <c r="DN12" s="226">
        <f t="shared" ref="DN12:DO13" si="18">DM12</f>
        <v>1074</v>
      </c>
      <c r="DO12" s="215">
        <f t="shared" si="18"/>
        <v>1074</v>
      </c>
      <c r="DP12" s="226">
        <f t="shared" ref="DP12:DQ13" si="19">DO12</f>
        <v>1074</v>
      </c>
      <c r="DQ12" s="226">
        <f t="shared" si="19"/>
        <v>1074</v>
      </c>
      <c r="DR12" s="226">
        <f t="shared" ref="DR12:DR13" si="20">DQ12</f>
        <v>1074</v>
      </c>
      <c r="DS12" s="226">
        <f t="shared" ref="DS12:DS13" si="21">DR12</f>
        <v>1074</v>
      </c>
      <c r="DT12" s="215">
        <f t="shared" ref="DT12:DT13" si="22">DS12</f>
        <v>1074</v>
      </c>
      <c r="DU12" s="227">
        <f t="shared" ref="DU12:DV12" si="23">DT12</f>
        <v>1074</v>
      </c>
      <c r="DV12" s="227">
        <f t="shared" si="23"/>
        <v>1074</v>
      </c>
    </row>
    <row r="13" spans="2:126" s="15" customFormat="1">
      <c r="B13" s="101" t="s">
        <v>537</v>
      </c>
      <c r="C13" s="215"/>
      <c r="D13" s="215"/>
      <c r="E13" s="215"/>
      <c r="F13" s="215"/>
      <c r="G13" s="215"/>
      <c r="H13" s="215"/>
      <c r="I13" s="215"/>
      <c r="J13" s="191"/>
      <c r="K13" s="191"/>
      <c r="L13" s="191"/>
      <c r="M13" s="191"/>
      <c r="N13" s="215"/>
      <c r="O13" s="191"/>
      <c r="P13" s="191"/>
      <c r="Q13" s="191"/>
      <c r="R13" s="191"/>
      <c r="S13" s="215"/>
      <c r="T13" s="191"/>
      <c r="U13" s="191"/>
      <c r="V13" s="191"/>
      <c r="W13" s="191"/>
      <c r="X13" s="215"/>
      <c r="Y13" s="191"/>
      <c r="Z13" s="191"/>
      <c r="AA13" s="191"/>
      <c r="AB13" s="191"/>
      <c r="AC13" s="215"/>
      <c r="AD13" s="191"/>
      <c r="AE13" s="191"/>
      <c r="AF13" s="191"/>
      <c r="AG13" s="191"/>
      <c r="AH13" s="215"/>
      <c r="AI13" s="191"/>
      <c r="AJ13" s="191"/>
      <c r="AK13" s="191"/>
      <c r="AL13" s="191"/>
      <c r="AM13" s="215"/>
      <c r="AN13" s="191"/>
      <c r="AO13" s="191"/>
      <c r="AP13" s="191"/>
      <c r="AQ13" s="191"/>
      <c r="AR13" s="215"/>
      <c r="AS13" s="191"/>
      <c r="AT13" s="191"/>
      <c r="AU13" s="191"/>
      <c r="AV13" s="191"/>
      <c r="AW13" s="215"/>
      <c r="AX13" s="191"/>
      <c r="AY13" s="191"/>
      <c r="AZ13" s="191"/>
      <c r="BA13" s="191"/>
      <c r="BB13" s="215"/>
      <c r="BC13" s="191"/>
      <c r="BD13" s="191"/>
      <c r="BE13" s="191"/>
      <c r="BF13" s="191"/>
      <c r="BG13" s="215"/>
      <c r="BH13" s="191"/>
      <c r="BI13" s="191"/>
      <c r="BJ13" s="191"/>
      <c r="BK13" s="191"/>
      <c r="BL13" s="215"/>
      <c r="BM13" s="191"/>
      <c r="BN13" s="191"/>
      <c r="BO13" s="191"/>
      <c r="BP13" s="191"/>
      <c r="BQ13" s="215"/>
      <c r="BR13" s="191"/>
      <c r="BS13" s="191"/>
      <c r="BT13" s="191"/>
      <c r="BU13" s="191"/>
      <c r="BV13" s="215"/>
      <c r="BW13" s="191"/>
      <c r="BX13" s="191"/>
      <c r="BY13" s="191"/>
      <c r="BZ13" s="191"/>
      <c r="CA13" s="215"/>
      <c r="CB13" s="191"/>
      <c r="CC13" s="191"/>
      <c r="CD13" s="191"/>
      <c r="CE13" s="191"/>
      <c r="CF13" s="215"/>
      <c r="CG13" s="191"/>
      <c r="CH13" s="191"/>
      <c r="CI13" s="191"/>
      <c r="CJ13" s="191"/>
      <c r="CK13" s="215"/>
      <c r="CL13" s="191"/>
      <c r="CM13" s="191"/>
      <c r="CN13" s="191"/>
      <c r="CO13" s="191">
        <f>data!CO58</f>
        <v>0</v>
      </c>
      <c r="CP13" s="215">
        <f t="shared" si="3"/>
        <v>0</v>
      </c>
      <c r="CQ13" s="191">
        <f>data!CQ58</f>
        <v>33922</v>
      </c>
      <c r="CR13" s="191">
        <f>data!CR58</f>
        <v>33186</v>
      </c>
      <c r="CS13" s="191">
        <f>data!CS58</f>
        <v>33782</v>
      </c>
      <c r="CT13" s="191">
        <f>data!CT58</f>
        <v>0</v>
      </c>
      <c r="CU13" s="215">
        <f t="shared" si="4"/>
        <v>0</v>
      </c>
      <c r="CV13" s="191">
        <f>data!CV58</f>
        <v>747</v>
      </c>
      <c r="CW13" s="191">
        <f>data!CW58</f>
        <v>767</v>
      </c>
      <c r="CX13" s="191">
        <f>data!CX58</f>
        <v>696</v>
      </c>
      <c r="CY13" s="191">
        <f>data!CY58</f>
        <v>1374</v>
      </c>
      <c r="CZ13" s="215">
        <f t="shared" si="5"/>
        <v>1374</v>
      </c>
      <c r="DA13" s="191">
        <f>data!DA58</f>
        <v>1353</v>
      </c>
      <c r="DB13" s="191">
        <f>data!DB58</f>
        <v>1331</v>
      </c>
      <c r="DC13" s="191">
        <f>data!DC58</f>
        <v>1375</v>
      </c>
      <c r="DD13" s="191">
        <f>data!DD58</f>
        <v>1985</v>
      </c>
      <c r="DE13" s="215">
        <f t="shared" si="6"/>
        <v>1985</v>
      </c>
      <c r="DF13" s="191">
        <f>data!DF58</f>
        <v>1507</v>
      </c>
      <c r="DG13" s="191">
        <f>data!DG58</f>
        <v>137</v>
      </c>
      <c r="DH13" s="191">
        <f>data!DH58</f>
        <v>0</v>
      </c>
      <c r="DI13" s="191">
        <f>data!DI58</f>
        <v>0</v>
      </c>
      <c r="DJ13" s="215">
        <f t="shared" ref="DJ13" si="24">DI13</f>
        <v>0</v>
      </c>
      <c r="DK13" s="191">
        <f>data!DK58</f>
        <v>0</v>
      </c>
      <c r="DL13" s="191">
        <f>data!DL58</f>
        <v>0</v>
      </c>
      <c r="DM13" s="226">
        <f t="shared" ref="DM13" si="25">DL13</f>
        <v>0</v>
      </c>
      <c r="DN13" s="226">
        <f t="shared" ref="DN13" si="26">DM13</f>
        <v>0</v>
      </c>
      <c r="DO13" s="215">
        <f t="shared" si="18"/>
        <v>0</v>
      </c>
      <c r="DP13" s="226">
        <f t="shared" si="19"/>
        <v>0</v>
      </c>
      <c r="DQ13" s="226">
        <f t="shared" si="19"/>
        <v>0</v>
      </c>
      <c r="DR13" s="226">
        <f t="shared" si="20"/>
        <v>0</v>
      </c>
      <c r="DS13" s="226">
        <f t="shared" si="21"/>
        <v>0</v>
      </c>
      <c r="DT13" s="215">
        <f t="shared" si="22"/>
        <v>0</v>
      </c>
      <c r="DU13" s="227">
        <f t="shared" ref="DU13:DV13" si="27">DT13</f>
        <v>0</v>
      </c>
      <c r="DV13" s="227">
        <f t="shared" si="27"/>
        <v>0</v>
      </c>
    </row>
    <row r="14" spans="2:126" s="15" customFormat="1" ht="12">
      <c r="B14" s="189" t="s">
        <v>49</v>
      </c>
      <c r="C14" s="130" t="e">
        <f t="shared" ref="C14:I14" si="28">SUM(C7:C12)</f>
        <v>#REF!</v>
      </c>
      <c r="D14" s="130" t="e">
        <f t="shared" si="28"/>
        <v>#REF!</v>
      </c>
      <c r="E14" s="130" t="e">
        <f t="shared" si="28"/>
        <v>#REF!</v>
      </c>
      <c r="F14" s="130" t="e">
        <f t="shared" si="28"/>
        <v>#REF!</v>
      </c>
      <c r="G14" s="130" t="e">
        <f t="shared" si="28"/>
        <v>#REF!</v>
      </c>
      <c r="H14" s="130" t="e">
        <f t="shared" si="28"/>
        <v>#REF!</v>
      </c>
      <c r="I14" s="130" t="e">
        <f t="shared" si="28"/>
        <v>#REF!</v>
      </c>
      <c r="J14" s="189"/>
      <c r="K14" s="189"/>
      <c r="L14" s="189"/>
      <c r="M14" s="189"/>
      <c r="N14" s="130"/>
      <c r="O14" s="189"/>
      <c r="P14" s="189"/>
      <c r="Q14" s="189"/>
      <c r="R14" s="189"/>
      <c r="S14" s="130"/>
      <c r="T14" s="189"/>
      <c r="U14" s="189"/>
      <c r="V14" s="189"/>
      <c r="W14" s="189"/>
      <c r="X14" s="130"/>
      <c r="Y14" s="189"/>
      <c r="Z14" s="189"/>
      <c r="AA14" s="189"/>
      <c r="AB14" s="189"/>
      <c r="AC14" s="130"/>
      <c r="AD14" s="189"/>
      <c r="AE14" s="189"/>
      <c r="AF14" s="189"/>
      <c r="AG14" s="189"/>
      <c r="AH14" s="130"/>
      <c r="AI14" s="189"/>
      <c r="AJ14" s="189"/>
      <c r="AK14" s="189"/>
      <c r="AL14" s="189"/>
      <c r="AM14" s="130"/>
      <c r="AN14" s="189"/>
      <c r="AO14" s="189"/>
      <c r="AP14" s="189"/>
      <c r="AQ14" s="189"/>
      <c r="AR14" s="130"/>
      <c r="AS14" s="189"/>
      <c r="AT14" s="189"/>
      <c r="AU14" s="189"/>
      <c r="AV14" s="189"/>
      <c r="AW14" s="130"/>
      <c r="AX14" s="216"/>
      <c r="AY14" s="216"/>
      <c r="AZ14" s="216"/>
      <c r="BA14" s="216"/>
      <c r="BB14" s="130"/>
      <c r="BC14" s="216"/>
      <c r="BD14" s="216"/>
      <c r="BE14" s="216"/>
      <c r="BF14" s="216"/>
      <c r="BG14" s="130"/>
      <c r="BH14" s="216"/>
      <c r="BI14" s="216"/>
      <c r="BJ14" s="216"/>
      <c r="BK14" s="216"/>
      <c r="BL14" s="130"/>
      <c r="BM14" s="216"/>
      <c r="BN14" s="216"/>
      <c r="BO14" s="216"/>
      <c r="BP14" s="216"/>
      <c r="BQ14" s="130"/>
      <c r="BR14" s="216"/>
      <c r="BS14" s="216"/>
      <c r="BT14" s="216"/>
      <c r="BU14" s="216"/>
      <c r="BV14" s="130"/>
      <c r="BW14" s="216"/>
      <c r="BX14" s="216"/>
      <c r="BY14" s="216"/>
      <c r="BZ14" s="216"/>
      <c r="CA14" s="130">
        <f t="shared" si="0"/>
        <v>0</v>
      </c>
      <c r="CB14" s="216">
        <f>SUM(CB7:CB12)</f>
        <v>0</v>
      </c>
      <c r="CC14" s="189">
        <f>SUM(CC7:CC12)</f>
        <v>0</v>
      </c>
      <c r="CD14" s="189">
        <f>SUM(CD7:CD12)</f>
        <v>0</v>
      </c>
      <c r="CE14" s="189">
        <f>SUM(CE7:CE12)</f>
        <v>0</v>
      </c>
      <c r="CF14" s="130">
        <f t="shared" si="1"/>
        <v>0</v>
      </c>
      <c r="CG14" s="216">
        <f>SUM(CG7:CG12)</f>
        <v>0</v>
      </c>
      <c r="CH14" s="216">
        <f>SUM(CH7:CH12)</f>
        <v>0</v>
      </c>
      <c r="CI14" s="216">
        <f>SUM(CI7:CI12)</f>
        <v>0</v>
      </c>
      <c r="CJ14" s="216">
        <f>SUM(CJ7:CJ12)</f>
        <v>0</v>
      </c>
      <c r="CK14" s="225">
        <f t="shared" si="2"/>
        <v>0</v>
      </c>
      <c r="CL14" s="216">
        <f>SUM(CL7:CL12)</f>
        <v>0</v>
      </c>
      <c r="CM14" s="189">
        <f>SUM(CM7:CM12)</f>
        <v>0</v>
      </c>
      <c r="CN14" s="189">
        <f>SUM(CN7:CN12)</f>
        <v>0</v>
      </c>
      <c r="CO14" s="189">
        <f t="shared" ref="CO14" si="29">SUM(CO7:CO13)</f>
        <v>85178</v>
      </c>
      <c r="CP14" s="225">
        <f t="shared" ref="CP14:CP16" si="30">CO14</f>
        <v>85178</v>
      </c>
      <c r="CQ14" s="189">
        <f>SUM(CQ7:CQ13)</f>
        <v>113199</v>
      </c>
      <c r="CR14" s="189">
        <f t="shared" ref="CR14:CT14" si="31">SUM(CR7:CR13)</f>
        <v>102411</v>
      </c>
      <c r="CS14" s="189">
        <f t="shared" si="31"/>
        <v>103587</v>
      </c>
      <c r="CT14" s="189">
        <f t="shared" si="31"/>
        <v>66348</v>
      </c>
      <c r="CU14" s="225">
        <f t="shared" ref="CU14:CU16" si="32">CT14</f>
        <v>66348</v>
      </c>
      <c r="CV14" s="189">
        <f>SUM(CV7:CV13)</f>
        <v>63299</v>
      </c>
      <c r="CW14" s="189">
        <f t="shared" ref="CW14" si="33">SUM(CW7:CW13)</f>
        <v>60658</v>
      </c>
      <c r="CX14" s="189">
        <f t="shared" ref="CX14" si="34">SUM(CX7:CX13)</f>
        <v>60081</v>
      </c>
      <c r="CY14" s="189">
        <f t="shared" ref="CY14" si="35">SUM(CY7:CY13)</f>
        <v>58383</v>
      </c>
      <c r="CZ14" s="225">
        <f t="shared" ref="CZ14:CZ16" si="36">CY14</f>
        <v>58383</v>
      </c>
      <c r="DA14" s="189">
        <f>SUM(DA7:DA13)</f>
        <v>60286</v>
      </c>
      <c r="DB14" s="189">
        <f t="shared" ref="DB14" si="37">SUM(DB7:DB13)</f>
        <v>60213</v>
      </c>
      <c r="DC14" s="189">
        <f t="shared" ref="DC14" si="38">SUM(DC7:DC13)</f>
        <v>56435</v>
      </c>
      <c r="DD14" s="189">
        <f t="shared" ref="DD14" si="39">SUM(DD7:DD13)</f>
        <v>59799</v>
      </c>
      <c r="DE14" s="225">
        <f t="shared" ref="DE14:DE16" si="40">DD14</f>
        <v>59799</v>
      </c>
      <c r="DF14" s="189">
        <f>SUM(DF7:DF13)</f>
        <v>59591</v>
      </c>
      <c r="DG14" s="189">
        <f t="shared" ref="DG14:DI14" si="41">SUM(DG7:DG13)</f>
        <v>37352</v>
      </c>
      <c r="DH14" s="189">
        <f t="shared" si="41"/>
        <v>38650</v>
      </c>
      <c r="DI14" s="189">
        <f t="shared" si="41"/>
        <v>37635</v>
      </c>
      <c r="DJ14" s="225">
        <f t="shared" ref="DJ14" si="42">SUM(DJ7:DJ13)</f>
        <v>37635</v>
      </c>
      <c r="DK14" s="189">
        <f>SUM(DK7:DK13)</f>
        <v>37575</v>
      </c>
      <c r="DL14" s="189">
        <f t="shared" ref="DL14" si="43">SUM(DL7:DL13)</f>
        <v>37801</v>
      </c>
      <c r="DM14" s="189">
        <f t="shared" ref="DM14" si="44">SUM(DM7:DM13)</f>
        <v>31362.443684754078</v>
      </c>
      <c r="DN14" s="189">
        <f t="shared" ref="DN14:DP14" si="45">SUM(DN7:DN13)</f>
        <v>31729.112033026671</v>
      </c>
      <c r="DO14" s="225">
        <f t="shared" si="45"/>
        <v>31729.112033026671</v>
      </c>
      <c r="DP14" s="189">
        <f t="shared" si="45"/>
        <v>29965.551671808666</v>
      </c>
      <c r="DQ14" s="189">
        <f t="shared" ref="DQ14:DT14" si="46">SUM(DQ7:DQ13)</f>
        <v>30992.262995590667</v>
      </c>
      <c r="DR14" s="189">
        <f t="shared" si="46"/>
        <v>30848.811241861556</v>
      </c>
      <c r="DS14" s="189">
        <f t="shared" si="46"/>
        <v>33054.285254511036</v>
      </c>
      <c r="DT14" s="225">
        <f t="shared" si="46"/>
        <v>33054.285254511036</v>
      </c>
      <c r="DU14" s="130">
        <f t="shared" ref="DU14:DV14" si="47">SUM(DU7:DU13)</f>
        <v>31426.048822592547</v>
      </c>
      <c r="DV14" s="130">
        <f t="shared" si="47"/>
        <v>32463.230760743147</v>
      </c>
    </row>
    <row r="15" spans="2:126" s="15" customFormat="1" ht="12">
      <c r="B15" s="221" t="s">
        <v>476</v>
      </c>
      <c r="C15" s="130"/>
      <c r="D15" s="130"/>
      <c r="E15" s="130"/>
      <c r="F15" s="130"/>
      <c r="G15" s="130"/>
      <c r="H15" s="130"/>
      <c r="I15" s="130"/>
      <c r="J15" s="189"/>
      <c r="K15" s="189"/>
      <c r="L15" s="189"/>
      <c r="M15" s="189"/>
      <c r="N15" s="130"/>
      <c r="O15" s="189"/>
      <c r="P15" s="189"/>
      <c r="Q15" s="189"/>
      <c r="R15" s="189"/>
      <c r="S15" s="130"/>
      <c r="T15" s="189"/>
      <c r="U15" s="189"/>
      <c r="V15" s="189"/>
      <c r="W15" s="189"/>
      <c r="X15" s="130"/>
      <c r="Y15" s="189"/>
      <c r="Z15" s="189"/>
      <c r="AA15" s="189"/>
      <c r="AB15" s="189"/>
      <c r="AC15" s="130"/>
      <c r="AD15" s="189"/>
      <c r="AE15" s="189"/>
      <c r="AF15" s="189"/>
      <c r="AG15" s="189"/>
      <c r="AH15" s="130"/>
      <c r="AI15" s="189"/>
      <c r="AJ15" s="189"/>
      <c r="AK15" s="189"/>
      <c r="AL15" s="189"/>
      <c r="AM15" s="130"/>
      <c r="AN15" s="189"/>
      <c r="AO15" s="189"/>
      <c r="AP15" s="189"/>
      <c r="AQ15" s="189"/>
      <c r="AR15" s="130"/>
      <c r="AS15" s="189"/>
      <c r="AT15" s="189"/>
      <c r="AU15" s="189"/>
      <c r="AV15" s="189"/>
      <c r="AW15" s="130"/>
      <c r="AX15" s="216"/>
      <c r="AY15" s="216"/>
      <c r="AZ15" s="216"/>
      <c r="BA15" s="216"/>
      <c r="BB15" s="130"/>
      <c r="BC15" s="216"/>
      <c r="BD15" s="216"/>
      <c r="BE15" s="216"/>
      <c r="BF15" s="216"/>
      <c r="BG15" s="130"/>
      <c r="BH15" s="216"/>
      <c r="BI15" s="216"/>
      <c r="BJ15" s="216"/>
      <c r="BK15" s="216"/>
      <c r="BL15" s="130"/>
      <c r="BM15" s="216"/>
      <c r="BN15" s="216"/>
      <c r="BO15" s="216"/>
      <c r="BP15" s="216"/>
      <c r="BQ15" s="130"/>
      <c r="BR15" s="216"/>
      <c r="BS15" s="216"/>
      <c r="BT15" s="216"/>
      <c r="BU15" s="216"/>
      <c r="BV15" s="130"/>
      <c r="BW15" s="216"/>
      <c r="BX15" s="216"/>
      <c r="BY15" s="216"/>
      <c r="BZ15" s="216"/>
      <c r="CA15" s="130"/>
      <c r="CB15" s="216"/>
      <c r="CC15" s="189"/>
      <c r="CD15" s="189"/>
      <c r="CE15" s="189"/>
      <c r="CF15" s="130"/>
      <c r="CG15" s="216"/>
      <c r="CH15" s="216"/>
      <c r="CI15" s="216"/>
      <c r="CJ15" s="216"/>
      <c r="CK15" s="225"/>
      <c r="CL15" s="216"/>
      <c r="CM15" s="189"/>
      <c r="CN15" s="189"/>
      <c r="CO15" s="221">
        <f>data!CO60</f>
        <v>42549</v>
      </c>
      <c r="CP15" s="222">
        <f t="shared" si="30"/>
        <v>42549</v>
      </c>
      <c r="CQ15" s="221">
        <f>data!CQ60</f>
        <v>40786</v>
      </c>
      <c r="CR15" s="221">
        <f>data!CR60</f>
        <v>42665</v>
      </c>
      <c r="CS15" s="221">
        <f>data!CS60</f>
        <v>42394</v>
      </c>
      <c r="CT15" s="221">
        <f>data!CT60</f>
        <v>42209</v>
      </c>
      <c r="CU15" s="222">
        <f t="shared" si="32"/>
        <v>42209</v>
      </c>
      <c r="CV15" s="221">
        <f>data!CV60</f>
        <v>39845</v>
      </c>
      <c r="CW15" s="221">
        <f>data!CW60</f>
        <v>36195</v>
      </c>
      <c r="CX15" s="221">
        <f>data!CX60</f>
        <v>33624</v>
      </c>
      <c r="CY15" s="221">
        <f>data!CY60</f>
        <v>36027</v>
      </c>
      <c r="CZ15" s="222">
        <f t="shared" si="36"/>
        <v>36027</v>
      </c>
      <c r="DA15" s="221">
        <f>data!DA60</f>
        <v>38262</v>
      </c>
      <c r="DB15" s="221">
        <f>data!DB60</f>
        <v>37392</v>
      </c>
      <c r="DC15" s="221">
        <f>data!DC60</f>
        <v>35528</v>
      </c>
      <c r="DD15" s="221">
        <f>data!DD60</f>
        <v>38000</v>
      </c>
      <c r="DE15" s="222">
        <f t="shared" si="40"/>
        <v>38000</v>
      </c>
      <c r="DF15" s="221">
        <f>data!DF60</f>
        <v>38705</v>
      </c>
      <c r="DG15" s="221">
        <f>data!DG60</f>
        <v>38129</v>
      </c>
      <c r="DH15" s="221">
        <f>data!DH60</f>
        <v>39514</v>
      </c>
      <c r="DI15" s="221">
        <f>data!DI60</f>
        <v>37741</v>
      </c>
      <c r="DJ15" s="222">
        <f t="shared" ref="DJ15:DJ21" si="48">DI15</f>
        <v>37741</v>
      </c>
      <c r="DK15" s="221">
        <f>data!DK60</f>
        <v>38010</v>
      </c>
      <c r="DL15" s="221">
        <f>data!DL60</f>
        <v>37887</v>
      </c>
      <c r="DM15" s="246">
        <f t="shared" ref="DM15" si="49">DL15</f>
        <v>37887</v>
      </c>
      <c r="DN15" s="246">
        <f t="shared" ref="DN15" si="50">DM15</f>
        <v>37887</v>
      </c>
      <c r="DO15" s="222">
        <f>DN15</f>
        <v>37887</v>
      </c>
      <c r="DP15" s="246">
        <f t="shared" ref="DP15:DQ15" si="51">DO15</f>
        <v>37887</v>
      </c>
      <c r="DQ15" s="246">
        <f t="shared" si="51"/>
        <v>37887</v>
      </c>
      <c r="DR15" s="246">
        <f t="shared" ref="DR15" si="52">DQ15</f>
        <v>37887</v>
      </c>
      <c r="DS15" s="246">
        <f t="shared" ref="DS15" si="53">DR15</f>
        <v>37887</v>
      </c>
      <c r="DT15" s="222">
        <f>DS15</f>
        <v>37887</v>
      </c>
      <c r="DU15" s="247">
        <f t="shared" ref="DU15:DV15" si="54">+DT15</f>
        <v>37887</v>
      </c>
      <c r="DV15" s="247">
        <f t="shared" si="54"/>
        <v>37887</v>
      </c>
    </row>
    <row r="16" spans="2:126" s="15" customFormat="1">
      <c r="B16" s="15" t="s">
        <v>50</v>
      </c>
      <c r="C16" s="16">
        <f>data!C61</f>
        <v>0</v>
      </c>
      <c r="D16" s="16">
        <f>data!D61</f>
        <v>0</v>
      </c>
      <c r="E16" s="16">
        <f>data!E61</f>
        <v>0</v>
      </c>
      <c r="F16" s="16">
        <f>data!F61</f>
        <v>0</v>
      </c>
      <c r="G16" s="16">
        <f>data!G61</f>
        <v>0</v>
      </c>
      <c r="H16" s="16">
        <f>data!H61</f>
        <v>0</v>
      </c>
      <c r="I16" s="16">
        <f>data!I61</f>
        <v>0</v>
      </c>
      <c r="N16" s="16"/>
      <c r="S16" s="16"/>
      <c r="X16" s="16"/>
      <c r="AC16" s="16"/>
      <c r="AH16" s="16"/>
      <c r="AM16" s="16"/>
      <c r="AR16" s="16"/>
      <c r="AW16" s="16"/>
      <c r="AX16" s="221"/>
      <c r="AY16" s="221"/>
      <c r="AZ16" s="221"/>
      <c r="BA16" s="221"/>
      <c r="BB16" s="16"/>
      <c r="BC16" s="221"/>
      <c r="BD16" s="221"/>
      <c r="BE16" s="221"/>
      <c r="BF16" s="221"/>
      <c r="BG16" s="16"/>
      <c r="BH16" s="221"/>
      <c r="BI16" s="221"/>
      <c r="BJ16" s="221"/>
      <c r="BK16" s="221"/>
      <c r="BL16" s="16"/>
      <c r="BM16" s="221"/>
      <c r="BN16" s="221"/>
      <c r="BO16" s="221"/>
      <c r="BP16" s="221"/>
      <c r="BQ16" s="16"/>
      <c r="BR16" s="248"/>
      <c r="BS16" s="221"/>
      <c r="BT16" s="221"/>
      <c r="BU16" s="221"/>
      <c r="BV16" s="16"/>
      <c r="BW16" s="221"/>
      <c r="BX16" s="221"/>
      <c r="BY16" s="221"/>
      <c r="BZ16" s="221"/>
      <c r="CA16" s="16">
        <f t="shared" si="0"/>
        <v>0</v>
      </c>
      <c r="CB16" s="221">
        <f>data!CB61</f>
        <v>0</v>
      </c>
      <c r="CC16" s="221">
        <f>data!CC61</f>
        <v>0</v>
      </c>
      <c r="CD16" s="221">
        <f>data!CD61</f>
        <v>0</v>
      </c>
      <c r="CE16" s="221">
        <f>data!CE61</f>
        <v>0</v>
      </c>
      <c r="CF16" s="16">
        <f t="shared" si="1"/>
        <v>0</v>
      </c>
      <c r="CG16" s="221">
        <f>data!CG61</f>
        <v>0</v>
      </c>
      <c r="CH16" s="221">
        <f>data!CH61</f>
        <v>0</v>
      </c>
      <c r="CI16" s="221">
        <f>data!CI61</f>
        <v>0</v>
      </c>
      <c r="CJ16" s="221">
        <f>data!CJ61</f>
        <v>0</v>
      </c>
      <c r="CK16" s="222">
        <f t="shared" si="2"/>
        <v>0</v>
      </c>
      <c r="CL16" s="221">
        <f>data!CL61</f>
        <v>0</v>
      </c>
      <c r="CM16" s="221">
        <f>data!CM61</f>
        <v>0</v>
      </c>
      <c r="CN16" s="221">
        <f>data!CN61</f>
        <v>0</v>
      </c>
      <c r="CO16" s="221">
        <f>data!CO61</f>
        <v>16699</v>
      </c>
      <c r="CP16" s="222">
        <f t="shared" si="30"/>
        <v>16699</v>
      </c>
      <c r="CQ16" s="221">
        <f>data!CQ61</f>
        <v>16296</v>
      </c>
      <c r="CR16" s="221">
        <f>data!CR61</f>
        <v>16169</v>
      </c>
      <c r="CS16" s="221">
        <f>data!CS61</f>
        <v>15873</v>
      </c>
      <c r="CT16" s="221">
        <f>data!CT61</f>
        <v>15609</v>
      </c>
      <c r="CU16" s="222">
        <f t="shared" si="32"/>
        <v>15609</v>
      </c>
      <c r="CV16" s="221">
        <f>data!CV61</f>
        <v>15036</v>
      </c>
      <c r="CW16" s="221">
        <f>data!CW61</f>
        <v>14790</v>
      </c>
      <c r="CX16" s="221">
        <f>data!CX61</f>
        <v>14295</v>
      </c>
      <c r="CY16" s="221">
        <f>data!CY61</f>
        <v>12192</v>
      </c>
      <c r="CZ16" s="222">
        <f t="shared" si="36"/>
        <v>12192</v>
      </c>
      <c r="DA16" s="221">
        <f>data!DA61</f>
        <v>12170</v>
      </c>
      <c r="DB16" s="221">
        <f>data!DB61</f>
        <v>12374</v>
      </c>
      <c r="DC16" s="221">
        <f>data!DC61</f>
        <v>12203</v>
      </c>
      <c r="DD16" s="221">
        <f>data!DD61</f>
        <v>12494</v>
      </c>
      <c r="DE16" s="222">
        <f t="shared" si="40"/>
        <v>12494</v>
      </c>
      <c r="DF16" s="221">
        <f>data!DF61</f>
        <v>12345</v>
      </c>
      <c r="DG16" s="221">
        <f>data!DG61</f>
        <v>7095</v>
      </c>
      <c r="DH16" s="221">
        <f>data!DH61</f>
        <v>7254</v>
      </c>
      <c r="DI16" s="221">
        <f>data!DI61</f>
        <v>7277</v>
      </c>
      <c r="DJ16" s="222">
        <f t="shared" si="48"/>
        <v>7277</v>
      </c>
      <c r="DK16" s="221">
        <f>data!DK61</f>
        <v>7426</v>
      </c>
      <c r="DL16" s="221">
        <f>data!DL61</f>
        <v>7523</v>
      </c>
      <c r="DM16" s="248">
        <f>-CFLO!DM26-CFLO!DM27-CFLO!DM8+DL16</f>
        <v>7493</v>
      </c>
      <c r="DN16" s="248">
        <f>-CFLO!DN26-CFLO!DN27-CFLO!DN8+DM16</f>
        <v>7458</v>
      </c>
      <c r="DO16" s="222">
        <f t="shared" ref="DO16:DO21" si="55">DN16</f>
        <v>7458</v>
      </c>
      <c r="DP16" s="248">
        <f>-CFLO!DP26-CFLO!DP27-CFLO!DP8+DO16</f>
        <v>7428</v>
      </c>
      <c r="DQ16" s="248">
        <f>-CFLO!DQ26-CFLO!DQ27-CFLO!DQ8+DP16</f>
        <v>7418</v>
      </c>
      <c r="DR16" s="248">
        <f>-CFLO!DR26-CFLO!DR27-CFLO!DR8+DQ16</f>
        <v>7418</v>
      </c>
      <c r="DS16" s="248">
        <f>-CFLO!DS26-CFLO!DS27-CFLO!DS8+DR16</f>
        <v>7383</v>
      </c>
      <c r="DT16" s="222">
        <f t="shared" ref="DT16:DT21" si="56">DS16</f>
        <v>7383</v>
      </c>
      <c r="DU16" s="152">
        <f>-CFLO!DU26-CFLO!DU27-CFLO!DU8+DT16</f>
        <v>7283</v>
      </c>
      <c r="DV16" s="152">
        <f>-CFLO!DV26-CFLO!DV27-CFLO!DV8+DU16</f>
        <v>7223</v>
      </c>
    </row>
    <row r="17" spans="2:126" s="15" customFormat="1">
      <c r="B17" s="15" t="s">
        <v>51</v>
      </c>
      <c r="C17" s="16">
        <f>data!C62</f>
        <v>0</v>
      </c>
      <c r="D17" s="16">
        <f>data!D62</f>
        <v>0</v>
      </c>
      <c r="E17" s="16">
        <f>data!E62</f>
        <v>0</v>
      </c>
      <c r="F17" s="16">
        <f>data!F62</f>
        <v>0</v>
      </c>
      <c r="G17" s="16">
        <f>data!G62</f>
        <v>0</v>
      </c>
      <c r="H17" s="16">
        <f>data!H62</f>
        <v>0</v>
      </c>
      <c r="I17" s="16">
        <f>data!I62</f>
        <v>0</v>
      </c>
      <c r="N17" s="16"/>
      <c r="S17" s="16"/>
      <c r="X17" s="16"/>
      <c r="AC17" s="16"/>
      <c r="AH17" s="16"/>
      <c r="AM17" s="16"/>
      <c r="AR17" s="16"/>
      <c r="AW17" s="16"/>
      <c r="AX17" s="221"/>
      <c r="AY17" s="221"/>
      <c r="AZ17" s="221"/>
      <c r="BA17" s="221"/>
      <c r="BB17" s="16"/>
      <c r="BC17" s="221"/>
      <c r="BD17" s="221"/>
      <c r="BE17" s="221"/>
      <c r="BF17" s="221"/>
      <c r="BG17" s="16"/>
      <c r="BH17" s="221"/>
      <c r="BI17" s="221"/>
      <c r="BJ17" s="221"/>
      <c r="BK17" s="221"/>
      <c r="BL17" s="16"/>
      <c r="BM17" s="221"/>
      <c r="BN17" s="221"/>
      <c r="BO17" s="221"/>
      <c r="BP17" s="221"/>
      <c r="BQ17" s="16"/>
      <c r="BR17" s="248"/>
      <c r="BS17" s="221"/>
      <c r="BT17" s="221"/>
      <c r="BU17" s="221"/>
      <c r="BV17" s="16"/>
      <c r="BW17" s="221"/>
      <c r="BX17" s="221"/>
      <c r="BY17" s="221"/>
      <c r="BZ17" s="221"/>
      <c r="CA17" s="16">
        <f>(BZ17)+0</f>
        <v>0</v>
      </c>
      <c r="CB17" s="221">
        <f>data!CB62</f>
        <v>0</v>
      </c>
      <c r="CC17" s="221">
        <f>data!CC62</f>
        <v>0</v>
      </c>
      <c r="CD17" s="221">
        <f>data!CD62</f>
        <v>0</v>
      </c>
      <c r="CE17" s="221">
        <f>data!CE62</f>
        <v>0</v>
      </c>
      <c r="CF17" s="16">
        <f>(CE17)+0</f>
        <v>0</v>
      </c>
      <c r="CG17" s="221">
        <f>data!CG62</f>
        <v>0</v>
      </c>
      <c r="CH17" s="221">
        <f>data!CH62</f>
        <v>0</v>
      </c>
      <c r="CI17" s="221">
        <f>data!CI62</f>
        <v>0</v>
      </c>
      <c r="CJ17" s="221">
        <f>data!CJ62</f>
        <v>0</v>
      </c>
      <c r="CK17" s="222">
        <f>(CJ17)+0</f>
        <v>0</v>
      </c>
      <c r="CL17" s="221">
        <f>data!CL62</f>
        <v>0</v>
      </c>
      <c r="CM17" s="221">
        <f>data!CM62</f>
        <v>0</v>
      </c>
      <c r="CN17" s="221">
        <f>data!CN62</f>
        <v>0</v>
      </c>
      <c r="CO17" s="221">
        <f>data!CO62</f>
        <v>25524</v>
      </c>
      <c r="CP17" s="222">
        <f>(CO17)+0</f>
        <v>25524</v>
      </c>
      <c r="CQ17" s="221">
        <f>data!CQ62</f>
        <v>25320</v>
      </c>
      <c r="CR17" s="221">
        <f>data!CR62</f>
        <v>25491</v>
      </c>
      <c r="CS17" s="221">
        <f>data!CS62</f>
        <v>25333</v>
      </c>
      <c r="CT17" s="221">
        <f>data!CT62</f>
        <v>26182</v>
      </c>
      <c r="CU17" s="222">
        <f>(CT17)+0</f>
        <v>26182</v>
      </c>
      <c r="CV17" s="221">
        <f>data!CV62</f>
        <v>26047</v>
      </c>
      <c r="CW17" s="221">
        <f>data!CW62</f>
        <v>25790</v>
      </c>
      <c r="CX17" s="221">
        <f>data!CX62</f>
        <v>25275</v>
      </c>
      <c r="CY17" s="221">
        <f>data!CY62</f>
        <v>12999</v>
      </c>
      <c r="CZ17" s="222">
        <f>(CY17)+0</f>
        <v>12999</v>
      </c>
      <c r="DA17" s="221">
        <f>data!DA62</f>
        <v>13107</v>
      </c>
      <c r="DB17" s="221">
        <f>data!DB62</f>
        <v>13345</v>
      </c>
      <c r="DC17" s="221">
        <f>data!DC62</f>
        <v>13177</v>
      </c>
      <c r="DD17" s="221">
        <f>data!DD62</f>
        <v>13385</v>
      </c>
      <c r="DE17" s="222">
        <f>(DD17)+0</f>
        <v>13385</v>
      </c>
      <c r="DF17" s="221">
        <f>data!DF62</f>
        <v>13304</v>
      </c>
      <c r="DG17" s="221">
        <f>data!DG62</f>
        <v>8859</v>
      </c>
      <c r="DH17" s="221">
        <f>data!DH62</f>
        <v>8754</v>
      </c>
      <c r="DI17" s="221">
        <f>data!DI62</f>
        <v>8538</v>
      </c>
      <c r="DJ17" s="222">
        <f t="shared" si="48"/>
        <v>8538</v>
      </c>
      <c r="DK17" s="221">
        <f>data!DK62</f>
        <v>8696</v>
      </c>
      <c r="DL17" s="221">
        <f>data!DL62</f>
        <v>9006</v>
      </c>
      <c r="DM17" s="248">
        <f>-CFLO!DM31*0.2+DL17</f>
        <v>9006</v>
      </c>
      <c r="DN17" s="248">
        <f>-CFLO!DN31*0.2+DM17</f>
        <v>9006</v>
      </c>
      <c r="DO17" s="222">
        <f t="shared" si="55"/>
        <v>9006</v>
      </c>
      <c r="DP17" s="248">
        <f>-CFLO!DP31*0.2+DO17</f>
        <v>9006</v>
      </c>
      <c r="DQ17" s="248">
        <f>-CFLO!DQ31*0.2+DP17</f>
        <v>9006</v>
      </c>
      <c r="DR17" s="248">
        <f>-CFLO!DR31*0.2+DQ17</f>
        <v>9006</v>
      </c>
      <c r="DS17" s="248">
        <f>-CFLO!DS31*0.2+DR17</f>
        <v>9006</v>
      </c>
      <c r="DT17" s="222">
        <f t="shared" si="56"/>
        <v>9006</v>
      </c>
      <c r="DU17" s="152">
        <f>-CFLO!DU31*0.2+DT17</f>
        <v>9006</v>
      </c>
      <c r="DV17" s="152">
        <f>-CFLO!DV31*0.2+DU17</f>
        <v>9006</v>
      </c>
    </row>
    <row r="18" spans="2:126" s="15" customFormat="1">
      <c r="B18" s="15" t="s">
        <v>483</v>
      </c>
      <c r="C18" s="16">
        <f>data!C63</f>
        <v>0</v>
      </c>
      <c r="D18" s="16">
        <f>data!D63</f>
        <v>0</v>
      </c>
      <c r="E18" s="16">
        <f>data!E63</f>
        <v>0</v>
      </c>
      <c r="F18" s="16">
        <f>data!F63</f>
        <v>0</v>
      </c>
      <c r="G18" s="16">
        <f>data!G63</f>
        <v>0</v>
      </c>
      <c r="H18" s="16">
        <f>data!H63</f>
        <v>0</v>
      </c>
      <c r="I18" s="16">
        <f>data!I63</f>
        <v>0</v>
      </c>
      <c r="N18" s="16"/>
      <c r="S18" s="16"/>
      <c r="X18" s="16"/>
      <c r="AC18" s="16"/>
      <c r="AH18" s="16"/>
      <c r="AM18" s="16"/>
      <c r="AR18" s="16"/>
      <c r="AW18" s="16"/>
      <c r="AX18" s="221"/>
      <c r="AY18" s="221"/>
      <c r="AZ18" s="221"/>
      <c r="BA18" s="221"/>
      <c r="BB18" s="16"/>
      <c r="BC18" s="221"/>
      <c r="BD18" s="221"/>
      <c r="BE18" s="221"/>
      <c r="BF18" s="221"/>
      <c r="BG18" s="16"/>
      <c r="BH18" s="221"/>
      <c r="BI18" s="221"/>
      <c r="BJ18" s="221"/>
      <c r="BK18" s="221"/>
      <c r="BL18" s="16"/>
      <c r="BM18" s="221"/>
      <c r="BN18" s="221"/>
      <c r="BO18" s="221"/>
      <c r="BP18" s="221"/>
      <c r="BQ18" s="16"/>
      <c r="BR18" s="248"/>
      <c r="BS18" s="221"/>
      <c r="BT18" s="221"/>
      <c r="BU18" s="221"/>
      <c r="BV18" s="16"/>
      <c r="BW18" s="221"/>
      <c r="BX18" s="221"/>
      <c r="BY18" s="221"/>
      <c r="BZ18" s="221"/>
      <c r="CA18" s="16">
        <f>BZ18</f>
        <v>0</v>
      </c>
      <c r="CB18" s="221">
        <f>data!CB63</f>
        <v>0</v>
      </c>
      <c r="CC18" s="221">
        <f>data!CC63</f>
        <v>0</v>
      </c>
      <c r="CD18" s="221">
        <f>data!CD63</f>
        <v>0</v>
      </c>
      <c r="CE18" s="221">
        <f>data!CE63</f>
        <v>0</v>
      </c>
      <c r="CF18" s="16">
        <f>CE18</f>
        <v>0</v>
      </c>
      <c r="CG18" s="221">
        <f>data!CG63</f>
        <v>0</v>
      </c>
      <c r="CH18" s="221">
        <f>data!CH63</f>
        <v>0</v>
      </c>
      <c r="CI18" s="221">
        <f>data!CI63</f>
        <v>0</v>
      </c>
      <c r="CJ18" s="221">
        <f>data!CJ63</f>
        <v>0</v>
      </c>
      <c r="CK18" s="222">
        <f>CJ18</f>
        <v>0</v>
      </c>
      <c r="CL18" s="221">
        <f>data!CL63</f>
        <v>0</v>
      </c>
      <c r="CM18" s="221">
        <f>data!CM63</f>
        <v>0</v>
      </c>
      <c r="CN18" s="221">
        <f>data!CN63</f>
        <v>0</v>
      </c>
      <c r="CO18" s="221">
        <f>data!CO63</f>
        <v>9671</v>
      </c>
      <c r="CP18" s="222">
        <f>CO18</f>
        <v>9671</v>
      </c>
      <c r="CQ18" s="221">
        <f>data!CQ63</f>
        <v>9395</v>
      </c>
      <c r="CR18" s="221">
        <f>data!CR63</f>
        <v>9460</v>
      </c>
      <c r="CS18" s="221">
        <f>data!CS63</f>
        <v>9187</v>
      </c>
      <c r="CT18" s="221">
        <f>data!CT63</f>
        <v>9330</v>
      </c>
      <c r="CU18" s="222">
        <f>CT18</f>
        <v>9330</v>
      </c>
      <c r="CV18" s="221">
        <f>data!CV63</f>
        <v>8290</v>
      </c>
      <c r="CW18" s="221">
        <f>data!CW63</f>
        <v>8026</v>
      </c>
      <c r="CX18" s="221">
        <f>data!CX63</f>
        <v>7725</v>
      </c>
      <c r="CY18" s="221">
        <f>data!CY63</f>
        <v>6105</v>
      </c>
      <c r="CZ18" s="222">
        <f>CY18</f>
        <v>6105</v>
      </c>
      <c r="DA18" s="221">
        <f>data!DA63</f>
        <v>5990</v>
      </c>
      <c r="DB18" s="221">
        <f>data!DB63</f>
        <v>5954</v>
      </c>
      <c r="DC18" s="221">
        <f>data!DC63</f>
        <v>5790</v>
      </c>
      <c r="DD18" s="221">
        <f>data!DD63</f>
        <v>5695</v>
      </c>
      <c r="DE18" s="222">
        <f>DD18</f>
        <v>5695</v>
      </c>
      <c r="DF18" s="221">
        <f>data!DF63</f>
        <v>5547</v>
      </c>
      <c r="DG18" s="221">
        <f>data!DG63</f>
        <v>4394</v>
      </c>
      <c r="DH18" s="221">
        <f>data!DH63</f>
        <v>4371</v>
      </c>
      <c r="DI18" s="221">
        <f>data!DI63</f>
        <v>4257</v>
      </c>
      <c r="DJ18" s="222">
        <f t="shared" si="48"/>
        <v>4257</v>
      </c>
      <c r="DK18" s="221">
        <f>data!DK63</f>
        <v>4277</v>
      </c>
      <c r="DL18" s="221">
        <f>data!DL63</f>
        <v>4336</v>
      </c>
      <c r="DM18" s="248">
        <f>-CFLO!DM9+DL18</f>
        <v>4176</v>
      </c>
      <c r="DN18" s="248">
        <f>-CFLO!DN9+DM18</f>
        <v>3996</v>
      </c>
      <c r="DO18" s="222">
        <f t="shared" si="55"/>
        <v>3996</v>
      </c>
      <c r="DP18" s="248">
        <f>-CFLO!DP9+DO18</f>
        <v>3836</v>
      </c>
      <c r="DQ18" s="248">
        <f>-CFLO!DQ9+DP18</f>
        <v>3676</v>
      </c>
      <c r="DR18" s="248">
        <f>-CFLO!DR9+DQ18</f>
        <v>3516</v>
      </c>
      <c r="DS18" s="248">
        <f>-CFLO!DS9+DR18</f>
        <v>3336</v>
      </c>
      <c r="DT18" s="222">
        <f t="shared" si="56"/>
        <v>3336</v>
      </c>
      <c r="DU18" s="152">
        <f>-CFLO!DU9+DT18</f>
        <v>2666</v>
      </c>
      <c r="DV18" s="152">
        <f>-CFLO!DV9+DU18</f>
        <v>1986</v>
      </c>
    </row>
    <row r="19" spans="2:126" s="15" customFormat="1">
      <c r="B19" s="221" t="s">
        <v>484</v>
      </c>
      <c r="C19" s="16">
        <f>data!C65</f>
        <v>0</v>
      </c>
      <c r="D19" s="16">
        <f>data!D65</f>
        <v>0</v>
      </c>
      <c r="E19" s="16">
        <f>data!E65</f>
        <v>0</v>
      </c>
      <c r="F19" s="16">
        <f>data!F65</f>
        <v>0</v>
      </c>
      <c r="G19" s="16">
        <f>data!G65</f>
        <v>0</v>
      </c>
      <c r="H19" s="16">
        <f>data!H65</f>
        <v>0</v>
      </c>
      <c r="I19" s="16">
        <f>data!I65</f>
        <v>0</v>
      </c>
      <c r="N19" s="16"/>
      <c r="S19" s="16"/>
      <c r="X19" s="16"/>
      <c r="AC19" s="16"/>
      <c r="AH19" s="16"/>
      <c r="AM19" s="16"/>
      <c r="AR19" s="16"/>
      <c r="AW19" s="16"/>
      <c r="AX19" s="221"/>
      <c r="AY19" s="221"/>
      <c r="AZ19" s="221"/>
      <c r="BA19" s="221"/>
      <c r="BB19" s="16"/>
      <c r="BC19" s="221"/>
      <c r="BD19" s="221"/>
      <c r="BE19" s="221"/>
      <c r="BF19" s="221"/>
      <c r="BG19" s="16"/>
      <c r="BH19" s="221"/>
      <c r="BI19" s="221"/>
      <c r="BJ19" s="221"/>
      <c r="BK19" s="221"/>
      <c r="BL19" s="16"/>
      <c r="BM19" s="221"/>
      <c r="BN19" s="221"/>
      <c r="BO19" s="221"/>
      <c r="BP19" s="221"/>
      <c r="BQ19" s="16"/>
      <c r="BR19" s="221"/>
      <c r="BS19" s="221"/>
      <c r="BT19" s="221"/>
      <c r="BU19" s="221"/>
      <c r="BV19" s="16"/>
      <c r="BW19" s="221"/>
      <c r="BX19" s="221"/>
      <c r="BY19" s="221"/>
      <c r="BZ19" s="221"/>
      <c r="CA19" s="16">
        <f>BZ19</f>
        <v>0</v>
      </c>
      <c r="CB19" s="221">
        <f>data!CB65</f>
        <v>0</v>
      </c>
      <c r="CC19" s="221">
        <f>data!CC65</f>
        <v>0</v>
      </c>
      <c r="CD19" s="221">
        <f>data!CD65</f>
        <v>0</v>
      </c>
      <c r="CE19" s="221">
        <f>data!CE65</f>
        <v>0</v>
      </c>
      <c r="CF19" s="16">
        <f>CE19</f>
        <v>0</v>
      </c>
      <c r="CG19" s="221">
        <f>data!CG65</f>
        <v>0</v>
      </c>
      <c r="CH19" s="221">
        <f>data!CH65</f>
        <v>0</v>
      </c>
      <c r="CI19" s="221">
        <f>data!CI65</f>
        <v>0</v>
      </c>
      <c r="CJ19" s="221">
        <f>data!CJ65</f>
        <v>0</v>
      </c>
      <c r="CK19" s="222">
        <f>CJ19</f>
        <v>0</v>
      </c>
      <c r="CL19" s="221">
        <f>data!CL65</f>
        <v>0</v>
      </c>
      <c r="CM19" s="221">
        <f>data!CM65</f>
        <v>0</v>
      </c>
      <c r="CN19" s="221">
        <f>data!CN65</f>
        <v>0</v>
      </c>
      <c r="CO19" s="221">
        <f>data!CO64</f>
        <v>5888</v>
      </c>
      <c r="CP19" s="222">
        <f>CO19</f>
        <v>5888</v>
      </c>
      <c r="CQ19" s="221">
        <f>data!CQ64</f>
        <v>5985</v>
      </c>
      <c r="CR19" s="221">
        <f>data!CR64</f>
        <v>6131</v>
      </c>
      <c r="CS19" s="221">
        <f>data!CS64</f>
        <v>6119</v>
      </c>
      <c r="CT19" s="221">
        <f>data!CT64</f>
        <v>6124</v>
      </c>
      <c r="CU19" s="222">
        <f>CT19</f>
        <v>6124</v>
      </c>
      <c r="CV19" s="221">
        <f>data!CV64</f>
        <v>6159</v>
      </c>
      <c r="CW19" s="221">
        <f>data!CW64</f>
        <v>6189</v>
      </c>
      <c r="CX19" s="221">
        <f>data!CX64</f>
        <v>6221</v>
      </c>
      <c r="CY19" s="221">
        <f>data!CY64</f>
        <v>5776</v>
      </c>
      <c r="CZ19" s="222">
        <f>CY19</f>
        <v>5776</v>
      </c>
      <c r="DA19" s="221">
        <f>data!DA64</f>
        <v>5631</v>
      </c>
      <c r="DB19" s="221">
        <f>data!DB64</f>
        <v>5440</v>
      </c>
      <c r="DC19" s="221">
        <f>data!DC64</f>
        <v>5427</v>
      </c>
      <c r="DD19" s="221">
        <f>data!DD64</f>
        <v>5406</v>
      </c>
      <c r="DE19" s="222">
        <f>DD19</f>
        <v>5406</v>
      </c>
      <c r="DF19" s="221">
        <f>data!DF64</f>
        <v>5431</v>
      </c>
      <c r="DG19" s="221">
        <f>data!DG64</f>
        <v>4801</v>
      </c>
      <c r="DH19" s="221">
        <f>data!DH64</f>
        <v>4823</v>
      </c>
      <c r="DI19" s="221">
        <f>data!DI64</f>
        <v>4831</v>
      </c>
      <c r="DJ19" s="222">
        <f t="shared" si="48"/>
        <v>4831</v>
      </c>
      <c r="DK19" s="221">
        <f>data!DK64</f>
        <v>4835</v>
      </c>
      <c r="DL19" s="221">
        <f>data!DL64</f>
        <v>4803</v>
      </c>
      <c r="DM19" s="246">
        <f t="shared" ref="DM19:DM21" si="57">DL19</f>
        <v>4803</v>
      </c>
      <c r="DN19" s="246">
        <f t="shared" ref="DN19:DN21" si="58">DM19</f>
        <v>4803</v>
      </c>
      <c r="DO19" s="222">
        <f t="shared" si="55"/>
        <v>4803</v>
      </c>
      <c r="DP19" s="246">
        <f t="shared" ref="DP19:DQ21" si="59">DO19</f>
        <v>4803</v>
      </c>
      <c r="DQ19" s="246">
        <f t="shared" si="59"/>
        <v>4803</v>
      </c>
      <c r="DR19" s="246">
        <f t="shared" ref="DR19:DR21" si="60">DQ19</f>
        <v>4803</v>
      </c>
      <c r="DS19" s="246">
        <f t="shared" ref="DS19:DS21" si="61">DR19</f>
        <v>4803</v>
      </c>
      <c r="DT19" s="222">
        <f t="shared" si="56"/>
        <v>4803</v>
      </c>
      <c r="DU19" s="247">
        <f t="shared" ref="DU19:DV19" si="62">+DT19</f>
        <v>4803</v>
      </c>
      <c r="DV19" s="247">
        <f t="shared" si="62"/>
        <v>4803</v>
      </c>
    </row>
    <row r="20" spans="2:126" s="15" customFormat="1">
      <c r="B20" s="15" t="s">
        <v>47</v>
      </c>
      <c r="C20" s="16">
        <f>data!C66</f>
        <v>0</v>
      </c>
      <c r="D20" s="16">
        <f>data!D66</f>
        <v>0</v>
      </c>
      <c r="E20" s="16">
        <f>data!E66</f>
        <v>0</v>
      </c>
      <c r="F20" s="16">
        <f>data!F66</f>
        <v>0</v>
      </c>
      <c r="G20" s="16">
        <f>data!G66</f>
        <v>0</v>
      </c>
      <c r="H20" s="16">
        <f>data!H66</f>
        <v>0</v>
      </c>
      <c r="I20" s="16">
        <f>data!I66</f>
        <v>0</v>
      </c>
      <c r="N20" s="16"/>
      <c r="S20" s="16"/>
      <c r="X20" s="16"/>
      <c r="AC20" s="16"/>
      <c r="AH20" s="16"/>
      <c r="AM20" s="16"/>
      <c r="AR20" s="16"/>
      <c r="AW20" s="16"/>
      <c r="AX20" s="221"/>
      <c r="AY20" s="221"/>
      <c r="AZ20" s="221"/>
      <c r="BA20" s="221"/>
      <c r="BB20" s="16"/>
      <c r="BC20" s="221"/>
      <c r="BD20" s="221"/>
      <c r="BE20" s="221"/>
      <c r="BF20" s="221"/>
      <c r="BG20" s="16"/>
      <c r="BH20" s="221"/>
      <c r="BI20" s="221"/>
      <c r="BJ20" s="221"/>
      <c r="BK20" s="221"/>
      <c r="BL20" s="16"/>
      <c r="BM20" s="221"/>
      <c r="BN20" s="221"/>
      <c r="BO20" s="221"/>
      <c r="BP20" s="221"/>
      <c r="BQ20" s="16"/>
      <c r="BR20" s="246"/>
      <c r="BS20" s="221"/>
      <c r="BT20" s="221"/>
      <c r="BU20" s="221"/>
      <c r="BV20" s="16"/>
      <c r="BW20" s="221"/>
      <c r="BX20" s="221"/>
      <c r="BY20" s="221"/>
      <c r="BZ20" s="221"/>
      <c r="CA20" s="16">
        <f>BZ20</f>
        <v>0</v>
      </c>
      <c r="CB20" s="221">
        <f>data!CB66</f>
        <v>0</v>
      </c>
      <c r="CC20" s="221">
        <f>data!CC66</f>
        <v>0</v>
      </c>
      <c r="CD20" s="221">
        <f>data!CD66</f>
        <v>0</v>
      </c>
      <c r="CE20" s="221">
        <f>data!CE66</f>
        <v>0</v>
      </c>
      <c r="CF20" s="16">
        <f>CE20</f>
        <v>0</v>
      </c>
      <c r="CG20" s="221">
        <f>data!CG66</f>
        <v>0</v>
      </c>
      <c r="CH20" s="221">
        <f>data!CH66</f>
        <v>0</v>
      </c>
      <c r="CI20" s="221">
        <f>data!CI66</f>
        <v>0</v>
      </c>
      <c r="CJ20" s="221">
        <f>data!CJ66</f>
        <v>0</v>
      </c>
      <c r="CK20" s="222">
        <f>CJ20</f>
        <v>0</v>
      </c>
      <c r="CL20" s="221">
        <f>data!CL66</f>
        <v>0</v>
      </c>
      <c r="CM20" s="221">
        <f>data!CM66</f>
        <v>0</v>
      </c>
      <c r="CN20" s="221">
        <f>data!CN66</f>
        <v>0</v>
      </c>
      <c r="CO20" s="221">
        <f>data!CO66</f>
        <v>14253</v>
      </c>
      <c r="CP20" s="222">
        <f>CO20</f>
        <v>14253</v>
      </c>
      <c r="CQ20" s="221">
        <f>data!CQ66</f>
        <v>14232</v>
      </c>
      <c r="CR20" s="221">
        <f>data!CR66</f>
        <v>14864</v>
      </c>
      <c r="CS20" s="221">
        <f>data!CS66</f>
        <v>14466</v>
      </c>
      <c r="CT20" s="221">
        <f>data!CT66</f>
        <v>10855</v>
      </c>
      <c r="CU20" s="222">
        <f>CT20</f>
        <v>10855</v>
      </c>
      <c r="CV20" s="221">
        <f>data!CV66</f>
        <v>10583</v>
      </c>
      <c r="CW20" s="221">
        <f>data!CW66</f>
        <v>10956</v>
      </c>
      <c r="CX20" s="221">
        <f>data!CX66</f>
        <v>11504</v>
      </c>
      <c r="CY20" s="221">
        <f>data!CY66</f>
        <v>10001</v>
      </c>
      <c r="CZ20" s="222">
        <f>CY20</f>
        <v>10001</v>
      </c>
      <c r="DA20" s="221">
        <f>data!DA66</f>
        <v>10344</v>
      </c>
      <c r="DB20" s="221">
        <f>data!DB66</f>
        <v>10354</v>
      </c>
      <c r="DC20" s="221">
        <f>data!DC66</f>
        <v>10235</v>
      </c>
      <c r="DD20" s="221">
        <f>data!DD66</f>
        <v>10575</v>
      </c>
      <c r="DE20" s="222">
        <f>DD20</f>
        <v>10575</v>
      </c>
      <c r="DF20" s="221">
        <f>data!DF66</f>
        <v>10316</v>
      </c>
      <c r="DG20" s="221">
        <f>data!DG66</f>
        <v>7338</v>
      </c>
      <c r="DH20" s="221">
        <f>data!DH66</f>
        <v>7491</v>
      </c>
      <c r="DI20" s="221">
        <f>data!DI66</f>
        <v>7111</v>
      </c>
      <c r="DJ20" s="222">
        <f t="shared" si="48"/>
        <v>7111</v>
      </c>
      <c r="DK20" s="221">
        <f>data!DK66</f>
        <v>6956</v>
      </c>
      <c r="DL20" s="221">
        <f>data!DL66</f>
        <v>6890</v>
      </c>
      <c r="DM20" s="246">
        <f t="shared" si="57"/>
        <v>6890</v>
      </c>
      <c r="DN20" s="246">
        <f t="shared" si="58"/>
        <v>6890</v>
      </c>
      <c r="DO20" s="222">
        <f t="shared" si="55"/>
        <v>6890</v>
      </c>
      <c r="DP20" s="246">
        <f t="shared" si="59"/>
        <v>6890</v>
      </c>
      <c r="DQ20" s="246">
        <f t="shared" si="59"/>
        <v>6890</v>
      </c>
      <c r="DR20" s="246">
        <f t="shared" si="60"/>
        <v>6890</v>
      </c>
      <c r="DS20" s="246">
        <f t="shared" si="61"/>
        <v>6890</v>
      </c>
      <c r="DT20" s="222">
        <f t="shared" si="56"/>
        <v>6890</v>
      </c>
      <c r="DU20" s="247">
        <f t="shared" ref="DU20:DV21" si="63">DT20</f>
        <v>6890</v>
      </c>
      <c r="DV20" s="247">
        <f t="shared" si="63"/>
        <v>6890</v>
      </c>
    </row>
    <row r="21" spans="2:126" s="15" customFormat="1">
      <c r="B21" s="15" t="s">
        <v>52</v>
      </c>
      <c r="C21" s="16" t="e">
        <f>data!#REF!</f>
        <v>#REF!</v>
      </c>
      <c r="D21" s="16" t="e">
        <f>data!#REF!</f>
        <v>#REF!</v>
      </c>
      <c r="E21" s="16" t="e">
        <f>data!#REF!</f>
        <v>#REF!</v>
      </c>
      <c r="F21" s="16" t="e">
        <f>data!#REF!</f>
        <v>#REF!</v>
      </c>
      <c r="G21" s="16" t="e">
        <f>data!#REF!</f>
        <v>#REF!</v>
      </c>
      <c r="H21" s="16" t="e">
        <f>data!#REF!</f>
        <v>#REF!</v>
      </c>
      <c r="I21" s="16" t="e">
        <f>data!#REF!</f>
        <v>#REF!</v>
      </c>
      <c r="N21" s="16"/>
      <c r="S21" s="16"/>
      <c r="X21" s="16"/>
      <c r="AC21" s="16"/>
      <c r="AH21" s="16"/>
      <c r="AM21" s="16"/>
      <c r="AR21" s="16"/>
      <c r="AW21" s="16"/>
      <c r="AX21" s="221"/>
      <c r="AY21" s="221"/>
      <c r="AZ21" s="221"/>
      <c r="BA21" s="221"/>
      <c r="BB21" s="16"/>
      <c r="BC21" s="221"/>
      <c r="BD21" s="221"/>
      <c r="BE21" s="221"/>
      <c r="BF21" s="221"/>
      <c r="BG21" s="16"/>
      <c r="BH21" s="221"/>
      <c r="BI21" s="221"/>
      <c r="BJ21" s="221"/>
      <c r="BK21" s="221"/>
      <c r="BL21" s="16"/>
      <c r="BM21" s="221"/>
      <c r="BN21" s="221"/>
      <c r="BO21" s="221"/>
      <c r="BP21" s="221"/>
      <c r="BQ21" s="16"/>
      <c r="BR21" s="246"/>
      <c r="BS21" s="221"/>
      <c r="BT21" s="221"/>
      <c r="BU21" s="221"/>
      <c r="BV21" s="16"/>
      <c r="BW21" s="221"/>
      <c r="BX21" s="221"/>
      <c r="BY21" s="221"/>
      <c r="BZ21" s="221"/>
      <c r="CA21" s="16">
        <f>BZ21</f>
        <v>0</v>
      </c>
      <c r="CB21" s="221"/>
      <c r="CC21" s="221"/>
      <c r="CD21" s="221"/>
      <c r="CE21" s="221"/>
      <c r="CF21" s="16"/>
      <c r="CG21" s="221"/>
      <c r="CH21" s="221"/>
      <c r="CI21" s="221"/>
      <c r="CJ21" s="221"/>
      <c r="CK21" s="222"/>
      <c r="CL21" s="221"/>
      <c r="CM21" s="221"/>
      <c r="CN21" s="221"/>
      <c r="CO21" s="221">
        <f>data!CO65+data!CO67</f>
        <v>56449</v>
      </c>
      <c r="CP21" s="222">
        <f>CO21</f>
        <v>56449</v>
      </c>
      <c r="CQ21" s="221">
        <f>data!CQ65+data!CQ67</f>
        <v>19951</v>
      </c>
      <c r="CR21" s="221">
        <f>data!CR65+data!CR67</f>
        <v>20368</v>
      </c>
      <c r="CS21" s="221">
        <f>data!CS65+data!CS67</f>
        <v>20174</v>
      </c>
      <c r="CT21" s="221">
        <f>data!CT65+data!CT67</f>
        <v>22217</v>
      </c>
      <c r="CU21" s="222">
        <f>CT21</f>
        <v>22217</v>
      </c>
      <c r="CV21" s="221">
        <f>data!CV65+data!CV67</f>
        <v>22702</v>
      </c>
      <c r="CW21" s="221">
        <f>data!CW65+data!CW67</f>
        <v>22936</v>
      </c>
      <c r="CX21" s="221">
        <f>data!CX65+data!CX67</f>
        <v>22152</v>
      </c>
      <c r="CY21" s="221">
        <f>data!CY65+data!CY67</f>
        <v>47368</v>
      </c>
      <c r="CZ21" s="222">
        <f>CY21</f>
        <v>47368</v>
      </c>
      <c r="DA21" s="221">
        <f>data!DA65+data!DA67</f>
        <v>18682</v>
      </c>
      <c r="DB21" s="221">
        <f>data!DB65+data!DB67</f>
        <v>17934</v>
      </c>
      <c r="DC21" s="221">
        <f>data!DC65+data!DC67</f>
        <v>17867</v>
      </c>
      <c r="DD21" s="221">
        <f>data!DD65+data!DD67</f>
        <v>17691</v>
      </c>
      <c r="DE21" s="222">
        <f>DD21</f>
        <v>17691</v>
      </c>
      <c r="DF21" s="221">
        <f>data!DF65+data!DF67</f>
        <v>18703</v>
      </c>
      <c r="DG21" s="221">
        <f>data!DG65+data!DG67</f>
        <v>15222</v>
      </c>
      <c r="DH21" s="221">
        <f>data!DH65+data!DH67</f>
        <v>15842</v>
      </c>
      <c r="DI21" s="221">
        <f>data!DI65+data!DI67</f>
        <v>15750</v>
      </c>
      <c r="DJ21" s="222">
        <f t="shared" si="48"/>
        <v>15750</v>
      </c>
      <c r="DK21" s="221">
        <f>data!DK65+data!DK67</f>
        <v>16348</v>
      </c>
      <c r="DL21" s="221">
        <f>data!DL65+data!DL67</f>
        <v>17010</v>
      </c>
      <c r="DM21" s="246">
        <f t="shared" si="57"/>
        <v>17010</v>
      </c>
      <c r="DN21" s="246">
        <f t="shared" si="58"/>
        <v>17010</v>
      </c>
      <c r="DO21" s="222">
        <f t="shared" si="55"/>
        <v>17010</v>
      </c>
      <c r="DP21" s="246">
        <f t="shared" si="59"/>
        <v>17010</v>
      </c>
      <c r="DQ21" s="246">
        <f t="shared" si="59"/>
        <v>17010</v>
      </c>
      <c r="DR21" s="246">
        <f t="shared" si="60"/>
        <v>17010</v>
      </c>
      <c r="DS21" s="246">
        <f t="shared" si="61"/>
        <v>17010</v>
      </c>
      <c r="DT21" s="222">
        <f t="shared" si="56"/>
        <v>17010</v>
      </c>
      <c r="DU21" s="247">
        <f t="shared" si="63"/>
        <v>17010</v>
      </c>
      <c r="DV21" s="247">
        <f t="shared" si="63"/>
        <v>17010</v>
      </c>
    </row>
    <row r="22" spans="2:126" s="15" customFormat="1" ht="12">
      <c r="B22" s="249" t="s">
        <v>135</v>
      </c>
      <c r="C22" s="250" t="e">
        <f t="shared" ref="C22:AC22" si="64">SUM(C14:C21)</f>
        <v>#REF!</v>
      </c>
      <c r="D22" s="250" t="e">
        <f t="shared" si="64"/>
        <v>#REF!</v>
      </c>
      <c r="E22" s="250" t="e">
        <f t="shared" si="64"/>
        <v>#REF!</v>
      </c>
      <c r="F22" s="250" t="e">
        <f t="shared" si="64"/>
        <v>#REF!</v>
      </c>
      <c r="G22" s="250" t="e">
        <f t="shared" si="64"/>
        <v>#REF!</v>
      </c>
      <c r="H22" s="250" t="e">
        <f t="shared" si="64"/>
        <v>#REF!</v>
      </c>
      <c r="I22" s="250" t="e">
        <f t="shared" si="64"/>
        <v>#REF!</v>
      </c>
      <c r="J22" s="249">
        <f t="shared" si="64"/>
        <v>0</v>
      </c>
      <c r="K22" s="249">
        <f t="shared" si="64"/>
        <v>0</v>
      </c>
      <c r="L22" s="249">
        <f t="shared" si="64"/>
        <v>0</v>
      </c>
      <c r="M22" s="249">
        <f t="shared" si="64"/>
        <v>0</v>
      </c>
      <c r="N22" s="250">
        <f t="shared" si="64"/>
        <v>0</v>
      </c>
      <c r="O22" s="249">
        <f t="shared" si="64"/>
        <v>0</v>
      </c>
      <c r="P22" s="249">
        <f t="shared" si="64"/>
        <v>0</v>
      </c>
      <c r="Q22" s="249">
        <f t="shared" si="64"/>
        <v>0</v>
      </c>
      <c r="R22" s="249">
        <f t="shared" si="64"/>
        <v>0</v>
      </c>
      <c r="S22" s="250">
        <f t="shared" si="64"/>
        <v>0</v>
      </c>
      <c r="T22" s="249">
        <f t="shared" si="64"/>
        <v>0</v>
      </c>
      <c r="U22" s="249">
        <f t="shared" si="64"/>
        <v>0</v>
      </c>
      <c r="V22" s="249">
        <f t="shared" si="64"/>
        <v>0</v>
      </c>
      <c r="W22" s="249">
        <f t="shared" si="64"/>
        <v>0</v>
      </c>
      <c r="X22" s="250">
        <f t="shared" si="64"/>
        <v>0</v>
      </c>
      <c r="Y22" s="249">
        <f t="shared" si="64"/>
        <v>0</v>
      </c>
      <c r="Z22" s="249">
        <f t="shared" si="64"/>
        <v>0</v>
      </c>
      <c r="AA22" s="249">
        <f t="shared" si="64"/>
        <v>0</v>
      </c>
      <c r="AB22" s="249">
        <f t="shared" si="64"/>
        <v>0</v>
      </c>
      <c r="AC22" s="250">
        <f t="shared" si="64"/>
        <v>0</v>
      </c>
      <c r="AD22" s="249"/>
      <c r="AE22" s="249"/>
      <c r="AF22" s="249"/>
      <c r="AG22" s="249"/>
      <c r="AH22" s="250"/>
      <c r="AI22" s="249"/>
      <c r="AJ22" s="249"/>
      <c r="AK22" s="249"/>
      <c r="AL22" s="249"/>
      <c r="AM22" s="250"/>
      <c r="AN22" s="249"/>
      <c r="AO22" s="249"/>
      <c r="AP22" s="249"/>
      <c r="AQ22" s="249"/>
      <c r="AR22" s="250"/>
      <c r="AS22" s="249"/>
      <c r="AT22" s="249"/>
      <c r="AU22" s="249"/>
      <c r="AV22" s="249"/>
      <c r="AW22" s="250"/>
      <c r="AX22" s="234"/>
      <c r="AY22" s="234"/>
      <c r="AZ22" s="234"/>
      <c r="BA22" s="234"/>
      <c r="BB22" s="250"/>
      <c r="BC22" s="234"/>
      <c r="BD22" s="234"/>
      <c r="BE22" s="249"/>
      <c r="BF22" s="249"/>
      <c r="BG22" s="250"/>
      <c r="BH22" s="234"/>
      <c r="BI22" s="249"/>
      <c r="BJ22" s="249"/>
      <c r="BK22" s="249"/>
      <c r="BL22" s="250"/>
      <c r="BM22" s="249"/>
      <c r="BN22" s="249"/>
      <c r="BO22" s="249"/>
      <c r="BP22" s="249"/>
      <c r="BQ22" s="250"/>
      <c r="BR22" s="249"/>
      <c r="BS22" s="249"/>
      <c r="BT22" s="249"/>
      <c r="BU22" s="249"/>
      <c r="BV22" s="250"/>
      <c r="BW22" s="249"/>
      <c r="BX22" s="249"/>
      <c r="BY22" s="249"/>
      <c r="BZ22" s="249"/>
      <c r="CA22" s="250">
        <f>BZ22</f>
        <v>0</v>
      </c>
      <c r="CB22" s="249">
        <f>SUM(CB14:CB21)</f>
        <v>0</v>
      </c>
      <c r="CC22" s="249">
        <f t="shared" ref="CC22:CD22" si="65">SUM(CC14:CC21)</f>
        <v>0</v>
      </c>
      <c r="CD22" s="249">
        <f t="shared" si="65"/>
        <v>0</v>
      </c>
      <c r="CE22" s="249">
        <f t="shared" ref="CE22" si="66">SUM(CE14:CE21)</f>
        <v>0</v>
      </c>
      <c r="CF22" s="250">
        <f>CE22</f>
        <v>0</v>
      </c>
      <c r="CG22" s="249">
        <f t="shared" ref="CG22" si="67">SUM(CG14:CG21)</f>
        <v>0</v>
      </c>
      <c r="CH22" s="249">
        <f t="shared" ref="CH22:CI22" si="68">SUM(CH14:CH21)</f>
        <v>0</v>
      </c>
      <c r="CI22" s="249">
        <f t="shared" si="68"/>
        <v>0</v>
      </c>
      <c r="CJ22" s="249">
        <f t="shared" ref="CJ22" si="69">SUM(CJ14:CJ21)</f>
        <v>0</v>
      </c>
      <c r="CK22" s="236">
        <f>CJ22</f>
        <v>0</v>
      </c>
      <c r="CL22" s="249">
        <f t="shared" ref="CL22" si="70">SUM(CL14:CL21)</f>
        <v>0</v>
      </c>
      <c r="CM22" s="249">
        <f t="shared" ref="CM22" si="71">SUM(CM14:CM21)</f>
        <v>0</v>
      </c>
      <c r="CN22" s="249">
        <f t="shared" ref="CN22:CO22" si="72">SUM(CN14:CN21)</f>
        <v>0</v>
      </c>
      <c r="CO22" s="249">
        <f t="shared" si="72"/>
        <v>256211</v>
      </c>
      <c r="CP22" s="236">
        <f>CO22</f>
        <v>256211</v>
      </c>
      <c r="CQ22" s="249">
        <f t="shared" ref="CQ22" si="73">SUM(CQ14:CQ21)</f>
        <v>245164</v>
      </c>
      <c r="CR22" s="249">
        <f t="shared" ref="CR22:CT22" si="74">SUM(CR14:CR21)</f>
        <v>237559</v>
      </c>
      <c r="CS22" s="249">
        <f t="shared" si="74"/>
        <v>237133</v>
      </c>
      <c r="CT22" s="249">
        <f t="shared" si="74"/>
        <v>198874</v>
      </c>
      <c r="CU22" s="236">
        <f>CT22</f>
        <v>198874</v>
      </c>
      <c r="CV22" s="249">
        <f t="shared" ref="CV22:CY22" si="75">SUM(CV14:CV21)</f>
        <v>191961</v>
      </c>
      <c r="CW22" s="249">
        <f t="shared" si="75"/>
        <v>185540</v>
      </c>
      <c r="CX22" s="249">
        <f t="shared" si="75"/>
        <v>180877</v>
      </c>
      <c r="CY22" s="249">
        <f t="shared" si="75"/>
        <v>188851</v>
      </c>
      <c r="CZ22" s="236">
        <f>CY22</f>
        <v>188851</v>
      </c>
      <c r="DA22" s="249">
        <f t="shared" ref="DA22:DD22" si="76">SUM(DA14:DA21)</f>
        <v>164472</v>
      </c>
      <c r="DB22" s="249">
        <f t="shared" si="76"/>
        <v>163006</v>
      </c>
      <c r="DC22" s="249">
        <f t="shared" si="76"/>
        <v>156662</v>
      </c>
      <c r="DD22" s="249">
        <f t="shared" si="76"/>
        <v>163045</v>
      </c>
      <c r="DE22" s="236">
        <f>DD22</f>
        <v>163045</v>
      </c>
      <c r="DF22" s="249">
        <f t="shared" ref="DF22:DJ22" si="77">SUM(DF14:DF21)</f>
        <v>163942</v>
      </c>
      <c r="DG22" s="249">
        <f t="shared" si="77"/>
        <v>123190</v>
      </c>
      <c r="DH22" s="249">
        <f t="shared" ref="DH22:DI22" si="78">SUM(DH14:DH21)</f>
        <v>126699</v>
      </c>
      <c r="DI22" s="249">
        <f t="shared" si="78"/>
        <v>123140</v>
      </c>
      <c r="DJ22" s="236">
        <f t="shared" si="77"/>
        <v>123140</v>
      </c>
      <c r="DK22" s="249">
        <f t="shared" ref="DK22:DL22" si="79">SUM(DK14:DK21)</f>
        <v>124123</v>
      </c>
      <c r="DL22" s="249">
        <f t="shared" si="79"/>
        <v>125256</v>
      </c>
      <c r="DM22" s="249">
        <f t="shared" ref="DM22" si="80">SUM(DM14:DM21)</f>
        <v>118627.44368475408</v>
      </c>
      <c r="DN22" s="249">
        <f>SUM(DN14:DN21)</f>
        <v>118779.11203302667</v>
      </c>
      <c r="DO22" s="236">
        <f t="shared" ref="DO22:DR22" si="81">SUM(DO14:DO21)</f>
        <v>118779.11203302667</v>
      </c>
      <c r="DP22" s="249">
        <f t="shared" ref="DP22" si="82">SUM(DP14:DP21)</f>
        <v>116825.55167180867</v>
      </c>
      <c r="DQ22" s="249">
        <f t="shared" si="81"/>
        <v>117682.26299559066</v>
      </c>
      <c r="DR22" s="249">
        <f t="shared" si="81"/>
        <v>117378.81124186155</v>
      </c>
      <c r="DS22" s="249">
        <f>SUM(DS14:DS21)</f>
        <v>119369.28525451104</v>
      </c>
      <c r="DT22" s="236">
        <f t="shared" ref="DT22" si="83">SUM(DT14:DT21)</f>
        <v>119369.28525451104</v>
      </c>
      <c r="DU22" s="250">
        <f t="shared" ref="DU22" si="84">SUM(DU14:DU21)</f>
        <v>116971.04882259255</v>
      </c>
      <c r="DV22" s="250">
        <f>SUM(DV14:DV21)</f>
        <v>117268.23076074314</v>
      </c>
    </row>
    <row r="23" spans="2:126" s="15" customFormat="1">
      <c r="C23" s="16"/>
      <c r="D23" s="16"/>
      <c r="E23" s="16"/>
      <c r="F23" s="16"/>
      <c r="G23" s="16"/>
      <c r="H23" s="16"/>
      <c r="I23" s="16"/>
      <c r="N23" s="16"/>
      <c r="S23" s="16"/>
      <c r="X23" s="16"/>
      <c r="AC23" s="16"/>
      <c r="AH23" s="16"/>
      <c r="AM23" s="16"/>
      <c r="AR23" s="16"/>
      <c r="AW23" s="16"/>
      <c r="AX23" s="221"/>
      <c r="BB23" s="16"/>
      <c r="BC23" s="221"/>
      <c r="BD23" s="221"/>
      <c r="BG23" s="16"/>
      <c r="BL23" s="16"/>
      <c r="BQ23" s="16"/>
      <c r="BV23" s="16"/>
      <c r="CA23" s="16"/>
      <c r="CF23" s="16"/>
      <c r="CK23" s="222"/>
      <c r="CP23" s="222"/>
      <c r="CU23" s="222"/>
      <c r="CZ23" s="222"/>
      <c r="DE23" s="354"/>
      <c r="DJ23" s="950"/>
      <c r="DO23" s="299"/>
      <c r="DT23" s="299"/>
      <c r="DU23" s="16"/>
      <c r="DV23" s="16"/>
    </row>
    <row r="24" spans="2:126" s="15" customFormat="1" ht="12">
      <c r="B24" s="110" t="s">
        <v>109</v>
      </c>
      <c r="C24" s="16"/>
      <c r="D24" s="16"/>
      <c r="E24" s="16"/>
      <c r="F24" s="16"/>
      <c r="G24" s="16"/>
      <c r="H24" s="16"/>
      <c r="I24" s="16"/>
      <c r="N24" s="16"/>
      <c r="S24" s="16"/>
      <c r="X24" s="16"/>
      <c r="AC24" s="16"/>
      <c r="AH24" s="16"/>
      <c r="AM24" s="16"/>
      <c r="AR24" s="16"/>
      <c r="AW24" s="16"/>
      <c r="AX24" s="221"/>
      <c r="BB24" s="16"/>
      <c r="BC24" s="221"/>
      <c r="BD24" s="221"/>
      <c r="BG24" s="16"/>
      <c r="BL24" s="16"/>
      <c r="BQ24" s="16"/>
      <c r="BV24" s="16"/>
      <c r="CA24" s="16"/>
      <c r="CF24" s="16"/>
      <c r="CK24" s="222"/>
      <c r="CP24" s="222"/>
      <c r="CU24" s="222"/>
      <c r="CZ24" s="222"/>
      <c r="DE24" s="222"/>
      <c r="DJ24" s="222"/>
      <c r="DO24" s="16"/>
      <c r="DT24" s="16"/>
      <c r="DU24" s="16"/>
      <c r="DV24" s="16"/>
    </row>
    <row r="25" spans="2:126" s="15" customFormat="1">
      <c r="B25" s="397" t="s">
        <v>486</v>
      </c>
      <c r="C25" s="16"/>
      <c r="D25" s="16"/>
      <c r="E25" s="16"/>
      <c r="F25" s="16"/>
      <c r="G25" s="16"/>
      <c r="H25" s="16"/>
      <c r="I25" s="16"/>
      <c r="N25" s="16"/>
      <c r="S25" s="16"/>
      <c r="X25" s="16"/>
      <c r="AC25" s="16"/>
      <c r="AH25" s="16"/>
      <c r="AM25" s="16"/>
      <c r="AR25" s="16"/>
      <c r="AW25" s="16"/>
      <c r="AX25" s="221"/>
      <c r="AY25" s="221"/>
      <c r="AZ25" s="221"/>
      <c r="BA25" s="221"/>
      <c r="BB25" s="16"/>
      <c r="BC25" s="221"/>
      <c r="BD25" s="221"/>
      <c r="BE25" s="221"/>
      <c r="BF25" s="221"/>
      <c r="BG25" s="16"/>
      <c r="BH25" s="221"/>
      <c r="BI25" s="221"/>
      <c r="BJ25" s="221"/>
      <c r="BK25" s="221"/>
      <c r="BL25" s="16"/>
      <c r="BM25" s="221"/>
      <c r="BN25" s="221"/>
      <c r="BO25" s="221"/>
      <c r="BP25" s="221"/>
      <c r="BQ25" s="16"/>
      <c r="BR25" s="221"/>
      <c r="BS25" s="221"/>
      <c r="BT25" s="221"/>
      <c r="BU25" s="221"/>
      <c r="BV25" s="16"/>
      <c r="BW25" s="221"/>
      <c r="BX25" s="221"/>
      <c r="BY25" s="221"/>
      <c r="BZ25" s="221"/>
      <c r="CA25" s="16">
        <f>(BZ25)+0</f>
        <v>0</v>
      </c>
      <c r="CB25" s="221"/>
      <c r="CC25" s="221"/>
      <c r="CD25" s="221"/>
      <c r="CE25" s="221"/>
      <c r="CF25" s="16">
        <f>(CE25)+0</f>
        <v>0</v>
      </c>
      <c r="CG25" s="221"/>
      <c r="CH25" s="221"/>
      <c r="CI25" s="221"/>
      <c r="CJ25" s="221"/>
      <c r="CK25" s="222"/>
      <c r="CL25" s="221"/>
      <c r="CM25" s="221"/>
      <c r="CN25" s="221"/>
      <c r="CO25" s="221">
        <f>data!CO71</f>
        <v>4713</v>
      </c>
      <c r="CP25" s="222">
        <f>(CO25)+0</f>
        <v>4713</v>
      </c>
      <c r="CQ25" s="221">
        <f>data!CQ71</f>
        <v>4468</v>
      </c>
      <c r="CR25" s="221">
        <f>data!CR71</f>
        <v>4293</v>
      </c>
      <c r="CS25" s="221">
        <f>data!CS71</f>
        <v>5459</v>
      </c>
      <c r="CT25" s="221">
        <f>data!CT71</f>
        <v>4361</v>
      </c>
      <c r="CU25" s="222">
        <f>(CT25)+0</f>
        <v>4361</v>
      </c>
      <c r="CV25" s="221">
        <f>data!CV71</f>
        <v>4985</v>
      </c>
      <c r="CW25" s="221">
        <f>data!CW71</f>
        <v>4947</v>
      </c>
      <c r="CX25" s="221">
        <f>data!CX71</f>
        <v>4285</v>
      </c>
      <c r="CY25" s="221">
        <f>data!CY71</f>
        <v>3739</v>
      </c>
      <c r="CZ25" s="222">
        <f>(CY25)+0</f>
        <v>3739</v>
      </c>
      <c r="DA25" s="221">
        <f>data!DA71</f>
        <v>2262</v>
      </c>
      <c r="DB25" s="221">
        <f>data!DB71</f>
        <v>1882</v>
      </c>
      <c r="DC25" s="221">
        <f>data!DC71</f>
        <v>1334</v>
      </c>
      <c r="DD25" s="221">
        <f>data!DD71</f>
        <v>1253</v>
      </c>
      <c r="DE25" s="222">
        <f>(DD25)+0</f>
        <v>1253</v>
      </c>
      <c r="DF25" s="221">
        <f>data!DF71</f>
        <v>1032</v>
      </c>
      <c r="DG25" s="221">
        <f>data!DG71</f>
        <v>1700</v>
      </c>
      <c r="DH25" s="221">
        <f>data!DH71</f>
        <v>1681</v>
      </c>
      <c r="DI25" s="221">
        <f>data!DI71</f>
        <v>2039</v>
      </c>
      <c r="DJ25" s="222">
        <f>DI25</f>
        <v>2039</v>
      </c>
      <c r="DK25" s="221">
        <f>data!DK71</f>
        <v>2084</v>
      </c>
      <c r="DL25" s="221">
        <f>data!DL71</f>
        <v>1889</v>
      </c>
      <c r="DM25" s="248">
        <f>CFLO!DM37+DL25</f>
        <v>1889</v>
      </c>
      <c r="DN25" s="248">
        <f>CFLO!DN37+DM25</f>
        <v>1889</v>
      </c>
      <c r="DO25" s="222">
        <f>+DN25</f>
        <v>1889</v>
      </c>
      <c r="DP25" s="248">
        <f>CFLO!DP37+DO25</f>
        <v>1889</v>
      </c>
      <c r="DQ25" s="248">
        <f>CFLO!DQ37+DP25</f>
        <v>1889</v>
      </c>
      <c r="DR25" s="248">
        <f>CFLO!DR37+DQ25</f>
        <v>1889</v>
      </c>
      <c r="DS25" s="248">
        <f>CFLO!DS37+DR25</f>
        <v>1889</v>
      </c>
      <c r="DT25" s="222">
        <f>CFLO!DT37+DS25</f>
        <v>1889</v>
      </c>
      <c r="DU25" s="152">
        <f>CFLO!DU37+DT25</f>
        <v>1889</v>
      </c>
      <c r="DV25" s="152">
        <f>CFLO!DV37+DU25</f>
        <v>1889</v>
      </c>
    </row>
    <row r="26" spans="2:126" s="15" customFormat="1">
      <c r="B26" s="101" t="s">
        <v>54</v>
      </c>
      <c r="C26" s="16">
        <f>data!C72</f>
        <v>0</v>
      </c>
      <c r="D26" s="16">
        <f>data!D72</f>
        <v>0</v>
      </c>
      <c r="E26" s="16">
        <f>data!E72</f>
        <v>0</v>
      </c>
      <c r="F26" s="16">
        <f>data!F72</f>
        <v>0</v>
      </c>
      <c r="G26" s="16">
        <f>data!G72</f>
        <v>0</v>
      </c>
      <c r="H26" s="16">
        <f>data!H72</f>
        <v>0</v>
      </c>
      <c r="I26" s="16">
        <f>data!I72</f>
        <v>0</v>
      </c>
      <c r="N26" s="16"/>
      <c r="S26" s="16"/>
      <c r="X26" s="16"/>
      <c r="AC26" s="16"/>
      <c r="AH26" s="16"/>
      <c r="AM26" s="16"/>
      <c r="AR26" s="16"/>
      <c r="AW26" s="16"/>
      <c r="AX26" s="221"/>
      <c r="AY26" s="221"/>
      <c r="AZ26" s="221"/>
      <c r="BA26" s="221"/>
      <c r="BB26" s="16"/>
      <c r="BC26" s="221"/>
      <c r="BD26" s="221"/>
      <c r="BE26" s="221"/>
      <c r="BF26" s="221"/>
      <c r="BG26" s="16"/>
      <c r="BH26" s="221"/>
      <c r="BI26" s="221"/>
      <c r="BJ26" s="221"/>
      <c r="BK26" s="221"/>
      <c r="BL26" s="16"/>
      <c r="BM26" s="221"/>
      <c r="BN26" s="221"/>
      <c r="BO26" s="221"/>
      <c r="BP26" s="221"/>
      <c r="BQ26" s="16"/>
      <c r="BR26" s="248"/>
      <c r="BS26" s="221"/>
      <c r="BT26" s="221"/>
      <c r="BU26" s="221"/>
      <c r="BV26" s="16"/>
      <c r="BW26" s="221"/>
      <c r="BX26" s="221"/>
      <c r="BY26" s="221"/>
      <c r="BZ26" s="221"/>
      <c r="CA26" s="16">
        <f>BZ26</f>
        <v>0</v>
      </c>
      <c r="CB26" s="221"/>
      <c r="CC26" s="221"/>
      <c r="CD26" s="221"/>
      <c r="CE26" s="221"/>
      <c r="CF26" s="16">
        <f>CE26</f>
        <v>0</v>
      </c>
      <c r="CG26" s="221">
        <f>data!CG72</f>
        <v>0</v>
      </c>
      <c r="CH26" s="221">
        <f>data!CH72</f>
        <v>0</v>
      </c>
      <c r="CI26" s="221">
        <f>data!CI72</f>
        <v>0</v>
      </c>
      <c r="CJ26" s="221">
        <f>data!CJ72</f>
        <v>0</v>
      </c>
      <c r="CK26" s="222">
        <f>CJ26</f>
        <v>0</v>
      </c>
      <c r="CL26" s="221">
        <f>data!CL72</f>
        <v>0</v>
      </c>
      <c r="CM26" s="221">
        <f>data!CM72</f>
        <v>0</v>
      </c>
      <c r="CN26" s="221">
        <f>data!CN72</f>
        <v>0</v>
      </c>
      <c r="CO26" s="221">
        <f>data!CO72</f>
        <v>16458</v>
      </c>
      <c r="CP26" s="222">
        <f>CO26</f>
        <v>16458</v>
      </c>
      <c r="CQ26" s="221">
        <f>data!CQ72</f>
        <v>16090</v>
      </c>
      <c r="CR26" s="221">
        <f>data!CR72</f>
        <v>16653</v>
      </c>
      <c r="CS26" s="221">
        <f>data!CS72</f>
        <v>16172</v>
      </c>
      <c r="CT26" s="221">
        <f>data!CT72</f>
        <v>16243</v>
      </c>
      <c r="CU26" s="222">
        <f>CT26</f>
        <v>16243</v>
      </c>
      <c r="CV26" s="221">
        <f>data!CV72</f>
        <v>16206</v>
      </c>
      <c r="CW26" s="221">
        <f>data!CW72</f>
        <v>17030</v>
      </c>
      <c r="CX26" s="221">
        <f>data!CX72</f>
        <v>17331</v>
      </c>
      <c r="CY26" s="221">
        <f>data!CY72</f>
        <v>15399</v>
      </c>
      <c r="CZ26" s="222">
        <f>CY26</f>
        <v>15399</v>
      </c>
      <c r="DA26" s="221">
        <f>data!DA72</f>
        <v>15063</v>
      </c>
      <c r="DB26" s="221">
        <f>data!DB72</f>
        <v>15515</v>
      </c>
      <c r="DC26" s="221">
        <f>data!DC72</f>
        <v>15785</v>
      </c>
      <c r="DD26" s="221">
        <f>data!DD72</f>
        <v>15408</v>
      </c>
      <c r="DE26" s="222">
        <f>DD26</f>
        <v>15408</v>
      </c>
      <c r="DF26" s="221">
        <f>data!DF72</f>
        <v>15184</v>
      </c>
      <c r="DG26" s="221">
        <f>data!DG72</f>
        <v>7707</v>
      </c>
      <c r="DH26" s="221">
        <f>data!DH72</f>
        <v>7829</v>
      </c>
      <c r="DI26" s="221">
        <f>data!DI72</f>
        <v>7909</v>
      </c>
      <c r="DJ26" s="222">
        <f>DI26</f>
        <v>7909</v>
      </c>
      <c r="DK26" s="221">
        <f>data!DK72</f>
        <v>8625</v>
      </c>
      <c r="DL26" s="221">
        <f>data!DL72</f>
        <v>9495</v>
      </c>
      <c r="DM26" s="248">
        <f>-IS!DM10*DM74/90</f>
        <v>6624.2115777777781</v>
      </c>
      <c r="DN26" s="248">
        <f>-IS!DN10*DN74/90</f>
        <v>6868.1461666666673</v>
      </c>
      <c r="DO26" s="222">
        <f>DN26</f>
        <v>6868.1461666666673</v>
      </c>
      <c r="DP26" s="248">
        <f>-IS!DP10*DP74/90</f>
        <v>6291.3293999999996</v>
      </c>
      <c r="DQ26" s="248">
        <f>-IS!DQ10*DQ74/90</f>
        <v>7124.4033333333327</v>
      </c>
      <c r="DR26" s="248">
        <f>-IS!DR10*DR74/90</f>
        <v>7380.1274586666686</v>
      </c>
      <c r="DS26" s="248">
        <f>-IS!DS10*DS74/90</f>
        <v>7668.8884471422216</v>
      </c>
      <c r="DT26" s="222">
        <f>DS26</f>
        <v>7668.8884471422216</v>
      </c>
      <c r="DU26" s="152">
        <f>-IS!DU10*DU74/365</f>
        <v>7692.4876712819532</v>
      </c>
      <c r="DV26" s="152">
        <f>-IS!DV10*DV74/365</f>
        <v>8193.1685426978183</v>
      </c>
    </row>
    <row r="27" spans="2:126" s="15" customFormat="1">
      <c r="B27" s="101" t="s">
        <v>488</v>
      </c>
      <c r="C27" s="16">
        <f>data!C73</f>
        <v>0</v>
      </c>
      <c r="D27" s="16">
        <f>data!D73</f>
        <v>0</v>
      </c>
      <c r="E27" s="16">
        <f>data!E73</f>
        <v>0</v>
      </c>
      <c r="F27" s="16">
        <f>data!F73</f>
        <v>0</v>
      </c>
      <c r="G27" s="16">
        <f>data!G73</f>
        <v>0</v>
      </c>
      <c r="H27" s="16">
        <f>data!H73</f>
        <v>0</v>
      </c>
      <c r="I27" s="16">
        <f>data!I73</f>
        <v>0</v>
      </c>
      <c r="N27" s="16"/>
      <c r="S27" s="16"/>
      <c r="X27" s="16"/>
      <c r="AC27" s="16"/>
      <c r="AH27" s="16"/>
      <c r="AM27" s="16"/>
      <c r="AR27" s="16"/>
      <c r="AW27" s="16"/>
      <c r="AX27" s="221"/>
      <c r="AY27" s="221"/>
      <c r="AZ27" s="221"/>
      <c r="BA27" s="221"/>
      <c r="BB27" s="16"/>
      <c r="BC27" s="221"/>
      <c r="BD27" s="221"/>
      <c r="BE27" s="221"/>
      <c r="BF27" s="221"/>
      <c r="BG27" s="16"/>
      <c r="BH27" s="221"/>
      <c r="BI27" s="221"/>
      <c r="BJ27" s="221"/>
      <c r="BK27" s="221"/>
      <c r="BL27" s="16"/>
      <c r="BM27" s="221"/>
      <c r="BN27" s="221"/>
      <c r="BO27" s="221"/>
      <c r="BP27" s="221"/>
      <c r="BQ27" s="16"/>
      <c r="BR27" s="246"/>
      <c r="BS27" s="221"/>
      <c r="BT27" s="221"/>
      <c r="BU27" s="221"/>
      <c r="BV27" s="16"/>
      <c r="BW27" s="221"/>
      <c r="BX27" s="221"/>
      <c r="BY27" s="221"/>
      <c r="BZ27" s="221"/>
      <c r="CA27" s="16">
        <f>(BZ27)+0</f>
        <v>0</v>
      </c>
      <c r="CB27" s="221"/>
      <c r="CC27" s="221"/>
      <c r="CD27" s="221"/>
      <c r="CE27" s="221"/>
      <c r="CF27" s="16">
        <f>(CE27)+0</f>
        <v>0</v>
      </c>
      <c r="CG27" s="221">
        <f>data!CG73</f>
        <v>0</v>
      </c>
      <c r="CH27" s="221">
        <f>data!CH73</f>
        <v>0</v>
      </c>
      <c r="CI27" s="221">
        <f>data!CI73</f>
        <v>0</v>
      </c>
      <c r="CJ27" s="221">
        <f>data!CJ73</f>
        <v>0</v>
      </c>
      <c r="CK27" s="222">
        <f>(CJ27)+0</f>
        <v>0</v>
      </c>
      <c r="CL27" s="221">
        <f>data!CL73</f>
        <v>0</v>
      </c>
      <c r="CM27" s="221">
        <f>data!CM73</f>
        <v>0</v>
      </c>
      <c r="CN27" s="221">
        <f>data!CN73</f>
        <v>0</v>
      </c>
      <c r="CO27" s="221">
        <f>data!CO73</f>
        <v>18371</v>
      </c>
      <c r="CP27" s="222">
        <f>(CO27)+0</f>
        <v>18371</v>
      </c>
      <c r="CQ27" s="221">
        <f>data!CQ73</f>
        <v>17993</v>
      </c>
      <c r="CR27" s="221">
        <f>data!CR73</f>
        <v>17201</v>
      </c>
      <c r="CS27" s="221">
        <f>data!CS73</f>
        <v>16909</v>
      </c>
      <c r="CT27" s="221">
        <f>data!CT73</f>
        <v>17372</v>
      </c>
      <c r="CU27" s="222">
        <f>(CT27)+0</f>
        <v>17372</v>
      </c>
      <c r="CV27" s="221">
        <f>data!CV73</f>
        <v>16206</v>
      </c>
      <c r="CW27" s="221">
        <f>data!CW73</f>
        <v>16360</v>
      </c>
      <c r="CX27" s="221">
        <f>data!CX73</f>
        <v>16445</v>
      </c>
      <c r="CY27" s="221">
        <f>data!CY73</f>
        <v>16216</v>
      </c>
      <c r="CZ27" s="222">
        <f>(CY27)+0</f>
        <v>16216</v>
      </c>
      <c r="DA27" s="221">
        <f>data!DA73</f>
        <v>16586</v>
      </c>
      <c r="DB27" s="221">
        <f>data!DB73</f>
        <v>17142</v>
      </c>
      <c r="DC27" s="221">
        <f>data!DC73</f>
        <v>17185</v>
      </c>
      <c r="DD27" s="221">
        <f>data!DD73</f>
        <v>19677</v>
      </c>
      <c r="DE27" s="222">
        <f>(DD27)+0</f>
        <v>19677</v>
      </c>
      <c r="DF27" s="221">
        <f>data!DF73</f>
        <v>20718</v>
      </c>
      <c r="DG27" s="221">
        <f>data!DG73</f>
        <v>6465</v>
      </c>
      <c r="DH27" s="221">
        <f>data!DH73</f>
        <v>6477</v>
      </c>
      <c r="DI27" s="221">
        <f>data!DI73</f>
        <v>6695</v>
      </c>
      <c r="DJ27" s="222">
        <f>(DI27)+0</f>
        <v>6695</v>
      </c>
      <c r="DK27" s="221">
        <f>data!DK73</f>
        <v>6842</v>
      </c>
      <c r="DL27" s="221">
        <f>data!DL73</f>
        <v>7026</v>
      </c>
      <c r="DM27" s="246">
        <f t="shared" ref="DM27:DV27" si="85">DL27</f>
        <v>7026</v>
      </c>
      <c r="DN27" s="246">
        <f t="shared" si="85"/>
        <v>7026</v>
      </c>
      <c r="DO27" s="222">
        <f>(DN27)+0</f>
        <v>7026</v>
      </c>
      <c r="DP27" s="246">
        <f t="shared" ref="DP27:DQ29" si="86">DO27</f>
        <v>7026</v>
      </c>
      <c r="DQ27" s="246">
        <f t="shared" si="86"/>
        <v>7026</v>
      </c>
      <c r="DR27" s="246">
        <f t="shared" ref="DR27:DR29" si="87">DQ27</f>
        <v>7026</v>
      </c>
      <c r="DS27" s="246">
        <f t="shared" ref="DS27:DS29" si="88">DR27</f>
        <v>7026</v>
      </c>
      <c r="DT27" s="222">
        <f>(DS27)+0</f>
        <v>7026</v>
      </c>
      <c r="DU27" s="247">
        <f t="shared" si="85"/>
        <v>7026</v>
      </c>
      <c r="DV27" s="247">
        <f t="shared" si="85"/>
        <v>7026</v>
      </c>
    </row>
    <row r="28" spans="2:126" s="15" customFormat="1">
      <c r="B28" s="101" t="s">
        <v>55</v>
      </c>
      <c r="C28" s="215">
        <f>data!C75</f>
        <v>0</v>
      </c>
      <c r="D28" s="215">
        <f>data!D75</f>
        <v>0</v>
      </c>
      <c r="E28" s="215">
        <f>data!E75</f>
        <v>0</v>
      </c>
      <c r="F28" s="215">
        <f>data!F75</f>
        <v>0</v>
      </c>
      <c r="G28" s="215">
        <f>data!G75</f>
        <v>0</v>
      </c>
      <c r="H28" s="215">
        <f>data!H75</f>
        <v>0</v>
      </c>
      <c r="I28" s="215">
        <f>data!I75</f>
        <v>0</v>
      </c>
      <c r="J28" s="191"/>
      <c r="K28" s="191"/>
      <c r="L28" s="191"/>
      <c r="M28" s="191"/>
      <c r="N28" s="215"/>
      <c r="O28" s="191"/>
      <c r="P28" s="191"/>
      <c r="Q28" s="191"/>
      <c r="R28" s="191"/>
      <c r="S28" s="215"/>
      <c r="T28" s="191"/>
      <c r="U28" s="191"/>
      <c r="V28" s="191"/>
      <c r="W28" s="191"/>
      <c r="X28" s="215"/>
      <c r="Y28" s="191"/>
      <c r="Z28" s="191"/>
      <c r="AA28" s="191"/>
      <c r="AB28" s="191"/>
      <c r="AC28" s="215"/>
      <c r="AD28" s="191"/>
      <c r="AE28" s="191"/>
      <c r="AF28" s="191"/>
      <c r="AG28" s="191"/>
      <c r="AH28" s="215"/>
      <c r="AI28" s="191"/>
      <c r="AJ28" s="191"/>
      <c r="AK28" s="191"/>
      <c r="AL28" s="191"/>
      <c r="AM28" s="215"/>
      <c r="AN28" s="191"/>
      <c r="AO28" s="191"/>
      <c r="AP28" s="191"/>
      <c r="AQ28" s="191"/>
      <c r="AR28" s="215"/>
      <c r="AS28" s="191"/>
      <c r="AT28" s="191"/>
      <c r="AU28" s="191"/>
      <c r="AV28" s="191"/>
      <c r="AW28" s="215"/>
      <c r="AX28" s="191"/>
      <c r="AY28" s="191"/>
      <c r="AZ28" s="191"/>
      <c r="BA28" s="191"/>
      <c r="BB28" s="215"/>
      <c r="BC28" s="191"/>
      <c r="BD28" s="191"/>
      <c r="BE28" s="191"/>
      <c r="BF28" s="191"/>
      <c r="BG28" s="215"/>
      <c r="BH28" s="191"/>
      <c r="BI28" s="191"/>
      <c r="BJ28" s="191"/>
      <c r="BK28" s="191"/>
      <c r="BL28" s="215"/>
      <c r="BM28" s="191"/>
      <c r="BN28" s="191"/>
      <c r="BO28" s="191"/>
      <c r="BP28" s="191"/>
      <c r="BQ28" s="215"/>
      <c r="BR28" s="191"/>
      <c r="BS28" s="191"/>
      <c r="BT28" s="191"/>
      <c r="BU28" s="191"/>
      <c r="BV28" s="215"/>
      <c r="BW28" s="191"/>
      <c r="BX28" s="191"/>
      <c r="BY28" s="191"/>
      <c r="BZ28" s="191"/>
      <c r="CA28" s="215">
        <f>(BZ28)+0</f>
        <v>0</v>
      </c>
      <c r="CB28" s="191"/>
      <c r="CC28" s="191"/>
      <c r="CD28" s="191"/>
      <c r="CE28" s="191"/>
      <c r="CF28" s="215">
        <f>(CE28)+0</f>
        <v>0</v>
      </c>
      <c r="CG28" s="191">
        <f>data!CG75</f>
        <v>0</v>
      </c>
      <c r="CH28" s="191">
        <f>data!CH75</f>
        <v>0</v>
      </c>
      <c r="CI28" s="191">
        <f>data!CI75</f>
        <v>0</v>
      </c>
      <c r="CJ28" s="191">
        <f>data!CJ75</f>
        <v>0</v>
      </c>
      <c r="CK28" s="215">
        <f>(CJ28)+0</f>
        <v>0</v>
      </c>
      <c r="CL28" s="191">
        <f>data!CL75</f>
        <v>0</v>
      </c>
      <c r="CM28" s="191">
        <f>data!CM75</f>
        <v>0</v>
      </c>
      <c r="CN28" s="191">
        <f>data!CN75</f>
        <v>0</v>
      </c>
      <c r="CO28" s="191">
        <f>data!CO74</f>
        <v>15071</v>
      </c>
      <c r="CP28" s="215">
        <f>(CO28)+0</f>
        <v>15071</v>
      </c>
      <c r="CQ28" s="191">
        <f>data!CQ74</f>
        <v>14139</v>
      </c>
      <c r="CR28" s="191">
        <f>data!CR74</f>
        <v>13570</v>
      </c>
      <c r="CS28" s="191">
        <f>data!CS74</f>
        <v>14348</v>
      </c>
      <c r="CT28" s="191">
        <f>data!CT74</f>
        <v>13977</v>
      </c>
      <c r="CU28" s="215">
        <f>(CT28)+0</f>
        <v>13977</v>
      </c>
      <c r="CV28" s="191">
        <f>data!CV74</f>
        <v>14216</v>
      </c>
      <c r="CW28" s="191">
        <f>data!CW74</f>
        <v>13909</v>
      </c>
      <c r="CX28" s="191">
        <f>data!CX74</f>
        <v>15094</v>
      </c>
      <c r="CY28" s="191">
        <f>data!CY74</f>
        <v>12130</v>
      </c>
      <c r="CZ28" s="215">
        <f>(CY28)+0</f>
        <v>12130</v>
      </c>
      <c r="DA28" s="191">
        <f>data!DA74</f>
        <v>12313</v>
      </c>
      <c r="DB28" s="191">
        <f>data!DB74</f>
        <v>11620</v>
      </c>
      <c r="DC28" s="191">
        <f>data!DC74</f>
        <v>12026</v>
      </c>
      <c r="DD28" s="191">
        <f>data!DD74</f>
        <v>12712</v>
      </c>
      <c r="DE28" s="215">
        <f>(DD28)+0</f>
        <v>12712</v>
      </c>
      <c r="DF28" s="191">
        <f>data!DF74</f>
        <v>12342</v>
      </c>
      <c r="DG28" s="191">
        <f>data!DG74</f>
        <v>16817</v>
      </c>
      <c r="DH28" s="191">
        <f>data!DH74</f>
        <v>18106</v>
      </c>
      <c r="DI28" s="191">
        <f>data!DI74</f>
        <v>17749</v>
      </c>
      <c r="DJ28" s="215">
        <f>(DI28)+0</f>
        <v>17749</v>
      </c>
      <c r="DK28" s="191">
        <f>data!DK74</f>
        <v>17390</v>
      </c>
      <c r="DL28" s="191">
        <f>data!DL74</f>
        <v>18056</v>
      </c>
      <c r="DM28" s="226">
        <f t="shared" ref="DM28:DM29" si="89">DL28</f>
        <v>18056</v>
      </c>
      <c r="DN28" s="226">
        <f t="shared" ref="DN28:DN29" si="90">DM28</f>
        <v>18056</v>
      </c>
      <c r="DO28" s="215">
        <f>(DN28)+0</f>
        <v>18056</v>
      </c>
      <c r="DP28" s="226">
        <f t="shared" si="86"/>
        <v>18056</v>
      </c>
      <c r="DQ28" s="226">
        <f t="shared" si="86"/>
        <v>18056</v>
      </c>
      <c r="DR28" s="226">
        <f t="shared" si="87"/>
        <v>18056</v>
      </c>
      <c r="DS28" s="226">
        <f t="shared" si="88"/>
        <v>18056</v>
      </c>
      <c r="DT28" s="215">
        <f>(DS28)+0</f>
        <v>18056</v>
      </c>
      <c r="DU28" s="227">
        <f t="shared" ref="DU28:DV28" si="91">DT28</f>
        <v>18056</v>
      </c>
      <c r="DV28" s="227">
        <f t="shared" si="91"/>
        <v>18056</v>
      </c>
    </row>
    <row r="29" spans="2:126" s="15" customFormat="1">
      <c r="B29" s="101" t="s">
        <v>538</v>
      </c>
      <c r="C29" s="16">
        <f>data!C74</f>
        <v>0</v>
      </c>
      <c r="D29" s="16">
        <f>data!D74</f>
        <v>0</v>
      </c>
      <c r="E29" s="16">
        <f>data!E74</f>
        <v>0</v>
      </c>
      <c r="F29" s="16">
        <f>data!F74</f>
        <v>0</v>
      </c>
      <c r="G29" s="16">
        <f>data!G74</f>
        <v>0</v>
      </c>
      <c r="H29" s="16">
        <f>data!H74</f>
        <v>0</v>
      </c>
      <c r="I29" s="16">
        <f>data!I74</f>
        <v>0</v>
      </c>
      <c r="N29" s="16"/>
      <c r="S29" s="16"/>
      <c r="X29" s="16"/>
      <c r="AC29" s="16"/>
      <c r="AH29" s="16"/>
      <c r="AM29" s="16"/>
      <c r="AR29" s="16"/>
      <c r="AW29" s="16"/>
      <c r="AX29" s="221"/>
      <c r="AY29" s="221"/>
      <c r="AZ29" s="221"/>
      <c r="BA29" s="221"/>
      <c r="BB29" s="16"/>
      <c r="BC29" s="221"/>
      <c r="BD29" s="221"/>
      <c r="BE29" s="221"/>
      <c r="BF29" s="221"/>
      <c r="BG29" s="16"/>
      <c r="BH29" s="221"/>
      <c r="BI29" s="221"/>
      <c r="BJ29" s="221"/>
      <c r="BK29" s="221"/>
      <c r="BL29" s="16"/>
      <c r="BM29" s="221"/>
      <c r="BN29" s="221"/>
      <c r="BO29" s="221"/>
      <c r="BP29" s="221"/>
      <c r="BQ29" s="16"/>
      <c r="BR29" s="246"/>
      <c r="BS29" s="221"/>
      <c r="BT29" s="221"/>
      <c r="BU29" s="221"/>
      <c r="BV29" s="16"/>
      <c r="BW29" s="221"/>
      <c r="BX29" s="221"/>
      <c r="BY29" s="221"/>
      <c r="BZ29" s="221"/>
      <c r="CA29" s="16">
        <f>(BZ29)+0</f>
        <v>0</v>
      </c>
      <c r="CB29" s="221"/>
      <c r="CC29" s="221"/>
      <c r="CD29" s="221"/>
      <c r="CE29" s="221"/>
      <c r="CF29" s="16">
        <f>(CE29)+0</f>
        <v>0</v>
      </c>
      <c r="CG29" s="221">
        <f>data!CG74</f>
        <v>0</v>
      </c>
      <c r="CH29" s="221">
        <f>data!CH74</f>
        <v>0</v>
      </c>
      <c r="CI29" s="221">
        <f>data!CI74</f>
        <v>0</v>
      </c>
      <c r="CJ29" s="221">
        <f>data!CJ74</f>
        <v>0</v>
      </c>
      <c r="CK29" s="222">
        <f>(CJ29)+0</f>
        <v>0</v>
      </c>
      <c r="CL29" s="221">
        <f>data!CL74</f>
        <v>0</v>
      </c>
      <c r="CM29" s="221">
        <f>data!CM74</f>
        <v>0</v>
      </c>
      <c r="CN29" s="221">
        <f>data!CN74</f>
        <v>0</v>
      </c>
      <c r="CO29" s="221">
        <f>data!CO75</f>
        <v>0</v>
      </c>
      <c r="CP29" s="222">
        <f>(CO29)+0</f>
        <v>0</v>
      </c>
      <c r="CQ29" s="221">
        <f>data!CQ75</f>
        <v>4991</v>
      </c>
      <c r="CR29" s="221">
        <f>data!CR75</f>
        <v>4922</v>
      </c>
      <c r="CS29" s="221">
        <f>data!CS75</f>
        <v>4788</v>
      </c>
      <c r="CT29" s="221">
        <f>data!CT75</f>
        <v>0</v>
      </c>
      <c r="CU29" s="222">
        <f>(CT29)+0</f>
        <v>0</v>
      </c>
      <c r="CV29" s="221">
        <f>data!CV75</f>
        <v>1732</v>
      </c>
      <c r="CW29" s="221">
        <f>data!CW75</f>
        <v>1638</v>
      </c>
      <c r="CX29" s="221">
        <f>data!CX75</f>
        <v>1503</v>
      </c>
      <c r="CY29" s="221">
        <f>data!CY75</f>
        <v>1944</v>
      </c>
      <c r="CZ29" s="222">
        <f>(CY29)+0</f>
        <v>1944</v>
      </c>
      <c r="DA29" s="221">
        <f>data!DA75</f>
        <v>1953</v>
      </c>
      <c r="DB29" s="221">
        <f>data!DB75</f>
        <v>1949</v>
      </c>
      <c r="DC29" s="221">
        <f>data!DC75</f>
        <v>1835</v>
      </c>
      <c r="DD29" s="221">
        <f>data!DD75</f>
        <v>1826</v>
      </c>
      <c r="DE29" s="222">
        <f>(DD29)+0</f>
        <v>1826</v>
      </c>
      <c r="DF29" s="221">
        <f>data!DF75</f>
        <v>1811</v>
      </c>
      <c r="DG29" s="221">
        <f>data!DG75</f>
        <v>61</v>
      </c>
      <c r="DH29" s="221">
        <f>data!DH75</f>
        <v>0</v>
      </c>
      <c r="DI29" s="221">
        <f>data!DI75</f>
        <v>0</v>
      </c>
      <c r="DJ29" s="222">
        <f>(DI29)+0</f>
        <v>0</v>
      </c>
      <c r="DK29" s="221">
        <f>data!DK75</f>
        <v>0</v>
      </c>
      <c r="DL29" s="221">
        <f>data!DL75</f>
        <v>0</v>
      </c>
      <c r="DM29" s="246">
        <f t="shared" si="89"/>
        <v>0</v>
      </c>
      <c r="DN29" s="246">
        <f t="shared" si="90"/>
        <v>0</v>
      </c>
      <c r="DO29" s="222">
        <f>(DN29)+0</f>
        <v>0</v>
      </c>
      <c r="DP29" s="246">
        <f t="shared" si="86"/>
        <v>0</v>
      </c>
      <c r="DQ29" s="246">
        <f t="shared" si="86"/>
        <v>0</v>
      </c>
      <c r="DR29" s="246">
        <f t="shared" si="87"/>
        <v>0</v>
      </c>
      <c r="DS29" s="246">
        <f t="shared" si="88"/>
        <v>0</v>
      </c>
      <c r="DT29" s="222">
        <f>(DS29)+0</f>
        <v>0</v>
      </c>
      <c r="DU29" s="247">
        <f t="shared" ref="DU29:DV29" si="92">DT29</f>
        <v>0</v>
      </c>
      <c r="DV29" s="247">
        <f t="shared" si="92"/>
        <v>0</v>
      </c>
    </row>
    <row r="30" spans="2:126" s="15" customFormat="1" ht="12">
      <c r="B30" s="189" t="s">
        <v>56</v>
      </c>
      <c r="C30" s="130">
        <f t="shared" ref="C30:I30" si="93">SUM(C26:C28)</f>
        <v>0</v>
      </c>
      <c r="D30" s="130">
        <f t="shared" si="93"/>
        <v>0</v>
      </c>
      <c r="E30" s="130">
        <f t="shared" si="93"/>
        <v>0</v>
      </c>
      <c r="F30" s="130">
        <f t="shared" si="93"/>
        <v>0</v>
      </c>
      <c r="G30" s="130">
        <f t="shared" si="93"/>
        <v>0</v>
      </c>
      <c r="H30" s="130">
        <f t="shared" si="93"/>
        <v>0</v>
      </c>
      <c r="I30" s="130">
        <f t="shared" si="93"/>
        <v>0</v>
      </c>
      <c r="J30" s="189"/>
      <c r="K30" s="189"/>
      <c r="L30" s="189"/>
      <c r="M30" s="189"/>
      <c r="N30" s="130"/>
      <c r="O30" s="189"/>
      <c r="P30" s="189"/>
      <c r="Q30" s="189"/>
      <c r="R30" s="189"/>
      <c r="S30" s="130"/>
      <c r="T30" s="189"/>
      <c r="U30" s="189"/>
      <c r="V30" s="189"/>
      <c r="W30" s="189"/>
      <c r="X30" s="130"/>
      <c r="Y30" s="189"/>
      <c r="Z30" s="189"/>
      <c r="AA30" s="189"/>
      <c r="AB30" s="189"/>
      <c r="AC30" s="130"/>
      <c r="AD30" s="189"/>
      <c r="AE30" s="189"/>
      <c r="AF30" s="189"/>
      <c r="AG30" s="189"/>
      <c r="AH30" s="130"/>
      <c r="AI30" s="189"/>
      <c r="AJ30" s="189"/>
      <c r="AK30" s="189"/>
      <c r="AL30" s="189"/>
      <c r="AM30" s="130"/>
      <c r="AN30" s="189"/>
      <c r="AO30" s="189"/>
      <c r="AP30" s="189"/>
      <c r="AQ30" s="189"/>
      <c r="AR30" s="130"/>
      <c r="AS30" s="189"/>
      <c r="AT30" s="189"/>
      <c r="AU30" s="189"/>
      <c r="AV30" s="189"/>
      <c r="AW30" s="130"/>
      <c r="AX30" s="216"/>
      <c r="AY30" s="216"/>
      <c r="AZ30" s="216"/>
      <c r="BA30" s="216"/>
      <c r="BB30" s="130"/>
      <c r="BC30" s="216"/>
      <c r="BD30" s="216"/>
      <c r="BE30" s="216"/>
      <c r="BF30" s="216"/>
      <c r="BG30" s="130"/>
      <c r="BH30" s="216"/>
      <c r="BI30" s="216"/>
      <c r="BJ30" s="216"/>
      <c r="BK30" s="216"/>
      <c r="BL30" s="130"/>
      <c r="BM30" s="216"/>
      <c r="BN30" s="216"/>
      <c r="BO30" s="216"/>
      <c r="BP30" s="216"/>
      <c r="BQ30" s="130"/>
      <c r="BR30" s="216"/>
      <c r="BS30" s="216"/>
      <c r="BT30" s="216"/>
      <c r="BU30" s="216"/>
      <c r="BV30" s="130"/>
      <c r="BW30" s="216"/>
      <c r="BX30" s="216"/>
      <c r="BY30" s="216"/>
      <c r="BZ30" s="216"/>
      <c r="CA30" s="130">
        <f>BZ30</f>
        <v>0</v>
      </c>
      <c r="CB30" s="216"/>
      <c r="CC30" s="189"/>
      <c r="CD30" s="189"/>
      <c r="CE30" s="189"/>
      <c r="CF30" s="130">
        <f>CE30</f>
        <v>0</v>
      </c>
      <c r="CG30" s="216">
        <f>SUM(CG26:CG28)</f>
        <v>0</v>
      </c>
      <c r="CH30" s="216">
        <f>SUM(CH26:CH28)</f>
        <v>0</v>
      </c>
      <c r="CI30" s="216">
        <f>SUM(CI26:CI28)</f>
        <v>0</v>
      </c>
      <c r="CJ30" s="216">
        <f>SUM(CJ26:CJ28)</f>
        <v>0</v>
      </c>
      <c r="CK30" s="225">
        <f>CJ30</f>
        <v>0</v>
      </c>
      <c r="CL30" s="216">
        <f>SUM(CL26:CL28)</f>
        <v>0</v>
      </c>
      <c r="CM30" s="189">
        <f>SUM(CM26:CM28)</f>
        <v>0</v>
      </c>
      <c r="CN30" s="189">
        <f>SUM(CN26:CN28)</f>
        <v>0</v>
      </c>
      <c r="CO30" s="189">
        <f t="shared" ref="CO30" si="94">SUM(CO25:CO29)</f>
        <v>54613</v>
      </c>
      <c r="CP30" s="225">
        <f>CO30</f>
        <v>54613</v>
      </c>
      <c r="CQ30" s="189">
        <f>SUM(CQ25:CQ29)</f>
        <v>57681</v>
      </c>
      <c r="CR30" s="189">
        <f t="shared" ref="CR30:CT30" si="95">SUM(CR25:CR29)</f>
        <v>56639</v>
      </c>
      <c r="CS30" s="189">
        <f t="shared" si="95"/>
        <v>57676</v>
      </c>
      <c r="CT30" s="189">
        <f t="shared" si="95"/>
        <v>51953</v>
      </c>
      <c r="CU30" s="225">
        <f>CT30</f>
        <v>51953</v>
      </c>
      <c r="CV30" s="189">
        <f>SUM(CV25:CV29)</f>
        <v>53345</v>
      </c>
      <c r="CW30" s="189">
        <f t="shared" ref="CW30" si="96">SUM(CW25:CW29)</f>
        <v>53884</v>
      </c>
      <c r="CX30" s="189">
        <f t="shared" ref="CX30" si="97">SUM(CX25:CX29)</f>
        <v>54658</v>
      </c>
      <c r="CY30" s="189">
        <f t="shared" ref="CY30" si="98">SUM(CY25:CY29)</f>
        <v>49428</v>
      </c>
      <c r="CZ30" s="225">
        <f>CY30</f>
        <v>49428</v>
      </c>
      <c r="DA30" s="189">
        <f>SUM(DA25:DA29)</f>
        <v>48177</v>
      </c>
      <c r="DB30" s="189">
        <f t="shared" ref="DB30" si="99">SUM(DB25:DB29)</f>
        <v>48108</v>
      </c>
      <c r="DC30" s="189">
        <f t="shared" ref="DC30" si="100">SUM(DC25:DC29)</f>
        <v>48165</v>
      </c>
      <c r="DD30" s="189">
        <f t="shared" ref="DD30" si="101">SUM(DD25:DD29)</f>
        <v>50876</v>
      </c>
      <c r="DE30" s="225">
        <f>DD30</f>
        <v>50876</v>
      </c>
      <c r="DF30" s="189">
        <f>SUM(DF25:DF29)</f>
        <v>51087</v>
      </c>
      <c r="DG30" s="189">
        <f t="shared" ref="DG30:DI30" si="102">SUM(DG25:DG29)</f>
        <v>32750</v>
      </c>
      <c r="DH30" s="189">
        <f t="shared" si="102"/>
        <v>34093</v>
      </c>
      <c r="DI30" s="189">
        <f t="shared" si="102"/>
        <v>34392</v>
      </c>
      <c r="DJ30" s="225">
        <f t="shared" ref="DJ30" si="103">SUM(DJ25:DJ29)</f>
        <v>34392</v>
      </c>
      <c r="DK30" s="189">
        <f>SUM(DK25:DK29)</f>
        <v>34941</v>
      </c>
      <c r="DL30" s="189">
        <f t="shared" ref="DL30" si="104">SUM(DL25:DL29)</f>
        <v>36466</v>
      </c>
      <c r="DM30" s="189">
        <f t="shared" ref="DM30" si="105">SUM(DM25:DM29)</f>
        <v>33595.21157777778</v>
      </c>
      <c r="DN30" s="189">
        <f t="shared" ref="DN30:DP30" si="106">SUM(DN25:DN29)</f>
        <v>33839.146166666666</v>
      </c>
      <c r="DO30" s="225">
        <f t="shared" si="106"/>
        <v>33839.146166666666</v>
      </c>
      <c r="DP30" s="189">
        <f t="shared" si="106"/>
        <v>33262.329400000002</v>
      </c>
      <c r="DQ30" s="189">
        <f t="shared" ref="DQ30:DT30" si="107">SUM(DQ25:DQ29)</f>
        <v>34095.403333333335</v>
      </c>
      <c r="DR30" s="189">
        <f t="shared" si="107"/>
        <v>34351.12745866667</v>
      </c>
      <c r="DS30" s="189">
        <f t="shared" si="107"/>
        <v>34639.888447142221</v>
      </c>
      <c r="DT30" s="225">
        <f t="shared" si="107"/>
        <v>34639.888447142221</v>
      </c>
      <c r="DU30" s="130">
        <f t="shared" ref="DU30" si="108">SUM(DU25:DU29)</f>
        <v>34663.487671281953</v>
      </c>
      <c r="DV30" s="130">
        <f>SUM(DV25:DV29)</f>
        <v>35164.168542697822</v>
      </c>
    </row>
    <row r="31" spans="2:126" s="15" customFormat="1">
      <c r="B31" s="15" t="s">
        <v>492</v>
      </c>
      <c r="C31" s="16">
        <f>data!C78</f>
        <v>0</v>
      </c>
      <c r="D31" s="16">
        <f>data!D78</f>
        <v>0</v>
      </c>
      <c r="E31" s="16">
        <f>data!E78</f>
        <v>0</v>
      </c>
      <c r="F31" s="16">
        <f>data!F78</f>
        <v>0</v>
      </c>
      <c r="G31" s="16">
        <f>data!G78</f>
        <v>0</v>
      </c>
      <c r="H31" s="16">
        <f>data!H78</f>
        <v>0</v>
      </c>
      <c r="I31" s="16">
        <f>data!I78</f>
        <v>0</v>
      </c>
      <c r="N31" s="16"/>
      <c r="S31" s="16"/>
      <c r="X31" s="16"/>
      <c r="AC31" s="16"/>
      <c r="AH31" s="16"/>
      <c r="AM31" s="16"/>
      <c r="AR31" s="16"/>
      <c r="AW31" s="16"/>
      <c r="AX31" s="221"/>
      <c r="AY31" s="221"/>
      <c r="AZ31" s="221"/>
      <c r="BA31" s="221"/>
      <c r="BB31" s="16"/>
      <c r="BC31" s="221"/>
      <c r="BD31" s="221"/>
      <c r="BE31" s="221"/>
      <c r="BF31" s="221"/>
      <c r="BG31" s="16"/>
      <c r="BH31" s="221"/>
      <c r="BI31" s="221"/>
      <c r="BJ31" s="221"/>
      <c r="BK31" s="221"/>
      <c r="BL31" s="16"/>
      <c r="BM31" s="221"/>
      <c r="BN31" s="221"/>
      <c r="BO31" s="221"/>
      <c r="BP31" s="221"/>
      <c r="BQ31" s="16"/>
      <c r="BR31" s="248"/>
      <c r="BS31" s="221"/>
      <c r="BT31" s="221"/>
      <c r="BU31" s="221"/>
      <c r="BV31" s="16"/>
      <c r="BW31" s="221"/>
      <c r="BX31" s="221"/>
      <c r="BY31" s="221"/>
      <c r="BZ31" s="221"/>
      <c r="CA31" s="16">
        <f>BZ31</f>
        <v>0</v>
      </c>
      <c r="CB31" s="221"/>
      <c r="CC31" s="221"/>
      <c r="CD31" s="221"/>
      <c r="CE31" s="221"/>
      <c r="CF31" s="16">
        <f>CE31</f>
        <v>0</v>
      </c>
      <c r="CG31" s="221">
        <f>data!CG78</f>
        <v>0</v>
      </c>
      <c r="CH31" s="221">
        <f>data!CH78</f>
        <v>0</v>
      </c>
      <c r="CI31" s="221">
        <f>data!CI78</f>
        <v>0</v>
      </c>
      <c r="CJ31" s="221">
        <f>data!CJ78</f>
        <v>0</v>
      </c>
      <c r="CK31" s="222">
        <f>CJ31</f>
        <v>0</v>
      </c>
      <c r="CL31" s="221">
        <f>data!CL78</f>
        <v>0</v>
      </c>
      <c r="CM31" s="221">
        <f>data!CM78</f>
        <v>0</v>
      </c>
      <c r="CN31" s="221">
        <f>data!CN78</f>
        <v>0</v>
      </c>
      <c r="CO31" s="221">
        <f>data!CO78</f>
        <v>70189</v>
      </c>
      <c r="CP31" s="222">
        <f>CO31</f>
        <v>70189</v>
      </c>
      <c r="CQ31" s="221">
        <f>data!CQ78</f>
        <v>66890</v>
      </c>
      <c r="CR31" s="221">
        <f>data!CR78</f>
        <v>59231</v>
      </c>
      <c r="CS31" s="221">
        <f>data!CS78</f>
        <v>57429</v>
      </c>
      <c r="CT31" s="221">
        <f>data!CT78</f>
        <v>30824</v>
      </c>
      <c r="CU31" s="222">
        <f>CT31</f>
        <v>30824</v>
      </c>
      <c r="CV31" s="221">
        <f>data!CV78</f>
        <v>28649</v>
      </c>
      <c r="CW31" s="221">
        <f>data!CW78</f>
        <v>27571</v>
      </c>
      <c r="CX31" s="221">
        <f>data!CX78</f>
        <v>26121</v>
      </c>
      <c r="CY31" s="221">
        <f>data!CY78</f>
        <v>20320</v>
      </c>
      <c r="CZ31" s="222">
        <f>CY31</f>
        <v>20320</v>
      </c>
      <c r="DA31" s="221">
        <f>data!DA78</f>
        <v>20159</v>
      </c>
      <c r="DB31" s="221">
        <f>data!DB78</f>
        <v>19900</v>
      </c>
      <c r="DC31" s="221">
        <f>data!DC78</f>
        <v>19488</v>
      </c>
      <c r="DD31" s="221">
        <f>data!DD78</f>
        <v>19711</v>
      </c>
      <c r="DE31" s="222">
        <f>DD31</f>
        <v>19711</v>
      </c>
      <c r="DF31" s="221">
        <f>data!DF78</f>
        <v>19493</v>
      </c>
      <c r="DG31" s="221">
        <f>data!DG78</f>
        <v>17973</v>
      </c>
      <c r="DH31" s="221">
        <f>data!DH78</f>
        <v>18240</v>
      </c>
      <c r="DI31" s="221">
        <f>data!DI78</f>
        <v>17234</v>
      </c>
      <c r="DJ31" s="222">
        <f>(DI31)</f>
        <v>17234</v>
      </c>
      <c r="DK31" s="221">
        <f>data!DK78</f>
        <v>17487</v>
      </c>
      <c r="DL31" s="221">
        <f>data!DL78</f>
        <v>16998</v>
      </c>
      <c r="DM31" s="248">
        <f>CFLO!DM38+CFLO!DM39+DL31</f>
        <v>16998</v>
      </c>
      <c r="DN31" s="248">
        <f>CFLO!DN38+CFLO!DN39+DM31</f>
        <v>16998</v>
      </c>
      <c r="DO31" s="222">
        <f>DN31</f>
        <v>16998</v>
      </c>
      <c r="DP31" s="248">
        <f>CFLO!DP38+CFLO!DP39+DO31</f>
        <v>16998</v>
      </c>
      <c r="DQ31" s="248">
        <f>CFLO!DQ38+CFLO!DQ39+DP31</f>
        <v>16998</v>
      </c>
      <c r="DR31" s="248">
        <f>CFLO!DR38+CFLO!DR39+DQ31</f>
        <v>16998</v>
      </c>
      <c r="DS31" s="248">
        <f>CFLO!DS38+CFLO!DS39+DR31</f>
        <v>16998</v>
      </c>
      <c r="DT31" s="222">
        <f>DS31</f>
        <v>16998</v>
      </c>
      <c r="DU31" s="152">
        <f>CFLO!DU38+CFLO!DU39+DT31</f>
        <v>16998</v>
      </c>
      <c r="DV31" s="152">
        <f>CFLO!DV38+CFLO!DV39+DU31</f>
        <v>16998</v>
      </c>
    </row>
    <row r="32" spans="2:126" s="15" customFormat="1">
      <c r="B32" s="15" t="s">
        <v>493</v>
      </c>
      <c r="C32" s="16">
        <f>data!C79</f>
        <v>0</v>
      </c>
      <c r="D32" s="16">
        <f>data!D79</f>
        <v>0</v>
      </c>
      <c r="E32" s="16">
        <f>data!E79</f>
        <v>0</v>
      </c>
      <c r="F32" s="16">
        <f>data!F79</f>
        <v>0</v>
      </c>
      <c r="G32" s="16">
        <f>data!G79</f>
        <v>0</v>
      </c>
      <c r="H32" s="16">
        <f>data!H79</f>
        <v>0</v>
      </c>
      <c r="I32" s="16">
        <f>data!I79</f>
        <v>0</v>
      </c>
      <c r="N32" s="16"/>
      <c r="S32" s="16"/>
      <c r="X32" s="16"/>
      <c r="AC32" s="16"/>
      <c r="AH32" s="16"/>
      <c r="AM32" s="16"/>
      <c r="AR32" s="16"/>
      <c r="AW32" s="16"/>
      <c r="AX32" s="221"/>
      <c r="AY32" s="221"/>
      <c r="AZ32" s="221"/>
      <c r="BA32" s="221"/>
      <c r="BB32" s="16"/>
      <c r="BC32" s="221"/>
      <c r="BD32" s="221"/>
      <c r="BE32" s="221"/>
      <c r="BF32" s="221"/>
      <c r="BG32" s="16"/>
      <c r="BH32" s="221"/>
      <c r="BI32" s="221"/>
      <c r="BJ32" s="221"/>
      <c r="BK32" s="221"/>
      <c r="BL32" s="16"/>
      <c r="BM32" s="221"/>
      <c r="BN32" s="221"/>
      <c r="BO32" s="221"/>
      <c r="BP32" s="221"/>
      <c r="BQ32" s="16"/>
      <c r="BR32" s="246"/>
      <c r="BS32" s="221"/>
      <c r="BT32" s="221"/>
      <c r="BU32" s="221"/>
      <c r="BV32" s="16"/>
      <c r="BW32" s="221"/>
      <c r="BX32" s="221"/>
      <c r="BY32" s="221"/>
      <c r="BZ32" s="221"/>
      <c r="CA32" s="16">
        <f>(BZ32)</f>
        <v>0</v>
      </c>
      <c r="CB32" s="221"/>
      <c r="CC32" s="221"/>
      <c r="CD32" s="221"/>
      <c r="CE32" s="221"/>
      <c r="CF32" s="16">
        <f>(CE32)</f>
        <v>0</v>
      </c>
      <c r="CG32" s="221">
        <f>data!CG79</f>
        <v>0</v>
      </c>
      <c r="CH32" s="221">
        <f>data!CH79</f>
        <v>0</v>
      </c>
      <c r="CI32" s="221">
        <f>data!CI79</f>
        <v>0</v>
      </c>
      <c r="CJ32" s="221">
        <f>data!CJ79</f>
        <v>0</v>
      </c>
      <c r="CK32" s="222">
        <f>(CJ32)</f>
        <v>0</v>
      </c>
      <c r="CL32" s="221">
        <f>data!CL79</f>
        <v>0</v>
      </c>
      <c r="CM32" s="221">
        <f>data!CM79</f>
        <v>0</v>
      </c>
      <c r="CN32" s="221">
        <f>data!CN79</f>
        <v>0</v>
      </c>
      <c r="CO32" s="221">
        <f>data!CO79</f>
        <v>42191</v>
      </c>
      <c r="CP32" s="222">
        <f>(CO32)</f>
        <v>42191</v>
      </c>
      <c r="CQ32" s="221">
        <f>data!CQ79</f>
        <v>39562</v>
      </c>
      <c r="CR32" s="221">
        <f>data!CR79</f>
        <v>40795</v>
      </c>
      <c r="CS32" s="221">
        <f>data!CS79</f>
        <v>37705</v>
      </c>
      <c r="CT32" s="221">
        <f>data!CT79</f>
        <v>37166</v>
      </c>
      <c r="CU32" s="222">
        <f>(CT32)</f>
        <v>37166</v>
      </c>
      <c r="CV32" s="221">
        <f>data!CV79</f>
        <v>33626</v>
      </c>
      <c r="CW32" s="221">
        <f>data!CW79</f>
        <v>33551</v>
      </c>
      <c r="CX32" s="221">
        <f>data!CX79</f>
        <v>33435</v>
      </c>
      <c r="CY32" s="221">
        <f>data!CY79</f>
        <v>36845</v>
      </c>
      <c r="CZ32" s="222">
        <f>(CY32)</f>
        <v>36845</v>
      </c>
      <c r="DA32" s="221">
        <f>data!DA79</f>
        <v>39082</v>
      </c>
      <c r="DB32" s="221">
        <f>data!DB79</f>
        <v>38673</v>
      </c>
      <c r="DC32" s="221">
        <f>data!DC79</f>
        <v>35832</v>
      </c>
      <c r="DD32" s="221">
        <f>data!DD79</f>
        <v>39624</v>
      </c>
      <c r="DE32" s="222">
        <f>(DD32)</f>
        <v>39624</v>
      </c>
      <c r="DF32" s="221">
        <f>data!DF79</f>
        <v>37934</v>
      </c>
      <c r="DG32" s="221">
        <f>data!DG79</f>
        <v>37215</v>
      </c>
      <c r="DH32" s="221">
        <f>data!DH79</f>
        <v>39147</v>
      </c>
      <c r="DI32" s="221">
        <f>data!DI79</f>
        <v>36209</v>
      </c>
      <c r="DJ32" s="222">
        <f>(DI32)</f>
        <v>36209</v>
      </c>
      <c r="DK32" s="221">
        <f>data!DK79</f>
        <v>36424</v>
      </c>
      <c r="DL32" s="221">
        <f>data!DL79</f>
        <v>36745</v>
      </c>
      <c r="DM32" s="246">
        <f t="shared" ref="DM32:DM33" si="109">DL32</f>
        <v>36745</v>
      </c>
      <c r="DN32" s="246">
        <f t="shared" ref="DN32:DO35" si="110">DM32</f>
        <v>36745</v>
      </c>
      <c r="DO32" s="222">
        <f>(DN32)</f>
        <v>36745</v>
      </c>
      <c r="DP32" s="246">
        <f t="shared" ref="DP32:DQ35" si="111">DO32</f>
        <v>36745</v>
      </c>
      <c r="DQ32" s="246">
        <f t="shared" si="111"/>
        <v>36745</v>
      </c>
      <c r="DR32" s="246">
        <f t="shared" ref="DR32:DR35" si="112">DQ32</f>
        <v>36745</v>
      </c>
      <c r="DS32" s="246">
        <f t="shared" ref="DS32:DS35" si="113">DR32</f>
        <v>36745</v>
      </c>
      <c r="DT32" s="222">
        <f>(DS32)</f>
        <v>36745</v>
      </c>
      <c r="DU32" s="247">
        <f t="shared" ref="DU32:DV35" si="114">DT32</f>
        <v>36745</v>
      </c>
      <c r="DV32" s="247">
        <f t="shared" si="114"/>
        <v>36745</v>
      </c>
    </row>
    <row r="33" spans="1:126" s="15" customFormat="1">
      <c r="B33" s="15" t="s">
        <v>494</v>
      </c>
      <c r="C33" s="16">
        <f>data!C80</f>
        <v>0</v>
      </c>
      <c r="D33" s="16">
        <f>data!D80</f>
        <v>0</v>
      </c>
      <c r="E33" s="16">
        <f>data!E80</f>
        <v>0</v>
      </c>
      <c r="F33" s="16">
        <f>data!F80</f>
        <v>0</v>
      </c>
      <c r="G33" s="16">
        <f>data!G80</f>
        <v>0</v>
      </c>
      <c r="H33" s="16">
        <f>data!H80</f>
        <v>0</v>
      </c>
      <c r="I33" s="16">
        <f>data!I80</f>
        <v>0</v>
      </c>
      <c r="N33" s="16"/>
      <c r="S33" s="16"/>
      <c r="X33" s="16"/>
      <c r="AC33" s="16"/>
      <c r="AH33" s="16"/>
      <c r="AM33" s="16"/>
      <c r="AR33" s="16"/>
      <c r="AW33" s="16"/>
      <c r="AX33" s="221"/>
      <c r="AY33" s="221"/>
      <c r="AZ33" s="221"/>
      <c r="BA33" s="221"/>
      <c r="BB33" s="16"/>
      <c r="BC33" s="221"/>
      <c r="BD33" s="221"/>
      <c r="BE33" s="221"/>
      <c r="BF33" s="221"/>
      <c r="BG33" s="16"/>
      <c r="BH33" s="221"/>
      <c r="BI33" s="221"/>
      <c r="BJ33" s="221"/>
      <c r="BK33" s="221"/>
      <c r="BL33" s="16"/>
      <c r="BM33" s="221"/>
      <c r="BN33" s="221"/>
      <c r="BO33" s="221"/>
      <c r="BP33" s="221"/>
      <c r="BQ33" s="16"/>
      <c r="BR33" s="246"/>
      <c r="BS33" s="221"/>
      <c r="BT33" s="221"/>
      <c r="BU33" s="221"/>
      <c r="BV33" s="16"/>
      <c r="BW33" s="221"/>
      <c r="BX33" s="221"/>
      <c r="BY33" s="221"/>
      <c r="BZ33" s="221"/>
      <c r="CA33" s="16">
        <f t="shared" ref="CA33:CA35" si="115">BZ33</f>
        <v>0</v>
      </c>
      <c r="CB33" s="221"/>
      <c r="CC33" s="221"/>
      <c r="CD33" s="221"/>
      <c r="CE33" s="221"/>
      <c r="CF33" s="16">
        <f t="shared" ref="CF33:CF35" si="116">CE33</f>
        <v>0</v>
      </c>
      <c r="CG33" s="221">
        <f>data!CG80</f>
        <v>0</v>
      </c>
      <c r="CH33" s="221">
        <f>data!CH80</f>
        <v>0</v>
      </c>
      <c r="CI33" s="221">
        <f>data!CI80</f>
        <v>0</v>
      </c>
      <c r="CJ33" s="221">
        <f>data!CJ80</f>
        <v>0</v>
      </c>
      <c r="CK33" s="222">
        <f t="shared" ref="CK33:CK35" si="117">CJ33</f>
        <v>0</v>
      </c>
      <c r="CL33" s="221">
        <f>data!CL80</f>
        <v>0</v>
      </c>
      <c r="CM33" s="221">
        <f>data!CM80</f>
        <v>0</v>
      </c>
      <c r="CN33" s="221">
        <f>data!CN80</f>
        <v>0</v>
      </c>
      <c r="CO33" s="221">
        <f>data!CO80</f>
        <v>29677</v>
      </c>
      <c r="CP33" s="222">
        <f t="shared" ref="CP33:CP35" si="118">CO33</f>
        <v>29677</v>
      </c>
      <c r="CQ33" s="221">
        <f>data!CQ80</f>
        <v>29104</v>
      </c>
      <c r="CR33" s="221">
        <f>data!CR80</f>
        <v>28805</v>
      </c>
      <c r="CS33" s="221">
        <f>data!CS80</f>
        <v>28415</v>
      </c>
      <c r="CT33" s="221">
        <f>data!CT80</f>
        <v>21202</v>
      </c>
      <c r="CU33" s="222">
        <f t="shared" ref="CU33:CU35" si="119">CT33</f>
        <v>21202</v>
      </c>
      <c r="CV33" s="221">
        <f>data!CV80</f>
        <v>20636</v>
      </c>
      <c r="CW33" s="221">
        <f>data!CW80</f>
        <v>19758</v>
      </c>
      <c r="CX33" s="221">
        <f>data!CX80</f>
        <v>19201</v>
      </c>
      <c r="CY33" s="221">
        <f>data!CY80</f>
        <v>10400</v>
      </c>
      <c r="CZ33" s="222">
        <f t="shared" ref="CZ33:CZ35" si="120">CY33</f>
        <v>10400</v>
      </c>
      <c r="DA33" s="221">
        <f>data!DA80</f>
        <v>10244</v>
      </c>
      <c r="DB33" s="221">
        <f>data!DB80</f>
        <v>9941</v>
      </c>
      <c r="DC33" s="221">
        <f>data!DC80</f>
        <v>9718</v>
      </c>
      <c r="DD33" s="221">
        <f>data!DD80</f>
        <v>11214</v>
      </c>
      <c r="DE33" s="222">
        <f t="shared" ref="DE33:DE35" si="121">DD33</f>
        <v>11214</v>
      </c>
      <c r="DF33" s="221">
        <f>data!DF80</f>
        <v>11002</v>
      </c>
      <c r="DG33" s="221">
        <f>data!DG80</f>
        <v>7248</v>
      </c>
      <c r="DH33" s="221">
        <f>data!DH80</f>
        <v>7169</v>
      </c>
      <c r="DI33" s="221">
        <f>data!DI80</f>
        <v>7035</v>
      </c>
      <c r="DJ33" s="222">
        <f t="shared" ref="DJ33:DJ35" si="122">DI33</f>
        <v>7035</v>
      </c>
      <c r="DK33" s="221">
        <f>data!DK80</f>
        <v>6872</v>
      </c>
      <c r="DL33" s="221">
        <f>data!DL80</f>
        <v>6796</v>
      </c>
      <c r="DM33" s="246">
        <f t="shared" si="109"/>
        <v>6796</v>
      </c>
      <c r="DN33" s="246">
        <f t="shared" si="110"/>
        <v>6796</v>
      </c>
      <c r="DO33" s="222">
        <f t="shared" si="110"/>
        <v>6796</v>
      </c>
      <c r="DP33" s="246">
        <f t="shared" si="111"/>
        <v>6796</v>
      </c>
      <c r="DQ33" s="246">
        <f t="shared" si="111"/>
        <v>6796</v>
      </c>
      <c r="DR33" s="246">
        <f t="shared" si="112"/>
        <v>6796</v>
      </c>
      <c r="DS33" s="246">
        <f t="shared" si="113"/>
        <v>6796</v>
      </c>
      <c r="DT33" s="222">
        <f t="shared" ref="DT33:DT35" si="123">DS33</f>
        <v>6796</v>
      </c>
      <c r="DU33" s="247">
        <f t="shared" si="114"/>
        <v>6796</v>
      </c>
      <c r="DV33" s="247">
        <f t="shared" si="114"/>
        <v>6796</v>
      </c>
    </row>
    <row r="34" spans="1:126" s="15" customFormat="1">
      <c r="B34" s="15" t="s">
        <v>491</v>
      </c>
      <c r="C34" s="16"/>
      <c r="D34" s="16"/>
      <c r="E34" s="16"/>
      <c r="F34" s="16"/>
      <c r="G34" s="16"/>
      <c r="H34" s="16"/>
      <c r="I34" s="16"/>
      <c r="N34" s="16"/>
      <c r="S34" s="16"/>
      <c r="X34" s="16"/>
      <c r="AC34" s="16"/>
      <c r="AH34" s="16"/>
      <c r="AM34" s="16"/>
      <c r="AR34" s="16"/>
      <c r="AW34" s="16"/>
      <c r="AX34" s="221"/>
      <c r="AY34" s="221"/>
      <c r="AZ34" s="221"/>
      <c r="BA34" s="221"/>
      <c r="BB34" s="16"/>
      <c r="BC34" s="221"/>
      <c r="BD34" s="221"/>
      <c r="BE34" s="221"/>
      <c r="BF34" s="221"/>
      <c r="BG34" s="16"/>
      <c r="BH34" s="221"/>
      <c r="BI34" s="221"/>
      <c r="BJ34" s="221"/>
      <c r="BK34" s="221"/>
      <c r="BL34" s="16"/>
      <c r="BM34" s="221"/>
      <c r="BN34" s="221"/>
      <c r="BO34" s="221"/>
      <c r="BP34" s="221"/>
      <c r="BQ34" s="16"/>
      <c r="BR34" s="246"/>
      <c r="BS34" s="221"/>
      <c r="BT34" s="221"/>
      <c r="BU34" s="221"/>
      <c r="BV34" s="16"/>
      <c r="BW34" s="221"/>
      <c r="BX34" s="221"/>
      <c r="BY34" s="221"/>
      <c r="BZ34" s="221"/>
      <c r="CA34" s="16"/>
      <c r="CB34" s="221"/>
      <c r="CC34" s="221"/>
      <c r="CD34" s="221"/>
      <c r="CE34" s="221"/>
      <c r="CF34" s="16"/>
      <c r="CG34" s="221"/>
      <c r="CH34" s="221"/>
      <c r="CI34" s="221"/>
      <c r="CJ34" s="221"/>
      <c r="CK34" s="222"/>
      <c r="CL34" s="221"/>
      <c r="CM34" s="221"/>
      <c r="CN34" s="221"/>
      <c r="CO34" s="221">
        <f>data!CO77</f>
        <v>1801</v>
      </c>
      <c r="CP34" s="222">
        <f t="shared" si="118"/>
        <v>1801</v>
      </c>
      <c r="CQ34" s="221">
        <f>data!CQ77</f>
        <v>1748</v>
      </c>
      <c r="CR34" s="221">
        <f>data!CR77</f>
        <v>1779</v>
      </c>
      <c r="CS34" s="221">
        <f>data!CS77</f>
        <v>1839</v>
      </c>
      <c r="CT34" s="221">
        <f>data!CT77</f>
        <v>1989</v>
      </c>
      <c r="CU34" s="222">
        <f t="shared" si="119"/>
        <v>1989</v>
      </c>
      <c r="CV34" s="221">
        <f>data!CV77</f>
        <v>1953</v>
      </c>
      <c r="CW34" s="221">
        <f>data!CW77</f>
        <v>1916</v>
      </c>
      <c r="CX34" s="221">
        <f>data!CX77</f>
        <v>1842</v>
      </c>
      <c r="CY34" s="221">
        <f>data!CY77</f>
        <v>1409</v>
      </c>
      <c r="CZ34" s="222">
        <f t="shared" si="120"/>
        <v>1409</v>
      </c>
      <c r="DA34" s="221">
        <f>data!DA77</f>
        <v>1500</v>
      </c>
      <c r="DB34" s="221">
        <f>data!DB77</f>
        <v>1384</v>
      </c>
      <c r="DC34" s="221">
        <f>data!DC77</f>
        <v>1337</v>
      </c>
      <c r="DD34" s="221">
        <f>data!DD77</f>
        <v>1339</v>
      </c>
      <c r="DE34" s="222">
        <f t="shared" si="121"/>
        <v>1339</v>
      </c>
      <c r="DF34" s="221">
        <f>data!DF77</f>
        <v>1297</v>
      </c>
      <c r="DG34" s="221">
        <f>data!DG77</f>
        <v>960</v>
      </c>
      <c r="DH34" s="221">
        <f>data!DH77</f>
        <v>972</v>
      </c>
      <c r="DI34" s="221">
        <f>data!DI77</f>
        <v>1013</v>
      </c>
      <c r="DJ34" s="222">
        <f t="shared" ref="DJ34" si="124">DI34</f>
        <v>1013</v>
      </c>
      <c r="DK34" s="221">
        <f>data!DK77</f>
        <v>1054</v>
      </c>
      <c r="DL34" s="221">
        <f>data!DL77</f>
        <v>1040</v>
      </c>
      <c r="DM34" s="246">
        <f t="shared" ref="DM34" si="125">DL34</f>
        <v>1040</v>
      </c>
      <c r="DN34" s="246">
        <f t="shared" ref="DN34" si="126">DM34</f>
        <v>1040</v>
      </c>
      <c r="DO34" s="222">
        <f t="shared" si="110"/>
        <v>1040</v>
      </c>
      <c r="DP34" s="246">
        <f t="shared" si="111"/>
        <v>1040</v>
      </c>
      <c r="DQ34" s="246">
        <f t="shared" si="111"/>
        <v>1040</v>
      </c>
      <c r="DR34" s="246">
        <f t="shared" si="112"/>
        <v>1040</v>
      </c>
      <c r="DS34" s="246">
        <f t="shared" si="113"/>
        <v>1040</v>
      </c>
      <c r="DT34" s="222">
        <f t="shared" si="123"/>
        <v>1040</v>
      </c>
      <c r="DU34" s="247">
        <f t="shared" ref="DU34:DV34" si="127">DT34</f>
        <v>1040</v>
      </c>
      <c r="DV34" s="247">
        <f t="shared" si="127"/>
        <v>1040</v>
      </c>
    </row>
    <row r="35" spans="1:126" s="15" customFormat="1">
      <c r="B35" s="15" t="s">
        <v>57</v>
      </c>
      <c r="C35" s="215">
        <f>data!C81</f>
        <v>0</v>
      </c>
      <c r="D35" s="215">
        <f>data!D81</f>
        <v>0</v>
      </c>
      <c r="E35" s="215">
        <f>data!E81</f>
        <v>0</v>
      </c>
      <c r="F35" s="215">
        <f>data!F81</f>
        <v>0</v>
      </c>
      <c r="G35" s="215">
        <f>data!G81</f>
        <v>0</v>
      </c>
      <c r="H35" s="215">
        <f>data!H81</f>
        <v>0</v>
      </c>
      <c r="I35" s="215">
        <f>data!I81</f>
        <v>0</v>
      </c>
      <c r="J35" s="191"/>
      <c r="K35" s="191"/>
      <c r="L35" s="191"/>
      <c r="M35" s="191"/>
      <c r="N35" s="215"/>
      <c r="O35" s="191"/>
      <c r="P35" s="191"/>
      <c r="Q35" s="191"/>
      <c r="R35" s="191"/>
      <c r="S35" s="215"/>
      <c r="T35" s="191"/>
      <c r="U35" s="191"/>
      <c r="V35" s="191"/>
      <c r="W35" s="191"/>
      <c r="X35" s="215"/>
      <c r="Y35" s="191"/>
      <c r="Z35" s="191"/>
      <c r="AA35" s="191"/>
      <c r="AB35" s="191"/>
      <c r="AC35" s="215"/>
      <c r="AD35" s="191"/>
      <c r="AE35" s="191"/>
      <c r="AF35" s="191"/>
      <c r="AG35" s="191"/>
      <c r="AH35" s="215"/>
      <c r="AI35" s="191"/>
      <c r="AJ35" s="191"/>
      <c r="AK35" s="191"/>
      <c r="AL35" s="191"/>
      <c r="AM35" s="215"/>
      <c r="AN35" s="191"/>
      <c r="AO35" s="191"/>
      <c r="AP35" s="191"/>
      <c r="AQ35" s="191"/>
      <c r="AR35" s="215"/>
      <c r="AS35" s="191"/>
      <c r="AT35" s="191"/>
      <c r="AU35" s="191"/>
      <c r="AV35" s="191"/>
      <c r="AW35" s="215"/>
      <c r="AX35" s="191"/>
      <c r="AY35" s="191"/>
      <c r="AZ35" s="191"/>
      <c r="BA35" s="191"/>
      <c r="BB35" s="215"/>
      <c r="BC35" s="191"/>
      <c r="BD35" s="191"/>
      <c r="BE35" s="191"/>
      <c r="BF35" s="191"/>
      <c r="BG35" s="215"/>
      <c r="BH35" s="191"/>
      <c r="BI35" s="191"/>
      <c r="BJ35" s="191"/>
      <c r="BK35" s="191"/>
      <c r="BL35" s="215"/>
      <c r="BM35" s="191"/>
      <c r="BN35" s="191"/>
      <c r="BO35" s="191"/>
      <c r="BP35" s="191"/>
      <c r="BQ35" s="215"/>
      <c r="BR35" s="226"/>
      <c r="BS35" s="191"/>
      <c r="BT35" s="191"/>
      <c r="BU35" s="191"/>
      <c r="BV35" s="215"/>
      <c r="BW35" s="191"/>
      <c r="BX35" s="191"/>
      <c r="BY35" s="191"/>
      <c r="BZ35" s="191"/>
      <c r="CA35" s="215">
        <f t="shared" si="115"/>
        <v>0</v>
      </c>
      <c r="CB35" s="191"/>
      <c r="CC35" s="191"/>
      <c r="CD35" s="191"/>
      <c r="CE35" s="191"/>
      <c r="CF35" s="215">
        <f t="shared" si="116"/>
        <v>0</v>
      </c>
      <c r="CG35" s="191">
        <f>data!CG81</f>
        <v>0</v>
      </c>
      <c r="CH35" s="191">
        <f>data!CH81</f>
        <v>0</v>
      </c>
      <c r="CI35" s="191">
        <f>data!CI81</f>
        <v>0</v>
      </c>
      <c r="CJ35" s="191">
        <f>data!CJ81</f>
        <v>0</v>
      </c>
      <c r="CK35" s="215">
        <f t="shared" si="117"/>
        <v>0</v>
      </c>
      <c r="CL35" s="191">
        <f>data!CL81</f>
        <v>0</v>
      </c>
      <c r="CM35" s="191">
        <f>data!CM81</f>
        <v>0</v>
      </c>
      <c r="CN35" s="191">
        <f>data!CN81</f>
        <v>0</v>
      </c>
      <c r="CO35" s="191">
        <f>data!CO81+data!CO82</f>
        <v>20666</v>
      </c>
      <c r="CP35" s="215">
        <f t="shared" si="118"/>
        <v>20666</v>
      </c>
      <c r="CQ35" s="191">
        <f>data!CQ81+data!CQ82</f>
        <v>15026</v>
      </c>
      <c r="CR35" s="191">
        <f>data!CR81+data!CR82</f>
        <v>15263</v>
      </c>
      <c r="CS35" s="191">
        <f>data!CS81+data!CS82</f>
        <v>15108</v>
      </c>
      <c r="CT35" s="191">
        <f>data!CT81+data!CT82</f>
        <v>14127</v>
      </c>
      <c r="CU35" s="215">
        <f t="shared" si="119"/>
        <v>14127</v>
      </c>
      <c r="CV35" s="191">
        <f>data!CV81+data!CV82</f>
        <v>13470</v>
      </c>
      <c r="CW35" s="191">
        <f>data!CW81+data!CW82</f>
        <v>12917</v>
      </c>
      <c r="CX35" s="191">
        <f>data!CX81+data!CX82</f>
        <v>12870</v>
      </c>
      <c r="CY35" s="191">
        <f>data!CY81+data!CY82</f>
        <v>35537</v>
      </c>
      <c r="CZ35" s="215">
        <f t="shared" si="120"/>
        <v>35537</v>
      </c>
      <c r="DA35" s="191">
        <f>data!DA81+data!DA82</f>
        <v>12488</v>
      </c>
      <c r="DB35" s="191">
        <f>data!DB81+data!DB82</f>
        <v>12632</v>
      </c>
      <c r="DC35" s="191">
        <f>data!DC81+data!DC82</f>
        <v>12289</v>
      </c>
      <c r="DD35" s="191">
        <f>data!DD81+data!DD82</f>
        <v>11701</v>
      </c>
      <c r="DE35" s="215">
        <f t="shared" si="121"/>
        <v>11701</v>
      </c>
      <c r="DF35" s="191">
        <f>data!DF81+data!DF82</f>
        <v>12024</v>
      </c>
      <c r="DG35" s="191">
        <f>data!DG81+data!DG82</f>
        <v>8201</v>
      </c>
      <c r="DH35" s="191">
        <f>data!DH81+data!DH82</f>
        <v>7975</v>
      </c>
      <c r="DI35" s="191">
        <f>data!DI81+data!DI82</f>
        <v>7693</v>
      </c>
      <c r="DJ35" s="215">
        <f t="shared" si="122"/>
        <v>7693</v>
      </c>
      <c r="DK35" s="191">
        <f>data!DK81+data!DK82</f>
        <v>7877</v>
      </c>
      <c r="DL35" s="191">
        <f>data!DL81+data!DL82</f>
        <v>7866</v>
      </c>
      <c r="DM35" s="226">
        <f t="shared" ref="DM35" si="128">DL35</f>
        <v>7866</v>
      </c>
      <c r="DN35" s="226">
        <f t="shared" ref="DN35" si="129">DM35</f>
        <v>7866</v>
      </c>
      <c r="DO35" s="215">
        <f t="shared" si="110"/>
        <v>7866</v>
      </c>
      <c r="DP35" s="226">
        <f t="shared" si="111"/>
        <v>7866</v>
      </c>
      <c r="DQ35" s="226">
        <f t="shared" si="111"/>
        <v>7866</v>
      </c>
      <c r="DR35" s="226">
        <f t="shared" si="112"/>
        <v>7866</v>
      </c>
      <c r="DS35" s="226">
        <f t="shared" si="113"/>
        <v>7866</v>
      </c>
      <c r="DT35" s="215">
        <f t="shared" si="123"/>
        <v>7866</v>
      </c>
      <c r="DU35" s="227">
        <f t="shared" si="114"/>
        <v>7866</v>
      </c>
      <c r="DV35" s="227">
        <f t="shared" si="114"/>
        <v>7866</v>
      </c>
    </row>
    <row r="36" spans="1:126" s="15" customFormat="1" ht="12">
      <c r="B36" s="189" t="s">
        <v>58</v>
      </c>
      <c r="C36" s="130">
        <f t="shared" ref="C36:I36" si="130">SUM(C30:C35)</f>
        <v>0</v>
      </c>
      <c r="D36" s="130">
        <f t="shared" si="130"/>
        <v>0</v>
      </c>
      <c r="E36" s="130">
        <f t="shared" si="130"/>
        <v>0</v>
      </c>
      <c r="F36" s="130">
        <f t="shared" si="130"/>
        <v>0</v>
      </c>
      <c r="G36" s="130">
        <f t="shared" si="130"/>
        <v>0</v>
      </c>
      <c r="H36" s="130">
        <f t="shared" si="130"/>
        <v>0</v>
      </c>
      <c r="I36" s="130">
        <f t="shared" si="130"/>
        <v>0</v>
      </c>
      <c r="J36" s="189"/>
      <c r="K36" s="189"/>
      <c r="L36" s="189"/>
      <c r="M36" s="189"/>
      <c r="N36" s="130"/>
      <c r="O36" s="189"/>
      <c r="P36" s="189"/>
      <c r="Q36" s="189"/>
      <c r="R36" s="189"/>
      <c r="S36" s="130"/>
      <c r="T36" s="189"/>
      <c r="U36" s="189"/>
      <c r="V36" s="189"/>
      <c r="W36" s="189"/>
      <c r="X36" s="130"/>
      <c r="Y36" s="189"/>
      <c r="Z36" s="189"/>
      <c r="AA36" s="189"/>
      <c r="AB36" s="189"/>
      <c r="AC36" s="130"/>
      <c r="AD36" s="189"/>
      <c r="AE36" s="189"/>
      <c r="AF36" s="189"/>
      <c r="AG36" s="189"/>
      <c r="AH36" s="130"/>
      <c r="AI36" s="189"/>
      <c r="AJ36" s="189"/>
      <c r="AK36" s="189"/>
      <c r="AL36" s="189"/>
      <c r="AM36" s="130"/>
      <c r="AN36" s="189"/>
      <c r="AO36" s="189"/>
      <c r="AP36" s="189"/>
      <c r="AQ36" s="189"/>
      <c r="AR36" s="130"/>
      <c r="AS36" s="189"/>
      <c r="AT36" s="189"/>
      <c r="AU36" s="189"/>
      <c r="AV36" s="189"/>
      <c r="AW36" s="130"/>
      <c r="AX36" s="216"/>
      <c r="AY36" s="216"/>
      <c r="AZ36" s="216"/>
      <c r="BA36" s="216"/>
      <c r="BB36" s="130"/>
      <c r="BC36" s="216"/>
      <c r="BD36" s="216"/>
      <c r="BE36" s="216"/>
      <c r="BF36" s="216"/>
      <c r="BG36" s="130"/>
      <c r="BH36" s="216"/>
      <c r="BI36" s="216"/>
      <c r="BJ36" s="216"/>
      <c r="BK36" s="216"/>
      <c r="BL36" s="130"/>
      <c r="BM36" s="216"/>
      <c r="BN36" s="216"/>
      <c r="BO36" s="216"/>
      <c r="BP36" s="216"/>
      <c r="BQ36" s="130"/>
      <c r="BR36" s="216"/>
      <c r="BS36" s="216"/>
      <c r="BT36" s="216"/>
      <c r="BU36" s="216"/>
      <c r="BV36" s="130"/>
      <c r="BW36" s="216"/>
      <c r="BX36" s="216"/>
      <c r="BY36" s="216"/>
      <c r="BZ36" s="216"/>
      <c r="CA36" s="130">
        <f>BZ36</f>
        <v>0</v>
      </c>
      <c r="CB36" s="216"/>
      <c r="CC36" s="189"/>
      <c r="CD36" s="189"/>
      <c r="CE36" s="189"/>
      <c r="CF36" s="130">
        <f>CE36</f>
        <v>0</v>
      </c>
      <c r="CG36" s="216">
        <f>SUM(CG30:CG35)</f>
        <v>0</v>
      </c>
      <c r="CH36" s="216">
        <f>SUM(CH30:CH35)</f>
        <v>0</v>
      </c>
      <c r="CI36" s="216">
        <f>SUM(CI30:CI35)</f>
        <v>0</v>
      </c>
      <c r="CJ36" s="216">
        <f>SUM(CJ30:CJ35)</f>
        <v>0</v>
      </c>
      <c r="CK36" s="225">
        <f>CJ36</f>
        <v>0</v>
      </c>
      <c r="CL36" s="216">
        <f>SUM(CL30:CL35)</f>
        <v>0</v>
      </c>
      <c r="CM36" s="189">
        <f>SUM(CM30:CM35)</f>
        <v>0</v>
      </c>
      <c r="CN36" s="189">
        <f>SUM(CN30:CN35)</f>
        <v>0</v>
      </c>
      <c r="CO36" s="189">
        <f t="shared" ref="CO36" si="131">SUM(CO30:CO35)</f>
        <v>219137</v>
      </c>
      <c r="CP36" s="225">
        <f>CO36</f>
        <v>219137</v>
      </c>
      <c r="CQ36" s="189">
        <f>SUM(CQ30:CQ35)</f>
        <v>210011</v>
      </c>
      <c r="CR36" s="189">
        <f t="shared" ref="CR36:CT36" si="132">SUM(CR30:CR35)</f>
        <v>202512</v>
      </c>
      <c r="CS36" s="189">
        <f t="shared" si="132"/>
        <v>198172</v>
      </c>
      <c r="CT36" s="189">
        <f t="shared" si="132"/>
        <v>157261</v>
      </c>
      <c r="CU36" s="225">
        <f>CT36</f>
        <v>157261</v>
      </c>
      <c r="CV36" s="189">
        <f>SUM(CV30:CV35)</f>
        <v>151679</v>
      </c>
      <c r="CW36" s="189">
        <f t="shared" ref="CW36" si="133">SUM(CW30:CW35)</f>
        <v>149597</v>
      </c>
      <c r="CX36" s="189">
        <f t="shared" ref="CX36" si="134">SUM(CX30:CX35)</f>
        <v>148127</v>
      </c>
      <c r="CY36" s="189">
        <f t="shared" ref="CY36" si="135">SUM(CY30:CY35)</f>
        <v>153939</v>
      </c>
      <c r="CZ36" s="225">
        <f>CY36</f>
        <v>153939</v>
      </c>
      <c r="DA36" s="189">
        <f>SUM(DA30:DA35)</f>
        <v>131650</v>
      </c>
      <c r="DB36" s="189">
        <f t="shared" ref="DB36" si="136">SUM(DB30:DB35)</f>
        <v>130638</v>
      </c>
      <c r="DC36" s="189">
        <f t="shared" ref="DC36" si="137">SUM(DC30:DC35)</f>
        <v>126829</v>
      </c>
      <c r="DD36" s="189">
        <f t="shared" ref="DD36" si="138">SUM(DD30:DD35)</f>
        <v>134465</v>
      </c>
      <c r="DE36" s="225">
        <f>DD36</f>
        <v>134465</v>
      </c>
      <c r="DF36" s="189">
        <f>SUM(DF30:DF35)</f>
        <v>132837</v>
      </c>
      <c r="DG36" s="189">
        <f t="shared" ref="DG36:DI36" si="139">SUM(DG30:DG35)</f>
        <v>104347</v>
      </c>
      <c r="DH36" s="189">
        <f t="shared" si="139"/>
        <v>107596</v>
      </c>
      <c r="DI36" s="189">
        <f t="shared" si="139"/>
        <v>103576</v>
      </c>
      <c r="DJ36" s="225">
        <f t="shared" ref="DJ36:DV36" si="140">SUM(DJ30:DJ35)</f>
        <v>103576</v>
      </c>
      <c r="DK36" s="189">
        <f>SUM(DK30:DK35)</f>
        <v>104655</v>
      </c>
      <c r="DL36" s="189">
        <f t="shared" ref="DL36" si="141">SUM(DL30:DL35)</f>
        <v>105911</v>
      </c>
      <c r="DM36" s="189">
        <f t="shared" si="140"/>
        <v>103040.21157777778</v>
      </c>
      <c r="DN36" s="189">
        <f t="shared" si="140"/>
        <v>103284.14616666667</v>
      </c>
      <c r="DO36" s="225">
        <f t="shared" si="140"/>
        <v>103284.14616666667</v>
      </c>
      <c r="DP36" s="189">
        <f t="shared" si="140"/>
        <v>102707.3294</v>
      </c>
      <c r="DQ36" s="189">
        <f t="shared" ref="DQ36:DT36" si="142">SUM(DQ30:DQ35)</f>
        <v>103540.40333333334</v>
      </c>
      <c r="DR36" s="189">
        <f t="shared" si="142"/>
        <v>103796.12745866667</v>
      </c>
      <c r="DS36" s="189">
        <f t="shared" si="142"/>
        <v>104084.88844714222</v>
      </c>
      <c r="DT36" s="225">
        <f t="shared" si="142"/>
        <v>104084.88844714222</v>
      </c>
      <c r="DU36" s="130">
        <f t="shared" si="140"/>
        <v>104108.48767128195</v>
      </c>
      <c r="DV36" s="130">
        <f t="shared" si="140"/>
        <v>104609.16854269782</v>
      </c>
    </row>
    <row r="37" spans="1:126" s="15" customFormat="1" ht="12">
      <c r="B37" s="221" t="s">
        <v>496</v>
      </c>
      <c r="C37" s="130"/>
      <c r="D37" s="130"/>
      <c r="E37" s="130"/>
      <c r="F37" s="130"/>
      <c r="G37" s="130"/>
      <c r="H37" s="130"/>
      <c r="I37" s="130"/>
      <c r="J37" s="189"/>
      <c r="K37" s="189"/>
      <c r="L37" s="189"/>
      <c r="M37" s="189"/>
      <c r="N37" s="130"/>
      <c r="O37" s="189"/>
      <c r="P37" s="189"/>
      <c r="Q37" s="189"/>
      <c r="R37" s="189"/>
      <c r="S37" s="130"/>
      <c r="T37" s="189"/>
      <c r="U37" s="189"/>
      <c r="V37" s="189"/>
      <c r="W37" s="189"/>
      <c r="X37" s="130"/>
      <c r="Y37" s="189"/>
      <c r="Z37" s="189"/>
      <c r="AA37" s="189"/>
      <c r="AB37" s="189"/>
      <c r="AC37" s="130"/>
      <c r="AD37" s="189"/>
      <c r="AE37" s="189"/>
      <c r="AF37" s="189"/>
      <c r="AG37" s="189"/>
      <c r="AH37" s="130"/>
      <c r="AI37" s="189"/>
      <c r="AJ37" s="189"/>
      <c r="AK37" s="189"/>
      <c r="AL37" s="189"/>
      <c r="AM37" s="130"/>
      <c r="AN37" s="189"/>
      <c r="AO37" s="189"/>
      <c r="AP37" s="189"/>
      <c r="AQ37" s="189"/>
      <c r="AR37" s="130"/>
      <c r="AS37" s="189"/>
      <c r="AT37" s="189"/>
      <c r="AU37" s="189"/>
      <c r="AV37" s="189"/>
      <c r="AW37" s="130"/>
      <c r="AX37" s="216"/>
      <c r="AY37" s="216"/>
      <c r="AZ37" s="216"/>
      <c r="BA37" s="216"/>
      <c r="BB37" s="130"/>
      <c r="BC37" s="216"/>
      <c r="BD37" s="216"/>
      <c r="BE37" s="216"/>
      <c r="BF37" s="216"/>
      <c r="BG37" s="130"/>
      <c r="BH37" s="216"/>
      <c r="BI37" s="216"/>
      <c r="BJ37" s="216"/>
      <c r="BK37" s="216"/>
      <c r="BL37" s="130"/>
      <c r="BM37" s="216"/>
      <c r="BN37" s="216"/>
      <c r="BO37" s="216"/>
      <c r="BP37" s="216"/>
      <c r="BQ37" s="130"/>
      <c r="BR37" s="216"/>
      <c r="BS37" s="216"/>
      <c r="BT37" s="216"/>
      <c r="BU37" s="216"/>
      <c r="BV37" s="130"/>
      <c r="BW37" s="216"/>
      <c r="BX37" s="216"/>
      <c r="BY37" s="216"/>
      <c r="BZ37" s="216"/>
      <c r="CA37" s="130"/>
      <c r="CB37" s="216"/>
      <c r="CC37" s="189"/>
      <c r="CD37" s="189"/>
      <c r="CE37" s="189"/>
      <c r="CF37" s="130"/>
      <c r="CG37" s="216"/>
      <c r="CH37" s="216"/>
      <c r="CI37" s="216"/>
      <c r="CJ37" s="216"/>
      <c r="CK37" s="225"/>
      <c r="CL37" s="216"/>
      <c r="CM37" s="189"/>
      <c r="CN37" s="189"/>
      <c r="CO37" s="221">
        <f>data!CO84</f>
        <v>6</v>
      </c>
      <c r="CP37" s="222">
        <f>(CO37)+0</f>
        <v>6</v>
      </c>
      <c r="CQ37" s="221">
        <f>data!CQ84</f>
        <v>6</v>
      </c>
      <c r="CR37" s="221">
        <f>data!CR84</f>
        <v>6</v>
      </c>
      <c r="CS37" s="221">
        <f>data!CS84</f>
        <v>6</v>
      </c>
      <c r="CT37" s="221">
        <f>data!CT84</f>
        <v>6</v>
      </c>
      <c r="CU37" s="222">
        <f>(CT37)+0</f>
        <v>6</v>
      </c>
      <c r="CV37" s="221">
        <f>data!CV84</f>
        <v>6</v>
      </c>
      <c r="CW37" s="221">
        <f>data!CW84</f>
        <v>6</v>
      </c>
      <c r="CX37" s="221">
        <f>data!CX84</f>
        <v>6</v>
      </c>
      <c r="CY37" s="221">
        <f>data!CY84</f>
        <v>6</v>
      </c>
      <c r="CZ37" s="222">
        <f>(CY37)+0</f>
        <v>6</v>
      </c>
      <c r="DA37" s="221">
        <f>data!DA84</f>
        <v>3</v>
      </c>
      <c r="DB37" s="221">
        <f>data!DB84</f>
        <v>3</v>
      </c>
      <c r="DC37" s="221">
        <f>data!DC84</f>
        <v>0</v>
      </c>
      <c r="DD37" s="221">
        <f>data!DD84</f>
        <v>0</v>
      </c>
      <c r="DE37" s="222">
        <f>(DD37)+0</f>
        <v>0</v>
      </c>
      <c r="DF37" s="221">
        <f>data!DF84</f>
        <v>0</v>
      </c>
      <c r="DG37" s="221">
        <f>data!DG84</f>
        <v>0</v>
      </c>
      <c r="DH37" s="221">
        <f>data!DH84</f>
        <v>0</v>
      </c>
      <c r="DI37" s="221">
        <f>data!DI84</f>
        <v>0</v>
      </c>
      <c r="DJ37" s="222">
        <f>(DI37)+0</f>
        <v>0</v>
      </c>
      <c r="DK37" s="221">
        <f>data!DK84</f>
        <v>0</v>
      </c>
      <c r="DL37" s="221">
        <f>data!DL84</f>
        <v>0</v>
      </c>
      <c r="DM37" s="246">
        <f t="shared" ref="DM37" si="143">DL37</f>
        <v>0</v>
      </c>
      <c r="DN37" s="246">
        <f t="shared" ref="DN37" si="144">DM37</f>
        <v>0</v>
      </c>
      <c r="DO37" s="222">
        <f>(DN37)+0</f>
        <v>0</v>
      </c>
      <c r="DP37" s="246">
        <f t="shared" ref="DP37:DQ39" si="145">DO37</f>
        <v>0</v>
      </c>
      <c r="DQ37" s="246">
        <f t="shared" si="145"/>
        <v>0</v>
      </c>
      <c r="DR37" s="246">
        <f t="shared" ref="DR37:DR39" si="146">DQ37</f>
        <v>0</v>
      </c>
      <c r="DS37" s="246">
        <f t="shared" ref="DS37:DS39" si="147">DR37</f>
        <v>0</v>
      </c>
      <c r="DT37" s="222">
        <f>(DS37)+0</f>
        <v>0</v>
      </c>
      <c r="DU37" s="247">
        <f t="shared" ref="DU37:DV37" si="148">DT37</f>
        <v>0</v>
      </c>
      <c r="DV37" s="247">
        <f t="shared" si="148"/>
        <v>0</v>
      </c>
    </row>
    <row r="38" spans="1:126" s="15" customFormat="1">
      <c r="B38" s="221" t="s">
        <v>497</v>
      </c>
      <c r="C38" s="16">
        <f>data!C85</f>
        <v>0</v>
      </c>
      <c r="D38" s="16">
        <f>data!D85</f>
        <v>0</v>
      </c>
      <c r="E38" s="16">
        <f>data!E85</f>
        <v>0</v>
      </c>
      <c r="F38" s="16">
        <f>data!F85</f>
        <v>0</v>
      </c>
      <c r="G38" s="16">
        <f>data!G85</f>
        <v>0</v>
      </c>
      <c r="H38" s="16">
        <f>data!H85</f>
        <v>0</v>
      </c>
      <c r="I38" s="16">
        <f>data!I85</f>
        <v>0</v>
      </c>
      <c r="N38" s="16"/>
      <c r="S38" s="16"/>
      <c r="X38" s="16"/>
      <c r="AC38" s="16"/>
      <c r="AH38" s="16"/>
      <c r="AM38" s="16"/>
      <c r="AR38" s="16"/>
      <c r="AW38" s="16"/>
      <c r="AX38" s="221"/>
      <c r="AY38" s="221"/>
      <c r="AZ38" s="221"/>
      <c r="BA38" s="221"/>
      <c r="BB38" s="16"/>
      <c r="BC38" s="221"/>
      <c r="BD38" s="221"/>
      <c r="BE38" s="221"/>
      <c r="BF38" s="221"/>
      <c r="BG38" s="16"/>
      <c r="BH38" s="221"/>
      <c r="BI38" s="221"/>
      <c r="BJ38" s="221"/>
      <c r="BK38" s="221"/>
      <c r="BL38" s="16"/>
      <c r="BM38" s="221"/>
      <c r="BN38" s="221"/>
      <c r="BO38" s="221"/>
      <c r="BP38" s="221"/>
      <c r="BQ38" s="16"/>
      <c r="BR38" s="246"/>
      <c r="BS38" s="221"/>
      <c r="BT38" s="221"/>
      <c r="BU38" s="221"/>
      <c r="BV38" s="16"/>
      <c r="BW38" s="221"/>
      <c r="BX38" s="221"/>
      <c r="BY38" s="221"/>
      <c r="BZ38" s="221"/>
      <c r="CA38" s="16">
        <f>(BZ38)+0</f>
        <v>0</v>
      </c>
      <c r="CB38" s="221"/>
      <c r="CC38" s="221"/>
      <c r="CD38" s="221"/>
      <c r="CE38" s="221"/>
      <c r="CF38" s="16">
        <f>(CE38)+0</f>
        <v>0</v>
      </c>
      <c r="CG38" s="221">
        <f>data!CG85</f>
        <v>0</v>
      </c>
      <c r="CH38" s="221">
        <f>data!CH85</f>
        <v>0</v>
      </c>
      <c r="CI38" s="221">
        <f>data!CI85</f>
        <v>0</v>
      </c>
      <c r="CJ38" s="221">
        <f>data!CJ85</f>
        <v>0</v>
      </c>
      <c r="CK38" s="222">
        <f>(CJ38)+0</f>
        <v>0</v>
      </c>
      <c r="CL38" s="221">
        <f>data!CL85</f>
        <v>0</v>
      </c>
      <c r="CM38" s="221">
        <f>data!CM85</f>
        <v>0</v>
      </c>
      <c r="CN38" s="221">
        <f>data!CN85</f>
        <v>0</v>
      </c>
      <c r="CO38" s="221">
        <f>+data!CO85</f>
        <v>702</v>
      </c>
      <c r="CP38" s="222">
        <f>(CO38)+0</f>
        <v>702</v>
      </c>
      <c r="CQ38" s="221">
        <f>+data!CQ85</f>
        <v>702</v>
      </c>
      <c r="CR38" s="221">
        <f>+data!CR85</f>
        <v>702</v>
      </c>
      <c r="CS38" s="221">
        <f>+data!CS85</f>
        <v>15</v>
      </c>
      <c r="CT38" s="221">
        <f>+data!CT85</f>
        <v>15</v>
      </c>
      <c r="CU38" s="222">
        <f>(CT38)+0</f>
        <v>15</v>
      </c>
      <c r="CV38" s="221">
        <f>+data!CV85</f>
        <v>15</v>
      </c>
      <c r="CW38" s="221">
        <f>+data!CW85</f>
        <v>15</v>
      </c>
      <c r="CX38" s="221">
        <f>+data!CX85</f>
        <v>15</v>
      </c>
      <c r="CY38" s="221">
        <f>+data!CY85</f>
        <v>15</v>
      </c>
      <c r="CZ38" s="222">
        <f>(CY38)+0</f>
        <v>15</v>
      </c>
      <c r="DA38" s="221">
        <f>+data!DA85</f>
        <v>15</v>
      </c>
      <c r="DB38" s="221">
        <f>+data!DB85</f>
        <v>15</v>
      </c>
      <c r="DC38" s="221">
        <f>+data!DC85</f>
        <v>15</v>
      </c>
      <c r="DD38" s="221">
        <f>+data!DD85</f>
        <v>15</v>
      </c>
      <c r="DE38" s="222">
        <f>(DD38)+0</f>
        <v>15</v>
      </c>
      <c r="DF38" s="221">
        <f>+data!DF85</f>
        <v>15</v>
      </c>
      <c r="DG38" s="221">
        <f>+data!DG85</f>
        <v>15</v>
      </c>
      <c r="DH38" s="221">
        <f>+data!DH85</f>
        <v>15</v>
      </c>
      <c r="DI38" s="221">
        <f>+data!DI85</f>
        <v>15</v>
      </c>
      <c r="DJ38" s="222">
        <f>(DI38)+0</f>
        <v>15</v>
      </c>
      <c r="DK38" s="221">
        <f>+data!DK85</f>
        <v>15</v>
      </c>
      <c r="DL38" s="221">
        <f>+data!DL85</f>
        <v>15</v>
      </c>
      <c r="DM38" s="246">
        <f t="shared" ref="DM38:DM39" si="149">DL38</f>
        <v>15</v>
      </c>
      <c r="DN38" s="246">
        <f t="shared" ref="DN38:DO39" si="150">DM38</f>
        <v>15</v>
      </c>
      <c r="DO38" s="222">
        <f>(DN38)+0</f>
        <v>15</v>
      </c>
      <c r="DP38" s="246">
        <f t="shared" si="145"/>
        <v>15</v>
      </c>
      <c r="DQ38" s="246">
        <f t="shared" si="145"/>
        <v>15</v>
      </c>
      <c r="DR38" s="246">
        <f t="shared" si="146"/>
        <v>15</v>
      </c>
      <c r="DS38" s="246">
        <f t="shared" si="147"/>
        <v>15</v>
      </c>
      <c r="DT38" s="222">
        <f>(DS38)+0</f>
        <v>15</v>
      </c>
      <c r="DU38" s="247">
        <f t="shared" ref="DU38:DV38" si="151">DT38</f>
        <v>15</v>
      </c>
      <c r="DV38" s="247">
        <f t="shared" si="151"/>
        <v>15</v>
      </c>
    </row>
    <row r="39" spans="1:126" s="15" customFormat="1">
      <c r="B39" s="221" t="s">
        <v>498</v>
      </c>
      <c r="C39" s="16">
        <f>data!C86</f>
        <v>0</v>
      </c>
      <c r="D39" s="16">
        <f>data!D86</f>
        <v>0</v>
      </c>
      <c r="E39" s="16">
        <f>data!E86</f>
        <v>0</v>
      </c>
      <c r="F39" s="16">
        <f>data!F86</f>
        <v>0</v>
      </c>
      <c r="G39" s="16">
        <f>data!G86</f>
        <v>0</v>
      </c>
      <c r="H39" s="16">
        <f>data!H86</f>
        <v>0</v>
      </c>
      <c r="I39" s="16">
        <f>data!I86</f>
        <v>0</v>
      </c>
      <c r="N39" s="16"/>
      <c r="S39" s="16"/>
      <c r="X39" s="16"/>
      <c r="AC39" s="16"/>
      <c r="AH39" s="16"/>
      <c r="AM39" s="16"/>
      <c r="AR39" s="16"/>
      <c r="AW39" s="16"/>
      <c r="AX39" s="221"/>
      <c r="AY39" s="221"/>
      <c r="AZ39" s="221"/>
      <c r="BA39" s="221"/>
      <c r="BB39" s="16"/>
      <c r="BC39" s="221"/>
      <c r="BD39" s="221"/>
      <c r="BE39" s="221"/>
      <c r="BF39" s="221"/>
      <c r="BG39" s="16"/>
      <c r="BH39" s="221"/>
      <c r="BI39" s="221"/>
      <c r="BJ39" s="221"/>
      <c r="BK39" s="221"/>
      <c r="BL39" s="16"/>
      <c r="BM39" s="221"/>
      <c r="BN39" s="221"/>
      <c r="BO39" s="221"/>
      <c r="BP39" s="221"/>
      <c r="BQ39" s="16"/>
      <c r="BR39" s="246"/>
      <c r="BS39" s="221"/>
      <c r="BT39" s="221"/>
      <c r="BU39" s="221"/>
      <c r="BV39" s="16"/>
      <c r="BW39" s="221"/>
      <c r="BX39" s="221"/>
      <c r="BY39" s="221"/>
      <c r="BZ39" s="221"/>
      <c r="CA39" s="16">
        <f t="shared" ref="CA39" si="152">BZ39</f>
        <v>0</v>
      </c>
      <c r="CB39" s="221"/>
      <c r="CC39" s="221"/>
      <c r="CD39" s="221"/>
      <c r="CE39" s="221"/>
      <c r="CF39" s="16">
        <f t="shared" ref="CF39" si="153">CE39</f>
        <v>0</v>
      </c>
      <c r="CG39" s="221">
        <f>data!CG86</f>
        <v>0</v>
      </c>
      <c r="CH39" s="221">
        <f>data!CH86</f>
        <v>0</v>
      </c>
      <c r="CI39" s="221">
        <f>data!CI86</f>
        <v>0</v>
      </c>
      <c r="CJ39" s="221">
        <f>data!CJ86</f>
        <v>0</v>
      </c>
      <c r="CK39" s="222">
        <f t="shared" ref="CK39" si="154">CJ39</f>
        <v>0</v>
      </c>
      <c r="CL39" s="221">
        <f>data!CL86</f>
        <v>0</v>
      </c>
      <c r="CM39" s="221">
        <f>data!CM86</f>
        <v>0</v>
      </c>
      <c r="CN39" s="221">
        <f>data!CN86</f>
        <v>0</v>
      </c>
      <c r="CO39" s="221">
        <f>data!CO87</f>
        <v>34307</v>
      </c>
      <c r="CP39" s="222">
        <f t="shared" ref="CP39" si="155">CO39</f>
        <v>34307</v>
      </c>
      <c r="CQ39" s="221">
        <f>data!CQ87</f>
        <v>34042</v>
      </c>
      <c r="CR39" s="221">
        <f>data!CR87</f>
        <v>34031</v>
      </c>
      <c r="CS39" s="221">
        <f>data!CS87</f>
        <v>34750</v>
      </c>
      <c r="CT39" s="221">
        <f>data!CT87</f>
        <v>34691</v>
      </c>
      <c r="CU39" s="222">
        <f t="shared" ref="CU39" si="156">CT39</f>
        <v>34691</v>
      </c>
      <c r="CV39" s="221">
        <f>data!CV87</f>
        <v>34391</v>
      </c>
      <c r="CW39" s="221">
        <f>data!CW87</f>
        <v>34382</v>
      </c>
      <c r="CX39" s="221">
        <f>data!CX87</f>
        <v>34254</v>
      </c>
      <c r="CY39" s="221">
        <f>data!CY87</f>
        <v>34173</v>
      </c>
      <c r="CZ39" s="222">
        <f t="shared" ref="CZ39" si="157">CY39</f>
        <v>34173</v>
      </c>
      <c r="DA39" s="221">
        <f>data!DA87</f>
        <v>30729</v>
      </c>
      <c r="DB39" s="221">
        <f>data!DB87</f>
        <v>30426</v>
      </c>
      <c r="DC39" s="221">
        <f>data!DC87</f>
        <v>27229</v>
      </c>
      <c r="DD39" s="221">
        <f>data!DD87</f>
        <v>26962</v>
      </c>
      <c r="DE39" s="222">
        <f t="shared" ref="DE39" si="158">DD39</f>
        <v>26962</v>
      </c>
      <c r="DF39" s="221">
        <f>data!DF87</f>
        <v>25887</v>
      </c>
      <c r="DG39" s="221">
        <f>data!DG87</f>
        <v>25282</v>
      </c>
      <c r="DH39" s="221">
        <f>data!DH87</f>
        <v>24406</v>
      </c>
      <c r="DI39" s="221">
        <f>data!DI87</f>
        <v>24266</v>
      </c>
      <c r="DJ39" s="222">
        <f t="shared" ref="DJ39" si="159">DI39</f>
        <v>24266</v>
      </c>
      <c r="DK39" s="221">
        <f>data!DK87</f>
        <v>23912</v>
      </c>
      <c r="DL39" s="221">
        <f>data!DL87</f>
        <v>23839</v>
      </c>
      <c r="DM39" s="246">
        <f t="shared" si="149"/>
        <v>23839</v>
      </c>
      <c r="DN39" s="246">
        <f t="shared" si="150"/>
        <v>23839</v>
      </c>
      <c r="DO39" s="222">
        <f t="shared" si="150"/>
        <v>23839</v>
      </c>
      <c r="DP39" s="246">
        <f t="shared" si="145"/>
        <v>23839</v>
      </c>
      <c r="DQ39" s="246">
        <f t="shared" si="145"/>
        <v>23839</v>
      </c>
      <c r="DR39" s="246">
        <f t="shared" si="146"/>
        <v>23839</v>
      </c>
      <c r="DS39" s="246">
        <f t="shared" si="147"/>
        <v>23839</v>
      </c>
      <c r="DT39" s="222">
        <f t="shared" ref="DT39" si="160">DS39</f>
        <v>23839</v>
      </c>
      <c r="DU39" s="247">
        <f t="shared" ref="DU39:DV39" si="161">DT39</f>
        <v>23839</v>
      </c>
      <c r="DV39" s="247">
        <f t="shared" si="161"/>
        <v>23839</v>
      </c>
    </row>
    <row r="40" spans="1:126" s="15" customFormat="1">
      <c r="B40" s="15" t="s">
        <v>59</v>
      </c>
      <c r="C40" s="16">
        <f>data!C88</f>
        <v>0</v>
      </c>
      <c r="D40" s="16">
        <f>data!D88</f>
        <v>0</v>
      </c>
      <c r="E40" s="16">
        <f>data!E88</f>
        <v>0</v>
      </c>
      <c r="F40" s="16">
        <f>data!F88</f>
        <v>0</v>
      </c>
      <c r="G40" s="16">
        <f>data!G88</f>
        <v>0</v>
      </c>
      <c r="H40" s="16">
        <f>data!H88</f>
        <v>0</v>
      </c>
      <c r="I40" s="16">
        <f>data!I88</f>
        <v>0</v>
      </c>
      <c r="N40" s="16"/>
      <c r="S40" s="16"/>
      <c r="X40" s="16"/>
      <c r="AC40" s="16"/>
      <c r="AH40" s="16"/>
      <c r="AM40" s="16"/>
      <c r="AR40" s="16"/>
      <c r="AW40" s="16"/>
      <c r="AX40" s="221"/>
      <c r="AY40" s="221"/>
      <c r="AZ40" s="221"/>
      <c r="BA40" s="221"/>
      <c r="BB40" s="16"/>
      <c r="BC40" s="221"/>
      <c r="BD40" s="221"/>
      <c r="BE40" s="221"/>
      <c r="BF40" s="221"/>
      <c r="BG40" s="16"/>
      <c r="BH40" s="221"/>
      <c r="BI40" s="221"/>
      <c r="BJ40" s="221"/>
      <c r="BK40" s="221"/>
      <c r="BL40" s="16"/>
      <c r="BM40" s="221"/>
      <c r="BN40" s="221"/>
      <c r="BO40" s="221"/>
      <c r="BP40" s="221"/>
      <c r="BQ40" s="16"/>
      <c r="BR40" s="248"/>
      <c r="BS40" s="221"/>
      <c r="BT40" s="221"/>
      <c r="BU40" s="221"/>
      <c r="BV40" s="16"/>
      <c r="BW40" s="221"/>
      <c r="BX40" s="221"/>
      <c r="BY40" s="221"/>
      <c r="BZ40" s="221"/>
      <c r="CA40" s="16">
        <f>BZ40</f>
        <v>0</v>
      </c>
      <c r="CB40" s="221"/>
      <c r="CC40" s="221"/>
      <c r="CD40" s="221"/>
      <c r="CE40" s="221"/>
      <c r="CF40" s="16">
        <f>CE40</f>
        <v>0</v>
      </c>
      <c r="CG40" s="221">
        <f>data!CG88</f>
        <v>0</v>
      </c>
      <c r="CH40" s="221">
        <f>data!CH88</f>
        <v>0</v>
      </c>
      <c r="CI40" s="221">
        <f>data!CI88</f>
        <v>0</v>
      </c>
      <c r="CJ40" s="221">
        <f>data!CJ88</f>
        <v>0</v>
      </c>
      <c r="CK40" s="222">
        <f>CJ40</f>
        <v>0</v>
      </c>
      <c r="CL40" s="221">
        <f>data!CL88</f>
        <v>0</v>
      </c>
      <c r="CM40" s="221">
        <f>data!CM88</f>
        <v>0</v>
      </c>
      <c r="CN40" s="221">
        <f>data!CN88</f>
        <v>0</v>
      </c>
      <c r="CO40" s="221">
        <f>data!CO88</f>
        <v>92247</v>
      </c>
      <c r="CP40" s="222">
        <f t="shared" ref="CP40:CP45" si="162">CO40</f>
        <v>92247</v>
      </c>
      <c r="CQ40" s="221">
        <f>data!CQ88</f>
        <v>89276</v>
      </c>
      <c r="CR40" s="221">
        <f>data!CR88</f>
        <v>87993</v>
      </c>
      <c r="CS40" s="221">
        <f>data!CS88</f>
        <v>89098</v>
      </c>
      <c r="CT40" s="221">
        <f>data!CT88</f>
        <v>85110</v>
      </c>
      <c r="CU40" s="222">
        <f t="shared" ref="CU40:CU45" si="163">CT40</f>
        <v>85110</v>
      </c>
      <c r="CV40" s="221">
        <f>data!CV88</f>
        <v>83927</v>
      </c>
      <c r="CW40" s="221">
        <f>data!CW88</f>
        <v>82981</v>
      </c>
      <c r="CX40" s="221">
        <f>data!CX88</f>
        <v>82655</v>
      </c>
      <c r="CY40" s="221">
        <f>data!CY88</f>
        <v>82983</v>
      </c>
      <c r="CZ40" s="222">
        <f t="shared" ref="CZ40:CZ45" si="164">CY40</f>
        <v>82983</v>
      </c>
      <c r="DA40" s="221">
        <f>data!DA88</f>
        <v>84955</v>
      </c>
      <c r="DB40" s="221">
        <f>data!DB88</f>
        <v>84848</v>
      </c>
      <c r="DC40" s="221">
        <f>data!DC88</f>
        <v>85017</v>
      </c>
      <c r="DD40" s="221">
        <f>data!DD88</f>
        <v>86527</v>
      </c>
      <c r="DE40" s="222">
        <f t="shared" ref="DE40:DE45" si="165">DD40</f>
        <v>86527</v>
      </c>
      <c r="DF40" s="221">
        <f>data!DF88</f>
        <v>88065</v>
      </c>
      <c r="DG40" s="221">
        <f>data!DG88</f>
        <v>77349</v>
      </c>
      <c r="DH40" s="221">
        <f>data!DH88</f>
        <v>78889</v>
      </c>
      <c r="DI40" s="221">
        <f>data!DI88</f>
        <v>80488</v>
      </c>
      <c r="DJ40" s="222">
        <f>DI40</f>
        <v>80488</v>
      </c>
      <c r="DK40" s="221">
        <f>data!DK88</f>
        <v>82081</v>
      </c>
      <c r="DL40" s="221">
        <f>data!DL88</f>
        <v>83726</v>
      </c>
      <c r="DM40" s="248">
        <f>CFLO!DM6+CFLO!DM42+DL40</f>
        <v>84835.791391105158</v>
      </c>
      <c r="DN40" s="248">
        <f>CFLO!DN6+CFLO!DN42+DM40</f>
        <v>85864.878676835491</v>
      </c>
      <c r="DO40" s="222">
        <f>DN40</f>
        <v>85864.878676835491</v>
      </c>
      <c r="DP40" s="248">
        <f>CFLO!DP6+CFLO!DP42+DO40</f>
        <v>87125.947105399697</v>
      </c>
      <c r="DQ40" s="248">
        <f>CFLO!DQ6+CFLO!DQ42+DP40</f>
        <v>88559.961514475261</v>
      </c>
      <c r="DR40" s="248">
        <f>CFLO!DR6+CFLO!DR42+DQ40</f>
        <v>89900.475484950395</v>
      </c>
      <c r="DS40" s="248">
        <f>CFLO!DS6+CFLO!DS42+DR40</f>
        <v>91311.610471785636</v>
      </c>
      <c r="DT40" s="222">
        <f>DS40</f>
        <v>91311.610471785636</v>
      </c>
      <c r="DU40" s="152">
        <f>CFLO!DU6+CFLO!DU42+DT40</f>
        <v>97480.712424219295</v>
      </c>
      <c r="DV40" s="152">
        <f>CFLO!DV6+CFLO!DV42+DU40</f>
        <v>104095.49044768063</v>
      </c>
    </row>
    <row r="41" spans="1:126" s="15" customFormat="1">
      <c r="B41" s="15" t="s">
        <v>541</v>
      </c>
      <c r="C41" s="16"/>
      <c r="D41" s="16"/>
      <c r="E41" s="16"/>
      <c r="F41" s="16"/>
      <c r="G41" s="16"/>
      <c r="H41" s="16"/>
      <c r="I41" s="16"/>
      <c r="N41" s="16"/>
      <c r="S41" s="16"/>
      <c r="X41" s="16"/>
      <c r="AC41" s="16"/>
      <c r="AH41" s="16"/>
      <c r="AM41" s="16"/>
      <c r="AR41" s="16"/>
      <c r="AW41" s="16"/>
      <c r="AX41" s="221"/>
      <c r="AY41" s="221"/>
      <c r="AZ41" s="221"/>
      <c r="BA41" s="221"/>
      <c r="BB41" s="16"/>
      <c r="BC41" s="221"/>
      <c r="BD41" s="221"/>
      <c r="BE41" s="221"/>
      <c r="BF41" s="221"/>
      <c r="BG41" s="16"/>
      <c r="BH41" s="221"/>
      <c r="BI41" s="221"/>
      <c r="BJ41" s="221"/>
      <c r="BK41" s="221"/>
      <c r="BL41" s="16"/>
      <c r="BM41" s="221"/>
      <c r="BN41" s="221"/>
      <c r="BO41" s="221"/>
      <c r="BP41" s="221"/>
      <c r="BQ41" s="16"/>
      <c r="BR41" s="248"/>
      <c r="BS41" s="221"/>
      <c r="BT41" s="221"/>
      <c r="BU41" s="221"/>
      <c r="BV41" s="16"/>
      <c r="BW41" s="221"/>
      <c r="BX41" s="221"/>
      <c r="BY41" s="221"/>
      <c r="BZ41" s="221"/>
      <c r="CA41" s="16"/>
      <c r="CB41" s="221"/>
      <c r="CC41" s="221"/>
      <c r="CD41" s="221"/>
      <c r="CE41" s="221"/>
      <c r="CF41" s="16"/>
      <c r="CG41" s="221"/>
      <c r="CH41" s="221"/>
      <c r="CI41" s="221"/>
      <c r="CJ41" s="221"/>
      <c r="CK41" s="222"/>
      <c r="CL41" s="221"/>
      <c r="CM41" s="221"/>
      <c r="CN41" s="221"/>
      <c r="CO41" s="221">
        <f>data!CO89</f>
        <v>-81961</v>
      </c>
      <c r="CP41" s="222">
        <f t="shared" si="162"/>
        <v>-81961</v>
      </c>
      <c r="CQ41" s="221">
        <f>data!CQ89</f>
        <v>-81548</v>
      </c>
      <c r="CR41" s="221">
        <f>data!CR89</f>
        <v>-81425</v>
      </c>
      <c r="CS41" s="221">
        <f>data!CS89</f>
        <v>-81314</v>
      </c>
      <c r="CT41" s="221">
        <f>data!CT89</f>
        <v>-81093</v>
      </c>
      <c r="CU41" s="222">
        <f t="shared" si="163"/>
        <v>-81093</v>
      </c>
      <c r="CV41" s="221">
        <f>data!CV89</f>
        <v>-80673</v>
      </c>
      <c r="CW41" s="221">
        <f>data!CW89</f>
        <v>-80883</v>
      </c>
      <c r="CX41" s="221">
        <f>data!CX89</f>
        <v>-81049</v>
      </c>
      <c r="CY41" s="221">
        <f>data!CY89</f>
        <v>-81209</v>
      </c>
      <c r="CZ41" s="222">
        <f t="shared" si="164"/>
        <v>-81209</v>
      </c>
      <c r="DA41" s="221">
        <f>data!DA89</f>
        <v>-80762</v>
      </c>
      <c r="DB41" s="221">
        <f>data!DB89</f>
        <v>-80524</v>
      </c>
      <c r="DC41" s="221">
        <f>data!DC89</f>
        <v>-80244</v>
      </c>
      <c r="DD41" s="221">
        <f>data!DD89</f>
        <v>-79976</v>
      </c>
      <c r="DE41" s="222">
        <f t="shared" si="165"/>
        <v>-79976</v>
      </c>
      <c r="DF41" s="221">
        <f>data!DF89</f>
        <v>-78508</v>
      </c>
      <c r="DG41" s="221">
        <f>data!DG89</f>
        <v>-80013</v>
      </c>
      <c r="DH41" s="221">
        <f>data!DH89</f>
        <v>-80061</v>
      </c>
      <c r="DI41" s="221">
        <f>data!DI89</f>
        <v>-81566</v>
      </c>
      <c r="DJ41" s="222">
        <f t="shared" ref="DJ41" si="166">DI41</f>
        <v>-81566</v>
      </c>
      <c r="DK41" s="221">
        <f>data!DK89</f>
        <v>-83024</v>
      </c>
      <c r="DL41" s="221">
        <f>data!DL89</f>
        <v>-84421</v>
      </c>
      <c r="DM41" s="248">
        <f>DL41+CFLO!DM41</f>
        <v>-85921</v>
      </c>
      <c r="DN41" s="248">
        <f>DM41+CFLO!DN41</f>
        <v>-87956</v>
      </c>
      <c r="DO41" s="222">
        <f t="shared" ref="DO41" si="167">DN41</f>
        <v>-87956</v>
      </c>
      <c r="DP41" s="248">
        <f>DO41+CFLO!DP41</f>
        <v>-89456</v>
      </c>
      <c r="DQ41" s="248">
        <f>DP41+CFLO!DQ41</f>
        <v>-91206</v>
      </c>
      <c r="DR41" s="248">
        <f>DQ41+CFLO!DR41</f>
        <v>-92956</v>
      </c>
      <c r="DS41" s="248">
        <f>DR41+CFLO!DS41</f>
        <v>-94956</v>
      </c>
      <c r="DT41" s="222">
        <f t="shared" ref="DT41" si="168">DS41</f>
        <v>-94956</v>
      </c>
      <c r="DU41" s="152">
        <f>DT41+CFLO!DU41</f>
        <v>-101956</v>
      </c>
      <c r="DV41" s="152">
        <f>DU41+CFLO!DV41</f>
        <v>-108956</v>
      </c>
    </row>
    <row r="42" spans="1:126" s="15" customFormat="1">
      <c r="B42" s="15" t="s">
        <v>60</v>
      </c>
      <c r="C42" s="215">
        <f>data!C89</f>
        <v>0</v>
      </c>
      <c r="D42" s="215">
        <f>data!D89</f>
        <v>0</v>
      </c>
      <c r="E42" s="215">
        <f>data!E89</f>
        <v>0</v>
      </c>
      <c r="F42" s="215">
        <f>data!F89</f>
        <v>0</v>
      </c>
      <c r="G42" s="215">
        <f>data!G89</f>
        <v>0</v>
      </c>
      <c r="H42" s="215">
        <f>data!H89</f>
        <v>0</v>
      </c>
      <c r="I42" s="215">
        <f>data!I89</f>
        <v>0</v>
      </c>
      <c r="J42" s="191"/>
      <c r="K42" s="191"/>
      <c r="L42" s="191"/>
      <c r="M42" s="191"/>
      <c r="N42" s="215"/>
      <c r="O42" s="191"/>
      <c r="P42" s="191"/>
      <c r="Q42" s="191"/>
      <c r="R42" s="191"/>
      <c r="S42" s="215"/>
      <c r="T42" s="191"/>
      <c r="U42" s="191"/>
      <c r="V42" s="191"/>
      <c r="W42" s="191"/>
      <c r="X42" s="215"/>
      <c r="Y42" s="191"/>
      <c r="Z42" s="191"/>
      <c r="AA42" s="191"/>
      <c r="AB42" s="191"/>
      <c r="AC42" s="215"/>
      <c r="AD42" s="191"/>
      <c r="AE42" s="191"/>
      <c r="AF42" s="191"/>
      <c r="AG42" s="191"/>
      <c r="AH42" s="215"/>
      <c r="AI42" s="191"/>
      <c r="AJ42" s="191"/>
      <c r="AK42" s="191"/>
      <c r="AL42" s="191"/>
      <c r="AM42" s="215"/>
      <c r="AN42" s="191"/>
      <c r="AO42" s="191"/>
      <c r="AP42" s="191"/>
      <c r="AQ42" s="191"/>
      <c r="AR42" s="215"/>
      <c r="AS42" s="191"/>
      <c r="AT42" s="191"/>
      <c r="AU42" s="191"/>
      <c r="AV42" s="191"/>
      <c r="AW42" s="215"/>
      <c r="AX42" s="191"/>
      <c r="AY42" s="191"/>
      <c r="AZ42" s="191"/>
      <c r="BA42" s="191"/>
      <c r="BB42" s="215"/>
      <c r="BC42" s="191"/>
      <c r="BD42" s="191"/>
      <c r="BE42" s="191"/>
      <c r="BF42" s="191"/>
      <c r="BG42" s="215"/>
      <c r="BH42" s="191"/>
      <c r="BI42" s="191"/>
      <c r="BJ42" s="191"/>
      <c r="BK42" s="191"/>
      <c r="BL42" s="215"/>
      <c r="BM42" s="191"/>
      <c r="BN42" s="191"/>
      <c r="BO42" s="191"/>
      <c r="BP42" s="191"/>
      <c r="BQ42" s="215"/>
      <c r="BR42" s="191"/>
      <c r="BS42" s="191"/>
      <c r="BT42" s="191"/>
      <c r="BU42" s="191"/>
      <c r="BV42" s="215"/>
      <c r="BW42" s="191"/>
      <c r="BX42" s="191"/>
      <c r="BY42" s="191"/>
      <c r="BZ42" s="191"/>
      <c r="CA42" s="215">
        <f>BZ42</f>
        <v>0</v>
      </c>
      <c r="CB42" s="191"/>
      <c r="CC42" s="191"/>
      <c r="CD42" s="191"/>
      <c r="CE42" s="191"/>
      <c r="CF42" s="215">
        <f>CE42</f>
        <v>0</v>
      </c>
      <c r="CG42" s="191">
        <f>data!CG89</f>
        <v>0</v>
      </c>
      <c r="CH42" s="191">
        <f>data!CH89</f>
        <v>0</v>
      </c>
      <c r="CI42" s="191">
        <f>data!CI89</f>
        <v>0</v>
      </c>
      <c r="CJ42" s="191">
        <f>data!CJ89</f>
        <v>0</v>
      </c>
      <c r="CK42" s="215">
        <f>CJ42</f>
        <v>0</v>
      </c>
      <c r="CL42" s="191">
        <f>data!CL89</f>
        <v>0</v>
      </c>
      <c r="CM42" s="191">
        <f>data!CM89</f>
        <v>0</v>
      </c>
      <c r="CN42" s="191">
        <f>data!CN89</f>
        <v>0</v>
      </c>
      <c r="CO42" s="191">
        <f>data!CO86</f>
        <v>-9749</v>
      </c>
      <c r="CP42" s="215">
        <f t="shared" si="162"/>
        <v>-9749</v>
      </c>
      <c r="CQ42" s="191">
        <f>data!CQ86</f>
        <v>-8893</v>
      </c>
      <c r="CR42" s="191">
        <f>data!CR86</f>
        <v>-7820</v>
      </c>
      <c r="CS42" s="191">
        <f>data!CS86</f>
        <v>-5078</v>
      </c>
      <c r="CT42" s="191">
        <f>data!CT86</f>
        <v>1582</v>
      </c>
      <c r="CU42" s="215">
        <f t="shared" si="163"/>
        <v>1582</v>
      </c>
      <c r="CV42" s="191">
        <f>data!CV86</f>
        <v>1341</v>
      </c>
      <c r="CW42" s="191">
        <f>data!CW86</f>
        <v>-1852</v>
      </c>
      <c r="CX42" s="191">
        <f>data!CX86</f>
        <v>-4405</v>
      </c>
      <c r="CY42" s="191">
        <f>data!CY86</f>
        <v>-2272</v>
      </c>
      <c r="CZ42" s="215">
        <f t="shared" si="164"/>
        <v>-2272</v>
      </c>
      <c r="DA42" s="191">
        <f>data!DA86</f>
        <v>-3289</v>
      </c>
      <c r="DB42" s="191">
        <f>data!DB86</f>
        <v>-3573</v>
      </c>
      <c r="DC42" s="191">
        <f>data!DC86</f>
        <v>-3351</v>
      </c>
      <c r="DD42" s="191">
        <f>data!DD86</f>
        <v>-6150</v>
      </c>
      <c r="DE42" s="215">
        <f t="shared" si="165"/>
        <v>-6150</v>
      </c>
      <c r="DF42" s="191">
        <f>data!DF86</f>
        <v>-5603</v>
      </c>
      <c r="DG42" s="191">
        <f>data!DG86</f>
        <v>-4035</v>
      </c>
      <c r="DH42" s="191">
        <f>data!DH86</f>
        <v>-4375</v>
      </c>
      <c r="DI42" s="191">
        <f>data!DI86</f>
        <v>-3861</v>
      </c>
      <c r="DJ42" s="215">
        <f>DI42</f>
        <v>-3861</v>
      </c>
      <c r="DK42" s="191">
        <f>data!DK86</f>
        <v>-3733</v>
      </c>
      <c r="DL42" s="191">
        <f>data!DL86</f>
        <v>-4024</v>
      </c>
      <c r="DM42" s="226">
        <f t="shared" ref="DM42" si="169">DM22-SUM(DM36:DM41)-DM43</f>
        <v>-7391.5592841288599</v>
      </c>
      <c r="DN42" s="226">
        <f t="shared" ref="DN42" si="170">DN22-SUM(DN36:DN41)-DN43</f>
        <v>-6477.9128104754782</v>
      </c>
      <c r="DO42" s="215">
        <f>DN42</f>
        <v>-6477.9128104754782</v>
      </c>
      <c r="DP42" s="226">
        <f t="shared" ref="DP42:DQ42" si="171">DP22-SUM(DP36:DP41)-DP43</f>
        <v>-7615.7248335910263</v>
      </c>
      <c r="DQ42" s="226">
        <f t="shared" si="171"/>
        <v>-7276.1018522179511</v>
      </c>
      <c r="DR42" s="226">
        <f t="shared" ref="DR42" si="172">DR22-SUM(DR36:DR41)-DR43</f>
        <v>-7425.7917017555155</v>
      </c>
      <c r="DS42" s="226">
        <f t="shared" ref="DS42" si="173">DS22-SUM(DS36:DS41)-DS43</f>
        <v>-5135.2136644168204</v>
      </c>
      <c r="DT42" s="215">
        <f>DS42</f>
        <v>-5135.2136644168204</v>
      </c>
      <c r="DU42" s="227">
        <f t="shared" ref="DU42:DV42" si="174">DU22-SUM(DU36:DU41)-DU43</f>
        <v>-6726.1512729087117</v>
      </c>
      <c r="DV42" s="227">
        <f t="shared" si="174"/>
        <v>-6544.4282296352903</v>
      </c>
    </row>
    <row r="43" spans="1:126" s="15" customFormat="1">
      <c r="B43" s="15" t="s">
        <v>501</v>
      </c>
      <c r="C43" s="215"/>
      <c r="D43" s="215"/>
      <c r="E43" s="215"/>
      <c r="F43" s="215"/>
      <c r="G43" s="215"/>
      <c r="H43" s="215"/>
      <c r="I43" s="215"/>
      <c r="J43" s="191"/>
      <c r="K43" s="191"/>
      <c r="L43" s="191"/>
      <c r="M43" s="191"/>
      <c r="N43" s="215"/>
      <c r="O43" s="191"/>
      <c r="P43" s="191"/>
      <c r="Q43" s="191"/>
      <c r="R43" s="191"/>
      <c r="S43" s="215"/>
      <c r="T43" s="191"/>
      <c r="U43" s="191"/>
      <c r="V43" s="191"/>
      <c r="W43" s="191"/>
      <c r="X43" s="215"/>
      <c r="Y43" s="191"/>
      <c r="Z43" s="191"/>
      <c r="AA43" s="191"/>
      <c r="AB43" s="191"/>
      <c r="AC43" s="215"/>
      <c r="AD43" s="191"/>
      <c r="AE43" s="191"/>
      <c r="AF43" s="191"/>
      <c r="AG43" s="191"/>
      <c r="AH43" s="215"/>
      <c r="AI43" s="191"/>
      <c r="AJ43" s="191"/>
      <c r="AK43" s="191"/>
      <c r="AL43" s="191"/>
      <c r="AM43" s="215"/>
      <c r="AN43" s="191"/>
      <c r="AO43" s="191"/>
      <c r="AP43" s="191"/>
      <c r="AQ43" s="191"/>
      <c r="AR43" s="215"/>
      <c r="AS43" s="191"/>
      <c r="AT43" s="191"/>
      <c r="AU43" s="191"/>
      <c r="AV43" s="191"/>
      <c r="AW43" s="215"/>
      <c r="AX43" s="191"/>
      <c r="AY43" s="191"/>
      <c r="AZ43" s="191"/>
      <c r="BA43" s="191"/>
      <c r="BB43" s="215"/>
      <c r="BC43" s="191"/>
      <c r="BD43" s="191"/>
      <c r="BE43" s="191"/>
      <c r="BF43" s="191"/>
      <c r="BG43" s="215"/>
      <c r="BH43" s="191"/>
      <c r="BI43" s="191"/>
      <c r="BJ43" s="191"/>
      <c r="BK43" s="191"/>
      <c r="BL43" s="215"/>
      <c r="BM43" s="191"/>
      <c r="BN43" s="191"/>
      <c r="BO43" s="191"/>
      <c r="BP43" s="191"/>
      <c r="BQ43" s="215"/>
      <c r="BR43" s="191"/>
      <c r="BS43" s="191"/>
      <c r="BT43" s="191"/>
      <c r="BU43" s="191"/>
      <c r="BV43" s="215"/>
      <c r="BW43" s="191"/>
      <c r="BX43" s="191"/>
      <c r="BY43" s="191"/>
      <c r="BZ43" s="191"/>
      <c r="CA43" s="215"/>
      <c r="CB43" s="191"/>
      <c r="CC43" s="191"/>
      <c r="CD43" s="191"/>
      <c r="CE43" s="191"/>
      <c r="CF43" s="215"/>
      <c r="CG43" s="191"/>
      <c r="CH43" s="191"/>
      <c r="CI43" s="191"/>
      <c r="CJ43" s="191"/>
      <c r="CK43" s="215"/>
      <c r="CL43" s="191"/>
      <c r="CM43" s="191"/>
      <c r="CN43" s="191"/>
      <c r="CO43" s="191">
        <f>data!CO91</f>
        <v>1522</v>
      </c>
      <c r="CP43" s="222">
        <f t="shared" si="162"/>
        <v>1522</v>
      </c>
      <c r="CQ43" s="221">
        <f>data!CQ91</f>
        <v>1568</v>
      </c>
      <c r="CR43" s="191">
        <f>data!CR91</f>
        <v>1560</v>
      </c>
      <c r="CS43" s="191">
        <f>data!CS91</f>
        <v>1484</v>
      </c>
      <c r="CT43" s="191">
        <f>data!CT91</f>
        <v>1302</v>
      </c>
      <c r="CU43" s="222">
        <f t="shared" si="163"/>
        <v>1302</v>
      </c>
      <c r="CV43" s="221">
        <f>data!CV91</f>
        <v>1275</v>
      </c>
      <c r="CW43" s="191">
        <f>data!CW91</f>
        <v>1294</v>
      </c>
      <c r="CX43" s="191">
        <f>data!CX91</f>
        <v>1274</v>
      </c>
      <c r="CY43" s="191">
        <f>data!CY91</f>
        <v>1216</v>
      </c>
      <c r="CZ43" s="222">
        <f t="shared" si="164"/>
        <v>1216</v>
      </c>
      <c r="DA43" s="221">
        <f>data!DA91</f>
        <v>1171</v>
      </c>
      <c r="DB43" s="191">
        <f>data!DB91</f>
        <v>1173</v>
      </c>
      <c r="DC43" s="191">
        <f>data!DC91</f>
        <v>1167</v>
      </c>
      <c r="DD43" s="191">
        <f>data!DD91</f>
        <v>1202</v>
      </c>
      <c r="DE43" s="222">
        <f t="shared" si="165"/>
        <v>1202</v>
      </c>
      <c r="DF43" s="221">
        <f>data!DF91</f>
        <v>1249</v>
      </c>
      <c r="DG43" s="191">
        <f>data!DG91</f>
        <v>245</v>
      </c>
      <c r="DH43" s="191">
        <f>data!DH91</f>
        <v>229</v>
      </c>
      <c r="DI43" s="191">
        <f>data!DI91</f>
        <v>222</v>
      </c>
      <c r="DJ43" s="215">
        <f t="shared" ref="DJ43:DV43" si="175">DI43</f>
        <v>222</v>
      </c>
      <c r="DK43" s="221">
        <f>data!DK91</f>
        <v>217</v>
      </c>
      <c r="DL43" s="191">
        <f>data!DL91</f>
        <v>210</v>
      </c>
      <c r="DM43" s="191">
        <f t="shared" si="175"/>
        <v>210</v>
      </c>
      <c r="DN43" s="191">
        <f t="shared" si="175"/>
        <v>210</v>
      </c>
      <c r="DO43" s="215">
        <f t="shared" ref="DO43" si="176">DN43</f>
        <v>210</v>
      </c>
      <c r="DP43" s="191">
        <f t="shared" ref="DP43:DQ43" si="177">DO43</f>
        <v>210</v>
      </c>
      <c r="DQ43" s="191">
        <f t="shared" si="177"/>
        <v>210</v>
      </c>
      <c r="DR43" s="191">
        <f t="shared" ref="DR43" si="178">DQ43</f>
        <v>210</v>
      </c>
      <c r="DS43" s="191">
        <f t="shared" ref="DS43" si="179">DR43</f>
        <v>210</v>
      </c>
      <c r="DT43" s="215">
        <f t="shared" ref="DT43" si="180">DS43</f>
        <v>210</v>
      </c>
      <c r="DU43" s="215">
        <f t="shared" si="175"/>
        <v>210</v>
      </c>
      <c r="DV43" s="215">
        <f t="shared" si="175"/>
        <v>210</v>
      </c>
    </row>
    <row r="44" spans="1:126" s="15" customFormat="1" ht="12">
      <c r="B44" s="189" t="s">
        <v>61</v>
      </c>
      <c r="C44" s="130">
        <f t="shared" ref="C44:I44" si="181">SUM(C38:C42)</f>
        <v>0</v>
      </c>
      <c r="D44" s="130">
        <f t="shared" si="181"/>
        <v>0</v>
      </c>
      <c r="E44" s="130">
        <f t="shared" si="181"/>
        <v>0</v>
      </c>
      <c r="F44" s="130">
        <f t="shared" si="181"/>
        <v>0</v>
      </c>
      <c r="G44" s="130">
        <f t="shared" si="181"/>
        <v>0</v>
      </c>
      <c r="H44" s="130">
        <f t="shared" si="181"/>
        <v>0</v>
      </c>
      <c r="I44" s="130">
        <f t="shared" si="181"/>
        <v>0</v>
      </c>
      <c r="J44" s="189"/>
      <c r="K44" s="189"/>
      <c r="L44" s="189"/>
      <c r="M44" s="189"/>
      <c r="N44" s="130"/>
      <c r="O44" s="189"/>
      <c r="P44" s="189"/>
      <c r="Q44" s="189"/>
      <c r="R44" s="189"/>
      <c r="S44" s="130"/>
      <c r="T44" s="189"/>
      <c r="U44" s="189"/>
      <c r="V44" s="189"/>
      <c r="W44" s="189"/>
      <c r="X44" s="130"/>
      <c r="Y44" s="189"/>
      <c r="Z44" s="189"/>
      <c r="AA44" s="189"/>
      <c r="AB44" s="189"/>
      <c r="AC44" s="130"/>
      <c r="AD44" s="189"/>
      <c r="AE44" s="189"/>
      <c r="AF44" s="189"/>
      <c r="AG44" s="189"/>
      <c r="AH44" s="130"/>
      <c r="AI44" s="189"/>
      <c r="AJ44" s="189"/>
      <c r="AK44" s="189"/>
      <c r="AL44" s="189"/>
      <c r="AM44" s="130"/>
      <c r="AN44" s="189"/>
      <c r="AO44" s="189"/>
      <c r="AP44" s="189"/>
      <c r="AQ44" s="189"/>
      <c r="AR44" s="130"/>
      <c r="AS44" s="189"/>
      <c r="AT44" s="189"/>
      <c r="AU44" s="189"/>
      <c r="AV44" s="189"/>
      <c r="AW44" s="130"/>
      <c r="AX44" s="216"/>
      <c r="AY44" s="216"/>
      <c r="AZ44" s="216"/>
      <c r="BA44" s="216"/>
      <c r="BB44" s="130"/>
      <c r="BC44" s="216"/>
      <c r="BD44" s="216"/>
      <c r="BE44" s="216"/>
      <c r="BF44" s="216"/>
      <c r="BG44" s="130"/>
      <c r="BH44" s="216"/>
      <c r="BI44" s="216"/>
      <c r="BJ44" s="216"/>
      <c r="BK44" s="216"/>
      <c r="BL44" s="130"/>
      <c r="BM44" s="216"/>
      <c r="BN44" s="216"/>
      <c r="BO44" s="216"/>
      <c r="BP44" s="216"/>
      <c r="BQ44" s="130"/>
      <c r="BR44" s="216"/>
      <c r="BS44" s="216"/>
      <c r="BT44" s="216"/>
      <c r="BU44" s="216"/>
      <c r="BV44" s="130"/>
      <c r="BW44" s="216"/>
      <c r="BX44" s="216"/>
      <c r="BY44" s="216"/>
      <c r="BZ44" s="216"/>
      <c r="CA44" s="130">
        <f>BZ44</f>
        <v>0</v>
      </c>
      <c r="CB44" s="216"/>
      <c r="CC44" s="189"/>
      <c r="CD44" s="189"/>
      <c r="CE44" s="189"/>
      <c r="CF44" s="130">
        <f>CE44</f>
        <v>0</v>
      </c>
      <c r="CG44" s="216">
        <f>SUM(CG38:CG42)</f>
        <v>0</v>
      </c>
      <c r="CH44" s="216">
        <f>SUM(CH38:CH42)</f>
        <v>0</v>
      </c>
      <c r="CI44" s="216">
        <f>SUM(CI38:CI42)</f>
        <v>0</v>
      </c>
      <c r="CJ44" s="216">
        <f>SUM(CJ38:CJ42)</f>
        <v>0</v>
      </c>
      <c r="CK44" s="225">
        <f>CJ44</f>
        <v>0</v>
      </c>
      <c r="CL44" s="216">
        <f>SUM(CL38:CL42)</f>
        <v>0</v>
      </c>
      <c r="CM44" s="189">
        <f t="shared" ref="CM44" si="182">SUM(CM38:CM42)</f>
        <v>0</v>
      </c>
      <c r="CN44" s="189">
        <f t="shared" ref="CN44" si="183">SUM(CN38:CN42)</f>
        <v>0</v>
      </c>
      <c r="CO44" s="189">
        <f t="shared" ref="CO44" si="184">SUM(CO37:CO43)</f>
        <v>37074</v>
      </c>
      <c r="CP44" s="225">
        <f t="shared" si="162"/>
        <v>37074</v>
      </c>
      <c r="CQ44" s="189">
        <f>SUM(CQ37:CQ43)</f>
        <v>35153</v>
      </c>
      <c r="CR44" s="189">
        <f t="shared" ref="CR44:CT44" si="185">SUM(CR37:CR43)</f>
        <v>35047</v>
      </c>
      <c r="CS44" s="189">
        <f t="shared" si="185"/>
        <v>38961</v>
      </c>
      <c r="CT44" s="189">
        <f t="shared" si="185"/>
        <v>41613</v>
      </c>
      <c r="CU44" s="225">
        <f t="shared" si="163"/>
        <v>41613</v>
      </c>
      <c r="CV44" s="189">
        <f>SUM(CV37:CV43)</f>
        <v>40282</v>
      </c>
      <c r="CW44" s="189">
        <f t="shared" ref="CW44" si="186">SUM(CW37:CW43)</f>
        <v>35943</v>
      </c>
      <c r="CX44" s="189">
        <f t="shared" ref="CX44" si="187">SUM(CX37:CX43)</f>
        <v>32750</v>
      </c>
      <c r="CY44" s="189">
        <f t="shared" ref="CY44" si="188">SUM(CY37:CY43)</f>
        <v>34912</v>
      </c>
      <c r="CZ44" s="225">
        <f t="shared" si="164"/>
        <v>34912</v>
      </c>
      <c r="DA44" s="189">
        <f>SUM(DA37:DA43)</f>
        <v>32822</v>
      </c>
      <c r="DB44" s="189">
        <f t="shared" ref="DB44" si="189">SUM(DB37:DB43)</f>
        <v>32368</v>
      </c>
      <c r="DC44" s="189">
        <f t="shared" ref="DC44" si="190">SUM(DC37:DC43)</f>
        <v>29833</v>
      </c>
      <c r="DD44" s="189">
        <f t="shared" ref="DD44" si="191">SUM(DD37:DD43)</f>
        <v>28580</v>
      </c>
      <c r="DE44" s="225">
        <f t="shared" si="165"/>
        <v>28580</v>
      </c>
      <c r="DF44" s="189">
        <f>SUM(DF37:DF43)</f>
        <v>31105</v>
      </c>
      <c r="DG44" s="189">
        <f t="shared" ref="DG44:DI44" si="192">SUM(DG37:DG43)</f>
        <v>18843</v>
      </c>
      <c r="DH44" s="189">
        <f t="shared" si="192"/>
        <v>19103</v>
      </c>
      <c r="DI44" s="189">
        <f t="shared" si="192"/>
        <v>19564</v>
      </c>
      <c r="DJ44" s="225">
        <f t="shared" ref="DJ44" si="193">SUM(DJ37:DJ43)</f>
        <v>19564</v>
      </c>
      <c r="DK44" s="189">
        <f>SUM(DK37:DK43)</f>
        <v>19468</v>
      </c>
      <c r="DL44" s="189">
        <f t="shared" ref="DL44" si="194">SUM(DL37:DL43)</f>
        <v>19345</v>
      </c>
      <c r="DM44" s="189">
        <f t="shared" ref="DM44:DP44" si="195">SUM(DM37:DM43)</f>
        <v>15587.232106976298</v>
      </c>
      <c r="DN44" s="189">
        <f t="shared" si="195"/>
        <v>15494.965866360013</v>
      </c>
      <c r="DO44" s="225">
        <f t="shared" si="195"/>
        <v>15494.965866360013</v>
      </c>
      <c r="DP44" s="189">
        <f t="shared" si="195"/>
        <v>14118.22227180867</v>
      </c>
      <c r="DQ44" s="189">
        <f t="shared" ref="DQ44:DT44" si="196">SUM(DQ37:DQ43)</f>
        <v>14141.85966225731</v>
      </c>
      <c r="DR44" s="189">
        <f t="shared" si="196"/>
        <v>13582.68378319488</v>
      </c>
      <c r="DS44" s="189">
        <f t="shared" si="196"/>
        <v>15284.396807368816</v>
      </c>
      <c r="DT44" s="225">
        <f t="shared" si="196"/>
        <v>15284.396807368816</v>
      </c>
      <c r="DU44" s="130">
        <f t="shared" ref="DU44" si="197">SUM(DU37:DU43)</f>
        <v>12862.561151310583</v>
      </c>
      <c r="DV44" s="130">
        <f>SUM(DV37:DV43)</f>
        <v>12659.062218045336</v>
      </c>
    </row>
    <row r="45" spans="1:126" s="15" customFormat="1" ht="12">
      <c r="B45" s="249" t="s">
        <v>69</v>
      </c>
      <c r="C45" s="250">
        <f t="shared" ref="C45:AC45" si="198">C36+C44</f>
        <v>0</v>
      </c>
      <c r="D45" s="250">
        <f t="shared" si="198"/>
        <v>0</v>
      </c>
      <c r="E45" s="250">
        <f t="shared" si="198"/>
        <v>0</v>
      </c>
      <c r="F45" s="250">
        <f t="shared" si="198"/>
        <v>0</v>
      </c>
      <c r="G45" s="250">
        <f t="shared" si="198"/>
        <v>0</v>
      </c>
      <c r="H45" s="250">
        <f t="shared" si="198"/>
        <v>0</v>
      </c>
      <c r="I45" s="250">
        <f t="shared" si="198"/>
        <v>0</v>
      </c>
      <c r="J45" s="249">
        <f t="shared" si="198"/>
        <v>0</v>
      </c>
      <c r="K45" s="249">
        <f t="shared" si="198"/>
        <v>0</v>
      </c>
      <c r="L45" s="249">
        <f t="shared" si="198"/>
        <v>0</v>
      </c>
      <c r="M45" s="249">
        <f t="shared" si="198"/>
        <v>0</v>
      </c>
      <c r="N45" s="250">
        <f t="shared" si="198"/>
        <v>0</v>
      </c>
      <c r="O45" s="249">
        <f t="shared" si="198"/>
        <v>0</v>
      </c>
      <c r="P45" s="249">
        <f t="shared" si="198"/>
        <v>0</v>
      </c>
      <c r="Q45" s="249">
        <f t="shared" si="198"/>
        <v>0</v>
      </c>
      <c r="R45" s="249">
        <f t="shared" si="198"/>
        <v>0</v>
      </c>
      <c r="S45" s="250">
        <f t="shared" si="198"/>
        <v>0</v>
      </c>
      <c r="T45" s="249">
        <f t="shared" si="198"/>
        <v>0</v>
      </c>
      <c r="U45" s="249">
        <f t="shared" si="198"/>
        <v>0</v>
      </c>
      <c r="V45" s="249">
        <f t="shared" si="198"/>
        <v>0</v>
      </c>
      <c r="W45" s="249">
        <f t="shared" si="198"/>
        <v>0</v>
      </c>
      <c r="X45" s="250">
        <f t="shared" si="198"/>
        <v>0</v>
      </c>
      <c r="Y45" s="249">
        <f t="shared" si="198"/>
        <v>0</v>
      </c>
      <c r="Z45" s="249">
        <f t="shared" si="198"/>
        <v>0</v>
      </c>
      <c r="AA45" s="249">
        <f t="shared" si="198"/>
        <v>0</v>
      </c>
      <c r="AB45" s="249">
        <f t="shared" si="198"/>
        <v>0</v>
      </c>
      <c r="AC45" s="250">
        <f t="shared" si="198"/>
        <v>0</v>
      </c>
      <c r="AD45" s="249"/>
      <c r="AE45" s="249"/>
      <c r="AF45" s="249"/>
      <c r="AG45" s="249"/>
      <c r="AH45" s="250"/>
      <c r="AI45" s="249"/>
      <c r="AJ45" s="249"/>
      <c r="AK45" s="249"/>
      <c r="AL45" s="249"/>
      <c r="AM45" s="250"/>
      <c r="AN45" s="249"/>
      <c r="AO45" s="249"/>
      <c r="AP45" s="249"/>
      <c r="AQ45" s="249"/>
      <c r="AR45" s="250"/>
      <c r="AS45" s="249"/>
      <c r="AT45" s="249"/>
      <c r="AU45" s="249"/>
      <c r="AV45" s="249"/>
      <c r="AW45" s="250"/>
      <c r="AX45" s="234"/>
      <c r="AY45" s="234"/>
      <c r="AZ45" s="234"/>
      <c r="BA45" s="234"/>
      <c r="BB45" s="250"/>
      <c r="BC45" s="234"/>
      <c r="BD45" s="234"/>
      <c r="BE45" s="249"/>
      <c r="BF45" s="249"/>
      <c r="BG45" s="250"/>
      <c r="BH45" s="234"/>
      <c r="BI45" s="249"/>
      <c r="BJ45" s="249"/>
      <c r="BK45" s="249"/>
      <c r="BL45" s="250"/>
      <c r="BM45" s="249"/>
      <c r="BN45" s="249"/>
      <c r="BO45" s="249"/>
      <c r="BP45" s="249"/>
      <c r="BQ45" s="250"/>
      <c r="BR45" s="249"/>
      <c r="BS45" s="249"/>
      <c r="BT45" s="249"/>
      <c r="BU45" s="249"/>
      <c r="BV45" s="250"/>
      <c r="BW45" s="249"/>
      <c r="BX45" s="249"/>
      <c r="BY45" s="249"/>
      <c r="BZ45" s="249"/>
      <c r="CA45" s="250">
        <f>BZ45</f>
        <v>0</v>
      </c>
      <c r="CB45" s="249">
        <f>CB36+CB44</f>
        <v>0</v>
      </c>
      <c r="CC45" s="249">
        <f t="shared" ref="CC45:CD45" si="199">CC36+CC44</f>
        <v>0</v>
      </c>
      <c r="CD45" s="249">
        <f t="shared" si="199"/>
        <v>0</v>
      </c>
      <c r="CE45" s="249">
        <f t="shared" ref="CE45" si="200">CE36+CE44</f>
        <v>0</v>
      </c>
      <c r="CF45" s="250">
        <f>CE45</f>
        <v>0</v>
      </c>
      <c r="CG45" s="249">
        <f t="shared" ref="CG45" si="201">CG36+CG44</f>
        <v>0</v>
      </c>
      <c r="CH45" s="249">
        <f t="shared" ref="CH45:CI45" si="202">CH36+CH44</f>
        <v>0</v>
      </c>
      <c r="CI45" s="249">
        <f t="shared" si="202"/>
        <v>0</v>
      </c>
      <c r="CJ45" s="249">
        <f t="shared" ref="CJ45" si="203">CJ36+CJ44</f>
        <v>0</v>
      </c>
      <c r="CK45" s="236">
        <f>CJ45</f>
        <v>0</v>
      </c>
      <c r="CL45" s="249">
        <f t="shared" ref="CL45" si="204">CL36+CL44</f>
        <v>0</v>
      </c>
      <c r="CM45" s="249">
        <f t="shared" ref="CM45" si="205">CM36+CM44</f>
        <v>0</v>
      </c>
      <c r="CN45" s="249">
        <f t="shared" ref="CN45:CO45" si="206">CN36+CN44</f>
        <v>0</v>
      </c>
      <c r="CO45" s="249">
        <f t="shared" si="206"/>
        <v>256211</v>
      </c>
      <c r="CP45" s="236">
        <f t="shared" si="162"/>
        <v>256211</v>
      </c>
      <c r="CQ45" s="249">
        <f>CQ36+CQ44</f>
        <v>245164</v>
      </c>
      <c r="CR45" s="249">
        <f t="shared" ref="CR45:CT45" si="207">CR36+CR44</f>
        <v>237559</v>
      </c>
      <c r="CS45" s="249">
        <f t="shared" si="207"/>
        <v>237133</v>
      </c>
      <c r="CT45" s="249">
        <f t="shared" si="207"/>
        <v>198874</v>
      </c>
      <c r="CU45" s="236">
        <f t="shared" si="163"/>
        <v>198874</v>
      </c>
      <c r="CV45" s="249">
        <f>CV36+CV44</f>
        <v>191961</v>
      </c>
      <c r="CW45" s="249">
        <f t="shared" ref="CW45:CY45" si="208">CW36+CW44</f>
        <v>185540</v>
      </c>
      <c r="CX45" s="249">
        <f t="shared" si="208"/>
        <v>180877</v>
      </c>
      <c r="CY45" s="249">
        <f t="shared" si="208"/>
        <v>188851</v>
      </c>
      <c r="CZ45" s="236">
        <f t="shared" si="164"/>
        <v>188851</v>
      </c>
      <c r="DA45" s="249">
        <f>DA36+DA44</f>
        <v>164472</v>
      </c>
      <c r="DB45" s="249">
        <f t="shared" ref="DB45:DD45" si="209">DB36+DB44</f>
        <v>163006</v>
      </c>
      <c r="DC45" s="249">
        <f t="shared" si="209"/>
        <v>156662</v>
      </c>
      <c r="DD45" s="249">
        <f t="shared" si="209"/>
        <v>163045</v>
      </c>
      <c r="DE45" s="236">
        <f t="shared" si="165"/>
        <v>163045</v>
      </c>
      <c r="DF45" s="249">
        <f t="shared" ref="DF45:DJ45" si="210">DF36+DF44</f>
        <v>163942</v>
      </c>
      <c r="DG45" s="249">
        <f t="shared" si="210"/>
        <v>123190</v>
      </c>
      <c r="DH45" s="249">
        <f t="shared" ref="DH45:DI45" si="211">DH36+DH44</f>
        <v>126699</v>
      </c>
      <c r="DI45" s="249">
        <f t="shared" si="211"/>
        <v>123140</v>
      </c>
      <c r="DJ45" s="236">
        <f t="shared" si="210"/>
        <v>123140</v>
      </c>
      <c r="DK45" s="249">
        <f t="shared" ref="DK45:DL45" si="212">DK36+DK44</f>
        <v>124123</v>
      </c>
      <c r="DL45" s="249">
        <f t="shared" si="212"/>
        <v>125256</v>
      </c>
      <c r="DM45" s="249">
        <f t="shared" ref="DM45" si="213">DM36+DM44</f>
        <v>118627.44368475408</v>
      </c>
      <c r="DN45" s="249">
        <f t="shared" ref="DN45:DR45" si="214">DN36+DN44</f>
        <v>118779.11203302669</v>
      </c>
      <c r="DO45" s="236">
        <f t="shared" si="214"/>
        <v>118779.11203302669</v>
      </c>
      <c r="DP45" s="249">
        <f t="shared" ref="DP45" si="215">DP36+DP44</f>
        <v>116825.55167180867</v>
      </c>
      <c r="DQ45" s="249">
        <f t="shared" si="214"/>
        <v>117682.26299559065</v>
      </c>
      <c r="DR45" s="249">
        <f t="shared" si="214"/>
        <v>117378.81124186155</v>
      </c>
      <c r="DS45" s="249">
        <f t="shared" ref="DS45:DT45" si="216">DS36+DS44</f>
        <v>119369.28525451104</v>
      </c>
      <c r="DT45" s="236">
        <f t="shared" si="216"/>
        <v>119369.28525451104</v>
      </c>
      <c r="DU45" s="250">
        <f t="shared" ref="DU45:DV45" si="217">DU36+DU44</f>
        <v>116971.04882259254</v>
      </c>
      <c r="DV45" s="250">
        <f t="shared" si="217"/>
        <v>117268.23076074316</v>
      </c>
    </row>
    <row r="46" spans="1:126" s="15" customFormat="1">
      <c r="C46" s="16"/>
      <c r="D46" s="16"/>
      <c r="E46" s="16"/>
      <c r="F46" s="16"/>
      <c r="G46" s="16"/>
      <c r="H46" s="16"/>
      <c r="I46" s="16"/>
      <c r="N46" s="16"/>
      <c r="S46" s="16"/>
      <c r="X46" s="16"/>
      <c r="AC46" s="16"/>
      <c r="AH46" s="16"/>
      <c r="AM46" s="16"/>
      <c r="AR46" s="16"/>
      <c r="AW46" s="16"/>
      <c r="BB46" s="16"/>
      <c r="BG46" s="16"/>
      <c r="BL46" s="16"/>
      <c r="BQ46" s="16"/>
      <c r="BV46" s="16"/>
      <c r="CA46" s="16"/>
      <c r="CF46" s="16"/>
      <c r="CK46" s="222"/>
      <c r="CP46" s="222"/>
      <c r="CU46" s="222"/>
      <c r="CZ46" s="222"/>
      <c r="DE46" s="222"/>
      <c r="DJ46" s="222"/>
      <c r="DO46" s="16"/>
      <c r="DT46" s="16"/>
      <c r="DU46" s="16"/>
      <c r="DV46" s="16"/>
    </row>
    <row r="47" spans="1:126" s="12" customFormat="1" ht="3" customHeight="1">
      <c r="A47" s="97"/>
      <c r="B47" s="97"/>
      <c r="C47" s="98"/>
      <c r="D47" s="98"/>
      <c r="E47" s="98"/>
      <c r="F47" s="98"/>
      <c r="G47" s="98"/>
      <c r="H47" s="98"/>
      <c r="I47" s="98"/>
      <c r="J47" s="97"/>
      <c r="K47" s="97"/>
      <c r="L47" s="97"/>
      <c r="M47" s="97"/>
      <c r="N47" s="98"/>
      <c r="O47" s="97"/>
      <c r="P47" s="97"/>
      <c r="Q47" s="97"/>
      <c r="R47" s="97"/>
      <c r="S47" s="98"/>
      <c r="T47" s="97"/>
      <c r="U47" s="97"/>
      <c r="V47" s="97"/>
      <c r="W47" s="97"/>
      <c r="X47" s="98"/>
      <c r="Y47" s="97"/>
      <c r="Z47" s="97"/>
      <c r="AA47" s="97"/>
      <c r="AB47" s="97"/>
      <c r="AC47" s="98"/>
      <c r="AD47" s="97"/>
      <c r="AE47" s="97"/>
      <c r="AF47" s="97"/>
      <c r="AG47" s="97"/>
      <c r="AH47" s="98"/>
      <c r="AI47" s="97"/>
      <c r="AJ47" s="97"/>
      <c r="AK47" s="97"/>
      <c r="AL47" s="97"/>
      <c r="AM47" s="98"/>
      <c r="AN47" s="97"/>
      <c r="AO47" s="97"/>
      <c r="AP47" s="97"/>
      <c r="AQ47" s="97"/>
      <c r="AR47" s="98"/>
      <c r="AS47" s="97"/>
      <c r="AT47" s="97"/>
      <c r="AU47" s="97"/>
      <c r="AV47" s="97"/>
      <c r="AW47" s="98"/>
      <c r="AX47" s="97"/>
      <c r="AY47" s="97"/>
      <c r="AZ47" s="97"/>
      <c r="BA47" s="97"/>
      <c r="BB47" s="98"/>
      <c r="BC47" s="97"/>
      <c r="BD47" s="97"/>
      <c r="BE47" s="97"/>
      <c r="BF47" s="97"/>
      <c r="BG47" s="98"/>
      <c r="BH47" s="97"/>
      <c r="BI47" s="97"/>
      <c r="BJ47" s="97"/>
      <c r="BK47" s="97"/>
      <c r="BL47" s="98"/>
      <c r="BM47" s="97"/>
      <c r="BN47" s="97"/>
      <c r="BO47" s="97"/>
      <c r="BP47" s="97"/>
      <c r="BQ47" s="98"/>
      <c r="BR47" s="97"/>
      <c r="BS47" s="97"/>
      <c r="BT47" s="97"/>
      <c r="BU47" s="97"/>
      <c r="BV47" s="98"/>
      <c r="BW47" s="97"/>
      <c r="BX47" s="97"/>
      <c r="BY47" s="97"/>
      <c r="BZ47" s="97"/>
      <c r="CA47" s="98"/>
      <c r="CB47" s="97"/>
      <c r="CC47" s="97"/>
      <c r="CD47" s="97"/>
      <c r="CE47" s="97"/>
      <c r="CF47" s="98"/>
      <c r="CG47" s="97"/>
      <c r="CH47" s="97"/>
      <c r="CI47" s="97"/>
      <c r="CJ47" s="97"/>
      <c r="CK47" s="466"/>
      <c r="CL47" s="97"/>
      <c r="CM47" s="97"/>
      <c r="CN47" s="97"/>
      <c r="CO47" s="97"/>
      <c r="CP47" s="466"/>
      <c r="CQ47" s="97"/>
      <c r="CR47" s="97"/>
      <c r="CS47" s="97"/>
      <c r="CT47" s="97"/>
      <c r="CU47" s="466"/>
      <c r="CV47" s="97"/>
      <c r="CW47" s="97"/>
      <c r="CX47" s="97"/>
      <c r="CY47" s="97"/>
      <c r="CZ47" s="466"/>
      <c r="DA47" s="97"/>
      <c r="DB47" s="97"/>
      <c r="DC47" s="97"/>
      <c r="DD47" s="97"/>
      <c r="DE47" s="466"/>
      <c r="DF47" s="97"/>
      <c r="DG47" s="97"/>
      <c r="DH47" s="97"/>
      <c r="DI47" s="97"/>
      <c r="DJ47" s="466"/>
      <c r="DK47" s="97"/>
      <c r="DL47" s="97"/>
      <c r="DM47" s="97"/>
      <c r="DN47" s="97"/>
      <c r="DO47" s="98"/>
      <c r="DP47" s="97"/>
      <c r="DQ47" s="97"/>
      <c r="DR47" s="97"/>
      <c r="DS47" s="97"/>
      <c r="DT47" s="98"/>
      <c r="DU47" s="98"/>
      <c r="DV47" s="98"/>
    </row>
    <row r="48" spans="1:126" s="12" customFormat="1" ht="12" customHeight="1">
      <c r="C48" s="16"/>
      <c r="D48" s="16"/>
      <c r="E48" s="16"/>
      <c r="F48" s="16"/>
      <c r="G48" s="16"/>
      <c r="H48" s="16"/>
      <c r="I48" s="16"/>
      <c r="N48" s="16"/>
      <c r="S48" s="16"/>
      <c r="X48" s="16"/>
      <c r="AC48" s="16"/>
      <c r="AH48" s="16"/>
      <c r="AM48" s="16"/>
      <c r="AR48" s="16"/>
      <c r="AW48" s="16"/>
      <c r="BB48" s="16"/>
      <c r="BG48" s="16"/>
      <c r="BL48" s="16"/>
      <c r="BQ48" s="16"/>
      <c r="BV48" s="16"/>
      <c r="CA48" s="16"/>
      <c r="CF48" s="16"/>
      <c r="CK48" s="222"/>
      <c r="CP48" s="222"/>
      <c r="CU48" s="222"/>
      <c r="CZ48" s="222"/>
      <c r="DE48" s="222"/>
      <c r="DJ48" s="222"/>
      <c r="DO48" s="16"/>
      <c r="DT48" s="16"/>
      <c r="DU48" s="16"/>
      <c r="DV48" s="16"/>
    </row>
    <row r="49" spans="2:126" s="15" customFormat="1" ht="12" hidden="1" outlineLevel="1">
      <c r="B49" s="110" t="s">
        <v>160</v>
      </c>
      <c r="C49" s="16"/>
      <c r="D49" s="16"/>
      <c r="E49" s="16"/>
      <c r="F49" s="16"/>
      <c r="G49" s="16"/>
      <c r="H49" s="16"/>
      <c r="I49" s="16"/>
      <c r="N49" s="16"/>
      <c r="S49" s="16"/>
      <c r="X49" s="16"/>
      <c r="AC49" s="16"/>
      <c r="AH49" s="16"/>
      <c r="AM49" s="16"/>
      <c r="AR49" s="16"/>
      <c r="AW49" s="16"/>
      <c r="BB49" s="16"/>
      <c r="BG49" s="16"/>
      <c r="BL49" s="16"/>
      <c r="BQ49" s="16"/>
      <c r="BV49" s="16"/>
      <c r="CA49" s="16"/>
      <c r="CF49" s="16"/>
      <c r="CK49" s="222"/>
      <c r="CP49" s="222"/>
      <c r="CU49" s="222"/>
      <c r="CZ49" s="222"/>
      <c r="DE49" s="222"/>
      <c r="DJ49" s="222"/>
      <c r="DO49" s="16"/>
      <c r="DT49" s="16"/>
      <c r="DU49" s="16"/>
      <c r="DV49" s="16"/>
    </row>
    <row r="50" spans="2:126" s="15" customFormat="1" hidden="1" outlineLevel="1">
      <c r="B50" s="15" t="s">
        <v>188</v>
      </c>
      <c r="C50" s="16">
        <f>data!C209</f>
        <v>0</v>
      </c>
      <c r="D50" s="16">
        <f>data!D209</f>
        <v>0</v>
      </c>
      <c r="E50" s="16">
        <f>data!E209</f>
        <v>0</v>
      </c>
      <c r="F50" s="16">
        <f>data!F209</f>
        <v>0</v>
      </c>
      <c r="G50" s="16">
        <f>data!G209</f>
        <v>0</v>
      </c>
      <c r="H50" s="16">
        <f>data!H209</f>
        <v>0</v>
      </c>
      <c r="I50" s="16">
        <f>data!I209</f>
        <v>0</v>
      </c>
      <c r="N50" s="16"/>
      <c r="S50" s="16"/>
      <c r="X50" s="16"/>
      <c r="AC50" s="16"/>
      <c r="AH50" s="16"/>
      <c r="AM50" s="16"/>
      <c r="AN50" s="248"/>
      <c r="AO50" s="248"/>
      <c r="AP50" s="248"/>
      <c r="AQ50" s="248"/>
      <c r="AR50" s="16"/>
      <c r="AS50" s="248"/>
      <c r="AT50" s="248"/>
      <c r="AU50" s="248"/>
      <c r="AV50" s="248"/>
      <c r="AW50" s="16"/>
      <c r="AX50" s="248"/>
      <c r="AY50" s="248"/>
      <c r="AZ50" s="248"/>
      <c r="BA50" s="248"/>
      <c r="BB50" s="222"/>
      <c r="BC50" s="248"/>
      <c r="BD50" s="248"/>
      <c r="BE50" s="248"/>
      <c r="BF50" s="248"/>
      <c r="BG50" s="222"/>
      <c r="BH50" s="248"/>
      <c r="BI50" s="248"/>
      <c r="BJ50" s="248"/>
      <c r="BK50" s="248"/>
      <c r="BL50" s="222"/>
      <c r="BM50" s="248"/>
      <c r="BN50" s="248"/>
      <c r="BO50" s="248"/>
      <c r="BP50" s="248"/>
      <c r="BQ50" s="222"/>
      <c r="BR50" s="248"/>
      <c r="BS50" s="248"/>
      <c r="BT50" s="248"/>
      <c r="BU50" s="248"/>
      <c r="BV50" s="222"/>
      <c r="BW50" s="248"/>
      <c r="BX50" s="248"/>
      <c r="BY50" s="248"/>
      <c r="BZ50" s="248"/>
      <c r="CA50" s="222"/>
      <c r="CB50" s="248"/>
      <c r="CC50" s="248"/>
      <c r="CD50" s="248"/>
      <c r="CE50" s="248"/>
      <c r="CF50" s="222"/>
      <c r="CG50" s="248"/>
      <c r="CH50" s="248"/>
      <c r="CI50" s="248"/>
      <c r="CJ50" s="248"/>
      <c r="CK50" s="222"/>
      <c r="CL50" s="248"/>
      <c r="CM50" s="248"/>
      <c r="CN50" s="248"/>
      <c r="CO50" s="248"/>
      <c r="CP50" s="222"/>
      <c r="CQ50" s="897"/>
      <c r="CR50" s="897"/>
      <c r="CS50" s="897"/>
      <c r="CT50" s="897"/>
      <c r="CU50" s="222"/>
      <c r="CV50" s="897"/>
      <c r="CW50" s="897"/>
      <c r="CX50" s="897"/>
      <c r="CY50" s="897"/>
      <c r="CZ50" s="222"/>
      <c r="DA50" s="897"/>
      <c r="DB50" s="897"/>
      <c r="DC50" s="897"/>
      <c r="DD50" s="897"/>
      <c r="DE50" s="222"/>
      <c r="DF50" s="248"/>
      <c r="DG50" s="248"/>
      <c r="DH50" s="248"/>
      <c r="DI50" s="248"/>
      <c r="DJ50" s="222"/>
      <c r="DK50" s="248"/>
      <c r="DL50" s="248"/>
      <c r="DM50" s="248"/>
      <c r="DN50" s="248"/>
      <c r="DO50" s="152"/>
      <c r="DP50" s="248"/>
      <c r="DQ50" s="248"/>
      <c r="DR50" s="248"/>
      <c r="DS50" s="248"/>
      <c r="DT50" s="152"/>
      <c r="DU50" s="152"/>
      <c r="DV50" s="152"/>
    </row>
    <row r="51" spans="2:126" s="15" customFormat="1" hidden="1" outlineLevel="1">
      <c r="B51" s="15" t="s">
        <v>189</v>
      </c>
      <c r="C51" s="215">
        <f>data!C210</f>
        <v>0</v>
      </c>
      <c r="D51" s="215">
        <f>data!D210</f>
        <v>0</v>
      </c>
      <c r="E51" s="215">
        <f>data!E210</f>
        <v>0</v>
      </c>
      <c r="F51" s="215">
        <f>data!F210</f>
        <v>0</v>
      </c>
      <c r="G51" s="215">
        <f>data!G210</f>
        <v>0</v>
      </c>
      <c r="H51" s="215">
        <f>data!H210</f>
        <v>0</v>
      </c>
      <c r="I51" s="215">
        <f>data!I210</f>
        <v>0</v>
      </c>
      <c r="J51" s="191"/>
      <c r="K51" s="191"/>
      <c r="L51" s="191"/>
      <c r="M51" s="191"/>
      <c r="N51" s="215"/>
      <c r="O51" s="191"/>
      <c r="P51" s="191"/>
      <c r="Q51" s="191"/>
      <c r="R51" s="191"/>
      <c r="S51" s="215"/>
      <c r="T51" s="191"/>
      <c r="U51" s="191"/>
      <c r="V51" s="191"/>
      <c r="W51" s="191"/>
      <c r="X51" s="215"/>
      <c r="Y51" s="191"/>
      <c r="Z51" s="191"/>
      <c r="AA51" s="191"/>
      <c r="AB51" s="191"/>
      <c r="AC51" s="215"/>
      <c r="AD51" s="191"/>
      <c r="AE51" s="191"/>
      <c r="AF51" s="191"/>
      <c r="AG51" s="191"/>
      <c r="AH51" s="215"/>
      <c r="AI51" s="191"/>
      <c r="AJ51" s="191"/>
      <c r="AK51" s="191"/>
      <c r="AL51" s="191"/>
      <c r="AM51" s="215"/>
      <c r="AN51" s="294"/>
      <c r="AO51" s="294"/>
      <c r="AP51" s="294"/>
      <c r="AQ51" s="294"/>
      <c r="AR51" s="215"/>
      <c r="AS51" s="294"/>
      <c r="AT51" s="294"/>
      <c r="AU51" s="294"/>
      <c r="AV51" s="294"/>
      <c r="AW51" s="215"/>
      <c r="AX51" s="294"/>
      <c r="AY51" s="294"/>
      <c r="AZ51" s="294"/>
      <c r="BA51" s="294"/>
      <c r="BB51" s="215"/>
      <c r="BC51" s="294"/>
      <c r="BD51" s="294"/>
      <c r="BE51" s="294"/>
      <c r="BF51" s="294"/>
      <c r="BG51" s="215"/>
      <c r="BH51" s="294"/>
      <c r="BI51" s="294"/>
      <c r="BJ51" s="294"/>
      <c r="BK51" s="294"/>
      <c r="BL51" s="215"/>
      <c r="BM51" s="294"/>
      <c r="BN51" s="294"/>
      <c r="BO51" s="294"/>
      <c r="BP51" s="294"/>
      <c r="BQ51" s="215"/>
      <c r="BR51" s="294"/>
      <c r="BS51" s="294"/>
      <c r="BT51" s="294"/>
      <c r="BU51" s="294"/>
      <c r="BV51" s="215"/>
      <c r="BW51" s="294"/>
      <c r="BX51" s="294"/>
      <c r="BY51" s="294"/>
      <c r="BZ51" s="294"/>
      <c r="CA51" s="215"/>
      <c r="CB51" s="294"/>
      <c r="CC51" s="294"/>
      <c r="CD51" s="294"/>
      <c r="CE51" s="294"/>
      <c r="CF51" s="215"/>
      <c r="CG51" s="294"/>
      <c r="CH51" s="294"/>
      <c r="CI51" s="294"/>
      <c r="CJ51" s="294"/>
      <c r="CK51" s="215"/>
      <c r="CL51" s="294"/>
      <c r="CM51" s="294"/>
      <c r="CN51" s="294"/>
      <c r="CO51" s="294"/>
      <c r="CP51" s="215"/>
      <c r="CQ51" s="898"/>
      <c r="CR51" s="898"/>
      <c r="CS51" s="898"/>
      <c r="CT51" s="898"/>
      <c r="CU51" s="215"/>
      <c r="CV51" s="898"/>
      <c r="CW51" s="898"/>
      <c r="CX51" s="898"/>
      <c r="CY51" s="898"/>
      <c r="CZ51" s="215"/>
      <c r="DA51" s="898"/>
      <c r="DB51" s="898"/>
      <c r="DC51" s="898"/>
      <c r="DD51" s="898"/>
      <c r="DE51" s="215"/>
      <c r="DF51" s="294"/>
      <c r="DG51" s="294"/>
      <c r="DH51" s="294"/>
      <c r="DI51" s="294"/>
      <c r="DJ51" s="215"/>
      <c r="DK51" s="294"/>
      <c r="DL51" s="294"/>
      <c r="DM51" s="294"/>
      <c r="DN51" s="294"/>
      <c r="DO51" s="293"/>
      <c r="DP51" s="294"/>
      <c r="DQ51" s="294"/>
      <c r="DR51" s="294"/>
      <c r="DS51" s="294"/>
      <c r="DT51" s="293"/>
      <c r="DU51" s="293"/>
      <c r="DV51" s="293"/>
    </row>
    <row r="52" spans="2:126" s="15" customFormat="1" hidden="1" outlineLevel="1">
      <c r="B52" s="221" t="s">
        <v>190</v>
      </c>
      <c r="C52" s="16">
        <f t="shared" ref="C52:I52" si="218">C51-C50</f>
        <v>0</v>
      </c>
      <c r="D52" s="16">
        <f t="shared" si="218"/>
        <v>0</v>
      </c>
      <c r="E52" s="16">
        <f t="shared" si="218"/>
        <v>0</v>
      </c>
      <c r="F52" s="16">
        <f t="shared" si="218"/>
        <v>0</v>
      </c>
      <c r="G52" s="16">
        <f t="shared" si="218"/>
        <v>0</v>
      </c>
      <c r="H52" s="16">
        <f t="shared" si="218"/>
        <v>0</v>
      </c>
      <c r="I52" s="16">
        <f t="shared" si="218"/>
        <v>0</v>
      </c>
      <c r="N52" s="16"/>
      <c r="S52" s="16"/>
      <c r="X52" s="16"/>
      <c r="AC52" s="16"/>
      <c r="AH52" s="16"/>
      <c r="AM52" s="16"/>
      <c r="AR52" s="16"/>
      <c r="AW52" s="16"/>
      <c r="BB52" s="222"/>
      <c r="BG52" s="222"/>
      <c r="BL52" s="222"/>
      <c r="BQ52" s="222"/>
      <c r="BV52" s="222"/>
      <c r="CA52" s="222"/>
      <c r="CF52" s="222"/>
      <c r="CK52" s="222"/>
      <c r="CP52" s="222"/>
      <c r="CQ52" s="500"/>
      <c r="CR52" s="500"/>
      <c r="CS52" s="500"/>
      <c r="CT52" s="500"/>
      <c r="CU52" s="222"/>
      <c r="CV52" s="500"/>
      <c r="CW52" s="500"/>
      <c r="CX52" s="500"/>
      <c r="CY52" s="500"/>
      <c r="CZ52" s="222"/>
      <c r="DA52" s="500"/>
      <c r="DB52" s="500"/>
      <c r="DC52" s="500"/>
      <c r="DD52" s="500"/>
      <c r="DE52" s="222"/>
      <c r="DJ52" s="222"/>
      <c r="DO52" s="152"/>
      <c r="DT52" s="152"/>
      <c r="DU52" s="152"/>
      <c r="DV52" s="152"/>
    </row>
    <row r="53" spans="2:126" s="15" customFormat="1" hidden="1" outlineLevel="1">
      <c r="B53" s="15" t="s">
        <v>191</v>
      </c>
      <c r="C53" s="16"/>
      <c r="D53" s="16"/>
      <c r="E53" s="16"/>
      <c r="F53" s="16"/>
      <c r="G53" s="16">
        <f>data!G212</f>
        <v>0</v>
      </c>
      <c r="H53" s="16">
        <f>data!H212</f>
        <v>0</v>
      </c>
      <c r="I53" s="16">
        <f>data!I212</f>
        <v>0</v>
      </c>
      <c r="N53" s="16"/>
      <c r="S53" s="16"/>
      <c r="X53" s="16"/>
      <c r="AC53" s="16"/>
      <c r="AH53" s="16"/>
      <c r="AM53" s="16"/>
      <c r="AR53" s="16"/>
      <c r="AW53" s="16"/>
      <c r="BB53" s="222"/>
      <c r="BG53" s="222"/>
      <c r="BL53" s="222"/>
      <c r="BQ53" s="222"/>
      <c r="BV53" s="222"/>
      <c r="CA53" s="222"/>
      <c r="CF53" s="222"/>
      <c r="CK53" s="222"/>
      <c r="CP53" s="222"/>
      <c r="CQ53" s="500"/>
      <c r="CR53" s="500"/>
      <c r="CS53" s="500"/>
      <c r="CT53" s="500"/>
      <c r="CU53" s="222"/>
      <c r="CV53" s="500"/>
      <c r="CW53" s="500"/>
      <c r="CX53" s="500"/>
      <c r="CY53" s="500"/>
      <c r="CZ53" s="222"/>
      <c r="DA53" s="500"/>
      <c r="DB53" s="500"/>
      <c r="DC53" s="500"/>
      <c r="DD53" s="500"/>
      <c r="DE53" s="222"/>
      <c r="DJ53" s="222"/>
      <c r="DO53" s="152"/>
      <c r="DT53" s="152"/>
      <c r="DU53" s="152"/>
      <c r="DV53" s="152"/>
    </row>
    <row r="54" spans="2:126" s="15" customFormat="1" collapsed="1">
      <c r="C54" s="16"/>
      <c r="D54" s="16"/>
      <c r="E54" s="16"/>
      <c r="F54" s="16"/>
      <c r="G54" s="16"/>
      <c r="H54" s="16"/>
      <c r="I54" s="16"/>
      <c r="N54" s="16"/>
      <c r="S54" s="16"/>
      <c r="X54" s="16"/>
      <c r="AC54" s="16"/>
      <c r="AH54" s="16"/>
      <c r="AM54" s="16"/>
      <c r="AR54" s="16"/>
      <c r="AW54" s="16"/>
      <c r="BB54" s="16"/>
      <c r="BG54" s="16"/>
      <c r="BL54" s="16"/>
      <c r="BQ54" s="16"/>
      <c r="BV54" s="16"/>
      <c r="CA54" s="16"/>
      <c r="CF54" s="16"/>
      <c r="CK54" s="222"/>
      <c r="CP54" s="222"/>
      <c r="CU54" s="222"/>
      <c r="CZ54" s="222"/>
      <c r="DE54" s="222"/>
      <c r="DJ54" s="222"/>
      <c r="DO54" s="16"/>
      <c r="DT54" s="16"/>
      <c r="DU54" s="16"/>
      <c r="DV54" s="16"/>
    </row>
    <row r="55" spans="2:126" s="15" customFormat="1" ht="12">
      <c r="B55" s="110" t="s">
        <v>110</v>
      </c>
      <c r="C55" s="16"/>
      <c r="D55" s="16"/>
      <c r="E55" s="16"/>
      <c r="F55" s="16"/>
      <c r="G55" s="16"/>
      <c r="H55" s="16"/>
      <c r="I55" s="16"/>
      <c r="N55" s="16"/>
      <c r="S55" s="16"/>
      <c r="X55" s="16"/>
      <c r="AC55" s="16"/>
      <c r="AH55" s="16"/>
      <c r="AM55" s="16"/>
      <c r="AR55" s="16"/>
      <c r="AW55" s="16"/>
      <c r="BB55" s="16"/>
      <c r="BG55" s="16"/>
      <c r="BL55" s="16"/>
      <c r="BQ55" s="16"/>
      <c r="BV55" s="16"/>
      <c r="CA55" s="16"/>
      <c r="CF55" s="16"/>
      <c r="CK55" s="222"/>
      <c r="CP55" s="222"/>
      <c r="CU55" s="222"/>
      <c r="CZ55" s="222"/>
      <c r="DE55" s="222"/>
      <c r="DJ55" s="222"/>
      <c r="DO55" s="16"/>
      <c r="DT55" s="16"/>
      <c r="DU55" s="16"/>
      <c r="DV55" s="16"/>
    </row>
    <row r="56" spans="2:126" s="15" customFormat="1">
      <c r="B56" s="15" t="s">
        <v>111</v>
      </c>
      <c r="C56" s="16">
        <f t="shared" ref="C56:I56" si="219">C7</f>
        <v>0</v>
      </c>
      <c r="D56" s="16">
        <f t="shared" si="219"/>
        <v>0</v>
      </c>
      <c r="E56" s="16">
        <f t="shared" si="219"/>
        <v>0</v>
      </c>
      <c r="F56" s="16">
        <f t="shared" si="219"/>
        <v>0</v>
      </c>
      <c r="G56" s="16">
        <f t="shared" si="219"/>
        <v>0</v>
      </c>
      <c r="H56" s="16">
        <f t="shared" si="219"/>
        <v>0</v>
      </c>
      <c r="I56" s="16">
        <f t="shared" si="219"/>
        <v>0</v>
      </c>
      <c r="N56" s="16"/>
      <c r="O56" s="99"/>
      <c r="P56" s="99"/>
      <c r="Q56" s="99"/>
      <c r="R56" s="99"/>
      <c r="S56" s="102"/>
      <c r="T56" s="99"/>
      <c r="U56" s="99"/>
      <c r="V56" s="99"/>
      <c r="W56" s="99"/>
      <c r="X56" s="102"/>
      <c r="Y56" s="99"/>
      <c r="Z56" s="99"/>
      <c r="AA56" s="99"/>
      <c r="AB56" s="99"/>
      <c r="AC56" s="102"/>
      <c r="AD56" s="99"/>
      <c r="AE56" s="99"/>
      <c r="AF56" s="99"/>
      <c r="AG56" s="99"/>
      <c r="AH56" s="102"/>
      <c r="AI56" s="99"/>
      <c r="AJ56" s="99"/>
      <c r="AK56" s="99"/>
      <c r="AL56" s="99"/>
      <c r="AM56" s="102"/>
      <c r="AN56" s="99"/>
      <c r="AO56" s="99"/>
      <c r="AP56" s="99"/>
      <c r="AQ56" s="99"/>
      <c r="AR56" s="102"/>
      <c r="AS56" s="99"/>
      <c r="AT56" s="99"/>
      <c r="AU56" s="99"/>
      <c r="AV56" s="99"/>
      <c r="AW56" s="102"/>
      <c r="AX56" s="99"/>
      <c r="AY56" s="99"/>
      <c r="AZ56" s="99"/>
      <c r="BA56" s="99"/>
      <c r="BB56" s="102"/>
      <c r="BC56" s="99"/>
      <c r="BD56" s="99"/>
      <c r="BE56" s="99"/>
      <c r="BF56" s="99"/>
      <c r="BG56" s="102"/>
      <c r="BH56" s="99"/>
      <c r="BI56" s="99"/>
      <c r="BJ56" s="99"/>
      <c r="BK56" s="99"/>
      <c r="BL56" s="102"/>
      <c r="BM56" s="99"/>
      <c r="BN56" s="99"/>
      <c r="BO56" s="99"/>
      <c r="BP56" s="99"/>
      <c r="BQ56" s="102"/>
      <c r="BR56" s="99"/>
      <c r="BS56" s="99"/>
      <c r="BT56" s="99"/>
      <c r="BU56" s="99"/>
      <c r="BV56" s="102"/>
      <c r="BW56" s="99"/>
      <c r="BX56" s="99"/>
      <c r="BY56" s="99"/>
      <c r="BZ56" s="99"/>
      <c r="CA56" s="102"/>
      <c r="CB56" s="99"/>
      <c r="CC56" s="99"/>
      <c r="CD56" s="99"/>
      <c r="CE56" s="99"/>
      <c r="CF56" s="102"/>
      <c r="CG56" s="99"/>
      <c r="CH56" s="99"/>
      <c r="CI56" s="99"/>
      <c r="CJ56" s="99"/>
      <c r="CK56" s="238"/>
      <c r="CL56" s="99"/>
      <c r="CM56" s="99"/>
      <c r="CN56" s="99"/>
      <c r="CO56" s="99">
        <f t="shared" ref="CO56:CP56" si="220">CO7</f>
        <v>36530</v>
      </c>
      <c r="CP56" s="238">
        <f t="shared" si="220"/>
        <v>36530</v>
      </c>
      <c r="CQ56" s="99">
        <f>CQ7</f>
        <v>31783</v>
      </c>
      <c r="CR56" s="99">
        <f t="shared" ref="CR56:CT56" si="221">CR7</f>
        <v>22460</v>
      </c>
      <c r="CS56" s="99">
        <f t="shared" si="221"/>
        <v>24955</v>
      </c>
      <c r="CT56" s="99">
        <f t="shared" si="221"/>
        <v>15770</v>
      </c>
      <c r="CU56" s="238">
        <f t="shared" ref="CU56" si="222">CU7</f>
        <v>15770</v>
      </c>
      <c r="CV56" s="99">
        <f>CV7</f>
        <v>12842</v>
      </c>
      <c r="CW56" s="99">
        <f t="shared" ref="CW56:CZ56" si="223">CW7</f>
        <v>13190</v>
      </c>
      <c r="CX56" s="99">
        <f t="shared" si="223"/>
        <v>12595</v>
      </c>
      <c r="CY56" s="99">
        <f t="shared" si="223"/>
        <v>15810</v>
      </c>
      <c r="CZ56" s="238">
        <f t="shared" si="223"/>
        <v>15810</v>
      </c>
      <c r="DA56" s="99">
        <f>DA7</f>
        <v>12001</v>
      </c>
      <c r="DB56" s="99">
        <f t="shared" ref="DB56:DE56" si="224">DB7</f>
        <v>12766</v>
      </c>
      <c r="DC56" s="99">
        <f t="shared" si="224"/>
        <v>13127</v>
      </c>
      <c r="DD56" s="99">
        <f t="shared" si="224"/>
        <v>16967</v>
      </c>
      <c r="DE56" s="238">
        <f t="shared" si="224"/>
        <v>16967</v>
      </c>
      <c r="DF56" s="99">
        <f>DF7</f>
        <v>18447</v>
      </c>
      <c r="DG56" s="99">
        <f t="shared" ref="DG56" si="225">DG7</f>
        <v>12107</v>
      </c>
      <c r="DH56" s="99">
        <f t="shared" ref="DH56:DJ56" si="226">DH7</f>
        <v>13724</v>
      </c>
      <c r="DI56" s="99">
        <f t="shared" si="226"/>
        <v>13619</v>
      </c>
      <c r="DJ56" s="238">
        <f t="shared" si="226"/>
        <v>13619</v>
      </c>
      <c r="DK56" s="99">
        <f>DK7</f>
        <v>12405</v>
      </c>
      <c r="DL56" s="99">
        <f t="shared" ref="DL56:DO56" si="227">DL7</f>
        <v>10861</v>
      </c>
      <c r="DM56" s="99">
        <f t="shared" si="227"/>
        <v>10605.911820680001</v>
      </c>
      <c r="DN56" s="99">
        <f t="shared" si="227"/>
        <v>10106.183641360001</v>
      </c>
      <c r="DO56" s="238">
        <f t="shared" si="227"/>
        <v>10106.183641360001</v>
      </c>
      <c r="DP56" s="99">
        <f>DP7</f>
        <v>9426.644235142001</v>
      </c>
      <c r="DQ56" s="99">
        <f t="shared" ref="DQ56:DT56" si="228">DQ7</f>
        <v>8140.0028289240008</v>
      </c>
      <c r="DR56" s="99">
        <f t="shared" si="228"/>
        <v>7806.2594227060008</v>
      </c>
      <c r="DS56" s="99">
        <f t="shared" si="228"/>
        <v>8725.2070164880006</v>
      </c>
      <c r="DT56" s="238">
        <f t="shared" si="228"/>
        <v>8725.2070164880006</v>
      </c>
      <c r="DU56" s="102">
        <f>DU7</f>
        <v>7863.0762978852017</v>
      </c>
      <c r="DV56" s="102">
        <f>DV7</f>
        <v>7454.8072914919831</v>
      </c>
    </row>
    <row r="57" spans="2:126" s="15" customFormat="1">
      <c r="B57" s="15" t="s">
        <v>112</v>
      </c>
      <c r="C57" s="35" t="e">
        <f>C56/IS!C52</f>
        <v>#DIV/0!</v>
      </c>
      <c r="D57" s="35" t="e">
        <f>D56/IS!D52</f>
        <v>#DIV/0!</v>
      </c>
      <c r="E57" s="35" t="e">
        <f>E56/IS!E52</f>
        <v>#DIV/0!</v>
      </c>
      <c r="F57" s="35" t="e">
        <f>F56/IS!F52</f>
        <v>#DIV/0!</v>
      </c>
      <c r="G57" s="35" t="e">
        <f>G56/IS!G52</f>
        <v>#DIV/0!</v>
      </c>
      <c r="H57" s="35" t="e">
        <f>H56/IS!H52</f>
        <v>#DIV/0!</v>
      </c>
      <c r="I57" s="35" t="e">
        <f>I56/IS!I52</f>
        <v>#DIV/0!</v>
      </c>
      <c r="J57" s="25"/>
      <c r="K57" s="25"/>
      <c r="L57" s="25"/>
      <c r="M57" s="25"/>
      <c r="N57" s="35"/>
      <c r="O57" s="25"/>
      <c r="P57" s="25"/>
      <c r="Q57" s="25"/>
      <c r="R57" s="25"/>
      <c r="S57" s="35"/>
      <c r="T57" s="25"/>
      <c r="U57" s="25"/>
      <c r="V57" s="25"/>
      <c r="W57" s="25"/>
      <c r="X57" s="35"/>
      <c r="Y57" s="25"/>
      <c r="Z57" s="25"/>
      <c r="AA57" s="25"/>
      <c r="AB57" s="25"/>
      <c r="AC57" s="35"/>
      <c r="AD57" s="25"/>
      <c r="AE57" s="25"/>
      <c r="AF57" s="25"/>
      <c r="AG57" s="25"/>
      <c r="AH57" s="35"/>
      <c r="AI57" s="25"/>
      <c r="AJ57" s="25"/>
      <c r="AK57" s="25"/>
      <c r="AL57" s="25"/>
      <c r="AM57" s="35"/>
      <c r="AN57" s="25"/>
      <c r="AO57" s="25"/>
      <c r="AP57" s="25"/>
      <c r="AQ57" s="25"/>
      <c r="AR57" s="35"/>
      <c r="AS57" s="25"/>
      <c r="AT57" s="25"/>
      <c r="AU57" s="25"/>
      <c r="AV57" s="25"/>
      <c r="AW57" s="35"/>
      <c r="AX57" s="25"/>
      <c r="AY57" s="25"/>
      <c r="AZ57" s="25"/>
      <c r="BA57" s="25"/>
      <c r="BB57" s="35"/>
      <c r="BC57" s="25"/>
      <c r="BD57" s="25"/>
      <c r="BE57" s="25"/>
      <c r="BF57" s="25"/>
      <c r="BG57" s="35"/>
      <c r="BH57" s="25"/>
      <c r="BI57" s="25"/>
      <c r="BJ57" s="25"/>
      <c r="BK57" s="25"/>
      <c r="BL57" s="35"/>
      <c r="BM57" s="25"/>
      <c r="BN57" s="25"/>
      <c r="BO57" s="25"/>
      <c r="BP57" s="25"/>
      <c r="BQ57" s="35"/>
      <c r="BR57" s="25"/>
      <c r="BS57" s="25"/>
      <c r="BT57" s="25"/>
      <c r="BU57" s="25"/>
      <c r="BV57" s="35"/>
      <c r="BW57" s="25"/>
      <c r="BX57" s="25"/>
      <c r="BY57" s="25"/>
      <c r="BZ57" s="25"/>
      <c r="CA57" s="35"/>
      <c r="CB57" s="25"/>
      <c r="CC57" s="25"/>
      <c r="CD57" s="25"/>
      <c r="CE57" s="25"/>
      <c r="CF57" s="35"/>
      <c r="CG57" s="25"/>
      <c r="CH57" s="25"/>
      <c r="CI57" s="25"/>
      <c r="CJ57" s="25"/>
      <c r="CK57" s="24"/>
      <c r="CL57" s="25"/>
      <c r="CM57" s="25"/>
      <c r="CN57" s="25"/>
      <c r="CO57" s="25">
        <f>CO56/IS!CO52</f>
        <v>33.339826035525761</v>
      </c>
      <c r="CP57" s="24">
        <f>CP56/IS!CP52</f>
        <v>5.3323882797881934</v>
      </c>
      <c r="CQ57" s="25">
        <f>CQ56/IS!CQ52</f>
        <v>3.6204920556610074</v>
      </c>
      <c r="CR57" s="25">
        <f>CR56/IS!CR52</f>
        <v>2.5577069683932279</v>
      </c>
      <c r="CS57" s="25">
        <f>CS56/IS!CS52</f>
        <v>22.724848622001968</v>
      </c>
      <c r="CT57" s="25">
        <f>CT56/IS!CT52</f>
        <v>14.349053247692419</v>
      </c>
      <c r="CU57" s="24">
        <f>CU56/IS!CU52</f>
        <v>3.1927749119363922</v>
      </c>
      <c r="CV57" s="25">
        <f>CV56/IS!CV52</f>
        <v>11.667492158544905</v>
      </c>
      <c r="CW57" s="25">
        <f>CW56/IS!CW52</f>
        <v>12.028601237772067</v>
      </c>
      <c r="CX57" s="25">
        <f>CX56/IS!CX52</f>
        <v>11.5268300950003</v>
      </c>
      <c r="CY57" s="25">
        <f>CY56/IS!CY52</f>
        <v>14.516573317418052</v>
      </c>
      <c r="CZ57" s="24">
        <f>CZ56/IS!CZ52</f>
        <v>14.441698791187333</v>
      </c>
      <c r="DA57" s="25">
        <f>DA56/IS!DA52</f>
        <v>11.020606524025133</v>
      </c>
      <c r="DB57" s="25">
        <f>DB56/IS!DB52</f>
        <v>11.729378705036218</v>
      </c>
      <c r="DC57" s="25">
        <f>DC56/IS!DC52</f>
        <v>12.06097788962551</v>
      </c>
      <c r="DD57" s="25">
        <f>DD56/IS!DD52</f>
        <v>15.58870880062728</v>
      </c>
      <c r="DE57" s="24">
        <f>DE56/IS!DE52</f>
        <v>15.58700362123842</v>
      </c>
      <c r="DF57" s="25">
        <f>DF56/IS!DF52</f>
        <v>16.724388032638259</v>
      </c>
      <c r="DG57" s="25">
        <f>DG56/IS!DG52</f>
        <v>11.006363636363636</v>
      </c>
      <c r="DH57" s="25">
        <f>DH56/IS!DH52</f>
        <v>12.556267154620311</v>
      </c>
      <c r="DI57" s="25">
        <f>DI56/IS!DI52</f>
        <v>12.567221775373827</v>
      </c>
      <c r="DJ57" s="24">
        <f>DJ56/IS!DJ52</f>
        <v>12.438317060603342</v>
      </c>
      <c r="DK57" s="25">
        <f>DK56/IS!DK52</f>
        <v>11.578453101920928</v>
      </c>
      <c r="DL57" s="25">
        <f>DL56/IS!DL52</f>
        <v>10.146300791900888</v>
      </c>
      <c r="DM57" s="25">
        <f>DM56/IS!DM52</f>
        <v>9.9149453566374426</v>
      </c>
      <c r="DN57" s="25">
        <f>DN56/IS!DN52</f>
        <v>9.4566145825868499</v>
      </c>
      <c r="DO57" s="24">
        <f>DO56/IS!DO52</f>
        <v>9.4445795041540279</v>
      </c>
      <c r="DP57" s="25">
        <f>DP56/IS!DP52</f>
        <v>8.8789097362824076</v>
      </c>
      <c r="DQ57" s="25">
        <f>DQ56/IS!DQ52</f>
        <v>7.7179147996148378</v>
      </c>
      <c r="DR57" s="25">
        <f>DR56/IS!DR52</f>
        <v>7.450929177643757</v>
      </c>
      <c r="DS57" s="25">
        <f>DS56/IS!DS52</f>
        <v>8.3800383728728889</v>
      </c>
      <c r="DT57" s="24">
        <f>DT56/IS!DT52</f>
        <v>8.2993318881386156</v>
      </c>
      <c r="DU57" s="35">
        <f>DU56/IS!DU52</f>
        <v>7.6317252259093245</v>
      </c>
      <c r="DV57" s="35">
        <f>DV56/IS!DV52</f>
        <v>7.3933362328311043</v>
      </c>
    </row>
    <row r="58" spans="2:126" s="15" customFormat="1">
      <c r="B58" s="15" t="s">
        <v>113</v>
      </c>
      <c r="C58" s="102">
        <f>C44</f>
        <v>0</v>
      </c>
      <c r="D58" s="102">
        <f t="shared" ref="D58:I58" si="229">D44</f>
        <v>0</v>
      </c>
      <c r="E58" s="102">
        <f t="shared" si="229"/>
        <v>0</v>
      </c>
      <c r="F58" s="102">
        <f t="shared" si="229"/>
        <v>0</v>
      </c>
      <c r="G58" s="102">
        <f t="shared" si="229"/>
        <v>0</v>
      </c>
      <c r="H58" s="102">
        <f t="shared" si="229"/>
        <v>0</v>
      </c>
      <c r="I58" s="102">
        <f t="shared" si="229"/>
        <v>0</v>
      </c>
      <c r="J58" s="99"/>
      <c r="K58" s="99"/>
      <c r="L58" s="99"/>
      <c r="M58" s="99"/>
      <c r="N58" s="102"/>
      <c r="O58" s="99"/>
      <c r="P58" s="99"/>
      <c r="Q58" s="99"/>
      <c r="R58" s="99"/>
      <c r="S58" s="102"/>
      <c r="T58" s="99"/>
      <c r="U58" s="99"/>
      <c r="V58" s="99"/>
      <c r="W58" s="99"/>
      <c r="X58" s="102"/>
      <c r="Y58" s="99"/>
      <c r="Z58" s="99"/>
      <c r="AA58" s="99"/>
      <c r="AB58" s="99"/>
      <c r="AC58" s="102"/>
      <c r="AD58" s="99"/>
      <c r="AE58" s="99"/>
      <c r="AF58" s="99"/>
      <c r="AG58" s="99"/>
      <c r="AH58" s="102"/>
      <c r="AI58" s="99"/>
      <c r="AJ58" s="99"/>
      <c r="AK58" s="99"/>
      <c r="AL58" s="99"/>
      <c r="AM58" s="102"/>
      <c r="AN58" s="99"/>
      <c r="AO58" s="99"/>
      <c r="AP58" s="99"/>
      <c r="AQ58" s="99"/>
      <c r="AR58" s="102"/>
      <c r="AS58" s="99"/>
      <c r="AT58" s="99"/>
      <c r="AU58" s="99"/>
      <c r="AV58" s="99"/>
      <c r="AW58" s="102"/>
      <c r="AX58" s="99"/>
      <c r="AY58" s="99"/>
      <c r="AZ58" s="99"/>
      <c r="BA58" s="99"/>
      <c r="BB58" s="102"/>
      <c r="BC58" s="99"/>
      <c r="BD58" s="99"/>
      <c r="BE58" s="99"/>
      <c r="BF58" s="99"/>
      <c r="BG58" s="102"/>
      <c r="BH58" s="99"/>
      <c r="BI58" s="99"/>
      <c r="BJ58" s="99"/>
      <c r="BK58" s="99"/>
      <c r="BL58" s="102"/>
      <c r="BM58" s="99"/>
      <c r="BN58" s="99"/>
      <c r="BO58" s="99"/>
      <c r="BP58" s="99"/>
      <c r="BQ58" s="102"/>
      <c r="BR58" s="99"/>
      <c r="BS58" s="99"/>
      <c r="BT58" s="99"/>
      <c r="BU58" s="99"/>
      <c r="BV58" s="102"/>
      <c r="BW58" s="99"/>
      <c r="BX58" s="99"/>
      <c r="BY58" s="99"/>
      <c r="BZ58" s="99"/>
      <c r="CA58" s="102"/>
      <c r="CB58" s="99"/>
      <c r="CC58" s="99"/>
      <c r="CD58" s="99"/>
      <c r="CE58" s="99"/>
      <c r="CF58" s="102"/>
      <c r="CG58" s="99"/>
      <c r="CH58" s="99"/>
      <c r="CI58" s="99"/>
      <c r="CJ58" s="99"/>
      <c r="CK58" s="238"/>
      <c r="CL58" s="99"/>
      <c r="CM58" s="99"/>
      <c r="CN58" s="99"/>
      <c r="CO58" s="99">
        <f t="shared" ref="CO58:CP58" si="230">CO44</f>
        <v>37074</v>
      </c>
      <c r="CP58" s="238">
        <f t="shared" si="230"/>
        <v>37074</v>
      </c>
      <c r="CQ58" s="99">
        <f t="shared" ref="CQ58" si="231">CQ44</f>
        <v>35153</v>
      </c>
      <c r="CR58" s="99">
        <f t="shared" ref="CR58:CT58" si="232">CR44</f>
        <v>35047</v>
      </c>
      <c r="CS58" s="99">
        <f t="shared" si="232"/>
        <v>38961</v>
      </c>
      <c r="CT58" s="99">
        <f t="shared" si="232"/>
        <v>41613</v>
      </c>
      <c r="CU58" s="238">
        <f t="shared" ref="CU58:CY58" si="233">CU44</f>
        <v>41613</v>
      </c>
      <c r="CV58" s="99">
        <f t="shared" si="233"/>
        <v>40282</v>
      </c>
      <c r="CW58" s="99">
        <f t="shared" si="233"/>
        <v>35943</v>
      </c>
      <c r="CX58" s="99">
        <f t="shared" si="233"/>
        <v>32750</v>
      </c>
      <c r="CY58" s="99">
        <f t="shared" si="233"/>
        <v>34912</v>
      </c>
      <c r="CZ58" s="238">
        <f t="shared" ref="CZ58:DE58" si="234">CZ44</f>
        <v>34912</v>
      </c>
      <c r="DA58" s="99">
        <f t="shared" si="234"/>
        <v>32822</v>
      </c>
      <c r="DB58" s="99">
        <f t="shared" si="234"/>
        <v>32368</v>
      </c>
      <c r="DC58" s="99">
        <f t="shared" si="234"/>
        <v>29833</v>
      </c>
      <c r="DD58" s="99">
        <f t="shared" si="234"/>
        <v>28580</v>
      </c>
      <c r="DE58" s="238">
        <f t="shared" si="234"/>
        <v>28580</v>
      </c>
      <c r="DF58" s="99">
        <f t="shared" ref="DF58:DP58" si="235">DF44</f>
        <v>31105</v>
      </c>
      <c r="DG58" s="99">
        <f t="shared" si="235"/>
        <v>18843</v>
      </c>
      <c r="DH58" s="99">
        <f t="shared" si="235"/>
        <v>19103</v>
      </c>
      <c r="DI58" s="99">
        <f t="shared" si="235"/>
        <v>19564</v>
      </c>
      <c r="DJ58" s="238">
        <f t="shared" si="235"/>
        <v>19564</v>
      </c>
      <c r="DK58" s="99">
        <f t="shared" ref="DK58" si="236">DK44</f>
        <v>19468</v>
      </c>
      <c r="DL58" s="99">
        <f t="shared" si="235"/>
        <v>19345</v>
      </c>
      <c r="DM58" s="99">
        <f t="shared" si="235"/>
        <v>15587.232106976298</v>
      </c>
      <c r="DN58" s="99">
        <f t="shared" si="235"/>
        <v>15494.965866360013</v>
      </c>
      <c r="DO58" s="238">
        <f t="shared" si="235"/>
        <v>15494.965866360013</v>
      </c>
      <c r="DP58" s="99">
        <f t="shared" si="235"/>
        <v>14118.22227180867</v>
      </c>
      <c r="DQ58" s="99">
        <f t="shared" ref="DQ58:DT58" si="237">DQ44</f>
        <v>14141.85966225731</v>
      </c>
      <c r="DR58" s="99">
        <f t="shared" si="237"/>
        <v>13582.68378319488</v>
      </c>
      <c r="DS58" s="99">
        <f t="shared" si="237"/>
        <v>15284.396807368816</v>
      </c>
      <c r="DT58" s="238">
        <f t="shared" si="237"/>
        <v>15284.396807368816</v>
      </c>
      <c r="DU58" s="238">
        <f t="shared" ref="DU58" si="238">DU44</f>
        <v>12862.561151310583</v>
      </c>
      <c r="DV58" s="238">
        <f t="shared" ref="DV58" si="239">DV44</f>
        <v>12659.062218045336</v>
      </c>
    </row>
    <row r="59" spans="2:126" s="15" customFormat="1">
      <c r="B59" s="15" t="s">
        <v>114</v>
      </c>
      <c r="C59" s="102" t="e">
        <f>#REF!+C31</f>
        <v>#REF!</v>
      </c>
      <c r="D59" s="102" t="e">
        <f>#REF!+D31</f>
        <v>#REF!</v>
      </c>
      <c r="E59" s="102" t="e">
        <f>#REF!+E31</f>
        <v>#REF!</v>
      </c>
      <c r="F59" s="102" t="e">
        <f>#REF!+F31</f>
        <v>#REF!</v>
      </c>
      <c r="G59" s="102" t="e">
        <f>#REF!+G31</f>
        <v>#REF!</v>
      </c>
      <c r="H59" s="102" t="e">
        <f>#REF!+H31</f>
        <v>#REF!</v>
      </c>
      <c r="I59" s="102" t="e">
        <f>#REF!+I31</f>
        <v>#REF!</v>
      </c>
      <c r="J59" s="99"/>
      <c r="K59" s="99"/>
      <c r="L59" s="99"/>
      <c r="M59" s="99"/>
      <c r="N59" s="102"/>
      <c r="O59" s="99"/>
      <c r="P59" s="99"/>
      <c r="Q59" s="99"/>
      <c r="R59" s="99"/>
      <c r="S59" s="102"/>
      <c r="T59" s="99"/>
      <c r="U59" s="99"/>
      <c r="V59" s="99"/>
      <c r="W59" s="99"/>
      <c r="X59" s="102"/>
      <c r="Y59" s="99"/>
      <c r="Z59" s="99"/>
      <c r="AA59" s="99"/>
      <c r="AB59" s="99"/>
      <c r="AC59" s="102"/>
      <c r="AD59" s="99"/>
      <c r="AE59" s="99"/>
      <c r="AF59" s="99"/>
      <c r="AG59" s="99"/>
      <c r="AH59" s="102"/>
      <c r="AI59" s="99"/>
      <c r="AJ59" s="99"/>
      <c r="AK59" s="99"/>
      <c r="AL59" s="99"/>
      <c r="AM59" s="102"/>
      <c r="AN59" s="99"/>
      <c r="AO59" s="99"/>
      <c r="AP59" s="99"/>
      <c r="AQ59" s="99"/>
      <c r="AR59" s="102"/>
      <c r="AS59" s="99"/>
      <c r="AT59" s="99"/>
      <c r="AU59" s="99"/>
      <c r="AV59" s="99"/>
      <c r="AW59" s="102"/>
      <c r="AX59" s="99"/>
      <c r="AY59" s="99"/>
      <c r="AZ59" s="99"/>
      <c r="BA59" s="99"/>
      <c r="BB59" s="102"/>
      <c r="BC59" s="99"/>
      <c r="BD59" s="99"/>
      <c r="BE59" s="99"/>
      <c r="BF59" s="99"/>
      <c r="BG59" s="102"/>
      <c r="BH59" s="99"/>
      <c r="BI59" s="99"/>
      <c r="BJ59" s="99"/>
      <c r="BK59" s="99"/>
      <c r="BL59" s="102"/>
      <c r="BM59" s="99"/>
      <c r="BN59" s="99"/>
      <c r="BO59" s="99"/>
      <c r="BP59" s="99"/>
      <c r="BQ59" s="102"/>
      <c r="BR59" s="99"/>
      <c r="BS59" s="99"/>
      <c r="BT59" s="99"/>
      <c r="BU59" s="99"/>
      <c r="BV59" s="102"/>
      <c r="BW59" s="99"/>
      <c r="BX59" s="99"/>
      <c r="BY59" s="99"/>
      <c r="BZ59" s="99"/>
      <c r="CA59" s="102"/>
      <c r="CB59" s="99"/>
      <c r="CC59" s="99"/>
      <c r="CD59" s="99"/>
      <c r="CE59" s="99"/>
      <c r="CF59" s="102"/>
      <c r="CG59" s="99"/>
      <c r="CH59" s="99"/>
      <c r="CI59" s="99"/>
      <c r="CJ59" s="99"/>
      <c r="CK59" s="238"/>
      <c r="CL59" s="99"/>
      <c r="CM59" s="99"/>
      <c r="CN59" s="99"/>
      <c r="CO59" s="99">
        <f t="shared" ref="CO59:CP59" si="240">CO25+CO31</f>
        <v>74902</v>
      </c>
      <c r="CP59" s="238">
        <f t="shared" si="240"/>
        <v>74902</v>
      </c>
      <c r="CQ59" s="99">
        <f>CQ25+CQ31</f>
        <v>71358</v>
      </c>
      <c r="CR59" s="99">
        <f t="shared" ref="CR59:CT59" si="241">CR25+CR31</f>
        <v>63524</v>
      </c>
      <c r="CS59" s="99">
        <f t="shared" si="241"/>
        <v>62888</v>
      </c>
      <c r="CT59" s="99">
        <f t="shared" si="241"/>
        <v>35185</v>
      </c>
      <c r="CU59" s="238">
        <f t="shared" ref="CU59" si="242">CU25+CU31</f>
        <v>35185</v>
      </c>
      <c r="CV59" s="99">
        <f>CV25+CV31</f>
        <v>33634</v>
      </c>
      <c r="CW59" s="99">
        <f t="shared" ref="CW59:CZ59" si="243">CW25+CW31</f>
        <v>32518</v>
      </c>
      <c r="CX59" s="99">
        <f t="shared" si="243"/>
        <v>30406</v>
      </c>
      <c r="CY59" s="99">
        <f t="shared" si="243"/>
        <v>24059</v>
      </c>
      <c r="CZ59" s="238">
        <f t="shared" si="243"/>
        <v>24059</v>
      </c>
      <c r="DA59" s="99">
        <f>DA25+DA31</f>
        <v>22421</v>
      </c>
      <c r="DB59" s="99">
        <f t="shared" ref="DB59:DE59" si="244">DB25+DB31</f>
        <v>21782</v>
      </c>
      <c r="DC59" s="99">
        <f t="shared" si="244"/>
        <v>20822</v>
      </c>
      <c r="DD59" s="99">
        <f t="shared" si="244"/>
        <v>20964</v>
      </c>
      <c r="DE59" s="238">
        <f t="shared" si="244"/>
        <v>20964</v>
      </c>
      <c r="DF59" s="99">
        <f>DF25+DF31</f>
        <v>20525</v>
      </c>
      <c r="DG59" s="99">
        <f t="shared" ref="DG59" si="245">DG25+DG31</f>
        <v>19673</v>
      </c>
      <c r="DH59" s="99">
        <f t="shared" ref="DH59:DJ59" si="246">DH25+DH31</f>
        <v>19921</v>
      </c>
      <c r="DI59" s="99">
        <f t="shared" si="246"/>
        <v>19273</v>
      </c>
      <c r="DJ59" s="238">
        <f t="shared" si="246"/>
        <v>19273</v>
      </c>
      <c r="DK59" s="99">
        <f>DK25+DK31</f>
        <v>19571</v>
      </c>
      <c r="DL59" s="99">
        <f t="shared" ref="DL59:DO59" si="247">DL25+DL31</f>
        <v>18887</v>
      </c>
      <c r="DM59" s="99">
        <f t="shared" si="247"/>
        <v>18887</v>
      </c>
      <c r="DN59" s="99">
        <f t="shared" si="247"/>
        <v>18887</v>
      </c>
      <c r="DO59" s="238">
        <f t="shared" si="247"/>
        <v>18887</v>
      </c>
      <c r="DP59" s="99">
        <f>DP25+DP31</f>
        <v>18887</v>
      </c>
      <c r="DQ59" s="99">
        <f t="shared" ref="DQ59:DT59" si="248">DQ25+DQ31</f>
        <v>18887</v>
      </c>
      <c r="DR59" s="99">
        <f t="shared" si="248"/>
        <v>18887</v>
      </c>
      <c r="DS59" s="99">
        <f t="shared" si="248"/>
        <v>18887</v>
      </c>
      <c r="DT59" s="238">
        <f t="shared" si="248"/>
        <v>18887</v>
      </c>
      <c r="DU59" s="238">
        <f t="shared" ref="DU59" si="249">DU25+DU31</f>
        <v>18887</v>
      </c>
      <c r="DV59" s="238">
        <f t="shared" ref="DV59" si="250">DV25+DV31</f>
        <v>18887</v>
      </c>
    </row>
    <row r="60" spans="2:126" s="15" customFormat="1">
      <c r="B60" s="15" t="s">
        <v>115</v>
      </c>
      <c r="C60" s="102" t="e">
        <f t="shared" ref="C60:I60" si="251">C59-C56</f>
        <v>#REF!</v>
      </c>
      <c r="D60" s="102" t="e">
        <f t="shared" si="251"/>
        <v>#REF!</v>
      </c>
      <c r="E60" s="102" t="e">
        <f t="shared" si="251"/>
        <v>#REF!</v>
      </c>
      <c r="F60" s="102" t="e">
        <f t="shared" si="251"/>
        <v>#REF!</v>
      </c>
      <c r="G60" s="102" t="e">
        <f t="shared" si="251"/>
        <v>#REF!</v>
      </c>
      <c r="H60" s="102" t="e">
        <f t="shared" si="251"/>
        <v>#REF!</v>
      </c>
      <c r="I60" s="102" t="e">
        <f t="shared" si="251"/>
        <v>#REF!</v>
      </c>
      <c r="J60" s="99"/>
      <c r="K60" s="99"/>
      <c r="L60" s="99"/>
      <c r="M60" s="99"/>
      <c r="N60" s="102"/>
      <c r="O60" s="99"/>
      <c r="P60" s="99"/>
      <c r="Q60" s="99"/>
      <c r="R60" s="99"/>
      <c r="S60" s="102"/>
      <c r="T60" s="99"/>
      <c r="U60" s="99"/>
      <c r="V60" s="99"/>
      <c r="W60" s="99"/>
      <c r="X60" s="102"/>
      <c r="Y60" s="99"/>
      <c r="Z60" s="99"/>
      <c r="AA60" s="99"/>
      <c r="AB60" s="99"/>
      <c r="AC60" s="102"/>
      <c r="AD60" s="99"/>
      <c r="AE60" s="99"/>
      <c r="AF60" s="99"/>
      <c r="AG60" s="99"/>
      <c r="AH60" s="102"/>
      <c r="AI60" s="99"/>
      <c r="AJ60" s="99"/>
      <c r="AK60" s="99"/>
      <c r="AL60" s="99"/>
      <c r="AM60" s="102"/>
      <c r="AN60" s="99"/>
      <c r="AO60" s="99"/>
      <c r="AP60" s="99"/>
      <c r="AQ60" s="99"/>
      <c r="AR60" s="102"/>
      <c r="AS60" s="99"/>
      <c r="AT60" s="99"/>
      <c r="AU60" s="99"/>
      <c r="AV60" s="99"/>
      <c r="AW60" s="102"/>
      <c r="AX60" s="99"/>
      <c r="AY60" s="99"/>
      <c r="AZ60" s="99"/>
      <c r="BA60" s="99"/>
      <c r="BB60" s="102"/>
      <c r="BC60" s="99"/>
      <c r="BD60" s="99"/>
      <c r="BE60" s="99"/>
      <c r="BF60" s="99"/>
      <c r="BG60" s="102"/>
      <c r="BH60" s="99"/>
      <c r="BI60" s="99"/>
      <c r="BJ60" s="99"/>
      <c r="BK60" s="99"/>
      <c r="BL60" s="102"/>
      <c r="BM60" s="99"/>
      <c r="BN60" s="99"/>
      <c r="BO60" s="99"/>
      <c r="BP60" s="99"/>
      <c r="BQ60" s="102"/>
      <c r="BR60" s="99"/>
      <c r="BS60" s="99"/>
      <c r="BT60" s="99"/>
      <c r="BU60" s="99"/>
      <c r="BV60" s="102"/>
      <c r="BW60" s="99"/>
      <c r="BX60" s="99"/>
      <c r="BY60" s="99"/>
      <c r="BZ60" s="99"/>
      <c r="CA60" s="102"/>
      <c r="CB60" s="99"/>
      <c r="CC60" s="99"/>
      <c r="CD60" s="99"/>
      <c r="CE60" s="99"/>
      <c r="CF60" s="102"/>
      <c r="CG60" s="99"/>
      <c r="CH60" s="99"/>
      <c r="CI60" s="99"/>
      <c r="CJ60" s="99"/>
      <c r="CK60" s="238"/>
      <c r="CL60" s="99"/>
      <c r="CM60" s="99"/>
      <c r="CN60" s="99"/>
      <c r="CO60" s="99">
        <f t="shared" ref="CO60" si="252">CO59-CO56</f>
        <v>38372</v>
      </c>
      <c r="CP60" s="238">
        <f t="shared" ref="CP60" si="253">CP59-CP56</f>
        <v>38372</v>
      </c>
      <c r="CQ60" s="99">
        <f>CQ59-CQ56</f>
        <v>39575</v>
      </c>
      <c r="CR60" s="99">
        <f t="shared" ref="CR60:CU60" si="254">CR59-CR56</f>
        <v>41064</v>
      </c>
      <c r="CS60" s="99">
        <f t="shared" si="254"/>
        <v>37933</v>
      </c>
      <c r="CT60" s="99">
        <f t="shared" si="254"/>
        <v>19415</v>
      </c>
      <c r="CU60" s="238">
        <f t="shared" si="254"/>
        <v>19415</v>
      </c>
      <c r="CV60" s="99">
        <f>CV59-CV56</f>
        <v>20792</v>
      </c>
      <c r="CW60" s="99">
        <f t="shared" ref="CW60" si="255">CW59-CW56</f>
        <v>19328</v>
      </c>
      <c r="CX60" s="99">
        <f t="shared" ref="CX60" si="256">CX59-CX56</f>
        <v>17811</v>
      </c>
      <c r="CY60" s="99">
        <f t="shared" ref="CY60" si="257">CY59-CY56</f>
        <v>8249</v>
      </c>
      <c r="CZ60" s="238">
        <f t="shared" ref="CZ60" si="258">CZ59-CZ56</f>
        <v>8249</v>
      </c>
      <c r="DA60" s="99">
        <f>DA59-DA56</f>
        <v>10420</v>
      </c>
      <c r="DB60" s="99">
        <f t="shared" ref="DB60" si="259">DB59-DB56</f>
        <v>9016</v>
      </c>
      <c r="DC60" s="99">
        <f t="shared" ref="DC60" si="260">DC59-DC56</f>
        <v>7695</v>
      </c>
      <c r="DD60" s="99">
        <f t="shared" ref="DD60" si="261">DD59-DD56</f>
        <v>3997</v>
      </c>
      <c r="DE60" s="238">
        <f t="shared" ref="DE60" si="262">DE59-DE56</f>
        <v>3997</v>
      </c>
      <c r="DF60" s="99">
        <f>DF59-DF56</f>
        <v>2078</v>
      </c>
      <c r="DG60" s="99">
        <f t="shared" ref="DG60" si="263">DG59-DG56</f>
        <v>7566</v>
      </c>
      <c r="DH60" s="99">
        <f t="shared" ref="DH60" si="264">DH59-DH56</f>
        <v>6197</v>
      </c>
      <c r="DI60" s="99">
        <f t="shared" ref="DI60" si="265">DI59-DI56</f>
        <v>5654</v>
      </c>
      <c r="DJ60" s="238">
        <f t="shared" ref="DJ60" si="266">DJ59-DJ56</f>
        <v>5654</v>
      </c>
      <c r="DK60" s="99">
        <f>DK59-DK56</f>
        <v>7166</v>
      </c>
      <c r="DL60" s="99">
        <f t="shared" ref="DL60" si="267">DL59-DL56</f>
        <v>8026</v>
      </c>
      <c r="DM60" s="99">
        <f t="shared" ref="DM60" si="268">DM59-DM56</f>
        <v>8281.0881793199987</v>
      </c>
      <c r="DN60" s="99">
        <f t="shared" ref="DN60" si="269">DN59-DN56</f>
        <v>8780.8163586399987</v>
      </c>
      <c r="DO60" s="238">
        <f t="shared" ref="DO60:DU60" si="270">DO59-DO56</f>
        <v>8780.8163586399987</v>
      </c>
      <c r="DP60" s="99">
        <f>DP59-DP56</f>
        <v>9460.355764857999</v>
      </c>
      <c r="DQ60" s="99">
        <f t="shared" ref="DQ60:DT60" si="271">DQ59-DQ56</f>
        <v>10746.997171076</v>
      </c>
      <c r="DR60" s="99">
        <f t="shared" si="271"/>
        <v>11080.740577294</v>
      </c>
      <c r="DS60" s="99">
        <f t="shared" si="271"/>
        <v>10161.792983511999</v>
      </c>
      <c r="DT60" s="238">
        <f t="shared" si="271"/>
        <v>10161.792983511999</v>
      </c>
      <c r="DU60" s="238">
        <f t="shared" si="270"/>
        <v>11023.923702114798</v>
      </c>
      <c r="DV60" s="238">
        <f t="shared" ref="DV60" si="272">DV59-DV56</f>
        <v>11432.192708508017</v>
      </c>
    </row>
    <row r="61" spans="2:126" s="15" customFormat="1">
      <c r="B61" s="15" t="s">
        <v>116</v>
      </c>
      <c r="C61" s="96" t="e">
        <f>C59/(C59+C58)</f>
        <v>#REF!</v>
      </c>
      <c r="D61" s="96" t="e">
        <f t="shared" ref="D61:I61" si="273">D59/(D59+D58)</f>
        <v>#REF!</v>
      </c>
      <c r="E61" s="96" t="e">
        <f t="shared" si="273"/>
        <v>#REF!</v>
      </c>
      <c r="F61" s="96" t="e">
        <f t="shared" si="273"/>
        <v>#REF!</v>
      </c>
      <c r="G61" s="96" t="e">
        <f t="shared" si="273"/>
        <v>#REF!</v>
      </c>
      <c r="H61" s="96" t="e">
        <f t="shared" si="273"/>
        <v>#REF!</v>
      </c>
      <c r="I61" s="96" t="e">
        <f t="shared" si="273"/>
        <v>#REF!</v>
      </c>
      <c r="J61" s="94"/>
      <c r="K61" s="94"/>
      <c r="L61" s="94"/>
      <c r="M61" s="94"/>
      <c r="N61" s="96"/>
      <c r="O61" s="94"/>
      <c r="P61" s="94"/>
      <c r="Q61" s="94"/>
      <c r="R61" s="94"/>
      <c r="S61" s="96"/>
      <c r="T61" s="94"/>
      <c r="U61" s="94"/>
      <c r="V61" s="94"/>
      <c r="W61" s="94"/>
      <c r="X61" s="96"/>
      <c r="Y61" s="94"/>
      <c r="Z61" s="94"/>
      <c r="AA61" s="94"/>
      <c r="AB61" s="94"/>
      <c r="AC61" s="96"/>
      <c r="AD61" s="94"/>
      <c r="AE61" s="94"/>
      <c r="AF61" s="94"/>
      <c r="AG61" s="94"/>
      <c r="AH61" s="96"/>
      <c r="AI61" s="94"/>
      <c r="AJ61" s="94"/>
      <c r="AK61" s="94"/>
      <c r="AL61" s="94"/>
      <c r="AM61" s="96"/>
      <c r="AN61" s="94"/>
      <c r="AO61" s="94"/>
      <c r="AP61" s="94"/>
      <c r="AQ61" s="94"/>
      <c r="AR61" s="96"/>
      <c r="AS61" s="94"/>
      <c r="AT61" s="94"/>
      <c r="AU61" s="94"/>
      <c r="AV61" s="94"/>
      <c r="AW61" s="96"/>
      <c r="AX61" s="94"/>
      <c r="AY61" s="94"/>
      <c r="AZ61" s="94"/>
      <c r="BA61" s="94"/>
      <c r="BB61" s="96"/>
      <c r="BC61" s="94"/>
      <c r="BD61" s="94"/>
      <c r="BE61" s="94"/>
      <c r="BF61" s="94"/>
      <c r="BG61" s="96"/>
      <c r="BH61" s="94"/>
      <c r="BI61" s="94"/>
      <c r="BJ61" s="94"/>
      <c r="BK61" s="94"/>
      <c r="BL61" s="96"/>
      <c r="BM61" s="94"/>
      <c r="BN61" s="94"/>
      <c r="BO61" s="94"/>
      <c r="BP61" s="94"/>
      <c r="BQ61" s="96"/>
      <c r="BR61" s="94"/>
      <c r="BS61" s="94"/>
      <c r="BT61" s="94"/>
      <c r="BU61" s="94"/>
      <c r="BV61" s="96"/>
      <c r="BW61" s="94"/>
      <c r="BX61" s="94"/>
      <c r="BY61" s="94"/>
      <c r="BZ61" s="94"/>
      <c r="CA61" s="96"/>
      <c r="CB61" s="94"/>
      <c r="CC61" s="94"/>
      <c r="CD61" s="94"/>
      <c r="CE61" s="94"/>
      <c r="CF61" s="96"/>
      <c r="CG61" s="94"/>
      <c r="CH61" s="94"/>
      <c r="CI61" s="94"/>
      <c r="CJ61" s="94"/>
      <c r="CK61" s="353"/>
      <c r="CL61" s="94"/>
      <c r="CM61" s="94"/>
      <c r="CN61" s="94"/>
      <c r="CO61" s="94">
        <f t="shared" ref="CO61:CP61" si="274">CO59/(CO59+CO58)</f>
        <v>0.6689111952561263</v>
      </c>
      <c r="CP61" s="353">
        <f t="shared" si="274"/>
        <v>0.6689111952561263</v>
      </c>
      <c r="CQ61" s="94">
        <f t="shared" ref="CQ61" si="275">CQ59/(CQ59+CQ58)</f>
        <v>0.66995897137384874</v>
      </c>
      <c r="CR61" s="94">
        <f t="shared" ref="CR61:CT61" si="276">CR59/(CR59+CR58)</f>
        <v>0.64444917876454533</v>
      </c>
      <c r="CS61" s="94">
        <f t="shared" si="276"/>
        <v>0.61746310714881836</v>
      </c>
      <c r="CT61" s="94">
        <f t="shared" si="276"/>
        <v>0.45814995182166202</v>
      </c>
      <c r="CU61" s="353">
        <f t="shared" ref="CU61:CY61" si="277">CU59/(CU59+CU58)</f>
        <v>0.45814995182166202</v>
      </c>
      <c r="CV61" s="94">
        <f t="shared" si="277"/>
        <v>0.45503003409275394</v>
      </c>
      <c r="CW61" s="94">
        <f t="shared" si="277"/>
        <v>0.47498575831495304</v>
      </c>
      <c r="CX61" s="94">
        <f t="shared" si="277"/>
        <v>0.48144277661663182</v>
      </c>
      <c r="CY61" s="94">
        <f t="shared" si="277"/>
        <v>0.40798019365450816</v>
      </c>
      <c r="CZ61" s="353">
        <f t="shared" ref="CZ61:DE61" si="278">CZ59/(CZ59+CZ58)</f>
        <v>0.40798019365450816</v>
      </c>
      <c r="DA61" s="94">
        <f t="shared" si="278"/>
        <v>0.40586137610194956</v>
      </c>
      <c r="DB61" s="94">
        <f t="shared" si="278"/>
        <v>0.40225300092336103</v>
      </c>
      <c r="DC61" s="94">
        <f t="shared" si="278"/>
        <v>0.41105517717895568</v>
      </c>
      <c r="DD61" s="94">
        <f t="shared" si="278"/>
        <v>0.42313902793476504</v>
      </c>
      <c r="DE61" s="353">
        <f t="shared" si="278"/>
        <v>0.42313902793476504</v>
      </c>
      <c r="DF61" s="94">
        <f t="shared" ref="DF61:DP61" si="279">DF59/(DF59+DF58)</f>
        <v>0.39754018981212474</v>
      </c>
      <c r="DG61" s="94">
        <f t="shared" si="279"/>
        <v>0.51077474296396308</v>
      </c>
      <c r="DH61" s="94">
        <f t="shared" si="279"/>
        <v>0.51048072980729808</v>
      </c>
      <c r="DI61" s="94">
        <f t="shared" si="279"/>
        <v>0.49625357262404407</v>
      </c>
      <c r="DJ61" s="353">
        <f t="shared" si="279"/>
        <v>0.49625357262404407</v>
      </c>
      <c r="DK61" s="94">
        <f t="shared" ref="DK61" si="280">DK59/(DK59+DK58)</f>
        <v>0.50131919362688593</v>
      </c>
      <c r="DL61" s="94">
        <f t="shared" si="279"/>
        <v>0.49401025319104414</v>
      </c>
      <c r="DM61" s="94">
        <f t="shared" si="279"/>
        <v>0.54785846835955998</v>
      </c>
      <c r="DN61" s="94">
        <f t="shared" si="279"/>
        <v>0.549328682176356</v>
      </c>
      <c r="DO61" s="353">
        <f t="shared" si="279"/>
        <v>0.549328682176356</v>
      </c>
      <c r="DP61" s="94">
        <f t="shared" si="279"/>
        <v>0.57224277553592739</v>
      </c>
      <c r="DQ61" s="94">
        <f t="shared" ref="DQ61:DT61" si="281">DQ59/(DQ59+DQ58)</f>
        <v>0.57183324502064248</v>
      </c>
      <c r="DR61" s="94">
        <f t="shared" si="281"/>
        <v>0.58168105750925791</v>
      </c>
      <c r="DS61" s="94">
        <f t="shared" si="281"/>
        <v>0.55271372447751843</v>
      </c>
      <c r="DT61" s="353">
        <f t="shared" si="281"/>
        <v>0.55271372447751843</v>
      </c>
      <c r="DU61" s="353">
        <f t="shared" ref="DU61" si="282">DU59/(DU59+DU58)</f>
        <v>0.59487436408929284</v>
      </c>
      <c r="DV61" s="353">
        <f t="shared" ref="DV61" si="283">DV59/(DV59+DV58)</f>
        <v>0.59871180971665128</v>
      </c>
    </row>
    <row r="62" spans="2:126" s="15" customFormat="1">
      <c r="B62" s="15" t="s">
        <v>117</v>
      </c>
      <c r="C62" s="96" t="e">
        <f>C60/(C59+C58)</f>
        <v>#REF!</v>
      </c>
      <c r="D62" s="96" t="e">
        <f t="shared" ref="D62:I62" si="284">D60/(D59+D58)</f>
        <v>#REF!</v>
      </c>
      <c r="E62" s="96" t="e">
        <f t="shared" si="284"/>
        <v>#REF!</v>
      </c>
      <c r="F62" s="96" t="e">
        <f t="shared" si="284"/>
        <v>#REF!</v>
      </c>
      <c r="G62" s="96" t="e">
        <f t="shared" si="284"/>
        <v>#REF!</v>
      </c>
      <c r="H62" s="96" t="e">
        <f t="shared" si="284"/>
        <v>#REF!</v>
      </c>
      <c r="I62" s="96" t="e">
        <f t="shared" si="284"/>
        <v>#REF!</v>
      </c>
      <c r="J62" s="94"/>
      <c r="K62" s="94"/>
      <c r="L62" s="94"/>
      <c r="M62" s="94"/>
      <c r="N62" s="96"/>
      <c r="O62" s="94"/>
      <c r="P62" s="94"/>
      <c r="Q62" s="94"/>
      <c r="R62" s="94"/>
      <c r="S62" s="96"/>
      <c r="T62" s="94"/>
      <c r="U62" s="94"/>
      <c r="V62" s="94"/>
      <c r="W62" s="94"/>
      <c r="X62" s="96"/>
      <c r="Y62" s="94"/>
      <c r="Z62" s="94"/>
      <c r="AA62" s="94"/>
      <c r="AB62" s="94"/>
      <c r="AC62" s="96"/>
      <c r="AD62" s="94"/>
      <c r="AE62" s="94"/>
      <c r="AF62" s="94"/>
      <c r="AG62" s="94"/>
      <c r="AH62" s="96"/>
      <c r="AI62" s="94"/>
      <c r="AJ62" s="94"/>
      <c r="AK62" s="94"/>
      <c r="AL62" s="94"/>
      <c r="AM62" s="96"/>
      <c r="AN62" s="94"/>
      <c r="AO62" s="94"/>
      <c r="AP62" s="94"/>
      <c r="AQ62" s="94"/>
      <c r="AR62" s="96"/>
      <c r="AS62" s="94"/>
      <c r="AT62" s="94"/>
      <c r="AU62" s="94"/>
      <c r="AV62" s="94"/>
      <c r="AW62" s="96"/>
      <c r="AX62" s="94"/>
      <c r="AY62" s="94"/>
      <c r="AZ62" s="94"/>
      <c r="BA62" s="94"/>
      <c r="BB62" s="96"/>
      <c r="BC62" s="94"/>
      <c r="BD62" s="94"/>
      <c r="BE62" s="94"/>
      <c r="BF62" s="94"/>
      <c r="BG62" s="96"/>
      <c r="BH62" s="94"/>
      <c r="BI62" s="94"/>
      <c r="BJ62" s="94"/>
      <c r="BK62" s="94"/>
      <c r="BL62" s="96"/>
      <c r="BM62" s="94"/>
      <c r="BN62" s="94"/>
      <c r="BO62" s="94"/>
      <c r="BP62" s="94"/>
      <c r="BQ62" s="96"/>
      <c r="BR62" s="94"/>
      <c r="BS62" s="94"/>
      <c r="BT62" s="94"/>
      <c r="BU62" s="94"/>
      <c r="BV62" s="96"/>
      <c r="BW62" s="94"/>
      <c r="BX62" s="94"/>
      <c r="BY62" s="94"/>
      <c r="BZ62" s="94"/>
      <c r="CA62" s="96"/>
      <c r="CB62" s="94"/>
      <c r="CC62" s="94"/>
      <c r="CD62" s="94"/>
      <c r="CE62" s="94"/>
      <c r="CF62" s="96"/>
      <c r="CG62" s="94"/>
      <c r="CH62" s="94"/>
      <c r="CI62" s="94"/>
      <c r="CJ62" s="94"/>
      <c r="CK62" s="353"/>
      <c r="CL62" s="94"/>
      <c r="CM62" s="94"/>
      <c r="CN62" s="94"/>
      <c r="CO62" s="94">
        <f t="shared" ref="CO62:CP62" si="285">CO60/(CO59+CO58)</f>
        <v>0.3426805744088019</v>
      </c>
      <c r="CP62" s="353">
        <f t="shared" si="285"/>
        <v>0.3426805744088019</v>
      </c>
      <c r="CQ62" s="94">
        <f t="shared" ref="CQ62" si="286">CQ60/(CQ59+CQ58)</f>
        <v>0.37155786726253626</v>
      </c>
      <c r="CR62" s="94">
        <f t="shared" ref="CR62:CT62" si="287">CR60/(CR59+CR58)</f>
        <v>0.41659311562224183</v>
      </c>
      <c r="CS62" s="94">
        <f t="shared" si="287"/>
        <v>0.37244351932763209</v>
      </c>
      <c r="CT62" s="94">
        <f t="shared" si="287"/>
        <v>0.25280606265788169</v>
      </c>
      <c r="CU62" s="353">
        <f t="shared" ref="CU62:CY62" si="288">CU60/(CU59+CU58)</f>
        <v>0.25280606265788169</v>
      </c>
      <c r="CV62" s="94">
        <f t="shared" si="288"/>
        <v>0.2812922777206559</v>
      </c>
      <c r="CW62" s="94">
        <f t="shared" si="288"/>
        <v>0.28232132162837237</v>
      </c>
      <c r="CX62" s="94">
        <f t="shared" si="288"/>
        <v>0.28201596047881439</v>
      </c>
      <c r="CY62" s="94">
        <f t="shared" si="288"/>
        <v>0.13988231503620424</v>
      </c>
      <c r="CZ62" s="353">
        <f t="shared" ref="CZ62:DE62" si="289">CZ60/(CZ59+CZ58)</f>
        <v>0.13988231503620424</v>
      </c>
      <c r="DA62" s="94">
        <f t="shared" si="289"/>
        <v>0.18862118277428813</v>
      </c>
      <c r="DB62" s="94">
        <f t="shared" si="289"/>
        <v>0.16650046168051708</v>
      </c>
      <c r="DC62" s="94">
        <f t="shared" si="289"/>
        <v>0.15190997927154279</v>
      </c>
      <c r="DD62" s="94">
        <f t="shared" si="289"/>
        <v>8.067576295817859E-2</v>
      </c>
      <c r="DE62" s="353">
        <f t="shared" si="289"/>
        <v>8.067576295817859E-2</v>
      </c>
      <c r="DF62" s="94">
        <f t="shared" ref="DF62:DP62" si="290">DF60/(DF59+DF58)</f>
        <v>4.0247917877203179E-2</v>
      </c>
      <c r="DG62" s="94">
        <f t="shared" si="290"/>
        <v>0.19643784401287775</v>
      </c>
      <c r="DH62" s="94">
        <f t="shared" si="290"/>
        <v>0.15879971299712997</v>
      </c>
      <c r="DI62" s="94">
        <f t="shared" si="290"/>
        <v>0.14558282050621829</v>
      </c>
      <c r="DJ62" s="353">
        <f t="shared" si="290"/>
        <v>0.14558282050621829</v>
      </c>
      <c r="DK62" s="94">
        <f t="shared" ref="DK62" si="291">DK60/(DK59+DK58)</f>
        <v>0.18356002971387586</v>
      </c>
      <c r="DL62" s="94">
        <f t="shared" si="290"/>
        <v>0.20992885540908141</v>
      </c>
      <c r="DM62" s="94">
        <f t="shared" si="290"/>
        <v>0.24021095389806277</v>
      </c>
      <c r="DN62" s="94">
        <f t="shared" si="290"/>
        <v>0.2553901773031344</v>
      </c>
      <c r="DO62" s="353">
        <f t="shared" si="290"/>
        <v>0.2553901773031344</v>
      </c>
      <c r="DP62" s="94">
        <f t="shared" si="290"/>
        <v>0.28663208770263421</v>
      </c>
      <c r="DQ62" s="94">
        <f t="shared" ref="DQ62:DT62" si="292">DQ60/(DQ59+DQ58)</f>
        <v>0.32538202290274021</v>
      </c>
      <c r="DR62" s="94">
        <f t="shared" si="292"/>
        <v>0.34126419743665587</v>
      </c>
      <c r="DS62" s="94">
        <f t="shared" si="292"/>
        <v>0.2973771613960095</v>
      </c>
      <c r="DT62" s="353">
        <f t="shared" si="292"/>
        <v>0.2973771613960095</v>
      </c>
      <c r="DU62" s="353">
        <f t="shared" ref="DU62" si="293">DU60/(DU59+DU58)</f>
        <v>0.34721499454992449</v>
      </c>
      <c r="DV62" s="353">
        <f t="shared" ref="DV62" si="294">DV60/(DV59+DV58)</f>
        <v>0.36239682244614496</v>
      </c>
    </row>
    <row r="63" spans="2:126" s="15" customFormat="1">
      <c r="C63" s="96"/>
      <c r="D63" s="96"/>
      <c r="E63" s="96"/>
      <c r="F63" s="96"/>
      <c r="G63" s="96"/>
      <c r="H63" s="96"/>
      <c r="I63" s="96"/>
      <c r="J63" s="94"/>
      <c r="K63" s="94"/>
      <c r="L63" s="94"/>
      <c r="M63" s="94"/>
      <c r="N63" s="96"/>
      <c r="O63" s="94"/>
      <c r="P63" s="94"/>
      <c r="Q63" s="94"/>
      <c r="R63" s="94"/>
      <c r="S63" s="96"/>
      <c r="T63" s="94"/>
      <c r="U63" s="94"/>
      <c r="V63" s="94"/>
      <c r="W63" s="94"/>
      <c r="X63" s="96"/>
      <c r="Y63" s="94"/>
      <c r="Z63" s="94"/>
      <c r="AA63" s="94"/>
      <c r="AB63" s="94"/>
      <c r="AC63" s="96"/>
      <c r="AD63" s="94"/>
      <c r="AE63" s="94"/>
      <c r="AF63" s="94"/>
      <c r="AG63" s="94"/>
      <c r="AH63" s="96"/>
      <c r="AI63" s="94"/>
      <c r="AJ63" s="94"/>
      <c r="AK63" s="94"/>
      <c r="AL63" s="94"/>
      <c r="AM63" s="16"/>
      <c r="AN63" s="94"/>
      <c r="AO63" s="95"/>
      <c r="AP63" s="95"/>
      <c r="AQ63" s="94"/>
      <c r="AR63" s="96"/>
      <c r="AS63" s="94"/>
      <c r="AT63" s="94"/>
      <c r="AU63" s="95"/>
      <c r="AV63" s="95"/>
      <c r="AW63" s="96"/>
      <c r="AX63" s="94"/>
      <c r="AY63" s="95"/>
      <c r="AZ63" s="95"/>
      <c r="BA63" s="94"/>
      <c r="BB63" s="96"/>
      <c r="BC63" s="94"/>
      <c r="BD63" s="94"/>
      <c r="BE63" s="95"/>
      <c r="BF63" s="95"/>
      <c r="BG63" s="96"/>
      <c r="BH63" s="94"/>
      <c r="BI63" s="95"/>
      <c r="BJ63" s="95"/>
      <c r="BK63" s="94"/>
      <c r="BL63" s="96"/>
      <c r="BM63" s="94"/>
      <c r="BN63" s="95"/>
      <c r="BO63" s="95"/>
      <c r="BP63" s="94"/>
      <c r="BQ63" s="96"/>
      <c r="BR63" s="95"/>
      <c r="BS63" s="95"/>
      <c r="BT63" s="95"/>
      <c r="BU63" s="95"/>
      <c r="BV63" s="96"/>
      <c r="BW63" s="95"/>
      <c r="BX63" s="95"/>
      <c r="BY63" s="95"/>
      <c r="BZ63" s="95"/>
      <c r="CA63" s="96"/>
      <c r="CB63" s="95"/>
      <c r="CC63" s="95"/>
      <c r="CD63" s="95"/>
      <c r="CE63" s="95"/>
      <c r="CF63" s="96"/>
      <c r="CG63" s="95"/>
      <c r="CH63" s="95"/>
      <c r="CI63" s="95"/>
      <c r="CJ63" s="95"/>
      <c r="CK63" s="353"/>
      <c r="CL63" s="95"/>
      <c r="CM63" s="95"/>
      <c r="CN63" s="95"/>
      <c r="CO63" s="95"/>
      <c r="CP63" s="353"/>
      <c r="CQ63" s="95"/>
      <c r="CR63" s="95"/>
      <c r="CS63" s="95"/>
      <c r="CT63" s="95"/>
      <c r="CU63" s="353"/>
      <c r="CV63" s="95"/>
      <c r="CW63" s="95"/>
      <c r="CX63" s="95"/>
      <c r="CY63" s="95"/>
      <c r="CZ63" s="353"/>
      <c r="DA63" s="95"/>
      <c r="DB63" s="95"/>
      <c r="DC63" s="95"/>
      <c r="DD63" s="95"/>
      <c r="DE63" s="353"/>
      <c r="DF63" s="95"/>
      <c r="DG63" s="95"/>
      <c r="DH63" s="95"/>
      <c r="DI63" s="95"/>
      <c r="DJ63" s="353"/>
      <c r="DK63" s="95"/>
      <c r="DL63" s="95"/>
      <c r="DM63" s="95"/>
      <c r="DN63" s="95"/>
      <c r="DO63" s="96"/>
      <c r="DP63" s="95"/>
      <c r="DQ63" s="95"/>
      <c r="DR63" s="95"/>
      <c r="DS63" s="95"/>
      <c r="DT63" s="96"/>
      <c r="DU63" s="96"/>
      <c r="DV63" s="96"/>
    </row>
    <row r="64" spans="2:126" s="15" customFormat="1">
      <c r="B64" s="15" t="s">
        <v>192</v>
      </c>
      <c r="C64" s="102">
        <f t="shared" ref="C64:I64" si="295">IF(C53&gt;0,C58,C58-C53)</f>
        <v>0</v>
      </c>
      <c r="D64" s="102">
        <f t="shared" si="295"/>
        <v>0</v>
      </c>
      <c r="E64" s="102">
        <f t="shared" si="295"/>
        <v>0</v>
      </c>
      <c r="F64" s="102">
        <f t="shared" si="295"/>
        <v>0</v>
      </c>
      <c r="G64" s="102">
        <f t="shared" si="295"/>
        <v>0</v>
      </c>
      <c r="H64" s="102">
        <f t="shared" si="295"/>
        <v>0</v>
      </c>
      <c r="I64" s="102">
        <f t="shared" si="295"/>
        <v>0</v>
      </c>
      <c r="J64" s="44"/>
      <c r="K64" s="100"/>
      <c r="L64" s="100"/>
      <c r="M64" s="14"/>
      <c r="N64" s="102"/>
      <c r="O64" s="44"/>
      <c r="P64" s="100"/>
      <c r="Q64" s="100"/>
      <c r="R64" s="14"/>
      <c r="S64" s="102"/>
      <c r="T64" s="44"/>
      <c r="U64" s="100"/>
      <c r="V64" s="100"/>
      <c r="W64" s="14"/>
      <c r="X64" s="102"/>
      <c r="Y64" s="44"/>
      <c r="Z64" s="100"/>
      <c r="AA64" s="100"/>
      <c r="AB64" s="14"/>
      <c r="AC64" s="102"/>
      <c r="AD64" s="44"/>
      <c r="AE64" s="100"/>
      <c r="AF64" s="100"/>
      <c r="AG64" s="14"/>
      <c r="AH64" s="102"/>
      <c r="AI64" s="44"/>
      <c r="AJ64" s="100"/>
      <c r="AK64" s="100"/>
      <c r="AL64" s="14"/>
      <c r="AM64" s="102"/>
      <c r="AN64" s="44"/>
      <c r="AO64" s="100"/>
      <c r="AP64" s="100"/>
      <c r="AQ64" s="14"/>
      <c r="AR64" s="102"/>
      <c r="AS64" s="44"/>
      <c r="AT64" s="100"/>
      <c r="AU64" s="100"/>
      <c r="AV64" s="100"/>
      <c r="AW64" s="102"/>
      <c r="AX64" s="44"/>
      <c r="AY64" s="100"/>
      <c r="AZ64" s="100"/>
      <c r="BA64" s="14"/>
      <c r="BB64" s="102"/>
      <c r="BC64" s="44"/>
      <c r="BD64" s="100"/>
      <c r="BE64" s="100"/>
      <c r="BF64" s="100"/>
      <c r="BG64" s="102"/>
      <c r="BH64" s="44"/>
      <c r="BI64" s="100"/>
      <c r="BJ64" s="100"/>
      <c r="BK64" s="14"/>
      <c r="BL64" s="102"/>
      <c r="BM64" s="100"/>
      <c r="BN64" s="100"/>
      <c r="BO64" s="100"/>
      <c r="BP64" s="14"/>
      <c r="BQ64" s="102"/>
      <c r="BR64" s="100"/>
      <c r="BS64" s="100"/>
      <c r="BT64" s="100"/>
      <c r="BU64" s="100"/>
      <c r="BV64" s="102"/>
      <c r="BW64" s="100"/>
      <c r="BX64" s="100"/>
      <c r="BY64" s="100"/>
      <c r="BZ64" s="100"/>
      <c r="CA64" s="102"/>
      <c r="CB64" s="100"/>
      <c r="CC64" s="100"/>
      <c r="CD64" s="100"/>
      <c r="CE64" s="100"/>
      <c r="CF64" s="102"/>
      <c r="CG64" s="100"/>
      <c r="CH64" s="100"/>
      <c r="CI64" s="100"/>
      <c r="CJ64" s="100"/>
      <c r="CK64" s="238"/>
      <c r="CL64" s="100"/>
      <c r="CM64" s="100"/>
      <c r="CN64" s="100"/>
      <c r="CO64" s="100">
        <f t="shared" ref="CO64:CP64" si="296">IF(CO53&gt;0,CO58,CO58-CO53)</f>
        <v>37074</v>
      </c>
      <c r="CP64" s="238">
        <f t="shared" si="296"/>
        <v>37074</v>
      </c>
      <c r="CQ64" s="100">
        <f t="shared" ref="CQ64" si="297">IF(CQ53&gt;0,CQ58,CQ58-CQ53)</f>
        <v>35153</v>
      </c>
      <c r="CR64" s="100">
        <f t="shared" ref="CR64:CT64" si="298">IF(CR53&gt;0,CR58,CR58-CR53)</f>
        <v>35047</v>
      </c>
      <c r="CS64" s="100">
        <f t="shared" si="298"/>
        <v>38961</v>
      </c>
      <c r="CT64" s="100">
        <f t="shared" si="298"/>
        <v>41613</v>
      </c>
      <c r="CU64" s="238">
        <f t="shared" ref="CU64:CY64" si="299">IF(CU53&gt;0,CU58,CU58-CU53)</f>
        <v>41613</v>
      </c>
      <c r="CV64" s="100">
        <f t="shared" si="299"/>
        <v>40282</v>
      </c>
      <c r="CW64" s="100">
        <f t="shared" si="299"/>
        <v>35943</v>
      </c>
      <c r="CX64" s="100">
        <f t="shared" si="299"/>
        <v>32750</v>
      </c>
      <c r="CY64" s="100">
        <f t="shared" si="299"/>
        <v>34912</v>
      </c>
      <c r="CZ64" s="238">
        <f t="shared" ref="CZ64:DE64" si="300">IF(CZ53&gt;0,CZ58,CZ58-CZ53)</f>
        <v>34912</v>
      </c>
      <c r="DA64" s="100">
        <f t="shared" si="300"/>
        <v>32822</v>
      </c>
      <c r="DB64" s="100">
        <f t="shared" si="300"/>
        <v>32368</v>
      </c>
      <c r="DC64" s="100">
        <f t="shared" si="300"/>
        <v>29833</v>
      </c>
      <c r="DD64" s="100">
        <f t="shared" si="300"/>
        <v>28580</v>
      </c>
      <c r="DE64" s="238">
        <f t="shared" si="300"/>
        <v>28580</v>
      </c>
      <c r="DF64" s="100">
        <f t="shared" ref="DF64:DI64" si="301">IF(DF53&gt;0,DF58,DF58-DF53)</f>
        <v>31105</v>
      </c>
      <c r="DG64" s="100">
        <f t="shared" si="301"/>
        <v>18843</v>
      </c>
      <c r="DH64" s="100">
        <f t="shared" si="301"/>
        <v>19103</v>
      </c>
      <c r="DI64" s="100">
        <f t="shared" si="301"/>
        <v>19564</v>
      </c>
      <c r="DJ64" s="238">
        <f t="shared" ref="DJ64:DN64" si="302">IF(DJ53&gt;0,DJ58,DJ58-DJ53)</f>
        <v>19564</v>
      </c>
      <c r="DK64" s="100">
        <f t="shared" si="302"/>
        <v>19468</v>
      </c>
      <c r="DL64" s="100">
        <f t="shared" si="302"/>
        <v>19345</v>
      </c>
      <c r="DM64" s="100">
        <f t="shared" si="302"/>
        <v>15587.232106976298</v>
      </c>
      <c r="DN64" s="100">
        <f t="shared" si="302"/>
        <v>15494.965866360013</v>
      </c>
      <c r="DO64" s="102">
        <f t="shared" ref="DO64:DS64" si="303">IF(DO53&gt;0,DO58,DO58-DO53)</f>
        <v>15494.965866360013</v>
      </c>
      <c r="DP64" s="100">
        <f t="shared" si="303"/>
        <v>14118.22227180867</v>
      </c>
      <c r="DQ64" s="100">
        <f t="shared" si="303"/>
        <v>14141.85966225731</v>
      </c>
      <c r="DR64" s="100">
        <f t="shared" si="303"/>
        <v>13582.68378319488</v>
      </c>
      <c r="DS64" s="100">
        <f t="shared" si="303"/>
        <v>15284.396807368816</v>
      </c>
      <c r="DT64" s="102">
        <f t="shared" ref="DT64" si="304">IF(DT53&gt;0,DT58,DT58-DT53)</f>
        <v>15284.396807368816</v>
      </c>
      <c r="DU64" s="102">
        <f t="shared" ref="DU64:DV64" si="305">IF(DU53&gt;0,DU58,DU58-DU53)</f>
        <v>12862.561151310583</v>
      </c>
      <c r="DV64" s="102">
        <f t="shared" si="305"/>
        <v>12659.062218045336</v>
      </c>
    </row>
    <row r="65" spans="2:126" s="15" customFormat="1">
      <c r="B65" s="15" t="s">
        <v>193</v>
      </c>
      <c r="C65" s="102" t="e">
        <f t="shared" ref="C65:I65" si="306">IF(C52&gt;0,C59,C59-C52)</f>
        <v>#REF!</v>
      </c>
      <c r="D65" s="102" t="e">
        <f t="shared" si="306"/>
        <v>#REF!</v>
      </c>
      <c r="E65" s="102" t="e">
        <f t="shared" si="306"/>
        <v>#REF!</v>
      </c>
      <c r="F65" s="102" t="e">
        <f t="shared" si="306"/>
        <v>#REF!</v>
      </c>
      <c r="G65" s="102" t="e">
        <f t="shared" si="306"/>
        <v>#REF!</v>
      </c>
      <c r="H65" s="102" t="e">
        <f t="shared" si="306"/>
        <v>#REF!</v>
      </c>
      <c r="I65" s="102" t="e">
        <f t="shared" si="306"/>
        <v>#REF!</v>
      </c>
      <c r="J65" s="100"/>
      <c r="K65" s="100"/>
      <c r="L65" s="100"/>
      <c r="M65" s="100"/>
      <c r="N65" s="102"/>
      <c r="O65" s="100"/>
      <c r="P65" s="100"/>
      <c r="Q65" s="100"/>
      <c r="R65" s="100"/>
      <c r="S65" s="102"/>
      <c r="T65" s="100"/>
      <c r="U65" s="100"/>
      <c r="V65" s="100"/>
      <c r="W65" s="100"/>
      <c r="X65" s="102"/>
      <c r="Y65" s="100"/>
      <c r="Z65" s="100"/>
      <c r="AA65" s="100"/>
      <c r="AB65" s="100"/>
      <c r="AC65" s="102"/>
      <c r="AD65" s="100"/>
      <c r="AE65" s="100"/>
      <c r="AF65" s="100"/>
      <c r="AG65" s="100"/>
      <c r="AH65" s="102"/>
      <c r="AI65" s="100"/>
      <c r="AJ65" s="100"/>
      <c r="AK65" s="100"/>
      <c r="AL65" s="100"/>
      <c r="AM65" s="102"/>
      <c r="AN65" s="100"/>
      <c r="AO65" s="100"/>
      <c r="AP65" s="100"/>
      <c r="AQ65" s="100"/>
      <c r="AR65" s="102"/>
      <c r="AS65" s="100"/>
      <c r="AT65" s="100"/>
      <c r="AU65" s="100"/>
      <c r="AV65" s="100"/>
      <c r="AW65" s="102"/>
      <c r="AX65" s="100"/>
      <c r="AY65" s="100"/>
      <c r="AZ65" s="100"/>
      <c r="BA65" s="100"/>
      <c r="BB65" s="102"/>
      <c r="BC65" s="44"/>
      <c r="BD65" s="100"/>
      <c r="BE65" s="100"/>
      <c r="BF65" s="100"/>
      <c r="BG65" s="102"/>
      <c r="BH65" s="100"/>
      <c r="BI65" s="100"/>
      <c r="BJ65" s="100"/>
      <c r="BK65" s="100"/>
      <c r="BL65" s="102"/>
      <c r="BM65" s="100"/>
      <c r="BN65" s="100"/>
      <c r="BO65" s="100"/>
      <c r="BP65" s="100"/>
      <c r="BQ65" s="102"/>
      <c r="BR65" s="100"/>
      <c r="BS65" s="100"/>
      <c r="BT65" s="100"/>
      <c r="BU65" s="100"/>
      <c r="BV65" s="102"/>
      <c r="BW65" s="100"/>
      <c r="BX65" s="100"/>
      <c r="BY65" s="100"/>
      <c r="BZ65" s="100"/>
      <c r="CA65" s="102"/>
      <c r="CB65" s="100"/>
      <c r="CC65" s="100"/>
      <c r="CD65" s="100"/>
      <c r="CE65" s="100"/>
      <c r="CF65" s="102"/>
      <c r="CG65" s="100"/>
      <c r="CH65" s="100"/>
      <c r="CI65" s="100"/>
      <c r="CJ65" s="100"/>
      <c r="CK65" s="238"/>
      <c r="CL65" s="100"/>
      <c r="CM65" s="100"/>
      <c r="CN65" s="100"/>
      <c r="CO65" s="100">
        <f t="shared" ref="CO65:CP65" si="307">IF(CO52&gt;0,CO59,CO59-CO52)</f>
        <v>74902</v>
      </c>
      <c r="CP65" s="238">
        <f t="shared" si="307"/>
        <v>74902</v>
      </c>
      <c r="CQ65" s="100">
        <f t="shared" ref="CQ65" si="308">IF(CQ52&gt;0,CQ59,CQ59-CQ52)</f>
        <v>71358</v>
      </c>
      <c r="CR65" s="100">
        <f t="shared" ref="CR65:CT65" si="309">IF(CR52&gt;0,CR59,CR59-CR52)</f>
        <v>63524</v>
      </c>
      <c r="CS65" s="100">
        <f t="shared" si="309"/>
        <v>62888</v>
      </c>
      <c r="CT65" s="100">
        <f t="shared" si="309"/>
        <v>35185</v>
      </c>
      <c r="CU65" s="238">
        <f t="shared" ref="CU65:CY65" si="310">IF(CU52&gt;0,CU59,CU59-CU52)</f>
        <v>35185</v>
      </c>
      <c r="CV65" s="100">
        <f t="shared" si="310"/>
        <v>33634</v>
      </c>
      <c r="CW65" s="100">
        <f t="shared" si="310"/>
        <v>32518</v>
      </c>
      <c r="CX65" s="100">
        <f t="shared" si="310"/>
        <v>30406</v>
      </c>
      <c r="CY65" s="100">
        <f t="shared" si="310"/>
        <v>24059</v>
      </c>
      <c r="CZ65" s="238">
        <f t="shared" ref="CZ65:DE65" si="311">IF(CZ52&gt;0,CZ59,CZ59-CZ52)</f>
        <v>24059</v>
      </c>
      <c r="DA65" s="100">
        <f t="shared" si="311"/>
        <v>22421</v>
      </c>
      <c r="DB65" s="100">
        <f t="shared" si="311"/>
        <v>21782</v>
      </c>
      <c r="DC65" s="100">
        <f t="shared" si="311"/>
        <v>20822</v>
      </c>
      <c r="DD65" s="100">
        <f t="shared" si="311"/>
        <v>20964</v>
      </c>
      <c r="DE65" s="238">
        <f t="shared" si="311"/>
        <v>20964</v>
      </c>
      <c r="DF65" s="100">
        <f t="shared" ref="DF65:DI65" si="312">IF(DF52&gt;0,DF59,DF59-DF52)</f>
        <v>20525</v>
      </c>
      <c r="DG65" s="100">
        <f t="shared" si="312"/>
        <v>19673</v>
      </c>
      <c r="DH65" s="100">
        <f t="shared" si="312"/>
        <v>19921</v>
      </c>
      <c r="DI65" s="100">
        <f t="shared" si="312"/>
        <v>19273</v>
      </c>
      <c r="DJ65" s="238">
        <f t="shared" ref="DJ65:DN65" si="313">IF(DJ52&gt;0,DJ59,DJ59-DJ52)</f>
        <v>19273</v>
      </c>
      <c r="DK65" s="100">
        <f t="shared" si="313"/>
        <v>19571</v>
      </c>
      <c r="DL65" s="100">
        <f t="shared" si="313"/>
        <v>18887</v>
      </c>
      <c r="DM65" s="100">
        <f t="shared" si="313"/>
        <v>18887</v>
      </c>
      <c r="DN65" s="100">
        <f t="shared" si="313"/>
        <v>18887</v>
      </c>
      <c r="DO65" s="102">
        <f t="shared" ref="DO65:DS65" si="314">IF(DO52&gt;0,DO59,DO59-DO52)</f>
        <v>18887</v>
      </c>
      <c r="DP65" s="100">
        <f t="shared" si="314"/>
        <v>18887</v>
      </c>
      <c r="DQ65" s="100">
        <f t="shared" si="314"/>
        <v>18887</v>
      </c>
      <c r="DR65" s="100">
        <f t="shared" si="314"/>
        <v>18887</v>
      </c>
      <c r="DS65" s="100">
        <f t="shared" si="314"/>
        <v>18887</v>
      </c>
      <c r="DT65" s="102">
        <f t="shared" ref="DT65" si="315">IF(DT52&gt;0,DT59,DT59-DT52)</f>
        <v>18887</v>
      </c>
      <c r="DU65" s="102">
        <f t="shared" ref="DU65:DV65" si="316">IF(DU52&gt;0,DU59,DU59-DU52)</f>
        <v>18887</v>
      </c>
      <c r="DV65" s="102">
        <f t="shared" si="316"/>
        <v>18887</v>
      </c>
    </row>
    <row r="66" spans="2:126" s="15" customFormat="1">
      <c r="B66" s="15" t="s">
        <v>115</v>
      </c>
      <c r="C66" s="102" t="e">
        <f>C65-C56</f>
        <v>#REF!</v>
      </c>
      <c r="D66" s="102" t="e">
        <f t="shared" ref="D66:I66" si="317">D65-D56</f>
        <v>#REF!</v>
      </c>
      <c r="E66" s="102" t="e">
        <f t="shared" si="317"/>
        <v>#REF!</v>
      </c>
      <c r="F66" s="102" t="e">
        <f t="shared" si="317"/>
        <v>#REF!</v>
      </c>
      <c r="G66" s="102" t="e">
        <f t="shared" si="317"/>
        <v>#REF!</v>
      </c>
      <c r="H66" s="102" t="e">
        <f>H65-H56</f>
        <v>#REF!</v>
      </c>
      <c r="I66" s="102" t="e">
        <f t="shared" si="317"/>
        <v>#REF!</v>
      </c>
      <c r="J66" s="99"/>
      <c r="K66" s="99"/>
      <c r="L66" s="99"/>
      <c r="M66" s="99"/>
      <c r="N66" s="102"/>
      <c r="O66" s="99"/>
      <c r="P66" s="99"/>
      <c r="Q66" s="99"/>
      <c r="R66" s="99"/>
      <c r="S66" s="102"/>
      <c r="T66" s="99"/>
      <c r="U66" s="99"/>
      <c r="V66" s="99"/>
      <c r="W66" s="99"/>
      <c r="X66" s="102"/>
      <c r="Y66" s="99"/>
      <c r="Z66" s="99"/>
      <c r="AA66" s="99"/>
      <c r="AB66" s="99"/>
      <c r="AC66" s="102"/>
      <c r="AD66" s="99"/>
      <c r="AE66" s="100"/>
      <c r="AF66" s="100"/>
      <c r="AG66" s="99"/>
      <c r="AH66" s="102"/>
      <c r="AI66" s="99"/>
      <c r="AJ66" s="99"/>
      <c r="AK66" s="99"/>
      <c r="AL66" s="99"/>
      <c r="AM66" s="102"/>
      <c r="AN66" s="99"/>
      <c r="AO66" s="99"/>
      <c r="AP66" s="99"/>
      <c r="AQ66" s="99"/>
      <c r="AR66" s="102"/>
      <c r="AS66" s="99"/>
      <c r="AT66" s="99"/>
      <c r="AU66" s="100"/>
      <c r="AV66" s="100"/>
      <c r="AW66" s="102"/>
      <c r="AX66" s="99"/>
      <c r="AY66" s="100"/>
      <c r="AZ66" s="100"/>
      <c r="BA66" s="99"/>
      <c r="BB66" s="102"/>
      <c r="BC66" s="99"/>
      <c r="BD66" s="99"/>
      <c r="BE66" s="100"/>
      <c r="BF66" s="100"/>
      <c r="BG66" s="102"/>
      <c r="BH66" s="99"/>
      <c r="BI66" s="100"/>
      <c r="BJ66" s="100"/>
      <c r="BK66" s="99"/>
      <c r="BL66" s="102"/>
      <c r="BM66" s="99"/>
      <c r="BN66" s="99"/>
      <c r="BO66" s="100"/>
      <c r="BP66" s="99"/>
      <c r="BQ66" s="102"/>
      <c r="BR66" s="100"/>
      <c r="BS66" s="100"/>
      <c r="BT66" s="100"/>
      <c r="BU66" s="100"/>
      <c r="BV66" s="102"/>
      <c r="BW66" s="100"/>
      <c r="BX66" s="100"/>
      <c r="BY66" s="100"/>
      <c r="BZ66" s="100"/>
      <c r="CA66" s="102"/>
      <c r="CB66" s="100"/>
      <c r="CC66" s="100"/>
      <c r="CD66" s="100"/>
      <c r="CE66" s="100"/>
      <c r="CF66" s="102"/>
      <c r="CG66" s="100"/>
      <c r="CH66" s="100"/>
      <c r="CI66" s="100"/>
      <c r="CJ66" s="100"/>
      <c r="CK66" s="238"/>
      <c r="CL66" s="100"/>
      <c r="CM66" s="100"/>
      <c r="CN66" s="100"/>
      <c r="CO66" s="100">
        <f t="shared" ref="CO66:CP66" si="318">CO65-CO56</f>
        <v>38372</v>
      </c>
      <c r="CP66" s="238">
        <f t="shared" si="318"/>
        <v>38372</v>
      </c>
      <c r="CQ66" s="100">
        <f t="shared" ref="CQ66" si="319">CQ65-CQ56</f>
        <v>39575</v>
      </c>
      <c r="CR66" s="100">
        <f t="shared" ref="CR66:CT66" si="320">CR65-CR56</f>
        <v>41064</v>
      </c>
      <c r="CS66" s="100">
        <f t="shared" si="320"/>
        <v>37933</v>
      </c>
      <c r="CT66" s="100">
        <f t="shared" si="320"/>
        <v>19415</v>
      </c>
      <c r="CU66" s="238">
        <f t="shared" ref="CU66:CY66" si="321">CU65-CU56</f>
        <v>19415</v>
      </c>
      <c r="CV66" s="100">
        <f t="shared" si="321"/>
        <v>20792</v>
      </c>
      <c r="CW66" s="100">
        <f t="shared" si="321"/>
        <v>19328</v>
      </c>
      <c r="CX66" s="100">
        <f t="shared" si="321"/>
        <v>17811</v>
      </c>
      <c r="CY66" s="100">
        <f t="shared" si="321"/>
        <v>8249</v>
      </c>
      <c r="CZ66" s="238">
        <f t="shared" ref="CZ66:DE66" si="322">CZ65-CZ56</f>
        <v>8249</v>
      </c>
      <c r="DA66" s="100">
        <f t="shared" si="322"/>
        <v>10420</v>
      </c>
      <c r="DB66" s="100">
        <f t="shared" si="322"/>
        <v>9016</v>
      </c>
      <c r="DC66" s="100">
        <f t="shared" si="322"/>
        <v>7695</v>
      </c>
      <c r="DD66" s="100">
        <f t="shared" si="322"/>
        <v>3997</v>
      </c>
      <c r="DE66" s="238">
        <f t="shared" si="322"/>
        <v>3997</v>
      </c>
      <c r="DF66" s="100">
        <f t="shared" ref="DF66:DI66" si="323">DF65-DF56</f>
        <v>2078</v>
      </c>
      <c r="DG66" s="100">
        <f t="shared" si="323"/>
        <v>7566</v>
      </c>
      <c r="DH66" s="100">
        <f t="shared" si="323"/>
        <v>6197</v>
      </c>
      <c r="DI66" s="100">
        <f t="shared" si="323"/>
        <v>5654</v>
      </c>
      <c r="DJ66" s="238">
        <f t="shared" ref="DJ66:DN66" si="324">DJ65-DJ56</f>
        <v>5654</v>
      </c>
      <c r="DK66" s="100">
        <f t="shared" si="324"/>
        <v>7166</v>
      </c>
      <c r="DL66" s="100">
        <f t="shared" si="324"/>
        <v>8026</v>
      </c>
      <c r="DM66" s="100">
        <f t="shared" si="324"/>
        <v>8281.0881793199987</v>
      </c>
      <c r="DN66" s="100">
        <f t="shared" si="324"/>
        <v>8780.8163586399987</v>
      </c>
      <c r="DO66" s="102">
        <f t="shared" ref="DO66:DS66" si="325">DO65-DO56</f>
        <v>8780.8163586399987</v>
      </c>
      <c r="DP66" s="100">
        <f t="shared" si="325"/>
        <v>9460.355764857999</v>
      </c>
      <c r="DQ66" s="100">
        <f t="shared" si="325"/>
        <v>10746.997171076</v>
      </c>
      <c r="DR66" s="100">
        <f t="shared" si="325"/>
        <v>11080.740577294</v>
      </c>
      <c r="DS66" s="100">
        <f t="shared" si="325"/>
        <v>10161.792983511999</v>
      </c>
      <c r="DT66" s="102">
        <f t="shared" ref="DT66" si="326">DT65-DT56</f>
        <v>10161.792983511999</v>
      </c>
      <c r="DU66" s="102">
        <f t="shared" ref="DU66:DV66" si="327">DU65-DU56</f>
        <v>11023.923702114798</v>
      </c>
      <c r="DV66" s="102">
        <f t="shared" si="327"/>
        <v>11432.192708508017</v>
      </c>
    </row>
    <row r="67" spans="2:126" s="15" customFormat="1">
      <c r="B67" s="15" t="s">
        <v>116</v>
      </c>
      <c r="C67" s="96" t="e">
        <f>C65/(C65+C64)</f>
        <v>#REF!</v>
      </c>
      <c r="D67" s="96" t="e">
        <f t="shared" ref="D67:I67" si="328">D65/(D65+D64)</f>
        <v>#REF!</v>
      </c>
      <c r="E67" s="96" t="e">
        <f t="shared" si="328"/>
        <v>#REF!</v>
      </c>
      <c r="F67" s="96" t="e">
        <f t="shared" si="328"/>
        <v>#REF!</v>
      </c>
      <c r="G67" s="96" t="e">
        <f t="shared" si="328"/>
        <v>#REF!</v>
      </c>
      <c r="H67" s="96" t="e">
        <f t="shared" si="328"/>
        <v>#REF!</v>
      </c>
      <c r="I67" s="96" t="e">
        <f t="shared" si="328"/>
        <v>#REF!</v>
      </c>
      <c r="J67" s="94"/>
      <c r="K67" s="94"/>
      <c r="L67" s="94"/>
      <c r="M67" s="94"/>
      <c r="N67" s="96"/>
      <c r="O67" s="94"/>
      <c r="P67" s="94"/>
      <c r="Q67" s="94"/>
      <c r="R67" s="94"/>
      <c r="S67" s="96"/>
      <c r="T67" s="94"/>
      <c r="U67" s="94"/>
      <c r="V67" s="94"/>
      <c r="W67" s="94"/>
      <c r="X67" s="96"/>
      <c r="Y67" s="94"/>
      <c r="Z67" s="94"/>
      <c r="AA67" s="94"/>
      <c r="AB67" s="94"/>
      <c r="AC67" s="96"/>
      <c r="AD67" s="94"/>
      <c r="AE67" s="94"/>
      <c r="AF67" s="94"/>
      <c r="AG67" s="94"/>
      <c r="AH67" s="96"/>
      <c r="AI67" s="94"/>
      <c r="AJ67" s="94"/>
      <c r="AK67" s="94"/>
      <c r="AL67" s="94"/>
      <c r="AM67" s="96"/>
      <c r="AN67" s="94"/>
      <c r="AO67" s="94"/>
      <c r="AP67" s="94"/>
      <c r="AQ67" s="94"/>
      <c r="AR67" s="96"/>
      <c r="AS67" s="94"/>
      <c r="AT67" s="94"/>
      <c r="AU67" s="94"/>
      <c r="AV67" s="94"/>
      <c r="AW67" s="96"/>
      <c r="AX67" s="94"/>
      <c r="AY67" s="94"/>
      <c r="AZ67" s="94"/>
      <c r="BA67" s="94"/>
      <c r="BB67" s="96"/>
      <c r="BC67" s="94"/>
      <c r="BD67" s="94"/>
      <c r="BE67" s="94"/>
      <c r="BF67" s="94"/>
      <c r="BG67" s="96"/>
      <c r="BH67" s="94"/>
      <c r="BI67" s="94"/>
      <c r="BJ67" s="94"/>
      <c r="BK67" s="94"/>
      <c r="BL67" s="96"/>
      <c r="BM67" s="94"/>
      <c r="BN67" s="94"/>
      <c r="BO67" s="94"/>
      <c r="BP67" s="94"/>
      <c r="BQ67" s="96"/>
      <c r="BR67" s="94"/>
      <c r="BS67" s="94"/>
      <c r="BT67" s="94"/>
      <c r="BU67" s="94"/>
      <c r="BV67" s="96"/>
      <c r="BW67" s="94"/>
      <c r="BX67" s="94"/>
      <c r="BY67" s="94"/>
      <c r="BZ67" s="94"/>
      <c r="CA67" s="96"/>
      <c r="CB67" s="94"/>
      <c r="CC67" s="94"/>
      <c r="CD67" s="94"/>
      <c r="CE67" s="94"/>
      <c r="CF67" s="96"/>
      <c r="CG67" s="94"/>
      <c r="CH67" s="94"/>
      <c r="CI67" s="94"/>
      <c r="CJ67" s="94"/>
      <c r="CK67" s="353"/>
      <c r="CL67" s="94"/>
      <c r="CM67" s="94"/>
      <c r="CN67" s="94"/>
      <c r="CO67" s="94">
        <f t="shared" ref="CO67:CP67" si="329">CO65/(CO65+CO64)</f>
        <v>0.6689111952561263</v>
      </c>
      <c r="CP67" s="353">
        <f t="shared" si="329"/>
        <v>0.6689111952561263</v>
      </c>
      <c r="CQ67" s="94">
        <f t="shared" ref="CQ67" si="330">CQ65/(CQ65+CQ64)</f>
        <v>0.66995897137384874</v>
      </c>
      <c r="CR67" s="94">
        <f t="shared" ref="CR67:CT67" si="331">CR65/(CR65+CR64)</f>
        <v>0.64444917876454533</v>
      </c>
      <c r="CS67" s="94">
        <f t="shared" si="331"/>
        <v>0.61746310714881836</v>
      </c>
      <c r="CT67" s="94">
        <f t="shared" si="331"/>
        <v>0.45814995182166202</v>
      </c>
      <c r="CU67" s="353">
        <f t="shared" ref="CU67:CY67" si="332">CU65/(CU65+CU64)</f>
        <v>0.45814995182166202</v>
      </c>
      <c r="CV67" s="94">
        <f t="shared" si="332"/>
        <v>0.45503003409275394</v>
      </c>
      <c r="CW67" s="94">
        <f t="shared" si="332"/>
        <v>0.47498575831495304</v>
      </c>
      <c r="CX67" s="94">
        <f t="shared" si="332"/>
        <v>0.48144277661663182</v>
      </c>
      <c r="CY67" s="94">
        <f t="shared" si="332"/>
        <v>0.40798019365450816</v>
      </c>
      <c r="CZ67" s="353">
        <f t="shared" ref="CZ67:DE67" si="333">CZ65/(CZ65+CZ64)</f>
        <v>0.40798019365450816</v>
      </c>
      <c r="DA67" s="94">
        <f t="shared" si="333"/>
        <v>0.40586137610194956</v>
      </c>
      <c r="DB67" s="94">
        <f t="shared" si="333"/>
        <v>0.40225300092336103</v>
      </c>
      <c r="DC67" s="94">
        <f t="shared" si="333"/>
        <v>0.41105517717895568</v>
      </c>
      <c r="DD67" s="94">
        <f t="shared" si="333"/>
        <v>0.42313902793476504</v>
      </c>
      <c r="DE67" s="353">
        <f t="shared" si="333"/>
        <v>0.42313902793476504</v>
      </c>
      <c r="DF67" s="94">
        <f t="shared" ref="DF67:DI67" si="334">DF65/(DF65+DF64)</f>
        <v>0.39754018981212474</v>
      </c>
      <c r="DG67" s="94">
        <f t="shared" si="334"/>
        <v>0.51077474296396308</v>
      </c>
      <c r="DH67" s="94">
        <f t="shared" si="334"/>
        <v>0.51048072980729808</v>
      </c>
      <c r="DI67" s="94">
        <f t="shared" si="334"/>
        <v>0.49625357262404407</v>
      </c>
      <c r="DJ67" s="353">
        <f t="shared" ref="DJ67:DN67" si="335">DJ65/(DJ65+DJ64)</f>
        <v>0.49625357262404407</v>
      </c>
      <c r="DK67" s="94">
        <f t="shared" si="335"/>
        <v>0.50131919362688593</v>
      </c>
      <c r="DL67" s="94">
        <f t="shared" si="335"/>
        <v>0.49401025319104414</v>
      </c>
      <c r="DM67" s="94">
        <f t="shared" si="335"/>
        <v>0.54785846835955998</v>
      </c>
      <c r="DN67" s="94">
        <f t="shared" si="335"/>
        <v>0.549328682176356</v>
      </c>
      <c r="DO67" s="96">
        <f t="shared" ref="DO67:DS67" si="336">DO65/(DO65+DO64)</f>
        <v>0.549328682176356</v>
      </c>
      <c r="DP67" s="94">
        <f t="shared" si="336"/>
        <v>0.57224277553592739</v>
      </c>
      <c r="DQ67" s="94">
        <f t="shared" si="336"/>
        <v>0.57183324502064248</v>
      </c>
      <c r="DR67" s="94">
        <f t="shared" si="336"/>
        <v>0.58168105750925791</v>
      </c>
      <c r="DS67" s="94">
        <f t="shared" si="336"/>
        <v>0.55271372447751843</v>
      </c>
      <c r="DT67" s="96">
        <f t="shared" ref="DT67" si="337">DT65/(DT65+DT64)</f>
        <v>0.55271372447751843</v>
      </c>
      <c r="DU67" s="96">
        <f t="shared" ref="DU67:DV67" si="338">DU65/(DU65+DU64)</f>
        <v>0.59487436408929284</v>
      </c>
      <c r="DV67" s="96">
        <f t="shared" si="338"/>
        <v>0.59871180971665128</v>
      </c>
    </row>
    <row r="68" spans="2:126" s="15" customFormat="1">
      <c r="B68" s="15" t="s">
        <v>117</v>
      </c>
      <c r="C68" s="96" t="e">
        <f>C66/(C65+C64)</f>
        <v>#REF!</v>
      </c>
      <c r="D68" s="96" t="e">
        <f t="shared" ref="D68:I68" si="339">D66/(D65+D64)</f>
        <v>#REF!</v>
      </c>
      <c r="E68" s="96" t="e">
        <f t="shared" si="339"/>
        <v>#REF!</v>
      </c>
      <c r="F68" s="96" t="e">
        <f t="shared" si="339"/>
        <v>#REF!</v>
      </c>
      <c r="G68" s="96" t="e">
        <f t="shared" si="339"/>
        <v>#REF!</v>
      </c>
      <c r="H68" s="96" t="e">
        <f t="shared" si="339"/>
        <v>#REF!</v>
      </c>
      <c r="I68" s="96" t="e">
        <f t="shared" si="339"/>
        <v>#REF!</v>
      </c>
      <c r="J68" s="94"/>
      <c r="K68" s="94"/>
      <c r="L68" s="94"/>
      <c r="M68" s="94"/>
      <c r="N68" s="96"/>
      <c r="O68" s="94"/>
      <c r="P68" s="94"/>
      <c r="Q68" s="94"/>
      <c r="R68" s="94"/>
      <c r="S68" s="96"/>
      <c r="T68" s="94"/>
      <c r="U68" s="94"/>
      <c r="V68" s="94"/>
      <c r="W68" s="94"/>
      <c r="X68" s="96"/>
      <c r="Y68" s="94"/>
      <c r="Z68" s="94"/>
      <c r="AA68" s="94"/>
      <c r="AB68" s="94"/>
      <c r="AC68" s="96"/>
      <c r="AD68" s="94"/>
      <c r="AE68" s="94"/>
      <c r="AF68" s="94"/>
      <c r="AG68" s="94"/>
      <c r="AH68" s="96"/>
      <c r="AI68" s="94"/>
      <c r="AJ68" s="94"/>
      <c r="AK68" s="94"/>
      <c r="AL68" s="94"/>
      <c r="AM68" s="96"/>
      <c r="AN68" s="94"/>
      <c r="AO68" s="94"/>
      <c r="AP68" s="94"/>
      <c r="AQ68" s="94"/>
      <c r="AR68" s="96"/>
      <c r="AS68" s="94"/>
      <c r="AT68" s="94"/>
      <c r="AU68" s="94"/>
      <c r="AV68" s="94"/>
      <c r="AW68" s="96"/>
      <c r="AX68" s="94"/>
      <c r="AY68" s="94"/>
      <c r="AZ68" s="94"/>
      <c r="BA68" s="94"/>
      <c r="BB68" s="96"/>
      <c r="BC68" s="94"/>
      <c r="BD68" s="94"/>
      <c r="BE68" s="94"/>
      <c r="BF68" s="94"/>
      <c r="BG68" s="96"/>
      <c r="BH68" s="94"/>
      <c r="BI68" s="94"/>
      <c r="BJ68" s="94"/>
      <c r="BK68" s="94"/>
      <c r="BL68" s="96"/>
      <c r="BM68" s="94"/>
      <c r="BN68" s="94"/>
      <c r="BO68" s="94"/>
      <c r="BP68" s="94"/>
      <c r="BQ68" s="96"/>
      <c r="BR68" s="94"/>
      <c r="BS68" s="94"/>
      <c r="BT68" s="94"/>
      <c r="BU68" s="94"/>
      <c r="BV68" s="96"/>
      <c r="BW68" s="94"/>
      <c r="BX68" s="94"/>
      <c r="BY68" s="94"/>
      <c r="BZ68" s="94"/>
      <c r="CA68" s="96"/>
      <c r="CB68" s="94"/>
      <c r="CC68" s="94"/>
      <c r="CD68" s="94"/>
      <c r="CE68" s="94"/>
      <c r="CF68" s="96"/>
      <c r="CG68" s="94"/>
      <c r="CH68" s="94"/>
      <c r="CI68" s="94"/>
      <c r="CJ68" s="94"/>
      <c r="CK68" s="353"/>
      <c r="CL68" s="94"/>
      <c r="CM68" s="94"/>
      <c r="CN68" s="94"/>
      <c r="CO68" s="94">
        <f t="shared" ref="CO68:CP68" si="340">CO66/(CO65+CO64)</f>
        <v>0.3426805744088019</v>
      </c>
      <c r="CP68" s="353">
        <f t="shared" si="340"/>
        <v>0.3426805744088019</v>
      </c>
      <c r="CQ68" s="94">
        <f t="shared" ref="CQ68" si="341">CQ66/(CQ65+CQ64)</f>
        <v>0.37155786726253626</v>
      </c>
      <c r="CR68" s="94">
        <f t="shared" ref="CR68:CT68" si="342">CR66/(CR65+CR64)</f>
        <v>0.41659311562224183</v>
      </c>
      <c r="CS68" s="94">
        <f t="shared" si="342"/>
        <v>0.37244351932763209</v>
      </c>
      <c r="CT68" s="94">
        <f t="shared" si="342"/>
        <v>0.25280606265788169</v>
      </c>
      <c r="CU68" s="353">
        <f t="shared" ref="CU68:CY68" si="343">CU66/(CU65+CU64)</f>
        <v>0.25280606265788169</v>
      </c>
      <c r="CV68" s="94">
        <f t="shared" si="343"/>
        <v>0.2812922777206559</v>
      </c>
      <c r="CW68" s="94">
        <f t="shared" si="343"/>
        <v>0.28232132162837237</v>
      </c>
      <c r="CX68" s="94">
        <f t="shared" si="343"/>
        <v>0.28201596047881439</v>
      </c>
      <c r="CY68" s="94">
        <f t="shared" si="343"/>
        <v>0.13988231503620424</v>
      </c>
      <c r="CZ68" s="353">
        <f t="shared" ref="CZ68:DE68" si="344">CZ66/(CZ65+CZ64)</f>
        <v>0.13988231503620424</v>
      </c>
      <c r="DA68" s="94">
        <f t="shared" si="344"/>
        <v>0.18862118277428813</v>
      </c>
      <c r="DB68" s="94">
        <f t="shared" si="344"/>
        <v>0.16650046168051708</v>
      </c>
      <c r="DC68" s="94">
        <f t="shared" si="344"/>
        <v>0.15190997927154279</v>
      </c>
      <c r="DD68" s="94">
        <f t="shared" si="344"/>
        <v>8.067576295817859E-2</v>
      </c>
      <c r="DE68" s="353">
        <f t="shared" si="344"/>
        <v>8.067576295817859E-2</v>
      </c>
      <c r="DF68" s="94">
        <f t="shared" ref="DF68:DI68" si="345">DF66/(DF65+DF64)</f>
        <v>4.0247917877203179E-2</v>
      </c>
      <c r="DG68" s="94">
        <f t="shared" si="345"/>
        <v>0.19643784401287775</v>
      </c>
      <c r="DH68" s="94">
        <f t="shared" si="345"/>
        <v>0.15879971299712997</v>
      </c>
      <c r="DI68" s="94">
        <f t="shared" si="345"/>
        <v>0.14558282050621829</v>
      </c>
      <c r="DJ68" s="353">
        <f t="shared" ref="DJ68:DN68" si="346">DJ66/(DJ65+DJ64)</f>
        <v>0.14558282050621829</v>
      </c>
      <c r="DK68" s="94">
        <f t="shared" si="346"/>
        <v>0.18356002971387586</v>
      </c>
      <c r="DL68" s="94">
        <f t="shared" si="346"/>
        <v>0.20992885540908141</v>
      </c>
      <c r="DM68" s="94">
        <f t="shared" si="346"/>
        <v>0.24021095389806277</v>
      </c>
      <c r="DN68" s="94">
        <f t="shared" si="346"/>
        <v>0.2553901773031344</v>
      </c>
      <c r="DO68" s="96">
        <f t="shared" ref="DO68:DS68" si="347">DO66/(DO65+DO64)</f>
        <v>0.2553901773031344</v>
      </c>
      <c r="DP68" s="94">
        <f t="shared" si="347"/>
        <v>0.28663208770263421</v>
      </c>
      <c r="DQ68" s="94">
        <f t="shared" si="347"/>
        <v>0.32538202290274021</v>
      </c>
      <c r="DR68" s="94">
        <f t="shared" si="347"/>
        <v>0.34126419743665587</v>
      </c>
      <c r="DS68" s="94">
        <f t="shared" si="347"/>
        <v>0.2973771613960095</v>
      </c>
      <c r="DT68" s="96">
        <f t="shared" ref="DT68" si="348">DT66/(DT65+DT64)</f>
        <v>0.2973771613960095</v>
      </c>
      <c r="DU68" s="96">
        <f t="shared" ref="DU68:DV68" si="349">DU66/(DU65+DU64)</f>
        <v>0.34721499454992449</v>
      </c>
      <c r="DV68" s="96">
        <f t="shared" si="349"/>
        <v>0.36239682244614496</v>
      </c>
    </row>
    <row r="69" spans="2:126" s="15" customFormat="1">
      <c r="C69" s="16"/>
      <c r="D69" s="16"/>
      <c r="E69" s="16"/>
      <c r="F69" s="16"/>
      <c r="G69" s="16"/>
      <c r="H69" s="16"/>
      <c r="I69" s="16"/>
      <c r="N69" s="16"/>
      <c r="S69" s="16"/>
      <c r="X69" s="16"/>
      <c r="AC69" s="16"/>
      <c r="AH69" s="16"/>
      <c r="AM69" s="16"/>
      <c r="AR69" s="16"/>
      <c r="AW69" s="16"/>
      <c r="BB69" s="16"/>
      <c r="BG69" s="16"/>
      <c r="BL69" s="16"/>
      <c r="BQ69" s="16"/>
      <c r="BV69" s="16"/>
      <c r="CA69" s="16"/>
      <c r="CF69" s="16"/>
      <c r="CK69" s="222"/>
      <c r="CP69" s="222"/>
      <c r="CU69" s="222"/>
      <c r="CZ69" s="222"/>
      <c r="DE69" s="222"/>
      <c r="DJ69" s="222"/>
      <c r="DO69" s="16"/>
      <c r="DT69" s="16"/>
      <c r="DU69" s="16"/>
      <c r="DV69" s="16"/>
    </row>
    <row r="70" spans="2:126" s="15" customFormat="1" ht="12">
      <c r="B70" s="110" t="s">
        <v>118</v>
      </c>
      <c r="C70" s="16"/>
      <c r="D70" s="16"/>
      <c r="E70" s="16"/>
      <c r="F70" s="16"/>
      <c r="G70" s="16"/>
      <c r="H70" s="16"/>
      <c r="I70" s="16"/>
      <c r="N70" s="16"/>
      <c r="S70" s="16"/>
      <c r="X70" s="16"/>
      <c r="AC70" s="16"/>
      <c r="AH70" s="16"/>
      <c r="AM70" s="16"/>
      <c r="AR70" s="16"/>
      <c r="AW70" s="16"/>
      <c r="BB70" s="16"/>
      <c r="BG70" s="16"/>
      <c r="BL70" s="16"/>
      <c r="BQ70" s="16"/>
      <c r="BV70" s="16"/>
      <c r="CA70" s="16"/>
      <c r="CF70" s="16"/>
      <c r="CK70" s="222"/>
      <c r="CP70" s="222"/>
      <c r="CU70" s="222"/>
      <c r="CZ70" s="222"/>
      <c r="DE70" s="222"/>
      <c r="DJ70" s="222"/>
      <c r="DO70" s="16"/>
      <c r="DT70" s="16"/>
      <c r="DU70" s="16"/>
      <c r="DV70" s="16"/>
    </row>
    <row r="71" spans="2:126" s="15" customFormat="1">
      <c r="B71" s="15" t="s">
        <v>119</v>
      </c>
      <c r="C71" s="13"/>
      <c r="D71" s="16" t="e">
        <f t="shared" ref="D71:I71" si="350">D14-D30</f>
        <v>#REF!</v>
      </c>
      <c r="E71" s="16" t="e">
        <f t="shared" si="350"/>
        <v>#REF!</v>
      </c>
      <c r="F71" s="16" t="e">
        <f t="shared" si="350"/>
        <v>#REF!</v>
      </c>
      <c r="G71" s="16" t="e">
        <f t="shared" si="350"/>
        <v>#REF!</v>
      </c>
      <c r="H71" s="16" t="e">
        <f t="shared" si="350"/>
        <v>#REF!</v>
      </c>
      <c r="I71" s="16" t="e">
        <f t="shared" si="350"/>
        <v>#REF!</v>
      </c>
      <c r="J71" s="12"/>
      <c r="K71" s="12"/>
      <c r="L71" s="12"/>
      <c r="M71" s="12"/>
      <c r="N71" s="16"/>
      <c r="O71" s="12"/>
      <c r="P71" s="12"/>
      <c r="Q71" s="12"/>
      <c r="R71" s="12"/>
      <c r="S71" s="16"/>
      <c r="T71" s="12"/>
      <c r="U71" s="12"/>
      <c r="V71" s="12"/>
      <c r="W71" s="12"/>
      <c r="X71" s="16"/>
      <c r="Y71" s="12"/>
      <c r="Z71" s="12"/>
      <c r="AA71" s="12"/>
      <c r="AB71" s="12"/>
      <c r="AC71" s="16"/>
      <c r="AD71" s="12"/>
      <c r="AE71" s="12"/>
      <c r="AF71" s="12"/>
      <c r="AG71" s="12"/>
      <c r="AH71" s="16"/>
      <c r="AI71" s="12"/>
      <c r="AJ71" s="251"/>
      <c r="AK71" s="251"/>
      <c r="AL71" s="251"/>
      <c r="AM71" s="16"/>
      <c r="AN71" s="12"/>
      <c r="AO71" s="12"/>
      <c r="AP71" s="12"/>
      <c r="AQ71" s="12"/>
      <c r="AR71" s="16"/>
      <c r="AS71" s="12"/>
      <c r="AT71" s="12"/>
      <c r="AU71" s="12"/>
      <c r="AV71" s="12"/>
      <c r="AW71" s="16"/>
      <c r="AX71" s="12"/>
      <c r="AY71" s="12"/>
      <c r="AZ71" s="12"/>
      <c r="BA71" s="12"/>
      <c r="BB71" s="16"/>
      <c r="BC71" s="12"/>
      <c r="BD71" s="12"/>
      <c r="BE71" s="301"/>
      <c r="BF71" s="301"/>
      <c r="BG71" s="16"/>
      <c r="BH71" s="12"/>
      <c r="BI71" s="12"/>
      <c r="BJ71" s="12"/>
      <c r="BK71" s="12"/>
      <c r="BL71" s="16"/>
      <c r="BM71" s="12"/>
      <c r="BN71" s="12"/>
      <c r="BO71" s="12"/>
      <c r="BP71" s="12"/>
      <c r="BQ71" s="16"/>
      <c r="BR71" s="12"/>
      <c r="BS71" s="12"/>
      <c r="BT71" s="12"/>
      <c r="BU71" s="12"/>
      <c r="BV71" s="16"/>
      <c r="BW71" s="12"/>
      <c r="BX71" s="12"/>
      <c r="BY71" s="12"/>
      <c r="BZ71" s="12"/>
      <c r="CA71" s="16"/>
      <c r="CB71" s="12"/>
      <c r="CC71" s="12"/>
      <c r="CD71" s="12"/>
      <c r="CE71" s="12"/>
      <c r="CF71" s="16"/>
      <c r="CG71" s="12"/>
      <c r="CH71" s="12"/>
      <c r="CI71" s="12"/>
      <c r="CJ71" s="12"/>
      <c r="CK71" s="222"/>
      <c r="CL71" s="12"/>
      <c r="CM71" s="12"/>
      <c r="CN71" s="12"/>
      <c r="CO71" s="12">
        <f t="shared" ref="CO71:DU71" si="351">CO14-CO30</f>
        <v>30565</v>
      </c>
      <c r="CP71" s="222">
        <f t="shared" si="351"/>
        <v>30565</v>
      </c>
      <c r="CQ71" s="12">
        <f t="shared" si="351"/>
        <v>55518</v>
      </c>
      <c r="CR71" s="12">
        <f t="shared" si="351"/>
        <v>45772</v>
      </c>
      <c r="CS71" s="12">
        <f t="shared" si="351"/>
        <v>45911</v>
      </c>
      <c r="CT71" s="12">
        <f t="shared" si="351"/>
        <v>14395</v>
      </c>
      <c r="CU71" s="222">
        <f t="shared" si="351"/>
        <v>14395</v>
      </c>
      <c r="CV71" s="12">
        <f t="shared" si="351"/>
        <v>9954</v>
      </c>
      <c r="CW71" s="12">
        <f t="shared" si="351"/>
        <v>6774</v>
      </c>
      <c r="CX71" s="12">
        <f t="shared" si="351"/>
        <v>5423</v>
      </c>
      <c r="CY71" s="12">
        <f t="shared" si="351"/>
        <v>8955</v>
      </c>
      <c r="CZ71" s="222">
        <f t="shared" si="351"/>
        <v>8955</v>
      </c>
      <c r="DA71" s="12">
        <f t="shared" si="351"/>
        <v>12109</v>
      </c>
      <c r="DB71" s="12">
        <f t="shared" si="351"/>
        <v>12105</v>
      </c>
      <c r="DC71" s="12">
        <f t="shared" si="351"/>
        <v>8270</v>
      </c>
      <c r="DD71" s="12">
        <f t="shared" si="351"/>
        <v>8923</v>
      </c>
      <c r="DE71" s="222">
        <f t="shared" si="351"/>
        <v>8923</v>
      </c>
      <c r="DF71" s="12">
        <f t="shared" ref="DF71:DI71" si="352">DF14-DF30</f>
        <v>8504</v>
      </c>
      <c r="DG71" s="12">
        <f t="shared" si="352"/>
        <v>4602</v>
      </c>
      <c r="DH71" s="12">
        <f t="shared" si="352"/>
        <v>4557</v>
      </c>
      <c r="DI71" s="12">
        <f t="shared" si="352"/>
        <v>3243</v>
      </c>
      <c r="DJ71" s="222">
        <f t="shared" si="351"/>
        <v>3243</v>
      </c>
      <c r="DK71" s="12">
        <f t="shared" si="351"/>
        <v>2634</v>
      </c>
      <c r="DL71" s="12">
        <f t="shared" si="351"/>
        <v>1335</v>
      </c>
      <c r="DM71" s="12">
        <f t="shared" si="351"/>
        <v>-2232.7678930237016</v>
      </c>
      <c r="DN71" s="12">
        <f t="shared" si="351"/>
        <v>-2110.0341336399943</v>
      </c>
      <c r="DO71" s="16">
        <f t="shared" si="351"/>
        <v>-2110.0341336399943</v>
      </c>
      <c r="DP71" s="12">
        <f t="shared" ref="DP71:DT71" si="353">DP14-DP30</f>
        <v>-3296.7777281913368</v>
      </c>
      <c r="DQ71" s="12">
        <f t="shared" si="353"/>
        <v>-3103.1403377426686</v>
      </c>
      <c r="DR71" s="12">
        <f t="shared" si="353"/>
        <v>-3502.3162168051131</v>
      </c>
      <c r="DS71" s="12">
        <f t="shared" si="353"/>
        <v>-1585.6031926311844</v>
      </c>
      <c r="DT71" s="16">
        <f t="shared" si="353"/>
        <v>-1585.6031926311844</v>
      </c>
      <c r="DU71" s="16">
        <f t="shared" si="351"/>
        <v>-3237.4388486894059</v>
      </c>
      <c r="DV71" s="16">
        <f t="shared" ref="DV71" si="354">DV14-DV30</f>
        <v>-2700.9377819546753</v>
      </c>
    </row>
    <row r="72" spans="2:126" s="15" customFormat="1">
      <c r="B72" s="15" t="s">
        <v>120</v>
      </c>
      <c r="C72" s="13"/>
      <c r="D72" s="16" t="e">
        <f>AVERAGE(C9,D9)/(IS!D9/365)</f>
        <v>#DIV/0!</v>
      </c>
      <c r="E72" s="16" t="e">
        <f>AVERAGE(D9,E9)/(IS!E9/365)</f>
        <v>#DIV/0!</v>
      </c>
      <c r="F72" s="16" t="e">
        <f>AVERAGE(E9,F9)/(IS!F9/365)</f>
        <v>#DIV/0!</v>
      </c>
      <c r="G72" s="16" t="e">
        <f>AVERAGE(F9,G9)/(IS!G9/365)</f>
        <v>#DIV/0!</v>
      </c>
      <c r="H72" s="16" t="e">
        <f>AVERAGE(G9,H9)/(IS!H9/365)</f>
        <v>#DIV/0!</v>
      </c>
      <c r="I72" s="16" t="e">
        <f>AVERAGE(H9,I9)/(IS!I9/365)</f>
        <v>#DIV/0!</v>
      </c>
      <c r="J72" s="12"/>
      <c r="K72" s="12"/>
      <c r="L72" s="12"/>
      <c r="M72" s="12"/>
      <c r="N72" s="16"/>
      <c r="O72" s="12"/>
      <c r="P72" s="12"/>
      <c r="Q72" s="12"/>
      <c r="R72" s="12"/>
      <c r="S72" s="16"/>
      <c r="T72" s="12"/>
      <c r="U72" s="12"/>
      <c r="V72" s="12"/>
      <c r="W72" s="12"/>
      <c r="X72" s="16"/>
      <c r="Y72" s="12"/>
      <c r="Z72" s="12"/>
      <c r="AA72" s="12"/>
      <c r="AB72" s="12"/>
      <c r="AC72" s="16"/>
      <c r="AD72" s="12"/>
      <c r="AE72" s="12"/>
      <c r="AF72" s="12"/>
      <c r="AG72" s="12"/>
      <c r="AH72" s="16"/>
      <c r="AI72" s="12"/>
      <c r="AJ72" s="251"/>
      <c r="AK72" s="251"/>
      <c r="AL72" s="251"/>
      <c r="AM72" s="16"/>
      <c r="AN72" s="12"/>
      <c r="AO72" s="12"/>
      <c r="AP72" s="12"/>
      <c r="AQ72" s="12"/>
      <c r="AR72" s="16"/>
      <c r="AS72" s="12"/>
      <c r="AT72" s="12"/>
      <c r="AU72" s="12"/>
      <c r="AV72" s="12"/>
      <c r="AW72" s="16"/>
      <c r="AX72" s="12"/>
      <c r="AY72" s="12"/>
      <c r="AZ72" s="12"/>
      <c r="BA72" s="12"/>
      <c r="BB72" s="16"/>
      <c r="BC72" s="301"/>
      <c r="BD72" s="301"/>
      <c r="BE72" s="301"/>
      <c r="BF72" s="301"/>
      <c r="BG72" s="16"/>
      <c r="BH72" s="301"/>
      <c r="BI72" s="301"/>
      <c r="BJ72" s="301"/>
      <c r="BK72" s="301"/>
      <c r="BL72" s="16"/>
      <c r="BM72" s="301"/>
      <c r="BN72" s="301"/>
      <c r="BO72" s="301"/>
      <c r="BP72" s="301"/>
      <c r="BQ72" s="16"/>
      <c r="BR72" s="252"/>
      <c r="BS72" s="301"/>
      <c r="BT72" s="301"/>
      <c r="BU72" s="301"/>
      <c r="BV72" s="16"/>
      <c r="BW72" s="301"/>
      <c r="BX72" s="301"/>
      <c r="BY72" s="301"/>
      <c r="BZ72" s="301"/>
      <c r="CA72" s="16"/>
      <c r="CB72" s="301"/>
      <c r="CC72" s="301"/>
      <c r="CD72" s="301"/>
      <c r="CE72" s="301"/>
      <c r="CF72" s="16"/>
      <c r="CG72" s="301"/>
      <c r="CH72" s="301"/>
      <c r="CI72" s="301"/>
      <c r="CJ72" s="301"/>
      <c r="CK72" s="222"/>
      <c r="CL72" s="301"/>
      <c r="CM72" s="301"/>
      <c r="CN72" s="301"/>
      <c r="CO72" s="301">
        <f>AVERAGE(CN9,CO9)/(IS!CO9/90)</f>
        <v>36.447643979057588</v>
      </c>
      <c r="CP72" s="222">
        <f>AVERAGE(CK9,CP9)/(IS!CP9/365)</f>
        <v>40.952639976791417</v>
      </c>
      <c r="CQ72" s="301">
        <f>AVERAGE(CP9,CQ9)/(IS!CQ9/90)</f>
        <v>85.967638296629474</v>
      </c>
      <c r="CR72" s="301">
        <f>AVERAGE(CQ9,CR9)/(IS!CR9/90)</f>
        <v>76.788019693654263</v>
      </c>
      <c r="CS72" s="301">
        <f>AVERAGE(CR9,CS9)/(IS!CS9/90)</f>
        <v>74.843724564544999</v>
      </c>
      <c r="CT72" s="301">
        <f>AVERAGE(CS9,CT9)/(IS!CT9/90)</f>
        <v>67.970591123330721</v>
      </c>
      <c r="CU72" s="222">
        <f>AVERAGE(CP9,CU9)/(IS!CU9/365)</f>
        <v>80.277272359695942</v>
      </c>
      <c r="CV72" s="301">
        <f>AVERAGE(CU9,CV9)/(IS!CV9/90)</f>
        <v>112.44674136026511</v>
      </c>
      <c r="CW72" s="301">
        <f>AVERAGE(CV9,CW9)/(IS!CW9/90)</f>
        <v>102.98591449603623</v>
      </c>
      <c r="CX72" s="301">
        <f>AVERAGE(CW9,CX9)/(IS!CX9/90)</f>
        <v>104.11167161910026</v>
      </c>
      <c r="CY72" s="301">
        <f>AVERAGE(CX9,CY9)/(IS!CY9/90)</f>
        <v>85.656721740164031</v>
      </c>
      <c r="CZ72" s="222">
        <f>AVERAGE(CU9,CZ9)/(IS!CZ9/365)</f>
        <v>95.652377837828524</v>
      </c>
      <c r="DA72" s="301">
        <f>AVERAGE(CZ9,DA9)/(IS!DA9/90)</f>
        <v>90.226786330686906</v>
      </c>
      <c r="DB72" s="301">
        <f>AVERAGE(DA9,DB9)/(IS!DB9/90)</f>
        <v>78.096478620194034</v>
      </c>
      <c r="DC72" s="301">
        <f>AVERAGE(DB9,DC9)/(IS!DC9/90)</f>
        <v>76.045485991006572</v>
      </c>
      <c r="DD72" s="301">
        <f>AVERAGE(DC9,DD9)/(IS!DD9/90)</f>
        <v>69.525868725868719</v>
      </c>
      <c r="DE72" s="222">
        <f>AVERAGE(CZ9,DE9)/(IS!DE9/365)</f>
        <v>81.366843747240779</v>
      </c>
      <c r="DF72" s="301">
        <f>AVERAGE(DE9,DF9)/(IS!DF9/90)</f>
        <v>85.683049897215469</v>
      </c>
      <c r="DG72" s="301">
        <f>AVERAGE(DF9,DG9)/(IS!DG9/90)</f>
        <v>116.14978554932365</v>
      </c>
      <c r="DH72" s="301">
        <f>AVERAGE(DG9,DH9)/(IS!DH9/90)</f>
        <v>79.127209916683597</v>
      </c>
      <c r="DI72" s="301">
        <f>AVERAGE(DH9,DI9)/(IS!DI9/90)</f>
        <v>76.011376248612649</v>
      </c>
      <c r="DJ72" s="222">
        <f>AVERAGE(DE9,DJ9)/(IS!DJ9/365)</f>
        <v>98.79306768558952</v>
      </c>
      <c r="DK72" s="301">
        <f>AVERAGE(DJ9,DK9)/(IS!DK9/90)</f>
        <v>85.977451177773304</v>
      </c>
      <c r="DL72" s="301">
        <f>AVERAGE(DK9,DL9)/(IS!DL9/90)</f>
        <v>82.321055973872816</v>
      </c>
      <c r="DM72" s="252">
        <v>75</v>
      </c>
      <c r="DN72" s="252">
        <v>75</v>
      </c>
      <c r="DO72" s="222">
        <f>AVERAGE(DJ9,DO9)/(IS!DO9/365)</f>
        <v>79.635531334615308</v>
      </c>
      <c r="DP72" s="252">
        <v>75</v>
      </c>
      <c r="DQ72" s="252">
        <v>75</v>
      </c>
      <c r="DR72" s="252">
        <v>75</v>
      </c>
      <c r="DS72" s="252">
        <v>75</v>
      </c>
      <c r="DT72" s="222">
        <f>AVERAGE(DO9,DT9)/(IS!DT9/365)</f>
        <v>76.677233046210858</v>
      </c>
      <c r="DU72" s="247">
        <v>75</v>
      </c>
      <c r="DV72" s="247">
        <v>75</v>
      </c>
    </row>
    <row r="73" spans="2:126" s="15" customFormat="1">
      <c r="B73" s="221" t="s">
        <v>350</v>
      </c>
      <c r="C73" s="13"/>
      <c r="D73" s="16"/>
      <c r="E73" s="16"/>
      <c r="F73" s="16"/>
      <c r="G73" s="16"/>
      <c r="H73" s="16"/>
      <c r="I73" s="16"/>
      <c r="J73" s="12"/>
      <c r="K73" s="12"/>
      <c r="L73" s="12"/>
      <c r="M73" s="12"/>
      <c r="N73" s="16"/>
      <c r="O73" s="12"/>
      <c r="P73" s="12"/>
      <c r="Q73" s="12"/>
      <c r="R73" s="12"/>
      <c r="S73" s="16"/>
      <c r="T73" s="12"/>
      <c r="U73" s="12"/>
      <c r="V73" s="12"/>
      <c r="W73" s="12"/>
      <c r="X73" s="16"/>
      <c r="Y73" s="12"/>
      <c r="Z73" s="12"/>
      <c r="AA73" s="12"/>
      <c r="AB73" s="12"/>
      <c r="AC73" s="16"/>
      <c r="AD73" s="12"/>
      <c r="AE73" s="12"/>
      <c r="AF73" s="12"/>
      <c r="AG73" s="12"/>
      <c r="AH73" s="16"/>
      <c r="AI73" s="12"/>
      <c r="AJ73" s="251"/>
      <c r="AK73" s="251"/>
      <c r="AL73" s="251"/>
      <c r="AM73" s="16"/>
      <c r="AN73" s="12"/>
      <c r="AO73" s="12"/>
      <c r="AP73" s="12"/>
      <c r="AQ73" s="12"/>
      <c r="AR73" s="16"/>
      <c r="AS73" s="12"/>
      <c r="AT73" s="12"/>
      <c r="AU73" s="12"/>
      <c r="AV73" s="12"/>
      <c r="AW73" s="16"/>
      <c r="AX73" s="12"/>
      <c r="AY73" s="12"/>
      <c r="AZ73" s="12"/>
      <c r="BA73" s="12"/>
      <c r="BB73" s="16"/>
      <c r="BC73" s="301"/>
      <c r="BD73" s="301"/>
      <c r="BE73" s="301"/>
      <c r="BF73" s="301"/>
      <c r="BG73" s="16"/>
      <c r="BH73" s="301"/>
      <c r="BI73" s="301"/>
      <c r="BJ73" s="301"/>
      <c r="BK73" s="301"/>
      <c r="BL73" s="16"/>
      <c r="BM73" s="301"/>
      <c r="BN73" s="301"/>
      <c r="BO73" s="301"/>
      <c r="BP73" s="301"/>
      <c r="BQ73" s="16"/>
      <c r="BR73" s="252"/>
      <c r="BS73" s="301"/>
      <c r="BT73" s="301"/>
      <c r="BU73" s="301"/>
      <c r="BV73" s="16"/>
      <c r="BW73" s="301"/>
      <c r="BX73" s="301"/>
      <c r="BY73" s="301"/>
      <c r="BZ73" s="301"/>
      <c r="CA73" s="16"/>
      <c r="CB73" s="301"/>
      <c r="CC73" s="301"/>
      <c r="CD73" s="301"/>
      <c r="CE73" s="301"/>
      <c r="CF73" s="222"/>
      <c r="CG73" s="301"/>
      <c r="CH73" s="301"/>
      <c r="CI73" s="301"/>
      <c r="CJ73" s="301"/>
      <c r="CK73" s="222"/>
      <c r="CL73" s="301"/>
      <c r="CM73" s="301"/>
      <c r="CN73" s="301"/>
      <c r="CO73" s="301">
        <f>AVERAGE(CN11,CO11)/(IS!CO9/90)</f>
        <v>24.691099476439788</v>
      </c>
      <c r="CP73" s="222">
        <f>AVERAGE(CK11,CP11)/(IS!CP9/365)</f>
        <v>27.742964897011895</v>
      </c>
      <c r="CQ73" s="301">
        <f>AVERAGE(CP11,CQ11)/(IS!CQ9/90)</f>
        <v>30.453005432560314</v>
      </c>
      <c r="CR73" s="301">
        <f>AVERAGE(CQ11,CR11)/(IS!CR9/90)</f>
        <v>27.699124726477024</v>
      </c>
      <c r="CS73" s="301">
        <f>AVERAGE(CR11,CS11)/(IS!CS9/90)</f>
        <v>26.051603451082531</v>
      </c>
      <c r="CT73" s="301">
        <f>AVERAGE(CS11,CT11)/(IS!CT9/90)</f>
        <v>22.356392380204241</v>
      </c>
      <c r="CU73" s="222">
        <f>AVERAGE(CP11,CU11)/(IS!CU9/365)</f>
        <v>26.183520674968999</v>
      </c>
      <c r="CV73" s="301">
        <f>AVERAGE(CU11,CV11)/(IS!CV9/90)</f>
        <v>32.406106990689601</v>
      </c>
      <c r="CW73" s="301">
        <f>AVERAGE(CV11,CW11)/(IS!CW9/90)</f>
        <v>27.032488674971685</v>
      </c>
      <c r="CX73" s="301">
        <f>AVERAGE(CW11,CX11)/(IS!CX9/90)</f>
        <v>24.696980167231015</v>
      </c>
      <c r="CY73" s="301">
        <f>AVERAGE(CX11,CY11)/(IS!CY9/90)</f>
        <v>16.498573636039463</v>
      </c>
      <c r="CZ73" s="222">
        <f>AVERAGE(CU11,CZ11)/(IS!CZ9/365)</f>
        <v>23.084605587015265</v>
      </c>
      <c r="DA73" s="301">
        <f>AVERAGE(CZ11,DA11)/(IS!DA9/90)</f>
        <v>14.638591646530893</v>
      </c>
      <c r="DB73" s="301">
        <f>AVERAGE(DA11,DB11)/(IS!DB9/90)</f>
        <v>11.537010420409629</v>
      </c>
      <c r="DC73" s="301">
        <f>AVERAGE(DB11,DC11)/(IS!DC9/90)</f>
        <v>10.14873746108613</v>
      </c>
      <c r="DD73" s="301">
        <f>AVERAGE(DC11,DD11)/(IS!DD9/90)</f>
        <v>7.8185328185328178</v>
      </c>
      <c r="DE73" s="222">
        <f>AVERAGE(CZ11,DE11)/(IS!DE9/365)</f>
        <v>10.656620655149071</v>
      </c>
      <c r="DF73" s="301">
        <f>AVERAGE(DE11,DF11)/(IS!DF9/90)</f>
        <v>8.541394131937956</v>
      </c>
      <c r="DG73" s="301">
        <f>AVERAGE(DF11,DG11)/(IS!DG9/90)</f>
        <v>21.111844275816562</v>
      </c>
      <c r="DH73" s="301">
        <f>AVERAGE(DG11,DH11)/(IS!DH9/90)</f>
        <v>25.618268644584436</v>
      </c>
      <c r="DI73" s="301">
        <f>AVERAGE(DH11,DI11)/(IS!DI9/90)</f>
        <v>24.414539400665927</v>
      </c>
      <c r="DJ73" s="222">
        <f>AVERAGE(DE11,DJ11)/(IS!DJ9/365)</f>
        <v>17.859497816593887</v>
      </c>
      <c r="DK73" s="301">
        <f>AVERAGE(DJ11,DK11)/(IS!DK9/90)</f>
        <v>26.82605194282263</v>
      </c>
      <c r="DL73" s="301">
        <f>AVERAGE(DK11,DL11)/(IS!DL9/90)</f>
        <v>24.490156944570444</v>
      </c>
      <c r="DM73" s="252">
        <v>20</v>
      </c>
      <c r="DN73" s="252">
        <v>20</v>
      </c>
      <c r="DO73" s="222">
        <f>AVERAGE(DJ11,DO11)/(IS!DO9/365)</f>
        <v>23.405360502851757</v>
      </c>
      <c r="DP73" s="252">
        <v>20</v>
      </c>
      <c r="DQ73" s="252">
        <v>20</v>
      </c>
      <c r="DR73" s="252">
        <v>20</v>
      </c>
      <c r="DS73" s="252">
        <v>20</v>
      </c>
      <c r="DT73" s="222">
        <f>AVERAGE(DO11,DT11)/(IS!DT9/365)</f>
        <v>20.447262145656229</v>
      </c>
      <c r="DU73" s="247">
        <v>15</v>
      </c>
      <c r="DV73" s="247">
        <v>15</v>
      </c>
    </row>
    <row r="74" spans="2:126" s="15" customFormat="1">
      <c r="B74" s="15" t="s">
        <v>121</v>
      </c>
      <c r="C74" s="13"/>
      <c r="D74" s="16" t="e">
        <f>AVERAGE(C26,D26)/(-IS!D10/365)</f>
        <v>#DIV/0!</v>
      </c>
      <c r="E74" s="16" t="e">
        <f>AVERAGE(D26,E26)/(-IS!E10/365)</f>
        <v>#DIV/0!</v>
      </c>
      <c r="F74" s="16" t="e">
        <f>AVERAGE(E26,F26)/(-IS!F10/365)</f>
        <v>#DIV/0!</v>
      </c>
      <c r="G74" s="16" t="e">
        <f>AVERAGE(F26,G26)/(-IS!G10/365)</f>
        <v>#DIV/0!</v>
      </c>
      <c r="H74" s="16" t="e">
        <f>AVERAGE(G26,H26)/(-IS!H10/365)</f>
        <v>#DIV/0!</v>
      </c>
      <c r="I74" s="16" t="e">
        <f>AVERAGE(H26,I26)/(-IS!I10/365)</f>
        <v>#DIV/0!</v>
      </c>
      <c r="J74" s="12"/>
      <c r="K74" s="12"/>
      <c r="L74" s="12"/>
      <c r="M74" s="12"/>
      <c r="N74" s="16"/>
      <c r="O74" s="12"/>
      <c r="P74" s="12"/>
      <c r="Q74" s="12"/>
      <c r="R74" s="12"/>
      <c r="S74" s="16"/>
      <c r="T74" s="12"/>
      <c r="U74" s="12"/>
      <c r="V74" s="12"/>
      <c r="W74" s="12"/>
      <c r="X74" s="16"/>
      <c r="Y74" s="12"/>
      <c r="Z74" s="12"/>
      <c r="AA74" s="12"/>
      <c r="AB74" s="12"/>
      <c r="AC74" s="16"/>
      <c r="AD74" s="12"/>
      <c r="AE74" s="12"/>
      <c r="AF74" s="12"/>
      <c r="AG74" s="12"/>
      <c r="AH74" s="16"/>
      <c r="AI74" s="12"/>
      <c r="AJ74" s="251"/>
      <c r="AK74" s="251"/>
      <c r="AL74" s="251"/>
      <c r="AM74" s="16"/>
      <c r="AN74" s="12"/>
      <c r="AO74" s="12"/>
      <c r="AP74" s="12"/>
      <c r="AQ74" s="12"/>
      <c r="AR74" s="16"/>
      <c r="AS74" s="12"/>
      <c r="AT74" s="12"/>
      <c r="AU74" s="12"/>
      <c r="AV74" s="12"/>
      <c r="AW74" s="16"/>
      <c r="AX74" s="12"/>
      <c r="AY74" s="12"/>
      <c r="AZ74" s="12"/>
      <c r="BA74" s="12"/>
      <c r="BB74" s="16"/>
      <c r="BC74" s="301"/>
      <c r="BD74" s="301"/>
      <c r="BE74" s="301"/>
      <c r="BF74" s="301"/>
      <c r="BG74" s="16"/>
      <c r="BH74" s="301"/>
      <c r="BI74" s="301"/>
      <c r="BJ74" s="301"/>
      <c r="BK74" s="301"/>
      <c r="BL74" s="16"/>
      <c r="BM74" s="301"/>
      <c r="BN74" s="301"/>
      <c r="BO74" s="301"/>
      <c r="BP74" s="301"/>
      <c r="BQ74" s="16"/>
      <c r="BR74" s="252"/>
      <c r="BS74" s="301"/>
      <c r="BT74" s="301"/>
      <c r="BU74" s="301"/>
      <c r="BV74" s="16"/>
      <c r="BW74" s="301"/>
      <c r="BX74" s="301"/>
      <c r="BY74" s="301"/>
      <c r="BZ74" s="301"/>
      <c r="CA74" s="16"/>
      <c r="CB74" s="301"/>
      <c r="CC74" s="301"/>
      <c r="CD74" s="301"/>
      <c r="CE74" s="301"/>
      <c r="CF74" s="16"/>
      <c r="CG74" s="301"/>
      <c r="CH74" s="301"/>
      <c r="CI74" s="301"/>
      <c r="CJ74" s="301"/>
      <c r="CK74" s="222"/>
      <c r="CL74" s="301"/>
      <c r="CM74" s="301"/>
      <c r="CN74" s="301"/>
      <c r="CO74" s="301">
        <f>AVERAGE(CN26,CO26)/(-IS!CO10/90)</f>
        <v>46.963221306277738</v>
      </c>
      <c r="CP74" s="222">
        <f>AVERAGE(CK26,CP26)/(-IS!CP10/365)</f>
        <v>51.901384112940853</v>
      </c>
      <c r="CQ74" s="301">
        <f>AVERAGE(CP26,CQ26)/(-IS!CQ10/90)</f>
        <v>116.81767427021855</v>
      </c>
      <c r="CR74" s="301">
        <f>AVERAGE(CQ26,CR26)/(-IS!CR10/90)</f>
        <v>108.19760610956088</v>
      </c>
      <c r="CS74" s="301">
        <f>AVERAGE(CR26,CS26)/(-IS!CS10/90)</f>
        <v>110.21675869273244</v>
      </c>
      <c r="CT74" s="301">
        <f>AVERAGE(CS26,CT26)/(-IS!CT10/90)</f>
        <v>101.73490026502999</v>
      </c>
      <c r="CU74" s="222">
        <f>AVERAGE(CP26,CU26)/(-IS!CU10/365)</f>
        <v>110.73052731185987</v>
      </c>
      <c r="CV74" s="301">
        <f>AVERAGE(CU26,CV26)/(-IS!CV10/90)</f>
        <v>149.39686924493554</v>
      </c>
      <c r="CW74" s="301">
        <f>AVERAGE(CV26,CW26)/(-IS!CW10/90)</f>
        <v>142.10166270783847</v>
      </c>
      <c r="CX74" s="301">
        <f>AVERAGE(CW26,CX26)/(-IS!CX10/90)</f>
        <v>134.05973643142013</v>
      </c>
      <c r="CY74" s="301">
        <f>AVERAGE(CX26,CY26)/(-IS!CY10/90)</f>
        <v>118.40582040356942</v>
      </c>
      <c r="CZ74" s="222">
        <f>AVERAGE(CU26,CZ26)/(-IS!CZ10/365)</f>
        <v>130.43605439103723</v>
      </c>
      <c r="DA74" s="301">
        <f>AVERAGE(CZ26,DA26)/(-IS!DA10/90)</f>
        <v>127.76493615434804</v>
      </c>
      <c r="DB74" s="301">
        <f>AVERAGE(DA26,DB26)/(-IS!DB10/90)</f>
        <v>111.30965863128944</v>
      </c>
      <c r="DC74" s="301">
        <f>AVERAGE(DB26,DC26)/(-IS!DC10/90)</f>
        <v>109.15220086794793</v>
      </c>
      <c r="DD74" s="301">
        <f>AVERAGE(DC26,DD26)/(-IS!DD10/90)</f>
        <v>97.498437174411336</v>
      </c>
      <c r="DE74" s="222">
        <f>AVERAGE(CZ26,DE26)/(-IS!DE10/365)</f>
        <v>111.57083465629465</v>
      </c>
      <c r="DF74" s="301">
        <f>AVERAGE(DE26,DF26)/(-IS!DF10/90)</f>
        <v>118.47160068846816</v>
      </c>
      <c r="DG74" s="301">
        <f>AVERAGE(DF26,DG26)/(-IS!DG10/90)</f>
        <v>184.77040358744395</v>
      </c>
      <c r="DH74" s="301">
        <f>AVERAGE(DG26,DH26)/(-IS!DH10/90)</f>
        <v>112.29039511725024</v>
      </c>
      <c r="DI74" s="301">
        <f>AVERAGE(DH26,DI26)/(-IS!DI10/90)</f>
        <v>104.74929744120692</v>
      </c>
      <c r="DJ74" s="222">
        <f>AVERAGE(DE26,DJ26)/(-IS!DJ10/365)</f>
        <v>140.98974554370153</v>
      </c>
      <c r="DK74" s="301">
        <f>AVERAGE(DJ26,DK26)/(-IS!DK10/90)</f>
        <v>124.10842368640533</v>
      </c>
      <c r="DL74" s="301">
        <f>AVERAGE(DK26,DL26)/(-IS!DL10/90)</f>
        <v>119.10604732690624</v>
      </c>
      <c r="DM74" s="252">
        <v>100</v>
      </c>
      <c r="DN74" s="252">
        <v>100</v>
      </c>
      <c r="DO74" s="222">
        <f>AVERAGE(DJ26,DO26)/(-IS!DO10/365)</f>
        <v>107.9417230933678</v>
      </c>
      <c r="DP74" s="252">
        <v>100</v>
      </c>
      <c r="DQ74" s="252">
        <v>100</v>
      </c>
      <c r="DR74" s="252">
        <v>100</v>
      </c>
      <c r="DS74" s="252">
        <v>100</v>
      </c>
      <c r="DT74" s="222">
        <f>AVERAGE(DO26,DT26)/(-IS!DT10/365)</f>
        <v>103.55923433004652</v>
      </c>
      <c r="DU74" s="247">
        <v>100</v>
      </c>
      <c r="DV74" s="247">
        <v>100</v>
      </c>
    </row>
    <row r="75" spans="2:126" s="15" customFormat="1">
      <c r="B75" s="15" t="s">
        <v>122</v>
      </c>
      <c r="C75" s="13"/>
      <c r="D75" s="11" t="e">
        <f>-IS!D10/AVERAGE(BS!C10,D10)</f>
        <v>#DIV/0!</v>
      </c>
      <c r="E75" s="11" t="e">
        <f>-IS!E10/AVERAGE(BS!D10,E10)</f>
        <v>#DIV/0!</v>
      </c>
      <c r="F75" s="11" t="e">
        <f>-IS!F10/AVERAGE(BS!E10,F10)</f>
        <v>#DIV/0!</v>
      </c>
      <c r="G75" s="11" t="e">
        <f>-IS!G10/AVERAGE(BS!F10,G10)</f>
        <v>#DIV/0!</v>
      </c>
      <c r="H75" s="11" t="e">
        <f>-IS!H10/AVERAGE(BS!G10,H10)</f>
        <v>#DIV/0!</v>
      </c>
      <c r="I75" s="11" t="e">
        <f>-IS!I10/AVERAGE(BS!H10,I10)</f>
        <v>#DIV/0!</v>
      </c>
      <c r="J75" s="10"/>
      <c r="K75" s="10"/>
      <c r="L75" s="10"/>
      <c r="M75" s="10"/>
      <c r="N75" s="11"/>
      <c r="O75" s="10"/>
      <c r="P75" s="10"/>
      <c r="Q75" s="10"/>
      <c r="R75" s="10"/>
      <c r="S75" s="11"/>
      <c r="T75" s="10"/>
      <c r="U75" s="10"/>
      <c r="V75" s="10"/>
      <c r="W75" s="10"/>
      <c r="X75" s="11"/>
      <c r="Y75" s="10"/>
      <c r="Z75" s="10"/>
      <c r="AA75" s="10"/>
      <c r="AB75" s="10"/>
      <c r="AC75" s="11"/>
      <c r="AD75" s="10"/>
      <c r="AE75" s="10"/>
      <c r="AF75" s="10"/>
      <c r="AG75" s="10"/>
      <c r="AH75" s="11"/>
      <c r="AI75" s="10"/>
      <c r="AJ75" s="258"/>
      <c r="AK75" s="258"/>
      <c r="AL75" s="258"/>
      <c r="AM75" s="11"/>
      <c r="AN75" s="10"/>
      <c r="AO75" s="10"/>
      <c r="AP75" s="10"/>
      <c r="AQ75" s="10"/>
      <c r="AR75" s="11"/>
      <c r="AS75" s="10"/>
      <c r="AT75" s="10"/>
      <c r="AU75" s="10"/>
      <c r="AV75" s="10"/>
      <c r="AW75" s="11"/>
      <c r="AX75" s="10"/>
      <c r="AY75" s="10"/>
      <c r="AZ75" s="10"/>
      <c r="BA75" s="10"/>
      <c r="BB75" s="11"/>
      <c r="BC75" s="359"/>
      <c r="BD75" s="359"/>
      <c r="BE75" s="359"/>
      <c r="BF75" s="359"/>
      <c r="BG75" s="11"/>
      <c r="BH75" s="359"/>
      <c r="BI75" s="359"/>
      <c r="BJ75" s="359"/>
      <c r="BK75" s="359"/>
      <c r="BL75" s="11"/>
      <c r="BM75" s="359"/>
      <c r="BN75" s="359"/>
      <c r="BO75" s="359"/>
      <c r="BP75" s="359"/>
      <c r="BQ75" s="11"/>
      <c r="BR75" s="259"/>
      <c r="BS75" s="359"/>
      <c r="BT75" s="359"/>
      <c r="BU75" s="359"/>
      <c r="BV75" s="11"/>
      <c r="BW75" s="359"/>
      <c r="BX75" s="359"/>
      <c r="BY75" s="359"/>
      <c r="BZ75" s="359"/>
      <c r="CA75" s="11"/>
      <c r="CB75" s="359"/>
      <c r="CC75" s="359"/>
      <c r="CD75" s="359"/>
      <c r="CE75" s="359"/>
      <c r="CF75" s="11"/>
      <c r="CG75" s="359"/>
      <c r="CH75" s="359"/>
      <c r="CI75" s="359"/>
      <c r="CJ75" s="359"/>
      <c r="CK75" s="467"/>
      <c r="CL75" s="359"/>
      <c r="CM75" s="359"/>
      <c r="CN75" s="359"/>
      <c r="CO75" s="359">
        <f>-IS!CO10*4/AVERAGE(BS!CN10,CO10)</f>
        <v>7.9395846444304592</v>
      </c>
      <c r="CP75" s="467">
        <f>-IS!CP10/AVERAGE(BS!CK10,CP10)</f>
        <v>7.2839521711768409</v>
      </c>
      <c r="CQ75" s="359">
        <f>-IS!CQ10*4/AVERAGE(BS!CP10,CQ10)</f>
        <v>3.0938926588525599</v>
      </c>
      <c r="CR75" s="359">
        <f>-IS!CR10*4/AVERAGE(BS!CQ10,CR10)</f>
        <v>3.2476003100220594</v>
      </c>
      <c r="CS75" s="359">
        <f>-IS!CS10*4/AVERAGE(BS!CR10,CS10)</f>
        <v>3.1715080163284624</v>
      </c>
      <c r="CT75" s="359">
        <f>-IS!CT10*4/AVERAGE(BS!CS10,CT10)</f>
        <v>3.5145387137298156</v>
      </c>
      <c r="CU75" s="467">
        <f>-IS!CU10/AVERAGE(BS!CP10,CU10)</f>
        <v>3.3964142798626211</v>
      </c>
      <c r="CV75" s="359">
        <f>-IS!CV10*4/AVERAGE(BS!CU10,CV10)</f>
        <v>2.4120677422340129</v>
      </c>
      <c r="CW75" s="359">
        <f>-IS!CW10*4/AVERAGE(BS!CV10,CW10)</f>
        <v>2.4675438853559184</v>
      </c>
      <c r="CX75" s="359">
        <f>-IS!CX10*4/AVERAGE(BS!CW10,CX10)</f>
        <v>2.6296560175553592</v>
      </c>
      <c r="CY75" s="359">
        <f>-IS!CY10*4/AVERAGE(BS!CX10,CY10)</f>
        <v>3.0688006907823726</v>
      </c>
      <c r="CZ75" s="467">
        <f>-IS!CZ10/AVERAGE(BS!CU10,CZ10)</f>
        <v>2.8806038128700631</v>
      </c>
      <c r="DA75" s="359">
        <f>-IS!DA10*4/AVERAGE(BS!CZ10,DA10)</f>
        <v>2.7608478883206278</v>
      </c>
      <c r="DB75" s="359">
        <f>-IS!DB10*4/AVERAGE(BS!DA10,DB10)</f>
        <v>2.9980295267832782</v>
      </c>
      <c r="DC75" s="359">
        <f>-IS!DC10*4/AVERAGE(BS!DB10,DC10)</f>
        <v>3.0533881510840311</v>
      </c>
      <c r="DD75" s="359">
        <f>-IS!DD10*4/AVERAGE(BS!DC10,DD10)</f>
        <v>3.4331703827351854</v>
      </c>
      <c r="DE75" s="467">
        <f>-IS!DE10/AVERAGE(BS!CZ10,DE10)</f>
        <v>3.2077405391642002</v>
      </c>
      <c r="DF75" s="359">
        <f>-IS!DF10*4/AVERAGE(BS!DE10,DF10)</f>
        <v>2.7236236852128561</v>
      </c>
      <c r="DG75" s="359">
        <f>-IS!DG10*4/AVERAGE(BS!DF10,DG10)</f>
        <v>1.6474586288416075</v>
      </c>
      <c r="DH75" s="359">
        <f>-IS!DH10*4/AVERAGE(BS!DG10,DH10)</f>
        <v>2.5959243237608796</v>
      </c>
      <c r="DI75" s="359">
        <f>-IS!DI10*4/AVERAGE(BS!DH10,DI10)</f>
        <v>2.7764488475950926</v>
      </c>
      <c r="DJ75" s="467">
        <f>-IS!DJ10/AVERAGE(BS!DE10,DJ10)</f>
        <v>2.2959948271271537</v>
      </c>
      <c r="DK75" s="359">
        <f>-IS!DK10*4/AVERAGE(BS!DJ10,DK10)</f>
        <v>2.3664084472294862</v>
      </c>
      <c r="DL75" s="359">
        <f>-IS!DL10*4/AVERAGE(BS!DK10,DL10)</f>
        <v>2.5121783404430991</v>
      </c>
      <c r="DM75" s="259">
        <v>3</v>
      </c>
      <c r="DN75" s="259">
        <v>3</v>
      </c>
      <c r="DO75" s="467">
        <f>-IS!DO10/AVERAGE(BS!DJ10,DO10)</f>
        <v>2.7577443382001712</v>
      </c>
      <c r="DP75" s="259">
        <v>3</v>
      </c>
      <c r="DQ75" s="259">
        <v>3</v>
      </c>
      <c r="DR75" s="259">
        <v>3</v>
      </c>
      <c r="DS75" s="259">
        <v>3</v>
      </c>
      <c r="DT75" s="467">
        <f>-IS!DT10/AVERAGE(BS!DO10,DT10)</f>
        <v>2.8968927970623133</v>
      </c>
      <c r="DU75" s="262">
        <v>3</v>
      </c>
      <c r="DV75" s="262">
        <v>3</v>
      </c>
    </row>
    <row r="76" spans="2:126" s="15" customFormat="1">
      <c r="B76" s="15" t="s">
        <v>123</v>
      </c>
      <c r="C76" s="13"/>
      <c r="D76" s="16" t="e">
        <f t="shared" ref="D76" si="355">365/D75</f>
        <v>#DIV/0!</v>
      </c>
      <c r="E76" s="16" t="e">
        <f t="shared" ref="E76:I76" si="356">365/E75</f>
        <v>#DIV/0!</v>
      </c>
      <c r="F76" s="16" t="e">
        <f t="shared" si="356"/>
        <v>#DIV/0!</v>
      </c>
      <c r="G76" s="16" t="e">
        <f t="shared" si="356"/>
        <v>#DIV/0!</v>
      </c>
      <c r="H76" s="16" t="e">
        <f t="shared" si="356"/>
        <v>#DIV/0!</v>
      </c>
      <c r="I76" s="16" t="e">
        <f t="shared" si="356"/>
        <v>#DIV/0!</v>
      </c>
      <c r="J76" s="12"/>
      <c r="K76" s="12"/>
      <c r="L76" s="12"/>
      <c r="M76" s="12"/>
      <c r="N76" s="16"/>
      <c r="O76" s="12"/>
      <c r="P76" s="12"/>
      <c r="Q76" s="12"/>
      <c r="R76" s="12"/>
      <c r="S76" s="16"/>
      <c r="T76" s="12"/>
      <c r="U76" s="12"/>
      <c r="V76" s="12"/>
      <c r="W76" s="12"/>
      <c r="X76" s="16"/>
      <c r="Y76" s="12"/>
      <c r="Z76" s="12"/>
      <c r="AA76" s="12"/>
      <c r="AB76" s="12"/>
      <c r="AC76" s="16"/>
      <c r="AD76" s="12"/>
      <c r="AE76" s="12"/>
      <c r="AF76" s="12"/>
      <c r="AG76" s="12"/>
      <c r="AH76" s="16"/>
      <c r="AI76" s="12"/>
      <c r="AJ76" s="251"/>
      <c r="AK76" s="251"/>
      <c r="AL76" s="251"/>
      <c r="AM76" s="16"/>
      <c r="AN76" s="12"/>
      <c r="AO76" s="12"/>
      <c r="AP76" s="12"/>
      <c r="AQ76" s="12"/>
      <c r="AR76" s="16"/>
      <c r="AS76" s="12"/>
      <c r="AT76" s="12"/>
      <c r="AU76" s="12"/>
      <c r="AV76" s="12"/>
      <c r="AW76" s="16"/>
      <c r="AX76" s="12"/>
      <c r="AY76" s="12"/>
      <c r="AZ76" s="12"/>
      <c r="BA76" s="12"/>
      <c r="BB76" s="16"/>
      <c r="BC76" s="12"/>
      <c r="BD76" s="12"/>
      <c r="BE76" s="301"/>
      <c r="BF76" s="301"/>
      <c r="BG76" s="16"/>
      <c r="BH76" s="12"/>
      <c r="BI76" s="12"/>
      <c r="BJ76" s="301"/>
      <c r="BK76" s="12"/>
      <c r="BL76" s="16"/>
      <c r="BM76" s="12"/>
      <c r="BN76" s="12"/>
      <c r="BO76" s="301"/>
      <c r="BP76" s="12"/>
      <c r="BQ76" s="16"/>
      <c r="BR76" s="12"/>
      <c r="BS76" s="12"/>
      <c r="BT76" s="12"/>
      <c r="BU76" s="12"/>
      <c r="BV76" s="16"/>
      <c r="BW76" s="12"/>
      <c r="BX76" s="12"/>
      <c r="BY76" s="12"/>
      <c r="BZ76" s="12"/>
      <c r="CA76" s="16"/>
      <c r="CB76" s="12"/>
      <c r="CC76" s="12"/>
      <c r="CD76" s="12"/>
      <c r="CE76" s="12"/>
      <c r="CF76" s="16"/>
      <c r="CG76" s="12"/>
      <c r="CH76" s="12"/>
      <c r="CI76" s="12"/>
      <c r="CJ76" s="12"/>
      <c r="CK76" s="222"/>
      <c r="CL76" s="12"/>
      <c r="CM76" s="12"/>
      <c r="CN76" s="12"/>
      <c r="CO76" s="12">
        <f t="shared" ref="CO76:CP76" si="357">365/CO75</f>
        <v>45.972178186429929</v>
      </c>
      <c r="CP76" s="222">
        <f t="shared" si="357"/>
        <v>50.110158801472238</v>
      </c>
      <c r="CQ76" s="12">
        <f t="shared" ref="CQ76:CU76" si="358">365/CQ75</f>
        <v>117.97435795182646</v>
      </c>
      <c r="CR76" s="12">
        <f t="shared" si="358"/>
        <v>112.3906777794096</v>
      </c>
      <c r="CS76" s="12">
        <f t="shared" si="358"/>
        <v>115.08720713326369</v>
      </c>
      <c r="CT76" s="12">
        <f t="shared" si="358"/>
        <v>103.85431196819641</v>
      </c>
      <c r="CU76" s="222">
        <f t="shared" si="358"/>
        <v>107.46627764583641</v>
      </c>
      <c r="CV76" s="12">
        <f t="shared" ref="CV76:DE76" si="359">365/CV75</f>
        <v>151.32244986699408</v>
      </c>
      <c r="CW76" s="12">
        <f t="shared" si="359"/>
        <v>147.92036817102138</v>
      </c>
      <c r="CX76" s="12">
        <f t="shared" si="359"/>
        <v>138.8014240506329</v>
      </c>
      <c r="CY76" s="12">
        <f t="shared" si="359"/>
        <v>118.93897218425919</v>
      </c>
      <c r="CZ76" s="222">
        <f t="shared" si="359"/>
        <v>126.70954553668233</v>
      </c>
      <c r="DA76" s="12">
        <f t="shared" si="359"/>
        <v>132.20576241961041</v>
      </c>
      <c r="DB76" s="12">
        <f t="shared" si="359"/>
        <v>121.7466328264035</v>
      </c>
      <c r="DC76" s="12">
        <f t="shared" si="359"/>
        <v>119.53933857718536</v>
      </c>
      <c r="DD76" s="12">
        <f t="shared" si="359"/>
        <v>106.31572549836771</v>
      </c>
      <c r="DE76" s="222">
        <f t="shared" si="359"/>
        <v>113.78725789807905</v>
      </c>
      <c r="DF76" s="12">
        <f t="shared" ref="DF76:DI76" si="360">365/DF75</f>
        <v>134.01263984509467</v>
      </c>
      <c r="DG76" s="12">
        <f t="shared" si="360"/>
        <v>221.55336322869957</v>
      </c>
      <c r="DH76" s="12">
        <f t="shared" si="360"/>
        <v>140.60502328943141</v>
      </c>
      <c r="DI76" s="12">
        <f t="shared" si="360"/>
        <v>131.46289380269192</v>
      </c>
      <c r="DJ76" s="222">
        <f t="shared" ref="DJ76:DN76" si="361">365/DJ75</f>
        <v>158.9724835994964</v>
      </c>
      <c r="DK76" s="12">
        <f t="shared" si="361"/>
        <v>154.24218098415346</v>
      </c>
      <c r="DL76" s="12">
        <f t="shared" si="361"/>
        <v>145.29223269062226</v>
      </c>
      <c r="DM76" s="12">
        <f t="shared" si="361"/>
        <v>121.66666666666667</v>
      </c>
      <c r="DN76" s="12">
        <f t="shared" si="361"/>
        <v>121.66666666666667</v>
      </c>
      <c r="DO76" s="16">
        <f t="shared" ref="DO76:DS76" si="362">365/DO75</f>
        <v>132.35454604838949</v>
      </c>
      <c r="DP76" s="12">
        <f t="shared" si="362"/>
        <v>121.66666666666667</v>
      </c>
      <c r="DQ76" s="12">
        <f t="shared" si="362"/>
        <v>121.66666666666667</v>
      </c>
      <c r="DR76" s="12">
        <f t="shared" si="362"/>
        <v>121.66666666666667</v>
      </c>
      <c r="DS76" s="12">
        <f t="shared" si="362"/>
        <v>121.66666666666667</v>
      </c>
      <c r="DT76" s="16">
        <f t="shared" ref="DT76" si="363">365/DT75</f>
        <v>125.99706843488993</v>
      </c>
      <c r="DU76" s="16">
        <f t="shared" ref="DU76:DV76" si="364">365/DU75</f>
        <v>121.66666666666667</v>
      </c>
      <c r="DV76" s="16">
        <f t="shared" si="364"/>
        <v>121.66666666666667</v>
      </c>
    </row>
    <row r="77" spans="2:126" s="15" customFormat="1">
      <c r="B77" s="15" t="s">
        <v>124</v>
      </c>
      <c r="C77" s="13"/>
      <c r="D77" s="13" t="e">
        <f t="shared" ref="D77" si="365">D72+D76-D74</f>
        <v>#DIV/0!</v>
      </c>
      <c r="E77" s="13" t="e">
        <f t="shared" ref="E77:I77" si="366">E72+E76-E74</f>
        <v>#DIV/0!</v>
      </c>
      <c r="F77" s="13" t="e">
        <f t="shared" si="366"/>
        <v>#DIV/0!</v>
      </c>
      <c r="G77" s="13" t="e">
        <f t="shared" si="366"/>
        <v>#DIV/0!</v>
      </c>
      <c r="H77" s="13" t="e">
        <f t="shared" si="366"/>
        <v>#DIV/0!</v>
      </c>
      <c r="I77" s="13" t="e">
        <f t="shared" si="366"/>
        <v>#DIV/0!</v>
      </c>
      <c r="J77" s="9"/>
      <c r="K77" s="9"/>
      <c r="L77" s="9"/>
      <c r="M77" s="9"/>
      <c r="N77" s="13"/>
      <c r="O77" s="9"/>
      <c r="P77" s="9"/>
      <c r="Q77" s="9"/>
      <c r="R77" s="9"/>
      <c r="S77" s="13"/>
      <c r="T77" s="9"/>
      <c r="U77" s="9"/>
      <c r="V77" s="9"/>
      <c r="W77" s="9"/>
      <c r="X77" s="13"/>
      <c r="Y77" s="9"/>
      <c r="Z77" s="9"/>
      <c r="AA77" s="9"/>
      <c r="AB77" s="9"/>
      <c r="AC77" s="13"/>
      <c r="AD77" s="9"/>
      <c r="AE77" s="9"/>
      <c r="AF77" s="9"/>
      <c r="AG77" s="9"/>
      <c r="AH77" s="13"/>
      <c r="AI77" s="9"/>
      <c r="AJ77" s="253"/>
      <c r="AK77" s="253"/>
      <c r="AL77" s="253"/>
      <c r="AM77" s="13"/>
      <c r="AN77" s="9"/>
      <c r="AO77" s="9"/>
      <c r="AP77" s="9"/>
      <c r="AQ77" s="9"/>
      <c r="AR77" s="13"/>
      <c r="AS77" s="9"/>
      <c r="AT77" s="9"/>
      <c r="AU77" s="9"/>
      <c r="AV77" s="9"/>
      <c r="AW77" s="13"/>
      <c r="AX77" s="9"/>
      <c r="AY77" s="9"/>
      <c r="AZ77" s="9"/>
      <c r="BA77" s="9"/>
      <c r="BB77" s="13"/>
      <c r="BC77" s="9"/>
      <c r="BD77" s="9"/>
      <c r="BE77" s="364"/>
      <c r="BF77" s="364"/>
      <c r="BG77" s="13"/>
      <c r="BH77" s="9"/>
      <c r="BI77" s="9"/>
      <c r="BJ77" s="9"/>
      <c r="BK77" s="9"/>
      <c r="BL77" s="13"/>
      <c r="BM77" s="9"/>
      <c r="BN77" s="9"/>
      <c r="BO77" s="9"/>
      <c r="BP77" s="9"/>
      <c r="BQ77" s="13"/>
      <c r="BR77" s="9"/>
      <c r="BS77" s="9"/>
      <c r="BT77" s="9"/>
      <c r="BU77" s="9"/>
      <c r="BV77" s="13"/>
      <c r="BW77" s="9"/>
      <c r="BX77" s="9"/>
      <c r="BY77" s="9"/>
      <c r="BZ77" s="9"/>
      <c r="CA77" s="13"/>
      <c r="CB77" s="9"/>
      <c r="CC77" s="9"/>
      <c r="CD77" s="9"/>
      <c r="CE77" s="9"/>
      <c r="CF77" s="13"/>
      <c r="CG77" s="9"/>
      <c r="CH77" s="9"/>
      <c r="CI77" s="9"/>
      <c r="CJ77" s="9"/>
      <c r="CK77" s="468"/>
      <c r="CL77" s="9"/>
      <c r="CM77" s="9"/>
      <c r="CN77" s="9"/>
      <c r="CO77" s="9">
        <f t="shared" ref="CO77:CP77" si="367">CO72+CO76-CO74</f>
        <v>35.456600859209779</v>
      </c>
      <c r="CP77" s="468">
        <f t="shared" si="367"/>
        <v>39.161414665322802</v>
      </c>
      <c r="CQ77" s="9">
        <f t="shared" ref="CQ77:CU77" si="368">CQ72+CQ76-CQ74</f>
        <v>87.124321978237404</v>
      </c>
      <c r="CR77" s="9">
        <f t="shared" si="368"/>
        <v>80.981091363502983</v>
      </c>
      <c r="CS77" s="9">
        <f t="shared" si="368"/>
        <v>79.714173005076248</v>
      </c>
      <c r="CT77" s="9">
        <f t="shared" si="368"/>
        <v>70.090002826497127</v>
      </c>
      <c r="CU77" s="468">
        <f t="shared" si="368"/>
        <v>77.013022693672497</v>
      </c>
      <c r="CV77" s="9">
        <f t="shared" ref="CV77:DE77" si="369">CV72+CV76-CV74</f>
        <v>114.37232198232363</v>
      </c>
      <c r="CW77" s="9">
        <f t="shared" si="369"/>
        <v>108.80461995921914</v>
      </c>
      <c r="CX77" s="9">
        <f t="shared" si="369"/>
        <v>108.85335923831303</v>
      </c>
      <c r="CY77" s="9">
        <f t="shared" si="369"/>
        <v>86.189873520853794</v>
      </c>
      <c r="CZ77" s="468">
        <f t="shared" si="369"/>
        <v>91.925868983473634</v>
      </c>
      <c r="DA77" s="9">
        <f t="shared" si="369"/>
        <v>94.667612595949279</v>
      </c>
      <c r="DB77" s="9">
        <f t="shared" si="369"/>
        <v>88.533452815308095</v>
      </c>
      <c r="DC77" s="9">
        <f t="shared" si="369"/>
        <v>86.432623700244022</v>
      </c>
      <c r="DD77" s="9">
        <f t="shared" si="369"/>
        <v>78.343157049825081</v>
      </c>
      <c r="DE77" s="468">
        <f t="shared" si="369"/>
        <v>83.583266989025176</v>
      </c>
      <c r="DF77" s="9">
        <f t="shared" ref="DF77:DI77" si="370">DF72+DF76-DF74</f>
        <v>101.22408905384199</v>
      </c>
      <c r="DG77" s="9">
        <f t="shared" si="370"/>
        <v>152.93274519057925</v>
      </c>
      <c r="DH77" s="9">
        <f t="shared" si="370"/>
        <v>107.44183808886477</v>
      </c>
      <c r="DI77" s="9">
        <f t="shared" si="370"/>
        <v>102.72497261009767</v>
      </c>
      <c r="DJ77" s="468">
        <f t="shared" ref="DJ77:DN77" si="371">DJ72+DJ76-DJ74</f>
        <v>116.77580574138437</v>
      </c>
      <c r="DK77" s="9">
        <f t="shared" si="371"/>
        <v>116.11120847552144</v>
      </c>
      <c r="DL77" s="9">
        <f t="shared" si="371"/>
        <v>108.50724133758885</v>
      </c>
      <c r="DM77" s="9">
        <f t="shared" si="371"/>
        <v>96.666666666666686</v>
      </c>
      <c r="DN77" s="9">
        <f t="shared" si="371"/>
        <v>96.666666666666686</v>
      </c>
      <c r="DO77" s="13">
        <f t="shared" ref="DO77:DS77" si="372">DO72+DO76-DO74</f>
        <v>104.048354289637</v>
      </c>
      <c r="DP77" s="9">
        <f t="shared" si="372"/>
        <v>96.666666666666686</v>
      </c>
      <c r="DQ77" s="9">
        <f t="shared" si="372"/>
        <v>96.666666666666686</v>
      </c>
      <c r="DR77" s="9">
        <f t="shared" si="372"/>
        <v>96.666666666666686</v>
      </c>
      <c r="DS77" s="9">
        <f t="shared" si="372"/>
        <v>96.666666666666686</v>
      </c>
      <c r="DT77" s="13">
        <f t="shared" ref="DT77" si="373">DT72+DT76-DT74</f>
        <v>99.115067151054248</v>
      </c>
      <c r="DU77" s="13">
        <f t="shared" ref="DU77:DV77" si="374">DU72+DU76-DU74</f>
        <v>96.666666666666686</v>
      </c>
      <c r="DV77" s="13">
        <f t="shared" si="374"/>
        <v>96.666666666666686</v>
      </c>
    </row>
    <row r="78" spans="2:126" s="15" customFormat="1">
      <c r="B78" s="15" t="s">
        <v>125</v>
      </c>
      <c r="C78" s="16"/>
      <c r="D78" s="8" t="e">
        <f>IS!D9/AVERAGE(BS!C22,D22)</f>
        <v>#REF!</v>
      </c>
      <c r="E78" s="8" t="e">
        <f>IS!E9/AVERAGE(BS!D22,E22)</f>
        <v>#REF!</v>
      </c>
      <c r="F78" s="8" t="e">
        <f>IS!F9/AVERAGE(BS!E22,F22)</f>
        <v>#REF!</v>
      </c>
      <c r="G78" s="8" t="e">
        <f>IS!G9/AVERAGE(BS!F22,G22)</f>
        <v>#REF!</v>
      </c>
      <c r="H78" s="8" t="e">
        <f>IS!H9/AVERAGE(BS!G22,H22)</f>
        <v>#REF!</v>
      </c>
      <c r="I78" s="8" t="e">
        <f>IS!I9/AVERAGE(BS!H22,I22)</f>
        <v>#REF!</v>
      </c>
      <c r="J78" s="7"/>
      <c r="K78" s="7"/>
      <c r="L78" s="7"/>
      <c r="M78" s="7"/>
      <c r="N78" s="8"/>
      <c r="O78" s="7"/>
      <c r="P78" s="7"/>
      <c r="Q78" s="7"/>
      <c r="R78" s="7"/>
      <c r="S78" s="8"/>
      <c r="T78" s="7"/>
      <c r="U78" s="7"/>
      <c r="V78" s="7"/>
      <c r="W78" s="7"/>
      <c r="X78" s="8"/>
      <c r="Y78" s="7"/>
      <c r="Z78" s="7"/>
      <c r="AA78" s="7"/>
      <c r="AB78" s="7"/>
      <c r="AC78" s="8"/>
      <c r="AD78" s="7"/>
      <c r="AE78" s="7"/>
      <c r="AF78" s="7"/>
      <c r="AG78" s="7"/>
      <c r="AH78" s="8"/>
      <c r="AI78" s="7"/>
      <c r="AJ78" s="257"/>
      <c r="AK78" s="257"/>
      <c r="AL78" s="257"/>
      <c r="AM78" s="8"/>
      <c r="AN78" s="7"/>
      <c r="AO78" s="7"/>
      <c r="AP78" s="7"/>
      <c r="AQ78" s="7"/>
      <c r="AR78" s="8"/>
      <c r="AS78" s="7"/>
      <c r="AT78" s="7"/>
      <c r="AU78" s="7"/>
      <c r="AV78" s="7"/>
      <c r="AW78" s="8"/>
      <c r="AX78" s="7"/>
      <c r="AY78" s="7"/>
      <c r="AZ78" s="7"/>
      <c r="BA78" s="7"/>
      <c r="BB78" s="8"/>
      <c r="BC78" s="7"/>
      <c r="BD78" s="7"/>
      <c r="BE78" s="365"/>
      <c r="BF78" s="365"/>
      <c r="BG78" s="8"/>
      <c r="BH78" s="7"/>
      <c r="BI78" s="7"/>
      <c r="BJ78" s="7"/>
      <c r="BK78" s="7"/>
      <c r="BL78" s="8"/>
      <c r="BM78" s="7"/>
      <c r="BN78" s="7"/>
      <c r="BO78" s="7"/>
      <c r="BP78" s="7"/>
      <c r="BQ78" s="8"/>
      <c r="BR78" s="7"/>
      <c r="BS78" s="7"/>
      <c r="BT78" s="7"/>
      <c r="BU78" s="7"/>
      <c r="BV78" s="8"/>
      <c r="BW78" s="7"/>
      <c r="BX78" s="7"/>
      <c r="BY78" s="7"/>
      <c r="BZ78" s="7"/>
      <c r="CA78" s="8"/>
      <c r="CB78" s="7"/>
      <c r="CC78" s="7"/>
      <c r="CD78" s="7"/>
      <c r="CE78" s="7"/>
      <c r="CF78" s="8"/>
      <c r="CG78" s="7"/>
      <c r="CH78" s="7"/>
      <c r="CI78" s="7"/>
      <c r="CJ78" s="7"/>
      <c r="CK78" s="469"/>
      <c r="CL78" s="7"/>
      <c r="CM78" s="7"/>
      <c r="CN78" s="7"/>
      <c r="CO78" s="7">
        <f>IS!CO9*4/AVERAGE(BS!CN22,CO22)</f>
        <v>0.65602179453653431</v>
      </c>
      <c r="CP78" s="469">
        <f>IS!CP9/AVERAGE(BS!CK22,CP22)</f>
        <v>0.59196521616948528</v>
      </c>
      <c r="CQ78" s="7">
        <f>IS!CQ9*4/AVERAGE(BS!CP22,CQ22)</f>
        <v>0.27315282971827476</v>
      </c>
      <c r="CR78" s="7">
        <f>IS!CR9*4/AVERAGE(BS!CQ22,CR22)</f>
        <v>0.30294806752526809</v>
      </c>
      <c r="CS78" s="7">
        <f>IS!CS9*4/AVERAGE(BS!CR22,CS22)</f>
        <v>0.31058454745392799</v>
      </c>
      <c r="CT78" s="7">
        <f>IS!CT9*4/AVERAGE(BS!CS22,CT22)</f>
        <v>0.37371877057019726</v>
      </c>
      <c r="CU78" s="469">
        <f>IS!CU9/AVERAGE(BS!CP22,CU22)</f>
        <v>0.32607534856125781</v>
      </c>
      <c r="CV78" s="7">
        <f>IS!CV9*4/AVERAGE(BS!CU22,CV22)</f>
        <v>0.25942405362876919</v>
      </c>
      <c r="CW78" s="7">
        <f>IS!CW9*4/AVERAGE(BS!CV22,CW22)</f>
        <v>0.29940053138932082</v>
      </c>
      <c r="CX78" s="7">
        <f>IS!CX9*4/AVERAGE(BS!CW22,CX22)</f>
        <v>0.31594603962152412</v>
      </c>
      <c r="CY78" s="7">
        <f>IS!CY9*4/AVERAGE(BS!CX22,CY22)</f>
        <v>0.36407304829496279</v>
      </c>
      <c r="CZ78" s="469">
        <f>IS!CZ9/AVERAGE(BS!CU22,CZ22)</f>
        <v>0.29969179186278933</v>
      </c>
      <c r="DA78" s="7">
        <f>IS!DA9*4/AVERAGE(BS!CZ22,DA22)</f>
        <v>0.32797185578068794</v>
      </c>
      <c r="DB78" s="7">
        <f>IS!DB9*4/AVERAGE(BS!DA22,DB22)</f>
        <v>0.40791747842603165</v>
      </c>
      <c r="DC78" s="7">
        <f>IS!DC9*4/AVERAGE(BS!DB22,DC22)</f>
        <v>0.43410037914336125</v>
      </c>
      <c r="DD78" s="7">
        <f>IS!DD9*4/AVERAGE(BS!DC22,DD22)</f>
        <v>0.48607005789676172</v>
      </c>
      <c r="DE78" s="469">
        <f>IS!DE9/AVERAGE(BS!CZ22,DE22)</f>
        <v>0.38621638211289699</v>
      </c>
      <c r="DF78" s="7">
        <f>IS!DF9*4/AVERAGE(BS!DE22,DF22)</f>
        <v>0.39274955885096352</v>
      </c>
      <c r="DG78" s="7">
        <f>IS!DG9*4/AVERAGE(BS!DF22,DG22)</f>
        <v>0.25334689271833166</v>
      </c>
      <c r="DH78" s="7">
        <f>IS!DH9*4/AVERAGE(BS!DG22,DH22)</f>
        <v>0.31508389725037916</v>
      </c>
      <c r="DI78" s="7">
        <f>IS!DI9*4/AVERAGE(BS!DH22,DI22)</f>
        <v>0.34620695728048861</v>
      </c>
      <c r="DJ78" s="469">
        <f>IS!DJ9/AVERAGE(BS!DE22,DJ22)</f>
        <v>0.32007268025927282</v>
      </c>
      <c r="DK78" s="7">
        <f>IS!DK9*4/AVERAGE(BS!DJ22,DK22)</f>
        <v>0.32140676122185691</v>
      </c>
      <c r="DL78" s="7">
        <f>IS!DL9*4/AVERAGE(BS!DK22,DL22)</f>
        <v>0.35361437811523827</v>
      </c>
      <c r="DM78" s="7">
        <f>IS!DM9*4/AVERAGE(BS!DL22,DM22)</f>
        <v>0.33018592317439049</v>
      </c>
      <c r="DN78" s="7">
        <f>IS!DN9*4/AVERAGE(BS!DM22,DN22)</f>
        <v>0.35737816819540147</v>
      </c>
      <c r="DO78" s="8">
        <f>IS!DO9/AVERAGE(BS!DJ22,DO22)</f>
        <v>0.34415098212097373</v>
      </c>
      <c r="DP78" s="7">
        <f>IS!DP9*4/AVERAGE(BS!DO22,DP22)</f>
        <v>0.3478158654052067</v>
      </c>
      <c r="DQ78" s="7">
        <f>IS!DQ9*4/AVERAGE(BS!DP22,DQ22)</f>
        <v>0.39144964158314471</v>
      </c>
      <c r="DR78" s="7">
        <f>IS!DR9*4/AVERAGE(BS!DQ22,DR22)</f>
        <v>0.3866321342009752</v>
      </c>
      <c r="DS78" s="7">
        <f>IS!DS9*4/AVERAGE(BS!DR22,DS22)</f>
        <v>0.41381536744689756</v>
      </c>
      <c r="DT78" s="8">
        <f>IS!DT9/AVERAGE(BS!DO22,DT22)</f>
        <v>0.38064208018394119</v>
      </c>
      <c r="DU78" s="8">
        <f>IS!DU9/AVERAGE(BS!DT22,DU22)</f>
        <v>0.41635808538763119</v>
      </c>
      <c r="DV78" s="8">
        <f>IS!DV9/AVERAGE(BS!DU22,DV22)</f>
        <v>0.44905126052615774</v>
      </c>
    </row>
    <row r="79" spans="2:126" s="15" customFormat="1">
      <c r="C79" s="16"/>
      <c r="D79" s="16"/>
      <c r="E79" s="16"/>
      <c r="F79" s="16"/>
      <c r="G79" s="16"/>
      <c r="H79" s="16"/>
      <c r="I79" s="16"/>
      <c r="N79" s="16"/>
      <c r="S79" s="16"/>
      <c r="X79" s="16"/>
      <c r="AC79" s="16"/>
      <c r="AH79" s="16"/>
      <c r="AM79" s="16"/>
      <c r="AR79" s="16"/>
      <c r="AW79" s="16"/>
      <c r="BB79" s="16"/>
      <c r="BG79" s="16"/>
      <c r="BL79" s="16"/>
      <c r="BQ79" s="16"/>
      <c r="BV79" s="16"/>
      <c r="CA79" s="16"/>
      <c r="CF79" s="16"/>
      <c r="CK79" s="222"/>
      <c r="CP79" s="222"/>
      <c r="CU79" s="222"/>
      <c r="CZ79" s="222"/>
      <c r="DE79" s="222"/>
      <c r="DJ79" s="222"/>
      <c r="DO79" s="16"/>
      <c r="DT79" s="16"/>
      <c r="DU79" s="16"/>
      <c r="DV79" s="16"/>
    </row>
    <row r="80" spans="2:126" s="15" customFormat="1" ht="12">
      <c r="B80" s="110" t="s">
        <v>126</v>
      </c>
      <c r="C80" s="16"/>
      <c r="D80" s="16"/>
      <c r="E80" s="16"/>
      <c r="F80" s="16"/>
      <c r="G80" s="16"/>
      <c r="H80" s="16"/>
      <c r="I80" s="16"/>
      <c r="N80" s="16"/>
      <c r="S80" s="16"/>
      <c r="X80" s="16"/>
      <c r="AC80" s="16"/>
      <c r="AH80" s="16"/>
      <c r="AM80" s="16"/>
      <c r="AR80" s="16"/>
      <c r="AW80" s="16"/>
      <c r="BB80" s="16"/>
      <c r="BG80" s="16"/>
      <c r="BL80" s="16"/>
      <c r="BQ80" s="16"/>
      <c r="BV80" s="16"/>
      <c r="CA80" s="16"/>
      <c r="CF80" s="16"/>
      <c r="CK80" s="222"/>
      <c r="CP80" s="222"/>
      <c r="CU80" s="222"/>
      <c r="CZ80" s="222"/>
      <c r="DE80" s="222"/>
      <c r="DJ80" s="222"/>
      <c r="DO80" s="16"/>
      <c r="DT80" s="16"/>
      <c r="DU80" s="16"/>
      <c r="DV80" s="16"/>
    </row>
    <row r="81" spans="1:126" s="15" customFormat="1">
      <c r="B81" s="15" t="s">
        <v>127</v>
      </c>
      <c r="C81" s="6" t="e">
        <f t="shared" ref="C81:I81" si="375">C14/C30</f>
        <v>#REF!</v>
      </c>
      <c r="D81" s="6" t="e">
        <f t="shared" si="375"/>
        <v>#REF!</v>
      </c>
      <c r="E81" s="6" t="e">
        <f t="shared" si="375"/>
        <v>#REF!</v>
      </c>
      <c r="F81" s="6" t="e">
        <f t="shared" si="375"/>
        <v>#REF!</v>
      </c>
      <c r="G81" s="6" t="e">
        <f t="shared" si="375"/>
        <v>#REF!</v>
      </c>
      <c r="H81" s="6" t="e">
        <f t="shared" si="375"/>
        <v>#REF!</v>
      </c>
      <c r="I81" s="6" t="e">
        <f t="shared" si="375"/>
        <v>#REF!</v>
      </c>
      <c r="J81" s="5"/>
      <c r="K81" s="5"/>
      <c r="L81" s="5"/>
      <c r="M81" s="5"/>
      <c r="N81" s="6"/>
      <c r="O81" s="5"/>
      <c r="P81" s="5"/>
      <c r="Q81" s="5"/>
      <c r="R81" s="5"/>
      <c r="S81" s="6"/>
      <c r="T81" s="5"/>
      <c r="U81" s="5"/>
      <c r="V81" s="5"/>
      <c r="W81" s="5"/>
      <c r="X81" s="6"/>
      <c r="Y81" s="5"/>
      <c r="Z81" s="5"/>
      <c r="AA81" s="5"/>
      <c r="AB81" s="5"/>
      <c r="AC81" s="6"/>
      <c r="AD81" s="5"/>
      <c r="AE81" s="5"/>
      <c r="AF81" s="5"/>
      <c r="AG81" s="5"/>
      <c r="AH81" s="6"/>
      <c r="AI81" s="5"/>
      <c r="AJ81" s="5"/>
      <c r="AK81" s="5"/>
      <c r="AL81" s="5"/>
      <c r="AM81" s="6"/>
      <c r="AN81" s="5"/>
      <c r="AO81" s="5"/>
      <c r="AP81" s="5"/>
      <c r="AQ81" s="5"/>
      <c r="AR81" s="6"/>
      <c r="AS81" s="5"/>
      <c r="AT81" s="5"/>
      <c r="AU81" s="5"/>
      <c r="AV81" s="5"/>
      <c r="AW81" s="6"/>
      <c r="AX81" s="5"/>
      <c r="AY81" s="5"/>
      <c r="AZ81" s="5"/>
      <c r="BA81" s="5"/>
      <c r="BB81" s="6"/>
      <c r="BC81" s="5"/>
      <c r="BD81" s="5"/>
      <c r="BE81" s="5"/>
      <c r="BF81" s="5"/>
      <c r="BG81" s="6"/>
      <c r="BH81" s="5"/>
      <c r="BI81" s="5"/>
      <c r="BJ81" s="5"/>
      <c r="BK81" s="5"/>
      <c r="BL81" s="6"/>
      <c r="BM81" s="5"/>
      <c r="BN81" s="5"/>
      <c r="BO81" s="5"/>
      <c r="BP81" s="5"/>
      <c r="BQ81" s="6"/>
      <c r="BR81" s="5"/>
      <c r="BS81" s="5"/>
      <c r="BT81" s="5"/>
      <c r="BU81" s="5"/>
      <c r="BV81" s="6"/>
      <c r="BW81" s="5"/>
      <c r="BX81" s="5"/>
      <c r="BY81" s="5"/>
      <c r="BZ81" s="5"/>
      <c r="CA81" s="6"/>
      <c r="CB81" s="5"/>
      <c r="CC81" s="5"/>
      <c r="CD81" s="5"/>
      <c r="CE81" s="5"/>
      <c r="CF81" s="6"/>
      <c r="CG81" s="5"/>
      <c r="CH81" s="5"/>
      <c r="CI81" s="5"/>
      <c r="CJ81" s="5"/>
      <c r="CK81" s="470"/>
      <c r="CL81" s="5"/>
      <c r="CM81" s="5"/>
      <c r="CN81" s="5"/>
      <c r="CO81" s="5">
        <f t="shared" ref="CO81:DU81" si="376">CO14/CO30</f>
        <v>1.5596652811601632</v>
      </c>
      <c r="CP81" s="470">
        <f t="shared" si="376"/>
        <v>1.5596652811601632</v>
      </c>
      <c r="CQ81" s="5">
        <f t="shared" si="376"/>
        <v>1.9625006501274249</v>
      </c>
      <c r="CR81" s="5">
        <f t="shared" si="376"/>
        <v>1.808135736859761</v>
      </c>
      <c r="CS81" s="5">
        <f t="shared" si="376"/>
        <v>1.7960156737637838</v>
      </c>
      <c r="CT81" s="5">
        <f t="shared" si="376"/>
        <v>1.2770773583816142</v>
      </c>
      <c r="CU81" s="470">
        <f t="shared" si="376"/>
        <v>1.2770773583816142</v>
      </c>
      <c r="CV81" s="5">
        <f t="shared" si="376"/>
        <v>1.1865966819758178</v>
      </c>
      <c r="CW81" s="5">
        <f t="shared" si="376"/>
        <v>1.1257144978101106</v>
      </c>
      <c r="CX81" s="5">
        <f t="shared" si="376"/>
        <v>1.0992169490285044</v>
      </c>
      <c r="CY81" s="5">
        <f t="shared" si="376"/>
        <v>1.1811726147123087</v>
      </c>
      <c r="CZ81" s="470">
        <f t="shared" si="376"/>
        <v>1.1811726147123087</v>
      </c>
      <c r="DA81" s="5">
        <f t="shared" si="376"/>
        <v>1.2513440023247608</v>
      </c>
      <c r="DB81" s="5">
        <f t="shared" si="376"/>
        <v>1.2516213519580943</v>
      </c>
      <c r="DC81" s="5">
        <f t="shared" si="376"/>
        <v>1.1717014429565036</v>
      </c>
      <c r="DD81" s="5">
        <f t="shared" si="376"/>
        <v>1.1753872159760987</v>
      </c>
      <c r="DE81" s="470">
        <f t="shared" si="376"/>
        <v>1.1753872159760987</v>
      </c>
      <c r="DF81" s="5">
        <f t="shared" si="376"/>
        <v>1.1664611349266938</v>
      </c>
      <c r="DG81" s="5">
        <f t="shared" ref="DG81:DH81" si="377">DG14/DG30</f>
        <v>1.1405190839694657</v>
      </c>
      <c r="DH81" s="5">
        <f t="shared" si="377"/>
        <v>1.1336638019534802</v>
      </c>
      <c r="DI81" s="5">
        <f t="shared" si="376"/>
        <v>1.0942951849267271</v>
      </c>
      <c r="DJ81" s="470">
        <f t="shared" si="376"/>
        <v>1.0942951849267271</v>
      </c>
      <c r="DK81" s="5">
        <f t="shared" ref="DK81:DL81" si="378">DK14/DK30</f>
        <v>1.0753842191122178</v>
      </c>
      <c r="DL81" s="5">
        <f t="shared" si="378"/>
        <v>1.0366094444139746</v>
      </c>
      <c r="DM81" s="5">
        <f t="shared" si="376"/>
        <v>0.93353910309942478</v>
      </c>
      <c r="DN81" s="5">
        <f t="shared" si="376"/>
        <v>0.93764517215512699</v>
      </c>
      <c r="DO81" s="6">
        <f t="shared" si="376"/>
        <v>0.93764517215512699</v>
      </c>
      <c r="DP81" s="5">
        <f t="shared" si="376"/>
        <v>0.90088554266462961</v>
      </c>
      <c r="DQ81" s="5">
        <f t="shared" ref="DQ81:DT81" si="379">DQ14/DQ30</f>
        <v>0.90898654849731941</v>
      </c>
      <c r="DR81" s="5">
        <f t="shared" si="379"/>
        <v>0.89804363128926967</v>
      </c>
      <c r="DS81" s="5">
        <f t="shared" si="379"/>
        <v>0.95422608837061662</v>
      </c>
      <c r="DT81" s="6">
        <f t="shared" si="379"/>
        <v>0.95422608837061662</v>
      </c>
      <c r="DU81" s="6">
        <f t="shared" si="376"/>
        <v>0.90660377630230315</v>
      </c>
      <c r="DV81" s="6">
        <f t="shared" ref="DV81" si="380">DV14/DV30</f>
        <v>0.9231906257452076</v>
      </c>
    </row>
    <row r="82" spans="1:126" s="15" customFormat="1">
      <c r="B82" s="15" t="s">
        <v>128</v>
      </c>
      <c r="C82" s="6" t="e">
        <f>-IS!C14/IS!C15</f>
        <v>#DIV/0!</v>
      </c>
      <c r="D82" s="6" t="e">
        <f>-IS!D14/IS!D15</f>
        <v>#DIV/0!</v>
      </c>
      <c r="E82" s="6" t="e">
        <f>-IS!E14/IS!E15</f>
        <v>#DIV/0!</v>
      </c>
      <c r="F82" s="6" t="e">
        <f>-IS!F14/IS!F15</f>
        <v>#DIV/0!</v>
      </c>
      <c r="G82" s="6" t="e">
        <f>-IS!G14/IS!G15</f>
        <v>#DIV/0!</v>
      </c>
      <c r="H82" s="6" t="e">
        <f>-IS!H14/IS!H15</f>
        <v>#DIV/0!</v>
      </c>
      <c r="I82" s="6" t="e">
        <f>-IS!I14/IS!I15</f>
        <v>#DIV/0!</v>
      </c>
      <c r="J82" s="5"/>
      <c r="K82" s="5"/>
      <c r="L82" s="5"/>
      <c r="M82" s="5"/>
      <c r="N82" s="6"/>
      <c r="O82" s="5"/>
      <c r="P82" s="5"/>
      <c r="Q82" s="5"/>
      <c r="R82" s="5"/>
      <c r="S82" s="6"/>
      <c r="T82" s="5"/>
      <c r="U82" s="5"/>
      <c r="V82" s="5"/>
      <c r="W82" s="5"/>
      <c r="X82" s="6"/>
      <c r="Y82" s="5"/>
      <c r="Z82" s="5"/>
      <c r="AA82" s="5"/>
      <c r="AB82" s="5"/>
      <c r="AC82" s="6"/>
      <c r="AD82" s="5"/>
      <c r="AE82" s="5"/>
      <c r="AF82" s="5"/>
      <c r="AG82" s="5"/>
      <c r="AH82" s="6"/>
      <c r="AI82" s="5"/>
      <c r="AJ82" s="5"/>
      <c r="AK82" s="5"/>
      <c r="AL82" s="5"/>
      <c r="AM82" s="6"/>
      <c r="AN82" s="5"/>
      <c r="AO82" s="5"/>
      <c r="AP82" s="5"/>
      <c r="AQ82" s="5"/>
      <c r="AR82" s="6"/>
      <c r="AS82" s="5"/>
      <c r="AT82" s="5"/>
      <c r="AU82" s="5"/>
      <c r="AV82" s="5"/>
      <c r="AW82" s="6"/>
      <c r="AX82" s="5"/>
      <c r="AY82" s="5"/>
      <c r="AZ82" s="5"/>
      <c r="BA82" s="5"/>
      <c r="BB82" s="6"/>
      <c r="BC82" s="5"/>
      <c r="BD82" s="5"/>
      <c r="BE82" s="5"/>
      <c r="BF82" s="5"/>
      <c r="BG82" s="6"/>
      <c r="BH82" s="5"/>
      <c r="BI82" s="5"/>
      <c r="BJ82" s="5"/>
      <c r="BK82" s="5"/>
      <c r="BL82" s="6"/>
      <c r="BM82" s="5"/>
      <c r="BN82" s="5"/>
      <c r="BO82" s="5"/>
      <c r="BP82" s="5"/>
      <c r="BQ82" s="6"/>
      <c r="BR82" s="5"/>
      <c r="BS82" s="5"/>
      <c r="BT82" s="5"/>
      <c r="BU82" s="5"/>
      <c r="BV82" s="6"/>
      <c r="BW82" s="5"/>
      <c r="BX82" s="5"/>
      <c r="BY82" s="5"/>
      <c r="BZ82" s="5"/>
      <c r="CA82" s="6"/>
      <c r="CB82" s="5"/>
      <c r="CC82" s="5"/>
      <c r="CD82" s="5"/>
      <c r="CE82" s="5"/>
      <c r="CF82" s="6"/>
      <c r="CG82" s="5"/>
      <c r="CH82" s="5"/>
      <c r="CI82" s="5"/>
      <c r="CJ82" s="5"/>
      <c r="CK82" s="470"/>
      <c r="CL82" s="5"/>
      <c r="CM82" s="5"/>
      <c r="CN82" s="5"/>
      <c r="CO82" s="5">
        <f>-IS!CO14/IS!CO15</f>
        <v>3.2285714285714286</v>
      </c>
      <c r="CP82" s="470">
        <f>-IS!CP14/IS!CP15</f>
        <v>1.3568665377176015</v>
      </c>
      <c r="CQ82" s="5">
        <f>-IS!CQ14/IS!CQ15</f>
        <v>2.258</v>
      </c>
      <c r="CR82" s="5">
        <f>-IS!CR14/IS!CR15</f>
        <v>2.442622950819672</v>
      </c>
      <c r="CS82" s="5">
        <f>-IS!CS14/IS!CS15</f>
        <v>3.5779220779220777</v>
      </c>
      <c r="CT82" s="5">
        <f>-IS!CT14/IS!CT15</f>
        <v>4.981220657276995</v>
      </c>
      <c r="CU82" s="470">
        <f>-IS!CU14/IS!CU15</f>
        <v>3.2494669509594885</v>
      </c>
      <c r="CV82" s="5">
        <f>-IS!CV14/IS!CV15</f>
        <v>-0.84496124031007747</v>
      </c>
      <c r="CW82" s="5">
        <f>-IS!CW14/IS!CW15</f>
        <v>3.2581521739130435</v>
      </c>
      <c r="CX82" s="5">
        <f>-IS!CX14/IS!CX15</f>
        <v>1</v>
      </c>
      <c r="CY82" s="5">
        <f>-IS!CY14/IS!CY15</f>
        <v>2.6063218390804597</v>
      </c>
      <c r="CZ82" s="470">
        <f>-IS!CZ14/IS!CZ15</f>
        <v>1.4576844955991874</v>
      </c>
      <c r="DA82" s="5">
        <f>-IS!DA14/IS!DA15</f>
        <v>3.6356877323420074</v>
      </c>
      <c r="DB82" s="5">
        <f>-IS!DB14/IS!DB15</f>
        <v>4.8576779026217229</v>
      </c>
      <c r="DC82" s="5">
        <f>-IS!DC14/IS!DC15</f>
        <v>5.5</v>
      </c>
      <c r="DD82" s="5">
        <f>-IS!DD14/IS!DD15</f>
        <v>5.5202702702702702</v>
      </c>
      <c r="DE82" s="470">
        <f>-IS!DE14/IS!DE15</f>
        <v>4.9033989266547406</v>
      </c>
      <c r="DF82" s="5">
        <f>-IS!DF14/IS!DF15</f>
        <v>5.9604316546762588</v>
      </c>
      <c r="DG82" s="5">
        <f>-IS!DG14/IS!DG15</f>
        <v>9.25</v>
      </c>
      <c r="DH82" s="5">
        <f>-IS!DH14/IS!DH15</f>
        <v>7.7888446215139444</v>
      </c>
      <c r="DI82" s="5">
        <f>-IS!DI14/IS!DI15</f>
        <v>11.200892857142858</v>
      </c>
      <c r="DJ82" s="470">
        <f>-IS!DJ14/IS!DJ15</f>
        <v>8.4065934065934069</v>
      </c>
      <c r="DK82" s="5">
        <f>-IS!DK14/IS!DK15</f>
        <v>12.876190476190477</v>
      </c>
      <c r="DL82" s="5">
        <f>-IS!DL14/IS!DL15</f>
        <v>17.708860759493671</v>
      </c>
      <c r="DM82" s="5">
        <f>-IS!DM14/IS!DM15</f>
        <v>9.5286500413308826</v>
      </c>
      <c r="DN82" s="5">
        <f>-IS!DN14/IS!DN15</f>
        <v>9.0437995824947173</v>
      </c>
      <c r="DO82" s="6">
        <f>-IS!DO14/IS!DO15</f>
        <v>11.834367281580496</v>
      </c>
      <c r="DP82" s="5">
        <f>-IS!DP14/IS!DP15</f>
        <v>10.517134125961842</v>
      </c>
      <c r="DQ82" s="5">
        <f>-IS!DQ14/IS!DQ15</f>
        <v>11.394863805467169</v>
      </c>
      <c r="DR82" s="5">
        <f>-IS!DR14/IS!DR15</f>
        <v>10.967342901841107</v>
      </c>
      <c r="DS82" s="5">
        <f>-IS!DS14/IS!DS15</f>
        <v>11.40131063621928</v>
      </c>
      <c r="DT82" s="6">
        <f>-IS!DT14/IS!DT15</f>
        <v>11.070827476892902</v>
      </c>
      <c r="DU82" s="6">
        <f>-IS!DU14/IS!DU15</f>
        <v>12.639228863956646</v>
      </c>
      <c r="DV82" s="6">
        <f>-IS!DV14/IS!DV15</f>
        <v>13.570736207071834</v>
      </c>
    </row>
    <row r="83" spans="1:126" s="15" customFormat="1">
      <c r="B83" s="15" t="s">
        <v>129</v>
      </c>
      <c r="C83" s="6" t="e">
        <f>C66/IS!C64</f>
        <v>#REF!</v>
      </c>
      <c r="D83" s="6" t="e">
        <f>D66/IS!D64</f>
        <v>#REF!</v>
      </c>
      <c r="E83" s="6" t="e">
        <f>E66/IS!E64</f>
        <v>#REF!</v>
      </c>
      <c r="F83" s="6" t="e">
        <f>F66/IS!F64</f>
        <v>#REF!</v>
      </c>
      <c r="G83" s="6" t="e">
        <f>G66/IS!G64</f>
        <v>#REF!</v>
      </c>
      <c r="H83" s="6" t="e">
        <f>H66/IS!H64</f>
        <v>#REF!</v>
      </c>
      <c r="I83" s="6" t="e">
        <f>I66/IS!I64</f>
        <v>#REF!</v>
      </c>
      <c r="J83" s="5"/>
      <c r="K83" s="5"/>
      <c r="L83" s="5"/>
      <c r="M83" s="5"/>
      <c r="N83" s="6"/>
      <c r="O83" s="5"/>
      <c r="P83" s="5"/>
      <c r="Q83" s="5"/>
      <c r="R83" s="5"/>
      <c r="S83" s="6"/>
      <c r="T83" s="5"/>
      <c r="U83" s="5"/>
      <c r="V83" s="5"/>
      <c r="W83" s="5"/>
      <c r="X83" s="6"/>
      <c r="Y83" s="5"/>
      <c r="Z83" s="5"/>
      <c r="AA83" s="5"/>
      <c r="AB83" s="5"/>
      <c r="AC83" s="6"/>
      <c r="AD83" s="5"/>
      <c r="AE83" s="5"/>
      <c r="AF83" s="5"/>
      <c r="AG83" s="5"/>
      <c r="AH83" s="6"/>
      <c r="AI83" s="5"/>
      <c r="AJ83" s="5"/>
      <c r="AK83" s="5"/>
      <c r="AL83" s="5"/>
      <c r="AM83" s="6"/>
      <c r="AN83" s="5"/>
      <c r="AO83" s="5"/>
      <c r="AP83" s="5"/>
      <c r="AQ83" s="5"/>
      <c r="AR83" s="6"/>
      <c r="AS83" s="5"/>
      <c r="AT83" s="5"/>
      <c r="AU83" s="5"/>
      <c r="AV83" s="5"/>
      <c r="AW83" s="6"/>
      <c r="AX83" s="5"/>
      <c r="AY83" s="5"/>
      <c r="AZ83" s="5"/>
      <c r="BA83" s="5"/>
      <c r="BB83" s="6"/>
      <c r="BC83" s="5"/>
      <c r="BD83" s="5"/>
      <c r="BE83" s="5"/>
      <c r="BF83" s="5"/>
      <c r="BG83" s="6"/>
      <c r="BH83" s="5"/>
      <c r="BI83" s="5"/>
      <c r="BJ83" s="5"/>
      <c r="BK83" s="5"/>
      <c r="BL83" s="6"/>
      <c r="BM83" s="5"/>
      <c r="BN83" s="5"/>
      <c r="BO83" s="5"/>
      <c r="BP83" s="5"/>
      <c r="BQ83" s="6"/>
      <c r="BR83" s="5"/>
      <c r="BS83" s="5"/>
      <c r="BT83" s="5"/>
      <c r="BU83" s="5"/>
      <c r="BV83" s="6"/>
      <c r="BW83" s="5"/>
      <c r="BX83" s="5"/>
      <c r="BY83" s="5"/>
      <c r="BZ83" s="5"/>
      <c r="CA83" s="6"/>
      <c r="CB83" s="5"/>
      <c r="CC83" s="5"/>
      <c r="CD83" s="5"/>
      <c r="CE83" s="5"/>
      <c r="CF83" s="6"/>
      <c r="CG83" s="5"/>
      <c r="CH83" s="5"/>
      <c r="CI83" s="5"/>
      <c r="CJ83" s="5"/>
      <c r="CK83" s="470"/>
      <c r="CL83" s="5"/>
      <c r="CM83" s="5"/>
      <c r="CN83" s="5"/>
      <c r="CO83" s="5">
        <f>CO60/(SUM(IS!CL64:CO64))</f>
        <v>6.7201401050788094</v>
      </c>
      <c r="CP83" s="470">
        <f>CP60/IS!CP64</f>
        <v>6.7201401050788094</v>
      </c>
      <c r="CQ83" s="5">
        <f>CQ60/(SUM(IS!CQ64,IS!CM64:CO64))</f>
        <v>7.261467889908257</v>
      </c>
      <c r="CR83" s="5">
        <f>CR60/(SUM(IS!CQ64:CR64,IS!CN64:CO64))</f>
        <v>5.8279875106443368</v>
      </c>
      <c r="CS83" s="5">
        <f>CS60/(SUM(IS!CQ64:CS64,IS!CO64))</f>
        <v>5.372185242883444</v>
      </c>
      <c r="CT83" s="5">
        <f>CT60/(SUM(IS!CQ64:CT64))</f>
        <v>2.5492384453781511</v>
      </c>
      <c r="CU83" s="470">
        <f>CU60/IS!CU64</f>
        <v>2.5492384453781511</v>
      </c>
      <c r="CV83" s="5">
        <f>CV60/(SUM(IS!CV64,IS!CR64:CT64))</f>
        <v>2.6639333760409993</v>
      </c>
      <c r="CW83" s="5">
        <f>CW60/(SUM(IS!CV64:CW64,IS!CS64:CT64))</f>
        <v>2.5265359477124183</v>
      </c>
      <c r="CX83" s="5">
        <f>CX60/(SUM(IS!CV64:CX64,IS!CT64))</f>
        <v>2.7618235385331058</v>
      </c>
      <c r="CY83" s="5">
        <f>CY60/(SUM(IS!CV64:CY64))</f>
        <v>1.3612211221122112</v>
      </c>
      <c r="CZ83" s="470">
        <f>CZ60/IS!CZ64</f>
        <v>1.3612211221122112</v>
      </c>
      <c r="DA83" s="5">
        <f>DA60/(SUM(IS!CZ64:DA64,IS!CW64:CX64))</f>
        <v>1.0226715084895475</v>
      </c>
      <c r="DB83" s="5">
        <f>DB60/(SUM(IS!DA64:DB64,IS!CX64:CY64))</f>
        <v>1.4008701056556867</v>
      </c>
      <c r="DC83" s="5">
        <f>DC60/(SUM(IS!DB64:DC64,IS!CY64:CZ64))</f>
        <v>0.64007652636832468</v>
      </c>
      <c r="DD83" s="5">
        <f>DD60/(SUM(IS!DC64:DD64,IS!CZ64:DA64))</f>
        <v>0.33861402914266353</v>
      </c>
      <c r="DE83" s="470">
        <f>DE60/IS!DE64</f>
        <v>0.52316753926701576</v>
      </c>
      <c r="DF83" s="5">
        <f>DF60/(SUM(IS!DE64:DF64,IS!DB64:DC64))</f>
        <v>0.15134741442097596</v>
      </c>
      <c r="DG83" s="5">
        <f>DG60/(SUM(IS!DF64:DG64,IS!DC64:DD64))</f>
        <v>0.91653543307086616</v>
      </c>
      <c r="DH83" s="5">
        <f>DH60/(SUM(IS!DG64:DH64,IS!DD64:DE64))</f>
        <v>0.44801908617698094</v>
      </c>
      <c r="DI83" s="5">
        <f>DI60/(SUM(IS!DH64:DI64,IS!DE64:DF64))</f>
        <v>0.40014154281670206</v>
      </c>
      <c r="DJ83" s="470">
        <f>DJ60/IS!DJ64</f>
        <v>0.6512324349228289</v>
      </c>
      <c r="DK83" s="5">
        <f>DK60/(SUM(IS!DJ64:DK64,IS!DG64:DH64))</f>
        <v>0.46381877022653722</v>
      </c>
      <c r="DL83" s="5">
        <f>DL60/(SUM(IS!DK64:DL64,IS!DH64:DI64))</f>
        <v>0.84395373291272346</v>
      </c>
      <c r="DM83" s="5">
        <f>DM60/(SUM(IS!DL64:DM64,IS!DI64:DJ64))</f>
        <v>0.50906575782140928</v>
      </c>
      <c r="DN83" s="5">
        <f>DN60/(SUM(IS!DM64:DN64,IS!DJ64:DK64))</f>
        <v>0.53603173866043963</v>
      </c>
      <c r="DO83" s="470">
        <f>DO60/IS!DO64</f>
        <v>0.8486217258617359</v>
      </c>
      <c r="DP83" s="5">
        <f>DP60/(SUM(IS!DO64:DP64,IS!DL64:DM64))</f>
        <v>0.5101232945824602</v>
      </c>
      <c r="DQ83" s="5">
        <f>DQ60/(SUM(IS!DP64:DQ64,IS!DM64:DN64))</f>
        <v>0.9537014518679251</v>
      </c>
      <c r="DR83" s="5">
        <f>DR60/(SUM(IS!DQ64:DR64,IS!DN64:DO64))</f>
        <v>0.58079141327189143</v>
      </c>
      <c r="DS83" s="5">
        <f>DS60/(SUM(IS!DR64:DS64,IS!DO64:DP64))</f>
        <v>0.52345962132083979</v>
      </c>
      <c r="DT83" s="470">
        <f>DT60/IS!DT64</f>
        <v>0.83421115759189113</v>
      </c>
      <c r="DU83" s="6">
        <f>DU60/IS!DU64</f>
        <v>0.83468425099757515</v>
      </c>
      <c r="DV83" s="6">
        <f>DV60/IS!DV64</f>
        <v>0.81101533050844954</v>
      </c>
    </row>
    <row r="84" spans="1:126" s="15" customFormat="1">
      <c r="C84" s="16"/>
      <c r="D84" s="16"/>
      <c r="E84" s="16"/>
      <c r="F84" s="16"/>
      <c r="G84" s="16"/>
      <c r="H84" s="16"/>
      <c r="I84" s="16"/>
      <c r="N84" s="16"/>
      <c r="S84" s="16"/>
      <c r="X84" s="16"/>
      <c r="AC84" s="16"/>
      <c r="AH84" s="16"/>
      <c r="AM84" s="16"/>
      <c r="AR84" s="16"/>
      <c r="AW84" s="16"/>
      <c r="BB84" s="16"/>
      <c r="BG84" s="16"/>
      <c r="BL84" s="16"/>
      <c r="BQ84" s="16"/>
      <c r="BV84" s="16"/>
      <c r="CA84" s="16"/>
      <c r="CF84" s="16"/>
      <c r="CK84" s="222"/>
      <c r="CP84" s="222"/>
      <c r="CU84" s="222"/>
      <c r="CZ84" s="222"/>
      <c r="DE84" s="222"/>
      <c r="DJ84" s="222"/>
      <c r="DO84" s="16"/>
      <c r="DT84" s="16"/>
      <c r="DU84" s="16"/>
      <c r="DV84" s="16"/>
    </row>
    <row r="85" spans="1:126" s="15" customFormat="1" ht="12">
      <c r="B85" s="110" t="s">
        <v>140</v>
      </c>
      <c r="C85" s="16"/>
      <c r="D85" s="16"/>
      <c r="E85" s="16"/>
      <c r="F85" s="16"/>
      <c r="G85" s="16"/>
      <c r="H85" s="16"/>
      <c r="I85" s="16"/>
      <c r="N85" s="16"/>
      <c r="S85" s="16"/>
      <c r="X85" s="16"/>
      <c r="AC85" s="16"/>
      <c r="AH85" s="16"/>
      <c r="AM85" s="16"/>
      <c r="AR85" s="16"/>
      <c r="AW85" s="16"/>
      <c r="BB85" s="16"/>
      <c r="BG85" s="16"/>
      <c r="BL85" s="16"/>
      <c r="BQ85" s="16"/>
      <c r="BV85" s="16"/>
      <c r="CA85" s="16"/>
      <c r="CF85" s="16"/>
      <c r="CK85" s="222"/>
      <c r="CP85" s="222"/>
      <c r="CU85" s="222"/>
      <c r="CZ85" s="222"/>
      <c r="DE85" s="222"/>
      <c r="DJ85" s="222"/>
      <c r="DO85" s="16"/>
      <c r="DT85" s="16"/>
      <c r="DU85" s="16"/>
      <c r="DV85" s="16"/>
    </row>
    <row r="86" spans="1:126" s="15" customFormat="1">
      <c r="B86" s="15" t="s">
        <v>141</v>
      </c>
      <c r="C86" s="16"/>
      <c r="D86" s="79" t="e">
        <f>IS!D20*1/AVERAGE(BS!C22,D22)</f>
        <v>#REF!</v>
      </c>
      <c r="E86" s="79" t="e">
        <f>IS!E20*1/AVERAGE(BS!D22,E22)</f>
        <v>#REF!</v>
      </c>
      <c r="F86" s="79" t="e">
        <f>IS!F20*1/AVERAGE(BS!E22,F22)</f>
        <v>#REF!</v>
      </c>
      <c r="G86" s="79" t="e">
        <f>IS!G20*1/AVERAGE(BS!F22,G22)</f>
        <v>#REF!</v>
      </c>
      <c r="H86" s="79" t="e">
        <f>IS!H20*1/AVERAGE(BS!G22,H22)</f>
        <v>#REF!</v>
      </c>
      <c r="I86" s="79" t="e">
        <f>IS!I20*1/AVERAGE(BS!H22,I22)</f>
        <v>#REF!</v>
      </c>
      <c r="J86" s="93"/>
      <c r="K86" s="93"/>
      <c r="L86" s="93"/>
      <c r="M86" s="93"/>
      <c r="N86" s="79"/>
      <c r="O86" s="93"/>
      <c r="P86" s="93"/>
      <c r="Q86" s="93"/>
      <c r="R86" s="93"/>
      <c r="S86" s="79"/>
      <c r="T86" s="93"/>
      <c r="U86" s="93"/>
      <c r="V86" s="93"/>
      <c r="W86" s="93"/>
      <c r="X86" s="79"/>
      <c r="Y86" s="93"/>
      <c r="Z86" s="93"/>
      <c r="AA86" s="93"/>
      <c r="AB86" s="93"/>
      <c r="AC86" s="79"/>
      <c r="AD86" s="93"/>
      <c r="AE86" s="93"/>
      <c r="AF86" s="93"/>
      <c r="AG86" s="93"/>
      <c r="AH86" s="79"/>
      <c r="AI86" s="93"/>
      <c r="AJ86" s="93"/>
      <c r="AK86" s="93"/>
      <c r="AL86" s="93"/>
      <c r="AM86" s="79"/>
      <c r="AN86" s="93"/>
      <c r="AO86" s="93"/>
      <c r="AP86" s="93"/>
      <c r="AQ86" s="93"/>
      <c r="AR86" s="79"/>
      <c r="AS86" s="93"/>
      <c r="AT86" s="93"/>
      <c r="AU86" s="93"/>
      <c r="AV86" s="93"/>
      <c r="AW86" s="79"/>
      <c r="AX86" s="93"/>
      <c r="AY86" s="93"/>
      <c r="AZ86" s="93"/>
      <c r="BA86" s="93"/>
      <c r="BB86" s="79"/>
      <c r="BC86" s="93"/>
      <c r="BD86" s="93"/>
      <c r="BE86" s="93"/>
      <c r="BF86" s="93"/>
      <c r="BG86" s="79"/>
      <c r="BH86" s="93"/>
      <c r="BI86" s="93"/>
      <c r="BJ86" s="93"/>
      <c r="BK86" s="93"/>
      <c r="BL86" s="79"/>
      <c r="BM86" s="93"/>
      <c r="BN86" s="93"/>
      <c r="BO86" s="93"/>
      <c r="BP86" s="93"/>
      <c r="BQ86" s="79"/>
      <c r="BR86" s="93"/>
      <c r="BS86" s="93"/>
      <c r="BT86" s="93"/>
      <c r="BU86" s="93"/>
      <c r="BV86" s="79"/>
      <c r="BW86" s="93"/>
      <c r="BX86" s="93"/>
      <c r="BY86" s="93"/>
      <c r="BZ86" s="93"/>
      <c r="CA86" s="79"/>
      <c r="CB86" s="93"/>
      <c r="CC86" s="93"/>
      <c r="CD86" s="93"/>
      <c r="CE86" s="93"/>
      <c r="CF86" s="79"/>
      <c r="CG86" s="93"/>
      <c r="CH86" s="93"/>
      <c r="CI86" s="93"/>
      <c r="CJ86" s="93"/>
      <c r="CK86" s="471"/>
      <c r="CL86" s="93"/>
      <c r="CM86" s="93"/>
      <c r="CN86" s="93"/>
      <c r="CO86" s="93">
        <f>IS!CO20*4/AVERAGE(BS!CN22,CO22)</f>
        <v>7.7373727123347558E-2</v>
      </c>
      <c r="CP86" s="471">
        <f>IS!CP20*1/AVERAGE(BS!CK22,CP22)</f>
        <v>5.0403768768710167E-2</v>
      </c>
      <c r="CQ86" s="93">
        <f>IS!CQ20*4/AVERAGE(BS!CP22,CQ22)</f>
        <v>1.5317875841436052E-3</v>
      </c>
      <c r="CR86" s="93">
        <f>IS!CR20*4/AVERAGE(BS!CQ22,CR22)</f>
        <v>-9.446411295919192E-3</v>
      </c>
      <c r="CS86" s="93">
        <f>IS!CS20*4/AVERAGE(BS!CR22,CS22)</f>
        <v>9.8084652785385053E-3</v>
      </c>
      <c r="CT86" s="93">
        <f>IS!CT20*4/AVERAGE(BS!CS22,CT22)</f>
        <v>-6.4292545761879968E-2</v>
      </c>
      <c r="CU86" s="471">
        <f>IS!CU20*1/AVERAGE(BS!CP22,CU22)</f>
        <v>-1.4924684399617654E-2</v>
      </c>
      <c r="CV86" s="93">
        <f>IS!CV20*4/AVERAGE(BS!CU22,CV22)</f>
        <v>-2.4747016004196144E-2</v>
      </c>
      <c r="CW86" s="93">
        <f>IS!CW20*4/AVERAGE(BS!CV22,CW22)</f>
        <v>-2.3840996447691529E-2</v>
      </c>
      <c r="CX86" s="93">
        <f>IS!CX20*4/AVERAGE(BS!CW22,CX22)</f>
        <v>-5.3054306978115098E-3</v>
      </c>
      <c r="CY86" s="93">
        <f>IS!CY20*4/AVERAGE(BS!CX22,CY22)</f>
        <v>3.8514800069240088E-2</v>
      </c>
      <c r="CZ86" s="471">
        <f>IS!CZ20*1/AVERAGE(BS!CU22,CZ22)</f>
        <v>-4.1111612612031723E-3</v>
      </c>
      <c r="DA86" s="93">
        <f>IS!DA20*4/AVERAGE(BS!CZ22,DA22)</f>
        <v>0.14083430741842451</v>
      </c>
      <c r="DB86" s="93">
        <f>IS!DB20*4/AVERAGE(BS!DA22,DB22)</f>
        <v>2.5797152785835994E-2</v>
      </c>
      <c r="DC86" s="93">
        <f>IS!DC20*4/AVERAGE(BS!DB22,DC22)</f>
        <v>4.0542062389729346E-3</v>
      </c>
      <c r="DD86" s="93">
        <f>IS!DD20*4/AVERAGE(BS!DC22,DD22)</f>
        <v>3.9836475272671541E-2</v>
      </c>
      <c r="DE86" s="471">
        <f>IS!DE20*1/AVERAGE(BS!CZ22,DE22)</f>
        <v>5.1321981494532473E-2</v>
      </c>
      <c r="DF86" s="93">
        <f>IS!DF20*4/AVERAGE(BS!DE22,DF22)</f>
        <v>3.7921996898959288E-2</v>
      </c>
      <c r="DG86" s="93">
        <f>IS!DG20*4/AVERAGE(BS!DF22,DG22)</f>
        <v>3.6833233495395842E-2</v>
      </c>
      <c r="DH86" s="93">
        <f>IS!DH20*4/AVERAGE(BS!DG22,DH22)</f>
        <v>5.426409325740629E-2</v>
      </c>
      <c r="DI86" s="93">
        <f>IS!DI20*4/AVERAGE(BS!DH22,DI22)</f>
        <v>6.0743118568358026E-2</v>
      </c>
      <c r="DJ86" s="471">
        <f>IS!DJ20*1/AVERAGE(BS!DE22,DJ22)</f>
        <v>4.5173576532662442E-2</v>
      </c>
      <c r="DK86" s="93">
        <f>IS!DK20*4/AVERAGE(BS!DJ22,DK22)</f>
        <v>6.3478967738804432E-2</v>
      </c>
      <c r="DL86" s="93">
        <f>IS!DL20*4/AVERAGE(BS!DK22,DL22)</f>
        <v>6.4159371879749294E-2</v>
      </c>
      <c r="DM86" s="93">
        <f>IS!DM20*4/AVERAGE(BS!DL22,DM22)</f>
        <v>4.9035868867177645E-2</v>
      </c>
      <c r="DN86" s="93">
        <f>IS!DN20*4/AVERAGE(BS!DM22,DN22)</f>
        <v>4.7642002497387211E-2</v>
      </c>
      <c r="DO86" s="79">
        <f>IS!DO20*1/AVERAGE(BS!DJ22,DO22)</f>
        <v>5.6801589405119035E-2</v>
      </c>
      <c r="DP86" s="93">
        <f>IS!DP20*4/AVERAGE(BS!DO22,DP22)</f>
        <v>5.7744454054193692E-2</v>
      </c>
      <c r="DQ86" s="93">
        <f>IS!DQ20*4/AVERAGE(BS!DP22,DQ22)</f>
        <v>6.3815555756952483E-2</v>
      </c>
      <c r="DR86" s="93">
        <f>IS!DR20*4/AVERAGE(BS!DQ22,DR22)</f>
        <v>6.0384557756281938E-2</v>
      </c>
      <c r="DS86" s="93">
        <f>IS!DS20*4/AVERAGE(BS!DR22,DS22)</f>
        <v>6.2249704907983032E-2</v>
      </c>
      <c r="DT86" s="79">
        <f>IS!DT20*1/AVERAGE(BS!DO22,DT22)</f>
        <v>6.0363273502477381E-2</v>
      </c>
      <c r="DU86" s="79">
        <f>IS!DU20*1/AVERAGE(BS!DT22,DU22)</f>
        <v>6.8809521682268004E-2</v>
      </c>
      <c r="DV86" s="79">
        <f>IS!DV20*1/AVERAGE(BS!DU22,DV22)</f>
        <v>7.5333625048275094E-2</v>
      </c>
    </row>
    <row r="87" spans="1:126" s="15" customFormat="1">
      <c r="B87" s="15" t="s">
        <v>142</v>
      </c>
      <c r="C87" s="16"/>
      <c r="D87" s="79" t="e">
        <f>IS!D64*1/AVERAGE(C64:D64)</f>
        <v>#DIV/0!</v>
      </c>
      <c r="E87" s="79" t="e">
        <f>IS!E64*1/AVERAGE(D64:E64)</f>
        <v>#DIV/0!</v>
      </c>
      <c r="F87" s="79" t="e">
        <f>IS!F64*1/AVERAGE(E64:F64)</f>
        <v>#DIV/0!</v>
      </c>
      <c r="G87" s="79" t="e">
        <f>IS!G64*1/AVERAGE(F64:G64)</f>
        <v>#DIV/0!</v>
      </c>
      <c r="H87" s="79" t="e">
        <f>IS!H64*1/AVERAGE(G64:H64)</f>
        <v>#DIV/0!</v>
      </c>
      <c r="I87" s="79" t="e">
        <f>IS!I64*1/AVERAGE(H64:I64)</f>
        <v>#DIV/0!</v>
      </c>
      <c r="J87" s="93"/>
      <c r="K87" s="93"/>
      <c r="L87" s="93"/>
      <c r="M87" s="93"/>
      <c r="N87" s="79"/>
      <c r="O87" s="93"/>
      <c r="P87" s="93"/>
      <c r="Q87" s="93"/>
      <c r="R87" s="93"/>
      <c r="S87" s="79"/>
      <c r="T87" s="93"/>
      <c r="U87" s="93"/>
      <c r="V87" s="93"/>
      <c r="W87" s="93"/>
      <c r="X87" s="79"/>
      <c r="Y87" s="93"/>
      <c r="Z87" s="93"/>
      <c r="AA87" s="93"/>
      <c r="AB87" s="93"/>
      <c r="AC87" s="79"/>
      <c r="AD87" s="93"/>
      <c r="AE87" s="93"/>
      <c r="AF87" s="93"/>
      <c r="AG87" s="93"/>
      <c r="AH87" s="79"/>
      <c r="AI87" s="93"/>
      <c r="AJ87" s="93"/>
      <c r="AK87" s="93"/>
      <c r="AL87" s="93"/>
      <c r="AM87" s="79"/>
      <c r="AN87" s="93"/>
      <c r="AO87" s="93"/>
      <c r="AP87" s="93"/>
      <c r="AQ87" s="93"/>
      <c r="AR87" s="79"/>
      <c r="AS87" s="93"/>
      <c r="AT87" s="93"/>
      <c r="AU87" s="93"/>
      <c r="AV87" s="93"/>
      <c r="AW87" s="79"/>
      <c r="AX87" s="93"/>
      <c r="AY87" s="93"/>
      <c r="AZ87" s="93"/>
      <c r="BA87" s="93"/>
      <c r="BB87" s="79"/>
      <c r="BC87" s="93"/>
      <c r="BD87" s="93"/>
      <c r="BE87" s="93"/>
      <c r="BF87" s="93"/>
      <c r="BG87" s="79"/>
      <c r="BH87" s="93"/>
      <c r="BI87" s="93"/>
      <c r="BJ87" s="93"/>
      <c r="BK87" s="93"/>
      <c r="BL87" s="79"/>
      <c r="BM87" s="93"/>
      <c r="BN87" s="93"/>
      <c r="BO87" s="93"/>
      <c r="BP87" s="93"/>
      <c r="BQ87" s="79"/>
      <c r="BR87" s="93"/>
      <c r="BS87" s="93"/>
      <c r="BT87" s="93"/>
      <c r="BU87" s="93"/>
      <c r="BV87" s="79"/>
      <c r="BW87" s="93"/>
      <c r="BX87" s="93"/>
      <c r="BY87" s="93"/>
      <c r="BZ87" s="93"/>
      <c r="CA87" s="79"/>
      <c r="CB87" s="93"/>
      <c r="CC87" s="93"/>
      <c r="CD87" s="93"/>
      <c r="CE87" s="93"/>
      <c r="CF87" s="79"/>
      <c r="CG87" s="93"/>
      <c r="CH87" s="93"/>
      <c r="CI87" s="93"/>
      <c r="CJ87" s="93"/>
      <c r="CK87" s="471"/>
      <c r="CL87" s="93"/>
      <c r="CM87" s="93"/>
      <c r="CN87" s="93"/>
      <c r="CO87" s="93"/>
      <c r="CP87" s="471">
        <f>IS!CP64*1/AVERAGE(CP64,CK64)</f>
        <v>0.15401629174084264</v>
      </c>
      <c r="CQ87" s="93"/>
      <c r="CR87" s="93"/>
      <c r="CS87" s="93"/>
      <c r="CT87" s="93"/>
      <c r="CU87" s="471">
        <f>IS!CU64*1/AVERAGE(CU64,CP64)</f>
        <v>0.1935770838893337</v>
      </c>
      <c r="CV87" s="93"/>
      <c r="CW87" s="93"/>
      <c r="CX87" s="93"/>
      <c r="CY87" s="93"/>
      <c r="CZ87" s="471">
        <f>IS!CZ64*1/AVERAGE(CZ64,CU64)</f>
        <v>0.15837961450506371</v>
      </c>
      <c r="DA87" s="93"/>
      <c r="DB87" s="93"/>
      <c r="DC87" s="93"/>
      <c r="DD87" s="93"/>
      <c r="DE87" s="471">
        <f>IS!DE64*1/AVERAGE(DE64,CZ64)</f>
        <v>0.24066024066024067</v>
      </c>
      <c r="DF87" s="93"/>
      <c r="DG87" s="93"/>
      <c r="DH87" s="93"/>
      <c r="DI87" s="93"/>
      <c r="DJ87" s="471">
        <f>IS!DJ64*1/AVERAGE(DJ64,DE64)</f>
        <v>0.36066799601196409</v>
      </c>
      <c r="DK87" s="93"/>
      <c r="DL87" s="93"/>
      <c r="DM87" s="93"/>
      <c r="DN87" s="93"/>
      <c r="DO87" s="79">
        <f>IS!DO64*1/AVERAGE(DO64,DJ64)</f>
        <v>0.59027126581211331</v>
      </c>
      <c r="DP87" s="93"/>
      <c r="DQ87" s="93"/>
      <c r="DR87" s="93"/>
      <c r="DS87" s="93"/>
      <c r="DT87" s="79">
        <f>IS!DT64*1/AVERAGE(DT64,DO64)</f>
        <v>0.79152515531903112</v>
      </c>
      <c r="DU87" s="79">
        <f>IS!DU64*1/AVERAGE(DU64,DT64)</f>
        <v>0.93845296498509323</v>
      </c>
      <c r="DV87" s="79">
        <f>IS!DV64*1/AVERAGE(DV64,DU64)</f>
        <v>1.1046435808882482</v>
      </c>
    </row>
    <row r="88" spans="1:126" s="15" customFormat="1">
      <c r="B88" s="15" t="s">
        <v>143</v>
      </c>
      <c r="C88" s="16"/>
      <c r="D88" s="79" t="e">
        <f>IS!D20/AVERAGE((D64+D59),(C64+C59))</f>
        <v>#REF!</v>
      </c>
      <c r="E88" s="79" t="e">
        <f>IS!E20/AVERAGE((E64+E59),(D64+D59))</f>
        <v>#REF!</v>
      </c>
      <c r="F88" s="79" t="e">
        <f>IS!F20/AVERAGE((F64+F59),(E64+E59))</f>
        <v>#REF!</v>
      </c>
      <c r="G88" s="79" t="e">
        <f>IS!G20/AVERAGE((G64+G59),(F64+F59))</f>
        <v>#REF!</v>
      </c>
      <c r="H88" s="79" t="e">
        <f>IS!H20/AVERAGE((H64+H59),(G64+G59))</f>
        <v>#REF!</v>
      </c>
      <c r="I88" s="79" t="e">
        <f>IS!I20/AVERAGE((I64+I59),(H64+H59))</f>
        <v>#REF!</v>
      </c>
      <c r="J88" s="93"/>
      <c r="K88" s="93"/>
      <c r="L88" s="93"/>
      <c r="M88" s="93"/>
      <c r="N88" s="79"/>
      <c r="O88" s="93"/>
      <c r="P88" s="93"/>
      <c r="Q88" s="93"/>
      <c r="R88" s="93"/>
      <c r="S88" s="79"/>
      <c r="T88" s="93"/>
      <c r="U88" s="93"/>
      <c r="V88" s="93"/>
      <c r="W88" s="93"/>
      <c r="X88" s="79"/>
      <c r="Y88" s="93"/>
      <c r="Z88" s="93"/>
      <c r="AA88" s="93"/>
      <c r="AB88" s="93"/>
      <c r="AC88" s="79"/>
      <c r="AD88" s="93"/>
      <c r="AE88" s="93"/>
      <c r="AF88" s="93"/>
      <c r="AG88" s="93"/>
      <c r="AH88" s="79"/>
      <c r="AI88" s="93"/>
      <c r="AJ88" s="93"/>
      <c r="AK88" s="93"/>
      <c r="AL88" s="93"/>
      <c r="AM88" s="79"/>
      <c r="AN88" s="93"/>
      <c r="AO88" s="93"/>
      <c r="AP88" s="93"/>
      <c r="AQ88" s="93"/>
      <c r="AR88" s="79"/>
      <c r="AS88" s="93"/>
      <c r="AT88" s="93"/>
      <c r="AU88" s="93"/>
      <c r="AV88" s="93"/>
      <c r="AW88" s="79"/>
      <c r="AX88" s="93"/>
      <c r="AY88" s="93"/>
      <c r="AZ88" s="93"/>
      <c r="BA88" s="93"/>
      <c r="BB88" s="79"/>
      <c r="BC88" s="93"/>
      <c r="BD88" s="93"/>
      <c r="BE88" s="93"/>
      <c r="BF88" s="93"/>
      <c r="BG88" s="79"/>
      <c r="BH88" s="93"/>
      <c r="BI88" s="93"/>
      <c r="BJ88" s="93"/>
      <c r="BK88" s="93"/>
      <c r="BL88" s="79"/>
      <c r="BM88" s="93"/>
      <c r="BN88" s="93"/>
      <c r="BO88" s="93"/>
      <c r="BP88" s="93"/>
      <c r="BQ88" s="79"/>
      <c r="BR88" s="93"/>
      <c r="BS88" s="93"/>
      <c r="BT88" s="93"/>
      <c r="BU88" s="93"/>
      <c r="BV88" s="79"/>
      <c r="BW88" s="93"/>
      <c r="BX88" s="93"/>
      <c r="BY88" s="93"/>
      <c r="BZ88" s="93"/>
      <c r="CA88" s="79"/>
      <c r="CB88" s="93"/>
      <c r="CC88" s="93"/>
      <c r="CD88" s="93"/>
      <c r="CE88" s="93"/>
      <c r="CF88" s="79"/>
      <c r="CG88" s="93"/>
      <c r="CH88" s="93"/>
      <c r="CI88" s="93"/>
      <c r="CJ88" s="93"/>
      <c r="CK88" s="471"/>
      <c r="CL88" s="93"/>
      <c r="CM88" s="93"/>
      <c r="CN88" s="93"/>
      <c r="CO88" s="93">
        <f>4*IS!CO20/AVERAGE((CO64+CO59),(CN64+CN59))</f>
        <v>0.17703793670072157</v>
      </c>
      <c r="CP88" s="471">
        <f>IS!CP20/AVERAGE((CP64+CP59),(CK64+CK59))</f>
        <v>0.11532828463242123</v>
      </c>
      <c r="CQ88" s="93">
        <f>4*IS!CQ20/AVERAGE((CQ64+CQ59),(CP64+CP59))</f>
        <v>3.5150832772659242E-3</v>
      </c>
      <c r="CR88" s="93">
        <f>4*IS!CR20/AVERAGE((CR64+CR59),(CQ64+CQ59))</f>
        <v>-2.2235008435650131E-2</v>
      </c>
      <c r="CS88" s="93">
        <f>4*IS!CS20/AVERAGE((CS64+CS59),(CR64+CR59))</f>
        <v>2.3231214449655722E-2</v>
      </c>
      <c r="CT88" s="93">
        <f>4*IS!CT20/AVERAGE((CT64+CT59),(CS64+CS59))</f>
        <v>-0.15691279450536533</v>
      </c>
      <c r="CU88" s="471">
        <f>IS!CU20/AVERAGE((CU64+CU59),(CP64+CP59))</f>
        <v>-3.597953107949188E-2</v>
      </c>
      <c r="CV88" s="93">
        <f>4*IS!CV20/AVERAGE((CV64+CV59),(CU64+CU59))</f>
        <v>-6.4174529240813724E-2</v>
      </c>
      <c r="CW88" s="93">
        <f>4*IS!CW20/AVERAGE((CW64+CW59),(CV64+CV59))</f>
        <v>-6.3212457068206246E-2</v>
      </c>
      <c r="CX88" s="93">
        <f>4*IS!CX20/AVERAGE((CX64+CX59),(CW64+CW59))</f>
        <v>-1.4770128478843918E-2</v>
      </c>
      <c r="CY88" s="93">
        <f>4*IS!CY20/AVERAGE((CY64+CY59),(CX64+CX59))</f>
        <v>0.11659993285678023</v>
      </c>
      <c r="CZ88" s="471">
        <f>IS!CZ20/AVERAGE((CZ64+CZ59),(CU64+CU59))</f>
        <v>-1.1740529870589015E-2</v>
      </c>
      <c r="DA88" s="93">
        <f>4*IS!DA20/AVERAGE((DA64+DA59),(CZ64+CZ59))</f>
        <v>0.43567338504911834</v>
      </c>
      <c r="DB88" s="93">
        <f>4*IS!DB20/AVERAGE((DB64+DB59),(DA64+DA59))</f>
        <v>7.7226147925369998E-2</v>
      </c>
      <c r="DC88" s="93">
        <f>4*IS!DC20/AVERAGE((DC64+DC59),(DB64+DB59))</f>
        <v>1.2365822241305282E-2</v>
      </c>
      <c r="DD88" s="93">
        <f>4*IS!DD20/AVERAGE((DD64+DD59),(DC64+DC59))</f>
        <v>0.12710705695665625</v>
      </c>
      <c r="DE88" s="471">
        <f>IS!DE20/AVERAGE((DE64+DE59),(CZ64+CZ59))</f>
        <v>0.16642860434041376</v>
      </c>
      <c r="DF88" s="93">
        <f>4*IS!DF20/AVERAGE((DF64+DF59),(DE64+DE59))</f>
        <v>0.12256113230671911</v>
      </c>
      <c r="DG88" s="93">
        <f>4*IS!DG20/AVERAGE((DG64+DG59),(DF64+DF59))</f>
        <v>0.11732079071728085</v>
      </c>
      <c r="DH88" s="93">
        <f>4*IS!DH20/AVERAGE((DH64+DH59),(DG64+DG59))</f>
        <v>0.17487748258963115</v>
      </c>
      <c r="DI88" s="93">
        <f>4*IS!DI20/AVERAGE((DI64+DI59),(DH64+DH59))</f>
        <v>0.19491144475411309</v>
      </c>
      <c r="DJ88" s="471">
        <f>IS!DJ20/AVERAGE((DJ64+DJ59),(DE64+DE59))</f>
        <v>0.1462757832565823</v>
      </c>
      <c r="DK88" s="93">
        <f>4*IS!DK20/AVERAGE((DK64+DK59),(DJ64+DJ59))</f>
        <v>0.20155118393343263</v>
      </c>
      <c r="DL88" s="93">
        <f>4*IS!DL20/AVERAGE((DL64+DL59),(DK64+DK59))</f>
        <v>0.20706345200657428</v>
      </c>
      <c r="DM88" s="93">
        <f>4*IS!DM20/AVERAGE((DM64+DM59),(DL64+DL59))</f>
        <v>0.16448433946907576</v>
      </c>
      <c r="DN88" s="93">
        <f>4*IS!DN20/AVERAGE((DN64+DN59),(DM64+DM59))</f>
        <v>0.16426297200990481</v>
      </c>
      <c r="DO88" s="79">
        <f>IS!DO20/AVERAGE((DO64+DO59),(DJ64+DJ59))</f>
        <v>0.18767528205781947</v>
      </c>
      <c r="DP88" s="93">
        <f>4*IS!DP20/AVERAGE((DP64+DP59),(DO64+DO59))</f>
        <v>0.20189093882894499</v>
      </c>
      <c r="DQ88" s="93">
        <f>4*IS!DQ20/AVERAGE((DQ64+DQ59),(DP64+DP59))</f>
        <v>0.22662912974683394</v>
      </c>
      <c r="DR88" s="93">
        <f>4*IS!DR20/AVERAGE((DR64+DR59),(DQ64+DQ59))</f>
        <v>0.21670801008523277</v>
      </c>
      <c r="DS88" s="93">
        <f>4*IS!DS20/AVERAGE((DS64+DS59),(DR64+DR59))</f>
        <v>0.2211473615647328</v>
      </c>
      <c r="DT88" s="79">
        <f>IS!DT20/AVERAGE((DT64+DT59),(DO64+DO59))</f>
        <v>0.20969674249332279</v>
      </c>
      <c r="DU88" s="79">
        <f>IS!DU20/AVERAGE((DU64+DU59),(DT64+DT59))</f>
        <v>0.24669643533194055</v>
      </c>
      <c r="DV88" s="79">
        <f>IS!DV20/AVERAGE((DV64+DV59),(DU64+DU59))</f>
        <v>0.27878853418879995</v>
      </c>
    </row>
    <row r="89" spans="1:126" s="15" customFormat="1">
      <c r="A89" s="82"/>
      <c r="B89" s="82" t="s">
        <v>144</v>
      </c>
      <c r="C89" s="43"/>
      <c r="D89" s="268" t="e">
        <f>IS!D20/AVERAGE(D64,C64)</f>
        <v>#DIV/0!</v>
      </c>
      <c r="E89" s="268" t="e">
        <f>IS!E20/AVERAGE(E64,D64)</f>
        <v>#DIV/0!</v>
      </c>
      <c r="F89" s="268" t="e">
        <f>IS!F20/AVERAGE(F64,E64)</f>
        <v>#DIV/0!</v>
      </c>
      <c r="G89" s="268" t="e">
        <f>IS!G20/AVERAGE(G64,F64)</f>
        <v>#DIV/0!</v>
      </c>
      <c r="H89" s="268" t="e">
        <f>IS!H20/AVERAGE(H64,G64)</f>
        <v>#DIV/0!</v>
      </c>
      <c r="I89" s="268" t="e">
        <f>IS!I20/AVERAGE(I64,H64)</f>
        <v>#DIV/0!</v>
      </c>
      <c r="J89" s="269"/>
      <c r="K89" s="269"/>
      <c r="L89" s="269"/>
      <c r="M89" s="269"/>
      <c r="N89" s="268"/>
      <c r="O89" s="269"/>
      <c r="P89" s="269"/>
      <c r="Q89" s="269"/>
      <c r="R89" s="269"/>
      <c r="S89" s="268"/>
      <c r="T89" s="269"/>
      <c r="U89" s="269"/>
      <c r="V89" s="269"/>
      <c r="W89" s="269"/>
      <c r="X89" s="268"/>
      <c r="Y89" s="269"/>
      <c r="Z89" s="269"/>
      <c r="AA89" s="269"/>
      <c r="AB89" s="269"/>
      <c r="AC89" s="268"/>
      <c r="AD89" s="269"/>
      <c r="AE89" s="269"/>
      <c r="AF89" s="269"/>
      <c r="AG89" s="269"/>
      <c r="AH89" s="268"/>
      <c r="AI89" s="269"/>
      <c r="AJ89" s="269"/>
      <c r="AK89" s="269"/>
      <c r="AL89" s="269"/>
      <c r="AM89" s="268"/>
      <c r="AN89" s="269"/>
      <c r="AO89" s="269"/>
      <c r="AP89" s="269"/>
      <c r="AQ89" s="269"/>
      <c r="AR89" s="268"/>
      <c r="AS89" s="269"/>
      <c r="AT89" s="269"/>
      <c r="AU89" s="269"/>
      <c r="AV89" s="269"/>
      <c r="AW89" s="268"/>
      <c r="AX89" s="269"/>
      <c r="AY89" s="269"/>
      <c r="AZ89" s="269"/>
      <c r="BA89" s="269"/>
      <c r="BB89" s="268"/>
      <c r="BC89" s="269"/>
      <c r="BD89" s="269"/>
      <c r="BE89" s="269"/>
      <c r="BF89" s="269"/>
      <c r="BG89" s="268"/>
      <c r="BH89" s="269"/>
      <c r="BI89" s="269"/>
      <c r="BJ89" s="269"/>
      <c r="BK89" s="269"/>
      <c r="BL89" s="268"/>
      <c r="BM89" s="269"/>
      <c r="BN89" s="269"/>
      <c r="BO89" s="269"/>
      <c r="BP89" s="269"/>
      <c r="BQ89" s="268"/>
      <c r="BR89" s="269"/>
      <c r="BS89" s="269"/>
      <c r="BT89" s="269"/>
      <c r="BU89" s="269"/>
      <c r="BV89" s="268"/>
      <c r="BW89" s="269"/>
      <c r="BX89" s="269"/>
      <c r="BY89" s="269"/>
      <c r="BZ89" s="269"/>
      <c r="CA89" s="268"/>
      <c r="CB89" s="269"/>
      <c r="CC89" s="269"/>
      <c r="CD89" s="269"/>
      <c r="CE89" s="269"/>
      <c r="CF89" s="268"/>
      <c r="CG89" s="269"/>
      <c r="CH89" s="269"/>
      <c r="CI89" s="269"/>
      <c r="CJ89" s="269"/>
      <c r="CK89" s="472"/>
      <c r="CL89" s="269"/>
      <c r="CM89" s="269"/>
      <c r="CN89" s="269"/>
      <c r="CO89" s="269">
        <f>4*IS!CO20/AVERAGE(CO64,CN64)</f>
        <v>0.26735717753681826</v>
      </c>
      <c r="CP89" s="472">
        <f>IS!CP20/AVERAGE(CP64,CK64)</f>
        <v>0.17416518314721907</v>
      </c>
      <c r="CQ89" s="269">
        <f>4*IS!CQ20/AVERAGE(CQ64,CP64)</f>
        <v>1.0633142730557824E-2</v>
      </c>
      <c r="CR89" s="269">
        <f>4*IS!CR20/AVERAGE(CR64,CQ64)</f>
        <v>-6.4957264957264962E-2</v>
      </c>
      <c r="CS89" s="269">
        <f>4*IS!CS20/AVERAGE(CS64,CR64)</f>
        <v>6.291211760890715E-2</v>
      </c>
      <c r="CT89" s="269">
        <f>4*IS!CT20/AVERAGE(CT64,CS64)</f>
        <v>-0.34790379030456475</v>
      </c>
      <c r="CU89" s="472">
        <f>IS!CU20/AVERAGE(CU64,CP64)</f>
        <v>-8.6316672385527468E-2</v>
      </c>
      <c r="CV89" s="269">
        <f>4*IS!CV20/AVERAGE(CV64,CU64)</f>
        <v>-0.11810244825691434</v>
      </c>
      <c r="CW89" s="269">
        <f>4*IS!CW20/AVERAGE(CW64,CV64)</f>
        <v>-0.11807149885208265</v>
      </c>
      <c r="CX89" s="269">
        <f>4*IS!CX20/AVERAGE(CX64,CW64)</f>
        <v>-2.8299826765463731E-2</v>
      </c>
      <c r="CY89" s="269">
        <f>4*IS!CY20/AVERAGE(CY64,CX64)</f>
        <v>0.21045786408914902</v>
      </c>
      <c r="CZ89" s="472">
        <f>IS!CZ20/AVERAGE(CZ64,CU64)</f>
        <v>-2.0829794184906894E-2</v>
      </c>
      <c r="DA89" s="269">
        <f>4*IS!DA20/AVERAGE(DA64,CZ64)</f>
        <v>0.73463843859804534</v>
      </c>
      <c r="DB89" s="269">
        <f>4*IS!DB20/AVERAGE(DB64,DA64)</f>
        <v>0.12959042797975148</v>
      </c>
      <c r="DC89" s="269">
        <f>4*IS!DC20/AVERAGE(DC64,DB64)</f>
        <v>2.0835677882992235E-2</v>
      </c>
      <c r="DD89" s="269">
        <f>4*IS!DD20/AVERAGE(DD64,DC64)</f>
        <v>0.21803365689144541</v>
      </c>
      <c r="DE89" s="472">
        <f>IS!DE20/AVERAGE(DE64,CZ64)</f>
        <v>0.28444528444528444</v>
      </c>
      <c r="DF89" s="269">
        <f>4*IS!DF20/AVERAGE(DF64,DE64)</f>
        <v>0.20775739297981066</v>
      </c>
      <c r="DG89" s="269">
        <f>4*IS!DG20/AVERAGE(DG64,DF64)</f>
        <v>0.21174020981821093</v>
      </c>
      <c r="DH89" s="269">
        <f>4*IS!DH20/AVERAGE(DH64,DG64)</f>
        <v>0.35734991830495966</v>
      </c>
      <c r="DI89" s="269">
        <f>4*IS!DI20/AVERAGE(DI64,DH64)</f>
        <v>0.39247937517780018</v>
      </c>
      <c r="DJ89" s="472">
        <f>IS!DJ20/AVERAGE(DJ64,DE64)</f>
        <v>0.2685277500830841</v>
      </c>
      <c r="DK89" s="269">
        <f>4*IS!DK20/AVERAGE(DK64,DJ64)</f>
        <v>0.40213158434105351</v>
      </c>
      <c r="DL89" s="269">
        <f>4*IS!DL20/AVERAGE(DL64,DK64)</f>
        <v>0.4122330147115657</v>
      </c>
      <c r="DM89" s="269">
        <f>4*IS!DM20/AVERAGE(DM64,DL64)</f>
        <v>0.34234962503335054</v>
      </c>
      <c r="DN89" s="269">
        <f>4*IS!DN20/AVERAGE(DN64,DM64)</f>
        <v>0.36389073031789054</v>
      </c>
      <c r="DO89" s="268">
        <f>IS!DO20/AVERAGE(DO64,DJ64)</f>
        <v>0.3919508100533049</v>
      </c>
      <c r="DP89" s="269">
        <f>4*IS!DP20/AVERAGE(DP64,DO64)</f>
        <v>0.45941904717520776</v>
      </c>
      <c r="DQ89" s="269">
        <f>4*IS!DQ20/AVERAGE(DQ64,DP64)</f>
        <v>0.52955425101965881</v>
      </c>
      <c r="DR89" s="269">
        <f>4*IS!DR20/AVERAGE(DR64,DQ64)</f>
        <v>0.51196727698949496</v>
      </c>
      <c r="DS89" s="269">
        <f>4*IS!DS20/AVERAGE(DS64,DR64)</f>
        <v>0.51052960129412606</v>
      </c>
      <c r="DT89" s="268">
        <f>IS!DT20/AVERAGE(DT64,DO64)</f>
        <v>0.46704725474755066</v>
      </c>
      <c r="DU89" s="268">
        <f>IS!DU20/AVERAGE(DU64,DT64)</f>
        <v>0.57776990913002835</v>
      </c>
      <c r="DV89" s="268">
        <f>IS!DV20/AVERAGE(DV64,DU64)</f>
        <v>0.69141738377414264</v>
      </c>
    </row>
    <row r="90" spans="1:126" s="15" customFormat="1" ht="6" customHeight="1" thickBot="1">
      <c r="C90" s="53"/>
      <c r="D90" s="53"/>
      <c r="E90" s="53"/>
      <c r="F90" s="53"/>
      <c r="G90" s="53"/>
      <c r="H90" s="53"/>
      <c r="I90" s="53"/>
      <c r="N90" s="53"/>
      <c r="S90" s="53"/>
      <c r="X90" s="53"/>
      <c r="AC90" s="53"/>
      <c r="AH90" s="53"/>
      <c r="AM90" s="53"/>
      <c r="AR90" s="53"/>
      <c r="AW90" s="53"/>
      <c r="BB90" s="53"/>
      <c r="BG90" s="53"/>
      <c r="BL90" s="53"/>
      <c r="BQ90" s="53"/>
      <c r="BV90" s="53"/>
      <c r="CA90" s="53"/>
      <c r="CF90" s="53"/>
      <c r="CK90" s="53"/>
      <c r="CP90" s="53"/>
      <c r="CU90" s="53"/>
      <c r="CZ90" s="53"/>
      <c r="DE90" s="53"/>
      <c r="DJ90" s="53"/>
      <c r="DO90" s="53"/>
      <c r="DT90" s="53"/>
      <c r="DU90" s="53"/>
      <c r="DV90" s="53"/>
    </row>
  </sheetData>
  <phoneticPr fontId="11" type="noConversion"/>
  <pageMargins left="0.25" right="0.25" top="0.75" bottom="0.75" header="0.3" footer="0.3"/>
  <pageSetup scale="35" orientation="portrait" r:id="rId1"/>
  <headerFooter alignWithMargins="0"/>
  <customProperties>
    <customPr name="Qube.Worksheet.Visibility" r:id="rId2"/>
    <customPr name="QXL_SHEET_ID" r:id="rId3"/>
  </customProperties>
  <ignoredErrors>
    <ignoredError sqref="AC54 X54 Y54:AB54 S54 T54:W54 N54 O54:R54 N45:AC46 N22:AC23" formula="1"/>
  </ignoredErrors>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1:DV58"/>
  <sheetViews>
    <sheetView showGridLines="0" zoomScaleNormal="100" zoomScaleSheetLayoutView="100" workbookViewId="0">
      <pane xSplit="2" ySplit="4" topLeftCell="C5" activePane="bottomRight" state="frozen"/>
      <selection activeCell="DF3" sqref="DF3:DI4"/>
      <selection pane="topRight" activeCell="DF3" sqref="DF3:DI4"/>
      <selection pane="bottomLeft" activeCell="DF3" sqref="DF3:DI4"/>
      <selection pane="bottomRight"/>
    </sheetView>
  </sheetViews>
  <sheetFormatPr defaultColWidth="9.75" defaultRowHeight="11.4" outlineLevelRow="1" outlineLevelCol="1"/>
  <cols>
    <col min="1" max="1" width="1.75" customWidth="1"/>
    <col min="2" max="2" width="41.75" customWidth="1"/>
    <col min="3" max="9" width="9.75" hidden="1" customWidth="1"/>
    <col min="10" max="13" width="9.75" hidden="1" customWidth="1" outlineLevel="1"/>
    <col min="14" max="14" width="9.75" hidden="1" customWidth="1" collapsed="1"/>
    <col min="15" max="18" width="9.75" hidden="1" customWidth="1" outlineLevel="1"/>
    <col min="19" max="19" width="9.75" hidden="1" customWidth="1" collapsed="1"/>
    <col min="20" max="23" width="9.75" hidden="1" customWidth="1" outlineLevel="1"/>
    <col min="24" max="24" width="9.75" hidden="1" customWidth="1" collapsed="1"/>
    <col min="25" max="28" width="9.75" hidden="1" customWidth="1" outlineLevel="1"/>
    <col min="29" max="29" width="9.75" hidden="1" customWidth="1" collapsed="1"/>
    <col min="30" max="33" width="9.75" hidden="1" customWidth="1" outlineLevel="1"/>
    <col min="34" max="34" width="9.75" hidden="1" customWidth="1" collapsed="1"/>
    <col min="35" max="38" width="9.75" hidden="1" customWidth="1" outlineLevel="1"/>
    <col min="39" max="39" width="9.75" hidden="1" customWidth="1" collapsed="1"/>
    <col min="40" max="43" width="9.75" hidden="1" customWidth="1" outlineLevel="1"/>
    <col min="44" max="44" width="9.75" hidden="1" customWidth="1" collapsed="1"/>
    <col min="45" max="48" width="9.75" hidden="1" customWidth="1" outlineLevel="1"/>
    <col min="49" max="49" width="9.75" hidden="1" customWidth="1" collapsed="1"/>
    <col min="50" max="53" width="9.75" hidden="1" customWidth="1" outlineLevel="1"/>
    <col min="54" max="54" width="0" hidden="1" customWidth="1" collapsed="1"/>
    <col min="55" max="58" width="9.75" hidden="1" customWidth="1" outlineLevel="1"/>
    <col min="59" max="59" width="0" hidden="1" customWidth="1" collapsed="1"/>
    <col min="60" max="63" width="9.75" hidden="1" customWidth="1" outlineLevel="1"/>
    <col min="64" max="64" width="0" hidden="1" customWidth="1" collapsed="1"/>
    <col min="65" max="68" width="9.75" hidden="1" customWidth="1" outlineLevel="1"/>
    <col min="69" max="69" width="0" hidden="1" customWidth="1" collapsed="1"/>
    <col min="70" max="73" width="9.75" hidden="1" customWidth="1" outlineLevel="1"/>
    <col min="74" max="74" width="0" hidden="1" customWidth="1" collapsed="1"/>
    <col min="75" max="78" width="9.75" hidden="1" customWidth="1" outlineLevel="1"/>
    <col min="79" max="79" width="0" hidden="1" customWidth="1" collapsed="1"/>
    <col min="80" max="83" width="9.75" hidden="1" customWidth="1" outlineLevel="1"/>
    <col min="84" max="84" width="0" hidden="1" customWidth="1" collapsed="1"/>
    <col min="85" max="88" width="9.75" hidden="1" customWidth="1" outlineLevel="1"/>
    <col min="89" max="89" width="0" hidden="1" customWidth="1" collapsed="1"/>
    <col min="90" max="93" width="9.75" hidden="1" customWidth="1" outlineLevel="1"/>
    <col min="94" max="94" width="9.75" collapsed="1"/>
    <col min="95" max="98" width="9.75" hidden="1" customWidth="1" outlineLevel="1"/>
    <col min="99" max="99" width="9.75" collapsed="1"/>
    <col min="100" max="103" width="9.75" hidden="1" customWidth="1" outlineLevel="1"/>
    <col min="104" max="104" width="9.75" collapsed="1"/>
    <col min="105" max="108" width="9.75" hidden="1" customWidth="1" outlineLevel="1"/>
    <col min="109" max="109" width="9.75" collapsed="1"/>
    <col min="110" max="113" width="9.75" hidden="1" customWidth="1" outlineLevel="1"/>
    <col min="114" max="114" width="9.75" collapsed="1"/>
    <col min="115" max="118" width="9.75" customWidth="1" outlineLevel="1"/>
    <col min="120" max="123" width="0" hidden="1" customWidth="1" outlineLevel="1"/>
    <col min="124" max="124" width="9.75" collapsed="1"/>
  </cols>
  <sheetData>
    <row r="1" spans="2:126" ht="12" customHeight="1" thickBot="1"/>
    <row r="2" spans="2:126" ht="6" customHeight="1">
      <c r="C2" s="117"/>
      <c r="D2" s="117"/>
      <c r="E2" s="117"/>
      <c r="F2" s="117"/>
      <c r="G2" s="117"/>
      <c r="H2" s="117"/>
      <c r="I2" s="117"/>
      <c r="N2" s="117"/>
      <c r="S2" s="117"/>
      <c r="X2" s="117"/>
      <c r="AC2" s="117"/>
      <c r="AH2" s="117"/>
      <c r="AM2" s="117"/>
      <c r="AR2" s="117"/>
      <c r="AW2" s="117"/>
      <c r="BB2" s="117"/>
      <c r="BG2" s="117"/>
      <c r="BL2" s="117"/>
      <c r="BQ2" s="117"/>
      <c r="BV2" s="117"/>
      <c r="CA2" s="117"/>
      <c r="CF2" s="117"/>
      <c r="CK2" s="117"/>
      <c r="CP2" s="117"/>
      <c r="CU2" s="117"/>
      <c r="CZ2" s="117"/>
      <c r="DE2" s="117"/>
      <c r="DJ2" s="117"/>
      <c r="DO2" s="117"/>
      <c r="DT2" s="117"/>
      <c r="DU2" s="117"/>
      <c r="DV2" s="117"/>
    </row>
    <row r="3" spans="2:126" ht="15.6">
      <c r="B3" s="120" t="s">
        <v>380</v>
      </c>
      <c r="C3" s="369">
        <v>1997</v>
      </c>
      <c r="D3" s="369">
        <v>1998</v>
      </c>
      <c r="E3" s="369">
        <v>1999</v>
      </c>
      <c r="F3" s="369">
        <v>2000</v>
      </c>
      <c r="G3" s="369">
        <v>2001</v>
      </c>
      <c r="H3" s="369">
        <v>2002</v>
      </c>
      <c r="I3" s="369">
        <v>2003</v>
      </c>
      <c r="J3" s="121" t="s">
        <v>0</v>
      </c>
      <c r="K3" s="121" t="s">
        <v>1</v>
      </c>
      <c r="L3" s="121" t="s">
        <v>2</v>
      </c>
      <c r="M3" s="121" t="s">
        <v>3</v>
      </c>
      <c r="N3" s="369">
        <v>2004</v>
      </c>
      <c r="O3" s="121" t="s">
        <v>4</v>
      </c>
      <c r="P3" s="121" t="s">
        <v>5</v>
      </c>
      <c r="Q3" s="121" t="s">
        <v>6</v>
      </c>
      <c r="R3" s="121" t="s">
        <v>7</v>
      </c>
      <c r="S3" s="369">
        <v>2005</v>
      </c>
      <c r="T3" s="121" t="s">
        <v>8</v>
      </c>
      <c r="U3" s="121" t="s">
        <v>9</v>
      </c>
      <c r="V3" s="121" t="s">
        <v>10</v>
      </c>
      <c r="W3" s="121" t="s">
        <v>11</v>
      </c>
      <c r="X3" s="369">
        <v>2006</v>
      </c>
      <c r="Y3" s="121" t="s">
        <v>12</v>
      </c>
      <c r="Z3" s="121" t="s">
        <v>13</v>
      </c>
      <c r="AA3" s="121" t="s">
        <v>14</v>
      </c>
      <c r="AB3" s="121" t="s">
        <v>15</v>
      </c>
      <c r="AC3" s="369">
        <v>2007</v>
      </c>
      <c r="AD3" s="121" t="s">
        <v>16</v>
      </c>
      <c r="AE3" s="121" t="s">
        <v>17</v>
      </c>
      <c r="AF3" s="121" t="s">
        <v>18</v>
      </c>
      <c r="AG3" s="121" t="s">
        <v>19</v>
      </c>
      <c r="AH3" s="369">
        <v>2008</v>
      </c>
      <c r="AI3" s="121" t="s">
        <v>20</v>
      </c>
      <c r="AJ3" s="121" t="s">
        <v>21</v>
      </c>
      <c r="AK3" s="121" t="s">
        <v>22</v>
      </c>
      <c r="AL3" s="121" t="s">
        <v>179</v>
      </c>
      <c r="AM3" s="369">
        <v>2009</v>
      </c>
      <c r="AN3" s="121" t="s">
        <v>139</v>
      </c>
      <c r="AO3" s="121" t="s">
        <v>180</v>
      </c>
      <c r="AP3" s="121" t="s">
        <v>181</v>
      </c>
      <c r="AQ3" s="121" t="s">
        <v>182</v>
      </c>
      <c r="AR3" s="369">
        <v>2010</v>
      </c>
      <c r="AS3" s="121" t="s">
        <v>183</v>
      </c>
      <c r="AT3" s="121" t="s">
        <v>184</v>
      </c>
      <c r="AU3" s="121" t="s">
        <v>185</v>
      </c>
      <c r="AV3" s="121" t="s">
        <v>186</v>
      </c>
      <c r="AW3" s="369">
        <v>2011</v>
      </c>
      <c r="AX3" s="121" t="s">
        <v>210</v>
      </c>
      <c r="AY3" s="121" t="s">
        <v>211</v>
      </c>
      <c r="AZ3" s="121" t="s">
        <v>212</v>
      </c>
      <c r="BA3" s="121" t="s">
        <v>213</v>
      </c>
      <c r="BB3" s="369">
        <v>2012</v>
      </c>
      <c r="BC3" s="121" t="s">
        <v>217</v>
      </c>
      <c r="BD3" s="121" t="s">
        <v>218</v>
      </c>
      <c r="BE3" s="121" t="s">
        <v>219</v>
      </c>
      <c r="BF3" s="121" t="s">
        <v>220</v>
      </c>
      <c r="BG3" s="369">
        <v>2013</v>
      </c>
      <c r="BH3" s="121" t="s">
        <v>221</v>
      </c>
      <c r="BI3" s="121" t="s">
        <v>222</v>
      </c>
      <c r="BJ3" s="121" t="s">
        <v>223</v>
      </c>
      <c r="BK3" s="121" t="s">
        <v>224</v>
      </c>
      <c r="BL3" s="369">
        <v>2014</v>
      </c>
      <c r="BM3" s="121" t="s">
        <v>265</v>
      </c>
      <c r="BN3" s="121" t="s">
        <v>266</v>
      </c>
      <c r="BO3" s="121" t="s">
        <v>267</v>
      </c>
      <c r="BP3" s="121" t="s">
        <v>268</v>
      </c>
      <c r="BQ3" s="369">
        <v>2015</v>
      </c>
      <c r="BR3" s="121" t="s">
        <v>269</v>
      </c>
      <c r="BS3" s="121" t="s">
        <v>270</v>
      </c>
      <c r="BT3" s="121" t="s">
        <v>271</v>
      </c>
      <c r="BU3" s="121" t="s">
        <v>272</v>
      </c>
      <c r="BV3" s="369">
        <v>2016</v>
      </c>
      <c r="BW3" s="121" t="s">
        <v>273</v>
      </c>
      <c r="BX3" s="121" t="s">
        <v>274</v>
      </c>
      <c r="BY3" s="121" t="s">
        <v>275</v>
      </c>
      <c r="BZ3" s="121" t="s">
        <v>276</v>
      </c>
      <c r="CA3" s="369">
        <v>2017</v>
      </c>
      <c r="CB3" s="121" t="s">
        <v>327</v>
      </c>
      <c r="CC3" s="121" t="s">
        <v>328</v>
      </c>
      <c r="CD3" s="121" t="s">
        <v>329</v>
      </c>
      <c r="CE3" s="121" t="s">
        <v>330</v>
      </c>
      <c r="CF3" s="369">
        <v>2018</v>
      </c>
      <c r="CG3" s="121" t="s">
        <v>341</v>
      </c>
      <c r="CH3" s="121" t="s">
        <v>342</v>
      </c>
      <c r="CI3" s="121" t="s">
        <v>343</v>
      </c>
      <c r="CJ3" s="121" t="s">
        <v>344</v>
      </c>
      <c r="CK3" s="369">
        <v>2019</v>
      </c>
      <c r="CL3" s="121" t="s">
        <v>346</v>
      </c>
      <c r="CM3" s="121" t="s">
        <v>347</v>
      </c>
      <c r="CN3" s="121" t="s">
        <v>348</v>
      </c>
      <c r="CO3" s="121" t="s">
        <v>349</v>
      </c>
      <c r="CP3" s="369">
        <v>2020</v>
      </c>
      <c r="CQ3" s="121" t="s">
        <v>355</v>
      </c>
      <c r="CR3" s="121" t="s">
        <v>356</v>
      </c>
      <c r="CS3" s="121" t="s">
        <v>357</v>
      </c>
      <c r="CT3" s="121" t="s">
        <v>358</v>
      </c>
      <c r="CU3" s="369">
        <v>2021</v>
      </c>
      <c r="CV3" s="121" t="s">
        <v>364</v>
      </c>
      <c r="CW3" s="121" t="s">
        <v>365</v>
      </c>
      <c r="CX3" s="121" t="s">
        <v>366</v>
      </c>
      <c r="CY3" s="121" t="s">
        <v>367</v>
      </c>
      <c r="CZ3" s="369">
        <v>2022</v>
      </c>
      <c r="DA3" s="121" t="s">
        <v>368</v>
      </c>
      <c r="DB3" s="121" t="s">
        <v>369</v>
      </c>
      <c r="DC3" s="121" t="s">
        <v>370</v>
      </c>
      <c r="DD3" s="121" t="s">
        <v>371</v>
      </c>
      <c r="DE3" s="369">
        <v>2023</v>
      </c>
      <c r="DF3" s="121" t="s">
        <v>373</v>
      </c>
      <c r="DG3" s="121" t="s">
        <v>374</v>
      </c>
      <c r="DH3" s="121" t="s">
        <v>375</v>
      </c>
      <c r="DI3" s="121" t="s">
        <v>376</v>
      </c>
      <c r="DJ3" s="369">
        <v>2024</v>
      </c>
      <c r="DK3" s="121" t="s">
        <v>461</v>
      </c>
      <c r="DL3" s="121" t="s">
        <v>462</v>
      </c>
      <c r="DM3" s="121" t="s">
        <v>543</v>
      </c>
      <c r="DN3" s="121" t="s">
        <v>544</v>
      </c>
      <c r="DO3" s="369" t="s">
        <v>363</v>
      </c>
      <c r="DP3" s="121" t="s">
        <v>649</v>
      </c>
      <c r="DQ3" s="121" t="s">
        <v>650</v>
      </c>
      <c r="DR3" s="121" t="s">
        <v>651</v>
      </c>
      <c r="DS3" s="121" t="s">
        <v>652</v>
      </c>
      <c r="DT3" s="369" t="s">
        <v>455</v>
      </c>
      <c r="DU3" s="369" t="s">
        <v>456</v>
      </c>
      <c r="DV3" s="369" t="s">
        <v>559</v>
      </c>
    </row>
    <row r="4" spans="2:126" ht="13.2">
      <c r="B4" s="122" t="s">
        <v>81</v>
      </c>
      <c r="C4" s="119">
        <v>35795</v>
      </c>
      <c r="D4" s="119">
        <v>36160</v>
      </c>
      <c r="E4" s="119">
        <v>36525</v>
      </c>
      <c r="F4" s="119">
        <v>36891</v>
      </c>
      <c r="G4" s="119">
        <v>37256</v>
      </c>
      <c r="H4" s="119">
        <v>37621</v>
      </c>
      <c r="I4" s="119">
        <v>37986</v>
      </c>
      <c r="J4" s="123">
        <v>38077</v>
      </c>
      <c r="K4" s="123">
        <v>38168</v>
      </c>
      <c r="L4" s="123">
        <v>38260</v>
      </c>
      <c r="M4" s="123">
        <v>38352</v>
      </c>
      <c r="N4" s="119">
        <v>38352</v>
      </c>
      <c r="O4" s="123">
        <v>38442</v>
      </c>
      <c r="P4" s="123">
        <v>38533</v>
      </c>
      <c r="Q4" s="123">
        <v>38625</v>
      </c>
      <c r="R4" s="123">
        <v>38717</v>
      </c>
      <c r="S4" s="119">
        <v>38717</v>
      </c>
      <c r="T4" s="123">
        <v>38807</v>
      </c>
      <c r="U4" s="123">
        <v>38898</v>
      </c>
      <c r="V4" s="123">
        <v>38990</v>
      </c>
      <c r="W4" s="123">
        <v>39082</v>
      </c>
      <c r="X4" s="119">
        <v>39082</v>
      </c>
      <c r="Y4" s="123">
        <v>39172</v>
      </c>
      <c r="Z4" s="123">
        <v>39263</v>
      </c>
      <c r="AA4" s="123">
        <v>39355</v>
      </c>
      <c r="AB4" s="123">
        <v>39447</v>
      </c>
      <c r="AC4" s="119">
        <v>39447</v>
      </c>
      <c r="AD4" s="123">
        <v>39538</v>
      </c>
      <c r="AE4" s="123">
        <v>39629</v>
      </c>
      <c r="AF4" s="123">
        <v>39721</v>
      </c>
      <c r="AG4" s="123">
        <v>39813</v>
      </c>
      <c r="AH4" s="119">
        <v>39813</v>
      </c>
      <c r="AI4" s="123">
        <v>39903</v>
      </c>
      <c r="AJ4" s="123">
        <v>39994</v>
      </c>
      <c r="AK4" s="123">
        <v>40086</v>
      </c>
      <c r="AL4" s="123">
        <v>40178</v>
      </c>
      <c r="AM4" s="119">
        <v>40178</v>
      </c>
      <c r="AN4" s="123">
        <v>40268</v>
      </c>
      <c r="AO4" s="123">
        <v>40359</v>
      </c>
      <c r="AP4" s="123">
        <v>40451</v>
      </c>
      <c r="AQ4" s="123">
        <v>40543</v>
      </c>
      <c r="AR4" s="119">
        <v>40543</v>
      </c>
      <c r="AS4" s="123">
        <v>40633</v>
      </c>
      <c r="AT4" s="123">
        <v>40724</v>
      </c>
      <c r="AU4" s="123">
        <v>40816</v>
      </c>
      <c r="AV4" s="123">
        <v>40908</v>
      </c>
      <c r="AW4" s="119">
        <v>40908</v>
      </c>
      <c r="AX4" s="123">
        <v>40999</v>
      </c>
      <c r="AY4" s="123">
        <v>41090</v>
      </c>
      <c r="AZ4" s="123">
        <v>41182</v>
      </c>
      <c r="BA4" s="123">
        <v>41274</v>
      </c>
      <c r="BB4" s="119">
        <v>41274</v>
      </c>
      <c r="BC4" s="123">
        <v>41364</v>
      </c>
      <c r="BD4" s="123">
        <v>41455</v>
      </c>
      <c r="BE4" s="123">
        <v>41547</v>
      </c>
      <c r="BF4" s="123">
        <v>41639</v>
      </c>
      <c r="BG4" s="119">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19">
        <v>42735</v>
      </c>
      <c r="BW4" s="123">
        <v>42825</v>
      </c>
      <c r="BX4" s="123">
        <v>42916</v>
      </c>
      <c r="BY4" s="123">
        <v>43008</v>
      </c>
      <c r="BZ4" s="123">
        <v>43100</v>
      </c>
      <c r="CA4" s="119">
        <v>43100</v>
      </c>
      <c r="CB4" s="123">
        <v>43190</v>
      </c>
      <c r="CC4" s="123">
        <v>43281</v>
      </c>
      <c r="CD4" s="123">
        <v>43373</v>
      </c>
      <c r="CE4" s="123">
        <v>43465</v>
      </c>
      <c r="CF4" s="119">
        <v>43465</v>
      </c>
      <c r="CG4" s="123">
        <v>43555</v>
      </c>
      <c r="CH4" s="123">
        <v>43646</v>
      </c>
      <c r="CI4" s="123">
        <v>43738</v>
      </c>
      <c r="CJ4" s="123">
        <v>43830</v>
      </c>
      <c r="CK4" s="119">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19">
        <v>46752</v>
      </c>
      <c r="DV4" s="119">
        <v>47118</v>
      </c>
    </row>
    <row r="5" spans="2:126" s="131" customFormat="1">
      <c r="C5" s="135"/>
      <c r="D5" s="135"/>
      <c r="E5" s="135"/>
      <c r="F5" s="135"/>
      <c r="G5" s="135"/>
      <c r="H5" s="135"/>
      <c r="I5" s="135"/>
      <c r="N5" s="135"/>
      <c r="S5" s="135"/>
      <c r="X5" s="135"/>
      <c r="AC5" s="135"/>
      <c r="AH5" s="135"/>
      <c r="AM5" s="135"/>
      <c r="AR5" s="135"/>
      <c r="AW5" s="135"/>
      <c r="BB5" s="135"/>
      <c r="BG5" s="135"/>
      <c r="BL5" s="135"/>
      <c r="BQ5" s="135"/>
      <c r="BV5" s="135"/>
      <c r="CA5" s="135"/>
      <c r="CF5" s="135"/>
      <c r="CK5" s="135"/>
      <c r="CP5" s="135"/>
      <c r="CU5" s="135"/>
      <c r="CZ5" s="135"/>
      <c r="DE5" s="135"/>
      <c r="DJ5" s="135"/>
      <c r="DO5" s="135"/>
      <c r="DT5" s="135"/>
      <c r="DU5" s="135"/>
      <c r="DV5" s="135"/>
    </row>
    <row r="6" spans="2:126" s="131" customFormat="1">
      <c r="B6" s="156" t="s">
        <v>33</v>
      </c>
      <c r="C6" s="150">
        <f>data!C99</f>
        <v>0</v>
      </c>
      <c r="D6" s="150">
        <f>data!D99</f>
        <v>0</v>
      </c>
      <c r="E6" s="150">
        <f>data!E99</f>
        <v>0</v>
      </c>
      <c r="F6" s="150">
        <f>data!F99</f>
        <v>0</v>
      </c>
      <c r="G6" s="150">
        <f>data!G99</f>
        <v>0</v>
      </c>
      <c r="H6" s="150">
        <f>data!H99</f>
        <v>0</v>
      </c>
      <c r="I6" s="150">
        <f>data!I99</f>
        <v>0</v>
      </c>
      <c r="J6" s="148">
        <f>data!J99</f>
        <v>0</v>
      </c>
      <c r="K6" s="148">
        <f>data!K99-J6</f>
        <v>0</v>
      </c>
      <c r="L6" s="148">
        <f>data!L99-K6-J6</f>
        <v>0</v>
      </c>
      <c r="M6" s="148">
        <f>data!M99-L6-K6-J6</f>
        <v>0</v>
      </c>
      <c r="N6" s="150">
        <f t="shared" ref="N6:N19" si="0">SUM(J6:M6)</f>
        <v>0</v>
      </c>
      <c r="O6" s="148">
        <f>data!O99</f>
        <v>0</v>
      </c>
      <c r="P6" s="148">
        <f>data!P99-O6</f>
        <v>0</v>
      </c>
      <c r="Q6" s="148">
        <f>data!Q99-P6-O6</f>
        <v>0</v>
      </c>
      <c r="R6" s="148">
        <f>data!R99-Q6-P6-O6</f>
        <v>0</v>
      </c>
      <c r="S6" s="150">
        <f t="shared" ref="S6:S19" si="1">SUM(O6:R6)</f>
        <v>0</v>
      </c>
      <c r="T6" s="148">
        <f>data!T99</f>
        <v>0</v>
      </c>
      <c r="U6" s="148">
        <f>data!U99-T6</f>
        <v>0</v>
      </c>
      <c r="V6" s="148">
        <f>data!V99-U6-T6</f>
        <v>0</v>
      </c>
      <c r="W6" s="148">
        <f>data!W99-V6-U6-T6</f>
        <v>0</v>
      </c>
      <c r="X6" s="150">
        <f t="shared" ref="X6:X19" si="2">SUM(T6:W6)</f>
        <v>0</v>
      </c>
      <c r="Y6" s="148">
        <f>data!Y99</f>
        <v>0</v>
      </c>
      <c r="Z6" s="148">
        <f>data!Z99-Y6</f>
        <v>0</v>
      </c>
      <c r="AA6" s="148">
        <f>data!AA99-Z6-Y6</f>
        <v>0</v>
      </c>
      <c r="AB6" s="148">
        <f>data!AB99-AA6-Z6-Y6</f>
        <v>0</v>
      </c>
      <c r="AC6" s="150">
        <f t="shared" ref="AC6:AC19" si="3">SUM(Y6:AB6)</f>
        <v>0</v>
      </c>
      <c r="AD6" s="148">
        <f>data!AD99</f>
        <v>0</v>
      </c>
      <c r="AE6" s="148">
        <f>data!AE99-AD6</f>
        <v>0</v>
      </c>
      <c r="AF6" s="148">
        <f>data!AF99-AE6-AD6</f>
        <v>0</v>
      </c>
      <c r="AG6" s="148">
        <f>data!AG99-AF6-AE6-AD6</f>
        <v>0</v>
      </c>
      <c r="AH6" s="150">
        <f t="shared" ref="AH6:AH19" si="4">SUM(AD6:AG6)</f>
        <v>0</v>
      </c>
      <c r="AI6" s="148">
        <f>data!AI99</f>
        <v>0</v>
      </c>
      <c r="AJ6" s="148">
        <f>data!AJ99-AI6</f>
        <v>0</v>
      </c>
      <c r="AK6" s="148">
        <f>data!AK99-AJ6-AI6</f>
        <v>0</v>
      </c>
      <c r="AL6" s="148">
        <f>data!AL99-AK6-AJ6-AI6</f>
        <v>0</v>
      </c>
      <c r="AM6" s="150">
        <f>SUM(AI6:AL6)</f>
        <v>0</v>
      </c>
      <c r="AN6" s="148">
        <f>data!AN99</f>
        <v>0</v>
      </c>
      <c r="AO6" s="148">
        <f>data!AO99-AN6</f>
        <v>0</v>
      </c>
      <c r="AP6" s="148">
        <f>data!AP99-AO6-AN6</f>
        <v>0</v>
      </c>
      <c r="AQ6" s="148">
        <f>data!AQ99-AP6-AO6-AN6</f>
        <v>0</v>
      </c>
      <c r="AR6" s="150">
        <f>SUM(AN6:AQ6)</f>
        <v>0</v>
      </c>
      <c r="AS6" s="148">
        <f>data!AS99</f>
        <v>0</v>
      </c>
      <c r="AT6" s="148">
        <f>data!AT99-AS6</f>
        <v>0</v>
      </c>
      <c r="AU6" s="343">
        <f>data!AU99-AT6-AS6</f>
        <v>0</v>
      </c>
      <c r="AV6" s="148">
        <f>data!AV99-AU6-AT6-AS6</f>
        <v>0</v>
      </c>
      <c r="AW6" s="150">
        <f>SUM(AS6:AV6)</f>
        <v>0</v>
      </c>
      <c r="AX6" s="343">
        <f>data!AX99</f>
        <v>0</v>
      </c>
      <c r="AY6" s="148">
        <f>data!AY99-AX6</f>
        <v>0</v>
      </c>
      <c r="AZ6" s="343">
        <f>data!AZ99-AY6-AX6</f>
        <v>0</v>
      </c>
      <c r="BA6" s="148">
        <f>data!BA99-AZ6-AY6-AX6</f>
        <v>0</v>
      </c>
      <c r="BB6" s="150"/>
      <c r="BC6" s="343"/>
      <c r="BD6" s="148"/>
      <c r="BE6" s="148"/>
      <c r="BF6" s="148"/>
      <c r="BG6" s="150"/>
      <c r="BH6" s="343"/>
      <c r="BI6" s="148"/>
      <c r="BJ6" s="148"/>
      <c r="BK6" s="148"/>
      <c r="BL6" s="150"/>
      <c r="BM6" s="343"/>
      <c r="BN6" s="148"/>
      <c r="BO6" s="148"/>
      <c r="BP6" s="148"/>
      <c r="BQ6" s="150"/>
      <c r="BR6" s="343"/>
      <c r="BS6" s="343"/>
      <c r="BT6" s="148"/>
      <c r="BU6" s="148"/>
      <c r="BV6" s="150"/>
      <c r="BW6" s="343"/>
      <c r="BX6" s="343"/>
      <c r="BY6" s="148"/>
      <c r="BZ6" s="343"/>
      <c r="CA6" s="150"/>
      <c r="CB6" s="343"/>
      <c r="CC6" s="343"/>
      <c r="CD6" s="148"/>
      <c r="CE6" s="343"/>
      <c r="CF6" s="150"/>
      <c r="CG6" s="343"/>
      <c r="CH6" s="343"/>
      <c r="CI6" s="148"/>
      <c r="CJ6" s="343"/>
      <c r="CK6" s="425"/>
      <c r="CL6" s="343">
        <f>data!CL99</f>
        <v>6233</v>
      </c>
      <c r="CM6" s="343">
        <f>data!CM99-CL6</f>
        <v>-2132</v>
      </c>
      <c r="CN6" s="148">
        <f>data!CN99-CM6-CL6</f>
        <v>-1194</v>
      </c>
      <c r="CO6" s="343">
        <f>data!CO99-CN6-CM6-CL6</f>
        <v>2639</v>
      </c>
      <c r="CP6" s="425">
        <f t="shared" ref="CP6:CP22" si="5">SUM(CL6:CO6)</f>
        <v>5546</v>
      </c>
      <c r="CQ6" s="343">
        <f>data!CQ99</f>
        <v>-2798</v>
      </c>
      <c r="CR6" s="343">
        <f>data!CR99-CQ6</f>
        <v>-1135</v>
      </c>
      <c r="CS6" s="148">
        <f>data!CS99-CR6-CQ6</f>
        <v>1185</v>
      </c>
      <c r="CT6" s="343">
        <f>data!CT99-CS6-CR6-CQ6</f>
        <v>-3843</v>
      </c>
      <c r="CU6" s="425">
        <f t="shared" ref="CU6:CU24" si="6">SUM(CQ6:CT6)</f>
        <v>-6591</v>
      </c>
      <c r="CV6" s="343">
        <f>data!CV99</f>
        <v>-1108</v>
      </c>
      <c r="CW6" s="343">
        <f>data!CW99-CV6</f>
        <v>-863</v>
      </c>
      <c r="CX6" s="148">
        <f>data!CX99-CW6-CV6</f>
        <v>165</v>
      </c>
      <c r="CY6" s="343">
        <f>data!CY99-CX6-CW6-CV6</f>
        <v>2213</v>
      </c>
      <c r="CZ6" s="425">
        <f t="shared" ref="CZ6:CZ24" si="7">SUM(CV6:CY6)</f>
        <v>407</v>
      </c>
      <c r="DA6" s="343">
        <f>data!DA99</f>
        <v>7478</v>
      </c>
      <c r="DB6" s="343">
        <f>data!DB99-DA6</f>
        <v>40</v>
      </c>
      <c r="DC6" s="148">
        <f>data!DC99-DB6-DA6</f>
        <v>334</v>
      </c>
      <c r="DD6" s="343">
        <f>data!DD99-DC6-DB6-DA6</f>
        <v>1591</v>
      </c>
      <c r="DE6" s="425">
        <f t="shared" ref="DE6:DE24" si="8">SUM(DA6:DD6)</f>
        <v>9443</v>
      </c>
      <c r="DF6" s="343">
        <f>data!DF99</f>
        <v>1563</v>
      </c>
      <c r="DG6" s="343">
        <f>data!DG99-DF6</f>
        <v>1270</v>
      </c>
      <c r="DH6" s="148">
        <f>data!DH99-DG6-DF6</f>
        <v>1843</v>
      </c>
      <c r="DI6" s="343">
        <f>data!DI99-DH6-DG6-DF6</f>
        <v>1890</v>
      </c>
      <c r="DJ6" s="425">
        <f t="shared" ref="DJ6:DJ24" si="9">SUM(DF6:DI6)</f>
        <v>6566</v>
      </c>
      <c r="DK6" s="343">
        <f>data!DK99</f>
        <v>1972</v>
      </c>
      <c r="DL6" s="343">
        <f>data!DL99-DK6</f>
        <v>2021</v>
      </c>
      <c r="DM6" s="148">
        <f>IS!DM22</f>
        <v>1494.8795704251631</v>
      </c>
      <c r="DN6" s="148">
        <f>IS!DN22</f>
        <v>1413.8154650503259</v>
      </c>
      <c r="DO6" s="425">
        <f>IS!DO22</f>
        <v>6913.6950354754863</v>
      </c>
      <c r="DP6" s="148">
        <f>IS!DP22</f>
        <v>1700.6078347822026</v>
      </c>
      <c r="DQ6" s="148">
        <f>IS!DQ22</f>
        <v>1870.6558152935627</v>
      </c>
      <c r="DR6" s="148">
        <f>IS!DR22</f>
        <v>1774.2573766931387</v>
      </c>
      <c r="DS6" s="148">
        <f>IS!DS22</f>
        <v>1842.1873930532358</v>
      </c>
      <c r="DT6" s="425">
        <f>IS!DT22</f>
        <v>7187.7084198221401</v>
      </c>
      <c r="DU6" s="425">
        <f>IS!DU22</f>
        <v>8131.2326710364623</v>
      </c>
      <c r="DV6" s="425">
        <f>IS!DV22</f>
        <v>8823.0470298545442</v>
      </c>
    </row>
    <row r="7" spans="2:126" s="131" customFormat="1">
      <c r="B7" s="156" t="s">
        <v>521</v>
      </c>
      <c r="C7" s="150"/>
      <c r="D7" s="150"/>
      <c r="E7" s="150"/>
      <c r="F7" s="150"/>
      <c r="G7" s="150"/>
      <c r="H7" s="150"/>
      <c r="I7" s="150"/>
      <c r="J7" s="148"/>
      <c r="K7" s="148"/>
      <c r="L7" s="148"/>
      <c r="M7" s="148"/>
      <c r="N7" s="150"/>
      <c r="O7" s="148"/>
      <c r="P7" s="148"/>
      <c r="Q7" s="148"/>
      <c r="R7" s="148"/>
      <c r="S7" s="150"/>
      <c r="T7" s="148"/>
      <c r="U7" s="148"/>
      <c r="V7" s="148"/>
      <c r="W7" s="148"/>
      <c r="X7" s="150"/>
      <c r="Y7" s="148"/>
      <c r="Z7" s="148"/>
      <c r="AA7" s="148"/>
      <c r="AB7" s="148"/>
      <c r="AC7" s="150"/>
      <c r="AD7" s="148"/>
      <c r="AE7" s="148"/>
      <c r="AF7" s="148"/>
      <c r="AG7" s="148"/>
      <c r="AH7" s="150"/>
      <c r="AI7" s="148"/>
      <c r="AJ7" s="148"/>
      <c r="AK7" s="148"/>
      <c r="AL7" s="148"/>
      <c r="AM7" s="150"/>
      <c r="AN7" s="148"/>
      <c r="AO7" s="148"/>
      <c r="AP7" s="148"/>
      <c r="AQ7" s="148"/>
      <c r="AR7" s="150"/>
      <c r="AS7" s="148"/>
      <c r="AT7" s="148"/>
      <c r="AU7" s="343"/>
      <c r="AV7" s="148"/>
      <c r="AW7" s="150"/>
      <c r="AX7" s="343"/>
      <c r="AY7" s="148"/>
      <c r="AZ7" s="343"/>
      <c r="BA7" s="148"/>
      <c r="BB7" s="150"/>
      <c r="BC7" s="343"/>
      <c r="BD7" s="148"/>
      <c r="BE7" s="148"/>
      <c r="BF7" s="148"/>
      <c r="BG7" s="150"/>
      <c r="BH7" s="343"/>
      <c r="BI7" s="148"/>
      <c r="BJ7" s="148"/>
      <c r="BK7" s="148"/>
      <c r="BL7" s="150"/>
      <c r="BM7" s="343"/>
      <c r="BN7" s="148"/>
      <c r="BO7" s="148"/>
      <c r="BP7" s="148"/>
      <c r="BQ7" s="150"/>
      <c r="BR7" s="343"/>
      <c r="BS7" s="343"/>
      <c r="BT7" s="148"/>
      <c r="BU7" s="148"/>
      <c r="BV7" s="150"/>
      <c r="BW7" s="343"/>
      <c r="BX7" s="343"/>
      <c r="BY7" s="148"/>
      <c r="BZ7" s="343"/>
      <c r="CA7" s="150"/>
      <c r="CB7" s="343"/>
      <c r="CC7" s="343"/>
      <c r="CD7" s="148"/>
      <c r="CE7" s="343"/>
      <c r="CF7" s="150"/>
      <c r="CG7" s="343"/>
      <c r="CH7" s="343"/>
      <c r="CI7" s="148"/>
      <c r="CJ7" s="343"/>
      <c r="CK7" s="425"/>
      <c r="CL7" s="221">
        <f>data!CL100</f>
        <v>21</v>
      </c>
      <c r="CM7" s="221">
        <f>data!CM100-CL7</f>
        <v>994</v>
      </c>
      <c r="CN7" s="131">
        <f>data!CN100-CM7-CL7</f>
        <v>57</v>
      </c>
      <c r="CO7" s="221">
        <f>data!CO100-CN7-CM7-CL7</f>
        <v>-161</v>
      </c>
      <c r="CP7" s="222">
        <f t="shared" si="5"/>
        <v>911</v>
      </c>
      <c r="CQ7" s="221">
        <f>data!CQ100</f>
        <v>2894</v>
      </c>
      <c r="CR7" s="221">
        <f>data!CR100-CQ7</f>
        <v>564</v>
      </c>
      <c r="CS7" s="131">
        <f>data!CS100-CR7-CQ7</f>
        <v>-602</v>
      </c>
      <c r="CT7" s="221">
        <f>data!CT100-CS7-CR7-CQ7</f>
        <v>339</v>
      </c>
      <c r="CU7" s="222">
        <f t="shared" si="6"/>
        <v>3195</v>
      </c>
      <c r="CV7" s="221">
        <f>data!CV100</f>
        <v>-101</v>
      </c>
      <c r="CW7" s="221">
        <f>data!CW100-CV7</f>
        <v>-264</v>
      </c>
      <c r="CX7" s="131">
        <f>data!CX100-CW7-CV7</f>
        <v>-410</v>
      </c>
      <c r="CY7" s="221">
        <f>data!CY100-CX7-CW7-CV7</f>
        <v>-427</v>
      </c>
      <c r="CZ7" s="222">
        <f t="shared" si="7"/>
        <v>-1202</v>
      </c>
      <c r="DA7" s="221">
        <f>data!DA100</f>
        <v>-1257</v>
      </c>
      <c r="DB7" s="221">
        <f>data!DB100-DA7</f>
        <v>1018</v>
      </c>
      <c r="DC7" s="131">
        <f>data!DC100-DB7-DA7</f>
        <v>-173</v>
      </c>
      <c r="DD7" s="221">
        <f>data!DD100-DC7-DB7-DA7</f>
        <v>-2</v>
      </c>
      <c r="DE7" s="222">
        <f t="shared" si="8"/>
        <v>-414</v>
      </c>
      <c r="DF7" s="221">
        <f>data!DF100</f>
        <v>-14</v>
      </c>
      <c r="DG7" s="221">
        <f>data!DG100-DF7</f>
        <v>246</v>
      </c>
      <c r="DH7" s="131">
        <f>data!DH100-DG7-DF7</f>
        <v>-147</v>
      </c>
      <c r="DI7" s="221">
        <f>data!DI100-DH7-DG7-DF7</f>
        <v>6</v>
      </c>
      <c r="DJ7" s="222">
        <f t="shared" si="9"/>
        <v>91</v>
      </c>
      <c r="DK7" s="221">
        <f>data!DK100</f>
        <v>-10</v>
      </c>
      <c r="DL7" s="221">
        <f>data!DL100-DK7</f>
        <v>-21</v>
      </c>
      <c r="DM7" s="246">
        <f>-IS!DM21</f>
        <v>0</v>
      </c>
      <c r="DN7" s="246">
        <f>-IS!DN21</f>
        <v>0</v>
      </c>
      <c r="DO7" s="222">
        <f t="shared" ref="DO7" si="10">SUM(DK7:DN7)</f>
        <v>-31</v>
      </c>
      <c r="DP7" s="246">
        <f>-IS!DP21</f>
        <v>0</v>
      </c>
      <c r="DQ7" s="246">
        <f>-IS!DQ21</f>
        <v>0</v>
      </c>
      <c r="DR7" s="246">
        <f>-IS!DR21</f>
        <v>0</v>
      </c>
      <c r="DS7" s="246">
        <f>-IS!DS21</f>
        <v>0</v>
      </c>
      <c r="DT7" s="222">
        <f t="shared" ref="DT7:DT22" si="11">SUM(DP7:DS7)</f>
        <v>0</v>
      </c>
      <c r="DU7" s="247">
        <f>-IS!DU21</f>
        <v>0</v>
      </c>
      <c r="DV7" s="247">
        <f>-IS!DV21</f>
        <v>0</v>
      </c>
    </row>
    <row r="8" spans="2:126" s="131" customFormat="1">
      <c r="B8" s="156" t="s">
        <v>187</v>
      </c>
      <c r="C8" s="135">
        <f>data!C101</f>
        <v>0</v>
      </c>
      <c r="D8" s="135">
        <f>data!D101</f>
        <v>0</v>
      </c>
      <c r="E8" s="135">
        <f>data!E101</f>
        <v>0</v>
      </c>
      <c r="F8" s="135">
        <f>data!F101</f>
        <v>0</v>
      </c>
      <c r="G8" s="135">
        <f>data!G101</f>
        <v>0</v>
      </c>
      <c r="H8" s="135">
        <f>data!H101</f>
        <v>0</v>
      </c>
      <c r="I8" s="135">
        <f>data!I101</f>
        <v>0</v>
      </c>
      <c r="J8" s="131">
        <f>data!J101</f>
        <v>0</v>
      </c>
      <c r="K8" s="131">
        <f>data!K101-J8</f>
        <v>0</v>
      </c>
      <c r="L8" s="131">
        <f>data!L101-K8-J8</f>
        <v>0</v>
      </c>
      <c r="M8" s="131">
        <f>data!M101-L8-K8-J8</f>
        <v>0</v>
      </c>
      <c r="N8" s="135">
        <f t="shared" si="0"/>
        <v>0</v>
      </c>
      <c r="O8" s="131">
        <f>data!O101</f>
        <v>0</v>
      </c>
      <c r="P8" s="131">
        <f>data!P101-O8</f>
        <v>0</v>
      </c>
      <c r="Q8" s="131">
        <f>data!Q101-P8-O8</f>
        <v>0</v>
      </c>
      <c r="R8" s="131">
        <f>data!R101-Q8-P8-O8</f>
        <v>0</v>
      </c>
      <c r="S8" s="135">
        <f t="shared" si="1"/>
        <v>0</v>
      </c>
      <c r="T8" s="131">
        <f>data!T101</f>
        <v>0</v>
      </c>
      <c r="U8" s="131">
        <f>data!U101-T8</f>
        <v>0</v>
      </c>
      <c r="V8" s="131">
        <f>data!V101-U8-T8</f>
        <v>0</v>
      </c>
      <c r="W8" s="131">
        <f>data!W101-V8-U8-T8</f>
        <v>0</v>
      </c>
      <c r="X8" s="135">
        <f t="shared" si="2"/>
        <v>0</v>
      </c>
      <c r="Y8" s="131">
        <f>data!Y101</f>
        <v>0</v>
      </c>
      <c r="Z8" s="131">
        <f>data!Z101-Y8</f>
        <v>0</v>
      </c>
      <c r="AA8" s="131">
        <f>data!AA101-Z8-Y8</f>
        <v>0</v>
      </c>
      <c r="AB8" s="131">
        <f>data!AB101-AA8-Z8-Y8</f>
        <v>0</v>
      </c>
      <c r="AC8" s="135">
        <f t="shared" si="3"/>
        <v>0</v>
      </c>
      <c r="AD8" s="131">
        <f>data!AD101</f>
        <v>0</v>
      </c>
      <c r="AE8" s="131">
        <f>data!AE101-AD8</f>
        <v>0</v>
      </c>
      <c r="AF8" s="131">
        <f>data!AF101-AE8-AD8</f>
        <v>0</v>
      </c>
      <c r="AG8" s="131">
        <f>data!AG101-AF8-AE8-AD8</f>
        <v>0</v>
      </c>
      <c r="AH8" s="135">
        <f t="shared" si="4"/>
        <v>0</v>
      </c>
      <c r="AI8" s="131">
        <f>data!AI101</f>
        <v>0</v>
      </c>
      <c r="AJ8" s="131">
        <f>data!AJ101-AI8</f>
        <v>0</v>
      </c>
      <c r="AK8" s="131">
        <f>data!AK101-AJ8-AI8</f>
        <v>0</v>
      </c>
      <c r="AL8" s="131">
        <f>data!AL101-AK8-AJ8-AI8</f>
        <v>0</v>
      </c>
      <c r="AM8" s="135">
        <f t="shared" ref="AM8:AM47" si="12">SUM(AI8:AL8)</f>
        <v>0</v>
      </c>
      <c r="AN8" s="131">
        <f>data!AN101</f>
        <v>0</v>
      </c>
      <c r="AO8" s="131">
        <f>data!AO101-AN8</f>
        <v>0</v>
      </c>
      <c r="AP8" s="131">
        <f>data!AP101-AO8-AN8</f>
        <v>0</v>
      </c>
      <c r="AQ8" s="131">
        <f>data!AQ101-AP8-AO8-AN8</f>
        <v>0</v>
      </c>
      <c r="AR8" s="135">
        <f t="shared" ref="AR8:AR47" si="13">SUM(AN8:AQ8)</f>
        <v>0</v>
      </c>
      <c r="AS8" s="131">
        <f>data!AS101</f>
        <v>0</v>
      </c>
      <c r="AT8" s="131">
        <f>data!AT101-AS8</f>
        <v>0</v>
      </c>
      <c r="AU8" s="221">
        <f>data!AU101-AT8-AS8</f>
        <v>0</v>
      </c>
      <c r="AV8" s="131">
        <f>data!AV101-AU8-AT8-AS8</f>
        <v>0</v>
      </c>
      <c r="AW8" s="135">
        <f>SUM(AS8:AV8)</f>
        <v>0</v>
      </c>
      <c r="AX8" s="221">
        <f>data!AX101</f>
        <v>0</v>
      </c>
      <c r="AY8" s="131">
        <f>data!AY101-AX8</f>
        <v>0</v>
      </c>
      <c r="AZ8" s="221">
        <f>data!AZ101-AY8-AX8</f>
        <v>0</v>
      </c>
      <c r="BA8" s="131">
        <f>data!BA101-AZ8-AY8-AX8</f>
        <v>0</v>
      </c>
      <c r="BB8" s="135"/>
      <c r="BC8" s="221"/>
      <c r="BG8" s="135"/>
      <c r="BH8" s="221"/>
      <c r="BL8" s="135"/>
      <c r="BM8" s="221"/>
      <c r="BQ8" s="135"/>
      <c r="BR8" s="221"/>
      <c r="BS8" s="221"/>
      <c r="BV8" s="135"/>
      <c r="BW8" s="221"/>
      <c r="BX8" s="221"/>
      <c r="BZ8" s="221"/>
      <c r="CA8" s="135"/>
      <c r="CB8" s="221"/>
      <c r="CC8" s="221"/>
      <c r="CE8" s="221"/>
      <c r="CF8" s="135"/>
      <c r="CG8" s="221"/>
      <c r="CH8" s="221"/>
      <c r="CJ8" s="221"/>
      <c r="CK8" s="222"/>
      <c r="CL8" s="221">
        <f>data!CL101</f>
        <v>461</v>
      </c>
      <c r="CM8" s="221">
        <f>data!CM101-CL8</f>
        <v>460</v>
      </c>
      <c r="CN8" s="131">
        <f>data!CN101-CM8-CL8</f>
        <v>743</v>
      </c>
      <c r="CO8" s="221">
        <f>data!CO101-CN8-CM8-CL8</f>
        <v>464</v>
      </c>
      <c r="CP8" s="222">
        <f t="shared" si="5"/>
        <v>2128</v>
      </c>
      <c r="CQ8" s="221">
        <f>data!CQ101</f>
        <v>452</v>
      </c>
      <c r="CR8" s="221">
        <f>data!CR101-CQ8</f>
        <v>483</v>
      </c>
      <c r="CS8" s="131">
        <f>data!CS101-CR8-CQ8</f>
        <v>455</v>
      </c>
      <c r="CT8" s="221">
        <f>data!CT101-CS8-CR8-CQ8</f>
        <v>481</v>
      </c>
      <c r="CU8" s="222">
        <f t="shared" si="6"/>
        <v>1871</v>
      </c>
      <c r="CV8" s="221">
        <f>data!CV101</f>
        <v>403</v>
      </c>
      <c r="CW8" s="221">
        <f>data!CW101-CV8</f>
        <v>380</v>
      </c>
      <c r="CX8" s="131">
        <f>data!CX101-CW8-CV8</f>
        <v>347</v>
      </c>
      <c r="CY8" s="221">
        <f>data!CY101-CX8-CW8-CV8</f>
        <v>434</v>
      </c>
      <c r="CZ8" s="222">
        <f t="shared" si="7"/>
        <v>1564</v>
      </c>
      <c r="DA8" s="221">
        <f>data!DA101</f>
        <v>367</v>
      </c>
      <c r="DB8" s="221">
        <f>data!DB101-DA8</f>
        <v>352</v>
      </c>
      <c r="DC8" s="131">
        <f>data!DC101-DB8-DA8</f>
        <v>378</v>
      </c>
      <c r="DD8" s="221">
        <f>data!DD101-DC8-DB8-DA8</f>
        <v>376</v>
      </c>
      <c r="DE8" s="222">
        <f t="shared" si="8"/>
        <v>1473</v>
      </c>
      <c r="DF8" s="221">
        <f>data!DF101</f>
        <v>378</v>
      </c>
      <c r="DG8" s="221">
        <f>data!DG101-DF8</f>
        <v>23</v>
      </c>
      <c r="DH8" s="131">
        <f>data!DH101-DG8-DF8</f>
        <v>224</v>
      </c>
      <c r="DI8" s="221">
        <f>data!DI101-DH8-DG8-DF8</f>
        <v>209</v>
      </c>
      <c r="DJ8" s="222">
        <f t="shared" si="9"/>
        <v>834</v>
      </c>
      <c r="DK8" s="221">
        <f>data!DK101</f>
        <v>210</v>
      </c>
      <c r="DL8" s="221">
        <f>data!DL101-DK8</f>
        <v>218</v>
      </c>
      <c r="DM8" s="246">
        <v>350</v>
      </c>
      <c r="DN8" s="246">
        <v>385</v>
      </c>
      <c r="DO8" s="222">
        <f t="shared" ref="DO8:DO22" si="14">SUM(DK8:DN8)</f>
        <v>1163</v>
      </c>
      <c r="DP8" s="246">
        <v>360</v>
      </c>
      <c r="DQ8" s="246">
        <v>360</v>
      </c>
      <c r="DR8" s="246">
        <v>350</v>
      </c>
      <c r="DS8" s="246">
        <v>385</v>
      </c>
      <c r="DT8" s="222">
        <f t="shared" si="11"/>
        <v>1455</v>
      </c>
      <c r="DU8" s="247">
        <v>1500</v>
      </c>
      <c r="DV8" s="247">
        <v>1510</v>
      </c>
    </row>
    <row r="9" spans="2:126" s="131" customFormat="1">
      <c r="B9" s="156" t="s">
        <v>503</v>
      </c>
      <c r="C9" s="135">
        <f>data!C102</f>
        <v>0</v>
      </c>
      <c r="D9" s="135">
        <f>data!D102</f>
        <v>0</v>
      </c>
      <c r="E9" s="135">
        <f>data!E102</f>
        <v>0</v>
      </c>
      <c r="F9" s="135">
        <f>data!F102</f>
        <v>0</v>
      </c>
      <c r="G9" s="135">
        <f>data!G102</f>
        <v>0</v>
      </c>
      <c r="H9" s="135">
        <f>data!H102</f>
        <v>0</v>
      </c>
      <c r="I9" s="135">
        <f>data!I102</f>
        <v>0</v>
      </c>
      <c r="J9" s="131">
        <f>data!J102</f>
        <v>0</v>
      </c>
      <c r="K9" s="131">
        <f>data!K102-J9</f>
        <v>0</v>
      </c>
      <c r="L9" s="131">
        <f>data!L102-K9-J9</f>
        <v>0</v>
      </c>
      <c r="M9" s="131">
        <f>data!M102-L9-K9-J9</f>
        <v>0</v>
      </c>
      <c r="N9" s="135">
        <f t="shared" si="0"/>
        <v>0</v>
      </c>
      <c r="O9" s="131">
        <f>data!O102</f>
        <v>0</v>
      </c>
      <c r="P9" s="131">
        <f>data!P102-O9</f>
        <v>0</v>
      </c>
      <c r="Q9" s="131">
        <f>data!Q102-P9-O9</f>
        <v>0</v>
      </c>
      <c r="R9" s="131">
        <f>data!R102-Q9-P9-O9</f>
        <v>0</v>
      </c>
      <c r="S9" s="135">
        <f t="shared" si="1"/>
        <v>0</v>
      </c>
      <c r="T9" s="131">
        <f>data!T102</f>
        <v>0</v>
      </c>
      <c r="U9" s="131">
        <f>data!U102-T9</f>
        <v>0</v>
      </c>
      <c r="V9" s="131">
        <f>data!V102-U9-T9</f>
        <v>0</v>
      </c>
      <c r="W9" s="131">
        <f>data!W102-V9-U9-T9</f>
        <v>0</v>
      </c>
      <c r="X9" s="135">
        <f t="shared" si="2"/>
        <v>0</v>
      </c>
      <c r="Y9" s="131">
        <f>data!Y102</f>
        <v>0</v>
      </c>
      <c r="Z9" s="131">
        <f>data!Z102-Y9</f>
        <v>0</v>
      </c>
      <c r="AA9" s="131">
        <f>data!AA102-Z9-Y9</f>
        <v>0</v>
      </c>
      <c r="AB9" s="131">
        <f>data!AB102-AA9-Z9-Y9</f>
        <v>0</v>
      </c>
      <c r="AC9" s="135">
        <f t="shared" si="3"/>
        <v>0</v>
      </c>
      <c r="AD9" s="131">
        <f>data!AD102</f>
        <v>0</v>
      </c>
      <c r="AE9" s="131">
        <f>data!AE102-AD9</f>
        <v>0</v>
      </c>
      <c r="AF9" s="131">
        <f>data!AF102-AE9-AD9</f>
        <v>0</v>
      </c>
      <c r="AG9" s="131">
        <f>data!AG102-AF9-AE9-AD9</f>
        <v>0</v>
      </c>
      <c r="AH9" s="135">
        <f t="shared" si="4"/>
        <v>0</v>
      </c>
      <c r="AI9" s="131">
        <f>data!AI102</f>
        <v>0</v>
      </c>
      <c r="AJ9" s="131">
        <f>data!AJ102-AI9</f>
        <v>0</v>
      </c>
      <c r="AK9" s="131">
        <f>data!AK102-AJ9-AI9</f>
        <v>0</v>
      </c>
      <c r="AL9" s="131">
        <f>data!AL102-AK9-AJ9-AI9</f>
        <v>0</v>
      </c>
      <c r="AM9" s="135">
        <f t="shared" si="12"/>
        <v>0</v>
      </c>
      <c r="AN9" s="131">
        <f>data!AN102</f>
        <v>0</v>
      </c>
      <c r="AO9" s="131">
        <f>data!AO102-AN9</f>
        <v>0</v>
      </c>
      <c r="AP9" s="131">
        <f>data!AP102-AO9-AN9</f>
        <v>0</v>
      </c>
      <c r="AQ9" s="131">
        <f>data!AQ102-AP9-AO9-AN9</f>
        <v>0</v>
      </c>
      <c r="AR9" s="135">
        <f t="shared" si="13"/>
        <v>0</v>
      </c>
      <c r="AS9" s="131">
        <f>data!AS102</f>
        <v>0</v>
      </c>
      <c r="AT9" s="131">
        <f>data!AT102-AS9</f>
        <v>0</v>
      </c>
      <c r="AU9" s="221">
        <f>data!AU102-AT9-AS9</f>
        <v>0</v>
      </c>
      <c r="AV9" s="131">
        <f>data!AV102-AU9-AT9-AS9</f>
        <v>0</v>
      </c>
      <c r="AW9" s="135">
        <f t="shared" ref="AW9:AW47" si="15">SUM(AS9:AV9)</f>
        <v>0</v>
      </c>
      <c r="AX9" s="221">
        <f>data!AX102</f>
        <v>0</v>
      </c>
      <c r="AY9" s="131">
        <f>data!AY102-AX9</f>
        <v>0</v>
      </c>
      <c r="AZ9" s="221">
        <f>data!AZ102-AY9-AX9</f>
        <v>0</v>
      </c>
      <c r="BA9" s="131">
        <f>data!BA102-AZ9-AY9-AX9</f>
        <v>0</v>
      </c>
      <c r="BB9" s="135"/>
      <c r="BC9" s="221"/>
      <c r="BG9" s="135"/>
      <c r="BH9" s="221"/>
      <c r="BL9" s="135"/>
      <c r="BM9" s="221"/>
      <c r="BQ9" s="135"/>
      <c r="BR9" s="221"/>
      <c r="BS9" s="221"/>
      <c r="BV9" s="135"/>
      <c r="BW9" s="221"/>
      <c r="BX9" s="221"/>
      <c r="BZ9" s="221"/>
      <c r="CA9" s="135"/>
      <c r="CB9" s="221"/>
      <c r="CC9" s="221"/>
      <c r="CE9" s="221"/>
      <c r="CF9" s="135"/>
      <c r="CG9" s="221"/>
      <c r="CH9" s="221"/>
      <c r="CJ9" s="221"/>
      <c r="CK9" s="222"/>
      <c r="CL9" s="221">
        <f>data!CL102</f>
        <v>318</v>
      </c>
      <c r="CM9" s="221">
        <f>data!CM102-CL9</f>
        <v>299</v>
      </c>
      <c r="CN9" s="131">
        <f>data!CN102-CM9-CL9</f>
        <v>419</v>
      </c>
      <c r="CO9" s="221">
        <f>data!CO102-CN9-CM9-CL9</f>
        <v>300</v>
      </c>
      <c r="CP9" s="222">
        <f t="shared" si="5"/>
        <v>1336</v>
      </c>
      <c r="CQ9" s="221">
        <f>data!CQ102</f>
        <v>301</v>
      </c>
      <c r="CR9" s="221">
        <f>data!CR102-CQ9</f>
        <v>288</v>
      </c>
      <c r="CS9" s="131">
        <f>data!CS102-CR9-CQ9</f>
        <v>271</v>
      </c>
      <c r="CT9" s="221">
        <f>data!CT102-CS9-CR9-CQ9</f>
        <v>278</v>
      </c>
      <c r="CU9" s="222">
        <f t="shared" si="6"/>
        <v>1138</v>
      </c>
      <c r="CV9" s="221">
        <f>data!CV102</f>
        <v>922</v>
      </c>
      <c r="CW9" s="221">
        <f>data!CW102-CV9</f>
        <v>136</v>
      </c>
      <c r="CX9" s="131">
        <f>data!CX102-CW9-CV9</f>
        <v>135</v>
      </c>
      <c r="CY9" s="221">
        <f>data!CY102-CX9-CW9-CV9</f>
        <v>145</v>
      </c>
      <c r="CZ9" s="222">
        <f t="shared" si="7"/>
        <v>1338</v>
      </c>
      <c r="DA9" s="221">
        <f>data!DA102</f>
        <v>140</v>
      </c>
      <c r="DB9" s="221">
        <f>data!DB102-DA9</f>
        <v>159</v>
      </c>
      <c r="DC9" s="131">
        <f>data!DC102-DB9-DA9</f>
        <v>149</v>
      </c>
      <c r="DD9" s="221">
        <f>data!DD102-DC9-DB9-DA9</f>
        <v>158</v>
      </c>
      <c r="DE9" s="222">
        <f t="shared" si="8"/>
        <v>606</v>
      </c>
      <c r="DF9" s="221">
        <f>data!DF102</f>
        <v>145</v>
      </c>
      <c r="DG9" s="221">
        <f>data!DG102-DF9</f>
        <v>27</v>
      </c>
      <c r="DH9" s="131">
        <f>data!DH102-DG9-DF9</f>
        <v>89</v>
      </c>
      <c r="DI9" s="221">
        <f>data!DI102-DH9-DG9-DF9</f>
        <v>89</v>
      </c>
      <c r="DJ9" s="222">
        <f t="shared" si="9"/>
        <v>350</v>
      </c>
      <c r="DK9" s="221">
        <f>data!DK102</f>
        <v>89</v>
      </c>
      <c r="DL9" s="221">
        <f>data!DL102-DK9</f>
        <v>93</v>
      </c>
      <c r="DM9" s="246">
        <v>160</v>
      </c>
      <c r="DN9" s="246">
        <v>180</v>
      </c>
      <c r="DO9" s="222">
        <f t="shared" si="14"/>
        <v>522</v>
      </c>
      <c r="DP9" s="246">
        <v>160</v>
      </c>
      <c r="DQ9" s="246">
        <v>160</v>
      </c>
      <c r="DR9" s="246">
        <v>160</v>
      </c>
      <c r="DS9" s="246">
        <v>180</v>
      </c>
      <c r="DT9" s="222">
        <f t="shared" si="11"/>
        <v>660</v>
      </c>
      <c r="DU9" s="247">
        <v>670</v>
      </c>
      <c r="DV9" s="247">
        <v>680</v>
      </c>
    </row>
    <row r="10" spans="2:126" s="131" customFormat="1">
      <c r="B10" s="156" t="s">
        <v>505</v>
      </c>
      <c r="C10" s="135"/>
      <c r="D10" s="135"/>
      <c r="E10" s="135"/>
      <c r="F10" s="135"/>
      <c r="G10" s="135"/>
      <c r="H10" s="135"/>
      <c r="I10" s="135"/>
      <c r="N10" s="135"/>
      <c r="S10" s="135"/>
      <c r="X10" s="135"/>
      <c r="AC10" s="135"/>
      <c r="AH10" s="135"/>
      <c r="AM10" s="135"/>
      <c r="AR10" s="135"/>
      <c r="AU10" s="221"/>
      <c r="AW10" s="135"/>
      <c r="AX10" s="221"/>
      <c r="AZ10" s="221"/>
      <c r="BB10" s="135"/>
      <c r="BC10" s="221"/>
      <c r="BG10" s="135"/>
      <c r="BH10" s="221"/>
      <c r="BL10" s="135"/>
      <c r="BM10" s="221"/>
      <c r="BQ10" s="135"/>
      <c r="BR10" s="221"/>
      <c r="BS10" s="221"/>
      <c r="BV10" s="135"/>
      <c r="BW10" s="221"/>
      <c r="BX10" s="221"/>
      <c r="BZ10" s="221"/>
      <c r="CA10" s="135"/>
      <c r="CB10" s="221"/>
      <c r="CC10" s="221"/>
      <c r="CE10" s="221"/>
      <c r="CF10" s="135"/>
      <c r="CG10" s="221"/>
      <c r="CH10" s="221"/>
      <c r="CJ10" s="221"/>
      <c r="CK10" s="222"/>
      <c r="CL10" s="221">
        <f>data!CL103</f>
        <v>-12372</v>
      </c>
      <c r="CM10" s="221">
        <f>data!CM103-CL10</f>
        <v>-53</v>
      </c>
      <c r="CN10" s="131">
        <f>data!CN103-CM10-CL10</f>
        <v>-21</v>
      </c>
      <c r="CO10" s="221">
        <f>data!CO103-CN10-CM10-CL10</f>
        <v>-23</v>
      </c>
      <c r="CP10" s="222">
        <f t="shared" si="5"/>
        <v>-12469</v>
      </c>
      <c r="CQ10" s="221">
        <f>data!CQ103</f>
        <v>-3</v>
      </c>
      <c r="CR10" s="221">
        <f>data!CR103-CQ10</f>
        <v>5</v>
      </c>
      <c r="CS10" s="131">
        <f>data!CS103-CR10-CQ10</f>
        <v>153</v>
      </c>
      <c r="CT10" s="221">
        <f>data!CT103-CS10-CR10-CQ10</f>
        <v>-115</v>
      </c>
      <c r="CU10" s="222">
        <f t="shared" si="6"/>
        <v>40</v>
      </c>
      <c r="CV10" s="221">
        <f>data!CV103</f>
        <v>-15</v>
      </c>
      <c r="CW10" s="221">
        <f>data!CW103-CV10</f>
        <v>-4</v>
      </c>
      <c r="CX10" s="131">
        <f>data!CX103-CW10-CV10</f>
        <v>-23</v>
      </c>
      <c r="CY10" s="221">
        <f>data!CY103-CX10-CW10-CV10</f>
        <v>-18</v>
      </c>
      <c r="CZ10" s="222">
        <f t="shared" si="7"/>
        <v>-60</v>
      </c>
      <c r="DA10" s="221">
        <f>data!DA103</f>
        <v>52</v>
      </c>
      <c r="DB10" s="221">
        <f>data!DB103-DA10</f>
        <v>-39</v>
      </c>
      <c r="DC10" s="131">
        <f>data!DC103-DB10-DA10</f>
        <v>-116</v>
      </c>
      <c r="DD10" s="221">
        <f>data!DD103-DC10-DB10-DA10</f>
        <v>-1</v>
      </c>
      <c r="DE10" s="222">
        <f t="shared" si="8"/>
        <v>-104</v>
      </c>
      <c r="DF10" s="221">
        <f>data!DF103</f>
        <v>-9</v>
      </c>
      <c r="DG10" s="221">
        <f>data!DG103-DF10</f>
        <v>9</v>
      </c>
      <c r="DH10" s="131">
        <f>data!DH103-DG10-DF10</f>
        <v>0</v>
      </c>
      <c r="DI10" s="221">
        <f>data!DI103-DH10-DG10-DF10</f>
        <v>0</v>
      </c>
      <c r="DJ10" s="222">
        <f t="shared" si="9"/>
        <v>0</v>
      </c>
      <c r="DK10" s="221">
        <f>data!DK103</f>
        <v>0</v>
      </c>
      <c r="DL10" s="221">
        <f>data!DL103-DK10</f>
        <v>0</v>
      </c>
      <c r="DM10" s="246">
        <v>0</v>
      </c>
      <c r="DN10" s="246">
        <v>0</v>
      </c>
      <c r="DO10" s="222">
        <f t="shared" si="14"/>
        <v>0</v>
      </c>
      <c r="DP10" s="246">
        <v>0</v>
      </c>
      <c r="DQ10" s="246">
        <v>0</v>
      </c>
      <c r="DR10" s="246">
        <v>0</v>
      </c>
      <c r="DS10" s="246">
        <v>0</v>
      </c>
      <c r="DT10" s="222">
        <f t="shared" si="11"/>
        <v>0</v>
      </c>
      <c r="DU10" s="247">
        <v>0</v>
      </c>
      <c r="DV10" s="247">
        <v>0</v>
      </c>
    </row>
    <row r="11" spans="2:126" s="131" customFormat="1">
      <c r="B11" s="156" t="s">
        <v>504</v>
      </c>
      <c r="C11" s="135"/>
      <c r="D11" s="135"/>
      <c r="E11" s="135"/>
      <c r="F11" s="135"/>
      <c r="G11" s="135"/>
      <c r="H11" s="135"/>
      <c r="I11" s="135"/>
      <c r="N11" s="135"/>
      <c r="S11" s="135"/>
      <c r="X11" s="135"/>
      <c r="AC11" s="135"/>
      <c r="AH11" s="135"/>
      <c r="AM11" s="135"/>
      <c r="AR11" s="135"/>
      <c r="AU11" s="221"/>
      <c r="AW11" s="135"/>
      <c r="AX11" s="221"/>
      <c r="AZ11" s="221"/>
      <c r="BB11" s="135"/>
      <c r="BC11" s="221"/>
      <c r="BG11" s="135"/>
      <c r="BH11" s="221"/>
      <c r="BL11" s="135"/>
      <c r="BM11" s="221"/>
      <c r="BQ11" s="135"/>
      <c r="BR11" s="221"/>
      <c r="BS11" s="221"/>
      <c r="BV11" s="135"/>
      <c r="BW11" s="221"/>
      <c r="BX11" s="221"/>
      <c r="BZ11" s="221"/>
      <c r="CA11" s="135"/>
      <c r="CB11" s="221"/>
      <c r="CC11" s="221"/>
      <c r="CE11" s="221"/>
      <c r="CF11" s="135"/>
      <c r="CG11" s="221"/>
      <c r="CH11" s="221"/>
      <c r="CJ11" s="221"/>
      <c r="CK11" s="222"/>
      <c r="CL11" s="221">
        <f>data!CL104</f>
        <v>5873</v>
      </c>
      <c r="CM11" s="221">
        <f>data!CM104-CL11</f>
        <v>-1855</v>
      </c>
      <c r="CN11" s="131">
        <f>data!CN104-CM11-CL11</f>
        <v>763</v>
      </c>
      <c r="CO11" s="221">
        <f>data!CO104-CN11-CM11-CL11</f>
        <v>-2696</v>
      </c>
      <c r="CP11" s="222">
        <f t="shared" si="5"/>
        <v>2085</v>
      </c>
      <c r="CQ11" s="221">
        <f>data!CQ104</f>
        <v>-296</v>
      </c>
      <c r="CR11" s="221">
        <f>data!CR104-CQ11</f>
        <v>-398</v>
      </c>
      <c r="CS11" s="131">
        <f>data!CS104-CR11-CQ11</f>
        <v>-341</v>
      </c>
      <c r="CT11" s="221">
        <f>data!CT104-CS11-CR11-CQ11</f>
        <v>-621</v>
      </c>
      <c r="CU11" s="222">
        <f t="shared" si="6"/>
        <v>-1656</v>
      </c>
      <c r="CV11" s="221">
        <f>data!CV104</f>
        <v>203</v>
      </c>
      <c r="CW11" s="221">
        <f>data!CW104-CV11</f>
        <v>1762</v>
      </c>
      <c r="CX11" s="131">
        <f>data!CX104-CW11-CV11</f>
        <v>180</v>
      </c>
      <c r="CY11" s="221">
        <f>data!CY104-CX11-CW11-CV11</f>
        <v>-2032</v>
      </c>
      <c r="CZ11" s="222">
        <f t="shared" si="7"/>
        <v>113</v>
      </c>
      <c r="DA11" s="221">
        <f>data!DA104</f>
        <v>-5906</v>
      </c>
      <c r="DB11" s="221">
        <f>data!DB104-DA11</f>
        <v>-376</v>
      </c>
      <c r="DC11" s="131">
        <f>data!DC104-DB11-DA11</f>
        <v>1101</v>
      </c>
      <c r="DD11" s="221">
        <f>data!DD104-DC11-DB11-DA11</f>
        <v>-661</v>
      </c>
      <c r="DE11" s="222">
        <f t="shared" si="8"/>
        <v>-5842</v>
      </c>
      <c r="DF11" s="221">
        <f>data!DF104</f>
        <v>-665</v>
      </c>
      <c r="DG11" s="221">
        <f>data!DG104-DF11</f>
        <v>351</v>
      </c>
      <c r="DH11" s="131">
        <f>data!DH104-DG11-DF11</f>
        <v>-409</v>
      </c>
      <c r="DI11" s="221">
        <f>data!DI104-DH11-DG11-DF11</f>
        <v>4</v>
      </c>
      <c r="DJ11" s="222">
        <f t="shared" si="9"/>
        <v>-719</v>
      </c>
      <c r="DK11" s="221">
        <f>data!DK104</f>
        <v>-43</v>
      </c>
      <c r="DL11" s="221">
        <f>data!DL104-DK11</f>
        <v>-66</v>
      </c>
      <c r="DM11" s="246">
        <v>0</v>
      </c>
      <c r="DN11" s="246">
        <v>0</v>
      </c>
      <c r="DO11" s="222">
        <f t="shared" si="14"/>
        <v>-109</v>
      </c>
      <c r="DP11" s="246">
        <v>0</v>
      </c>
      <c r="DQ11" s="246">
        <v>0</v>
      </c>
      <c r="DR11" s="246">
        <v>0</v>
      </c>
      <c r="DS11" s="246">
        <v>0</v>
      </c>
      <c r="DT11" s="222">
        <f t="shared" si="11"/>
        <v>0</v>
      </c>
      <c r="DU11" s="247">
        <v>0</v>
      </c>
      <c r="DV11" s="247">
        <v>0</v>
      </c>
    </row>
    <row r="12" spans="2:126" s="131" customFormat="1">
      <c r="B12" s="156" t="s">
        <v>506</v>
      </c>
      <c r="C12" s="135"/>
      <c r="D12" s="135"/>
      <c r="E12" s="135"/>
      <c r="F12" s="135"/>
      <c r="G12" s="135"/>
      <c r="H12" s="135"/>
      <c r="I12" s="135"/>
      <c r="N12" s="135"/>
      <c r="S12" s="135"/>
      <c r="X12" s="135"/>
      <c r="AC12" s="135"/>
      <c r="AH12" s="135"/>
      <c r="AM12" s="135"/>
      <c r="AR12" s="135"/>
      <c r="AU12" s="221"/>
      <c r="AW12" s="135"/>
      <c r="AX12" s="221"/>
      <c r="AZ12" s="221"/>
      <c r="BB12" s="135"/>
      <c r="BC12" s="221"/>
      <c r="BG12" s="135"/>
      <c r="BH12" s="221"/>
      <c r="BL12" s="135"/>
      <c r="BM12" s="221"/>
      <c r="BQ12" s="135"/>
      <c r="BR12" s="221"/>
      <c r="BS12" s="221"/>
      <c r="BV12" s="135"/>
      <c r="BW12" s="221"/>
      <c r="BX12" s="221"/>
      <c r="BZ12" s="221"/>
      <c r="CA12" s="135"/>
      <c r="CB12" s="221"/>
      <c r="CC12" s="221"/>
      <c r="CE12" s="221"/>
      <c r="CF12" s="135"/>
      <c r="CG12" s="221"/>
      <c r="CH12" s="221"/>
      <c r="CJ12" s="221"/>
      <c r="CK12" s="222"/>
      <c r="CL12" s="221">
        <f>data!CL105</f>
        <v>877</v>
      </c>
      <c r="CM12" s="221">
        <f>data!CM105-CL12</f>
        <v>921</v>
      </c>
      <c r="CN12" s="131">
        <f>data!CN105-CM12-CL12</f>
        <v>883</v>
      </c>
      <c r="CO12" s="221">
        <f>data!CO105-CN12-CM12-CL12</f>
        <v>878</v>
      </c>
      <c r="CP12" s="222">
        <f t="shared" si="5"/>
        <v>3559</v>
      </c>
      <c r="CQ12" s="221">
        <f>data!CQ105</f>
        <v>658</v>
      </c>
      <c r="CR12" s="221">
        <f>data!CR105-CQ12</f>
        <v>671</v>
      </c>
      <c r="CS12" s="131">
        <f>data!CS105-CR12-CQ12</f>
        <v>661</v>
      </c>
      <c r="CT12" s="221">
        <f>data!CT105-CS12-CR12-CQ12</f>
        <v>660</v>
      </c>
      <c r="CU12" s="222">
        <f t="shared" si="6"/>
        <v>2650</v>
      </c>
      <c r="CV12" s="221">
        <f>data!CV105</f>
        <v>94</v>
      </c>
      <c r="CW12" s="221">
        <f>data!CW105-CV12</f>
        <v>86</v>
      </c>
      <c r="CX12" s="131">
        <f>data!CX105-CW12-CV12</f>
        <v>89</v>
      </c>
      <c r="CY12" s="221">
        <f>data!CY105-CX12-CW12-CV12</f>
        <v>107</v>
      </c>
      <c r="CZ12" s="222">
        <f t="shared" si="7"/>
        <v>376</v>
      </c>
      <c r="DA12" s="221">
        <f>data!DA105</f>
        <v>-271</v>
      </c>
      <c r="DB12" s="221">
        <f>data!DB105-DA12</f>
        <v>-285</v>
      </c>
      <c r="DC12" s="131">
        <f>data!DC105-DB12-DA12</f>
        <v>-278</v>
      </c>
      <c r="DD12" s="221">
        <f>data!DD105-DC12-DB12-DA12</f>
        <v>-274</v>
      </c>
      <c r="DE12" s="222">
        <f t="shared" si="8"/>
        <v>-1108</v>
      </c>
      <c r="DF12" s="221">
        <f>data!DF105</f>
        <v>-256</v>
      </c>
      <c r="DG12" s="221">
        <f>data!DG105-DF12</f>
        <v>-72</v>
      </c>
      <c r="DH12" s="131">
        <f>data!DH105-DG12-DF12</f>
        <v>-163</v>
      </c>
      <c r="DI12" s="221">
        <f>data!DI105-DH12-DG12-DF12</f>
        <v>-162</v>
      </c>
      <c r="DJ12" s="222">
        <f t="shared" si="9"/>
        <v>-653</v>
      </c>
      <c r="DK12" s="221">
        <f>data!DK105</f>
        <v>-161</v>
      </c>
      <c r="DL12" s="221">
        <f>data!DL105-DK12</f>
        <v>-163</v>
      </c>
      <c r="DM12" s="246">
        <v>0</v>
      </c>
      <c r="DN12" s="246">
        <v>0</v>
      </c>
      <c r="DO12" s="222">
        <f t="shared" si="14"/>
        <v>-324</v>
      </c>
      <c r="DP12" s="246">
        <v>0</v>
      </c>
      <c r="DQ12" s="246">
        <v>0</v>
      </c>
      <c r="DR12" s="246">
        <v>0</v>
      </c>
      <c r="DS12" s="246">
        <v>0</v>
      </c>
      <c r="DT12" s="222">
        <f t="shared" si="11"/>
        <v>0</v>
      </c>
      <c r="DU12" s="247">
        <v>0</v>
      </c>
      <c r="DV12" s="247">
        <v>0</v>
      </c>
    </row>
    <row r="13" spans="2:126" s="131" customFormat="1">
      <c r="B13" s="156" t="s">
        <v>507</v>
      </c>
      <c r="C13" s="135"/>
      <c r="D13" s="135"/>
      <c r="E13" s="135"/>
      <c r="F13" s="135"/>
      <c r="G13" s="135"/>
      <c r="H13" s="135"/>
      <c r="I13" s="135"/>
      <c r="N13" s="135"/>
      <c r="S13" s="135"/>
      <c r="X13" s="135"/>
      <c r="AC13" s="135"/>
      <c r="AH13" s="135"/>
      <c r="AM13" s="135"/>
      <c r="AR13" s="135"/>
      <c r="AU13" s="221"/>
      <c r="AW13" s="135"/>
      <c r="AX13" s="221"/>
      <c r="AZ13" s="221"/>
      <c r="BB13" s="135"/>
      <c r="BC13" s="221"/>
      <c r="BG13" s="135"/>
      <c r="BH13" s="221"/>
      <c r="BL13" s="135"/>
      <c r="BM13" s="221"/>
      <c r="BQ13" s="135"/>
      <c r="BR13" s="221"/>
      <c r="BS13" s="221"/>
      <c r="BV13" s="135"/>
      <c r="BW13" s="221"/>
      <c r="BX13" s="221"/>
      <c r="BZ13" s="221"/>
      <c r="CA13" s="135"/>
      <c r="CB13" s="221"/>
      <c r="CC13" s="221"/>
      <c r="CE13" s="221"/>
      <c r="CF13" s="135"/>
      <c r="CG13" s="221"/>
      <c r="CH13" s="221"/>
      <c r="CJ13" s="221"/>
      <c r="CK13" s="222"/>
      <c r="CL13" s="221">
        <f>data!CL106</f>
        <v>-70</v>
      </c>
      <c r="CM13" s="221">
        <f>data!CM106-CL13</f>
        <v>-74</v>
      </c>
      <c r="CN13" s="131">
        <f>data!CN106-CM13-CL13</f>
        <v>-82</v>
      </c>
      <c r="CO13" s="221">
        <f>data!CO106-CN13-CM13-CL13</f>
        <v>-2580</v>
      </c>
      <c r="CP13" s="222">
        <f t="shared" si="5"/>
        <v>-2806</v>
      </c>
      <c r="CQ13" s="221">
        <f>data!CQ106</f>
        <v>-74</v>
      </c>
      <c r="CR13" s="221">
        <f>data!CR106-CQ13</f>
        <v>-80</v>
      </c>
      <c r="CS13" s="131">
        <f>data!CS106-CR13-CQ13</f>
        <v>-78</v>
      </c>
      <c r="CT13" s="221">
        <f>data!CT106-CS13-CR13-CQ13</f>
        <v>-94</v>
      </c>
      <c r="CU13" s="222">
        <f t="shared" si="6"/>
        <v>-326</v>
      </c>
      <c r="CV13" s="221">
        <f>data!CV106</f>
        <v>-49</v>
      </c>
      <c r="CW13" s="221">
        <f>data!CW106-CV13</f>
        <v>-51</v>
      </c>
      <c r="CX13" s="131">
        <f>data!CX106-CW13-CV13</f>
        <v>-52</v>
      </c>
      <c r="CY13" s="221">
        <f>data!CY106-CX13-CW13-CV13</f>
        <v>-52</v>
      </c>
      <c r="CZ13" s="222">
        <f t="shared" si="7"/>
        <v>-204</v>
      </c>
      <c r="DA13" s="221">
        <f>data!DA106</f>
        <v>-52</v>
      </c>
      <c r="DB13" s="221">
        <f>data!DB106-DA13</f>
        <v>-52</v>
      </c>
      <c r="DC13" s="131">
        <f>data!DC106-DB13-DA13</f>
        <v>-52</v>
      </c>
      <c r="DD13" s="221">
        <f>data!DD106-DC13-DB13-DA13</f>
        <v>-56</v>
      </c>
      <c r="DE13" s="222">
        <f t="shared" si="8"/>
        <v>-212</v>
      </c>
      <c r="DF13" s="221">
        <f>data!DF106</f>
        <v>-53</v>
      </c>
      <c r="DG13" s="221">
        <f>data!DG106-DF13</f>
        <v>-41</v>
      </c>
      <c r="DH13" s="131">
        <f>data!DH106-DG13-DF13</f>
        <v>-48</v>
      </c>
      <c r="DI13" s="221">
        <f>data!DI106-DH13-DG13-DF13</f>
        <v>-68</v>
      </c>
      <c r="DJ13" s="222">
        <f t="shared" si="9"/>
        <v>-210</v>
      </c>
      <c r="DK13" s="221">
        <f>data!DK106</f>
        <v>-48</v>
      </c>
      <c r="DL13" s="221">
        <f>data!DL106-DK13</f>
        <v>-47</v>
      </c>
      <c r="DM13" s="246">
        <v>-50</v>
      </c>
      <c r="DN13" s="246">
        <v>-50</v>
      </c>
      <c r="DO13" s="222">
        <f t="shared" si="14"/>
        <v>-195</v>
      </c>
      <c r="DP13" s="246">
        <v>-40</v>
      </c>
      <c r="DQ13" s="246">
        <v>-40</v>
      </c>
      <c r="DR13" s="246">
        <v>-50</v>
      </c>
      <c r="DS13" s="246">
        <v>-50</v>
      </c>
      <c r="DT13" s="222">
        <f t="shared" si="11"/>
        <v>-180</v>
      </c>
      <c r="DU13" s="247">
        <v>-200</v>
      </c>
      <c r="DV13" s="247">
        <v>-210</v>
      </c>
    </row>
    <row r="14" spans="2:126" s="131" customFormat="1">
      <c r="B14" s="156" t="s">
        <v>508</v>
      </c>
      <c r="C14" s="135"/>
      <c r="D14" s="135"/>
      <c r="E14" s="135"/>
      <c r="F14" s="135"/>
      <c r="G14" s="135"/>
      <c r="H14" s="135"/>
      <c r="I14" s="135"/>
      <c r="N14" s="135"/>
      <c r="S14" s="135"/>
      <c r="X14" s="135"/>
      <c r="AC14" s="135"/>
      <c r="AH14" s="135"/>
      <c r="AM14" s="135"/>
      <c r="AR14" s="135"/>
      <c r="AU14" s="221"/>
      <c r="AW14" s="135"/>
      <c r="AX14" s="221"/>
      <c r="AZ14" s="221"/>
      <c r="BB14" s="135"/>
      <c r="BC14" s="221"/>
      <c r="BG14" s="135"/>
      <c r="BH14" s="221"/>
      <c r="BL14" s="135"/>
      <c r="BM14" s="221"/>
      <c r="BQ14" s="135"/>
      <c r="BR14" s="221"/>
      <c r="BS14" s="221"/>
      <c r="BV14" s="135"/>
      <c r="BW14" s="221"/>
      <c r="BX14" s="221"/>
      <c r="BZ14" s="221"/>
      <c r="CA14" s="135"/>
      <c r="CB14" s="221"/>
      <c r="CC14" s="221"/>
      <c r="CE14" s="221"/>
      <c r="CF14" s="135"/>
      <c r="CG14" s="221"/>
      <c r="CH14" s="221"/>
      <c r="CJ14" s="221"/>
      <c r="CK14" s="222"/>
      <c r="CL14" s="221">
        <f>data!CL107</f>
        <v>-254</v>
      </c>
      <c r="CM14" s="221">
        <f>data!CM107-CL14</f>
        <v>-234</v>
      </c>
      <c r="CN14" s="131">
        <f>data!CN107-CM14-CL14</f>
        <v>-224</v>
      </c>
      <c r="CO14" s="221">
        <f>data!CO107-CN14-CM14-CL14</f>
        <v>-181</v>
      </c>
      <c r="CP14" s="222">
        <f t="shared" si="5"/>
        <v>-893</v>
      </c>
      <c r="CQ14" s="221">
        <f>data!CQ107</f>
        <v>-289</v>
      </c>
      <c r="CR14" s="221">
        <f>data!CR107-CQ14</f>
        <v>-208</v>
      </c>
      <c r="CS14" s="131">
        <f>data!CS107-CR14-CQ14</f>
        <v>-275</v>
      </c>
      <c r="CT14" s="221">
        <f>data!CT107-CS14-CR14-CQ14</f>
        <v>-372</v>
      </c>
      <c r="CU14" s="222">
        <f t="shared" si="6"/>
        <v>-1144</v>
      </c>
      <c r="CV14" s="221">
        <f>data!CV107</f>
        <v>-224</v>
      </c>
      <c r="CW14" s="221">
        <f>data!CW107-CV14</f>
        <v>-209</v>
      </c>
      <c r="CX14" s="131">
        <f>data!CX107-CW14-CV14</f>
        <v>-184</v>
      </c>
      <c r="CY14" s="221">
        <f>data!CY107-CX14-CW14-CV14</f>
        <v>-138</v>
      </c>
      <c r="CZ14" s="222">
        <f t="shared" si="7"/>
        <v>-755</v>
      </c>
      <c r="DA14" s="221">
        <f>data!DA107</f>
        <v>-181</v>
      </c>
      <c r="DB14" s="221">
        <f>data!DB107-DA14</f>
        <v>-162</v>
      </c>
      <c r="DC14" s="131">
        <f>data!DC107-DB14-DA14</f>
        <v>-153</v>
      </c>
      <c r="DD14" s="221">
        <f>data!DD107-DC14-DB14-DA14</f>
        <v>-148</v>
      </c>
      <c r="DE14" s="222">
        <f t="shared" si="8"/>
        <v>-644</v>
      </c>
      <c r="DF14" s="221">
        <f>data!DF107</f>
        <v>-133</v>
      </c>
      <c r="DG14" s="221">
        <f>data!DG107-DF14</f>
        <v>-22</v>
      </c>
      <c r="DH14" s="131">
        <f>data!DH107-DG14-DF14</f>
        <v>-66</v>
      </c>
      <c r="DI14" s="221">
        <f>data!DI107-DH14-DG14-DF14</f>
        <v>-78</v>
      </c>
      <c r="DJ14" s="222">
        <f t="shared" si="9"/>
        <v>-299</v>
      </c>
      <c r="DK14" s="221">
        <f>data!DK107</f>
        <v>-74</v>
      </c>
      <c r="DL14" s="221">
        <f>data!DL107-DK14</f>
        <v>-59</v>
      </c>
      <c r="DM14" s="246">
        <v>-130</v>
      </c>
      <c r="DN14" s="246">
        <v>-130</v>
      </c>
      <c r="DO14" s="222">
        <f t="shared" si="14"/>
        <v>-393</v>
      </c>
      <c r="DP14" s="246">
        <v>-130</v>
      </c>
      <c r="DQ14" s="246">
        <v>-130</v>
      </c>
      <c r="DR14" s="246">
        <v>-130</v>
      </c>
      <c r="DS14" s="246">
        <v>-130</v>
      </c>
      <c r="DT14" s="222">
        <f t="shared" si="11"/>
        <v>-520</v>
      </c>
      <c r="DU14" s="247">
        <v>-570</v>
      </c>
      <c r="DV14" s="247">
        <v>-590</v>
      </c>
    </row>
    <row r="15" spans="2:126" s="131" customFormat="1">
      <c r="B15" s="156" t="s">
        <v>509</v>
      </c>
      <c r="C15" s="135"/>
      <c r="D15" s="135"/>
      <c r="E15" s="135"/>
      <c r="F15" s="135"/>
      <c r="G15" s="135"/>
      <c r="H15" s="135"/>
      <c r="I15" s="135"/>
      <c r="N15" s="135"/>
      <c r="S15" s="135"/>
      <c r="X15" s="135"/>
      <c r="AC15" s="135"/>
      <c r="AH15" s="135"/>
      <c r="AM15" s="135"/>
      <c r="AR15" s="135"/>
      <c r="AU15" s="221"/>
      <c r="AW15" s="135"/>
      <c r="AX15" s="221"/>
      <c r="AZ15" s="221"/>
      <c r="BB15" s="135"/>
      <c r="BC15" s="221"/>
      <c r="BG15" s="135"/>
      <c r="BH15" s="221"/>
      <c r="BL15" s="135"/>
      <c r="BM15" s="221"/>
      <c r="BQ15" s="135"/>
      <c r="BR15" s="221"/>
      <c r="BS15" s="221"/>
      <c r="BV15" s="135"/>
      <c r="BW15" s="221"/>
      <c r="BX15" s="221"/>
      <c r="BZ15" s="221"/>
      <c r="CA15" s="135"/>
      <c r="CB15" s="221"/>
      <c r="CC15" s="221"/>
      <c r="CE15" s="221"/>
      <c r="CF15" s="135"/>
      <c r="CG15" s="221"/>
      <c r="CH15" s="221"/>
      <c r="CJ15" s="221"/>
      <c r="CK15" s="222"/>
      <c r="CL15" s="221">
        <f>data!CL108</f>
        <v>54</v>
      </c>
      <c r="CM15" s="221">
        <f>data!CM108-CL15</f>
        <v>-160</v>
      </c>
      <c r="CN15" s="131">
        <f>data!CN108-CM15-CL15</f>
        <v>-483</v>
      </c>
      <c r="CO15" s="221">
        <f>data!CO108-CN15-CM15-CL15</f>
        <v>102</v>
      </c>
      <c r="CP15" s="222">
        <f t="shared" si="5"/>
        <v>-487</v>
      </c>
      <c r="CQ15" s="221">
        <f>data!CQ108</f>
        <v>142</v>
      </c>
      <c r="CR15" s="221">
        <f>data!CR108-CQ15</f>
        <v>-467</v>
      </c>
      <c r="CS15" s="131">
        <f>data!CS108-CR15-CQ15</f>
        <v>2</v>
      </c>
      <c r="CT15" s="221">
        <f>data!CT108-CS15-CR15-CQ15</f>
        <v>37</v>
      </c>
      <c r="CU15" s="222">
        <f t="shared" si="6"/>
        <v>-286</v>
      </c>
      <c r="CV15" s="221">
        <f>data!CV108</f>
        <v>29</v>
      </c>
      <c r="CW15" s="221">
        <f>data!CW108-CV15</f>
        <v>161</v>
      </c>
      <c r="CX15" s="131">
        <f>data!CX108-CW15-CV15</f>
        <v>13</v>
      </c>
      <c r="CY15" s="221">
        <f>data!CY108-CX15-CW15-CV15</f>
        <v>-206</v>
      </c>
      <c r="CZ15" s="222">
        <f t="shared" si="7"/>
        <v>-3</v>
      </c>
      <c r="DA15" s="221">
        <f>data!DA108</f>
        <v>271</v>
      </c>
      <c r="DB15" s="221">
        <f>data!DB108-DA15</f>
        <v>332</v>
      </c>
      <c r="DC15" s="131">
        <f>data!DC108-DB15-DA15</f>
        <v>138</v>
      </c>
      <c r="DD15" s="221">
        <f>data!DD108-DC15-DB15-DA15</f>
        <v>421</v>
      </c>
      <c r="DE15" s="222">
        <f t="shared" si="8"/>
        <v>1162</v>
      </c>
      <c r="DF15" s="221">
        <f>data!DF108</f>
        <v>318</v>
      </c>
      <c r="DG15" s="221">
        <f>data!DG108-DF15</f>
        <v>51</v>
      </c>
      <c r="DH15" s="131">
        <f>data!DH108-DG15-DF15</f>
        <v>198</v>
      </c>
      <c r="DI15" s="221">
        <f>data!DI108-DH15-DG15-DF15</f>
        <v>395</v>
      </c>
      <c r="DJ15" s="222">
        <f t="shared" si="9"/>
        <v>962</v>
      </c>
      <c r="DK15" s="221">
        <f>data!DK108</f>
        <v>283</v>
      </c>
      <c r="DL15" s="221">
        <f>data!DL108-DK15</f>
        <v>388</v>
      </c>
      <c r="DM15" s="246">
        <v>0</v>
      </c>
      <c r="DN15" s="246">
        <v>0</v>
      </c>
      <c r="DO15" s="222">
        <f t="shared" si="14"/>
        <v>671</v>
      </c>
      <c r="DP15" s="246">
        <v>0</v>
      </c>
      <c r="DQ15" s="246">
        <v>0</v>
      </c>
      <c r="DR15" s="246">
        <v>0</v>
      </c>
      <c r="DS15" s="246">
        <v>0</v>
      </c>
      <c r="DT15" s="222">
        <f t="shared" si="11"/>
        <v>0</v>
      </c>
      <c r="DU15" s="247">
        <v>0</v>
      </c>
      <c r="DV15" s="247">
        <v>0</v>
      </c>
    </row>
    <row r="16" spans="2:126" s="131" customFormat="1">
      <c r="B16" s="156" t="s">
        <v>510</v>
      </c>
      <c r="C16" s="135">
        <f>data!C108</f>
        <v>0</v>
      </c>
      <c r="D16" s="135">
        <f>data!D108</f>
        <v>0</v>
      </c>
      <c r="E16" s="135">
        <f>data!E108</f>
        <v>0</v>
      </c>
      <c r="F16" s="135">
        <f>data!F108</f>
        <v>0</v>
      </c>
      <c r="G16" s="135">
        <f>data!G108</f>
        <v>0</v>
      </c>
      <c r="H16" s="135">
        <f>data!H108</f>
        <v>0</v>
      </c>
      <c r="I16" s="135">
        <f>data!I108</f>
        <v>0</v>
      </c>
      <c r="J16" s="131">
        <f>data!J108</f>
        <v>0</v>
      </c>
      <c r="K16" s="131">
        <f>data!K108-J16</f>
        <v>0</v>
      </c>
      <c r="L16" s="131">
        <f>data!L108-K16-J16</f>
        <v>0</v>
      </c>
      <c r="M16" s="131">
        <f>data!M108-L16-K16-J16</f>
        <v>0</v>
      </c>
      <c r="N16" s="135">
        <f t="shared" si="0"/>
        <v>0</v>
      </c>
      <c r="O16" s="131">
        <f>data!O108</f>
        <v>0</v>
      </c>
      <c r="P16" s="131">
        <f>data!P108-O16</f>
        <v>0</v>
      </c>
      <c r="Q16" s="131">
        <f>data!Q108-P16-O16</f>
        <v>0</v>
      </c>
      <c r="R16" s="131">
        <f>data!R108-Q16-P16-O16</f>
        <v>0</v>
      </c>
      <c r="S16" s="135">
        <f t="shared" si="1"/>
        <v>0</v>
      </c>
      <c r="T16" s="131">
        <f>data!T108</f>
        <v>0</v>
      </c>
      <c r="U16" s="131">
        <f>data!U108-T16</f>
        <v>0</v>
      </c>
      <c r="V16" s="131">
        <f>data!V108-U16-T16</f>
        <v>0</v>
      </c>
      <c r="W16" s="131">
        <f>data!W108-V16-U16-T16</f>
        <v>0</v>
      </c>
      <c r="X16" s="135">
        <f t="shared" si="2"/>
        <v>0</v>
      </c>
      <c r="Y16" s="131">
        <f>data!Y108</f>
        <v>0</v>
      </c>
      <c r="Z16" s="131">
        <f>data!Z108-Y16</f>
        <v>0</v>
      </c>
      <c r="AA16" s="131">
        <f>data!AA108-Z16-Y16</f>
        <v>0</v>
      </c>
      <c r="AB16" s="131">
        <f>data!AB108-AA16-Z16-Y16</f>
        <v>0</v>
      </c>
      <c r="AC16" s="135">
        <f t="shared" si="3"/>
        <v>0</v>
      </c>
      <c r="AD16" s="131">
        <f>data!AD108</f>
        <v>0</v>
      </c>
      <c r="AE16" s="131">
        <f>data!AE108-AD16</f>
        <v>0</v>
      </c>
      <c r="AF16" s="131">
        <f>data!AF108-AE16-AD16</f>
        <v>0</v>
      </c>
      <c r="AG16" s="131">
        <f>data!AG108-AF16-AE16-AD16</f>
        <v>0</v>
      </c>
      <c r="AH16" s="135">
        <f t="shared" si="4"/>
        <v>0</v>
      </c>
      <c r="AI16" s="131">
        <f>data!AI108</f>
        <v>0</v>
      </c>
      <c r="AJ16" s="131">
        <f>data!AJ108-AI16</f>
        <v>0</v>
      </c>
      <c r="AK16" s="131">
        <f>data!AK108-AJ16-AI16</f>
        <v>0</v>
      </c>
      <c r="AL16" s="131">
        <f>data!AL108-AK16-AJ16-AI16</f>
        <v>0</v>
      </c>
      <c r="AM16" s="135">
        <f t="shared" si="12"/>
        <v>0</v>
      </c>
      <c r="AN16" s="131">
        <f>data!AN108</f>
        <v>0</v>
      </c>
      <c r="AO16" s="131">
        <f>data!AO108-AN16</f>
        <v>0</v>
      </c>
      <c r="AP16" s="131">
        <f>data!AP108-AO16-AN16</f>
        <v>0</v>
      </c>
      <c r="AQ16" s="131">
        <f>data!AQ108-AP16-AO16-AN16</f>
        <v>0</v>
      </c>
      <c r="AR16" s="135">
        <f t="shared" si="13"/>
        <v>0</v>
      </c>
      <c r="AS16" s="131">
        <f>data!AS108</f>
        <v>0</v>
      </c>
      <c r="AT16" s="131">
        <f>data!AT108-AS16</f>
        <v>0</v>
      </c>
      <c r="AU16" s="221">
        <f>data!AU108-AT16-AS16</f>
        <v>0</v>
      </c>
      <c r="AV16" s="131">
        <f>data!AV108-AU16-AT16-AS16</f>
        <v>0</v>
      </c>
      <c r="AW16" s="135">
        <f t="shared" si="15"/>
        <v>0</v>
      </c>
      <c r="AX16" s="221">
        <f>data!AX108</f>
        <v>0</v>
      </c>
      <c r="AY16" s="131">
        <f>data!AY108-AX16</f>
        <v>0</v>
      </c>
      <c r="AZ16" s="221">
        <f>data!AZ108-AY16-AX16</f>
        <v>0</v>
      </c>
      <c r="BA16" s="131">
        <f>data!BA108-AZ16-AY16-AX16</f>
        <v>0</v>
      </c>
      <c r="BB16" s="135"/>
      <c r="BC16" s="221"/>
      <c r="BG16" s="135"/>
      <c r="BH16" s="221"/>
      <c r="BL16" s="135"/>
      <c r="BM16" s="221"/>
      <c r="BQ16" s="135"/>
      <c r="BR16" s="221"/>
      <c r="BS16" s="221"/>
      <c r="BV16" s="135"/>
      <c r="BW16" s="221"/>
      <c r="BX16" s="221"/>
      <c r="BZ16" s="221"/>
      <c r="CA16" s="135"/>
      <c r="CB16" s="221"/>
      <c r="CC16" s="221"/>
      <c r="CE16" s="221"/>
      <c r="CF16" s="135"/>
      <c r="CG16" s="221"/>
      <c r="CH16" s="221"/>
      <c r="CJ16" s="221"/>
      <c r="CK16" s="222"/>
      <c r="CL16" s="221">
        <f>data!CL109</f>
        <v>-310</v>
      </c>
      <c r="CM16" s="221">
        <f>data!CM109-CL16</f>
        <v>-312</v>
      </c>
      <c r="CN16" s="131">
        <f>data!CN109-CM16-CL16</f>
        <v>-516</v>
      </c>
      <c r="CO16" s="221">
        <f>data!CO109-CN16-CM16-CL16</f>
        <v>-303</v>
      </c>
      <c r="CP16" s="222">
        <f t="shared" si="5"/>
        <v>-1441</v>
      </c>
      <c r="CQ16" s="221">
        <f>data!CQ109</f>
        <v>-322</v>
      </c>
      <c r="CR16" s="221">
        <f>data!CR109-CQ16</f>
        <v>-515</v>
      </c>
      <c r="CS16" s="131">
        <f>data!CS109-CR16-CQ16</f>
        <v>-211</v>
      </c>
      <c r="CT16" s="221">
        <f>data!CT109-CS16-CR16-CQ16</f>
        <v>-117</v>
      </c>
      <c r="CU16" s="222">
        <f t="shared" si="6"/>
        <v>-1165</v>
      </c>
      <c r="CV16" s="221">
        <f>data!CV109</f>
        <v>-24</v>
      </c>
      <c r="CW16" s="221">
        <f>data!CW109-CV16</f>
        <v>-150</v>
      </c>
      <c r="CX16" s="131">
        <f>data!CX109-CW16-CV16</f>
        <v>-121</v>
      </c>
      <c r="CY16" s="221">
        <f>data!CY109-CX16-CW16-CV16</f>
        <v>-135</v>
      </c>
      <c r="CZ16" s="222">
        <f t="shared" si="7"/>
        <v>-430</v>
      </c>
      <c r="DA16" s="221">
        <f>data!DA109</f>
        <v>-172</v>
      </c>
      <c r="DB16" s="221">
        <f>data!DB109-DA16</f>
        <v>-349</v>
      </c>
      <c r="DC16" s="131">
        <f>data!DC109-DB16-DA16</f>
        <v>-285</v>
      </c>
      <c r="DD16" s="221">
        <f>data!DD109-DC16-DB16-DA16</f>
        <v>-342</v>
      </c>
      <c r="DE16" s="222">
        <f t="shared" si="8"/>
        <v>-1148</v>
      </c>
      <c r="DF16" s="221">
        <f>data!DF109</f>
        <v>-105</v>
      </c>
      <c r="DG16" s="221">
        <f>data!DG109-DF16</f>
        <v>196</v>
      </c>
      <c r="DH16" s="131">
        <f>data!DH109-DG16-DF16</f>
        <v>-133</v>
      </c>
      <c r="DI16" s="221">
        <f>data!DI109-DH16-DG16-DF16</f>
        <v>-292</v>
      </c>
      <c r="DJ16" s="222">
        <f t="shared" si="9"/>
        <v>-334</v>
      </c>
      <c r="DK16" s="221">
        <f>data!DK109</f>
        <v>-112</v>
      </c>
      <c r="DL16" s="221">
        <f>data!DL109-DK16</f>
        <v>-141</v>
      </c>
      <c r="DM16" s="246">
        <v>0</v>
      </c>
      <c r="DN16" s="246">
        <v>0</v>
      </c>
      <c r="DO16" s="222">
        <f t="shared" si="14"/>
        <v>-253</v>
      </c>
      <c r="DP16" s="246">
        <v>0</v>
      </c>
      <c r="DQ16" s="246">
        <v>0</v>
      </c>
      <c r="DR16" s="246">
        <v>0</v>
      </c>
      <c r="DS16" s="246">
        <v>0</v>
      </c>
      <c r="DT16" s="222">
        <f t="shared" si="11"/>
        <v>0</v>
      </c>
      <c r="DU16" s="247">
        <v>0</v>
      </c>
      <c r="DV16" s="247">
        <v>0</v>
      </c>
    </row>
    <row r="17" spans="2:126" s="131" customFormat="1">
      <c r="B17" s="156" t="s">
        <v>525</v>
      </c>
      <c r="C17" s="135">
        <f>data!C109</f>
        <v>0</v>
      </c>
      <c r="D17" s="135">
        <f>data!D109</f>
        <v>0</v>
      </c>
      <c r="E17" s="135">
        <f>data!E109</f>
        <v>0</v>
      </c>
      <c r="F17" s="135">
        <f>data!F109</f>
        <v>0</v>
      </c>
      <c r="G17" s="135">
        <f>data!G109</f>
        <v>0</v>
      </c>
      <c r="H17" s="135">
        <f>data!H109</f>
        <v>0</v>
      </c>
      <c r="I17" s="135">
        <f>data!I109</f>
        <v>0</v>
      </c>
      <c r="J17" s="131">
        <f>data!J109</f>
        <v>0</v>
      </c>
      <c r="K17" s="131">
        <f>data!K109-J17</f>
        <v>0</v>
      </c>
      <c r="L17" s="131">
        <f>data!L109-K17-J17</f>
        <v>0</v>
      </c>
      <c r="M17" s="131">
        <f>data!M109-L17-K17-J17</f>
        <v>0</v>
      </c>
      <c r="N17" s="135">
        <f t="shared" si="0"/>
        <v>0</v>
      </c>
      <c r="O17" s="131">
        <f>data!O109</f>
        <v>0</v>
      </c>
      <c r="P17" s="131">
        <f>data!P109-O17</f>
        <v>0</v>
      </c>
      <c r="Q17" s="131">
        <f>data!Q109-P17-O17</f>
        <v>0</v>
      </c>
      <c r="R17" s="131">
        <f>data!R109-Q17-P17-O17</f>
        <v>0</v>
      </c>
      <c r="S17" s="135">
        <f t="shared" si="1"/>
        <v>0</v>
      </c>
      <c r="T17" s="131">
        <f>data!T109</f>
        <v>0</v>
      </c>
      <c r="U17" s="131">
        <f>data!U109-T17</f>
        <v>0</v>
      </c>
      <c r="V17" s="131">
        <f>data!V109-U17-T17</f>
        <v>0</v>
      </c>
      <c r="W17" s="131">
        <f>data!W109-V17-U17-T17</f>
        <v>0</v>
      </c>
      <c r="X17" s="135">
        <f t="shared" si="2"/>
        <v>0</v>
      </c>
      <c r="Y17" s="131">
        <f>data!Y109</f>
        <v>0</v>
      </c>
      <c r="Z17" s="131">
        <f>data!Z109-Y17</f>
        <v>0</v>
      </c>
      <c r="AA17" s="131">
        <f>data!AA109-Z17-Y17</f>
        <v>0</v>
      </c>
      <c r="AB17" s="131">
        <f>data!AB109-AA17-Z17-Y17</f>
        <v>0</v>
      </c>
      <c r="AC17" s="135">
        <f t="shared" si="3"/>
        <v>0</v>
      </c>
      <c r="AD17" s="131">
        <f>data!AD109</f>
        <v>0</v>
      </c>
      <c r="AE17" s="131">
        <f>data!AE109-AD17</f>
        <v>0</v>
      </c>
      <c r="AF17" s="131">
        <f>data!AF109-AE17-AD17</f>
        <v>0</v>
      </c>
      <c r="AG17" s="131">
        <f>data!AG109-AF17-AE17-AD17</f>
        <v>0</v>
      </c>
      <c r="AH17" s="135">
        <f t="shared" si="4"/>
        <v>0</v>
      </c>
      <c r="AI17" s="131">
        <f>data!AI109</f>
        <v>0</v>
      </c>
      <c r="AJ17" s="131">
        <f>data!AJ109-AI17</f>
        <v>0</v>
      </c>
      <c r="AK17" s="131">
        <f>data!AK109-AJ17-AI17</f>
        <v>0</v>
      </c>
      <c r="AL17" s="131">
        <f>data!AL109-AK17-AJ17-AI17</f>
        <v>0</v>
      </c>
      <c r="AM17" s="135">
        <f t="shared" si="12"/>
        <v>0</v>
      </c>
      <c r="AN17" s="131">
        <f>data!AN109</f>
        <v>0</v>
      </c>
      <c r="AO17" s="131">
        <f>data!AO109-AN17</f>
        <v>0</v>
      </c>
      <c r="AP17" s="131">
        <f>data!AP109-AO17-AN17</f>
        <v>0</v>
      </c>
      <c r="AQ17" s="131">
        <f>data!AQ109-AP17-AO17-AN17</f>
        <v>0</v>
      </c>
      <c r="AR17" s="135">
        <f t="shared" si="13"/>
        <v>0</v>
      </c>
      <c r="AS17" s="131">
        <f>data!AS109</f>
        <v>0</v>
      </c>
      <c r="AT17" s="131">
        <f>data!AT109-AS17</f>
        <v>0</v>
      </c>
      <c r="AU17" s="221">
        <f>data!AU109-AT17-AS17</f>
        <v>0</v>
      </c>
      <c r="AV17" s="131">
        <f>data!AV109-AU17-AT17-AS17</f>
        <v>0</v>
      </c>
      <c r="AW17" s="135">
        <f t="shared" si="15"/>
        <v>0</v>
      </c>
      <c r="AX17" s="221">
        <f>data!AX109</f>
        <v>0</v>
      </c>
      <c r="AY17" s="131">
        <f>data!AY109-AX17</f>
        <v>0</v>
      </c>
      <c r="AZ17" s="221">
        <f>data!AZ109-AY17-AX17</f>
        <v>0</v>
      </c>
      <c r="BA17" s="131">
        <f>data!BA109-AZ17-AY17-AX17</f>
        <v>0</v>
      </c>
      <c r="BB17" s="135"/>
      <c r="BC17" s="221"/>
      <c r="BG17" s="135"/>
      <c r="BH17" s="221"/>
      <c r="BL17" s="135"/>
      <c r="BM17" s="221"/>
      <c r="BQ17" s="135"/>
      <c r="BR17" s="221"/>
      <c r="BS17" s="221"/>
      <c r="BV17" s="135"/>
      <c r="BW17" s="221"/>
      <c r="BX17" s="221"/>
      <c r="BZ17" s="221"/>
      <c r="CA17" s="135"/>
      <c r="CB17" s="221"/>
      <c r="CC17" s="221"/>
      <c r="CE17" s="221"/>
      <c r="CF17" s="135"/>
      <c r="CG17" s="221"/>
      <c r="CH17" s="221"/>
      <c r="CJ17" s="221"/>
      <c r="CK17" s="222"/>
      <c r="CL17" s="221">
        <f>data!CL110</f>
        <v>892</v>
      </c>
      <c r="CM17" s="221">
        <f>data!CM110-CL17</f>
        <v>870</v>
      </c>
      <c r="CN17" s="131">
        <f>data!CN110-CM17-CL17</f>
        <v>1027</v>
      </c>
      <c r="CO17" s="221">
        <f>data!CO110-CN17-CM17-CL17</f>
        <v>177</v>
      </c>
      <c r="CP17" s="222">
        <f t="shared" si="5"/>
        <v>2966</v>
      </c>
      <c r="CQ17" s="221">
        <f>data!CQ110-1252</f>
        <v>-3971</v>
      </c>
      <c r="CR17" s="221">
        <f>data!CR110-CQ17-480</f>
        <v>1829</v>
      </c>
      <c r="CS17" s="131">
        <f>data!CS110-CR17-CQ17-164</f>
        <v>846</v>
      </c>
      <c r="CT17" s="221">
        <f>data!CT110-CS17-CR17-CQ17-10</f>
        <v>5350</v>
      </c>
      <c r="CU17" s="222">
        <f t="shared" si="6"/>
        <v>4054</v>
      </c>
      <c r="CV17" s="221">
        <f>data!CV110-395</f>
        <v>-461</v>
      </c>
      <c r="CW17" s="221">
        <f>data!CW110-CV17-697</f>
        <v>-940</v>
      </c>
      <c r="CX17" s="131">
        <f>data!CX110-CW17-CV17-435</f>
        <v>1044</v>
      </c>
      <c r="CY17" s="221">
        <f>data!CY110-CX17-CW17-CV17-2193</f>
        <v>-527</v>
      </c>
      <c r="CZ17" s="222">
        <f t="shared" si="7"/>
        <v>-884</v>
      </c>
      <c r="DA17" s="221">
        <f>data!DA110+1412</f>
        <v>1540</v>
      </c>
      <c r="DB17" s="221">
        <f>data!DB110-DA17+1219</f>
        <v>-574</v>
      </c>
      <c r="DC17" s="131">
        <f>data!DC110-DB17-DA17+1299</f>
        <v>516</v>
      </c>
      <c r="DD17" s="221">
        <f>data!DD110-DC17-DB17-DA17+491</f>
        <v>-271</v>
      </c>
      <c r="DE17" s="222">
        <f t="shared" si="8"/>
        <v>1211</v>
      </c>
      <c r="DF17" s="221">
        <f>data!DF110</f>
        <v>-297</v>
      </c>
      <c r="DG17" s="221">
        <f>data!DG110-DF17</f>
        <v>-333</v>
      </c>
      <c r="DH17" s="131">
        <f>data!DH110-DG17-DF17</f>
        <v>1105</v>
      </c>
      <c r="DI17" s="221">
        <f>data!DI110-DH17-DG17-DF17+491</f>
        <v>268</v>
      </c>
      <c r="DJ17" s="222">
        <f t="shared" si="9"/>
        <v>743</v>
      </c>
      <c r="DK17" s="221">
        <f>data!DK110</f>
        <v>-535</v>
      </c>
      <c r="DL17" s="221">
        <f>data!DL110-DK17</f>
        <v>565</v>
      </c>
      <c r="DM17" s="246">
        <f>DM25-SUM(DM6:DM16)-DM18-DM24</f>
        <v>-3187.5592841288662</v>
      </c>
      <c r="DN17" s="246">
        <f>DN25-SUM(DN6:DN16)-DN18-DN24</f>
        <v>1093.6464736533751</v>
      </c>
      <c r="DO17" s="222">
        <f t="shared" si="14"/>
        <v>-2063.9128104754909</v>
      </c>
      <c r="DP17" s="246">
        <f>DP25-SUM(DP6:DP16)-DP18-DP24</f>
        <v>-967.81202311553716</v>
      </c>
      <c r="DQ17" s="246">
        <f>DQ25-SUM(DQ6:DQ16)-DQ18-DQ24</f>
        <v>509.62298137310654</v>
      </c>
      <c r="DR17" s="246">
        <f>DR25-SUM(DR6:DR16)-DR18-DR24</f>
        <v>30.310150462418278</v>
      </c>
      <c r="DS17" s="246">
        <f>DS25-SUM(DS6:DS16)-DS18-DS24</f>
        <v>2470.5780373386888</v>
      </c>
      <c r="DT17" s="222">
        <f t="shared" si="11"/>
        <v>2042.6991460586764</v>
      </c>
      <c r="DU17" s="908">
        <f>DU25-SUM(DU6:DU16)-DU18-DU24</f>
        <v>-820.93760849188698</v>
      </c>
      <c r="DV17" s="908">
        <f>DV25-SUM(DV6:DV16)-DV18-DV24</f>
        <v>981.72304327341112</v>
      </c>
    </row>
    <row r="18" spans="2:126" s="131" customFormat="1">
      <c r="B18" s="156" t="s">
        <v>63</v>
      </c>
      <c r="C18" s="135" t="e">
        <f>data!#REF!</f>
        <v>#REF!</v>
      </c>
      <c r="D18" s="135" t="e">
        <f>data!#REF!</f>
        <v>#REF!</v>
      </c>
      <c r="E18" s="135" t="e">
        <f>data!#REF!</f>
        <v>#REF!</v>
      </c>
      <c r="F18" s="135" t="e">
        <f>data!#REF!</f>
        <v>#REF!</v>
      </c>
      <c r="G18" s="135" t="e">
        <f>data!#REF!</f>
        <v>#REF!</v>
      </c>
      <c r="H18" s="135" t="e">
        <f>data!#REF!</f>
        <v>#REF!</v>
      </c>
      <c r="I18" s="135" t="e">
        <f>data!#REF!</f>
        <v>#REF!</v>
      </c>
      <c r="J18" s="131" t="e">
        <f>data!#REF!</f>
        <v>#REF!</v>
      </c>
      <c r="K18" s="131" t="e">
        <f>data!#REF!-J18</f>
        <v>#REF!</v>
      </c>
      <c r="L18" s="131" t="e">
        <f>data!#REF!-K18-J18</f>
        <v>#REF!</v>
      </c>
      <c r="M18" s="131" t="e">
        <f>data!#REF!-L18-K18-J18</f>
        <v>#REF!</v>
      </c>
      <c r="N18" s="135" t="e">
        <f t="shared" si="0"/>
        <v>#REF!</v>
      </c>
      <c r="O18" s="131" t="e">
        <f>data!#REF!</f>
        <v>#REF!</v>
      </c>
      <c r="P18" s="131" t="e">
        <f>data!#REF!-O18</f>
        <v>#REF!</v>
      </c>
      <c r="Q18" s="131" t="e">
        <f>data!#REF!-P18-O18</f>
        <v>#REF!</v>
      </c>
      <c r="R18" s="131" t="e">
        <f>data!#REF!-Q18-P18-O18</f>
        <v>#REF!</v>
      </c>
      <c r="S18" s="135" t="e">
        <f t="shared" si="1"/>
        <v>#REF!</v>
      </c>
      <c r="T18" s="131" t="e">
        <f>data!#REF!</f>
        <v>#REF!</v>
      </c>
      <c r="U18" s="131" t="e">
        <f>data!#REF!-T18</f>
        <v>#REF!</v>
      </c>
      <c r="V18" s="131" t="e">
        <f>data!#REF!-U18-T18</f>
        <v>#REF!</v>
      </c>
      <c r="W18" s="131" t="e">
        <f>data!#REF!-V18-U18-T18</f>
        <v>#REF!</v>
      </c>
      <c r="X18" s="135" t="e">
        <f t="shared" si="2"/>
        <v>#REF!</v>
      </c>
      <c r="Y18" s="131" t="e">
        <f>data!#REF!</f>
        <v>#REF!</v>
      </c>
      <c r="Z18" s="131" t="e">
        <f>data!#REF!-Y18</f>
        <v>#REF!</v>
      </c>
      <c r="AA18" s="131" t="e">
        <f>data!#REF!-Z18-Y18</f>
        <v>#REF!</v>
      </c>
      <c r="AB18" s="131" t="e">
        <f>data!#REF!-AA18-Z18-Y18</f>
        <v>#REF!</v>
      </c>
      <c r="AC18" s="135" t="e">
        <f t="shared" si="3"/>
        <v>#REF!</v>
      </c>
      <c r="AD18" s="131" t="e">
        <f>data!#REF!</f>
        <v>#REF!</v>
      </c>
      <c r="AE18" s="131" t="e">
        <f>data!#REF!-AD18</f>
        <v>#REF!</v>
      </c>
      <c r="AF18" s="131" t="e">
        <f>data!#REF!-AE18-AD18</f>
        <v>#REF!</v>
      </c>
      <c r="AG18" s="131" t="e">
        <f>data!#REF!-AF18-AE18-AD18</f>
        <v>#REF!</v>
      </c>
      <c r="AH18" s="135" t="e">
        <f t="shared" si="4"/>
        <v>#REF!</v>
      </c>
      <c r="AI18" s="131" t="e">
        <f>data!#REF!</f>
        <v>#REF!</v>
      </c>
      <c r="AJ18" s="131" t="e">
        <f>data!#REF!-AI18</f>
        <v>#REF!</v>
      </c>
      <c r="AK18" s="131" t="e">
        <f>data!#REF!-AJ18-AI18</f>
        <v>#REF!</v>
      </c>
      <c r="AL18" s="131" t="e">
        <f>data!#REF!-AK18-AJ18-AI18</f>
        <v>#REF!</v>
      </c>
      <c r="AM18" s="135" t="e">
        <f t="shared" si="12"/>
        <v>#REF!</v>
      </c>
      <c r="AN18" s="131" t="e">
        <f>data!#REF!</f>
        <v>#REF!</v>
      </c>
      <c r="AO18" s="131" t="e">
        <f>data!#REF!-AN18</f>
        <v>#REF!</v>
      </c>
      <c r="AP18" s="131" t="e">
        <f>data!#REF!-AO18-AN18</f>
        <v>#REF!</v>
      </c>
      <c r="AQ18" s="131" t="e">
        <f>data!#REF!-AP18-AO18-AN18</f>
        <v>#REF!</v>
      </c>
      <c r="AR18" s="135" t="e">
        <f t="shared" si="13"/>
        <v>#REF!</v>
      </c>
      <c r="AS18" s="131" t="e">
        <f>data!#REF!</f>
        <v>#REF!</v>
      </c>
      <c r="AT18" s="131" t="e">
        <f>data!#REF!-AS18</f>
        <v>#REF!</v>
      </c>
      <c r="AU18" s="131" t="e">
        <f>data!#REF!-AS18-AT18</f>
        <v>#REF!</v>
      </c>
      <c r="AV18" s="131" t="e">
        <f>data!#REF!-AS18-AT18-AU18</f>
        <v>#REF!</v>
      </c>
      <c r="AW18" s="135" t="e">
        <f t="shared" ref="AW18:AW25" si="16">SUM(AS18:AV18)</f>
        <v>#REF!</v>
      </c>
      <c r="AX18" s="221" t="e">
        <f>data!#REF!</f>
        <v>#REF!</v>
      </c>
      <c r="AY18" s="131" t="e">
        <f>data!#REF!-AX18</f>
        <v>#REF!</v>
      </c>
      <c r="AZ18" s="221" t="e">
        <f>data!#REF!-AY18-AX18</f>
        <v>#REF!</v>
      </c>
      <c r="BA18" s="131" t="e">
        <f>data!#REF!-AZ18-AY18-AX18</f>
        <v>#REF!</v>
      </c>
      <c r="BB18" s="135"/>
      <c r="BC18" s="221"/>
      <c r="BG18" s="135"/>
      <c r="BH18" s="221"/>
      <c r="BL18" s="135"/>
      <c r="BM18" s="221"/>
      <c r="BQ18" s="135"/>
      <c r="BR18" s="221"/>
      <c r="BS18" s="221"/>
      <c r="BV18" s="135"/>
      <c r="BW18" s="221"/>
      <c r="BX18" s="221"/>
      <c r="BZ18" s="221"/>
      <c r="CA18" s="135"/>
      <c r="CB18" s="221"/>
      <c r="CC18" s="221"/>
      <c r="CE18" s="221"/>
      <c r="CF18" s="135"/>
      <c r="CG18" s="221"/>
      <c r="CH18" s="221"/>
      <c r="CJ18" s="221"/>
      <c r="CK18" s="222"/>
      <c r="CL18" s="191">
        <f>SUM(CL19:CL23)</f>
        <v>-2642</v>
      </c>
      <c r="CM18" s="191">
        <f t="shared" ref="CM18:CO18" si="17">SUM(CM19:CM23)</f>
        <v>-226</v>
      </c>
      <c r="CN18" s="191">
        <f t="shared" si="17"/>
        <v>-829</v>
      </c>
      <c r="CO18" s="191">
        <f t="shared" si="17"/>
        <v>4285</v>
      </c>
      <c r="CP18" s="215">
        <f t="shared" si="5"/>
        <v>588</v>
      </c>
      <c r="CQ18" s="191">
        <f>SUM(CQ19:CQ23)</f>
        <v>-585</v>
      </c>
      <c r="CR18" s="191">
        <f t="shared" ref="CR18" si="18">SUM(CR19:CR23)</f>
        <v>-617</v>
      </c>
      <c r="CS18" s="191">
        <f t="shared" ref="CS18" si="19">SUM(CS19:CS23)</f>
        <v>-286</v>
      </c>
      <c r="CT18" s="191">
        <f t="shared" ref="CT18" si="20">SUM(CT19:CT23)</f>
        <v>586</v>
      </c>
      <c r="CU18" s="215">
        <f t="shared" si="6"/>
        <v>-902</v>
      </c>
      <c r="CV18" s="191">
        <f>SUM(CV19:CV23)</f>
        <v>-989</v>
      </c>
      <c r="CW18" s="191">
        <f t="shared" ref="CW18" si="21">SUM(CW19:CW23)</f>
        <v>148</v>
      </c>
      <c r="CX18" s="191">
        <f t="shared" ref="CX18" si="22">SUM(CX19:CX23)</f>
        <v>-110</v>
      </c>
      <c r="CY18" s="191">
        <f t="shared" ref="CY18" si="23">SUM(CY19:CY23)</f>
        <v>2543</v>
      </c>
      <c r="CZ18" s="215">
        <f t="shared" si="7"/>
        <v>1592</v>
      </c>
      <c r="DA18" s="191">
        <f>SUM(DA19:DA23)</f>
        <v>-444</v>
      </c>
      <c r="DB18" s="191">
        <f t="shared" ref="DB18" si="24">SUM(DB19:DB23)</f>
        <v>54</v>
      </c>
      <c r="DC18" s="191">
        <f t="shared" ref="DC18" si="25">SUM(DC19:DC23)</f>
        <v>408</v>
      </c>
      <c r="DD18" s="191">
        <f t="shared" ref="DD18" si="26">SUM(DD19:DD23)</f>
        <v>1620</v>
      </c>
      <c r="DE18" s="215">
        <f t="shared" si="8"/>
        <v>1638</v>
      </c>
      <c r="DF18" s="191">
        <f>SUM(DF19:DF23)</f>
        <v>153</v>
      </c>
      <c r="DG18" s="191">
        <f t="shared" ref="DG18:DI18" si="27">SUM(DG19:DG23)</f>
        <v>-144</v>
      </c>
      <c r="DH18" s="191">
        <f t="shared" si="27"/>
        <v>-580</v>
      </c>
      <c r="DI18" s="191">
        <f t="shared" si="27"/>
        <v>-452</v>
      </c>
      <c r="DJ18" s="215">
        <f t="shared" si="9"/>
        <v>-1023</v>
      </c>
      <c r="DK18" s="191">
        <f>SUM(DK19:DK23)</f>
        <v>-28</v>
      </c>
      <c r="DL18" s="191">
        <f t="shared" ref="DL18" si="28">SUM(DL19:DL23)</f>
        <v>-440</v>
      </c>
      <c r="DM18" s="191">
        <f t="shared" ref="DM18" si="29">SUM(DM19:DM23)</f>
        <v>3312.6797137037029</v>
      </c>
      <c r="DN18" s="191">
        <f t="shared" ref="DN18:DU18" si="30">SUM(DN19:DN23)</f>
        <v>-622.46193870370098</v>
      </c>
      <c r="DO18" s="215">
        <f t="shared" si="14"/>
        <v>2222.2177750000019</v>
      </c>
      <c r="DP18" s="191">
        <f t="shared" ref="DP18" si="31">SUM(DP19:DP23)</f>
        <v>507.20418833333451</v>
      </c>
      <c r="DQ18" s="191">
        <f t="shared" ref="DQ18:DS18" si="32">SUM(DQ19:DQ23)</f>
        <v>-1480.2787966666692</v>
      </c>
      <c r="DR18" s="191">
        <f t="shared" si="32"/>
        <v>65.432472844443055</v>
      </c>
      <c r="DS18" s="191">
        <f t="shared" si="32"/>
        <v>-997.76543039192438</v>
      </c>
      <c r="DT18" s="215">
        <f t="shared" si="11"/>
        <v>-1905.407565880816</v>
      </c>
      <c r="DU18" s="215">
        <f t="shared" si="30"/>
        <v>789.70493745542558</v>
      </c>
      <c r="DV18" s="215">
        <f>SUM(DV19:DV23)</f>
        <v>-944.77007312795536</v>
      </c>
    </row>
    <row r="19" spans="2:126" s="131" customFormat="1">
      <c r="B19" s="139" t="s">
        <v>45</v>
      </c>
      <c r="C19" s="135">
        <f>data!C110</f>
        <v>0</v>
      </c>
      <c r="D19" s="135">
        <f>data!D110</f>
        <v>0</v>
      </c>
      <c r="E19" s="135">
        <f>data!E110</f>
        <v>0</v>
      </c>
      <c r="F19" s="135">
        <f>data!F110</f>
        <v>0</v>
      </c>
      <c r="G19" s="135">
        <f>data!G110</f>
        <v>0</v>
      </c>
      <c r="H19" s="135">
        <f>data!H110</f>
        <v>0</v>
      </c>
      <c r="I19" s="135">
        <f>data!I110</f>
        <v>0</v>
      </c>
      <c r="J19" s="131">
        <f>data!J110</f>
        <v>0</v>
      </c>
      <c r="K19" s="131">
        <f>data!K110-J19</f>
        <v>0</v>
      </c>
      <c r="L19" s="131">
        <f>data!L110-K19-J19</f>
        <v>0</v>
      </c>
      <c r="M19" s="131">
        <f>data!M110-L19-K19-J19</f>
        <v>0</v>
      </c>
      <c r="N19" s="135">
        <f t="shared" si="0"/>
        <v>0</v>
      </c>
      <c r="O19" s="131">
        <f>data!O110</f>
        <v>0</v>
      </c>
      <c r="P19" s="131">
        <f>data!P110-O19</f>
        <v>0</v>
      </c>
      <c r="Q19" s="131">
        <f>data!Q110-P19-O19</f>
        <v>0</v>
      </c>
      <c r="R19" s="131">
        <f>data!R110-Q19-P19-O19</f>
        <v>0</v>
      </c>
      <c r="S19" s="135">
        <f t="shared" si="1"/>
        <v>0</v>
      </c>
      <c r="T19" s="131">
        <f>data!T110</f>
        <v>0</v>
      </c>
      <c r="U19" s="131">
        <f>data!U110-T19</f>
        <v>0</v>
      </c>
      <c r="V19" s="131">
        <f>data!V110-U19-T19</f>
        <v>0</v>
      </c>
      <c r="W19" s="131">
        <f>data!W110-V19-U19-T19</f>
        <v>0</v>
      </c>
      <c r="X19" s="135">
        <f t="shared" si="2"/>
        <v>0</v>
      </c>
      <c r="Y19" s="131">
        <f>data!Y110</f>
        <v>0</v>
      </c>
      <c r="Z19" s="131">
        <f>data!Z110-Y19</f>
        <v>0</v>
      </c>
      <c r="AA19" s="131">
        <f>data!AA110-Z19-Y19</f>
        <v>0</v>
      </c>
      <c r="AB19" s="131">
        <f>data!AB110-AA19-Z19-Y19</f>
        <v>0</v>
      </c>
      <c r="AC19" s="135">
        <f t="shared" si="3"/>
        <v>0</v>
      </c>
      <c r="AD19" s="131">
        <f>data!AD110</f>
        <v>0</v>
      </c>
      <c r="AE19" s="131">
        <f>data!AE110-AD19</f>
        <v>0</v>
      </c>
      <c r="AF19" s="131">
        <f>data!AF110-AE19-AD19</f>
        <v>0</v>
      </c>
      <c r="AG19" s="131">
        <f>data!AG110-AF19-AE19-AD19</f>
        <v>0</v>
      </c>
      <c r="AH19" s="135">
        <f t="shared" si="4"/>
        <v>0</v>
      </c>
      <c r="AI19" s="131">
        <f>data!AI110</f>
        <v>0</v>
      </c>
      <c r="AJ19" s="131">
        <f>data!AJ110-AI19</f>
        <v>0</v>
      </c>
      <c r="AK19" s="131">
        <f>data!AK110-AJ19-AI19</f>
        <v>0</v>
      </c>
      <c r="AL19" s="131">
        <f>data!AL110-AK19-AJ19-AI19</f>
        <v>0</v>
      </c>
      <c r="AM19" s="135">
        <f t="shared" si="12"/>
        <v>0</v>
      </c>
      <c r="AN19" s="131">
        <f>data!AN110</f>
        <v>0</v>
      </c>
      <c r="AO19" s="131">
        <f>data!AO110-AN19</f>
        <v>0</v>
      </c>
      <c r="AP19" s="131">
        <f>data!AP110-AO19-AN19</f>
        <v>0</v>
      </c>
      <c r="AQ19" s="131">
        <f>data!AQ110-AP19-AO19-AN19</f>
        <v>0</v>
      </c>
      <c r="AR19" s="135">
        <f>SUM(AN19:AQ19)</f>
        <v>0</v>
      </c>
      <c r="AS19" s="131">
        <f>data!AS110</f>
        <v>0</v>
      </c>
      <c r="AT19" s="131">
        <f>data!AT110-AS19</f>
        <v>0</v>
      </c>
      <c r="AU19" s="131">
        <f>data!AU110-AS19-AT19</f>
        <v>0</v>
      </c>
      <c r="AV19" s="131">
        <f>data!AV110-AS19-AT19-AU19</f>
        <v>0</v>
      </c>
      <c r="AW19" s="135">
        <f t="shared" si="16"/>
        <v>0</v>
      </c>
      <c r="AX19" s="131">
        <f>data!AX110</f>
        <v>0</v>
      </c>
      <c r="AY19" s="131">
        <f>data!AY110-AX19</f>
        <v>0</v>
      </c>
      <c r="AZ19" s="131">
        <f>data!AZ110-AY19-AX19</f>
        <v>0</v>
      </c>
      <c r="BA19" s="131">
        <f>data!BA110-AZ19-AY19-AX19</f>
        <v>0</v>
      </c>
      <c r="BB19" s="135"/>
      <c r="BG19" s="135"/>
      <c r="BL19" s="135"/>
      <c r="BM19" s="221"/>
      <c r="BQ19" s="135"/>
      <c r="BR19" s="221"/>
      <c r="BS19" s="221"/>
      <c r="BV19" s="135"/>
      <c r="BW19" s="221"/>
      <c r="BX19" s="221"/>
      <c r="BZ19" s="221"/>
      <c r="CA19" s="135"/>
      <c r="CB19" s="221"/>
      <c r="CC19" s="221"/>
      <c r="CE19" s="221"/>
      <c r="CF19" s="135"/>
      <c r="CG19" s="221"/>
      <c r="CH19" s="221"/>
      <c r="CJ19" s="221"/>
      <c r="CK19" s="222"/>
      <c r="CL19" s="221">
        <f>data!CL112</f>
        <v>-503</v>
      </c>
      <c r="CM19" s="221">
        <f>data!CM112-CL19</f>
        <v>313</v>
      </c>
      <c r="CN19" s="131">
        <f>data!CN112-CM19-CL19</f>
        <v>-1475</v>
      </c>
      <c r="CO19" s="221">
        <f>data!CO112-CN19-CM19-CL19</f>
        <v>346</v>
      </c>
      <c r="CP19" s="222">
        <f t="shared" si="5"/>
        <v>-1319</v>
      </c>
      <c r="CQ19" s="221">
        <f>data!CQ112</f>
        <v>946</v>
      </c>
      <c r="CR19" s="221">
        <f>data!CR112-CQ19</f>
        <v>-4</v>
      </c>
      <c r="CS19" s="131">
        <f>data!CS112-CR19-CQ19</f>
        <v>-68</v>
      </c>
      <c r="CT19" s="221">
        <f>data!CT112-CS19-CR19-CQ19</f>
        <v>-1051</v>
      </c>
      <c r="CU19" s="222">
        <f t="shared" si="6"/>
        <v>-177</v>
      </c>
      <c r="CV19" s="221">
        <f>data!CV112</f>
        <v>-610</v>
      </c>
      <c r="CW19" s="221">
        <f>data!CW112-CV19</f>
        <v>-575</v>
      </c>
      <c r="CX19" s="131">
        <f>data!CX112-CW19-CV19</f>
        <v>-1398</v>
      </c>
      <c r="CY19" s="221">
        <f>data!CY112-CX19-CW19-CV19</f>
        <v>-136</v>
      </c>
      <c r="CZ19" s="222">
        <f t="shared" si="7"/>
        <v>-2719</v>
      </c>
      <c r="DA19" s="221">
        <f>data!DA112</f>
        <v>536</v>
      </c>
      <c r="DB19" s="221">
        <f>data!DB112-DA19</f>
        <v>-510</v>
      </c>
      <c r="DC19" s="131">
        <f>data!DC112-DB19-DA19</f>
        <v>94</v>
      </c>
      <c r="DD19" s="221">
        <f>data!DD112-DC19-DB19-DA19</f>
        <v>-953</v>
      </c>
      <c r="DE19" s="222">
        <f t="shared" si="8"/>
        <v>-833</v>
      </c>
      <c r="DF19" s="221">
        <f>data!DF112</f>
        <v>235</v>
      </c>
      <c r="DG19" s="221">
        <f>data!DG112-DF19</f>
        <v>-283</v>
      </c>
      <c r="DH19" s="131">
        <f>data!DH112-DG19-DF19</f>
        <v>-702</v>
      </c>
      <c r="DI19" s="221">
        <f>data!DI112-DH19-DG19-DF19</f>
        <v>-326</v>
      </c>
      <c r="DJ19" s="222">
        <f t="shared" si="9"/>
        <v>-1076</v>
      </c>
      <c r="DK19" s="221">
        <f>data!DK112</f>
        <v>-326</v>
      </c>
      <c r="DL19" s="221">
        <f>data!DL112-DK19</f>
        <v>-831</v>
      </c>
      <c r="DM19" s="248">
        <f>BS!DL9-BS!DM9</f>
        <v>2123.7833333333328</v>
      </c>
      <c r="DN19" s="248">
        <f>BS!DM9-BS!DN9</f>
        <v>-449.6916666666657</v>
      </c>
      <c r="DO19" s="222">
        <f t="shared" si="14"/>
        <v>517.09166666666715</v>
      </c>
      <c r="DP19" s="248">
        <f>BS!DO9-BS!DP9</f>
        <v>301.75833333333503</v>
      </c>
      <c r="DQ19" s="248">
        <f>BS!DP9-BS!DQ9</f>
        <v>-1026.1416666666682</v>
      </c>
      <c r="DR19" s="248">
        <f>BS!DQ9-BS!DR9</f>
        <v>95.399499999997715</v>
      </c>
      <c r="DS19" s="248">
        <f>BS!DR9-BS!DS9</f>
        <v>-738.31622333333144</v>
      </c>
      <c r="DT19" s="222">
        <f t="shared" si="11"/>
        <v>-1367.3000566666669</v>
      </c>
      <c r="DU19" s="152">
        <f>BS!DT9-BS!DU9</f>
        <v>95.392397238083504</v>
      </c>
      <c r="DV19" s="152">
        <f>BS!DU9-BS!DV9</f>
        <v>-696.90768137876512</v>
      </c>
    </row>
    <row r="20" spans="2:126" s="131" customFormat="1">
      <c r="B20" s="318" t="s">
        <v>46</v>
      </c>
      <c r="C20" s="215">
        <f t="shared" ref="C20:AL20" si="33">SUM(C21:C24)</f>
        <v>0</v>
      </c>
      <c r="D20" s="215">
        <f t="shared" si="33"/>
        <v>0</v>
      </c>
      <c r="E20" s="215">
        <f t="shared" si="33"/>
        <v>0</v>
      </c>
      <c r="F20" s="215">
        <f t="shared" si="33"/>
        <v>0</v>
      </c>
      <c r="G20" s="215">
        <f t="shared" si="33"/>
        <v>0</v>
      </c>
      <c r="H20" s="215">
        <f t="shared" si="33"/>
        <v>0</v>
      </c>
      <c r="I20" s="215">
        <f t="shared" si="33"/>
        <v>0</v>
      </c>
      <c r="J20" s="191">
        <f t="shared" si="33"/>
        <v>0</v>
      </c>
      <c r="K20" s="191">
        <f t="shared" si="33"/>
        <v>0</v>
      </c>
      <c r="L20" s="191">
        <f t="shared" si="33"/>
        <v>0</v>
      </c>
      <c r="M20" s="191">
        <f t="shared" si="33"/>
        <v>0</v>
      </c>
      <c r="N20" s="215">
        <f t="shared" si="33"/>
        <v>0</v>
      </c>
      <c r="O20" s="191">
        <f t="shared" si="33"/>
        <v>0</v>
      </c>
      <c r="P20" s="191">
        <f t="shared" si="33"/>
        <v>0</v>
      </c>
      <c r="Q20" s="191">
        <f t="shared" si="33"/>
        <v>0</v>
      </c>
      <c r="R20" s="191">
        <f t="shared" si="33"/>
        <v>0</v>
      </c>
      <c r="S20" s="215">
        <f t="shared" si="33"/>
        <v>0</v>
      </c>
      <c r="T20" s="191">
        <f t="shared" si="33"/>
        <v>0</v>
      </c>
      <c r="U20" s="191">
        <f t="shared" si="33"/>
        <v>0</v>
      </c>
      <c r="V20" s="191">
        <f t="shared" si="33"/>
        <v>0</v>
      </c>
      <c r="W20" s="191">
        <f t="shared" si="33"/>
        <v>0</v>
      </c>
      <c r="X20" s="215">
        <f t="shared" si="33"/>
        <v>0</v>
      </c>
      <c r="Y20" s="191">
        <f t="shared" si="33"/>
        <v>0</v>
      </c>
      <c r="Z20" s="191">
        <f t="shared" si="33"/>
        <v>0</v>
      </c>
      <c r="AA20" s="191">
        <f t="shared" si="33"/>
        <v>0</v>
      </c>
      <c r="AB20" s="191">
        <f t="shared" si="33"/>
        <v>0</v>
      </c>
      <c r="AC20" s="215">
        <f t="shared" si="33"/>
        <v>0</v>
      </c>
      <c r="AD20" s="191">
        <f t="shared" si="33"/>
        <v>0</v>
      </c>
      <c r="AE20" s="191">
        <f t="shared" si="33"/>
        <v>0</v>
      </c>
      <c r="AF20" s="191">
        <f t="shared" si="33"/>
        <v>0</v>
      </c>
      <c r="AG20" s="191">
        <f t="shared" si="33"/>
        <v>0</v>
      </c>
      <c r="AH20" s="215">
        <f t="shared" si="33"/>
        <v>0</v>
      </c>
      <c r="AI20" s="191">
        <f t="shared" si="33"/>
        <v>0</v>
      </c>
      <c r="AJ20" s="191">
        <f t="shared" si="33"/>
        <v>0</v>
      </c>
      <c r="AK20" s="191">
        <f t="shared" si="33"/>
        <v>0</v>
      </c>
      <c r="AL20" s="191">
        <f t="shared" si="33"/>
        <v>0</v>
      </c>
      <c r="AM20" s="215">
        <f t="shared" si="12"/>
        <v>0</v>
      </c>
      <c r="AN20" s="191">
        <f>SUM(AN21:AN24)</f>
        <v>0</v>
      </c>
      <c r="AO20" s="191">
        <f>SUM(AO21:AO24)</f>
        <v>0</v>
      </c>
      <c r="AP20" s="191">
        <f>SUM(AP21:AP24)</f>
        <v>0</v>
      </c>
      <c r="AQ20" s="191">
        <f>SUM(AQ21:AQ24)</f>
        <v>0</v>
      </c>
      <c r="AR20" s="215">
        <f>SUM(AN20:AQ20)</f>
        <v>0</v>
      </c>
      <c r="AS20" s="191">
        <f>SUM(AS21:AS24)</f>
        <v>0</v>
      </c>
      <c r="AT20" s="191">
        <f>SUM(AT21:AT24)</f>
        <v>0</v>
      </c>
      <c r="AU20" s="191">
        <f>SUM(AU21:AU24)</f>
        <v>0</v>
      </c>
      <c r="AV20" s="191">
        <f>SUM(AV21:AV24)</f>
        <v>0</v>
      </c>
      <c r="AW20" s="215">
        <f t="shared" si="16"/>
        <v>0</v>
      </c>
      <c r="AX20" s="191">
        <f>SUM(AX21:AX24)</f>
        <v>0</v>
      </c>
      <c r="AY20" s="191">
        <f>SUM(AY21:AY24)</f>
        <v>0</v>
      </c>
      <c r="AZ20" s="191">
        <f>SUM(AZ21:AZ24)</f>
        <v>0</v>
      </c>
      <c r="BA20" s="191">
        <f>SUM(BA21:BA24)</f>
        <v>0</v>
      </c>
      <c r="BB20" s="215"/>
      <c r="BC20" s="191"/>
      <c r="BD20" s="191"/>
      <c r="BE20" s="191"/>
      <c r="BF20" s="191"/>
      <c r="BG20" s="215"/>
      <c r="BH20" s="191"/>
      <c r="BI20" s="191"/>
      <c r="BJ20" s="191"/>
      <c r="BK20" s="191"/>
      <c r="BL20" s="215"/>
      <c r="BM20" s="191"/>
      <c r="BN20" s="191"/>
      <c r="BO20" s="191"/>
      <c r="BP20" s="191"/>
      <c r="BQ20" s="215"/>
      <c r="BR20" s="191"/>
      <c r="BS20" s="191"/>
      <c r="BT20" s="191"/>
      <c r="BU20" s="191"/>
      <c r="BV20" s="215"/>
      <c r="BW20" s="191"/>
      <c r="BX20" s="191"/>
      <c r="BY20" s="191"/>
      <c r="BZ20" s="191"/>
      <c r="CA20" s="215"/>
      <c r="CB20" s="191"/>
      <c r="CC20" s="191"/>
      <c r="CD20" s="191"/>
      <c r="CE20" s="191"/>
      <c r="CF20" s="215"/>
      <c r="CG20" s="191"/>
      <c r="CH20" s="191"/>
      <c r="CI20" s="191"/>
      <c r="CJ20" s="191"/>
      <c r="CK20" s="215"/>
      <c r="CL20" s="221">
        <f>data!CL113</f>
        <v>-1077</v>
      </c>
      <c r="CM20" s="221">
        <f>data!CM113-CL20</f>
        <v>239</v>
      </c>
      <c r="CN20" s="131">
        <f>data!CN113-CM20-CL20</f>
        <v>406</v>
      </c>
      <c r="CO20" s="221">
        <f>data!CO113-CN20-CM20-CL20</f>
        <v>1537</v>
      </c>
      <c r="CP20" s="222">
        <f t="shared" si="5"/>
        <v>1105</v>
      </c>
      <c r="CQ20" s="221">
        <f>data!CQ113</f>
        <v>-722</v>
      </c>
      <c r="CR20" s="221">
        <f>data!CR113-CQ20</f>
        <v>-608</v>
      </c>
      <c r="CS20" s="131">
        <f>data!CS113-CR20-CQ20</f>
        <v>146</v>
      </c>
      <c r="CT20" s="221">
        <f>data!CT113-CS20-CR20-CQ20</f>
        <v>482</v>
      </c>
      <c r="CU20" s="222">
        <f t="shared" si="6"/>
        <v>-702</v>
      </c>
      <c r="CV20" s="221">
        <f>data!CV113</f>
        <v>-732</v>
      </c>
      <c r="CW20" s="221">
        <f>data!CW113-CV20</f>
        <v>-1142</v>
      </c>
      <c r="CX20" s="131">
        <f>data!CX113-CW20-CV20</f>
        <v>-352</v>
      </c>
      <c r="CY20" s="221">
        <f>data!CY113-CX20-CW20-CV20</f>
        <v>301</v>
      </c>
      <c r="CZ20" s="222">
        <f t="shared" si="7"/>
        <v>-1925</v>
      </c>
      <c r="DA20" s="221">
        <f>data!DA113</f>
        <v>-1275</v>
      </c>
      <c r="DB20" s="221">
        <f>data!DB113-DA20</f>
        <v>-527</v>
      </c>
      <c r="DC20" s="131">
        <f>data!DC113-DB20-DA20</f>
        <v>-418</v>
      </c>
      <c r="DD20" s="221">
        <f>data!DD113-DC20-DB20-DA20</f>
        <v>696</v>
      </c>
      <c r="DE20" s="222">
        <f t="shared" si="8"/>
        <v>-1524</v>
      </c>
      <c r="DF20" s="221">
        <f>data!DF113</f>
        <v>-1216</v>
      </c>
      <c r="DG20" s="221">
        <f>data!DG113-DF20</f>
        <v>15</v>
      </c>
      <c r="DH20" s="131">
        <f>data!DH113-DG20-DF20</f>
        <v>-215</v>
      </c>
      <c r="DI20" s="221">
        <f>data!DI113-DH20-DG20-DF20</f>
        <v>-112</v>
      </c>
      <c r="DJ20" s="222">
        <f t="shared" si="9"/>
        <v>-1528</v>
      </c>
      <c r="DK20" s="221">
        <f>data!DK113</f>
        <v>-724</v>
      </c>
      <c r="DL20" s="221">
        <f>data!DL113-DK20</f>
        <v>-670</v>
      </c>
      <c r="DM20" s="248">
        <f>BS!DL10-BS!DM10</f>
        <v>3237.5425803703693</v>
      </c>
      <c r="DN20" s="248">
        <f>BS!DM10-BS!DN10</f>
        <v>-296.78708314814685</v>
      </c>
      <c r="DO20" s="222">
        <f t="shared" si="14"/>
        <v>1546.7554972222224</v>
      </c>
      <c r="DP20" s="248">
        <f>BS!DO10-BS!DP10</f>
        <v>701.79373277777813</v>
      </c>
      <c r="DQ20" s="248">
        <f>BS!DP10-BS!DQ10</f>
        <v>-1013.5732855555561</v>
      </c>
      <c r="DR20" s="248">
        <f>BS!DQ10-BS!DR10</f>
        <v>-311.13101915555671</v>
      </c>
      <c r="DS20" s="248">
        <f>BS!DR10-BS!DS10</f>
        <v>-351.32586931192418</v>
      </c>
      <c r="DT20" s="222">
        <f t="shared" si="11"/>
        <v>-974.2364412452589</v>
      </c>
      <c r="DU20" s="152">
        <f>BS!DT10-BS!DU10</f>
        <v>-28.712389370006349</v>
      </c>
      <c r="DV20" s="152">
        <f>BS!DU10-BS!DV10</f>
        <v>-609.16172688930237</v>
      </c>
    </row>
    <row r="21" spans="2:126" s="131" customFormat="1">
      <c r="B21" s="318" t="s">
        <v>339</v>
      </c>
      <c r="C21" s="135">
        <f>data!C112</f>
        <v>0</v>
      </c>
      <c r="D21" s="135">
        <f>data!D112</f>
        <v>0</v>
      </c>
      <c r="E21" s="135">
        <f>data!E112</f>
        <v>0</v>
      </c>
      <c r="F21" s="135">
        <f>data!F112</f>
        <v>0</v>
      </c>
      <c r="G21" s="135">
        <f>data!G112</f>
        <v>0</v>
      </c>
      <c r="H21" s="135">
        <f>data!H112</f>
        <v>0</v>
      </c>
      <c r="I21" s="135">
        <f>data!I112</f>
        <v>0</v>
      </c>
      <c r="J21" s="131">
        <f>data!J112</f>
        <v>0</v>
      </c>
      <c r="K21" s="131">
        <f>data!K112-J21</f>
        <v>0</v>
      </c>
      <c r="L21" s="131">
        <f>data!L112-K21-J21</f>
        <v>0</v>
      </c>
      <c r="M21" s="131">
        <f>data!M112-L21-K21-J21</f>
        <v>0</v>
      </c>
      <c r="N21" s="135">
        <f>SUM(J21:M21)</f>
        <v>0</v>
      </c>
      <c r="O21" s="131">
        <f>data!O112</f>
        <v>0</v>
      </c>
      <c r="P21" s="131">
        <f>data!P112-O21</f>
        <v>0</v>
      </c>
      <c r="Q21" s="131">
        <f>data!Q112-P21-O21</f>
        <v>0</v>
      </c>
      <c r="R21" s="131">
        <f>data!R112-Q21-P21-O21</f>
        <v>0</v>
      </c>
      <c r="S21" s="135">
        <f>SUM(O21:R21)</f>
        <v>0</v>
      </c>
      <c r="T21" s="131">
        <f>data!T112</f>
        <v>0</v>
      </c>
      <c r="U21" s="131">
        <f>data!U112-T21</f>
        <v>0</v>
      </c>
      <c r="V21" s="131">
        <f>data!V112-U21-T21</f>
        <v>0</v>
      </c>
      <c r="W21" s="131">
        <f>data!W112-V21-U21-T21</f>
        <v>0</v>
      </c>
      <c r="X21" s="135">
        <f>SUM(T21:W21)</f>
        <v>0</v>
      </c>
      <c r="Y21" s="131">
        <f>data!Y112</f>
        <v>0</v>
      </c>
      <c r="Z21" s="131">
        <f>data!Z112-Y21</f>
        <v>0</v>
      </c>
      <c r="AA21" s="131">
        <f>data!AA112-Z21-Y21</f>
        <v>0</v>
      </c>
      <c r="AB21" s="131">
        <f>data!AB112-AA21-Z21-Y21</f>
        <v>0</v>
      </c>
      <c r="AC21" s="135">
        <f>SUM(Y21:AB21)</f>
        <v>0</v>
      </c>
      <c r="AD21" s="131">
        <f>data!AD112</f>
        <v>0</v>
      </c>
      <c r="AE21" s="131">
        <f>data!AE112-AD21</f>
        <v>0</v>
      </c>
      <c r="AF21" s="131">
        <f>data!AF112-AE21-AD21</f>
        <v>0</v>
      </c>
      <c r="AG21" s="131">
        <f>data!AG112-AF21-AE21-AD21</f>
        <v>0</v>
      </c>
      <c r="AH21" s="135">
        <f>SUM(AD21:AG21)</f>
        <v>0</v>
      </c>
      <c r="AI21" s="131">
        <f>data!AI112</f>
        <v>0</v>
      </c>
      <c r="AJ21" s="131">
        <f>data!AJ112-AI21</f>
        <v>0</v>
      </c>
      <c r="AK21" s="131">
        <f>data!AK112-AJ21-AI21</f>
        <v>0</v>
      </c>
      <c r="AL21" s="131">
        <f>data!AL112-AK21-AJ21-AI21</f>
        <v>0</v>
      </c>
      <c r="AM21" s="135">
        <f t="shared" si="12"/>
        <v>0</v>
      </c>
      <c r="AN21" s="15">
        <f>data!AN112</f>
        <v>0</v>
      </c>
      <c r="AO21" s="131">
        <f>data!AO112-AN21</f>
        <v>0</v>
      </c>
      <c r="AP21" s="131">
        <f>data!AP112-AO21-AN21</f>
        <v>0</v>
      </c>
      <c r="AQ21" s="131">
        <f>data!AQ112-AP21-AO21-AN21</f>
        <v>0</v>
      </c>
      <c r="AR21" s="135">
        <f t="shared" si="13"/>
        <v>0</v>
      </c>
      <c r="AS21" s="15">
        <f>data!AS112</f>
        <v>0</v>
      </c>
      <c r="AT21" s="131">
        <f>data!AT112-AS21</f>
        <v>0</v>
      </c>
      <c r="AU21" s="221">
        <f>data!AU112-AT21-AS21</f>
        <v>0</v>
      </c>
      <c r="AV21" s="131">
        <f>data!AV112-AU21-AT21-AS21</f>
        <v>0</v>
      </c>
      <c r="AW21" s="135">
        <f t="shared" si="16"/>
        <v>0</v>
      </c>
      <c r="AX21" s="221">
        <f>data!AX112</f>
        <v>0</v>
      </c>
      <c r="AY21" s="131">
        <f>data!AY112-AX21</f>
        <v>0</v>
      </c>
      <c r="AZ21" s="221">
        <f>data!AZ112-AY21-AX21</f>
        <v>0</v>
      </c>
      <c r="BA21" s="131">
        <f>data!BA112-AZ21-AY21-AX21</f>
        <v>0</v>
      </c>
      <c r="BB21" s="135"/>
      <c r="BC21" s="221"/>
      <c r="BG21" s="135"/>
      <c r="BH21" s="221"/>
      <c r="BL21" s="135"/>
      <c r="BM21" s="221"/>
      <c r="BQ21" s="135"/>
      <c r="BR21" s="221"/>
      <c r="BS21" s="221"/>
      <c r="BV21" s="135"/>
      <c r="BW21" s="221"/>
      <c r="BX21" s="221"/>
      <c r="BZ21" s="221"/>
      <c r="CA21" s="135"/>
      <c r="CB21" s="221"/>
      <c r="CC21" s="221"/>
      <c r="CE21" s="221"/>
      <c r="CF21" s="135"/>
      <c r="CG21" s="221"/>
      <c r="CH21" s="221"/>
      <c r="CJ21" s="221"/>
      <c r="CK21" s="222"/>
      <c r="CL21" s="221">
        <f>data!CL114</f>
        <v>145</v>
      </c>
      <c r="CM21" s="221">
        <f>data!CM114-CL21</f>
        <v>502</v>
      </c>
      <c r="CN21" s="131">
        <f>data!CN114-CM21-CL21</f>
        <v>208</v>
      </c>
      <c r="CO21" s="221">
        <f>data!CO114-CN21-CM21-CL21</f>
        <v>776</v>
      </c>
      <c r="CP21" s="222">
        <f t="shared" si="5"/>
        <v>1631</v>
      </c>
      <c r="CQ21" s="221">
        <f>data!CQ114</f>
        <v>-35</v>
      </c>
      <c r="CR21" s="221">
        <f>data!CR114-CQ21</f>
        <v>342</v>
      </c>
      <c r="CS21" s="131">
        <f>data!CS114-CR21-CQ21</f>
        <v>191</v>
      </c>
      <c r="CT21" s="221">
        <f>data!CT114-CS21-CR21-CQ21</f>
        <v>533</v>
      </c>
      <c r="CU21" s="222">
        <f t="shared" si="6"/>
        <v>1031</v>
      </c>
      <c r="CV21" s="221">
        <f>data!CV114</f>
        <v>473</v>
      </c>
      <c r="CW21" s="221">
        <f>data!CW114-CV21</f>
        <v>-73</v>
      </c>
      <c r="CX21" s="131">
        <f>data!CX114-CW21-CV21</f>
        <v>534</v>
      </c>
      <c r="CY21" s="221">
        <f>data!CY114-CX21-CW21-CV21</f>
        <v>718</v>
      </c>
      <c r="CZ21" s="222">
        <f t="shared" si="7"/>
        <v>1652</v>
      </c>
      <c r="DA21" s="221">
        <f>data!DA114</f>
        <v>294</v>
      </c>
      <c r="DB21" s="221">
        <f>data!DB114-DA21</f>
        <v>386</v>
      </c>
      <c r="DC21" s="131">
        <f>data!DC114-DB21-DA21</f>
        <v>95</v>
      </c>
      <c r="DD21" s="221">
        <f>data!DD114-DC21-DB21-DA21</f>
        <v>508</v>
      </c>
      <c r="DE21" s="222">
        <f t="shared" si="8"/>
        <v>1283</v>
      </c>
      <c r="DF21" s="221">
        <f>data!DF114</f>
        <v>-72</v>
      </c>
      <c r="DG21" s="221">
        <f>data!DG114-DF21</f>
        <v>227</v>
      </c>
      <c r="DH21" s="131">
        <f>data!DH114-DG21-DF21</f>
        <v>-162</v>
      </c>
      <c r="DI21" s="221">
        <f>data!DI114-DH21-DG21-DF21</f>
        <v>-105</v>
      </c>
      <c r="DJ21" s="222">
        <f t="shared" si="9"/>
        <v>-112</v>
      </c>
      <c r="DK21" s="221">
        <f>data!DK114</f>
        <v>46</v>
      </c>
      <c r="DL21" s="221">
        <f>data!DL114-DK21</f>
        <v>-111</v>
      </c>
      <c r="DM21" s="248">
        <f>BS!DL11-BS!DM11</f>
        <v>822.14222222222224</v>
      </c>
      <c r="DN21" s="248">
        <f>BS!DM11-BS!DN11</f>
        <v>-119.9177777777777</v>
      </c>
      <c r="DO21" s="222">
        <f t="shared" si="14"/>
        <v>637.22444444444454</v>
      </c>
      <c r="DP21" s="248">
        <f>BS!DO11-BS!DP11</f>
        <v>80.468888888889069</v>
      </c>
      <c r="DQ21" s="248">
        <f>BS!DP11-BS!DQ11</f>
        <v>-273.63777777777796</v>
      </c>
      <c r="DR21" s="248">
        <f>BS!DQ11-BS!DR11</f>
        <v>25.439866666666148</v>
      </c>
      <c r="DS21" s="248">
        <f>BS!DR11-BS!DS11</f>
        <v>-196.88432622222172</v>
      </c>
      <c r="DT21" s="222">
        <f t="shared" si="11"/>
        <v>-364.61334844444445</v>
      </c>
      <c r="DU21" s="152">
        <f>BS!DT11-BS!DU11</f>
        <v>699.42570544761679</v>
      </c>
      <c r="DV21" s="152">
        <f>BS!DU11-BS!DV11</f>
        <v>-139.38153627575298</v>
      </c>
    </row>
    <row r="22" spans="2:126" s="131" customFormat="1">
      <c r="B22" s="318" t="s">
        <v>64</v>
      </c>
      <c r="C22" s="135"/>
      <c r="D22" s="135"/>
      <c r="E22" s="135"/>
      <c r="F22" s="135"/>
      <c r="G22" s="135"/>
      <c r="H22" s="135"/>
      <c r="I22" s="135"/>
      <c r="N22" s="135"/>
      <c r="S22" s="135"/>
      <c r="X22" s="135"/>
      <c r="AC22" s="135"/>
      <c r="AH22" s="135"/>
      <c r="AM22" s="135"/>
      <c r="AN22" s="15"/>
      <c r="AR22" s="135"/>
      <c r="AS22" s="15"/>
      <c r="AU22" s="221"/>
      <c r="AW22" s="135"/>
      <c r="AX22" s="221"/>
      <c r="AZ22" s="221"/>
      <c r="BB22" s="135"/>
      <c r="BC22" s="221"/>
      <c r="BG22" s="135"/>
      <c r="BH22" s="221"/>
      <c r="BL22" s="135"/>
      <c r="BM22" s="221"/>
      <c r="BQ22" s="135"/>
      <c r="BR22" s="221"/>
      <c r="BS22" s="221"/>
      <c r="BV22" s="135"/>
      <c r="BW22" s="221"/>
      <c r="BX22" s="221"/>
      <c r="BZ22" s="221"/>
      <c r="CA22" s="135"/>
      <c r="CB22" s="221"/>
      <c r="CC22" s="221"/>
      <c r="CD22" s="221"/>
      <c r="CE22" s="221"/>
      <c r="CF22" s="135"/>
      <c r="CG22" s="221"/>
      <c r="CH22" s="221"/>
      <c r="CI22" s="221"/>
      <c r="CJ22" s="221"/>
      <c r="CK22" s="222"/>
      <c r="CL22" s="221">
        <f>data!CL115</f>
        <v>-617</v>
      </c>
      <c r="CM22" s="221">
        <f>data!CM115-CL22</f>
        <v>-1295</v>
      </c>
      <c r="CN22" s="221">
        <f>data!CN115-CM22-CL22</f>
        <v>704</v>
      </c>
      <c r="CO22" s="221">
        <f>data!CO115-CN22-CM22-CL22</f>
        <v>626</v>
      </c>
      <c r="CP22" s="222">
        <f t="shared" si="5"/>
        <v>-582</v>
      </c>
      <c r="CQ22" s="221">
        <f>data!CQ115</f>
        <v>-349</v>
      </c>
      <c r="CR22" s="221">
        <f>data!CR115-CQ22</f>
        <v>549</v>
      </c>
      <c r="CS22" s="221">
        <f>data!CS115-CR22-CQ22</f>
        <v>-367</v>
      </c>
      <c r="CT22" s="221">
        <f>data!CT115-CS22-CR22-CQ22</f>
        <v>165</v>
      </c>
      <c r="CU22" s="222">
        <f t="shared" si="6"/>
        <v>-2</v>
      </c>
      <c r="CV22" s="221">
        <f>data!CV115</f>
        <v>-293</v>
      </c>
      <c r="CW22" s="221">
        <f>data!CW115-CV22</f>
        <v>1404</v>
      </c>
      <c r="CX22" s="221">
        <f>data!CX115-CW22-CV22</f>
        <v>586</v>
      </c>
      <c r="CY22" s="221">
        <f>data!CY115-CX22-CW22-CV22</f>
        <v>539</v>
      </c>
      <c r="CZ22" s="222">
        <f t="shared" si="7"/>
        <v>2236</v>
      </c>
      <c r="DA22" s="221">
        <f>data!DA115</f>
        <v>-204</v>
      </c>
      <c r="DB22" s="221">
        <f>data!DB115-DA22</f>
        <v>182</v>
      </c>
      <c r="DC22" s="221">
        <f>data!DC115-DB22-DA22</f>
        <v>416</v>
      </c>
      <c r="DD22" s="221">
        <f>data!DD115-DC22-DB22-DA22</f>
        <v>-615</v>
      </c>
      <c r="DE22" s="222">
        <f t="shared" si="8"/>
        <v>-221</v>
      </c>
      <c r="DF22" s="221">
        <f>data!DF115</f>
        <v>111</v>
      </c>
      <c r="DG22" s="221">
        <f>data!DG115-DF22</f>
        <v>316</v>
      </c>
      <c r="DH22" s="221">
        <f>data!DH115-DG22-DF22</f>
        <v>133</v>
      </c>
      <c r="DI22" s="221">
        <f>data!DI115-DH22-DG22-DF22</f>
        <v>128</v>
      </c>
      <c r="DJ22" s="222">
        <f t="shared" si="9"/>
        <v>688</v>
      </c>
      <c r="DK22" s="221">
        <f>data!DK115</f>
        <v>706</v>
      </c>
      <c r="DL22" s="221">
        <f>data!DL115-DK22</f>
        <v>789</v>
      </c>
      <c r="DM22" s="248">
        <f>-BS!DL26+BS!DM26</f>
        <v>-2870.7884222222219</v>
      </c>
      <c r="DN22" s="248">
        <f>-BS!DM26+BS!DN26</f>
        <v>243.93458888888927</v>
      </c>
      <c r="DO22" s="222">
        <f t="shared" si="14"/>
        <v>-1131.8538333333327</v>
      </c>
      <c r="DP22" s="248">
        <f>-BS!DO26+BS!DP26</f>
        <v>-576.81676666666772</v>
      </c>
      <c r="DQ22" s="248">
        <f>-BS!DP26+BS!DQ26</f>
        <v>833.07393333333312</v>
      </c>
      <c r="DR22" s="248">
        <f>-BS!DQ26+BS!DR26</f>
        <v>255.72412533333591</v>
      </c>
      <c r="DS22" s="248">
        <f>-BS!DR26+BS!DS26</f>
        <v>288.76098847555295</v>
      </c>
      <c r="DT22" s="222">
        <f t="shared" si="11"/>
        <v>800.74228047555425</v>
      </c>
      <c r="DU22" s="152">
        <f>-BS!DT26+BS!DU26</f>
        <v>23.599224139731632</v>
      </c>
      <c r="DV22" s="152">
        <f>-BS!DU26+BS!DV26</f>
        <v>500.68087141586511</v>
      </c>
    </row>
    <row r="23" spans="2:126" s="131" customFormat="1">
      <c r="B23" s="318" t="s">
        <v>511</v>
      </c>
      <c r="C23" s="135">
        <f>data!C114</f>
        <v>0</v>
      </c>
      <c r="D23" s="135">
        <f>data!D114</f>
        <v>0</v>
      </c>
      <c r="E23" s="135">
        <f>data!E114</f>
        <v>0</v>
      </c>
      <c r="F23" s="135">
        <f>data!F114</f>
        <v>0</v>
      </c>
      <c r="G23" s="135">
        <f>data!G114</f>
        <v>0</v>
      </c>
      <c r="H23" s="135">
        <f>data!H114</f>
        <v>0</v>
      </c>
      <c r="I23" s="135">
        <f>data!I114</f>
        <v>0</v>
      </c>
      <c r="J23" s="131">
        <f>data!J114</f>
        <v>0</v>
      </c>
      <c r="K23" s="131">
        <f>data!K114-J23</f>
        <v>0</v>
      </c>
      <c r="L23" s="131">
        <f>data!L114-K23-J23</f>
        <v>0</v>
      </c>
      <c r="M23" s="131">
        <f>data!M114-L23-K23-J23</f>
        <v>0</v>
      </c>
      <c r="N23" s="135">
        <f>SUM(J23:M23)</f>
        <v>0</v>
      </c>
      <c r="O23" s="131">
        <f>data!O114</f>
        <v>0</v>
      </c>
      <c r="P23" s="131">
        <f>data!P114-O23</f>
        <v>0</v>
      </c>
      <c r="Q23" s="131">
        <f>data!Q114-P23-O23</f>
        <v>0</v>
      </c>
      <c r="R23" s="131">
        <f>data!R114-Q23-P23-O23</f>
        <v>0</v>
      </c>
      <c r="S23" s="135">
        <f>SUM(O23:R23)</f>
        <v>0</v>
      </c>
      <c r="T23" s="131">
        <f>data!T114</f>
        <v>0</v>
      </c>
      <c r="U23" s="131">
        <f>data!U114-T23</f>
        <v>0</v>
      </c>
      <c r="V23" s="131">
        <f>data!V114-U23-T23</f>
        <v>0</v>
      </c>
      <c r="W23" s="131">
        <f>data!W114-V23-U23-T23</f>
        <v>0</v>
      </c>
      <c r="X23" s="135">
        <f>SUM(T23:W23)</f>
        <v>0</v>
      </c>
      <c r="Y23" s="131">
        <f>data!Y114</f>
        <v>0</v>
      </c>
      <c r="Z23" s="131">
        <f>data!Z114-Y23</f>
        <v>0</v>
      </c>
      <c r="AA23" s="131">
        <f>data!AA114-Z23-Y23</f>
        <v>0</v>
      </c>
      <c r="AB23" s="131">
        <f>data!AB114-AA23-Z23-Y23</f>
        <v>0</v>
      </c>
      <c r="AC23" s="135">
        <f>SUM(Y23:AB23)</f>
        <v>0</v>
      </c>
      <c r="AD23" s="131">
        <f>data!AD114</f>
        <v>0</v>
      </c>
      <c r="AE23" s="131">
        <f>data!AE114-AD23</f>
        <v>0</v>
      </c>
      <c r="AF23" s="131">
        <f>data!AF114-AE23-AD23</f>
        <v>0</v>
      </c>
      <c r="AG23" s="131">
        <f>data!AG114-AF23-AE23-AD23</f>
        <v>0</v>
      </c>
      <c r="AH23" s="135">
        <f>SUM(AD23:AG23)</f>
        <v>0</v>
      </c>
      <c r="AI23" s="131">
        <f>data!AI114</f>
        <v>0</v>
      </c>
      <c r="AJ23" s="131">
        <f>data!AJ114-AI23</f>
        <v>0</v>
      </c>
      <c r="AK23" s="131">
        <f>data!AK114-AJ23-AI23</f>
        <v>0</v>
      </c>
      <c r="AL23" s="131">
        <f>data!AL114-AK23-AJ23-AI23</f>
        <v>0</v>
      </c>
      <c r="AM23" s="135">
        <f t="shared" si="12"/>
        <v>0</v>
      </c>
      <c r="AN23" s="15">
        <f>data!AN114</f>
        <v>0</v>
      </c>
      <c r="AO23" s="131">
        <f>data!AO114-AN23</f>
        <v>0</v>
      </c>
      <c r="AP23" s="131">
        <f>data!AP114-AO23-AN23</f>
        <v>0</v>
      </c>
      <c r="AQ23" s="131">
        <f>data!AQ114-AP23-AO23-AN23</f>
        <v>0</v>
      </c>
      <c r="AR23" s="135">
        <f t="shared" si="13"/>
        <v>0</v>
      </c>
      <c r="AS23" s="15">
        <f>data!AS114</f>
        <v>0</v>
      </c>
      <c r="AT23" s="131">
        <f>data!AT114-AS23</f>
        <v>0</v>
      </c>
      <c r="AU23" s="221">
        <f>data!AU114-AT23-AS23</f>
        <v>0</v>
      </c>
      <c r="AV23" s="131">
        <f>data!AV114-AU23-AT23-AS23</f>
        <v>0</v>
      </c>
      <c r="AW23" s="135">
        <f t="shared" si="16"/>
        <v>0</v>
      </c>
      <c r="AX23" s="221">
        <f>data!AX114</f>
        <v>0</v>
      </c>
      <c r="AY23" s="131">
        <f>data!AY114-AX23</f>
        <v>0</v>
      </c>
      <c r="AZ23" s="221">
        <f>data!AZ114-AY23-AX23</f>
        <v>0</v>
      </c>
      <c r="BA23" s="131">
        <f>data!BA114-AZ23-AY23-AX23</f>
        <v>0</v>
      </c>
      <c r="BB23" s="135"/>
      <c r="BC23" s="221"/>
      <c r="BG23" s="135"/>
      <c r="BH23" s="221"/>
      <c r="BL23" s="135"/>
      <c r="BM23" s="221"/>
      <c r="BQ23" s="135"/>
      <c r="BR23" s="221"/>
      <c r="BS23" s="221"/>
      <c r="BV23" s="135"/>
      <c r="BW23" s="221"/>
      <c r="BX23" s="221"/>
      <c r="BZ23" s="221"/>
      <c r="CA23" s="135"/>
      <c r="CB23" s="221"/>
      <c r="CC23" s="221"/>
      <c r="CE23" s="221"/>
      <c r="CF23" s="222"/>
      <c r="CG23" s="221"/>
      <c r="CH23" s="221"/>
      <c r="CJ23" s="221"/>
      <c r="CK23" s="222"/>
      <c r="CL23" s="221">
        <f>data!CL116</f>
        <v>-590</v>
      </c>
      <c r="CM23" s="221">
        <f>data!CM116-CL23</f>
        <v>15</v>
      </c>
      <c r="CN23" s="131">
        <f>data!CN116-CM23-CL23</f>
        <v>-672</v>
      </c>
      <c r="CO23" s="221">
        <f>data!CO116-CN23-CM23-CL23</f>
        <v>1000</v>
      </c>
      <c r="CP23" s="222">
        <f t="shared" ref="CP23" si="34">SUM(CL23:CO23)</f>
        <v>-247</v>
      </c>
      <c r="CQ23" s="221">
        <f>data!CQ116</f>
        <v>-425</v>
      </c>
      <c r="CR23" s="221">
        <f>data!CR116-CQ23</f>
        <v>-896</v>
      </c>
      <c r="CS23" s="131">
        <f>data!CS116-CR23-CQ23</f>
        <v>-188</v>
      </c>
      <c r="CT23" s="221">
        <f>data!CT116-CS23-CR23-CQ23</f>
        <v>457</v>
      </c>
      <c r="CU23" s="222">
        <f t="shared" si="6"/>
        <v>-1052</v>
      </c>
      <c r="CV23" s="221">
        <f>data!CV116</f>
        <v>173</v>
      </c>
      <c r="CW23" s="221">
        <f>data!CW116-CV23</f>
        <v>534</v>
      </c>
      <c r="CX23" s="131">
        <f>data!CX116-CW23-CV23</f>
        <v>520</v>
      </c>
      <c r="CY23" s="221">
        <f>data!CY116-CX23-CW23-CV23</f>
        <v>1121</v>
      </c>
      <c r="CZ23" s="222">
        <f t="shared" si="7"/>
        <v>2348</v>
      </c>
      <c r="DA23" s="221">
        <f>data!DA116</f>
        <v>205</v>
      </c>
      <c r="DB23" s="221">
        <f>data!DB116-DA23</f>
        <v>523</v>
      </c>
      <c r="DC23" s="131">
        <f>data!DC116-DB23-DA23</f>
        <v>221</v>
      </c>
      <c r="DD23" s="221">
        <f>data!DD116-DC23-DB23-DA23</f>
        <v>1984</v>
      </c>
      <c r="DE23" s="222">
        <f t="shared" si="8"/>
        <v>2933</v>
      </c>
      <c r="DF23" s="221">
        <f>data!DF116</f>
        <v>1095</v>
      </c>
      <c r="DG23" s="221">
        <f>data!DG116-DF23</f>
        <v>-419</v>
      </c>
      <c r="DH23" s="131">
        <f>data!DH116-DG23-DF23</f>
        <v>366</v>
      </c>
      <c r="DI23" s="221">
        <f>data!DI116-DH23-DG23-DF23</f>
        <v>-37</v>
      </c>
      <c r="DJ23" s="222">
        <f t="shared" si="9"/>
        <v>1005</v>
      </c>
      <c r="DK23" s="221">
        <f>data!DK116</f>
        <v>270</v>
      </c>
      <c r="DL23" s="221">
        <f>data!DL116-DK23</f>
        <v>383</v>
      </c>
      <c r="DM23" s="248">
        <f>-BS!DL27+BS!DM27</f>
        <v>0</v>
      </c>
      <c r="DN23" s="248">
        <f>-BS!DM27+BS!DN27</f>
        <v>0</v>
      </c>
      <c r="DO23" s="222">
        <f t="shared" ref="DO23:DO25" si="35">SUM(DK23:DN23)</f>
        <v>653</v>
      </c>
      <c r="DP23" s="248">
        <f>-BS!DO27+BS!DP27</f>
        <v>0</v>
      </c>
      <c r="DQ23" s="248">
        <f>-BS!DP27+BS!DQ27</f>
        <v>0</v>
      </c>
      <c r="DR23" s="248">
        <f>-BS!DQ27+BS!DR27</f>
        <v>0</v>
      </c>
      <c r="DS23" s="248">
        <f>-BS!DR27+BS!DS27</f>
        <v>0</v>
      </c>
      <c r="DT23" s="222">
        <f t="shared" ref="DT23:DT25" si="36">SUM(DP23:DS23)</f>
        <v>0</v>
      </c>
      <c r="DU23" s="152">
        <f>-BS!DT27+BS!DU27</f>
        <v>0</v>
      </c>
      <c r="DV23" s="152">
        <f>-BS!DU27+BS!DV27</f>
        <v>0</v>
      </c>
    </row>
    <row r="24" spans="2:126" s="131" customFormat="1">
      <c r="B24" s="397" t="s">
        <v>527</v>
      </c>
      <c r="C24" s="135"/>
      <c r="D24" s="135"/>
      <c r="E24" s="135"/>
      <c r="F24" s="135"/>
      <c r="G24" s="135"/>
      <c r="H24" s="135"/>
      <c r="I24" s="135"/>
      <c r="N24" s="135"/>
      <c r="S24" s="135"/>
      <c r="X24" s="135"/>
      <c r="AC24" s="135"/>
      <c r="AH24" s="135"/>
      <c r="AM24" s="135"/>
      <c r="AN24" s="15"/>
      <c r="AR24" s="135"/>
      <c r="AS24" s="15"/>
      <c r="AU24" s="221"/>
      <c r="AW24" s="135"/>
      <c r="AX24" s="221"/>
      <c r="AZ24" s="221"/>
      <c r="BB24" s="135"/>
      <c r="BC24" s="221"/>
      <c r="BG24" s="135"/>
      <c r="BH24" s="221"/>
      <c r="BL24" s="135"/>
      <c r="BM24" s="221"/>
      <c r="BQ24" s="135"/>
      <c r="BR24" s="221"/>
      <c r="BS24" s="221"/>
      <c r="BV24" s="135"/>
      <c r="BW24" s="221"/>
      <c r="BX24" s="221"/>
      <c r="BZ24" s="221"/>
      <c r="CA24" s="135"/>
      <c r="CB24" s="221"/>
      <c r="CC24" s="221"/>
      <c r="CD24" s="221"/>
      <c r="CE24" s="221"/>
      <c r="CF24" s="222"/>
      <c r="CG24" s="221"/>
      <c r="CH24" s="221"/>
      <c r="CI24" s="221"/>
      <c r="CJ24" s="221"/>
      <c r="CK24" s="222"/>
      <c r="CL24" s="221">
        <f>data!CL118</f>
        <v>686</v>
      </c>
      <c r="CM24" s="221">
        <f>data!CM118-CL24</f>
        <v>340</v>
      </c>
      <c r="CN24" s="221">
        <f>data!CN118-CM24-CL24</f>
        <v>790</v>
      </c>
      <c r="CO24" s="221">
        <f>data!CO118-CN24-CM24-CL24</f>
        <v>727</v>
      </c>
      <c r="CP24" s="222">
        <f t="shared" ref="CP24" si="37">SUM(CL24:CO24)</f>
        <v>2543</v>
      </c>
      <c r="CQ24" s="221">
        <f>data!CQ118</f>
        <v>680</v>
      </c>
      <c r="CR24" s="221">
        <f>data!CR118-CQ24</f>
        <v>870</v>
      </c>
      <c r="CS24" s="221">
        <f>data!CS118-CR24-CQ24</f>
        <v>877</v>
      </c>
      <c r="CT24" s="221">
        <f>data!CT118-CS24-CR24-CQ24</f>
        <v>17</v>
      </c>
      <c r="CU24" s="222">
        <f t="shared" si="6"/>
        <v>2444</v>
      </c>
      <c r="CV24" s="221">
        <f>data!CV118</f>
        <v>369</v>
      </c>
      <c r="CW24" s="221">
        <f>data!CW118-CV24</f>
        <v>59</v>
      </c>
      <c r="CX24" s="221">
        <f>data!CX118-CW24-CV24</f>
        <v>610</v>
      </c>
      <c r="CY24" s="221">
        <f>data!CY118-CX24-CW24-CV24</f>
        <v>835</v>
      </c>
      <c r="CZ24" s="222">
        <f t="shared" si="7"/>
        <v>1873</v>
      </c>
      <c r="DA24" s="221">
        <f>data!DA118</f>
        <v>-413</v>
      </c>
      <c r="DB24" s="221">
        <f>data!DB118-DA24</f>
        <v>163</v>
      </c>
      <c r="DC24" s="221">
        <f>data!DC118-DB24-DA24</f>
        <v>-65</v>
      </c>
      <c r="DD24" s="221">
        <f>data!DD118-DC24-DB24-DA24</f>
        <v>-76</v>
      </c>
      <c r="DE24" s="222">
        <f t="shared" si="8"/>
        <v>-391</v>
      </c>
      <c r="DF24" s="221">
        <f>data!DF118</f>
        <v>-32</v>
      </c>
      <c r="DG24" s="221">
        <f>data!DG118-DF24</f>
        <v>-649</v>
      </c>
      <c r="DH24" s="221">
        <f>data!DH118-DG24-DF24</f>
        <v>-405</v>
      </c>
      <c r="DI24" s="221">
        <f>data!DI118-DH24-DG24-DF24</f>
        <v>-21</v>
      </c>
      <c r="DJ24" s="222">
        <f t="shared" si="9"/>
        <v>-1107</v>
      </c>
      <c r="DK24" s="221">
        <f>data!DK118</f>
        <v>-34</v>
      </c>
      <c r="DL24" s="221">
        <f>data!DL118-DK24</f>
        <v>-102</v>
      </c>
      <c r="DM24" s="248">
        <f>BS!DL13-BS!DM13-BS!DL29+BS!DM29</f>
        <v>0</v>
      </c>
      <c r="DN24" s="248">
        <f>BS!DM13-BS!DN13-BS!DM29+BS!DN29</f>
        <v>0</v>
      </c>
      <c r="DO24" s="222">
        <f t="shared" si="35"/>
        <v>-136</v>
      </c>
      <c r="DP24" s="248">
        <f>BS!DO13-BS!DP13-BS!DO29+BS!DP29</f>
        <v>0</v>
      </c>
      <c r="DQ24" s="248">
        <f>BS!DP13-BS!DQ13-BS!DP29+BS!DQ29</f>
        <v>0</v>
      </c>
      <c r="DR24" s="248">
        <f>BS!DQ13-BS!DR13-BS!DQ29+BS!DR29</f>
        <v>0</v>
      </c>
      <c r="DS24" s="248">
        <f>BS!DR13-BS!DS13-BS!DR29+BS!DS29</f>
        <v>0</v>
      </c>
      <c r="DT24" s="222">
        <f t="shared" si="36"/>
        <v>0</v>
      </c>
      <c r="DU24" s="222">
        <f>BS!DT13-BS!DU13-BS!DT29+BS!DU29</f>
        <v>0</v>
      </c>
      <c r="DV24" s="222">
        <f>BS!DU13-BS!DV13-BS!DU29+BS!DV29</f>
        <v>0</v>
      </c>
    </row>
    <row r="25" spans="2:126" s="131" customFormat="1" ht="12">
      <c r="B25" s="249" t="s">
        <v>203</v>
      </c>
      <c r="C25" s="250" t="e">
        <f t="shared" ref="C25:AL25" si="38">SUM(C6:C20)</f>
        <v>#REF!</v>
      </c>
      <c r="D25" s="250" t="e">
        <f t="shared" si="38"/>
        <v>#REF!</v>
      </c>
      <c r="E25" s="250" t="e">
        <f t="shared" si="38"/>
        <v>#REF!</v>
      </c>
      <c r="F25" s="250" t="e">
        <f t="shared" si="38"/>
        <v>#REF!</v>
      </c>
      <c r="G25" s="250" t="e">
        <f t="shared" si="38"/>
        <v>#REF!</v>
      </c>
      <c r="H25" s="250" t="e">
        <f t="shared" si="38"/>
        <v>#REF!</v>
      </c>
      <c r="I25" s="250" t="e">
        <f t="shared" si="38"/>
        <v>#REF!</v>
      </c>
      <c r="J25" s="249" t="e">
        <f t="shared" si="38"/>
        <v>#REF!</v>
      </c>
      <c r="K25" s="249" t="e">
        <f t="shared" si="38"/>
        <v>#REF!</v>
      </c>
      <c r="L25" s="249" t="e">
        <f t="shared" si="38"/>
        <v>#REF!</v>
      </c>
      <c r="M25" s="249" t="e">
        <f t="shared" si="38"/>
        <v>#REF!</v>
      </c>
      <c r="N25" s="250" t="e">
        <f t="shared" si="38"/>
        <v>#REF!</v>
      </c>
      <c r="O25" s="249" t="e">
        <f t="shared" si="38"/>
        <v>#REF!</v>
      </c>
      <c r="P25" s="249" t="e">
        <f t="shared" si="38"/>
        <v>#REF!</v>
      </c>
      <c r="Q25" s="249" t="e">
        <f t="shared" si="38"/>
        <v>#REF!</v>
      </c>
      <c r="R25" s="249" t="e">
        <f t="shared" si="38"/>
        <v>#REF!</v>
      </c>
      <c r="S25" s="250" t="e">
        <f t="shared" si="38"/>
        <v>#REF!</v>
      </c>
      <c r="T25" s="249" t="e">
        <f t="shared" si="38"/>
        <v>#REF!</v>
      </c>
      <c r="U25" s="249" t="e">
        <f t="shared" si="38"/>
        <v>#REF!</v>
      </c>
      <c r="V25" s="249" t="e">
        <f t="shared" si="38"/>
        <v>#REF!</v>
      </c>
      <c r="W25" s="249" t="e">
        <f t="shared" si="38"/>
        <v>#REF!</v>
      </c>
      <c r="X25" s="250" t="e">
        <f t="shared" si="38"/>
        <v>#REF!</v>
      </c>
      <c r="Y25" s="249" t="e">
        <f t="shared" si="38"/>
        <v>#REF!</v>
      </c>
      <c r="Z25" s="249" t="e">
        <f t="shared" si="38"/>
        <v>#REF!</v>
      </c>
      <c r="AA25" s="249" t="e">
        <f t="shared" si="38"/>
        <v>#REF!</v>
      </c>
      <c r="AB25" s="249" t="e">
        <f t="shared" si="38"/>
        <v>#REF!</v>
      </c>
      <c r="AC25" s="250" t="e">
        <f t="shared" si="38"/>
        <v>#REF!</v>
      </c>
      <c r="AD25" s="249" t="e">
        <f t="shared" si="38"/>
        <v>#REF!</v>
      </c>
      <c r="AE25" s="249" t="e">
        <f t="shared" si="38"/>
        <v>#REF!</v>
      </c>
      <c r="AF25" s="249" t="e">
        <f t="shared" si="38"/>
        <v>#REF!</v>
      </c>
      <c r="AG25" s="249" t="e">
        <f t="shared" si="38"/>
        <v>#REF!</v>
      </c>
      <c r="AH25" s="250" t="e">
        <f t="shared" si="38"/>
        <v>#REF!</v>
      </c>
      <c r="AI25" s="249" t="e">
        <f t="shared" si="38"/>
        <v>#REF!</v>
      </c>
      <c r="AJ25" s="249" t="e">
        <f t="shared" si="38"/>
        <v>#REF!</v>
      </c>
      <c r="AK25" s="249" t="e">
        <f t="shared" si="38"/>
        <v>#REF!</v>
      </c>
      <c r="AL25" s="249" t="e">
        <f t="shared" si="38"/>
        <v>#REF!</v>
      </c>
      <c r="AM25" s="250" t="e">
        <f>SUM(AI25:AL25)</f>
        <v>#REF!</v>
      </c>
      <c r="AN25" s="249" t="e">
        <f>SUM(AN6:AN20)</f>
        <v>#REF!</v>
      </c>
      <c r="AO25" s="249" t="e">
        <f>SUM(AO6:AO20)</f>
        <v>#REF!</v>
      </c>
      <c r="AP25" s="249" t="e">
        <f>SUM(AP6:AP20)</f>
        <v>#REF!</v>
      </c>
      <c r="AQ25" s="249" t="e">
        <f>SUM(AQ6:AQ20)</f>
        <v>#REF!</v>
      </c>
      <c r="AR25" s="250" t="e">
        <f t="shared" si="13"/>
        <v>#REF!</v>
      </c>
      <c r="AS25" s="249" t="e">
        <f>SUM(AS6:AS20)</f>
        <v>#REF!</v>
      </c>
      <c r="AT25" s="249" t="e">
        <f>SUM(AT6:AT20)</f>
        <v>#REF!</v>
      </c>
      <c r="AU25" s="234" t="e">
        <f>SUM(AU6:AU20)</f>
        <v>#REF!</v>
      </c>
      <c r="AV25" s="249" t="e">
        <f>SUM(AV6:AV20)</f>
        <v>#REF!</v>
      </c>
      <c r="AW25" s="250" t="e">
        <f t="shared" si="16"/>
        <v>#REF!</v>
      </c>
      <c r="AX25" s="234" t="e">
        <f>SUM(AX6:AX20)</f>
        <v>#REF!</v>
      </c>
      <c r="AY25" s="249" t="e">
        <f>SUM(AY6:AY20)</f>
        <v>#REF!</v>
      </c>
      <c r="AZ25" s="234" t="e">
        <f>SUM(AZ6:AZ20)</f>
        <v>#REF!</v>
      </c>
      <c r="BA25" s="249" t="e">
        <f>SUM(BA6:BA20)</f>
        <v>#REF!</v>
      </c>
      <c r="BB25" s="250"/>
      <c r="BC25" s="234"/>
      <c r="BD25" s="249"/>
      <c r="BE25" s="249"/>
      <c r="BF25" s="249"/>
      <c r="BG25" s="236"/>
      <c r="BH25" s="234"/>
      <c r="BI25" s="249"/>
      <c r="BJ25" s="249"/>
      <c r="BK25" s="249"/>
      <c r="BL25" s="236"/>
      <c r="BM25" s="234"/>
      <c r="BN25" s="249"/>
      <c r="BO25" s="249"/>
      <c r="BP25" s="249"/>
      <c r="BQ25" s="236"/>
      <c r="BR25" s="234"/>
      <c r="BS25" s="234"/>
      <c r="BT25" s="249"/>
      <c r="BU25" s="249"/>
      <c r="BV25" s="236"/>
      <c r="BW25" s="234"/>
      <c r="BX25" s="234"/>
      <c r="BY25" s="249"/>
      <c r="BZ25" s="234"/>
      <c r="CA25" s="236"/>
      <c r="CB25" s="234"/>
      <c r="CC25" s="234"/>
      <c r="CD25" s="249"/>
      <c r="CE25" s="234"/>
      <c r="CF25" s="236"/>
      <c r="CG25" s="234"/>
      <c r="CH25" s="234"/>
      <c r="CI25" s="249"/>
      <c r="CJ25" s="234"/>
      <c r="CK25" s="236"/>
      <c r="CL25" s="234">
        <f t="shared" ref="CL25:DD25" si="39">SUM(CL6:CL18,CL24)</f>
        <v>-233</v>
      </c>
      <c r="CM25" s="234">
        <f t="shared" si="39"/>
        <v>-1162</v>
      </c>
      <c r="CN25" s="234">
        <f t="shared" si="39"/>
        <v>1333</v>
      </c>
      <c r="CO25" s="234">
        <f t="shared" si="39"/>
        <v>3628</v>
      </c>
      <c r="CP25" s="236">
        <f t="shared" si="39"/>
        <v>3566</v>
      </c>
      <c r="CQ25" s="234">
        <f t="shared" si="39"/>
        <v>-3211</v>
      </c>
      <c r="CR25" s="234">
        <f t="shared" si="39"/>
        <v>1290</v>
      </c>
      <c r="CS25" s="234">
        <f t="shared" si="39"/>
        <v>2657</v>
      </c>
      <c r="CT25" s="234">
        <f t="shared" si="39"/>
        <v>2586</v>
      </c>
      <c r="CU25" s="236">
        <f t="shared" si="39"/>
        <v>3322</v>
      </c>
      <c r="CV25" s="234">
        <f t="shared" si="39"/>
        <v>-951</v>
      </c>
      <c r="CW25" s="234">
        <f t="shared" si="39"/>
        <v>251</v>
      </c>
      <c r="CX25" s="234">
        <f t="shared" si="39"/>
        <v>1683</v>
      </c>
      <c r="CY25" s="234">
        <f t="shared" si="39"/>
        <v>2742</v>
      </c>
      <c r="CZ25" s="236">
        <f t="shared" si="39"/>
        <v>3725</v>
      </c>
      <c r="DA25" s="234">
        <f t="shared" si="39"/>
        <v>1152</v>
      </c>
      <c r="DB25" s="234">
        <f t="shared" si="39"/>
        <v>281</v>
      </c>
      <c r="DC25" s="234">
        <f t="shared" si="39"/>
        <v>1902</v>
      </c>
      <c r="DD25" s="234">
        <f t="shared" si="39"/>
        <v>2335</v>
      </c>
      <c r="DE25" s="236">
        <f>SUM(DE6:DE18,DE24)</f>
        <v>5670</v>
      </c>
      <c r="DF25" s="234">
        <f t="shared" ref="DF25:DI25" si="40">SUM(DF6:DF18,DF24)</f>
        <v>993</v>
      </c>
      <c r="DG25" s="234">
        <f t="shared" si="40"/>
        <v>912</v>
      </c>
      <c r="DH25" s="234">
        <f t="shared" si="40"/>
        <v>1508</v>
      </c>
      <c r="DI25" s="234">
        <f t="shared" si="40"/>
        <v>1788</v>
      </c>
      <c r="DJ25" s="236">
        <f>SUM(DJ6:DJ18,DJ24)</f>
        <v>5201</v>
      </c>
      <c r="DK25" s="234">
        <f t="shared" ref="DK25:DL25" si="41">SUM(DK6:DK18,DK24)</f>
        <v>1509</v>
      </c>
      <c r="DL25" s="234">
        <f t="shared" si="41"/>
        <v>2246</v>
      </c>
      <c r="DM25" s="254">
        <v>1950</v>
      </c>
      <c r="DN25" s="254">
        <v>2270</v>
      </c>
      <c r="DO25" s="236">
        <f t="shared" si="35"/>
        <v>7975</v>
      </c>
      <c r="DP25" s="254">
        <v>1590</v>
      </c>
      <c r="DQ25" s="254">
        <v>1250</v>
      </c>
      <c r="DR25" s="254">
        <v>2200</v>
      </c>
      <c r="DS25" s="254">
        <v>3700</v>
      </c>
      <c r="DT25" s="236">
        <f t="shared" si="36"/>
        <v>8740</v>
      </c>
      <c r="DU25" s="913">
        <v>9500</v>
      </c>
      <c r="DV25" s="913">
        <v>10250</v>
      </c>
    </row>
    <row r="26" spans="2:126" s="131" customFormat="1" ht="12">
      <c r="B26" s="131" t="s">
        <v>512</v>
      </c>
      <c r="C26" s="135">
        <f>data!C120</f>
        <v>0</v>
      </c>
      <c r="D26" s="135">
        <f>data!D120</f>
        <v>0</v>
      </c>
      <c r="E26" s="135">
        <f>data!E120</f>
        <v>0</v>
      </c>
      <c r="F26" s="135">
        <f>data!F120</f>
        <v>0</v>
      </c>
      <c r="G26" s="135">
        <f>data!G120</f>
        <v>0</v>
      </c>
      <c r="H26" s="135">
        <f>data!H120</f>
        <v>0</v>
      </c>
      <c r="I26" s="135">
        <f>data!I120</f>
        <v>0</v>
      </c>
      <c r="J26" s="131">
        <f>data!J120</f>
        <v>0</v>
      </c>
      <c r="K26" s="131">
        <f>data!K120-J26</f>
        <v>0</v>
      </c>
      <c r="L26" s="131">
        <f>data!L120-K26-J26</f>
        <v>0</v>
      </c>
      <c r="M26" s="131">
        <f>data!M120-L26-K26-J26</f>
        <v>0</v>
      </c>
      <c r="N26" s="135">
        <f>SUM(J26:M26)</f>
        <v>0</v>
      </c>
      <c r="O26" s="131">
        <f>data!O120</f>
        <v>0</v>
      </c>
      <c r="P26" s="131">
        <f>data!P120-O26</f>
        <v>0</v>
      </c>
      <c r="Q26" s="131">
        <f>data!Q120-P26-O26</f>
        <v>0</v>
      </c>
      <c r="R26" s="131">
        <f>data!R120-Q26-P26-O26</f>
        <v>0</v>
      </c>
      <c r="S26" s="135">
        <f>SUM(O26:R26)</f>
        <v>0</v>
      </c>
      <c r="T26" s="131">
        <f>data!T120</f>
        <v>0</v>
      </c>
      <c r="U26" s="131">
        <f>data!U120-T26</f>
        <v>0</v>
      </c>
      <c r="V26" s="131">
        <f>data!V120-U26-T26</f>
        <v>0</v>
      </c>
      <c r="W26" s="131">
        <f>data!W120-V26-U26-T26</f>
        <v>0</v>
      </c>
      <c r="X26" s="135">
        <f>SUM(T26:W26)</f>
        <v>0</v>
      </c>
      <c r="Y26" s="131">
        <f>data!Y120</f>
        <v>0</v>
      </c>
      <c r="Z26" s="131">
        <f>data!Z120-Y26</f>
        <v>0</v>
      </c>
      <c r="AA26" s="131">
        <f>data!AA120-Z26-Y26</f>
        <v>0</v>
      </c>
      <c r="AB26" s="131">
        <f>data!AB120-AA26-Z26-Y26</f>
        <v>0</v>
      </c>
      <c r="AC26" s="135">
        <f>SUM(Y26:AB26)</f>
        <v>0</v>
      </c>
      <c r="AD26" s="131">
        <f>data!AD120</f>
        <v>0</v>
      </c>
      <c r="AE26" s="131">
        <f>data!AE120-AD26</f>
        <v>0</v>
      </c>
      <c r="AF26" s="131">
        <f>data!AF120-AE26-AD26</f>
        <v>0</v>
      </c>
      <c r="AG26" s="131">
        <f>data!AG120-AF26-AE26-AD26</f>
        <v>0</v>
      </c>
      <c r="AH26" s="135">
        <f>SUM(AD26:AG26)</f>
        <v>0</v>
      </c>
      <c r="AI26" s="131">
        <f>data!AI120</f>
        <v>0</v>
      </c>
      <c r="AJ26" s="131">
        <f>data!AJ120-AI26</f>
        <v>0</v>
      </c>
      <c r="AK26" s="131">
        <f>data!AK120-AJ26-AI26</f>
        <v>0</v>
      </c>
      <c r="AL26" s="131">
        <f>data!AL120-AK26-AJ26-AI26</f>
        <v>0</v>
      </c>
      <c r="AM26" s="135">
        <f t="shared" si="12"/>
        <v>0</v>
      </c>
      <c r="AN26" s="15">
        <f>data!AN120</f>
        <v>0</v>
      </c>
      <c r="AO26" s="131">
        <f>data!AO120-AN26</f>
        <v>0</v>
      </c>
      <c r="AP26" s="131">
        <f>data!AP120-AO26-AN26</f>
        <v>0</v>
      </c>
      <c r="AQ26" s="131">
        <f>data!AQ120-AP26-AO26-AN26</f>
        <v>0</v>
      </c>
      <c r="AR26" s="135">
        <f t="shared" si="13"/>
        <v>0</v>
      </c>
      <c r="AS26" s="15">
        <f>data!AS120</f>
        <v>0</v>
      </c>
      <c r="AT26" s="131">
        <f>data!AT120-AS26</f>
        <v>0</v>
      </c>
      <c r="AU26" s="131">
        <f>data!AU120-AT26-AS26</f>
        <v>0</v>
      </c>
      <c r="AV26" s="131">
        <f>data!AV120-AU26-AT26-AS26</f>
        <v>0</v>
      </c>
      <c r="AW26" s="135">
        <f t="shared" si="15"/>
        <v>0</v>
      </c>
      <c r="AX26" s="221">
        <f>data!AX120</f>
        <v>0</v>
      </c>
      <c r="AY26" s="131">
        <f>data!AY120-AX26</f>
        <v>0</v>
      </c>
      <c r="AZ26" s="131">
        <f>data!AZ120-AY26-AX26</f>
        <v>0</v>
      </c>
      <c r="BA26" s="131">
        <f>data!BA120-AZ26-AY26-AX26</f>
        <v>0</v>
      </c>
      <c r="BB26" s="135"/>
      <c r="BC26" s="221"/>
      <c r="BE26" s="221"/>
      <c r="BG26" s="135"/>
      <c r="BH26" s="221"/>
      <c r="BJ26" s="221"/>
      <c r="BL26" s="135"/>
      <c r="BM26" s="221"/>
      <c r="BO26" s="221"/>
      <c r="BQ26" s="135"/>
      <c r="BR26" s="221"/>
      <c r="BS26" s="221"/>
      <c r="BT26" s="221"/>
      <c r="BV26" s="135"/>
      <c r="BW26" s="221"/>
      <c r="BX26" s="221"/>
      <c r="BY26" s="221"/>
      <c r="BZ26" s="221"/>
      <c r="CA26" s="135"/>
      <c r="CB26" s="221"/>
      <c r="CC26" s="221"/>
      <c r="CD26" s="221"/>
      <c r="CE26" s="221"/>
      <c r="CF26" s="135"/>
      <c r="CG26" s="221"/>
      <c r="CH26" s="221"/>
      <c r="CI26" s="221"/>
      <c r="CJ26" s="221"/>
      <c r="CK26" s="222"/>
      <c r="CL26" s="221">
        <f>data!CL120</f>
        <v>-504</v>
      </c>
      <c r="CM26" s="221">
        <f>data!CM120-CL26</f>
        <v>-498</v>
      </c>
      <c r="CN26" s="216">
        <f>data!CN120-CM26-CL26</f>
        <v>-300</v>
      </c>
      <c r="CO26" s="221">
        <f>data!CO120-CN26-CM26-CL26</f>
        <v>-276</v>
      </c>
      <c r="CP26" s="222">
        <f>SUM(CL26:CO26)</f>
        <v>-1578</v>
      </c>
      <c r="CQ26" s="221">
        <f>data!CQ120</f>
        <v>-332</v>
      </c>
      <c r="CR26" s="221">
        <f>data!CR120-CQ26</f>
        <v>-267</v>
      </c>
      <c r="CS26" s="221">
        <f>data!CS120-CR26-CQ26</f>
        <v>-296</v>
      </c>
      <c r="CT26" s="221">
        <f>data!CT120-CS26-CR26-CQ26</f>
        <v>-355</v>
      </c>
      <c r="CU26" s="222">
        <f>SUM(CQ26:CT26)</f>
        <v>-1250</v>
      </c>
      <c r="CV26" s="221">
        <f>data!CV120</f>
        <v>-239</v>
      </c>
      <c r="CW26" s="221">
        <f>data!CW120-CV26</f>
        <v>-310</v>
      </c>
      <c r="CX26" s="221">
        <f>data!CX120-CW26-CV26</f>
        <v>-252</v>
      </c>
      <c r="CY26" s="221">
        <f>data!CY120-CX26-CW26-CV26</f>
        <v>-373</v>
      </c>
      <c r="CZ26" s="222">
        <f>SUM(CV26:CY26)</f>
        <v>-1174</v>
      </c>
      <c r="DA26" s="221">
        <f>data!DA120</f>
        <v>-279</v>
      </c>
      <c r="DB26" s="221">
        <f>data!DB120-DA26</f>
        <v>-384</v>
      </c>
      <c r="DC26" s="221">
        <f>data!DC120-DB26-DA26</f>
        <v>-402</v>
      </c>
      <c r="DD26" s="221">
        <f>data!DD120-DC26-DB26-DA26</f>
        <v>-530</v>
      </c>
      <c r="DE26" s="222">
        <f>SUM(DA26:DD26)</f>
        <v>-1595</v>
      </c>
      <c r="DF26" s="221">
        <f>data!DF120</f>
        <v>-421</v>
      </c>
      <c r="DG26" s="221">
        <f>data!DG120-DF26</f>
        <v>-78</v>
      </c>
      <c r="DH26" s="221">
        <f>data!DH120-DG26-DF26</f>
        <v>-266</v>
      </c>
      <c r="DI26" s="221">
        <f>data!DI120-DH26-DG26-DF26</f>
        <v>-267</v>
      </c>
      <c r="DJ26" s="222">
        <f>SUM(DF26:DI26)</f>
        <v>-1032</v>
      </c>
      <c r="DK26" s="221">
        <f>data!DK120</f>
        <v>-208</v>
      </c>
      <c r="DL26" s="221">
        <f>data!DL120-DK26</f>
        <v>-327</v>
      </c>
      <c r="DM26" s="246">
        <v>-320</v>
      </c>
      <c r="DN26" s="246">
        <v>-350</v>
      </c>
      <c r="DO26" s="465">
        <f>SUM(DK26:DN26)</f>
        <v>-1205</v>
      </c>
      <c r="DP26" s="246">
        <v>-330</v>
      </c>
      <c r="DQ26" s="246">
        <v>-350</v>
      </c>
      <c r="DR26" s="246">
        <v>-350</v>
      </c>
      <c r="DS26" s="246">
        <v>-350</v>
      </c>
      <c r="DT26" s="465">
        <f>SUM(DP26:DS26)</f>
        <v>-1380</v>
      </c>
      <c r="DU26" s="441">
        <v>-1400</v>
      </c>
      <c r="DV26" s="441">
        <v>-1450</v>
      </c>
    </row>
    <row r="27" spans="2:126" s="131" customFormat="1" ht="12">
      <c r="B27" s="131" t="s">
        <v>513</v>
      </c>
      <c r="C27" s="135">
        <f>data!C121</f>
        <v>0</v>
      </c>
      <c r="D27" s="135">
        <f>data!D121</f>
        <v>0</v>
      </c>
      <c r="E27" s="135">
        <f>data!E121</f>
        <v>0</v>
      </c>
      <c r="F27" s="135">
        <f>data!F121</f>
        <v>0</v>
      </c>
      <c r="G27" s="135">
        <f>data!G121</f>
        <v>0</v>
      </c>
      <c r="H27" s="135">
        <f>data!H121</f>
        <v>0</v>
      </c>
      <c r="I27" s="135">
        <f>data!I121</f>
        <v>0</v>
      </c>
      <c r="J27" s="131">
        <f>data!J121</f>
        <v>0</v>
      </c>
      <c r="K27" s="131">
        <f>data!K121-J27</f>
        <v>0</v>
      </c>
      <c r="L27" s="131">
        <f>data!L121-K27-J27</f>
        <v>0</v>
      </c>
      <c r="M27" s="131">
        <f>data!M121-L27-K27-J27</f>
        <v>0</v>
      </c>
      <c r="N27" s="135">
        <f>SUM(J27:M27)</f>
        <v>0</v>
      </c>
      <c r="O27" s="131">
        <f>data!O121</f>
        <v>0</v>
      </c>
      <c r="P27" s="131">
        <f>data!P121-O27</f>
        <v>0</v>
      </c>
      <c r="Q27" s="131">
        <f>data!Q121-P27-O27</f>
        <v>0</v>
      </c>
      <c r="R27" s="131">
        <f>data!R121-Q27-P27-O27</f>
        <v>0</v>
      </c>
      <c r="S27" s="135">
        <f>SUM(O27:R27)</f>
        <v>0</v>
      </c>
      <c r="T27" s="131">
        <f>data!T121</f>
        <v>0</v>
      </c>
      <c r="U27" s="131">
        <f>data!U121-T27</f>
        <v>0</v>
      </c>
      <c r="V27" s="131">
        <f>data!V121-U27-T27</f>
        <v>0</v>
      </c>
      <c r="W27" s="131">
        <f>data!W121-V27-U27-T27</f>
        <v>0</v>
      </c>
      <c r="X27" s="135">
        <f>SUM(T27:W27)</f>
        <v>0</v>
      </c>
      <c r="Y27" s="131">
        <f>data!Y121</f>
        <v>0</v>
      </c>
      <c r="Z27" s="131">
        <f>data!Z121-Y27</f>
        <v>0</v>
      </c>
      <c r="AA27" s="131">
        <f>data!AA121-Z27-Y27</f>
        <v>0</v>
      </c>
      <c r="AB27" s="131">
        <f>data!AB121-AA27-Z27-Y27</f>
        <v>0</v>
      </c>
      <c r="AC27" s="135">
        <f>SUM(Y27:AB27)</f>
        <v>0</v>
      </c>
      <c r="AD27" s="131">
        <f>data!AD121</f>
        <v>0</v>
      </c>
      <c r="AE27" s="131">
        <f>data!AE121-AD27</f>
        <v>0</v>
      </c>
      <c r="AF27" s="131">
        <f>data!AF121-AE27-AD27</f>
        <v>0</v>
      </c>
      <c r="AG27" s="131">
        <f>data!AG121-AF27-AE27-AD27</f>
        <v>0</v>
      </c>
      <c r="AH27" s="135">
        <f>SUM(AD27:AG27)</f>
        <v>0</v>
      </c>
      <c r="AI27" s="131">
        <f>data!AI121</f>
        <v>0</v>
      </c>
      <c r="AJ27" s="131">
        <f>data!AJ121-AI27</f>
        <v>0</v>
      </c>
      <c r="AK27" s="131">
        <f>data!AK121-AJ27-AI27</f>
        <v>0</v>
      </c>
      <c r="AL27" s="131">
        <f>data!AL121-AK27-AJ27-AI27</f>
        <v>0</v>
      </c>
      <c r="AM27" s="135">
        <f t="shared" si="12"/>
        <v>0</v>
      </c>
      <c r="AN27" s="15">
        <f>data!AN121</f>
        <v>0</v>
      </c>
      <c r="AO27" s="131">
        <f>data!AO121-AN27</f>
        <v>0</v>
      </c>
      <c r="AP27" s="131">
        <f>data!AP121-AO27-AN27</f>
        <v>0</v>
      </c>
      <c r="AQ27" s="131">
        <f>data!AQ121-AP27-AO27-AN27</f>
        <v>0</v>
      </c>
      <c r="AR27" s="135">
        <f t="shared" si="13"/>
        <v>0</v>
      </c>
      <c r="AS27" s="15">
        <f>data!AS121</f>
        <v>0</v>
      </c>
      <c r="AT27" s="131">
        <f>data!AT121-AS27</f>
        <v>0</v>
      </c>
      <c r="AU27" s="131">
        <f>data!AU121-AT27-AS27</f>
        <v>0</v>
      </c>
      <c r="AV27" s="131">
        <f>data!AV121-AU27-AT27-AS27</f>
        <v>0</v>
      </c>
      <c r="AW27" s="135">
        <f t="shared" si="15"/>
        <v>0</v>
      </c>
      <c r="AX27" s="221">
        <f>data!AX121</f>
        <v>0</v>
      </c>
      <c r="AY27" s="131">
        <f>data!AY121-AX27</f>
        <v>0</v>
      </c>
      <c r="AZ27" s="131">
        <f>data!AZ121-AY27-AX27</f>
        <v>0</v>
      </c>
      <c r="BA27" s="131">
        <f>data!BA121-AZ27-AY27-AX27</f>
        <v>0</v>
      </c>
      <c r="BB27" s="135"/>
      <c r="BC27" s="221"/>
      <c r="BE27" s="221"/>
      <c r="BG27" s="135"/>
      <c r="BH27" s="221"/>
      <c r="BJ27" s="221"/>
      <c r="BL27" s="135"/>
      <c r="BM27" s="221"/>
      <c r="BO27" s="221"/>
      <c r="BQ27" s="135"/>
      <c r="BR27" s="221"/>
      <c r="BS27" s="221"/>
      <c r="BT27" s="221"/>
      <c r="BV27" s="135"/>
      <c r="BW27" s="221"/>
      <c r="BX27" s="221"/>
      <c r="BY27" s="221"/>
      <c r="BZ27" s="221"/>
      <c r="CA27" s="135"/>
      <c r="CB27" s="221"/>
      <c r="CC27" s="221"/>
      <c r="CD27" s="221"/>
      <c r="CE27" s="221"/>
      <c r="CF27" s="135"/>
      <c r="CG27" s="221"/>
      <c r="CH27" s="221"/>
      <c r="CI27" s="221"/>
      <c r="CJ27" s="221"/>
      <c r="CK27" s="222"/>
      <c r="CL27" s="221">
        <f>data!CL121</f>
        <v>28</v>
      </c>
      <c r="CM27" s="221">
        <f>data!CM121-CL27</f>
        <v>77</v>
      </c>
      <c r="CN27" s="216">
        <f>data!CN121-CM27-CL27</f>
        <v>29</v>
      </c>
      <c r="CO27" s="221">
        <f>data!CO121-CN27-CM27-CL27</f>
        <v>69</v>
      </c>
      <c r="CP27" s="222">
        <f>SUM(CL27:CO27)</f>
        <v>203</v>
      </c>
      <c r="CQ27" s="221">
        <f>data!CQ121</f>
        <v>34</v>
      </c>
      <c r="CR27" s="221">
        <f>data!CR121-CQ27</f>
        <v>71</v>
      </c>
      <c r="CS27" s="221">
        <f>data!CS121-CR27-CQ27</f>
        <v>23</v>
      </c>
      <c r="CT27" s="221">
        <f>data!CT121-CS27-CR27-CQ27</f>
        <v>39</v>
      </c>
      <c r="CU27" s="222">
        <f>SUM(CQ27:CT27)</f>
        <v>167</v>
      </c>
      <c r="CV27" s="221">
        <f>data!CV121</f>
        <v>28</v>
      </c>
      <c r="CW27" s="221">
        <f>data!CW121-CV27</f>
        <v>41</v>
      </c>
      <c r="CX27" s="221">
        <f>data!CX121-CW27-CV27</f>
        <v>88</v>
      </c>
      <c r="CY27" s="221">
        <f>data!CY121-CX27-CW27-CV27</f>
        <v>49</v>
      </c>
      <c r="CZ27" s="222">
        <f>SUM(CV27:CY27)</f>
        <v>206</v>
      </c>
      <c r="DA27" s="221">
        <f>data!DA121</f>
        <v>7</v>
      </c>
      <c r="DB27" s="221">
        <f>data!DB121-DA27</f>
        <v>55</v>
      </c>
      <c r="DC27" s="221">
        <f>data!DC121-DB27-DA27</f>
        <v>15</v>
      </c>
      <c r="DD27" s="221">
        <f>data!DD121-DC27-DB27-DA27</f>
        <v>12</v>
      </c>
      <c r="DE27" s="222">
        <f>SUM(DA27:DD27)</f>
        <v>89</v>
      </c>
      <c r="DF27" s="221">
        <f>data!DF121</f>
        <v>41</v>
      </c>
      <c r="DG27" s="221">
        <f>data!DG121-DF27</f>
        <v>46</v>
      </c>
      <c r="DH27" s="221">
        <f>data!DH121-DG27-DF27</f>
        <v>15</v>
      </c>
      <c r="DI27" s="221">
        <f>data!DI121-DH27-DG27-DF27</f>
        <v>12</v>
      </c>
      <c r="DJ27" s="222">
        <f>SUM(DF27:DI27)</f>
        <v>114</v>
      </c>
      <c r="DK27" s="221">
        <f>data!DK121</f>
        <v>10</v>
      </c>
      <c r="DL27" s="221">
        <f>data!DL121-DK27</f>
        <v>15</v>
      </c>
      <c r="DM27" s="246">
        <v>0</v>
      </c>
      <c r="DN27" s="246">
        <v>0</v>
      </c>
      <c r="DO27" s="222">
        <f>SUM(DK27:DN27)</f>
        <v>25</v>
      </c>
      <c r="DP27" s="246">
        <v>0</v>
      </c>
      <c r="DQ27" s="246">
        <v>0</v>
      </c>
      <c r="DR27" s="246">
        <v>0</v>
      </c>
      <c r="DS27" s="246">
        <v>0</v>
      </c>
      <c r="DT27" s="222">
        <f>SUM(DP27:DS27)</f>
        <v>0</v>
      </c>
      <c r="DU27" s="247">
        <v>0</v>
      </c>
      <c r="DV27" s="247">
        <v>0</v>
      </c>
    </row>
    <row r="28" spans="2:126" s="131" customFormat="1" ht="12">
      <c r="B28" s="131" t="s">
        <v>514</v>
      </c>
      <c r="C28" s="135">
        <f>data!C122</f>
        <v>0</v>
      </c>
      <c r="D28" s="135">
        <f>data!D122</f>
        <v>0</v>
      </c>
      <c r="E28" s="135">
        <f>data!E122</f>
        <v>0</v>
      </c>
      <c r="F28" s="135">
        <f>data!F122</f>
        <v>0</v>
      </c>
      <c r="G28" s="135">
        <f>data!G122</f>
        <v>0</v>
      </c>
      <c r="H28" s="135">
        <f>data!H122</f>
        <v>0</v>
      </c>
      <c r="I28" s="135">
        <f>data!I122</f>
        <v>0</v>
      </c>
      <c r="J28" s="131">
        <f>data!J122</f>
        <v>0</v>
      </c>
      <c r="K28" s="131">
        <f>data!K122-J28</f>
        <v>0</v>
      </c>
      <c r="L28" s="131">
        <f>data!L122-K28-J28</f>
        <v>0</v>
      </c>
      <c r="M28" s="131">
        <f>data!M122-L28-K28-J28</f>
        <v>0</v>
      </c>
      <c r="N28" s="135">
        <f>SUM(J28:M28)</f>
        <v>0</v>
      </c>
      <c r="O28" s="131">
        <f>data!O122</f>
        <v>0</v>
      </c>
      <c r="P28" s="131">
        <f>data!P122-O28</f>
        <v>0</v>
      </c>
      <c r="Q28" s="131">
        <f>data!Q122-P28-O28</f>
        <v>0</v>
      </c>
      <c r="R28" s="131">
        <f>data!R122-Q28-P28-O28</f>
        <v>0</v>
      </c>
      <c r="S28" s="135">
        <f>SUM(O28:R28)</f>
        <v>0</v>
      </c>
      <c r="T28" s="131">
        <f>data!T122</f>
        <v>0</v>
      </c>
      <c r="U28" s="131">
        <f>data!U122-T28</f>
        <v>0</v>
      </c>
      <c r="V28" s="131">
        <f>data!V122-U28-T28</f>
        <v>0</v>
      </c>
      <c r="W28" s="131">
        <f>data!W122-V28-U28-T28</f>
        <v>0</v>
      </c>
      <c r="X28" s="135">
        <f>SUM(T28:W28)</f>
        <v>0</v>
      </c>
      <c r="Y28" s="131">
        <f>data!Y122</f>
        <v>0</v>
      </c>
      <c r="Z28" s="131">
        <f>data!Z122-Y28</f>
        <v>0</v>
      </c>
      <c r="AA28" s="131">
        <f>data!AA122-Z28-Y28</f>
        <v>0</v>
      </c>
      <c r="AB28" s="131">
        <f>data!AB122-AA28-Z28-Y28</f>
        <v>0</v>
      </c>
      <c r="AC28" s="135">
        <f>SUM(Y28:AB28)</f>
        <v>0</v>
      </c>
      <c r="AD28" s="131">
        <f>data!AD122</f>
        <v>0</v>
      </c>
      <c r="AE28" s="131">
        <f>data!AE122-AD28</f>
        <v>0</v>
      </c>
      <c r="AF28" s="131">
        <f>data!AF122-AE28-AD28</f>
        <v>0</v>
      </c>
      <c r="AG28" s="131">
        <f>data!AG122-AF28-AE28-AD28</f>
        <v>0</v>
      </c>
      <c r="AH28" s="135">
        <f>SUM(AD28:AG28)</f>
        <v>0</v>
      </c>
      <c r="AI28" s="131">
        <f>data!AI122</f>
        <v>0</v>
      </c>
      <c r="AJ28" s="131">
        <f>data!AJ122-AI28</f>
        <v>0</v>
      </c>
      <c r="AK28" s="131">
        <f>data!AK122-AJ28-AI28</f>
        <v>0</v>
      </c>
      <c r="AL28" s="131">
        <f>data!AL122-AK28-AJ28-AI28</f>
        <v>0</v>
      </c>
      <c r="AM28" s="135">
        <f t="shared" si="12"/>
        <v>0</v>
      </c>
      <c r="AN28" s="15">
        <f>data!AN122</f>
        <v>0</v>
      </c>
      <c r="AO28" s="131">
        <f>data!AO122-AN28</f>
        <v>0</v>
      </c>
      <c r="AP28" s="131">
        <f>data!AP122-AO28-AN28</f>
        <v>0</v>
      </c>
      <c r="AQ28" s="131">
        <f>data!AQ122-AP28-AO28-AN28</f>
        <v>0</v>
      </c>
      <c r="AR28" s="135">
        <f t="shared" si="13"/>
        <v>0</v>
      </c>
      <c r="AS28" s="15">
        <f>data!AS122</f>
        <v>0</v>
      </c>
      <c r="AT28" s="131">
        <f>data!AT122-AS28</f>
        <v>0</v>
      </c>
      <c r="AU28" s="131">
        <f>data!AU122-AT28-AS28</f>
        <v>0</v>
      </c>
      <c r="AV28" s="131">
        <f>data!AV122-AU28-AT28-AS28</f>
        <v>0</v>
      </c>
      <c r="AW28" s="135">
        <f t="shared" si="15"/>
        <v>0</v>
      </c>
      <c r="AX28" s="221">
        <f>data!AX122</f>
        <v>0</v>
      </c>
      <c r="AY28" s="131">
        <f>data!AY122-AX28</f>
        <v>0</v>
      </c>
      <c r="AZ28" s="131">
        <f>data!AZ122-AY28-AX28</f>
        <v>0</v>
      </c>
      <c r="BA28" s="131">
        <f>data!BA122-AZ28-AY28-AX28</f>
        <v>0</v>
      </c>
      <c r="BB28" s="135"/>
      <c r="BC28" s="221"/>
      <c r="BE28" s="221"/>
      <c r="BG28" s="135"/>
      <c r="BH28" s="221"/>
      <c r="BJ28" s="221"/>
      <c r="BL28" s="135"/>
      <c r="BM28" s="221"/>
      <c r="BO28" s="221"/>
      <c r="BQ28" s="135"/>
      <c r="BR28" s="221"/>
      <c r="BS28" s="221"/>
      <c r="BT28" s="221"/>
      <c r="BV28" s="135"/>
      <c r="BW28" s="221"/>
      <c r="BX28" s="221"/>
      <c r="BY28" s="221"/>
      <c r="BZ28" s="221"/>
      <c r="CA28" s="135"/>
      <c r="CB28" s="221"/>
      <c r="CC28" s="221"/>
      <c r="CD28" s="221"/>
      <c r="CE28" s="221"/>
      <c r="CF28" s="135"/>
      <c r="CG28" s="221"/>
      <c r="CH28" s="221"/>
      <c r="CI28" s="221"/>
      <c r="CJ28" s="221"/>
      <c r="CK28" s="222"/>
      <c r="CL28" s="221">
        <f>data!CL122</f>
        <v>-60</v>
      </c>
      <c r="CM28" s="221">
        <f>data!CM122-CL28</f>
        <v>-38</v>
      </c>
      <c r="CN28" s="216">
        <f>data!CN122-CM28-CL28</f>
        <v>-27</v>
      </c>
      <c r="CO28" s="221">
        <f>data!CO122-CN28-CM28-CL28</f>
        <v>-26</v>
      </c>
      <c r="CP28" s="222">
        <f>SUM(CL28:CO28)</f>
        <v>-151</v>
      </c>
      <c r="CQ28" s="221">
        <f>data!CQ122</f>
        <v>-24</v>
      </c>
      <c r="CR28" s="221">
        <f>data!CR122-CQ28</f>
        <v>-25</v>
      </c>
      <c r="CS28" s="221">
        <f>data!CS122-CR28-CQ28</f>
        <v>-29</v>
      </c>
      <c r="CT28" s="221">
        <f>data!CT122-CS28-CR28-CQ28</f>
        <v>-33</v>
      </c>
      <c r="CU28" s="222">
        <f>SUM(CQ28:CT28)</f>
        <v>-111</v>
      </c>
      <c r="CV28" s="221">
        <f>data!CV122</f>
        <v>-22</v>
      </c>
      <c r="CW28" s="221">
        <f>data!CW122-CV28</f>
        <v>22</v>
      </c>
      <c r="CX28" s="221">
        <f>data!CX122-CW28-CV28</f>
        <v>0</v>
      </c>
      <c r="CY28" s="221">
        <f>data!CY122-CX28-CW28-CV28</f>
        <v>0</v>
      </c>
      <c r="CZ28" s="222">
        <f>SUM(CV28:CY28)</f>
        <v>0</v>
      </c>
      <c r="DA28" s="221">
        <f>data!DA122</f>
        <v>-20</v>
      </c>
      <c r="DB28" s="221">
        <f>data!DB122-DA28</f>
        <v>20</v>
      </c>
      <c r="DC28" s="221">
        <f>data!DC122-DB28-DA28</f>
        <v>0</v>
      </c>
      <c r="DD28" s="221">
        <f>data!DD122-DC28-DB28-DA28</f>
        <v>0</v>
      </c>
      <c r="DE28" s="222">
        <f>SUM(DA28:DD28)</f>
        <v>0</v>
      </c>
      <c r="DF28" s="221">
        <f>data!DF122</f>
        <v>0</v>
      </c>
      <c r="DG28" s="221">
        <f>data!DG122-DF28</f>
        <v>0</v>
      </c>
      <c r="DH28" s="221">
        <f>data!DH122-DG28-DF28</f>
        <v>0</v>
      </c>
      <c r="DI28" s="221">
        <f>data!DI122-DH28-DG28-DF28</f>
        <v>0</v>
      </c>
      <c r="DJ28" s="222">
        <f>SUM(DF28:DI28)</f>
        <v>0</v>
      </c>
      <c r="DK28" s="221">
        <f>data!DK122</f>
        <v>0</v>
      </c>
      <c r="DL28" s="221">
        <f>data!DL122-DK28</f>
        <v>0</v>
      </c>
      <c r="DM28" s="246">
        <v>0</v>
      </c>
      <c r="DN28" s="246">
        <v>0</v>
      </c>
      <c r="DO28" s="222">
        <f>SUM(DK28:DN28)</f>
        <v>0</v>
      </c>
      <c r="DP28" s="246">
        <v>0</v>
      </c>
      <c r="DQ28" s="246">
        <v>0</v>
      </c>
      <c r="DR28" s="246">
        <v>0</v>
      </c>
      <c r="DS28" s="246">
        <v>0</v>
      </c>
      <c r="DT28" s="222">
        <f>SUM(DP28:DS28)</f>
        <v>0</v>
      </c>
      <c r="DU28" s="247">
        <v>0</v>
      </c>
      <c r="DV28" s="247">
        <v>0</v>
      </c>
    </row>
    <row r="29" spans="2:126" s="131" customFormat="1">
      <c r="B29" s="131" t="s">
        <v>515</v>
      </c>
      <c r="C29" s="135" t="e">
        <f>data!#REF!</f>
        <v>#REF!</v>
      </c>
      <c r="D29" s="135" t="e">
        <f>data!#REF!</f>
        <v>#REF!</v>
      </c>
      <c r="E29" s="135" t="e">
        <f>data!#REF!</f>
        <v>#REF!</v>
      </c>
      <c r="F29" s="135" t="e">
        <f>data!#REF!</f>
        <v>#REF!</v>
      </c>
      <c r="G29" s="135" t="e">
        <f>data!#REF!</f>
        <v>#REF!</v>
      </c>
      <c r="H29" s="135" t="e">
        <f>data!#REF!</f>
        <v>#REF!</v>
      </c>
      <c r="I29" s="135" t="e">
        <f>data!#REF!</f>
        <v>#REF!</v>
      </c>
      <c r="J29" s="131" t="e">
        <f>data!#REF!</f>
        <v>#REF!</v>
      </c>
      <c r="K29" s="131" t="e">
        <f>data!#REF!-J29</f>
        <v>#REF!</v>
      </c>
      <c r="L29" s="131" t="e">
        <f>data!#REF!-K29-J29</f>
        <v>#REF!</v>
      </c>
      <c r="M29" s="131" t="e">
        <f>data!#REF!-L29-K29-J29</f>
        <v>#REF!</v>
      </c>
      <c r="N29" s="135" t="e">
        <f>SUM(J29:M29)</f>
        <v>#REF!</v>
      </c>
      <c r="O29" s="131" t="e">
        <f>data!#REF!</f>
        <v>#REF!</v>
      </c>
      <c r="P29" s="131" t="e">
        <f>data!#REF!-O29</f>
        <v>#REF!</v>
      </c>
      <c r="Q29" s="131" t="e">
        <f>data!#REF!-P29-O29</f>
        <v>#REF!</v>
      </c>
      <c r="R29" s="131" t="e">
        <f>data!#REF!-Q29-P29-O29</f>
        <v>#REF!</v>
      </c>
      <c r="S29" s="135" t="e">
        <f>SUM(O29:R29)</f>
        <v>#REF!</v>
      </c>
      <c r="T29" s="131" t="e">
        <f>data!#REF!</f>
        <v>#REF!</v>
      </c>
      <c r="U29" s="131" t="e">
        <f>data!#REF!-T29</f>
        <v>#REF!</v>
      </c>
      <c r="V29" s="131" t="e">
        <f>data!#REF!-U29-T29</f>
        <v>#REF!</v>
      </c>
      <c r="W29" s="131" t="e">
        <f>data!#REF!-V29-U29-T29</f>
        <v>#REF!</v>
      </c>
      <c r="X29" s="135" t="e">
        <f>SUM(T29:W29)</f>
        <v>#REF!</v>
      </c>
      <c r="Y29" s="131" t="e">
        <f>data!#REF!</f>
        <v>#REF!</v>
      </c>
      <c r="Z29" s="131" t="e">
        <f>data!#REF!-Y29</f>
        <v>#REF!</v>
      </c>
      <c r="AA29" s="131" t="e">
        <f>data!#REF!-Z29-Y29</f>
        <v>#REF!</v>
      </c>
      <c r="AB29" s="131" t="e">
        <f>data!#REF!-AA29-Z29-Y29</f>
        <v>#REF!</v>
      </c>
      <c r="AC29" s="135" t="e">
        <f>SUM(Y29:AB29)</f>
        <v>#REF!</v>
      </c>
      <c r="AD29" s="131" t="e">
        <f>data!#REF!</f>
        <v>#REF!</v>
      </c>
      <c r="AE29" s="131" t="e">
        <f>data!#REF!-AD29</f>
        <v>#REF!</v>
      </c>
      <c r="AF29" s="131" t="e">
        <f>data!#REF!-AE29-AD29</f>
        <v>#REF!</v>
      </c>
      <c r="AG29" s="131" t="e">
        <f>data!#REF!-AF29-AE29-AD29</f>
        <v>#REF!</v>
      </c>
      <c r="AH29" s="135" t="e">
        <f>SUM(AD29:AG29)</f>
        <v>#REF!</v>
      </c>
      <c r="AI29" s="131" t="e">
        <f>data!#REF!</f>
        <v>#REF!</v>
      </c>
      <c r="AJ29" s="131" t="e">
        <f>data!#REF!-AI29</f>
        <v>#REF!</v>
      </c>
      <c r="AK29" s="131" t="e">
        <f>data!#REF!-AJ29-AI29</f>
        <v>#REF!</v>
      </c>
      <c r="AL29" s="131" t="e">
        <f>data!#REF!-AK29-AJ29-AI29</f>
        <v>#REF!</v>
      </c>
      <c r="AM29" s="135" t="e">
        <f t="shared" si="12"/>
        <v>#REF!</v>
      </c>
      <c r="AN29" s="15" t="e">
        <f>data!#REF!</f>
        <v>#REF!</v>
      </c>
      <c r="AO29" s="131" t="e">
        <f>data!#REF!-AN29</f>
        <v>#REF!</v>
      </c>
      <c r="AP29" s="131" t="e">
        <f>data!#REF!-AO29-AN29</f>
        <v>#REF!</v>
      </c>
      <c r="AQ29" s="131" t="e">
        <f>data!#REF!-AP29-AO29-AN29</f>
        <v>#REF!</v>
      </c>
      <c r="AR29" s="135" t="e">
        <f t="shared" si="13"/>
        <v>#REF!</v>
      </c>
      <c r="AS29" s="15" t="e">
        <f>data!#REF!</f>
        <v>#REF!</v>
      </c>
      <c r="AT29" s="131" t="e">
        <f>data!#REF!-AS29</f>
        <v>#REF!</v>
      </c>
      <c r="AU29" s="131" t="e">
        <f>data!#REF!-AT29-AS29</f>
        <v>#REF!</v>
      </c>
      <c r="AV29" s="131" t="e">
        <f>data!#REF!-AU29-AT29-AS29</f>
        <v>#REF!</v>
      </c>
      <c r="AW29" s="135" t="e">
        <f t="shared" si="15"/>
        <v>#REF!</v>
      </c>
      <c r="AX29" s="221" t="e">
        <f>data!#REF!</f>
        <v>#REF!</v>
      </c>
      <c r="AY29" s="131" t="e">
        <f>data!#REF!-AX29</f>
        <v>#REF!</v>
      </c>
      <c r="AZ29" s="131" t="e">
        <f>data!#REF!-AY29-AX29</f>
        <v>#REF!</v>
      </c>
      <c r="BA29" s="131" t="e">
        <f>data!#REF!-AZ29-AY29-AX29</f>
        <v>#REF!</v>
      </c>
      <c r="BB29" s="135"/>
      <c r="BC29" s="221"/>
      <c r="BE29" s="221"/>
      <c r="BG29" s="135"/>
      <c r="BH29" s="221"/>
      <c r="BJ29" s="221"/>
      <c r="BL29" s="135"/>
      <c r="BM29" s="221"/>
      <c r="BO29" s="221"/>
      <c r="BQ29" s="135"/>
      <c r="BR29" s="221"/>
      <c r="BS29" s="221"/>
      <c r="BT29" s="221"/>
      <c r="BV29" s="135"/>
      <c r="BW29" s="221"/>
      <c r="BX29" s="221"/>
      <c r="BY29" s="221"/>
      <c r="BZ29" s="221"/>
      <c r="CA29" s="135"/>
      <c r="CB29" s="221"/>
      <c r="CC29" s="221"/>
      <c r="CD29" s="221"/>
      <c r="CE29" s="221"/>
      <c r="CF29" s="135"/>
      <c r="CG29" s="221"/>
      <c r="CH29" s="221"/>
      <c r="CI29" s="221"/>
      <c r="CJ29" s="221"/>
      <c r="CK29" s="222"/>
      <c r="CL29" s="221">
        <f>data!CL123</f>
        <v>-103</v>
      </c>
      <c r="CM29" s="221">
        <f>data!CM123-CL29</f>
        <v>-57</v>
      </c>
      <c r="CN29" s="221">
        <f>data!CN123-CM29-CL29</f>
        <v>128</v>
      </c>
      <c r="CO29" s="221">
        <f>data!CO123-CN29-CM29-CL29</f>
        <v>32</v>
      </c>
      <c r="CP29" s="222">
        <f>SUM(CL29:CO29)</f>
        <v>0</v>
      </c>
      <c r="CQ29" s="221">
        <f>data!CQ123</f>
        <v>21</v>
      </c>
      <c r="CR29" s="221">
        <f>data!CR123-CQ29</f>
        <v>0</v>
      </c>
      <c r="CS29" s="221">
        <f>data!CS123-CR29-CQ29</f>
        <v>45</v>
      </c>
      <c r="CT29" s="221">
        <f>data!CT123-CS29-CR29-CQ29</f>
        <v>-66</v>
      </c>
      <c r="CU29" s="222">
        <f>SUM(CQ29:CT29)</f>
        <v>0</v>
      </c>
      <c r="CV29" s="221">
        <f>data!CV123</f>
        <v>0</v>
      </c>
      <c r="CW29" s="221">
        <f>data!CW123-CV29</f>
        <v>0</v>
      </c>
      <c r="CX29" s="221">
        <f>data!CX123-CW29-CV29</f>
        <v>0</v>
      </c>
      <c r="CY29" s="221">
        <f>data!CY123-CX29-CW29-CV29</f>
        <v>0</v>
      </c>
      <c r="CZ29" s="222">
        <f>SUM(CV29:CY29)</f>
        <v>0</v>
      </c>
      <c r="DA29" s="221">
        <f>data!DA123</f>
        <v>0</v>
      </c>
      <c r="DB29" s="221">
        <f>data!DB123-DA29</f>
        <v>0</v>
      </c>
      <c r="DC29" s="221">
        <f>data!DC123-DB29-DA29</f>
        <v>0</v>
      </c>
      <c r="DD29" s="221">
        <f>data!DD123-DC29-DB29-DA29</f>
        <v>0</v>
      </c>
      <c r="DE29" s="222">
        <f>SUM(DA29:DD29)</f>
        <v>0</v>
      </c>
      <c r="DF29" s="221">
        <f>data!DF123</f>
        <v>0</v>
      </c>
      <c r="DG29" s="221">
        <f>data!DG123-DF29</f>
        <v>0</v>
      </c>
      <c r="DH29" s="221">
        <f>data!DH123-DG29-DF29</f>
        <v>0</v>
      </c>
      <c r="DI29" s="221">
        <f>data!DI123-DH29-DG29-DF29</f>
        <v>0</v>
      </c>
      <c r="DJ29" s="222">
        <f>SUM(DF29:DI29)</f>
        <v>0</v>
      </c>
      <c r="DK29" s="221">
        <f>data!DK123</f>
        <v>0</v>
      </c>
      <c r="DL29" s="221">
        <f>data!DL123-DK29</f>
        <v>0</v>
      </c>
      <c r="DM29" s="246">
        <v>0</v>
      </c>
      <c r="DN29" s="246">
        <v>0</v>
      </c>
      <c r="DO29" s="222">
        <f>SUM(DK29:DN29)</f>
        <v>0</v>
      </c>
      <c r="DP29" s="246">
        <v>0</v>
      </c>
      <c r="DQ29" s="246">
        <v>0</v>
      </c>
      <c r="DR29" s="246">
        <v>0</v>
      </c>
      <c r="DS29" s="246">
        <v>0</v>
      </c>
      <c r="DT29" s="222">
        <f>SUM(DP29:DS29)</f>
        <v>0</v>
      </c>
      <c r="DU29" s="247">
        <v>0</v>
      </c>
      <c r="DV29" s="247">
        <v>0</v>
      </c>
    </row>
    <row r="30" spans="2:126" s="131" customFormat="1" ht="12">
      <c r="B30" s="131" t="s">
        <v>516</v>
      </c>
      <c r="C30" s="135"/>
      <c r="D30" s="135"/>
      <c r="E30" s="135"/>
      <c r="F30" s="135"/>
      <c r="G30" s="135"/>
      <c r="H30" s="135"/>
      <c r="I30" s="135"/>
      <c r="N30" s="135"/>
      <c r="S30" s="135"/>
      <c r="X30" s="135"/>
      <c r="AC30" s="135"/>
      <c r="AH30" s="135"/>
      <c r="AM30" s="135"/>
      <c r="AN30" s="15"/>
      <c r="AR30" s="135"/>
      <c r="AS30" s="15"/>
      <c r="AW30" s="135"/>
      <c r="AX30" s="221"/>
      <c r="BB30" s="135"/>
      <c r="BC30" s="221"/>
      <c r="BE30" s="221"/>
      <c r="BG30" s="135"/>
      <c r="BH30" s="221"/>
      <c r="BJ30" s="221"/>
      <c r="BL30" s="135"/>
      <c r="BM30" s="221"/>
      <c r="BO30" s="221"/>
      <c r="BQ30" s="135"/>
      <c r="BR30" s="221"/>
      <c r="BS30" s="221"/>
      <c r="BT30" s="221"/>
      <c r="BV30" s="135"/>
      <c r="BW30" s="221"/>
      <c r="BX30" s="221"/>
      <c r="BY30" s="221"/>
      <c r="BZ30" s="221"/>
      <c r="CA30" s="135"/>
      <c r="CB30" s="221"/>
      <c r="CC30" s="221"/>
      <c r="CD30" s="221"/>
      <c r="CE30" s="221"/>
      <c r="CF30" s="135"/>
      <c r="CG30" s="221"/>
      <c r="CH30" s="221"/>
      <c r="CI30" s="221"/>
      <c r="CJ30" s="221"/>
      <c r="CK30" s="222"/>
      <c r="CL30" s="221">
        <f>data!CL124</f>
        <v>20505</v>
      </c>
      <c r="CM30" s="221">
        <f>data!CM124-CL30</f>
        <v>316</v>
      </c>
      <c r="CN30" s="216">
        <f>data!CN124-CM30-CL30</f>
        <v>-244</v>
      </c>
      <c r="CO30" s="221">
        <f>data!CO124-CN30-CM30-CL30</f>
        <v>-15</v>
      </c>
      <c r="CP30" s="222">
        <f t="shared" ref="CP30:CP34" si="42">SUM(CL30:CO30)</f>
        <v>20562</v>
      </c>
      <c r="CQ30" s="221">
        <f>data!CQ124</f>
        <v>1</v>
      </c>
      <c r="CR30" s="221">
        <f>data!CR124-CQ30</f>
        <v>0</v>
      </c>
      <c r="CS30" s="221">
        <f>data!CS124-CR30-CQ30</f>
        <v>0</v>
      </c>
      <c r="CT30" s="221">
        <f>data!CT124-CS30-CR30-CQ30</f>
        <v>0</v>
      </c>
      <c r="CU30" s="222">
        <f t="shared" ref="CU30:CU34" si="43">SUM(CQ30:CT30)</f>
        <v>1</v>
      </c>
      <c r="CV30" s="221">
        <f>data!CV124</f>
        <v>0</v>
      </c>
      <c r="CW30" s="221">
        <f>data!CW124-CV30</f>
        <v>0</v>
      </c>
      <c r="CX30" s="221">
        <f>data!CX124-CW30-CV30</f>
        <v>15</v>
      </c>
      <c r="CY30" s="221">
        <f>data!CY124-CX30-CW30-CV30</f>
        <v>0</v>
      </c>
      <c r="CZ30" s="222">
        <f t="shared" ref="CZ30:CZ34" si="44">SUM(CV30:CY30)</f>
        <v>15</v>
      </c>
      <c r="DA30" s="221">
        <f>data!DA124</f>
        <v>0</v>
      </c>
      <c r="DB30" s="221">
        <f>data!DB124-DA30</f>
        <v>0</v>
      </c>
      <c r="DC30" s="221">
        <f>data!DC124-DB30-DA30</f>
        <v>0</v>
      </c>
      <c r="DD30" s="221">
        <f>data!DD124-DC30-DB30-DA30</f>
        <v>0</v>
      </c>
      <c r="DE30" s="222">
        <f t="shared" ref="DE30:DE34" si="45">SUM(DA30:DD30)</f>
        <v>0</v>
      </c>
      <c r="DF30" s="221">
        <f>data!DF124</f>
        <v>0</v>
      </c>
      <c r="DG30" s="221">
        <f>data!DG124-DF30</f>
        <v>74</v>
      </c>
      <c r="DH30" s="221">
        <f>data!DH124-DG30-DF30</f>
        <v>433</v>
      </c>
      <c r="DI30" s="221">
        <f>data!DI124-DH30-DG30-DF30</f>
        <v>-8</v>
      </c>
      <c r="DJ30" s="222">
        <f t="shared" ref="DJ30:DJ34" si="46">SUM(DF30:DI30)</f>
        <v>499</v>
      </c>
      <c r="DK30" s="221">
        <f>data!DK124</f>
        <v>0</v>
      </c>
      <c r="DL30" s="221">
        <f>data!DL124-DK30</f>
        <v>0</v>
      </c>
      <c r="DM30" s="246">
        <v>0</v>
      </c>
      <c r="DN30" s="246">
        <v>0</v>
      </c>
      <c r="DO30" s="222">
        <f t="shared" ref="DO30:DO35" si="47">SUM(DK30:DN30)</f>
        <v>0</v>
      </c>
      <c r="DP30" s="246">
        <v>0</v>
      </c>
      <c r="DQ30" s="246">
        <v>0</v>
      </c>
      <c r="DR30" s="246">
        <v>0</v>
      </c>
      <c r="DS30" s="246">
        <v>0</v>
      </c>
      <c r="DT30" s="222">
        <f t="shared" ref="DT30:DT35" si="48">SUM(DP30:DS30)</f>
        <v>0</v>
      </c>
      <c r="DU30" s="247">
        <v>0</v>
      </c>
      <c r="DV30" s="247">
        <v>0</v>
      </c>
    </row>
    <row r="31" spans="2:126" s="131" customFormat="1">
      <c r="B31" s="131" t="s">
        <v>517</v>
      </c>
      <c r="C31" s="135"/>
      <c r="D31" s="135"/>
      <c r="E31" s="135"/>
      <c r="F31" s="135"/>
      <c r="G31" s="135"/>
      <c r="H31" s="135"/>
      <c r="I31" s="135"/>
      <c r="N31" s="135"/>
      <c r="S31" s="135"/>
      <c r="X31" s="135"/>
      <c r="AC31" s="135"/>
      <c r="AH31" s="135"/>
      <c r="AM31" s="135"/>
      <c r="AN31" s="15"/>
      <c r="AR31" s="135"/>
      <c r="AS31" s="15"/>
      <c r="AW31" s="135"/>
      <c r="AX31" s="221"/>
      <c r="BB31" s="135"/>
      <c r="BC31" s="221"/>
      <c r="BE31" s="221"/>
      <c r="BG31" s="135"/>
      <c r="BH31" s="221"/>
      <c r="BJ31" s="221"/>
      <c r="BL31" s="135"/>
      <c r="BM31" s="221"/>
      <c r="BO31" s="221"/>
      <c r="BQ31" s="135"/>
      <c r="BR31" s="221"/>
      <c r="BS31" s="221"/>
      <c r="BT31" s="221"/>
      <c r="BV31" s="135"/>
      <c r="BW31" s="221"/>
      <c r="BX31" s="221"/>
      <c r="BY31" s="221"/>
      <c r="BZ31" s="221"/>
      <c r="CA31" s="135"/>
      <c r="CB31" s="221"/>
      <c r="CC31" s="221"/>
      <c r="CD31" s="221"/>
      <c r="CE31" s="221"/>
      <c r="CF31" s="135"/>
      <c r="CG31" s="221"/>
      <c r="CH31" s="221"/>
      <c r="CI31" s="221"/>
      <c r="CJ31" s="221"/>
      <c r="CK31" s="222"/>
      <c r="CL31" s="221">
        <f>data!CL125</f>
        <v>-6</v>
      </c>
      <c r="CM31" s="221">
        <f>data!CM125-CL31</f>
        <v>-1</v>
      </c>
      <c r="CN31" s="221">
        <f>data!CN125-CM31-CL31</f>
        <v>-3</v>
      </c>
      <c r="CO31" s="221">
        <f>data!CO125-CN31-CM31-CL31</f>
        <v>-75</v>
      </c>
      <c r="CP31" s="222">
        <f t="shared" si="42"/>
        <v>-85</v>
      </c>
      <c r="CQ31" s="221">
        <f>data!CQ125</f>
        <v>0</v>
      </c>
      <c r="CR31" s="221">
        <f>data!CR125-CQ31</f>
        <v>-27</v>
      </c>
      <c r="CS31" s="221">
        <f>data!CS125-CR31-CQ31</f>
        <v>0</v>
      </c>
      <c r="CT31" s="221">
        <f>data!CT125-CS31-CR31-CQ31</f>
        <v>-1523</v>
      </c>
      <c r="CU31" s="222">
        <f t="shared" si="43"/>
        <v>-1550</v>
      </c>
      <c r="CV31" s="221">
        <f>data!CV125</f>
        <v>0</v>
      </c>
      <c r="CW31" s="221">
        <f>data!CW125-CV31</f>
        <v>0</v>
      </c>
      <c r="CX31" s="221">
        <f>data!CX125-CW31-CV31</f>
        <v>-30</v>
      </c>
      <c r="CY31" s="221">
        <f>data!CY125-CX31-CW31-CV31</f>
        <v>0</v>
      </c>
      <c r="CZ31" s="222">
        <f t="shared" si="44"/>
        <v>-30</v>
      </c>
      <c r="DA31" s="221">
        <f>data!DA125</f>
        <v>0</v>
      </c>
      <c r="DB31" s="221">
        <f>data!DB125-DA31</f>
        <v>-333</v>
      </c>
      <c r="DC31" s="221">
        <f>data!DC125-DB31-DA31</f>
        <v>-32</v>
      </c>
      <c r="DD31" s="221">
        <f>data!DD125-DC31-DB31-DA31</f>
        <v>0</v>
      </c>
      <c r="DE31" s="222">
        <f t="shared" si="45"/>
        <v>-365</v>
      </c>
      <c r="DF31" s="221">
        <f>data!DF125</f>
        <v>0</v>
      </c>
      <c r="DG31" s="221">
        <f>data!DG125-DF31</f>
        <v>0</v>
      </c>
      <c r="DH31" s="221">
        <f>data!DH125-DG31-DF31</f>
        <v>-126</v>
      </c>
      <c r="DI31" s="221">
        <f>data!DI125-DH31-DG31-DF31</f>
        <v>-9</v>
      </c>
      <c r="DJ31" s="222">
        <f t="shared" si="46"/>
        <v>-135</v>
      </c>
      <c r="DK31" s="221">
        <f>data!DK125</f>
        <v>-100</v>
      </c>
      <c r="DL31" s="221">
        <f>data!DL125-DK31</f>
        <v>-254</v>
      </c>
      <c r="DM31" s="246">
        <v>0</v>
      </c>
      <c r="DN31" s="246">
        <v>0</v>
      </c>
      <c r="DO31" s="222">
        <f t="shared" si="47"/>
        <v>-354</v>
      </c>
      <c r="DP31" s="246">
        <v>0</v>
      </c>
      <c r="DQ31" s="246">
        <v>0</v>
      </c>
      <c r="DR31" s="246">
        <v>0</v>
      </c>
      <c r="DS31" s="246">
        <v>0</v>
      </c>
      <c r="DT31" s="222">
        <f t="shared" si="48"/>
        <v>0</v>
      </c>
      <c r="DU31" s="247">
        <v>0</v>
      </c>
      <c r="DV31" s="247">
        <v>0</v>
      </c>
    </row>
    <row r="32" spans="2:126" s="131" customFormat="1" ht="12">
      <c r="B32" s="131" t="s">
        <v>518</v>
      </c>
      <c r="C32" s="135"/>
      <c r="D32" s="135"/>
      <c r="E32" s="135"/>
      <c r="F32" s="135"/>
      <c r="G32" s="135"/>
      <c r="H32" s="135"/>
      <c r="I32" s="135"/>
      <c r="N32" s="135"/>
      <c r="S32" s="135"/>
      <c r="X32" s="135"/>
      <c r="AC32" s="135"/>
      <c r="AH32" s="135"/>
      <c r="AM32" s="135"/>
      <c r="AN32" s="15"/>
      <c r="AR32" s="135"/>
      <c r="AS32" s="15"/>
      <c r="AW32" s="135"/>
      <c r="AX32" s="221"/>
      <c r="BB32" s="135"/>
      <c r="BC32" s="221"/>
      <c r="BE32" s="221"/>
      <c r="BG32" s="135"/>
      <c r="BH32" s="221"/>
      <c r="BJ32" s="221"/>
      <c r="BL32" s="135"/>
      <c r="BM32" s="221"/>
      <c r="BO32" s="221"/>
      <c r="BQ32" s="135"/>
      <c r="BR32" s="221"/>
      <c r="BS32" s="221"/>
      <c r="BT32" s="221"/>
      <c r="BV32" s="135"/>
      <c r="BW32" s="221"/>
      <c r="BX32" s="221"/>
      <c r="BY32" s="221"/>
      <c r="BZ32" s="221"/>
      <c r="CA32" s="135"/>
      <c r="CB32" s="221"/>
      <c r="CC32" s="221"/>
      <c r="CD32" s="221"/>
      <c r="CE32" s="221"/>
      <c r="CF32" s="135"/>
      <c r="CG32" s="221"/>
      <c r="CH32" s="221"/>
      <c r="CI32" s="221"/>
      <c r="CJ32" s="221"/>
      <c r="CK32" s="222"/>
      <c r="CL32" s="221">
        <f>data!CL126</f>
        <v>0</v>
      </c>
      <c r="CM32" s="221">
        <f>data!CM126-CL32</f>
        <v>0</v>
      </c>
      <c r="CN32" s="216">
        <f>data!CN126-CM32-CL32</f>
        <v>0</v>
      </c>
      <c r="CO32" s="221">
        <f>data!CO126-CN32-CM32-CL32</f>
        <v>417</v>
      </c>
      <c r="CP32" s="222">
        <f t="shared" si="42"/>
        <v>417</v>
      </c>
      <c r="CQ32" s="221">
        <f>data!CQ126</f>
        <v>735</v>
      </c>
      <c r="CR32" s="221">
        <f>data!CR126-CQ32</f>
        <v>971</v>
      </c>
      <c r="CS32" s="221">
        <f>data!CS126-CR32-CQ32</f>
        <v>1255</v>
      </c>
      <c r="CT32" s="221">
        <f>data!CT126-CS32-CR32-CQ32</f>
        <v>1184</v>
      </c>
      <c r="CU32" s="222">
        <f t="shared" si="43"/>
        <v>4145</v>
      </c>
      <c r="CV32" s="221">
        <f>data!CV126</f>
        <v>1302</v>
      </c>
      <c r="CW32" s="221">
        <f>data!CW126-CV32</f>
        <v>2481</v>
      </c>
      <c r="CX32" s="221">
        <f>data!CX126-CW32-CV32</f>
        <v>288</v>
      </c>
      <c r="CY32" s="221">
        <f>data!CY126-CX32-CW32-CV32</f>
        <v>646</v>
      </c>
      <c r="CZ32" s="222">
        <f t="shared" si="44"/>
        <v>4717</v>
      </c>
      <c r="DA32" s="221">
        <f>data!DA126</f>
        <v>2025</v>
      </c>
      <c r="DB32" s="221">
        <f>data!DB126-DA32</f>
        <v>2279</v>
      </c>
      <c r="DC32" s="221">
        <f>data!DC126-DB32-DA32</f>
        <v>2733</v>
      </c>
      <c r="DD32" s="221">
        <f>data!DD126-DC32-DB32-DA32</f>
        <v>1967</v>
      </c>
      <c r="DE32" s="222">
        <f t="shared" si="45"/>
        <v>9004</v>
      </c>
      <c r="DF32" s="221">
        <f>data!DF126</f>
        <v>2610</v>
      </c>
      <c r="DG32" s="221">
        <f>data!DG126-DF32</f>
        <v>0</v>
      </c>
      <c r="DH32" s="221">
        <f>data!DH126-DG32-DF32</f>
        <v>1470</v>
      </c>
      <c r="DI32" s="221">
        <f>data!DI126-DH32-DG32-DF32</f>
        <v>1170</v>
      </c>
      <c r="DJ32" s="222">
        <f t="shared" si="46"/>
        <v>5250</v>
      </c>
      <c r="DK32" s="221">
        <f>data!DK126</f>
        <v>0</v>
      </c>
      <c r="DL32" s="221">
        <f>data!DL126-DK32</f>
        <v>0</v>
      </c>
      <c r="DM32" s="246">
        <v>0</v>
      </c>
      <c r="DN32" s="246">
        <v>0</v>
      </c>
      <c r="DO32" s="222">
        <f t="shared" si="47"/>
        <v>0</v>
      </c>
      <c r="DP32" s="246">
        <v>0</v>
      </c>
      <c r="DQ32" s="246">
        <v>0</v>
      </c>
      <c r="DR32" s="246">
        <v>0</v>
      </c>
      <c r="DS32" s="246">
        <v>0</v>
      </c>
      <c r="DT32" s="222">
        <f t="shared" si="48"/>
        <v>0</v>
      </c>
      <c r="DU32" s="247">
        <v>0</v>
      </c>
      <c r="DV32" s="247">
        <v>0</v>
      </c>
    </row>
    <row r="33" spans="2:126" s="131" customFormat="1">
      <c r="B33" s="131" t="s">
        <v>519</v>
      </c>
      <c r="C33" s="135"/>
      <c r="D33" s="135"/>
      <c r="E33" s="135"/>
      <c r="F33" s="135"/>
      <c r="G33" s="135"/>
      <c r="H33" s="135"/>
      <c r="I33" s="135"/>
      <c r="N33" s="135"/>
      <c r="S33" s="135"/>
      <c r="X33" s="135"/>
      <c r="AC33" s="135"/>
      <c r="AH33" s="135"/>
      <c r="AM33" s="135"/>
      <c r="AN33" s="15"/>
      <c r="AR33" s="135"/>
      <c r="AS33" s="15"/>
      <c r="AW33" s="135"/>
      <c r="AX33" s="221"/>
      <c r="BB33" s="135"/>
      <c r="BC33" s="221"/>
      <c r="BE33" s="221"/>
      <c r="BG33" s="135"/>
      <c r="BH33" s="221"/>
      <c r="BJ33" s="221"/>
      <c r="BL33" s="135"/>
      <c r="BM33" s="221"/>
      <c r="BO33" s="221"/>
      <c r="BQ33" s="135"/>
      <c r="BR33" s="221"/>
      <c r="BS33" s="221"/>
      <c r="BT33" s="221"/>
      <c r="BV33" s="135"/>
      <c r="BW33" s="221"/>
      <c r="BX33" s="221"/>
      <c r="BY33" s="221"/>
      <c r="BZ33" s="221"/>
      <c r="CA33" s="135"/>
      <c r="CB33" s="221"/>
      <c r="CC33" s="221"/>
      <c r="CD33" s="221"/>
      <c r="CE33" s="221"/>
      <c r="CF33" s="135"/>
      <c r="CG33" s="221"/>
      <c r="CH33" s="221"/>
      <c r="CI33" s="221"/>
      <c r="CJ33" s="221"/>
      <c r="CK33" s="222"/>
      <c r="CL33" s="221">
        <f>data!CL127</f>
        <v>-1289</v>
      </c>
      <c r="CM33" s="221">
        <f>data!CM127-CL33</f>
        <v>-45</v>
      </c>
      <c r="CN33" s="221">
        <f>data!CN127-CM33-CL33</f>
        <v>42</v>
      </c>
      <c r="CO33" s="221">
        <f>data!CO127-CN33-CM33-CL33</f>
        <v>-60</v>
      </c>
      <c r="CP33" s="222">
        <f t="shared" si="42"/>
        <v>-1352</v>
      </c>
      <c r="CQ33" s="221">
        <f>data!CQ127</f>
        <v>-709</v>
      </c>
      <c r="CR33" s="221">
        <f>data!CR127-CQ33</f>
        <v>-400</v>
      </c>
      <c r="CS33" s="221">
        <f>data!CS127-CR33-CQ33</f>
        <v>-49</v>
      </c>
      <c r="CT33" s="221">
        <f>data!CT127-CS33-CR33-CQ33</f>
        <v>-132</v>
      </c>
      <c r="CU33" s="222">
        <f t="shared" si="43"/>
        <v>-1290</v>
      </c>
      <c r="CV33" s="221">
        <f>data!CV127</f>
        <v>-1344</v>
      </c>
      <c r="CW33" s="221">
        <f>data!CW127-CV33</f>
        <v>-12</v>
      </c>
      <c r="CX33" s="221">
        <f>data!CX127-CW33-CV33</f>
        <v>167</v>
      </c>
      <c r="CY33" s="221">
        <f>data!CY127-CX33-CW33-CV33</f>
        <v>313</v>
      </c>
      <c r="CZ33" s="222">
        <f t="shared" si="44"/>
        <v>-876</v>
      </c>
      <c r="DA33" s="221">
        <f>data!DA127</f>
        <v>-1556</v>
      </c>
      <c r="DB33" s="221">
        <f>data!DB127-DA33</f>
        <v>175</v>
      </c>
      <c r="DC33" s="221">
        <f>data!DC127-DB33-DA33</f>
        <v>141</v>
      </c>
      <c r="DD33" s="221">
        <f>data!DD127-DC33-DB33-DA33</f>
        <v>254</v>
      </c>
      <c r="DE33" s="222">
        <f t="shared" si="45"/>
        <v>-986</v>
      </c>
      <c r="DF33" s="221">
        <f>data!DF127</f>
        <v>-1141</v>
      </c>
      <c r="DG33" s="221">
        <f>data!DG127-DF33</f>
        <v>176</v>
      </c>
      <c r="DH33" s="221">
        <f>data!DH127-DG33-DF33</f>
        <v>267</v>
      </c>
      <c r="DI33" s="221">
        <f>data!DI127-DH33-DG33-DF33</f>
        <v>-265</v>
      </c>
      <c r="DJ33" s="222">
        <f t="shared" si="46"/>
        <v>-963</v>
      </c>
      <c r="DK33" s="221">
        <f>data!DK127</f>
        <v>0</v>
      </c>
      <c r="DL33" s="221">
        <f>data!DL127-DK33</f>
        <v>361</v>
      </c>
      <c r="DM33" s="246">
        <v>0</v>
      </c>
      <c r="DN33" s="246">
        <v>0</v>
      </c>
      <c r="DO33" s="222">
        <f t="shared" si="47"/>
        <v>361</v>
      </c>
      <c r="DP33" s="246">
        <v>0</v>
      </c>
      <c r="DQ33" s="246">
        <v>0</v>
      </c>
      <c r="DR33" s="246">
        <v>0</v>
      </c>
      <c r="DS33" s="246">
        <v>0</v>
      </c>
      <c r="DT33" s="222">
        <f t="shared" si="48"/>
        <v>0</v>
      </c>
      <c r="DU33" s="247">
        <v>0</v>
      </c>
      <c r="DV33" s="247">
        <v>0</v>
      </c>
    </row>
    <row r="34" spans="2:126" s="131" customFormat="1">
      <c r="B34" s="131" t="s">
        <v>520</v>
      </c>
      <c r="C34" s="135"/>
      <c r="D34" s="135"/>
      <c r="E34" s="135"/>
      <c r="F34" s="135"/>
      <c r="G34" s="135"/>
      <c r="H34" s="135"/>
      <c r="I34" s="135"/>
      <c r="N34" s="135"/>
      <c r="S34" s="135"/>
      <c r="X34" s="135"/>
      <c r="AC34" s="135"/>
      <c r="AH34" s="135"/>
      <c r="AM34" s="135"/>
      <c r="AN34" s="15"/>
      <c r="AR34" s="135"/>
      <c r="AS34" s="15"/>
      <c r="AW34" s="135"/>
      <c r="AX34" s="221"/>
      <c r="BB34" s="135"/>
      <c r="BC34" s="221"/>
      <c r="BE34" s="221"/>
      <c r="BG34" s="135"/>
      <c r="BH34" s="221"/>
      <c r="BJ34" s="221"/>
      <c r="BL34" s="135"/>
      <c r="BM34" s="221"/>
      <c r="BO34" s="221"/>
      <c r="BQ34" s="135"/>
      <c r="BR34" s="221"/>
      <c r="BS34" s="221"/>
      <c r="BT34" s="221"/>
      <c r="BV34" s="135"/>
      <c r="BW34" s="221"/>
      <c r="BX34" s="221"/>
      <c r="BY34" s="221"/>
      <c r="BZ34" s="221"/>
      <c r="CA34" s="135"/>
      <c r="CB34" s="221"/>
      <c r="CC34" s="221"/>
      <c r="CD34" s="221"/>
      <c r="CE34" s="221"/>
      <c r="CF34" s="135"/>
      <c r="CG34" s="221"/>
      <c r="CH34" s="221"/>
      <c r="CI34" s="221"/>
      <c r="CJ34" s="221"/>
      <c r="CK34" s="222"/>
      <c r="CL34" s="221">
        <f>data!CL128</f>
        <v>1455</v>
      </c>
      <c r="CM34" s="221">
        <f>data!CM128-CL34</f>
        <v>-100</v>
      </c>
      <c r="CN34" s="221">
        <f>data!CN128-CM34-CL34</f>
        <v>364</v>
      </c>
      <c r="CO34" s="221">
        <f>data!CO128-CN34-CM34-CL34</f>
        <v>-439</v>
      </c>
      <c r="CP34" s="222">
        <f t="shared" si="42"/>
        <v>1280</v>
      </c>
      <c r="CQ34" s="221">
        <f>data!CQ128</f>
        <v>1121</v>
      </c>
      <c r="CR34" s="221">
        <f>data!CR128-CQ34</f>
        <v>347</v>
      </c>
      <c r="CS34" s="221">
        <f>data!CS128-CR34-CQ34</f>
        <v>444</v>
      </c>
      <c r="CT34" s="221">
        <f>data!CT128-CS34-CR34-CQ34</f>
        <v>21681</v>
      </c>
      <c r="CU34" s="222">
        <f t="shared" si="43"/>
        <v>23593</v>
      </c>
      <c r="CV34" s="221">
        <f>data!CV128</f>
        <v>239</v>
      </c>
      <c r="CW34" s="221">
        <f>data!CW128-CV34</f>
        <v>-781</v>
      </c>
      <c r="CX34" s="221">
        <f>data!CX128-CW34-CV34</f>
        <v>392</v>
      </c>
      <c r="CY34" s="221">
        <f>data!CY128-CX34-CW34-CV34</f>
        <v>8183</v>
      </c>
      <c r="CZ34" s="222">
        <f t="shared" si="44"/>
        <v>8033</v>
      </c>
      <c r="DA34" s="221">
        <f>data!DA128</f>
        <v>1096</v>
      </c>
      <c r="DB34" s="221">
        <f>data!DB128-DA34</f>
        <v>-133</v>
      </c>
      <c r="DC34" s="221">
        <f>data!DC128-DB34-DA34</f>
        <v>-57</v>
      </c>
      <c r="DD34" s="221">
        <f>data!DD128-DC34-DB34-DA34</f>
        <v>-115</v>
      </c>
      <c r="DE34" s="222">
        <f t="shared" si="45"/>
        <v>791</v>
      </c>
      <c r="DF34" s="221">
        <f>data!DF128</f>
        <v>-320</v>
      </c>
      <c r="DG34" s="221">
        <f>data!DG128-DF34</f>
        <v>-2974</v>
      </c>
      <c r="DH34" s="221">
        <f>data!DH128-DG34-DF34</f>
        <v>-703</v>
      </c>
      <c r="DI34" s="221">
        <f>data!DI128-DH34-DG34-DF34</f>
        <v>-292</v>
      </c>
      <c r="DJ34" s="222">
        <f t="shared" si="46"/>
        <v>-4289</v>
      </c>
      <c r="DK34" s="221">
        <f>data!DK128</f>
        <v>-22</v>
      </c>
      <c r="DL34" s="221">
        <f>data!DL128-DK34</f>
        <v>-408</v>
      </c>
      <c r="DM34" s="246">
        <v>0</v>
      </c>
      <c r="DN34" s="246">
        <v>0</v>
      </c>
      <c r="DO34" s="222">
        <f t="shared" si="47"/>
        <v>-430</v>
      </c>
      <c r="DP34" s="246">
        <v>0</v>
      </c>
      <c r="DQ34" s="246">
        <v>0</v>
      </c>
      <c r="DR34" s="246">
        <v>0</v>
      </c>
      <c r="DS34" s="246">
        <v>0</v>
      </c>
      <c r="DT34" s="222">
        <f t="shared" si="48"/>
        <v>0</v>
      </c>
      <c r="DU34" s="247">
        <v>0</v>
      </c>
      <c r="DV34" s="247">
        <v>0</v>
      </c>
    </row>
    <row r="35" spans="2:126" s="131" customFormat="1">
      <c r="B35" s="131" t="s">
        <v>529</v>
      </c>
      <c r="C35" s="135"/>
      <c r="D35" s="135"/>
      <c r="E35" s="135"/>
      <c r="F35" s="135"/>
      <c r="G35" s="135"/>
      <c r="H35" s="135"/>
      <c r="I35" s="135"/>
      <c r="N35" s="135"/>
      <c r="S35" s="135"/>
      <c r="X35" s="135"/>
      <c r="AC35" s="135"/>
      <c r="AH35" s="135"/>
      <c r="AM35" s="135"/>
      <c r="AN35" s="15"/>
      <c r="AR35" s="135"/>
      <c r="AS35" s="15"/>
      <c r="AW35" s="135"/>
      <c r="AX35" s="221"/>
      <c r="BB35" s="135"/>
      <c r="BC35" s="221"/>
      <c r="BE35" s="221"/>
      <c r="BG35" s="135"/>
      <c r="BH35" s="221"/>
      <c r="BJ35" s="221"/>
      <c r="BL35" s="135"/>
      <c r="BM35" s="221"/>
      <c r="BO35" s="221"/>
      <c r="BQ35" s="135"/>
      <c r="BR35" s="221"/>
      <c r="BS35" s="221"/>
      <c r="BT35" s="221"/>
      <c r="BV35" s="135"/>
      <c r="BW35" s="221"/>
      <c r="BX35" s="221"/>
      <c r="BY35" s="221"/>
      <c r="BZ35" s="221"/>
      <c r="CA35" s="135"/>
      <c r="CB35" s="221"/>
      <c r="CC35" s="221"/>
      <c r="CD35" s="221"/>
      <c r="CE35" s="221"/>
      <c r="CF35" s="135"/>
      <c r="CG35" s="221"/>
      <c r="CH35" s="221"/>
      <c r="CI35" s="221"/>
      <c r="CJ35" s="221"/>
      <c r="CK35" s="222"/>
      <c r="CL35" s="221">
        <f>data!CL130</f>
        <v>-920</v>
      </c>
      <c r="CM35" s="221">
        <f>data!CM130-CL35</f>
        <v>-318</v>
      </c>
      <c r="CN35" s="221">
        <f>data!CN130-CM35-CL35</f>
        <v>-728</v>
      </c>
      <c r="CO35" s="221">
        <f>data!CO130-CN35-CM35-CL35</f>
        <v>-660</v>
      </c>
      <c r="CP35" s="222">
        <f>SUM(CL35:CO35)</f>
        <v>-2626</v>
      </c>
      <c r="CQ35" s="221">
        <f>data!CQ130</f>
        <v>-646</v>
      </c>
      <c r="CR35" s="221">
        <f>data!CR130-CQ35</f>
        <v>-977</v>
      </c>
      <c r="CS35" s="221">
        <f>data!CS130-CR35-CQ35</f>
        <v>-1060</v>
      </c>
      <c r="CT35" s="221">
        <f>data!CT130-CS35-CR35-CQ35</f>
        <v>286</v>
      </c>
      <c r="CU35" s="222">
        <f>SUM(CQ35:CT35)</f>
        <v>-2397</v>
      </c>
      <c r="CV35" s="221">
        <f>data!CV130</f>
        <v>-407</v>
      </c>
      <c r="CW35" s="221">
        <f>data!CW130-CV35</f>
        <v>528</v>
      </c>
      <c r="CX35" s="221">
        <f>data!CX130-CW35-CV35</f>
        <v>-602</v>
      </c>
      <c r="CY35" s="221">
        <f>data!CY130-CX35-CW35-CV35</f>
        <v>-8140</v>
      </c>
      <c r="CZ35" s="222">
        <f>SUM(CV35:CY35)</f>
        <v>-8621</v>
      </c>
      <c r="DA35" s="221">
        <f>data!DA130</f>
        <v>-3068</v>
      </c>
      <c r="DB35" s="221">
        <f>data!DB130-DA35</f>
        <v>-45</v>
      </c>
      <c r="DC35" s="221">
        <f>data!DC130-DB35-DA35</f>
        <v>55</v>
      </c>
      <c r="DD35" s="221">
        <f>data!DD130-DC35-DB35-DA35</f>
        <v>98</v>
      </c>
      <c r="DE35" s="222">
        <f>SUM(DA35:DD35)</f>
        <v>-2960</v>
      </c>
      <c r="DF35" s="221">
        <f>data!DF130</f>
        <v>38</v>
      </c>
      <c r="DG35" s="221">
        <f>data!DG130-DF35</f>
        <v>-1529</v>
      </c>
      <c r="DH35" s="221">
        <f>data!DH130-DG35-DF35</f>
        <v>401</v>
      </c>
      <c r="DI35" s="221">
        <f>data!DI130-DH35-DG35-DF35</f>
        <v>-20</v>
      </c>
      <c r="DJ35" s="222">
        <f>SUM(DF35:DI35)</f>
        <v>-1110</v>
      </c>
      <c r="DK35" s="221">
        <f>data!DK130</f>
        <v>3</v>
      </c>
      <c r="DL35" s="221">
        <f>data!DL130-DK35</f>
        <v>79</v>
      </c>
      <c r="DM35" s="246">
        <v>0</v>
      </c>
      <c r="DN35" s="246">
        <v>0</v>
      </c>
      <c r="DO35" s="222">
        <f t="shared" si="47"/>
        <v>82</v>
      </c>
      <c r="DP35" s="246">
        <v>0</v>
      </c>
      <c r="DQ35" s="246">
        <v>0</v>
      </c>
      <c r="DR35" s="246">
        <v>0</v>
      </c>
      <c r="DS35" s="246">
        <v>0</v>
      </c>
      <c r="DT35" s="222">
        <f t="shared" si="48"/>
        <v>0</v>
      </c>
      <c r="DU35" s="247">
        <v>0</v>
      </c>
      <c r="DV35" s="247">
        <v>0</v>
      </c>
    </row>
    <row r="36" spans="2:126" s="131" customFormat="1" ht="12">
      <c r="B36" s="249" t="s">
        <v>204</v>
      </c>
      <c r="C36" s="250" t="e">
        <f t="shared" ref="C36:AL36" si="49">SUM(C26:C35)</f>
        <v>#REF!</v>
      </c>
      <c r="D36" s="250" t="e">
        <f t="shared" si="49"/>
        <v>#REF!</v>
      </c>
      <c r="E36" s="250" t="e">
        <f t="shared" si="49"/>
        <v>#REF!</v>
      </c>
      <c r="F36" s="250" t="e">
        <f t="shared" si="49"/>
        <v>#REF!</v>
      </c>
      <c r="G36" s="250" t="e">
        <f t="shared" si="49"/>
        <v>#REF!</v>
      </c>
      <c r="H36" s="250" t="e">
        <f t="shared" si="49"/>
        <v>#REF!</v>
      </c>
      <c r="I36" s="250" t="e">
        <f t="shared" si="49"/>
        <v>#REF!</v>
      </c>
      <c r="J36" s="249" t="e">
        <f t="shared" si="49"/>
        <v>#REF!</v>
      </c>
      <c r="K36" s="249" t="e">
        <f t="shared" si="49"/>
        <v>#REF!</v>
      </c>
      <c r="L36" s="249" t="e">
        <f t="shared" si="49"/>
        <v>#REF!</v>
      </c>
      <c r="M36" s="249" t="e">
        <f t="shared" si="49"/>
        <v>#REF!</v>
      </c>
      <c r="N36" s="250" t="e">
        <f t="shared" si="49"/>
        <v>#REF!</v>
      </c>
      <c r="O36" s="249" t="e">
        <f t="shared" si="49"/>
        <v>#REF!</v>
      </c>
      <c r="P36" s="249" t="e">
        <f t="shared" si="49"/>
        <v>#REF!</v>
      </c>
      <c r="Q36" s="249" t="e">
        <f t="shared" si="49"/>
        <v>#REF!</v>
      </c>
      <c r="R36" s="249" t="e">
        <f t="shared" si="49"/>
        <v>#REF!</v>
      </c>
      <c r="S36" s="250" t="e">
        <f t="shared" si="49"/>
        <v>#REF!</v>
      </c>
      <c r="T36" s="249" t="e">
        <f t="shared" si="49"/>
        <v>#REF!</v>
      </c>
      <c r="U36" s="249" t="e">
        <f t="shared" si="49"/>
        <v>#REF!</v>
      </c>
      <c r="V36" s="249" t="e">
        <f t="shared" si="49"/>
        <v>#REF!</v>
      </c>
      <c r="W36" s="249" t="e">
        <f t="shared" si="49"/>
        <v>#REF!</v>
      </c>
      <c r="X36" s="250" t="e">
        <f t="shared" si="49"/>
        <v>#REF!</v>
      </c>
      <c r="Y36" s="249" t="e">
        <f t="shared" si="49"/>
        <v>#REF!</v>
      </c>
      <c r="Z36" s="249" t="e">
        <f t="shared" si="49"/>
        <v>#REF!</v>
      </c>
      <c r="AA36" s="249" t="e">
        <f t="shared" si="49"/>
        <v>#REF!</v>
      </c>
      <c r="AB36" s="249" t="e">
        <f t="shared" si="49"/>
        <v>#REF!</v>
      </c>
      <c r="AC36" s="250" t="e">
        <f t="shared" si="49"/>
        <v>#REF!</v>
      </c>
      <c r="AD36" s="249" t="e">
        <f t="shared" si="49"/>
        <v>#REF!</v>
      </c>
      <c r="AE36" s="249" t="e">
        <f t="shared" si="49"/>
        <v>#REF!</v>
      </c>
      <c r="AF36" s="249" t="e">
        <f t="shared" si="49"/>
        <v>#REF!</v>
      </c>
      <c r="AG36" s="249" t="e">
        <f t="shared" si="49"/>
        <v>#REF!</v>
      </c>
      <c r="AH36" s="250" t="e">
        <f t="shared" si="49"/>
        <v>#REF!</v>
      </c>
      <c r="AI36" s="249" t="e">
        <f t="shared" si="49"/>
        <v>#REF!</v>
      </c>
      <c r="AJ36" s="249" t="e">
        <f t="shared" si="49"/>
        <v>#REF!</v>
      </c>
      <c r="AK36" s="249" t="e">
        <f t="shared" si="49"/>
        <v>#REF!</v>
      </c>
      <c r="AL36" s="249" t="e">
        <f t="shared" si="49"/>
        <v>#REF!</v>
      </c>
      <c r="AM36" s="250" t="e">
        <f t="shared" si="12"/>
        <v>#REF!</v>
      </c>
      <c r="AN36" s="249" t="e">
        <f>SUM(AN26:AN35)</f>
        <v>#REF!</v>
      </c>
      <c r="AO36" s="249" t="e">
        <f>SUM(AO26:AO35)</f>
        <v>#REF!</v>
      </c>
      <c r="AP36" s="249" t="e">
        <f>SUM(AP26:AP35)</f>
        <v>#REF!</v>
      </c>
      <c r="AQ36" s="249" t="e">
        <f>SUM(AQ26:AQ35)</f>
        <v>#REF!</v>
      </c>
      <c r="AR36" s="250" t="e">
        <f t="shared" si="13"/>
        <v>#REF!</v>
      </c>
      <c r="AS36" s="249" t="e">
        <f>SUM(AS26:AS35)</f>
        <v>#REF!</v>
      </c>
      <c r="AT36" s="249" t="e">
        <f>SUM(AT26:AT35)</f>
        <v>#REF!</v>
      </c>
      <c r="AU36" s="249" t="e">
        <f>SUM(AU26:AU35)</f>
        <v>#REF!</v>
      </c>
      <c r="AV36" s="249" t="e">
        <f>SUM(AV26:AV35)</f>
        <v>#REF!</v>
      </c>
      <c r="AW36" s="250" t="e">
        <f t="shared" si="15"/>
        <v>#REF!</v>
      </c>
      <c r="AX36" s="234" t="e">
        <f>SUM(AX26:AX35)</f>
        <v>#REF!</v>
      </c>
      <c r="AY36" s="249" t="e">
        <f>SUM(AY26:AY35)</f>
        <v>#REF!</v>
      </c>
      <c r="AZ36" s="249" t="e">
        <f>SUM(AZ26:AZ35)</f>
        <v>#REF!</v>
      </c>
      <c r="BA36" s="249" t="e">
        <f>SUM(BA26:BA35)</f>
        <v>#REF!</v>
      </c>
      <c r="BB36" s="250"/>
      <c r="BC36" s="234"/>
      <c r="BD36" s="249"/>
      <c r="BE36" s="249"/>
      <c r="BF36" s="249"/>
      <c r="BG36" s="250"/>
      <c r="BH36" s="234"/>
      <c r="BI36" s="249"/>
      <c r="BJ36" s="249"/>
      <c r="BK36" s="249"/>
      <c r="BL36" s="250"/>
      <c r="BM36" s="234"/>
      <c r="BN36" s="249"/>
      <c r="BO36" s="249"/>
      <c r="BP36" s="249"/>
      <c r="BQ36" s="250"/>
      <c r="BR36" s="234"/>
      <c r="BS36" s="234"/>
      <c r="BT36" s="249"/>
      <c r="BU36" s="249"/>
      <c r="BV36" s="250"/>
      <c r="BW36" s="234"/>
      <c r="BX36" s="234"/>
      <c r="BY36" s="249"/>
      <c r="BZ36" s="234"/>
      <c r="CA36" s="250"/>
      <c r="CB36" s="234"/>
      <c r="CC36" s="234"/>
      <c r="CD36" s="249"/>
      <c r="CE36" s="234"/>
      <c r="CF36" s="250"/>
      <c r="CG36" s="234"/>
      <c r="CH36" s="234"/>
      <c r="CI36" s="249"/>
      <c r="CJ36" s="234"/>
      <c r="CK36" s="236"/>
      <c r="CL36" s="234">
        <f>SUM(CL26:CL35)</f>
        <v>19106</v>
      </c>
      <c r="CM36" s="234">
        <f t="shared" ref="CM36:CP36" si="50">SUM(CM26:CM35)</f>
        <v>-664</v>
      </c>
      <c r="CN36" s="249">
        <f t="shared" si="50"/>
        <v>-739</v>
      </c>
      <c r="CO36" s="234">
        <f t="shared" si="50"/>
        <v>-1033</v>
      </c>
      <c r="CP36" s="236">
        <f t="shared" si="50"/>
        <v>16670</v>
      </c>
      <c r="CQ36" s="234">
        <f>SUM(CQ26:CQ35)</f>
        <v>201</v>
      </c>
      <c r="CR36" s="234">
        <f t="shared" ref="CR36" si="51">SUM(CR26:CR35)</f>
        <v>-307</v>
      </c>
      <c r="CS36" s="249">
        <f t="shared" ref="CS36" si="52">SUM(CS26:CS35)</f>
        <v>333</v>
      </c>
      <c r="CT36" s="234">
        <f t="shared" ref="CT36" si="53">SUM(CT26:CT35)</f>
        <v>21081</v>
      </c>
      <c r="CU36" s="236">
        <f t="shared" ref="CU36" si="54">SUM(CU26:CU35)</f>
        <v>21308</v>
      </c>
      <c r="CV36" s="234">
        <f>SUM(CV26:CV35)</f>
        <v>-443</v>
      </c>
      <c r="CW36" s="234">
        <f t="shared" ref="CW36" si="55">SUM(CW26:CW35)</f>
        <v>1969</v>
      </c>
      <c r="CX36" s="249">
        <f t="shared" ref="CX36" si="56">SUM(CX26:CX35)</f>
        <v>66</v>
      </c>
      <c r="CY36" s="234">
        <f t="shared" ref="CY36" si="57">SUM(CY26:CY35)</f>
        <v>678</v>
      </c>
      <c r="CZ36" s="236">
        <f t="shared" ref="CZ36" si="58">SUM(CZ26:CZ35)</f>
        <v>2270</v>
      </c>
      <c r="DA36" s="234">
        <f>SUM(DA26:DA35)</f>
        <v>-1795</v>
      </c>
      <c r="DB36" s="234">
        <f t="shared" ref="DB36" si="59">SUM(DB26:DB35)</f>
        <v>1634</v>
      </c>
      <c r="DC36" s="249">
        <f t="shared" ref="DC36" si="60">SUM(DC26:DC35)</f>
        <v>2453</v>
      </c>
      <c r="DD36" s="234">
        <f t="shared" ref="DD36" si="61">SUM(DD26:DD35)</f>
        <v>1686</v>
      </c>
      <c r="DE36" s="236">
        <f t="shared" ref="DE36" si="62">SUM(DE26:DE35)</f>
        <v>3978</v>
      </c>
      <c r="DF36" s="249">
        <f t="shared" ref="DF36:DU36" si="63">SUM(DF26:DF35)</f>
        <v>807</v>
      </c>
      <c r="DG36" s="234">
        <f t="shared" si="63"/>
        <v>-4285</v>
      </c>
      <c r="DH36" s="249">
        <f t="shared" si="63"/>
        <v>1491</v>
      </c>
      <c r="DI36" s="234">
        <f t="shared" si="63"/>
        <v>321</v>
      </c>
      <c r="DJ36" s="236">
        <f t="shared" si="63"/>
        <v>-1666</v>
      </c>
      <c r="DK36" s="249">
        <f t="shared" ref="DK36:DL36" si="64">SUM(DK26:DK35)</f>
        <v>-317</v>
      </c>
      <c r="DL36" s="234">
        <f t="shared" si="64"/>
        <v>-534</v>
      </c>
      <c r="DM36" s="249">
        <f t="shared" si="63"/>
        <v>-320</v>
      </c>
      <c r="DN36" s="249">
        <f t="shared" si="63"/>
        <v>-350</v>
      </c>
      <c r="DO36" s="236">
        <f t="shared" si="63"/>
        <v>-1521</v>
      </c>
      <c r="DP36" s="249">
        <f t="shared" si="63"/>
        <v>-330</v>
      </c>
      <c r="DQ36" s="249">
        <f t="shared" ref="DQ36:DT36" si="65">SUM(DQ26:DQ35)</f>
        <v>-350</v>
      </c>
      <c r="DR36" s="249">
        <f t="shared" si="65"/>
        <v>-350</v>
      </c>
      <c r="DS36" s="249">
        <f t="shared" si="65"/>
        <v>-350</v>
      </c>
      <c r="DT36" s="236">
        <f t="shared" si="65"/>
        <v>-1380</v>
      </c>
      <c r="DU36" s="250">
        <f t="shared" si="63"/>
        <v>-1400</v>
      </c>
      <c r="DV36" s="250">
        <f t="shared" ref="DV36" si="66">SUM(DV26:DV35)</f>
        <v>-1450</v>
      </c>
    </row>
    <row r="37" spans="2:126" s="131" customFormat="1">
      <c r="B37" s="131" t="s">
        <v>536</v>
      </c>
      <c r="C37" s="135">
        <f>data!C132</f>
        <v>0</v>
      </c>
      <c r="D37" s="135">
        <f>data!D132</f>
        <v>0</v>
      </c>
      <c r="E37" s="135">
        <f>data!E132</f>
        <v>0</v>
      </c>
      <c r="F37" s="135">
        <f>data!F132</f>
        <v>0</v>
      </c>
      <c r="G37" s="135">
        <f>data!G132</f>
        <v>0</v>
      </c>
      <c r="H37" s="135">
        <f>data!H132</f>
        <v>0</v>
      </c>
      <c r="I37" s="135">
        <f>data!I132</f>
        <v>0</v>
      </c>
      <c r="J37" s="131">
        <f>data!J132</f>
        <v>0</v>
      </c>
      <c r="K37" s="131">
        <f>data!K132-J37</f>
        <v>0</v>
      </c>
      <c r="L37" s="131">
        <f>data!L132-K37-J37</f>
        <v>0</v>
      </c>
      <c r="M37" s="131">
        <f>data!M132-L37-K37-J37</f>
        <v>0</v>
      </c>
      <c r="N37" s="135">
        <f t="shared" ref="N37:N44" si="67">SUM(J37:M37)</f>
        <v>0</v>
      </c>
      <c r="O37" s="131">
        <f>data!O132</f>
        <v>0</v>
      </c>
      <c r="P37" s="131">
        <f>data!P132-O37</f>
        <v>0</v>
      </c>
      <c r="Q37" s="131">
        <f>data!Q132-P37-O37</f>
        <v>0</v>
      </c>
      <c r="R37" s="131">
        <f>data!R132-Q37-P37-O37</f>
        <v>0</v>
      </c>
      <c r="S37" s="135">
        <f t="shared" ref="S37:S44" si="68">SUM(O37:R37)</f>
        <v>0</v>
      </c>
      <c r="T37" s="131">
        <f>data!T132</f>
        <v>0</v>
      </c>
      <c r="U37" s="131">
        <f>data!U132-T37</f>
        <v>0</v>
      </c>
      <c r="V37" s="131">
        <f>data!V132-U37-T37</f>
        <v>0</v>
      </c>
      <c r="W37" s="131">
        <f>data!W132-V37-U37-T37</f>
        <v>0</v>
      </c>
      <c r="X37" s="135">
        <f t="shared" ref="X37:X44" si="69">SUM(T37:W37)</f>
        <v>0</v>
      </c>
      <c r="Y37" s="131">
        <f>data!Y132</f>
        <v>0</v>
      </c>
      <c r="Z37" s="131">
        <f>data!Z132-Y37</f>
        <v>0</v>
      </c>
      <c r="AA37" s="131">
        <f>data!AA132-Z37-Y37</f>
        <v>0</v>
      </c>
      <c r="AB37" s="131">
        <f>data!AB132-AA37-Z37-Y37</f>
        <v>0</v>
      </c>
      <c r="AC37" s="135">
        <f t="shared" ref="AC37:AC44" si="70">SUM(Y37:AB37)</f>
        <v>0</v>
      </c>
      <c r="AD37" s="131">
        <f>data!AD132</f>
        <v>0</v>
      </c>
      <c r="AE37" s="131">
        <f>data!AE132-AD37</f>
        <v>0</v>
      </c>
      <c r="AF37" s="131">
        <f>data!AF132-AE37-AD37</f>
        <v>0</v>
      </c>
      <c r="AG37" s="131">
        <f>data!AG132-AF37-AE37-AD37</f>
        <v>0</v>
      </c>
      <c r="AH37" s="135">
        <f t="shared" ref="AH37:AH44" si="71">SUM(AD37:AG37)</f>
        <v>0</v>
      </c>
      <c r="AI37" s="131">
        <f>data!AI132</f>
        <v>0</v>
      </c>
      <c r="AJ37" s="131">
        <f>data!AJ132-AI37</f>
        <v>0</v>
      </c>
      <c r="AK37" s="131">
        <f>data!AK132-AJ37-AI37</f>
        <v>0</v>
      </c>
      <c r="AL37" s="131">
        <f>data!AL132-AK37-AJ37-AI37</f>
        <v>0</v>
      </c>
      <c r="AM37" s="135">
        <f t="shared" si="12"/>
        <v>0</v>
      </c>
      <c r="AN37" s="15">
        <f>data!AN132</f>
        <v>0</v>
      </c>
      <c r="AO37" s="131">
        <f>data!AO132-AN37</f>
        <v>0</v>
      </c>
      <c r="AP37" s="131">
        <f>data!AP132-AO37-AN37</f>
        <v>0</v>
      </c>
      <c r="AQ37" s="131">
        <f>data!AQ132-AP37-AO37-AN37</f>
        <v>0</v>
      </c>
      <c r="AR37" s="135">
        <f t="shared" si="13"/>
        <v>0</v>
      </c>
      <c r="AS37" s="15">
        <f>data!AS132</f>
        <v>0</v>
      </c>
      <c r="AT37" s="131">
        <f>data!AT132-AS37</f>
        <v>0</v>
      </c>
      <c r="AU37" s="131">
        <f>data!AU132-AT37-AS37</f>
        <v>0</v>
      </c>
      <c r="AV37" s="131">
        <f>data!AV132-AU37-AT37-AS37</f>
        <v>0</v>
      </c>
      <c r="AW37" s="135">
        <f t="shared" si="15"/>
        <v>0</v>
      </c>
      <c r="AX37" s="221">
        <f>data!AX132</f>
        <v>0</v>
      </c>
      <c r="AY37" s="131">
        <f>data!AY132-AX37</f>
        <v>0</v>
      </c>
      <c r="AZ37" s="131">
        <f>data!AZ132-AY37-AX37</f>
        <v>0</v>
      </c>
      <c r="BA37" s="131">
        <f>data!BA132-AZ37-AY37-AX37</f>
        <v>0</v>
      </c>
      <c r="BB37" s="135"/>
      <c r="BC37" s="221"/>
      <c r="BE37" s="221"/>
      <c r="BG37" s="135"/>
      <c r="BH37" s="221"/>
      <c r="BJ37" s="221"/>
      <c r="BL37" s="135"/>
      <c r="BM37" s="221"/>
      <c r="BN37" s="221"/>
      <c r="BO37" s="221"/>
      <c r="BQ37" s="135"/>
      <c r="BR37" s="221"/>
      <c r="BS37" s="221"/>
      <c r="BT37" s="221"/>
      <c r="BV37" s="135"/>
      <c r="BW37" s="221"/>
      <c r="BX37" s="221"/>
      <c r="BY37" s="221"/>
      <c r="BZ37" s="221"/>
      <c r="CA37" s="135"/>
      <c r="CB37" s="221"/>
      <c r="CC37" s="221"/>
      <c r="CD37" s="221"/>
      <c r="CE37" s="221"/>
      <c r="CF37" s="135"/>
      <c r="CG37" s="221"/>
      <c r="CH37" s="221"/>
      <c r="CI37" s="221"/>
      <c r="CJ37" s="221"/>
      <c r="CK37" s="222"/>
      <c r="CL37" s="221">
        <f>data!CL132</f>
        <v>-1905</v>
      </c>
      <c r="CM37" s="221">
        <f>data!CM132-CL37</f>
        <v>-1507</v>
      </c>
      <c r="CN37" s="221">
        <f>data!CN132-CM37-CL37</f>
        <v>-786</v>
      </c>
      <c r="CO37" s="221">
        <f>data!CO132-CN37-CM37-CL37</f>
        <v>30</v>
      </c>
      <c r="CP37" s="222">
        <f t="shared" ref="CP37" si="72">SUM(CL37:CO37)</f>
        <v>-4168</v>
      </c>
      <c r="CQ37" s="221">
        <f>data!CQ132</f>
        <v>-319</v>
      </c>
      <c r="CR37" s="221">
        <f>data!CR132-CQ37</f>
        <v>-40</v>
      </c>
      <c r="CS37" s="221">
        <f>data!CS132-CR37-CQ37</f>
        <v>-31</v>
      </c>
      <c r="CT37" s="221">
        <f>data!CT132-CS37-CR37-CQ37</f>
        <v>-320</v>
      </c>
      <c r="CU37" s="222">
        <f t="shared" ref="CU37:CU43" si="73">SUM(CQ37:CT37)</f>
        <v>-710</v>
      </c>
      <c r="CV37" s="221">
        <f>data!CV132</f>
        <v>45</v>
      </c>
      <c r="CW37" s="221">
        <f>data!CW132-CV37</f>
        <v>18</v>
      </c>
      <c r="CX37" s="221">
        <f>data!CX132-CW37-CV37</f>
        <v>3</v>
      </c>
      <c r="CY37" s="221">
        <f>data!CY132-CX37-CW37-CV37</f>
        <v>-10</v>
      </c>
      <c r="CZ37" s="222">
        <f t="shared" ref="CZ37:CZ43" si="74">SUM(CV37:CY37)</f>
        <v>56</v>
      </c>
      <c r="DA37" s="221">
        <f>data!DA132</f>
        <v>1</v>
      </c>
      <c r="DB37" s="221">
        <f>data!DB132-DA37</f>
        <v>-32</v>
      </c>
      <c r="DC37" s="221">
        <f>data!DC132-DB37-DA37</f>
        <v>-4</v>
      </c>
      <c r="DD37" s="221">
        <f>data!DD132-DC37-DB37-DA37</f>
        <v>-20</v>
      </c>
      <c r="DE37" s="222">
        <f t="shared" ref="DE37:DE43" si="75">SUM(DA37:DD37)</f>
        <v>-55</v>
      </c>
      <c r="DF37" s="221">
        <f>data!DF132</f>
        <v>-37</v>
      </c>
      <c r="DG37" s="221">
        <f>data!DG132-DF37</f>
        <v>39</v>
      </c>
      <c r="DH37" s="221">
        <f>data!DH132-DG37-DF37</f>
        <v>1</v>
      </c>
      <c r="DI37" s="221">
        <f>data!DI132-DH37-DG37-DF37</f>
        <v>-1</v>
      </c>
      <c r="DJ37" s="222">
        <f t="shared" ref="DJ37:DJ44" si="76">SUM(DF37:DI37)</f>
        <v>2</v>
      </c>
      <c r="DK37" s="221">
        <f>data!DK132</f>
        <v>0</v>
      </c>
      <c r="DL37" s="221">
        <f>data!DL132-DK37</f>
        <v>25</v>
      </c>
      <c r="DM37" s="246">
        <v>0</v>
      </c>
      <c r="DN37" s="246">
        <v>0</v>
      </c>
      <c r="DO37" s="222">
        <f t="shared" ref="DO37:DO44" si="77">SUM(DK37:DN37)</f>
        <v>25</v>
      </c>
      <c r="DP37" s="246">
        <v>0</v>
      </c>
      <c r="DQ37" s="246">
        <v>0</v>
      </c>
      <c r="DR37" s="246">
        <v>0</v>
      </c>
      <c r="DS37" s="246">
        <v>0</v>
      </c>
      <c r="DT37" s="222">
        <f t="shared" ref="DT37:DT44" si="78">SUM(DP37:DS37)</f>
        <v>0</v>
      </c>
      <c r="DU37" s="247">
        <v>0</v>
      </c>
      <c r="DV37" s="247">
        <v>0</v>
      </c>
    </row>
    <row r="38" spans="2:126" s="131" customFormat="1">
      <c r="B38" s="131" t="s">
        <v>522</v>
      </c>
      <c r="C38" s="135">
        <f>data!C133</f>
        <v>0</v>
      </c>
      <c r="D38" s="135">
        <f>data!D133</f>
        <v>0</v>
      </c>
      <c r="E38" s="135">
        <f>data!E133</f>
        <v>0</v>
      </c>
      <c r="F38" s="135">
        <f>data!F133</f>
        <v>0</v>
      </c>
      <c r="G38" s="135">
        <f>data!G133</f>
        <v>0</v>
      </c>
      <c r="H38" s="135">
        <f>data!H133</f>
        <v>0</v>
      </c>
      <c r="I38" s="135">
        <f>data!I133</f>
        <v>0</v>
      </c>
      <c r="J38" s="131">
        <f>data!J133</f>
        <v>0</v>
      </c>
      <c r="K38" s="131">
        <f>data!K133-J38</f>
        <v>0</v>
      </c>
      <c r="L38" s="131">
        <f>data!L133-K38-J38</f>
        <v>0</v>
      </c>
      <c r="M38" s="131">
        <f>data!M133-L38-K38-J38</f>
        <v>0</v>
      </c>
      <c r="N38" s="135">
        <f t="shared" si="67"/>
        <v>0</v>
      </c>
      <c r="O38" s="131">
        <f>data!O133</f>
        <v>0</v>
      </c>
      <c r="P38" s="131">
        <f>data!P133-O38</f>
        <v>0</v>
      </c>
      <c r="Q38" s="131">
        <f>data!Q133-P38-O38</f>
        <v>0</v>
      </c>
      <c r="R38" s="131">
        <f>data!R133-Q38-P38-O38</f>
        <v>0</v>
      </c>
      <c r="S38" s="135">
        <f t="shared" si="68"/>
        <v>0</v>
      </c>
      <c r="T38" s="131">
        <f>data!T133</f>
        <v>0</v>
      </c>
      <c r="U38" s="131">
        <f>data!U133-T38</f>
        <v>0</v>
      </c>
      <c r="V38" s="131">
        <f>data!V133-U38-T38</f>
        <v>0</v>
      </c>
      <c r="W38" s="131">
        <f>data!W133-V38-U38-T38</f>
        <v>0</v>
      </c>
      <c r="X38" s="135">
        <f t="shared" si="69"/>
        <v>0</v>
      </c>
      <c r="Y38" s="131">
        <f>data!Y133</f>
        <v>0</v>
      </c>
      <c r="Z38" s="131">
        <f>data!Z133-Y38</f>
        <v>0</v>
      </c>
      <c r="AA38" s="131">
        <f>data!AA133-Z38-Y38</f>
        <v>0</v>
      </c>
      <c r="AB38" s="131">
        <f>data!AB133-AA38-Z38-Y38</f>
        <v>0</v>
      </c>
      <c r="AC38" s="135">
        <f t="shared" si="70"/>
        <v>0</v>
      </c>
      <c r="AD38" s="131">
        <f>data!AD133</f>
        <v>0</v>
      </c>
      <c r="AE38" s="131">
        <f>data!AE133-AD38</f>
        <v>0</v>
      </c>
      <c r="AF38" s="131">
        <f>data!AF133-AE38-AD38</f>
        <v>0</v>
      </c>
      <c r="AG38" s="131">
        <f>data!AG133-AF38-AE38-AD38</f>
        <v>0</v>
      </c>
      <c r="AH38" s="135">
        <f t="shared" si="71"/>
        <v>0</v>
      </c>
      <c r="AI38" s="131">
        <f>data!AI133</f>
        <v>0</v>
      </c>
      <c r="AJ38" s="131">
        <f>data!AJ133-AI38</f>
        <v>0</v>
      </c>
      <c r="AK38" s="131">
        <f>data!AK133-AJ38-AI38</f>
        <v>0</v>
      </c>
      <c r="AL38" s="131">
        <f>data!AL133-AK38-AJ38-AI38</f>
        <v>0</v>
      </c>
      <c r="AM38" s="135">
        <f t="shared" si="12"/>
        <v>0</v>
      </c>
      <c r="AN38" s="15">
        <f>data!AN133</f>
        <v>0</v>
      </c>
      <c r="AO38" s="131">
        <f>data!AO133-AN38</f>
        <v>0</v>
      </c>
      <c r="AP38" s="131">
        <f>data!AP133-AO38-AN38</f>
        <v>0</v>
      </c>
      <c r="AQ38" s="131">
        <f>data!AQ133-AP38-AO38-AN38</f>
        <v>0</v>
      </c>
      <c r="AR38" s="135">
        <f t="shared" si="13"/>
        <v>0</v>
      </c>
      <c r="AS38" s="15">
        <f>data!AS133</f>
        <v>0</v>
      </c>
      <c r="AT38" s="131">
        <f>data!AT133-AS38</f>
        <v>0</v>
      </c>
      <c r="AU38" s="131">
        <f>data!AU133-AT38-AS38</f>
        <v>0</v>
      </c>
      <c r="AV38" s="131">
        <f>data!AV133-AU38-AT38-AS38</f>
        <v>0</v>
      </c>
      <c r="AW38" s="135">
        <f t="shared" si="15"/>
        <v>0</v>
      </c>
      <c r="AX38" s="221">
        <f>data!AX133</f>
        <v>0</v>
      </c>
      <c r="AY38" s="131">
        <f>data!AY133-AX38</f>
        <v>0</v>
      </c>
      <c r="AZ38" s="131">
        <f>data!AZ133-AY38-AX38</f>
        <v>0</v>
      </c>
      <c r="BA38" s="131">
        <f>data!BA133-AZ38-AY38-AX38</f>
        <v>0</v>
      </c>
      <c r="BB38" s="135"/>
      <c r="BC38" s="221"/>
      <c r="BE38" s="221"/>
      <c r="BG38" s="135"/>
      <c r="BH38" s="221"/>
      <c r="BJ38" s="221"/>
      <c r="BL38" s="135"/>
      <c r="BM38" s="221"/>
      <c r="BN38" s="221"/>
      <c r="BO38" s="221"/>
      <c r="BQ38" s="135"/>
      <c r="BR38" s="221"/>
      <c r="BS38" s="221"/>
      <c r="BT38" s="221"/>
      <c r="BV38" s="135"/>
      <c r="BW38" s="221"/>
      <c r="BX38" s="221"/>
      <c r="BY38" s="221"/>
      <c r="BZ38" s="221"/>
      <c r="CA38" s="135"/>
      <c r="CB38" s="221"/>
      <c r="CC38" s="221"/>
      <c r="CD38" s="221"/>
      <c r="CE38" s="221"/>
      <c r="CF38" s="135"/>
      <c r="CG38" s="221"/>
      <c r="CH38" s="221"/>
      <c r="CI38" s="221"/>
      <c r="CJ38" s="221"/>
      <c r="CK38" s="222"/>
      <c r="CL38" s="221">
        <f>data!CL133</f>
        <v>125</v>
      </c>
      <c r="CM38" s="221">
        <f>data!CM133-CL38</f>
        <v>14103</v>
      </c>
      <c r="CN38" s="221">
        <f>data!CN133-CM38-CL38</f>
        <v>224</v>
      </c>
      <c r="CO38" s="221">
        <f>data!CO133-CN38-CM38-CL38</f>
        <v>576</v>
      </c>
      <c r="CP38" s="222">
        <f t="shared" ref="CP38:CP44" si="79">SUM(CL38:CO38)</f>
        <v>15028</v>
      </c>
      <c r="CQ38" s="221">
        <f>data!CQ133</f>
        <v>314</v>
      </c>
      <c r="CR38" s="221">
        <f>data!CR133-CQ38</f>
        <v>44</v>
      </c>
      <c r="CS38" s="221">
        <f>data!CS133-CR38-CQ38</f>
        <v>6</v>
      </c>
      <c r="CT38" s="221">
        <f>data!CT133-CS38-CR38-CQ38</f>
        <v>0</v>
      </c>
      <c r="CU38" s="222">
        <f t="shared" si="73"/>
        <v>364</v>
      </c>
      <c r="CV38" s="221">
        <f>data!CV133</f>
        <v>0</v>
      </c>
      <c r="CW38" s="221">
        <f>data!CW133-CV38</f>
        <v>0</v>
      </c>
      <c r="CX38" s="221">
        <f>data!CX133-CW38-CV38</f>
        <v>0</v>
      </c>
      <c r="CY38" s="221">
        <f>data!CY133-CX38-CW38-CV38</f>
        <v>16</v>
      </c>
      <c r="CZ38" s="222">
        <f t="shared" si="74"/>
        <v>16</v>
      </c>
      <c r="DA38" s="221">
        <f>data!DA133</f>
        <v>9</v>
      </c>
      <c r="DB38" s="221">
        <f>data!DB133-DA38</f>
        <v>1</v>
      </c>
      <c r="DC38" s="221">
        <f>data!DC133-DB38-DA38</f>
        <v>0</v>
      </c>
      <c r="DD38" s="221">
        <f>data!DD133-DC38-DB38-DA38</f>
        <v>1</v>
      </c>
      <c r="DE38" s="222">
        <f t="shared" si="75"/>
        <v>11</v>
      </c>
      <c r="DF38" s="221">
        <f>data!DF133</f>
        <v>0</v>
      </c>
      <c r="DG38" s="221">
        <f>data!DG133-DF38</f>
        <v>0</v>
      </c>
      <c r="DH38" s="221">
        <f>data!DH133-DG38-DF38</f>
        <v>0</v>
      </c>
      <c r="DI38" s="221">
        <f>data!DI133-DH38-DG38-DF38</f>
        <v>0</v>
      </c>
      <c r="DJ38" s="222">
        <f t="shared" si="76"/>
        <v>0</v>
      </c>
      <c r="DK38" s="221">
        <f>data!DK133</f>
        <v>0</v>
      </c>
      <c r="DL38" s="221">
        <f>data!DL133-DK38</f>
        <v>0</v>
      </c>
      <c r="DM38" s="246">
        <v>0</v>
      </c>
      <c r="DN38" s="246">
        <v>0</v>
      </c>
      <c r="DO38" s="222">
        <f t="shared" si="77"/>
        <v>0</v>
      </c>
      <c r="DP38" s="246">
        <v>0</v>
      </c>
      <c r="DQ38" s="246">
        <v>0</v>
      </c>
      <c r="DR38" s="246">
        <v>0</v>
      </c>
      <c r="DS38" s="246">
        <v>0</v>
      </c>
      <c r="DT38" s="222">
        <f t="shared" si="78"/>
        <v>0</v>
      </c>
      <c r="DU38" s="247">
        <v>0</v>
      </c>
      <c r="DV38" s="247">
        <v>0</v>
      </c>
    </row>
    <row r="39" spans="2:126" s="131" customFormat="1">
      <c r="B39" s="131" t="s">
        <v>523</v>
      </c>
      <c r="C39" s="135">
        <f>data!C136</f>
        <v>0</v>
      </c>
      <c r="D39" s="135">
        <f>data!D136</f>
        <v>0</v>
      </c>
      <c r="E39" s="135">
        <f>data!E136</f>
        <v>0</v>
      </c>
      <c r="F39" s="135">
        <f>data!F136</f>
        <v>0</v>
      </c>
      <c r="G39" s="135">
        <f>data!G136</f>
        <v>0</v>
      </c>
      <c r="H39" s="135">
        <f>data!H136</f>
        <v>0</v>
      </c>
      <c r="I39" s="135">
        <f>data!I136</f>
        <v>0</v>
      </c>
      <c r="J39" s="131">
        <f>data!J136</f>
        <v>0</v>
      </c>
      <c r="K39" s="131">
        <f>data!K136-J39</f>
        <v>0</v>
      </c>
      <c r="L39" s="131">
        <f>data!L136-K39-J39</f>
        <v>0</v>
      </c>
      <c r="M39" s="131">
        <f>data!M136-L39-K39-J39</f>
        <v>0</v>
      </c>
      <c r="N39" s="135">
        <f t="shared" si="67"/>
        <v>0</v>
      </c>
      <c r="O39" s="131">
        <f>data!O136</f>
        <v>0</v>
      </c>
      <c r="P39" s="131">
        <f>data!P136-O39</f>
        <v>0</v>
      </c>
      <c r="Q39" s="131">
        <f>data!Q136-P39-O39</f>
        <v>0</v>
      </c>
      <c r="R39" s="131">
        <f>data!R136-Q39-P39-O39</f>
        <v>0</v>
      </c>
      <c r="S39" s="135">
        <f t="shared" si="68"/>
        <v>0</v>
      </c>
      <c r="T39" s="131">
        <f>data!T136</f>
        <v>0</v>
      </c>
      <c r="U39" s="131">
        <f>data!U136-T39</f>
        <v>0</v>
      </c>
      <c r="V39" s="131">
        <f>data!V136-U39-T39</f>
        <v>0</v>
      </c>
      <c r="W39" s="131">
        <f>data!W136-V39-U39-T39</f>
        <v>0</v>
      </c>
      <c r="X39" s="135">
        <f t="shared" si="69"/>
        <v>0</v>
      </c>
      <c r="Y39" s="131">
        <f>data!Y136</f>
        <v>0</v>
      </c>
      <c r="Z39" s="131">
        <f>data!Z136-Y39</f>
        <v>0</v>
      </c>
      <c r="AA39" s="131">
        <f>data!AA136-Z39-Y39</f>
        <v>0</v>
      </c>
      <c r="AB39" s="131">
        <f>data!AB136-AA39-Z39-Y39</f>
        <v>0</v>
      </c>
      <c r="AC39" s="135">
        <f t="shared" si="70"/>
        <v>0</v>
      </c>
      <c r="AD39" s="131">
        <f>data!AD136</f>
        <v>0</v>
      </c>
      <c r="AE39" s="131">
        <f>data!AE136-AD39</f>
        <v>0</v>
      </c>
      <c r="AF39" s="131">
        <f>data!AF136-AE39-AD39</f>
        <v>0</v>
      </c>
      <c r="AG39" s="131">
        <f>data!AG136-AF39-AE39-AD39</f>
        <v>0</v>
      </c>
      <c r="AH39" s="135">
        <f t="shared" si="71"/>
        <v>0</v>
      </c>
      <c r="AI39" s="131">
        <f>data!AI136</f>
        <v>0</v>
      </c>
      <c r="AJ39" s="131">
        <f>data!AJ136-AI39</f>
        <v>0</v>
      </c>
      <c r="AK39" s="131">
        <f>data!AK136-AJ39-AI39</f>
        <v>0</v>
      </c>
      <c r="AL39" s="131">
        <f>data!AL136-AK39-AJ39-AI39</f>
        <v>0</v>
      </c>
      <c r="AM39" s="135">
        <f t="shared" si="12"/>
        <v>0</v>
      </c>
      <c r="AN39" s="15">
        <f>data!AN136</f>
        <v>0</v>
      </c>
      <c r="AO39" s="131">
        <f>data!AO136-AN39</f>
        <v>0</v>
      </c>
      <c r="AP39" s="131">
        <f>data!AP136-AO39-AN39</f>
        <v>0</v>
      </c>
      <c r="AQ39" s="131">
        <f>data!AQ136-AP39-AO39-AN39</f>
        <v>0</v>
      </c>
      <c r="AR39" s="135">
        <f t="shared" si="13"/>
        <v>0</v>
      </c>
      <c r="AS39" s="15">
        <f>data!AS136</f>
        <v>0</v>
      </c>
      <c r="AT39" s="131">
        <f>data!AT136-AS39</f>
        <v>0</v>
      </c>
      <c r="AU39" s="131">
        <f>data!AU136-AT39-AS39</f>
        <v>0</v>
      </c>
      <c r="AV39" s="131">
        <f>data!AV136-AU39-AT39-AS39</f>
        <v>0</v>
      </c>
      <c r="AW39" s="135">
        <f t="shared" si="15"/>
        <v>0</v>
      </c>
      <c r="AX39" s="221">
        <f>data!AX136</f>
        <v>0</v>
      </c>
      <c r="AY39" s="131">
        <f>data!AY136-AX39</f>
        <v>0</v>
      </c>
      <c r="AZ39" s="131">
        <f>data!AZ136-AY39-AX39</f>
        <v>0</v>
      </c>
      <c r="BA39" s="131">
        <f>data!BA136-AZ39-AY39-AX39</f>
        <v>0</v>
      </c>
      <c r="BB39" s="135"/>
      <c r="BC39" s="221"/>
      <c r="BE39" s="221"/>
      <c r="BG39" s="135"/>
      <c r="BH39" s="221"/>
      <c r="BJ39" s="221"/>
      <c r="BL39" s="135"/>
      <c r="BM39" s="221"/>
      <c r="BN39" s="221"/>
      <c r="BO39" s="221"/>
      <c r="BQ39" s="135"/>
      <c r="BR39" s="221"/>
      <c r="BS39" s="221"/>
      <c r="BT39" s="221"/>
      <c r="BV39" s="135"/>
      <c r="BW39" s="221"/>
      <c r="BX39" s="221"/>
      <c r="BY39" s="221"/>
      <c r="BZ39" s="221"/>
      <c r="CA39" s="135"/>
      <c r="CB39" s="221"/>
      <c r="CC39" s="221"/>
      <c r="CD39" s="221"/>
      <c r="CE39" s="221"/>
      <c r="CF39" s="135"/>
      <c r="CG39" s="221"/>
      <c r="CH39" s="221"/>
      <c r="CI39" s="221"/>
      <c r="CJ39" s="221"/>
      <c r="CK39" s="465"/>
      <c r="CL39" s="221">
        <f>data!CL134</f>
        <v>-5867</v>
      </c>
      <c r="CM39" s="221">
        <f>data!CM134-CL39</f>
        <v>-16042</v>
      </c>
      <c r="CN39" s="221">
        <f>data!CN134-CM39-CL39</f>
        <v>-2577</v>
      </c>
      <c r="CO39" s="221">
        <f>data!CO134-CN39-CM39-CL39</f>
        <v>-5146</v>
      </c>
      <c r="CP39" s="465">
        <f t="shared" si="79"/>
        <v>-29632</v>
      </c>
      <c r="CQ39" s="221">
        <f>data!CQ134</f>
        <v>-1513</v>
      </c>
      <c r="CR39" s="221">
        <f>data!CR134-CQ39</f>
        <v>-8593</v>
      </c>
      <c r="CS39" s="221">
        <f>data!CS134-CR39-CQ39</f>
        <v>-104</v>
      </c>
      <c r="CT39" s="221">
        <f>data!CT134-CS39-CR39-CQ39</f>
        <v>-26311</v>
      </c>
      <c r="CU39" s="465">
        <f t="shared" si="73"/>
        <v>-36521</v>
      </c>
      <c r="CV39" s="221">
        <f>data!CV134</f>
        <v>-1267</v>
      </c>
      <c r="CW39" s="221">
        <f>data!CW134-CV39</f>
        <v>-778</v>
      </c>
      <c r="CX39" s="221">
        <f>data!CX134-CW39-CV39</f>
        <v>-1133</v>
      </c>
      <c r="CY39" s="221">
        <f>data!CY134-CX39-CW39-CV39</f>
        <v>-8024</v>
      </c>
      <c r="CZ39" s="465">
        <f t="shared" si="74"/>
        <v>-11202</v>
      </c>
      <c r="DA39" s="221">
        <f>data!DA134</f>
        <v>-1815</v>
      </c>
      <c r="DB39" s="221">
        <f>data!DB134-DA39</f>
        <v>-775</v>
      </c>
      <c r="DC39" s="221">
        <f>data!DC134-DB39-DA39</f>
        <v>-640</v>
      </c>
      <c r="DD39" s="221">
        <f>data!DD134-DC39-DB39-DA39</f>
        <v>-130</v>
      </c>
      <c r="DE39" s="465">
        <f t="shared" si="75"/>
        <v>-3360</v>
      </c>
      <c r="DF39" s="221">
        <f>data!DF134</f>
        <v>-298</v>
      </c>
      <c r="DG39" s="221">
        <f>data!DG134-DF39</f>
        <v>-318</v>
      </c>
      <c r="DH39" s="221">
        <f>data!DH134-DG39-DF39</f>
        <v>-117</v>
      </c>
      <c r="DI39" s="221">
        <f>data!DI134-DH39-DG39-DF39</f>
        <v>-55</v>
      </c>
      <c r="DJ39" s="465">
        <f t="shared" si="76"/>
        <v>-788</v>
      </c>
      <c r="DK39" s="221">
        <f>data!DK134</f>
        <v>-56</v>
      </c>
      <c r="DL39" s="221">
        <f>data!DL134-DK39</f>
        <v>-1197</v>
      </c>
      <c r="DM39" s="246">
        <v>0</v>
      </c>
      <c r="DN39" s="246">
        <v>0</v>
      </c>
      <c r="DO39" s="222">
        <f t="shared" si="77"/>
        <v>-1253</v>
      </c>
      <c r="DP39" s="246">
        <v>0</v>
      </c>
      <c r="DQ39" s="246">
        <v>0</v>
      </c>
      <c r="DR39" s="246">
        <v>0</v>
      </c>
      <c r="DS39" s="246">
        <v>0</v>
      </c>
      <c r="DT39" s="222">
        <f t="shared" si="78"/>
        <v>0</v>
      </c>
      <c r="DU39" s="247">
        <v>0</v>
      </c>
      <c r="DV39" s="247">
        <v>0</v>
      </c>
    </row>
    <row r="40" spans="2:126" s="131" customFormat="1">
      <c r="B40" s="131" t="s">
        <v>539</v>
      </c>
      <c r="C40" s="135">
        <f>data!C137</f>
        <v>0</v>
      </c>
      <c r="D40" s="135">
        <f>data!D137</f>
        <v>0</v>
      </c>
      <c r="E40" s="135">
        <f>data!E137</f>
        <v>0</v>
      </c>
      <c r="F40" s="135">
        <f>data!F137</f>
        <v>0</v>
      </c>
      <c r="G40" s="135">
        <f>data!G137</f>
        <v>0</v>
      </c>
      <c r="H40" s="135">
        <f>data!H137</f>
        <v>0</v>
      </c>
      <c r="I40" s="135">
        <f>data!I137</f>
        <v>0</v>
      </c>
      <c r="J40" s="131">
        <f>data!J137</f>
        <v>0</v>
      </c>
      <c r="K40" s="131">
        <f>data!K137-J40</f>
        <v>0</v>
      </c>
      <c r="L40" s="131">
        <f>data!L137-K40-J40</f>
        <v>0</v>
      </c>
      <c r="M40" s="131">
        <f>data!M137-L40-K40-J40</f>
        <v>0</v>
      </c>
      <c r="N40" s="135">
        <f t="shared" si="67"/>
        <v>0</v>
      </c>
      <c r="O40" s="131">
        <f>data!O137</f>
        <v>0</v>
      </c>
      <c r="P40" s="131">
        <f>data!P137-O40</f>
        <v>0</v>
      </c>
      <c r="Q40" s="131">
        <f>data!Q137-P40-O40</f>
        <v>0</v>
      </c>
      <c r="R40" s="131">
        <f>data!R137-Q40-P40-O40</f>
        <v>0</v>
      </c>
      <c r="S40" s="135">
        <f t="shared" si="68"/>
        <v>0</v>
      </c>
      <c r="T40" s="131">
        <f>data!T137</f>
        <v>0</v>
      </c>
      <c r="U40" s="131">
        <f>data!U137-T40</f>
        <v>0</v>
      </c>
      <c r="V40" s="131">
        <f>data!V137-U40-T40</f>
        <v>0</v>
      </c>
      <c r="W40" s="131">
        <f>data!W137-V40-U40-T40</f>
        <v>0</v>
      </c>
      <c r="X40" s="135">
        <f t="shared" si="69"/>
        <v>0</v>
      </c>
      <c r="Y40" s="131">
        <f>data!Y137</f>
        <v>0</v>
      </c>
      <c r="Z40" s="131">
        <f>data!Z137-Y40</f>
        <v>0</v>
      </c>
      <c r="AA40" s="131">
        <f>data!AA137-Z40-Y40</f>
        <v>0</v>
      </c>
      <c r="AB40" s="131">
        <f>data!AB137-AA40-Z40-Y40</f>
        <v>0</v>
      </c>
      <c r="AC40" s="135">
        <f t="shared" si="70"/>
        <v>0</v>
      </c>
      <c r="AD40" s="131">
        <f>data!AD137</f>
        <v>0</v>
      </c>
      <c r="AE40" s="131">
        <f>data!AE137-AD40</f>
        <v>0</v>
      </c>
      <c r="AF40" s="131">
        <f>data!AF137-AE40-AD40</f>
        <v>0</v>
      </c>
      <c r="AG40" s="131">
        <f>data!AG137-AF40-AE40-AD40</f>
        <v>0</v>
      </c>
      <c r="AH40" s="135">
        <f t="shared" si="71"/>
        <v>0</v>
      </c>
      <c r="AI40" s="131">
        <f>data!AI137</f>
        <v>0</v>
      </c>
      <c r="AJ40" s="131">
        <f>data!AJ137-AI40</f>
        <v>0</v>
      </c>
      <c r="AK40" s="131">
        <f>data!AK137-AJ40-AI40</f>
        <v>0</v>
      </c>
      <c r="AL40" s="131">
        <f>data!AL137-AK40-AJ40-AI40</f>
        <v>0</v>
      </c>
      <c r="AM40" s="135">
        <f t="shared" si="12"/>
        <v>0</v>
      </c>
      <c r="AN40" s="15">
        <f>data!AN137</f>
        <v>0</v>
      </c>
      <c r="AO40" s="131">
        <f>data!AO137-AN40</f>
        <v>0</v>
      </c>
      <c r="AP40" s="131">
        <f>data!AP137-AO40-AN40</f>
        <v>0</v>
      </c>
      <c r="AQ40" s="131">
        <f>data!AQ137-AP40-AO40-AN40</f>
        <v>0</v>
      </c>
      <c r="AR40" s="135">
        <f t="shared" si="13"/>
        <v>0</v>
      </c>
      <c r="AS40" s="15">
        <f>data!AS137</f>
        <v>0</v>
      </c>
      <c r="AT40" s="131">
        <f>data!AT137-AS40</f>
        <v>0</v>
      </c>
      <c r="AU40" s="131">
        <f>data!AU137-AT40-AS40</f>
        <v>0</v>
      </c>
      <c r="AV40" s="131">
        <f>data!AV137-AU40-AT40-AS40</f>
        <v>0</v>
      </c>
      <c r="AW40" s="135">
        <f t="shared" si="15"/>
        <v>0</v>
      </c>
      <c r="AX40" s="221">
        <f>data!AX137</f>
        <v>0</v>
      </c>
      <c r="AY40" s="131">
        <f>data!AY137-AX40</f>
        <v>0</v>
      </c>
      <c r="AZ40" s="131">
        <f>data!AZ137-AY40-AX40</f>
        <v>0</v>
      </c>
      <c r="BA40" s="131">
        <f>data!BA137-AZ40-AY40-AX40</f>
        <v>0</v>
      </c>
      <c r="BB40" s="135"/>
      <c r="BC40" s="221"/>
      <c r="BE40" s="221"/>
      <c r="BG40" s="135"/>
      <c r="BH40" s="221"/>
      <c r="BJ40" s="221"/>
      <c r="BL40" s="135"/>
      <c r="BM40" s="221"/>
      <c r="BN40" s="221"/>
      <c r="BO40" s="221"/>
      <c r="BQ40" s="135"/>
      <c r="BR40" s="221"/>
      <c r="BS40" s="221"/>
      <c r="BT40" s="221"/>
      <c r="BV40" s="135"/>
      <c r="BW40" s="221"/>
      <c r="BX40" s="221"/>
      <c r="BY40" s="221"/>
      <c r="BZ40" s="221"/>
      <c r="CA40" s="135"/>
      <c r="CB40" s="221"/>
      <c r="CC40" s="221"/>
      <c r="CD40" s="221"/>
      <c r="CE40" s="221"/>
      <c r="CF40" s="135"/>
      <c r="CG40" s="221"/>
      <c r="CH40" s="221"/>
      <c r="CI40" s="221"/>
      <c r="CJ40" s="221"/>
      <c r="CK40" s="222"/>
      <c r="CL40" s="221">
        <f>data!CL135</f>
        <v>0</v>
      </c>
      <c r="CM40" s="221">
        <f>data!CM135-CL40</f>
        <v>0</v>
      </c>
      <c r="CN40" s="221">
        <f>data!CN135-CM40-CL40</f>
        <v>0</v>
      </c>
      <c r="CO40" s="221">
        <f>data!CO135-CN40-CM40-CL40</f>
        <v>0</v>
      </c>
      <c r="CP40" s="222">
        <f t="shared" si="79"/>
        <v>0</v>
      </c>
      <c r="CQ40" s="221">
        <f>data!CQ135</f>
        <v>0</v>
      </c>
      <c r="CR40" s="221">
        <f>data!CR135-CQ40</f>
        <v>0</v>
      </c>
      <c r="CS40" s="221">
        <f>data!CS135-CR40-CQ40</f>
        <v>0</v>
      </c>
      <c r="CT40" s="221">
        <f>data!CT135-CS40-CR40-CQ40</f>
        <v>0</v>
      </c>
      <c r="CU40" s="222">
        <f t="shared" si="73"/>
        <v>0</v>
      </c>
      <c r="CV40" s="221">
        <f>data!CV135</f>
        <v>0</v>
      </c>
      <c r="CW40" s="221">
        <f>data!CW135-CV40</f>
        <v>0</v>
      </c>
      <c r="CX40" s="221">
        <f>data!CX135-CW40-CV40</f>
        <v>-104</v>
      </c>
      <c r="CY40" s="221">
        <f>data!CY135-CX40-CW40-CV40</f>
        <v>-40</v>
      </c>
      <c r="CZ40" s="222">
        <f t="shared" si="74"/>
        <v>-144</v>
      </c>
      <c r="DA40" s="221">
        <f>data!DA135</f>
        <v>-3000</v>
      </c>
      <c r="DB40" s="221">
        <f>data!DB135-DA40</f>
        <v>0</v>
      </c>
      <c r="DC40" s="221">
        <f>data!DC135-DB40-DA40</f>
        <v>-2795</v>
      </c>
      <c r="DD40" s="221">
        <f>data!DD135-DC40-DB40-DA40</f>
        <v>0</v>
      </c>
      <c r="DE40" s="222">
        <f t="shared" si="75"/>
        <v>-5795</v>
      </c>
      <c r="DF40" s="221">
        <f>data!DF135</f>
        <v>0</v>
      </c>
      <c r="DG40" s="221">
        <f>data!DG135-DF40</f>
        <v>0</v>
      </c>
      <c r="DH40" s="221">
        <f>data!DH135-DG40-DF40</f>
        <v>0</v>
      </c>
      <c r="DI40" s="221">
        <f>data!DI135-DH40-DG40-DF40</f>
        <v>0</v>
      </c>
      <c r="DJ40" s="222">
        <f t="shared" si="76"/>
        <v>0</v>
      </c>
      <c r="DK40" s="221">
        <f>data!DK135</f>
        <v>0</v>
      </c>
      <c r="DL40" s="221">
        <f>data!DL135-DK40</f>
        <v>0</v>
      </c>
      <c r="DM40" s="246">
        <v>0</v>
      </c>
      <c r="DN40" s="246">
        <v>0</v>
      </c>
      <c r="DO40" s="222">
        <f t="shared" si="77"/>
        <v>0</v>
      </c>
      <c r="DP40" s="246">
        <v>0</v>
      </c>
      <c r="DQ40" s="246">
        <v>0</v>
      </c>
      <c r="DR40" s="246">
        <v>0</v>
      </c>
      <c r="DS40" s="246">
        <v>0</v>
      </c>
      <c r="DT40" s="222">
        <f t="shared" si="78"/>
        <v>0</v>
      </c>
      <c r="DU40" s="247">
        <v>0</v>
      </c>
      <c r="DV40" s="247">
        <v>0</v>
      </c>
    </row>
    <row r="41" spans="2:126" s="131" customFormat="1">
      <c r="B41" s="131" t="s">
        <v>66</v>
      </c>
      <c r="C41" s="135" t="e">
        <f>data!#REF!</f>
        <v>#REF!</v>
      </c>
      <c r="D41" s="135" t="e">
        <f>data!#REF!</f>
        <v>#REF!</v>
      </c>
      <c r="E41" s="135" t="e">
        <f>data!#REF!</f>
        <v>#REF!</v>
      </c>
      <c r="F41" s="135" t="e">
        <f>data!#REF!</f>
        <v>#REF!</v>
      </c>
      <c r="G41" s="135" t="e">
        <f>data!#REF!</f>
        <v>#REF!</v>
      </c>
      <c r="H41" s="135" t="e">
        <f>data!#REF!</f>
        <v>#REF!</v>
      </c>
      <c r="I41" s="135" t="e">
        <f>data!#REF!</f>
        <v>#REF!</v>
      </c>
      <c r="J41" s="131" t="e">
        <f>data!#REF!</f>
        <v>#REF!</v>
      </c>
      <c r="K41" s="131" t="e">
        <f>data!#REF!-J41</f>
        <v>#REF!</v>
      </c>
      <c r="L41" s="131" t="e">
        <f>data!#REF!-K41-J41</f>
        <v>#REF!</v>
      </c>
      <c r="M41" s="131" t="e">
        <f>data!#REF!-L41-K41-J41</f>
        <v>#REF!</v>
      </c>
      <c r="N41" s="135" t="e">
        <f t="shared" si="67"/>
        <v>#REF!</v>
      </c>
      <c r="O41" s="131" t="e">
        <f>data!#REF!</f>
        <v>#REF!</v>
      </c>
      <c r="P41" s="131" t="e">
        <f>data!#REF!-O41</f>
        <v>#REF!</v>
      </c>
      <c r="Q41" s="131" t="e">
        <f>data!#REF!-P41-O41</f>
        <v>#REF!</v>
      </c>
      <c r="R41" s="131" t="e">
        <f>data!#REF!-Q41-P41-O41</f>
        <v>#REF!</v>
      </c>
      <c r="S41" s="135" t="e">
        <f t="shared" si="68"/>
        <v>#REF!</v>
      </c>
      <c r="T41" s="131" t="e">
        <f>data!#REF!</f>
        <v>#REF!</v>
      </c>
      <c r="U41" s="131" t="e">
        <f>data!#REF!-T41</f>
        <v>#REF!</v>
      </c>
      <c r="V41" s="131" t="e">
        <f>data!#REF!-U41-T41</f>
        <v>#REF!</v>
      </c>
      <c r="W41" s="131" t="e">
        <f>data!#REF!-V41-U41-T41</f>
        <v>#REF!</v>
      </c>
      <c r="X41" s="135" t="e">
        <f t="shared" si="69"/>
        <v>#REF!</v>
      </c>
      <c r="Y41" s="131" t="e">
        <f>data!#REF!</f>
        <v>#REF!</v>
      </c>
      <c r="Z41" s="131" t="e">
        <f>data!#REF!-Y41</f>
        <v>#REF!</v>
      </c>
      <c r="AA41" s="131" t="e">
        <f>data!#REF!-Z41-Y41</f>
        <v>#REF!</v>
      </c>
      <c r="AB41" s="131" t="e">
        <f>data!#REF!-AA41-Z41-Y41</f>
        <v>#REF!</v>
      </c>
      <c r="AC41" s="135" t="e">
        <f t="shared" si="70"/>
        <v>#REF!</v>
      </c>
      <c r="AD41" s="131" t="e">
        <f>data!#REF!</f>
        <v>#REF!</v>
      </c>
      <c r="AE41" s="131" t="e">
        <f>data!#REF!-AD41</f>
        <v>#REF!</v>
      </c>
      <c r="AF41" s="131" t="e">
        <f>data!#REF!-AE41-AD41</f>
        <v>#REF!</v>
      </c>
      <c r="AG41" s="131" t="e">
        <f>data!#REF!-AF41-AE41-AD41</f>
        <v>#REF!</v>
      </c>
      <c r="AH41" s="135" t="e">
        <f t="shared" si="71"/>
        <v>#REF!</v>
      </c>
      <c r="AI41" s="131" t="e">
        <f>data!#REF!</f>
        <v>#REF!</v>
      </c>
      <c r="AJ41" s="131" t="e">
        <f>data!#REF!-AI41</f>
        <v>#REF!</v>
      </c>
      <c r="AK41" s="131" t="e">
        <f>data!#REF!-AJ41-AI41</f>
        <v>#REF!</v>
      </c>
      <c r="AL41" s="131" t="e">
        <f>data!#REF!-AK41-AJ41-AI41</f>
        <v>#REF!</v>
      </c>
      <c r="AM41" s="135" t="e">
        <f t="shared" si="12"/>
        <v>#REF!</v>
      </c>
      <c r="AN41" s="15" t="e">
        <f>data!#REF!</f>
        <v>#REF!</v>
      </c>
      <c r="AO41" s="131" t="e">
        <f>data!#REF!-AN41</f>
        <v>#REF!</v>
      </c>
      <c r="AP41" s="131" t="e">
        <f>data!#REF!-AO41-AN41</f>
        <v>#REF!</v>
      </c>
      <c r="AQ41" s="131" t="e">
        <f>data!#REF!-AP41-AO41-AN41</f>
        <v>#REF!</v>
      </c>
      <c r="AR41" s="135" t="e">
        <f t="shared" si="13"/>
        <v>#REF!</v>
      </c>
      <c r="AS41" s="15" t="e">
        <f>data!#REF!</f>
        <v>#REF!</v>
      </c>
      <c r="AT41" s="131" t="e">
        <f>data!#REF!-AS41</f>
        <v>#REF!</v>
      </c>
      <c r="AU41" s="131" t="e">
        <f>data!#REF!-AT41-AS41</f>
        <v>#REF!</v>
      </c>
      <c r="AV41" s="131" t="e">
        <f>data!#REF!-AU41-AT41-AS41</f>
        <v>#REF!</v>
      </c>
      <c r="AW41" s="135" t="e">
        <f t="shared" si="15"/>
        <v>#REF!</v>
      </c>
      <c r="AX41" s="221" t="e">
        <f>data!#REF!</f>
        <v>#REF!</v>
      </c>
      <c r="AY41" s="131" t="e">
        <f>data!#REF!-AX41</f>
        <v>#REF!</v>
      </c>
      <c r="AZ41" s="131" t="e">
        <f>data!#REF!-AY41-AX41</f>
        <v>#REF!</v>
      </c>
      <c r="BA41" s="131" t="e">
        <f>data!#REF!-AZ41-AY41-AX41</f>
        <v>#REF!</v>
      </c>
      <c r="BB41" s="135"/>
      <c r="BC41" s="221"/>
      <c r="BE41" s="221"/>
      <c r="BG41" s="135"/>
      <c r="BH41" s="221"/>
      <c r="BJ41" s="221"/>
      <c r="BL41" s="135"/>
      <c r="BM41" s="221"/>
      <c r="BN41" s="221"/>
      <c r="BO41" s="221"/>
      <c r="BQ41" s="135"/>
      <c r="BR41" s="221"/>
      <c r="BS41" s="221"/>
      <c r="BT41" s="221"/>
      <c r="BV41" s="135"/>
      <c r="BW41" s="221"/>
      <c r="BX41" s="221"/>
      <c r="BY41" s="221"/>
      <c r="BZ41" s="221"/>
      <c r="CA41" s="135"/>
      <c r="CB41" s="221"/>
      <c r="CC41" s="221"/>
      <c r="CD41" s="221"/>
      <c r="CE41" s="221"/>
      <c r="CF41" s="135"/>
      <c r="CG41" s="221"/>
      <c r="CH41" s="221"/>
      <c r="CI41" s="221"/>
      <c r="CJ41" s="221"/>
      <c r="CK41" s="222"/>
      <c r="CL41" s="221">
        <f>data!CL136</f>
        <v>0</v>
      </c>
      <c r="CM41" s="221">
        <f>data!CM136-CL41</f>
        <v>0</v>
      </c>
      <c r="CN41" s="221">
        <f>data!CN136-CM41-CL41</f>
        <v>0</v>
      </c>
      <c r="CO41" s="221">
        <f>data!CO136-CN41-CM41-CL41</f>
        <v>0</v>
      </c>
      <c r="CP41" s="222">
        <f t="shared" si="79"/>
        <v>0</v>
      </c>
      <c r="CQ41" s="221">
        <f>data!CQ136</f>
        <v>0</v>
      </c>
      <c r="CR41" s="221">
        <f>data!CR136-CQ41</f>
        <v>0</v>
      </c>
      <c r="CS41" s="221">
        <f>data!CS136-CR41-CQ41</f>
        <v>0</v>
      </c>
      <c r="CT41" s="221">
        <f>data!CT136-CS41-CR41-CQ41</f>
        <v>0</v>
      </c>
      <c r="CU41" s="222">
        <f t="shared" si="73"/>
        <v>0</v>
      </c>
      <c r="CV41" s="221">
        <f>data!CV136</f>
        <v>-39</v>
      </c>
      <c r="CW41" s="221">
        <f>data!CW136-CV41</f>
        <v>-331</v>
      </c>
      <c r="CX41" s="221">
        <f>data!CX136-CW41-CV41</f>
        <v>-318</v>
      </c>
      <c r="CY41" s="221">
        <f>data!CY136-CX41-CW41-CV41</f>
        <v>-360</v>
      </c>
      <c r="CZ41" s="222">
        <f t="shared" si="74"/>
        <v>-1048</v>
      </c>
      <c r="DA41" s="221">
        <f>data!DA136</f>
        <v>-309</v>
      </c>
      <c r="DB41" s="221">
        <f>data!DB136-DA41</f>
        <v>-323</v>
      </c>
      <c r="DC41" s="221">
        <f>data!DC136-DB41-DA41</f>
        <v>-313</v>
      </c>
      <c r="DD41" s="221">
        <f>data!DD136-DC41-DB41-DA41</f>
        <v>-288</v>
      </c>
      <c r="DE41" s="222">
        <f t="shared" si="75"/>
        <v>-1233</v>
      </c>
      <c r="DF41" s="221">
        <f>data!DF136</f>
        <v>-322</v>
      </c>
      <c r="DG41" s="221">
        <f>data!DG136-DF41</f>
        <v>-2301</v>
      </c>
      <c r="DH41" s="221">
        <f>data!DH136-DG41-DF41</f>
        <v>-1536</v>
      </c>
      <c r="DI41" s="221">
        <f>data!DI136-DH41-DG41-DF41</f>
        <v>-1668</v>
      </c>
      <c r="DJ41" s="222">
        <f t="shared" si="76"/>
        <v>-5827</v>
      </c>
      <c r="DK41" s="221">
        <f>data!DK136</f>
        <v>-1965</v>
      </c>
      <c r="DL41" s="221">
        <f>data!DL136-DK41</f>
        <v>-1745</v>
      </c>
      <c r="DM41" s="246">
        <v>-1500</v>
      </c>
      <c r="DN41" s="246">
        <v>-2035</v>
      </c>
      <c r="DO41" s="222">
        <f t="shared" si="77"/>
        <v>-7245</v>
      </c>
      <c r="DP41" s="246">
        <v>-1500</v>
      </c>
      <c r="DQ41" s="246">
        <v>-1750</v>
      </c>
      <c r="DR41" s="246">
        <v>-1750</v>
      </c>
      <c r="DS41" s="246">
        <v>-2000</v>
      </c>
      <c r="DT41" s="222">
        <f t="shared" si="78"/>
        <v>-7000</v>
      </c>
      <c r="DU41" s="247">
        <v>-7000</v>
      </c>
      <c r="DV41" s="247">
        <v>-7000</v>
      </c>
    </row>
    <row r="42" spans="2:126" s="131" customFormat="1">
      <c r="B42" s="131" t="s">
        <v>67</v>
      </c>
      <c r="C42" s="135" t="e">
        <f>data!#REF!</f>
        <v>#REF!</v>
      </c>
      <c r="D42" s="135" t="e">
        <f>data!#REF!</f>
        <v>#REF!</v>
      </c>
      <c r="E42" s="135" t="e">
        <f>data!#REF!</f>
        <v>#REF!</v>
      </c>
      <c r="F42" s="135" t="e">
        <f>data!#REF!</f>
        <v>#REF!</v>
      </c>
      <c r="G42" s="135" t="e">
        <f>data!#REF!</f>
        <v>#REF!</v>
      </c>
      <c r="H42" s="135" t="e">
        <f>data!#REF!</f>
        <v>#REF!</v>
      </c>
      <c r="I42" s="135" t="e">
        <f>data!#REF!</f>
        <v>#REF!</v>
      </c>
      <c r="J42" s="131" t="e">
        <f>data!#REF!</f>
        <v>#REF!</v>
      </c>
      <c r="K42" s="131" t="e">
        <f>data!#REF!-J42</f>
        <v>#REF!</v>
      </c>
      <c r="L42" s="131" t="e">
        <f>data!#REF!-K42-J42</f>
        <v>#REF!</v>
      </c>
      <c r="M42" s="131" t="e">
        <f>data!#REF!-L42-K42-J42</f>
        <v>#REF!</v>
      </c>
      <c r="N42" s="135" t="e">
        <f t="shared" si="67"/>
        <v>#REF!</v>
      </c>
      <c r="O42" s="131" t="e">
        <f>data!#REF!</f>
        <v>#REF!</v>
      </c>
      <c r="P42" s="131" t="e">
        <f>data!#REF!-O42</f>
        <v>#REF!</v>
      </c>
      <c r="Q42" s="131" t="e">
        <f>data!#REF!-P42-O42</f>
        <v>#REF!</v>
      </c>
      <c r="R42" s="131" t="e">
        <f>data!#REF!-Q42-P42-O42</f>
        <v>#REF!</v>
      </c>
      <c r="S42" s="135" t="e">
        <f t="shared" si="68"/>
        <v>#REF!</v>
      </c>
      <c r="T42" s="131" t="e">
        <f>data!#REF!</f>
        <v>#REF!</v>
      </c>
      <c r="U42" s="131" t="e">
        <f>data!#REF!-T42</f>
        <v>#REF!</v>
      </c>
      <c r="V42" s="131" t="e">
        <f>data!#REF!-U42-T42</f>
        <v>#REF!</v>
      </c>
      <c r="W42" s="131" t="e">
        <f>data!#REF!-V42-U42-T42</f>
        <v>#REF!</v>
      </c>
      <c r="X42" s="135" t="e">
        <f t="shared" si="69"/>
        <v>#REF!</v>
      </c>
      <c r="Y42" s="131" t="e">
        <f>data!#REF!</f>
        <v>#REF!</v>
      </c>
      <c r="Z42" s="131" t="e">
        <f>data!#REF!-Y42</f>
        <v>#REF!</v>
      </c>
      <c r="AA42" s="131" t="e">
        <f>data!#REF!-Z42-Y42</f>
        <v>#REF!</v>
      </c>
      <c r="AB42" s="131" t="e">
        <f>data!#REF!-AA42-Z42-Y42</f>
        <v>#REF!</v>
      </c>
      <c r="AC42" s="135" t="e">
        <f t="shared" si="70"/>
        <v>#REF!</v>
      </c>
      <c r="AD42" s="131" t="e">
        <f>data!#REF!</f>
        <v>#REF!</v>
      </c>
      <c r="AE42" s="131" t="e">
        <f>data!#REF!-AD42</f>
        <v>#REF!</v>
      </c>
      <c r="AF42" s="131" t="e">
        <f>data!#REF!-AE42-AD42</f>
        <v>#REF!</v>
      </c>
      <c r="AG42" s="131" t="e">
        <f>data!#REF!-AF42-AE42-AD42</f>
        <v>#REF!</v>
      </c>
      <c r="AH42" s="135" t="e">
        <f t="shared" si="71"/>
        <v>#REF!</v>
      </c>
      <c r="AI42" s="131" t="e">
        <f>data!#REF!</f>
        <v>#REF!</v>
      </c>
      <c r="AJ42" s="131" t="e">
        <f>data!#REF!-AI42</f>
        <v>#REF!</v>
      </c>
      <c r="AK42" s="131" t="e">
        <f>data!#REF!-AJ42-AI42</f>
        <v>#REF!</v>
      </c>
      <c r="AL42" s="131" t="e">
        <f>data!#REF!-AK42-AJ42-AI42</f>
        <v>#REF!</v>
      </c>
      <c r="AM42" s="135" t="e">
        <f t="shared" si="12"/>
        <v>#REF!</v>
      </c>
      <c r="AN42" s="15" t="e">
        <f>data!#REF!</f>
        <v>#REF!</v>
      </c>
      <c r="AO42" s="131" t="e">
        <f>data!#REF!-AN42</f>
        <v>#REF!</v>
      </c>
      <c r="AP42" s="131" t="e">
        <f>data!#REF!-AO42-AN42</f>
        <v>#REF!</v>
      </c>
      <c r="AQ42" s="131" t="e">
        <f>data!#REF!-AP42-AO42-AN42</f>
        <v>#REF!</v>
      </c>
      <c r="AR42" s="135" t="e">
        <f t="shared" si="13"/>
        <v>#REF!</v>
      </c>
      <c r="AS42" s="15" t="e">
        <f>data!#REF!</f>
        <v>#REF!</v>
      </c>
      <c r="AT42" s="131" t="e">
        <f>data!#REF!-AS42</f>
        <v>#REF!</v>
      </c>
      <c r="AU42" s="131" t="e">
        <f>data!#REF!-AT42-AS42</f>
        <v>#REF!</v>
      </c>
      <c r="AV42" s="131" t="e">
        <f>data!#REF!-AU42-AT42-AS42</f>
        <v>#REF!</v>
      </c>
      <c r="AW42" s="135" t="e">
        <f t="shared" si="15"/>
        <v>#REF!</v>
      </c>
      <c r="AX42" s="221" t="e">
        <f>data!#REF!</f>
        <v>#REF!</v>
      </c>
      <c r="AY42" s="131" t="e">
        <f>data!#REF!-AX42</f>
        <v>#REF!</v>
      </c>
      <c r="AZ42" s="131" t="e">
        <f>data!#REF!-AY42-AX42</f>
        <v>#REF!</v>
      </c>
      <c r="BA42" s="131" t="e">
        <f>data!#REF!-AZ42-AY42-AX42</f>
        <v>#REF!</v>
      </c>
      <c r="BB42" s="135"/>
      <c r="BC42" s="221"/>
      <c r="BE42" s="221"/>
      <c r="BG42" s="135"/>
      <c r="BH42" s="221"/>
      <c r="BJ42" s="221"/>
      <c r="BL42" s="135"/>
      <c r="BM42" s="221"/>
      <c r="BN42" s="221"/>
      <c r="BO42" s="221"/>
      <c r="BQ42" s="135"/>
      <c r="BR42" s="221"/>
      <c r="BS42" s="221"/>
      <c r="BT42" s="221"/>
      <c r="BV42" s="135"/>
      <c r="BW42" s="221"/>
      <c r="BX42" s="221"/>
      <c r="BY42" s="221"/>
      <c r="BZ42" s="221"/>
      <c r="CA42" s="135"/>
      <c r="CB42" s="221"/>
      <c r="CC42" s="221"/>
      <c r="CD42" s="221"/>
      <c r="CE42" s="221"/>
      <c r="CF42" s="135"/>
      <c r="CG42" s="221"/>
      <c r="CH42" s="221"/>
      <c r="CI42" s="221"/>
      <c r="CJ42" s="221"/>
      <c r="CK42" s="222"/>
      <c r="CL42" s="221">
        <f>data!CL137</f>
        <v>-89</v>
      </c>
      <c r="CM42" s="221">
        <f>data!CM137-CL42</f>
        <v>-235</v>
      </c>
      <c r="CN42" s="221">
        <f>data!CN137-CM42-CL42</f>
        <v>-88</v>
      </c>
      <c r="CO42" s="221">
        <f>data!CO137-CN42-CM42-CL42</f>
        <v>-236</v>
      </c>
      <c r="CP42" s="222">
        <f t="shared" si="79"/>
        <v>-648</v>
      </c>
      <c r="CQ42" s="221">
        <f>data!CQ137</f>
        <v>-148</v>
      </c>
      <c r="CR42" s="221">
        <f>data!CR137-CQ42</f>
        <v>-144</v>
      </c>
      <c r="CS42" s="221">
        <f>data!CS137-CR42-CQ42</f>
        <v>-139</v>
      </c>
      <c r="CT42" s="221">
        <f>data!CT137-CS42-CR42-CQ42</f>
        <v>-144</v>
      </c>
      <c r="CU42" s="222">
        <f t="shared" si="73"/>
        <v>-575</v>
      </c>
      <c r="CV42" s="221">
        <f>data!CV137</f>
        <v>-140</v>
      </c>
      <c r="CW42" s="221">
        <f>data!CW137-CV42</f>
        <v>-154</v>
      </c>
      <c r="CX42" s="221">
        <f>data!CX137-CW42-CV42</f>
        <v>-161</v>
      </c>
      <c r="CY42" s="221">
        <f>data!CY137-CX42-CW42-CV42</f>
        <v>-184</v>
      </c>
      <c r="CZ42" s="222">
        <f t="shared" si="74"/>
        <v>-639</v>
      </c>
      <c r="DA42" s="221">
        <f>data!DA137</f>
        <v>-203</v>
      </c>
      <c r="DB42" s="221">
        <f>data!DB137-DA42</f>
        <v>-147</v>
      </c>
      <c r="DC42" s="221">
        <f>data!DC137-DB42-DA42</f>
        <v>-151</v>
      </c>
      <c r="DD42" s="221">
        <f>data!DD137-DC42-DB42-DA42</f>
        <v>-88</v>
      </c>
      <c r="DE42" s="222">
        <f t="shared" si="75"/>
        <v>-589</v>
      </c>
      <c r="DF42" s="221">
        <f>data!DF137</f>
        <v>-86</v>
      </c>
      <c r="DG42" s="221">
        <f>data!DG137-DF42</f>
        <v>-308</v>
      </c>
      <c r="DH42" s="221">
        <f>data!DH137-DG42-DF42</f>
        <v>-308</v>
      </c>
      <c r="DI42" s="221">
        <f>data!DI137-DH42-DG42-DF42</f>
        <v>-306</v>
      </c>
      <c r="DJ42" s="222">
        <f t="shared" si="76"/>
        <v>-1008</v>
      </c>
      <c r="DK42" s="221">
        <f>data!DK137</f>
        <v>-302</v>
      </c>
      <c r="DL42" s="221">
        <f>data!DL137-DK42</f>
        <v>-386</v>
      </c>
      <c r="DM42" s="248">
        <f>-IS!DM54*IS!DM52</f>
        <v>-385.08817931999994</v>
      </c>
      <c r="DN42" s="248">
        <f>-IS!DN54*IS!DN52</f>
        <v>-384.72817931999992</v>
      </c>
      <c r="DO42" s="222">
        <f t="shared" si="77"/>
        <v>-1457.8163586399999</v>
      </c>
      <c r="DP42" s="248">
        <f>-IS!DP54*IS!DP52</f>
        <v>-439.53940621799995</v>
      </c>
      <c r="DQ42" s="248">
        <f>-IS!DQ54*IS!DQ52</f>
        <v>-436.64140621799993</v>
      </c>
      <c r="DR42" s="248">
        <f>-IS!DR54*IS!DR52</f>
        <v>-433.74340621799996</v>
      </c>
      <c r="DS42" s="248">
        <f>-IS!DS54*IS!DS52</f>
        <v>-431.05240621799993</v>
      </c>
      <c r="DT42" s="222">
        <f t="shared" si="78"/>
        <v>-1740.9766248719998</v>
      </c>
      <c r="DU42" s="152">
        <f>-IS!DU54*IS!DU52</f>
        <v>-1962.1307186027993</v>
      </c>
      <c r="DV42" s="152">
        <f>-IS!DV54*IS!DV52</f>
        <v>-2208.2690063932191</v>
      </c>
    </row>
    <row r="43" spans="2:126" s="131" customFormat="1">
      <c r="B43" s="221" t="s">
        <v>524</v>
      </c>
      <c r="C43" s="135"/>
      <c r="D43" s="135"/>
      <c r="E43" s="135"/>
      <c r="F43" s="135"/>
      <c r="G43" s="135"/>
      <c r="H43" s="135"/>
      <c r="I43" s="135"/>
      <c r="N43" s="135"/>
      <c r="S43" s="135"/>
      <c r="X43" s="135"/>
      <c r="AC43" s="135"/>
      <c r="AH43" s="135"/>
      <c r="AM43" s="135"/>
      <c r="AN43" s="15"/>
      <c r="AR43" s="135"/>
      <c r="AS43" s="15"/>
      <c r="AW43" s="135"/>
      <c r="AX43" s="221"/>
      <c r="BB43" s="135"/>
      <c r="BC43" s="221"/>
      <c r="BE43" s="221"/>
      <c r="BG43" s="135"/>
      <c r="BH43" s="221"/>
      <c r="BJ43" s="221"/>
      <c r="BL43" s="135"/>
      <c r="BM43" s="221"/>
      <c r="BN43" s="221"/>
      <c r="BO43" s="221"/>
      <c r="BP43" s="221"/>
      <c r="BQ43" s="135"/>
      <c r="BR43" s="221"/>
      <c r="BS43" s="221"/>
      <c r="BT43" s="221"/>
      <c r="BU43" s="221"/>
      <c r="BV43" s="135"/>
      <c r="BW43" s="221"/>
      <c r="BX43" s="221"/>
      <c r="BY43" s="221"/>
      <c r="BZ43" s="221"/>
      <c r="CA43" s="135"/>
      <c r="CB43" s="221"/>
      <c r="CC43" s="221"/>
      <c r="CD43" s="221"/>
      <c r="CE43" s="221"/>
      <c r="CF43" s="135"/>
      <c r="CG43" s="221"/>
      <c r="CH43" s="221"/>
      <c r="CI43" s="221"/>
      <c r="CJ43" s="221"/>
      <c r="CK43" s="222"/>
      <c r="CL43" s="221">
        <f>data!CL138</f>
        <v>-226</v>
      </c>
      <c r="CM43" s="221">
        <f>data!CM138-CL43</f>
        <v>-397</v>
      </c>
      <c r="CN43" s="221">
        <f>data!CN138-CM43-CL43</f>
        <v>254</v>
      </c>
      <c r="CO43" s="221">
        <f>data!CO138-CN43-CM43-CL43</f>
        <v>28</v>
      </c>
      <c r="CP43" s="222">
        <f t="shared" si="79"/>
        <v>-341</v>
      </c>
      <c r="CQ43" s="221">
        <f>data!CQ138</f>
        <v>57</v>
      </c>
      <c r="CR43" s="221">
        <f>data!CR138-CQ43</f>
        <v>-1666</v>
      </c>
      <c r="CS43" s="221">
        <f>data!CS138-CR43-CQ43</f>
        <v>-227</v>
      </c>
      <c r="CT43" s="221">
        <f>data!CT138-CS43-CR43-CQ43</f>
        <v>-6018</v>
      </c>
      <c r="CU43" s="222">
        <f t="shared" si="73"/>
        <v>-7854</v>
      </c>
      <c r="CV43" s="221">
        <f>data!CV138</f>
        <v>-30</v>
      </c>
      <c r="CW43" s="221">
        <f>data!CW138-CV43</f>
        <v>-410</v>
      </c>
      <c r="CX43" s="221">
        <f>data!CX138-CW43-CV43</f>
        <v>-239</v>
      </c>
      <c r="CY43" s="221">
        <f>data!CY138-CX43-CW43-CV43</f>
        <v>-48</v>
      </c>
      <c r="CZ43" s="222">
        <f t="shared" si="74"/>
        <v>-727</v>
      </c>
      <c r="DA43" s="221">
        <f>data!DA138</f>
        <v>87</v>
      </c>
      <c r="DB43" s="221">
        <f>data!DB138-DA43</f>
        <v>119</v>
      </c>
      <c r="DC43" s="221">
        <f>data!DC138-DB43-DA43</f>
        <v>72</v>
      </c>
      <c r="DD43" s="221">
        <f>data!DD138-DC43-DB43-DA43</f>
        <v>132</v>
      </c>
      <c r="DE43" s="222">
        <f t="shared" si="75"/>
        <v>410</v>
      </c>
      <c r="DF43" s="221">
        <f>data!DF138</f>
        <v>540</v>
      </c>
      <c r="DG43" s="221">
        <f>data!DG138-DF43</f>
        <v>96</v>
      </c>
      <c r="DH43" s="221">
        <f>data!DH138-DG43-DF43</f>
        <v>502</v>
      </c>
      <c r="DI43" s="221">
        <f>data!DI138-DH43-DG43-DF43</f>
        <v>-145</v>
      </c>
      <c r="DJ43" s="222">
        <f t="shared" si="76"/>
        <v>993</v>
      </c>
      <c r="DK43" s="221">
        <f>data!DK138</f>
        <v>39</v>
      </c>
      <c r="DL43" s="221">
        <f>data!DL138-DK43</f>
        <v>97</v>
      </c>
      <c r="DM43" s="246">
        <v>0</v>
      </c>
      <c r="DN43" s="246">
        <v>0</v>
      </c>
      <c r="DO43" s="222">
        <f t="shared" si="77"/>
        <v>136</v>
      </c>
      <c r="DP43" s="246">
        <v>0</v>
      </c>
      <c r="DQ43" s="246">
        <v>0</v>
      </c>
      <c r="DR43" s="246">
        <v>0</v>
      </c>
      <c r="DS43" s="246">
        <v>0</v>
      </c>
      <c r="DT43" s="222">
        <f t="shared" si="78"/>
        <v>0</v>
      </c>
      <c r="DU43" s="247">
        <v>0</v>
      </c>
      <c r="DV43" s="247">
        <v>0</v>
      </c>
    </row>
    <row r="44" spans="2:126" s="131" customFormat="1">
      <c r="B44" s="131" t="s">
        <v>531</v>
      </c>
      <c r="C44" s="135">
        <f>data!C138</f>
        <v>0</v>
      </c>
      <c r="D44" s="135">
        <f>data!D138</f>
        <v>0</v>
      </c>
      <c r="E44" s="135">
        <f>data!E138</f>
        <v>0</v>
      </c>
      <c r="F44" s="135">
        <f>data!F138</f>
        <v>0</v>
      </c>
      <c r="G44" s="135">
        <f>data!G138</f>
        <v>0</v>
      </c>
      <c r="H44" s="135">
        <f>data!H138</f>
        <v>0</v>
      </c>
      <c r="I44" s="135">
        <f>data!I138</f>
        <v>0</v>
      </c>
      <c r="J44" s="131">
        <f>data!J138</f>
        <v>0</v>
      </c>
      <c r="K44" s="131">
        <f>data!K138-J44</f>
        <v>0</v>
      </c>
      <c r="L44" s="131">
        <f>data!L138-K44-J44</f>
        <v>0</v>
      </c>
      <c r="M44" s="131">
        <f>data!M138-L44-K44-J44</f>
        <v>0</v>
      </c>
      <c r="N44" s="135">
        <f t="shared" si="67"/>
        <v>0</v>
      </c>
      <c r="O44" s="131">
        <f>data!O138</f>
        <v>0</v>
      </c>
      <c r="P44" s="131">
        <f>data!P138-O44</f>
        <v>0</v>
      </c>
      <c r="Q44" s="131">
        <f>data!Q138-P44-O44</f>
        <v>0</v>
      </c>
      <c r="R44" s="131">
        <f>data!R138-Q44-P44-O44</f>
        <v>0</v>
      </c>
      <c r="S44" s="135">
        <f t="shared" si="68"/>
        <v>0</v>
      </c>
      <c r="T44" s="131">
        <f>data!T138</f>
        <v>0</v>
      </c>
      <c r="U44" s="131">
        <f>data!U138-T44</f>
        <v>0</v>
      </c>
      <c r="V44" s="131">
        <f>data!V138-U44-T44</f>
        <v>0</v>
      </c>
      <c r="W44" s="131">
        <f>data!W138-V44-U44-T44</f>
        <v>0</v>
      </c>
      <c r="X44" s="135">
        <f t="shared" si="69"/>
        <v>0</v>
      </c>
      <c r="Y44" s="131">
        <f>data!Y138</f>
        <v>0</v>
      </c>
      <c r="Z44" s="131">
        <f>data!Z138-Y44</f>
        <v>0</v>
      </c>
      <c r="AA44" s="131">
        <f>data!AA138-Z44-Y44</f>
        <v>0</v>
      </c>
      <c r="AB44" s="131">
        <f>data!AB138-AA44-Z44-Y44</f>
        <v>0</v>
      </c>
      <c r="AC44" s="135">
        <f t="shared" si="70"/>
        <v>0</v>
      </c>
      <c r="AD44" s="131">
        <f>data!AD138</f>
        <v>0</v>
      </c>
      <c r="AE44" s="131">
        <f>data!AE138-AD44</f>
        <v>0</v>
      </c>
      <c r="AF44" s="131">
        <f>data!AF138-AE44-AD44</f>
        <v>0</v>
      </c>
      <c r="AG44" s="131">
        <f>data!AG138-AF44-AE44-AD44</f>
        <v>0</v>
      </c>
      <c r="AH44" s="135">
        <f t="shared" si="71"/>
        <v>0</v>
      </c>
      <c r="AI44" s="131">
        <f>data!AI138</f>
        <v>0</v>
      </c>
      <c r="AJ44" s="131">
        <f>data!AJ138-AI44</f>
        <v>0</v>
      </c>
      <c r="AK44" s="131">
        <f>data!AK138-AJ44-AI44</f>
        <v>0</v>
      </c>
      <c r="AL44" s="131">
        <f>data!AL138-AK44-AJ44-AI44</f>
        <v>0</v>
      </c>
      <c r="AM44" s="135">
        <f t="shared" si="12"/>
        <v>0</v>
      </c>
      <c r="AN44" s="15">
        <f>data!AN138</f>
        <v>0</v>
      </c>
      <c r="AO44" s="131">
        <f>data!AO138-AN44</f>
        <v>0</v>
      </c>
      <c r="AP44" s="131">
        <f>data!AP138-AO44-AN44</f>
        <v>0</v>
      </c>
      <c r="AQ44" s="131">
        <f>data!AQ138-AP44-AO44-AN44</f>
        <v>0</v>
      </c>
      <c r="AR44" s="135">
        <f t="shared" si="13"/>
        <v>0</v>
      </c>
      <c r="AS44" s="15">
        <f>data!AS138</f>
        <v>0</v>
      </c>
      <c r="AT44" s="131">
        <f>data!AT138-AS44</f>
        <v>0</v>
      </c>
      <c r="AU44" s="131">
        <f>data!AU138-AT44-AS44</f>
        <v>0</v>
      </c>
      <c r="AV44" s="131">
        <f>data!AV138-AU44-AT44-AS44</f>
        <v>0</v>
      </c>
      <c r="AW44" s="135">
        <f t="shared" si="15"/>
        <v>0</v>
      </c>
      <c r="AX44" s="221">
        <f>data!AX138</f>
        <v>0</v>
      </c>
      <c r="AY44" s="131">
        <f>data!AY138-AX44</f>
        <v>0</v>
      </c>
      <c r="AZ44" s="131">
        <f>data!AZ138-AY44-AX44</f>
        <v>0</v>
      </c>
      <c r="BA44" s="131">
        <f>data!BA138-AZ44-AY44-AX44</f>
        <v>0</v>
      </c>
      <c r="BB44" s="135"/>
      <c r="BC44" s="221"/>
      <c r="BE44" s="221"/>
      <c r="BG44" s="135"/>
      <c r="BH44" s="221"/>
      <c r="BJ44" s="221"/>
      <c r="BL44" s="135"/>
      <c r="BM44" s="221"/>
      <c r="BN44" s="221"/>
      <c r="BO44" s="221"/>
      <c r="BQ44" s="135"/>
      <c r="BR44" s="221"/>
      <c r="BS44" s="221"/>
      <c r="BT44" s="221"/>
      <c r="BV44" s="135"/>
      <c r="BW44" s="221"/>
      <c r="BX44" s="221"/>
      <c r="BY44" s="221"/>
      <c r="BZ44" s="221"/>
      <c r="CA44" s="135"/>
      <c r="CB44" s="221"/>
      <c r="CC44" s="221"/>
      <c r="CD44" s="221"/>
      <c r="CE44" s="221"/>
      <c r="CF44" s="135"/>
      <c r="CG44" s="221"/>
      <c r="CH44" s="221"/>
      <c r="CI44" s="221"/>
      <c r="CJ44" s="221"/>
      <c r="CK44" s="222"/>
      <c r="CL44" s="221">
        <f>data!CL140</f>
        <v>43</v>
      </c>
      <c r="CM44" s="221">
        <f>data!CM140-CL44</f>
        <v>-2</v>
      </c>
      <c r="CN44" s="221">
        <f>data!CN140-CM44-CL44</f>
        <v>-65</v>
      </c>
      <c r="CO44" s="221">
        <f>data!CO140-CN44-CM44-CL44</f>
        <v>-66</v>
      </c>
      <c r="CP44" s="222">
        <f t="shared" si="79"/>
        <v>-90</v>
      </c>
      <c r="CQ44" s="221">
        <f>data!CQ140</f>
        <v>3</v>
      </c>
      <c r="CR44" s="221">
        <f>data!CR140-CQ44</f>
        <v>-1</v>
      </c>
      <c r="CS44" s="221">
        <f>data!CS140-CR44-CQ44</f>
        <v>99</v>
      </c>
      <c r="CT44" s="221">
        <f>data!CT140-CS44-CR44-CQ44</f>
        <v>18</v>
      </c>
      <c r="CU44" s="222">
        <f t="shared" ref="CU44" si="80">SUM(CQ44:CT44)</f>
        <v>119</v>
      </c>
      <c r="CV44" s="221">
        <f>data!CV140</f>
        <v>-28</v>
      </c>
      <c r="CW44" s="221">
        <f>data!CW140-CV44</f>
        <v>-26</v>
      </c>
      <c r="CX44" s="221">
        <f>data!CX140-CW44-CV44</f>
        <v>-35</v>
      </c>
      <c r="CY44" s="221">
        <f>data!CY140-CX44-CW44-CV44</f>
        <v>8191</v>
      </c>
      <c r="CZ44" s="222">
        <f t="shared" ref="CZ44" si="81">SUM(CV44:CY44)</f>
        <v>8102</v>
      </c>
      <c r="DA44" s="221">
        <f>data!DA140</f>
        <v>1999</v>
      </c>
      <c r="DB44" s="221">
        <f>data!DB140-DA44</f>
        <v>-7</v>
      </c>
      <c r="DC44" s="221">
        <f>data!DC140-DB44-DA44</f>
        <v>7</v>
      </c>
      <c r="DD44" s="221">
        <f>data!DD140-DC44-DB44-DA44</f>
        <v>1</v>
      </c>
      <c r="DE44" s="222">
        <f t="shared" ref="DE44" si="82">SUM(DA44:DD44)</f>
        <v>2000</v>
      </c>
      <c r="DF44" s="221">
        <f>data!DF140</f>
        <v>0</v>
      </c>
      <c r="DG44" s="221">
        <f>data!DG140-DF44</f>
        <v>-98</v>
      </c>
      <c r="DH44" s="221">
        <f>data!DH140-DG44-DF44</f>
        <v>0</v>
      </c>
      <c r="DI44" s="221">
        <f>data!DI140-DH44-DG44-DF44</f>
        <v>0</v>
      </c>
      <c r="DJ44" s="222">
        <f t="shared" si="76"/>
        <v>-98</v>
      </c>
      <c r="DK44" s="221">
        <f>data!DK140</f>
        <v>0</v>
      </c>
      <c r="DL44" s="221">
        <f>data!DL140-DK44</f>
        <v>0</v>
      </c>
      <c r="DM44" s="246">
        <v>0</v>
      </c>
      <c r="DN44" s="246">
        <v>0</v>
      </c>
      <c r="DO44" s="222">
        <f t="shared" si="77"/>
        <v>0</v>
      </c>
      <c r="DP44" s="246">
        <v>0</v>
      </c>
      <c r="DQ44" s="246">
        <v>0</v>
      </c>
      <c r="DR44" s="246">
        <v>0</v>
      </c>
      <c r="DS44" s="246">
        <v>0</v>
      </c>
      <c r="DT44" s="222">
        <f t="shared" si="78"/>
        <v>0</v>
      </c>
      <c r="DU44" s="247">
        <v>0</v>
      </c>
      <c r="DV44" s="247">
        <v>0</v>
      </c>
    </row>
    <row r="45" spans="2:126" s="131" customFormat="1" ht="12">
      <c r="B45" s="249" t="s">
        <v>205</v>
      </c>
      <c r="C45" s="250" t="e">
        <f t="shared" ref="C45:AL45" si="83">SUM(C37:C44)</f>
        <v>#REF!</v>
      </c>
      <c r="D45" s="250" t="e">
        <f t="shared" si="83"/>
        <v>#REF!</v>
      </c>
      <c r="E45" s="250" t="e">
        <f t="shared" si="83"/>
        <v>#REF!</v>
      </c>
      <c r="F45" s="250" t="e">
        <f t="shared" si="83"/>
        <v>#REF!</v>
      </c>
      <c r="G45" s="250" t="e">
        <f t="shared" si="83"/>
        <v>#REF!</v>
      </c>
      <c r="H45" s="250" t="e">
        <f t="shared" si="83"/>
        <v>#REF!</v>
      </c>
      <c r="I45" s="250" t="e">
        <f t="shared" si="83"/>
        <v>#REF!</v>
      </c>
      <c r="J45" s="249" t="e">
        <f t="shared" si="83"/>
        <v>#REF!</v>
      </c>
      <c r="K45" s="249" t="e">
        <f t="shared" si="83"/>
        <v>#REF!</v>
      </c>
      <c r="L45" s="249" t="e">
        <f t="shared" si="83"/>
        <v>#REF!</v>
      </c>
      <c r="M45" s="249" t="e">
        <f t="shared" si="83"/>
        <v>#REF!</v>
      </c>
      <c r="N45" s="250" t="e">
        <f t="shared" si="83"/>
        <v>#REF!</v>
      </c>
      <c r="O45" s="249" t="e">
        <f t="shared" si="83"/>
        <v>#REF!</v>
      </c>
      <c r="P45" s="249" t="e">
        <f t="shared" si="83"/>
        <v>#REF!</v>
      </c>
      <c r="Q45" s="249" t="e">
        <f t="shared" si="83"/>
        <v>#REF!</v>
      </c>
      <c r="R45" s="249" t="e">
        <f t="shared" si="83"/>
        <v>#REF!</v>
      </c>
      <c r="S45" s="250" t="e">
        <f t="shared" si="83"/>
        <v>#REF!</v>
      </c>
      <c r="T45" s="249" t="e">
        <f t="shared" si="83"/>
        <v>#REF!</v>
      </c>
      <c r="U45" s="249" t="e">
        <f t="shared" si="83"/>
        <v>#REF!</v>
      </c>
      <c r="V45" s="249" t="e">
        <f t="shared" si="83"/>
        <v>#REF!</v>
      </c>
      <c r="W45" s="249" t="e">
        <f t="shared" si="83"/>
        <v>#REF!</v>
      </c>
      <c r="X45" s="250" t="e">
        <f t="shared" si="83"/>
        <v>#REF!</v>
      </c>
      <c r="Y45" s="249" t="e">
        <f t="shared" si="83"/>
        <v>#REF!</v>
      </c>
      <c r="Z45" s="249" t="e">
        <f t="shared" si="83"/>
        <v>#REF!</v>
      </c>
      <c r="AA45" s="249" t="e">
        <f t="shared" si="83"/>
        <v>#REF!</v>
      </c>
      <c r="AB45" s="249" t="e">
        <f t="shared" si="83"/>
        <v>#REF!</v>
      </c>
      <c r="AC45" s="250" t="e">
        <f t="shared" si="83"/>
        <v>#REF!</v>
      </c>
      <c r="AD45" s="249" t="e">
        <f t="shared" si="83"/>
        <v>#REF!</v>
      </c>
      <c r="AE45" s="249" t="e">
        <f t="shared" si="83"/>
        <v>#REF!</v>
      </c>
      <c r="AF45" s="249" t="e">
        <f t="shared" si="83"/>
        <v>#REF!</v>
      </c>
      <c r="AG45" s="249" t="e">
        <f t="shared" si="83"/>
        <v>#REF!</v>
      </c>
      <c r="AH45" s="250" t="e">
        <f t="shared" si="83"/>
        <v>#REF!</v>
      </c>
      <c r="AI45" s="249" t="e">
        <f t="shared" si="83"/>
        <v>#REF!</v>
      </c>
      <c r="AJ45" s="249" t="e">
        <f t="shared" si="83"/>
        <v>#REF!</v>
      </c>
      <c r="AK45" s="249" t="e">
        <f t="shared" si="83"/>
        <v>#REF!</v>
      </c>
      <c r="AL45" s="249" t="e">
        <f t="shared" si="83"/>
        <v>#REF!</v>
      </c>
      <c r="AM45" s="250" t="e">
        <f t="shared" si="12"/>
        <v>#REF!</v>
      </c>
      <c r="AN45" s="249" t="e">
        <f>SUM(AN37:AN44)</f>
        <v>#REF!</v>
      </c>
      <c r="AO45" s="249" t="e">
        <f>SUM(AO37:AO44)</f>
        <v>#REF!</v>
      </c>
      <c r="AP45" s="249" t="e">
        <f>SUM(AP37:AP44)</f>
        <v>#REF!</v>
      </c>
      <c r="AQ45" s="249" t="e">
        <f>SUM(AQ37:AQ44)</f>
        <v>#REF!</v>
      </c>
      <c r="AR45" s="250" t="e">
        <f t="shared" si="13"/>
        <v>#REF!</v>
      </c>
      <c r="AS45" s="249" t="e">
        <f>SUM(AS37:AS44)</f>
        <v>#REF!</v>
      </c>
      <c r="AT45" s="249" t="e">
        <f>SUM(AT37:AT44)</f>
        <v>#REF!</v>
      </c>
      <c r="AU45" s="249" t="e">
        <f>SUM(AU37:AU44)</f>
        <v>#REF!</v>
      </c>
      <c r="AV45" s="249" t="e">
        <f>SUM(AV37:AV44)</f>
        <v>#REF!</v>
      </c>
      <c r="AW45" s="250" t="e">
        <f t="shared" si="15"/>
        <v>#REF!</v>
      </c>
      <c r="AX45" s="234" t="e">
        <f>SUM(AX37:AX44)</f>
        <v>#REF!</v>
      </c>
      <c r="AY45" s="249" t="e">
        <f>SUM(AY37:AY44)</f>
        <v>#REF!</v>
      </c>
      <c r="AZ45" s="249" t="e">
        <f>SUM(AZ37:AZ44)</f>
        <v>#REF!</v>
      </c>
      <c r="BA45" s="249" t="e">
        <f>SUM(BA37:BA44)</f>
        <v>#REF!</v>
      </c>
      <c r="BB45" s="250"/>
      <c r="BC45" s="234"/>
      <c r="BD45" s="249"/>
      <c r="BE45" s="249"/>
      <c r="BF45" s="249"/>
      <c r="BG45" s="250"/>
      <c r="BH45" s="234"/>
      <c r="BI45" s="249"/>
      <c r="BJ45" s="249"/>
      <c r="BK45" s="249"/>
      <c r="BL45" s="250"/>
      <c r="BM45" s="234"/>
      <c r="BN45" s="249"/>
      <c r="BO45" s="249"/>
      <c r="BP45" s="249"/>
      <c r="BQ45" s="250"/>
      <c r="BR45" s="234"/>
      <c r="BS45" s="234"/>
      <c r="BT45" s="249"/>
      <c r="BU45" s="249"/>
      <c r="BV45" s="250"/>
      <c r="BW45" s="234"/>
      <c r="BX45" s="234"/>
      <c r="BY45" s="249"/>
      <c r="BZ45" s="234"/>
      <c r="CA45" s="250"/>
      <c r="CB45" s="234"/>
      <c r="CC45" s="234"/>
      <c r="CD45" s="249"/>
      <c r="CE45" s="234"/>
      <c r="CF45" s="250"/>
      <c r="CG45" s="249"/>
      <c r="CH45" s="234"/>
      <c r="CI45" s="249"/>
      <c r="CJ45" s="234"/>
      <c r="CK45" s="236"/>
      <c r="CL45" s="249">
        <f t="shared" ref="CL45:DU45" si="84">SUM(CL37:CL44)</f>
        <v>-7919</v>
      </c>
      <c r="CM45" s="249">
        <f t="shared" si="84"/>
        <v>-4080</v>
      </c>
      <c r="CN45" s="249">
        <f t="shared" si="84"/>
        <v>-3038</v>
      </c>
      <c r="CO45" s="234">
        <f t="shared" si="84"/>
        <v>-4814</v>
      </c>
      <c r="CP45" s="236">
        <f t="shared" si="84"/>
        <v>-19851</v>
      </c>
      <c r="CQ45" s="249">
        <f t="shared" si="84"/>
        <v>-1606</v>
      </c>
      <c r="CR45" s="249">
        <f t="shared" si="84"/>
        <v>-10400</v>
      </c>
      <c r="CS45" s="249">
        <f t="shared" si="84"/>
        <v>-396</v>
      </c>
      <c r="CT45" s="234">
        <f t="shared" si="84"/>
        <v>-32775</v>
      </c>
      <c r="CU45" s="236">
        <f t="shared" si="84"/>
        <v>-45177</v>
      </c>
      <c r="CV45" s="249">
        <f t="shared" si="84"/>
        <v>-1459</v>
      </c>
      <c r="CW45" s="249">
        <f t="shared" si="84"/>
        <v>-1681</v>
      </c>
      <c r="CX45" s="249">
        <f t="shared" si="84"/>
        <v>-1987</v>
      </c>
      <c r="CY45" s="234">
        <f t="shared" si="84"/>
        <v>-459</v>
      </c>
      <c r="CZ45" s="236">
        <f t="shared" si="84"/>
        <v>-5586</v>
      </c>
      <c r="DA45" s="249">
        <f t="shared" si="84"/>
        <v>-3231</v>
      </c>
      <c r="DB45" s="249">
        <f t="shared" si="84"/>
        <v>-1164</v>
      </c>
      <c r="DC45" s="249">
        <f t="shared" si="84"/>
        <v>-3824</v>
      </c>
      <c r="DD45" s="234">
        <f t="shared" si="84"/>
        <v>-392</v>
      </c>
      <c r="DE45" s="236">
        <f t="shared" si="84"/>
        <v>-8611</v>
      </c>
      <c r="DF45" s="249">
        <f t="shared" si="84"/>
        <v>-203</v>
      </c>
      <c r="DG45" s="249">
        <f t="shared" ref="DG45:DK45" si="85">SUM(DG37:DG44)</f>
        <v>-2890</v>
      </c>
      <c r="DH45" s="249">
        <f t="shared" si="85"/>
        <v>-1458</v>
      </c>
      <c r="DI45" s="234">
        <f t="shared" si="85"/>
        <v>-2175</v>
      </c>
      <c r="DJ45" s="236">
        <f t="shared" si="85"/>
        <v>-6726</v>
      </c>
      <c r="DK45" s="249">
        <f t="shared" si="85"/>
        <v>-2284</v>
      </c>
      <c r="DL45" s="249">
        <f t="shared" ref="DL45" si="86">SUM(DL37:DL44)</f>
        <v>-3206</v>
      </c>
      <c r="DM45" s="249">
        <f t="shared" si="84"/>
        <v>-1885.0881793199999</v>
      </c>
      <c r="DN45" s="249">
        <f t="shared" si="84"/>
        <v>-2419.72817932</v>
      </c>
      <c r="DO45" s="236">
        <f t="shared" si="84"/>
        <v>-9794.8163586400005</v>
      </c>
      <c r="DP45" s="249">
        <f t="shared" si="84"/>
        <v>-1939.5394062179998</v>
      </c>
      <c r="DQ45" s="249">
        <f t="shared" ref="DQ45:DT45" si="87">SUM(DQ37:DQ44)</f>
        <v>-2186.6414062180002</v>
      </c>
      <c r="DR45" s="249">
        <f t="shared" si="87"/>
        <v>-2183.743406218</v>
      </c>
      <c r="DS45" s="249">
        <f t="shared" si="87"/>
        <v>-2431.0524062179998</v>
      </c>
      <c r="DT45" s="236">
        <f t="shared" si="87"/>
        <v>-8740.9766248720007</v>
      </c>
      <c r="DU45" s="236">
        <f t="shared" si="84"/>
        <v>-8962.1307186027989</v>
      </c>
      <c r="DV45" s="236">
        <f t="shared" ref="DV45" si="88">SUM(DV37:DV44)</f>
        <v>-9208.2690063932187</v>
      </c>
    </row>
    <row r="46" spans="2:126" s="131" customFormat="1">
      <c r="B46" s="131" t="s">
        <v>167</v>
      </c>
      <c r="C46" s="135">
        <f>data!C142</f>
        <v>0</v>
      </c>
      <c r="D46" s="135">
        <f>data!D142</f>
        <v>0</v>
      </c>
      <c r="E46" s="135">
        <f>data!E142</f>
        <v>0</v>
      </c>
      <c r="F46" s="135">
        <f>data!F142</f>
        <v>0</v>
      </c>
      <c r="G46" s="135">
        <f>data!G142</f>
        <v>0</v>
      </c>
      <c r="H46" s="135">
        <f>data!H142</f>
        <v>0</v>
      </c>
      <c r="I46" s="135">
        <f>data!I142</f>
        <v>0</v>
      </c>
      <c r="J46" s="131">
        <f>data!J142</f>
        <v>0</v>
      </c>
      <c r="K46" s="131">
        <f>data!K142-J46</f>
        <v>0</v>
      </c>
      <c r="L46" s="131">
        <f>data!L142-K46-J46</f>
        <v>0</v>
      </c>
      <c r="M46" s="131">
        <f>data!M142-L46-K46-J46</f>
        <v>0</v>
      </c>
      <c r="N46" s="135">
        <f>SUM(J46:M46)</f>
        <v>0</v>
      </c>
      <c r="O46" s="131">
        <f>data!O142</f>
        <v>0</v>
      </c>
      <c r="P46" s="131">
        <f>data!P142-O46</f>
        <v>0</v>
      </c>
      <c r="Q46" s="131">
        <f>data!Q142-P46-O46</f>
        <v>0</v>
      </c>
      <c r="R46" s="131">
        <f>data!R142-Q46-P46-O46</f>
        <v>0</v>
      </c>
      <c r="S46" s="135">
        <f>SUM(O46:R46)</f>
        <v>0</v>
      </c>
      <c r="T46" s="131">
        <f>data!T142</f>
        <v>0</v>
      </c>
      <c r="U46" s="131">
        <f>data!U142-T46</f>
        <v>0</v>
      </c>
      <c r="V46" s="131">
        <f>data!V142-U46-T46</f>
        <v>0</v>
      </c>
      <c r="W46" s="131">
        <f>data!W142-V46-U46-T46</f>
        <v>0</v>
      </c>
      <c r="X46" s="135">
        <f>SUM(T46:W46)</f>
        <v>0</v>
      </c>
      <c r="Y46" s="131">
        <f>data!Y142</f>
        <v>0</v>
      </c>
      <c r="Z46" s="131">
        <f>data!Z142-Y46</f>
        <v>0</v>
      </c>
      <c r="AA46" s="131">
        <f>data!AA142-Z46-Y46</f>
        <v>0</v>
      </c>
      <c r="AB46" s="131">
        <f>data!AB142-AA46-Z46-Y46</f>
        <v>0</v>
      </c>
      <c r="AC46" s="135">
        <f>SUM(Y46:AB46)</f>
        <v>0</v>
      </c>
      <c r="AD46" s="131">
        <f>data!AD142</f>
        <v>0</v>
      </c>
      <c r="AE46" s="131">
        <f>data!AE142-AD46</f>
        <v>0</v>
      </c>
      <c r="AF46" s="131">
        <f>data!AF142-AE46-AD46</f>
        <v>0</v>
      </c>
      <c r="AG46" s="131">
        <f>data!AG142-AF46-AE46-AD46</f>
        <v>-56</v>
      </c>
      <c r="AH46" s="135">
        <f>SUM(AD46:AG46)</f>
        <v>-56</v>
      </c>
      <c r="AI46" s="131">
        <f>data!AI142</f>
        <v>0</v>
      </c>
      <c r="AJ46" s="131">
        <f>data!AJ142-AI46</f>
        <v>32</v>
      </c>
      <c r="AK46" s="131">
        <f>data!AK142-AJ46-AI46</f>
        <v>-8</v>
      </c>
      <c r="AL46" s="131">
        <f>data!AL142-AK46-AJ46-AI46</f>
        <v>20</v>
      </c>
      <c r="AM46" s="135">
        <f t="shared" si="12"/>
        <v>44</v>
      </c>
      <c r="AN46" s="15">
        <f>data!AN142</f>
        <v>-14</v>
      </c>
      <c r="AO46" s="131">
        <f>data!AO142-AN46</f>
        <v>-5</v>
      </c>
      <c r="AP46" s="131">
        <f>data!AP142-AO46-AN46</f>
        <v>20</v>
      </c>
      <c r="AQ46" s="131">
        <f>data!AQ142-AP46-AO46-AN46</f>
        <v>4</v>
      </c>
      <c r="AR46" s="135">
        <f t="shared" si="13"/>
        <v>5</v>
      </c>
      <c r="AS46" s="15">
        <f>data!AS142</f>
        <v>12</v>
      </c>
      <c r="AT46" s="131">
        <f>data!AT142-AS46</f>
        <v>-2</v>
      </c>
      <c r="AU46" s="131">
        <f>data!AU142-AT46-AS46</f>
        <v>-19</v>
      </c>
      <c r="AV46" s="131">
        <f>data!AV142-AU46-AT46-AS46</f>
        <v>9</v>
      </c>
      <c r="AW46" s="135">
        <f t="shared" si="15"/>
        <v>0</v>
      </c>
      <c r="AX46" s="221">
        <f>data!AX142</f>
        <v>0</v>
      </c>
      <c r="AY46" s="131">
        <f>data!AY142-AX46</f>
        <v>0</v>
      </c>
      <c r="AZ46" s="131">
        <f>data!AZ142-AY46-AX46</f>
        <v>0</v>
      </c>
      <c r="BA46" s="131">
        <f>data!BA142-AZ46-AY46-AX46</f>
        <v>0</v>
      </c>
      <c r="BB46" s="135"/>
      <c r="BC46" s="221"/>
      <c r="BG46" s="135"/>
      <c r="BH46" s="221"/>
      <c r="BL46" s="135"/>
      <c r="BM46" s="221"/>
      <c r="BN46" s="221"/>
      <c r="BQ46" s="135"/>
      <c r="BR46" s="221"/>
      <c r="BS46" s="221"/>
      <c r="BT46" s="417"/>
      <c r="BV46" s="135"/>
      <c r="BW46" s="221"/>
      <c r="BX46" s="221"/>
      <c r="BY46" s="417"/>
      <c r="BZ46" s="221"/>
      <c r="CA46" s="135"/>
      <c r="CB46" s="221"/>
      <c r="CC46" s="221"/>
      <c r="CD46" s="417"/>
      <c r="CE46" s="221"/>
      <c r="CF46" s="135"/>
      <c r="CG46" s="221"/>
      <c r="CH46" s="221"/>
      <c r="CI46" s="417"/>
      <c r="CJ46" s="221"/>
      <c r="CK46" s="222"/>
      <c r="CL46" s="221">
        <f>data!CL142</f>
        <v>-256</v>
      </c>
      <c r="CM46" s="221">
        <f>data!CM142-CL46</f>
        <v>39</v>
      </c>
      <c r="CN46" s="417">
        <f>data!CN142-CM46-CL46</f>
        <v>206</v>
      </c>
      <c r="CO46" s="221">
        <f>data!CO142-CN46-CM46-CL46</f>
        <v>157</v>
      </c>
      <c r="CP46" s="222">
        <f>SUM(CL46:CO46)</f>
        <v>146</v>
      </c>
      <c r="CQ46" s="221">
        <f>data!CQ142</f>
        <v>-131</v>
      </c>
      <c r="CR46" s="221">
        <f>data!CR142-CQ46</f>
        <v>94</v>
      </c>
      <c r="CS46" s="417">
        <f>data!CS142-CR46-CQ46</f>
        <v>-99</v>
      </c>
      <c r="CT46" s="221">
        <f>data!CT142-CS46-CR46-CQ46</f>
        <v>-77</v>
      </c>
      <c r="CU46" s="222">
        <f>SUM(CQ46:CT46)</f>
        <v>-213</v>
      </c>
      <c r="CV46" s="221">
        <f>data!CV142</f>
        <v>-75</v>
      </c>
      <c r="CW46" s="221">
        <f>data!CW142-CV46</f>
        <v>-191</v>
      </c>
      <c r="CX46" s="417">
        <f>data!CX142-CW46-CV46</f>
        <v>-357</v>
      </c>
      <c r="CY46" s="221">
        <f>data!CY142-CX46-CW46-CV46</f>
        <v>254</v>
      </c>
      <c r="CZ46" s="222">
        <f>SUM(CV46:CY46)</f>
        <v>-369</v>
      </c>
      <c r="DA46" s="221">
        <f>data!DA142</f>
        <v>65</v>
      </c>
      <c r="DB46" s="221">
        <f>data!DB142-DA46</f>
        <v>14</v>
      </c>
      <c r="DC46" s="417">
        <f>data!DC142-DB46-DA46</f>
        <v>-170</v>
      </c>
      <c r="DD46" s="221">
        <f>data!DD142-DC46-DB46-DA46</f>
        <v>211</v>
      </c>
      <c r="DE46" s="222">
        <f>SUM(DA46:DD46)</f>
        <v>120</v>
      </c>
      <c r="DF46" s="221">
        <f>data!DF142-56</f>
        <v>-117</v>
      </c>
      <c r="DG46" s="221">
        <f>data!DG142-DF46-51</f>
        <v>-77</v>
      </c>
      <c r="DH46" s="417">
        <f>data!DH142-DG46-DF46-60</f>
        <v>76</v>
      </c>
      <c r="DI46" s="221">
        <f>data!DI142-DH46-DG46-DF46+36</f>
        <v>-39</v>
      </c>
      <c r="DJ46" s="222">
        <f>SUM(DF46:DI46)</f>
        <v>-157</v>
      </c>
      <c r="DK46" s="221">
        <f>data!DK142-206</f>
        <v>-122</v>
      </c>
      <c r="DL46" s="221">
        <f>data!DL142-DK46-360</f>
        <v>-50</v>
      </c>
      <c r="DM46" s="246">
        <v>0</v>
      </c>
      <c r="DN46" s="246">
        <v>0</v>
      </c>
      <c r="DO46" s="222">
        <f>+SUM(DK46:DN46)</f>
        <v>-172</v>
      </c>
      <c r="DP46" s="246">
        <v>0</v>
      </c>
      <c r="DQ46" s="246">
        <v>0</v>
      </c>
      <c r="DR46" s="246">
        <v>0</v>
      </c>
      <c r="DS46" s="246">
        <v>0</v>
      </c>
      <c r="DT46" s="222">
        <f>+SUM(DP46:DS46)</f>
        <v>0</v>
      </c>
      <c r="DU46" s="247">
        <v>0</v>
      </c>
      <c r="DV46" s="247">
        <v>0</v>
      </c>
    </row>
    <row r="47" spans="2:126" s="131" customFormat="1" ht="12">
      <c r="B47" s="216" t="s">
        <v>136</v>
      </c>
      <c r="C47" s="225">
        <f>data!C143</f>
        <v>0</v>
      </c>
      <c r="D47" s="225" t="e">
        <f t="shared" ref="D47:M47" si="89">SUM(D46,D45,D36,D25)</f>
        <v>#REF!</v>
      </c>
      <c r="E47" s="225" t="e">
        <f t="shared" si="89"/>
        <v>#REF!</v>
      </c>
      <c r="F47" s="225" t="e">
        <f t="shared" si="89"/>
        <v>#REF!</v>
      </c>
      <c r="G47" s="225" t="e">
        <f t="shared" si="89"/>
        <v>#REF!</v>
      </c>
      <c r="H47" s="225" t="e">
        <f t="shared" si="89"/>
        <v>#REF!</v>
      </c>
      <c r="I47" s="225" t="e">
        <f t="shared" si="89"/>
        <v>#REF!</v>
      </c>
      <c r="J47" s="216" t="e">
        <f t="shared" si="89"/>
        <v>#REF!</v>
      </c>
      <c r="K47" s="216" t="e">
        <f t="shared" si="89"/>
        <v>#REF!</v>
      </c>
      <c r="L47" s="216" t="e">
        <f t="shared" si="89"/>
        <v>#REF!</v>
      </c>
      <c r="M47" s="216" t="e">
        <f t="shared" si="89"/>
        <v>#REF!</v>
      </c>
      <c r="N47" s="225" t="e">
        <f>SUM(J47:M47)</f>
        <v>#REF!</v>
      </c>
      <c r="O47" s="216" t="e">
        <f>SUM(O46,O45,O36,O25)</f>
        <v>#REF!</v>
      </c>
      <c r="P47" s="216" t="e">
        <f>SUM(P46,P45,P36,P25)</f>
        <v>#REF!</v>
      </c>
      <c r="Q47" s="216" t="e">
        <f>SUM(Q46,Q45,Q36,Q25)</f>
        <v>#REF!</v>
      </c>
      <c r="R47" s="216" t="e">
        <f>SUM(R46,R45,R36,R25)</f>
        <v>#REF!</v>
      </c>
      <c r="S47" s="225" t="e">
        <f>SUM(O47:R47)</f>
        <v>#REF!</v>
      </c>
      <c r="T47" s="216" t="e">
        <f>SUM(T46,T45,T36,T25)</f>
        <v>#REF!</v>
      </c>
      <c r="U47" s="216" t="e">
        <f>SUM(U46,U45,U36,U25)</f>
        <v>#REF!</v>
      </c>
      <c r="V47" s="216" t="e">
        <f>SUM(V46,V45,V36,V25)</f>
        <v>#REF!</v>
      </c>
      <c r="W47" s="216" t="e">
        <f>SUM(W46,W45,W36,W25)</f>
        <v>#REF!</v>
      </c>
      <c r="X47" s="225" t="e">
        <f>SUM(T47:W47)</f>
        <v>#REF!</v>
      </c>
      <c r="Y47" s="216" t="e">
        <f>SUM(Y46,Y45,Y36,Y25)</f>
        <v>#REF!</v>
      </c>
      <c r="Z47" s="216" t="e">
        <f>SUM(Z46,Z45,Z36,Z25)</f>
        <v>#REF!</v>
      </c>
      <c r="AA47" s="216" t="e">
        <f>SUM(AA46,AA45,AA36,AA25)</f>
        <v>#REF!</v>
      </c>
      <c r="AB47" s="216" t="e">
        <f>SUM(AB46,AB45,AB36,AB25)</f>
        <v>#REF!</v>
      </c>
      <c r="AC47" s="225" t="e">
        <f>SUM(Y47:AB47)</f>
        <v>#REF!</v>
      </c>
      <c r="AD47" s="216" t="e">
        <f>SUM(AD46,AD45,AD36,AD25)</f>
        <v>#REF!</v>
      </c>
      <c r="AE47" s="216" t="e">
        <f>SUM(AE46,AE45,AE36,AE25)</f>
        <v>#REF!</v>
      </c>
      <c r="AF47" s="216" t="e">
        <f>SUM(AF46,AF45,AF36,AF25)</f>
        <v>#REF!</v>
      </c>
      <c r="AG47" s="216" t="e">
        <f>SUM(AG46,AG45,AG36,AG25)</f>
        <v>#REF!</v>
      </c>
      <c r="AH47" s="225" t="e">
        <f>SUM(AD47:AG47)</f>
        <v>#REF!</v>
      </c>
      <c r="AI47" s="216" t="e">
        <f>SUM(AI46,AI45,AI36,AI25)</f>
        <v>#REF!</v>
      </c>
      <c r="AJ47" s="216" t="e">
        <f>SUM(AJ46,AJ45,AJ36,AJ25)</f>
        <v>#REF!</v>
      </c>
      <c r="AK47" s="216" t="e">
        <f>SUM(AK46,AK45,AK36,AK25)</f>
        <v>#REF!</v>
      </c>
      <c r="AL47" s="216" t="e">
        <f>SUM(AL46,AL45,AL36,AL25)</f>
        <v>#REF!</v>
      </c>
      <c r="AM47" s="225" t="e">
        <f t="shared" si="12"/>
        <v>#REF!</v>
      </c>
      <c r="AN47" s="189" t="e">
        <f>SUM(AN46,AN45,AN36,AN25)</f>
        <v>#REF!</v>
      </c>
      <c r="AO47" s="216" t="e">
        <f>SUM(AO46,AO45,AO36,AO25)</f>
        <v>#REF!</v>
      </c>
      <c r="AP47" s="216" t="e">
        <f>SUM(AP46,AP45,AP36,AP25)</f>
        <v>#REF!</v>
      </c>
      <c r="AQ47" s="216" t="e">
        <f>SUM(AQ46,AQ45,AQ36,AQ25)</f>
        <v>#REF!</v>
      </c>
      <c r="AR47" s="225" t="e">
        <f t="shared" si="13"/>
        <v>#REF!</v>
      </c>
      <c r="AS47" s="189" t="e">
        <f>SUM(AS46,AS45,AS36,AS25)</f>
        <v>#REF!</v>
      </c>
      <c r="AT47" s="216" t="e">
        <f>SUM(AT46,AT45,AT36,AT25)</f>
        <v>#REF!</v>
      </c>
      <c r="AU47" s="216" t="e">
        <f>SUM(AU46,AU45,AU36,AU25)</f>
        <v>#REF!</v>
      </c>
      <c r="AV47" s="216" t="e">
        <f>SUM(AV46,AV45,AV36,AV25)</f>
        <v>#REF!</v>
      </c>
      <c r="AW47" s="225" t="e">
        <f t="shared" si="15"/>
        <v>#REF!</v>
      </c>
      <c r="AX47" s="216" t="e">
        <f>SUM(AX46,AX45,AX36,AX25)</f>
        <v>#REF!</v>
      </c>
      <c r="AY47" s="216" t="e">
        <f>SUM(AY46,AY45,AY36,AY25)</f>
        <v>#REF!</v>
      </c>
      <c r="AZ47" s="216" t="e">
        <f>SUM(AZ46,AZ45,AZ36,AZ25)</f>
        <v>#REF!</v>
      </c>
      <c r="BA47" s="216" t="e">
        <f>SUM(BA46,BA45,BA36,BA25)</f>
        <v>#REF!</v>
      </c>
      <c r="BB47" s="225"/>
      <c r="BC47" s="216"/>
      <c r="BD47" s="216"/>
      <c r="BE47" s="216"/>
      <c r="BF47" s="216"/>
      <c r="BG47" s="225"/>
      <c r="BH47" s="216"/>
      <c r="BI47" s="216"/>
      <c r="BJ47" s="216"/>
      <c r="BK47" s="216"/>
      <c r="BL47" s="225"/>
      <c r="BM47" s="216"/>
      <c r="BN47" s="216"/>
      <c r="BO47" s="216"/>
      <c r="BP47" s="216"/>
      <c r="BQ47" s="225"/>
      <c r="BR47" s="216"/>
      <c r="BS47" s="216"/>
      <c r="BT47" s="216"/>
      <c r="BU47" s="216"/>
      <c r="BV47" s="225"/>
      <c r="BW47" s="216"/>
      <c r="BX47" s="216"/>
      <c r="BY47" s="216"/>
      <c r="BZ47" s="216"/>
      <c r="CA47" s="225"/>
      <c r="CB47" s="216"/>
      <c r="CC47" s="216"/>
      <c r="CD47" s="216"/>
      <c r="CE47" s="216"/>
      <c r="CF47" s="225"/>
      <c r="CG47" s="216"/>
      <c r="CH47" s="216"/>
      <c r="CI47" s="216"/>
      <c r="CJ47" s="216"/>
      <c r="CK47" s="225"/>
      <c r="CL47" s="216">
        <f t="shared" ref="CL47:DU47" si="90">SUM(CL46,CL45,CL36,CL25)</f>
        <v>10698</v>
      </c>
      <c r="CM47" s="216">
        <f t="shared" si="90"/>
        <v>-5867</v>
      </c>
      <c r="CN47" s="216">
        <f t="shared" si="90"/>
        <v>-2238</v>
      </c>
      <c r="CO47" s="216">
        <f t="shared" si="90"/>
        <v>-2062</v>
      </c>
      <c r="CP47" s="225">
        <f t="shared" si="90"/>
        <v>531</v>
      </c>
      <c r="CQ47" s="216">
        <f t="shared" si="90"/>
        <v>-4747</v>
      </c>
      <c r="CR47" s="216">
        <f t="shared" si="90"/>
        <v>-9323</v>
      </c>
      <c r="CS47" s="216">
        <f t="shared" si="90"/>
        <v>2495</v>
      </c>
      <c r="CT47" s="216">
        <f t="shared" si="90"/>
        <v>-9185</v>
      </c>
      <c r="CU47" s="225">
        <f t="shared" si="90"/>
        <v>-20760</v>
      </c>
      <c r="CV47" s="216">
        <f t="shared" si="90"/>
        <v>-2928</v>
      </c>
      <c r="CW47" s="216">
        <f t="shared" si="90"/>
        <v>348</v>
      </c>
      <c r="CX47" s="216">
        <f t="shared" si="90"/>
        <v>-595</v>
      </c>
      <c r="CY47" s="216">
        <f t="shared" si="90"/>
        <v>3215</v>
      </c>
      <c r="CZ47" s="225">
        <f>SUM(CZ46,CZ45,CZ36,CZ25)</f>
        <v>40</v>
      </c>
      <c r="DA47" s="216">
        <f t="shared" si="90"/>
        <v>-3809</v>
      </c>
      <c r="DB47" s="216">
        <f t="shared" si="90"/>
        <v>765</v>
      </c>
      <c r="DC47" s="216">
        <f t="shared" si="90"/>
        <v>361</v>
      </c>
      <c r="DD47" s="216">
        <f t="shared" si="90"/>
        <v>3840</v>
      </c>
      <c r="DE47" s="225">
        <f t="shared" si="90"/>
        <v>1157</v>
      </c>
      <c r="DF47" s="216">
        <f t="shared" si="90"/>
        <v>1480</v>
      </c>
      <c r="DG47" s="216">
        <f t="shared" ref="DG47:DK47" si="91">SUM(DG46,DG45,DG36,DG25)</f>
        <v>-6340</v>
      </c>
      <c r="DH47" s="216">
        <f t="shared" si="91"/>
        <v>1617</v>
      </c>
      <c r="DI47" s="216">
        <f t="shared" si="91"/>
        <v>-105</v>
      </c>
      <c r="DJ47" s="225">
        <f t="shared" si="91"/>
        <v>-3348</v>
      </c>
      <c r="DK47" s="216">
        <f t="shared" si="91"/>
        <v>-1214</v>
      </c>
      <c r="DL47" s="216">
        <f t="shared" ref="DL47" si="92">SUM(DL46,DL45,DL36,DL25)</f>
        <v>-1544</v>
      </c>
      <c r="DM47" s="216">
        <f t="shared" si="90"/>
        <v>-255.08817931999965</v>
      </c>
      <c r="DN47" s="216">
        <f t="shared" si="90"/>
        <v>-499.72817931999998</v>
      </c>
      <c r="DO47" s="225">
        <f t="shared" si="90"/>
        <v>-3512.8163586400005</v>
      </c>
      <c r="DP47" s="216">
        <f t="shared" si="90"/>
        <v>-679.53940621799984</v>
      </c>
      <c r="DQ47" s="216">
        <f t="shared" ref="DQ47:DT47" si="93">SUM(DQ46,DQ45,DQ36,DQ25)</f>
        <v>-1286.6414062180002</v>
      </c>
      <c r="DR47" s="216">
        <f t="shared" si="93"/>
        <v>-333.74340621800002</v>
      </c>
      <c r="DS47" s="216">
        <f t="shared" si="93"/>
        <v>918.94759378200024</v>
      </c>
      <c r="DT47" s="225">
        <f t="shared" si="93"/>
        <v>-1380.9766248720007</v>
      </c>
      <c r="DU47" s="225">
        <f t="shared" si="90"/>
        <v>-862.13071860279888</v>
      </c>
      <c r="DV47" s="225">
        <f t="shared" ref="DV47" si="94">SUM(DV46,DV45,DV36,DV25)</f>
        <v>-408.26900639321866</v>
      </c>
    </row>
    <row r="48" spans="2:126" s="131" customFormat="1">
      <c r="B48" s="131" t="s">
        <v>137</v>
      </c>
      <c r="C48" s="135">
        <f>data!C144</f>
        <v>0</v>
      </c>
      <c r="D48" s="135">
        <f>data!D144</f>
        <v>0</v>
      </c>
      <c r="E48" s="135" t="e">
        <f>D49</f>
        <v>#REF!</v>
      </c>
      <c r="F48" s="135" t="e">
        <f t="shared" ref="F48:BA48" si="95">E49</f>
        <v>#REF!</v>
      </c>
      <c r="G48" s="135" t="e">
        <f t="shared" si="95"/>
        <v>#REF!</v>
      </c>
      <c r="H48" s="135" t="e">
        <f t="shared" si="95"/>
        <v>#REF!</v>
      </c>
      <c r="I48" s="135" t="e">
        <f t="shared" si="95"/>
        <v>#REF!</v>
      </c>
      <c r="J48" s="131" t="e">
        <f t="shared" si="95"/>
        <v>#REF!</v>
      </c>
      <c r="K48" s="131" t="e">
        <f t="shared" si="95"/>
        <v>#REF!</v>
      </c>
      <c r="L48" s="131" t="e">
        <f t="shared" si="95"/>
        <v>#REF!</v>
      </c>
      <c r="M48" s="131" t="e">
        <f t="shared" si="95"/>
        <v>#REF!</v>
      </c>
      <c r="N48" s="135" t="e">
        <f>I49</f>
        <v>#REF!</v>
      </c>
      <c r="O48" s="131" t="e">
        <f t="shared" si="95"/>
        <v>#REF!</v>
      </c>
      <c r="P48" s="131" t="e">
        <f t="shared" si="95"/>
        <v>#REF!</v>
      </c>
      <c r="Q48" s="131" t="e">
        <f t="shared" si="95"/>
        <v>#REF!</v>
      </c>
      <c r="R48" s="131" t="e">
        <f t="shared" si="95"/>
        <v>#REF!</v>
      </c>
      <c r="S48" s="135" t="e">
        <f>N49</f>
        <v>#REF!</v>
      </c>
      <c r="T48" s="131" t="e">
        <f t="shared" si="95"/>
        <v>#REF!</v>
      </c>
      <c r="U48" s="131" t="e">
        <f t="shared" si="95"/>
        <v>#REF!</v>
      </c>
      <c r="V48" s="131" t="e">
        <f t="shared" si="95"/>
        <v>#REF!</v>
      </c>
      <c r="W48" s="131" t="e">
        <f t="shared" si="95"/>
        <v>#REF!</v>
      </c>
      <c r="X48" s="135" t="e">
        <f>S49</f>
        <v>#REF!</v>
      </c>
      <c r="Y48" s="131" t="e">
        <f t="shared" si="95"/>
        <v>#REF!</v>
      </c>
      <c r="Z48" s="131" t="e">
        <f t="shared" si="95"/>
        <v>#REF!</v>
      </c>
      <c r="AA48" s="131" t="e">
        <f t="shared" si="95"/>
        <v>#REF!</v>
      </c>
      <c r="AB48" s="131" t="e">
        <f t="shared" si="95"/>
        <v>#REF!</v>
      </c>
      <c r="AC48" s="135" t="e">
        <f>X49</f>
        <v>#REF!</v>
      </c>
      <c r="AD48" s="131" t="e">
        <f t="shared" si="95"/>
        <v>#REF!</v>
      </c>
      <c r="AE48" s="131" t="e">
        <f t="shared" si="95"/>
        <v>#REF!</v>
      </c>
      <c r="AF48" s="131" t="e">
        <f t="shared" si="95"/>
        <v>#REF!</v>
      </c>
      <c r="AG48" s="131" t="e">
        <f t="shared" si="95"/>
        <v>#REF!</v>
      </c>
      <c r="AH48" s="135" t="e">
        <f>AC49</f>
        <v>#REF!</v>
      </c>
      <c r="AI48" s="131" t="e">
        <f t="shared" si="95"/>
        <v>#REF!</v>
      </c>
      <c r="AJ48" s="131" t="e">
        <f t="shared" si="95"/>
        <v>#REF!</v>
      </c>
      <c r="AK48" s="131" t="e">
        <f t="shared" si="95"/>
        <v>#REF!</v>
      </c>
      <c r="AL48" s="131" t="e">
        <f t="shared" si="95"/>
        <v>#REF!</v>
      </c>
      <c r="AM48" s="135" t="e">
        <f>AH49</f>
        <v>#REF!</v>
      </c>
      <c r="AN48" s="15" t="e">
        <f t="shared" si="95"/>
        <v>#REF!</v>
      </c>
      <c r="AO48" s="131" t="e">
        <f t="shared" si="95"/>
        <v>#REF!</v>
      </c>
      <c r="AP48" s="131" t="e">
        <f t="shared" si="95"/>
        <v>#REF!</v>
      </c>
      <c r="AQ48" s="131" t="e">
        <f t="shared" si="95"/>
        <v>#REF!</v>
      </c>
      <c r="AR48" s="135" t="e">
        <f>AM49</f>
        <v>#REF!</v>
      </c>
      <c r="AS48" s="15" t="e">
        <f t="shared" si="95"/>
        <v>#REF!</v>
      </c>
      <c r="AT48" s="131" t="e">
        <f t="shared" si="95"/>
        <v>#REF!</v>
      </c>
      <c r="AU48" s="131" t="e">
        <f>AT49</f>
        <v>#REF!</v>
      </c>
      <c r="AV48" s="131" t="e">
        <f t="shared" si="95"/>
        <v>#REF!</v>
      </c>
      <c r="AW48" s="135" t="e">
        <f>AR49</f>
        <v>#REF!</v>
      </c>
      <c r="AX48" s="221" t="e">
        <f t="shared" si="95"/>
        <v>#REF!</v>
      </c>
      <c r="AY48" s="131" t="e">
        <f t="shared" si="95"/>
        <v>#REF!</v>
      </c>
      <c r="AZ48" s="131" t="e">
        <f>AY49</f>
        <v>#REF!</v>
      </c>
      <c r="BA48" s="131" t="e">
        <f t="shared" si="95"/>
        <v>#REF!</v>
      </c>
      <c r="BB48" s="135"/>
      <c r="BC48" s="221"/>
      <c r="BG48" s="135"/>
      <c r="BL48" s="135"/>
      <c r="BM48" s="221"/>
      <c r="BQ48" s="135"/>
      <c r="BR48" s="221"/>
      <c r="BS48" s="221"/>
      <c r="BV48" s="135"/>
      <c r="BW48" s="221"/>
      <c r="BX48" s="221"/>
      <c r="BZ48" s="221"/>
      <c r="CA48" s="135"/>
      <c r="CB48" s="221"/>
      <c r="CC48" s="221"/>
      <c r="CE48" s="221"/>
      <c r="CF48" s="135"/>
      <c r="CH48" s="221"/>
      <c r="CJ48" s="221"/>
      <c r="CK48" s="222"/>
      <c r="CP48" s="222">
        <f>CP49-CP47</f>
        <v>35999</v>
      </c>
      <c r="CQ48" s="131">
        <f t="shared" ref="CQ48" si="96">CP49</f>
        <v>36530</v>
      </c>
      <c r="CR48" s="131">
        <f>CQ49</f>
        <v>31783</v>
      </c>
      <c r="CS48" s="131">
        <f t="shared" ref="CS48" si="97">CR49</f>
        <v>22460</v>
      </c>
      <c r="CT48" s="221">
        <f>CS49</f>
        <v>24955</v>
      </c>
      <c r="CU48" s="222">
        <f>CP49</f>
        <v>36530</v>
      </c>
      <c r="CV48" s="131">
        <f t="shared" ref="CV48" si="98">CU49</f>
        <v>15770</v>
      </c>
      <c r="CW48" s="131">
        <f>CV49</f>
        <v>12842</v>
      </c>
      <c r="CX48" s="221">
        <f t="shared" ref="CX48" si="99">CW49</f>
        <v>13190</v>
      </c>
      <c r="CY48" s="221">
        <f>CX49</f>
        <v>12595</v>
      </c>
      <c r="CZ48" s="222">
        <f>CU49</f>
        <v>15770</v>
      </c>
      <c r="DA48" s="131">
        <f t="shared" ref="DA48" si="100">CZ49</f>
        <v>15810</v>
      </c>
      <c r="DB48" s="131">
        <f t="shared" ref="DB48" si="101">DA49</f>
        <v>12001</v>
      </c>
      <c r="DC48" s="131">
        <f t="shared" ref="DC48" si="102">DB49</f>
        <v>12766</v>
      </c>
      <c r="DD48" s="131">
        <f t="shared" ref="DD48" si="103">DC49</f>
        <v>13127</v>
      </c>
      <c r="DE48" s="222">
        <f>CZ49</f>
        <v>15810</v>
      </c>
      <c r="DF48" s="131">
        <f t="shared" ref="DF48:DH48" si="104">DE49</f>
        <v>16967</v>
      </c>
      <c r="DG48" s="131">
        <f t="shared" si="104"/>
        <v>18447</v>
      </c>
      <c r="DH48" s="131">
        <f t="shared" si="104"/>
        <v>12107</v>
      </c>
      <c r="DI48" s="131">
        <f t="shared" ref="DI48" si="105">DH49</f>
        <v>13724</v>
      </c>
      <c r="DJ48" s="222">
        <f>DE49</f>
        <v>16967</v>
      </c>
      <c r="DK48" s="131">
        <f t="shared" ref="DK48:DL48" si="106">DJ49</f>
        <v>13619</v>
      </c>
      <c r="DL48" s="131">
        <f t="shared" si="106"/>
        <v>12405</v>
      </c>
      <c r="DM48" s="131">
        <f t="shared" ref="DM48" si="107">DL49</f>
        <v>10861</v>
      </c>
      <c r="DN48" s="131">
        <f t="shared" ref="DN48" si="108">DM49</f>
        <v>10605.911820680001</v>
      </c>
      <c r="DO48" s="135">
        <f>DJ49</f>
        <v>13619</v>
      </c>
      <c r="DP48" s="131">
        <f t="shared" ref="DP48:DQ48" si="109">DO49</f>
        <v>10106.183641359999</v>
      </c>
      <c r="DQ48" s="131">
        <f t="shared" si="109"/>
        <v>9426.6442351419992</v>
      </c>
      <c r="DR48" s="131">
        <f t="shared" ref="DR48" si="110">DQ49</f>
        <v>8140.002828923999</v>
      </c>
      <c r="DS48" s="131">
        <f t="shared" ref="DS48" si="111">DR49</f>
        <v>7806.259422705999</v>
      </c>
      <c r="DT48" s="135">
        <f>DO49</f>
        <v>10106.183641359999</v>
      </c>
      <c r="DU48" s="135">
        <f>DT49</f>
        <v>8725.2070164879988</v>
      </c>
      <c r="DV48" s="135">
        <f t="shared" ref="DV48" si="112">DU49</f>
        <v>7863.0762978851999</v>
      </c>
    </row>
    <row r="49" spans="1:126" s="131" customFormat="1">
      <c r="B49" s="131" t="s">
        <v>138</v>
      </c>
      <c r="C49" s="135">
        <f>data!C145</f>
        <v>0</v>
      </c>
      <c r="D49" s="135" t="e">
        <f t="shared" ref="D49:AW49" si="113">SUM(D47:D48)</f>
        <v>#REF!</v>
      </c>
      <c r="E49" s="135" t="e">
        <f t="shared" si="113"/>
        <v>#REF!</v>
      </c>
      <c r="F49" s="135" t="e">
        <f t="shared" si="113"/>
        <v>#REF!</v>
      </c>
      <c r="G49" s="135" t="e">
        <f t="shared" si="113"/>
        <v>#REF!</v>
      </c>
      <c r="H49" s="135" t="e">
        <f t="shared" si="113"/>
        <v>#REF!</v>
      </c>
      <c r="I49" s="135" t="e">
        <f t="shared" si="113"/>
        <v>#REF!</v>
      </c>
      <c r="J49" s="131" t="e">
        <f t="shared" si="113"/>
        <v>#REF!</v>
      </c>
      <c r="K49" s="131" t="e">
        <f t="shared" si="113"/>
        <v>#REF!</v>
      </c>
      <c r="L49" s="131" t="e">
        <f t="shared" si="113"/>
        <v>#REF!</v>
      </c>
      <c r="M49" s="131" t="e">
        <f t="shared" si="113"/>
        <v>#REF!</v>
      </c>
      <c r="N49" s="135" t="e">
        <f t="shared" si="113"/>
        <v>#REF!</v>
      </c>
      <c r="O49" s="131" t="e">
        <f t="shared" si="113"/>
        <v>#REF!</v>
      </c>
      <c r="P49" s="131" t="e">
        <f t="shared" si="113"/>
        <v>#REF!</v>
      </c>
      <c r="Q49" s="131" t="e">
        <f t="shared" si="113"/>
        <v>#REF!</v>
      </c>
      <c r="R49" s="131" t="e">
        <f t="shared" si="113"/>
        <v>#REF!</v>
      </c>
      <c r="S49" s="135" t="e">
        <f t="shared" si="113"/>
        <v>#REF!</v>
      </c>
      <c r="T49" s="131" t="e">
        <f t="shared" si="113"/>
        <v>#REF!</v>
      </c>
      <c r="U49" s="131" t="e">
        <f t="shared" si="113"/>
        <v>#REF!</v>
      </c>
      <c r="V49" s="131" t="e">
        <f t="shared" si="113"/>
        <v>#REF!</v>
      </c>
      <c r="W49" s="131" t="e">
        <f t="shared" si="113"/>
        <v>#REF!</v>
      </c>
      <c r="X49" s="135" t="e">
        <f t="shared" si="113"/>
        <v>#REF!</v>
      </c>
      <c r="Y49" s="131" t="e">
        <f t="shared" si="113"/>
        <v>#REF!</v>
      </c>
      <c r="Z49" s="131" t="e">
        <f t="shared" si="113"/>
        <v>#REF!</v>
      </c>
      <c r="AA49" s="131" t="e">
        <f t="shared" si="113"/>
        <v>#REF!</v>
      </c>
      <c r="AB49" s="131" t="e">
        <f t="shared" si="113"/>
        <v>#REF!</v>
      </c>
      <c r="AC49" s="135" t="e">
        <f t="shared" si="113"/>
        <v>#REF!</v>
      </c>
      <c r="AD49" s="131" t="e">
        <f t="shared" si="113"/>
        <v>#REF!</v>
      </c>
      <c r="AE49" s="131" t="e">
        <f t="shared" si="113"/>
        <v>#REF!</v>
      </c>
      <c r="AF49" s="131" t="e">
        <f t="shared" si="113"/>
        <v>#REF!</v>
      </c>
      <c r="AG49" s="131" t="e">
        <f t="shared" si="113"/>
        <v>#REF!</v>
      </c>
      <c r="AH49" s="135" t="e">
        <f t="shared" si="113"/>
        <v>#REF!</v>
      </c>
      <c r="AI49" s="131" t="e">
        <f t="shared" si="113"/>
        <v>#REF!</v>
      </c>
      <c r="AJ49" s="131" t="e">
        <f t="shared" si="113"/>
        <v>#REF!</v>
      </c>
      <c r="AK49" s="131" t="e">
        <f t="shared" si="113"/>
        <v>#REF!</v>
      </c>
      <c r="AL49" s="131" t="e">
        <f t="shared" si="113"/>
        <v>#REF!</v>
      </c>
      <c r="AM49" s="135" t="e">
        <f t="shared" si="113"/>
        <v>#REF!</v>
      </c>
      <c r="AN49" s="15" t="e">
        <f t="shared" si="113"/>
        <v>#REF!</v>
      </c>
      <c r="AO49" s="131" t="e">
        <f>SUM(AO47:AO48)</f>
        <v>#REF!</v>
      </c>
      <c r="AP49" s="131" t="e">
        <f>SUM(AP47:AP48)</f>
        <v>#REF!</v>
      </c>
      <c r="AQ49" s="131" t="e">
        <f>SUM(AQ47:AQ48)</f>
        <v>#REF!</v>
      </c>
      <c r="AR49" s="135" t="e">
        <f t="shared" si="113"/>
        <v>#REF!</v>
      </c>
      <c r="AS49" s="15" t="e">
        <f>SUM(AS47:AS48)</f>
        <v>#REF!</v>
      </c>
      <c r="AT49" s="131" t="e">
        <f>SUM(AT47:AT48)</f>
        <v>#REF!</v>
      </c>
      <c r="AU49" s="131" t="e">
        <f>SUM(AU47:AU48)</f>
        <v>#REF!</v>
      </c>
      <c r="AV49" s="131" t="e">
        <f>SUM(AV47:AV48)</f>
        <v>#REF!</v>
      </c>
      <c r="AW49" s="135" t="e">
        <f t="shared" si="113"/>
        <v>#REF!</v>
      </c>
      <c r="AX49" s="221" t="e">
        <f t="shared" ref="AX49:BA49" si="114">SUM(AX47:AX48)</f>
        <v>#REF!</v>
      </c>
      <c r="AY49" s="131" t="e">
        <f t="shared" si="114"/>
        <v>#REF!</v>
      </c>
      <c r="AZ49" s="131" t="e">
        <f>SUM(AZ47:AZ48)</f>
        <v>#REF!</v>
      </c>
      <c r="BA49" s="131" t="e">
        <f t="shared" si="114"/>
        <v>#REF!</v>
      </c>
      <c r="BB49" s="135"/>
      <c r="BC49" s="221"/>
      <c r="BG49" s="135"/>
      <c r="BL49" s="135"/>
      <c r="BM49" s="221"/>
      <c r="BQ49" s="135"/>
      <c r="BR49" s="221"/>
      <c r="BS49" s="221"/>
      <c r="BV49" s="135"/>
      <c r="BW49" s="221"/>
      <c r="BX49" s="221"/>
      <c r="BZ49" s="221"/>
      <c r="CA49" s="135"/>
      <c r="CB49" s="221"/>
      <c r="CC49" s="221"/>
      <c r="CE49" s="221"/>
      <c r="CF49" s="135"/>
      <c r="CH49" s="221"/>
      <c r="CJ49" s="221"/>
      <c r="CK49" s="222"/>
      <c r="CO49" s="131">
        <f>BS!CO7</f>
        <v>36530</v>
      </c>
      <c r="CP49" s="222">
        <f>BS!CP7</f>
        <v>36530</v>
      </c>
      <c r="CQ49" s="131">
        <f t="shared" ref="CQ49:CS49" si="115">SUM(CQ47:CQ48)</f>
        <v>31783</v>
      </c>
      <c r="CR49" s="131">
        <f t="shared" si="115"/>
        <v>22460</v>
      </c>
      <c r="CS49" s="131">
        <f t="shared" si="115"/>
        <v>24955</v>
      </c>
      <c r="CT49" s="221">
        <f>SUM(CT47:CT48)</f>
        <v>15770</v>
      </c>
      <c r="CU49" s="222">
        <f t="shared" ref="CU49:CX49" si="116">SUM(CU47:CU48)</f>
        <v>15770</v>
      </c>
      <c r="CV49" s="131">
        <f t="shared" si="116"/>
        <v>12842</v>
      </c>
      <c r="CW49" s="131">
        <f t="shared" si="116"/>
        <v>13190</v>
      </c>
      <c r="CX49" s="221">
        <f t="shared" si="116"/>
        <v>12595</v>
      </c>
      <c r="CY49" s="221">
        <f>SUM(CY47:CY48)</f>
        <v>15810</v>
      </c>
      <c r="CZ49" s="222">
        <f t="shared" ref="CZ49" si="117">SUM(CZ47:CZ48)</f>
        <v>15810</v>
      </c>
      <c r="DA49" s="131">
        <f t="shared" ref="DA49:DE49" si="118">SUM(DA47:DA48)</f>
        <v>12001</v>
      </c>
      <c r="DB49" s="131">
        <f t="shared" si="118"/>
        <v>12766</v>
      </c>
      <c r="DC49" s="131">
        <f t="shared" si="118"/>
        <v>13127</v>
      </c>
      <c r="DD49" s="131">
        <f t="shared" si="118"/>
        <v>16967</v>
      </c>
      <c r="DE49" s="222">
        <f t="shared" si="118"/>
        <v>16967</v>
      </c>
      <c r="DF49" s="131">
        <f t="shared" ref="DF49:DJ49" si="119">SUM(DF47:DF48)</f>
        <v>18447</v>
      </c>
      <c r="DG49" s="131">
        <f t="shared" si="119"/>
        <v>12107</v>
      </c>
      <c r="DH49" s="131">
        <f t="shared" si="119"/>
        <v>13724</v>
      </c>
      <c r="DI49" s="131">
        <f t="shared" si="119"/>
        <v>13619</v>
      </c>
      <c r="DJ49" s="222">
        <f t="shared" si="119"/>
        <v>13619</v>
      </c>
      <c r="DK49" s="131">
        <f t="shared" ref="DK49:DL49" si="120">SUM(DK47:DK48)</f>
        <v>12405</v>
      </c>
      <c r="DL49" s="131">
        <f t="shared" si="120"/>
        <v>10861</v>
      </c>
      <c r="DM49" s="131">
        <f t="shared" ref="DM49:DN49" si="121">SUM(DM47:DM48)</f>
        <v>10605.911820680001</v>
      </c>
      <c r="DN49" s="131">
        <f t="shared" si="121"/>
        <v>10106.183641360001</v>
      </c>
      <c r="DO49" s="135">
        <f t="shared" ref="DO49:DS49" si="122">SUM(DO47:DO48)</f>
        <v>10106.183641359999</v>
      </c>
      <c r="DP49" s="131">
        <f t="shared" ref="DP49" si="123">SUM(DP47:DP48)</f>
        <v>9426.6442351419992</v>
      </c>
      <c r="DQ49" s="131">
        <f t="shared" si="122"/>
        <v>8140.002828923999</v>
      </c>
      <c r="DR49" s="131">
        <f t="shared" si="122"/>
        <v>7806.259422705999</v>
      </c>
      <c r="DS49" s="131">
        <f t="shared" si="122"/>
        <v>8725.2070164879988</v>
      </c>
      <c r="DT49" s="135">
        <f t="shared" ref="DT49" si="124">SUM(DT47:DT48)</f>
        <v>8725.2070164879988</v>
      </c>
      <c r="DU49" s="135">
        <f t="shared" ref="DU49:DV49" si="125">SUM(DU47:DU48)</f>
        <v>7863.0762978851999</v>
      </c>
      <c r="DV49" s="135">
        <f t="shared" si="125"/>
        <v>7454.8072914919812</v>
      </c>
    </row>
    <row r="50" spans="1:126" s="131" customFormat="1">
      <c r="C50" s="135"/>
      <c r="D50" s="135"/>
      <c r="E50" s="135"/>
      <c r="F50" s="135"/>
      <c r="G50" s="135"/>
      <c r="H50" s="135"/>
      <c r="I50" s="135"/>
      <c r="N50" s="135"/>
      <c r="S50" s="135"/>
      <c r="X50" s="135"/>
      <c r="AC50" s="135"/>
      <c r="AH50" s="135"/>
      <c r="AM50" s="135"/>
      <c r="AN50" s="15"/>
      <c r="AR50" s="135"/>
      <c r="AS50" s="15"/>
      <c r="AW50" s="135"/>
      <c r="AX50" s="221"/>
      <c r="BB50" s="135"/>
      <c r="BC50" s="221"/>
      <c r="BG50" s="135"/>
      <c r="BL50" s="135"/>
      <c r="BM50" s="221"/>
      <c r="BQ50" s="135"/>
      <c r="BV50" s="135"/>
      <c r="CA50" s="135"/>
      <c r="CF50" s="135"/>
      <c r="CK50" s="222"/>
      <c r="CP50" s="222"/>
      <c r="CU50" s="222"/>
      <c r="CZ50" s="222"/>
      <c r="DE50" s="222"/>
      <c r="DJ50" s="222"/>
      <c r="DO50" s="135"/>
      <c r="DT50" s="135"/>
      <c r="DU50" s="135"/>
      <c r="DV50" s="135"/>
    </row>
    <row r="51" spans="1:126" s="221" customFormat="1">
      <c r="B51" s="221" t="s">
        <v>130</v>
      </c>
      <c r="C51" s="222" t="e">
        <f t="shared" ref="C51:AH51" si="126">C25</f>
        <v>#REF!</v>
      </c>
      <c r="D51" s="222" t="e">
        <f t="shared" si="126"/>
        <v>#REF!</v>
      </c>
      <c r="E51" s="222" t="e">
        <f t="shared" si="126"/>
        <v>#REF!</v>
      </c>
      <c r="F51" s="222" t="e">
        <f t="shared" si="126"/>
        <v>#REF!</v>
      </c>
      <c r="G51" s="222" t="e">
        <f t="shared" si="126"/>
        <v>#REF!</v>
      </c>
      <c r="H51" s="222" t="e">
        <f t="shared" si="126"/>
        <v>#REF!</v>
      </c>
      <c r="I51" s="222" t="e">
        <f t="shared" si="126"/>
        <v>#REF!</v>
      </c>
      <c r="J51" s="221" t="e">
        <f t="shared" si="126"/>
        <v>#REF!</v>
      </c>
      <c r="K51" s="221" t="e">
        <f t="shared" si="126"/>
        <v>#REF!</v>
      </c>
      <c r="L51" s="221" t="e">
        <f t="shared" si="126"/>
        <v>#REF!</v>
      </c>
      <c r="M51" s="221" t="e">
        <f t="shared" si="126"/>
        <v>#REF!</v>
      </c>
      <c r="N51" s="222" t="e">
        <f t="shared" si="126"/>
        <v>#REF!</v>
      </c>
      <c r="O51" s="221" t="e">
        <f t="shared" si="126"/>
        <v>#REF!</v>
      </c>
      <c r="P51" s="221" t="e">
        <f t="shared" si="126"/>
        <v>#REF!</v>
      </c>
      <c r="Q51" s="221" t="e">
        <f t="shared" si="126"/>
        <v>#REF!</v>
      </c>
      <c r="R51" s="221" t="e">
        <f t="shared" si="126"/>
        <v>#REF!</v>
      </c>
      <c r="S51" s="222" t="e">
        <f t="shared" si="126"/>
        <v>#REF!</v>
      </c>
      <c r="T51" s="221" t="e">
        <f t="shared" si="126"/>
        <v>#REF!</v>
      </c>
      <c r="U51" s="221" t="e">
        <f t="shared" si="126"/>
        <v>#REF!</v>
      </c>
      <c r="V51" s="221" t="e">
        <f t="shared" si="126"/>
        <v>#REF!</v>
      </c>
      <c r="W51" s="221" t="e">
        <f t="shared" si="126"/>
        <v>#REF!</v>
      </c>
      <c r="X51" s="222" t="e">
        <f t="shared" si="126"/>
        <v>#REF!</v>
      </c>
      <c r="Y51" s="221" t="e">
        <f t="shared" si="126"/>
        <v>#REF!</v>
      </c>
      <c r="Z51" s="221" t="e">
        <f t="shared" si="126"/>
        <v>#REF!</v>
      </c>
      <c r="AA51" s="221" t="e">
        <f t="shared" si="126"/>
        <v>#REF!</v>
      </c>
      <c r="AB51" s="221" t="e">
        <f t="shared" si="126"/>
        <v>#REF!</v>
      </c>
      <c r="AC51" s="222" t="e">
        <f t="shared" si="126"/>
        <v>#REF!</v>
      </c>
      <c r="AD51" s="221" t="e">
        <f t="shared" si="126"/>
        <v>#REF!</v>
      </c>
      <c r="AE51" s="221" t="e">
        <f t="shared" si="126"/>
        <v>#REF!</v>
      </c>
      <c r="AF51" s="221" t="e">
        <f t="shared" si="126"/>
        <v>#REF!</v>
      </c>
      <c r="AG51" s="221" t="e">
        <f t="shared" si="126"/>
        <v>#REF!</v>
      </c>
      <c r="AH51" s="222" t="e">
        <f t="shared" si="126"/>
        <v>#REF!</v>
      </c>
      <c r="AI51" s="221" t="e">
        <f t="shared" ref="AI51:BA51" si="127">AI25</f>
        <v>#REF!</v>
      </c>
      <c r="AJ51" s="221" t="e">
        <f t="shared" si="127"/>
        <v>#REF!</v>
      </c>
      <c r="AK51" s="221" t="e">
        <f t="shared" si="127"/>
        <v>#REF!</v>
      </c>
      <c r="AL51" s="221" t="e">
        <f t="shared" si="127"/>
        <v>#REF!</v>
      </c>
      <c r="AM51" s="222" t="e">
        <f t="shared" si="127"/>
        <v>#REF!</v>
      </c>
      <c r="AN51" s="15" t="e">
        <f t="shared" si="127"/>
        <v>#REF!</v>
      </c>
      <c r="AO51" s="221" t="e">
        <f t="shared" si="127"/>
        <v>#REF!</v>
      </c>
      <c r="AP51" s="221" t="e">
        <f t="shared" si="127"/>
        <v>#REF!</v>
      </c>
      <c r="AQ51" s="221" t="e">
        <f t="shared" si="127"/>
        <v>#REF!</v>
      </c>
      <c r="AR51" s="222" t="e">
        <f t="shared" si="127"/>
        <v>#REF!</v>
      </c>
      <c r="AS51" s="15" t="e">
        <f t="shared" si="127"/>
        <v>#REF!</v>
      </c>
      <c r="AT51" s="221" t="e">
        <f t="shared" si="127"/>
        <v>#REF!</v>
      </c>
      <c r="AU51" s="221" t="e">
        <f t="shared" si="127"/>
        <v>#REF!</v>
      </c>
      <c r="AV51" s="221" t="e">
        <f t="shared" si="127"/>
        <v>#REF!</v>
      </c>
      <c r="AW51" s="222" t="e">
        <f t="shared" si="127"/>
        <v>#REF!</v>
      </c>
      <c r="AX51" s="221" t="e">
        <f t="shared" si="127"/>
        <v>#REF!</v>
      </c>
      <c r="AY51" s="221" t="e">
        <f t="shared" si="127"/>
        <v>#REF!</v>
      </c>
      <c r="AZ51" s="221" t="e">
        <f t="shared" si="127"/>
        <v>#REF!</v>
      </c>
      <c r="BA51" s="221" t="e">
        <f t="shared" si="127"/>
        <v>#REF!</v>
      </c>
      <c r="BB51" s="222"/>
      <c r="BG51" s="222"/>
      <c r="BL51" s="222"/>
      <c r="BQ51" s="222"/>
      <c r="BV51" s="222"/>
      <c r="CA51" s="222"/>
      <c r="CF51" s="222"/>
      <c r="CK51" s="222"/>
      <c r="CL51" s="221">
        <f t="shared" ref="CL51:DU51" si="128">CL25</f>
        <v>-233</v>
      </c>
      <c r="CM51" s="221">
        <f t="shared" si="128"/>
        <v>-1162</v>
      </c>
      <c r="CN51" s="221">
        <f t="shared" si="128"/>
        <v>1333</v>
      </c>
      <c r="CO51" s="221">
        <f t="shared" si="128"/>
        <v>3628</v>
      </c>
      <c r="CP51" s="222">
        <f t="shared" si="128"/>
        <v>3566</v>
      </c>
      <c r="CQ51" s="221">
        <f t="shared" si="128"/>
        <v>-3211</v>
      </c>
      <c r="CR51" s="221">
        <f t="shared" si="128"/>
        <v>1290</v>
      </c>
      <c r="CS51" s="221">
        <f t="shared" si="128"/>
        <v>2657</v>
      </c>
      <c r="CT51" s="221">
        <f t="shared" si="128"/>
        <v>2586</v>
      </c>
      <c r="CU51" s="222">
        <f t="shared" si="128"/>
        <v>3322</v>
      </c>
      <c r="CV51" s="221">
        <f t="shared" si="128"/>
        <v>-951</v>
      </c>
      <c r="CW51" s="221">
        <f t="shared" si="128"/>
        <v>251</v>
      </c>
      <c r="CX51" s="221">
        <f t="shared" si="128"/>
        <v>1683</v>
      </c>
      <c r="CY51" s="221">
        <f t="shared" si="128"/>
        <v>2742</v>
      </c>
      <c r="CZ51" s="222">
        <f t="shared" si="128"/>
        <v>3725</v>
      </c>
      <c r="DA51" s="221">
        <f t="shared" si="128"/>
        <v>1152</v>
      </c>
      <c r="DB51" s="221">
        <f t="shared" si="128"/>
        <v>281</v>
      </c>
      <c r="DC51" s="221">
        <f t="shared" si="128"/>
        <v>1902</v>
      </c>
      <c r="DD51" s="221">
        <f t="shared" si="128"/>
        <v>2335</v>
      </c>
      <c r="DE51" s="222">
        <f t="shared" si="128"/>
        <v>5670</v>
      </c>
      <c r="DF51" s="221">
        <f>DF25</f>
        <v>993</v>
      </c>
      <c r="DG51" s="221">
        <f>DG25</f>
        <v>912</v>
      </c>
      <c r="DH51" s="221">
        <f t="shared" ref="DH51" si="129">DH25</f>
        <v>1508</v>
      </c>
      <c r="DI51" s="221">
        <f t="shared" si="128"/>
        <v>1788</v>
      </c>
      <c r="DJ51" s="222">
        <f>SUM(DF51:DI51)</f>
        <v>5201</v>
      </c>
      <c r="DK51" s="221">
        <f>DK25</f>
        <v>1509</v>
      </c>
      <c r="DL51" s="221">
        <f>DL25</f>
        <v>2246</v>
      </c>
      <c r="DM51" s="221">
        <f t="shared" si="128"/>
        <v>1950</v>
      </c>
      <c r="DN51" s="221">
        <f t="shared" si="128"/>
        <v>2270</v>
      </c>
      <c r="DO51" s="222">
        <f>SUM(DK51:DN51)</f>
        <v>7975</v>
      </c>
      <c r="DP51" s="221">
        <f t="shared" ref="DP51" si="130">DP25</f>
        <v>1590</v>
      </c>
      <c r="DQ51" s="221">
        <f t="shared" ref="DQ51:DS51" si="131">DQ25</f>
        <v>1250</v>
      </c>
      <c r="DR51" s="221">
        <f t="shared" si="131"/>
        <v>2200</v>
      </c>
      <c r="DS51" s="221">
        <f t="shared" si="131"/>
        <v>3700</v>
      </c>
      <c r="DT51" s="222">
        <f>SUM(DP51:DS51)</f>
        <v>8740</v>
      </c>
      <c r="DU51" s="222">
        <f t="shared" si="128"/>
        <v>9500</v>
      </c>
      <c r="DV51" s="222">
        <f t="shared" ref="DV51" si="132">DV25</f>
        <v>10250</v>
      </c>
    </row>
    <row r="52" spans="1:126" s="221" customFormat="1">
      <c r="B52" s="221" t="s">
        <v>131</v>
      </c>
      <c r="C52" s="222">
        <f t="shared" ref="C52:AH52" si="133">C26</f>
        <v>0</v>
      </c>
      <c r="D52" s="222">
        <f t="shared" si="133"/>
        <v>0</v>
      </c>
      <c r="E52" s="222">
        <f t="shared" si="133"/>
        <v>0</v>
      </c>
      <c r="F52" s="222">
        <f t="shared" si="133"/>
        <v>0</v>
      </c>
      <c r="G52" s="222">
        <f t="shared" si="133"/>
        <v>0</v>
      </c>
      <c r="H52" s="222">
        <f t="shared" si="133"/>
        <v>0</v>
      </c>
      <c r="I52" s="222">
        <f t="shared" si="133"/>
        <v>0</v>
      </c>
      <c r="J52" s="221">
        <f t="shared" si="133"/>
        <v>0</v>
      </c>
      <c r="K52" s="221">
        <f t="shared" si="133"/>
        <v>0</v>
      </c>
      <c r="L52" s="221">
        <f t="shared" si="133"/>
        <v>0</v>
      </c>
      <c r="M52" s="221">
        <f t="shared" si="133"/>
        <v>0</v>
      </c>
      <c r="N52" s="222">
        <f t="shared" si="133"/>
        <v>0</v>
      </c>
      <c r="O52" s="221">
        <f t="shared" si="133"/>
        <v>0</v>
      </c>
      <c r="P52" s="221">
        <f t="shared" si="133"/>
        <v>0</v>
      </c>
      <c r="Q52" s="221">
        <f t="shared" si="133"/>
        <v>0</v>
      </c>
      <c r="R52" s="221">
        <f t="shared" si="133"/>
        <v>0</v>
      </c>
      <c r="S52" s="222">
        <f t="shared" si="133"/>
        <v>0</v>
      </c>
      <c r="T52" s="221">
        <f t="shared" si="133"/>
        <v>0</v>
      </c>
      <c r="U52" s="221">
        <f t="shared" si="133"/>
        <v>0</v>
      </c>
      <c r="V52" s="221">
        <f t="shared" si="133"/>
        <v>0</v>
      </c>
      <c r="W52" s="221">
        <f t="shared" si="133"/>
        <v>0</v>
      </c>
      <c r="X52" s="222">
        <f t="shared" si="133"/>
        <v>0</v>
      </c>
      <c r="Y52" s="221">
        <f t="shared" si="133"/>
        <v>0</v>
      </c>
      <c r="Z52" s="221">
        <f t="shared" si="133"/>
        <v>0</v>
      </c>
      <c r="AA52" s="221">
        <f t="shared" si="133"/>
        <v>0</v>
      </c>
      <c r="AB52" s="221">
        <f t="shared" si="133"/>
        <v>0</v>
      </c>
      <c r="AC52" s="222">
        <f t="shared" si="133"/>
        <v>0</v>
      </c>
      <c r="AD52" s="221">
        <f t="shared" si="133"/>
        <v>0</v>
      </c>
      <c r="AE52" s="221">
        <f t="shared" si="133"/>
        <v>0</v>
      </c>
      <c r="AF52" s="221">
        <f t="shared" si="133"/>
        <v>0</v>
      </c>
      <c r="AG52" s="221">
        <f t="shared" si="133"/>
        <v>0</v>
      </c>
      <c r="AH52" s="222">
        <f t="shared" si="133"/>
        <v>0</v>
      </c>
      <c r="AI52" s="221">
        <f t="shared" ref="AI52:BA52" si="134">AI26</f>
        <v>0</v>
      </c>
      <c r="AJ52" s="221">
        <f t="shared" si="134"/>
        <v>0</v>
      </c>
      <c r="AK52" s="221">
        <f t="shared" si="134"/>
        <v>0</v>
      </c>
      <c r="AL52" s="221">
        <f t="shared" si="134"/>
        <v>0</v>
      </c>
      <c r="AM52" s="222">
        <f t="shared" si="134"/>
        <v>0</v>
      </c>
      <c r="AN52" s="15">
        <f t="shared" si="134"/>
        <v>0</v>
      </c>
      <c r="AO52" s="221">
        <f t="shared" si="134"/>
        <v>0</v>
      </c>
      <c r="AP52" s="221">
        <f t="shared" si="134"/>
        <v>0</v>
      </c>
      <c r="AQ52" s="221">
        <f t="shared" si="134"/>
        <v>0</v>
      </c>
      <c r="AR52" s="222">
        <f t="shared" si="134"/>
        <v>0</v>
      </c>
      <c r="AS52" s="15">
        <f t="shared" si="134"/>
        <v>0</v>
      </c>
      <c r="AT52" s="221">
        <f t="shared" si="134"/>
        <v>0</v>
      </c>
      <c r="AU52" s="221">
        <f t="shared" si="134"/>
        <v>0</v>
      </c>
      <c r="AV52" s="221">
        <f t="shared" si="134"/>
        <v>0</v>
      </c>
      <c r="AW52" s="222">
        <f t="shared" si="134"/>
        <v>0</v>
      </c>
      <c r="AX52" s="221">
        <f t="shared" si="134"/>
        <v>0</v>
      </c>
      <c r="AY52" s="221">
        <f t="shared" si="134"/>
        <v>0</v>
      </c>
      <c r="AZ52" s="221">
        <f t="shared" si="134"/>
        <v>0</v>
      </c>
      <c r="BA52" s="221">
        <f t="shared" si="134"/>
        <v>0</v>
      </c>
      <c r="BB52" s="222"/>
      <c r="BG52" s="222"/>
      <c r="BL52" s="222"/>
      <c r="BQ52" s="222"/>
      <c r="BV52" s="222"/>
      <c r="CA52" s="222"/>
      <c r="CF52" s="222"/>
      <c r="CK52" s="222"/>
      <c r="CL52" s="221">
        <f t="shared" ref="CL52:DU52" si="135">CL26</f>
        <v>-504</v>
      </c>
      <c r="CM52" s="221">
        <f t="shared" si="135"/>
        <v>-498</v>
      </c>
      <c r="CN52" s="221">
        <f t="shared" si="135"/>
        <v>-300</v>
      </c>
      <c r="CO52" s="221">
        <f t="shared" si="135"/>
        <v>-276</v>
      </c>
      <c r="CP52" s="222">
        <f t="shared" si="135"/>
        <v>-1578</v>
      </c>
      <c r="CQ52" s="221">
        <f t="shared" si="135"/>
        <v>-332</v>
      </c>
      <c r="CR52" s="221">
        <f t="shared" si="135"/>
        <v>-267</v>
      </c>
      <c r="CS52" s="221">
        <f t="shared" si="135"/>
        <v>-296</v>
      </c>
      <c r="CT52" s="221">
        <f t="shared" si="135"/>
        <v>-355</v>
      </c>
      <c r="CU52" s="222">
        <f t="shared" si="135"/>
        <v>-1250</v>
      </c>
      <c r="CV52" s="221">
        <f t="shared" si="135"/>
        <v>-239</v>
      </c>
      <c r="CW52" s="221">
        <f t="shared" si="135"/>
        <v>-310</v>
      </c>
      <c r="CX52" s="221">
        <f t="shared" si="135"/>
        <v>-252</v>
      </c>
      <c r="CY52" s="221">
        <f t="shared" si="135"/>
        <v>-373</v>
      </c>
      <c r="CZ52" s="222">
        <f t="shared" si="135"/>
        <v>-1174</v>
      </c>
      <c r="DA52" s="221">
        <f t="shared" si="135"/>
        <v>-279</v>
      </c>
      <c r="DB52" s="221">
        <f t="shared" si="135"/>
        <v>-384</v>
      </c>
      <c r="DC52" s="221">
        <f t="shared" si="135"/>
        <v>-402</v>
      </c>
      <c r="DD52" s="221">
        <f t="shared" si="135"/>
        <v>-530</v>
      </c>
      <c r="DE52" s="222">
        <f t="shared" si="135"/>
        <v>-1595</v>
      </c>
      <c r="DF52" s="221">
        <f t="shared" si="135"/>
        <v>-421</v>
      </c>
      <c r="DG52" s="221">
        <f t="shared" ref="DG52:DH52" si="136">DG26</f>
        <v>-78</v>
      </c>
      <c r="DH52" s="221">
        <f t="shared" si="136"/>
        <v>-266</v>
      </c>
      <c r="DI52" s="221">
        <f t="shared" si="135"/>
        <v>-267</v>
      </c>
      <c r="DJ52" s="222">
        <f>SUM(DF52:DI52)</f>
        <v>-1032</v>
      </c>
      <c r="DK52" s="221">
        <f t="shared" ref="DK52:DL52" si="137">DK26</f>
        <v>-208</v>
      </c>
      <c r="DL52" s="221">
        <f t="shared" si="137"/>
        <v>-327</v>
      </c>
      <c r="DM52" s="221">
        <f t="shared" si="135"/>
        <v>-320</v>
      </c>
      <c r="DN52" s="221">
        <f t="shared" si="135"/>
        <v>-350</v>
      </c>
      <c r="DO52" s="222">
        <f>SUM(DK52:DN52)</f>
        <v>-1205</v>
      </c>
      <c r="DP52" s="221">
        <f t="shared" ref="DP52" si="138">DP26</f>
        <v>-330</v>
      </c>
      <c r="DQ52" s="221">
        <f t="shared" ref="DQ52:DS52" si="139">DQ26</f>
        <v>-350</v>
      </c>
      <c r="DR52" s="221">
        <f t="shared" si="139"/>
        <v>-350</v>
      </c>
      <c r="DS52" s="221">
        <f t="shared" si="139"/>
        <v>-350</v>
      </c>
      <c r="DT52" s="222">
        <f>SUM(DP52:DS52)</f>
        <v>-1380</v>
      </c>
      <c r="DU52" s="222">
        <f t="shared" si="135"/>
        <v>-1400</v>
      </c>
      <c r="DV52" s="222">
        <f t="shared" ref="DV52" si="140">DV26</f>
        <v>-1450</v>
      </c>
    </row>
    <row r="53" spans="1:126" s="221" customFormat="1">
      <c r="B53" s="221" t="s">
        <v>632</v>
      </c>
      <c r="C53" s="222"/>
      <c r="D53" s="222"/>
      <c r="E53" s="222"/>
      <c r="F53" s="222"/>
      <c r="G53" s="222"/>
      <c r="H53" s="222"/>
      <c r="I53" s="222"/>
      <c r="N53" s="222"/>
      <c r="S53" s="222"/>
      <c r="X53" s="222"/>
      <c r="AC53" s="222"/>
      <c r="AH53" s="222"/>
      <c r="AM53" s="222"/>
      <c r="AN53" s="15"/>
      <c r="AR53" s="222"/>
      <c r="AS53" s="15"/>
      <c r="AW53" s="222"/>
      <c r="BB53" s="222"/>
      <c r="BG53" s="222"/>
      <c r="BL53" s="222"/>
      <c r="BQ53" s="222"/>
      <c r="BV53" s="222"/>
      <c r="CA53" s="222"/>
      <c r="CF53" s="222"/>
      <c r="CK53" s="222"/>
      <c r="CP53" s="222"/>
      <c r="CU53" s="222"/>
      <c r="CZ53" s="222"/>
      <c r="DA53" s="221">
        <v>-70</v>
      </c>
      <c r="DB53" s="221">
        <v>1000</v>
      </c>
      <c r="DC53" s="221">
        <v>200</v>
      </c>
      <c r="DD53" s="221">
        <v>-500</v>
      </c>
      <c r="DE53" s="222">
        <f>SUM(DA53:DD53)</f>
        <v>630</v>
      </c>
      <c r="DF53" s="221">
        <v>1097</v>
      </c>
      <c r="DG53" s="221">
        <v>264</v>
      </c>
      <c r="DH53" s="221">
        <f>405+144+14</f>
        <v>563</v>
      </c>
      <c r="DI53" s="221">
        <f>85+381</f>
        <v>466</v>
      </c>
      <c r="DJ53" s="222">
        <f>SUM(DF53:DI53)</f>
        <v>2390</v>
      </c>
      <c r="DK53" s="221">
        <v>140</v>
      </c>
      <c r="DL53" s="221">
        <v>186</v>
      </c>
      <c r="DO53" s="222">
        <f>SUM(DK53:DN53)</f>
        <v>326</v>
      </c>
      <c r="DT53" s="222">
        <f>SUM(DP53:DS53)</f>
        <v>0</v>
      </c>
      <c r="DU53" s="222"/>
      <c r="DV53" s="222"/>
    </row>
    <row r="54" spans="1:126" s="216" customFormat="1" ht="12">
      <c r="B54" s="234" t="s">
        <v>132</v>
      </c>
      <c r="C54" s="236" t="e">
        <f>SUM(C51:C52)</f>
        <v>#REF!</v>
      </c>
      <c r="D54" s="236" t="e">
        <f t="shared" ref="D54:AW54" si="141">SUM(D51:D52)</f>
        <v>#REF!</v>
      </c>
      <c r="E54" s="236" t="e">
        <f t="shared" si="141"/>
        <v>#REF!</v>
      </c>
      <c r="F54" s="236" t="e">
        <f t="shared" si="141"/>
        <v>#REF!</v>
      </c>
      <c r="G54" s="236" t="e">
        <f t="shared" si="141"/>
        <v>#REF!</v>
      </c>
      <c r="H54" s="236" t="e">
        <f t="shared" si="141"/>
        <v>#REF!</v>
      </c>
      <c r="I54" s="236" t="e">
        <f t="shared" si="141"/>
        <v>#REF!</v>
      </c>
      <c r="J54" s="234" t="e">
        <f t="shared" si="141"/>
        <v>#REF!</v>
      </c>
      <c r="K54" s="234" t="e">
        <f t="shared" si="141"/>
        <v>#REF!</v>
      </c>
      <c r="L54" s="234" t="e">
        <f t="shared" si="141"/>
        <v>#REF!</v>
      </c>
      <c r="M54" s="234" t="e">
        <f t="shared" si="141"/>
        <v>#REF!</v>
      </c>
      <c r="N54" s="236" t="e">
        <f t="shared" si="141"/>
        <v>#REF!</v>
      </c>
      <c r="O54" s="234" t="e">
        <f t="shared" si="141"/>
        <v>#REF!</v>
      </c>
      <c r="P54" s="234" t="e">
        <f t="shared" si="141"/>
        <v>#REF!</v>
      </c>
      <c r="Q54" s="234" t="e">
        <f t="shared" si="141"/>
        <v>#REF!</v>
      </c>
      <c r="R54" s="234" t="e">
        <f t="shared" si="141"/>
        <v>#REF!</v>
      </c>
      <c r="S54" s="236" t="e">
        <f t="shared" si="141"/>
        <v>#REF!</v>
      </c>
      <c r="T54" s="234" t="e">
        <f t="shared" si="141"/>
        <v>#REF!</v>
      </c>
      <c r="U54" s="234" t="e">
        <f t="shared" si="141"/>
        <v>#REF!</v>
      </c>
      <c r="V54" s="234" t="e">
        <f t="shared" si="141"/>
        <v>#REF!</v>
      </c>
      <c r="W54" s="234" t="e">
        <f t="shared" si="141"/>
        <v>#REF!</v>
      </c>
      <c r="X54" s="236" t="e">
        <f t="shared" si="141"/>
        <v>#REF!</v>
      </c>
      <c r="Y54" s="234" t="e">
        <f t="shared" si="141"/>
        <v>#REF!</v>
      </c>
      <c r="Z54" s="234" t="e">
        <f t="shared" si="141"/>
        <v>#REF!</v>
      </c>
      <c r="AA54" s="234" t="e">
        <f t="shared" si="141"/>
        <v>#REF!</v>
      </c>
      <c r="AB54" s="234" t="e">
        <f t="shared" si="141"/>
        <v>#REF!</v>
      </c>
      <c r="AC54" s="236" t="e">
        <f t="shared" si="141"/>
        <v>#REF!</v>
      </c>
      <c r="AD54" s="234" t="e">
        <f t="shared" si="141"/>
        <v>#REF!</v>
      </c>
      <c r="AE54" s="234" t="e">
        <f t="shared" si="141"/>
        <v>#REF!</v>
      </c>
      <c r="AF54" s="234" t="e">
        <f t="shared" si="141"/>
        <v>#REF!</v>
      </c>
      <c r="AG54" s="234" t="e">
        <f t="shared" si="141"/>
        <v>#REF!</v>
      </c>
      <c r="AH54" s="236" t="e">
        <f t="shared" si="141"/>
        <v>#REF!</v>
      </c>
      <c r="AI54" s="234" t="e">
        <f t="shared" si="141"/>
        <v>#REF!</v>
      </c>
      <c r="AJ54" s="234" t="e">
        <f t="shared" si="141"/>
        <v>#REF!</v>
      </c>
      <c r="AK54" s="234" t="e">
        <f t="shared" si="141"/>
        <v>#REF!</v>
      </c>
      <c r="AL54" s="234" t="e">
        <f t="shared" si="141"/>
        <v>#REF!</v>
      </c>
      <c r="AM54" s="236" t="e">
        <f t="shared" si="141"/>
        <v>#REF!</v>
      </c>
      <c r="AN54" s="249" t="e">
        <f t="shared" si="141"/>
        <v>#REF!</v>
      </c>
      <c r="AO54" s="234" t="e">
        <f>SUM(AO51:AO52)</f>
        <v>#REF!</v>
      </c>
      <c r="AP54" s="234" t="e">
        <f>SUM(AP51:AP52)</f>
        <v>#REF!</v>
      </c>
      <c r="AQ54" s="234" t="e">
        <f>SUM(AQ51:AQ52)</f>
        <v>#REF!</v>
      </c>
      <c r="AR54" s="236" t="e">
        <f t="shared" si="141"/>
        <v>#REF!</v>
      </c>
      <c r="AS54" s="249" t="e">
        <f>SUM(AS51:AS52)</f>
        <v>#REF!</v>
      </c>
      <c r="AT54" s="234" t="e">
        <f>SUM(AT51:AT52)</f>
        <v>#REF!</v>
      </c>
      <c r="AU54" s="234" t="e">
        <f>SUM(AU51:AU52)</f>
        <v>#REF!</v>
      </c>
      <c r="AV54" s="234" t="e">
        <f>SUM(AV51:AV52)</f>
        <v>#REF!</v>
      </c>
      <c r="AW54" s="236" t="e">
        <f t="shared" si="141"/>
        <v>#REF!</v>
      </c>
      <c r="AX54" s="234" t="e">
        <f t="shared" ref="AX54:BA54" si="142">SUM(AX51:AX52)</f>
        <v>#REF!</v>
      </c>
      <c r="AY54" s="234" t="e">
        <f t="shared" si="142"/>
        <v>#REF!</v>
      </c>
      <c r="AZ54" s="234" t="e">
        <f t="shared" si="142"/>
        <v>#REF!</v>
      </c>
      <c r="BA54" s="234" t="e">
        <f t="shared" si="142"/>
        <v>#REF!</v>
      </c>
      <c r="BB54" s="236"/>
      <c r="BC54" s="234"/>
      <c r="BD54" s="234"/>
      <c r="BE54" s="234"/>
      <c r="BF54" s="234"/>
      <c r="BG54" s="236"/>
      <c r="BH54" s="234"/>
      <c r="BI54" s="234"/>
      <c r="BJ54" s="234"/>
      <c r="BK54" s="234"/>
      <c r="BL54" s="236"/>
      <c r="BM54" s="234"/>
      <c r="BN54" s="234"/>
      <c r="BO54" s="234"/>
      <c r="BP54" s="234"/>
      <c r="BQ54" s="236"/>
      <c r="BR54" s="234"/>
      <c r="BS54" s="234"/>
      <c r="BT54" s="234"/>
      <c r="BU54" s="234"/>
      <c r="BV54" s="236"/>
      <c r="BW54" s="234"/>
      <c r="BX54" s="234"/>
      <c r="BY54" s="234"/>
      <c r="BZ54" s="234"/>
      <c r="CA54" s="236"/>
      <c r="CB54" s="234"/>
      <c r="CC54" s="234"/>
      <c r="CD54" s="234"/>
      <c r="CE54" s="234"/>
      <c r="CF54" s="236"/>
      <c r="CG54" s="234"/>
      <c r="CH54" s="234"/>
      <c r="CI54" s="234"/>
      <c r="CJ54" s="234"/>
      <c r="CK54" s="236"/>
      <c r="CL54" s="234">
        <f t="shared" ref="CL54:CP54" si="143">SUM(CL51:CL52)</f>
        <v>-737</v>
      </c>
      <c r="CM54" s="234">
        <f t="shared" si="143"/>
        <v>-1660</v>
      </c>
      <c r="CN54" s="234">
        <f t="shared" si="143"/>
        <v>1033</v>
      </c>
      <c r="CO54" s="234">
        <f t="shared" si="143"/>
        <v>3352</v>
      </c>
      <c r="CP54" s="236">
        <f t="shared" si="143"/>
        <v>1988</v>
      </c>
      <c r="CQ54" s="234">
        <f t="shared" ref="CQ54:CU54" si="144">SUM(CQ51:CQ52)</f>
        <v>-3543</v>
      </c>
      <c r="CR54" s="234">
        <f t="shared" si="144"/>
        <v>1023</v>
      </c>
      <c r="CS54" s="234">
        <f t="shared" si="144"/>
        <v>2361</v>
      </c>
      <c r="CT54" s="234">
        <f t="shared" si="144"/>
        <v>2231</v>
      </c>
      <c r="CU54" s="236">
        <f t="shared" si="144"/>
        <v>2072</v>
      </c>
      <c r="CV54" s="234">
        <f t="shared" ref="CV54:CZ54" si="145">SUM(CV51:CV52)</f>
        <v>-1190</v>
      </c>
      <c r="CW54" s="234">
        <f t="shared" si="145"/>
        <v>-59</v>
      </c>
      <c r="CX54" s="234">
        <f t="shared" si="145"/>
        <v>1431</v>
      </c>
      <c r="CY54" s="234">
        <f t="shared" si="145"/>
        <v>2369</v>
      </c>
      <c r="CZ54" s="236">
        <f t="shared" si="145"/>
        <v>2551</v>
      </c>
      <c r="DA54" s="234">
        <f>SUM(DA51:DA53)</f>
        <v>803</v>
      </c>
      <c r="DB54" s="234">
        <f t="shared" ref="DB54:DN54" si="146">SUM(DB51:DB53)</f>
        <v>897</v>
      </c>
      <c r="DC54" s="234">
        <f t="shared" si="146"/>
        <v>1700</v>
      </c>
      <c r="DD54" s="234">
        <f t="shared" si="146"/>
        <v>1305</v>
      </c>
      <c r="DE54" s="236">
        <f>SUM(DE51:DE53)</f>
        <v>4705</v>
      </c>
      <c r="DF54" s="234">
        <f t="shared" si="146"/>
        <v>1669</v>
      </c>
      <c r="DG54" s="234">
        <f t="shared" si="146"/>
        <v>1098</v>
      </c>
      <c r="DH54" s="234">
        <f t="shared" ref="DH54" si="147">SUM(DH51:DH53)</f>
        <v>1805</v>
      </c>
      <c r="DI54" s="234">
        <f t="shared" si="146"/>
        <v>1987</v>
      </c>
      <c r="DJ54" s="236">
        <f>SUM(DJ51:DJ53)</f>
        <v>6559</v>
      </c>
      <c r="DK54" s="234">
        <f t="shared" ref="DK54:DL54" si="148">SUM(DK51:DK53)</f>
        <v>1441</v>
      </c>
      <c r="DL54" s="234">
        <f t="shared" si="148"/>
        <v>2105</v>
      </c>
      <c r="DM54" s="234">
        <f t="shared" si="146"/>
        <v>1630</v>
      </c>
      <c r="DN54" s="234">
        <f t="shared" si="146"/>
        <v>1920</v>
      </c>
      <c r="DO54" s="236">
        <f>SUM(DO51:DO53)</f>
        <v>7096</v>
      </c>
      <c r="DP54" s="234">
        <f t="shared" ref="DP54" si="149">SUM(DP51:DP53)</f>
        <v>1260</v>
      </c>
      <c r="DQ54" s="234">
        <f t="shared" ref="DQ54:DS54" si="150">SUM(DQ51:DQ53)</f>
        <v>900</v>
      </c>
      <c r="DR54" s="234">
        <f t="shared" si="150"/>
        <v>1850</v>
      </c>
      <c r="DS54" s="234">
        <f t="shared" si="150"/>
        <v>3350</v>
      </c>
      <c r="DT54" s="236">
        <f>SUM(DT51:DT53)</f>
        <v>7360</v>
      </c>
      <c r="DU54" s="236">
        <f t="shared" ref="DU54:DV54" si="151">SUM(DU51:DU52)</f>
        <v>8100</v>
      </c>
      <c r="DV54" s="236">
        <f t="shared" si="151"/>
        <v>8800</v>
      </c>
    </row>
    <row r="55" spans="1:126" s="216" customFormat="1" ht="12">
      <c r="A55" s="312"/>
      <c r="B55" s="270" t="s">
        <v>133</v>
      </c>
      <c r="C55" s="271" t="e">
        <f>C54/IS!C20</f>
        <v>#REF!</v>
      </c>
      <c r="D55" s="271" t="e">
        <f>D54/IS!D20</f>
        <v>#REF!</v>
      </c>
      <c r="E55" s="271" t="e">
        <f>E54/IS!E20</f>
        <v>#REF!</v>
      </c>
      <c r="F55" s="271" t="e">
        <f>F54/IS!F20</f>
        <v>#REF!</v>
      </c>
      <c r="G55" s="271" t="e">
        <f>G54/IS!G20</f>
        <v>#REF!</v>
      </c>
      <c r="H55" s="271" t="e">
        <f>H54/IS!H20</f>
        <v>#REF!</v>
      </c>
      <c r="I55" s="271" t="e">
        <f>I54/IS!I20</f>
        <v>#REF!</v>
      </c>
      <c r="J55" s="272" t="e">
        <f>J54/IS!J20</f>
        <v>#REF!</v>
      </c>
      <c r="K55" s="272" t="e">
        <f>K54/IS!K20</f>
        <v>#REF!</v>
      </c>
      <c r="L55" s="272" t="e">
        <f>L54/IS!L20</f>
        <v>#REF!</v>
      </c>
      <c r="M55" s="272" t="e">
        <f>M54/IS!M20</f>
        <v>#REF!</v>
      </c>
      <c r="N55" s="271" t="e">
        <f>N54/IS!N20</f>
        <v>#REF!</v>
      </c>
      <c r="O55" s="272" t="e">
        <f>O54/IS!O20</f>
        <v>#REF!</v>
      </c>
      <c r="P55" s="272" t="e">
        <f>P54/IS!P20</f>
        <v>#REF!</v>
      </c>
      <c r="Q55" s="272" t="e">
        <f>Q54/IS!Q20</f>
        <v>#REF!</v>
      </c>
      <c r="R55" s="272" t="e">
        <f>R54/IS!R20</f>
        <v>#REF!</v>
      </c>
      <c r="S55" s="271" t="e">
        <f>S54/IS!S20</f>
        <v>#REF!</v>
      </c>
      <c r="T55" s="272" t="e">
        <f>T54/IS!T20</f>
        <v>#REF!</v>
      </c>
      <c r="U55" s="272" t="e">
        <f>U54/IS!U20</f>
        <v>#REF!</v>
      </c>
      <c r="V55" s="272" t="e">
        <f>V54/IS!V20</f>
        <v>#REF!</v>
      </c>
      <c r="W55" s="272" t="e">
        <f>W54/IS!W20</f>
        <v>#REF!</v>
      </c>
      <c r="X55" s="271" t="e">
        <f>X54/IS!X20</f>
        <v>#REF!</v>
      </c>
      <c r="Y55" s="272" t="e">
        <f>Y54/IS!Y20</f>
        <v>#REF!</v>
      </c>
      <c r="Z55" s="272" t="e">
        <f>Z54/IS!Z20</f>
        <v>#REF!</v>
      </c>
      <c r="AA55" s="272" t="e">
        <f>AA54/IS!AA20</f>
        <v>#REF!</v>
      </c>
      <c r="AB55" s="272" t="e">
        <f>AB54/IS!AB20</f>
        <v>#REF!</v>
      </c>
      <c r="AC55" s="271" t="e">
        <f>AC54/IS!AC20</f>
        <v>#REF!</v>
      </c>
      <c r="AD55" s="272" t="e">
        <f>AD54/IS!AD20</f>
        <v>#REF!</v>
      </c>
      <c r="AE55" s="272" t="e">
        <f>AE54/IS!AE20</f>
        <v>#REF!</v>
      </c>
      <c r="AF55" s="272" t="e">
        <f>AF54/IS!AF20</f>
        <v>#REF!</v>
      </c>
      <c r="AG55" s="272" t="e">
        <f>AG54/IS!AG20</f>
        <v>#REF!</v>
      </c>
      <c r="AH55" s="271" t="e">
        <f>AH54/IS!AH20</f>
        <v>#REF!</v>
      </c>
      <c r="AI55" s="272" t="e">
        <f>AI54/IS!AI20</f>
        <v>#REF!</v>
      </c>
      <c r="AJ55" s="272" t="e">
        <f>AJ54/IS!AJ20</f>
        <v>#REF!</v>
      </c>
      <c r="AK55" s="272" t="e">
        <f>AK54/IS!AK20</f>
        <v>#REF!</v>
      </c>
      <c r="AL55" s="272" t="e">
        <f>AL54/IS!AL20</f>
        <v>#REF!</v>
      </c>
      <c r="AM55" s="271" t="e">
        <f>AM54/IS!AM20</f>
        <v>#REF!</v>
      </c>
      <c r="AN55" s="303" t="e">
        <f>AN54/IS!AN20</f>
        <v>#REF!</v>
      </c>
      <c r="AO55" s="272" t="e">
        <f>AO54/IS!AO20</f>
        <v>#REF!</v>
      </c>
      <c r="AP55" s="272" t="e">
        <f>AP54/IS!AP20</f>
        <v>#REF!</v>
      </c>
      <c r="AQ55" s="272" t="e">
        <f>AQ54/IS!AQ20</f>
        <v>#REF!</v>
      </c>
      <c r="AR55" s="271" t="e">
        <f>AR54/IS!AR20</f>
        <v>#REF!</v>
      </c>
      <c r="AS55" s="303" t="e">
        <f>AS54/IS!AS20</f>
        <v>#REF!</v>
      </c>
      <c r="AT55" s="272" t="e">
        <f>AT54/IS!AT20</f>
        <v>#REF!</v>
      </c>
      <c r="AU55" s="272" t="e">
        <f>AU54/IS!AU20</f>
        <v>#REF!</v>
      </c>
      <c r="AV55" s="272" t="e">
        <f>AV54/IS!AV20</f>
        <v>#REF!</v>
      </c>
      <c r="AW55" s="271" t="e">
        <f>AW54/IS!AW20</f>
        <v>#REF!</v>
      </c>
      <c r="AX55" s="272" t="e">
        <f>AX54/IS!AX20</f>
        <v>#REF!</v>
      </c>
      <c r="AY55" s="272" t="e">
        <f>AY54/IS!AY20</f>
        <v>#REF!</v>
      </c>
      <c r="AZ55" s="272" t="e">
        <f>AZ54/IS!AZ20</f>
        <v>#REF!</v>
      </c>
      <c r="BA55" s="272" t="e">
        <f>BA54/IS!BA20</f>
        <v>#REF!</v>
      </c>
      <c r="BB55" s="271"/>
      <c r="BC55" s="272"/>
      <c r="BD55" s="272"/>
      <c r="BE55" s="272"/>
      <c r="BF55" s="272"/>
      <c r="BG55" s="271"/>
      <c r="BH55" s="272"/>
      <c r="BI55" s="272"/>
      <c r="BJ55" s="272"/>
      <c r="BK55" s="272"/>
      <c r="BL55" s="271"/>
      <c r="BM55" s="272"/>
      <c r="BN55" s="272"/>
      <c r="BO55" s="272"/>
      <c r="BP55" s="272"/>
      <c r="BQ55" s="271"/>
      <c r="BR55" s="272"/>
      <c r="BS55" s="272"/>
      <c r="BT55" s="272"/>
      <c r="BU55" s="272"/>
      <c r="BV55" s="271"/>
      <c r="BW55" s="272"/>
      <c r="BX55" s="272"/>
      <c r="BY55" s="272"/>
      <c r="BZ55" s="272"/>
      <c r="CA55" s="271"/>
      <c r="CB55" s="272"/>
      <c r="CC55" s="272"/>
      <c r="CD55" s="272"/>
      <c r="CE55" s="272"/>
      <c r="CF55" s="271"/>
      <c r="CG55" s="272"/>
      <c r="CH55" s="272"/>
      <c r="CI55" s="272"/>
      <c r="CJ55" s="272"/>
      <c r="CK55" s="271"/>
      <c r="CL55" s="272">
        <f>CL54/IS!CL20</f>
        <v>-0.11784457946913975</v>
      </c>
      <c r="CM55" s="272">
        <f>CM54/IS!CM20</f>
        <v>1.4574187884108867</v>
      </c>
      <c r="CN55" s="272">
        <f>CN54/IS!CN20</f>
        <v>-0.909330985915493</v>
      </c>
      <c r="CO55" s="272">
        <f>CO54/IS!CO20</f>
        <v>1.3527037933817594</v>
      </c>
      <c r="CP55" s="271">
        <f>CP54/IS!CP20</f>
        <v>0.30788291776366733</v>
      </c>
      <c r="CQ55" s="272">
        <f>CQ54/IS!CQ20</f>
        <v>-36.90625</v>
      </c>
      <c r="CR55" s="272">
        <f>CR54/IS!CR20</f>
        <v>-1.7947368421052632</v>
      </c>
      <c r="CS55" s="272">
        <f>CS54/IS!CS20</f>
        <v>4.0567010309278349</v>
      </c>
      <c r="CT55" s="272">
        <f>CT54/IS!CT20</f>
        <v>-0.63670091324200917</v>
      </c>
      <c r="CU55" s="271">
        <f>CU54/IS!CU20</f>
        <v>-0.61012956419316844</v>
      </c>
      <c r="CV55" s="272">
        <f>CV54/IS!CV20</f>
        <v>0.98428453267162941</v>
      </c>
      <c r="CW55" s="272">
        <f>CW54/IS!CW20</f>
        <v>5.2444444444444446E-2</v>
      </c>
      <c r="CX55" s="272">
        <f>CX54/IS!CX20</f>
        <v>-5.8888888888888893</v>
      </c>
      <c r="CY55" s="272">
        <f>CY54/IS!CY20</f>
        <v>1.3308988764044944</v>
      </c>
      <c r="CZ55" s="271">
        <f>CZ54/IS!CZ20</f>
        <v>-3.2007528230865745</v>
      </c>
      <c r="DA55" s="272">
        <f>DA54/IS!DA20</f>
        <v>0.12909967845659165</v>
      </c>
      <c r="DB55" s="272">
        <f>DB54/IS!DB20</f>
        <v>0.84943181818181823</v>
      </c>
      <c r="DC55" s="272">
        <f>DC54/IS!DC20</f>
        <v>10.493827160493828</v>
      </c>
      <c r="DD55" s="272">
        <f>DD54/IS!DD20</f>
        <v>0.81972361809045224</v>
      </c>
      <c r="DE55" s="271">
        <f>DE54/IS!DE20</f>
        <v>0.52104097452934661</v>
      </c>
      <c r="DF55" s="272">
        <f>DF54/IS!DF20</f>
        <v>1.076774193548387</v>
      </c>
      <c r="DG55" s="272">
        <f>DG54/IS!DG20</f>
        <v>0.83055975794251136</v>
      </c>
      <c r="DH55" s="272">
        <f>DH54/IS!DH20</f>
        <v>1.0648967551622419</v>
      </c>
      <c r="DI55" s="272">
        <f>DI54/IS!DI20</f>
        <v>1.0474433315761729</v>
      </c>
      <c r="DJ55" s="271">
        <f>DJ54/IS!DJ20</f>
        <v>1.0146967821782178</v>
      </c>
      <c r="DK55" s="272">
        <f>DK54/IS!DK20</f>
        <v>0.73445463812436285</v>
      </c>
      <c r="DL55" s="272">
        <f>DL54/IS!DL20</f>
        <v>1.0525</v>
      </c>
      <c r="DM55" s="272">
        <f>DM54/IS!DM20</f>
        <v>1.0903888395079255</v>
      </c>
      <c r="DN55" s="272">
        <f>DN54/IS!DN20</f>
        <v>1.3580273009191168</v>
      </c>
      <c r="DO55" s="271">
        <f>DO54/IS!DO20</f>
        <v>1.0327921648917897</v>
      </c>
      <c r="DP55" s="272">
        <f>DP54/IS!DP20</f>
        <v>0.7409115577556824</v>
      </c>
      <c r="DQ55" s="272">
        <f>DQ54/IS!DQ20</f>
        <v>0.48111469391752471</v>
      </c>
      <c r="DR55" s="272">
        <f>DR54/IS!DR20</f>
        <v>1.0426897609680679</v>
      </c>
      <c r="DS55" s="272">
        <f>DS54/IS!DS20</f>
        <v>1.8184903515422066</v>
      </c>
      <c r="DT55" s="271">
        <f>DT54/IS!DT20</f>
        <v>1.0239703073795701</v>
      </c>
      <c r="DU55" s="271">
        <f>DU54/IS!DU20</f>
        <v>0.99615892542987816</v>
      </c>
      <c r="DV55" s="271">
        <f>DV54/IS!DV20</f>
        <v>0.99738786047761507</v>
      </c>
    </row>
    <row r="56" spans="1:126" s="216" customFormat="1" ht="12">
      <c r="A56" s="312"/>
      <c r="B56" s="270" t="s">
        <v>361</v>
      </c>
      <c r="C56" s="271"/>
      <c r="D56" s="271"/>
      <c r="E56" s="271"/>
      <c r="F56" s="271"/>
      <c r="G56" s="271"/>
      <c r="H56" s="271"/>
      <c r="I56" s="271"/>
      <c r="J56" s="491"/>
      <c r="K56" s="491"/>
      <c r="L56" s="491"/>
      <c r="M56" s="491"/>
      <c r="N56" s="492"/>
      <c r="O56" s="491"/>
      <c r="P56" s="491"/>
      <c r="Q56" s="491"/>
      <c r="R56" s="491"/>
      <c r="S56" s="492"/>
      <c r="T56" s="491"/>
      <c r="U56" s="491"/>
      <c r="V56" s="491"/>
      <c r="W56" s="491"/>
      <c r="X56" s="492"/>
      <c r="Y56" s="491"/>
      <c r="Z56" s="491"/>
      <c r="AA56" s="491"/>
      <c r="AB56" s="491"/>
      <c r="AC56" s="492"/>
      <c r="AD56" s="491"/>
      <c r="AE56" s="491"/>
      <c r="AF56" s="491"/>
      <c r="AG56" s="491"/>
      <c r="AH56" s="492"/>
      <c r="AI56" s="491"/>
      <c r="AJ56" s="491"/>
      <c r="AK56" s="491"/>
      <c r="AL56" s="491"/>
      <c r="AM56" s="492"/>
      <c r="AN56" s="114"/>
      <c r="AO56" s="491"/>
      <c r="AP56" s="491"/>
      <c r="AQ56" s="491"/>
      <c r="AR56" s="492"/>
      <c r="AS56" s="114"/>
      <c r="AT56" s="491"/>
      <c r="AU56" s="491"/>
      <c r="AV56" s="491"/>
      <c r="AW56" s="492"/>
      <c r="AX56" s="491"/>
      <c r="AY56" s="491"/>
      <c r="AZ56" s="491"/>
      <c r="BA56" s="491"/>
      <c r="BB56" s="492"/>
      <c r="BC56" s="491"/>
      <c r="BD56" s="491"/>
      <c r="BE56" s="491"/>
      <c r="BF56" s="491"/>
      <c r="BG56" s="492"/>
      <c r="BH56" s="491"/>
      <c r="BI56" s="491"/>
      <c r="BJ56" s="491"/>
      <c r="BK56" s="491"/>
      <c r="BL56" s="492"/>
      <c r="BM56" s="491"/>
      <c r="BN56" s="491"/>
      <c r="BO56" s="491"/>
      <c r="BP56" s="491"/>
      <c r="BQ56" s="492"/>
      <c r="BR56" s="491"/>
      <c r="BS56" s="491"/>
      <c r="BT56" s="491"/>
      <c r="BU56" s="491"/>
      <c r="BV56" s="492"/>
      <c r="BW56" s="491"/>
      <c r="BX56" s="491"/>
      <c r="BY56" s="491"/>
      <c r="BZ56" s="491"/>
      <c r="CA56" s="492"/>
      <c r="CB56" s="491"/>
      <c r="CC56" s="491"/>
      <c r="CD56" s="491"/>
      <c r="CE56" s="491"/>
      <c r="CF56" s="492"/>
      <c r="CG56" s="491"/>
      <c r="CH56" s="491"/>
      <c r="CI56" s="491"/>
      <c r="CJ56" s="491"/>
      <c r="CK56" s="492"/>
      <c r="CL56" s="491"/>
      <c r="CM56" s="491"/>
      <c r="CN56" s="491"/>
      <c r="CO56" s="491"/>
      <c r="CP56" s="492">
        <f>CP54/SEG!CP11</f>
        <v>9.0191452681244899E-2</v>
      </c>
      <c r="CQ56" s="491"/>
      <c r="CR56" s="491"/>
      <c r="CS56" s="491"/>
      <c r="CT56" s="491"/>
      <c r="CU56" s="492">
        <f>CU54/SEG!CU11</f>
        <v>9.7231346785546693E-2</v>
      </c>
      <c r="CV56" s="491"/>
      <c r="CW56" s="491"/>
      <c r="CX56" s="491"/>
      <c r="CY56" s="491"/>
      <c r="CZ56" s="492">
        <f>CZ54/SEG!CZ11</f>
        <v>9.792706333973128E-2</v>
      </c>
      <c r="DA56" s="491"/>
      <c r="DB56" s="491"/>
      <c r="DC56" s="491"/>
      <c r="DD56" s="491"/>
      <c r="DE56" s="492">
        <f>DE54/SEG!DE11</f>
        <v>0.14721526908635796</v>
      </c>
      <c r="DF56" s="491"/>
      <c r="DG56" s="491"/>
      <c r="DH56" s="491"/>
      <c r="DI56" s="491"/>
      <c r="DJ56" s="492">
        <f>DJ54/SEG!DJ11</f>
        <v>0.18675436348623331</v>
      </c>
      <c r="DK56" s="491"/>
      <c r="DL56" s="491"/>
      <c r="DM56" s="491"/>
      <c r="DN56" s="491"/>
      <c r="DO56" s="492">
        <f>DO54/SEG!DO11</f>
        <v>0.17818691797651376</v>
      </c>
      <c r="DP56" s="491"/>
      <c r="DQ56" s="491"/>
      <c r="DR56" s="491"/>
      <c r="DS56" s="491"/>
      <c r="DT56" s="492">
        <f>DT54/SEG!DT11</f>
        <v>0.16238404249183302</v>
      </c>
      <c r="DU56" s="492">
        <f>DU54/SEG!DU11</f>
        <v>0.16463045052802588</v>
      </c>
      <c r="DV56" s="492">
        <f>DV54/SEG!DV11</f>
        <v>0.16732353233099356</v>
      </c>
    </row>
    <row r="57" spans="1:126" s="216" customFormat="1" ht="12" hidden="1" outlineLevel="1">
      <c r="A57" s="312"/>
      <c r="B57" s="270" t="s">
        <v>208</v>
      </c>
      <c r="C57" s="330" t="e">
        <f>1/IS!C52*CFLO!C54</f>
        <v>#DIV/0!</v>
      </c>
      <c r="D57" s="330" t="e">
        <f>1/IS!D52*CFLO!D54</f>
        <v>#DIV/0!</v>
      </c>
      <c r="E57" s="330" t="e">
        <f>1/IS!E52*CFLO!E54</f>
        <v>#DIV/0!</v>
      </c>
      <c r="F57" s="330" t="e">
        <f>1/IS!F52*CFLO!F54</f>
        <v>#DIV/0!</v>
      </c>
      <c r="G57" s="330" t="e">
        <f>1/IS!G52*CFLO!G54</f>
        <v>#DIV/0!</v>
      </c>
      <c r="H57" s="330" t="e">
        <f>1/IS!H52*CFLO!H54</f>
        <v>#DIV/0!</v>
      </c>
      <c r="I57" s="330" t="e">
        <f>1/IS!I52*CFLO!I54</f>
        <v>#DIV/0!</v>
      </c>
      <c r="J57" s="331" t="e">
        <f>1/IS!J52*CFLO!J54</f>
        <v>#DIV/0!</v>
      </c>
      <c r="K57" s="331" t="e">
        <f>1/IS!K52*CFLO!K54</f>
        <v>#DIV/0!</v>
      </c>
      <c r="L57" s="331" t="e">
        <f>1/IS!L52*CFLO!L54</f>
        <v>#DIV/0!</v>
      </c>
      <c r="M57" s="331" t="e">
        <f>1/IS!M52*CFLO!M54</f>
        <v>#DIV/0!</v>
      </c>
      <c r="N57" s="330" t="e">
        <f>1/IS!N52*CFLO!N54</f>
        <v>#DIV/0!</v>
      </c>
      <c r="O57" s="331" t="e">
        <f>1/IS!O52*CFLO!O54</f>
        <v>#DIV/0!</v>
      </c>
      <c r="P57" s="331" t="e">
        <f>1/IS!P52*CFLO!P54</f>
        <v>#DIV/0!</v>
      </c>
      <c r="Q57" s="331" t="e">
        <f>1/IS!Q52*CFLO!Q54</f>
        <v>#DIV/0!</v>
      </c>
      <c r="R57" s="331" t="e">
        <f>1/IS!R52*CFLO!R54</f>
        <v>#DIV/0!</v>
      </c>
      <c r="S57" s="330" t="e">
        <f>1/IS!S52*CFLO!S54</f>
        <v>#DIV/0!</v>
      </c>
      <c r="T57" s="331" t="e">
        <f>1/IS!T52*CFLO!T54</f>
        <v>#DIV/0!</v>
      </c>
      <c r="U57" s="331" t="e">
        <f>1/IS!U52*CFLO!U54</f>
        <v>#DIV/0!</v>
      </c>
      <c r="V57" s="331" t="e">
        <f>1/IS!V52*CFLO!V54</f>
        <v>#DIV/0!</v>
      </c>
      <c r="W57" s="331" t="e">
        <f>1/IS!W52*CFLO!W54</f>
        <v>#DIV/0!</v>
      </c>
      <c r="X57" s="330" t="e">
        <f>1/IS!X52*CFLO!X54</f>
        <v>#DIV/0!</v>
      </c>
      <c r="Y57" s="331" t="e">
        <f>1/IS!Y52*CFLO!Y54</f>
        <v>#DIV/0!</v>
      </c>
      <c r="Z57" s="331" t="e">
        <f>1/IS!Z52*CFLO!Z54</f>
        <v>#DIV/0!</v>
      </c>
      <c r="AA57" s="331" t="e">
        <f>1/IS!AA52*CFLO!AA54</f>
        <v>#DIV/0!</v>
      </c>
      <c r="AB57" s="331" t="e">
        <f>1/IS!AB52*CFLO!AB54</f>
        <v>#DIV/0!</v>
      </c>
      <c r="AC57" s="330" t="e">
        <f>1/IS!AC52*CFLO!AC54</f>
        <v>#DIV/0!</v>
      </c>
      <c r="AD57" s="331" t="e">
        <f>1/IS!AD52*CFLO!AD54</f>
        <v>#DIV/0!</v>
      </c>
      <c r="AE57" s="331" t="e">
        <f>1/IS!AE52*CFLO!AE54</f>
        <v>#DIV/0!</v>
      </c>
      <c r="AF57" s="331" t="e">
        <f>1/IS!AF52*CFLO!AF54</f>
        <v>#DIV/0!</v>
      </c>
      <c r="AG57" s="331" t="e">
        <f>1/IS!AG52*CFLO!AG54</f>
        <v>#DIV/0!</v>
      </c>
      <c r="AH57" s="330" t="e">
        <f>1/IS!AH52*CFLO!AH54</f>
        <v>#DIV/0!</v>
      </c>
      <c r="AI57" s="331" t="e">
        <f>1/IS!AI52*CFLO!AI54</f>
        <v>#DIV/0!</v>
      </c>
      <c r="AJ57" s="331" t="e">
        <f>1/IS!AJ52*CFLO!AJ54</f>
        <v>#DIV/0!</v>
      </c>
      <c r="AK57" s="331" t="e">
        <f>1/IS!AK52*CFLO!AK54</f>
        <v>#DIV/0!</v>
      </c>
      <c r="AL57" s="331" t="e">
        <f>1/IS!AL52*CFLO!AL54</f>
        <v>#DIV/0!</v>
      </c>
      <c r="AM57" s="330" t="e">
        <f>1/IS!AM52*CFLO!AM54</f>
        <v>#DIV/0!</v>
      </c>
      <c r="AN57" s="332" t="e">
        <f>1/IS!AN52*CFLO!AN54</f>
        <v>#DIV/0!</v>
      </c>
      <c r="AO57" s="331" t="e">
        <f>1/IS!AO52*CFLO!AO54</f>
        <v>#DIV/0!</v>
      </c>
      <c r="AP57" s="331" t="e">
        <f>1/IS!AP52*CFLO!AP54</f>
        <v>#DIV/0!</v>
      </c>
      <c r="AQ57" s="331" t="e">
        <f>1/IS!AQ52*CFLO!AQ54</f>
        <v>#DIV/0!</v>
      </c>
      <c r="AR57" s="330" t="e">
        <f>1/IS!AR52*CFLO!AR54</f>
        <v>#DIV/0!</v>
      </c>
      <c r="AS57" s="332" t="e">
        <f>1/IS!AS52*CFLO!AS54</f>
        <v>#DIV/0!</v>
      </c>
      <c r="AT57" s="331" t="e">
        <f>1/IS!AT52*CFLO!AT54</f>
        <v>#DIV/0!</v>
      </c>
      <c r="AU57" s="331" t="e">
        <f>1/IS!AU52*CFLO!AU54</f>
        <v>#DIV/0!</v>
      </c>
      <c r="AV57" s="331" t="e">
        <f>1/IS!AV52*CFLO!AV54</f>
        <v>#DIV/0!</v>
      </c>
      <c r="AW57" s="330" t="e">
        <f>1/IS!AW52*CFLO!AW54</f>
        <v>#DIV/0!</v>
      </c>
      <c r="AX57" s="331" t="e">
        <f>1/IS!AX52*CFLO!AX54</f>
        <v>#DIV/0!</v>
      </c>
      <c r="AY57" s="331" t="e">
        <f>1/IS!AY52*CFLO!AY54</f>
        <v>#DIV/0!</v>
      </c>
      <c r="AZ57" s="331" t="e">
        <f>1/IS!AZ52*CFLO!AZ54</f>
        <v>#DIV/0!</v>
      </c>
      <c r="BA57" s="331" t="e">
        <f>1/IS!BA52*CFLO!BA54</f>
        <v>#DIV/0!</v>
      </c>
      <c r="BB57" s="330"/>
      <c r="BC57" s="331"/>
      <c r="BD57" s="331"/>
      <c r="BE57" s="331"/>
      <c r="BF57" s="331"/>
      <c r="BG57" s="330"/>
      <c r="BH57" s="331"/>
      <c r="BI57" s="331"/>
      <c r="BJ57" s="331"/>
      <c r="BK57" s="331"/>
      <c r="BL57" s="330"/>
      <c r="BM57" s="331"/>
      <c r="BN57" s="331"/>
      <c r="BO57" s="331"/>
      <c r="BP57" s="331"/>
      <c r="BQ57" s="330"/>
      <c r="BR57" s="331"/>
      <c r="BS57" s="331"/>
      <c r="BT57" s="331"/>
      <c r="BU57" s="331"/>
      <c r="BV57" s="330"/>
      <c r="BW57" s="331"/>
      <c r="BX57" s="331"/>
      <c r="BY57" s="331"/>
      <c r="BZ57" s="331"/>
      <c r="CA57" s="330"/>
      <c r="CB57" s="331"/>
      <c r="CC57" s="331"/>
      <c r="CD57" s="331"/>
      <c r="CE57" s="331"/>
      <c r="CF57" s="330"/>
      <c r="CG57" s="331"/>
      <c r="CH57" s="331"/>
      <c r="CI57" s="331"/>
      <c r="CJ57" s="331"/>
      <c r="CK57" s="330"/>
      <c r="CL57" s="331">
        <f>1/IS!CL52*CFLO!CL54</f>
        <v>-8.4079697513876284E-2</v>
      </c>
      <c r="CM57" s="331">
        <f>1/IS!CM52*CFLO!CM54</f>
        <v>-0.18903800389727329</v>
      </c>
      <c r="CN57" s="331">
        <f>1/IS!CN52*CFLO!CN54</f>
        <v>0.11792408405920954</v>
      </c>
      <c r="CO57" s="331">
        <f>1/IS!CO52*CFLO!CO54</f>
        <v>3.0592690082420568</v>
      </c>
      <c r="CP57" s="330">
        <f>1/IS!CP52*CFLO!CP54</f>
        <v>0.29019402957073442</v>
      </c>
      <c r="CQ57" s="331">
        <f>1/IS!CQ52*CFLO!CQ54</f>
        <v>-0.40359322131979203</v>
      </c>
      <c r="CR57" s="331">
        <f>1/IS!CR52*CFLO!CR54</f>
        <v>0.11649751685958469</v>
      </c>
      <c r="CS57" s="331">
        <f>1/IS!CS52*CFLO!CS54</f>
        <v>2.1500047123440851</v>
      </c>
      <c r="CT57" s="331">
        <f>1/IS!CT52*CFLO!CT54</f>
        <v>2.0299770320609887</v>
      </c>
      <c r="CU57" s="330">
        <f>1/IS!CU52*CFLO!CU54</f>
        <v>0.41949458576615123</v>
      </c>
      <c r="CV57" s="331">
        <f>1/IS!CV52*CFLO!CV54</f>
        <v>-1.0811645903027907</v>
      </c>
      <c r="CW57" s="331">
        <f>1/IS!CW52*CFLO!CW54</f>
        <v>-5.3804963838404239E-2</v>
      </c>
      <c r="CX57" s="331">
        <f>1/IS!CX52*CFLO!CX54</f>
        <v>1.3096382585109509</v>
      </c>
      <c r="CY57" s="331">
        <f>1/IS!CY52*CFLO!CY54</f>
        <v>2.175190524286108</v>
      </c>
      <c r="CZ57" s="330">
        <f>1/IS!CZ52*CFLO!CZ54</f>
        <v>2.3302197100770958</v>
      </c>
      <c r="DA57" s="331">
        <f>1/IS!DA52*CFLO!DA54</f>
        <v>0.73740080316575141</v>
      </c>
      <c r="DB57" s="331">
        <f>1/IS!DB52*CFLO!DB54</f>
        <v>0.82416204750254496</v>
      </c>
      <c r="DC57" s="331">
        <f>1/IS!DC52*CFLO!DC54</f>
        <v>1.5619457920593713</v>
      </c>
      <c r="DD57" s="331">
        <f>1/IS!DD52*CFLO!DD54</f>
        <v>1.1989900975315968</v>
      </c>
      <c r="DE57" s="330">
        <f>1/IS!DE52*CFLO!DE54</f>
        <v>4.3223228642616123</v>
      </c>
      <c r="DF57" s="331">
        <f>1/IS!DF52*CFLO!DF54</f>
        <v>1.513145965548504</v>
      </c>
      <c r="DG57" s="331">
        <f>1/IS!DG52*CFLO!DG54</f>
        <v>0.99818181818181817</v>
      </c>
      <c r="DH57" s="331">
        <f>1/IS!DH52*CFLO!DH54</f>
        <v>1.6514181152790486</v>
      </c>
      <c r="DI57" s="331">
        <f>1/IS!DI52*CFLO!DI54</f>
        <v>1.8335464914948083</v>
      </c>
      <c r="DJ57" s="330">
        <f>1/IS!DJ52*CFLO!DJ54</f>
        <v>5.9903753286215826</v>
      </c>
      <c r="DK57" s="331">
        <f>1/IS!DK52*CFLO!DK54</f>
        <v>1.3449859669381747</v>
      </c>
      <c r="DL57" s="331">
        <f>1/IS!DL52*CFLO!DL54</f>
        <v>1.9664821993326003</v>
      </c>
      <c r="DM57" s="331">
        <f>1/IS!DM52*CFLO!DM54</f>
        <v>1.5238068357127676</v>
      </c>
      <c r="DN57" s="331">
        <f>1/IS!DN52*CFLO!DN54</f>
        <v>1.7965931199052885</v>
      </c>
      <c r="DO57" s="330">
        <f>1/IS!DO52*CFLO!DO54</f>
        <v>6.6314583763548338</v>
      </c>
      <c r="DP57" s="331">
        <f>1/IS!DP52*CFLO!DP54</f>
        <v>1.1867877888092708</v>
      </c>
      <c r="DQ57" s="331">
        <f>1/IS!DQ52*CFLO!DQ54</f>
        <v>0.85333180658999097</v>
      </c>
      <c r="DR57" s="331">
        <f>1/IS!DR52*CFLO!DR54</f>
        <v>1.7657905319604046</v>
      </c>
      <c r="DS57" s="331">
        <f>1/IS!DS52*CFLO!DS54</f>
        <v>3.2174742096175444</v>
      </c>
      <c r="DT57" s="330">
        <f>1/IS!DT52*CFLO!DT54</f>
        <v>7.0007602778102198</v>
      </c>
      <c r="DU57" s="330">
        <f>1/IS!DU52*CFLO!DU54</f>
        <v>7.8616780491487015</v>
      </c>
      <c r="DV57" s="330">
        <f>1/IS!DV52*CFLO!DV54</f>
        <v>8.7274367136447495</v>
      </c>
    </row>
    <row r="58" spans="1:126" s="131" customFormat="1" ht="6" customHeight="1" collapsed="1" thickBot="1">
      <c r="C58" s="179"/>
      <c r="D58" s="179"/>
      <c r="E58" s="179"/>
      <c r="F58" s="179"/>
      <c r="G58" s="179"/>
      <c r="H58" s="179"/>
      <c r="I58" s="179"/>
      <c r="N58" s="179"/>
      <c r="S58" s="179"/>
      <c r="X58" s="179"/>
      <c r="AC58" s="179"/>
      <c r="AH58" s="179"/>
      <c r="AM58" s="179"/>
      <c r="AR58" s="179"/>
      <c r="AW58" s="179"/>
      <c r="BB58" s="179"/>
      <c r="BG58" s="179"/>
      <c r="BL58" s="179"/>
      <c r="BQ58" s="179"/>
      <c r="BV58" s="179"/>
      <c r="CA58" s="179"/>
      <c r="CF58" s="179"/>
      <c r="CK58" s="473"/>
      <c r="CP58" s="473"/>
      <c r="CU58" s="179"/>
      <c r="CZ58" s="179"/>
      <c r="DE58" s="179"/>
      <c r="DJ58" s="179"/>
      <c r="DO58" s="179"/>
      <c r="DT58" s="179"/>
      <c r="DU58" s="179"/>
      <c r="DV58" s="179"/>
    </row>
  </sheetData>
  <phoneticPr fontId="11" type="noConversion"/>
  <pageMargins left="0.25" right="0.25" top="0.75" bottom="0.75" header="0.3" footer="0.3"/>
  <pageSetup scale="38" orientation="portrait" r:id="rId1"/>
  <headerFooter alignWithMargins="0"/>
  <customProperties>
    <customPr name="Qube.Worksheet.Visibility" r:id="rId2"/>
    <customPr name="QXL_SHEET_ID" r:id="rId3"/>
  </customProperties>
  <ignoredErrors>
    <ignoredError sqref="AK54 AU36 I36:AJ36 I54:AH54 AM58:AR58 I58:AL58 AW58 AI45:AJ45 AM54 AR54:AR55 AR19 AW26:AW29 AL55:AM55 I55:AJ55 AR25:AR29 AU45 AU54 AV46:AW46 AW54 I20:AJ20 I23:AJ23 I21:AI21 I19:AI19 AW36:AW42 I37:AH42 AK36:AK42 AR21 AM19:AM21 AR23 AM23 AM26:AM29 I25:AJ29 AW44:AW45 AW47:AW52 AU47:AU52 AR50:AR52 AM50:AM52 I44:AH52 AK44:AK52" formula="1"/>
    <ignoredError sqref="AI54:AJ54 AI37:AJ42 AL54 AI44:AJ44 AM36:AM42 AR36:AR42 AM44:AM49 AR44:AR49 AL50:AL52 AI46:AJ52" formula="1" formulaRange="1"/>
  </ignoredError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315</vt:i4>
      </vt:variant>
    </vt:vector>
  </HeadingPairs>
  <TitlesOfParts>
    <vt:vector size="323" baseType="lpstr">
      <vt:lpstr>Cover</vt:lpstr>
      <vt:lpstr>data</vt:lpstr>
      <vt:lpstr>Aerospace</vt:lpstr>
      <vt:lpstr>Revenue build</vt:lpstr>
      <vt:lpstr>SEG</vt:lpstr>
      <vt:lpstr>IS</vt:lpstr>
      <vt:lpstr>BS</vt:lpstr>
      <vt:lpstr>CFLO</vt:lpstr>
      <vt:lpstr>acq</vt:lpstr>
      <vt:lpstr>adjeps</vt:lpstr>
      <vt:lpstr>ap</vt:lpstr>
      <vt:lpstr>ar</vt:lpstr>
      <vt:lpstr>book</vt:lpstr>
      <vt:lpstr>by.00</vt:lpstr>
      <vt:lpstr>by.01</vt:lpstr>
      <vt:lpstr>by.02</vt:lpstr>
      <vt:lpstr>by.03</vt:lpstr>
      <vt:lpstr>by.04</vt:lpstr>
      <vt:lpstr>by.05</vt:lpstr>
      <vt:lpstr>by.06</vt:lpstr>
      <vt:lpstr>by.07</vt:lpstr>
      <vt:lpstr>by.08</vt:lpstr>
      <vt:lpstr>by.09</vt:lpstr>
      <vt:lpstr>by.10</vt:lpstr>
      <vt:lpstr>by.11</vt:lpstr>
      <vt:lpstr>by.12</vt:lpstr>
      <vt:lpstr>by.13</vt:lpstr>
      <vt:lpstr>by.14</vt:lpstr>
      <vt:lpstr>BY.15</vt:lpstr>
      <vt:lpstr>by.16</vt:lpstr>
      <vt:lpstr>by.17</vt:lpstr>
      <vt:lpstr>by.18</vt:lpstr>
      <vt:lpstr>by.19</vt:lpstr>
      <vt:lpstr>by.1q04</vt:lpstr>
      <vt:lpstr>by.1q05</vt:lpstr>
      <vt:lpstr>by.1q06</vt:lpstr>
      <vt:lpstr>by.1q07</vt:lpstr>
      <vt:lpstr>by.1q08</vt:lpstr>
      <vt:lpstr>by.1q09</vt:lpstr>
      <vt:lpstr>by.1q10</vt:lpstr>
      <vt:lpstr>by.1q11</vt:lpstr>
      <vt:lpstr>by.1q12</vt:lpstr>
      <vt:lpstr>by.20</vt:lpstr>
      <vt:lpstr>by.21</vt:lpstr>
      <vt:lpstr>by.22</vt:lpstr>
      <vt:lpstr>by.23</vt:lpstr>
      <vt:lpstr>by.24</vt:lpstr>
      <vt:lpstr>by.25</vt:lpstr>
      <vt:lpstr>by.26</vt:lpstr>
      <vt:lpstr>by.27</vt:lpstr>
      <vt:lpstr>by.28</vt:lpstr>
      <vt:lpstr>by.2q04</vt:lpstr>
      <vt:lpstr>by.2q05</vt:lpstr>
      <vt:lpstr>by.2q06</vt:lpstr>
      <vt:lpstr>by.2q07</vt:lpstr>
      <vt:lpstr>by.2q08</vt:lpstr>
      <vt:lpstr>by.2q09</vt:lpstr>
      <vt:lpstr>by.2q10</vt:lpstr>
      <vt:lpstr>by.2q11</vt:lpstr>
      <vt:lpstr>by.2q12</vt:lpstr>
      <vt:lpstr>by.3q04</vt:lpstr>
      <vt:lpstr>by.3q05</vt:lpstr>
      <vt:lpstr>by.3q06</vt:lpstr>
      <vt:lpstr>by.3q07</vt:lpstr>
      <vt:lpstr>by.3q08</vt:lpstr>
      <vt:lpstr>by.3q09</vt:lpstr>
      <vt:lpstr>by.3q10</vt:lpstr>
      <vt:lpstr>by.3q11</vt:lpstr>
      <vt:lpstr>by.3q12</vt:lpstr>
      <vt:lpstr>by.4q04</vt:lpstr>
      <vt:lpstr>by.4q05</vt:lpstr>
      <vt:lpstr>by.4q06</vt:lpstr>
      <vt:lpstr>by.4q07</vt:lpstr>
      <vt:lpstr>by.4q08</vt:lpstr>
      <vt:lpstr>by.4q09</vt:lpstr>
      <vt:lpstr>by.4q10</vt:lpstr>
      <vt:lpstr>by.4q11</vt:lpstr>
      <vt:lpstr>by.4q12</vt:lpstr>
      <vt:lpstr>ca</vt:lpstr>
      <vt:lpstr>capex</vt:lpstr>
      <vt:lpstr>cash</vt:lpstr>
      <vt:lpstr>cashequiv</vt:lpstr>
      <vt:lpstr>cff</vt:lpstr>
      <vt:lpstr>cfi</vt:lpstr>
      <vt:lpstr>cfo</vt:lpstr>
      <vt:lpstr>cl</vt:lpstr>
      <vt:lpstr>cogs</vt:lpstr>
      <vt:lpstr>cy.00</vt:lpstr>
      <vt:lpstr>cy.01</vt:lpstr>
      <vt:lpstr>cy.02</vt:lpstr>
      <vt:lpstr>cy.03</vt:lpstr>
      <vt:lpstr>cy.04</vt:lpstr>
      <vt:lpstr>cy.05</vt:lpstr>
      <vt:lpstr>cy.06</vt:lpstr>
      <vt:lpstr>cy.07</vt:lpstr>
      <vt:lpstr>cy.08</vt:lpstr>
      <vt:lpstr>cy.09</vt:lpstr>
      <vt:lpstr>cy.10</vt:lpstr>
      <vt:lpstr>cy.11</vt:lpstr>
      <vt:lpstr>cy.12</vt:lpstr>
      <vt:lpstr>cy.13</vt:lpstr>
      <vt:lpstr>cy.14</vt:lpstr>
      <vt:lpstr>CY.15</vt:lpstr>
      <vt:lpstr>cy.16</vt:lpstr>
      <vt:lpstr>cy.17</vt:lpstr>
      <vt:lpstr>cy.18</vt:lpstr>
      <vt:lpstr>cy.19</vt:lpstr>
      <vt:lpstr>cy.1q04</vt:lpstr>
      <vt:lpstr>cy.1q05</vt:lpstr>
      <vt:lpstr>cy.1q06</vt:lpstr>
      <vt:lpstr>cy.1q07</vt:lpstr>
      <vt:lpstr>cy.1q08</vt:lpstr>
      <vt:lpstr>cy.1q09</vt:lpstr>
      <vt:lpstr>cy.1q10</vt:lpstr>
      <vt:lpstr>cy.1q11</vt:lpstr>
      <vt:lpstr>cy.1q12</vt:lpstr>
      <vt:lpstr>cy.20</vt:lpstr>
      <vt:lpstr>cy.21</vt:lpstr>
      <vt:lpstr>cy.22</vt:lpstr>
      <vt:lpstr>cy.23</vt:lpstr>
      <vt:lpstr>cy.24</vt:lpstr>
      <vt:lpstr>cy.25</vt:lpstr>
      <vt:lpstr>cy.26</vt:lpstr>
      <vt:lpstr>cy.27</vt:lpstr>
      <vt:lpstr>cy.28</vt:lpstr>
      <vt:lpstr>cy.2q04</vt:lpstr>
      <vt:lpstr>cy.2q05</vt:lpstr>
      <vt:lpstr>cy.2q06</vt:lpstr>
      <vt:lpstr>cy.2q07</vt:lpstr>
      <vt:lpstr>cy.2q08</vt:lpstr>
      <vt:lpstr>cy.2q09</vt:lpstr>
      <vt:lpstr>cy.2q10</vt:lpstr>
      <vt:lpstr>cy.2q11</vt:lpstr>
      <vt:lpstr>cy.2q12</vt:lpstr>
      <vt:lpstr>cy.3q04</vt:lpstr>
      <vt:lpstr>cy.3q05</vt:lpstr>
      <vt:lpstr>cy.3q06</vt:lpstr>
      <vt:lpstr>cy.3q07</vt:lpstr>
      <vt:lpstr>cy.3q08</vt:lpstr>
      <vt:lpstr>cy.3q09</vt:lpstr>
      <vt:lpstr>cy.3q10</vt:lpstr>
      <vt:lpstr>cy.3q11</vt:lpstr>
      <vt:lpstr>cy.3q12</vt:lpstr>
      <vt:lpstr>cy.4q04</vt:lpstr>
      <vt:lpstr>cy.4q05</vt:lpstr>
      <vt:lpstr>cy.4q06</vt:lpstr>
      <vt:lpstr>cy.4q07</vt:lpstr>
      <vt:lpstr>cy.4q08</vt:lpstr>
      <vt:lpstr>cy.4q09</vt:lpstr>
      <vt:lpstr>cy.4q10</vt:lpstr>
      <vt:lpstr>cy.4q11</vt:lpstr>
      <vt:lpstr>cy.4q12</vt:lpstr>
      <vt:lpstr>da</vt:lpstr>
      <vt:lpstr>date</vt:lpstr>
      <vt:lpstr>debt</vt:lpstr>
      <vt:lpstr>debttocap</vt:lpstr>
      <vt:lpstr>div</vt:lpstr>
      <vt:lpstr>divcf</vt:lpstr>
      <vt:lpstr>ebitda</vt:lpstr>
      <vt:lpstr>eps</vt:lpstr>
      <vt:lpstr>epsbas</vt:lpstr>
      <vt:lpstr>epsbasop</vt:lpstr>
      <vt:lpstr>epsop</vt:lpstr>
      <vt:lpstr>fcf</vt:lpstr>
      <vt:lpstr>fcfni</vt:lpstr>
      <vt:lpstr>fcfsh</vt:lpstr>
      <vt:lpstr>fy.00</vt:lpstr>
      <vt:lpstr>fy.01</vt:lpstr>
      <vt:lpstr>fy.02</vt:lpstr>
      <vt:lpstr>fy.03</vt:lpstr>
      <vt:lpstr>fy.04</vt:lpstr>
      <vt:lpstr>fy.05</vt:lpstr>
      <vt:lpstr>fy.06</vt:lpstr>
      <vt:lpstr>fy.07</vt:lpstr>
      <vt:lpstr>fy.08</vt:lpstr>
      <vt:lpstr>fy.09</vt:lpstr>
      <vt:lpstr>fy.10</vt:lpstr>
      <vt:lpstr>fy.11</vt:lpstr>
      <vt:lpstr>fy.12</vt:lpstr>
      <vt:lpstr>fy.13</vt:lpstr>
      <vt:lpstr>fy.14</vt:lpstr>
      <vt:lpstr>FY.15</vt:lpstr>
      <vt:lpstr>fy.16</vt:lpstr>
      <vt:lpstr>fy.17</vt:lpstr>
      <vt:lpstr>fy.18</vt:lpstr>
      <vt:lpstr>fy.19</vt:lpstr>
      <vt:lpstr>fy.20</vt:lpstr>
      <vt:lpstr>fy.21</vt:lpstr>
      <vt:lpstr>fy.22</vt:lpstr>
      <vt:lpstr>fy.23</vt:lpstr>
      <vt:lpstr>fy.24</vt:lpstr>
      <vt:lpstr>fy.25</vt:lpstr>
      <vt:lpstr>fy.26</vt:lpstr>
      <vt:lpstr>fy.27</vt:lpstr>
      <vt:lpstr>fy.28</vt:lpstr>
      <vt:lpstr>goodwill</vt:lpstr>
      <vt:lpstr>grossprofit</vt:lpstr>
      <vt:lpstr>intexp</vt:lpstr>
      <vt:lpstr>inv</vt:lpstr>
      <vt:lpstr>lands</vt:lpstr>
      <vt:lpstr>ltdebt</vt:lpstr>
      <vt:lpstr>netdebt</vt:lpstr>
      <vt:lpstr>netdebttocap</vt:lpstr>
      <vt:lpstr>netinc</vt:lpstr>
      <vt:lpstr>opinc</vt:lpstr>
      <vt:lpstr>otherinc</vt:lpstr>
      <vt:lpstr>pensionadj</vt:lpstr>
      <vt:lpstr>pensiondebttocap</vt:lpstr>
      <vt:lpstr>pensionequity</vt:lpstr>
      <vt:lpstr>pensionexpense</vt:lpstr>
      <vt:lpstr>pensionnetdebt</vt:lpstr>
      <vt:lpstr>pensionnetdebttocap</vt:lpstr>
      <vt:lpstr>pensionshare</vt:lpstr>
      <vt:lpstr>pensionstatus</vt:lpstr>
      <vt:lpstr>ppe</vt:lpstr>
      <vt:lpstr>pretax</vt:lpstr>
      <vt:lpstr>BS!Print_Area</vt:lpstr>
      <vt:lpstr>CFLO!Print_Area</vt:lpstr>
      <vt:lpstr>data!Print_Area</vt:lpstr>
      <vt:lpstr>IS!Print_Area</vt:lpstr>
      <vt:lpstr>SEG!Print_Area</vt:lpstr>
      <vt:lpstr>data!Print_Titles</vt:lpstr>
      <vt:lpstr>q1.04</vt:lpstr>
      <vt:lpstr>q1.05</vt:lpstr>
      <vt:lpstr>q1.06</vt:lpstr>
      <vt:lpstr>q1.07</vt:lpstr>
      <vt:lpstr>q1.08</vt:lpstr>
      <vt:lpstr>q1.09</vt:lpstr>
      <vt:lpstr>q1.10</vt:lpstr>
      <vt:lpstr>q1.11</vt:lpstr>
      <vt:lpstr>q1.12</vt:lpstr>
      <vt:lpstr>q1.13</vt:lpstr>
      <vt:lpstr>q1.14</vt:lpstr>
      <vt:lpstr>q1.15</vt:lpstr>
      <vt:lpstr>q1.16</vt:lpstr>
      <vt:lpstr>q1.17</vt:lpstr>
      <vt:lpstr>q1.18</vt:lpstr>
      <vt:lpstr>q1.19</vt:lpstr>
      <vt:lpstr>q1.20</vt:lpstr>
      <vt:lpstr>q1.21</vt:lpstr>
      <vt:lpstr>q1.22</vt:lpstr>
      <vt:lpstr>q1.23</vt:lpstr>
      <vt:lpstr>q1.24</vt:lpstr>
      <vt:lpstr>q1.25</vt:lpstr>
      <vt:lpstr>q2.04</vt:lpstr>
      <vt:lpstr>q2.05</vt:lpstr>
      <vt:lpstr>q2.06</vt:lpstr>
      <vt:lpstr>q2.07</vt:lpstr>
      <vt:lpstr>q2.08</vt:lpstr>
      <vt:lpstr>q2.09</vt:lpstr>
      <vt:lpstr>q2.10</vt:lpstr>
      <vt:lpstr>q2.11</vt:lpstr>
      <vt:lpstr>q2.12</vt:lpstr>
      <vt:lpstr>q2.13</vt:lpstr>
      <vt:lpstr>q2.14</vt:lpstr>
      <vt:lpstr>q2.15</vt:lpstr>
      <vt:lpstr>q2.16</vt:lpstr>
      <vt:lpstr>q2.17</vt:lpstr>
      <vt:lpstr>q2.18</vt:lpstr>
      <vt:lpstr>q2.19</vt:lpstr>
      <vt:lpstr>q2.20</vt:lpstr>
      <vt:lpstr>q2.21</vt:lpstr>
      <vt:lpstr>q2.22</vt:lpstr>
      <vt:lpstr>q2.23</vt:lpstr>
      <vt:lpstr>q2.24</vt:lpstr>
      <vt:lpstr>q2.25</vt:lpstr>
      <vt:lpstr>q3.04</vt:lpstr>
      <vt:lpstr>q3.05</vt:lpstr>
      <vt:lpstr>q3.06</vt:lpstr>
      <vt:lpstr>q3.07</vt:lpstr>
      <vt:lpstr>q3.08</vt:lpstr>
      <vt:lpstr>q3.09</vt:lpstr>
      <vt:lpstr>q3.10</vt:lpstr>
      <vt:lpstr>q3.11</vt:lpstr>
      <vt:lpstr>q3.12</vt:lpstr>
      <vt:lpstr>q3.13</vt:lpstr>
      <vt:lpstr>q3.14</vt:lpstr>
      <vt:lpstr>q3.15</vt:lpstr>
      <vt:lpstr>q3.16</vt:lpstr>
      <vt:lpstr>q3.17</vt:lpstr>
      <vt:lpstr>q3.18</vt:lpstr>
      <vt:lpstr>q3.19</vt:lpstr>
      <vt:lpstr>q3.20</vt:lpstr>
      <vt:lpstr>q3.21</vt:lpstr>
      <vt:lpstr>q3.22</vt:lpstr>
      <vt:lpstr>q3.23</vt:lpstr>
      <vt:lpstr>q3.24</vt:lpstr>
      <vt:lpstr>q3.25</vt:lpstr>
      <vt:lpstr>q4.04</vt:lpstr>
      <vt:lpstr>q4.05</vt:lpstr>
      <vt:lpstr>q4.06</vt:lpstr>
      <vt:lpstr>q4.07</vt:lpstr>
      <vt:lpstr>q4.08</vt:lpstr>
      <vt:lpstr>q4.09</vt:lpstr>
      <vt:lpstr>q4.10</vt:lpstr>
      <vt:lpstr>q4.11</vt:lpstr>
      <vt:lpstr>q4.12</vt:lpstr>
      <vt:lpstr>q4.13</vt:lpstr>
      <vt:lpstr>q4.14</vt:lpstr>
      <vt:lpstr>q4.15</vt:lpstr>
      <vt:lpstr>q4.16</vt:lpstr>
      <vt:lpstr>q4.17</vt:lpstr>
      <vt:lpstr>q4.18</vt:lpstr>
      <vt:lpstr>q4.19</vt:lpstr>
      <vt:lpstr>q4.20</vt:lpstr>
      <vt:lpstr>q4.21</vt:lpstr>
      <vt:lpstr>q4.22</vt:lpstr>
      <vt:lpstr>q4.23</vt:lpstr>
      <vt:lpstr>q4.24</vt:lpstr>
      <vt:lpstr>q4.25</vt:lpstr>
      <vt:lpstr>rd</vt:lpstr>
      <vt:lpstr>roic</vt:lpstr>
      <vt:lpstr>sales</vt:lpstr>
      <vt:lpstr>sga</vt:lpstr>
      <vt:lpstr>sharebb</vt:lpstr>
      <vt:lpstr>shares</vt:lpstr>
      <vt:lpstr>sharesfd</vt:lpstr>
      <vt:lpstr>stockcomp</vt:lpstr>
      <vt:lpstr>taxes</vt:lpstr>
      <vt:lpstr>taxrate</vt:lpstr>
      <vt:lpstr>tl</vt:lpstr>
      <vt:lpstr>totalassets</vt:lpstr>
      <vt:lpstr>wc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