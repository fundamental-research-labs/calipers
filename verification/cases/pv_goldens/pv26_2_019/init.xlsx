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08"/>
  <workbookPr codeName="ThisWorkbook"/>
  <bookViews>
    <workbookView xWindow="38400" yWindow="500" windowWidth="38400" windowHeight="21100" tabRatio="808" xr2:uid="{00000000-000D-0000-FFFF-FFFF00000000}"/>
  </bookViews>
  <sheets>
    <sheet name="Inputs" sheetId="3" r:id="rId1"/>
    <sheet name="Summary" sheetId="4" r:id="rId2"/>
    <sheet name="Company0650" sheetId="5" r:id="rId3"/>
    <sheet name="Company0650_data" sheetId="6" r:id="rId4"/>
    <sheet name="Company0777" sheetId="7" r:id="rId5"/>
    <sheet name="Company0777_data" sheetId="8" r:id="rId6"/>
    <sheet name="Company1507" sheetId="9" r:id="rId7"/>
    <sheet name="Company1507_data" sheetId="10" r:id="rId8"/>
    <sheet name="Company1930" sheetId="11" r:id="rId9"/>
    <sheet name="Company1930_data" sheetId="12" r:id="rId10"/>
  </sheets>
  <definedNames>
    <definedName name="Ccy">Inputs!$C$19</definedName>
    <definedName name="circ">Inputs!#REF!</definedName>
    <definedName name="CoName">Inputs!#REF!</definedName>
    <definedName name="D_EBITDA" localSheetId="3">Company0650_data!$G$19</definedName>
    <definedName name="D_EBITDA" localSheetId="5">Company0777_data!$G$19</definedName>
    <definedName name="D_EBITDA" localSheetId="7">Company1507_data!$G$19</definedName>
    <definedName name="D_EBITDA" localSheetId="9">Company1930_data!$G$19</definedName>
    <definedName name="Data" localSheetId="3">Company0650_data!$B$6:$M$9</definedName>
    <definedName name="Data" localSheetId="4">#REF!</definedName>
    <definedName name="Data" localSheetId="5">Company0777_data!$B$6:$M$9</definedName>
    <definedName name="Data" localSheetId="6">#REF!</definedName>
    <definedName name="Data" localSheetId="7">Company1507_data!$B$6:$M$9</definedName>
    <definedName name="Data" localSheetId="8">#REF!</definedName>
    <definedName name="Data" localSheetId="9">Company1930_data!$B$6:$M$9</definedName>
    <definedName name="Data">#REF!</definedName>
    <definedName name="DIVYIELD" localSheetId="2">Company0650!$I$30</definedName>
    <definedName name="DIVYIELD" localSheetId="4">Company0777!$I$30</definedName>
    <definedName name="DIVYIELD" localSheetId="6">Company1507!$I$30</definedName>
    <definedName name="DIVYIELD" localSheetId="8">Company1930!$I$30</definedName>
    <definedName name="E_Int" localSheetId="3">Company0650_data!$G$21</definedName>
    <definedName name="E_Int" localSheetId="5">Company0777_data!$G$21</definedName>
    <definedName name="E_Int" localSheetId="7">Company1507_data!$G$21</definedName>
    <definedName name="E_Int" localSheetId="9">Company1930_data!$G$21</definedName>
    <definedName name="EBITCY1" localSheetId="2">Company0650!$L$64</definedName>
    <definedName name="EBITCY1" localSheetId="4">Company0777!$L$64</definedName>
    <definedName name="EBITCY1" localSheetId="6">Company1507!$L$64</definedName>
    <definedName name="EBITCY1" localSheetId="8">Company1930!$L$64</definedName>
    <definedName name="EBITCY2" localSheetId="2">Company0650!$M$64</definedName>
    <definedName name="EBITCY2" localSheetId="4">Company0777!$M$64</definedName>
    <definedName name="EBITCY2" localSheetId="6">Company1507!$M$64</definedName>
    <definedName name="EBITCY2" localSheetId="8">Company1930!$M$64</definedName>
    <definedName name="EBITDACY1" localSheetId="2">Company0650!$L$63</definedName>
    <definedName name="EBITDACY1" localSheetId="4">Company0777!$L$63</definedName>
    <definedName name="EBITDACY1" localSheetId="6">Company1507!$L$63</definedName>
    <definedName name="EBITDACY1" localSheetId="8">Company1930!$L$63</definedName>
    <definedName name="EBITDACY2" localSheetId="2">Company0650!$M$63</definedName>
    <definedName name="EBITDACY2" localSheetId="4">Company0777!$M$63</definedName>
    <definedName name="EBITDACY2" localSheetId="6">Company1507!$M$63</definedName>
    <definedName name="EBITDACY2" localSheetId="8">Company1930!$M$63</definedName>
    <definedName name="EBITDAMLTM" localSheetId="3">Company0650_data!$H$14</definedName>
    <definedName name="EBITDAMLTM" localSheetId="5">Company0777_data!$H$14</definedName>
    <definedName name="EBITDAMLTM" localSheetId="7">Company1507_data!$H$14</definedName>
    <definedName name="EBITDAMLTM" localSheetId="9">Company1930_data!$H$14</definedName>
    <definedName name="EBITMLTM" localSheetId="3">Company0650_data!$H$15</definedName>
    <definedName name="EBITMLTM" localSheetId="5">Company0777_data!$H$15</definedName>
    <definedName name="EBITMLTM" localSheetId="7">Company1507_data!$H$15</definedName>
    <definedName name="EBITMLTM" localSheetId="9">Company1930_data!$H$15</definedName>
    <definedName name="EnterpriseValue" localSheetId="2">Company0650!$D$8</definedName>
    <definedName name="EnterpriseValue" localSheetId="4">Company0777!$D$8</definedName>
    <definedName name="EnterpriseValue" localSheetId="6">Company1507!$D$8</definedName>
    <definedName name="EnterpriseValue" localSheetId="8">Company1930!$D$8</definedName>
    <definedName name="EPS5YGROWTH" localSheetId="2">Company0650!$I$29</definedName>
    <definedName name="EPS5YGROWTH" localSheetId="4">Company0777!$I$29</definedName>
    <definedName name="EPS5YGROWTH" localSheetId="6">Company1507!$I$29</definedName>
    <definedName name="EPS5YGROWTH" localSheetId="8">Company1930!$I$29</definedName>
    <definedName name="Equityvalue" localSheetId="2">Company0650!$D$7</definedName>
    <definedName name="Equityvalue" localSheetId="4">Company0777!$D$7</definedName>
    <definedName name="Equityvalue" localSheetId="6">Company1507!$D$7</definedName>
    <definedName name="Equityvalue" localSheetId="8">Company1930!$D$7</definedName>
    <definedName name="EV_EBIT1F" localSheetId="2">Company0650!$E$19</definedName>
    <definedName name="EV_EBIT1F" localSheetId="4">Company0777!$E$19</definedName>
    <definedName name="EV_EBIT1F" localSheetId="6">Company1507!$E$19</definedName>
    <definedName name="EV_EBIT1F" localSheetId="8">Company1930!$E$19</definedName>
    <definedName name="EV_EBIT2F" localSheetId="2">Company0650!$F$19</definedName>
    <definedName name="EV_EBIT2F" localSheetId="4">Company0777!$F$19</definedName>
    <definedName name="EV_EBIT2F" localSheetId="6">Company1507!$F$19</definedName>
    <definedName name="EV_EBIT2F" localSheetId="8">Company1930!$F$19</definedName>
    <definedName name="EV_EBITDA1F" localSheetId="2">Company0650!$E$20</definedName>
    <definedName name="EV_EBITDA1F" localSheetId="4">Company0777!$E$20</definedName>
    <definedName name="EV_EBITDA1F" localSheetId="6">Company1507!$E$20</definedName>
    <definedName name="EV_EBITDA1F" localSheetId="8">Company1930!$E$20</definedName>
    <definedName name="EV_EBITDA2F" localSheetId="2">Company0650!$F$20</definedName>
    <definedName name="EV_EBITDA2F" localSheetId="4">Company0777!$F$20</definedName>
    <definedName name="EV_EBITDA2F" localSheetId="6">Company1507!$F$20</definedName>
    <definedName name="EV_EBITDA2F" localSheetId="8">Company1930!$F$20</definedName>
    <definedName name="EV_EBITDALTM" localSheetId="2">Company0650!$D$20</definedName>
    <definedName name="EV_EBITDALTM" localSheetId="4">Company0777!$D$20</definedName>
    <definedName name="EV_EBITDALTM" localSheetId="6">Company1507!$D$20</definedName>
    <definedName name="EV_EBITDALTM" localSheetId="8">Company1930!$D$20</definedName>
    <definedName name="EV_EBITLTM" localSheetId="2">Company0650!$D$19</definedName>
    <definedName name="EV_EBITLTM" localSheetId="4">Company0777!$D$19</definedName>
    <definedName name="EV_EBITLTM" localSheetId="6">Company1507!$D$19</definedName>
    <definedName name="EV_EBITLTM" localSheetId="8">Company1930!$D$19</definedName>
    <definedName name="EV_S1F" localSheetId="2">Company0650!$E$18</definedName>
    <definedName name="EV_S1F" localSheetId="4">Company0777!$E$18</definedName>
    <definedName name="EV_S1F" localSheetId="6">Company1507!$E$18</definedName>
    <definedName name="EV_S1F" localSheetId="8">Company1930!$E$18</definedName>
    <definedName name="EV_S2F" localSheetId="2">Company0650!$F$18</definedName>
    <definedName name="EV_S2F" localSheetId="4">Company0777!$F$18</definedName>
    <definedName name="EV_S2F" localSheetId="6">Company1507!$F$18</definedName>
    <definedName name="EV_S2F" localSheetId="8">Company1930!$F$18</definedName>
    <definedName name="EV_SLTM" localSheetId="2">Company0650!$D$18</definedName>
    <definedName name="EV_SLTM" localSheetId="4">Company0777!$D$18</definedName>
    <definedName name="EV_SLTM" localSheetId="6">Company1507!$D$18</definedName>
    <definedName name="EV_SLTM" localSheetId="8">Company1930!$D$18</definedName>
    <definedName name="FX" localSheetId="2">Company0650!$D$30</definedName>
    <definedName name="FX" localSheetId="4">Company0777!$D$30</definedName>
    <definedName name="FX" localSheetId="6">Company1507!$D$30</definedName>
    <definedName name="FX" localSheetId="8">Company1930!$D$30</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D_EBITDA" localSheetId="3">Company0650_data!$G$20</definedName>
    <definedName name="ND_EBITDA" localSheetId="5">Company0777_data!$G$20</definedName>
    <definedName name="ND_EBITDA" localSheetId="7">Company1507_data!$G$20</definedName>
    <definedName name="ND_EBITDA" localSheetId="9">Company1930_data!$G$20</definedName>
    <definedName name="PE1F" localSheetId="2">Company0650!$E$21</definedName>
    <definedName name="PE1F" localSheetId="4">Company0777!$E$21</definedName>
    <definedName name="PE1F" localSheetId="6">Company1507!$E$21</definedName>
    <definedName name="PE1F" localSheetId="8">Company1930!$E$21</definedName>
    <definedName name="PE2F" localSheetId="2">Company0650!$F$21</definedName>
    <definedName name="PE2F" localSheetId="4">Company0777!$F$21</definedName>
    <definedName name="PE2F" localSheetId="6">Company1507!$F$21</definedName>
    <definedName name="PE2F" localSheetId="8">Company1930!$F$21</definedName>
    <definedName name="PEG1F" localSheetId="2">Company0650!$E$22</definedName>
    <definedName name="PEG1F" localSheetId="6">Company1507!$E$22</definedName>
    <definedName name="PEG1F" localSheetId="8">Company1930!$E$22</definedName>
    <definedName name="PEG2F" localSheetId="2">Company0650!$F$22</definedName>
    <definedName name="PEG2F" localSheetId="6">Company1507!$F$22</definedName>
    <definedName name="PEG2F" localSheetId="8">Company1930!$F$22</definedName>
    <definedName name="_xlnm.Print_Area" localSheetId="2">Company0650!$A$1:$N$23</definedName>
    <definedName name="_xlnm.Print_Area" localSheetId="3">Company0650_data!$A$1:$R$135</definedName>
    <definedName name="_xlnm.Print_Area" localSheetId="4">Company0777!$A$1:$N$23</definedName>
    <definedName name="_xlnm.Print_Area" localSheetId="5">Company0777_data!$A$1:$R$138</definedName>
    <definedName name="_xlnm.Print_Area" localSheetId="6">Company1507!$A$1:$M$65</definedName>
    <definedName name="_xlnm.Print_Area" localSheetId="7">Company1507_data!$A$1:$R$138</definedName>
    <definedName name="_xlnm.Print_Area" localSheetId="8">Company1930!$A$1:$N$22</definedName>
    <definedName name="_xlnm.Print_Area" localSheetId="9">Company1930_data!$A$1:$R$138</definedName>
    <definedName name="_xlnm.Print_Area" localSheetId="1">Summary!$A$1:$P$50</definedName>
    <definedName name="ROE" localSheetId="3">Company0650_data!$G$129</definedName>
    <definedName name="ROE" localSheetId="5">Company0777_data!$G$132</definedName>
    <definedName name="ROE" localSheetId="7">Company1507_data!$G$132</definedName>
    <definedName name="ROE" localSheetId="9">Company1930_data!$G$132</definedName>
    <definedName name="ROIC" localSheetId="3">Company0650_data!$G$135</definedName>
    <definedName name="ROIC" localSheetId="5">Company0777_data!$G$138</definedName>
    <definedName name="ROIC" localSheetId="7">Company1507_data!$G$138</definedName>
    <definedName name="ROIC" localSheetId="9">Company1930_data!$G$138</definedName>
    <definedName name="SalesCAGR" localSheetId="3">Company0650_data!$O$12</definedName>
    <definedName name="SalesCAGR" localSheetId="5">Company0777_data!$O$12</definedName>
    <definedName name="SalesCAGR" localSheetId="7">Company1507_data!$O$12</definedName>
    <definedName name="SalesCAGR" localSheetId="9">Company1930_data!$O$12</definedName>
    <definedName name="SalesCY1" localSheetId="2">Company0650!$L$62</definedName>
    <definedName name="SalesCY1" localSheetId="4">Company0777!$L$62</definedName>
    <definedName name="SalesCY1" localSheetId="6">Company1507!$L$62</definedName>
    <definedName name="SalesCY1" localSheetId="8">Company1930!$L$62</definedName>
    <definedName name="SalesCY2" localSheetId="2">Company0650!$M$62</definedName>
    <definedName name="SalesCY2" localSheetId="4">Company0777!$M$62</definedName>
    <definedName name="SalesCY2" localSheetId="6">Company1507!$M$62</definedName>
    <definedName name="SalesCY2" localSheetId="8">Company1930!$M$62</definedName>
    <definedName name="SharePrice" localSheetId="2">Company0650!$D$6</definedName>
    <definedName name="SharePrice" localSheetId="4">Company0777!$D$6</definedName>
    <definedName name="SharePrice" localSheetId="6">Company1507!$D$6</definedName>
    <definedName name="SharePrice" localSheetId="8">Company1930!$D$6</definedName>
    <definedName name="SharePriceHigh" localSheetId="2">Company0650!$I$27</definedName>
    <definedName name="SharePriceHigh" localSheetId="4">Company0777!$I$27</definedName>
    <definedName name="SharePriceHigh" localSheetId="6">Company1507!$I$27</definedName>
    <definedName name="SharePriceHigh" localSheetId="8">Company1930!$I$27</definedName>
    <definedName name="SharePriceLow" localSheetId="2">Company0650!$I$28</definedName>
    <definedName name="SharePriceLow" localSheetId="4">Company0777!$I$28</definedName>
    <definedName name="SharePriceLow" localSheetId="6">Company1507!$I$28</definedName>
    <definedName name="SharePriceLow" localSheetId="8">Company1930!$I$28</definedName>
    <definedName name="Units">Inputs!$C$20</definedName>
  </definedNames>
  <calcPr calcId="191028" calcMode="autoNoTable"/>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8" i="8" l="1"/>
  <c r="D28" i="8"/>
  <c r="G78" i="5" l="1"/>
  <c r="E78" i="5"/>
  <c r="D78" i="5"/>
  <c r="G45" i="4" l="1"/>
  <c r="F45" i="4"/>
  <c r="E45" i="4"/>
  <c r="D45" i="4"/>
  <c r="G44" i="4"/>
  <c r="F44" i="4"/>
  <c r="E44" i="4"/>
  <c r="D44" i="4"/>
  <c r="G42" i="4"/>
  <c r="F42" i="4"/>
  <c r="E42" i="4"/>
  <c r="D42" i="4"/>
  <c r="G41" i="4"/>
  <c r="F41" i="4"/>
  <c r="E41" i="4"/>
  <c r="D41" i="4"/>
  <c r="G39" i="4"/>
  <c r="F39" i="4"/>
  <c r="E39" i="4"/>
  <c r="D39" i="4"/>
  <c r="G38" i="4"/>
  <c r="F38" i="4"/>
  <c r="E38" i="4"/>
  <c r="D38" i="4"/>
  <c r="G36" i="4"/>
  <c r="F36" i="4"/>
  <c r="E36" i="4"/>
  <c r="D36" i="4"/>
  <c r="B136" i="12" l="1"/>
  <c r="G135" i="12"/>
  <c r="B135" i="12"/>
  <c r="B134" i="12"/>
  <c r="F128" i="12"/>
  <c r="F135" i="12" s="1"/>
  <c r="G121" i="12"/>
  <c r="F121" i="12"/>
  <c r="G120" i="12"/>
  <c r="G129" i="12" s="1"/>
  <c r="G22" i="12" s="1"/>
  <c r="F116" i="12"/>
  <c r="F115" i="12"/>
  <c r="G112" i="12"/>
  <c r="G18" i="12" s="1"/>
  <c r="F111" i="12"/>
  <c r="G110" i="12"/>
  <c r="F109" i="12"/>
  <c r="G106" i="12"/>
  <c r="G105" i="12"/>
  <c r="G104" i="12"/>
  <c r="G102" i="12"/>
  <c r="G103" i="12" s="1"/>
  <c r="G16" i="12" s="1"/>
  <c r="F102" i="12"/>
  <c r="F90" i="12"/>
  <c r="G89" i="12"/>
  <c r="G88" i="12"/>
  <c r="G90" i="12" s="1"/>
  <c r="G84" i="12"/>
  <c r="F84" i="12"/>
  <c r="G82" i="12"/>
  <c r="F82" i="12"/>
  <c r="G66" i="12"/>
  <c r="G76" i="12" s="1"/>
  <c r="G77" i="12" s="1"/>
  <c r="G65" i="12"/>
  <c r="F64" i="12"/>
  <c r="G58" i="12"/>
  <c r="G60" i="12" s="1"/>
  <c r="G57" i="12"/>
  <c r="F56" i="12"/>
  <c r="F55" i="12"/>
  <c r="F58" i="12" s="1"/>
  <c r="F60" i="12" s="1"/>
  <c r="J51" i="12"/>
  <c r="I51" i="12"/>
  <c r="G51" i="12"/>
  <c r="F49" i="12"/>
  <c r="F51" i="12" s="1"/>
  <c r="J46" i="12"/>
  <c r="I46" i="12"/>
  <c r="G46" i="12"/>
  <c r="G47" i="12" s="1"/>
  <c r="F37" i="12"/>
  <c r="F66" i="12" s="1"/>
  <c r="J35" i="12"/>
  <c r="I35" i="12"/>
  <c r="G35" i="12"/>
  <c r="F34" i="12"/>
  <c r="J31" i="12"/>
  <c r="J32" i="12" s="1"/>
  <c r="I31" i="12"/>
  <c r="I32" i="12" s="1"/>
  <c r="G31" i="12"/>
  <c r="G32" i="12" s="1"/>
  <c r="G13" i="12" s="1"/>
  <c r="F30" i="12"/>
  <c r="F106" i="12" s="1"/>
  <c r="J28" i="12"/>
  <c r="I28" i="12"/>
  <c r="F27" i="12"/>
  <c r="E27" i="12"/>
  <c r="E6" i="12" s="1"/>
  <c r="D27" i="12"/>
  <c r="C27" i="12"/>
  <c r="B22" i="12"/>
  <c r="G17" i="12"/>
  <c r="M15" i="12"/>
  <c r="L15" i="12"/>
  <c r="K15" i="12"/>
  <c r="M14" i="12"/>
  <c r="L14" i="12"/>
  <c r="K14" i="12"/>
  <c r="B13" i="12"/>
  <c r="M12" i="12"/>
  <c r="L12" i="12"/>
  <c r="J6" i="12"/>
  <c r="I6" i="12"/>
  <c r="G6" i="12"/>
  <c r="D6" i="12"/>
  <c r="C6" i="12"/>
  <c r="K3" i="12"/>
  <c r="L3" i="12" s="1"/>
  <c r="M3" i="12" s="1"/>
  <c r="O11" i="12" s="1"/>
  <c r="G3" i="12"/>
  <c r="F3" i="12" s="1"/>
  <c r="E3" i="12" s="1"/>
  <c r="D3" i="12" s="1"/>
  <c r="C3" i="12" s="1"/>
  <c r="N11" i="12" s="1"/>
  <c r="I65" i="11"/>
  <c r="H65" i="11"/>
  <c r="G65" i="11"/>
  <c r="I64" i="11"/>
  <c r="H64" i="11"/>
  <c r="G64" i="11"/>
  <c r="I63" i="11"/>
  <c r="H63" i="11"/>
  <c r="G63" i="11"/>
  <c r="I62" i="11"/>
  <c r="H62" i="11"/>
  <c r="G62" i="11"/>
  <c r="K61" i="11"/>
  <c r="L61" i="11" s="1"/>
  <c r="M61" i="11" s="1"/>
  <c r="I61" i="11"/>
  <c r="H61" i="11"/>
  <c r="G61" i="11"/>
  <c r="E61" i="11"/>
  <c r="D61" i="11"/>
  <c r="L57" i="11"/>
  <c r="K59" i="11" s="1"/>
  <c r="D55" i="11"/>
  <c r="I52" i="11"/>
  <c r="I54" i="11" s="1"/>
  <c r="I58" i="11" s="1"/>
  <c r="D51" i="11"/>
  <c r="I51" i="11" s="1"/>
  <c r="C48" i="11"/>
  <c r="D47" i="11"/>
  <c r="C47" i="11"/>
  <c r="D46" i="11"/>
  <c r="C46" i="11"/>
  <c r="K45" i="11"/>
  <c r="D45" i="11"/>
  <c r="C45" i="11"/>
  <c r="K44" i="11"/>
  <c r="D44" i="11"/>
  <c r="C44" i="11"/>
  <c r="K43" i="11"/>
  <c r="K42" i="11"/>
  <c r="D42" i="11"/>
  <c r="K41" i="11"/>
  <c r="C41" i="11"/>
  <c r="J39" i="11"/>
  <c r="I39" i="11"/>
  <c r="D30" i="11"/>
  <c r="I29" i="11"/>
  <c r="D17" i="11"/>
  <c r="C14" i="11"/>
  <c r="E10" i="11"/>
  <c r="F10" i="11" s="1"/>
  <c r="F17" i="11" s="1"/>
  <c r="C8" i="11"/>
  <c r="C7" i="11"/>
  <c r="D6" i="11"/>
  <c r="C6" i="11"/>
  <c r="A1" i="11"/>
  <c r="B136" i="10"/>
  <c r="G135" i="10"/>
  <c r="F135" i="10"/>
  <c r="B135" i="10"/>
  <c r="B134" i="10"/>
  <c r="F126" i="10"/>
  <c r="G120" i="10"/>
  <c r="G129" i="10" s="1"/>
  <c r="G22" i="10" s="1"/>
  <c r="F120" i="10"/>
  <c r="F129" i="10" s="1"/>
  <c r="F22" i="10" s="1"/>
  <c r="G102" i="10"/>
  <c r="F102" i="10"/>
  <c r="G90" i="10"/>
  <c r="F90" i="10"/>
  <c r="B75" i="10"/>
  <c r="B74" i="10"/>
  <c r="B73" i="10"/>
  <c r="F71" i="10"/>
  <c r="B71" i="10"/>
  <c r="G69" i="10"/>
  <c r="F69" i="10"/>
  <c r="B69" i="10"/>
  <c r="F68" i="10"/>
  <c r="G67" i="10"/>
  <c r="F67" i="10"/>
  <c r="B67" i="10"/>
  <c r="G66" i="10"/>
  <c r="F66" i="10"/>
  <c r="B66" i="10"/>
  <c r="G60" i="10"/>
  <c r="F60" i="10"/>
  <c r="G57" i="10"/>
  <c r="F57" i="10"/>
  <c r="J51" i="10"/>
  <c r="I51" i="10"/>
  <c r="G49" i="10"/>
  <c r="G51" i="10" s="1"/>
  <c r="F49" i="10"/>
  <c r="F112" i="10" s="1"/>
  <c r="F18" i="10" s="1"/>
  <c r="J46" i="10"/>
  <c r="J47" i="10" s="1"/>
  <c r="I46" i="10"/>
  <c r="I47" i="10" s="1"/>
  <c r="G46" i="10"/>
  <c r="G8" i="10" s="1"/>
  <c r="F39" i="10"/>
  <c r="F46" i="10" s="1"/>
  <c r="F8" i="10" s="1"/>
  <c r="D64" i="9" s="1"/>
  <c r="J35" i="10"/>
  <c r="I35" i="10"/>
  <c r="J31" i="10"/>
  <c r="J32" i="10" s="1"/>
  <c r="I31" i="10"/>
  <c r="I32" i="10" s="1"/>
  <c r="G30" i="10"/>
  <c r="G106" i="10" s="1"/>
  <c r="F30" i="10"/>
  <c r="F105" i="10" s="1"/>
  <c r="J28" i="10"/>
  <c r="I28" i="10"/>
  <c r="E28" i="10"/>
  <c r="E12" i="10" s="1"/>
  <c r="D28" i="10"/>
  <c r="D12" i="10" s="1"/>
  <c r="G27" i="10"/>
  <c r="F27" i="10"/>
  <c r="F65" i="10" s="1"/>
  <c r="B22" i="10"/>
  <c r="M15" i="10"/>
  <c r="L15" i="10"/>
  <c r="K15" i="10"/>
  <c r="M14" i="10"/>
  <c r="L14" i="10"/>
  <c r="K14" i="10"/>
  <c r="B13" i="10"/>
  <c r="M12" i="10"/>
  <c r="L12" i="10"/>
  <c r="J6" i="10"/>
  <c r="I6" i="10"/>
  <c r="E6" i="10"/>
  <c r="D6" i="10"/>
  <c r="C6" i="10"/>
  <c r="G3" i="10"/>
  <c r="F3" i="10" s="1"/>
  <c r="E3" i="10" s="1"/>
  <c r="D3" i="10" s="1"/>
  <c r="C3" i="10" s="1"/>
  <c r="N11" i="10" s="1"/>
  <c r="I65" i="9"/>
  <c r="H65" i="9"/>
  <c r="G65" i="9"/>
  <c r="I64" i="9"/>
  <c r="H64" i="9"/>
  <c r="G64" i="9"/>
  <c r="I63" i="9"/>
  <c r="H63" i="9"/>
  <c r="G63" i="9"/>
  <c r="I62" i="9"/>
  <c r="H62" i="9"/>
  <c r="G62" i="9"/>
  <c r="K61" i="9"/>
  <c r="L61" i="9" s="1"/>
  <c r="M61" i="9" s="1"/>
  <c r="I61" i="9"/>
  <c r="H61" i="9"/>
  <c r="G61" i="9"/>
  <c r="E61" i="9"/>
  <c r="D61" i="9"/>
  <c r="L57" i="9"/>
  <c r="K59" i="9" s="1"/>
  <c r="D52" i="9"/>
  <c r="D51" i="9"/>
  <c r="I51" i="9" s="1"/>
  <c r="D48" i="9"/>
  <c r="C48" i="9"/>
  <c r="D47" i="9"/>
  <c r="C47" i="9"/>
  <c r="D46" i="9"/>
  <c r="C46" i="9"/>
  <c r="K45" i="9"/>
  <c r="D45" i="9"/>
  <c r="C45" i="9"/>
  <c r="K44" i="9"/>
  <c r="D44" i="9"/>
  <c r="C44" i="9"/>
  <c r="K43" i="9"/>
  <c r="I42" i="9"/>
  <c r="K42" i="9" s="1"/>
  <c r="D42" i="9"/>
  <c r="K41" i="9"/>
  <c r="C41" i="9"/>
  <c r="J39" i="9"/>
  <c r="I39" i="9"/>
  <c r="I29" i="9"/>
  <c r="D17" i="9"/>
  <c r="C14" i="9"/>
  <c r="E10" i="9"/>
  <c r="F10" i="9" s="1"/>
  <c r="F17" i="9" s="1"/>
  <c r="C8" i="9"/>
  <c r="C7" i="9"/>
  <c r="D6" i="9"/>
  <c r="C6" i="9"/>
  <c r="A1" i="9"/>
  <c r="B136" i="8"/>
  <c r="G135" i="8"/>
  <c r="F135" i="8"/>
  <c r="B135" i="8"/>
  <c r="B134" i="8"/>
  <c r="G121" i="8"/>
  <c r="F121" i="8"/>
  <c r="G120" i="8"/>
  <c r="G129" i="8" s="1"/>
  <c r="G22" i="8" s="1"/>
  <c r="F118" i="8"/>
  <c r="F120" i="8" s="1"/>
  <c r="G112" i="8"/>
  <c r="G18" i="8" s="1"/>
  <c r="F111" i="8"/>
  <c r="G110" i="8"/>
  <c r="G17" i="8" s="1"/>
  <c r="F110" i="8"/>
  <c r="F17" i="8" s="1"/>
  <c r="G106" i="8"/>
  <c r="F106" i="8"/>
  <c r="G105" i="8"/>
  <c r="F105" i="8"/>
  <c r="G104" i="8"/>
  <c r="F104" i="8"/>
  <c r="G102" i="8"/>
  <c r="G103" i="8" s="1"/>
  <c r="F102" i="8"/>
  <c r="F103" i="8" s="1"/>
  <c r="F16" i="8" s="1"/>
  <c r="G90" i="8"/>
  <c r="F90" i="8"/>
  <c r="B67" i="8"/>
  <c r="B66" i="8"/>
  <c r="G65" i="8"/>
  <c r="F65" i="8"/>
  <c r="G60" i="8"/>
  <c r="F60" i="8"/>
  <c r="F67" i="8" s="1"/>
  <c r="G57" i="8"/>
  <c r="F57" i="8"/>
  <c r="J51" i="8"/>
  <c r="I51" i="8"/>
  <c r="G51" i="8"/>
  <c r="F49" i="8"/>
  <c r="F51" i="8" s="1"/>
  <c r="J46" i="8"/>
  <c r="J47" i="8" s="1"/>
  <c r="I46" i="8"/>
  <c r="G46" i="8"/>
  <c r="G47" i="8" s="1"/>
  <c r="F46" i="8"/>
  <c r="J35" i="8"/>
  <c r="I35" i="8"/>
  <c r="G35" i="8"/>
  <c r="F35" i="8"/>
  <c r="J31" i="8"/>
  <c r="J32" i="8" s="1"/>
  <c r="I31" i="8"/>
  <c r="I32" i="8" s="1"/>
  <c r="G31" i="8"/>
  <c r="G32" i="8" s="1"/>
  <c r="G13" i="8" s="1"/>
  <c r="F31" i="8"/>
  <c r="F32" i="8" s="1"/>
  <c r="F13" i="8" s="1"/>
  <c r="G28" i="8"/>
  <c r="G12" i="8" s="1"/>
  <c r="F28" i="8"/>
  <c r="F12" i="8" s="1"/>
  <c r="B22" i="8"/>
  <c r="G16" i="8"/>
  <c r="M15" i="8"/>
  <c r="L15" i="8"/>
  <c r="K15" i="8"/>
  <c r="M14" i="8"/>
  <c r="L14" i="8"/>
  <c r="K14" i="8"/>
  <c r="B13" i="8"/>
  <c r="M12" i="8"/>
  <c r="L12" i="8"/>
  <c r="E12" i="8"/>
  <c r="D12" i="8"/>
  <c r="J8" i="8"/>
  <c r="F8" i="8"/>
  <c r="D64" i="7" s="1"/>
  <c r="J6" i="8"/>
  <c r="I6" i="8"/>
  <c r="G6" i="8"/>
  <c r="F6" i="8"/>
  <c r="D62" i="7" s="1"/>
  <c r="E6" i="8"/>
  <c r="D6" i="8"/>
  <c r="C6" i="8"/>
  <c r="G3" i="8"/>
  <c r="F3" i="8" s="1"/>
  <c r="E3" i="8" s="1"/>
  <c r="I65" i="7"/>
  <c r="H65" i="7"/>
  <c r="G65" i="7"/>
  <c r="I64" i="7"/>
  <c r="H64" i="7"/>
  <c r="G64" i="7"/>
  <c r="I63" i="7"/>
  <c r="H63" i="7"/>
  <c r="G63" i="7"/>
  <c r="I62" i="7"/>
  <c r="H62" i="7"/>
  <c r="G62" i="7"/>
  <c r="K61" i="7"/>
  <c r="L61" i="7" s="1"/>
  <c r="M61" i="7" s="1"/>
  <c r="I61" i="7"/>
  <c r="H61" i="7"/>
  <c r="G61" i="7"/>
  <c r="E61" i="7"/>
  <c r="D61" i="7"/>
  <c r="L57" i="7"/>
  <c r="K59" i="7" s="1"/>
  <c r="D55" i="7"/>
  <c r="I52" i="7"/>
  <c r="I54" i="7" s="1"/>
  <c r="I58" i="7" s="1"/>
  <c r="D51" i="7"/>
  <c r="I51" i="7" s="1"/>
  <c r="C48" i="7"/>
  <c r="D47" i="7"/>
  <c r="C47" i="7"/>
  <c r="D46" i="7"/>
  <c r="C46" i="7"/>
  <c r="D45" i="7"/>
  <c r="C45" i="7"/>
  <c r="D44" i="7"/>
  <c r="C44" i="7"/>
  <c r="K43" i="7"/>
  <c r="K42" i="7"/>
  <c r="D42" i="7"/>
  <c r="K41" i="7"/>
  <c r="D41" i="7"/>
  <c r="C41" i="7"/>
  <c r="J39" i="7"/>
  <c r="I39" i="7"/>
  <c r="I29" i="7"/>
  <c r="D17" i="7"/>
  <c r="C14" i="7"/>
  <c r="E10" i="7"/>
  <c r="F10" i="7" s="1"/>
  <c r="F17" i="7" s="1"/>
  <c r="C8" i="7"/>
  <c r="C7" i="7"/>
  <c r="D6" i="7"/>
  <c r="C6" i="7"/>
  <c r="A1" i="7"/>
  <c r="E149" i="6"/>
  <c r="E76" i="5"/>
  <c r="D76" i="5"/>
  <c r="E144" i="6"/>
  <c r="E145" i="6" s="1"/>
  <c r="B133" i="6"/>
  <c r="G132" i="6"/>
  <c r="F132" i="6"/>
  <c r="B132" i="6"/>
  <c r="B131" i="6"/>
  <c r="G118" i="6"/>
  <c r="F118" i="6"/>
  <c r="G117" i="6"/>
  <c r="G126" i="6" s="1"/>
  <c r="G22" i="6" s="1"/>
  <c r="F117" i="6"/>
  <c r="G109" i="6"/>
  <c r="G18" i="6" s="1"/>
  <c r="F109" i="6"/>
  <c r="F18" i="6" s="1"/>
  <c r="G107" i="6"/>
  <c r="G17" i="6" s="1"/>
  <c r="F107" i="6"/>
  <c r="F17" i="6" s="1"/>
  <c r="F103" i="6"/>
  <c r="F102" i="6"/>
  <c r="G101" i="6"/>
  <c r="F101" i="6"/>
  <c r="G99" i="6"/>
  <c r="G100" i="6" s="1"/>
  <c r="G16" i="6" s="1"/>
  <c r="F99" i="6"/>
  <c r="F100" i="6" s="1"/>
  <c r="F16" i="6" s="1"/>
  <c r="G87" i="6"/>
  <c r="F87" i="6"/>
  <c r="F69" i="6"/>
  <c r="F76" i="6" s="1"/>
  <c r="D65" i="5" s="1"/>
  <c r="B69" i="6"/>
  <c r="G68" i="6"/>
  <c r="G76" i="6" s="1"/>
  <c r="G82" i="6" s="1"/>
  <c r="G9" i="6" s="1"/>
  <c r="B68" i="6"/>
  <c r="B67" i="6"/>
  <c r="B66" i="6"/>
  <c r="G65" i="6"/>
  <c r="F65" i="6"/>
  <c r="G60" i="6"/>
  <c r="F60" i="6"/>
  <c r="G57" i="6"/>
  <c r="F57" i="6"/>
  <c r="G51" i="6"/>
  <c r="F51" i="6"/>
  <c r="J49" i="6"/>
  <c r="J51" i="6" s="1"/>
  <c r="I49" i="6"/>
  <c r="I51" i="6" s="1"/>
  <c r="I38" i="6"/>
  <c r="I46" i="6" s="1"/>
  <c r="I47" i="6" s="1"/>
  <c r="G38" i="6"/>
  <c r="J37" i="6"/>
  <c r="J46" i="6" s="1"/>
  <c r="G37" i="6"/>
  <c r="F37" i="6"/>
  <c r="F46" i="6" s="1"/>
  <c r="J35" i="6"/>
  <c r="I35" i="6"/>
  <c r="G35" i="6"/>
  <c r="F35" i="6"/>
  <c r="I31" i="6"/>
  <c r="I32" i="6" s="1"/>
  <c r="F31" i="6"/>
  <c r="F32" i="6" s="1"/>
  <c r="F13" i="6" s="1"/>
  <c r="J30" i="6"/>
  <c r="J31" i="6" s="1"/>
  <c r="J32" i="6" s="1"/>
  <c r="G30" i="6"/>
  <c r="G102" i="6" s="1"/>
  <c r="G28" i="6"/>
  <c r="G12" i="6" s="1"/>
  <c r="F28" i="6"/>
  <c r="F12" i="6" s="1"/>
  <c r="E28" i="6"/>
  <c r="E12" i="6" s="1"/>
  <c r="D28" i="6"/>
  <c r="D12" i="6" s="1"/>
  <c r="B22" i="6"/>
  <c r="M15" i="6"/>
  <c r="L15" i="6"/>
  <c r="K15" i="6"/>
  <c r="M14" i="6"/>
  <c r="L14" i="6"/>
  <c r="K14" i="6"/>
  <c r="B13" i="6"/>
  <c r="M12" i="6"/>
  <c r="L12" i="6"/>
  <c r="I8" i="6"/>
  <c r="I15" i="6" s="1"/>
  <c r="J6" i="6"/>
  <c r="I6" i="6"/>
  <c r="G6" i="6"/>
  <c r="F6" i="6"/>
  <c r="D62" i="5" s="1"/>
  <c r="E6" i="6"/>
  <c r="D6" i="6"/>
  <c r="C6" i="6"/>
  <c r="G3" i="6"/>
  <c r="E3" i="6"/>
  <c r="D3" i="6" s="1"/>
  <c r="C3" i="6" s="1"/>
  <c r="G77" i="5"/>
  <c r="F77" i="5"/>
  <c r="F71" i="5" s="1"/>
  <c r="E77" i="5"/>
  <c r="D77" i="5"/>
  <c r="G76" i="5"/>
  <c r="F76" i="5"/>
  <c r="F70" i="5" s="1"/>
  <c r="G75" i="5"/>
  <c r="F75" i="5"/>
  <c r="F69" i="5" s="1"/>
  <c r="E75" i="5"/>
  <c r="D75" i="5"/>
  <c r="L69" i="5"/>
  <c r="M71" i="5" s="1"/>
  <c r="I66" i="5"/>
  <c r="H66" i="5"/>
  <c r="I64" i="5"/>
  <c r="H64" i="5"/>
  <c r="I63" i="5"/>
  <c r="H63" i="5"/>
  <c r="I62" i="5"/>
  <c r="H62" i="5"/>
  <c r="K61" i="5"/>
  <c r="L61" i="5" s="1"/>
  <c r="M61" i="5" s="1"/>
  <c r="I61" i="5"/>
  <c r="H61" i="5"/>
  <c r="G61" i="5"/>
  <c r="G68" i="5" s="1"/>
  <c r="E61" i="5"/>
  <c r="E68" i="5" s="1"/>
  <c r="D61" i="5"/>
  <c r="L57" i="5"/>
  <c r="K59" i="5" s="1"/>
  <c r="I52" i="5"/>
  <c r="D41" i="5" s="1"/>
  <c r="D52" i="5"/>
  <c r="D56" i="5" s="1"/>
  <c r="D51" i="5"/>
  <c r="I51" i="5" s="1"/>
  <c r="D48" i="5"/>
  <c r="C48" i="5"/>
  <c r="D47" i="5"/>
  <c r="C47" i="5"/>
  <c r="D46" i="5"/>
  <c r="C46" i="5"/>
  <c r="K45" i="5"/>
  <c r="D45" i="5"/>
  <c r="C45" i="5"/>
  <c r="K44" i="5"/>
  <c r="D44" i="5"/>
  <c r="C44" i="5"/>
  <c r="K43" i="5"/>
  <c r="K42" i="5"/>
  <c r="D42" i="5"/>
  <c r="K41" i="5"/>
  <c r="C41" i="5"/>
  <c r="J39" i="5"/>
  <c r="I39" i="5"/>
  <c r="D37" i="5"/>
  <c r="I29" i="5"/>
  <c r="D17" i="5"/>
  <c r="C14" i="5"/>
  <c r="E10" i="5"/>
  <c r="C8" i="5"/>
  <c r="C7" i="5"/>
  <c r="D6" i="5"/>
  <c r="C6" i="5"/>
  <c r="A1" i="5"/>
  <c r="A45" i="4"/>
  <c r="A44" i="4"/>
  <c r="A43" i="4"/>
  <c r="A42" i="4"/>
  <c r="A41" i="4"/>
  <c r="A40" i="4"/>
  <c r="A39" i="4"/>
  <c r="A38" i="4"/>
  <c r="A37" i="4"/>
  <c r="A36" i="4"/>
  <c r="A35" i="4"/>
  <c r="F34" i="4"/>
  <c r="E34" i="4"/>
  <c r="J34" i="4" s="1"/>
  <c r="D34" i="4"/>
  <c r="A34" i="4"/>
  <c r="A29" i="4"/>
  <c r="K7" i="4"/>
  <c r="N7" i="4" s="1"/>
  <c r="P7" i="4" s="1"/>
  <c r="J7" i="4"/>
  <c r="M7" i="4" s="1"/>
  <c r="O7" i="4" s="1"/>
  <c r="I7" i="4"/>
  <c r="C40" i="4"/>
  <c r="C35" i="4"/>
  <c r="C10" i="4"/>
  <c r="C16" i="4"/>
  <c r="K40" i="4"/>
  <c r="C8" i="4"/>
  <c r="C13" i="4"/>
  <c r="I43" i="4"/>
  <c r="E17" i="7" l="1"/>
  <c r="F112" i="8"/>
  <c r="F18" i="8" s="1"/>
  <c r="D41" i="11"/>
  <c r="D43" i="11" s="1"/>
  <c r="J52" i="12"/>
  <c r="J53" i="12" s="1"/>
  <c r="J8" i="10"/>
  <c r="J15" i="10" s="1"/>
  <c r="F46" i="12"/>
  <c r="F47" i="12" s="1"/>
  <c r="G105" i="10"/>
  <c r="K44" i="7"/>
  <c r="I33" i="7" s="1"/>
  <c r="I34" i="7" s="1"/>
  <c r="D40" i="7" s="1"/>
  <c r="D7" i="7" s="1"/>
  <c r="I52" i="8"/>
  <c r="I53" i="8" s="1"/>
  <c r="G47" i="10"/>
  <c r="F120" i="12"/>
  <c r="F76" i="10"/>
  <c r="F80" i="10" s="1"/>
  <c r="G8" i="8"/>
  <c r="E64" i="7" s="1"/>
  <c r="G62" i="8"/>
  <c r="G134" i="8" s="1"/>
  <c r="F66" i="8"/>
  <c r="F76" i="8" s="1"/>
  <c r="F132" i="8" s="1"/>
  <c r="F24" i="8" s="1"/>
  <c r="G122" i="8"/>
  <c r="G136" i="8" s="1"/>
  <c r="G137" i="8" s="1"/>
  <c r="D56" i="9"/>
  <c r="D58" i="9" s="1"/>
  <c r="F51" i="10"/>
  <c r="F110" i="12"/>
  <c r="F17" i="12" s="1"/>
  <c r="D28" i="12"/>
  <c r="D12" i="12" s="1"/>
  <c r="F105" i="12"/>
  <c r="M59" i="9"/>
  <c r="L59" i="9" s="1"/>
  <c r="G28" i="10"/>
  <c r="G12" i="10" s="1"/>
  <c r="F104" i="10"/>
  <c r="E28" i="12"/>
  <c r="E12" i="12" s="1"/>
  <c r="F103" i="12"/>
  <c r="F16" i="12" s="1"/>
  <c r="G62" i="12"/>
  <c r="G134" i="12" s="1"/>
  <c r="G46" i="6"/>
  <c r="G62" i="6" s="1"/>
  <c r="G131" i="6" s="1"/>
  <c r="I7" i="8"/>
  <c r="I14" i="8" s="1"/>
  <c r="I47" i="8"/>
  <c r="J52" i="8"/>
  <c r="J53" i="8" s="1"/>
  <c r="E17" i="9"/>
  <c r="J52" i="10"/>
  <c r="G76" i="10"/>
  <c r="G80" i="10" s="1"/>
  <c r="F122" i="10"/>
  <c r="E17" i="11"/>
  <c r="G8" i="12"/>
  <c r="E64" i="11" s="1"/>
  <c r="F112" i="12"/>
  <c r="F18" i="12" s="1"/>
  <c r="M59" i="11"/>
  <c r="L59" i="11" s="1"/>
  <c r="F57" i="12"/>
  <c r="M59" i="7"/>
  <c r="L59" i="7" s="1"/>
  <c r="G52" i="8"/>
  <c r="K46" i="9"/>
  <c r="I33" i="9" s="1"/>
  <c r="I34" i="9" s="1"/>
  <c r="D40" i="9" s="1"/>
  <c r="D7" i="9" s="1"/>
  <c r="I52" i="9"/>
  <c r="K3" i="10"/>
  <c r="L3" i="10" s="1"/>
  <c r="M3" i="10" s="1"/>
  <c r="O11" i="10" s="1"/>
  <c r="G103" i="10"/>
  <c r="G16" i="10" s="1"/>
  <c r="G52" i="12"/>
  <c r="G127" i="12" s="1"/>
  <c r="G21" i="12" s="1"/>
  <c r="I8" i="10"/>
  <c r="I15" i="10" s="1"/>
  <c r="I52" i="10"/>
  <c r="I7" i="10" s="1"/>
  <c r="I14" i="10" s="1"/>
  <c r="G80" i="6"/>
  <c r="G31" i="6"/>
  <c r="G32" i="6" s="1"/>
  <c r="G13" i="6" s="1"/>
  <c r="G103" i="6"/>
  <c r="F119" i="6"/>
  <c r="F133" i="6" s="1"/>
  <c r="F134" i="6" s="1"/>
  <c r="G129" i="6"/>
  <c r="G24" i="6" s="1"/>
  <c r="N11" i="6"/>
  <c r="K46" i="5"/>
  <c r="I33" i="5" s="1"/>
  <c r="I34" i="5" s="1"/>
  <c r="D40" i="5" s="1"/>
  <c r="D7" i="5" s="1"/>
  <c r="K71" i="5"/>
  <c r="L7" i="4"/>
  <c r="G34" i="4"/>
  <c r="E17" i="5"/>
  <c r="F10" i="5"/>
  <c r="F17" i="5" s="1"/>
  <c r="F129" i="6"/>
  <c r="F24" i="6" s="1"/>
  <c r="F82" i="6"/>
  <c r="F9" i="6" s="1"/>
  <c r="D66" i="5" s="1"/>
  <c r="F77" i="6"/>
  <c r="F80" i="6"/>
  <c r="D3" i="8"/>
  <c r="C3" i="8" s="1"/>
  <c r="N11" i="8"/>
  <c r="F62" i="6"/>
  <c r="F131" i="6" s="1"/>
  <c r="F52" i="6"/>
  <c r="F8" i="6"/>
  <c r="H8" i="10"/>
  <c r="E64" i="9"/>
  <c r="D43" i="5"/>
  <c r="D49" i="5" s="1"/>
  <c r="D8" i="5" s="1"/>
  <c r="I54" i="5"/>
  <c r="I58" i="5" s="1"/>
  <c r="F47" i="6"/>
  <c r="I52" i="6"/>
  <c r="D43" i="7"/>
  <c r="I8" i="8"/>
  <c r="G53" i="8"/>
  <c r="G7" i="8"/>
  <c r="G123" i="8"/>
  <c r="G19" i="8" s="1"/>
  <c r="G127" i="8"/>
  <c r="G21" i="8" s="1"/>
  <c r="G8" i="6"/>
  <c r="F126" i="6"/>
  <c r="F22" i="6" s="1"/>
  <c r="D48" i="7"/>
  <c r="D56" i="7"/>
  <c r="D58" i="7" s="1"/>
  <c r="D59" i="7" s="1"/>
  <c r="D58" i="5"/>
  <c r="M59" i="5"/>
  <c r="L59" i="5" s="1"/>
  <c r="O12" i="6"/>
  <c r="K12" i="6"/>
  <c r="N12" i="6"/>
  <c r="H6" i="6"/>
  <c r="F62" i="5" s="1"/>
  <c r="D11" i="5" s="1"/>
  <c r="J52" i="6"/>
  <c r="J8" i="6"/>
  <c r="J15" i="6" s="1"/>
  <c r="O12" i="8"/>
  <c r="K12" i="8"/>
  <c r="E62" i="7"/>
  <c r="G15" i="8"/>
  <c r="N12" i="8"/>
  <c r="H6" i="8"/>
  <c r="F62" i="7" s="1"/>
  <c r="D11" i="7" s="1"/>
  <c r="I54" i="9"/>
  <c r="I58" i="9" s="1"/>
  <c r="D59" i="9" s="1"/>
  <c r="D41" i="9"/>
  <c r="D43" i="9" s="1"/>
  <c r="F129" i="12"/>
  <c r="F22" i="12" s="1"/>
  <c r="F122" i="12"/>
  <c r="L71" i="5"/>
  <c r="K3" i="6"/>
  <c r="J47" i="6"/>
  <c r="G77" i="6"/>
  <c r="K3" i="8"/>
  <c r="L3" i="8" s="1"/>
  <c r="M3" i="8" s="1"/>
  <c r="O11" i="8" s="1"/>
  <c r="G66" i="8"/>
  <c r="G67" i="8"/>
  <c r="F83" i="10"/>
  <c r="F85" i="10"/>
  <c r="F9" i="10" s="1"/>
  <c r="D65" i="9" s="1"/>
  <c r="F77" i="10"/>
  <c r="F132" i="10"/>
  <c r="F24" i="10" s="1"/>
  <c r="F136" i="10"/>
  <c r="I47" i="12"/>
  <c r="I52" i="12"/>
  <c r="I8" i="12"/>
  <c r="I15" i="12" s="1"/>
  <c r="G119" i="6"/>
  <c r="F15" i="8"/>
  <c r="J15" i="8"/>
  <c r="F129" i="8"/>
  <c r="F22" i="8" s="1"/>
  <c r="F122" i="8"/>
  <c r="F52" i="10"/>
  <c r="F123" i="10" s="1"/>
  <c r="F19" i="10" s="1"/>
  <c r="D48" i="11"/>
  <c r="D56" i="11"/>
  <c r="D58" i="11" s="1"/>
  <c r="D59" i="11" s="1"/>
  <c r="O12" i="12"/>
  <c r="K12" i="12"/>
  <c r="E62" i="11"/>
  <c r="N12" i="12"/>
  <c r="H6" i="12"/>
  <c r="F62" i="11" s="1"/>
  <c r="D11" i="11" s="1"/>
  <c r="F62" i="8"/>
  <c r="F134" i="8" s="1"/>
  <c r="F52" i="8"/>
  <c r="F47" i="8"/>
  <c r="G65" i="10"/>
  <c r="G35" i="10"/>
  <c r="G110" i="10"/>
  <c r="G17" i="10" s="1"/>
  <c r="G104" i="10"/>
  <c r="G31" i="10"/>
  <c r="G32" i="10" s="1"/>
  <c r="G13" i="10" s="1"/>
  <c r="G6" i="10"/>
  <c r="G62" i="10"/>
  <c r="G134" i="10" s="1"/>
  <c r="G52" i="10"/>
  <c r="F137" i="10"/>
  <c r="G123" i="12"/>
  <c r="G19" i="12" s="1"/>
  <c r="F62" i="10"/>
  <c r="F134" i="10" s="1"/>
  <c r="F103" i="10"/>
  <c r="F16" i="10" s="1"/>
  <c r="K46" i="11"/>
  <c r="I33" i="11" s="1"/>
  <c r="I34" i="11" s="1"/>
  <c r="D40" i="11" s="1"/>
  <c r="F28" i="12"/>
  <c r="F12" i="12" s="1"/>
  <c r="F6" i="12"/>
  <c r="D62" i="11" s="1"/>
  <c r="F62" i="12"/>
  <c r="F134" i="12" s="1"/>
  <c r="F52" i="12"/>
  <c r="J7" i="12"/>
  <c r="J14" i="12" s="1"/>
  <c r="J8" i="12"/>
  <c r="J15" i="12" s="1"/>
  <c r="F35" i="12"/>
  <c r="G80" i="12"/>
  <c r="G132" i="12"/>
  <c r="F104" i="12"/>
  <c r="G122" i="12"/>
  <c r="F110" i="10"/>
  <c r="F17" i="10" s="1"/>
  <c r="F35" i="10"/>
  <c r="F31" i="10"/>
  <c r="F32" i="10" s="1"/>
  <c r="F13" i="10" s="1"/>
  <c r="F6" i="10"/>
  <c r="F28" i="10"/>
  <c r="F12" i="10" s="1"/>
  <c r="F47" i="10"/>
  <c r="F106" i="10"/>
  <c r="G112" i="10"/>
  <c r="G18" i="10" s="1"/>
  <c r="G122" i="10"/>
  <c r="G28" i="12"/>
  <c r="G12" i="12" s="1"/>
  <c r="F31" i="12"/>
  <c r="F32" i="12" s="1"/>
  <c r="F13" i="12" s="1"/>
  <c r="J47" i="12"/>
  <c r="F76" i="12"/>
  <c r="F65" i="12"/>
  <c r="H35" i="4"/>
  <c r="I35" i="4"/>
  <c r="H37" i="4"/>
  <c r="M35" i="4"/>
  <c r="K43" i="4"/>
  <c r="D13" i="4"/>
  <c r="P37" i="4"/>
  <c r="N37" i="4"/>
  <c r="I40" i="4"/>
  <c r="N43" i="4"/>
  <c r="K35" i="4"/>
  <c r="C43" i="4"/>
  <c r="E8" i="4"/>
  <c r="D10" i="4"/>
  <c r="P43" i="4"/>
  <c r="C37" i="4"/>
  <c r="D8" i="4"/>
  <c r="M43" i="4"/>
  <c r="H43" i="4"/>
  <c r="I37" i="4"/>
  <c r="K37" i="4"/>
  <c r="M65" i="9" l="1"/>
  <c r="F14" i="9" s="1"/>
  <c r="F21" i="9" s="1"/>
  <c r="M62" i="9"/>
  <c r="F11" i="9" s="1"/>
  <c r="M63" i="9"/>
  <c r="D49" i="7"/>
  <c r="D8" i="7" s="1"/>
  <c r="F77" i="8"/>
  <c r="L64" i="11"/>
  <c r="E13" i="11" s="1"/>
  <c r="F80" i="8"/>
  <c r="F83" i="8" s="1"/>
  <c r="F8" i="12"/>
  <c r="F15" i="12" s="1"/>
  <c r="F138" i="10"/>
  <c r="F23" i="10" s="1"/>
  <c r="G7" i="12"/>
  <c r="G124" i="8"/>
  <c r="G20" i="8" s="1"/>
  <c r="G53" i="12"/>
  <c r="F124" i="10"/>
  <c r="F20" i="10" s="1"/>
  <c r="G138" i="8"/>
  <c r="G132" i="10"/>
  <c r="G69" i="5"/>
  <c r="M64" i="9"/>
  <c r="F13" i="9" s="1"/>
  <c r="G77" i="10"/>
  <c r="M63" i="7"/>
  <c r="M62" i="7"/>
  <c r="F11" i="7" s="1"/>
  <c r="F18" i="7" s="1"/>
  <c r="M65" i="7"/>
  <c r="F14" i="7" s="1"/>
  <c r="F21" i="7" s="1"/>
  <c r="K64" i="7"/>
  <c r="L64" i="7"/>
  <c r="E13" i="7" s="1"/>
  <c r="E19" i="7" s="1"/>
  <c r="M64" i="7"/>
  <c r="F13" i="7" s="1"/>
  <c r="F19" i="7" s="1"/>
  <c r="M62" i="11"/>
  <c r="F11" i="11" s="1"/>
  <c r="M64" i="11"/>
  <c r="F13" i="11" s="1"/>
  <c r="M63" i="11"/>
  <c r="M65" i="11"/>
  <c r="F14" i="11" s="1"/>
  <c r="F21" i="11" s="1"/>
  <c r="J7" i="8"/>
  <c r="J14" i="8" s="1"/>
  <c r="I53" i="10"/>
  <c r="D49" i="9"/>
  <c r="D8" i="9" s="1"/>
  <c r="L62" i="11"/>
  <c r="E11" i="11" s="1"/>
  <c r="G70" i="5"/>
  <c r="L62" i="7"/>
  <c r="E11" i="7" s="1"/>
  <c r="E18" i="7" s="1"/>
  <c r="J53" i="10"/>
  <c r="J7" i="10"/>
  <c r="J14" i="10" s="1"/>
  <c r="G15" i="12"/>
  <c r="G52" i="6"/>
  <c r="G7" i="6" s="1"/>
  <c r="D59" i="5"/>
  <c r="G47" i="6"/>
  <c r="F121" i="6"/>
  <c r="F20" i="6" s="1"/>
  <c r="E72" i="5"/>
  <c r="E65" i="5" s="1"/>
  <c r="E66" i="5" s="1"/>
  <c r="G72" i="5"/>
  <c r="G71" i="5"/>
  <c r="F120" i="6"/>
  <c r="F19" i="6" s="1"/>
  <c r="F135" i="6"/>
  <c r="F23" i="6" s="1"/>
  <c r="I49" i="4"/>
  <c r="I47" i="4"/>
  <c r="I48" i="4"/>
  <c r="I50" i="4"/>
  <c r="C50" i="4"/>
  <c r="C48" i="4"/>
  <c r="C49" i="4"/>
  <c r="C47" i="4"/>
  <c r="K50" i="4"/>
  <c r="K49" i="4"/>
  <c r="K47" i="4"/>
  <c r="K48" i="4"/>
  <c r="D18" i="5"/>
  <c r="D62" i="9"/>
  <c r="F15" i="10"/>
  <c r="G136" i="12"/>
  <c r="G137" i="12" s="1"/>
  <c r="G138" i="12" s="1"/>
  <c r="G124" i="12"/>
  <c r="G20" i="12" s="1"/>
  <c r="F53" i="12"/>
  <c r="F127" i="12"/>
  <c r="F21" i="12" s="1"/>
  <c r="F7" i="12"/>
  <c r="O12" i="10"/>
  <c r="K12" i="10"/>
  <c r="E62" i="9"/>
  <c r="L62" i="9" s="1"/>
  <c r="E11" i="9" s="1"/>
  <c r="H6" i="10"/>
  <c r="F62" i="9" s="1"/>
  <c r="D11" i="9" s="1"/>
  <c r="D18" i="9" s="1"/>
  <c r="N12" i="10"/>
  <c r="F124" i="8"/>
  <c r="F20" i="8" s="1"/>
  <c r="F136" i="8"/>
  <c r="F137" i="8" s="1"/>
  <c r="F138" i="8" s="1"/>
  <c r="F23" i="8" s="1"/>
  <c r="D18" i="7"/>
  <c r="F80" i="12"/>
  <c r="F132" i="12"/>
  <c r="F24" i="12" s="1"/>
  <c r="F77" i="12"/>
  <c r="D64" i="11"/>
  <c r="K64" i="11" s="1"/>
  <c r="G14" i="12"/>
  <c r="E63" i="11"/>
  <c r="L63" i="11" s="1"/>
  <c r="K62" i="11"/>
  <c r="G53" i="10"/>
  <c r="G127" i="10"/>
  <c r="G21" i="10" s="1"/>
  <c r="G123" i="10"/>
  <c r="G19" i="10" s="1"/>
  <c r="G7" i="10"/>
  <c r="F127" i="8"/>
  <c r="F21" i="8" s="1"/>
  <c r="F53" i="8"/>
  <c r="F7" i="8"/>
  <c r="F123" i="8"/>
  <c r="F19" i="8" s="1"/>
  <c r="L3" i="6"/>
  <c r="M3" i="6" s="1"/>
  <c r="O11" i="6" s="1"/>
  <c r="L74" i="5"/>
  <c r="G65" i="5" s="1"/>
  <c r="L65" i="5" s="1"/>
  <c r="F123" i="12"/>
  <c r="F19" i="12" s="1"/>
  <c r="L64" i="9"/>
  <c r="E13" i="9" s="1"/>
  <c r="K64" i="9"/>
  <c r="E70" i="5"/>
  <c r="G133" i="6"/>
  <c r="G134" i="6" s="1"/>
  <c r="G135" i="6" s="1"/>
  <c r="H7" i="8"/>
  <c r="E63" i="7"/>
  <c r="L63" i="7" s="1"/>
  <c r="G14" i="8"/>
  <c r="I7" i="6"/>
  <c r="I14" i="6" s="1"/>
  <c r="I53" i="6"/>
  <c r="F64" i="9"/>
  <c r="D13" i="9" s="1"/>
  <c r="K62" i="7"/>
  <c r="G24" i="12"/>
  <c r="D49" i="11"/>
  <c r="D8" i="11" s="1"/>
  <c r="D7" i="11"/>
  <c r="G76" i="8"/>
  <c r="J53" i="6"/>
  <c r="J7" i="6"/>
  <c r="J14" i="6" s="1"/>
  <c r="G85" i="10"/>
  <c r="G9" i="10" s="1"/>
  <c r="E65" i="9" s="1"/>
  <c r="L65" i="9" s="1"/>
  <c r="E14" i="9" s="1"/>
  <c r="E21" i="9" s="1"/>
  <c r="G83" i="10"/>
  <c r="F12" i="7"/>
  <c r="F20" i="7" s="1"/>
  <c r="G15" i="10"/>
  <c r="F15" i="6"/>
  <c r="D64" i="5"/>
  <c r="H8" i="12"/>
  <c r="G136" i="10"/>
  <c r="G137" i="10" s="1"/>
  <c r="G138" i="10" s="1"/>
  <c r="G124" i="10"/>
  <c r="G20" i="10" s="1"/>
  <c r="G85" i="12"/>
  <c r="G9" i="12" s="1"/>
  <c r="E65" i="11" s="1"/>
  <c r="L65" i="11" s="1"/>
  <c r="E14" i="11" s="1"/>
  <c r="E21" i="11" s="1"/>
  <c r="G83" i="12"/>
  <c r="F7" i="10"/>
  <c r="F127" i="10"/>
  <c r="F21" i="10" s="1"/>
  <c r="F53" i="10"/>
  <c r="I7" i="12"/>
  <c r="I14" i="12" s="1"/>
  <c r="I53" i="12"/>
  <c r="F85" i="8"/>
  <c r="F9" i="8" s="1"/>
  <c r="D65" i="7" s="1"/>
  <c r="F136" i="12"/>
  <c r="F137" i="12" s="1"/>
  <c r="F138" i="12" s="1"/>
  <c r="F23" i="12" s="1"/>
  <c r="F124" i="12"/>
  <c r="F20" i="12" s="1"/>
  <c r="H8" i="6"/>
  <c r="G15" i="6"/>
  <c r="I15" i="8"/>
  <c r="H8" i="8"/>
  <c r="E71" i="5"/>
  <c r="E64" i="5" s="1"/>
  <c r="F124" i="6"/>
  <c r="F21" i="6" s="1"/>
  <c r="F53" i="6"/>
  <c r="F7" i="6"/>
  <c r="E69" i="5"/>
  <c r="E62" i="5" s="1"/>
  <c r="P13" i="4"/>
  <c r="P10" i="4"/>
  <c r="E37" i="4"/>
  <c r="O40" i="4"/>
  <c r="O37" i="4"/>
  <c r="N40" i="4"/>
  <c r="O43" i="4"/>
  <c r="N10" i="4"/>
  <c r="G10" i="4"/>
  <c r="F37" i="4"/>
  <c r="P16" i="4"/>
  <c r="E16" i="4"/>
  <c r="H10" i="4"/>
  <c r="O13" i="4"/>
  <c r="P40" i="4"/>
  <c r="F43" i="4"/>
  <c r="E13" i="4"/>
  <c r="L37" i="4"/>
  <c r="F8" i="4"/>
  <c r="L43" i="4"/>
  <c r="E10" i="4"/>
  <c r="F13" i="4"/>
  <c r="M40" i="4"/>
  <c r="F10" i="4"/>
  <c r="O16" i="4"/>
  <c r="H40" i="4"/>
  <c r="E43" i="4"/>
  <c r="F40" i="4"/>
  <c r="L35" i="4"/>
  <c r="L40" i="4"/>
  <c r="D16" i="4"/>
  <c r="K10" i="4"/>
  <c r="M10" i="4"/>
  <c r="D19" i="9" l="1"/>
  <c r="H15" i="10"/>
  <c r="F18" i="9"/>
  <c r="E18" i="9"/>
  <c r="E19" i="9"/>
  <c r="F19" i="9"/>
  <c r="G64" i="5"/>
  <c r="M64" i="5" s="1"/>
  <c r="F13" i="5" s="1"/>
  <c r="F19" i="5" s="1"/>
  <c r="F12" i="9"/>
  <c r="F20" i="9" s="1"/>
  <c r="G120" i="6"/>
  <c r="G19" i="6" s="1"/>
  <c r="G24" i="10"/>
  <c r="G23" i="8"/>
  <c r="E63" i="5"/>
  <c r="G53" i="6"/>
  <c r="G124" i="6"/>
  <c r="G21" i="6" s="1"/>
  <c r="G121" i="6"/>
  <c r="G20" i="6" s="1"/>
  <c r="F12" i="11"/>
  <c r="K65" i="9"/>
  <c r="K62" i="9"/>
  <c r="M65" i="5"/>
  <c r="G66" i="5"/>
  <c r="K65" i="5"/>
  <c r="L49" i="4"/>
  <c r="L47" i="4"/>
  <c r="L50" i="4"/>
  <c r="L48" i="4"/>
  <c r="J40" i="4"/>
  <c r="D23" i="4"/>
  <c r="D22" i="4"/>
  <c r="D21" i="4"/>
  <c r="D20" i="4"/>
  <c r="J43" i="4"/>
  <c r="H49" i="4"/>
  <c r="H50" i="4"/>
  <c r="H47" i="4"/>
  <c r="H48" i="4"/>
  <c r="E22" i="4"/>
  <c r="E21" i="4"/>
  <c r="E23" i="4"/>
  <c r="E20" i="4"/>
  <c r="F14" i="10"/>
  <c r="D63" i="9"/>
  <c r="G23" i="6"/>
  <c r="F14" i="8"/>
  <c r="D63" i="7"/>
  <c r="K63" i="7" s="1"/>
  <c r="E22" i="9"/>
  <c r="F22" i="9"/>
  <c r="H15" i="6"/>
  <c r="F64" i="5"/>
  <c r="D13" i="5" s="1"/>
  <c r="D19" i="5" s="1"/>
  <c r="E12" i="11"/>
  <c r="E20" i="11" s="1"/>
  <c r="H7" i="6"/>
  <c r="G14" i="6"/>
  <c r="F14" i="12"/>
  <c r="D63" i="11"/>
  <c r="K63" i="11" s="1"/>
  <c r="G23" i="12"/>
  <c r="F22" i="11"/>
  <c r="E22" i="11"/>
  <c r="G132" i="8"/>
  <c r="G80" i="8"/>
  <c r="G77" i="8"/>
  <c r="H7" i="12"/>
  <c r="F85" i="12"/>
  <c r="F9" i="12" s="1"/>
  <c r="D65" i="11" s="1"/>
  <c r="K65" i="11" s="1"/>
  <c r="F83" i="12"/>
  <c r="G23" i="10"/>
  <c r="F20" i="11"/>
  <c r="E19" i="11"/>
  <c r="D18" i="11"/>
  <c r="F19" i="11"/>
  <c r="E18" i="11"/>
  <c r="F18" i="11"/>
  <c r="E12" i="7"/>
  <c r="E20" i="7" s="1"/>
  <c r="G62" i="5"/>
  <c r="M62" i="5" s="1"/>
  <c r="F11" i="5" s="1"/>
  <c r="F18" i="5" s="1"/>
  <c r="F14" i="6"/>
  <c r="D63" i="5"/>
  <c r="H15" i="8"/>
  <c r="F64" i="7"/>
  <c r="D13" i="7" s="1"/>
  <c r="D19" i="7" s="1"/>
  <c r="H15" i="12"/>
  <c r="F64" i="11"/>
  <c r="D13" i="11" s="1"/>
  <c r="D19" i="11" s="1"/>
  <c r="H14" i="8"/>
  <c r="F63" i="7"/>
  <c r="D12" i="7" s="1"/>
  <c r="D20" i="7" s="1"/>
  <c r="G63" i="5"/>
  <c r="M63" i="5" s="1"/>
  <c r="G14" i="10"/>
  <c r="H7" i="10"/>
  <c r="E63" i="9"/>
  <c r="L63" i="9" s="1"/>
  <c r="J16" i="4"/>
  <c r="M37" i="4"/>
  <c r="H16" i="4"/>
  <c r="L16" i="4"/>
  <c r="G40" i="4"/>
  <c r="J10" i="4"/>
  <c r="D37" i="4"/>
  <c r="L13" i="4"/>
  <c r="O35" i="4"/>
  <c r="L8" i="4"/>
  <c r="L10" i="4"/>
  <c r="N13" i="4"/>
  <c r="P35" i="4"/>
  <c r="G13" i="4"/>
  <c r="N16" i="4"/>
  <c r="G37" i="4"/>
  <c r="G16" i="4"/>
  <c r="K13" i="4"/>
  <c r="M16" i="4"/>
  <c r="M13" i="4"/>
  <c r="F16" i="4"/>
  <c r="N8" i="4"/>
  <c r="I10" i="4"/>
  <c r="E40" i="4"/>
  <c r="H13" i="4"/>
  <c r="K16" i="4"/>
  <c r="F35" i="4"/>
  <c r="H8" i="4"/>
  <c r="N35" i="4"/>
  <c r="G35" i="4"/>
  <c r="G43" i="4"/>
  <c r="N50" i="4" l="1"/>
  <c r="N48" i="4"/>
  <c r="N47" i="4"/>
  <c r="N49" i="4"/>
  <c r="L64" i="5"/>
  <c r="E13" i="5" s="1"/>
  <c r="E19" i="5" s="1"/>
  <c r="K64" i="5"/>
  <c r="O49" i="4"/>
  <c r="O47" i="4"/>
  <c r="O50" i="4"/>
  <c r="O48" i="4"/>
  <c r="P49" i="4"/>
  <c r="P50" i="4"/>
  <c r="P47" i="4"/>
  <c r="P48" i="4"/>
  <c r="K66" i="5"/>
  <c r="L66" i="5"/>
  <c r="E14" i="5" s="1"/>
  <c r="E21" i="5" s="1"/>
  <c r="M66" i="5"/>
  <c r="F14" i="5" s="1"/>
  <c r="F21" i="5" s="1"/>
  <c r="L62" i="5"/>
  <c r="E11" i="5" s="1"/>
  <c r="E18" i="5" s="1"/>
  <c r="K63" i="5"/>
  <c r="L63" i="5"/>
  <c r="E12" i="5" s="1"/>
  <c r="E20" i="5" s="1"/>
  <c r="K62" i="5"/>
  <c r="F22" i="4"/>
  <c r="F21" i="4"/>
  <c r="F23" i="4"/>
  <c r="F20" i="4"/>
  <c r="L23" i="4"/>
  <c r="L22" i="4"/>
  <c r="L21" i="4"/>
  <c r="L20" i="4"/>
  <c r="N21" i="4"/>
  <c r="N23" i="4"/>
  <c r="N20" i="4"/>
  <c r="N22" i="4"/>
  <c r="F50" i="4"/>
  <c r="F48" i="4"/>
  <c r="F47" i="4"/>
  <c r="F49" i="4"/>
  <c r="M49" i="4"/>
  <c r="M48" i="4"/>
  <c r="M47" i="4"/>
  <c r="M50" i="4"/>
  <c r="G50" i="4"/>
  <c r="G48" i="4"/>
  <c r="G47" i="4"/>
  <c r="G49" i="4"/>
  <c r="H23" i="4"/>
  <c r="H21" i="4"/>
  <c r="H22" i="4"/>
  <c r="H20" i="4"/>
  <c r="G83" i="8"/>
  <c r="G85" i="8"/>
  <c r="G9" i="8" s="1"/>
  <c r="E65" i="7" s="1"/>
  <c r="F12" i="5"/>
  <c r="F20" i="5" s="1"/>
  <c r="G24" i="8"/>
  <c r="F63" i="9"/>
  <c r="D12" i="9" s="1"/>
  <c r="D20" i="9" s="1"/>
  <c r="H14" i="10"/>
  <c r="E12" i="9"/>
  <c r="E20" i="9" s="1"/>
  <c r="F63" i="11"/>
  <c r="D12" i="11" s="1"/>
  <c r="D20" i="11" s="1"/>
  <c r="H14" i="12"/>
  <c r="F63" i="5"/>
  <c r="D12" i="5" s="1"/>
  <c r="D20" i="5" s="1"/>
  <c r="H14" i="6"/>
  <c r="K63" i="9"/>
  <c r="J8" i="4"/>
  <c r="J13" i="4"/>
  <c r="D40" i="4"/>
  <c r="E35" i="4"/>
  <c r="K8" i="4"/>
  <c r="I8" i="4"/>
  <c r="O8" i="4"/>
  <c r="I16" i="4"/>
  <c r="P8" i="4"/>
  <c r="I13" i="4"/>
  <c r="D43" i="4"/>
  <c r="G8" i="4"/>
  <c r="D35" i="4"/>
  <c r="M8" i="4"/>
  <c r="M22" i="4" l="1"/>
  <c r="M23" i="4"/>
  <c r="M20" i="4"/>
  <c r="M21" i="4"/>
  <c r="P20" i="4"/>
  <c r="P23" i="4"/>
  <c r="P21" i="4"/>
  <c r="P22" i="4"/>
  <c r="J35" i="4"/>
  <c r="F22" i="5"/>
  <c r="E22" i="5"/>
  <c r="G20" i="4"/>
  <c r="G23" i="4"/>
  <c r="G22" i="4"/>
  <c r="G21" i="4"/>
  <c r="E50" i="4"/>
  <c r="E48" i="4"/>
  <c r="E49" i="4"/>
  <c r="E47" i="4"/>
  <c r="J21" i="4"/>
  <c r="J20" i="4"/>
  <c r="J23" i="4"/>
  <c r="J22" i="4"/>
  <c r="D49" i="4"/>
  <c r="D47" i="4"/>
  <c r="D50" i="4"/>
  <c r="D48" i="4"/>
  <c r="K20" i="4"/>
  <c r="K22" i="4"/>
  <c r="K23" i="4"/>
  <c r="K21" i="4"/>
  <c r="I22" i="4"/>
  <c r="I21" i="4"/>
  <c r="I20" i="4"/>
  <c r="I23" i="4"/>
  <c r="L65" i="7"/>
  <c r="E14" i="7" s="1"/>
  <c r="E21" i="7" s="1"/>
  <c r="K65" i="7"/>
  <c r="O10" i="4"/>
  <c r="J37" i="4" l="1"/>
  <c r="O22" i="4"/>
  <c r="O21" i="4"/>
  <c r="O20" i="4"/>
  <c r="O23" i="4"/>
  <c r="F22" i="7"/>
  <c r="E22" i="7"/>
  <c r="J50" i="4" l="1"/>
  <c r="J47" i="4"/>
  <c r="J48" i="4"/>
  <c r="J4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I26" authorId="0" shapeId="0" xr:uid="{00000000-0006-0000-0200-000001000000}">
      <text>
        <r>
          <rPr>
            <sz val="9"/>
            <color indexed="81"/>
            <rFont val="Tahoma"/>
            <family val="2"/>
          </rPr>
          <t xml:space="preserve">
Bloomberg
</t>
        </r>
      </text>
    </comment>
    <comment ref="I27" authorId="0" shapeId="0" xr:uid="{00000000-0006-0000-0200-000002000000}">
      <text>
        <r>
          <rPr>
            <sz val="9"/>
            <color indexed="81"/>
            <rFont val="Tahoma"/>
            <family val="2"/>
          </rPr>
          <t xml:space="preserve">
Bloomberg
</t>
        </r>
      </text>
    </comment>
    <comment ref="I28" authorId="0" shapeId="0" xr:uid="{00000000-0006-0000-0200-000003000000}">
      <text>
        <r>
          <rPr>
            <sz val="9"/>
            <color indexed="81"/>
            <rFont val="Tahoma"/>
            <family val="2"/>
          </rPr>
          <t xml:space="preserve">
Bloomberg
</t>
        </r>
      </text>
    </comment>
    <comment ref="I29" authorId="0" shapeId="0" xr:uid="{00000000-0006-0000-0200-000004000000}">
      <text>
        <r>
          <rPr>
            <sz val="9"/>
            <color indexed="81"/>
            <rFont val="Tahoma"/>
            <family val="2"/>
          </rPr>
          <t xml:space="preserve">
Derived as = P/E / PEG
Using Bloomberg data at 12 April 2018</t>
        </r>
      </text>
    </comment>
    <comment ref="I30" authorId="0" shapeId="0" xr:uid="{00000000-0006-0000-0200-000005000000}">
      <text>
        <r>
          <rPr>
            <sz val="9"/>
            <color indexed="81"/>
            <rFont val="Tahoma"/>
            <family val="2"/>
          </rPr>
          <t xml:space="preserve">
Bloomberg
</t>
        </r>
      </text>
    </comment>
    <comment ref="I31" authorId="0" shapeId="0" xr:uid="{00000000-0006-0000-0200-000006000000}">
      <text>
        <r>
          <rPr>
            <sz val="9"/>
            <color indexed="81"/>
            <rFont val="Tahoma"/>
            <family val="2"/>
          </rPr>
          <t xml:space="preserve">
S&amp;P</t>
        </r>
      </text>
    </comment>
    <comment ref="I32" authorId="1" shapeId="0" xr:uid="{00000000-0006-0000-0200-000007000000}">
      <text>
        <r>
          <rPr>
            <sz val="9"/>
            <color indexed="81"/>
            <rFont val="Tahoma"/>
            <family val="2"/>
          </rPr>
          <t xml:space="preserve">
Front page of 10Q 
As of 28 Feb, 2018</t>
        </r>
      </text>
    </comment>
    <comment ref="D36" authorId="1" shapeId="0" xr:uid="{00000000-0006-0000-0200-000008000000}">
      <text>
        <r>
          <rPr>
            <sz val="9"/>
            <color indexed="81"/>
            <rFont val="Tahoma"/>
            <family val="2"/>
          </rPr>
          <t xml:space="preserve">
Factset</t>
        </r>
      </text>
    </comment>
    <comment ref="D41" authorId="1" shapeId="0" xr:uid="{00000000-0006-0000-0200-000009000000}">
      <text>
        <r>
          <rPr>
            <sz val="9"/>
            <color indexed="81"/>
            <rFont val="Tahoma"/>
            <family val="2"/>
          </rPr>
          <t xml:space="preserve">
Note 13, p22 of 10Q, p65 of PIB
The fair value of the long term debt is $2,516, while the carrying value is $2,486 (as of 28th January 2018).
Adjusted for the $6.2bn debt to be issued for the Person1067 acquisition 
(p9 of 10Q, p52 of PIB).
</t>
        </r>
      </text>
    </comment>
    <comment ref="F41" authorId="1" shapeId="0" xr:uid="{00000000-0006-0000-0200-00000A000000}">
      <text>
        <r>
          <rPr>
            <sz val="9"/>
            <color indexed="81"/>
            <rFont val="Tahoma"/>
            <family val="2"/>
          </rPr>
          <t xml:space="preserve">
Note 15, Pg 23 of 10Q
p66 of PIB</t>
        </r>
      </text>
    </comment>
    <comment ref="F42" authorId="1" shapeId="0" xr:uid="{00000000-0006-0000-0200-00000B000000}">
      <text>
        <r>
          <rPr>
            <sz val="9"/>
            <color indexed="81"/>
            <rFont val="Tahoma"/>
            <family val="2"/>
          </rPr>
          <t xml:space="preserve">
Note 15, Pg 24 of 10Q
p67 of PIB</t>
        </r>
      </text>
    </comment>
    <comment ref="F43" authorId="1" shapeId="0" xr:uid="{00000000-0006-0000-0200-00000C000000}">
      <text>
        <r>
          <rPr>
            <sz val="9"/>
            <color indexed="81"/>
            <rFont val="Tahoma"/>
            <family val="2"/>
          </rPr>
          <t xml:space="preserve">
Note 15, Pg 24 of 10Q
p67 of PIB</t>
        </r>
      </text>
    </comment>
    <comment ref="D52" authorId="1" shapeId="0" xr:uid="{00000000-0006-0000-0200-00000D000000}">
      <text>
        <r>
          <rPr>
            <sz val="9"/>
            <color indexed="81"/>
            <rFont val="Tahoma"/>
            <family val="2"/>
          </rPr>
          <t xml:space="preserve">
Reduced by the dividend payable</t>
        </r>
      </text>
    </comment>
    <comment ref="F61" authorId="1" shapeId="0" xr:uid="{00000000-0006-0000-0200-00000E000000}">
      <text>
        <r>
          <rPr>
            <sz val="9"/>
            <color indexed="81"/>
            <rFont val="Tahoma"/>
            <family val="2"/>
          </rPr>
          <t xml:space="preserve">
Ticker0005 LTM is 28th Jan 2018
Person1067 Transaction closed on 26th March 2018 hence Company0591 LTM contains no contirbution from Person1067
A pro-forma adjustment needs to be made to reflect correct multiples</t>
        </r>
      </text>
    </comment>
    <comment ref="G65" authorId="1" shapeId="0" xr:uid="{00000000-0006-0000-0200-00000F000000}">
      <text>
        <r>
          <rPr>
            <sz val="9"/>
            <color indexed="81"/>
            <rFont val="Tahoma"/>
            <family val="2"/>
          </rPr>
          <t xml:space="preserve">
Company0650 net income from 
Factset consensus median
p352 of PIB</t>
        </r>
      </text>
    </comment>
    <comment ref="H65" authorId="1" shapeId="0" xr:uid="{00000000-0006-0000-0200-000010000000}">
      <text>
        <r>
          <rPr>
            <sz val="9"/>
            <color indexed="81"/>
            <rFont val="Tahoma"/>
            <family val="2"/>
          </rPr>
          <t xml:space="preserve">
Company0650 net income from 
Factset consensus median
p352 of PIB</t>
        </r>
      </text>
    </comment>
    <comment ref="I65" authorId="1" shapeId="0" xr:uid="{00000000-0006-0000-0200-000011000000}">
      <text>
        <r>
          <rPr>
            <sz val="9"/>
            <color indexed="81"/>
            <rFont val="Tahoma"/>
            <family val="2"/>
          </rPr>
          <t xml:space="preserve">
Company0650 net income from 
Factset consensus median
p352 of PIB</t>
        </r>
      </text>
    </comment>
    <comment ref="F68" authorId="1" shapeId="0" xr:uid="{00000000-0006-0000-0200-000012000000}">
      <text>
        <r>
          <rPr>
            <sz val="9"/>
            <color indexed="81"/>
            <rFont val="Tahoma"/>
            <family val="2"/>
          </rPr>
          <t xml:space="preserve">
We are using the deal date LTM for Person1067 Company1596
Company0591 LTM is as of 28th Jan 2018 - so there maybe some error here</t>
        </r>
      </text>
    </comment>
    <comment ref="F74" authorId="1" shapeId="0" xr:uid="{00000000-0006-0000-0200-000013000000}">
      <text>
        <r>
          <rPr>
            <sz val="9"/>
            <color indexed="81"/>
            <rFont val="Tahoma"/>
            <family val="2"/>
          </rPr>
          <t xml:space="preserve">
We are using the deal date LTM for Person1067
Company0591 LTM is as of 28th Jan 2018 - so there maybe some error here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K6" authorId="0" shapeId="0" xr:uid="{00000000-0006-0000-0300-000001000000}">
      <text>
        <r>
          <rPr>
            <sz val="9"/>
            <color indexed="81"/>
            <rFont val="Tahoma"/>
            <family val="2"/>
          </rPr>
          <t xml:space="preserve">
Factset consensus median
p352 of PIB</t>
        </r>
      </text>
    </comment>
    <comment ref="K7" authorId="0" shapeId="0" xr:uid="{00000000-0006-0000-0300-000002000000}">
      <text>
        <r>
          <rPr>
            <sz val="9"/>
            <color indexed="81"/>
            <rFont val="Tahoma"/>
            <family val="2"/>
          </rPr>
          <t xml:space="preserve">
Factset consensus median
p352 of PIB</t>
        </r>
      </text>
    </comment>
    <comment ref="K8" authorId="0" shapeId="0" xr:uid="{00000000-0006-0000-0300-000003000000}">
      <text>
        <r>
          <rPr>
            <sz val="9"/>
            <color indexed="81"/>
            <rFont val="Tahoma"/>
            <family val="2"/>
          </rPr>
          <t xml:space="preserve">
Factset consensus median
p352 of PIB</t>
        </r>
      </text>
    </comment>
    <comment ref="K9" authorId="0" shapeId="0" xr:uid="{00000000-0006-0000-0300-000004000000}">
      <text>
        <r>
          <rPr>
            <sz val="9"/>
            <color indexed="81"/>
            <rFont val="Tahoma"/>
            <family val="2"/>
          </rPr>
          <t xml:space="preserve">
Factset consensus median
p352 of PIB</t>
        </r>
      </text>
    </comment>
    <comment ref="B27" authorId="1" shapeId="0" xr:uid="{00000000-0006-0000-0300-000005000000}">
      <text>
        <r>
          <rPr>
            <sz val="9"/>
            <color indexed="81"/>
            <rFont val="Tahoma"/>
            <family val="2"/>
          </rPr>
          <t>Five year review - page 13 10K, 
Item 6: Selected financial data
Pg 106 of PIB</t>
        </r>
      </text>
    </comment>
    <comment ref="D27" authorId="0" shapeId="0" xr:uid="{00000000-0006-0000-0300-000006000000}">
      <text>
        <r>
          <rPr>
            <sz val="9"/>
            <color indexed="81"/>
            <rFont val="Tahoma"/>
            <family val="2"/>
          </rPr>
          <t xml:space="preserve">
53-week period</t>
        </r>
      </text>
    </comment>
    <comment ref="D28" authorId="0" shapeId="0" xr:uid="{00000000-0006-0000-0300-000007000000}">
      <text>
        <r>
          <rPr>
            <sz val="9"/>
            <color indexed="81"/>
            <rFont val="Tahoma"/>
            <family val="2"/>
          </rPr>
          <t xml:space="preserve">
Most of the growth is due to the extra week in fiscal year 2014</t>
        </r>
      </text>
    </comment>
    <comment ref="G30" authorId="0" shapeId="0" xr:uid="{00000000-0006-0000-0300-000008000000}">
      <text>
        <r>
          <rPr>
            <sz val="9"/>
            <color indexed="81"/>
            <rFont val="Tahoma"/>
            <family val="2"/>
          </rPr>
          <t xml:space="preserve">
Cleaned for $4mn restructuring charge embedded in COGS
MD&amp;A p17 10K
p110 of PIB</t>
        </r>
      </text>
    </comment>
    <comment ref="J30" authorId="0" shapeId="0" xr:uid="{00000000-0006-0000-0300-000009000000}">
      <text>
        <r>
          <rPr>
            <sz val="9"/>
            <color indexed="81"/>
            <rFont val="Tahoma"/>
            <family val="2"/>
          </rPr>
          <t xml:space="preserve">
Cleaned for $6mn restructuring charge embedded in COGS
MD&amp;A p28 10Q
p71 of PIB</t>
        </r>
      </text>
    </comment>
    <comment ref="F36" authorId="0" shapeId="0" xr:uid="{00000000-0006-0000-0300-00000A000000}">
      <text>
        <r>
          <rPr>
            <sz val="9"/>
            <color indexed="81"/>
            <rFont val="Tahoma"/>
            <family val="2"/>
          </rPr>
          <t xml:space="preserve">
MD&amp;A p17 10K
p110 of PIB</t>
        </r>
      </text>
    </comment>
    <comment ref="G36" authorId="0" shapeId="0" xr:uid="{00000000-0006-0000-0300-00000B000000}">
      <text>
        <r>
          <rPr>
            <sz val="9"/>
            <color indexed="81"/>
            <rFont val="Tahoma"/>
            <family val="2"/>
          </rPr>
          <t xml:space="preserve">
MD&amp;A p17 10K
p110 of PIB</t>
        </r>
      </text>
    </comment>
    <comment ref="I36" authorId="0" shapeId="0" xr:uid="{00000000-0006-0000-0300-00000C000000}">
      <text>
        <r>
          <rPr>
            <sz val="9"/>
            <color indexed="81"/>
            <rFont val="Tahoma"/>
            <family val="2"/>
          </rPr>
          <t xml:space="preserve">
MD&amp;A p27 10Q
p70 of PIB</t>
        </r>
      </text>
    </comment>
    <comment ref="J36" authorId="0" shapeId="0" xr:uid="{00000000-0006-0000-0300-00000D000000}">
      <text>
        <r>
          <rPr>
            <sz val="9"/>
            <color indexed="81"/>
            <rFont val="Tahoma"/>
            <family val="2"/>
          </rPr>
          <t xml:space="preserve">
MD&amp;A p27 10Q
p70 of PIB</t>
        </r>
      </text>
    </comment>
    <comment ref="F37" authorId="0" shapeId="0" xr:uid="{00000000-0006-0000-0300-00000E000000}">
      <text>
        <r>
          <rPr>
            <sz val="9"/>
            <color indexed="81"/>
            <rFont val="Tahoma"/>
            <family val="2"/>
          </rPr>
          <t xml:space="preserve">$35mn of restructuring on the IS
$47mn in admin expenses
$4mn of reduction of restructuring charge </t>
        </r>
        <r>
          <rPr>
            <b/>
            <sz val="9"/>
            <color indexed="81"/>
            <rFont val="Tahoma"/>
            <family val="2"/>
          </rPr>
          <t xml:space="preserve">
</t>
        </r>
        <r>
          <rPr>
            <sz val="9"/>
            <color indexed="81"/>
            <rFont val="Tahoma"/>
            <family val="2"/>
          </rPr>
          <t xml:space="preserve">
MD&amp;A p17 10K
p110 of PIB</t>
        </r>
      </text>
    </comment>
    <comment ref="G37" authorId="0" shapeId="0" xr:uid="{00000000-0006-0000-0300-00000F000000}">
      <text>
        <r>
          <rPr>
            <sz val="9"/>
            <color indexed="81"/>
            <rFont val="Tahoma"/>
            <family val="2"/>
          </rPr>
          <t xml:space="preserve">$18mn of restructuring on the IS
$36mn in admin expenses
$4mn in COGS </t>
        </r>
        <r>
          <rPr>
            <b/>
            <sz val="9"/>
            <color indexed="81"/>
            <rFont val="Tahoma"/>
            <family val="2"/>
          </rPr>
          <t xml:space="preserve">
</t>
        </r>
        <r>
          <rPr>
            <sz val="9"/>
            <color indexed="81"/>
            <rFont val="Tahoma"/>
            <family val="2"/>
          </rPr>
          <t xml:space="preserve">
MD&amp;A p17 10K
p110 of PIB</t>
        </r>
      </text>
    </comment>
    <comment ref="I37" authorId="0" shapeId="0" xr:uid="{00000000-0006-0000-0300-000010000000}">
      <text>
        <r>
          <rPr>
            <sz val="9"/>
            <color indexed="81"/>
            <rFont val="Tahoma"/>
            <family val="2"/>
          </rPr>
          <t>$11mn in admin expenses
MD&amp;A p28 10Q
p71 of PIB</t>
        </r>
      </text>
    </comment>
    <comment ref="J37" authorId="0" shapeId="0" xr:uid="{00000000-0006-0000-0300-000011000000}">
      <text>
        <r>
          <rPr>
            <sz val="9"/>
            <color indexed="81"/>
            <rFont val="Tahoma"/>
            <family val="2"/>
          </rPr>
          <t xml:space="preserve">$35mn of restructuring on the IS
$38mn in admin expenses
$6mn in COGS </t>
        </r>
        <r>
          <rPr>
            <b/>
            <sz val="9"/>
            <color indexed="81"/>
            <rFont val="Tahoma"/>
            <family val="2"/>
          </rPr>
          <t xml:space="preserve">
</t>
        </r>
        <r>
          <rPr>
            <sz val="9"/>
            <color indexed="81"/>
            <rFont val="Tahoma"/>
            <family val="2"/>
          </rPr>
          <t xml:space="preserve">
MD&amp;A p28 10Q
p71 of PIB</t>
        </r>
      </text>
    </comment>
    <comment ref="F38" authorId="0" shapeId="0" xr:uid="{00000000-0006-0000-0300-000012000000}">
      <text>
        <r>
          <rPr>
            <sz val="9"/>
            <color indexed="81"/>
            <rFont val="Tahoma"/>
            <family val="2"/>
          </rPr>
          <t xml:space="preserve">
$141mn impairment of Company0403 farms intangibles
MD&amp;A p17 10K
p110 of PIB</t>
        </r>
      </text>
    </comment>
    <comment ref="G38" authorId="0" shapeId="0" xr:uid="{00000000-0006-0000-0300-000013000000}">
      <text>
        <r>
          <rPr>
            <sz val="9"/>
            <color indexed="81"/>
            <rFont val="Tahoma"/>
            <family val="2"/>
          </rPr>
          <t xml:space="preserve">
$147mn impairment of Company0403 farms intangibles
$65mn impairment of the garden fresh gourmet
MD&amp;A p17 10K
p110 of PIB</t>
        </r>
      </text>
    </comment>
    <comment ref="I38" authorId="0" shapeId="0" xr:uid="{00000000-0006-0000-0300-000014000000}">
      <text>
        <r>
          <rPr>
            <sz val="9"/>
            <color indexed="81"/>
            <rFont val="Tahoma"/>
            <family val="2"/>
          </rPr>
          <t xml:space="preserve">
$147mn impairment of Company0403 farms intangibles
$65mn impairment of the garden fresh gourmet
MD&amp;A p28 10Q
p71 of PIB</t>
        </r>
      </text>
    </comment>
    <comment ref="J38" authorId="0" shapeId="0" xr:uid="{00000000-0006-0000-0300-000015000000}">
      <text>
        <r>
          <rPr>
            <sz val="9"/>
            <color indexed="81"/>
            <rFont val="Tahoma"/>
            <family val="2"/>
          </rPr>
          <t xml:space="preserve">
MD&amp;A p28 10Q</t>
        </r>
      </text>
    </comment>
    <comment ref="F39" authorId="0" shapeId="0" xr:uid="{00000000-0006-0000-0300-000016000000}">
      <text>
        <r>
          <rPr>
            <sz val="9"/>
            <color indexed="81"/>
            <rFont val="Tahoma"/>
            <family val="2"/>
          </rPr>
          <t xml:space="preserve">
MD&amp;A p17 10K
p110 of PIB</t>
        </r>
      </text>
    </comment>
    <comment ref="J40" authorId="0" shapeId="0" xr:uid="{00000000-0006-0000-0300-000017000000}">
      <text>
        <r>
          <rPr>
            <sz val="9"/>
            <color indexed="81"/>
            <rFont val="Tahoma"/>
            <family val="2"/>
          </rPr>
          <t xml:space="preserve">
MD&amp;A p28 10Q
p71 of PIB</t>
        </r>
      </text>
    </comment>
    <comment ref="F49" authorId="0" shapeId="0" xr:uid="{00000000-0006-0000-0300-000018000000}">
      <text>
        <r>
          <rPr>
            <sz val="9"/>
            <color indexed="81"/>
            <rFont val="Tahoma"/>
            <family val="2"/>
          </rPr>
          <t xml:space="preserve">
P70 of 10k, 
p164 pdf</t>
        </r>
      </text>
    </comment>
    <comment ref="G49" authorId="0" shapeId="0" xr:uid="{00000000-0006-0000-0300-000019000000}">
      <text>
        <r>
          <rPr>
            <sz val="9"/>
            <color indexed="81"/>
            <rFont val="Tahoma"/>
            <family val="2"/>
          </rPr>
          <t xml:space="preserve">
P70 of 10k, 
p164 pdf</t>
        </r>
      </text>
    </comment>
    <comment ref="I49" authorId="0" shapeId="0" xr:uid="{00000000-0006-0000-0300-00001A000000}">
      <text>
        <r>
          <rPr>
            <sz val="9"/>
            <color indexed="81"/>
            <rFont val="Tahoma"/>
            <family val="2"/>
          </rPr>
          <t xml:space="preserve">
Calculated as: D&amp;A (from CFS) minus Amortization</t>
        </r>
      </text>
    </comment>
    <comment ref="J49" authorId="0" shapeId="0" xr:uid="{00000000-0006-0000-0300-00001B000000}">
      <text>
        <r>
          <rPr>
            <sz val="9"/>
            <color indexed="81"/>
            <rFont val="Tahoma"/>
            <family val="2"/>
          </rPr>
          <t xml:space="preserve">
Calculated as: D&amp;A (from CFS) minus Amortization</t>
        </r>
      </text>
    </comment>
    <comment ref="F50" authorId="2" shapeId="0" xr:uid="{00000000-0006-0000-0300-00001C000000}">
      <text>
        <r>
          <rPr>
            <sz val="9"/>
            <color indexed="81"/>
            <rFont val="Tahoma"/>
            <family val="2"/>
          </rPr>
          <t xml:space="preserve">
In Other expenses / (income)
p21 of AR, p114 of PIB</t>
        </r>
      </text>
    </comment>
    <comment ref="G50" authorId="2" shapeId="0" xr:uid="{00000000-0006-0000-0300-00001D000000}">
      <text>
        <r>
          <rPr>
            <sz val="9"/>
            <color indexed="81"/>
            <rFont val="Tahoma"/>
            <family val="2"/>
          </rPr>
          <t xml:space="preserve">
In Other expenses / (income)
p21 of AR, p114 of PIB</t>
        </r>
      </text>
    </comment>
    <comment ref="I50" authorId="0" shapeId="0" xr:uid="{00000000-0006-0000-0300-00001E000000}">
      <text>
        <r>
          <rPr>
            <sz val="9"/>
            <color indexed="81"/>
            <rFont val="Tahoma"/>
            <family val="2"/>
          </rPr>
          <t xml:space="preserve">
Note 5, p12 of 10Q
p55 of PIB</t>
        </r>
      </text>
    </comment>
    <comment ref="J50" authorId="0" shapeId="0" xr:uid="{00000000-0006-0000-0300-00001F000000}">
      <text>
        <r>
          <rPr>
            <sz val="9"/>
            <color indexed="81"/>
            <rFont val="Tahoma"/>
            <family val="2"/>
          </rPr>
          <t xml:space="preserve">
Note 5, p12 of 10Q
p55 of PIB</t>
        </r>
      </text>
    </comment>
    <comment ref="B51" authorId="0" shapeId="0" xr:uid="{00000000-0006-0000-0300-000020000000}">
      <text>
        <r>
          <rPr>
            <sz val="9"/>
            <color indexed="81"/>
            <rFont val="Tahoma"/>
            <family val="2"/>
          </rPr>
          <t xml:space="preserve">
The sum total matches the D&amp;A on the CFS on p129 of PIB</t>
        </r>
      </text>
    </comment>
    <comment ref="B57" authorId="0" shapeId="0" xr:uid="{00000000-0006-0000-0300-000021000000}">
      <text>
        <r>
          <rPr>
            <sz val="9"/>
            <color indexed="81"/>
            <rFont val="Tahoma"/>
            <family val="2"/>
          </rPr>
          <t xml:space="preserve">
Also matches with the Tax reconcilation in the Tax note
Note 11: Taxes on earnings
p56 of 10k
p149 of PIB</t>
        </r>
      </text>
    </comment>
    <comment ref="B58" authorId="0" shapeId="0" xr:uid="{00000000-0006-0000-0300-000022000000}">
      <text>
        <r>
          <rPr>
            <sz val="9"/>
            <color indexed="81"/>
            <rFont val="Tahoma"/>
            <family val="2"/>
          </rPr>
          <t xml:space="preserve">
P56 10K 
p149 of PIB</t>
        </r>
      </text>
    </comment>
    <comment ref="B59" authorId="0" shapeId="0" xr:uid="{00000000-0006-0000-0300-000023000000}">
      <text>
        <r>
          <rPr>
            <sz val="9"/>
            <color indexed="81"/>
            <rFont val="Tahoma"/>
            <family val="2"/>
          </rPr>
          <t xml:space="preserve">
P56 10K 
p149 of PIB</t>
        </r>
      </text>
    </comment>
    <comment ref="F66" authorId="0" shapeId="0" xr:uid="{00000000-0006-0000-0300-000024000000}">
      <text>
        <r>
          <rPr>
            <sz val="9"/>
            <color indexed="81"/>
            <rFont val="Tahoma"/>
            <family val="2"/>
          </rPr>
          <t xml:space="preserve">
MD&amp;A p17 10K
p110 of PIB</t>
        </r>
      </text>
    </comment>
    <comment ref="G66" authorId="0" shapeId="0" xr:uid="{00000000-0006-0000-0300-000025000000}">
      <text>
        <r>
          <rPr>
            <sz val="9"/>
            <color indexed="81"/>
            <rFont val="Tahoma"/>
            <family val="2"/>
          </rPr>
          <t xml:space="preserve">
MD&amp;A p17 10K
p110 of PIB</t>
        </r>
      </text>
    </comment>
    <comment ref="F67" authorId="0" shapeId="0" xr:uid="{00000000-0006-0000-0300-000026000000}">
      <text>
        <r>
          <rPr>
            <sz val="9"/>
            <color indexed="81"/>
            <rFont val="Tahoma"/>
            <family val="2"/>
          </rPr>
          <t xml:space="preserve">
MD&amp;A p17 10K
p110 of PIB</t>
        </r>
      </text>
    </comment>
    <comment ref="G67" authorId="0" shapeId="0" xr:uid="{00000000-0006-0000-0300-000027000000}">
      <text>
        <r>
          <rPr>
            <sz val="9"/>
            <color indexed="81"/>
            <rFont val="Tahoma"/>
            <family val="2"/>
          </rPr>
          <t xml:space="preserve">
MD&amp;A p17 10K
p110 of PIB</t>
        </r>
      </text>
    </comment>
    <comment ref="F68" authorId="0" shapeId="0" xr:uid="{00000000-0006-0000-0300-000028000000}">
      <text>
        <r>
          <rPr>
            <sz val="9"/>
            <color indexed="81"/>
            <rFont val="Tahoma"/>
            <family val="2"/>
          </rPr>
          <t xml:space="preserve">
MD&amp;A p17 10K
p110 of PIB</t>
        </r>
      </text>
    </comment>
    <comment ref="G68" authorId="0" shapeId="0" xr:uid="{00000000-0006-0000-0300-000029000000}">
      <text>
        <r>
          <rPr>
            <sz val="9"/>
            <color indexed="81"/>
            <rFont val="Tahoma"/>
            <family val="2"/>
          </rPr>
          <t xml:space="preserve">
$139mn impairment of Company0403 farms intangibles
$41mn impairment of the garden fresh gourmet
MD&amp;A p17 10K
p110 of PIB</t>
        </r>
      </text>
    </comment>
    <comment ref="F69" authorId="0" shapeId="0" xr:uid="{00000000-0006-0000-0300-00002A000000}">
      <text>
        <r>
          <rPr>
            <sz val="9"/>
            <color indexed="81"/>
            <rFont val="Tahoma"/>
            <family val="2"/>
          </rPr>
          <t xml:space="preserve">
MD&amp;A p17 10K
p110 of PIB</t>
        </r>
      </text>
    </comment>
    <comment ref="G70" authorId="0" shapeId="0" xr:uid="{00000000-0006-0000-0300-00002B000000}">
      <text>
        <r>
          <rPr>
            <sz val="9"/>
            <color indexed="81"/>
            <rFont val="Tahoma"/>
            <family val="2"/>
          </rPr>
          <t xml:space="preserve">
MD&amp;A p17 10K
p110 of PIB</t>
        </r>
      </text>
    </comment>
    <comment ref="B108" authorId="2" shapeId="0" xr:uid="{00000000-0006-0000-0300-00002C000000}">
      <text>
        <r>
          <rPr>
            <sz val="9"/>
            <color indexed="81"/>
            <rFont val="Tahoma"/>
            <family val="2"/>
          </rPr>
          <t>Cash flow statement
p36 of 10k
p129 of PIB</t>
        </r>
      </text>
    </comment>
    <comment ref="B118" authorId="0" shapeId="0" xr:uid="{00000000-0006-0000-0300-00002D000000}">
      <text>
        <r>
          <rPr>
            <sz val="9"/>
            <color indexed="81"/>
            <rFont val="Tahoma"/>
            <family val="2"/>
          </rPr>
          <t xml:space="preserve">
Less dividend liability</t>
        </r>
      </text>
    </comment>
    <comment ref="E139" authorId="0" shapeId="0" xr:uid="{00000000-0006-0000-0300-00002E000000}">
      <text>
        <r>
          <rPr>
            <sz val="9"/>
            <color indexed="81"/>
            <rFont val="Tahoma"/>
            <family val="2"/>
          </rPr>
          <t xml:space="preserve">
Press release
p340 of PIB</t>
        </r>
      </text>
    </comment>
    <comment ref="E141" authorId="0" shapeId="0" xr:uid="{00000000-0006-0000-0300-00002F000000}">
      <text>
        <r>
          <rPr>
            <sz val="9"/>
            <color indexed="81"/>
            <rFont val="Tahoma"/>
            <family val="2"/>
          </rPr>
          <t xml:space="preserve">
p273 of PIB</t>
        </r>
      </text>
    </comment>
    <comment ref="E142" authorId="0" shapeId="0" xr:uid="{00000000-0006-0000-0300-000030000000}">
      <text>
        <r>
          <rPr>
            <sz val="9"/>
            <color indexed="81"/>
            <rFont val="Tahoma"/>
            <family val="2"/>
          </rPr>
          <t xml:space="preserve">
p273 of PIB</t>
        </r>
      </text>
    </comment>
    <comment ref="E143" authorId="0" shapeId="0" xr:uid="{00000000-0006-0000-0300-000031000000}">
      <text>
        <r>
          <rPr>
            <sz val="9"/>
            <color indexed="81"/>
            <rFont val="Tahoma"/>
            <family val="2"/>
          </rPr>
          <t xml:space="preserve">
Assumption</t>
        </r>
      </text>
    </comment>
    <comment ref="E144" authorId="0" shapeId="0" xr:uid="{00000000-0006-0000-0300-000032000000}">
      <text>
        <r>
          <rPr>
            <sz val="9"/>
            <color indexed="81"/>
            <rFont val="Tahoma"/>
            <family val="2"/>
          </rPr>
          <t xml:space="preserve">
Assumption</t>
        </r>
      </text>
    </comment>
    <comment ref="E145" authorId="0" shapeId="0" xr:uid="{00000000-0006-0000-0300-000033000000}">
      <text>
        <r>
          <rPr>
            <sz val="9"/>
            <color indexed="81"/>
            <rFont val="Tahoma"/>
            <family val="2"/>
          </rPr>
          <t xml:space="preserve">
Acquisition debt financing c.$6.1bn</t>
        </r>
      </text>
    </comment>
    <comment ref="E147" authorId="0" shapeId="0" xr:uid="{00000000-0006-0000-0300-000034000000}">
      <text>
        <r>
          <rPr>
            <sz val="9"/>
            <color indexed="81"/>
            <rFont val="Tahoma"/>
            <family val="2"/>
          </rPr>
          <t xml:space="preserve">
Transaction Date LTM</t>
        </r>
      </text>
    </comment>
    <comment ref="C148" authorId="0" shapeId="0" xr:uid="{00000000-0006-0000-0300-000035000000}">
      <text>
        <r>
          <rPr>
            <sz val="9"/>
            <color indexed="81"/>
            <rFont val="Tahoma"/>
            <family val="2"/>
          </rPr>
          <t xml:space="preserve">
PIB p465</t>
        </r>
      </text>
    </comment>
    <comment ref="D148" authorId="0" shapeId="0" xr:uid="{00000000-0006-0000-0300-000036000000}">
      <text>
        <r>
          <rPr>
            <sz val="9"/>
            <color indexed="81"/>
            <rFont val="Tahoma"/>
            <family val="2"/>
          </rPr>
          <t xml:space="preserve">
PIB p465</t>
        </r>
      </text>
    </comment>
    <comment ref="E148" authorId="0" shapeId="0" xr:uid="{00000000-0006-0000-0300-000037000000}">
      <text>
        <r>
          <rPr>
            <sz val="9"/>
            <color indexed="81"/>
            <rFont val="Tahoma"/>
            <family val="2"/>
          </rPr>
          <t xml:space="preserve">
PIB p265</t>
        </r>
      </text>
    </comment>
    <comment ref="F148" authorId="0" shapeId="0" xr:uid="{00000000-0006-0000-0300-000038000000}">
      <text>
        <r>
          <rPr>
            <sz val="9"/>
            <color indexed="81"/>
            <rFont val="Tahoma"/>
            <family val="2"/>
          </rPr>
          <t xml:space="preserve">
Company1429 estimates
PIB p479</t>
        </r>
      </text>
    </comment>
    <comment ref="C149" authorId="0" shapeId="0" xr:uid="{00000000-0006-0000-0300-000039000000}">
      <text>
        <r>
          <rPr>
            <sz val="9"/>
            <color indexed="81"/>
            <rFont val="Tahoma"/>
            <family val="2"/>
          </rPr>
          <t xml:space="preserve">
PIB p457</t>
        </r>
      </text>
    </comment>
    <comment ref="D149" authorId="0" shapeId="0" xr:uid="{00000000-0006-0000-0300-00003A000000}">
      <text>
        <r>
          <rPr>
            <sz val="9"/>
            <color indexed="81"/>
            <rFont val="Tahoma"/>
            <family val="2"/>
          </rPr>
          <t xml:space="preserve">
PIB p457</t>
        </r>
      </text>
    </comment>
    <comment ref="F149" authorId="0" shapeId="0" xr:uid="{00000000-0006-0000-0300-00003B000000}">
      <text>
        <r>
          <rPr>
            <sz val="9"/>
            <color indexed="81"/>
            <rFont val="Tahoma"/>
            <family val="2"/>
          </rPr>
          <t xml:space="preserve">
Company1429 estimates
PIB p479</t>
        </r>
      </text>
    </comment>
    <comment ref="C150" authorId="0" shapeId="0" xr:uid="{00000000-0006-0000-0300-00003C000000}">
      <text>
        <r>
          <rPr>
            <sz val="9"/>
            <color indexed="81"/>
            <rFont val="Tahoma"/>
            <family val="2"/>
          </rPr>
          <t xml:space="preserve">
PIB p457</t>
        </r>
      </text>
    </comment>
    <comment ref="D150" authorId="0" shapeId="0" xr:uid="{00000000-0006-0000-0300-00003D000000}">
      <text>
        <r>
          <rPr>
            <sz val="9"/>
            <color indexed="81"/>
            <rFont val="Tahoma"/>
            <family val="2"/>
          </rPr>
          <t xml:space="preserve">
PIB p457</t>
        </r>
      </text>
    </comment>
    <comment ref="E150" authorId="0" shapeId="0" xr:uid="{00000000-0006-0000-0300-00003E000000}">
      <text>
        <r>
          <rPr>
            <sz val="9"/>
            <color indexed="81"/>
            <rFont val="Tahoma"/>
            <family val="2"/>
          </rPr>
          <t xml:space="preserve">
PIB p265</t>
        </r>
      </text>
    </comment>
    <comment ref="F150" authorId="0" shapeId="0" xr:uid="{00000000-0006-0000-0300-00003F000000}">
      <text>
        <r>
          <rPr>
            <sz val="9"/>
            <color indexed="81"/>
            <rFont val="Tahoma"/>
            <family val="2"/>
          </rPr>
          <t xml:space="preserve">
Company1429 estimates
PIB p479</t>
        </r>
      </text>
    </comment>
    <comment ref="C151" authorId="0" shapeId="0" xr:uid="{00000000-0006-0000-0300-000040000000}">
      <text>
        <r>
          <rPr>
            <sz val="9"/>
            <color indexed="81"/>
            <rFont val="Tahoma"/>
            <family val="2"/>
          </rPr>
          <t xml:space="preserve">
PIB p472</t>
        </r>
      </text>
    </comment>
    <comment ref="D151" authorId="0" shapeId="0" xr:uid="{00000000-0006-0000-0300-000041000000}">
      <text>
        <r>
          <rPr>
            <sz val="9"/>
            <color indexed="81"/>
            <rFont val="Tahoma"/>
            <family val="2"/>
          </rPr>
          <t xml:space="preserve">
PIB p472</t>
        </r>
      </text>
    </comment>
    <comment ref="F151" authorId="0" shapeId="0" xr:uid="{00000000-0006-0000-0300-000042000000}">
      <text>
        <r>
          <rPr>
            <sz val="9"/>
            <color indexed="81"/>
            <rFont val="Tahoma"/>
            <family val="2"/>
          </rPr>
          <t xml:space="preserve">
Company1429 estimates
PIB p479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
    <author/>
    <author/>
  </authors>
  <commentList>
    <comment ref="I26" authorId="0" shapeId="0" xr:uid="{00000000-0006-0000-0400-000001000000}">
      <text>
        <r>
          <rPr>
            <sz val="9"/>
            <color indexed="81"/>
            <rFont val="Tahoma"/>
            <family val="2"/>
          </rPr>
          <t xml:space="preserve">
Bloomberg
</t>
        </r>
      </text>
    </comment>
    <comment ref="I27" authorId="0" shapeId="0" xr:uid="{00000000-0006-0000-0400-000002000000}">
      <text>
        <r>
          <rPr>
            <sz val="9"/>
            <color indexed="81"/>
            <rFont val="Tahoma"/>
            <family val="2"/>
          </rPr>
          <t xml:space="preserve">
Bloomberg
</t>
        </r>
      </text>
    </comment>
    <comment ref="I28" authorId="0" shapeId="0" xr:uid="{00000000-0006-0000-0400-000003000000}">
      <text>
        <r>
          <rPr>
            <sz val="9"/>
            <color indexed="81"/>
            <rFont val="Tahoma"/>
            <family val="2"/>
          </rPr>
          <t xml:space="preserve">
Bloomberg
</t>
        </r>
      </text>
    </comment>
    <comment ref="I29" authorId="0" shapeId="0" xr:uid="{00000000-0006-0000-0400-000004000000}">
      <text>
        <r>
          <rPr>
            <sz val="9"/>
            <color indexed="81"/>
            <rFont val="Tahoma"/>
            <family val="2"/>
          </rPr>
          <t xml:space="preserve">
Derived as = P/E / PEG
Using Bloomberg data at 12 April 2018</t>
        </r>
      </text>
    </comment>
    <comment ref="D30" authorId="0" shapeId="0" xr:uid="{00000000-0006-0000-0400-000005000000}">
      <text>
        <r>
          <rPr>
            <sz val="9"/>
            <color indexed="81"/>
            <rFont val="Tahoma"/>
            <family val="2"/>
          </rPr>
          <t>USD for 1 Euro on the 12 April 2018</t>
        </r>
      </text>
    </comment>
    <comment ref="I30" authorId="0" shapeId="0" xr:uid="{00000000-0006-0000-0400-000006000000}">
      <text>
        <r>
          <rPr>
            <sz val="9"/>
            <color indexed="81"/>
            <rFont val="Tahoma"/>
            <family val="2"/>
          </rPr>
          <t xml:space="preserve">
Bloomberg
</t>
        </r>
      </text>
    </comment>
    <comment ref="I31" authorId="1" shapeId="0" xr:uid="{00000000-0006-0000-0400-000007000000}">
      <text>
        <r>
          <rPr>
            <sz val="8"/>
            <color indexed="81"/>
            <rFont val="Tahoma"/>
            <family val="2"/>
          </rPr>
          <t>S&amp;P P62 AR , p105 pdf</t>
        </r>
      </text>
    </comment>
    <comment ref="I32" authorId="2" shapeId="0" xr:uid="{00000000-0006-0000-0400-000008000000}">
      <text>
        <r>
          <rPr>
            <sz val="9"/>
            <color indexed="81"/>
            <rFont val="Tahoma"/>
            <family val="2"/>
          </rPr>
          <t xml:space="preserve">
Note 13.3 p128 AR, p171 pdf</t>
        </r>
      </text>
    </comment>
    <comment ref="D36" authorId="2" shapeId="0" xr:uid="{00000000-0006-0000-0400-000009000000}">
      <text>
        <r>
          <rPr>
            <sz val="9"/>
            <color indexed="81"/>
            <rFont val="Tahoma"/>
            <family val="2"/>
          </rPr>
          <t xml:space="preserve">
Factset</t>
        </r>
      </text>
    </comment>
    <comment ref="D41" authorId="2" shapeId="0" xr:uid="{00000000-0006-0000-0400-00000A000000}">
      <text>
        <r>
          <rPr>
            <sz val="9"/>
            <color indexed="81"/>
            <rFont val="Tahoma"/>
            <family val="2"/>
          </rPr>
          <t xml:space="preserve">
FV value of "Financing" and derivative liabilities (Note 12.6 p126 AR), plus value of put option on NCI (p87 AR)
The adjustment for the derivative assets is made in non-core assets</t>
        </r>
      </text>
    </comment>
    <comment ref="F41" authorId="2" shapeId="0" xr:uid="{00000000-0006-0000-0400-00000B000000}">
      <text>
        <r>
          <rPr>
            <sz val="9"/>
            <color indexed="81"/>
            <rFont val="Tahoma"/>
            <family val="2"/>
          </rPr>
          <t xml:space="preserve">
[P286 pdf], p264 AR</t>
        </r>
      </text>
    </comment>
    <comment ref="D46" authorId="2" shapeId="0" xr:uid="{00000000-0006-0000-0400-00000C000000}">
      <text>
        <r>
          <rPr>
            <sz val="9"/>
            <color indexed="81"/>
            <rFont val="Tahoma"/>
            <family val="2"/>
          </rPr>
          <t xml:space="preserve">
Taken as book value as immaterial</t>
        </r>
      </text>
    </comment>
    <comment ref="D47" authorId="2" shapeId="0" xr:uid="{00000000-0006-0000-0400-00000D000000}">
      <text>
        <r>
          <rPr>
            <sz val="9"/>
            <color indexed="81"/>
            <rFont val="Tahoma"/>
            <family val="2"/>
          </rPr>
          <t xml:space="preserve">
Market value of Company0778 three main associates, (Note 4.2 p88 AR), plus estimated carrying amount of other associates (notes 4.4 and 4.5). Company1800 book value taken as of 31/12/2016 as no other data available.</t>
        </r>
      </text>
    </comment>
    <comment ref="I52" authorId="2" shapeId="0" xr:uid="{00000000-0006-0000-0400-00000E000000}">
      <text>
        <r>
          <rPr>
            <sz val="9"/>
            <color indexed="81"/>
            <rFont val="Tahoma"/>
            <family val="2"/>
          </rPr>
          <t xml:space="preserve">
Current financial debt + non-current financial debt</t>
        </r>
      </text>
    </comment>
    <comment ref="F53" authorId="3" shapeId="0" xr:uid="{00000000-0006-0000-0400-00000F000000}">
      <text>
        <r>
          <rPr>
            <sz val="9"/>
            <color indexed="81"/>
            <rFont val="Tahoma"/>
            <family val="2"/>
          </rPr>
          <t xml:space="preserve">
Any adjustment here (e.g. pension deficits) will require matching  adjustments to the earnings</t>
        </r>
      </text>
    </comment>
    <comment ref="D55" authorId="2" shapeId="0" xr:uid="{00000000-0006-0000-0400-000010000000}">
      <text>
        <r>
          <rPr>
            <sz val="9"/>
            <color indexed="81"/>
            <rFont val="Tahoma"/>
            <family val="2"/>
          </rPr>
          <t xml:space="preserve">
Short-term loans, other financial assets, derivatives (excluding those related to the Company2995 acquisition).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K6" authorId="0" shapeId="0" xr:uid="{00000000-0006-0000-0500-000001000000}">
      <text>
        <r>
          <rPr>
            <sz val="9"/>
            <color indexed="81"/>
            <rFont val="Tahoma"/>
            <family val="2"/>
          </rPr>
          <t xml:space="preserve">
Factset consensus median</t>
        </r>
      </text>
    </comment>
    <comment ref="K7" authorId="0" shapeId="0" xr:uid="{00000000-0006-0000-0500-000002000000}">
      <text>
        <r>
          <rPr>
            <sz val="9"/>
            <color indexed="81"/>
            <rFont val="Tahoma"/>
            <family val="2"/>
          </rPr>
          <t xml:space="preserve">
Factset consensus median</t>
        </r>
      </text>
    </comment>
    <comment ref="K8" authorId="0" shapeId="0" xr:uid="{00000000-0006-0000-0500-000003000000}">
      <text>
        <r>
          <rPr>
            <sz val="9"/>
            <color indexed="81"/>
            <rFont val="Tahoma"/>
            <family val="2"/>
          </rPr>
          <t xml:space="preserve">
Factset consensus median</t>
        </r>
      </text>
    </comment>
    <comment ref="K9" authorId="0" shapeId="0" xr:uid="{00000000-0006-0000-0500-000004000000}">
      <text>
        <r>
          <rPr>
            <sz val="9"/>
            <color indexed="81"/>
            <rFont val="Tahoma"/>
            <family val="2"/>
          </rPr>
          <t xml:space="preserve">
Factset consensus median</t>
        </r>
      </text>
    </comment>
    <comment ref="B27" authorId="0" shapeId="0" xr:uid="{00000000-0006-0000-0500-000005000000}">
      <text>
        <r>
          <rPr>
            <sz val="9"/>
            <color indexed="81"/>
            <rFont val="Tahoma"/>
            <family val="2"/>
          </rPr>
          <t xml:space="preserve">
Years 2015-17 from key figures section of AR (p.3 AR)
Years 2013-14 from 2014 AR.</t>
        </r>
      </text>
    </comment>
    <comment ref="B36" authorId="0" shapeId="0" xr:uid="{00000000-0006-0000-0500-000006000000}">
      <text>
        <r>
          <rPr>
            <sz val="9"/>
            <color indexed="81"/>
            <rFont val="Tahoma"/>
            <family val="2"/>
          </rPr>
          <t xml:space="preserve">
A component of "Other income (expense)". See note 5.3 (p.94 AR)</t>
        </r>
      </text>
    </comment>
    <comment ref="B37" authorId="0" shapeId="0" xr:uid="{00000000-0006-0000-0500-000007000000}">
      <text>
        <r>
          <rPr>
            <sz val="9"/>
            <color indexed="81"/>
            <rFont val="Tahoma"/>
            <family val="2"/>
          </rPr>
          <t xml:space="preserve">
From income statement
(and also note 6.1 p. 100 of AR)</t>
        </r>
      </text>
    </comment>
    <comment ref="B49" authorId="0" shapeId="0" xr:uid="{00000000-0006-0000-0500-000008000000}">
      <text>
        <r>
          <rPr>
            <sz val="9"/>
            <color indexed="81"/>
            <rFont val="Tahoma"/>
            <family val="2"/>
          </rPr>
          <t xml:space="preserve">
Note 5.5 (p.97 AR).  </t>
        </r>
      </text>
    </comment>
    <comment ref="B50" authorId="0" shapeId="0" xr:uid="{00000000-0006-0000-0500-000009000000}">
      <text>
        <r>
          <rPr>
            <sz val="9"/>
            <color indexed="81"/>
            <rFont val="Tahoma"/>
            <family val="2"/>
          </rPr>
          <t xml:space="preserve">
Note 9.2 (p.110 AR).</t>
        </r>
      </text>
    </comment>
    <comment ref="F51" authorId="0" shapeId="0" xr:uid="{00000000-0006-0000-0500-00000A000000}">
      <text>
        <r>
          <rPr>
            <sz val="9"/>
            <color indexed="81"/>
            <rFont val="Tahoma"/>
            <family val="2"/>
          </rPr>
          <t xml:space="preserve">
The difference between this figure and the D&amp;A reported in CFS is very likely due to impairments of intangible assets (see Note 9.2 p110 AR).</t>
        </r>
      </text>
    </comment>
    <comment ref="G51" authorId="0" shapeId="0" xr:uid="{00000000-0006-0000-0500-00000B000000}">
      <text>
        <r>
          <rPr>
            <sz val="9"/>
            <color indexed="81"/>
            <rFont val="Tahoma"/>
            <family val="2"/>
          </rPr>
          <t>The difference between this figure and the D&amp;A reported in CFS is likely due to impairments of intangible assets (see Note 9.2 p110 AR) and possibly also to PP&amp;E impairments, although these are not disclosed separately.</t>
        </r>
      </text>
    </comment>
    <comment ref="B58" authorId="0" shapeId="0" xr:uid="{00000000-0006-0000-0500-00000C000000}">
      <text>
        <r>
          <rPr>
            <sz val="9"/>
            <color indexed="81"/>
            <rFont val="Tahoma"/>
            <family val="2"/>
          </rPr>
          <t xml:space="preserve">
Note 8.1 (p.108 AR)</t>
        </r>
      </text>
    </comment>
    <comment ref="B68" authorId="1" shapeId="0" xr:uid="{00000000-0006-0000-0500-00000D000000}">
      <text>
        <r>
          <rPr>
            <sz val="9"/>
            <color indexed="81"/>
            <rFont val="Tahoma"/>
            <family val="2"/>
          </rPr>
          <t>Note 4.8, p92 AR</t>
        </r>
      </text>
    </comment>
    <comment ref="B69" authorId="1" shapeId="0" xr:uid="{00000000-0006-0000-0500-00000E000000}">
      <text>
        <r>
          <rPr>
            <sz val="9"/>
            <color indexed="81"/>
            <rFont val="Tahoma"/>
            <family val="2"/>
          </rPr>
          <t>Note 4.8, p92 AR</t>
        </r>
      </text>
    </comment>
    <comment ref="B82" authorId="1" shapeId="0" xr:uid="{00000000-0006-0000-0500-00000F000000}">
      <text>
        <r>
          <rPr>
            <sz val="9"/>
            <color indexed="81"/>
            <rFont val="Tahoma"/>
            <family val="2"/>
          </rPr>
          <t>Note 13.4, p128 AR</t>
        </r>
      </text>
    </comment>
    <comment ref="B84" authorId="1" shapeId="0" xr:uid="{00000000-0006-0000-0500-000010000000}">
      <text>
        <r>
          <rPr>
            <sz val="9"/>
            <color indexed="81"/>
            <rFont val="Tahoma"/>
            <family val="2"/>
          </rPr>
          <t>Note 13.4, p128 AR</t>
        </r>
      </text>
    </comment>
    <comment ref="B111" authorId="0" shapeId="0" xr:uid="{00000000-0006-0000-0500-000011000000}">
      <text>
        <r>
          <rPr>
            <sz val="9"/>
            <color indexed="81"/>
            <rFont val="Tahoma"/>
            <family val="2"/>
          </rPr>
          <t xml:space="preserve">
Note 5.5 (p.97 AR). The capex figure on cash flow statement includes intangibles.  </t>
        </r>
      </text>
    </comment>
    <comment ref="B115" authorId="0" shapeId="0" xr:uid="{00000000-0006-0000-0500-000012000000}">
      <text>
        <r>
          <rPr>
            <sz val="9"/>
            <color indexed="81"/>
            <rFont val="Tahoma"/>
            <family val="2"/>
          </rPr>
          <t xml:space="preserve">
Three components:
- Financing (mostly commercial paper and bonds)
- Derivatives (debt-related)
- NCI put option: payments that Company0777 will have to make if the NCIs decide to sell their shares back to Company0777</t>
        </r>
      </text>
    </comment>
    <comment ref="B116" authorId="0" shapeId="0" xr:uid="{00000000-0006-0000-0500-000013000000}">
      <text>
        <r>
          <rPr>
            <sz val="9"/>
            <color indexed="81"/>
            <rFont val="Tahoma"/>
            <family val="2"/>
          </rPr>
          <t xml:space="preserve">
Same as above</t>
        </r>
      </text>
    </comment>
    <comment ref="B117" authorId="0" shapeId="0" xr:uid="{00000000-0006-0000-0500-000014000000}">
      <text>
        <r>
          <rPr>
            <sz val="9"/>
            <color indexed="81"/>
            <rFont val="Tahoma"/>
            <family val="2"/>
          </rPr>
          <t xml:space="preserve">
These are debt-related derivatives (see foonote (a) to the balance sheet)</t>
        </r>
      </text>
    </comment>
    <comment ref="B118" authorId="0" shapeId="0" xr:uid="{00000000-0006-0000-0500-000015000000}">
      <text>
        <r>
          <rPr>
            <sz val="9"/>
            <color indexed="81"/>
            <rFont val="Tahoma"/>
            <family val="2"/>
          </rPr>
          <t xml:space="preserve">
Same as above</t>
        </r>
      </text>
    </comment>
    <comment ref="F118" authorId="0" shapeId="0" xr:uid="{00000000-0006-0000-0500-000016000000}">
      <text>
        <r>
          <rPr>
            <sz val="9"/>
            <color indexed="81"/>
            <rFont val="Tahoma"/>
            <family val="2"/>
          </rPr>
          <t xml:space="preserve">
Adjusted to remove the derivatives used to hedge the Company2995 purchase price (amount from sub-note (b) to the balance sheet)</t>
        </r>
      </text>
    </comment>
    <comment ref="B121" authorId="0" shapeId="0" xr:uid="{00000000-0006-0000-0500-000017000000}">
      <text>
        <r>
          <rPr>
            <sz val="9"/>
            <color indexed="81"/>
            <rFont val="Tahoma"/>
            <family val="2"/>
          </rPr>
          <t xml:space="preserve">
Sum of "cash and cash equivalents" and "short term investments".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I26" authorId="0" shapeId="0" xr:uid="{00000000-0006-0000-0600-000001000000}">
      <text>
        <r>
          <rPr>
            <sz val="9"/>
            <color indexed="81"/>
            <rFont val="Tahoma"/>
            <family val="2"/>
          </rPr>
          <t xml:space="preserve">
Bloomberg</t>
        </r>
      </text>
    </comment>
    <comment ref="I27" authorId="0" shapeId="0" xr:uid="{00000000-0006-0000-0600-000002000000}">
      <text>
        <r>
          <rPr>
            <sz val="9"/>
            <color indexed="81"/>
            <rFont val="Tahoma"/>
            <family val="2"/>
          </rPr>
          <t xml:space="preserve">
Bloomberg</t>
        </r>
      </text>
    </comment>
    <comment ref="I28" authorId="0" shapeId="0" xr:uid="{00000000-0006-0000-0600-000003000000}">
      <text>
        <r>
          <rPr>
            <sz val="9"/>
            <color indexed="81"/>
            <rFont val="Tahoma"/>
            <family val="2"/>
          </rPr>
          <t xml:space="preserve">
Bloomberg</t>
        </r>
      </text>
    </comment>
    <comment ref="I29" authorId="0" shapeId="0" xr:uid="{00000000-0006-0000-0600-000004000000}">
      <text>
        <r>
          <rPr>
            <sz val="9"/>
            <color indexed="81"/>
            <rFont val="Tahoma"/>
            <family val="2"/>
          </rPr>
          <t xml:space="preserve">
Derived as = P/E / PEG
Using Bloomberg data at 12 April 2018</t>
        </r>
      </text>
    </comment>
    <comment ref="I30" authorId="1" shapeId="0" xr:uid="{00000000-0006-0000-0600-000005000000}">
      <text>
        <r>
          <rPr>
            <sz val="9"/>
            <color indexed="81"/>
            <rFont val="Tahoma"/>
            <family val="2"/>
          </rPr>
          <t xml:space="preserve">
From Bloomberg</t>
        </r>
      </text>
    </comment>
    <comment ref="I31" authorId="0" shapeId="0" xr:uid="{00000000-0006-0000-0600-000006000000}">
      <text>
        <r>
          <rPr>
            <sz val="9"/>
            <color indexed="81"/>
            <rFont val="Tahoma"/>
            <family val="2"/>
          </rPr>
          <t xml:space="preserve">
S&amp;P, p23 pdf</t>
        </r>
      </text>
    </comment>
    <comment ref="I32" authorId="0" shapeId="0" xr:uid="{00000000-0006-0000-0600-000007000000}">
      <text>
        <r>
          <rPr>
            <sz val="9"/>
            <color indexed="81"/>
            <rFont val="Tahoma"/>
            <family val="2"/>
          </rPr>
          <t xml:space="preserve">
Front page of 10-Ticker0019 (pdf page 26), as of 27 Jan 2018</t>
        </r>
      </text>
    </comment>
    <comment ref="D36" authorId="1" shapeId="0" xr:uid="{00000000-0006-0000-0600-000008000000}">
      <text>
        <r>
          <rPr>
            <sz val="9"/>
            <color indexed="81"/>
            <rFont val="Tahoma"/>
            <family val="2"/>
          </rPr>
          <t xml:space="preserve">
Factset</t>
        </r>
      </text>
    </comment>
    <comment ref="F39" authorId="0" shapeId="0" xr:uid="{00000000-0006-0000-0600-000009000000}">
      <text>
        <r>
          <rPr>
            <sz val="9"/>
            <color indexed="81"/>
            <rFont val="Tahoma"/>
            <family val="2"/>
          </rPr>
          <t xml:space="preserve">
Stock based compensation note, page 90-92 of 10-Ticker0019 (pdf page 116-118)</t>
        </r>
      </text>
    </comment>
    <comment ref="D41" authorId="1" shapeId="0" xr:uid="{00000000-0006-0000-0600-00000A000000}">
      <text>
        <r>
          <rPr>
            <sz val="9"/>
            <color indexed="81"/>
            <rFont val="Tahoma"/>
            <family val="2"/>
          </rPr>
          <t xml:space="preserve">
P112 10K (138 pdf) shows fair value of LT debt higher than book value by $500m</t>
        </r>
      </text>
    </comment>
    <comment ref="F43" authorId="1" shapeId="0" xr:uid="{00000000-0006-0000-0600-00000B000000}">
      <text>
        <r>
          <rPr>
            <sz val="9"/>
            <color indexed="81"/>
            <rFont val="Tahoma"/>
            <family val="2"/>
          </rPr>
          <t xml:space="preserve">
This is the sum total of restricted stock (RS) and restricted stock units (RSU). We should only include RSUs here (as RS is already part of the outstanding share count), but no breakdown is provided, so the total has been used.</t>
        </r>
      </text>
    </comment>
    <comment ref="I52" authorId="1" shapeId="0" xr:uid="{00000000-0006-0000-0600-00000C000000}">
      <text>
        <r>
          <rPr>
            <sz val="9"/>
            <color indexed="81"/>
            <rFont val="Tahoma"/>
            <family val="2"/>
          </rPr>
          <t xml:space="preserve">
LT debt, including current maturities, plus notes payable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K6" authorId="0" shapeId="0" xr:uid="{00000000-0006-0000-0700-000001000000}">
      <text>
        <r>
          <rPr>
            <sz val="9"/>
            <color indexed="81"/>
            <rFont val="Tahoma"/>
            <family val="2"/>
          </rPr>
          <t xml:space="preserve">
Factset consensus median</t>
        </r>
      </text>
    </comment>
    <comment ref="K7" authorId="0" shapeId="0" xr:uid="{00000000-0006-0000-0700-000002000000}">
      <text>
        <r>
          <rPr>
            <sz val="9"/>
            <color indexed="81"/>
            <rFont val="Tahoma"/>
            <family val="2"/>
          </rPr>
          <t xml:space="preserve">
Factset consensus median</t>
        </r>
      </text>
    </comment>
    <comment ref="K8" authorId="0" shapeId="0" xr:uid="{00000000-0006-0000-0700-000003000000}">
      <text>
        <r>
          <rPr>
            <sz val="9"/>
            <color indexed="81"/>
            <rFont val="Tahoma"/>
            <family val="2"/>
          </rPr>
          <t xml:space="preserve">
Factset consensus median</t>
        </r>
      </text>
    </comment>
    <comment ref="K9" authorId="0" shapeId="0" xr:uid="{00000000-0006-0000-0700-000004000000}">
      <text>
        <r>
          <rPr>
            <sz val="9"/>
            <color indexed="81"/>
            <rFont val="Tahoma"/>
            <family val="2"/>
          </rPr>
          <t xml:space="preserve">
Factset consensus median</t>
        </r>
      </text>
    </comment>
    <comment ref="B27" authorId="1" shapeId="0" xr:uid="{00000000-0006-0000-0700-000005000000}">
      <text>
        <r>
          <rPr>
            <sz val="9"/>
            <color indexed="81"/>
            <rFont val="Tahoma"/>
            <family val="2"/>
          </rPr>
          <t xml:space="preserve">
Selected financial data p22 of 10-Ticker0019 (pdf p48)</t>
        </r>
      </text>
    </comment>
    <comment ref="F27" authorId="0" shapeId="0" xr:uid="{00000000-0006-0000-0700-000006000000}">
      <text>
        <r>
          <rPr>
            <sz val="9"/>
            <color indexed="81"/>
            <rFont val="Tahoma"/>
            <family val="2"/>
          </rPr>
          <t xml:space="preserve">
Non-recurring item from p29 10K, p55 pdf</t>
        </r>
      </text>
    </comment>
    <comment ref="G27" authorId="0" shapeId="0" xr:uid="{00000000-0006-0000-0700-000007000000}">
      <text>
        <r>
          <rPr>
            <sz val="9"/>
            <color indexed="81"/>
            <rFont val="Tahoma"/>
            <family val="2"/>
          </rPr>
          <t xml:space="preserve">
Non-recurring item from p29 10K, p55 pdf</t>
        </r>
      </text>
    </comment>
    <comment ref="B30" authorId="1" shapeId="0" xr:uid="{00000000-0006-0000-0700-000008000000}">
      <text>
        <r>
          <rPr>
            <sz val="9"/>
            <color indexed="81"/>
            <rFont val="Tahoma"/>
            <family val="2"/>
          </rPr>
          <t>Non-recurring items listed on p40 of 10-Ticker0019 (pdf p66).
Shipping days adjustment = Adjustment to sales ($14) 
- Adjust. to gross profit ($6m)</t>
        </r>
      </text>
    </comment>
    <comment ref="F31" authorId="0" shapeId="0" xr:uid="{00000000-0006-0000-0700-000009000000}">
      <text>
        <r>
          <rPr>
            <sz val="9"/>
            <color indexed="81"/>
            <rFont val="Tahoma"/>
            <family val="2"/>
          </rPr>
          <t xml:space="preserve">
Matches the adjusted gross profit shown on p40 of 10-Ticker0019 (pdf p66), except for $31 due to Venezuela impact cleaned out of Sales</t>
        </r>
      </text>
    </comment>
    <comment ref="G31" authorId="0" shapeId="0" xr:uid="{00000000-0006-0000-0700-00000A000000}">
      <text>
        <r>
          <rPr>
            <sz val="9"/>
            <color indexed="81"/>
            <rFont val="Tahoma"/>
            <family val="2"/>
          </rPr>
          <t xml:space="preserve">
Matches the adjusted gross profit shown on p40 of 10-Ticker0019 (pdf p66), except for $106 due to acquisition/divestitures</t>
        </r>
      </text>
    </comment>
    <comment ref="B36" authorId="1" shapeId="0" xr:uid="{00000000-0006-0000-0700-00000B000000}">
      <text>
        <r>
          <rPr>
            <sz val="9"/>
            <color indexed="81"/>
            <rFont val="Tahoma"/>
            <family val="2"/>
          </rPr>
          <t>p30 of 10-Ticker0019 (pdf p56)</t>
        </r>
      </text>
    </comment>
    <comment ref="B37" authorId="1" shapeId="0" xr:uid="{00000000-0006-0000-0700-00000C000000}">
      <text>
        <r>
          <rPr>
            <sz val="9"/>
            <color indexed="81"/>
            <rFont val="Tahoma"/>
            <family val="2"/>
          </rPr>
          <t>p30 of 10-Ticker0019 (pdf p56)</t>
        </r>
      </text>
    </comment>
    <comment ref="B38" authorId="1" shapeId="0" xr:uid="{00000000-0006-0000-0700-00000D000000}">
      <text>
        <r>
          <rPr>
            <sz val="9"/>
            <color indexed="81"/>
            <rFont val="Tahoma"/>
            <family val="2"/>
          </rPr>
          <t>p30 of 10-Ticker0019 (pdf p56)</t>
        </r>
      </text>
    </comment>
    <comment ref="B39" authorId="1" shapeId="0" xr:uid="{00000000-0006-0000-0700-00000E000000}">
      <text>
        <r>
          <rPr>
            <sz val="9"/>
            <color indexed="81"/>
            <rFont val="Tahoma"/>
            <family val="2"/>
          </rPr>
          <t>p30 of 10-Ticker0019 (pdf p56)</t>
        </r>
      </text>
    </comment>
    <comment ref="F46" authorId="0" shapeId="0" xr:uid="{00000000-0006-0000-0700-00000F000000}">
      <text>
        <r>
          <rPr>
            <sz val="9"/>
            <color indexed="81"/>
            <rFont val="Tahoma"/>
            <family val="2"/>
          </rPr>
          <t xml:space="preserve">
Matches the adjusted operating profit shown on p30 of 10-Ticker0019 (pdf p56)</t>
        </r>
      </text>
    </comment>
    <comment ref="G46" authorId="0" shapeId="0" xr:uid="{00000000-0006-0000-0700-000010000000}">
      <text>
        <r>
          <rPr>
            <sz val="9"/>
            <color indexed="81"/>
            <rFont val="Tahoma"/>
            <family val="2"/>
          </rPr>
          <t xml:space="preserve">
Matches the adjusted operating profit shown on p30 of 10-Ticker0019 (pdf p56), except for $23 (25-2) due to acquisition/divestitures and foreign currency impact.</t>
        </r>
      </text>
    </comment>
    <comment ref="B49" authorId="1" shapeId="0" xr:uid="{00000000-0006-0000-0700-000011000000}">
      <text>
        <r>
          <rPr>
            <sz val="9"/>
            <color indexed="81"/>
            <rFont val="Tahoma"/>
            <family val="2"/>
          </rPr>
          <t>Page 22 of 10-Ticker0019 (pdf page 48). Adjusted for non-recurring items from page 81 of 10-Ticker0019 (pdf page 107)</t>
        </r>
      </text>
    </comment>
    <comment ref="B50" authorId="1" shapeId="0" xr:uid="{00000000-0006-0000-0700-000012000000}">
      <text>
        <r>
          <rPr>
            <sz val="9"/>
            <color indexed="81"/>
            <rFont val="Tahoma"/>
            <family val="2"/>
          </rPr>
          <t>Page 22 of 10-Ticker0019 (pdf page 48). 
Also p77 of 10-k (p103 of pdf)</t>
        </r>
      </text>
    </comment>
    <comment ref="B58" authorId="1" shapeId="0" xr:uid="{00000000-0006-0000-0700-000013000000}">
      <text>
        <r>
          <rPr>
            <sz val="9"/>
            <color indexed="81"/>
            <rFont val="Tahoma"/>
            <family val="2"/>
          </rPr>
          <t xml:space="preserve">
Note 13
p105 of 10-k; p131 of pdf</t>
        </r>
      </text>
    </comment>
    <comment ref="B59" authorId="1" shapeId="0" xr:uid="{00000000-0006-0000-0700-000014000000}">
      <text>
        <r>
          <rPr>
            <sz val="9"/>
            <color indexed="81"/>
            <rFont val="Tahoma"/>
            <family val="2"/>
          </rPr>
          <t xml:space="preserve">
Note 13
p105 of 10-k; p131 of pdf</t>
        </r>
      </text>
    </comment>
    <comment ref="B66" authorId="1" shapeId="0" xr:uid="{00000000-0006-0000-0700-000015000000}">
      <text>
        <r>
          <rPr>
            <sz val="9"/>
            <color indexed="81"/>
            <rFont val="Tahoma"/>
            <family val="2"/>
          </rPr>
          <t>Pre tax numbers on p27 of 10K (pdf p53).
Tax on p46 of 10K (pdf p72)</t>
        </r>
      </text>
    </comment>
    <comment ref="B67" authorId="1" shapeId="0" xr:uid="{00000000-0006-0000-0700-000016000000}">
      <text>
        <r>
          <rPr>
            <sz val="9"/>
            <color indexed="81"/>
            <rFont val="Tahoma"/>
            <family val="2"/>
          </rPr>
          <t>Pre tax numbers on p27 of 10K (pdf p53).
Tax on p46 of 10K (pdf p72)</t>
        </r>
      </text>
    </comment>
    <comment ref="B68" authorId="1" shapeId="0" xr:uid="{00000000-0006-0000-0700-000017000000}">
      <text>
        <r>
          <rPr>
            <sz val="9"/>
            <color indexed="81"/>
            <rFont val="Tahoma"/>
            <family val="2"/>
          </rPr>
          <t>Pre tax numbers on p27 of 10K (pdf p53).
Tax on p46 of 10K (pdf p72)</t>
        </r>
      </text>
    </comment>
    <comment ref="B69" authorId="1" shapeId="0" xr:uid="{00000000-0006-0000-0700-000018000000}">
      <text>
        <r>
          <rPr>
            <sz val="9"/>
            <color indexed="81"/>
            <rFont val="Tahoma"/>
            <family val="2"/>
          </rPr>
          <t>Pre tax numbers on p27 of 10K (pdf p53).
Tax on p46 of 10K (pdf p72)</t>
        </r>
      </text>
    </comment>
    <comment ref="B70" authorId="1" shapeId="0" xr:uid="{00000000-0006-0000-0700-000019000000}">
      <text>
        <r>
          <rPr>
            <sz val="9"/>
            <color indexed="81"/>
            <rFont val="Tahoma"/>
            <family val="2"/>
          </rPr>
          <t>Pre tax numbers on p27 of 10K (pdf page 53).
No tax reported.</t>
        </r>
      </text>
    </comment>
    <comment ref="B71" authorId="1" shapeId="0" xr:uid="{00000000-0006-0000-0700-00001A000000}">
      <text>
        <r>
          <rPr>
            <sz val="9"/>
            <color indexed="81"/>
            <rFont val="Tahoma"/>
            <family val="2"/>
          </rPr>
          <t>Pre tax numbers on p27 of 10K (pdf p53).
Tax on p46 of 10K (pdf p72)</t>
        </r>
      </text>
    </comment>
    <comment ref="B72" authorId="1" shapeId="0" xr:uid="{00000000-0006-0000-0700-00001B000000}">
      <text>
        <r>
          <rPr>
            <sz val="9"/>
            <color indexed="81"/>
            <rFont val="Tahoma"/>
            <family val="2"/>
          </rPr>
          <t>P27 of 10K (pdf page 53) and p46 of 10K (pdf p72)</t>
        </r>
      </text>
    </comment>
    <comment ref="F80" authorId="0" shapeId="0" xr:uid="{00000000-0006-0000-0700-00001C000000}">
      <text>
        <r>
          <rPr>
            <sz val="9"/>
            <color indexed="81"/>
            <rFont val="Tahoma"/>
            <family val="2"/>
          </rPr>
          <t xml:space="preserve">
Matches the adjusted net income shown on p27 of 10-Ticker0019 (pdf p53)</t>
        </r>
      </text>
    </comment>
    <comment ref="G80" authorId="0" shapeId="0" xr:uid="{00000000-0006-0000-0700-00001D000000}">
      <text>
        <r>
          <rPr>
            <sz val="9"/>
            <color indexed="81"/>
            <rFont val="Tahoma"/>
            <family val="2"/>
          </rPr>
          <t xml:space="preserve">
Matches the adjusted net income shown on p27 of 10-Ticker0019 (pdf p53)</t>
        </r>
      </text>
    </comment>
    <comment ref="B82" authorId="1" shapeId="0" xr:uid="{00000000-0006-0000-0700-00001E000000}">
      <text>
        <r>
          <rPr>
            <sz val="9"/>
            <color indexed="81"/>
            <rFont val="Tahoma"/>
            <family val="2"/>
          </rPr>
          <t xml:space="preserve">
Note 6
p82 of 10-k; p108 of pdf</t>
        </r>
      </text>
    </comment>
    <comment ref="B84" authorId="1" shapeId="0" xr:uid="{00000000-0006-0000-0700-00001F000000}">
      <text>
        <r>
          <rPr>
            <sz val="9"/>
            <color indexed="81"/>
            <rFont val="Tahoma"/>
            <family val="2"/>
          </rPr>
          <t xml:space="preserve">
Note 6
p82 of 10-k; p108 of pdf</t>
        </r>
      </text>
    </comment>
    <comment ref="B111" authorId="0" shapeId="0" xr:uid="{00000000-0006-0000-0700-000020000000}">
      <text>
        <r>
          <rPr>
            <sz val="9"/>
            <color indexed="81"/>
            <rFont val="Tahoma"/>
            <family val="2"/>
          </rPr>
          <t xml:space="preserve">
From CFS</t>
        </r>
      </text>
    </comment>
    <comment ref="B117" authorId="0" shapeId="0" xr:uid="{00000000-0006-0000-0700-000021000000}">
      <text>
        <r>
          <rPr>
            <sz val="9"/>
            <color indexed="81"/>
            <rFont val="Tahoma"/>
            <family val="2"/>
          </rPr>
          <t xml:space="preserve">
Commercial paper and bank borrowings</t>
        </r>
      </text>
    </comment>
    <comment ref="B125" authorId="0" shapeId="0" xr:uid="{00000000-0006-0000-0700-000022000000}">
      <text>
        <r>
          <rPr>
            <sz val="9"/>
            <color indexed="81"/>
            <rFont val="Tahoma"/>
            <family val="2"/>
          </rPr>
          <t xml:space="preserve">
P44 10K, pdf p70</t>
        </r>
      </text>
    </comment>
    <comment ref="F126" authorId="1" shapeId="0" xr:uid="{00000000-0006-0000-0700-000023000000}">
      <text>
        <r>
          <rPr>
            <sz val="9"/>
            <color indexed="81"/>
            <rFont val="Tahoma"/>
            <family val="2"/>
          </rPr>
          <t>Early redemption charges as per p27 of 10K, pdf p53 (also in p44 of 10K, p70 pdf)</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I26" authorId="0" shapeId="0" xr:uid="{00000000-0006-0000-0800-000001000000}">
      <text>
        <r>
          <rPr>
            <sz val="9"/>
            <color indexed="81"/>
            <rFont val="Tahoma"/>
            <family val="2"/>
          </rPr>
          <t xml:space="preserve">
Bloomberg</t>
        </r>
      </text>
    </comment>
    <comment ref="I27" authorId="0" shapeId="0" xr:uid="{00000000-0006-0000-0800-000002000000}">
      <text>
        <r>
          <rPr>
            <sz val="9"/>
            <color indexed="81"/>
            <rFont val="Tahoma"/>
            <family val="2"/>
          </rPr>
          <t xml:space="preserve">
Bloomberg </t>
        </r>
      </text>
    </comment>
    <comment ref="I28" authorId="0" shapeId="0" xr:uid="{00000000-0006-0000-0800-000003000000}">
      <text>
        <r>
          <rPr>
            <sz val="9"/>
            <color indexed="81"/>
            <rFont val="Tahoma"/>
            <family val="2"/>
          </rPr>
          <t xml:space="preserve">
Bloomberg 
</t>
        </r>
      </text>
    </comment>
    <comment ref="I29" authorId="0" shapeId="0" xr:uid="{00000000-0006-0000-0800-000004000000}">
      <text>
        <r>
          <rPr>
            <sz val="9"/>
            <color indexed="81"/>
            <rFont val="Tahoma"/>
            <family val="2"/>
          </rPr>
          <t xml:space="preserve">
Derived as = P/E / PEG
Using Bloomberg data at 12 April 2018</t>
        </r>
      </text>
    </comment>
    <comment ref="D30" authorId="1" shapeId="0" xr:uid="{00000000-0006-0000-0800-000005000000}">
      <text>
        <r>
          <rPr>
            <sz val="9"/>
            <color indexed="81"/>
            <rFont val="Tahoma"/>
            <family val="2"/>
          </rPr>
          <t xml:space="preserve">
US dollars for 1 CHF on 12 April 2018</t>
        </r>
      </text>
    </comment>
    <comment ref="I30" authorId="1" shapeId="0" xr:uid="{00000000-0006-0000-0800-000006000000}">
      <text>
        <r>
          <rPr>
            <sz val="9"/>
            <color indexed="81"/>
            <rFont val="Tahoma"/>
            <family val="2"/>
          </rPr>
          <t xml:space="preserve">
From Bloomberg</t>
        </r>
      </text>
    </comment>
    <comment ref="I31" authorId="1" shapeId="0" xr:uid="{00000000-0006-0000-0800-000007000000}">
      <text>
        <r>
          <rPr>
            <sz val="9"/>
            <color indexed="81"/>
            <rFont val="Tahoma"/>
            <family val="2"/>
          </rPr>
          <t xml:space="preserve">
Credit profile S&amp;P
</t>
        </r>
      </text>
    </comment>
    <comment ref="I32" authorId="1" shapeId="0" xr:uid="{00000000-0006-0000-0800-000008000000}">
      <text>
        <r>
          <rPr>
            <sz val="9"/>
            <color indexed="81"/>
            <rFont val="Tahoma"/>
            <family val="2"/>
          </rPr>
          <t xml:space="preserve">
Note 17.4 
p135 of AR</t>
        </r>
      </text>
    </comment>
    <comment ref="D36" authorId="1" shapeId="0" xr:uid="{00000000-0006-0000-0800-000009000000}">
      <text>
        <r>
          <rPr>
            <sz val="9"/>
            <color indexed="81"/>
            <rFont val="Tahoma"/>
            <family val="2"/>
          </rPr>
          <t xml:space="preserve">
Factset</t>
        </r>
      </text>
    </comment>
    <comment ref="F41" authorId="1" shapeId="0" xr:uid="{00000000-0006-0000-0800-00000A000000}">
      <text>
        <r>
          <rPr>
            <sz val="9"/>
            <color indexed="81"/>
            <rFont val="Tahoma"/>
            <family val="2"/>
          </rPr>
          <t xml:space="preserve">
From Note 15 on EPS (p130 AR)</t>
        </r>
      </text>
    </comment>
    <comment ref="D47" authorId="1" shapeId="0" xr:uid="{00000000-0006-0000-0800-00000B000000}">
      <text>
        <r>
          <rPr>
            <sz val="9"/>
            <color indexed="81"/>
            <rFont val="Tahoma"/>
            <family val="2"/>
          </rPr>
          <t xml:space="preserve">
Market value of l'Oreal stake and other associates. Page 129 of AR, p218 of PIB</t>
        </r>
      </text>
    </comment>
    <comment ref="D53" authorId="1" shapeId="0" xr:uid="{00000000-0006-0000-0800-00000C000000}">
      <text>
        <r>
          <rPr>
            <sz val="9"/>
            <color indexed="81"/>
            <rFont val="Tahoma"/>
            <family val="2"/>
          </rPr>
          <t xml:space="preserve">
Short-term investments</t>
        </r>
      </text>
    </comment>
    <comment ref="F54" authorId="1" shapeId="0" xr:uid="{00000000-0006-0000-0800-00000D000000}">
      <text>
        <r>
          <rPr>
            <sz val="9"/>
            <color indexed="81"/>
            <rFont val="Tahoma"/>
            <family val="2"/>
          </rPr>
          <t xml:space="preserve">
Include all liabilities that are operating in nature e.g. accounts payable</t>
        </r>
      </text>
    </comment>
    <comment ref="D55" authorId="1" shapeId="0" xr:uid="{00000000-0006-0000-0800-00000E000000}">
      <text>
        <r>
          <rPr>
            <sz val="9"/>
            <color indexed="81"/>
            <rFont val="Tahoma"/>
            <family val="2"/>
          </rPr>
          <t xml:space="preserve">
Financial assets (non-current) and assets held for sale (net of liabilities)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K6" authorId="0" shapeId="0" xr:uid="{00000000-0006-0000-0900-000001000000}">
      <text>
        <r>
          <rPr>
            <sz val="9"/>
            <color indexed="81"/>
            <rFont val="Tahoma"/>
            <family val="2"/>
          </rPr>
          <t xml:space="preserve">
Factset consensus median</t>
        </r>
      </text>
    </comment>
    <comment ref="K7" authorId="0" shapeId="0" xr:uid="{00000000-0006-0000-0900-000002000000}">
      <text>
        <r>
          <rPr>
            <sz val="9"/>
            <color indexed="81"/>
            <rFont val="Tahoma"/>
            <family val="2"/>
          </rPr>
          <t xml:space="preserve">
Factset consensus median</t>
        </r>
      </text>
    </comment>
    <comment ref="K8" authorId="0" shapeId="0" xr:uid="{00000000-0006-0000-0900-000003000000}">
      <text>
        <r>
          <rPr>
            <sz val="9"/>
            <color indexed="81"/>
            <rFont val="Tahoma"/>
            <family val="2"/>
          </rPr>
          <t xml:space="preserve">
Factset consensus median</t>
        </r>
      </text>
    </comment>
    <comment ref="K9" authorId="0" shapeId="0" xr:uid="{00000000-0006-0000-0900-000004000000}">
      <text>
        <r>
          <rPr>
            <sz val="9"/>
            <color indexed="81"/>
            <rFont val="Tahoma"/>
            <family val="2"/>
          </rPr>
          <t xml:space="preserve">
Factset consensus median</t>
        </r>
      </text>
    </comment>
    <comment ref="B27" authorId="0" shapeId="0" xr:uid="{00000000-0006-0000-0900-000005000000}">
      <text>
        <r>
          <rPr>
            <sz val="9"/>
            <color indexed="81"/>
            <rFont val="Tahoma"/>
            <family val="2"/>
          </rPr>
          <t xml:space="preserve">
Five year review p150 of AR</t>
        </r>
      </text>
    </comment>
    <comment ref="B36" authorId="0" shapeId="0" xr:uid="{00000000-0006-0000-0900-000006000000}">
      <text>
        <r>
          <rPr>
            <sz val="9"/>
            <color indexed="81"/>
            <rFont val="Tahoma"/>
            <family val="2"/>
          </rPr>
          <t xml:space="preserve">
From the face of IS
Details in Note 4.1 p86 of AR</t>
        </r>
      </text>
    </comment>
    <comment ref="B37" authorId="0" shapeId="0" xr:uid="{00000000-0006-0000-0900-000007000000}">
      <text>
        <r>
          <rPr>
            <sz val="9"/>
            <color indexed="81"/>
            <rFont val="Tahoma"/>
            <family val="2"/>
          </rPr>
          <t xml:space="preserve">
From the face of IS
Details in Note 4.1 p86 of AR</t>
        </r>
      </text>
    </comment>
    <comment ref="B38" authorId="0" shapeId="0" xr:uid="{00000000-0006-0000-0900-000008000000}">
      <text>
        <r>
          <rPr>
            <sz val="9"/>
            <color indexed="81"/>
            <rFont val="Tahoma"/>
            <family val="2"/>
          </rPr>
          <t xml:space="preserve">
From the face of IS
Details in Note 4.2 p87 of AR</t>
        </r>
      </text>
    </comment>
    <comment ref="B39" authorId="0" shapeId="0" xr:uid="{00000000-0006-0000-0900-000009000000}">
      <text>
        <r>
          <rPr>
            <sz val="9"/>
            <color indexed="81"/>
            <rFont val="Tahoma"/>
            <family val="2"/>
          </rPr>
          <t xml:space="preserve">
From the face of IS
Details in Note 4.2 p87 of AR</t>
        </r>
      </text>
    </comment>
    <comment ref="B49" authorId="0" shapeId="0" xr:uid="{00000000-0006-0000-0900-00000A000000}">
      <text>
        <r>
          <rPr>
            <sz val="9"/>
            <color indexed="81"/>
            <rFont val="Tahoma"/>
            <family val="2"/>
          </rPr>
          <t xml:space="preserve">
Note 8 PP&amp;E
p91 of AR</t>
        </r>
      </text>
    </comment>
    <comment ref="B50" authorId="0" shapeId="0" xr:uid="{00000000-0006-0000-0900-00000B000000}">
      <text>
        <r>
          <rPr>
            <sz val="9"/>
            <color indexed="81"/>
            <rFont val="Tahoma"/>
            <family val="2"/>
          </rPr>
          <t xml:space="preserve">
Note 9, p90 of AR</t>
        </r>
      </text>
    </comment>
    <comment ref="B58" authorId="1" shapeId="0" xr:uid="{00000000-0006-0000-0900-00000C000000}">
      <text>
        <r>
          <rPr>
            <sz val="9"/>
            <color indexed="81"/>
            <rFont val="Tahoma"/>
            <family val="2"/>
          </rPr>
          <t>MTR = Expected tax expense at weighted average applicable tax rate / profit before tax 
Note 13.1 p126 of AR</t>
        </r>
      </text>
    </comment>
    <comment ref="B67" authorId="0" shapeId="0" xr:uid="{00000000-0006-0000-0900-00000D000000}">
      <text>
        <r>
          <rPr>
            <sz val="9"/>
            <color indexed="81"/>
            <rFont val="Tahoma"/>
            <family val="2"/>
          </rPr>
          <t xml:space="preserve">
Reported on p5 of document titled 'Alternative Performance Measures'</t>
        </r>
      </text>
    </comment>
    <comment ref="B68" authorId="0" shapeId="0" xr:uid="{00000000-0006-0000-0900-00000E000000}">
      <text>
        <r>
          <rPr>
            <sz val="9"/>
            <color indexed="81"/>
            <rFont val="Tahoma"/>
            <family val="2"/>
          </rPr>
          <t xml:space="preserve">
Reported on p5 of document titled 'Alternative Performance Measures', p289 of PIB</t>
        </r>
      </text>
    </comment>
    <comment ref="B82" authorId="0" shapeId="0" xr:uid="{00000000-0006-0000-0900-00000F000000}">
      <text>
        <r>
          <rPr>
            <sz val="9"/>
            <color indexed="81"/>
            <rFont val="Tahoma"/>
            <family val="2"/>
          </rPr>
          <t xml:space="preserve">
Note 15 p130 of AR, p219 of PIB</t>
        </r>
      </text>
    </comment>
    <comment ref="B84" authorId="0" shapeId="0" xr:uid="{00000000-0006-0000-0900-000010000000}">
      <text>
        <r>
          <rPr>
            <sz val="9"/>
            <color indexed="81"/>
            <rFont val="Tahoma"/>
            <family val="2"/>
          </rPr>
          <t xml:space="preserve">
Note 15 p130 of AR, p219 of PIB</t>
        </r>
      </text>
    </comment>
    <comment ref="B111" authorId="0" shapeId="0" xr:uid="{00000000-0006-0000-0900-000011000000}">
      <text>
        <r>
          <rPr>
            <sz val="9"/>
            <color indexed="81"/>
            <rFont val="Tahoma"/>
            <family val="2"/>
          </rPr>
          <t xml:space="preserve">
Note 8 PP&amp;E
p91 of AR</t>
        </r>
      </text>
    </comment>
    <comment ref="B121" authorId="0" shapeId="0" xr:uid="{00000000-0006-0000-0900-000012000000}">
      <text>
        <r>
          <rPr>
            <sz val="9"/>
            <color indexed="81"/>
            <rFont val="Tahoma"/>
            <family val="2"/>
          </rPr>
          <t xml:space="preserve">
Includes short-term investments</t>
        </r>
      </text>
    </comment>
    <comment ref="B125" authorId="0" shapeId="0" xr:uid="{00000000-0006-0000-0900-000013000000}">
      <text>
        <r>
          <rPr>
            <sz val="9"/>
            <color indexed="81"/>
            <rFont val="Tahoma"/>
            <family val="2"/>
          </rPr>
          <t xml:space="preserve">
Note 5 p87 of AR</t>
        </r>
      </text>
    </comment>
    <comment ref="B126" authorId="0" shapeId="0" xr:uid="{00000000-0006-0000-0900-000014000000}">
      <text>
        <r>
          <rPr>
            <sz val="9"/>
            <color indexed="81"/>
            <rFont val="Tahoma"/>
            <family val="2"/>
          </rPr>
          <t xml:space="preserve">
Note 5 p87 of AR</t>
        </r>
      </text>
    </comment>
  </commentList>
</comments>
</file>

<file path=xl/sharedStrings.xml><?xml version="1.0" encoding="utf-8"?>
<sst xmlns="http://schemas.openxmlformats.org/spreadsheetml/2006/main" count="970" uniqueCount="302">
  <si>
    <t xml:space="preserve"> </t>
  </si>
  <si>
    <t>Valuation Training</t>
  </si>
  <si>
    <t>Comparable companies analysis</t>
  </si>
  <si>
    <t>Special features</t>
  </si>
  <si>
    <t>Enterprise value</t>
  </si>
  <si>
    <t>Normalized earnings</t>
  </si>
  <si>
    <t>Operating statistics</t>
  </si>
  <si>
    <t>Credit statistics</t>
  </si>
  <si>
    <t>Multiples</t>
  </si>
  <si>
    <t>Output summaries</t>
  </si>
  <si>
    <t>Model information</t>
  </si>
  <si>
    <t>Currency</t>
  </si>
  <si>
    <t>USD</t>
  </si>
  <si>
    <t>Units</t>
  </si>
  <si>
    <t>m</t>
  </si>
  <si>
    <t>Analyst name</t>
  </si>
  <si>
    <t>Trading Summary of Comparable Companies</t>
  </si>
  <si>
    <t>(Figures in millions, except per-share data)</t>
  </si>
  <si>
    <t>Date of analysis: April, 12th 2018</t>
  </si>
  <si>
    <t>EV multiples</t>
  </si>
  <si>
    <t>P/E</t>
  </si>
  <si>
    <t>Current</t>
  </si>
  <si>
    <t>Equity</t>
  </si>
  <si>
    <t>Enterprise</t>
  </si>
  <si>
    <t>Revenue</t>
  </si>
  <si>
    <t>EBITDA</t>
  </si>
  <si>
    <t>EBIT</t>
  </si>
  <si>
    <t>Company</t>
  </si>
  <si>
    <t>Price</t>
  </si>
  <si>
    <t>Value ($)</t>
  </si>
  <si>
    <t>LTM</t>
  </si>
  <si>
    <t>CY 1</t>
  </si>
  <si>
    <t>CY 2</t>
  </si>
  <si>
    <t>Company0650</t>
  </si>
  <si>
    <t>Company0691</t>
  </si>
  <si>
    <t>Company0777</t>
  </si>
  <si>
    <t>Company1137</t>
  </si>
  <si>
    <t>Company1243</t>
  </si>
  <si>
    <t>Company1507</t>
  </si>
  <si>
    <t>Company1523</t>
  </si>
  <si>
    <t>Company1825</t>
  </si>
  <si>
    <t>Company1930</t>
  </si>
  <si>
    <t>Pinnacle Foods</t>
  </si>
  <si>
    <t>Company2838</t>
  </si>
  <si>
    <t>High</t>
  </si>
  <si>
    <t>Mean</t>
  </si>
  <si>
    <t>Median</t>
  </si>
  <si>
    <t>Low</t>
  </si>
  <si>
    <t>Performance Analysis of Comparable Companies</t>
  </si>
  <si>
    <t>Margins</t>
  </si>
  <si>
    <t>52 wk</t>
  </si>
  <si>
    <t>Sales</t>
  </si>
  <si>
    <t>LT EPS</t>
  </si>
  <si>
    <t>PEG</t>
  </si>
  <si>
    <t>Dividend</t>
  </si>
  <si>
    <t>Debt/</t>
  </si>
  <si>
    <t>Net Debt/</t>
  </si>
  <si>
    <t>EBITDA/</t>
  </si>
  <si>
    <t>High %</t>
  </si>
  <si>
    <t>CAGR</t>
  </si>
  <si>
    <t>Growth</t>
  </si>
  <si>
    <t>Yield</t>
  </si>
  <si>
    <t>ROIC</t>
  </si>
  <si>
    <t>ROE</t>
  </si>
  <si>
    <t>Int. Exp.</t>
  </si>
  <si>
    <t>Input sheet (figures in millions, except per-share data)</t>
  </si>
  <si>
    <t>Summary Data</t>
  </si>
  <si>
    <t>Value numbers</t>
  </si>
  <si>
    <t>Calendarized</t>
  </si>
  <si>
    <t>Value driver numbers</t>
  </si>
  <si>
    <t>Valuation multiples</t>
  </si>
  <si>
    <t>EV / Sales</t>
  </si>
  <si>
    <t>EV / EBIT</t>
  </si>
  <si>
    <t>EV / EBITDA</t>
  </si>
  <si>
    <t>Inputs</t>
  </si>
  <si>
    <t>Key company data</t>
  </si>
  <si>
    <t>Share data</t>
  </si>
  <si>
    <t>Company name</t>
  </si>
  <si>
    <t>Share price</t>
  </si>
  <si>
    <t>Ticker symbol</t>
  </si>
  <si>
    <t>Ticker0005</t>
  </si>
  <si>
    <t>52 week high</t>
  </si>
  <si>
    <t>Date of analysis</t>
  </si>
  <si>
    <t xml:space="preserve">52 week low </t>
  </si>
  <si>
    <t>EPS 5yr growth rate</t>
  </si>
  <si>
    <t>FX rate to standard currency</t>
  </si>
  <si>
    <t>Dividend yield</t>
  </si>
  <si>
    <t>Historical year end</t>
  </si>
  <si>
    <t>Credit rating</t>
  </si>
  <si>
    <t>BBB</t>
  </si>
  <si>
    <t>Latest filing</t>
  </si>
  <si>
    <t>Shares outstanding basic</t>
  </si>
  <si>
    <t>Type of filing</t>
  </si>
  <si>
    <t>Q</t>
  </si>
  <si>
    <t>Net new shares from stock compensation</t>
  </si>
  <si>
    <t>What quarter?</t>
  </si>
  <si>
    <t>Fully diluted shares outstanding</t>
  </si>
  <si>
    <t>Calendarize to:</t>
  </si>
  <si>
    <t>Research used</t>
  </si>
  <si>
    <t>Consensus</t>
  </si>
  <si>
    <t>Research date</t>
  </si>
  <si>
    <t>Enterprise value calculation</t>
  </si>
  <si>
    <t>Stock compensation</t>
  </si>
  <si>
    <t>Fully diluted equity value</t>
  </si>
  <si>
    <t>Number</t>
  </si>
  <si>
    <t>Strike price</t>
  </si>
  <si>
    <t>Net shares</t>
  </si>
  <si>
    <t>Stock options outstanding</t>
  </si>
  <si>
    <t>Cash and equivalents</t>
  </si>
  <si>
    <t>Restricted stock units outstanding</t>
  </si>
  <si>
    <t>Net debt</t>
  </si>
  <si>
    <t>TSR performance units</t>
  </si>
  <si>
    <t>Item 4</t>
  </si>
  <si>
    <t>Item 5</t>
  </si>
  <si>
    <t>Balance sheet data</t>
  </si>
  <si>
    <t>Cash and cash equivalents</t>
  </si>
  <si>
    <t>Total debt</t>
  </si>
  <si>
    <t>Highly liquid investments</t>
  </si>
  <si>
    <t>Debt equivalents</t>
  </si>
  <si>
    <t>Equity affiliates/associates and JVs</t>
  </si>
  <si>
    <t>Operating liabilities</t>
  </si>
  <si>
    <t>Non-core assets</t>
  </si>
  <si>
    <t>Shareholder equity</t>
  </si>
  <si>
    <t>Operating assets</t>
  </si>
  <si>
    <t>Preferred stock</t>
  </si>
  <si>
    <t>Calendarization</t>
  </si>
  <si>
    <t>Noncontrolling interest</t>
  </si>
  <si>
    <t>Days:</t>
  </si>
  <si>
    <t>Total assets</t>
  </si>
  <si>
    <t>Total liabilities and equity</t>
  </si>
  <si>
    <t>% prior yr.</t>
  </si>
  <si>
    <t>% curr yr.</t>
  </si>
  <si>
    <t>% next yr.</t>
  </si>
  <si>
    <t>BS check</t>
  </si>
  <si>
    <t>Income statement data</t>
  </si>
  <si>
    <t>Net income</t>
  </si>
  <si>
    <t>Recurring diluted EPS</t>
  </si>
  <si>
    <t>Person1067 Company1596 Income statement data Calendarized</t>
  </si>
  <si>
    <t>Person1067 Company1596 Calendarization to Ticker0005 year end</t>
  </si>
  <si>
    <t>Proforma adjustment needed</t>
  </si>
  <si>
    <t>Person1067 Company1596 Income statement data</t>
  </si>
  <si>
    <t>Financial statement analysis - Company0650</t>
  </si>
  <si>
    <t>History</t>
  </si>
  <si>
    <t>Interim</t>
  </si>
  <si>
    <t>Forecast</t>
  </si>
  <si>
    <t>Figures in millions, except per-share data</t>
  </si>
  <si>
    <t>Old</t>
  </si>
  <si>
    <t>New</t>
  </si>
  <si>
    <t>Key income statement data</t>
  </si>
  <si>
    <t>Key ratios</t>
  </si>
  <si>
    <t xml:space="preserve">Sales growth </t>
  </si>
  <si>
    <t>EBITDA margin</t>
  </si>
  <si>
    <t>EBIT margin</t>
  </si>
  <si>
    <t>OWC / sales</t>
  </si>
  <si>
    <t>Net PP&amp;E / sales</t>
  </si>
  <si>
    <t>CAPEX / depreciation</t>
  </si>
  <si>
    <t>Total debt / EBITDA</t>
  </si>
  <si>
    <t>Total net debt / EBITDA</t>
  </si>
  <si>
    <t>EBITDA / interest expense</t>
  </si>
  <si>
    <t>Income statement</t>
  </si>
  <si>
    <t>Sales growth</t>
  </si>
  <si>
    <t>COGS</t>
  </si>
  <si>
    <t>Gross profit</t>
  </si>
  <si>
    <t>Gross margin</t>
  </si>
  <si>
    <t>Reported operating profit</t>
  </si>
  <si>
    <t>Operating profit margin</t>
  </si>
  <si>
    <t>Employee benefit plans remeasurement (gain) loss</t>
  </si>
  <si>
    <t>Restructuring charges</t>
  </si>
  <si>
    <t>Impairments of intangibles</t>
  </si>
  <si>
    <t>Gain on settlement of claim on Company1509 acquisition</t>
  </si>
  <si>
    <t>Transaction costs (Company2571- Company1596 acquisition)</t>
  </si>
  <si>
    <t>Non-recurring item 6</t>
  </si>
  <si>
    <t>Non-recurring item 7</t>
  </si>
  <si>
    <t>Non-recurring item 8</t>
  </si>
  <si>
    <t>Non-recurring item 9</t>
  </si>
  <si>
    <t>Non-recurring item 10</t>
  </si>
  <si>
    <t>Depreciation</t>
  </si>
  <si>
    <t>Amortization</t>
  </si>
  <si>
    <t>Depreciation and amortization</t>
  </si>
  <si>
    <t>Earnings before taxes</t>
  </si>
  <si>
    <t>Taxes</t>
  </si>
  <si>
    <t>Reported ETR</t>
  </si>
  <si>
    <t>Statutory tax rate</t>
  </si>
  <si>
    <t>Other taxes affecting marginal tax rate</t>
  </si>
  <si>
    <t>MTR</t>
  </si>
  <si>
    <t>NOPAT</t>
  </si>
  <si>
    <t>Reported net income (total)</t>
  </si>
  <si>
    <t>Net income margin</t>
  </si>
  <si>
    <t>Tax and interest reduction</t>
  </si>
  <si>
    <t>Normalized net income</t>
  </si>
  <si>
    <t>Normalized net income margin</t>
  </si>
  <si>
    <t>WASO - basic</t>
  </si>
  <si>
    <t>Recurring basic EPS</t>
  </si>
  <si>
    <t>WASO - diluted</t>
  </si>
  <si>
    <t>Current assets and liabilities</t>
  </si>
  <si>
    <t>Total current assets</t>
  </si>
  <si>
    <t>Total current liabilities</t>
  </si>
  <si>
    <t>Working Capital</t>
  </si>
  <si>
    <t>Accounts receivable</t>
  </si>
  <si>
    <t>Inventories</t>
  </si>
  <si>
    <t>Other current assets</t>
  </si>
  <si>
    <t>Current operating asset 4</t>
  </si>
  <si>
    <t>Current operating asset 5</t>
  </si>
  <si>
    <t>Payable to suppliers and others</t>
  </si>
  <si>
    <t>Accrued liabilities</t>
  </si>
  <si>
    <t>Accrued income taxes</t>
  </si>
  <si>
    <t>Current operating liability 4</t>
  </si>
  <si>
    <t>Current operating liability 5</t>
  </si>
  <si>
    <t>OWC</t>
  </si>
  <si>
    <t>OWC % sales</t>
  </si>
  <si>
    <t>Receivable days</t>
  </si>
  <si>
    <t>Inventory days</t>
  </si>
  <si>
    <t>Payable days</t>
  </si>
  <si>
    <t>Non current assets</t>
  </si>
  <si>
    <t>Net PP&amp;E</t>
  </si>
  <si>
    <t>Net PPE % sales</t>
  </si>
  <si>
    <t>Capital expenditure</t>
  </si>
  <si>
    <t>Capex / depreciation</t>
  </si>
  <si>
    <t xml:space="preserve">Debt and equity </t>
  </si>
  <si>
    <t>Short-term borrowings</t>
  </si>
  <si>
    <t>Long-term debt</t>
  </si>
  <si>
    <t>Debt tranche 3</t>
  </si>
  <si>
    <t>Debt tranche 4</t>
  </si>
  <si>
    <t>Debt tranche 5</t>
  </si>
  <si>
    <t>Cash &amp; cash equivalents</t>
  </si>
  <si>
    <t>Net debt / EBITDA</t>
  </si>
  <si>
    <t>Interest income</t>
  </si>
  <si>
    <t>Interest expense</t>
  </si>
  <si>
    <t>Equity - book value (inc. NCI)</t>
  </si>
  <si>
    <t>Total debt / equity</t>
  </si>
  <si>
    <t>Returns</t>
  </si>
  <si>
    <t>Invested capital</t>
  </si>
  <si>
    <t>Person1067 Company1596 takeover adjustments</t>
  </si>
  <si>
    <t>Deal close date</t>
  </si>
  <si>
    <t>EV at offer price</t>
  </si>
  <si>
    <t>EV / LTM EBITDA</t>
  </si>
  <si>
    <t>Cost of acquisition debt</t>
  </si>
  <si>
    <t>Marginal tax rate</t>
  </si>
  <si>
    <t>Interest expense on acquisition debt post-tax</t>
  </si>
  <si>
    <t>Company2572 Income Statement</t>
  </si>
  <si>
    <t>Ticker0003</t>
  </si>
  <si>
    <t>EUR</t>
  </si>
  <si>
    <t>BBB+</t>
  </si>
  <si>
    <t>Annual</t>
  </si>
  <si>
    <t>Performance shares outstanding</t>
  </si>
  <si>
    <t>Item 2</t>
  </si>
  <si>
    <t>Item 3</t>
  </si>
  <si>
    <t>Financial statement analysis - Company0777</t>
  </si>
  <si>
    <t>Restructuring costs</t>
  </si>
  <si>
    <t>Other operating (income) / expense</t>
  </si>
  <si>
    <t>Non-recurring item 3</t>
  </si>
  <si>
    <t>Non-recurring item 4</t>
  </si>
  <si>
    <t>Non-recurring item 5</t>
  </si>
  <si>
    <t>Impairment charge in associate income</t>
  </si>
  <si>
    <t>Losses on disposals of associates</t>
  </si>
  <si>
    <t>Noncontrolling interest income</t>
  </si>
  <si>
    <t>Normalized net income attributable to parent</t>
  </si>
  <si>
    <t>Trade receivables</t>
  </si>
  <si>
    <t>Trade payables</t>
  </si>
  <si>
    <t>Other current liabilities</t>
  </si>
  <si>
    <t>Current operating liability 3</t>
  </si>
  <si>
    <t>Current financial debt</t>
  </si>
  <si>
    <t>Non-current financial debt</t>
  </si>
  <si>
    <t>Derivative assets non-current</t>
  </si>
  <si>
    <t>Derivative assets current</t>
  </si>
  <si>
    <t>Ticker0019</t>
  </si>
  <si>
    <t>Performance shares</t>
  </si>
  <si>
    <t>Restricted stock units</t>
  </si>
  <si>
    <t>Financial statement analysis - Company1507</t>
  </si>
  <si>
    <t>Mark-to-market</t>
  </si>
  <si>
    <t>Project Ticker0019 and cost reduction activities</t>
  </si>
  <si>
    <t>Integration and transaction costs</t>
  </si>
  <si>
    <t>Venezuela adjustments</t>
  </si>
  <si>
    <t>Debt redemption</t>
  </si>
  <si>
    <t>Shipping day differences</t>
  </si>
  <si>
    <t>US tax reform</t>
  </si>
  <si>
    <t>Accounts receivable, net</t>
  </si>
  <si>
    <t>Accounts payable</t>
  </si>
  <si>
    <t>Current maturities of long-term debt</t>
  </si>
  <si>
    <t>Notes payable</t>
  </si>
  <si>
    <t>Company1931</t>
  </si>
  <si>
    <t>Ticker0025</t>
  </si>
  <si>
    <t>CHF</t>
  </si>
  <si>
    <t>AA-</t>
  </si>
  <si>
    <t>Dilutive instruments</t>
  </si>
  <si>
    <t>Financial statement analysis - Company1930</t>
  </si>
  <si>
    <t>Other trading income</t>
  </si>
  <si>
    <t>Other trading expenses</t>
  </si>
  <si>
    <t>Other operating income</t>
  </si>
  <si>
    <t>Other operating expenses</t>
  </si>
  <si>
    <t>Pre-tax non-recurring items (as above)</t>
  </si>
  <si>
    <t>Tax adjustment, as reported</t>
  </si>
  <si>
    <t>Adjustment for income from associates and JVs, as reported</t>
  </si>
  <si>
    <t>Trade and other receivables</t>
  </si>
  <si>
    <t>Prepayments and accrued income</t>
  </si>
  <si>
    <t>Derivative assets</t>
  </si>
  <si>
    <t>Current income tax assets</t>
  </si>
  <si>
    <t>Trade and other payables</t>
  </si>
  <si>
    <t>Accruals and deferred income</t>
  </si>
  <si>
    <t>Provisions</t>
  </si>
  <si>
    <t>Derivative liabilities</t>
  </si>
  <si>
    <t>Current income tax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</si>
</sst>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7" formatCode="&quot;$&quot;#,##0.00_);\(&quot;$&quot;#,##0.00\)"/>
    <numFmt numFmtId="41" formatCode="_(* #,##0_);_(* \(#,##0\);_(* &quot;-&quot;_);_(@_)"/>
    <numFmt numFmtId="43" formatCode="_(* #,##0.00_);_(* \(#,##0.00\);_(* &quot;-&quot;??_);_(@_)"/>
    <numFmt numFmtId="164" formatCode="_(&quot;£&quot;* #,##0_);_(&quot;£&quot;* \(#,##0\);_(&quot;£&quot;* &quot;-&quot;_);_(@_)"/>
    <numFmt numFmtId="165" formatCode="_(&quot;£&quot;* #,##0.00_);_(&quot;£&quot;* \(#,##0.00\);_(&quot;£&quot;* &quot;-&quot;??_);_(@_)"/>
    <numFmt numFmtId="166" formatCode="#,##0.0_);\(#,##0.0\);0.0_);@_)"/>
    <numFmt numFmtId="167" formatCode="#,##0.0_);\(#,##0.0\)"/>
    <numFmt numFmtId="168" formatCode="[$-409]d\-mmm\-yy;@"/>
    <numFmt numFmtId="169" formatCode="dd\-mmm\-yy_)"/>
    <numFmt numFmtId="170" formatCode="0.0%_);\(0.0%\)"/>
    <numFmt numFmtId="171" formatCode="#,##0.00_)\x;\(#,##0.00\)\x"/>
    <numFmt numFmtId="172" formatCode="&quot;Yes&quot;;;&quot;No&quot;"/>
    <numFmt numFmtId="173" formatCode=";;;"/>
    <numFmt numFmtId="174" formatCode="0.0%"/>
    <numFmt numFmtId="175" formatCode="\$#,##0.00_);\(\$#,##0.00\)"/>
    <numFmt numFmtId="176" formatCode="#,##0.00\x_);\(#,##0.00\x\)"/>
    <numFmt numFmtId="177" formatCode="#,##0.0\x_);\(#,##0.0\x\)"/>
    <numFmt numFmtId="178" formatCode="#,##0.00_);\(#,##0.00\);0.00_);@_)"/>
    <numFmt numFmtId="179" formatCode="\€#,##0.00_);\(\€#,##0.00\)"/>
    <numFmt numFmtId="180" formatCode="[$CHF]\ #,##0.00_);\([$CHF]#,##0.00\)"/>
    <numFmt numFmtId="181" formatCode="#,##0.000"/>
    <numFmt numFmtId="182" formatCode="#,##0.0%_);\(#,##0.0%\)"/>
    <numFmt numFmtId="183" formatCode="#,##0.0\x_)"/>
    <numFmt numFmtId="184" formatCode="#,##0.000_);\(#,##0.000\);0.000_);@_)"/>
    <numFmt numFmtId="185" formatCode="0.00%_);\(0.00%\)"/>
    <numFmt numFmtId="186" formatCode="#,##0.0000_);\(#,##0.0000\)"/>
    <numFmt numFmtId="187" formatCode="#,##0.000_);\(#,##0.000\)"/>
    <numFmt numFmtId="188" formatCode="#,##0.0_)&quot;x&quot;;\(#,##0.0\);0.0_);@_)"/>
    <numFmt numFmtId="189" formatCode="#,##0.0;\-#,##0.0"/>
    <numFmt numFmtId="190" formatCode="###0"/>
  </numFmts>
  <fonts count="61" x14ac:knownFonts="1">
    <font>
      <sz val="10"/>
      <name val="Arial"/>
      <family val="2"/>
    </font>
    <font>
      <sz val="10"/>
      <name val="Arial"/>
      <family val="2"/>
    </font>
    <font>
      <sz val="8"/>
      <name val="Arial"/>
      <family val="2"/>
    </font>
    <font>
      <sz val="10"/>
      <color indexed="12"/>
      <name val="Arial"/>
      <family val="2"/>
    </font>
    <font>
      <sz val="8"/>
      <color indexed="81"/>
      <name val="Tahoma"/>
      <family val="2"/>
    </font>
    <font>
      <u/>
      <sz val="10"/>
      <color theme="10"/>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24"/>
      <color rgb="FF006100"/>
      <name val="Arial"/>
      <family val="2"/>
    </font>
    <font>
      <sz val="24"/>
      <color rgb="FF9C0006"/>
      <name val="Arial"/>
      <family val="2"/>
    </font>
    <font>
      <sz val="24"/>
      <color rgb="FF9C6500"/>
      <name val="Arial"/>
      <family val="2"/>
    </font>
    <font>
      <b/>
      <sz val="24"/>
      <color rgb="FF3F3F3F"/>
      <name val="Arial"/>
      <family val="2"/>
    </font>
    <font>
      <b/>
      <sz val="24"/>
      <color rgb="FFFA7D00"/>
      <name val="Arial"/>
      <family val="2"/>
    </font>
    <font>
      <sz val="24"/>
      <color rgb="FFFA7D00"/>
      <name val="Arial"/>
      <family val="2"/>
    </font>
    <font>
      <b/>
      <sz val="24"/>
      <color theme="0"/>
      <name val="Arial"/>
      <family val="2"/>
    </font>
    <font>
      <sz val="24"/>
      <color rgb="FFFF0000"/>
      <name val="Arial"/>
      <family val="2"/>
    </font>
    <font>
      <i/>
      <sz val="24"/>
      <color rgb="FF7F7F7F"/>
      <name val="Arial"/>
      <family val="2"/>
    </font>
    <font>
      <b/>
      <sz val="24"/>
      <color theme="1"/>
      <name val="Arial"/>
      <family val="2"/>
    </font>
    <font>
      <sz val="24"/>
      <color theme="0"/>
      <name val="Arial"/>
      <family val="2"/>
    </font>
    <font>
      <sz val="24"/>
      <color theme="1"/>
      <name val="Arial"/>
      <family val="2"/>
    </font>
    <font>
      <u/>
      <sz val="10"/>
      <color theme="11"/>
      <name val="Arial"/>
      <family val="2"/>
    </font>
    <font>
      <b/>
      <sz val="14"/>
      <color theme="0"/>
      <name val="Calibri"/>
      <family val="2"/>
    </font>
    <font>
      <b/>
      <sz val="11"/>
      <color theme="2"/>
      <name val="Calibri"/>
      <family val="2"/>
      <scheme val="minor"/>
    </font>
    <font>
      <sz val="10"/>
      <color rgb="FF0000FF"/>
      <name val="Arial"/>
      <family val="2"/>
    </font>
    <font>
      <b/>
      <sz val="14"/>
      <color rgb="FF0000FF"/>
      <name val="Calibri"/>
      <family val="2"/>
    </font>
    <font>
      <b/>
      <sz val="11"/>
      <color theme="0"/>
      <name val="Calibri"/>
      <family val="2"/>
    </font>
    <font>
      <i/>
      <sz val="10"/>
      <name val="Arial"/>
      <family val="2"/>
    </font>
    <font>
      <b/>
      <sz val="10"/>
      <color indexed="12"/>
      <name val="Arial"/>
      <family val="2"/>
    </font>
    <font>
      <sz val="10"/>
      <color indexed="8"/>
      <name val="Arial"/>
      <family val="2"/>
    </font>
    <font>
      <sz val="10"/>
      <color indexed="17"/>
      <name val="Arial"/>
      <family val="2"/>
    </font>
    <font>
      <sz val="8"/>
      <color indexed="12"/>
      <name val="Arial"/>
      <family val="2"/>
    </font>
    <font>
      <sz val="8"/>
      <color indexed="17"/>
      <name val="Arial"/>
      <family val="2"/>
    </font>
    <font>
      <b/>
      <i/>
      <sz val="12"/>
      <color indexed="56"/>
      <name val="Arial"/>
      <family val="2"/>
    </font>
    <font>
      <b/>
      <i/>
      <sz val="10"/>
      <color indexed="56"/>
      <name val="Arial"/>
      <family val="2"/>
    </font>
    <font>
      <sz val="10"/>
      <color indexed="10"/>
      <name val="Arial"/>
      <family val="2"/>
    </font>
    <font>
      <b/>
      <sz val="10"/>
      <name val="Arial"/>
      <family val="2"/>
    </font>
    <font>
      <b/>
      <i/>
      <sz val="10"/>
      <name val="Arial"/>
      <family val="2"/>
    </font>
    <font>
      <i/>
      <sz val="8"/>
      <name val="Arial"/>
      <family val="2"/>
    </font>
    <font>
      <b/>
      <sz val="9"/>
      <color indexed="81"/>
      <name val="Tahoma"/>
      <family val="2"/>
    </font>
    <font>
      <sz val="9"/>
      <color indexed="81"/>
      <name val="Tahoma"/>
      <family val="2"/>
    </font>
    <font>
      <sz val="10"/>
      <color rgb="FFFF0000"/>
      <name val="Arial"/>
      <family val="2"/>
    </font>
    <font>
      <sz val="12"/>
      <name val="Arial"/>
      <family val="2"/>
    </font>
    <font>
      <b/>
      <sz val="8"/>
      <color indexed="81"/>
      <name val="Tahoma"/>
      <family val="2"/>
    </font>
    <font>
      <i/>
      <sz val="10"/>
      <color indexed="12"/>
      <name val="Arial"/>
      <family val="2"/>
    </font>
    <font>
      <b/>
      <sz val="10"/>
      <color rgb="FFFF0000"/>
      <name val="Arial"/>
      <family val="2"/>
    </font>
    <font>
      <b/>
      <sz val="23"/>
      <color rgb="FF0000FF"/>
      <name val="Arial"/>
      <family val="2"/>
    </font>
    <font>
      <sz val="11"/>
      <name val="Arial"/>
      <family val="2"/>
    </font>
    <font>
      <b/>
      <sz val="14"/>
      <color rgb="FF0000FF"/>
      <name val="Arial"/>
      <family val="2"/>
    </font>
    <font>
      <b/>
      <sz val="14"/>
      <color theme="0"/>
      <name val="Arial"/>
      <family val="2"/>
    </font>
    <font>
      <b/>
      <sz val="14"/>
      <color rgb="FF027D07"/>
      <name val="Arial"/>
      <family val="2"/>
    </font>
    <font>
      <b/>
      <sz val="12"/>
      <color rgb="FF027D07"/>
      <name val="Arial"/>
      <family val="2"/>
    </font>
    <font>
      <sz val="11"/>
      <color rgb="FF027D07"/>
      <name val="Arial"/>
      <family val="2"/>
    </font>
    <font>
      <b/>
      <sz val="10"/>
      <color rgb="FF027D07"/>
      <name val="Arial"/>
      <family val="2"/>
    </font>
    <font>
      <b/>
      <sz val="11"/>
      <color theme="2"/>
      <name val="Arial"/>
      <family val="2"/>
    </font>
    <font>
      <b/>
      <sz val="11"/>
      <color theme="0"/>
      <name val="Arial"/>
      <family val="2"/>
    </font>
    <font>
      <b/>
      <sz val="11"/>
      <color rgb="FF027D07"/>
      <name val="Arial"/>
      <family val="2"/>
    </font>
    <font>
      <sz val="10"/>
      <color rgb="FF027D07"/>
      <name val="Arial"/>
      <family val="2"/>
    </font>
    <font>
      <i/>
      <sz val="10"/>
      <color rgb="FF027D07"/>
      <name val="Arial"/>
      <family val="2"/>
    </font>
    <font>
      <sz val="7"/>
      <color indexed="10"/>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E1E1E1"/>
        <bgColor indexed="64"/>
      </patternFill>
    </fill>
    <fill>
      <patternFill patternType="solid">
        <fgColor rgb="FFFFFF66"/>
        <bgColor indexed="64"/>
      </patternFill>
    </fill>
    <fill>
      <patternFill patternType="solid">
        <fgColor rgb="FFFFFFCC"/>
        <bgColor indexed="64"/>
      </patternFill>
    </fill>
    <fill>
      <patternFill patternType="solid">
        <fgColor indexed="9"/>
        <bgColor indexed="64"/>
      </patternFill>
    </fill>
    <fill>
      <patternFill patternType="solid">
        <fgColor indexed="26"/>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theme="2"/>
      </bottom>
      <diagonal/>
    </border>
    <border>
      <left/>
      <right/>
      <top/>
      <bottom style="thin">
        <color indexed="9"/>
      </bottom>
      <diagonal/>
    </border>
    <border>
      <left/>
      <right/>
      <top style="thin">
        <color indexed="9"/>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70">
    <xf numFmtId="167" fontId="0" fillId="0" borderId="0"/>
    <xf numFmtId="15" fontId="1" fillId="0" borderId="0" applyFont="0" applyFill="0" applyBorder="0" applyAlignment="0" applyProtection="0"/>
    <xf numFmtId="0" fontId="5" fillId="0" borderId="0" applyNumberFormat="0" applyFill="0" applyBorder="0" applyAlignment="0" applyProtection="0">
      <alignment vertical="top"/>
      <protection locked="0"/>
    </xf>
    <xf numFmtId="167" fontId="25" fillId="33" borderId="1" applyNumberFormat="0" applyAlignment="0" applyProtection="0"/>
    <xf numFmtId="170" fontId="1" fillId="0" borderId="0" applyFont="0" applyFill="0" applyBorder="0" applyAlignment="0" applyProtection="0"/>
    <xf numFmtId="167" fontId="25" fillId="0" borderId="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5" applyNumberFormat="0" applyAlignment="0" applyProtection="0"/>
    <xf numFmtId="0" fontId="14" fillId="5" borderId="6" applyNumberFormat="0" applyAlignment="0" applyProtection="0"/>
    <xf numFmtId="0" fontId="15" fillId="0" borderId="7" applyNumberFormat="0" applyFill="0" applyAlignment="0" applyProtection="0"/>
    <xf numFmtId="0" fontId="16" fillId="6" borderId="8" applyNumberFormat="0" applyAlignment="0" applyProtection="0"/>
    <xf numFmtId="0" fontId="17" fillId="0" borderId="0" applyNumberFormat="0" applyFill="0" applyBorder="0" applyAlignment="0" applyProtection="0"/>
    <xf numFmtId="0" fontId="1" fillId="7" borderId="9" applyNumberFormat="0" applyFont="0" applyAlignment="0" applyProtection="0"/>
    <xf numFmtId="0" fontId="18" fillId="0" borderId="0" applyNumberFormat="0" applyFill="0" applyBorder="0" applyAlignment="0" applyProtection="0"/>
    <xf numFmtId="0" fontId="19" fillId="0" borderId="10" applyNumberFormat="0" applyFill="0" applyAlignment="0" applyProtection="0"/>
    <xf numFmtId="0" fontId="20"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0" fillId="31" borderId="0" applyNumberFormat="0" applyBorder="0" applyAlignment="0" applyProtection="0"/>
    <xf numFmtId="166" fontId="22" fillId="0" borderId="0" applyNumberForma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1" fontId="1" fillId="0" borderId="0" applyFont="0" applyFill="0" applyBorder="0" applyAlignment="0" applyProtection="0"/>
    <xf numFmtId="167" fontId="26" fillId="0" borderId="11" applyNumberFormat="0" applyAlignment="0" applyProtection="0"/>
    <xf numFmtId="167" fontId="23" fillId="32" borderId="0" applyNumberFormat="0" applyBorder="0" applyProtection="0">
      <alignment horizontal="left" vertical="center"/>
    </xf>
    <xf numFmtId="167" fontId="24" fillId="0" borderId="0" applyNumberFormat="0" applyFill="0" applyBorder="0" applyAlignment="0" applyProtection="0"/>
    <xf numFmtId="172" fontId="3" fillId="0" borderId="0" applyFont="0" applyFill="0" applyBorder="0" applyAlignment="0" applyProtection="0"/>
    <xf numFmtId="170" fontId="25" fillId="33" borderId="1" applyAlignment="0" applyProtection="0"/>
    <xf numFmtId="166" fontId="1" fillId="0" borderId="0"/>
    <xf numFmtId="170" fontId="25" fillId="34" borderId="1" applyNumberFormat="0" applyFill="0" applyBorder="0" applyAlignment="0" applyProtection="0"/>
    <xf numFmtId="166" fontId="25" fillId="35" borderId="1" applyNumberFormat="0" applyAlignment="0" applyProtection="0"/>
    <xf numFmtId="173" fontId="1" fillId="0" borderId="0"/>
    <xf numFmtId="167" fontId="27" fillId="32" borderId="0" applyBorder="0" applyProtection="0">
      <alignment horizontal="left" vertical="center"/>
    </xf>
    <xf numFmtId="175" fontId="1" fillId="0" borderId="0" applyFill="0" applyBorder="0" applyAlignment="0" applyProtection="0"/>
    <xf numFmtId="179" fontId="1" fillId="0" borderId="0" applyFill="0" applyBorder="0" applyAlignment="0" applyProtection="0"/>
    <xf numFmtId="180" fontId="1" fillId="0" borderId="0" applyFill="0" applyBorder="0" applyAlignment="0" applyProtection="0"/>
    <xf numFmtId="166" fontId="3" fillId="0" borderId="0" applyNumberFormat="0" applyFill="0" applyBorder="0" applyAlignment="0" applyProtection="0"/>
    <xf numFmtId="169" fontId="1" fillId="0" borderId="0" applyFont="0" applyFill="0" applyBorder="0" applyAlignment="0" applyProtection="0"/>
    <xf numFmtId="166" fontId="3" fillId="37" borderId="1" applyNumberFormat="0" applyAlignment="0" applyProtection="0"/>
    <xf numFmtId="166" fontId="1" fillId="0" borderId="0">
      <protection locked="0"/>
    </xf>
    <xf numFmtId="166" fontId="60" fillId="0" borderId="0" applyNumberFormat="0" applyFill="0" applyBorder="0" applyProtection="0">
      <alignment vertical="center"/>
      <protection hidden="1"/>
    </xf>
  </cellStyleXfs>
  <cellXfs count="192">
    <xf numFmtId="167" fontId="0" fillId="0" borderId="0" xfId="0"/>
    <xf numFmtId="166" fontId="28" fillId="0" borderId="0" xfId="57" applyFont="1"/>
    <xf numFmtId="166" fontId="3" fillId="0" borderId="0" xfId="57" applyFont="1"/>
    <xf numFmtId="176" fontId="30" fillId="0" borderId="0" xfId="57" applyNumberFormat="1" applyFont="1" applyAlignment="1">
      <alignment horizontal="right"/>
    </xf>
    <xf numFmtId="177" fontId="30" fillId="0" borderId="0" xfId="57" applyNumberFormat="1" applyFont="1" applyAlignment="1">
      <alignment horizontal="right"/>
    </xf>
    <xf numFmtId="39" fontId="31" fillId="0" borderId="0" xfId="57" applyNumberFormat="1" applyFont="1" applyAlignment="1">
      <alignment horizontal="right"/>
    </xf>
    <xf numFmtId="7" fontId="30" fillId="36" borderId="15" xfId="57" applyNumberFormat="1" applyFont="1" applyFill="1" applyBorder="1" applyAlignment="1">
      <alignment horizontal="right"/>
    </xf>
    <xf numFmtId="167" fontId="30" fillId="36" borderId="15" xfId="57" applyNumberFormat="1" applyFont="1" applyFill="1" applyBorder="1" applyAlignment="1">
      <alignment horizontal="right"/>
    </xf>
    <xf numFmtId="176" fontId="30" fillId="36" borderId="15" xfId="57" applyNumberFormat="1" applyFont="1" applyFill="1" applyBorder="1" applyAlignment="1">
      <alignment horizontal="right"/>
    </xf>
    <xf numFmtId="177" fontId="30" fillId="36" borderId="15" xfId="57" applyNumberFormat="1" applyFont="1" applyFill="1" applyBorder="1" applyAlignment="1">
      <alignment horizontal="right"/>
    </xf>
    <xf numFmtId="177" fontId="30" fillId="36" borderId="16" xfId="57" applyNumberFormat="1" applyFont="1" applyFill="1" applyBorder="1" applyAlignment="1">
      <alignment horizontal="right"/>
    </xf>
    <xf numFmtId="39" fontId="30" fillId="36" borderId="0" xfId="57" applyNumberFormat="1" applyFont="1" applyFill="1" applyAlignment="1">
      <alignment horizontal="right"/>
    </xf>
    <xf numFmtId="167" fontId="30" fillId="36" borderId="0" xfId="57" applyNumberFormat="1" applyFont="1" applyFill="1" applyAlignment="1">
      <alignment horizontal="right"/>
    </xf>
    <xf numFmtId="176" fontId="30" fillId="36" borderId="0" xfId="57" applyNumberFormat="1" applyFont="1" applyFill="1" applyAlignment="1">
      <alignment horizontal="right"/>
    </xf>
    <xf numFmtId="177" fontId="30" fillId="36" borderId="0" xfId="57" applyNumberFormat="1" applyFont="1" applyFill="1" applyAlignment="1">
      <alignment horizontal="right"/>
    </xf>
    <xf numFmtId="177" fontId="30" fillId="36" borderId="18" xfId="57" applyNumberFormat="1" applyFont="1" applyFill="1" applyBorder="1" applyAlignment="1">
      <alignment horizontal="right"/>
    </xf>
    <xf numFmtId="39" fontId="30" fillId="36" borderId="20" xfId="57" applyNumberFormat="1" applyFont="1" applyFill="1" applyBorder="1" applyAlignment="1">
      <alignment horizontal="right"/>
    </xf>
    <xf numFmtId="167" fontId="30" fillId="36" borderId="20" xfId="57" applyNumberFormat="1" applyFont="1" applyFill="1" applyBorder="1" applyAlignment="1">
      <alignment horizontal="right"/>
    </xf>
    <xf numFmtId="176" fontId="30" fillId="36" borderId="20" xfId="57" applyNumberFormat="1" applyFont="1" applyFill="1" applyBorder="1" applyAlignment="1">
      <alignment horizontal="right"/>
    </xf>
    <xf numFmtId="177" fontId="30" fillId="36" borderId="20" xfId="57" applyNumberFormat="1" applyFont="1" applyFill="1" applyBorder="1" applyAlignment="1">
      <alignment horizontal="right"/>
    </xf>
    <xf numFmtId="177" fontId="30" fillId="36" borderId="21" xfId="57" applyNumberFormat="1" applyFont="1" applyFill="1" applyBorder="1" applyAlignment="1">
      <alignment horizontal="right"/>
    </xf>
    <xf numFmtId="39" fontId="31" fillId="0" borderId="0" xfId="57" applyNumberFormat="1" applyFont="1"/>
    <xf numFmtId="166" fontId="32" fillId="0" borderId="0" xfId="57" applyFont="1" applyAlignment="1">
      <alignment horizontal="right"/>
    </xf>
    <xf numFmtId="166" fontId="33" fillId="0" borderId="0" xfId="57" applyFont="1"/>
    <xf numFmtId="166" fontId="2" fillId="0" borderId="0" xfId="57" applyFont="1"/>
    <xf numFmtId="181" fontId="2" fillId="0" borderId="0" xfId="57" applyNumberFormat="1" applyFont="1"/>
    <xf numFmtId="166" fontId="30" fillId="0" borderId="0" xfId="57" applyFont="1"/>
    <xf numFmtId="170" fontId="0" fillId="0" borderId="0" xfId="4" applyFont="1"/>
    <xf numFmtId="166" fontId="34" fillId="0" borderId="0" xfId="57" applyFont="1"/>
    <xf numFmtId="166" fontId="35" fillId="0" borderId="0" xfId="57" applyFont="1"/>
    <xf numFmtId="166" fontId="3" fillId="0" borderId="1" xfId="57" applyFont="1" applyBorder="1" applyAlignment="1">
      <alignment horizontal="right"/>
    </xf>
    <xf numFmtId="15" fontId="3" fillId="0" borderId="1" xfId="57" applyNumberFormat="1" applyFont="1" applyBorder="1"/>
    <xf numFmtId="185" fontId="3" fillId="0" borderId="1" xfId="57" applyNumberFormat="1" applyFont="1" applyBorder="1"/>
    <xf numFmtId="166" fontId="36" fillId="0" borderId="0" xfId="57" applyFont="1"/>
    <xf numFmtId="186" fontId="3" fillId="0" borderId="1" xfId="57" applyNumberFormat="1" applyFont="1" applyBorder="1" applyAlignment="1">
      <alignment horizontal="right"/>
    </xf>
    <xf numFmtId="166" fontId="3" fillId="0" borderId="1" xfId="57" applyFont="1" applyBorder="1"/>
    <xf numFmtId="37" fontId="3" fillId="0" borderId="1" xfId="57" applyNumberFormat="1" applyFont="1" applyBorder="1" applyAlignment="1">
      <alignment horizontal="right"/>
    </xf>
    <xf numFmtId="166" fontId="37" fillId="0" borderId="0" xfId="57" applyFont="1" applyAlignment="1">
      <alignment horizontal="left"/>
    </xf>
    <xf numFmtId="166" fontId="37" fillId="0" borderId="1" xfId="57" applyFont="1" applyBorder="1"/>
    <xf numFmtId="166" fontId="37" fillId="0" borderId="0" xfId="57" applyFont="1"/>
    <xf numFmtId="187" fontId="3" fillId="0" borderId="1" xfId="57" applyNumberFormat="1" applyFont="1" applyBorder="1" applyAlignment="1">
      <alignment horizontal="right"/>
    </xf>
    <xf numFmtId="9" fontId="37" fillId="0" borderId="0" xfId="57" applyNumberFormat="1" applyFont="1"/>
    <xf numFmtId="166" fontId="39" fillId="0" borderId="0" xfId="57" applyFont="1"/>
    <xf numFmtId="166" fontId="39" fillId="0" borderId="0" xfId="57" applyFont="1" applyAlignment="1">
      <alignment horizontal="right"/>
    </xf>
    <xf numFmtId="166" fontId="28" fillId="0" borderId="0" xfId="57" applyFont="1" applyAlignment="1">
      <alignment horizontal="centerContinuous"/>
    </xf>
    <xf numFmtId="166" fontId="37" fillId="0" borderId="0" xfId="57" applyFont="1" applyAlignment="1">
      <alignment horizontal="left" indent="1"/>
    </xf>
    <xf numFmtId="39" fontId="37" fillId="0" borderId="0" xfId="57" applyNumberFormat="1" applyFont="1" applyAlignment="1">
      <alignment horizontal="right"/>
    </xf>
    <xf numFmtId="39" fontId="3" fillId="0" borderId="0" xfId="57" applyNumberFormat="1" applyFont="1" applyAlignment="1">
      <alignment horizontal="right"/>
    </xf>
    <xf numFmtId="166" fontId="28" fillId="0" borderId="0" xfId="57" applyFont="1" applyAlignment="1">
      <alignment horizontal="center"/>
    </xf>
    <xf numFmtId="166" fontId="3" fillId="0" borderId="0" xfId="57" applyFont="1" applyAlignment="1">
      <alignment horizontal="right"/>
    </xf>
    <xf numFmtId="170" fontId="28" fillId="0" borderId="0" xfId="4" applyFont="1"/>
    <xf numFmtId="170" fontId="28" fillId="0" borderId="0" xfId="4" applyFont="1" applyFill="1"/>
    <xf numFmtId="170" fontId="28" fillId="0" borderId="0" xfId="4" applyFont="1" applyFill="1" applyBorder="1"/>
    <xf numFmtId="170" fontId="0" fillId="0" borderId="0" xfId="4" applyFont="1" applyFill="1"/>
    <xf numFmtId="170" fontId="0" fillId="0" borderId="0" xfId="4" applyFont="1" applyFill="1" applyBorder="1"/>
    <xf numFmtId="166" fontId="42" fillId="0" borderId="0" xfId="57" applyFont="1"/>
    <xf numFmtId="166" fontId="29" fillId="0" borderId="0" xfId="57" applyFont="1"/>
    <xf numFmtId="166" fontId="3" fillId="0" borderId="0" xfId="57" applyFont="1" applyAlignment="1">
      <alignment wrapText="1"/>
    </xf>
    <xf numFmtId="174" fontId="3" fillId="0" borderId="0" xfId="57" applyNumberFormat="1" applyFont="1"/>
    <xf numFmtId="170" fontId="3" fillId="0" borderId="1" xfId="57" applyNumberFormat="1" applyFont="1" applyBorder="1"/>
    <xf numFmtId="166" fontId="38" fillId="0" borderId="0" xfId="57" applyFont="1"/>
    <xf numFmtId="170" fontId="38" fillId="0" borderId="0" xfId="4" applyFont="1" applyFill="1" applyBorder="1"/>
    <xf numFmtId="182" fontId="28" fillId="0" borderId="0" xfId="4" applyNumberFormat="1" applyFont="1" applyFill="1"/>
    <xf numFmtId="182" fontId="28" fillId="0" borderId="0" xfId="4" applyNumberFormat="1" applyFont="1" applyFill="1" applyBorder="1"/>
    <xf numFmtId="178" fontId="37" fillId="0" borderId="0" xfId="57" applyNumberFormat="1" applyFont="1"/>
    <xf numFmtId="178" fontId="28" fillId="0" borderId="0" xfId="57" applyNumberFormat="1" applyFont="1"/>
    <xf numFmtId="170" fontId="28" fillId="0" borderId="0" xfId="4" applyFont="1" applyBorder="1"/>
    <xf numFmtId="166" fontId="43" fillId="0" borderId="0" xfId="57" applyFont="1"/>
    <xf numFmtId="169" fontId="3" fillId="0" borderId="0" xfId="66" applyFont="1"/>
    <xf numFmtId="166" fontId="28" fillId="0" borderId="0" xfId="57" applyFont="1" applyAlignment="1">
      <alignment horizontal="left"/>
    </xf>
    <xf numFmtId="167" fontId="0" fillId="0" borderId="0" xfId="4" applyNumberFormat="1" applyFont="1" applyFill="1"/>
    <xf numFmtId="166" fontId="45" fillId="0" borderId="0" xfId="57" applyFont="1"/>
    <xf numFmtId="174" fontId="28" fillId="0" borderId="0" xfId="57" applyNumberFormat="1" applyFont="1"/>
    <xf numFmtId="166" fontId="3" fillId="0" borderId="22" xfId="57" applyFont="1" applyBorder="1"/>
    <xf numFmtId="167" fontId="0" fillId="0" borderId="0" xfId="4" applyNumberFormat="1" applyFont="1"/>
    <xf numFmtId="166" fontId="46" fillId="0" borderId="0" xfId="57" applyFont="1"/>
    <xf numFmtId="37" fontId="0" fillId="0" borderId="0" xfId="4" applyNumberFormat="1" applyFont="1" applyFill="1"/>
    <xf numFmtId="170" fontId="37" fillId="0" borderId="0" xfId="4" applyFont="1" applyFill="1"/>
    <xf numFmtId="170" fontId="37" fillId="0" borderId="0" xfId="4" applyFont="1"/>
    <xf numFmtId="166" fontId="25" fillId="0" borderId="0" xfId="57" applyFont="1" applyAlignment="1">
      <alignment horizontal="right"/>
    </xf>
    <xf numFmtId="167" fontId="47" fillId="0" borderId="0" xfId="0" applyFont="1"/>
    <xf numFmtId="167" fontId="48" fillId="0" borderId="0" xfId="0" applyFont="1"/>
    <xf numFmtId="37" fontId="49" fillId="0" borderId="11" xfId="52" applyNumberFormat="1" applyFont="1"/>
    <xf numFmtId="167" fontId="50" fillId="32" borderId="0" xfId="53" applyFont="1">
      <alignment horizontal="left" vertical="center"/>
    </xf>
    <xf numFmtId="167" fontId="25" fillId="33" borderId="1" xfId="3" applyAlignment="1">
      <alignment horizontal="center"/>
    </xf>
    <xf numFmtId="167" fontId="51" fillId="0" borderId="0" xfId="0" applyFont="1"/>
    <xf numFmtId="37" fontId="52" fillId="0" borderId="0" xfId="0" applyNumberFormat="1" applyFont="1" applyAlignment="1">
      <alignment horizontal="center"/>
    </xf>
    <xf numFmtId="167" fontId="53" fillId="0" borderId="0" xfId="0" applyFont="1"/>
    <xf numFmtId="37" fontId="51" fillId="0" borderId="11" xfId="52" applyNumberFormat="1" applyFont="1"/>
    <xf numFmtId="167" fontId="51" fillId="0" borderId="11" xfId="52" applyFont="1"/>
    <xf numFmtId="15" fontId="51" fillId="0" borderId="11" xfId="52" applyNumberFormat="1" applyFont="1" applyAlignment="1">
      <alignment horizontal="center"/>
    </xf>
    <xf numFmtId="37" fontId="54" fillId="0" borderId="11" xfId="52" applyNumberFormat="1" applyFont="1"/>
    <xf numFmtId="166" fontId="0" fillId="0" borderId="0" xfId="57" applyFont="1"/>
    <xf numFmtId="166" fontId="55" fillId="0" borderId="0" xfId="54" applyNumberFormat="1" applyFont="1"/>
    <xf numFmtId="174" fontId="0" fillId="0" borderId="0" xfId="57" applyNumberFormat="1" applyFont="1"/>
    <xf numFmtId="167" fontId="56" fillId="32" borderId="0" xfId="61" applyFont="1" applyBorder="1" applyProtection="1">
      <alignment horizontal="left" vertical="center"/>
      <protection locked="0"/>
    </xf>
    <xf numFmtId="167" fontId="56" fillId="32" borderId="0" xfId="61" applyFont="1" applyBorder="1" applyAlignment="1" applyProtection="1">
      <alignment horizontal="centerContinuous" vertical="center"/>
      <protection locked="0"/>
    </xf>
    <xf numFmtId="167" fontId="56" fillId="32" borderId="12" xfId="61" applyFont="1" applyBorder="1" applyAlignment="1" applyProtection="1">
      <alignment horizontal="centerContinuous" vertical="center"/>
      <protection locked="0"/>
    </xf>
    <xf numFmtId="167" fontId="56" fillId="32" borderId="0" xfId="61" applyFont="1" applyBorder="1" applyAlignment="1" applyProtection="1">
      <alignment horizontal="center" vertical="center"/>
      <protection locked="0"/>
    </xf>
    <xf numFmtId="167" fontId="56" fillId="32" borderId="13" xfId="61" applyFont="1" applyBorder="1" applyAlignment="1" applyProtection="1">
      <alignment horizontal="center" vertical="center"/>
      <protection locked="0"/>
    </xf>
    <xf numFmtId="175" fontId="0" fillId="0" borderId="0" xfId="62" applyFont="1" applyFill="1" applyBorder="1"/>
    <xf numFmtId="167" fontId="0" fillId="0" borderId="0" xfId="57" applyNumberFormat="1" applyFont="1" applyAlignment="1">
      <alignment horizontal="right"/>
    </xf>
    <xf numFmtId="178" fontId="0" fillId="0" borderId="0" xfId="57" applyNumberFormat="1" applyFont="1"/>
    <xf numFmtId="15" fontId="0" fillId="0" borderId="0" xfId="57" applyNumberFormat="1" applyFont="1"/>
    <xf numFmtId="179" fontId="0" fillId="0" borderId="0" xfId="63" applyFont="1" applyFill="1" applyBorder="1"/>
    <xf numFmtId="180" fontId="0" fillId="0" borderId="0" xfId="64" applyFont="1" applyFill="1" applyBorder="1"/>
    <xf numFmtId="166" fontId="0" fillId="0" borderId="0" xfId="57" applyFont="1" applyAlignment="1">
      <alignment horizontal="right"/>
    </xf>
    <xf numFmtId="166" fontId="0" fillId="36" borderId="14" xfId="57" applyFont="1" applyFill="1" applyBorder="1"/>
    <xf numFmtId="166" fontId="0" fillId="36" borderId="17" xfId="57" applyFont="1" applyFill="1" applyBorder="1"/>
    <xf numFmtId="166" fontId="0" fillId="36" borderId="19" xfId="57" applyFont="1" applyFill="1" applyBorder="1"/>
    <xf numFmtId="182" fontId="0" fillId="0" borderId="0" xfId="57" applyNumberFormat="1" applyFont="1" applyAlignment="1">
      <alignment horizontal="right"/>
    </xf>
    <xf numFmtId="183" fontId="0" fillId="0" borderId="0" xfId="57" applyNumberFormat="1" applyFont="1" applyAlignment="1">
      <alignment horizontal="right"/>
    </xf>
    <xf numFmtId="182" fontId="0" fillId="36" borderId="15" xfId="57" applyNumberFormat="1" applyFont="1" applyFill="1" applyBorder="1" applyAlignment="1">
      <alignment horizontal="right"/>
    </xf>
    <xf numFmtId="183" fontId="0" fillId="36" borderId="15" xfId="57" applyNumberFormat="1" applyFont="1" applyFill="1" applyBorder="1" applyAlignment="1">
      <alignment horizontal="right"/>
    </xf>
    <xf numFmtId="183" fontId="0" fillId="36" borderId="16" xfId="57" applyNumberFormat="1" applyFont="1" applyFill="1" applyBorder="1" applyAlignment="1">
      <alignment horizontal="right"/>
    </xf>
    <xf numFmtId="182" fontId="0" fillId="36" borderId="0" xfId="57" applyNumberFormat="1" applyFont="1" applyFill="1" applyAlignment="1">
      <alignment horizontal="right"/>
    </xf>
    <xf numFmtId="183" fontId="0" fillId="36" borderId="0" xfId="57" applyNumberFormat="1" applyFont="1" applyFill="1" applyAlignment="1">
      <alignment horizontal="right"/>
    </xf>
    <xf numFmtId="183" fontId="0" fillId="36" borderId="18" xfId="57" applyNumberFormat="1" applyFont="1" applyFill="1" applyBorder="1" applyAlignment="1">
      <alignment horizontal="right"/>
    </xf>
    <xf numFmtId="182" fontId="0" fillId="36" borderId="20" xfId="57" applyNumberFormat="1" applyFont="1" applyFill="1" applyBorder="1" applyAlignment="1">
      <alignment horizontal="right"/>
    </xf>
    <xf numFmtId="183" fontId="0" fillId="36" borderId="20" xfId="57" applyNumberFormat="1" applyFont="1" applyFill="1" applyBorder="1" applyAlignment="1">
      <alignment horizontal="right"/>
    </xf>
    <xf numFmtId="183" fontId="0" fillId="36" borderId="21" xfId="57" applyNumberFormat="1" applyFont="1" applyFill="1" applyBorder="1" applyAlignment="1">
      <alignment horizontal="right"/>
    </xf>
    <xf numFmtId="166" fontId="51" fillId="0" borderId="0" xfId="52" applyNumberFormat="1" applyFont="1" applyBorder="1"/>
    <xf numFmtId="166" fontId="57" fillId="0" borderId="0" xfId="52" applyNumberFormat="1" applyFont="1" applyBorder="1" applyAlignment="1">
      <alignment horizontal="center"/>
    </xf>
    <xf numFmtId="166" fontId="58" fillId="0" borderId="0" xfId="57" applyFont="1"/>
    <xf numFmtId="166" fontId="51" fillId="0" borderId="11" xfId="52" applyNumberFormat="1" applyFont="1"/>
    <xf numFmtId="168" fontId="57" fillId="0" borderId="11" xfId="52" applyNumberFormat="1" applyFont="1" applyAlignment="1">
      <alignment horizontal="center" vertical="center"/>
    </xf>
    <xf numFmtId="166" fontId="59" fillId="0" borderId="0" xfId="57" applyFont="1"/>
    <xf numFmtId="167" fontId="50" fillId="32" borderId="0" xfId="53" applyFont="1" applyBorder="1">
      <alignment horizontal="left" vertical="center"/>
    </xf>
    <xf numFmtId="166" fontId="55" fillId="0" borderId="0" xfId="54" applyNumberFormat="1" applyFont="1" applyFill="1" applyBorder="1" applyAlignment="1"/>
    <xf numFmtId="175" fontId="0" fillId="0" borderId="0" xfId="62" applyFont="1" applyFill="1" applyBorder="1" applyAlignment="1">
      <alignment horizontal="right"/>
    </xf>
    <xf numFmtId="166" fontId="0" fillId="0" borderId="0" xfId="57" applyFont="1" applyAlignment="1">
      <alignment horizontal="centerContinuous"/>
    </xf>
    <xf numFmtId="167" fontId="56" fillId="32" borderId="0" xfId="61" applyFont="1" applyBorder="1">
      <alignment horizontal="left" vertical="center"/>
    </xf>
    <xf numFmtId="15" fontId="56" fillId="32" borderId="0" xfId="1" applyFont="1" applyFill="1" applyAlignment="1" applyProtection="1">
      <alignment horizontal="center" vertical="center"/>
      <protection hidden="1"/>
    </xf>
    <xf numFmtId="166" fontId="0" fillId="0" borderId="0" xfId="57" applyFont="1" applyAlignment="1">
      <alignment horizontal="left"/>
    </xf>
    <xf numFmtId="167" fontId="56" fillId="32" borderId="0" xfId="61" applyFont="1">
      <alignment horizontal="left" vertical="center"/>
    </xf>
    <xf numFmtId="9" fontId="0" fillId="0" borderId="0" xfId="57" applyNumberFormat="1" applyFont="1"/>
    <xf numFmtId="175" fontId="3" fillId="0" borderId="1" xfId="65" applyNumberFormat="1" applyFill="1" applyBorder="1" applyAlignment="1">
      <alignment horizontal="right"/>
    </xf>
    <xf numFmtId="184" fontId="0" fillId="0" borderId="0" xfId="57" applyNumberFormat="1" applyFont="1"/>
    <xf numFmtId="10" fontId="0" fillId="0" borderId="0" xfId="57" applyNumberFormat="1" applyFont="1"/>
    <xf numFmtId="167" fontId="0" fillId="0" borderId="0" xfId="57" applyNumberFormat="1" applyFont="1"/>
    <xf numFmtId="190" fontId="56" fillId="32" borderId="0" xfId="61" applyNumberFormat="1" applyFont="1" applyAlignment="1" applyProtection="1">
      <alignment horizontal="center" vertical="center"/>
      <protection hidden="1"/>
    </xf>
    <xf numFmtId="166" fontId="0" fillId="0" borderId="1" xfId="57" applyFont="1" applyBorder="1"/>
    <xf numFmtId="167" fontId="56" fillId="32" borderId="0" xfId="61" applyFont="1" applyAlignment="1" applyProtection="1">
      <alignment horizontal="center" vertical="center"/>
      <protection hidden="1"/>
    </xf>
    <xf numFmtId="167" fontId="56" fillId="32" borderId="0" xfId="61" applyFont="1" applyBorder="1" applyAlignment="1">
      <alignment horizontal="centerContinuous" vertical="center"/>
    </xf>
    <xf numFmtId="167" fontId="56" fillId="32" borderId="0" xfId="61" applyFont="1" applyAlignment="1">
      <alignment horizontal="centerContinuous" vertical="center"/>
    </xf>
    <xf numFmtId="166" fontId="0" fillId="0" borderId="14" xfId="57" applyFont="1" applyBorder="1"/>
    <xf numFmtId="166" fontId="0" fillId="0" borderId="15" xfId="57" applyFont="1" applyBorder="1"/>
    <xf numFmtId="166" fontId="0" fillId="0" borderId="16" xfId="57" applyFont="1" applyBorder="1"/>
    <xf numFmtId="166" fontId="0" fillId="0" borderId="17" xfId="57" applyFont="1" applyBorder="1" applyAlignment="1">
      <alignment horizontal="right"/>
    </xf>
    <xf numFmtId="166" fontId="0" fillId="0" borderId="18" xfId="57" applyFont="1" applyBorder="1" applyAlignment="1">
      <alignment horizontal="right"/>
    </xf>
    <xf numFmtId="174" fontId="0" fillId="0" borderId="19" xfId="57" applyNumberFormat="1" applyFont="1" applyBorder="1"/>
    <xf numFmtId="174" fontId="0" fillId="0" borderId="20" xfId="57" applyNumberFormat="1" applyFont="1" applyBorder="1"/>
    <xf numFmtId="174" fontId="0" fillId="0" borderId="21" xfId="57" applyNumberFormat="1" applyFont="1" applyBorder="1"/>
    <xf numFmtId="167" fontId="56" fillId="32" borderId="14" xfId="61" applyFont="1" applyBorder="1" applyProtection="1">
      <alignment horizontal="left" vertical="center"/>
      <protection hidden="1"/>
    </xf>
    <xf numFmtId="167" fontId="56" fillId="32" borderId="16" xfId="61" applyFont="1" applyBorder="1" applyProtection="1">
      <alignment horizontal="left" vertical="center"/>
      <protection hidden="1"/>
    </xf>
    <xf numFmtId="9" fontId="3" fillId="0" borderId="19" xfId="65" applyNumberFormat="1" applyBorder="1"/>
    <xf numFmtId="166" fontId="3" fillId="0" borderId="1" xfId="65" applyNumberFormat="1" applyFill="1" applyBorder="1" applyAlignment="1"/>
    <xf numFmtId="178" fontId="3" fillId="0" borderId="1" xfId="65" applyNumberFormat="1" applyFill="1" applyBorder="1" applyAlignment="1"/>
    <xf numFmtId="166" fontId="55" fillId="0" borderId="0" xfId="54" applyNumberFormat="1" applyFont="1" applyBorder="1"/>
    <xf numFmtId="166" fontId="0" fillId="0" borderId="0" xfId="57" applyFont="1" applyAlignment="1">
      <alignment horizontal="center"/>
    </xf>
    <xf numFmtId="170" fontId="0" fillId="0" borderId="0" xfId="4" applyFont="1" applyBorder="1"/>
    <xf numFmtId="166" fontId="3" fillId="0" borderId="1" xfId="65" applyNumberFormat="1" applyBorder="1" applyAlignment="1"/>
    <xf numFmtId="170" fontId="0" fillId="0" borderId="0" xfId="57" applyNumberFormat="1" applyFont="1"/>
    <xf numFmtId="182" fontId="0" fillId="0" borderId="0" xfId="4" applyNumberFormat="1" applyFont="1" applyFill="1"/>
    <xf numFmtId="167" fontId="0" fillId="0" borderId="0" xfId="57" applyNumberFormat="1" applyFont="1" applyProtection="1">
      <protection locked="0"/>
    </xf>
    <xf numFmtId="166" fontId="25" fillId="33" borderId="1" xfId="3" applyNumberFormat="1"/>
    <xf numFmtId="188" fontId="25" fillId="33" borderId="1" xfId="3" applyNumberFormat="1"/>
    <xf numFmtId="174" fontId="25" fillId="33" borderId="1" xfId="3" applyNumberFormat="1"/>
    <xf numFmtId="169" fontId="0" fillId="0" borderId="0" xfId="66" applyFont="1"/>
    <xf numFmtId="166" fontId="3" fillId="0" borderId="0" xfId="65" applyNumberFormat="1"/>
    <xf numFmtId="166" fontId="3" fillId="0" borderId="0" xfId="65" applyNumberFormat="1" applyFill="1"/>
    <xf numFmtId="166" fontId="57" fillId="0" borderId="0" xfId="57" applyFont="1" applyAlignment="1" applyProtection="1">
      <alignment vertical="center"/>
      <protection hidden="1"/>
    </xf>
    <xf numFmtId="166" fontId="57" fillId="0" borderId="0" xfId="57" applyFont="1" applyAlignment="1" applyProtection="1">
      <alignment horizontal="center"/>
      <protection locked="0"/>
    </xf>
    <xf numFmtId="166" fontId="57" fillId="0" borderId="0" xfId="57" applyFont="1" applyAlignment="1" applyProtection="1">
      <alignment vertical="center"/>
      <protection locked="0"/>
    </xf>
    <xf numFmtId="166" fontId="57" fillId="0" borderId="0" xfId="57" applyFont="1" applyProtection="1">
      <protection locked="0"/>
    </xf>
    <xf numFmtId="166" fontId="53" fillId="0" borderId="0" xfId="57" applyFont="1"/>
    <xf numFmtId="166" fontId="54" fillId="0" borderId="0" xfId="57" applyFont="1" applyAlignment="1" applyProtection="1">
      <alignment vertical="center"/>
      <protection hidden="1"/>
    </xf>
    <xf numFmtId="179" fontId="0" fillId="0" borderId="0" xfId="63" applyFont="1" applyFill="1" applyBorder="1" applyAlignment="1">
      <alignment horizontal="right"/>
    </xf>
    <xf numFmtId="179" fontId="3" fillId="0" borderId="1" xfId="65" applyNumberFormat="1" applyFill="1" applyBorder="1" applyAlignment="1">
      <alignment horizontal="right"/>
    </xf>
    <xf numFmtId="166" fontId="0" fillId="0" borderId="1" xfId="57" applyFont="1" applyBorder="1" applyAlignment="1">
      <alignment horizontal="right"/>
    </xf>
    <xf numFmtId="179" fontId="0" fillId="0" borderId="0" xfId="63" applyFont="1" applyBorder="1"/>
    <xf numFmtId="166" fontId="3" fillId="0" borderId="1" xfId="65" applyFill="1" applyBorder="1"/>
    <xf numFmtId="4" fontId="0" fillId="0" borderId="0" xfId="4" applyNumberFormat="1" applyFont="1"/>
    <xf numFmtId="189" fontId="0" fillId="0" borderId="0" xfId="57" applyNumberFormat="1" applyFont="1" applyAlignment="1">
      <alignment horizontal="right"/>
    </xf>
    <xf numFmtId="166" fontId="50" fillId="32" borderId="0" xfId="53" applyNumberFormat="1" applyFont="1" applyBorder="1">
      <alignment horizontal="left" vertical="center"/>
    </xf>
    <xf numFmtId="166" fontId="50" fillId="32" borderId="0" xfId="53" applyNumberFormat="1" applyFont="1">
      <alignment horizontal="left" vertical="center"/>
    </xf>
    <xf numFmtId="175" fontId="0" fillId="0" borderId="0" xfId="62" applyFont="1"/>
    <xf numFmtId="178" fontId="3" fillId="0" borderId="1" xfId="65" applyNumberFormat="1" applyBorder="1" applyAlignment="1"/>
    <xf numFmtId="180" fontId="0" fillId="0" borderId="0" xfId="64" applyFont="1" applyBorder="1"/>
    <xf numFmtId="180" fontId="3" fillId="0" borderId="1" xfId="65" applyNumberFormat="1" applyBorder="1"/>
    <xf numFmtId="180" fontId="3" fillId="0" borderId="1" xfId="65" applyNumberFormat="1" applyFill="1" applyBorder="1"/>
    <xf numFmtId="178" fontId="0" fillId="0" borderId="0" xfId="57" applyNumberFormat="1" applyFont="1" applyAlignment="1">
      <alignment horizontal="right"/>
    </xf>
  </cellXfs>
  <cellStyles count="70">
    <cellStyle name="20% - Accent1" xfId="23" builtinId="30" hidden="1"/>
    <cellStyle name="20% - Accent2" xfId="27" builtinId="34" hidden="1"/>
    <cellStyle name="20% - Accent3" xfId="31" builtinId="38" hidden="1"/>
    <cellStyle name="20% - Accent4" xfId="35" builtinId="42" hidden="1"/>
    <cellStyle name="20% - Accent5" xfId="39" builtinId="46" hidden="1"/>
    <cellStyle name="20% - Accent6" xfId="43" builtinId="50" hidden="1"/>
    <cellStyle name="40% - Accent1" xfId="24" builtinId="31" hidden="1"/>
    <cellStyle name="40% - Accent2" xfId="28" builtinId="35" hidden="1"/>
    <cellStyle name="40% - Accent3" xfId="32" builtinId="39" hidden="1"/>
    <cellStyle name="40% - Accent4" xfId="36" builtinId="43" hidden="1"/>
    <cellStyle name="40% - Accent5" xfId="40" builtinId="47" hidden="1"/>
    <cellStyle name="40% - Accent6" xfId="44" builtinId="51" hidden="1"/>
    <cellStyle name="60% - Accent1" xfId="25" builtinId="32" hidden="1"/>
    <cellStyle name="60% - Accent2" xfId="29" builtinId="36" hidden="1"/>
    <cellStyle name="60% - Accent3" xfId="33" builtinId="40" hidden="1"/>
    <cellStyle name="60% - Accent4" xfId="37" builtinId="44" hidden="1"/>
    <cellStyle name="60% - Accent5" xfId="41" builtinId="48" hidden="1"/>
    <cellStyle name="60% - Accent6" xfId="45" builtinId="52" hidden="1"/>
    <cellStyle name="Accent1" xfId="22" builtinId="29" hidden="1"/>
    <cellStyle name="Accent2" xfId="26" builtinId="33" hidden="1"/>
    <cellStyle name="Accent3" xfId="30" builtinId="37" hidden="1"/>
    <cellStyle name="Accent4" xfId="34" builtinId="41" hidden="1"/>
    <cellStyle name="Accent5" xfId="38" builtinId="45" hidden="1"/>
    <cellStyle name="Accent6" xfId="42" builtinId="49" hidden="1"/>
    <cellStyle name="Bad" xfId="12" builtinId="27" hidden="1"/>
    <cellStyle name="Blank" xfId="60" xr:uid="{00000000-0005-0000-0000-000019000000}"/>
    <cellStyle name="Blue" xfId="58" xr:uid="{00000000-0005-0000-0000-00001A000000}"/>
    <cellStyle name="Blue 2" xfId="65" xr:uid="{00000000-0005-0000-0000-00001B000000}"/>
    <cellStyle name="Calculation" xfId="15" builtinId="22" hidden="1"/>
    <cellStyle name="Check Cell" xfId="17" builtinId="23" hidden="1"/>
    <cellStyle name="Comma" xfId="47" builtinId="3" hidden="1"/>
    <cellStyle name="Comma [0]" xfId="48" builtinId="6" hidden="1"/>
    <cellStyle name="Currency" xfId="49" builtinId="4" hidden="1"/>
    <cellStyle name="Currency [0]" xfId="50" builtinId="7" hidden="1"/>
    <cellStyle name="Date" xfId="1" xr:uid="{00000000-0005-0000-0000-000022000000}"/>
    <cellStyle name="Date 2" xfId="66" xr:uid="{00000000-0005-0000-0000-000023000000}"/>
    <cellStyle name="Dollar" xfId="62" xr:uid="{00000000-0005-0000-0000-000024000000}"/>
    <cellStyle name="Euro" xfId="63" xr:uid="{00000000-0005-0000-0000-000025000000}"/>
    <cellStyle name="Explanatory Text" xfId="20" builtinId="53" hidden="1"/>
    <cellStyle name="Followed Hyperlink" xfId="46" builtinId="9" hidden="1"/>
    <cellStyle name="Good" xfId="11" builtinId="26" hidden="1"/>
    <cellStyle name="Header" xfId="52" xr:uid="{00000000-0005-0000-0000-000029000000}"/>
    <cellStyle name="Heading 1" xfId="7" builtinId="16" hidden="1"/>
    <cellStyle name="Heading 2" xfId="8" builtinId="17" hidden="1"/>
    <cellStyle name="Heading 3" xfId="9" builtinId="18" hidden="1"/>
    <cellStyle name="Heading 4" xfId="10" builtinId="19" hidden="1"/>
    <cellStyle name="Historics" xfId="5" xr:uid="{00000000-0005-0000-0000-00002E000000}"/>
    <cellStyle name="Hyperlink" xfId="2" builtinId="8" hidden="1"/>
    <cellStyle name="I" xfId="59" xr:uid="{00000000-0005-0000-0000-000030000000}"/>
    <cellStyle name="Input" xfId="3" builtinId="20" customBuiltin="1"/>
    <cellStyle name="Input %" xfId="56" xr:uid="{00000000-0005-0000-0000-000032000000}"/>
    <cellStyle name="Input 2" xfId="67" xr:uid="{00000000-0005-0000-0000-000033000000}"/>
    <cellStyle name="Linked Cell" xfId="16" builtinId="24" hidden="1"/>
    <cellStyle name="Multiple" xfId="51" xr:uid="{00000000-0005-0000-0000-000035000000}"/>
    <cellStyle name="Neutral" xfId="13" builtinId="28" hidden="1"/>
    <cellStyle name="Normal" xfId="0" builtinId="0" customBuiltin="1"/>
    <cellStyle name="Normal 2" xfId="57" xr:uid="{00000000-0005-0000-0000-000038000000}"/>
    <cellStyle name="Normal 3" xfId="68" xr:uid="{1EEDB2EB-BEED-4A82-A00E-0AE4C520A4A3}"/>
    <cellStyle name="Note" xfId="19" builtinId="10" hidden="1"/>
    <cellStyle name="Output" xfId="14" builtinId="21" hidden="1"/>
    <cellStyle name="Percent" xfId="4" builtinId="5" customBuiltin="1"/>
    <cellStyle name="SubHeader" xfId="53" xr:uid="{00000000-0005-0000-0000-00003C000000}"/>
    <cellStyle name="SubHeader 3" xfId="61" xr:uid="{00000000-0005-0000-0000-00003D000000}"/>
    <cellStyle name="SubHeader2" xfId="54" xr:uid="{00000000-0005-0000-0000-00003E000000}"/>
    <cellStyle name="SwissF" xfId="64" xr:uid="{00000000-0005-0000-0000-00003F000000}"/>
    <cellStyle name="Title" xfId="6" builtinId="15" hidden="1"/>
    <cellStyle name="Total" xfId="21" builtinId="25" hidden="1"/>
    <cellStyle name="Warning Text" xfId="18" builtinId="11" hidden="1"/>
    <cellStyle name="xGuides" xfId="69" xr:uid="{9E409B15-74C9-48F6-9A08-819920FCA998}"/>
    <cellStyle name="YesNo" xfId="55" xr:uid="{00000000-0005-0000-0000-000043000000}"/>
  </cellStyles>
  <dxfs count="2">
    <dxf>
      <font>
        <b/>
        <i val="0"/>
        <color rgb="FF0500FF"/>
      </font>
    </dxf>
    <dxf>
      <font>
        <b/>
        <i val="0"/>
        <color rgb="FF0000F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6E00"/>
      <rgbColor rgb="00000080"/>
      <rgbColor rgb="00808000"/>
      <rgbColor rgb="00800080"/>
      <rgbColor rgb="00008080"/>
      <rgbColor rgb="00C0C0C0"/>
      <rgbColor rgb="00808080"/>
      <rgbColor rgb="00EAFFDF"/>
      <rgbColor rgb="00993366"/>
      <rgbColor rgb="00FFFFCB"/>
      <rgbColor rgb="00E3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3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27D07"/>
      <color rgb="FF0000FF"/>
      <color rgb="FFE1E1E1"/>
      <color rgb="FF0500FF"/>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ype="http://schemas.openxmlformats.org/officeDocument/2006/relationships/worksheet" Target="worksheets/sheet8.xml" /><Relationship Id="rId13"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tyles" Target="style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theme" Target="theme/theme1.xml" /><Relationship Id="rId5" Type="http://schemas.openxmlformats.org/officeDocument/2006/relationships/worksheet" Target="worksheets/sheet5.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calcChain" Target="calcChain.xml" /></Relationships>
</file>

<file path=xl/theme/theme1.xml><?xml version="1.0" encoding="utf-8"?>
<a:theme xmlns:a="http://schemas.openxmlformats.org/drawingml/2006/main" name="Office Theme">
  <a:themeElements>
    <a:clrScheme name="Office">
      <a:dk1>
        <a:srgbClr val="000000"/>
      </a:dk1>
      <a:lt1>
        <a:sysClr val="window" lastClr="FFFFFF"/>
      </a:lt1>
      <a:dk2>
        <a:srgbClr val="46484C"/>
      </a:dk2>
      <a:lt2>
        <a:srgbClr val="65686D"/>
      </a:lt2>
      <a:accent1>
        <a:srgbClr val="AFD7FF"/>
      </a:accent1>
      <a:accent2>
        <a:srgbClr val="007BEA"/>
      </a:accent2>
      <a:accent3>
        <a:srgbClr val="64E8C8"/>
      </a:accent3>
      <a:accent4>
        <a:srgbClr val="6DB9FF"/>
      </a:accent4>
      <a:accent5>
        <a:srgbClr val="C5D2D5"/>
      </a:accent5>
      <a:accent6>
        <a:srgbClr val="FFFFA0"/>
      </a:accent6>
      <a:hlink>
        <a:srgbClr val="00B050"/>
      </a:hlink>
      <a:folHlink>
        <a:srgbClr val="D2001E"/>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21"/>
  <sheetViews>
    <sheetView showGridLines="0" tabSelected="1" zoomScaleNormal="100" workbookViewId="0">
      <selection activeCell="F23" sqref="F23"/>
    </sheetView>
  </sheetViews>
  <sheetFormatPr baseColWidth="10" defaultColWidth="9.1640625" defaultRowHeight="14" x14ac:dyDescent="0.15"/>
  <cols>
    <col min="1" max="1" width="2.5" style="81" customWidth="1"/>
    <col min="2" max="2" width="30.5" style="81" customWidth="1"/>
    <col min="3" max="3" width="13.5" style="81" customWidth="1"/>
    <col min="4" max="4" width="14.1640625" style="81" customWidth="1"/>
    <col min="5" max="14" width="13.5" style="81" customWidth="1"/>
    <col min="15" max="15" width="13.1640625" style="81" customWidth="1"/>
    <col min="16" max="16" width="12.5" style="81" customWidth="1"/>
    <col min="17" max="17" width="13.1640625" style="81" customWidth="1"/>
    <col min="18" max="16384" width="9.1640625" style="81"/>
  </cols>
  <sheetData>
    <row r="1" spans="1:15" s="87" customFormat="1" ht="18" x14ac:dyDescent="0.2">
      <c r="A1" s="85" t="s">
        <v>1</v>
      </c>
      <c r="B1" s="85"/>
      <c r="C1" s="85"/>
      <c r="D1" s="85"/>
      <c r="E1" s="86"/>
      <c r="F1" s="86"/>
      <c r="G1" s="86"/>
      <c r="H1" s="86"/>
      <c r="I1" s="86"/>
      <c r="J1" s="86"/>
      <c r="K1" s="86"/>
      <c r="L1" s="86"/>
      <c r="M1" s="86"/>
      <c r="N1" s="86"/>
      <c r="O1" s="86"/>
    </row>
    <row r="2" spans="1:15" s="87" customFormat="1" ht="19" thickBot="1" x14ac:dyDescent="0.25">
      <c r="A2" s="91" t="s">
        <v>2</v>
      </c>
      <c r="B2" s="89"/>
      <c r="C2" s="89"/>
      <c r="D2" s="89"/>
      <c r="E2" s="90"/>
      <c r="F2" s="90"/>
      <c r="G2" s="90"/>
      <c r="H2" s="90"/>
      <c r="I2" s="90"/>
      <c r="J2" s="90"/>
      <c r="K2" s="90"/>
      <c r="L2" s="90"/>
      <c r="M2" s="90"/>
      <c r="N2" s="90"/>
      <c r="O2" s="90"/>
    </row>
    <row r="3" spans="1:15" ht="15" thickTop="1" x14ac:dyDescent="0.15"/>
    <row r="4" spans="1:15" ht="18" x14ac:dyDescent="0.15">
      <c r="A4" s="83" t="s">
        <v>3</v>
      </c>
      <c r="B4" s="83"/>
      <c r="C4" s="83"/>
      <c r="D4" s="83"/>
      <c r="E4" s="83"/>
      <c r="F4" s="83"/>
      <c r="G4" s="83"/>
      <c r="H4" s="83"/>
      <c r="I4" s="83"/>
      <c r="J4" s="83"/>
      <c r="K4" s="83"/>
      <c r="L4" s="83"/>
      <c r="M4" s="83"/>
      <c r="N4" s="83"/>
      <c r="O4" s="83"/>
    </row>
    <row r="5" spans="1:15" customFormat="1" ht="13" x14ac:dyDescent="0.15"/>
    <row r="6" spans="1:15" customFormat="1" ht="13" x14ac:dyDescent="0.15">
      <c r="B6" t="s">
        <v>4</v>
      </c>
    </row>
    <row r="7" spans="1:15" customFormat="1" ht="13" x14ac:dyDescent="0.15">
      <c r="B7" t="s">
        <v>5</v>
      </c>
    </row>
    <row r="8" spans="1:15" customFormat="1" ht="13" x14ac:dyDescent="0.15">
      <c r="B8" t="s">
        <v>6</v>
      </c>
    </row>
    <row r="9" spans="1:15" customFormat="1" ht="13" x14ac:dyDescent="0.15">
      <c r="B9" t="s">
        <v>7</v>
      </c>
    </row>
    <row r="10" spans="1:15" customFormat="1" ht="13" x14ac:dyDescent="0.15">
      <c r="B10" t="s">
        <v>8</v>
      </c>
    </row>
    <row r="11" spans="1:15" customFormat="1" ht="13" x14ac:dyDescent="0.15">
      <c r="B11" t="s">
        <v>9</v>
      </c>
    </row>
    <row r="12" spans="1:15" customFormat="1" ht="13" x14ac:dyDescent="0.15"/>
    <row r="13" spans="1:15" customFormat="1" ht="13" x14ac:dyDescent="0.15"/>
    <row r="14" spans="1:15" customFormat="1" ht="13" x14ac:dyDescent="0.15"/>
    <row r="15" spans="1:15" customFormat="1" ht="13" x14ac:dyDescent="0.15"/>
    <row r="16" spans="1:15" customFormat="1" ht="13" x14ac:dyDescent="0.15"/>
    <row r="17" spans="1:15" ht="18" x14ac:dyDescent="0.15">
      <c r="A17" s="83" t="s">
        <v>10</v>
      </c>
      <c r="B17" s="83"/>
      <c r="C17" s="83"/>
      <c r="D17" s="83"/>
      <c r="E17" s="83"/>
      <c r="F17" s="83"/>
      <c r="G17" s="83"/>
      <c r="H17" s="83"/>
      <c r="I17" s="83"/>
      <c r="J17" s="83"/>
      <c r="K17" s="83"/>
      <c r="L17" s="83"/>
      <c r="M17" s="83"/>
      <c r="N17" s="83"/>
      <c r="O17" s="83"/>
    </row>
    <row r="19" spans="1:15" x14ac:dyDescent="0.15">
      <c r="B19" t="s">
        <v>11</v>
      </c>
      <c r="C19" s="84" t="s">
        <v>12</v>
      </c>
    </row>
    <row r="20" spans="1:15" x14ac:dyDescent="0.15">
      <c r="B20" t="s">
        <v>13</v>
      </c>
      <c r="C20" s="84" t="s">
        <v>14</v>
      </c>
    </row>
    <row r="21" spans="1:15" x14ac:dyDescent="0.15">
      <c r="B21" t="s">
        <v>15</v>
      </c>
      <c r="C21" s="84" t="s">
        <v>15</v>
      </c>
    </row>
  </sheetData>
  <conditionalFormatting sqref="B7:B9">
    <cfRule type="expression" dxfId="1" priority="4">
      <formula>$B7=#REF!</formula>
    </cfRule>
  </conditionalFormatting>
  <conditionalFormatting sqref="B12:B14">
    <cfRule type="expression" dxfId="0" priority="1">
      <formula>$B12=#REF!</formula>
    </cfRule>
  </conditionalFormatting>
  <pageMargins left="0.74803149606299213" right="0.74803149606299213" top="0.98425196850393704" bottom="0.98425196850393704" header="0.51181102362204722" footer="0.51181102362204722"/>
  <pageSetup paperSize="9" scale="63" fitToHeight="4" orientation="landscape" horizontalDpi="4294967292" r:id="rId1"/>
  <headerFooter alignWithMargins="0">
    <oddHeader>&amp;L&amp;F &amp;A</oddHeader>
    <oddFooter>&amp;R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pageSetUpPr autoPageBreaks="0"/>
  </sheetPr>
  <dimension ref="A1:W57"/>
  <sheetViews>
    <sheetView showGridLines="0" zoomScaleNormal="100" workbookViewId="0"/>
  </sheetViews>
  <sheetFormatPr baseColWidth="10" defaultColWidth="7.83203125" defaultRowHeight="13" x14ac:dyDescent="0.15"/>
  <cols>
    <col min="1" max="1" width="2.5" style="92" customWidth="1"/>
    <col min="2" max="5" width="10.5" style="92" customWidth="1"/>
    <col min="6" max="16" width="9.5" style="92" customWidth="1"/>
    <col min="17" max="17" width="1.5" style="92" customWidth="1"/>
    <col min="18" max="18" width="9" style="92" customWidth="1"/>
    <col min="19" max="19" width="16" style="92" bestFit="1" customWidth="1"/>
    <col min="20" max="20" width="15" style="92" bestFit="1" customWidth="1"/>
    <col min="21" max="22" width="8.5" style="92" bestFit="1" customWidth="1"/>
    <col min="23" max="16384" width="7.83203125" style="92"/>
  </cols>
  <sheetData>
    <row r="1" spans="1:23" s="123" customFormat="1" ht="18" x14ac:dyDescent="0.2">
      <c r="A1" s="85" t="s">
        <v>16</v>
      </c>
      <c r="B1" s="121"/>
      <c r="C1" s="122"/>
      <c r="D1" s="122"/>
      <c r="E1" s="122"/>
      <c r="F1" s="122"/>
      <c r="G1" s="122"/>
      <c r="H1" s="122"/>
      <c r="I1" s="122"/>
      <c r="J1" s="122"/>
      <c r="K1" s="122"/>
      <c r="L1" s="122"/>
      <c r="M1" s="122"/>
      <c r="N1" s="122"/>
      <c r="O1" s="122"/>
      <c r="P1" s="122"/>
    </row>
    <row r="2" spans="1:23" s="126" customFormat="1" ht="19" thickBot="1" x14ac:dyDescent="0.25">
      <c r="A2" s="91" t="s">
        <v>17</v>
      </c>
      <c r="B2" s="124"/>
      <c r="C2" s="125"/>
      <c r="D2" s="125"/>
      <c r="E2" s="125"/>
      <c r="F2" s="125"/>
      <c r="G2" s="125"/>
      <c r="H2" s="125"/>
      <c r="I2" s="125"/>
      <c r="J2" s="125"/>
      <c r="K2" s="125"/>
      <c r="L2" s="125"/>
      <c r="M2" s="125"/>
      <c r="N2" s="125"/>
      <c r="O2" s="125"/>
      <c r="P2" s="125"/>
    </row>
    <row r="3" spans="1:23" ht="14" thickTop="1" x14ac:dyDescent="0.15"/>
    <row r="4" spans="1:23" ht="14" x14ac:dyDescent="0.15">
      <c r="A4" s="93" t="s">
        <v>18</v>
      </c>
      <c r="F4" s="94"/>
    </row>
    <row r="5" spans="1:23" ht="12.75" customHeight="1" x14ac:dyDescent="0.15">
      <c r="A5" s="95"/>
      <c r="B5" s="95"/>
      <c r="C5" s="95"/>
      <c r="D5" s="95"/>
      <c r="E5" s="95"/>
      <c r="F5" s="96" t="s">
        <v>19</v>
      </c>
      <c r="G5" s="96"/>
      <c r="H5" s="96"/>
      <c r="I5" s="96"/>
      <c r="J5" s="96"/>
      <c r="K5" s="96"/>
      <c r="L5" s="96"/>
      <c r="M5" s="96"/>
      <c r="N5" s="96"/>
      <c r="O5" s="97" t="s">
        <v>20</v>
      </c>
      <c r="P5" s="97"/>
    </row>
    <row r="6" spans="1:23" ht="12.75" customHeight="1" x14ac:dyDescent="0.15">
      <c r="A6" s="95"/>
      <c r="B6" s="95"/>
      <c r="C6" s="98" t="s">
        <v>21</v>
      </c>
      <c r="D6" s="98" t="s">
        <v>22</v>
      </c>
      <c r="E6" s="98" t="s">
        <v>23</v>
      </c>
      <c r="F6" s="99" t="s">
        <v>24</v>
      </c>
      <c r="G6" s="99" t="s">
        <v>24</v>
      </c>
      <c r="H6" s="99" t="s">
        <v>24</v>
      </c>
      <c r="I6" s="99" t="s">
        <v>25</v>
      </c>
      <c r="J6" s="99" t="s">
        <v>25</v>
      </c>
      <c r="K6" s="99" t="s">
        <v>25</v>
      </c>
      <c r="L6" s="99" t="s">
        <v>26</v>
      </c>
      <c r="M6" s="99" t="s">
        <v>26</v>
      </c>
      <c r="N6" s="99" t="s">
        <v>26</v>
      </c>
      <c r="O6" s="99"/>
      <c r="P6" s="99"/>
    </row>
    <row r="7" spans="1:23" ht="12.75" customHeight="1" x14ac:dyDescent="0.15">
      <c r="A7" s="95" t="s">
        <v>27</v>
      </c>
      <c r="B7" s="95"/>
      <c r="C7" s="98" t="s">
        <v>28</v>
      </c>
      <c r="D7" s="98" t="s">
        <v>29</v>
      </c>
      <c r="E7" s="98" t="s">
        <v>29</v>
      </c>
      <c r="F7" s="98" t="s">
        <v>30</v>
      </c>
      <c r="G7" s="98" t="s">
        <v>31</v>
      </c>
      <c r="H7" s="98" t="s">
        <v>32</v>
      </c>
      <c r="I7" s="98" t="str">
        <f t="shared" ref="I7:N7" si="0">F7</f>
      </c>
      <c r="J7" s="98" t="str">
        <f t="shared" si="0"/>
      </c>
      <c r="K7" s="98" t="str">
        <f t="shared" si="0"/>
      </c>
      <c r="L7" s="98" t="str">
        <f t="shared" si="0"/>
      </c>
      <c r="M7" s="98" t="str">
        <f t="shared" si="0"/>
      </c>
      <c r="N7" s="98" t="str">
        <f t="shared" si="0"/>
      </c>
      <c r="O7" s="98" t="str">
        <f>M7</f>
      </c>
      <c r="P7" s="98" t="str">
        <f>N7</f>
      </c>
    </row>
    <row r="8" spans="1:23" x14ac:dyDescent="0.15">
      <c r="A8" s="2" t="s">
        <v>33</v>
      </c>
      <c r="C8" s="100">
        <f ca="1">INDIRECT($A8&amp;"!"&amp;"shareprice")</f>
      </c>
      <c r="D8" s="101">
        <f ca="1">INDIRECT($A8&amp;"!"&amp;"EquityValue")*INDIRECT($A8&amp;"!"&amp;"FX")</f>
      </c>
      <c r="E8" s="101">
        <f ca="1">INDIRECT($A8&amp;"!"&amp;"EnterpriseValue")*INDIRECT($A8&amp;"!"&amp;"FX")</f>
      </c>
      <c r="F8" s="3">
        <f ca="1">INDIRECT($A8&amp;"!"&amp;"EV_SLTM")</f>
      </c>
      <c r="G8" s="3">
        <f ca="1">INDIRECT($A8&amp;"!"&amp;"EV_S1F")</f>
      </c>
      <c r="H8" s="3">
        <f ca="1">INDIRECT($A8&amp;"!"&amp;"EV_S2F")</f>
      </c>
      <c r="I8" s="4">
        <f ca="1">INDIRECT($A8&amp;"!"&amp;"EV_EBITDALTM")</f>
      </c>
      <c r="J8" s="4">
        <f ca="1">INDIRECT($A8&amp;"!"&amp;"EV_EBITDA1F")</f>
      </c>
      <c r="K8" s="4">
        <f ca="1">INDIRECT($A8&amp;"!"&amp;"EV_EBITDA2F")</f>
      </c>
      <c r="L8" s="4">
        <f ca="1">INDIRECT($A8&amp;"!"&amp;"EV_EBITLTM")</f>
      </c>
      <c r="M8" s="4">
        <f ca="1">INDIRECT($A8&amp;"!"&amp;"EV_EBIT1F")</f>
      </c>
      <c r="N8" s="4">
        <f ca="1">INDIRECT($A8&amp;"!"&amp;"EV_EBIT2F")</f>
      </c>
      <c r="O8" s="4">
        <f ca="1">INDIRECT($A8&amp;"!"&amp;"PE1F")</f>
      </c>
      <c r="P8" s="4">
        <f ca="1">INDIRECT($A8&amp;"!"&amp;"PE2F")</f>
      </c>
    </row>
    <row r="9" spans="1:23" x14ac:dyDescent="0.15">
      <c r="A9" s="2" t="s">
        <v>34</v>
      </c>
      <c r="C9" s="100">
        <v>37.72</v>
      </c>
      <c r="D9" s="101">
        <v>15182.3</v>
      </c>
      <c r="E9" s="101">
        <v>18800.900000000001</v>
      </c>
      <c r="F9" s="3">
        <v>1.97</v>
      </c>
      <c r="G9" s="3">
        <v>1.88</v>
      </c>
      <c r="H9" s="3">
        <v>1.86</v>
      </c>
      <c r="I9" s="4">
        <v>14.51</v>
      </c>
      <c r="J9" s="4">
        <v>12.31</v>
      </c>
      <c r="K9" s="4">
        <v>12.32</v>
      </c>
      <c r="L9" s="4">
        <v>18.260000000000002</v>
      </c>
      <c r="M9" s="4">
        <v>15.21</v>
      </c>
      <c r="N9" s="4">
        <v>15.19</v>
      </c>
      <c r="O9" s="4">
        <v>18.420000000000002</v>
      </c>
      <c r="P9" s="4">
        <v>16.38</v>
      </c>
      <c r="R9" s="94"/>
      <c r="W9" s="102"/>
    </row>
    <row r="10" spans="1:23" x14ac:dyDescent="0.15">
      <c r="A10" s="2" t="s">
        <v>35</v>
      </c>
      <c r="B10" s="103"/>
      <c r="C10" s="104">
        <f t="shared" ref="C10:C16" ca="1" si="1">INDIRECT($A10&amp;"!"&amp;"shareprice")</f>
      </c>
      <c r="D10" s="101">
        <f t="shared" ref="D10:D16" ca="1" si="2">INDIRECT($A10&amp;"!"&amp;"EquityValue")*INDIRECT($A10&amp;"!"&amp;"FX")</f>
      </c>
      <c r="E10" s="101">
        <f t="shared" ref="E10:E16" ca="1" si="3">INDIRECT($A10&amp;"!"&amp;"EnterpriseValue")*INDIRECT($A10&amp;"!"&amp;"FX")</f>
      </c>
      <c r="F10" s="3">
        <f t="shared" ref="F10:F16" ca="1" si="4">INDIRECT($A10&amp;"!"&amp;"EV_SLTM")</f>
      </c>
      <c r="G10" s="3">
        <f t="shared" ref="G10:G16" ca="1" si="5">INDIRECT($A10&amp;"!"&amp;"EV_S1F")</f>
      </c>
      <c r="H10" s="3">
        <f t="shared" ref="H10:H16" ca="1" si="6">INDIRECT($A10&amp;"!"&amp;"EV_S2F")</f>
      </c>
      <c r="I10" s="4">
        <f t="shared" ref="I10:I16" ca="1" si="7">INDIRECT($A10&amp;"!"&amp;"EV_EBITDALTM")</f>
      </c>
      <c r="J10" s="4">
        <f t="shared" ref="J10:J16" ca="1" si="8">INDIRECT($A10&amp;"!"&amp;"EV_EBITDA1F")</f>
      </c>
      <c r="K10" s="4">
        <f t="shared" ref="K10:K16" ca="1" si="9">INDIRECT($A10&amp;"!"&amp;"EV_EBITDA2F")</f>
      </c>
      <c r="L10" s="4">
        <f t="shared" ref="L10:L16" ca="1" si="10">INDIRECT($A10&amp;"!"&amp;"EV_EBITLTM")</f>
      </c>
      <c r="M10" s="4">
        <f t="shared" ref="M10:M16" ca="1" si="11">INDIRECT($A10&amp;"!"&amp;"EV_EBIT1F")</f>
      </c>
      <c r="N10" s="4">
        <f t="shared" ref="N10:N16" ca="1" si="12">INDIRECT($A10&amp;"!"&amp;"EV_EBIT2F")</f>
      </c>
      <c r="O10" s="4">
        <f t="shared" ref="O10:O16" ca="1" si="13">INDIRECT($A10&amp;"!"&amp;"PE1F")</f>
      </c>
      <c r="P10" s="4">
        <f t="shared" ref="P10:P16" ca="1" si="14">INDIRECT($A10&amp;"!"&amp;"PE2F")</f>
      </c>
    </row>
    <row r="11" spans="1:23" x14ac:dyDescent="0.15">
      <c r="A11" s="2" t="s">
        <v>36</v>
      </c>
      <c r="C11" s="100">
        <v>42.81</v>
      </c>
      <c r="D11" s="101">
        <v>24945.4</v>
      </c>
      <c r="E11" s="101">
        <v>33986.300000000003</v>
      </c>
      <c r="F11" s="3">
        <v>2.2000000000000002</v>
      </c>
      <c r="G11" s="3">
        <v>2.1800000000000002</v>
      </c>
      <c r="H11" s="3">
        <v>2.0499999999999998</v>
      </c>
      <c r="I11" s="4">
        <v>10.94</v>
      </c>
      <c r="J11" s="4">
        <v>10.59</v>
      </c>
      <c r="K11" s="4">
        <v>9.7200000000000006</v>
      </c>
      <c r="L11" s="4">
        <v>13.46</v>
      </c>
      <c r="M11" s="4">
        <v>12.93</v>
      </c>
      <c r="N11" s="4">
        <v>12.16</v>
      </c>
      <c r="O11" s="4">
        <v>13.86</v>
      </c>
      <c r="P11" s="4">
        <v>13.35</v>
      </c>
      <c r="W11" s="102"/>
    </row>
    <row r="12" spans="1:23" x14ac:dyDescent="0.15">
      <c r="A12" s="2" t="s">
        <v>37</v>
      </c>
      <c r="C12" s="100">
        <v>92.6</v>
      </c>
      <c r="D12" s="101">
        <v>19627</v>
      </c>
      <c r="E12" s="101">
        <v>23777.599999999999</v>
      </c>
      <c r="F12" s="3">
        <v>2.58</v>
      </c>
      <c r="G12" s="3">
        <v>2.46</v>
      </c>
      <c r="H12" s="3">
        <v>2.41</v>
      </c>
      <c r="I12" s="4">
        <v>12.83</v>
      </c>
      <c r="J12" s="4">
        <v>12.53</v>
      </c>
      <c r="K12" s="4">
        <v>12.1</v>
      </c>
      <c r="L12" s="4">
        <v>15.05</v>
      </c>
      <c r="M12" s="4">
        <v>14.77</v>
      </c>
      <c r="N12" s="4">
        <v>14.21</v>
      </c>
      <c r="O12" s="4">
        <v>17.32</v>
      </c>
      <c r="P12" s="4">
        <v>16.47</v>
      </c>
      <c r="W12" s="102"/>
    </row>
    <row r="13" spans="1:23" x14ac:dyDescent="0.15">
      <c r="A13" s="2" t="s">
        <v>38</v>
      </c>
      <c r="C13" s="100">
        <f t="shared" ca="1" si="1"/>
      </c>
      <c r="D13" s="101">
        <f t="shared" ca="1" si="2"/>
      </c>
      <c r="E13" s="101">
        <f t="shared" ca="1" si="3"/>
      </c>
      <c r="F13" s="3">
        <f t="shared" ca="1" si="4"/>
      </c>
      <c r="G13" s="3">
        <f t="shared" ca="1" si="5"/>
      </c>
      <c r="H13" s="3">
        <f t="shared" ca="1" si="6"/>
      </c>
      <c r="I13" s="4">
        <f t="shared" ca="1" si="7"/>
      </c>
      <c r="J13" s="4">
        <f t="shared" ca="1" si="8"/>
      </c>
      <c r="K13" s="4">
        <f t="shared" ca="1" si="9"/>
      </c>
      <c r="L13" s="4">
        <f t="shared" ca="1" si="10"/>
      </c>
      <c r="M13" s="4">
        <f t="shared" ca="1" si="11"/>
      </c>
      <c r="N13" s="4">
        <f t="shared" ca="1" si="12"/>
      </c>
      <c r="O13" s="4">
        <f t="shared" ca="1" si="13"/>
      </c>
      <c r="P13" s="4">
        <f t="shared" ca="1" si="14"/>
      </c>
    </row>
    <row r="14" spans="1:23" x14ac:dyDescent="0.15">
      <c r="A14" s="2" t="s">
        <v>39</v>
      </c>
      <c r="C14" s="100">
        <v>58.06</v>
      </c>
      <c r="D14" s="101">
        <v>71297.7</v>
      </c>
      <c r="E14" s="101">
        <v>102022.7</v>
      </c>
      <c r="F14" s="3">
        <v>3.88</v>
      </c>
      <c r="G14" s="3">
        <v>3.86</v>
      </c>
      <c r="H14" s="3">
        <v>3.81</v>
      </c>
      <c r="I14" s="4">
        <v>13.16</v>
      </c>
      <c r="J14" s="4">
        <v>12.94</v>
      </c>
      <c r="K14" s="4">
        <v>12.58</v>
      </c>
      <c r="L14" s="4">
        <v>15.14</v>
      </c>
      <c r="M14" s="4">
        <v>14.5</v>
      </c>
      <c r="N14" s="4">
        <v>14.2</v>
      </c>
      <c r="O14" s="4">
        <v>15.42</v>
      </c>
      <c r="P14" s="4">
        <v>14.62</v>
      </c>
      <c r="W14" s="102"/>
    </row>
    <row r="15" spans="1:23" x14ac:dyDescent="0.15">
      <c r="A15" s="2" t="s">
        <v>40</v>
      </c>
      <c r="C15" s="100">
        <v>39.520000000000003</v>
      </c>
      <c r="D15" s="101">
        <v>59477.599999999999</v>
      </c>
      <c r="E15" s="101">
        <v>77233.600000000006</v>
      </c>
      <c r="F15" s="3">
        <v>2.9</v>
      </c>
      <c r="G15" s="3">
        <v>2.85</v>
      </c>
      <c r="H15" s="3">
        <v>2.78</v>
      </c>
      <c r="I15" s="4">
        <v>16.14</v>
      </c>
      <c r="J15" s="4">
        <v>14.02</v>
      </c>
      <c r="K15" s="4">
        <v>12.89</v>
      </c>
      <c r="L15" s="4">
        <v>19.55</v>
      </c>
      <c r="M15" s="4">
        <v>16.88</v>
      </c>
      <c r="N15" s="4">
        <v>15.93</v>
      </c>
      <c r="O15" s="4">
        <v>16.07</v>
      </c>
      <c r="P15" s="4">
        <v>14.82</v>
      </c>
      <c r="W15" s="102"/>
    </row>
    <row r="16" spans="1:23" x14ac:dyDescent="0.15">
      <c r="A16" s="2" t="s">
        <v>41</v>
      </c>
      <c r="C16" s="105">
        <f t="shared" ca="1" si="1"/>
      </c>
      <c r="D16" s="101">
        <f t="shared" ca="1" si="2"/>
      </c>
      <c r="E16" s="101">
        <f t="shared" ca="1" si="3"/>
      </c>
      <c r="F16" s="3">
        <f t="shared" ca="1" si="4"/>
      </c>
      <c r="G16" s="3">
        <f t="shared" ca="1" si="5"/>
      </c>
      <c r="H16" s="3">
        <f t="shared" ca="1" si="6"/>
      </c>
      <c r="I16" s="4">
        <f t="shared" ca="1" si="7"/>
      </c>
      <c r="J16" s="4">
        <f t="shared" ca="1" si="8"/>
      </c>
      <c r="K16" s="4">
        <f t="shared" ca="1" si="9"/>
      </c>
      <c r="L16" s="4">
        <f t="shared" ca="1" si="10"/>
      </c>
      <c r="M16" s="4">
        <f t="shared" ca="1" si="11"/>
      </c>
      <c r="N16" s="4">
        <f t="shared" ca="1" si="12"/>
      </c>
      <c r="O16" s="4">
        <f t="shared" ca="1" si="13"/>
      </c>
      <c r="P16" s="4">
        <f t="shared" ca="1" si="14"/>
      </c>
    </row>
    <row r="17" spans="1:21" x14ac:dyDescent="0.15">
      <c r="A17" s="2" t="s">
        <v>42</v>
      </c>
      <c r="C17" s="100">
        <v>63.65</v>
      </c>
      <c r="D17" s="101">
        <v>7626.1</v>
      </c>
      <c r="E17" s="101">
        <v>10308.1</v>
      </c>
      <c r="F17" s="3">
        <v>3.25</v>
      </c>
      <c r="G17" s="3">
        <v>3.26</v>
      </c>
      <c r="H17" s="3">
        <v>3.2</v>
      </c>
      <c r="I17" s="4">
        <v>17.43</v>
      </c>
      <c r="J17" s="4">
        <v>14.66</v>
      </c>
      <c r="K17" s="4">
        <v>13.78</v>
      </c>
      <c r="L17" s="4">
        <v>22.7</v>
      </c>
      <c r="M17" s="4">
        <v>17.47</v>
      </c>
      <c r="N17" s="4">
        <v>16.38</v>
      </c>
      <c r="O17" s="4">
        <v>21.93</v>
      </c>
      <c r="P17" s="4">
        <v>20</v>
      </c>
    </row>
    <row r="18" spans="1:21" x14ac:dyDescent="0.15">
      <c r="A18" s="2" t="s">
        <v>43</v>
      </c>
      <c r="C18" s="100">
        <v>55.82</v>
      </c>
      <c r="D18" s="101">
        <v>131828.1</v>
      </c>
      <c r="E18" s="101">
        <v>153100.1</v>
      </c>
      <c r="F18" s="3">
        <v>3.01</v>
      </c>
      <c r="G18" s="3">
        <v>3.11</v>
      </c>
      <c r="H18" s="3">
        <v>3.06</v>
      </c>
      <c r="I18" s="4">
        <v>15.23</v>
      </c>
      <c r="J18" s="4">
        <v>14.9</v>
      </c>
      <c r="K18" s="4">
        <v>14.21</v>
      </c>
      <c r="L18" s="4">
        <v>17.809999999999999</v>
      </c>
      <c r="M18" s="4">
        <v>16.66</v>
      </c>
      <c r="N18" s="4">
        <v>16.010000000000002</v>
      </c>
      <c r="O18" s="4">
        <v>20.350000000000001</v>
      </c>
      <c r="P18" s="4">
        <v>18.739999999999998</v>
      </c>
      <c r="S18" s="4"/>
    </row>
    <row r="19" spans="1:21" x14ac:dyDescent="0.15">
      <c r="C19" s="5"/>
      <c r="D19" s="101"/>
      <c r="E19" s="101"/>
      <c r="F19" s="106"/>
      <c r="G19" s="106"/>
      <c r="H19" s="106"/>
      <c r="I19" s="106"/>
      <c r="J19" s="106"/>
      <c r="K19" s="106"/>
      <c r="L19" s="106"/>
      <c r="M19" s="106"/>
      <c r="O19" s="106"/>
      <c r="P19" s="106"/>
    </row>
    <row r="20" spans="1:21" x14ac:dyDescent="0.15">
      <c r="B20" s="107" t="s">
        <v>44</v>
      </c>
      <c r="C20" s="6"/>
      <c r="D20" s="7">
        <f ca="1">MAX(D8:D18)</f>
      </c>
      <c r="E20" s="7">
        <f t="shared" ref="E20:P20" ca="1" si="15">MAX(E8:E18)</f>
      </c>
      <c r="F20" s="8">
        <f t="shared" ca="1" si="15"/>
      </c>
      <c r="G20" s="8">
        <f t="shared" ca="1" si="15"/>
      </c>
      <c r="H20" s="8">
        <f t="shared" ca="1" si="15"/>
      </c>
      <c r="I20" s="9">
        <f t="shared" ca="1" si="15"/>
      </c>
      <c r="J20" s="9">
        <f t="shared" ca="1" si="15"/>
      </c>
      <c r="K20" s="9">
        <f t="shared" ca="1" si="15"/>
      </c>
      <c r="L20" s="9">
        <f t="shared" ca="1" si="15"/>
      </c>
      <c r="M20" s="9">
        <f t="shared" ca="1" si="15"/>
      </c>
      <c r="N20" s="9">
        <f t="shared" ca="1" si="15"/>
      </c>
      <c r="O20" s="9">
        <f t="shared" ca="1" si="15"/>
      </c>
      <c r="P20" s="10">
        <f t="shared" ca="1" si="15"/>
      </c>
      <c r="S20" s="94"/>
    </row>
    <row r="21" spans="1:21" x14ac:dyDescent="0.15">
      <c r="B21" s="108" t="s">
        <v>45</v>
      </c>
      <c r="C21" s="11"/>
      <c r="D21" s="12">
        <f ca="1">AVERAGE(D8:D18)</f>
      </c>
      <c r="E21" s="12">
        <f t="shared" ref="E21:P21" ca="1" si="16">AVERAGE(E8:E18)</f>
      </c>
      <c r="F21" s="13">
        <f t="shared" ca="1" si="16"/>
      </c>
      <c r="G21" s="13">
        <f t="shared" ca="1" si="16"/>
      </c>
      <c r="H21" s="13">
        <f t="shared" ca="1" si="16"/>
      </c>
      <c r="I21" s="14">
        <f t="shared" ca="1" si="16"/>
      </c>
      <c r="J21" s="14">
        <f t="shared" ca="1" si="16"/>
      </c>
      <c r="K21" s="14">
        <f t="shared" ca="1" si="16"/>
      </c>
      <c r="L21" s="14">
        <f t="shared" ca="1" si="16"/>
      </c>
      <c r="M21" s="14">
        <f t="shared" ca="1" si="16"/>
      </c>
      <c r="N21" s="14">
        <f t="shared" ca="1" si="16"/>
      </c>
      <c r="O21" s="14">
        <f t="shared" ca="1" si="16"/>
      </c>
      <c r="P21" s="15">
        <f t="shared" ca="1" si="16"/>
      </c>
    </row>
    <row r="22" spans="1:21" x14ac:dyDescent="0.15">
      <c r="B22" s="108" t="s">
        <v>46</v>
      </c>
      <c r="C22" s="11"/>
      <c r="D22" s="12">
        <f ca="1">MEDIAN(D8:D18)</f>
      </c>
      <c r="E22" s="12">
        <f t="shared" ref="E22:P22" ca="1" si="17">MEDIAN(E8:E18)</f>
      </c>
      <c r="F22" s="13">
        <f t="shared" ca="1" si="17"/>
      </c>
      <c r="G22" s="13">
        <f t="shared" ca="1" si="17"/>
      </c>
      <c r="H22" s="13">
        <f t="shared" ca="1" si="17"/>
      </c>
      <c r="I22" s="14">
        <f t="shared" ca="1" si="17"/>
      </c>
      <c r="J22" s="14">
        <f t="shared" ca="1" si="17"/>
      </c>
      <c r="K22" s="14">
        <f t="shared" ca="1" si="17"/>
      </c>
      <c r="L22" s="14">
        <f t="shared" ca="1" si="17"/>
      </c>
      <c r="M22" s="14">
        <f t="shared" ca="1" si="17"/>
      </c>
      <c r="N22" s="14">
        <f t="shared" ca="1" si="17"/>
      </c>
      <c r="O22" s="14">
        <f t="shared" ca="1" si="17"/>
      </c>
      <c r="P22" s="15">
        <f t="shared" ca="1" si="17"/>
      </c>
    </row>
    <row r="23" spans="1:21" x14ac:dyDescent="0.15">
      <c r="B23" s="109" t="s">
        <v>47</v>
      </c>
      <c r="C23" s="16"/>
      <c r="D23" s="17">
        <f ca="1">MIN(D8:D18)</f>
      </c>
      <c r="E23" s="17">
        <f t="shared" ref="E23:P23" ca="1" si="18">MIN(E8:E18)</f>
      </c>
      <c r="F23" s="18">
        <f t="shared" ca="1" si="18"/>
      </c>
      <c r="G23" s="18">
        <f t="shared" ca="1" si="18"/>
      </c>
      <c r="H23" s="18">
        <f t="shared" ca="1" si="18"/>
      </c>
      <c r="I23" s="19">
        <f t="shared" ca="1" si="18"/>
      </c>
      <c r="J23" s="19">
        <f t="shared" ca="1" si="18"/>
      </c>
      <c r="K23" s="19">
        <f t="shared" ca="1" si="18"/>
      </c>
      <c r="L23" s="19">
        <f t="shared" ca="1" si="18"/>
      </c>
      <c r="M23" s="19">
        <f t="shared" ca="1" si="18"/>
      </c>
      <c r="N23" s="19">
        <f t="shared" ca="1" si="18"/>
      </c>
      <c r="O23" s="19">
        <f t="shared" ca="1" si="18"/>
      </c>
      <c r="P23" s="20">
        <f t="shared" ca="1" si="18"/>
      </c>
    </row>
    <row r="24" spans="1:21" x14ac:dyDescent="0.15">
      <c r="C24" s="21"/>
    </row>
    <row r="25" spans="1:21" x14ac:dyDescent="0.15">
      <c r="S25" s="102"/>
    </row>
    <row r="26" spans="1:21" s="24" customFormat="1" x14ac:dyDescent="0.15">
      <c r="A26" s="22"/>
      <c r="B26" s="23"/>
      <c r="G26" s="25"/>
      <c r="P26" s="92"/>
      <c r="Q26" s="92"/>
      <c r="R26" s="92"/>
      <c r="S26" s="102"/>
      <c r="T26" s="92"/>
      <c r="U26" s="92"/>
    </row>
    <row r="27" spans="1:21" s="24" customFormat="1" x14ac:dyDescent="0.15">
      <c r="O27" s="92"/>
      <c r="Q27" s="92"/>
      <c r="R27" s="92"/>
      <c r="S27" s="94"/>
      <c r="T27" s="92"/>
      <c r="U27" s="92"/>
    </row>
    <row r="28" spans="1:21" ht="29" x14ac:dyDescent="0.3">
      <c r="A28" s="80" t="s">
        <v>48</v>
      </c>
      <c r="B28" s="80"/>
      <c r="C28" s="80"/>
      <c r="D28" s="80"/>
      <c r="E28" s="80"/>
      <c r="F28" s="80"/>
      <c r="G28" s="80"/>
      <c r="H28" s="80"/>
      <c r="I28" s="80"/>
      <c r="J28" s="80"/>
      <c r="K28" s="80"/>
      <c r="L28" s="80"/>
      <c r="M28" s="80"/>
      <c r="N28" s="80"/>
      <c r="O28" s="80"/>
      <c r="P28" s="80"/>
    </row>
    <row r="29" spans="1:21" s="1" customFormat="1" ht="19" thickBot="1" x14ac:dyDescent="0.25">
      <c r="A29" s="82" t="str">
        <f>A2</f>
      </c>
      <c r="B29" s="82"/>
      <c r="C29" s="82"/>
      <c r="D29" s="82"/>
      <c r="E29" s="82"/>
      <c r="F29" s="82"/>
      <c r="G29" s="82"/>
      <c r="H29" s="82"/>
      <c r="I29" s="82"/>
      <c r="J29" s="82"/>
      <c r="K29" s="82"/>
      <c r="L29" s="82"/>
      <c r="M29" s="82"/>
      <c r="N29" s="82"/>
      <c r="O29" s="82"/>
      <c r="P29" s="82"/>
      <c r="S29" s="92"/>
      <c r="T29" s="92"/>
      <c r="U29" s="92"/>
    </row>
    <row r="30" spans="1:21" s="24" customFormat="1" ht="14" thickTop="1" x14ac:dyDescent="0.15">
      <c r="Q30" s="92"/>
      <c r="R30" s="92"/>
      <c r="S30" s="92"/>
      <c r="T30" s="92"/>
      <c r="U30" s="92"/>
    </row>
    <row r="31" spans="1:21" s="24" customFormat="1" x14ac:dyDescent="0.15">
      <c r="Q31" s="92"/>
      <c r="R31" s="92"/>
      <c r="S31" s="92"/>
      <c r="T31" s="92"/>
      <c r="U31" s="92"/>
    </row>
    <row r="32" spans="1:21" s="26" customFormat="1" ht="14" x14ac:dyDescent="0.15">
      <c r="A32" s="95"/>
      <c r="B32" s="95"/>
      <c r="C32" s="95"/>
      <c r="D32" s="96" t="s">
        <v>49</v>
      </c>
      <c r="E32" s="96"/>
      <c r="F32" s="96"/>
      <c r="G32" s="96"/>
      <c r="H32" s="95"/>
      <c r="I32" s="95"/>
      <c r="J32" s="95"/>
      <c r="K32" s="95"/>
      <c r="L32" s="95"/>
      <c r="M32" s="95"/>
      <c r="N32" s="95"/>
      <c r="O32" s="95"/>
      <c r="P32" s="95"/>
      <c r="Q32" s="92"/>
      <c r="R32" s="92"/>
      <c r="S32" s="92"/>
      <c r="T32" s="92"/>
      <c r="U32" s="92"/>
    </row>
    <row r="33" spans="1:22" s="26" customFormat="1" ht="14" x14ac:dyDescent="0.15">
      <c r="A33" s="95"/>
      <c r="B33" s="95"/>
      <c r="C33" s="98" t="s">
        <v>50</v>
      </c>
      <c r="D33" s="99" t="s">
        <v>25</v>
      </c>
      <c r="E33" s="99" t="s">
        <v>25</v>
      </c>
      <c r="F33" s="99" t="s">
        <v>25</v>
      </c>
      <c r="G33" s="99" t="s">
        <v>26</v>
      </c>
      <c r="H33" s="98" t="s">
        <v>51</v>
      </c>
      <c r="I33" s="98" t="s">
        <v>52</v>
      </c>
      <c r="J33" s="98" t="s">
        <v>53</v>
      </c>
      <c r="K33" s="98" t="s">
        <v>54</v>
      </c>
      <c r="L33" s="98"/>
      <c r="M33" s="98"/>
      <c r="N33" s="98" t="s">
        <v>55</v>
      </c>
      <c r="O33" s="98" t="s">
        <v>56</v>
      </c>
      <c r="P33" s="98" t="s">
        <v>57</v>
      </c>
      <c r="Q33" s="92"/>
      <c r="R33" s="92"/>
      <c r="S33" s="92"/>
      <c r="T33" s="92"/>
      <c r="U33" s="92"/>
    </row>
    <row r="34" spans="1:22" s="26" customFormat="1" ht="14" x14ac:dyDescent="0.15">
      <c r="A34" s="95" t="str">
        <f t="shared" ref="A34:A45" si="19">A7</f>
      </c>
      <c r="B34" s="95"/>
      <c r="C34" s="98" t="s">
        <v>58</v>
      </c>
      <c r="D34" s="98" t="str">
        <f>F7</f>
      </c>
      <c r="E34" s="98" t="str">
        <f>G7</f>
      </c>
      <c r="F34" s="98" t="str">
        <f>H7</f>
      </c>
      <c r="G34" s="98" t="str">
        <f>I7</f>
      </c>
      <c r="H34" s="98" t="s">
        <v>59</v>
      </c>
      <c r="I34" s="98" t="s">
        <v>60</v>
      </c>
      <c r="J34" s="98" t="str">
        <f>E34</f>
      </c>
      <c r="K34" s="98" t="s">
        <v>61</v>
      </c>
      <c r="L34" s="98" t="s">
        <v>62</v>
      </c>
      <c r="M34" s="98" t="s">
        <v>63</v>
      </c>
      <c r="N34" s="98" t="s">
        <v>25</v>
      </c>
      <c r="O34" s="98" t="s">
        <v>25</v>
      </c>
      <c r="P34" s="98" t="s">
        <v>64</v>
      </c>
      <c r="Q34" s="92"/>
      <c r="R34" s="92"/>
      <c r="S34" s="92"/>
      <c r="T34" s="92"/>
      <c r="U34" s="92"/>
    </row>
    <row r="35" spans="1:22" ht="12.75" customHeight="1" x14ac:dyDescent="0.15">
      <c r="A35" s="92" t="str">
        <f t="shared" si="19"/>
      </c>
      <c r="C35" s="110">
        <f ca="1">INDIRECT($A8&amp;"!"&amp;"shareprice")/INDIRECT($A35&amp;"!"&amp;"SharePriceHigh")</f>
      </c>
      <c r="D35" s="110">
        <f ca="1">INDIRECT($A35&amp;"_data"&amp;"!"&amp;"EBITDAMLTM")</f>
      </c>
      <c r="E35" s="110">
        <f ca="1">INDIRECT($A35&amp;"!"&amp;"EBITDACY1")/INDIRECT($A35&amp;"!"&amp;"SalesCY1")</f>
      </c>
      <c r="F35" s="110">
        <f ca="1">INDIRECT($A35&amp;"!"&amp;"EBITDACY2")/INDIRECT($A35&amp;"!"&amp;"SalesCY2")</f>
      </c>
      <c r="G35" s="110">
        <f ca="1">INDIRECT($A35&amp;"_data"&amp;"!"&amp;"EBITMLTM")</f>
      </c>
      <c r="H35" s="110">
        <f ca="1">INDIRECT($A35&amp;"_data"&amp;"!"&amp;"SalesCAGR")</f>
      </c>
      <c r="I35" s="110">
        <f ca="1">INDIRECT($A35&amp;"!"&amp;"EPS5YGROWTH")</f>
      </c>
      <c r="J35" s="111">
        <f ca="1">O8/I35/100</f>
      </c>
      <c r="K35" s="110">
        <f ca="1">INDIRECT($A35&amp;"!"&amp;"DIVYIELD")</f>
      </c>
      <c r="L35" s="110">
        <f ca="1">INDIRECT($A35&amp;"_data"&amp;"!"&amp;"ROIC")</f>
      </c>
      <c r="M35" s="110">
        <f ca="1">INDIRECT($A35&amp;"_data"&amp;"!"&amp;"ROE")</f>
      </c>
      <c r="N35" s="111">
        <f ca="1">INDIRECT($A35&amp;"_data"&amp;"!"&amp;"D_EBITDA")</f>
      </c>
      <c r="O35" s="111">
        <f ca="1">INDIRECT($A35&amp;"_data"&amp;"!"&amp;"ND_EBITDA")</f>
      </c>
      <c r="P35" s="111">
        <f ca="1">INDIRECT($A35&amp;"_data"&amp;"!"&amp;"E_Int")</f>
      </c>
    </row>
    <row r="36" spans="1:22" x14ac:dyDescent="0.15">
      <c r="A36" s="92" t="str">
        <f t="shared" si="19"/>
      </c>
      <c r="C36" s="110">
        <v>0.93725928686793392</v>
      </c>
      <c r="D36" s="110">
        <f>F9/I9</f>
      </c>
      <c r="E36" s="110">
        <f>G9/J9</f>
      </c>
      <c r="F36" s="110">
        <f>H9/K9</f>
      </c>
      <c r="G36" s="110">
        <f>F9/L9</f>
      </c>
      <c r="H36" s="110">
        <v>-0.10100000000000001</v>
      </c>
      <c r="I36" s="110">
        <v>0.10349999999999999</v>
      </c>
      <c r="J36" s="111">
        <v>1.78</v>
      </c>
      <c r="K36" s="110">
        <v>2.2499999999999999E-2</v>
      </c>
      <c r="L36" s="110">
        <v>7.5399999999999995E-2</v>
      </c>
      <c r="M36" s="110">
        <v>0.16600000000000001</v>
      </c>
      <c r="N36" s="111">
        <v>2.5099999999999998</v>
      </c>
      <c r="O36" s="111">
        <v>2.2999999999999998</v>
      </c>
      <c r="P36" s="111">
        <v>5.84</v>
      </c>
    </row>
    <row r="37" spans="1:22" x14ac:dyDescent="0.15">
      <c r="A37" s="92" t="str">
        <f t="shared" si="19"/>
      </c>
      <c r="C37" s="110">
        <f ca="1">INDIRECT($A10&amp;"!"&amp;"shareprice")/INDIRECT($A37&amp;"!"&amp;"SharePriceHigh")</f>
      </c>
      <c r="D37" s="110">
        <f ca="1">INDIRECT($A37&amp;"_data"&amp;"!"&amp;"EBITDAMLTM")</f>
      </c>
      <c r="E37" s="110">
        <f ca="1">INDIRECT($A37&amp;"!"&amp;"EBITDACY1")/INDIRECT($A37&amp;"!"&amp;"SalesCY1")</f>
      </c>
      <c r="F37" s="110">
        <f ca="1">INDIRECT($A37&amp;"!"&amp;"EBITDACY2")/INDIRECT($A37&amp;"!"&amp;"SalesCY2")</f>
      </c>
      <c r="G37" s="110">
        <f ca="1">INDIRECT($A37&amp;"_data"&amp;"!"&amp;"EBITMLTM")</f>
      </c>
      <c r="H37" s="110">
        <f ca="1">INDIRECT($A37&amp;"_data"&amp;"!"&amp;"SalesCAGR")</f>
      </c>
      <c r="I37" s="110">
        <f ca="1">INDIRECT($A37&amp;"!"&amp;"EPS5YGROWTH")</f>
      </c>
      <c r="J37" s="111">
        <f ca="1">O10/I37/100</f>
      </c>
      <c r="K37" s="110">
        <f ca="1">INDIRECT($A37&amp;"!"&amp;"DIVYIELD")</f>
      </c>
      <c r="L37" s="110">
        <f ca="1">INDIRECT($A37&amp;"_data"&amp;"!"&amp;"ROIC")</f>
      </c>
      <c r="M37" s="110">
        <f ca="1">INDIRECT($A37&amp;"_data"&amp;"!"&amp;"ROE")</f>
      </c>
      <c r="N37" s="111">
        <f ca="1">INDIRECT($A37&amp;"_data"&amp;"!"&amp;"D_EBITDA")</f>
      </c>
      <c r="O37" s="111">
        <f ca="1">INDIRECT($A37&amp;"_data"&amp;"!"&amp;"ND_EBITDA")</f>
      </c>
      <c r="P37" s="111">
        <f ca="1">INDIRECT($A37&amp;"_data"&amp;"!"&amp;"E_Int")</f>
      </c>
    </row>
    <row r="38" spans="1:22" x14ac:dyDescent="0.15">
      <c r="A38" s="92" t="str">
        <f t="shared" si="19"/>
      </c>
      <c r="C38" s="110">
        <v>0.70538803756796842</v>
      </c>
      <c r="D38" s="110">
        <f t="shared" ref="D38:F39" si="20">F11/I11</f>
      </c>
      <c r="E38" s="110">
        <f t="shared" si="20"/>
      </c>
      <c r="F38" s="110">
        <f t="shared" si="20"/>
      </c>
      <c r="G38" s="110">
        <f>F11/L11</f>
      </c>
      <c r="H38" s="110">
        <v>-5.7000000000000002E-2</v>
      </c>
      <c r="I38" s="110">
        <v>7.2999999999999995E-2</v>
      </c>
      <c r="J38" s="111">
        <v>1.89</v>
      </c>
      <c r="K38" s="110">
        <v>4.58E-2</v>
      </c>
      <c r="L38" s="110">
        <v>0.11210000000000001</v>
      </c>
      <c r="M38" s="110">
        <v>0.30099999999999999</v>
      </c>
      <c r="N38" s="111">
        <v>2.99</v>
      </c>
      <c r="O38" s="111">
        <v>2.75</v>
      </c>
      <c r="P38" s="111">
        <v>10.49</v>
      </c>
      <c r="S38" s="94"/>
      <c r="T38" s="94"/>
      <c r="U38" s="94"/>
    </row>
    <row r="39" spans="1:22" x14ac:dyDescent="0.15">
      <c r="A39" s="92" t="str">
        <f t="shared" si="19"/>
      </c>
      <c r="C39" s="110">
        <v>0.79491801871405265</v>
      </c>
      <c r="D39" s="110">
        <f t="shared" si="20"/>
      </c>
      <c r="E39" s="110">
        <f t="shared" si="20"/>
      </c>
      <c r="F39" s="110">
        <f t="shared" si="20"/>
      </c>
      <c r="G39" s="110">
        <f>F12/L12</f>
      </c>
      <c r="H39" s="110">
        <v>2.4899999999999999E-2</v>
      </c>
      <c r="I39" s="110">
        <v>4.8000000000000001E-2</v>
      </c>
      <c r="J39" s="111">
        <v>2.14</v>
      </c>
      <c r="K39" s="110">
        <v>2.8299999999999999E-2</v>
      </c>
      <c r="L39" s="110">
        <v>0.23250000000000001</v>
      </c>
      <c r="M39" s="110">
        <v>0.92049999999999998</v>
      </c>
      <c r="N39" s="111">
        <v>1.9</v>
      </c>
      <c r="O39" s="111">
        <v>1.65</v>
      </c>
      <c r="P39" s="111">
        <v>15.35</v>
      </c>
      <c r="S39" s="94"/>
      <c r="T39" s="94"/>
      <c r="U39" s="94"/>
    </row>
    <row r="40" spans="1:22" x14ac:dyDescent="0.15">
      <c r="A40" s="92" t="str">
        <f t="shared" si="19"/>
      </c>
      <c r="C40" s="110">
        <f ca="1">INDIRECT($A13&amp;"!"&amp;"shareprice")/INDIRECT($A40&amp;"!"&amp;"SharePriceHigh")</f>
      </c>
      <c r="D40" s="110">
        <f ca="1">INDIRECT($A40&amp;"_data"&amp;"!"&amp;"EBITDAMLTM")</f>
      </c>
      <c r="E40" s="110">
        <f ca="1">INDIRECT($A40&amp;"!"&amp;"EBITDACY1")/INDIRECT($A40&amp;"!"&amp;"SalesCY1")</f>
      </c>
      <c r="F40" s="110">
        <f ca="1">INDIRECT($A40&amp;"!"&amp;"EBITDACY2")/INDIRECT($A40&amp;"!"&amp;"SalesCY2")</f>
      </c>
      <c r="G40" s="110">
        <f ca="1">INDIRECT($A40&amp;"_data"&amp;"!"&amp;"EBITMLTM")</f>
      </c>
      <c r="H40" s="110">
        <f ca="1">INDIRECT($A40&amp;"_data"&amp;"!"&amp;"SalesCAGR")</f>
      </c>
      <c r="I40" s="110">
        <f ca="1">INDIRECT($A40&amp;"!"&amp;"EPS5YGROWTH")</f>
      </c>
      <c r="J40" s="111">
        <f ca="1">O13/I40/100</f>
      </c>
      <c r="K40" s="110">
        <f ca="1">INDIRECT($A40&amp;"!"&amp;"DIVYIELD")</f>
      </c>
      <c r="L40" s="110">
        <f ca="1">INDIRECT($A40&amp;"_data"&amp;"!"&amp;"ROIC")</f>
      </c>
      <c r="M40" s="110">
        <f ca="1">INDIRECT($A40&amp;"_data"&amp;"!"&amp;"ROE")</f>
      </c>
      <c r="N40" s="111">
        <f ca="1">INDIRECT($A40&amp;"_data"&amp;"!"&amp;"D_EBITDA")</f>
      </c>
      <c r="O40" s="111">
        <f ca="1">INDIRECT($A40&amp;"_data"&amp;"!"&amp;"ND_EBITDA")</f>
      </c>
      <c r="P40" s="111">
        <f ca="1">INDIRECT($A40&amp;"_data"&amp;"!"&amp;"E_Int")</f>
      </c>
      <c r="S40" s="94"/>
      <c r="T40" s="94"/>
      <c r="U40" s="94"/>
      <c r="V40" s="94"/>
    </row>
    <row r="41" spans="1:22" x14ac:dyDescent="0.15">
      <c r="A41" s="92" t="str">
        <f t="shared" si="19"/>
      </c>
      <c r="C41" s="110">
        <v>0.61844908393694087</v>
      </c>
      <c r="D41" s="110">
        <f t="shared" ref="D41:F42" si="21">F14/I14</f>
      </c>
      <c r="E41" s="110">
        <f t="shared" si="21"/>
      </c>
      <c r="F41" s="110">
        <f t="shared" si="21"/>
      </c>
      <c r="G41" s="110">
        <f>F14/L14</f>
      </c>
      <c r="H41" s="110">
        <v>1.2E-2</v>
      </c>
      <c r="I41" s="110">
        <v>7.0400000000000004E-2</v>
      </c>
      <c r="J41" s="111">
        <v>2.19</v>
      </c>
      <c r="K41" s="110">
        <v>4.3099999999999999E-2</v>
      </c>
      <c r="L41" s="110">
        <v>0.1042</v>
      </c>
      <c r="M41" s="110">
        <v>0.17829999999999999</v>
      </c>
      <c r="N41" s="111">
        <v>4.04</v>
      </c>
      <c r="O41" s="111">
        <v>3.83</v>
      </c>
      <c r="P41" s="111">
        <v>6.33</v>
      </c>
      <c r="S41" s="94"/>
      <c r="T41" s="94"/>
      <c r="U41" s="94"/>
    </row>
    <row r="42" spans="1:22" x14ac:dyDescent="0.15">
      <c r="A42" s="92" t="str">
        <f t="shared" si="19"/>
      </c>
      <c r="C42" s="110">
        <v>0.8367562989625239</v>
      </c>
      <c r="D42" s="110">
        <f t="shared" si="21"/>
      </c>
      <c r="E42" s="110">
        <f t="shared" si="21"/>
      </c>
      <c r="F42" s="110">
        <f t="shared" si="21"/>
      </c>
      <c r="G42" s="110">
        <f>F15/L15</f>
      </c>
      <c r="H42" s="110">
        <v>-5.8599999999999999E-2</v>
      </c>
      <c r="I42" s="110">
        <v>2.24E-2</v>
      </c>
      <c r="J42" s="111">
        <v>1.5</v>
      </c>
      <c r="K42" s="110">
        <v>2.23E-2</v>
      </c>
      <c r="L42" s="110">
        <v>6.83E-2</v>
      </c>
      <c r="M42" s="110">
        <v>0.114</v>
      </c>
      <c r="N42" s="111">
        <v>4.08</v>
      </c>
      <c r="O42" s="111">
        <v>3.91</v>
      </c>
      <c r="P42" s="111">
        <v>10</v>
      </c>
      <c r="S42" s="94"/>
      <c r="T42" s="94"/>
      <c r="U42" s="94"/>
    </row>
    <row r="43" spans="1:22" x14ac:dyDescent="0.15">
      <c r="A43" s="92" t="str">
        <f t="shared" si="19"/>
      </c>
      <c r="C43" s="110">
        <f ca="1">INDIRECT($A16&amp;"!"&amp;"shareprice")/INDIRECT($A43&amp;"!"&amp;"SharePriceHigh")</f>
      </c>
      <c r="D43" s="110">
        <f ca="1">INDIRECT($A43&amp;"_data"&amp;"!"&amp;"EBITDAMLTM")</f>
      </c>
      <c r="E43" s="110">
        <f ca="1">INDIRECT($A43&amp;"!"&amp;"EBITDACY1")/INDIRECT($A43&amp;"!"&amp;"SalesCY1")</f>
      </c>
      <c r="F43" s="110">
        <f ca="1">INDIRECT($A43&amp;"!"&amp;"EBITDACY2")/INDIRECT($A43&amp;"!"&amp;"SalesCY2")</f>
      </c>
      <c r="G43" s="110">
        <f ca="1">INDIRECT($A43&amp;"_data"&amp;"!"&amp;"EBITMLTM")</f>
      </c>
      <c r="H43" s="110">
        <f ca="1">INDIRECT($A43&amp;"_data"&amp;"!"&amp;"SalesCAGR")</f>
      </c>
      <c r="I43" s="110">
        <f ca="1">INDIRECT($A43&amp;"!"&amp;"EPS5YGROWTH")</f>
      </c>
      <c r="J43" s="111">
        <f ca="1">O16/I43/100</f>
      </c>
      <c r="K43" s="110">
        <f ca="1">INDIRECT($A43&amp;"!"&amp;"DIVYIELD")</f>
      </c>
      <c r="L43" s="110">
        <f ca="1">INDIRECT($A43&amp;"_data"&amp;"!"&amp;"ROIC")</f>
      </c>
      <c r="M43" s="110">
        <f ca="1">INDIRECT($A43&amp;"_data"&amp;"!"&amp;"ROE")</f>
      </c>
      <c r="N43" s="111">
        <f ca="1">INDIRECT($A43&amp;"_data"&amp;"!"&amp;"D_EBITDA")</f>
      </c>
      <c r="O43" s="111">
        <f ca="1">INDIRECT($A43&amp;"_data"&amp;"!"&amp;"ND_EBITDA")</f>
      </c>
      <c r="P43" s="111">
        <f ca="1">INDIRECT($A43&amp;"_data"&amp;"!"&amp;"E_Int")</f>
      </c>
    </row>
    <row r="44" spans="1:22" x14ac:dyDescent="0.15">
      <c r="A44" s="92" t="str">
        <f t="shared" si="19"/>
      </c>
      <c r="C44" s="110">
        <v>0.95477386934673358</v>
      </c>
      <c r="D44" s="110">
        <f t="shared" ref="D44:F45" si="22">F17/I17</f>
      </c>
      <c r="E44" s="110">
        <f t="shared" si="22"/>
      </c>
      <c r="F44" s="110">
        <f t="shared" si="22"/>
      </c>
      <c r="G44" s="110">
        <f>F17/L17</f>
      </c>
      <c r="H44" s="110">
        <v>4.87E-2</v>
      </c>
      <c r="I44" s="110">
        <v>0.48899999999999999</v>
      </c>
      <c r="J44" s="111">
        <v>2.2799999999999998</v>
      </c>
      <c r="K44" s="110">
        <v>2.0400000000000001E-2</v>
      </c>
      <c r="L44" s="110">
        <v>0.1065</v>
      </c>
      <c r="M44" s="110">
        <v>0.24590000000000001</v>
      </c>
      <c r="N44" s="111">
        <v>5.05</v>
      </c>
      <c r="O44" s="111">
        <v>4.63</v>
      </c>
      <c r="P44" s="111">
        <v>3.46</v>
      </c>
    </row>
    <row r="45" spans="1:22" x14ac:dyDescent="0.15">
      <c r="A45" s="92" t="str">
        <f t="shared" si="19"/>
      </c>
      <c r="C45" s="110">
        <v>0.90587471600129832</v>
      </c>
      <c r="D45" s="110">
        <f t="shared" si="22"/>
      </c>
      <c r="E45" s="110">
        <f t="shared" si="22"/>
      </c>
      <c r="F45" s="110">
        <f t="shared" si="22"/>
      </c>
      <c r="G45" s="110">
        <f>F18/L18</f>
      </c>
      <c r="H45" s="110">
        <v>9.1000000000000004E-3</v>
      </c>
      <c r="I45" s="110">
        <v>7.4700000000000003E-2</v>
      </c>
      <c r="J45" s="111">
        <v>3.08</v>
      </c>
      <c r="K45" s="110">
        <v>3.1099999999999999E-2</v>
      </c>
      <c r="L45" s="110">
        <v>0.19950000000000001</v>
      </c>
      <c r="M45" s="110">
        <v>0.40379999999999999</v>
      </c>
      <c r="N45" s="111">
        <v>2.29</v>
      </c>
      <c r="O45" s="111">
        <v>1.93</v>
      </c>
      <c r="P45" s="111">
        <v>18.78</v>
      </c>
    </row>
    <row r="46" spans="1:22" x14ac:dyDescent="0.15">
      <c r="C46" s="106"/>
      <c r="D46" s="106"/>
      <c r="E46" s="106"/>
      <c r="F46" s="106"/>
      <c r="G46" s="106"/>
      <c r="H46" s="106"/>
      <c r="I46" s="106"/>
      <c r="J46" s="106"/>
      <c r="K46" s="106"/>
      <c r="L46" s="106"/>
      <c r="M46" s="106"/>
      <c r="N46" s="106"/>
      <c r="O46" s="106"/>
      <c r="P46" s="106"/>
    </row>
    <row r="47" spans="1:22" x14ac:dyDescent="0.15">
      <c r="B47" s="107" t="s">
        <v>44</v>
      </c>
      <c r="C47" s="112">
        <f ca="1">MAX(C35:C45)</f>
      </c>
      <c r="D47" s="112">
        <f ca="1">MAX(D35:D45)</f>
      </c>
      <c r="E47" s="112">
        <f t="shared" ref="E47:P47" ca="1" si="23">MAX(E35:E45)</f>
      </c>
      <c r="F47" s="112">
        <f t="shared" ca="1" si="23"/>
      </c>
      <c r="G47" s="112">
        <f t="shared" ca="1" si="23"/>
      </c>
      <c r="H47" s="112">
        <f t="shared" ca="1" si="23"/>
      </c>
      <c r="I47" s="112">
        <f t="shared" ca="1" si="23"/>
      </c>
      <c r="J47" s="113">
        <f t="shared" ca="1" si="23"/>
      </c>
      <c r="K47" s="112">
        <f t="shared" ca="1" si="23"/>
      </c>
      <c r="L47" s="112">
        <f t="shared" ca="1" si="23"/>
      </c>
      <c r="M47" s="112">
        <f t="shared" ca="1" si="23"/>
      </c>
      <c r="N47" s="113">
        <f t="shared" ca="1" si="23"/>
      </c>
      <c r="O47" s="113">
        <f t="shared" ca="1" si="23"/>
      </c>
      <c r="P47" s="114">
        <f t="shared" ca="1" si="23"/>
      </c>
    </row>
    <row r="48" spans="1:22" x14ac:dyDescent="0.15">
      <c r="B48" s="108" t="s">
        <v>45</v>
      </c>
      <c r="C48" s="115">
        <f ca="1">AVERAGE(C35:C45)</f>
      </c>
      <c r="D48" s="115">
        <f ca="1">AVERAGE(D35:D45)</f>
      </c>
      <c r="E48" s="115">
        <f t="shared" ref="E48:P48" ca="1" si="24">AVERAGE(E35:E45)</f>
      </c>
      <c r="F48" s="115">
        <f t="shared" ca="1" si="24"/>
      </c>
      <c r="G48" s="115">
        <f t="shared" ca="1" si="24"/>
      </c>
      <c r="H48" s="115">
        <f t="shared" ca="1" si="24"/>
      </c>
      <c r="I48" s="115">
        <f t="shared" ca="1" si="24"/>
      </c>
      <c r="J48" s="116">
        <f t="shared" ca="1" si="24"/>
      </c>
      <c r="K48" s="115">
        <f t="shared" ca="1" si="24"/>
      </c>
      <c r="L48" s="115">
        <f t="shared" ca="1" si="24"/>
      </c>
      <c r="M48" s="115">
        <f t="shared" ca="1" si="24"/>
      </c>
      <c r="N48" s="116">
        <f t="shared" ca="1" si="24"/>
      </c>
      <c r="O48" s="116">
        <f t="shared" ca="1" si="24"/>
      </c>
      <c r="P48" s="117">
        <f t="shared" ca="1" si="24"/>
      </c>
    </row>
    <row r="49" spans="2:19" x14ac:dyDescent="0.15">
      <c r="B49" s="108" t="s">
        <v>46</v>
      </c>
      <c r="C49" s="115">
        <f ca="1">MEDIAN(C35:C45)</f>
      </c>
      <c r="D49" s="115">
        <f ca="1">MEDIAN(D35:D45)</f>
      </c>
      <c r="E49" s="115">
        <f t="shared" ref="E49:P49" ca="1" si="25">MEDIAN(E35:E45)</f>
      </c>
      <c r="F49" s="115">
        <f t="shared" ca="1" si="25"/>
      </c>
      <c r="G49" s="115">
        <f t="shared" ca="1" si="25"/>
      </c>
      <c r="H49" s="115">
        <f t="shared" ca="1" si="25"/>
      </c>
      <c r="I49" s="115">
        <f t="shared" ca="1" si="25"/>
      </c>
      <c r="J49" s="116">
        <f t="shared" ca="1" si="25"/>
      </c>
      <c r="K49" s="115">
        <f t="shared" ca="1" si="25"/>
      </c>
      <c r="L49" s="115">
        <f t="shared" ca="1" si="25"/>
      </c>
      <c r="M49" s="115">
        <f t="shared" ca="1" si="25"/>
      </c>
      <c r="N49" s="116">
        <f t="shared" ca="1" si="25"/>
      </c>
      <c r="O49" s="116">
        <f t="shared" ca="1" si="25"/>
      </c>
      <c r="P49" s="117">
        <f t="shared" ca="1" si="25"/>
      </c>
    </row>
    <row r="50" spans="2:19" x14ac:dyDescent="0.15">
      <c r="B50" s="109" t="s">
        <v>47</v>
      </c>
      <c r="C50" s="118">
        <f ca="1">MIN(C35:C45)</f>
      </c>
      <c r="D50" s="118">
        <f ca="1">MIN(D35:D45)</f>
      </c>
      <c r="E50" s="118">
        <f t="shared" ref="E50:P50" ca="1" si="26">MIN(E35:E45)</f>
      </c>
      <c r="F50" s="118">
        <f t="shared" ca="1" si="26"/>
      </c>
      <c r="G50" s="118">
        <f t="shared" ca="1" si="26"/>
      </c>
      <c r="H50" s="118">
        <f t="shared" ca="1" si="26"/>
      </c>
      <c r="I50" s="118">
        <f t="shared" ca="1" si="26"/>
      </c>
      <c r="J50" s="119">
        <f t="shared" ca="1" si="26"/>
      </c>
      <c r="K50" s="118">
        <f t="shared" ca="1" si="26"/>
      </c>
      <c r="L50" s="118">
        <f t="shared" ca="1" si="26"/>
      </c>
      <c r="M50" s="118">
        <f t="shared" ca="1" si="26"/>
      </c>
      <c r="N50" s="119">
        <f t="shared" ca="1" si="26"/>
      </c>
      <c r="O50" s="119">
        <f t="shared" ca="1" si="26"/>
      </c>
      <c r="P50" s="120">
        <f t="shared" ca="1" si="26"/>
      </c>
    </row>
    <row r="52" spans="2:19" x14ac:dyDescent="0.15">
      <c r="D52" s="94"/>
      <c r="E52" s="94"/>
      <c r="F52" s="94"/>
      <c r="G52" s="94"/>
    </row>
    <row r="53" spans="2:19" x14ac:dyDescent="0.15">
      <c r="C53" s="94"/>
      <c r="D53" s="94"/>
      <c r="G53" s="94"/>
      <c r="I53" s="102"/>
      <c r="S53" s="27"/>
    </row>
    <row r="54" spans="2:19" x14ac:dyDescent="0.15">
      <c r="D54" s="94"/>
      <c r="E54" s="94"/>
      <c r="F54" s="94"/>
      <c r="G54" s="94"/>
      <c r="H54" s="94"/>
      <c r="I54" s="102"/>
    </row>
    <row r="55" spans="2:19" x14ac:dyDescent="0.15">
      <c r="D55" s="94"/>
      <c r="E55" s="94"/>
      <c r="F55" s="94"/>
      <c r="G55" s="94"/>
      <c r="I55" s="102"/>
    </row>
    <row r="56" spans="2:19" x14ac:dyDescent="0.15">
      <c r="D56" s="94"/>
      <c r="E56" s="94"/>
      <c r="F56" s="94"/>
      <c r="G56" s="94"/>
      <c r="I56" s="102"/>
    </row>
    <row r="57" spans="2:19" x14ac:dyDescent="0.15">
      <c r="D57" s="94"/>
      <c r="E57" s="94"/>
      <c r="F57" s="94"/>
      <c r="G57" s="94"/>
      <c r="I57" s="102"/>
    </row>
  </sheetData>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39"/>
    <pageSetUpPr autoPageBreaks="0"/>
  </sheetPr>
  <dimension ref="A1:P101"/>
  <sheetViews>
    <sheetView showGridLines="0" zoomScaleNormal="100" workbookViewId="0"/>
  </sheetViews>
  <sheetFormatPr baseColWidth="10" defaultColWidth="9.1640625" defaultRowHeight="13" x14ac:dyDescent="0.15"/>
  <cols>
    <col min="1" max="2" width="1.5" style="92" customWidth="1"/>
    <col min="3" max="3" width="33.5" style="92" customWidth="1"/>
    <col min="4" max="8" width="12.5" style="92" customWidth="1"/>
    <col min="9" max="9" width="12.5" style="92" customWidth="1" collapsed="1"/>
    <col min="10" max="10" width="12.5" style="92" customWidth="1"/>
    <col min="11" max="13" width="15.5" style="92" customWidth="1"/>
    <col min="14" max="14" width="11.5" style="92" customWidth="1"/>
    <col min="15" max="15" width="9.1640625" style="92"/>
    <col min="16" max="16" width="9.5" style="92" customWidth="1"/>
    <col min="17" max="16384" width="9.1640625" style="92"/>
  </cols>
  <sheetData>
    <row r="1" spans="1:16" s="123" customFormat="1" ht="18" x14ac:dyDescent="0.2">
      <c r="A1" s="85" t="str">
        <f>"Comparable companies analysis - "&amp;D26</f>
      </c>
      <c r="B1" s="121"/>
      <c r="C1" s="122"/>
      <c r="D1" s="122"/>
      <c r="E1" s="122"/>
      <c r="F1" s="122"/>
      <c r="G1" s="122"/>
      <c r="H1" s="122"/>
      <c r="I1" s="122"/>
      <c r="J1" s="122"/>
      <c r="K1" s="122"/>
      <c r="L1" s="122"/>
      <c r="M1" s="122"/>
      <c r="N1" s="122"/>
      <c r="O1" s="122"/>
      <c r="P1" s="122"/>
    </row>
    <row r="2" spans="1:16" s="123" customFormat="1" ht="19" thickBot="1" x14ac:dyDescent="0.25">
      <c r="A2" s="91" t="s">
        <v>65</v>
      </c>
      <c r="B2" s="124"/>
      <c r="C2" s="125"/>
      <c r="D2" s="125"/>
      <c r="E2" s="125"/>
      <c r="F2" s="125"/>
      <c r="G2" s="125"/>
      <c r="H2" s="125"/>
      <c r="I2" s="125"/>
      <c r="J2" s="125"/>
      <c r="K2" s="125"/>
      <c r="L2" s="125"/>
      <c r="M2" s="125"/>
      <c r="N2" s="125"/>
      <c r="O2" s="125"/>
      <c r="P2" s="125"/>
    </row>
    <row r="3" spans="1:16" ht="14" thickTop="1" x14ac:dyDescent="0.15"/>
    <row r="4" spans="1:16" ht="18" x14ac:dyDescent="0.15">
      <c r="A4" s="127" t="s">
        <v>66</v>
      </c>
      <c r="B4" s="127"/>
      <c r="C4" s="83"/>
      <c r="D4" s="83"/>
      <c r="E4" s="83"/>
      <c r="F4" s="83"/>
    </row>
    <row r="5" spans="1:16" ht="14" x14ac:dyDescent="0.15">
      <c r="B5" s="128" t="s">
        <v>67</v>
      </c>
    </row>
    <row r="6" spans="1:16" x14ac:dyDescent="0.15">
      <c r="B6" s="29"/>
      <c r="C6" s="92" t="str">
        <f>F26</f>
      </c>
      <c r="D6" s="129">
        <f>I26</f>
      </c>
    </row>
    <row r="7" spans="1:16" x14ac:dyDescent="0.15">
      <c r="C7" s="92" t="str">
        <f>C40</f>
      </c>
      <c r="D7" s="92">
        <f>D40</f>
      </c>
      <c r="F7" s="94"/>
    </row>
    <row r="8" spans="1:16" x14ac:dyDescent="0.15">
      <c r="C8" s="92" t="str">
        <f>C49</f>
      </c>
      <c r="D8" s="92">
        <f>D49</f>
      </c>
      <c r="F8" s="94"/>
    </row>
    <row r="9" spans="1:16" x14ac:dyDescent="0.15">
      <c r="E9" s="130" t="s">
        <v>68</v>
      </c>
      <c r="F9" s="130"/>
    </row>
    <row r="10" spans="1:16" ht="14" x14ac:dyDescent="0.15">
      <c r="B10" s="131" t="s">
        <v>69</v>
      </c>
      <c r="C10" s="131"/>
      <c r="D10" s="132" t="s">
        <v>30</v>
      </c>
      <c r="E10" s="132">
        <f>DATE(YEAR(D35)+1,MONTH(D35),DAY(D35))</f>
      </c>
      <c r="F10" s="132">
        <f>DATE(YEAR(E10)+1,MONTH(E10),DAY(E10))</f>
      </c>
    </row>
    <row r="11" spans="1:16" x14ac:dyDescent="0.15">
      <c r="C11" s="92" t="s">
        <v>51</v>
      </c>
      <c r="D11" s="92">
        <f>F62</f>
      </c>
      <c r="E11" s="92">
        <f t="shared" ref="E11:F13" si="0">L62</f>
      </c>
      <c r="F11" s="92">
        <f t="shared" si="0"/>
      </c>
    </row>
    <row r="12" spans="1:16" x14ac:dyDescent="0.15">
      <c r="C12" s="133" t="s">
        <v>25</v>
      </c>
      <c r="D12" s="92">
        <f>F63</f>
      </c>
      <c r="E12" s="92">
        <f t="shared" si="0"/>
      </c>
      <c r="F12" s="92">
        <f t="shared" si="0"/>
      </c>
    </row>
    <row r="13" spans="1:16" x14ac:dyDescent="0.15">
      <c r="C13" s="133" t="s">
        <v>26</v>
      </c>
      <c r="D13" s="92">
        <f>F64</f>
      </c>
      <c r="E13" s="92">
        <f t="shared" si="0"/>
      </c>
      <c r="F13" s="92">
        <f t="shared" si="0"/>
      </c>
    </row>
    <row r="14" spans="1:16" x14ac:dyDescent="0.15">
      <c r="C14" s="133" t="str">
        <f>C66</f>
      </c>
      <c r="E14" s="129">
        <f>L66</f>
      </c>
      <c r="F14" s="129">
        <f>M66</f>
      </c>
    </row>
    <row r="16" spans="1:16" x14ac:dyDescent="0.15">
      <c r="E16" s="130" t="s">
        <v>68</v>
      </c>
      <c r="F16" s="130"/>
    </row>
    <row r="17" spans="1:12" ht="14" x14ac:dyDescent="0.15">
      <c r="B17" s="131" t="s">
        <v>70</v>
      </c>
      <c r="C17" s="134"/>
      <c r="D17" s="132" t="str">
        <f>D10</f>
      </c>
      <c r="E17" s="132">
        <f>E10</f>
      </c>
      <c r="F17" s="132">
        <f>F10</f>
      </c>
    </row>
    <row r="18" spans="1:12" x14ac:dyDescent="0.15">
      <c r="C18" s="92" t="s">
        <v>71</v>
      </c>
      <c r="D18" s="102">
        <f>EnterpriseValue/D11</f>
      </c>
      <c r="E18" s="102">
        <f>EnterpriseValue/E11</f>
      </c>
      <c r="F18" s="102">
        <f>EnterpriseValue/F11</f>
      </c>
    </row>
    <row r="19" spans="1:12" x14ac:dyDescent="0.15">
      <c r="C19" s="92" t="s">
        <v>72</v>
      </c>
      <c r="D19" s="92">
        <f>EnterpriseValue/D13</f>
      </c>
      <c r="E19" s="92">
        <f>EnterpriseValue/E13</f>
      </c>
      <c r="F19" s="92">
        <f>EnterpriseValue/F13</f>
      </c>
      <c r="G19" s="94"/>
      <c r="H19" s="135"/>
    </row>
    <row r="20" spans="1:12" x14ac:dyDescent="0.15">
      <c r="C20" s="92" t="s">
        <v>73</v>
      </c>
      <c r="D20" s="92">
        <f>EnterpriseValue/D12</f>
      </c>
      <c r="E20" s="92">
        <f>EnterpriseValue/E12</f>
      </c>
      <c r="F20" s="92">
        <f>EnterpriseValue/F12</f>
      </c>
      <c r="G20" s="94"/>
      <c r="H20" s="135"/>
    </row>
    <row r="21" spans="1:12" x14ac:dyDescent="0.15">
      <c r="C21" s="92" t="s">
        <v>20</v>
      </c>
      <c r="E21" s="92">
        <f>SharePrice/E14</f>
      </c>
      <c r="F21" s="92">
        <f>SharePrice/F14</f>
      </c>
    </row>
    <row r="22" spans="1:12" x14ac:dyDescent="0.15">
      <c r="C22" s="92" t="s">
        <v>53</v>
      </c>
      <c r="E22" s="92">
        <f>PE1F/$I$29/100</f>
      </c>
      <c r="F22" s="92">
        <f>PE1F/$I$29/100</f>
      </c>
    </row>
    <row r="24" spans="1:12" ht="18" x14ac:dyDescent="0.15">
      <c r="A24" s="127" t="s">
        <v>74</v>
      </c>
      <c r="B24" s="127"/>
      <c r="C24" s="83"/>
      <c r="D24" s="83"/>
      <c r="E24" s="83"/>
      <c r="F24" s="83"/>
      <c r="G24" s="83"/>
      <c r="H24" s="83"/>
      <c r="I24" s="83"/>
      <c r="J24" s="83"/>
      <c r="K24" s="83"/>
    </row>
    <row r="25" spans="1:12" ht="14" x14ac:dyDescent="0.15">
      <c r="A25" s="29"/>
      <c r="B25" s="128" t="s">
        <v>75</v>
      </c>
      <c r="F25" s="128" t="s">
        <v>76</v>
      </c>
    </row>
    <row r="26" spans="1:12" x14ac:dyDescent="0.15">
      <c r="C26" s="92" t="s">
        <v>77</v>
      </c>
      <c r="D26" s="30" t="s">
        <v>33</v>
      </c>
      <c r="F26" s="92" t="s">
        <v>78</v>
      </c>
      <c r="I26" s="136">
        <v>42.84</v>
      </c>
      <c r="L26" s="102"/>
    </row>
    <row r="27" spans="1:12" x14ac:dyDescent="0.15">
      <c r="C27" s="92" t="s">
        <v>79</v>
      </c>
      <c r="D27" s="30" t="s">
        <v>80</v>
      </c>
      <c r="F27" s="92" t="s">
        <v>81</v>
      </c>
      <c r="I27" s="136">
        <v>59.14</v>
      </c>
      <c r="L27" s="137"/>
    </row>
    <row r="28" spans="1:12" x14ac:dyDescent="0.15">
      <c r="C28" s="92" t="s">
        <v>82</v>
      </c>
      <c r="D28" s="31">
        <v>43202</v>
      </c>
      <c r="F28" s="92" t="s">
        <v>83</v>
      </c>
      <c r="I28" s="136">
        <v>40.99</v>
      </c>
      <c r="K28" s="102"/>
      <c r="L28" s="138"/>
    </row>
    <row r="29" spans="1:12" x14ac:dyDescent="0.15">
      <c r="C29" s="92" t="s">
        <v>11</v>
      </c>
      <c r="D29" s="30" t="s">
        <v>12</v>
      </c>
      <c r="F29" s="92" t="s">
        <v>84</v>
      </c>
      <c r="I29" s="59">
        <f>13.68/2.46/100</f>
      </c>
      <c r="J29" s="33"/>
      <c r="L29" s="102"/>
    </row>
    <row r="30" spans="1:12" x14ac:dyDescent="0.15">
      <c r="C30" s="92" t="s">
        <v>85</v>
      </c>
      <c r="D30" s="34">
        <v>1</v>
      </c>
      <c r="F30" s="92" t="s">
        <v>86</v>
      </c>
      <c r="I30" s="32">
        <v>3.27E-2</v>
      </c>
      <c r="K30" s="94"/>
      <c r="L30" s="102"/>
    </row>
    <row r="31" spans="1:12" x14ac:dyDescent="0.15">
      <c r="C31" s="92" t="s">
        <v>87</v>
      </c>
      <c r="D31" s="31">
        <v>42946</v>
      </c>
      <c r="F31" s="92" t="s">
        <v>88</v>
      </c>
      <c r="I31" s="30" t="s">
        <v>89</v>
      </c>
      <c r="L31" s="94"/>
    </row>
    <row r="32" spans="1:12" x14ac:dyDescent="0.15">
      <c r="C32" s="92" t="s">
        <v>90</v>
      </c>
      <c r="D32" s="31">
        <v>43128</v>
      </c>
      <c r="F32" s="92" t="s">
        <v>91</v>
      </c>
      <c r="I32" s="35">
        <v>300.63398799999999</v>
      </c>
    </row>
    <row r="33" spans="2:11" ht="12.75" customHeight="1" x14ac:dyDescent="0.15">
      <c r="C33" s="92" t="s">
        <v>92</v>
      </c>
      <c r="D33" s="30" t="s">
        <v>93</v>
      </c>
      <c r="F33" s="92" t="s">
        <v>94</v>
      </c>
      <c r="I33" s="139">
        <f>K46</f>
      </c>
    </row>
    <row r="34" spans="2:11" ht="12.75" customHeight="1" x14ac:dyDescent="0.2">
      <c r="C34" s="92" t="s">
        <v>95</v>
      </c>
      <c r="D34" s="36">
        <v>2</v>
      </c>
      <c r="E34" s="28"/>
      <c r="F34" s="92" t="s">
        <v>96</v>
      </c>
      <c r="I34" s="92">
        <f>I32+I33</f>
      </c>
    </row>
    <row r="35" spans="2:11" ht="12.75" customHeight="1" x14ac:dyDescent="0.2">
      <c r="C35" s="92" t="s">
        <v>97</v>
      </c>
      <c r="D35" s="31">
        <v>43100</v>
      </c>
      <c r="E35" s="28"/>
    </row>
    <row r="36" spans="2:11" ht="12.75" customHeight="1" x14ac:dyDescent="0.2">
      <c r="C36" s="92" t="s">
        <v>98</v>
      </c>
      <c r="D36" s="30" t="s">
        <v>99</v>
      </c>
      <c r="E36" s="28"/>
    </row>
    <row r="37" spans="2:11" ht="12.75" customHeight="1" x14ac:dyDescent="0.2">
      <c r="C37" s="92" t="s">
        <v>100</v>
      </c>
      <c r="D37" s="31">
        <f>D28</f>
      </c>
      <c r="E37" s="28"/>
    </row>
    <row r="38" spans="2:11" ht="12.75" customHeight="1" x14ac:dyDescent="0.2">
      <c r="E38" s="28"/>
    </row>
    <row r="39" spans="2:11" ht="14" x14ac:dyDescent="0.15">
      <c r="B39" s="128" t="s">
        <v>101</v>
      </c>
      <c r="F39" s="128" t="s">
        <v>102</v>
      </c>
      <c r="I39" s="140">
        <f>YEAR($D$31)</f>
      </c>
      <c r="J39" s="140">
        <f>YEAR($D$31)</f>
      </c>
    </row>
    <row r="40" spans="2:11" s="39" customFormat="1" x14ac:dyDescent="0.15">
      <c r="B40" s="29"/>
      <c r="C40" s="37" t="s">
        <v>103</v>
      </c>
      <c r="D40" s="38">
        <f>I34*I26</f>
      </c>
      <c r="F40" s="92"/>
      <c r="G40" s="92"/>
      <c r="H40" s="92"/>
      <c r="I40" s="106" t="s">
        <v>104</v>
      </c>
      <c r="J40" s="106" t="s">
        <v>105</v>
      </c>
      <c r="K40" s="106" t="s">
        <v>106</v>
      </c>
    </row>
    <row r="41" spans="2:11" s="39" customFormat="1" x14ac:dyDescent="0.15">
      <c r="B41" s="29"/>
      <c r="C41" s="92" t="str">
        <f>F52</f>
      </c>
      <c r="D41" s="35">
        <f>I52+(2516-2486)+6200</f>
      </c>
      <c r="F41" s="2" t="s">
        <v>107</v>
      </c>
      <c r="G41" s="92"/>
      <c r="H41" s="92"/>
      <c r="I41" s="40">
        <v>1.617</v>
      </c>
      <c r="J41" s="136">
        <v>50.34</v>
      </c>
      <c r="K41" s="139">
        <f>MAX(($I$26-J41)/$I$26*I41,0)</f>
      </c>
    </row>
    <row r="42" spans="2:11" s="39" customFormat="1" x14ac:dyDescent="0.15">
      <c r="B42" s="29"/>
      <c r="C42" s="92" t="s">
        <v>108</v>
      </c>
      <c r="D42" s="141">
        <f>SUM(D52:D53)</f>
      </c>
      <c r="E42" s="41"/>
      <c r="F42" s="2" t="s">
        <v>109</v>
      </c>
      <c r="G42" s="92"/>
      <c r="H42" s="92"/>
      <c r="I42" s="40">
        <v>1.236</v>
      </c>
      <c r="J42" s="136">
        <v>0</v>
      </c>
      <c r="K42" s="139">
        <f>MAX(($I$26-J42)/$I$26*I42,0)</f>
      </c>
    </row>
    <row r="43" spans="2:11" s="39" customFormat="1" x14ac:dyDescent="0.15">
      <c r="B43" s="29"/>
      <c r="C43" s="37" t="s">
        <v>110</v>
      </c>
      <c r="D43" s="38">
        <f>D41-D42</f>
      </c>
      <c r="F43" s="2" t="s">
        <v>111</v>
      </c>
      <c r="G43" s="92"/>
      <c r="H43" s="92"/>
      <c r="I43" s="40">
        <v>1.8320000000000001</v>
      </c>
      <c r="J43" s="136">
        <v>0</v>
      </c>
      <c r="K43" s="139">
        <f>MAX(($I$26-J43)/$I$26*I43,0)</f>
      </c>
    </row>
    <row r="44" spans="2:11" s="39" customFormat="1" x14ac:dyDescent="0.15">
      <c r="B44" s="29"/>
      <c r="C44" s="92" t="str">
        <f>F53</f>
      </c>
      <c r="D44" s="141">
        <f>I53</f>
      </c>
      <c r="F44" s="2" t="s">
        <v>112</v>
      </c>
      <c r="I44" s="40">
        <v>0</v>
      </c>
      <c r="J44" s="136">
        <v>0</v>
      </c>
      <c r="K44" s="139">
        <f>MAX(($I$26-J44)/$I$26*I44,0)</f>
      </c>
    </row>
    <row r="45" spans="2:11" s="39" customFormat="1" x14ac:dyDescent="0.15">
      <c r="B45" s="29"/>
      <c r="C45" s="92" t="str">
        <f>F56</f>
      </c>
      <c r="D45" s="141">
        <f>I56</f>
      </c>
      <c r="F45" s="2" t="s">
        <v>113</v>
      </c>
      <c r="I45" s="40">
        <v>0</v>
      </c>
      <c r="J45" s="136">
        <v>0</v>
      </c>
      <c r="K45" s="139">
        <f>MAX(($I$26-J45)/$I$26*I45,0)</f>
      </c>
    </row>
    <row r="46" spans="2:11" s="39" customFormat="1" x14ac:dyDescent="0.15">
      <c r="B46" s="29"/>
      <c r="C46" s="92" t="str">
        <f>F57</f>
      </c>
      <c r="D46" s="141">
        <f>I57</f>
      </c>
      <c r="F46" s="39" t="s">
        <v>94</v>
      </c>
      <c r="K46" s="39">
        <f>SUM(K41:K45)</f>
      </c>
    </row>
    <row r="47" spans="2:11" s="39" customFormat="1" x14ac:dyDescent="0.15">
      <c r="B47" s="29"/>
      <c r="C47" s="92" t="str">
        <f>C54</f>
      </c>
      <c r="D47" s="141">
        <f>D54</f>
      </c>
    </row>
    <row r="48" spans="2:11" s="39" customFormat="1" x14ac:dyDescent="0.15">
      <c r="B48" s="29"/>
      <c r="C48" s="92" t="str">
        <f>C55</f>
      </c>
      <c r="D48" s="141">
        <f>D55</f>
      </c>
      <c r="F48" s="92"/>
    </row>
    <row r="49" spans="2:14" x14ac:dyDescent="0.15">
      <c r="C49" s="37" t="s">
        <v>4</v>
      </c>
      <c r="D49" s="38">
        <f>D40+SUM(D43:D46)-SUM(D47:D48)</f>
      </c>
    </row>
    <row r="51" spans="2:14" ht="14" x14ac:dyDescent="0.15">
      <c r="B51" s="128" t="s">
        <v>114</v>
      </c>
      <c r="D51" s="142" t="str">
        <f>YEAR($D$32)&amp;" "&amp;+D33</f>
      </c>
      <c r="I51" s="142" t="str">
        <f>D51</f>
      </c>
    </row>
    <row r="52" spans="2:14" x14ac:dyDescent="0.15">
      <c r="C52" s="92" t="s">
        <v>115</v>
      </c>
      <c r="D52" s="30">
        <f>196-106</f>
      </c>
      <c r="F52" s="92" t="s">
        <v>116</v>
      </c>
      <c r="I52" s="30">
        <f>1659+2247</f>
      </c>
    </row>
    <row r="53" spans="2:14" x14ac:dyDescent="0.15">
      <c r="C53" s="92" t="s">
        <v>117</v>
      </c>
      <c r="D53" s="35">
        <v>0</v>
      </c>
      <c r="F53" s="92" t="s">
        <v>118</v>
      </c>
      <c r="I53" s="30">
        <v>0</v>
      </c>
    </row>
    <row r="54" spans="2:14" x14ac:dyDescent="0.15">
      <c r="C54" s="92" t="s">
        <v>119</v>
      </c>
      <c r="D54" s="35">
        <v>0</v>
      </c>
      <c r="F54" s="92" t="s">
        <v>120</v>
      </c>
      <c r="I54" s="30">
        <f>8336-106-SUM(I52:I53,I55:I57)</f>
      </c>
    </row>
    <row r="55" spans="2:14" x14ac:dyDescent="0.15">
      <c r="C55" s="92" t="s">
        <v>121</v>
      </c>
      <c r="D55" s="35">
        <v>0</v>
      </c>
      <c r="F55" s="92" t="s">
        <v>122</v>
      </c>
      <c r="I55" s="30">
        <v>1942</v>
      </c>
    </row>
    <row r="56" spans="2:14" ht="14" x14ac:dyDescent="0.15">
      <c r="C56" s="92" t="s">
        <v>123</v>
      </c>
      <c r="D56" s="35">
        <f>8336-106-SUM(D52:D55)</f>
      </c>
      <c r="F56" s="92" t="s">
        <v>124</v>
      </c>
      <c r="I56" s="30">
        <v>0</v>
      </c>
      <c r="K56" s="143" t="s">
        <v>125</v>
      </c>
      <c r="L56" s="144"/>
      <c r="M56" s="144"/>
    </row>
    <row r="57" spans="2:14" x14ac:dyDescent="0.15">
      <c r="F57" s="92" t="s">
        <v>126</v>
      </c>
      <c r="I57" s="30">
        <v>7</v>
      </c>
      <c r="K57" s="145" t="s">
        <v>127</v>
      </c>
      <c r="L57" s="146">
        <f>D35-D31</f>
      </c>
      <c r="M57" s="147"/>
    </row>
    <row r="58" spans="2:14" x14ac:dyDescent="0.15">
      <c r="C58" s="37" t="s">
        <v>128</v>
      </c>
      <c r="D58" s="39">
        <f>SUM(D52:D56)</f>
      </c>
      <c r="F58" s="37" t="s">
        <v>129</v>
      </c>
      <c r="I58" s="39">
        <f>SUM(I52:I57)</f>
      </c>
      <c r="K58" s="148" t="s">
        <v>130</v>
      </c>
      <c r="L58" s="106" t="s">
        <v>131</v>
      </c>
      <c r="M58" s="149" t="s">
        <v>132</v>
      </c>
    </row>
    <row r="59" spans="2:14" x14ac:dyDescent="0.15">
      <c r="C59" s="42" t="s">
        <v>133</v>
      </c>
      <c r="D59" s="43" t="str">
        <f>IF(D58=I58,"OK",D58-I58)</f>
      </c>
      <c r="K59" s="150">
        <f>MAX(-L57/365,0)</f>
      </c>
      <c r="L59" s="151">
        <f>1-K59-M59</f>
      </c>
      <c r="M59" s="152">
        <f>MAX(L57/365,0)</f>
      </c>
    </row>
    <row r="60" spans="2:14" x14ac:dyDescent="0.15">
      <c r="G60" s="94"/>
      <c r="H60" s="94"/>
      <c r="I60" s="94"/>
      <c r="J60" s="44"/>
      <c r="N60" s="130"/>
    </row>
    <row r="61" spans="2:14" ht="14" x14ac:dyDescent="0.15">
      <c r="B61" s="128" t="s">
        <v>134</v>
      </c>
      <c r="D61" s="140">
        <f>YEAR($D$31)-1</f>
      </c>
      <c r="E61" s="140">
        <f>YEAR($D$31)</f>
      </c>
      <c r="F61" s="140" t="s">
        <v>30</v>
      </c>
      <c r="G61" s="140" t="str">
        <f>YEAR($D$31)+1 &amp; "E"</f>
      </c>
      <c r="H61" s="140" t="str">
        <f>YEAR($D$31)+2 &amp; "E"</f>
      </c>
      <c r="I61" s="140" t="str">
        <f>YEAR($D$31)+3 &amp; "E"</f>
      </c>
      <c r="K61" s="132">
        <f>D35</f>
      </c>
      <c r="L61" s="132">
        <f>DATE(YEAR(K61)+1,MONTH(K61),DAY(K61))</f>
      </c>
      <c r="M61" s="132">
        <f>DATE(YEAR(L61)+1,MONTH(L61),DAY(L61))</f>
      </c>
    </row>
    <row r="62" spans="2:14" x14ac:dyDescent="0.15">
      <c r="C62" s="92" t="s">
        <v>51</v>
      </c>
      <c r="D62" s="106">
        <f>VLOOKUP($C62,Company0650_data!Data,5,0)</f>
      </c>
      <c r="E62" s="106">
        <f>VLOOKUP($C62,Company0650_data!Data,6,0)+(E69*$K$74)</f>
      </c>
      <c r="F62" s="106">
        <f>VLOOKUP($C62,Company0650_data!Data,7,0)+(F69*$K$74)</f>
      </c>
      <c r="G62" s="106">
        <f>VLOOKUP($C62,Company0650_data!Data,10,0)+(G69*$L$74)</f>
      </c>
      <c r="H62" s="106">
        <f>VLOOKUP($C62,Company0650_data!Data,11,0)</f>
      </c>
      <c r="I62" s="106">
        <f>VLOOKUP($C62,Company0650_data!Data,12,0)</f>
      </c>
      <c r="K62" s="92">
        <f>D62*$K$59+E62*$L$59+G62*$M$59</f>
      </c>
      <c r="L62" s="92">
        <f>E62*$K$59+G62*$L$59+H62*$M$59</f>
      </c>
      <c r="M62" s="92">
        <f>G62*$K$59+H62*$L$59+I62*$M$59</f>
      </c>
    </row>
    <row r="63" spans="2:14" x14ac:dyDescent="0.15">
      <c r="C63" s="92" t="s">
        <v>25</v>
      </c>
      <c r="D63" s="106">
        <f>VLOOKUP($C63,Company0650_data!Data,5,0)</f>
      </c>
      <c r="E63" s="106">
        <f>VLOOKUP($C63,Company0650_data!Data,6,0)+(E70*$K$74)</f>
      </c>
      <c r="F63" s="106">
        <f>VLOOKUP($C63,Company0650_data!Data,7,0)+(F70*$K$74)</f>
      </c>
      <c r="G63" s="106">
        <f>VLOOKUP($C63,Company0650_data!Data,10,0)+(G70*$L$74)</f>
      </c>
      <c r="H63" s="106">
        <f>VLOOKUP($C63,Company0650_data!Data,11,0)</f>
      </c>
      <c r="I63" s="106">
        <f>VLOOKUP($C63,Company0650_data!Data,12,0)</f>
      </c>
      <c r="K63" s="92">
        <f>D63*$K$59+E63*$L$59+G63*$M$59</f>
      </c>
      <c r="L63" s="92">
        <f>E63*$K$59+G63*$L$59+H63*$M$59</f>
      </c>
      <c r="M63" s="92">
        <f>G63*$K$59+H63*$L$59+I63*$M$59</f>
      </c>
    </row>
    <row r="64" spans="2:14" x14ac:dyDescent="0.15">
      <c r="C64" s="92" t="s">
        <v>26</v>
      </c>
      <c r="D64" s="106">
        <f>VLOOKUP($C64,Company0650_data!Data,5,0)</f>
      </c>
      <c r="E64" s="106">
        <f>VLOOKUP($C64,Company0650_data!Data,6,0)+(E71*$K$74)</f>
      </c>
      <c r="F64" s="106">
        <f>VLOOKUP($C64,Company0650_data!Data,7,0)+(F71*$K$74)</f>
      </c>
      <c r="G64" s="106">
        <f>VLOOKUP($C64,Company0650_data!Data,10,0)+(G71*$L$74)</f>
      </c>
      <c r="H64" s="106">
        <f>VLOOKUP($C64,Company0650_data!Data,11,0)</f>
      </c>
      <c r="I64" s="106">
        <f>VLOOKUP($C64,Company0650_data!Data,12,0)</f>
      </c>
      <c r="K64" s="92">
        <f>D64*$K$59+E64*$L$59+G64*$M$59</f>
      </c>
      <c r="L64" s="92">
        <f>E64*$K$59+G64*$L$59+H64*$M$59</f>
      </c>
      <c r="M64" s="92">
        <f>G64*$K$59+H64*$L$59+I64*$M$59</f>
      </c>
    </row>
    <row r="65" spans="1:13" x14ac:dyDescent="0.15">
      <c r="C65" s="92" t="s">
        <v>135</v>
      </c>
      <c r="D65" s="106">
        <f>Company0650_data!F76</f>
      </c>
      <c r="E65" s="106">
        <f>Company0650_data!G76+E72*K74-Company0650_data!E145</f>
      </c>
      <c r="F65" s="106"/>
      <c r="G65" s="79">
        <f>937+(G72-Company0650_data!$E$145)*L74</f>
      </c>
      <c r="H65" s="79">
        <v>978.41</v>
      </c>
      <c r="I65" s="79">
        <v>990.7</v>
      </c>
      <c r="K65" s="92">
        <f>D65*$K$59+E65*$L$59+G65*$M$59</f>
      </c>
      <c r="L65" s="92">
        <f>E65*$K$59+G65*$L$59+H65*$M$59</f>
      </c>
      <c r="M65" s="92">
        <f>G65*$K$59+H65*$L$59+I65*$M$59</f>
      </c>
    </row>
    <row r="66" spans="1:13" x14ac:dyDescent="0.15">
      <c r="C66" s="92" t="s">
        <v>136</v>
      </c>
      <c r="D66" s="129">
        <f>VLOOKUP($C66,Company0650_data!Data,5,0)</f>
      </c>
      <c r="E66" s="129">
        <f>E65/Company0650_data!G81</f>
      </c>
      <c r="F66" s="129"/>
      <c r="G66" s="129">
        <f>G65/I34</f>
      </c>
      <c r="H66" s="129">
        <f>VLOOKUP($C66,Company0650_data!Data,11,0)</f>
      </c>
      <c r="I66" s="129">
        <f>VLOOKUP($C66,Company0650_data!Data,12,0)</f>
      </c>
      <c r="J66" s="129"/>
      <c r="K66" s="129">
        <f>D66*$K$59+E66*$L$59+G66*$M$59</f>
      </c>
      <c r="L66" s="129">
        <f>E66*$K$59+G66*$L$59+H66*$M$59</f>
      </c>
      <c r="M66" s="129">
        <f>G66*$K$59+H66*$L$59+I66*$M$59</f>
      </c>
    </row>
    <row r="67" spans="1:13" x14ac:dyDescent="0.15">
      <c r="C67" s="45"/>
      <c r="D67" s="46"/>
      <c r="E67" s="46"/>
      <c r="F67" s="46"/>
      <c r="G67" s="46"/>
      <c r="I67" s="47"/>
      <c r="J67" s="47"/>
      <c r="K67" s="47"/>
    </row>
    <row r="68" spans="1:13" ht="14" x14ac:dyDescent="0.15">
      <c r="B68" s="128" t="s">
        <v>137</v>
      </c>
      <c r="E68" s="140">
        <f>E61</f>
      </c>
      <c r="F68" s="140" t="s">
        <v>30</v>
      </c>
      <c r="G68" s="140" t="str">
        <f>G61</f>
      </c>
      <c r="K68" s="143" t="s">
        <v>138</v>
      </c>
      <c r="L68" s="144"/>
      <c r="M68" s="144"/>
    </row>
    <row r="69" spans="1:13" x14ac:dyDescent="0.15">
      <c r="C69" s="92" t="s">
        <v>51</v>
      </c>
      <c r="E69" s="92">
        <f>D75*$K$71+E75*$L$71+G75*$M$71</f>
      </c>
      <c r="F69" s="92">
        <f>F75</f>
      </c>
      <c r="G69" s="92">
        <f>E75*$K$71+G75*$L$71+H75*$M$71</f>
      </c>
      <c r="K69" s="145" t="s">
        <v>127</v>
      </c>
      <c r="L69" s="146">
        <f>D31-E74</f>
      </c>
      <c r="M69" s="147"/>
    </row>
    <row r="70" spans="1:13" x14ac:dyDescent="0.15">
      <c r="C70" s="92" t="s">
        <v>25</v>
      </c>
      <c r="E70" s="92">
        <f>D76*$K$71+E76*$L$71+G76*$M$71</f>
      </c>
      <c r="F70" s="92">
        <f>F76</f>
      </c>
      <c r="G70" s="92">
        <f>E76*$K$71+G76*$L$71+H76*$M$71</f>
      </c>
      <c r="K70" s="148" t="s">
        <v>130</v>
      </c>
      <c r="L70" s="106" t="s">
        <v>131</v>
      </c>
      <c r="M70" s="149" t="s">
        <v>132</v>
      </c>
    </row>
    <row r="71" spans="1:13" x14ac:dyDescent="0.15">
      <c r="C71" s="92" t="s">
        <v>26</v>
      </c>
      <c r="E71" s="92">
        <f>D77*$K$71+E77*$L$71+G77*$M$71</f>
      </c>
      <c r="F71" s="92">
        <f>F77</f>
      </c>
      <c r="G71" s="92">
        <f>E77*$K$71+G77*$L$71+H77*$M$71</f>
      </c>
      <c r="H71" s="133"/>
      <c r="K71" s="150">
        <f>MAX(-L69/365,0)</f>
      </c>
      <c r="L71" s="151">
        <f>1-K71-M71</f>
      </c>
      <c r="M71" s="152">
        <f>MAX(L69/365,0)</f>
      </c>
    </row>
    <row r="72" spans="1:13" x14ac:dyDescent="0.15">
      <c r="C72" s="92" t="s">
        <v>135</v>
      </c>
      <c r="E72" s="92">
        <f>D78*$K$71+E78*$L$71+G78*$M$71</f>
      </c>
      <c r="G72" s="92">
        <f>E78*$K$71+G78*$L$71+H78*$M$71</f>
      </c>
    </row>
    <row r="73" spans="1:13" ht="12.75" customHeight="1" x14ac:dyDescent="0.2">
      <c r="A73" s="28"/>
      <c r="K73" s="153" t="s">
        <v>139</v>
      </c>
      <c r="L73" s="154"/>
    </row>
    <row r="74" spans="1:13" ht="12.75" customHeight="1" x14ac:dyDescent="0.2">
      <c r="A74" s="28"/>
      <c r="B74" s="128" t="s">
        <v>140</v>
      </c>
      <c r="D74" s="132">
        <v>42735</v>
      </c>
      <c r="E74" s="132">
        <v>43100</v>
      </c>
      <c r="F74" s="132" t="s">
        <v>30</v>
      </c>
      <c r="G74" s="132">
        <v>43465</v>
      </c>
      <c r="K74" s="155">
        <v>1</v>
      </c>
      <c r="L74" s="152">
        <f>1-(Company0650_data!K3-Company0650_data!E139)/365</f>
      </c>
    </row>
    <row r="75" spans="1:13" ht="16" x14ac:dyDescent="0.2">
      <c r="A75" s="28"/>
      <c r="C75" s="92" t="s">
        <v>51</v>
      </c>
      <c r="D75" s="92">
        <f>Company0650_data!C148</f>
      </c>
      <c r="E75" s="92">
        <f>Company0650_data!D148</f>
      </c>
      <c r="F75" s="92">
        <f>Company0650_data!E148</f>
      </c>
      <c r="G75" s="92">
        <f>Company0650_data!F148</f>
      </c>
    </row>
    <row r="76" spans="1:13" ht="16" x14ac:dyDescent="0.2">
      <c r="A76" s="28"/>
      <c r="C76" s="92" t="s">
        <v>25</v>
      </c>
      <c r="D76" s="92">
        <f>Company0650_data!C149</f>
      </c>
      <c r="E76" s="92">
        <f>Company0650_data!D149</f>
      </c>
      <c r="F76" s="92">
        <f>Company0650_data!E149</f>
      </c>
      <c r="G76" s="92">
        <f>Company0650_data!F149</f>
      </c>
    </row>
    <row r="77" spans="1:13" ht="16" x14ac:dyDescent="0.2">
      <c r="A77" s="28"/>
      <c r="C77" s="92" t="s">
        <v>26</v>
      </c>
      <c r="D77" s="92">
        <f>Company0650_data!C150</f>
      </c>
      <c r="E77" s="92">
        <f>Company0650_data!D150</f>
      </c>
      <c r="F77" s="92">
        <f>Company0650_data!E150</f>
      </c>
      <c r="G77" s="92">
        <f>Company0650_data!F150</f>
      </c>
    </row>
    <row r="78" spans="1:13" ht="16" x14ac:dyDescent="0.2">
      <c r="A78" s="28"/>
      <c r="C78" s="92" t="s">
        <v>135</v>
      </c>
      <c r="D78" s="92">
        <f>Company0650_data!C151</f>
      </c>
      <c r="E78" s="92">
        <f>Company0650_data!D151</f>
      </c>
      <c r="G78" s="92">
        <f>Company0650_data!F151</f>
      </c>
    </row>
    <row r="79" spans="1:13" ht="16" x14ac:dyDescent="0.2">
      <c r="A79" s="28"/>
    </row>
    <row r="80" spans="1:13" ht="16" x14ac:dyDescent="0.2">
      <c r="A80" s="28"/>
    </row>
    <row r="81" spans="1:1" ht="16" x14ac:dyDescent="0.2">
      <c r="A81" s="28"/>
    </row>
    <row r="82" spans="1:1" ht="16" x14ac:dyDescent="0.2">
      <c r="A82" s="28"/>
    </row>
    <row r="83" spans="1:1" ht="16" x14ac:dyDescent="0.2">
      <c r="A83" s="28"/>
    </row>
    <row r="101" collapsed="1" x14ac:dyDescent="0.15"/>
  </sheetData>
  <dataValidations count="8">
    <dataValidation allowBlank="1" showInputMessage="1" showErrorMessage="1" prompt="Exclude preferred stock and NCI" sqref="I55" xr:uid="{00000000-0002-0000-0200-000000000000}"/>
    <dataValidation allowBlank="1" showInputMessage="1" showErrorMessage="1" prompt="Include short-term liquid financial assets such as marketable securities etc" sqref="D53" xr:uid="{00000000-0002-0000-0200-000001000000}"/>
    <dataValidation allowBlank="1" showInputMessage="1" showErrorMessage="1" prompt="Include all liabilities that are operating in nature e.g. accounts payable" sqref="I54" xr:uid="{00000000-0002-0000-0200-000002000000}"/>
    <dataValidation allowBlank="1" showInputMessage="1" showErrorMessage="1" prompt="Include all assets that are operating in nature e.g. inventories, accounts receivable, PP&amp;E etc" sqref="D56" xr:uid="{00000000-0002-0000-0200-000003000000}"/>
    <dataValidation allowBlank="1" showInputMessage="1" showErrorMessage="1" prompt="Often labeled as cash and cash equivalents on balance sheet" sqref="D52" xr:uid="{00000000-0002-0000-0200-000004000000}"/>
    <dataValidation allowBlank="1" showInputMessage="1" showErrorMessage="1" prompt="The standard currency is the currency in which you would like the analysis presented. For example, it may be target company's home currency." sqref="D30" xr:uid="{00000000-0002-0000-0200-000005000000}"/>
    <dataValidation type="list" allowBlank="1" showInputMessage="1" showErrorMessage="1" sqref="D33" xr:uid="{00000000-0002-0000-0200-000006000000}">
      <formula1>"Ticker0019,Q,Annual,Interim"</formula1>
    </dataValidation>
    <dataValidation type="list" allowBlank="1" showInputMessage="1" showErrorMessage="1" prompt="Input 1, 2 or 3 to indicate which quarter data has been spread. Leave blank if annual data." sqref="D34" xr:uid="{00000000-0002-0000-0200-000007000000}">
      <formula1>"1,2,3,,"</formula1>
    </dataValidation>
  </dataValidations>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1" manualBreakCount="1">
    <brk id="23" max="16383"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39"/>
    <pageSetUpPr autoPageBreaks="0"/>
  </sheetPr>
  <dimension ref="A1:X153"/>
  <sheetViews>
    <sheetView showGridLines="0" zoomScaleNormal="100" workbookViewId="0"/>
  </sheetViews>
  <sheetFormatPr baseColWidth="10" defaultColWidth="9.1640625" defaultRowHeight="13" x14ac:dyDescent="0.15"/>
  <cols>
    <col min="1" max="1" width="2.5" style="92" customWidth="1"/>
    <col min="2" max="2" width="48.5" style="92" customWidth="1"/>
    <col min="3" max="13" width="10.5" style="92" customWidth="1"/>
    <col min="14" max="14" width="12.5" style="92" bestFit="1" customWidth="1"/>
    <col min="15" max="15" width="12" style="92" bestFit="1" customWidth="1"/>
    <col min="16" max="16384" width="9.1640625" style="92"/>
  </cols>
  <sheetData>
    <row r="1" spans="1:19" s="123" customFormat="1" ht="18" x14ac:dyDescent="0.2">
      <c r="A1" s="85" t="s">
        <v>141</v>
      </c>
      <c r="B1" s="121"/>
      <c r="C1" s="122"/>
      <c r="D1" s="122"/>
      <c r="E1" s="122"/>
      <c r="F1" s="122"/>
      <c r="G1" s="122"/>
      <c r="H1" s="122"/>
      <c r="I1" s="122"/>
      <c r="J1" s="122"/>
      <c r="K1" s="122"/>
      <c r="L1" s="122"/>
      <c r="M1" s="122"/>
      <c r="N1" s="122"/>
      <c r="O1" s="122"/>
      <c r="P1" s="122"/>
    </row>
    <row r="2" spans="1:19" s="175" customFormat="1" ht="15" customHeight="1" x14ac:dyDescent="0.15">
      <c r="A2" s="176"/>
      <c r="B2" s="171"/>
      <c r="C2" s="172" t="s">
        <v>142</v>
      </c>
      <c r="D2" s="172" t="s">
        <v>142</v>
      </c>
      <c r="E2" s="172" t="s">
        <v>142</v>
      </c>
      <c r="F2" s="172" t="s">
        <v>142</v>
      </c>
      <c r="G2" s="172" t="s">
        <v>142</v>
      </c>
      <c r="H2" s="172"/>
      <c r="I2" s="172" t="s">
        <v>143</v>
      </c>
      <c r="J2" s="172" t="s">
        <v>143</v>
      </c>
      <c r="K2" s="172" t="s">
        <v>144</v>
      </c>
      <c r="L2" s="172" t="s">
        <v>144</v>
      </c>
      <c r="M2" s="172" t="s">
        <v>144</v>
      </c>
      <c r="N2" s="173"/>
      <c r="O2" s="173"/>
      <c r="P2" s="173"/>
      <c r="Q2" s="173"/>
      <c r="R2" s="174"/>
      <c r="S2" s="174"/>
    </row>
    <row r="3" spans="1:19" s="87" customFormat="1" ht="19" thickBot="1" x14ac:dyDescent="0.25">
      <c r="A3" s="88" t="s">
        <v>145</v>
      </c>
      <c r="B3" s="124"/>
      <c r="C3" s="125">
        <f>EDATE(D3,-12)</f>
      </c>
      <c r="D3" s="125">
        <f>EDATE(E3,-12)</f>
      </c>
      <c r="E3" s="125">
        <f>EDATE(F3,-12)</f>
      </c>
      <c r="F3" s="125">
        <v>42582</v>
      </c>
      <c r="G3" s="125">
        <f>Company0650!D31</f>
      </c>
      <c r="H3" s="125" t="s">
        <v>30</v>
      </c>
      <c r="I3" s="125" t="s">
        <v>146</v>
      </c>
      <c r="J3" s="125" t="s">
        <v>147</v>
      </c>
      <c r="K3" s="125">
        <f>EDATE(G3,12)</f>
      </c>
      <c r="L3" s="125">
        <f>EDATE(K3,12)</f>
      </c>
      <c r="M3" s="125">
        <f>EDATE(L3,12)</f>
      </c>
      <c r="N3" s="125"/>
      <c r="O3" s="125"/>
      <c r="P3" s="125"/>
    </row>
    <row r="4" spans="1:19" ht="14" thickTop="1" x14ac:dyDescent="0.15"/>
    <row r="5" spans="1:19" ht="14" x14ac:dyDescent="0.15">
      <c r="A5" s="93" t="s">
        <v>148</v>
      </c>
      <c r="B5" s="1"/>
      <c r="C5" s="1"/>
      <c r="D5" s="1"/>
      <c r="E5" s="48"/>
      <c r="F5" s="48"/>
      <c r="G5" s="48"/>
      <c r="H5" s="48"/>
      <c r="I5" s="48"/>
      <c r="J5" s="48"/>
      <c r="K5" s="48"/>
      <c r="L5" s="48"/>
      <c r="M5" s="48"/>
    </row>
    <row r="6" spans="1:19" x14ac:dyDescent="0.15">
      <c r="B6" s="92" t="s">
        <v>51</v>
      </c>
      <c r="C6" s="92">
        <f>C27</f>
      </c>
      <c r="D6" s="92">
        <f>D27</f>
      </c>
      <c r="E6" s="92">
        <f>E27</f>
      </c>
      <c r="F6" s="92">
        <f>F27</f>
      </c>
      <c r="G6" s="92">
        <f>G27</f>
      </c>
      <c r="H6" s="92">
        <f>G6-I6+J6</f>
      </c>
      <c r="I6" s="92">
        <f>I27</f>
      </c>
      <c r="J6" s="92">
        <f>J27</f>
      </c>
      <c r="K6" s="35">
        <v>8690.33</v>
      </c>
      <c r="L6" s="35">
        <v>10274</v>
      </c>
      <c r="M6" s="35">
        <v>10340.799999999999</v>
      </c>
    </row>
    <row r="7" spans="1:19" x14ac:dyDescent="0.15">
      <c r="B7" s="92" t="s">
        <v>25</v>
      </c>
      <c r="F7" s="92">
        <f>F52</f>
      </c>
      <c r="G7" s="92">
        <f>G52</f>
      </c>
      <c r="H7" s="92">
        <f>G7-I7+J7</f>
      </c>
      <c r="I7" s="92">
        <f>I52</f>
      </c>
      <c r="J7" s="92">
        <f>J52</f>
      </c>
      <c r="K7" s="156">
        <v>1853</v>
      </c>
      <c r="L7" s="156">
        <v>2125.83</v>
      </c>
      <c r="M7" s="156">
        <v>2249</v>
      </c>
    </row>
    <row r="8" spans="1:19" x14ac:dyDescent="0.15">
      <c r="B8" s="92" t="s">
        <v>26</v>
      </c>
      <c r="F8" s="92">
        <f>F46</f>
      </c>
      <c r="G8" s="92">
        <f>G46</f>
      </c>
      <c r="H8" s="92">
        <f>G8-I8+J8</f>
      </c>
      <c r="I8" s="92">
        <f>I46</f>
      </c>
      <c r="J8" s="92">
        <f>J46</f>
      </c>
      <c r="K8" s="156">
        <v>1479.79</v>
      </c>
      <c r="L8" s="156">
        <v>1663.61</v>
      </c>
      <c r="M8" s="156">
        <v>1703.5</v>
      </c>
    </row>
    <row r="9" spans="1:19" x14ac:dyDescent="0.15">
      <c r="B9" s="92" t="s">
        <v>136</v>
      </c>
      <c r="E9" s="102"/>
      <c r="F9" s="102">
        <f>F82</f>
      </c>
      <c r="G9" s="102">
        <f>G82</f>
      </c>
      <c r="H9" s="49"/>
      <c r="I9" s="49"/>
      <c r="J9" s="49"/>
      <c r="K9" s="157">
        <v>3.11</v>
      </c>
      <c r="L9" s="157">
        <v>3.21</v>
      </c>
      <c r="M9" s="157">
        <v>3.4009999999999998</v>
      </c>
    </row>
    <row r="10" spans="1:19" x14ac:dyDescent="0.15">
      <c r="N10" s="130" t="s">
        <v>59</v>
      </c>
      <c r="O10" s="130" t="s">
        <v>59</v>
      </c>
    </row>
    <row r="11" spans="1:19" ht="14" x14ac:dyDescent="0.15">
      <c r="A11" s="158" t="s">
        <v>149</v>
      </c>
      <c r="N11" s="159" t="str">
        <f>TEXT(YEAR(C3),"0000")&amp;" - "&amp;TEXT(YEAR(G3),"0000")</f>
      </c>
      <c r="O11" s="159" t="str">
        <f>TEXT(YEAR(G3),"0000")&amp;" - "&amp;TEXT(YEAR(M3),"0000")</f>
      </c>
    </row>
    <row r="12" spans="1:19" x14ac:dyDescent="0.15">
      <c r="A12" s="39"/>
      <c r="B12" s="92" t="s">
        <v>150</v>
      </c>
      <c r="D12" s="160">
        <f>D28</f>
      </c>
      <c r="E12" s="160">
        <f>E28</f>
      </c>
      <c r="F12" s="160">
        <f>F28</f>
      </c>
      <c r="G12" s="160">
        <f>G28</f>
      </c>
      <c r="K12" s="160">
        <f>K6/G6-1</f>
      </c>
      <c r="L12" s="160">
        <f>L6/K6-1</f>
      </c>
      <c r="M12" s="160">
        <f>M6/L6-1</f>
      </c>
      <c r="N12" s="160">
        <f>(G6/C6)^(1/4)-1</f>
      </c>
      <c r="O12" s="160">
        <f>(M6/G6)^(1/3)-1</f>
      </c>
    </row>
    <row r="13" spans="1:19" x14ac:dyDescent="0.15">
      <c r="A13" s="39"/>
      <c r="B13" s="92" t="str">
        <f>B32</f>
      </c>
      <c r="D13" s="160"/>
      <c r="E13" s="160"/>
      <c r="F13" s="160">
        <f>F32</f>
      </c>
      <c r="G13" s="160">
        <f>G32</f>
      </c>
      <c r="I13" s="160"/>
    </row>
    <row r="14" spans="1:19" x14ac:dyDescent="0.15">
      <c r="B14" s="92" t="s">
        <v>151</v>
      </c>
      <c r="F14" s="160">
        <f t="shared" ref="F14:M14" si="0">F7/F6</f>
      </c>
      <c r="G14" s="160">
        <f t="shared" si="0"/>
      </c>
      <c r="H14" s="160">
        <f t="shared" si="0"/>
      </c>
      <c r="I14" s="160">
        <f t="shared" si="0"/>
      </c>
      <c r="J14" s="160">
        <f t="shared" si="0"/>
      </c>
      <c r="K14" s="160">
        <f t="shared" si="0"/>
      </c>
      <c r="L14" s="160">
        <f t="shared" si="0"/>
      </c>
      <c r="M14" s="160">
        <f t="shared" si="0"/>
      </c>
    </row>
    <row r="15" spans="1:19" x14ac:dyDescent="0.15">
      <c r="A15" s="39"/>
      <c r="B15" s="92" t="s">
        <v>152</v>
      </c>
      <c r="F15" s="160">
        <f t="shared" ref="F15:M15" si="1">F8/F6</f>
      </c>
      <c r="G15" s="160">
        <f t="shared" si="1"/>
      </c>
      <c r="H15" s="160">
        <f t="shared" si="1"/>
      </c>
      <c r="I15" s="160">
        <f t="shared" si="1"/>
      </c>
      <c r="J15" s="160">
        <f t="shared" si="1"/>
      </c>
      <c r="K15" s="160">
        <f t="shared" si="1"/>
      </c>
      <c r="L15" s="160">
        <f t="shared" si="1"/>
      </c>
      <c r="M15" s="160">
        <f t="shared" si="1"/>
      </c>
    </row>
    <row r="16" spans="1:19" x14ac:dyDescent="0.15">
      <c r="B16" s="92" t="s">
        <v>153</v>
      </c>
      <c r="F16" s="160">
        <f>F100</f>
      </c>
      <c r="G16" s="160">
        <f>G100</f>
      </c>
    </row>
    <row r="17" spans="1:17" x14ac:dyDescent="0.15">
      <c r="B17" s="92" t="s">
        <v>154</v>
      </c>
      <c r="F17" s="160">
        <f>F107</f>
      </c>
      <c r="G17" s="160">
        <f>G107</f>
      </c>
    </row>
    <row r="18" spans="1:17" x14ac:dyDescent="0.15">
      <c r="B18" s="92" t="s">
        <v>155</v>
      </c>
      <c r="F18" s="92">
        <f>F109</f>
      </c>
      <c r="G18" s="92">
        <f>G109</f>
      </c>
    </row>
    <row r="19" spans="1:17" x14ac:dyDescent="0.15">
      <c r="B19" s="92" t="s">
        <v>156</v>
      </c>
      <c r="F19" s="92">
        <f>F120</f>
      </c>
      <c r="G19" s="92">
        <f>G120</f>
      </c>
    </row>
    <row r="20" spans="1:17" x14ac:dyDescent="0.15">
      <c r="B20" s="92" t="s">
        <v>157</v>
      </c>
      <c r="F20" s="92">
        <f>F121</f>
      </c>
      <c r="G20" s="92">
        <f>G121</f>
      </c>
    </row>
    <row r="21" spans="1:17" x14ac:dyDescent="0.15">
      <c r="B21" s="92" t="s">
        <v>158</v>
      </c>
      <c r="F21" s="92">
        <f>F124</f>
      </c>
      <c r="G21" s="92">
        <f>G124</f>
      </c>
    </row>
    <row r="22" spans="1:17" x14ac:dyDescent="0.15">
      <c r="B22" s="92" t="str">
        <f>B126</f>
      </c>
      <c r="F22" s="160">
        <f>F126</f>
      </c>
      <c r="G22" s="160">
        <f>G126</f>
      </c>
    </row>
    <row r="23" spans="1:17" x14ac:dyDescent="0.15">
      <c r="B23" s="92" t="s">
        <v>62</v>
      </c>
      <c r="F23" s="160">
        <f>F135</f>
      </c>
      <c r="G23" s="160">
        <f>G135</f>
      </c>
    </row>
    <row r="24" spans="1:17" x14ac:dyDescent="0.15">
      <c r="B24" s="92" t="s">
        <v>63</v>
      </c>
      <c r="F24" s="160">
        <f>F129</f>
      </c>
      <c r="G24" s="160">
        <f>G129</f>
      </c>
      <c r="I24" s="94"/>
      <c r="J24" s="94"/>
    </row>
    <row r="26" spans="1:17" ht="14" x14ac:dyDescent="0.15">
      <c r="A26" s="93" t="s">
        <v>159</v>
      </c>
    </row>
    <row r="27" spans="1:17" x14ac:dyDescent="0.15">
      <c r="B27" s="92" t="s">
        <v>51</v>
      </c>
      <c r="C27" s="35">
        <v>8052</v>
      </c>
      <c r="D27" s="35">
        <v>8268</v>
      </c>
      <c r="E27" s="35">
        <v>8082</v>
      </c>
      <c r="F27" s="35">
        <v>7961</v>
      </c>
      <c r="G27" s="35">
        <v>7890</v>
      </c>
      <c r="I27" s="35">
        <v>4373</v>
      </c>
      <c r="J27" s="35">
        <v>4341</v>
      </c>
      <c r="K27" s="2"/>
    </row>
    <row r="28" spans="1:17" s="1" customFormat="1" x14ac:dyDescent="0.15">
      <c r="A28" s="92"/>
      <c r="B28" s="92" t="s">
        <v>160</v>
      </c>
      <c r="C28" s="27"/>
      <c r="D28" s="27">
        <f>D27/C27-1</f>
      </c>
      <c r="E28" s="27">
        <f>E27/D27-1</f>
      </c>
      <c r="F28" s="27">
        <f>F27/E27-1</f>
      </c>
      <c r="G28" s="53">
        <f>G27/F27-1</f>
      </c>
      <c r="H28" s="92"/>
      <c r="I28" s="53"/>
      <c r="J28" s="27"/>
      <c r="K28" s="52"/>
      <c r="N28" s="92"/>
      <c r="O28" s="92"/>
      <c r="P28" s="92"/>
      <c r="Q28" s="92"/>
    </row>
    <row r="29" spans="1:17" x14ac:dyDescent="0.15">
      <c r="F29" s="27"/>
      <c r="G29" s="53"/>
      <c r="I29" s="53"/>
      <c r="J29" s="53"/>
      <c r="K29" s="54"/>
    </row>
    <row r="30" spans="1:17" x14ac:dyDescent="0.15">
      <c r="B30" s="92" t="s">
        <v>161</v>
      </c>
      <c r="D30" s="94"/>
      <c r="F30" s="161">
        <v>5181</v>
      </c>
      <c r="G30" s="161">
        <f>4831-4</f>
      </c>
      <c r="H30" s="39"/>
      <c r="I30" s="35">
        <v>2711</v>
      </c>
      <c r="J30" s="35">
        <f>2792-6</f>
      </c>
      <c r="L30" s="55"/>
    </row>
    <row r="31" spans="1:17" s="39" customFormat="1" x14ac:dyDescent="0.15">
      <c r="B31" s="39" t="s">
        <v>162</v>
      </c>
      <c r="F31" s="39">
        <f>F27-F30</f>
      </c>
      <c r="G31" s="39">
        <f>G27-G30</f>
      </c>
      <c r="I31" s="39">
        <f>I27-I30</f>
      </c>
      <c r="J31" s="39">
        <f>J27-J30</f>
      </c>
      <c r="K31" s="56"/>
    </row>
    <row r="32" spans="1:17" x14ac:dyDescent="0.15">
      <c r="B32" s="92" t="s">
        <v>163</v>
      </c>
      <c r="F32" s="27">
        <f>F31/F27</f>
      </c>
      <c r="G32" s="27">
        <f>G31/G27</f>
      </c>
      <c r="I32" s="27">
        <f>I31/I27</f>
      </c>
      <c r="J32" s="27">
        <f>J31/J27</f>
      </c>
      <c r="K32" s="54"/>
    </row>
    <row r="33" spans="1:17" x14ac:dyDescent="0.15">
      <c r="F33" s="27"/>
      <c r="G33" s="53"/>
      <c r="I33" s="53"/>
      <c r="J33" s="53"/>
      <c r="K33" s="54"/>
    </row>
    <row r="34" spans="1:17" x14ac:dyDescent="0.15">
      <c r="B34" s="92" t="s">
        <v>164</v>
      </c>
      <c r="C34" s="39"/>
      <c r="D34" s="39"/>
      <c r="F34" s="35">
        <v>960</v>
      </c>
      <c r="G34" s="35">
        <v>1400</v>
      </c>
      <c r="I34" s="35">
        <v>662</v>
      </c>
      <c r="J34" s="35">
        <v>655</v>
      </c>
      <c r="K34" s="2"/>
    </row>
    <row r="35" spans="1:17" s="1" customFormat="1" x14ac:dyDescent="0.15">
      <c r="A35" s="92"/>
      <c r="B35" s="92" t="s">
        <v>165</v>
      </c>
      <c r="C35" s="92"/>
      <c r="D35" s="92"/>
      <c r="E35" s="92"/>
      <c r="F35" s="27">
        <f>F34/F27</f>
      </c>
      <c r="G35" s="53">
        <f>G34/G27</f>
      </c>
      <c r="H35" s="92"/>
      <c r="I35" s="53">
        <f>I34/I27</f>
      </c>
      <c r="J35" s="53">
        <f>J34/J27</f>
      </c>
      <c r="K35" s="52"/>
    </row>
    <row r="36" spans="1:17" x14ac:dyDescent="0.15">
      <c r="B36" s="2" t="s">
        <v>166</v>
      </c>
      <c r="C36" s="2"/>
      <c r="D36" s="2"/>
      <c r="F36" s="35">
        <v>313</v>
      </c>
      <c r="G36" s="35">
        <v>-178</v>
      </c>
      <c r="I36" s="35">
        <v>20</v>
      </c>
      <c r="J36" s="35">
        <v>-14</v>
      </c>
      <c r="K36" s="2"/>
      <c r="L36" s="55"/>
    </row>
    <row r="37" spans="1:17" x14ac:dyDescent="0.15">
      <c r="B37" s="2" t="s">
        <v>167</v>
      </c>
      <c r="C37" s="2"/>
      <c r="D37" s="2"/>
      <c r="F37" s="35">
        <f>35+47-4</f>
      </c>
      <c r="G37" s="35">
        <f>18+36+4</f>
      </c>
      <c r="I37" s="35">
        <v>11</v>
      </c>
      <c r="J37" s="35">
        <f>35+38+6</f>
      </c>
    </row>
    <row r="38" spans="1:17" x14ac:dyDescent="0.15">
      <c r="B38" s="2" t="s">
        <v>168</v>
      </c>
      <c r="C38" s="2"/>
      <c r="D38" s="2"/>
      <c r="F38" s="35">
        <v>141</v>
      </c>
      <c r="G38" s="35">
        <f>147+65</f>
      </c>
      <c r="I38" s="35">
        <f>147+65</f>
      </c>
      <c r="J38" s="35">
        <v>75</v>
      </c>
    </row>
    <row r="39" spans="1:17" x14ac:dyDescent="0.15">
      <c r="B39" s="2" t="s">
        <v>169</v>
      </c>
      <c r="C39" s="2"/>
      <c r="D39" s="2"/>
      <c r="F39" s="35">
        <v>-25</v>
      </c>
      <c r="G39" s="35">
        <v>0</v>
      </c>
      <c r="I39" s="35">
        <v>0</v>
      </c>
      <c r="J39" s="35">
        <v>0</v>
      </c>
      <c r="K39" s="2"/>
      <c r="L39" s="55"/>
    </row>
    <row r="40" spans="1:17" x14ac:dyDescent="0.15">
      <c r="B40" s="2" t="s">
        <v>170</v>
      </c>
      <c r="C40" s="2"/>
      <c r="D40" s="2"/>
      <c r="F40" s="35">
        <v>0</v>
      </c>
      <c r="G40" s="35">
        <v>0</v>
      </c>
      <c r="I40" s="35">
        <v>0</v>
      </c>
      <c r="J40" s="35">
        <v>24</v>
      </c>
      <c r="K40" s="2"/>
    </row>
    <row r="41" spans="1:17" x14ac:dyDescent="0.15">
      <c r="B41" s="2" t="s">
        <v>171</v>
      </c>
      <c r="C41" s="57"/>
      <c r="D41" s="57"/>
      <c r="F41" s="35">
        <v>0</v>
      </c>
      <c r="G41" s="35">
        <v>0</v>
      </c>
      <c r="I41" s="35">
        <v>0</v>
      </c>
      <c r="J41" s="35">
        <v>0</v>
      </c>
      <c r="K41" s="2"/>
    </row>
    <row r="42" spans="1:17" x14ac:dyDescent="0.15">
      <c r="B42" s="2" t="s">
        <v>172</v>
      </c>
      <c r="F42" s="35">
        <v>0</v>
      </c>
      <c r="G42" s="35">
        <v>0</v>
      </c>
      <c r="I42" s="35">
        <v>0</v>
      </c>
      <c r="J42" s="35">
        <v>0</v>
      </c>
      <c r="K42" s="2"/>
    </row>
    <row r="43" spans="1:17" x14ac:dyDescent="0.15">
      <c r="B43" s="2" t="s">
        <v>173</v>
      </c>
      <c r="C43" s="2"/>
      <c r="D43" s="2"/>
      <c r="F43" s="35">
        <v>0</v>
      </c>
      <c r="G43" s="35">
        <v>0</v>
      </c>
      <c r="I43" s="35">
        <v>0</v>
      </c>
      <c r="J43" s="35">
        <v>0</v>
      </c>
      <c r="K43" s="2"/>
    </row>
    <row r="44" spans="1:17" x14ac:dyDescent="0.15">
      <c r="B44" s="2" t="s">
        <v>174</v>
      </c>
      <c r="C44" s="2"/>
      <c r="D44" s="2"/>
      <c r="F44" s="35">
        <v>0</v>
      </c>
      <c r="G44" s="35">
        <v>0</v>
      </c>
      <c r="I44" s="35">
        <v>0</v>
      </c>
      <c r="J44" s="35">
        <v>0</v>
      </c>
      <c r="K44" s="2"/>
    </row>
    <row r="45" spans="1:17" x14ac:dyDescent="0.15">
      <c r="B45" s="2" t="s">
        <v>175</v>
      </c>
      <c r="C45" s="2"/>
      <c r="D45" s="2"/>
      <c r="F45" s="35">
        <v>0</v>
      </c>
      <c r="G45" s="35">
        <v>0</v>
      </c>
      <c r="I45" s="35">
        <v>0</v>
      </c>
      <c r="J45" s="35">
        <v>0</v>
      </c>
      <c r="K45" s="58"/>
    </row>
    <row r="46" spans="1:17" s="39" customFormat="1" x14ac:dyDescent="0.15">
      <c r="B46" s="39" t="s">
        <v>26</v>
      </c>
      <c r="F46" s="39">
        <f>F34+SUM(F36:F45)</f>
      </c>
      <c r="G46" s="39">
        <f>G34+SUM(G36:G45)</f>
      </c>
      <c r="I46" s="39">
        <f t="shared" ref="I46:J46" si="2">I34+SUM(I36:I45)</f>
      </c>
      <c r="J46" s="39">
        <f t="shared" si="2"/>
      </c>
    </row>
    <row r="47" spans="1:17" s="1" customFormat="1" x14ac:dyDescent="0.15">
      <c r="A47" s="92"/>
      <c r="B47" s="92" t="s">
        <v>152</v>
      </c>
      <c r="C47" s="92"/>
      <c r="D47" s="92"/>
      <c r="E47" s="92"/>
      <c r="F47" s="27">
        <f>F46/F27</f>
      </c>
      <c r="G47" s="53">
        <f>G46/G27</f>
      </c>
      <c r="H47" s="92"/>
      <c r="I47" s="53">
        <f>I46/I27</f>
      </c>
      <c r="J47" s="53">
        <f>J46/J27</f>
      </c>
      <c r="K47" s="52"/>
      <c r="L47" s="92"/>
      <c r="N47" s="92"/>
      <c r="O47" s="92"/>
      <c r="P47" s="92"/>
      <c r="Q47" s="92"/>
    </row>
    <row r="48" spans="1:17" x14ac:dyDescent="0.15">
      <c r="I48" s="53"/>
      <c r="J48" s="53"/>
      <c r="K48" s="54"/>
    </row>
    <row r="49" spans="1:24" x14ac:dyDescent="0.15">
      <c r="B49" s="92" t="s">
        <v>176</v>
      </c>
      <c r="C49" s="55"/>
      <c r="F49" s="35">
        <v>288</v>
      </c>
      <c r="G49" s="35">
        <v>299</v>
      </c>
      <c r="I49" s="35">
        <f>154-I50</f>
      </c>
      <c r="J49" s="35">
        <f>161-J50</f>
      </c>
      <c r="K49" s="2"/>
    </row>
    <row r="50" spans="1:24" x14ac:dyDescent="0.15">
      <c r="B50" s="92" t="s">
        <v>177</v>
      </c>
      <c r="C50" s="55"/>
      <c r="F50" s="35">
        <v>20</v>
      </c>
      <c r="G50" s="35">
        <v>19</v>
      </c>
      <c r="I50" s="35">
        <v>10</v>
      </c>
      <c r="J50" s="35">
        <v>8</v>
      </c>
      <c r="K50" s="2"/>
    </row>
    <row r="51" spans="1:24" x14ac:dyDescent="0.15">
      <c r="B51" s="92" t="s">
        <v>178</v>
      </c>
      <c r="F51" s="92">
        <f>SUM(F49:F50)</f>
      </c>
      <c r="G51" s="92">
        <f>SUM(G49:G50)</f>
      </c>
      <c r="H51" s="39"/>
      <c r="I51" s="92">
        <f>SUM(I49:I50)</f>
      </c>
      <c r="J51" s="92">
        <f>SUM(J49:J50)</f>
      </c>
    </row>
    <row r="52" spans="1:24" s="39" customFormat="1" x14ac:dyDescent="0.15">
      <c r="B52" s="39" t="s">
        <v>25</v>
      </c>
      <c r="F52" s="39">
        <f>F46+F51</f>
      </c>
      <c r="G52" s="39">
        <f>G46+G51</f>
      </c>
      <c r="I52" s="39">
        <f>I46+I51</f>
      </c>
      <c r="J52" s="39">
        <f>J46+J51</f>
      </c>
    </row>
    <row r="53" spans="1:24" s="1" customFormat="1" x14ac:dyDescent="0.15">
      <c r="A53" s="92"/>
      <c r="B53" s="92" t="s">
        <v>151</v>
      </c>
      <c r="C53" s="92"/>
      <c r="D53" s="92"/>
      <c r="E53" s="92"/>
      <c r="F53" s="27">
        <f>F52/F27</f>
      </c>
      <c r="G53" s="53">
        <f>G52/G27</f>
      </c>
      <c r="H53" s="92"/>
      <c r="I53" s="53">
        <f>I52/I27</f>
      </c>
      <c r="J53" s="53">
        <f>J52/J27</f>
      </c>
      <c r="K53" s="52"/>
      <c r="L53" s="92"/>
      <c r="N53" s="92"/>
      <c r="O53" s="92"/>
      <c r="P53" s="92"/>
      <c r="Q53" s="92"/>
      <c r="R53" s="92"/>
      <c r="S53" s="92"/>
      <c r="T53" s="92"/>
      <c r="U53" s="92"/>
      <c r="V53" s="92"/>
      <c r="W53" s="92"/>
      <c r="X53" s="92"/>
    </row>
    <row r="54" spans="1:24" x14ac:dyDescent="0.15">
      <c r="F54" s="27"/>
      <c r="G54" s="53"/>
      <c r="K54" s="54"/>
    </row>
    <row r="55" spans="1:24" x14ac:dyDescent="0.15">
      <c r="B55" s="92" t="s">
        <v>179</v>
      </c>
      <c r="F55" s="35">
        <v>849</v>
      </c>
      <c r="G55" s="35">
        <v>1293</v>
      </c>
      <c r="K55" s="2"/>
    </row>
    <row r="56" spans="1:24" x14ac:dyDescent="0.15">
      <c r="B56" s="92" t="s">
        <v>180</v>
      </c>
      <c r="F56" s="35">
        <v>286</v>
      </c>
      <c r="G56" s="35">
        <v>406</v>
      </c>
      <c r="K56" s="2"/>
    </row>
    <row r="57" spans="1:24" s="1" customFormat="1" x14ac:dyDescent="0.15">
      <c r="A57" s="92"/>
      <c r="B57" s="92" t="s">
        <v>181</v>
      </c>
      <c r="C57" s="92"/>
      <c r="D57" s="92"/>
      <c r="E57" s="92"/>
      <c r="F57" s="27">
        <f>F56/F55</f>
      </c>
      <c r="G57" s="53">
        <f>G56/G55</f>
      </c>
      <c r="H57" s="92"/>
      <c r="I57" s="92"/>
      <c r="J57" s="92"/>
      <c r="K57" s="52"/>
      <c r="L57" s="92"/>
      <c r="N57" s="92"/>
      <c r="O57" s="92"/>
      <c r="P57" s="92"/>
      <c r="Q57" s="92"/>
      <c r="R57" s="92"/>
      <c r="S57" s="92"/>
      <c r="T57" s="92"/>
      <c r="U57" s="92"/>
      <c r="V57" s="92"/>
      <c r="W57" s="92"/>
      <c r="X57" s="92"/>
    </row>
    <row r="58" spans="1:24" x14ac:dyDescent="0.15">
      <c r="B58" s="92" t="s">
        <v>182</v>
      </c>
      <c r="F58" s="59">
        <v>0.35</v>
      </c>
      <c r="G58" s="59">
        <v>0.35</v>
      </c>
      <c r="K58" s="162"/>
    </row>
    <row r="59" spans="1:24" x14ac:dyDescent="0.15">
      <c r="B59" s="92" t="s">
        <v>183</v>
      </c>
      <c r="F59" s="59">
        <v>2.7E-2</v>
      </c>
      <c r="G59" s="59">
        <v>2.1000000000000001E-2</v>
      </c>
      <c r="K59" s="162"/>
    </row>
    <row r="60" spans="1:24" s="60" customFormat="1" x14ac:dyDescent="0.15">
      <c r="A60" s="39"/>
      <c r="B60" s="39" t="s">
        <v>184</v>
      </c>
      <c r="C60" s="39"/>
      <c r="D60" s="39"/>
      <c r="E60" s="39"/>
      <c r="F60" s="78">
        <f>SUM(F58:F59)</f>
      </c>
      <c r="G60" s="77">
        <f>SUM(G58:G59)</f>
      </c>
      <c r="H60" s="39"/>
      <c r="I60" s="39"/>
      <c r="J60" s="39"/>
      <c r="K60" s="61"/>
      <c r="L60" s="39"/>
      <c r="N60" s="39"/>
      <c r="O60" s="39"/>
      <c r="P60" s="39"/>
      <c r="Q60" s="39"/>
      <c r="R60" s="39"/>
      <c r="S60" s="39"/>
      <c r="T60" s="39"/>
      <c r="U60" s="39"/>
      <c r="V60" s="39"/>
      <c r="W60" s="39"/>
      <c r="X60" s="39"/>
    </row>
    <row r="61" spans="1:24" x14ac:dyDescent="0.15">
      <c r="F61" s="27"/>
      <c r="G61" s="163"/>
      <c r="K61" s="63"/>
    </row>
    <row r="62" spans="1:24" x14ac:dyDescent="0.15">
      <c r="B62" s="92" t="s">
        <v>185</v>
      </c>
      <c r="F62" s="92">
        <f>F46*(1-F57)</f>
      </c>
      <c r="G62" s="92">
        <f>G46*(1-G57)</f>
      </c>
      <c r="K62" s="63"/>
    </row>
    <row r="63" spans="1:24" x14ac:dyDescent="0.15">
      <c r="F63" s="27"/>
      <c r="G63" s="163"/>
      <c r="K63" s="63"/>
    </row>
    <row r="64" spans="1:24" x14ac:dyDescent="0.15">
      <c r="B64" s="92" t="s">
        <v>186</v>
      </c>
      <c r="C64" s="39"/>
      <c r="D64" s="39"/>
      <c r="F64" s="35">
        <v>563</v>
      </c>
      <c r="G64" s="35">
        <v>887</v>
      </c>
    </row>
    <row r="65" spans="1:24" s="1" customFormat="1" x14ac:dyDescent="0.15">
      <c r="A65" s="92"/>
      <c r="B65" s="92" t="s">
        <v>187</v>
      </c>
      <c r="C65" s="92"/>
      <c r="D65" s="92"/>
      <c r="E65" s="92"/>
      <c r="F65" s="27">
        <f>F64/F27</f>
      </c>
      <c r="G65" s="53">
        <f>G64/G27</f>
      </c>
      <c r="H65" s="92"/>
      <c r="I65" s="92"/>
      <c r="J65" s="92"/>
      <c r="K65" s="52"/>
      <c r="L65" s="92"/>
      <c r="N65" s="92"/>
      <c r="O65" s="92"/>
      <c r="P65" s="92"/>
      <c r="Q65" s="92"/>
      <c r="R65" s="92"/>
      <c r="S65" s="92"/>
      <c r="T65" s="92"/>
      <c r="U65" s="92"/>
      <c r="V65" s="92"/>
      <c r="W65" s="92"/>
      <c r="X65" s="92"/>
    </row>
    <row r="66" spans="1:24" x14ac:dyDescent="0.15">
      <c r="B66" s="92" t="str">
        <f>B36</f>
      </c>
      <c r="C66" s="2"/>
      <c r="D66" s="2"/>
      <c r="F66" s="35">
        <v>200</v>
      </c>
      <c r="G66" s="35">
        <v>-116</v>
      </c>
    </row>
    <row r="67" spans="1:24" x14ac:dyDescent="0.15">
      <c r="B67" s="92" t="str">
        <f t="shared" ref="B67:B69" si="3">B37</f>
      </c>
      <c r="C67" s="2"/>
      <c r="D67" s="2"/>
      <c r="F67" s="35">
        <v>49</v>
      </c>
      <c r="G67" s="35">
        <v>37</v>
      </c>
    </row>
    <row r="68" spans="1:24" x14ac:dyDescent="0.15">
      <c r="B68" s="92" t="str">
        <f t="shared" si="3"/>
      </c>
      <c r="C68" s="2"/>
      <c r="D68" s="2"/>
      <c r="F68" s="35">
        <v>127</v>
      </c>
      <c r="G68" s="35">
        <f>139+41</f>
      </c>
    </row>
    <row r="69" spans="1:24" x14ac:dyDescent="0.15">
      <c r="B69" s="92" t="str">
        <f t="shared" si="3"/>
      </c>
      <c r="C69" s="2"/>
      <c r="D69" s="2"/>
      <c r="F69" s="35">
        <f>F39</f>
      </c>
      <c r="G69" s="35">
        <v>0</v>
      </c>
    </row>
    <row r="70" spans="1:24" x14ac:dyDescent="0.15">
      <c r="B70" s="2" t="s">
        <v>188</v>
      </c>
      <c r="C70" s="2"/>
      <c r="D70" s="2"/>
      <c r="F70" s="35">
        <v>0</v>
      </c>
      <c r="G70" s="35">
        <v>-56</v>
      </c>
    </row>
    <row r="71" spans="1:24" x14ac:dyDescent="0.15">
      <c r="B71" s="2" t="s">
        <v>171</v>
      </c>
      <c r="C71" s="2"/>
      <c r="D71" s="2"/>
      <c r="F71" s="35">
        <v>0</v>
      </c>
      <c r="G71" s="35">
        <v>0</v>
      </c>
    </row>
    <row r="72" spans="1:24" x14ac:dyDescent="0.15">
      <c r="B72" s="2" t="s">
        <v>172</v>
      </c>
      <c r="C72" s="2"/>
      <c r="D72" s="2"/>
      <c r="F72" s="35">
        <v>0</v>
      </c>
      <c r="G72" s="35">
        <v>0</v>
      </c>
    </row>
    <row r="73" spans="1:24" x14ac:dyDescent="0.15">
      <c r="B73" s="2" t="s">
        <v>173</v>
      </c>
      <c r="C73" s="2"/>
      <c r="D73" s="2"/>
      <c r="F73" s="35">
        <v>0</v>
      </c>
      <c r="G73" s="35">
        <v>0</v>
      </c>
    </row>
    <row r="74" spans="1:24" x14ac:dyDescent="0.15">
      <c r="B74" s="2" t="s">
        <v>174</v>
      </c>
      <c r="C74" s="2"/>
      <c r="D74" s="2"/>
      <c r="F74" s="35">
        <v>0</v>
      </c>
      <c r="G74" s="35">
        <v>0</v>
      </c>
    </row>
    <row r="75" spans="1:24" x14ac:dyDescent="0.15">
      <c r="B75" s="2" t="s">
        <v>175</v>
      </c>
      <c r="C75" s="2"/>
      <c r="D75" s="2"/>
      <c r="F75" s="35">
        <v>0</v>
      </c>
      <c r="G75" s="35">
        <v>0</v>
      </c>
    </row>
    <row r="76" spans="1:24" s="39" customFormat="1" x14ac:dyDescent="0.15">
      <c r="B76" s="39" t="s">
        <v>189</v>
      </c>
      <c r="F76" s="39">
        <f>F64+SUM(F66:F75)</f>
      </c>
      <c r="G76" s="39">
        <f>G64+SUM(G66:G75)</f>
      </c>
    </row>
    <row r="77" spans="1:24" s="1" customFormat="1" x14ac:dyDescent="0.15">
      <c r="A77" s="92"/>
      <c r="B77" s="92" t="s">
        <v>190</v>
      </c>
      <c r="C77" s="92"/>
      <c r="D77" s="92"/>
      <c r="E77" s="92"/>
      <c r="F77" s="27">
        <f>F76/F27</f>
      </c>
      <c r="G77" s="53">
        <f>G76/G27</f>
      </c>
      <c r="H77" s="92"/>
      <c r="I77" s="92"/>
      <c r="J77" s="92"/>
      <c r="K77" s="52"/>
      <c r="L77" s="92"/>
      <c r="N77" s="92"/>
      <c r="O77" s="92"/>
      <c r="P77" s="92"/>
      <c r="Q77" s="92"/>
    </row>
    <row r="78" spans="1:24" x14ac:dyDescent="0.15">
      <c r="F78" s="27"/>
      <c r="G78" s="53"/>
      <c r="K78" s="54"/>
    </row>
    <row r="79" spans="1:24" x14ac:dyDescent="0.15">
      <c r="B79" s="92" t="s">
        <v>191</v>
      </c>
      <c r="F79" s="35">
        <v>309</v>
      </c>
      <c r="G79" s="35">
        <v>305</v>
      </c>
    </row>
    <row r="80" spans="1:24" x14ac:dyDescent="0.15">
      <c r="B80" s="92" t="s">
        <v>192</v>
      </c>
      <c r="F80" s="102">
        <f>F76/F79</f>
      </c>
      <c r="G80" s="102">
        <f>G76/G79</f>
      </c>
      <c r="K80" s="102"/>
    </row>
    <row r="81" spans="1:11" x14ac:dyDescent="0.15">
      <c r="B81" s="92" t="s">
        <v>193</v>
      </c>
      <c r="F81" s="35">
        <v>311</v>
      </c>
      <c r="G81" s="35">
        <v>307</v>
      </c>
    </row>
    <row r="82" spans="1:11" x14ac:dyDescent="0.15">
      <c r="B82" s="92" t="s">
        <v>136</v>
      </c>
      <c r="F82" s="102">
        <f>F76/F81</f>
      </c>
      <c r="G82" s="102">
        <f>G76/G81</f>
      </c>
      <c r="K82" s="102"/>
    </row>
    <row r="83" spans="1:11" x14ac:dyDescent="0.15">
      <c r="F83" s="102"/>
      <c r="G83" s="102"/>
      <c r="K83" s="102"/>
    </row>
    <row r="84" spans="1:11" ht="14" x14ac:dyDescent="0.15">
      <c r="A84" s="93" t="s">
        <v>194</v>
      </c>
      <c r="F84" s="102"/>
      <c r="G84" s="102"/>
      <c r="K84" s="102"/>
    </row>
    <row r="85" spans="1:11" x14ac:dyDescent="0.15">
      <c r="A85" s="39"/>
      <c r="B85" s="92" t="s">
        <v>195</v>
      </c>
      <c r="F85" s="35">
        <v>1908</v>
      </c>
      <c r="G85" s="35">
        <v>1900</v>
      </c>
      <c r="K85" s="102"/>
    </row>
    <row r="86" spans="1:11" x14ac:dyDescent="0.15">
      <c r="A86" s="39"/>
      <c r="B86" s="92" t="s">
        <v>196</v>
      </c>
      <c r="F86" s="35">
        <v>2555</v>
      </c>
      <c r="G86" s="35">
        <v>2395</v>
      </c>
      <c r="K86" s="102"/>
    </row>
    <row r="87" spans="1:11" s="39" customFormat="1" x14ac:dyDescent="0.15">
      <c r="B87" s="39" t="s">
        <v>197</v>
      </c>
      <c r="F87" s="39">
        <f>F85-F86</f>
      </c>
      <c r="G87" s="39">
        <f>G85-G86</f>
      </c>
      <c r="K87" s="64"/>
    </row>
    <row r="88" spans="1:11" x14ac:dyDescent="0.15">
      <c r="A88" s="39"/>
      <c r="F88" s="102"/>
      <c r="G88" s="102"/>
      <c r="K88" s="102"/>
    </row>
    <row r="89" spans="1:11" x14ac:dyDescent="0.15">
      <c r="B89" s="2" t="s">
        <v>198</v>
      </c>
      <c r="F89" s="35">
        <v>626</v>
      </c>
      <c r="G89" s="35">
        <v>605</v>
      </c>
    </row>
    <row r="90" spans="1:11" x14ac:dyDescent="0.15">
      <c r="B90" s="2" t="s">
        <v>199</v>
      </c>
      <c r="F90" s="35">
        <v>940</v>
      </c>
      <c r="G90" s="35">
        <v>902</v>
      </c>
    </row>
    <row r="91" spans="1:11" x14ac:dyDescent="0.15">
      <c r="B91" s="2" t="s">
        <v>200</v>
      </c>
      <c r="F91" s="35">
        <v>46</v>
      </c>
      <c r="G91" s="35">
        <v>74</v>
      </c>
    </row>
    <row r="92" spans="1:11" x14ac:dyDescent="0.15">
      <c r="B92" s="2" t="s">
        <v>201</v>
      </c>
      <c r="F92" s="35">
        <v>0</v>
      </c>
      <c r="G92" s="35">
        <v>0</v>
      </c>
    </row>
    <row r="93" spans="1:11" x14ac:dyDescent="0.15">
      <c r="B93" s="2" t="s">
        <v>202</v>
      </c>
      <c r="F93" s="35">
        <v>0</v>
      </c>
      <c r="G93" s="35">
        <v>0</v>
      </c>
    </row>
    <row r="94" spans="1:11" x14ac:dyDescent="0.15">
      <c r="B94" s="2" t="s">
        <v>203</v>
      </c>
      <c r="F94" s="35">
        <v>610</v>
      </c>
      <c r="G94" s="35">
        <v>666</v>
      </c>
    </row>
    <row r="95" spans="1:11" x14ac:dyDescent="0.15">
      <c r="B95" s="2" t="s">
        <v>204</v>
      </c>
      <c r="F95" s="35">
        <v>604</v>
      </c>
      <c r="G95" s="35">
        <v>561</v>
      </c>
    </row>
    <row r="96" spans="1:11" x14ac:dyDescent="0.15">
      <c r="B96" s="2" t="s">
        <v>205</v>
      </c>
      <c r="F96" s="35">
        <v>22</v>
      </c>
      <c r="G96" s="35">
        <v>20</v>
      </c>
    </row>
    <row r="97" spans="1:17" x14ac:dyDescent="0.15">
      <c r="B97" s="2" t="s">
        <v>206</v>
      </c>
      <c r="F97" s="35">
        <v>0</v>
      </c>
      <c r="G97" s="35">
        <v>0</v>
      </c>
    </row>
    <row r="98" spans="1:17" x14ac:dyDescent="0.15">
      <c r="B98" s="2" t="s">
        <v>207</v>
      </c>
      <c r="F98" s="35">
        <v>0</v>
      </c>
      <c r="G98" s="35">
        <v>0</v>
      </c>
    </row>
    <row r="99" spans="1:17" s="39" customFormat="1" x14ac:dyDescent="0.15">
      <c r="B99" s="39" t="s">
        <v>208</v>
      </c>
      <c r="F99" s="39">
        <f>SUM(F89:F93)-SUM(F94:F98)</f>
      </c>
      <c r="G99" s="39">
        <f>SUM(G89:G93)-SUM(G94:G98)</f>
      </c>
    </row>
    <row r="100" spans="1:17" s="1" customFormat="1" x14ac:dyDescent="0.15">
      <c r="A100" s="92"/>
      <c r="B100" s="92" t="s">
        <v>209</v>
      </c>
      <c r="C100" s="92"/>
      <c r="D100" s="92"/>
      <c r="E100" s="92"/>
      <c r="F100" s="53">
        <f>F99/F27</f>
      </c>
      <c r="G100" s="53">
        <f>G99/G27</f>
      </c>
      <c r="H100" s="92"/>
      <c r="I100" s="92"/>
      <c r="J100" s="92"/>
      <c r="K100" s="52"/>
      <c r="L100" s="92"/>
      <c r="N100" s="92"/>
      <c r="O100" s="92"/>
      <c r="P100" s="92"/>
      <c r="Q100" s="92"/>
    </row>
    <row r="101" spans="1:17" s="1" customFormat="1" x14ac:dyDescent="0.15">
      <c r="A101" s="92"/>
      <c r="B101" s="92" t="s">
        <v>210</v>
      </c>
      <c r="C101" s="92"/>
      <c r="D101" s="92"/>
      <c r="E101" s="92"/>
      <c r="F101" s="92">
        <f>F89/F27*365</f>
      </c>
      <c r="G101" s="92">
        <f>G89/G27*365</f>
      </c>
      <c r="H101" s="92"/>
      <c r="I101" s="92"/>
      <c r="J101" s="92"/>
    </row>
    <row r="102" spans="1:17" s="1" customFormat="1" x14ac:dyDescent="0.15">
      <c r="A102" s="92"/>
      <c r="B102" s="92" t="s">
        <v>211</v>
      </c>
      <c r="C102" s="92"/>
      <c r="D102" s="92"/>
      <c r="E102" s="92"/>
      <c r="F102" s="92">
        <f>F90/F30*365</f>
      </c>
      <c r="G102" s="92">
        <f>G90/G30*365</f>
      </c>
      <c r="H102" s="92"/>
      <c r="I102" s="92"/>
      <c r="J102" s="92"/>
    </row>
    <row r="103" spans="1:17" s="1" customFormat="1" x14ac:dyDescent="0.15">
      <c r="A103" s="92"/>
      <c r="B103" s="92" t="s">
        <v>212</v>
      </c>
      <c r="C103" s="92"/>
      <c r="D103" s="92"/>
      <c r="E103" s="92"/>
      <c r="F103" s="92">
        <f>F94/F30*365</f>
      </c>
      <c r="G103" s="92">
        <f>G94/G30*365</f>
      </c>
      <c r="H103" s="92"/>
      <c r="I103" s="92"/>
      <c r="J103" s="92"/>
    </row>
    <row r="105" spans="1:17" ht="14" x14ac:dyDescent="0.15">
      <c r="A105" s="93" t="s">
        <v>213</v>
      </c>
    </row>
    <row r="106" spans="1:17" x14ac:dyDescent="0.15">
      <c r="B106" s="92" t="s">
        <v>214</v>
      </c>
      <c r="F106" s="35">
        <v>2407</v>
      </c>
      <c r="G106" s="35">
        <v>2454</v>
      </c>
    </row>
    <row r="107" spans="1:17" s="1" customFormat="1" x14ac:dyDescent="0.15">
      <c r="A107" s="92"/>
      <c r="B107" s="92" t="s">
        <v>215</v>
      </c>
      <c r="C107" s="92"/>
      <c r="D107" s="92"/>
      <c r="E107" s="92"/>
      <c r="F107" s="27">
        <f>F106/F27</f>
      </c>
      <c r="G107" s="53">
        <f>G106/G27</f>
      </c>
      <c r="H107" s="92"/>
      <c r="I107" s="92"/>
      <c r="J107" s="92"/>
      <c r="K107" s="52"/>
      <c r="L107" s="92"/>
      <c r="N107" s="92"/>
      <c r="O107" s="92"/>
      <c r="P107" s="92"/>
      <c r="Q107" s="92"/>
    </row>
    <row r="108" spans="1:17" x14ac:dyDescent="0.15">
      <c r="B108" s="164" t="s">
        <v>216</v>
      </c>
      <c r="F108" s="35">
        <v>341</v>
      </c>
      <c r="G108" s="35">
        <v>338</v>
      </c>
    </row>
    <row r="109" spans="1:17" s="1" customFormat="1" x14ac:dyDescent="0.15">
      <c r="A109" s="92"/>
      <c r="B109" s="92" t="s">
        <v>217</v>
      </c>
      <c r="C109" s="92"/>
      <c r="D109" s="92"/>
      <c r="E109" s="92"/>
      <c r="F109" s="102">
        <f>F108/F49</f>
      </c>
      <c r="G109" s="102">
        <f>G108/G49</f>
      </c>
      <c r="H109" s="92"/>
      <c r="I109" s="92"/>
      <c r="J109" s="92"/>
      <c r="K109" s="65"/>
      <c r="L109" s="92"/>
      <c r="N109" s="92"/>
      <c r="O109" s="92"/>
      <c r="P109" s="92"/>
      <c r="Q109" s="92"/>
    </row>
    <row r="110" spans="1:17" x14ac:dyDescent="0.15">
      <c r="F110" s="102"/>
      <c r="G110" s="102"/>
      <c r="K110" s="102"/>
    </row>
    <row r="111" spans="1:17" ht="14" x14ac:dyDescent="0.15">
      <c r="A111" s="93" t="s">
        <v>218</v>
      </c>
      <c r="F111" s="102"/>
      <c r="G111" s="102"/>
      <c r="K111" s="102"/>
    </row>
    <row r="112" spans="1:17" x14ac:dyDescent="0.15">
      <c r="B112" s="2" t="s">
        <v>219</v>
      </c>
      <c r="F112" s="35">
        <v>1219</v>
      </c>
      <c r="G112" s="35">
        <v>1037</v>
      </c>
    </row>
    <row r="113" spans="1:17" x14ac:dyDescent="0.15">
      <c r="B113" s="2" t="s">
        <v>220</v>
      </c>
      <c r="F113" s="35">
        <v>2314</v>
      </c>
      <c r="G113" s="35">
        <v>2499</v>
      </c>
    </row>
    <row r="114" spans="1:17" x14ac:dyDescent="0.15">
      <c r="B114" s="2" t="s">
        <v>221</v>
      </c>
      <c r="F114" s="35">
        <v>0</v>
      </c>
      <c r="G114" s="35">
        <v>0</v>
      </c>
    </row>
    <row r="115" spans="1:17" x14ac:dyDescent="0.15">
      <c r="B115" s="2" t="s">
        <v>222</v>
      </c>
      <c r="F115" s="35">
        <v>0</v>
      </c>
      <c r="G115" s="35">
        <v>0</v>
      </c>
    </row>
    <row r="116" spans="1:17" x14ac:dyDescent="0.15">
      <c r="B116" s="2" t="s">
        <v>223</v>
      </c>
      <c r="F116" s="35">
        <v>0</v>
      </c>
      <c r="G116" s="35">
        <v>0</v>
      </c>
    </row>
    <row r="117" spans="1:17" s="39" customFormat="1" x14ac:dyDescent="0.15">
      <c r="B117" s="39" t="s">
        <v>116</v>
      </c>
      <c r="F117" s="39">
        <f>SUM(F112:F116)</f>
      </c>
      <c r="G117" s="39">
        <f>SUM(G112:G116)</f>
      </c>
    </row>
    <row r="118" spans="1:17" x14ac:dyDescent="0.15">
      <c r="B118" s="92" t="s">
        <v>224</v>
      </c>
      <c r="F118" s="35">
        <f>296-100</f>
      </c>
      <c r="G118" s="35">
        <f>319-111</f>
      </c>
    </row>
    <row r="119" spans="1:17" s="39" customFormat="1" x14ac:dyDescent="0.15">
      <c r="B119" s="39" t="s">
        <v>110</v>
      </c>
      <c r="F119" s="39">
        <f>F117-F118</f>
      </c>
      <c r="G119" s="39">
        <f>G117-G118</f>
      </c>
    </row>
    <row r="120" spans="1:17" s="1" customFormat="1" x14ac:dyDescent="0.15">
      <c r="A120" s="92"/>
      <c r="B120" s="92" t="s">
        <v>156</v>
      </c>
      <c r="C120" s="92"/>
      <c r="D120" s="92"/>
      <c r="E120" s="92"/>
      <c r="F120" s="102">
        <f>F117/F52</f>
      </c>
      <c r="G120" s="102">
        <f>G117/G52</f>
      </c>
      <c r="H120" s="92"/>
      <c r="I120" s="92"/>
      <c r="J120" s="92"/>
      <c r="K120" s="65"/>
    </row>
    <row r="121" spans="1:17" s="1" customFormat="1" x14ac:dyDescent="0.15">
      <c r="A121" s="92"/>
      <c r="B121" s="92" t="s">
        <v>225</v>
      </c>
      <c r="C121" s="92"/>
      <c r="D121" s="92"/>
      <c r="E121" s="92"/>
      <c r="F121" s="102">
        <f>F119/F52</f>
      </c>
      <c r="G121" s="102">
        <f>G119/G52</f>
      </c>
      <c r="H121" s="92"/>
      <c r="I121" s="92"/>
      <c r="J121" s="92"/>
      <c r="K121" s="65"/>
    </row>
    <row r="122" spans="1:17" x14ac:dyDescent="0.15">
      <c r="B122" s="92" t="s">
        <v>226</v>
      </c>
      <c r="F122" s="35">
        <v>4</v>
      </c>
      <c r="G122" s="35">
        <v>5</v>
      </c>
    </row>
    <row r="123" spans="1:17" x14ac:dyDescent="0.15">
      <c r="B123" s="92" t="s">
        <v>227</v>
      </c>
      <c r="F123" s="35">
        <v>115</v>
      </c>
      <c r="G123" s="35">
        <v>112</v>
      </c>
    </row>
    <row r="124" spans="1:17" s="1" customFormat="1" x14ac:dyDescent="0.15">
      <c r="A124" s="92"/>
      <c r="B124" s="92" t="s">
        <v>158</v>
      </c>
      <c r="C124" s="92"/>
      <c r="D124" s="92"/>
      <c r="E124" s="92"/>
      <c r="F124" s="92">
        <f>F52/F123</f>
      </c>
      <c r="G124" s="92">
        <f>G52/G123</f>
      </c>
      <c r="H124" s="92"/>
      <c r="I124" s="92"/>
      <c r="J124" s="92"/>
      <c r="K124" s="65"/>
    </row>
    <row r="125" spans="1:17" x14ac:dyDescent="0.15">
      <c r="B125" s="92" t="s">
        <v>228</v>
      </c>
      <c r="F125" s="35">
        <v>1533</v>
      </c>
      <c r="G125" s="35">
        <v>1645</v>
      </c>
    </row>
    <row r="126" spans="1:17" s="1" customFormat="1" x14ac:dyDescent="0.15">
      <c r="A126" s="92"/>
      <c r="B126" s="92" t="s">
        <v>229</v>
      </c>
      <c r="C126" s="92"/>
      <c r="D126" s="92"/>
      <c r="E126" s="92"/>
      <c r="F126" s="27">
        <f>F117/F125</f>
      </c>
      <c r="G126" s="27">
        <f>G117/G125</f>
      </c>
      <c r="H126" s="92"/>
      <c r="I126" s="92"/>
      <c r="J126" s="92"/>
      <c r="K126" s="66"/>
      <c r="L126" s="92"/>
      <c r="N126" s="92"/>
      <c r="O126" s="92"/>
      <c r="P126" s="92"/>
      <c r="Q126" s="92"/>
    </row>
    <row r="127" spans="1:17" s="1" customFormat="1" x14ac:dyDescent="0.15">
      <c r="A127" s="92"/>
      <c r="B127" s="92"/>
      <c r="C127" s="92"/>
      <c r="D127" s="92"/>
      <c r="E127" s="92"/>
      <c r="F127" s="27"/>
      <c r="G127" s="27"/>
      <c r="H127" s="92"/>
      <c r="I127" s="92"/>
      <c r="J127" s="92"/>
      <c r="K127" s="66"/>
      <c r="L127" s="92"/>
      <c r="N127" s="92"/>
      <c r="O127" s="92"/>
      <c r="P127" s="92"/>
      <c r="Q127" s="92"/>
    </row>
    <row r="128" spans="1:17" s="1" customFormat="1" ht="14" x14ac:dyDescent="0.15">
      <c r="A128" s="93" t="s">
        <v>230</v>
      </c>
      <c r="B128" s="92"/>
      <c r="C128" s="92"/>
      <c r="D128" s="92"/>
      <c r="E128" s="92"/>
      <c r="F128" s="27"/>
      <c r="G128" s="27"/>
      <c r="H128" s="92"/>
      <c r="I128" s="92"/>
      <c r="J128" s="92"/>
      <c r="K128" s="66"/>
      <c r="L128" s="92"/>
      <c r="N128" s="92"/>
      <c r="O128" s="92"/>
      <c r="P128" s="92"/>
      <c r="Q128" s="92"/>
    </row>
    <row r="129" spans="1:17" s="1" customFormat="1" x14ac:dyDescent="0.15">
      <c r="A129" s="92"/>
      <c r="B129" s="92" t="s">
        <v>63</v>
      </c>
      <c r="C129" s="92"/>
      <c r="D129" s="92"/>
      <c r="E129" s="92"/>
      <c r="F129" s="27">
        <f>F76/F125</f>
      </c>
      <c r="G129" s="27">
        <f>G76/G125</f>
      </c>
      <c r="H129" s="92"/>
      <c r="I129" s="92"/>
      <c r="J129" s="92"/>
      <c r="K129" s="66"/>
      <c r="L129" s="92"/>
      <c r="N129" s="92"/>
      <c r="O129" s="92"/>
      <c r="P129" s="92"/>
      <c r="Q129" s="92"/>
    </row>
    <row r="130" spans="1:17" ht="16" x14ac:dyDescent="0.2">
      <c r="B130" s="67"/>
      <c r="C130" s="67"/>
      <c r="D130" s="67"/>
      <c r="E130" s="67"/>
      <c r="F130" s="67"/>
      <c r="G130" s="67"/>
      <c r="K130" s="67"/>
    </row>
    <row r="131" spans="1:17" x14ac:dyDescent="0.15">
      <c r="B131" s="92" t="str">
        <f>B62</f>
      </c>
      <c r="F131" s="92">
        <f>F62</f>
      </c>
      <c r="G131" s="92">
        <f>G62</f>
      </c>
    </row>
    <row r="132" spans="1:17" x14ac:dyDescent="0.15">
      <c r="B132" s="92" t="str">
        <f>B125</f>
      </c>
      <c r="F132" s="92">
        <f>F125</f>
      </c>
      <c r="G132" s="92">
        <f>G125</f>
      </c>
    </row>
    <row r="133" spans="1:17" x14ac:dyDescent="0.15">
      <c r="B133" s="92" t="str">
        <f>B119</f>
      </c>
      <c r="F133" s="92">
        <f>F119</f>
      </c>
      <c r="G133" s="92">
        <f>G119</f>
      </c>
    </row>
    <row r="134" spans="1:17" x14ac:dyDescent="0.15">
      <c r="B134" s="92" t="s">
        <v>231</v>
      </c>
      <c r="F134" s="92">
        <f>SUM(F132:F133)</f>
      </c>
      <c r="G134" s="92">
        <f>SUM(G132:G133)</f>
      </c>
    </row>
    <row r="135" spans="1:17" x14ac:dyDescent="0.15">
      <c r="B135" s="92" t="s">
        <v>62</v>
      </c>
      <c r="F135" s="27">
        <f>F131/F134</f>
      </c>
      <c r="G135" s="27">
        <f>G131/G134</f>
      </c>
    </row>
    <row r="137" spans="1:17" ht="14" x14ac:dyDescent="0.15">
      <c r="A137" s="93" t="s">
        <v>232</v>
      </c>
    </row>
    <row r="138" spans="1:17" x14ac:dyDescent="0.15">
      <c r="A138" s="39"/>
    </row>
    <row r="139" spans="1:17" x14ac:dyDescent="0.15">
      <c r="B139" s="92" t="s">
        <v>233</v>
      </c>
      <c r="E139" s="68">
        <v>43186</v>
      </c>
    </row>
    <row r="141" spans="1:17" x14ac:dyDescent="0.15">
      <c r="B141" s="92" t="s">
        <v>234</v>
      </c>
      <c r="E141" s="165">
        <v>6100</v>
      </c>
    </row>
    <row r="142" spans="1:17" x14ac:dyDescent="0.15">
      <c r="B142" s="92" t="s">
        <v>235</v>
      </c>
      <c r="E142" s="166">
        <v>19.899999999999999</v>
      </c>
    </row>
    <row r="143" spans="1:17" x14ac:dyDescent="0.15">
      <c r="B143" s="92" t="s">
        <v>236</v>
      </c>
      <c r="E143" s="167">
        <v>0.04</v>
      </c>
    </row>
    <row r="144" spans="1:17" x14ac:dyDescent="0.15">
      <c r="B144" s="92" t="s">
        <v>237</v>
      </c>
      <c r="E144" s="167">
        <f>21%+2.1%</f>
      </c>
    </row>
    <row r="145" spans="2:6" x14ac:dyDescent="0.15">
      <c r="B145" s="92" t="s">
        <v>238</v>
      </c>
      <c r="E145" s="92">
        <f>E141*E143*(1-E144)</f>
      </c>
    </row>
    <row r="147" spans="2:6" x14ac:dyDescent="0.15">
      <c r="B147" s="1" t="s">
        <v>239</v>
      </c>
      <c r="C147" s="168">
        <v>42735</v>
      </c>
      <c r="D147" s="168">
        <v>43100</v>
      </c>
      <c r="E147" s="92" t="s">
        <v>30</v>
      </c>
      <c r="F147" s="168">
        <v>43465</v>
      </c>
    </row>
    <row r="148" spans="2:6" x14ac:dyDescent="0.15">
      <c r="B148" s="92" t="s">
        <v>51</v>
      </c>
      <c r="C148" s="169">
        <v>2109.2269999999999</v>
      </c>
      <c r="D148" s="169">
        <v>2226.837</v>
      </c>
      <c r="E148" s="169">
        <v>2200</v>
      </c>
      <c r="F148" s="170">
        <v>2274</v>
      </c>
    </row>
    <row r="149" spans="2:6" x14ac:dyDescent="0.15">
      <c r="B149" s="92" t="s">
        <v>25</v>
      </c>
      <c r="C149" s="169">
        <v>284.11</v>
      </c>
      <c r="D149" s="169">
        <v>293.25799999999998</v>
      </c>
      <c r="E149" s="92">
        <f>E141/E142</f>
      </c>
      <c r="F149" s="170">
        <v>335</v>
      </c>
    </row>
    <row r="150" spans="2:6" x14ac:dyDescent="0.15">
      <c r="B150" s="92" t="s">
        <v>26</v>
      </c>
      <c r="C150" s="169">
        <v>189.49</v>
      </c>
      <c r="D150" s="169">
        <v>195.654</v>
      </c>
      <c r="E150" s="169">
        <v>193</v>
      </c>
      <c r="F150" s="170">
        <v>236</v>
      </c>
    </row>
    <row r="151" spans="2:6" x14ac:dyDescent="0.15">
      <c r="B151" s="92" t="s">
        <v>135</v>
      </c>
      <c r="C151" s="169">
        <v>103.521</v>
      </c>
      <c r="D151" s="169">
        <v>105.506</v>
      </c>
      <c r="F151" s="170">
        <v>125</v>
      </c>
    </row>
    <row r="153" spans="2:6" x14ac:dyDescent="0.15">
      <c r="B153" s="39"/>
    </row>
  </sheetData>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2" manualBreakCount="2">
    <brk id="25" max="17" man="1"/>
    <brk id="82" max="17" man="1"/>
  </rowBreak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39"/>
    <pageSetUpPr autoPageBreaks="0"/>
  </sheetPr>
  <dimension ref="A1:P101"/>
  <sheetViews>
    <sheetView showGridLines="0" zoomScaleNormal="100" workbookViewId="0"/>
  </sheetViews>
  <sheetFormatPr baseColWidth="10" defaultColWidth="9.1640625" defaultRowHeight="13" x14ac:dyDescent="0.15"/>
  <cols>
    <col min="1" max="2" width="1.5" style="92" customWidth="1"/>
    <col min="3" max="3" width="30.83203125" style="92" bestFit="1" customWidth="1"/>
    <col min="4" max="8" width="12.5" style="92" customWidth="1"/>
    <col min="9" max="9" width="12.5" style="92" customWidth="1" collapsed="1"/>
    <col min="10" max="11" width="12.5" style="92" customWidth="1"/>
    <col min="12" max="12" width="13.5" style="92" customWidth="1"/>
    <col min="13" max="13" width="12.5" style="92" customWidth="1"/>
    <col min="14" max="14" width="11.5" style="92" customWidth="1"/>
    <col min="15" max="15" width="9.1640625" style="92"/>
    <col min="16" max="16" width="9.5" style="92" customWidth="1"/>
    <col min="17" max="16384" width="9.1640625" style="92"/>
  </cols>
  <sheetData>
    <row r="1" spans="1:16" s="123" customFormat="1" ht="18" x14ac:dyDescent="0.2">
      <c r="A1" s="85" t="str">
        <f>"Comparable companies analysis - "&amp;D26</f>
      </c>
      <c r="B1" s="121"/>
      <c r="C1" s="122"/>
      <c r="D1" s="122"/>
      <c r="E1" s="122"/>
      <c r="F1" s="122"/>
      <c r="G1" s="122"/>
      <c r="H1" s="122"/>
      <c r="I1" s="122"/>
      <c r="J1" s="122"/>
      <c r="K1" s="122"/>
      <c r="L1" s="122"/>
      <c r="M1" s="122"/>
      <c r="N1" s="122"/>
      <c r="O1" s="122"/>
      <c r="P1" s="122"/>
    </row>
    <row r="2" spans="1:16" s="123" customFormat="1" ht="19" thickBot="1" x14ac:dyDescent="0.25">
      <c r="A2" s="91" t="s">
        <v>65</v>
      </c>
      <c r="B2" s="124"/>
      <c r="C2" s="125"/>
      <c r="D2" s="125"/>
      <c r="E2" s="125"/>
      <c r="F2" s="125"/>
      <c r="G2" s="125"/>
      <c r="H2" s="125"/>
      <c r="I2" s="125"/>
      <c r="J2" s="125"/>
      <c r="K2" s="125"/>
      <c r="L2" s="125"/>
      <c r="M2" s="125"/>
      <c r="N2" s="125"/>
      <c r="O2" s="125"/>
      <c r="P2" s="125"/>
    </row>
    <row r="3" spans="1:16" ht="14" thickTop="1" x14ac:dyDescent="0.15"/>
    <row r="4" spans="1:16" ht="14" x14ac:dyDescent="0.15">
      <c r="A4" s="131" t="s">
        <v>66</v>
      </c>
      <c r="B4" s="131"/>
      <c r="C4" s="134"/>
      <c r="D4" s="134"/>
      <c r="E4" s="134"/>
      <c r="F4" s="134"/>
    </row>
    <row r="5" spans="1:16" ht="14" x14ac:dyDescent="0.15">
      <c r="B5" s="128" t="s">
        <v>67</v>
      </c>
    </row>
    <row r="6" spans="1:16" x14ac:dyDescent="0.15">
      <c r="B6" s="29"/>
      <c r="C6" s="92" t="str">
        <f>F26</f>
      </c>
      <c r="D6" s="177">
        <f>I26</f>
      </c>
    </row>
    <row r="7" spans="1:16" x14ac:dyDescent="0.15">
      <c r="C7" s="92" t="str">
        <f>C40</f>
      </c>
      <c r="D7" s="92">
        <f>D40</f>
      </c>
      <c r="F7" s="94"/>
    </row>
    <row r="8" spans="1:16" x14ac:dyDescent="0.15">
      <c r="C8" s="92" t="str">
        <f>C49</f>
      </c>
      <c r="D8" s="92">
        <f>D49</f>
      </c>
      <c r="F8" s="94"/>
    </row>
    <row r="9" spans="1:16" x14ac:dyDescent="0.15">
      <c r="E9" s="130" t="s">
        <v>68</v>
      </c>
      <c r="F9" s="130"/>
    </row>
    <row r="10" spans="1:16" ht="14" x14ac:dyDescent="0.15">
      <c r="B10" s="128" t="s">
        <v>69</v>
      </c>
      <c r="D10" s="132" t="s">
        <v>30</v>
      </c>
      <c r="E10" s="132">
        <f>DATE(YEAR(D35)+1,MONTH(D35),DAY(D35))</f>
      </c>
      <c r="F10" s="132">
        <f>DATE(YEAR(E10)+1,MONTH(E10),DAY(E10))</f>
      </c>
    </row>
    <row r="11" spans="1:16" x14ac:dyDescent="0.15">
      <c r="C11" s="92" t="s">
        <v>51</v>
      </c>
      <c r="D11" s="92">
        <f>F62</f>
      </c>
      <c r="E11" s="92">
        <f t="shared" ref="E11:F14" si="0">L62</f>
      </c>
      <c r="F11" s="92">
        <f t="shared" si="0"/>
      </c>
    </row>
    <row r="12" spans="1:16" x14ac:dyDescent="0.15">
      <c r="C12" s="133" t="s">
        <v>25</v>
      </c>
      <c r="D12" s="92">
        <f>F63</f>
      </c>
      <c r="E12" s="92">
        <f t="shared" si="0"/>
      </c>
      <c r="F12" s="92">
        <f t="shared" si="0"/>
      </c>
    </row>
    <row r="13" spans="1:16" x14ac:dyDescent="0.15">
      <c r="C13" s="133" t="s">
        <v>26</v>
      </c>
      <c r="D13" s="92">
        <f>F64</f>
      </c>
      <c r="E13" s="92">
        <f t="shared" si="0"/>
      </c>
      <c r="F13" s="92">
        <f t="shared" si="0"/>
      </c>
    </row>
    <row r="14" spans="1:16" x14ac:dyDescent="0.15">
      <c r="C14" s="133" t="str">
        <f>C65</f>
      </c>
      <c r="E14" s="177">
        <f t="shared" si="0"/>
      </c>
      <c r="F14" s="177">
        <f t="shared" si="0"/>
      </c>
    </row>
    <row r="16" spans="1:16" x14ac:dyDescent="0.15">
      <c r="E16" s="130" t="s">
        <v>68</v>
      </c>
      <c r="F16" s="130"/>
    </row>
    <row r="17" spans="1:12" ht="14" x14ac:dyDescent="0.15">
      <c r="B17" s="128" t="s">
        <v>70</v>
      </c>
      <c r="D17" s="132" t="str">
        <f>D10</f>
      </c>
      <c r="E17" s="132">
        <f>E10</f>
      </c>
      <c r="F17" s="132">
        <f>F10</f>
      </c>
    </row>
    <row r="18" spans="1:12" x14ac:dyDescent="0.15">
      <c r="C18" s="92" t="s">
        <v>71</v>
      </c>
      <c r="D18" s="92">
        <f>EnterpriseValue/D11</f>
      </c>
      <c r="E18" s="92">
        <f>EnterpriseValue/E11</f>
      </c>
      <c r="F18" s="92">
        <f>EnterpriseValue/F11</f>
      </c>
    </row>
    <row r="19" spans="1:12" x14ac:dyDescent="0.15">
      <c r="C19" s="92" t="s">
        <v>72</v>
      </c>
      <c r="D19" s="92">
        <f>EnterpriseValue/D13</f>
      </c>
      <c r="E19" s="92">
        <f>EnterpriseValue/E13</f>
      </c>
      <c r="F19" s="92">
        <f>EnterpriseValue/F13</f>
      </c>
    </row>
    <row r="20" spans="1:12" x14ac:dyDescent="0.15">
      <c r="C20" s="92" t="s">
        <v>73</v>
      </c>
      <c r="D20" s="92">
        <f>EnterpriseValue/D12</f>
      </c>
      <c r="E20" s="92">
        <f>EnterpriseValue/E12</f>
      </c>
      <c r="F20" s="92">
        <f>EnterpriseValue/F12</f>
      </c>
    </row>
    <row r="21" spans="1:12" x14ac:dyDescent="0.15">
      <c r="C21" s="92" t="s">
        <v>20</v>
      </c>
      <c r="E21" s="92">
        <f>SharePrice/E14</f>
      </c>
      <c r="F21" s="92">
        <f>SharePrice/F14</f>
      </c>
      <c r="K21" s="137"/>
    </row>
    <row r="22" spans="1:12" x14ac:dyDescent="0.15">
      <c r="C22" s="92" t="s">
        <v>53</v>
      </c>
      <c r="E22" s="92">
        <f>PE1F/$I$29/100</f>
      </c>
      <c r="F22" s="92">
        <f>PE1F/$I$29/100</f>
      </c>
    </row>
    <row r="24" spans="1:12" ht="14" x14ac:dyDescent="0.15">
      <c r="A24" s="131" t="s">
        <v>74</v>
      </c>
      <c r="B24" s="131"/>
      <c r="C24" s="134"/>
      <c r="D24" s="134"/>
      <c r="E24" s="134"/>
      <c r="F24" s="134"/>
      <c r="G24" s="134"/>
      <c r="H24" s="134"/>
      <c r="I24" s="134"/>
      <c r="J24" s="134"/>
      <c r="K24" s="134"/>
    </row>
    <row r="25" spans="1:12" ht="14" x14ac:dyDescent="0.15">
      <c r="A25" s="29"/>
      <c r="B25" s="128" t="s">
        <v>75</v>
      </c>
      <c r="F25" s="128" t="s">
        <v>76</v>
      </c>
    </row>
    <row r="26" spans="1:12" x14ac:dyDescent="0.15">
      <c r="C26" s="92" t="s">
        <v>77</v>
      </c>
      <c r="D26" s="30" t="s">
        <v>35</v>
      </c>
      <c r="F26" s="92" t="s">
        <v>78</v>
      </c>
      <c r="I26" s="178">
        <v>64.84</v>
      </c>
    </row>
    <row r="27" spans="1:12" x14ac:dyDescent="0.15">
      <c r="C27" s="92" t="s">
        <v>79</v>
      </c>
      <c r="D27" s="30" t="s">
        <v>240</v>
      </c>
      <c r="F27" s="92" t="s">
        <v>81</v>
      </c>
      <c r="I27" s="178">
        <v>72.13</v>
      </c>
      <c r="L27" s="139"/>
    </row>
    <row r="28" spans="1:12" x14ac:dyDescent="0.15">
      <c r="C28" s="92" t="s">
        <v>82</v>
      </c>
      <c r="D28" s="31">
        <v>43202</v>
      </c>
      <c r="F28" s="92" t="s">
        <v>83</v>
      </c>
      <c r="I28" s="178">
        <v>61.87</v>
      </c>
    </row>
    <row r="29" spans="1:12" x14ac:dyDescent="0.15">
      <c r="C29" s="92" t="s">
        <v>11</v>
      </c>
      <c r="D29" s="30" t="s">
        <v>241</v>
      </c>
      <c r="F29" s="92" t="s">
        <v>84</v>
      </c>
      <c r="I29" s="32">
        <f>17.48/2.11/100</f>
      </c>
    </row>
    <row r="30" spans="1:12" x14ac:dyDescent="0.15">
      <c r="C30" s="92" t="s">
        <v>85</v>
      </c>
      <c r="D30" s="34">
        <v>1.2330000000000001</v>
      </c>
      <c r="F30" s="92" t="s">
        <v>86</v>
      </c>
      <c r="I30" s="32">
        <v>2.93E-2</v>
      </c>
    </row>
    <row r="31" spans="1:12" x14ac:dyDescent="0.15">
      <c r="C31" s="92" t="s">
        <v>87</v>
      </c>
      <c r="D31" s="31">
        <v>43100</v>
      </c>
      <c r="F31" s="92" t="s">
        <v>88</v>
      </c>
      <c r="I31" s="30" t="s">
        <v>242</v>
      </c>
      <c r="J31" s="33"/>
      <c r="L31" s="135"/>
    </row>
    <row r="32" spans="1:12" x14ac:dyDescent="0.15">
      <c r="C32" s="92" t="s">
        <v>90</v>
      </c>
      <c r="D32" s="31">
        <v>43100</v>
      </c>
      <c r="F32" s="92" t="s">
        <v>91</v>
      </c>
      <c r="I32" s="35">
        <v>632.40340300000003</v>
      </c>
      <c r="K32" s="139"/>
    </row>
    <row r="33" spans="2:11" ht="12.75" customHeight="1" x14ac:dyDescent="0.15">
      <c r="C33" s="92" t="s">
        <v>92</v>
      </c>
      <c r="D33" s="30" t="s">
        <v>243</v>
      </c>
      <c r="F33" s="92" t="s">
        <v>94</v>
      </c>
      <c r="I33" s="139">
        <f>K44</f>
      </c>
    </row>
    <row r="34" spans="2:11" ht="12.75" customHeight="1" x14ac:dyDescent="0.2">
      <c r="C34" s="92" t="s">
        <v>95</v>
      </c>
      <c r="D34" s="36"/>
      <c r="E34" s="28"/>
      <c r="F34" s="92" t="s">
        <v>96</v>
      </c>
      <c r="I34" s="92">
        <f>I32+I33</f>
      </c>
    </row>
    <row r="35" spans="2:11" ht="12.75" customHeight="1" x14ac:dyDescent="0.2">
      <c r="C35" s="92" t="s">
        <v>97</v>
      </c>
      <c r="D35" s="31">
        <v>43100</v>
      </c>
      <c r="E35" s="28"/>
    </row>
    <row r="36" spans="2:11" ht="12.75" customHeight="1" x14ac:dyDescent="0.2">
      <c r="C36" s="92" t="s">
        <v>98</v>
      </c>
      <c r="D36" s="30" t="s">
        <v>99</v>
      </c>
      <c r="E36" s="28"/>
    </row>
    <row r="37" spans="2:11" ht="12.75" customHeight="1" x14ac:dyDescent="0.2">
      <c r="C37" s="92" t="s">
        <v>100</v>
      </c>
      <c r="D37" s="31">
        <v>43202</v>
      </c>
      <c r="E37" s="28"/>
    </row>
    <row r="38" spans="2:11" ht="12.75" customHeight="1" x14ac:dyDescent="0.2">
      <c r="E38" s="28"/>
    </row>
    <row r="39" spans="2:11" ht="14" x14ac:dyDescent="0.15">
      <c r="B39" s="128" t="s">
        <v>101</v>
      </c>
      <c r="F39" s="128" t="s">
        <v>102</v>
      </c>
      <c r="I39" s="140">
        <f>YEAR($D$31)</f>
      </c>
      <c r="J39" s="140">
        <f>YEAR($D$31)</f>
      </c>
    </row>
    <row r="40" spans="2:11" s="39" customFormat="1" x14ac:dyDescent="0.15">
      <c r="B40" s="29"/>
      <c r="C40" s="37" t="s">
        <v>103</v>
      </c>
      <c r="D40" s="38">
        <f>I34*I26</f>
      </c>
      <c r="F40" s="92"/>
      <c r="G40" s="92"/>
      <c r="H40" s="92"/>
      <c r="I40" s="106" t="s">
        <v>104</v>
      </c>
      <c r="J40" s="106" t="s">
        <v>105</v>
      </c>
      <c r="K40" s="106" t="s">
        <v>106</v>
      </c>
    </row>
    <row r="41" spans="2:11" s="39" customFormat="1" x14ac:dyDescent="0.15">
      <c r="B41" s="29"/>
      <c r="C41" s="92" t="str">
        <f>F52</f>
      </c>
      <c r="D41" s="30">
        <f>19279+150+607</f>
      </c>
      <c r="F41" s="2" t="s">
        <v>244</v>
      </c>
      <c r="G41" s="92"/>
      <c r="H41" s="92"/>
      <c r="I41" s="40">
        <v>2.3149899999999999</v>
      </c>
      <c r="J41" s="178">
        <v>0</v>
      </c>
      <c r="K41" s="139">
        <f>MAX(($I$26-J41)/$I$26*I41,0)</f>
      </c>
    </row>
    <row r="42" spans="2:11" s="39" customFormat="1" x14ac:dyDescent="0.15">
      <c r="B42" s="29"/>
      <c r="C42" s="92" t="s">
        <v>108</v>
      </c>
      <c r="D42" s="141">
        <f>SUM(D52:D53)</f>
      </c>
      <c r="F42" s="2" t="s">
        <v>245</v>
      </c>
      <c r="G42" s="92"/>
      <c r="H42" s="92"/>
      <c r="I42" s="40">
        <v>0</v>
      </c>
      <c r="J42" s="178">
        <v>0</v>
      </c>
      <c r="K42" s="139">
        <f>MAX(($I$26-J42)/$I$26*I42,0)</f>
      </c>
    </row>
    <row r="43" spans="2:11" s="39" customFormat="1" x14ac:dyDescent="0.15">
      <c r="B43" s="29"/>
      <c r="C43" s="37" t="s">
        <v>110</v>
      </c>
      <c r="D43" s="38">
        <f>D41-D42</f>
      </c>
      <c r="F43" s="2" t="s">
        <v>246</v>
      </c>
      <c r="I43" s="40">
        <v>0</v>
      </c>
      <c r="J43" s="178">
        <v>0</v>
      </c>
      <c r="K43" s="139">
        <f>MAX(($I$26-J43)/$I$26*I43,0)</f>
      </c>
    </row>
    <row r="44" spans="2:11" s="39" customFormat="1" x14ac:dyDescent="0.15">
      <c r="B44" s="29"/>
      <c r="C44" s="92" t="str">
        <f>F53</f>
      </c>
      <c r="D44" s="141">
        <f>I53</f>
      </c>
      <c r="F44" s="39" t="s">
        <v>94</v>
      </c>
      <c r="I44" s="92"/>
      <c r="J44" s="92"/>
      <c r="K44" s="39">
        <f>SUM(K41:K43)</f>
      </c>
    </row>
    <row r="45" spans="2:11" s="39" customFormat="1" x14ac:dyDescent="0.15">
      <c r="B45" s="29"/>
      <c r="C45" s="92" t="str">
        <f>F56</f>
      </c>
      <c r="D45" s="141">
        <f>I56</f>
      </c>
      <c r="F45" s="2"/>
      <c r="I45" s="92"/>
      <c r="J45" s="92"/>
      <c r="K45" s="139"/>
    </row>
    <row r="46" spans="2:11" s="39" customFormat="1" x14ac:dyDescent="0.15">
      <c r="B46" s="29"/>
      <c r="C46" s="92" t="str">
        <f>F57</f>
      </c>
      <c r="D46" s="141">
        <f>I57</f>
      </c>
      <c r="G46" s="92"/>
      <c r="H46" s="92"/>
    </row>
    <row r="47" spans="2:11" s="39" customFormat="1" x14ac:dyDescent="0.15">
      <c r="B47" s="29"/>
      <c r="C47" s="92" t="str">
        <f>C54</f>
      </c>
      <c r="D47" s="30">
        <f>0.099*9742+0.25*759+0.213*11077+(D54-786-324-824)</f>
      </c>
    </row>
    <row r="48" spans="2:11" s="39" customFormat="1" x14ac:dyDescent="0.15">
      <c r="B48" s="29"/>
      <c r="C48" s="92" t="str">
        <f>C55</f>
      </c>
      <c r="D48" s="141">
        <f>D55</f>
      </c>
      <c r="F48" s="92"/>
    </row>
    <row r="49" spans="2:14" x14ac:dyDescent="0.15">
      <c r="C49" s="37" t="s">
        <v>4</v>
      </c>
      <c r="D49" s="38">
        <f>D40+SUM(D43:D46)-SUM(D47:D48)</f>
      </c>
    </row>
    <row r="51" spans="2:14" ht="14" x14ac:dyDescent="0.15">
      <c r="B51" s="128" t="s">
        <v>114</v>
      </c>
      <c r="D51" s="140" t="str">
        <f>YEAR($D$32)&amp;" "&amp;+D33</f>
      </c>
      <c r="I51" s="140" t="str">
        <f>D51</f>
      </c>
    </row>
    <row r="52" spans="2:14" x14ac:dyDescent="0.15">
      <c r="C52" s="92" t="s">
        <v>115</v>
      </c>
      <c r="D52" s="30">
        <v>638</v>
      </c>
      <c r="F52" s="92" t="s">
        <v>116</v>
      </c>
      <c r="I52" s="179">
        <f>SUM(Company0777_data!G115:G116)</f>
      </c>
    </row>
    <row r="53" spans="2:14" x14ac:dyDescent="0.15">
      <c r="C53" s="92" t="s">
        <v>117</v>
      </c>
      <c r="D53" s="35">
        <v>3462</v>
      </c>
      <c r="F53" s="92" t="s">
        <v>118</v>
      </c>
      <c r="I53" s="30">
        <v>0</v>
      </c>
    </row>
    <row r="54" spans="2:14" x14ac:dyDescent="0.15">
      <c r="C54" s="92" t="s">
        <v>119</v>
      </c>
      <c r="D54" s="35">
        <v>2678</v>
      </c>
      <c r="F54" s="92" t="s">
        <v>120</v>
      </c>
      <c r="I54" s="30">
        <f>44268-SUM(I52:I53,I55:I57)</f>
      </c>
      <c r="M54" s="135"/>
    </row>
    <row r="55" spans="2:14" x14ac:dyDescent="0.15">
      <c r="C55" s="92" t="s">
        <v>121</v>
      </c>
      <c r="D55" s="35">
        <f>14+260-SUM(Company0777_data!G117:G118)</f>
      </c>
      <c r="F55" s="92" t="s">
        <v>122</v>
      </c>
      <c r="I55" s="30">
        <v>14501</v>
      </c>
    </row>
    <row r="56" spans="2:14" ht="14" x14ac:dyDescent="0.15">
      <c r="C56" s="92" t="s">
        <v>123</v>
      </c>
      <c r="D56" s="35">
        <f>44268-SUM(D52:D55)</f>
      </c>
      <c r="F56" s="92" t="s">
        <v>124</v>
      </c>
      <c r="I56" s="30">
        <v>0</v>
      </c>
      <c r="K56" s="143" t="s">
        <v>125</v>
      </c>
      <c r="L56" s="144"/>
      <c r="M56" s="144"/>
    </row>
    <row r="57" spans="2:14" x14ac:dyDescent="0.15">
      <c r="F57" s="92" t="s">
        <v>126</v>
      </c>
      <c r="I57" s="30">
        <v>73</v>
      </c>
      <c r="K57" s="145" t="s">
        <v>127</v>
      </c>
      <c r="L57" s="146">
        <f>D35-D31</f>
      </c>
      <c r="M57" s="147"/>
    </row>
    <row r="58" spans="2:14" x14ac:dyDescent="0.15">
      <c r="C58" s="37" t="s">
        <v>128</v>
      </c>
      <c r="D58" s="39">
        <f>SUM(D52:D56)</f>
      </c>
      <c r="F58" s="37" t="s">
        <v>129</v>
      </c>
      <c r="I58" s="39">
        <f>SUM(I52:I57)</f>
      </c>
      <c r="K58" s="148" t="s">
        <v>130</v>
      </c>
      <c r="L58" s="106" t="s">
        <v>131</v>
      </c>
      <c r="M58" s="149" t="s">
        <v>132</v>
      </c>
    </row>
    <row r="59" spans="2:14" x14ac:dyDescent="0.15">
      <c r="C59" s="42" t="s">
        <v>133</v>
      </c>
      <c r="D59" s="43" t="str">
        <f>IF(D58=I58,"OK",D58-I58)</f>
      </c>
      <c r="K59" s="150">
        <f>MAX(-L57/365,0)</f>
      </c>
      <c r="L59" s="151">
        <f>1-K59-M59</f>
      </c>
      <c r="M59" s="152">
        <f>MAX(L57/365,0)</f>
      </c>
    </row>
    <row r="60" spans="2:14" x14ac:dyDescent="0.15">
      <c r="I60" s="44"/>
      <c r="J60" s="44"/>
      <c r="N60" s="130"/>
    </row>
    <row r="61" spans="2:14" ht="14" x14ac:dyDescent="0.15">
      <c r="B61" s="128" t="s">
        <v>134</v>
      </c>
      <c r="D61" s="140">
        <f>YEAR($D$31)-1</f>
      </c>
      <c r="E61" s="140">
        <f>YEAR($D$31)</f>
      </c>
      <c r="F61" s="140" t="s">
        <v>30</v>
      </c>
      <c r="G61" s="140" t="str">
        <f>YEAR($D$31)+1 &amp; "E"</f>
      </c>
      <c r="H61" s="140" t="str">
        <f>YEAR($D$31)+2 &amp; "E"</f>
      </c>
      <c r="I61" s="140" t="str">
        <f>YEAR($D$31)+3 &amp; "E"</f>
      </c>
      <c r="K61" s="132">
        <f>D35</f>
      </c>
      <c r="L61" s="132">
        <f>DATE(YEAR(K61)+1,MONTH(K61),DAY(K61))</f>
      </c>
      <c r="M61" s="132">
        <f>DATE(YEAR(L61)+1,MONTH(L61),DAY(L61))</f>
      </c>
    </row>
    <row r="62" spans="2:14" x14ac:dyDescent="0.15">
      <c r="C62" s="92" t="s">
        <v>51</v>
      </c>
      <c r="D62" s="106">
        <f>VLOOKUP($C62,Company0777_data!Data,5,0)</f>
      </c>
      <c r="E62" s="106">
        <f>VLOOKUP($C62,Company0777_data!Data,6,0)</f>
      </c>
      <c r="F62" s="106">
        <f>VLOOKUP($C62,Company0777_data!Data,7,0)</f>
      </c>
      <c r="G62" s="106">
        <f>VLOOKUP($C62,Company0777_data!Data,10,0)</f>
      </c>
      <c r="H62" s="106">
        <f>VLOOKUP($C62,Company0777_data!Data,11,0)</f>
      </c>
      <c r="I62" s="106">
        <f>VLOOKUP($C62,Company0777_data!Data,12,0)</f>
      </c>
      <c r="K62" s="92">
        <f>D62*$K$59+E62*$L$59+G62*$M$59</f>
      </c>
      <c r="L62" s="92">
        <f>E62*$K$59+G62*$L$59+H62*$M$59</f>
      </c>
      <c r="M62" s="92">
        <f>G62*$K$59+H62*$L$59+I62*$M$59</f>
      </c>
    </row>
    <row r="63" spans="2:14" x14ac:dyDescent="0.15">
      <c r="C63" s="92" t="s">
        <v>25</v>
      </c>
      <c r="D63" s="106">
        <f>VLOOKUP($C63,Company0777_data!Data,5,0)</f>
      </c>
      <c r="E63" s="106">
        <f>VLOOKUP($C63,Company0777_data!Data,6,0)</f>
      </c>
      <c r="F63" s="106">
        <f>VLOOKUP($C63,Company0777_data!Data,7,0)</f>
      </c>
      <c r="G63" s="106">
        <f>VLOOKUP($C63,Company0777_data!Data,10,0)</f>
      </c>
      <c r="H63" s="106">
        <f>VLOOKUP($C63,Company0777_data!Data,11,0)</f>
      </c>
      <c r="I63" s="106">
        <f>VLOOKUP($C63,Company0777_data!Data,12,0)</f>
      </c>
      <c r="K63" s="92">
        <f>D63*$K$59+E63*$L$59+G63*$M$59</f>
      </c>
      <c r="L63" s="92">
        <f>E63*$K$59+G63*$L$59+H63*$M$59</f>
      </c>
      <c r="M63" s="92">
        <f>G63*$K$59+H63*$L$59+I63*$M$59</f>
      </c>
    </row>
    <row r="64" spans="2:14" x14ac:dyDescent="0.15">
      <c r="C64" s="92" t="s">
        <v>26</v>
      </c>
      <c r="D64" s="106">
        <f>VLOOKUP($C64,Company0777_data!Data,5,0)</f>
      </c>
      <c r="E64" s="106">
        <f>VLOOKUP($C64,Company0777_data!Data,6,0)</f>
      </c>
      <c r="F64" s="106">
        <f>VLOOKUP($C64,Company0777_data!Data,7,0)</f>
      </c>
      <c r="G64" s="106">
        <f>VLOOKUP($C64,Company0777_data!Data,10,0)</f>
      </c>
      <c r="H64" s="106">
        <f>VLOOKUP($C64,Company0777_data!Data,11,0)</f>
      </c>
      <c r="I64" s="106">
        <f>VLOOKUP($C64,Company0777_data!Data,12,0)</f>
      </c>
      <c r="K64" s="92">
        <f>D64*$K$59+E64*$L$59+G64*$M$59</f>
      </c>
      <c r="L64" s="92">
        <f>E64*$K$59+G64*$L$59+H64*$M$59</f>
      </c>
      <c r="M64" s="92">
        <f>G64*$K$59+H64*$L$59+I64*$M$59</f>
      </c>
    </row>
    <row r="65" spans="1:13" x14ac:dyDescent="0.15">
      <c r="C65" s="92" t="s">
        <v>136</v>
      </c>
      <c r="D65" s="177">
        <f>VLOOKUP($C65,Company0777_data!Data,5,0)</f>
      </c>
      <c r="E65" s="177">
        <f>VLOOKUP($C65,Company0777_data!Data,6,0)</f>
      </c>
      <c r="F65" s="177"/>
      <c r="G65" s="177">
        <f>VLOOKUP($C65,Company0777_data!Data,10,0)</f>
      </c>
      <c r="H65" s="177">
        <f>VLOOKUP($C65,Company0777_data!Data,11,0)</f>
      </c>
      <c r="I65" s="177">
        <f>VLOOKUP($C65,Company0777_data!Data,12,0)</f>
      </c>
      <c r="J65" s="180"/>
      <c r="K65" s="177">
        <f>D65*$K$59+E65*$L$59+G65*$M$59</f>
      </c>
      <c r="L65" s="177">
        <f>E65*$K$59+G65*$L$59+H65*$M$59</f>
      </c>
      <c r="M65" s="177">
        <f>G65*$K$59+H65*$L$59+I65*$M$59</f>
      </c>
    </row>
    <row r="66" spans="1:13" x14ac:dyDescent="0.15">
      <c r="C66" s="45"/>
      <c r="D66" s="46"/>
      <c r="E66" s="46"/>
      <c r="F66" s="46"/>
      <c r="G66" s="46"/>
      <c r="I66" s="47"/>
      <c r="J66" s="47"/>
      <c r="K66" s="47"/>
    </row>
    <row r="67" spans="1:13" x14ac:dyDescent="0.15">
      <c r="H67" s="29"/>
    </row>
    <row r="68" spans="1:13" x14ac:dyDescent="0.15">
      <c r="H68" s="69"/>
    </row>
    <row r="69" spans="1:13" x14ac:dyDescent="0.15">
      <c r="H69" s="133"/>
    </row>
    <row r="70" spans="1:13" x14ac:dyDescent="0.15">
      <c r="H70" s="133"/>
    </row>
    <row r="72" spans="1:13" ht="12.75" customHeight="1" x14ac:dyDescent="0.2">
      <c r="A72" s="28"/>
    </row>
    <row r="73" spans="1:13" ht="12.75" customHeight="1" x14ac:dyDescent="0.2">
      <c r="A73" s="28"/>
    </row>
    <row r="74" spans="1:13" ht="12.75" customHeight="1" x14ac:dyDescent="0.2">
      <c r="A74" s="28"/>
    </row>
    <row r="75" spans="1:13" ht="12.75" customHeight="1" x14ac:dyDescent="0.2">
      <c r="A75" s="28"/>
    </row>
    <row r="76" spans="1:13" ht="16" x14ac:dyDescent="0.2">
      <c r="A76" s="28"/>
    </row>
    <row r="77" spans="1:13" ht="16" x14ac:dyDescent="0.2">
      <c r="A77" s="28"/>
    </row>
    <row r="78" spans="1:13" ht="16" x14ac:dyDescent="0.2">
      <c r="A78" s="28"/>
    </row>
    <row r="79" spans="1:13" ht="16" x14ac:dyDescent="0.2">
      <c r="A79" s="28"/>
    </row>
    <row r="80" spans="1:13" ht="16" x14ac:dyDescent="0.2">
      <c r="A80" s="28"/>
    </row>
    <row r="81" spans="1:1" ht="16" x14ac:dyDescent="0.2">
      <c r="A81" s="28"/>
    </row>
    <row r="82" spans="1:1" ht="16" x14ac:dyDescent="0.2">
      <c r="A82" s="28"/>
    </row>
    <row r="83" spans="1:1" ht="16" x14ac:dyDescent="0.2">
      <c r="A83" s="28"/>
    </row>
    <row r="101" collapsed="1" x14ac:dyDescent="0.15"/>
  </sheetData>
  <dataValidations count="8">
    <dataValidation allowBlank="1" showInputMessage="1" showErrorMessage="1" prompt="The standard currency is the currency in which you would like the analysis presented. For example, it may be target company's home currency." sqref="D30" xr:uid="{00000000-0002-0000-0400-000000000000}"/>
    <dataValidation type="list" allowBlank="1" showInputMessage="1" showErrorMessage="1" sqref="D33" xr:uid="{00000000-0002-0000-0400-000001000000}">
      <formula1>"Ticker0019,Q,Annual,Interim"</formula1>
    </dataValidation>
    <dataValidation type="list" allowBlank="1" showInputMessage="1" showErrorMessage="1" prompt="Input 1, 2 or 3 to indicate which quarter data has been spread. Leave blank if annual data." sqref="D34" xr:uid="{00000000-0002-0000-0400-000002000000}">
      <formula1>"1,2,3,,"</formula1>
    </dataValidation>
    <dataValidation allowBlank="1" showInputMessage="1" showErrorMessage="1" prompt="Often labeled &quot;cash and cash equivalents&quot; on balance sheet." sqref="D52" xr:uid="{00000000-0002-0000-0400-000003000000}"/>
    <dataValidation allowBlank="1" showInputMessage="1" showErrorMessage="1" prompt="Include all assets that are operating in nature e.g. inventories, accounts receivable, PP&amp;E etc" sqref="D56" xr:uid="{00000000-0002-0000-0400-000004000000}"/>
    <dataValidation allowBlank="1" showInputMessage="1" showErrorMessage="1" prompt="Include all liabilities that are operating in nature e.g. accounts payable" sqref="I54" xr:uid="{00000000-0002-0000-0400-000005000000}"/>
    <dataValidation allowBlank="1" showInputMessage="1" showErrorMessage="1" prompt="Include short-term liquid financial assets such as marketable securities, short-term investments etc" sqref="D53" xr:uid="{00000000-0002-0000-0400-000006000000}"/>
    <dataValidation allowBlank="1" showInputMessage="1" showErrorMessage="1" prompt="Exclude preferred stock and NCI" sqref="I55" xr:uid="{00000000-0002-0000-0400-000007000000}"/>
  </dataValidations>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1" manualBreakCount="1">
    <brk id="23" max="16383" man="1"/>
  </rowBreak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39"/>
    <pageSetUpPr autoPageBreaks="0"/>
  </sheetPr>
  <dimension ref="A1:X138"/>
  <sheetViews>
    <sheetView showGridLines="0" zoomScaleNormal="100" workbookViewId="0"/>
  </sheetViews>
  <sheetFormatPr baseColWidth="10" defaultColWidth="9.1640625" defaultRowHeight="13" x14ac:dyDescent="0.15"/>
  <cols>
    <col min="1" max="1" width="2.5" style="92" customWidth="1"/>
    <col min="2" max="2" width="48.5" style="92" customWidth="1"/>
    <col min="3" max="13" width="10.5" style="92" customWidth="1"/>
    <col min="14" max="14" width="16.1640625" style="92" bestFit="1" customWidth="1"/>
    <col min="15" max="15" width="12" style="92" bestFit="1" customWidth="1"/>
    <col min="16" max="16384" width="9.1640625" style="92"/>
  </cols>
  <sheetData>
    <row r="1" spans="1:19" s="123" customFormat="1" ht="18" x14ac:dyDescent="0.2">
      <c r="A1" s="85" t="s">
        <v>247</v>
      </c>
      <c r="B1" s="121"/>
      <c r="C1" s="122"/>
      <c r="D1" s="122"/>
      <c r="E1" s="122"/>
      <c r="F1" s="122"/>
      <c r="G1" s="122"/>
      <c r="H1" s="122"/>
      <c r="I1" s="122"/>
      <c r="J1" s="122"/>
      <c r="K1" s="122"/>
      <c r="L1" s="122"/>
      <c r="M1" s="122"/>
      <c r="N1" s="122"/>
      <c r="O1" s="122"/>
      <c r="P1" s="122"/>
    </row>
    <row r="2" spans="1:19" s="175" customFormat="1" ht="15" customHeight="1" x14ac:dyDescent="0.15">
      <c r="A2" s="176"/>
      <c r="B2" s="171"/>
      <c r="C2" s="172" t="s">
        <v>142</v>
      </c>
      <c r="D2" s="172" t="s">
        <v>142</v>
      </c>
      <c r="E2" s="172" t="s">
        <v>142</v>
      </c>
      <c r="F2" s="172" t="s">
        <v>142</v>
      </c>
      <c r="G2" s="172" t="s">
        <v>142</v>
      </c>
      <c r="H2" s="172"/>
      <c r="I2" s="172" t="s">
        <v>143</v>
      </c>
      <c r="J2" s="172" t="s">
        <v>143</v>
      </c>
      <c r="K2" s="172" t="s">
        <v>144</v>
      </c>
      <c r="L2" s="172" t="s">
        <v>144</v>
      </c>
      <c r="M2" s="172" t="s">
        <v>144</v>
      </c>
      <c r="N2" s="173"/>
      <c r="O2" s="173"/>
      <c r="P2" s="173"/>
      <c r="Q2" s="173"/>
      <c r="R2" s="174"/>
      <c r="S2" s="174"/>
    </row>
    <row r="3" spans="1:19" s="87" customFormat="1" ht="19" thickBot="1" x14ac:dyDescent="0.25">
      <c r="A3" s="88" t="s">
        <v>145</v>
      </c>
      <c r="B3" s="124"/>
      <c r="C3" s="125">
        <f>EDATE(D3,-12)</f>
      </c>
      <c r="D3" s="125">
        <f>EDATE(E3,-12)</f>
      </c>
      <c r="E3" s="125">
        <f>EDATE(F3,-12)</f>
      </c>
      <c r="F3" s="125">
        <f>EDATE(G3,-12)</f>
      </c>
      <c r="G3" s="125">
        <f>Company0777!D31</f>
      </c>
      <c r="H3" s="125" t="s">
        <v>30</v>
      </c>
      <c r="I3" s="125" t="s">
        <v>146</v>
      </c>
      <c r="J3" s="125" t="s">
        <v>147</v>
      </c>
      <c r="K3" s="125">
        <f>EDATE(G3,12)</f>
      </c>
      <c r="L3" s="125">
        <f>EDATE(K3,12)</f>
      </c>
      <c r="M3" s="125">
        <f>EDATE(L3,12)</f>
      </c>
      <c r="N3" s="125"/>
      <c r="O3" s="125"/>
      <c r="P3" s="125"/>
    </row>
    <row r="4" spans="1:19" ht="14" thickTop="1" x14ac:dyDescent="0.15"/>
    <row r="5" spans="1:19" ht="14" x14ac:dyDescent="0.15">
      <c r="A5" s="93" t="s">
        <v>148</v>
      </c>
      <c r="B5" s="1"/>
      <c r="C5" s="1"/>
      <c r="D5" s="1"/>
      <c r="E5" s="48"/>
      <c r="F5" s="48"/>
      <c r="G5" s="48"/>
      <c r="H5" s="48"/>
      <c r="I5" s="48"/>
      <c r="J5" s="48"/>
      <c r="K5" s="48"/>
      <c r="L5" s="48"/>
      <c r="M5" s="48"/>
    </row>
    <row r="6" spans="1:19" x14ac:dyDescent="0.15">
      <c r="B6" s="92" t="s">
        <v>51</v>
      </c>
      <c r="C6" s="106">
        <f>C27</f>
      </c>
      <c r="D6" s="106">
        <f>D27</f>
      </c>
      <c r="E6" s="92">
        <f>E27</f>
      </c>
      <c r="F6" s="92">
        <f>F27</f>
      </c>
      <c r="G6" s="92">
        <f>G27</f>
      </c>
      <c r="H6" s="92">
        <f>G6-I6+J6</f>
      </c>
      <c r="I6" s="92">
        <f>I27</f>
      </c>
      <c r="J6" s="92">
        <f>J27</f>
      </c>
      <c r="K6" s="35">
        <v>24943</v>
      </c>
      <c r="L6" s="35">
        <v>25987</v>
      </c>
      <c r="M6" s="35">
        <v>27084</v>
      </c>
    </row>
    <row r="7" spans="1:19" x14ac:dyDescent="0.15">
      <c r="B7" s="92" t="s">
        <v>25</v>
      </c>
      <c r="F7" s="92">
        <f>F52</f>
      </c>
      <c r="G7" s="92">
        <f>G52</f>
      </c>
      <c r="H7" s="92">
        <f>G7-I7+J7</f>
      </c>
      <c r="I7" s="92">
        <f>I52</f>
      </c>
      <c r="J7" s="92">
        <f>J52</f>
      </c>
      <c r="K7" s="156">
        <v>4698</v>
      </c>
      <c r="L7" s="156">
        <v>5023.5</v>
      </c>
      <c r="M7" s="156">
        <v>5393.5</v>
      </c>
    </row>
    <row r="8" spans="1:19" x14ac:dyDescent="0.15">
      <c r="B8" s="92" t="s">
        <v>26</v>
      </c>
      <c r="F8" s="92">
        <f>F46</f>
      </c>
      <c r="G8" s="92">
        <f>G46</f>
      </c>
      <c r="H8" s="92">
        <f>G8-I8+J8</f>
      </c>
      <c r="I8" s="92">
        <f>I46</f>
      </c>
      <c r="J8" s="92">
        <f>J46</f>
      </c>
      <c r="K8" s="156">
        <v>3759.66</v>
      </c>
      <c r="L8" s="156">
        <v>4046</v>
      </c>
      <c r="M8" s="156">
        <v>4378</v>
      </c>
    </row>
    <row r="9" spans="1:19" x14ac:dyDescent="0.15">
      <c r="B9" s="92" t="s">
        <v>136</v>
      </c>
      <c r="E9" s="102"/>
      <c r="F9" s="102">
        <f>F85</f>
      </c>
      <c r="G9" s="102">
        <f>G85</f>
      </c>
      <c r="H9" s="49"/>
      <c r="I9" s="49"/>
      <c r="J9" s="49"/>
      <c r="K9" s="157">
        <v>3.69</v>
      </c>
      <c r="L9" s="157">
        <v>4.05</v>
      </c>
      <c r="M9" s="157">
        <v>4.4180000000000001</v>
      </c>
    </row>
    <row r="10" spans="1:19" x14ac:dyDescent="0.15">
      <c r="N10" s="130" t="s">
        <v>59</v>
      </c>
      <c r="O10" s="130" t="s">
        <v>59</v>
      </c>
    </row>
    <row r="11" spans="1:19" ht="14" x14ac:dyDescent="0.15">
      <c r="A11" s="158" t="s">
        <v>149</v>
      </c>
      <c r="G11" s="135"/>
      <c r="N11" s="159" t="str">
        <f>TEXT(YEAR(E3),"0000")&amp;" - "&amp;TEXT(YEAR(G3),"0000")</f>
      </c>
      <c r="O11" s="159" t="str">
        <f>TEXT(YEAR(G3),"0000")&amp;" - "&amp;TEXT(YEAR(M3),"0000")</f>
      </c>
    </row>
    <row r="12" spans="1:19" x14ac:dyDescent="0.15">
      <c r="A12" s="39"/>
      <c r="B12" s="92" t="s">
        <v>150</v>
      </c>
      <c r="D12" s="160">
        <f>D28</f>
      </c>
      <c r="E12" s="160">
        <f>E28</f>
      </c>
      <c r="F12" s="160">
        <f>F28</f>
      </c>
      <c r="G12" s="160">
        <f>G28</f>
      </c>
      <c r="K12" s="160">
        <f>K6/G6-1</f>
      </c>
      <c r="L12" s="160">
        <f>L6/K6-1</f>
      </c>
      <c r="M12" s="160">
        <f>M6/L6-1</f>
      </c>
      <c r="N12" s="160">
        <f>(G6/E6)^(1/2)-1</f>
      </c>
      <c r="O12" s="160">
        <f>(M6/G6)^(1/3)-1</f>
      </c>
    </row>
    <row r="13" spans="1:19" x14ac:dyDescent="0.15">
      <c r="A13" s="39"/>
      <c r="B13" s="92" t="str">
        <f>B32</f>
      </c>
      <c r="D13" s="160"/>
      <c r="E13" s="160"/>
      <c r="F13" s="160">
        <f>F32</f>
      </c>
      <c r="G13" s="160">
        <f>G32</f>
      </c>
      <c r="I13" s="160"/>
    </row>
    <row r="14" spans="1:19" x14ac:dyDescent="0.15">
      <c r="B14" s="92" t="s">
        <v>151</v>
      </c>
      <c r="F14" s="160">
        <f t="shared" ref="F14:M14" si="0">F7/F6</f>
      </c>
      <c r="G14" s="160">
        <f t="shared" si="0"/>
      </c>
      <c r="H14" s="160">
        <f t="shared" si="0"/>
      </c>
      <c r="I14" s="160" t="e">
        <f t="shared" si="0"/>
      </c>
      <c r="J14" s="160" t="e">
        <f t="shared" si="0"/>
      </c>
      <c r="K14" s="160">
        <f t="shared" si="0"/>
      </c>
      <c r="L14" s="160">
        <f t="shared" si="0"/>
      </c>
      <c r="M14" s="160">
        <f t="shared" si="0"/>
      </c>
    </row>
    <row r="15" spans="1:19" x14ac:dyDescent="0.15">
      <c r="A15" s="39"/>
      <c r="B15" s="92" t="s">
        <v>152</v>
      </c>
      <c r="F15" s="160">
        <f t="shared" ref="F15:M15" si="1">F8/F6</f>
      </c>
      <c r="G15" s="160">
        <f t="shared" si="1"/>
      </c>
      <c r="H15" s="160">
        <f t="shared" si="1"/>
      </c>
      <c r="I15" s="160" t="e">
        <f t="shared" si="1"/>
      </c>
      <c r="J15" s="160" t="e">
        <f t="shared" si="1"/>
      </c>
      <c r="K15" s="160">
        <f t="shared" si="1"/>
      </c>
      <c r="L15" s="160">
        <f t="shared" si="1"/>
      </c>
      <c r="M15" s="160">
        <f t="shared" si="1"/>
      </c>
    </row>
    <row r="16" spans="1:19" x14ac:dyDescent="0.15">
      <c r="B16" s="92" t="s">
        <v>153</v>
      </c>
      <c r="F16" s="160">
        <f>F103</f>
      </c>
      <c r="G16" s="160">
        <f>G103</f>
      </c>
    </row>
    <row r="17" spans="1:17" x14ac:dyDescent="0.15">
      <c r="B17" s="92" t="s">
        <v>154</v>
      </c>
      <c r="F17" s="160">
        <f>F110</f>
      </c>
      <c r="G17" s="160">
        <f>G110</f>
      </c>
    </row>
    <row r="18" spans="1:17" x14ac:dyDescent="0.15">
      <c r="B18" s="92" t="s">
        <v>155</v>
      </c>
      <c r="F18" s="92">
        <f>F112</f>
      </c>
      <c r="G18" s="92">
        <f>G112</f>
      </c>
    </row>
    <row r="19" spans="1:17" x14ac:dyDescent="0.15">
      <c r="B19" s="92" t="s">
        <v>156</v>
      </c>
      <c r="F19" s="92">
        <f>F123</f>
      </c>
      <c r="G19" s="92">
        <f>G123</f>
      </c>
    </row>
    <row r="20" spans="1:17" x14ac:dyDescent="0.15">
      <c r="B20" s="92" t="s">
        <v>157</v>
      </c>
      <c r="F20" s="92">
        <f>F124</f>
      </c>
      <c r="G20" s="92">
        <f>G124</f>
      </c>
    </row>
    <row r="21" spans="1:17" x14ac:dyDescent="0.15">
      <c r="B21" s="92" t="s">
        <v>158</v>
      </c>
      <c r="F21" s="92">
        <f>F127</f>
      </c>
      <c r="G21" s="92">
        <f>G127</f>
      </c>
    </row>
    <row r="22" spans="1:17" x14ac:dyDescent="0.15">
      <c r="B22" s="92" t="str">
        <f>B129</f>
      </c>
      <c r="F22" s="160">
        <f>F129</f>
      </c>
      <c r="G22" s="160">
        <f>G129</f>
      </c>
    </row>
    <row r="23" spans="1:17" x14ac:dyDescent="0.15">
      <c r="B23" s="92" t="s">
        <v>62</v>
      </c>
      <c r="F23" s="160">
        <f>F138</f>
      </c>
      <c r="G23" s="160">
        <f>G138</f>
      </c>
    </row>
    <row r="24" spans="1:17" x14ac:dyDescent="0.15">
      <c r="B24" s="92" t="s">
        <v>63</v>
      </c>
      <c r="F24" s="160">
        <f>F132</f>
      </c>
      <c r="G24" s="160">
        <f>G132</f>
      </c>
    </row>
    <row r="26" spans="1:17" ht="14" x14ac:dyDescent="0.15">
      <c r="A26" s="93" t="s">
        <v>159</v>
      </c>
    </row>
    <row r="27" spans="1:17" x14ac:dyDescent="0.15">
      <c r="B27" s="92" t="s">
        <v>51</v>
      </c>
      <c r="C27" s="35">
        <v>21298</v>
      </c>
      <c r="D27" s="35">
        <v>21144</v>
      </c>
      <c r="E27" s="35">
        <v>22412</v>
      </c>
      <c r="F27" s="35">
        <v>21944</v>
      </c>
      <c r="G27" s="35">
        <v>24677</v>
      </c>
      <c r="I27" s="35">
        <v>0</v>
      </c>
      <c r="J27" s="35">
        <v>0</v>
      </c>
      <c r="K27" s="2"/>
    </row>
    <row r="28" spans="1:17" s="1" customFormat="1" x14ac:dyDescent="0.15">
      <c r="A28" s="92"/>
      <c r="B28" s="92" t="s">
        <v>160</v>
      </c>
      <c r="C28" s="27"/>
      <c r="D28" s="27">
        <f t="shared" ref="D28:E28" si="2">D27/C27-1</f>
      </c>
      <c r="E28" s="27">
        <f t="shared" si="2"/>
      </c>
      <c r="F28" s="27">
        <f>F27/E27-1</f>
      </c>
      <c r="G28" s="53">
        <f>G27/F27-1</f>
      </c>
      <c r="H28" s="92"/>
      <c r="I28" s="92"/>
      <c r="J28" s="92"/>
      <c r="K28" s="52"/>
      <c r="N28" s="92"/>
      <c r="O28" s="92"/>
      <c r="P28" s="92"/>
      <c r="Q28" s="92"/>
    </row>
    <row r="29" spans="1:17" x14ac:dyDescent="0.15">
      <c r="F29" s="27"/>
      <c r="G29" s="53"/>
      <c r="K29" s="54"/>
    </row>
    <row r="30" spans="1:17" x14ac:dyDescent="0.15">
      <c r="B30" s="92" t="s">
        <v>161</v>
      </c>
      <c r="F30" s="156">
        <v>10744</v>
      </c>
      <c r="G30" s="156">
        <v>12459</v>
      </c>
      <c r="I30" s="156">
        <v>0</v>
      </c>
      <c r="J30" s="156">
        <v>0</v>
      </c>
      <c r="K30" s="2"/>
    </row>
    <row r="31" spans="1:17" s="39" customFormat="1" x14ac:dyDescent="0.15">
      <c r="B31" s="39" t="s">
        <v>162</v>
      </c>
      <c r="F31" s="39">
        <f>F27-F30</f>
      </c>
      <c r="G31" s="39">
        <f>G27-G30</f>
      </c>
      <c r="I31" s="39">
        <f>I27-I30</f>
      </c>
      <c r="J31" s="39">
        <f>J27-J30</f>
      </c>
      <c r="K31" s="2"/>
      <c r="L31" s="92"/>
      <c r="O31" s="92"/>
    </row>
    <row r="32" spans="1:17" x14ac:dyDescent="0.15">
      <c r="B32" s="92" t="s">
        <v>163</v>
      </c>
      <c r="F32" s="27">
        <f>F31/F27</f>
      </c>
      <c r="G32" s="27">
        <f>G31/G27</f>
      </c>
      <c r="I32" s="53" t="e">
        <f>I31/I27</f>
      </c>
      <c r="J32" s="53" t="e">
        <f>J31/J27</f>
      </c>
      <c r="K32" s="2"/>
    </row>
    <row r="33" spans="1:17" x14ac:dyDescent="0.15">
      <c r="F33" s="27"/>
      <c r="G33" s="70"/>
      <c r="H33" s="94"/>
      <c r="K33" s="54"/>
      <c r="M33" s="39"/>
      <c r="N33" s="39"/>
    </row>
    <row r="34" spans="1:17" x14ac:dyDescent="0.15">
      <c r="B34" s="92" t="s">
        <v>164</v>
      </c>
      <c r="C34" s="39"/>
      <c r="D34" s="39"/>
      <c r="F34" s="35">
        <v>2923</v>
      </c>
      <c r="G34" s="35">
        <v>3734</v>
      </c>
      <c r="I34" s="35">
        <v>0</v>
      </c>
      <c r="J34" s="35">
        <v>0</v>
      </c>
      <c r="K34" s="2"/>
      <c r="L34" s="39"/>
      <c r="M34" s="39"/>
      <c r="N34" s="39"/>
      <c r="O34" s="39"/>
      <c r="P34" s="39"/>
    </row>
    <row r="35" spans="1:17" s="1" customFormat="1" x14ac:dyDescent="0.15">
      <c r="A35" s="92"/>
      <c r="B35" s="92" t="s">
        <v>165</v>
      </c>
      <c r="C35" s="92"/>
      <c r="D35" s="92"/>
      <c r="E35" s="92"/>
      <c r="F35" s="27">
        <f>F34/F27</f>
      </c>
      <c r="G35" s="53">
        <f>G34/G27</f>
      </c>
      <c r="H35" s="92"/>
      <c r="I35" s="53" t="e">
        <f>I34/I27</f>
      </c>
      <c r="J35" s="53" t="e">
        <f>J34/J27</f>
      </c>
      <c r="K35" s="71"/>
      <c r="O35" s="72"/>
      <c r="P35" s="72"/>
    </row>
    <row r="36" spans="1:17" x14ac:dyDescent="0.15">
      <c r="B36" s="2" t="s">
        <v>248</v>
      </c>
      <c r="C36" s="2"/>
      <c r="D36" s="2"/>
      <c r="F36" s="35">
        <v>42</v>
      </c>
      <c r="G36" s="35">
        <v>60</v>
      </c>
      <c r="I36" s="73">
        <v>0</v>
      </c>
      <c r="J36" s="35">
        <v>0</v>
      </c>
      <c r="K36" s="2"/>
    </row>
    <row r="37" spans="1:17" x14ac:dyDescent="0.15">
      <c r="B37" s="2" t="s">
        <v>249</v>
      </c>
      <c r="C37" s="2"/>
      <c r="D37" s="2"/>
      <c r="F37" s="35">
        <v>99</v>
      </c>
      <c r="G37" s="35">
        <v>-192</v>
      </c>
      <c r="I37" s="35">
        <v>0</v>
      </c>
      <c r="J37" s="35">
        <v>0</v>
      </c>
      <c r="K37" s="2"/>
    </row>
    <row r="38" spans="1:17" x14ac:dyDescent="0.15">
      <c r="B38" s="2" t="s">
        <v>250</v>
      </c>
      <c r="C38" s="2"/>
      <c r="D38" s="2"/>
      <c r="F38" s="35">
        <v>0</v>
      </c>
      <c r="G38" s="35">
        <v>0</v>
      </c>
      <c r="I38" s="35">
        <v>0</v>
      </c>
      <c r="J38" s="35">
        <v>0</v>
      </c>
      <c r="K38" s="2"/>
    </row>
    <row r="39" spans="1:17" x14ac:dyDescent="0.15">
      <c r="B39" s="2" t="s">
        <v>251</v>
      </c>
      <c r="C39" s="2"/>
      <c r="D39" s="2"/>
      <c r="F39" s="35">
        <v>0</v>
      </c>
      <c r="G39" s="35">
        <v>0</v>
      </c>
      <c r="I39" s="35">
        <v>0</v>
      </c>
      <c r="J39" s="35">
        <v>0</v>
      </c>
      <c r="K39" s="2"/>
    </row>
    <row r="40" spans="1:17" x14ac:dyDescent="0.15">
      <c r="B40" s="2" t="s">
        <v>252</v>
      </c>
      <c r="C40" s="57"/>
      <c r="D40" s="57"/>
      <c r="F40" s="35">
        <v>0</v>
      </c>
      <c r="G40" s="35">
        <v>0</v>
      </c>
      <c r="I40" s="35">
        <v>0</v>
      </c>
      <c r="J40" s="35">
        <v>0</v>
      </c>
      <c r="K40" s="2"/>
    </row>
    <row r="41" spans="1:17" ht="14" x14ac:dyDescent="0.15">
      <c r="B41" s="57" t="s">
        <v>171</v>
      </c>
      <c r="C41" s="57"/>
      <c r="D41" s="57"/>
      <c r="F41" s="35">
        <v>0</v>
      </c>
      <c r="G41" s="35">
        <v>0</v>
      </c>
      <c r="I41" s="35">
        <v>0</v>
      </c>
      <c r="J41" s="35">
        <v>0</v>
      </c>
      <c r="K41" s="2"/>
    </row>
    <row r="42" spans="1:17" x14ac:dyDescent="0.15">
      <c r="B42" s="2" t="s">
        <v>172</v>
      </c>
      <c r="C42" s="2"/>
      <c r="D42" s="2"/>
      <c r="F42" s="35">
        <v>0</v>
      </c>
      <c r="G42" s="35">
        <v>0</v>
      </c>
      <c r="I42" s="35">
        <v>0</v>
      </c>
      <c r="J42" s="35">
        <v>0</v>
      </c>
      <c r="K42" s="2"/>
    </row>
    <row r="43" spans="1:17" x14ac:dyDescent="0.15">
      <c r="B43" s="2" t="s">
        <v>173</v>
      </c>
      <c r="C43" s="2"/>
      <c r="D43" s="2"/>
      <c r="F43" s="35">
        <v>0</v>
      </c>
      <c r="G43" s="35">
        <v>0</v>
      </c>
      <c r="I43" s="35">
        <v>0</v>
      </c>
      <c r="J43" s="35">
        <v>0</v>
      </c>
      <c r="K43" s="2"/>
    </row>
    <row r="44" spans="1:17" x14ac:dyDescent="0.15">
      <c r="B44" s="2" t="s">
        <v>174</v>
      </c>
      <c r="C44" s="2"/>
      <c r="D44" s="2"/>
      <c r="F44" s="35">
        <v>0</v>
      </c>
      <c r="G44" s="35">
        <v>0</v>
      </c>
      <c r="I44" s="35">
        <v>0</v>
      </c>
      <c r="J44" s="35">
        <v>0</v>
      </c>
      <c r="K44" s="2"/>
    </row>
    <row r="45" spans="1:17" x14ac:dyDescent="0.15">
      <c r="B45" s="2" t="s">
        <v>175</v>
      </c>
      <c r="C45" s="2"/>
      <c r="D45" s="2"/>
      <c r="F45" s="35">
        <v>0</v>
      </c>
      <c r="G45" s="35">
        <v>0</v>
      </c>
      <c r="I45" s="35">
        <v>0</v>
      </c>
      <c r="J45" s="35">
        <v>0</v>
      </c>
      <c r="K45" s="2"/>
    </row>
    <row r="46" spans="1:17" s="39" customFormat="1" x14ac:dyDescent="0.15">
      <c r="B46" s="39" t="s">
        <v>26</v>
      </c>
      <c r="F46" s="39">
        <f>F34+SUM(F36:F45)</f>
      </c>
      <c r="G46" s="39">
        <f>G34+SUM(G36:G45)</f>
      </c>
      <c r="I46" s="39">
        <f>I34+SUM(I36:I45)</f>
      </c>
      <c r="J46" s="39">
        <f>J34+SUM(J36:J45)</f>
      </c>
      <c r="K46" s="56"/>
      <c r="L46" s="92"/>
      <c r="M46" s="92"/>
    </row>
    <row r="47" spans="1:17" s="1" customFormat="1" x14ac:dyDescent="0.15">
      <c r="B47" s="1" t="s">
        <v>152</v>
      </c>
      <c r="E47" s="92"/>
      <c r="F47" s="50">
        <f>F46/F27</f>
      </c>
      <c r="G47" s="51">
        <f>G46/G27</f>
      </c>
      <c r="H47" s="92"/>
      <c r="I47" s="51" t="e">
        <f>I46/I27</f>
      </c>
      <c r="J47" s="51" t="e">
        <f>J46/J27</f>
      </c>
      <c r="K47" s="2"/>
      <c r="L47" s="92"/>
      <c r="M47" s="92"/>
      <c r="N47" s="92"/>
      <c r="O47" s="92"/>
      <c r="P47" s="92"/>
      <c r="Q47" s="92"/>
    </row>
    <row r="48" spans="1:17" x14ac:dyDescent="0.15">
      <c r="F48" s="74"/>
      <c r="G48" s="70"/>
      <c r="K48" s="54"/>
      <c r="L48" s="39"/>
      <c r="M48" s="39"/>
    </row>
    <row r="49" spans="2:24" x14ac:dyDescent="0.15">
      <c r="B49" s="92" t="s">
        <v>176</v>
      </c>
      <c r="F49" s="181">
        <f>684</f>
      </c>
      <c r="G49" s="181">
        <v>737</v>
      </c>
      <c r="I49" s="35">
        <v>0</v>
      </c>
      <c r="J49" s="35">
        <v>0</v>
      </c>
      <c r="K49" s="2"/>
    </row>
    <row r="50" spans="2:24" x14ac:dyDescent="0.15">
      <c r="B50" s="92" t="s">
        <v>177</v>
      </c>
      <c r="F50" s="181">
        <v>70</v>
      </c>
      <c r="G50" s="181">
        <v>93</v>
      </c>
      <c r="I50" s="35">
        <v>0</v>
      </c>
      <c r="J50" s="35">
        <v>0</v>
      </c>
      <c r="K50" s="2"/>
    </row>
    <row r="51" spans="2:24" x14ac:dyDescent="0.15">
      <c r="B51" s="92" t="s">
        <v>178</v>
      </c>
      <c r="F51" s="92">
        <f>SUM(F49:F50)</f>
      </c>
      <c r="G51" s="92">
        <f>SUM(G49:G50)</f>
      </c>
      <c r="I51" s="92">
        <f>SUM(I49:I50)</f>
      </c>
      <c r="J51" s="92">
        <f>SUM(J49:J50)</f>
      </c>
      <c r="K51" s="2"/>
      <c r="L51" s="39"/>
      <c r="M51" s="39"/>
    </row>
    <row r="52" spans="2:24" s="39" customFormat="1" x14ac:dyDescent="0.15">
      <c r="B52" s="39" t="s">
        <v>25</v>
      </c>
      <c r="F52" s="39">
        <f>F46+F51</f>
      </c>
      <c r="G52" s="39">
        <f>G46+G51</f>
      </c>
      <c r="I52" s="39">
        <f>I46+I51</f>
      </c>
      <c r="J52" s="39">
        <f>J46+J51</f>
      </c>
      <c r="K52" s="56"/>
      <c r="O52" s="92"/>
      <c r="P52" s="92"/>
      <c r="Q52" s="92"/>
    </row>
    <row r="53" spans="2:24" s="1" customFormat="1" x14ac:dyDescent="0.15">
      <c r="B53" s="1" t="s">
        <v>151</v>
      </c>
      <c r="E53" s="92"/>
      <c r="F53" s="50">
        <f>F52/F27</f>
      </c>
      <c r="G53" s="51">
        <f>G52/G27</f>
      </c>
      <c r="H53" s="92"/>
      <c r="I53" s="51" t="e">
        <f>I52/I27</f>
      </c>
      <c r="J53" s="51" t="e">
        <f>J52/J27</f>
      </c>
      <c r="K53" s="2"/>
      <c r="L53" s="92"/>
      <c r="N53" s="92"/>
      <c r="O53" s="92"/>
      <c r="P53" s="92"/>
      <c r="Q53" s="92"/>
      <c r="R53" s="92"/>
      <c r="S53" s="92"/>
      <c r="T53" s="92"/>
      <c r="U53" s="92"/>
      <c r="V53" s="92"/>
      <c r="W53" s="92"/>
      <c r="X53" s="92"/>
    </row>
    <row r="54" spans="2:24" x14ac:dyDescent="0.15">
      <c r="F54" s="27"/>
      <c r="G54" s="53"/>
      <c r="K54" s="54"/>
    </row>
    <row r="55" spans="2:24" x14ac:dyDescent="0.15">
      <c r="B55" s="92" t="s">
        <v>179</v>
      </c>
      <c r="F55" s="35">
        <v>2630</v>
      </c>
      <c r="G55" s="35">
        <v>3296</v>
      </c>
      <c r="I55" s="55"/>
      <c r="K55" s="2"/>
    </row>
    <row r="56" spans="2:24" x14ac:dyDescent="0.15">
      <c r="B56" s="92" t="s">
        <v>180</v>
      </c>
      <c r="F56" s="35">
        <v>804</v>
      </c>
      <c r="G56" s="35">
        <v>842</v>
      </c>
      <c r="I56" s="55"/>
      <c r="K56" s="2"/>
    </row>
    <row r="57" spans="2:24" s="1" customFormat="1" x14ac:dyDescent="0.15">
      <c r="B57" s="92" t="s">
        <v>181</v>
      </c>
      <c r="C57" s="92"/>
      <c r="D57" s="92"/>
      <c r="E57" s="92"/>
      <c r="F57" s="27">
        <f>F56/F55</f>
      </c>
      <c r="G57" s="53">
        <f>G56/G55</f>
      </c>
      <c r="H57" s="92"/>
      <c r="I57" s="92"/>
      <c r="J57" s="92"/>
      <c r="K57" s="52"/>
      <c r="L57" s="92"/>
      <c r="N57" s="92"/>
      <c r="O57" s="92"/>
      <c r="P57" s="92"/>
      <c r="Q57" s="92"/>
      <c r="R57" s="92"/>
      <c r="S57" s="92"/>
      <c r="T57" s="92"/>
      <c r="U57" s="92"/>
      <c r="V57" s="92"/>
      <c r="W57" s="92"/>
      <c r="X57" s="92"/>
    </row>
    <row r="58" spans="2:24" x14ac:dyDescent="0.15">
      <c r="B58" s="92" t="s">
        <v>182</v>
      </c>
      <c r="F58" s="59">
        <v>0.34429999999999999</v>
      </c>
      <c r="G58" s="59">
        <v>0.34429999999999999</v>
      </c>
    </row>
    <row r="59" spans="2:24" x14ac:dyDescent="0.15">
      <c r="B59" s="92" t="s">
        <v>183</v>
      </c>
      <c r="F59" s="59">
        <v>0</v>
      </c>
      <c r="G59" s="59">
        <v>0</v>
      </c>
    </row>
    <row r="60" spans="2:24" s="60" customFormat="1" x14ac:dyDescent="0.15">
      <c r="B60" s="39" t="s">
        <v>184</v>
      </c>
      <c r="C60" s="39"/>
      <c r="D60" s="39"/>
      <c r="E60" s="39"/>
      <c r="F60" s="78">
        <f>SUM(F58:F59)</f>
      </c>
      <c r="G60" s="77">
        <f>SUM(G58:G59)</f>
      </c>
      <c r="H60" s="39"/>
      <c r="I60" s="92"/>
      <c r="J60" s="92"/>
      <c r="K60" s="61"/>
      <c r="L60" s="39"/>
      <c r="N60" s="39"/>
      <c r="O60" s="39"/>
      <c r="P60" s="39"/>
      <c r="Q60" s="39"/>
      <c r="R60" s="39"/>
      <c r="S60" s="39"/>
      <c r="T60" s="39"/>
      <c r="U60" s="39"/>
      <c r="V60" s="39"/>
      <c r="W60" s="39"/>
      <c r="X60" s="39"/>
    </row>
    <row r="61" spans="2:24" x14ac:dyDescent="0.15">
      <c r="F61" s="27"/>
      <c r="G61" s="163"/>
      <c r="K61" s="63"/>
    </row>
    <row r="62" spans="2:24" x14ac:dyDescent="0.15">
      <c r="B62" s="92" t="s">
        <v>185</v>
      </c>
      <c r="F62" s="92">
        <f>F46*(1-F57)</f>
      </c>
      <c r="G62" s="92">
        <f>G46*(1-G57)</f>
      </c>
      <c r="K62" s="63"/>
    </row>
    <row r="63" spans="2:24" x14ac:dyDescent="0.15">
      <c r="F63" s="182"/>
      <c r="G63" s="182"/>
      <c r="K63" s="63"/>
    </row>
    <row r="64" spans="2:24" x14ac:dyDescent="0.15">
      <c r="B64" s="92" t="s">
        <v>186</v>
      </c>
      <c r="C64" s="39"/>
      <c r="D64" s="39"/>
      <c r="F64" s="35">
        <v>1827</v>
      </c>
      <c r="G64" s="35">
        <v>2563</v>
      </c>
    </row>
    <row r="65" spans="2:24" s="1" customFormat="1" x14ac:dyDescent="0.15">
      <c r="B65" s="92" t="s">
        <v>187</v>
      </c>
      <c r="C65" s="92"/>
      <c r="D65" s="92"/>
      <c r="E65" s="92"/>
      <c r="F65" s="27">
        <f>F64/F27</f>
      </c>
      <c r="G65" s="53">
        <f>G64/G27</f>
      </c>
      <c r="K65" s="52"/>
      <c r="L65" s="92"/>
      <c r="N65" s="92"/>
      <c r="O65" s="92"/>
      <c r="P65" s="92"/>
      <c r="Q65" s="92"/>
      <c r="R65" s="92"/>
      <c r="S65" s="92"/>
      <c r="T65" s="92"/>
      <c r="U65" s="92"/>
      <c r="V65" s="92"/>
      <c r="W65" s="92"/>
      <c r="X65" s="92"/>
    </row>
    <row r="66" spans="2:24" x14ac:dyDescent="0.15">
      <c r="B66" s="92" t="str">
        <f>B36</f>
      </c>
      <c r="C66" s="2"/>
      <c r="D66" s="2"/>
      <c r="F66" s="141">
        <f>F36*(1-F$60)</f>
      </c>
      <c r="G66" s="141">
        <f>G36*(1-G$60)</f>
      </c>
      <c r="M66" s="183"/>
    </row>
    <row r="67" spans="2:24" x14ac:dyDescent="0.15">
      <c r="B67" s="92" t="str">
        <f>B37</f>
      </c>
      <c r="C67" s="2"/>
      <c r="D67" s="2"/>
      <c r="F67" s="141">
        <f>F37*(1-F$60)</f>
      </c>
      <c r="G67" s="141">
        <f>G37*(1-G$60)</f>
      </c>
    </row>
    <row r="68" spans="2:24" x14ac:dyDescent="0.15">
      <c r="B68" s="2" t="s">
        <v>253</v>
      </c>
      <c r="C68" s="2"/>
      <c r="D68" s="2"/>
      <c r="F68" s="35">
        <v>98</v>
      </c>
      <c r="G68" s="35">
        <v>0</v>
      </c>
      <c r="K68" s="26"/>
    </row>
    <row r="69" spans="2:24" x14ac:dyDescent="0.15">
      <c r="B69" s="2" t="s">
        <v>254</v>
      </c>
      <c r="C69" s="2"/>
      <c r="D69" s="2"/>
      <c r="F69" s="35">
        <v>5</v>
      </c>
      <c r="G69" s="35">
        <v>5</v>
      </c>
      <c r="K69" s="94"/>
    </row>
    <row r="70" spans="2:24" x14ac:dyDescent="0.15">
      <c r="B70" s="2" t="s">
        <v>252</v>
      </c>
      <c r="C70" s="2"/>
      <c r="D70" s="2"/>
      <c r="F70" s="35">
        <v>0</v>
      </c>
      <c r="G70" s="35">
        <v>0</v>
      </c>
      <c r="K70" s="2"/>
    </row>
    <row r="71" spans="2:24" x14ac:dyDescent="0.15">
      <c r="B71" s="2" t="s">
        <v>171</v>
      </c>
      <c r="C71" s="2"/>
      <c r="D71" s="2"/>
      <c r="F71" s="35">
        <v>0</v>
      </c>
      <c r="G71" s="35">
        <v>0</v>
      </c>
    </row>
    <row r="72" spans="2:24" x14ac:dyDescent="0.15">
      <c r="B72" s="2" t="s">
        <v>172</v>
      </c>
      <c r="C72" s="2"/>
      <c r="D72" s="2"/>
      <c r="F72" s="35">
        <v>0</v>
      </c>
      <c r="G72" s="35">
        <v>0</v>
      </c>
    </row>
    <row r="73" spans="2:24" x14ac:dyDescent="0.15">
      <c r="B73" s="2" t="s">
        <v>173</v>
      </c>
      <c r="C73" s="2"/>
      <c r="D73" s="2"/>
      <c r="F73" s="35">
        <v>0</v>
      </c>
      <c r="G73" s="35">
        <v>0</v>
      </c>
    </row>
    <row r="74" spans="2:24" x14ac:dyDescent="0.15">
      <c r="B74" s="2" t="s">
        <v>174</v>
      </c>
      <c r="C74" s="2"/>
      <c r="D74" s="2"/>
      <c r="F74" s="35">
        <v>0</v>
      </c>
      <c r="G74" s="35">
        <v>0</v>
      </c>
    </row>
    <row r="75" spans="2:24" x14ac:dyDescent="0.15">
      <c r="B75" s="2" t="s">
        <v>175</v>
      </c>
      <c r="C75" s="2"/>
      <c r="D75" s="2"/>
      <c r="F75" s="35">
        <v>0</v>
      </c>
      <c r="G75" s="35">
        <v>0</v>
      </c>
    </row>
    <row r="76" spans="2:24" s="39" customFormat="1" x14ac:dyDescent="0.15">
      <c r="B76" s="39" t="s">
        <v>189</v>
      </c>
      <c r="F76" s="39">
        <f>F64+SUM(F66:F75)</f>
      </c>
      <c r="G76" s="39">
        <f>G64+SUM(G66:G75)</f>
      </c>
      <c r="I76" s="92"/>
      <c r="J76" s="92"/>
    </row>
    <row r="77" spans="2:24" s="1" customFormat="1" x14ac:dyDescent="0.15">
      <c r="B77" s="92" t="s">
        <v>190</v>
      </c>
      <c r="C77" s="92"/>
      <c r="D77" s="92"/>
      <c r="E77" s="92"/>
      <c r="F77" s="27">
        <f>F76/F27</f>
      </c>
      <c r="G77" s="53">
        <f>G76/G27</f>
      </c>
      <c r="I77" s="92"/>
      <c r="J77" s="92"/>
      <c r="K77" s="52"/>
      <c r="L77" s="92"/>
      <c r="N77" s="92"/>
      <c r="O77" s="92"/>
      <c r="P77" s="92"/>
      <c r="Q77" s="92"/>
    </row>
    <row r="78" spans="2:24" x14ac:dyDescent="0.15">
      <c r="F78" s="27"/>
      <c r="G78" s="53"/>
      <c r="K78" s="54"/>
    </row>
    <row r="79" spans="2:24" x14ac:dyDescent="0.15">
      <c r="B79" s="92" t="s">
        <v>255</v>
      </c>
      <c r="F79" s="35">
        <v>107</v>
      </c>
      <c r="G79" s="35">
        <v>110</v>
      </c>
      <c r="K79" s="54"/>
    </row>
    <row r="80" spans="2:24" x14ac:dyDescent="0.15">
      <c r="B80" s="39" t="s">
        <v>256</v>
      </c>
      <c r="F80" s="39">
        <f>F76-F79</f>
      </c>
      <c r="G80" s="39">
        <f>G76-G79</f>
      </c>
      <c r="K80" s="54"/>
    </row>
    <row r="81" spans="1:11" x14ac:dyDescent="0.15">
      <c r="F81" s="27"/>
      <c r="G81" s="53"/>
      <c r="K81" s="54"/>
    </row>
    <row r="82" spans="1:11" x14ac:dyDescent="0.15">
      <c r="B82" s="92" t="s">
        <v>191</v>
      </c>
      <c r="F82" s="181">
        <v>616.44204100000002</v>
      </c>
      <c r="G82" s="181">
        <v>625.98663599999998</v>
      </c>
    </row>
    <row r="83" spans="1:11" x14ac:dyDescent="0.15">
      <c r="B83" s="92" t="s">
        <v>192</v>
      </c>
      <c r="F83" s="102">
        <f>F$80/F82</f>
      </c>
      <c r="G83" s="102">
        <f>G$80/G82</f>
      </c>
      <c r="I83" s="94"/>
      <c r="K83" s="102"/>
    </row>
    <row r="84" spans="1:11" x14ac:dyDescent="0.15">
      <c r="B84" s="92" t="s">
        <v>193</v>
      </c>
      <c r="F84" s="181">
        <v>616.70061799999996</v>
      </c>
      <c r="G84" s="181">
        <v>627.12126599999999</v>
      </c>
      <c r="I84" s="94"/>
    </row>
    <row r="85" spans="1:11" x14ac:dyDescent="0.15">
      <c r="B85" s="92" t="s">
        <v>136</v>
      </c>
      <c r="F85" s="102">
        <f>F$80/F84</f>
      </c>
      <c r="G85" s="102">
        <f>G$80/G84</f>
      </c>
      <c r="I85" s="94"/>
      <c r="K85" s="102"/>
    </row>
    <row r="86" spans="1:11" x14ac:dyDescent="0.15">
      <c r="F86" s="102"/>
      <c r="G86" s="102"/>
      <c r="K86" s="102"/>
    </row>
    <row r="87" spans="1:11" ht="14" x14ac:dyDescent="0.15">
      <c r="A87" s="93" t="s">
        <v>194</v>
      </c>
      <c r="F87" s="102"/>
      <c r="G87" s="102"/>
      <c r="K87" s="102"/>
    </row>
    <row r="88" spans="1:11" x14ac:dyDescent="0.15">
      <c r="A88" s="39"/>
      <c r="B88" s="92" t="s">
        <v>195</v>
      </c>
      <c r="F88" s="35">
        <v>19113</v>
      </c>
      <c r="G88" s="35">
        <v>9641</v>
      </c>
      <c r="K88" s="102"/>
    </row>
    <row r="89" spans="1:11" x14ac:dyDescent="0.15">
      <c r="A89" s="39"/>
      <c r="B89" s="92" t="s">
        <v>196</v>
      </c>
      <c r="F89" s="35">
        <v>9050</v>
      </c>
      <c r="G89" s="35">
        <v>10411</v>
      </c>
      <c r="K89" s="102"/>
    </row>
    <row r="90" spans="1:11" s="39" customFormat="1" x14ac:dyDescent="0.15">
      <c r="B90" s="39" t="s">
        <v>197</v>
      </c>
      <c r="F90" s="39">
        <f>F88-F89</f>
      </c>
      <c r="G90" s="39">
        <f>G88-G89</f>
      </c>
      <c r="I90" s="92"/>
      <c r="J90" s="92"/>
      <c r="K90" s="64"/>
    </row>
    <row r="91" spans="1:11" x14ac:dyDescent="0.15">
      <c r="A91" s="39"/>
      <c r="F91" s="102"/>
      <c r="G91" s="102"/>
      <c r="K91" s="102"/>
    </row>
    <row r="92" spans="1:11" x14ac:dyDescent="0.15">
      <c r="B92" s="2" t="s">
        <v>199</v>
      </c>
      <c r="F92" s="35">
        <v>1380</v>
      </c>
      <c r="G92" s="35">
        <v>1668</v>
      </c>
    </row>
    <row r="93" spans="1:11" x14ac:dyDescent="0.15">
      <c r="B93" s="2" t="s">
        <v>257</v>
      </c>
      <c r="F93" s="35">
        <v>2524</v>
      </c>
      <c r="G93" s="35">
        <v>2794</v>
      </c>
    </row>
    <row r="94" spans="1:11" x14ac:dyDescent="0.15">
      <c r="B94" s="2" t="s">
        <v>200</v>
      </c>
      <c r="F94" s="35">
        <v>1061</v>
      </c>
      <c r="G94" s="35">
        <v>1046</v>
      </c>
      <c r="I94" s="92" t="s">
        <v>0</v>
      </c>
    </row>
    <row r="95" spans="1:11" x14ac:dyDescent="0.15">
      <c r="B95" s="2" t="s">
        <v>201</v>
      </c>
      <c r="F95" s="35">
        <v>0</v>
      </c>
      <c r="G95" s="35">
        <v>0</v>
      </c>
      <c r="J95" s="92" t="s">
        <v>0</v>
      </c>
    </row>
    <row r="96" spans="1:11" x14ac:dyDescent="0.15">
      <c r="B96" s="2" t="s">
        <v>202</v>
      </c>
      <c r="F96" s="35">
        <v>0</v>
      </c>
      <c r="G96" s="35">
        <v>0</v>
      </c>
    </row>
    <row r="97" spans="1:17" x14ac:dyDescent="0.15">
      <c r="B97" s="2" t="s">
        <v>258</v>
      </c>
      <c r="F97" s="35">
        <v>3772</v>
      </c>
      <c r="G97" s="35">
        <v>3904</v>
      </c>
      <c r="I97" s="92" t="s">
        <v>0</v>
      </c>
    </row>
    <row r="98" spans="1:17" x14ac:dyDescent="0.15">
      <c r="B98" s="2" t="s">
        <v>259</v>
      </c>
      <c r="F98" s="35">
        <v>2741</v>
      </c>
      <c r="G98" s="35">
        <v>2716</v>
      </c>
      <c r="I98" s="92" t="s">
        <v>0</v>
      </c>
    </row>
    <row r="99" spans="1:17" x14ac:dyDescent="0.15">
      <c r="B99" s="2" t="s">
        <v>260</v>
      </c>
      <c r="F99" s="35">
        <v>0</v>
      </c>
      <c r="G99" s="35">
        <v>0</v>
      </c>
    </row>
    <row r="100" spans="1:17" x14ac:dyDescent="0.15">
      <c r="B100" s="2" t="s">
        <v>206</v>
      </c>
      <c r="F100" s="35">
        <v>0</v>
      </c>
      <c r="G100" s="35">
        <v>0</v>
      </c>
    </row>
    <row r="101" spans="1:17" x14ac:dyDescent="0.15">
      <c r="B101" s="2" t="s">
        <v>207</v>
      </c>
      <c r="F101" s="35">
        <v>0</v>
      </c>
      <c r="G101" s="35">
        <v>0</v>
      </c>
    </row>
    <row r="102" spans="1:17" s="39" customFormat="1" x14ac:dyDescent="0.15">
      <c r="B102" s="39" t="s">
        <v>208</v>
      </c>
      <c r="F102" s="39">
        <f>SUM(F92:F96)-SUM(F97:F101)</f>
      </c>
      <c r="G102" s="39">
        <f>SUM(G92:G96)-SUM(G97:G101)</f>
      </c>
      <c r="I102" s="92"/>
      <c r="J102" s="92"/>
    </row>
    <row r="103" spans="1:17" s="1" customFormat="1" x14ac:dyDescent="0.15">
      <c r="B103" s="92" t="s">
        <v>209</v>
      </c>
      <c r="C103" s="92"/>
      <c r="D103" s="92"/>
      <c r="E103" s="92"/>
      <c r="F103" s="53">
        <f>F102/F27</f>
      </c>
      <c r="G103" s="53">
        <f>G102/G27</f>
      </c>
      <c r="I103" s="92"/>
      <c r="J103" s="92"/>
      <c r="K103" s="52"/>
      <c r="L103" s="92"/>
      <c r="N103" s="92"/>
      <c r="O103" s="92"/>
      <c r="P103" s="92"/>
      <c r="Q103" s="92"/>
    </row>
    <row r="104" spans="1:17" s="1" customFormat="1" x14ac:dyDescent="0.15">
      <c r="B104" s="92" t="s">
        <v>210</v>
      </c>
      <c r="C104" s="92"/>
      <c r="D104" s="92"/>
      <c r="E104" s="92"/>
      <c r="F104" s="92">
        <f>F93/F27*365</f>
      </c>
      <c r="G104" s="92">
        <f>G93/G27*365</f>
      </c>
      <c r="I104" s="92"/>
      <c r="J104" s="92"/>
    </row>
    <row r="105" spans="1:17" s="1" customFormat="1" x14ac:dyDescent="0.15">
      <c r="B105" s="92" t="s">
        <v>211</v>
      </c>
      <c r="C105" s="92"/>
      <c r="D105" s="92"/>
      <c r="E105" s="92"/>
      <c r="F105" s="92">
        <f>F92/F30*365</f>
      </c>
      <c r="G105" s="92">
        <f>G92/G30*365</f>
      </c>
      <c r="I105" s="92"/>
      <c r="J105" s="92"/>
    </row>
    <row r="106" spans="1:17" s="1" customFormat="1" x14ac:dyDescent="0.15">
      <c r="B106" s="92" t="s">
        <v>212</v>
      </c>
      <c r="C106" s="92"/>
      <c r="D106" s="92"/>
      <c r="E106" s="92"/>
      <c r="F106" s="92">
        <f>F97/F30*365</f>
      </c>
      <c r="G106" s="92">
        <f>G97/G30*365</f>
      </c>
      <c r="I106" s="92"/>
      <c r="J106" s="92"/>
    </row>
    <row r="108" spans="1:17" ht="14" x14ac:dyDescent="0.15">
      <c r="A108" s="93" t="s">
        <v>213</v>
      </c>
    </row>
    <row r="109" spans="1:17" x14ac:dyDescent="0.15">
      <c r="B109" s="92" t="s">
        <v>214</v>
      </c>
      <c r="F109" s="35">
        <v>5036</v>
      </c>
      <c r="G109" s="35">
        <v>6005</v>
      </c>
    </row>
    <row r="110" spans="1:17" s="1" customFormat="1" x14ac:dyDescent="0.15">
      <c r="B110" s="92" t="s">
        <v>215</v>
      </c>
      <c r="C110" s="92"/>
      <c r="D110" s="92"/>
      <c r="E110" s="92"/>
      <c r="F110" s="27">
        <f>F109/F27</f>
      </c>
      <c r="G110" s="53">
        <f>G109/G27</f>
      </c>
      <c r="I110" s="92"/>
      <c r="J110" s="92"/>
      <c r="K110" s="92"/>
      <c r="L110" s="92"/>
      <c r="N110" s="92"/>
      <c r="O110" s="92"/>
      <c r="P110" s="92"/>
      <c r="Q110" s="92"/>
    </row>
    <row r="111" spans="1:17" x14ac:dyDescent="0.15">
      <c r="B111" s="92" t="s">
        <v>216</v>
      </c>
      <c r="F111" s="35">
        <f>974</f>
      </c>
      <c r="G111" s="35">
        <v>1018</v>
      </c>
      <c r="H111" s="92" t="s">
        <v>0</v>
      </c>
    </row>
    <row r="112" spans="1:17" s="1" customFormat="1" x14ac:dyDescent="0.15">
      <c r="B112" s="92" t="s">
        <v>217</v>
      </c>
      <c r="C112" s="92"/>
      <c r="D112" s="92"/>
      <c r="E112" s="92"/>
      <c r="F112" s="102">
        <f>F111/F49</f>
      </c>
      <c r="G112" s="102">
        <f>G111/G49</f>
      </c>
      <c r="I112" s="92"/>
      <c r="J112" s="92"/>
      <c r="K112" s="92"/>
      <c r="L112" s="92"/>
      <c r="N112" s="92"/>
      <c r="O112" s="92"/>
      <c r="P112" s="92"/>
      <c r="Q112" s="92"/>
    </row>
    <row r="113" spans="1:11" x14ac:dyDescent="0.15">
      <c r="F113" s="102"/>
      <c r="G113" s="102"/>
      <c r="K113" s="102"/>
    </row>
    <row r="114" spans="1:11" ht="14" x14ac:dyDescent="0.15">
      <c r="A114" s="93" t="s">
        <v>218</v>
      </c>
      <c r="F114" s="102"/>
      <c r="G114" s="102"/>
    </row>
    <row r="115" spans="1:11" x14ac:dyDescent="0.15">
      <c r="B115" s="2" t="s">
        <v>261</v>
      </c>
      <c r="F115" s="35">
        <v>2510</v>
      </c>
      <c r="G115" s="35">
        <v>3792</v>
      </c>
    </row>
    <row r="116" spans="1:11" x14ac:dyDescent="0.15">
      <c r="B116" s="2" t="s">
        <v>262</v>
      </c>
      <c r="F116" s="35">
        <v>18771</v>
      </c>
      <c r="G116" s="35">
        <v>15716</v>
      </c>
    </row>
    <row r="117" spans="1:11" x14ac:dyDescent="0.15">
      <c r="B117" s="2" t="s">
        <v>263</v>
      </c>
      <c r="F117" s="35">
        <v>-148</v>
      </c>
      <c r="G117" s="35">
        <v>-16</v>
      </c>
    </row>
    <row r="118" spans="1:11" x14ac:dyDescent="0.15">
      <c r="B118" s="2" t="s">
        <v>264</v>
      </c>
      <c r="F118" s="35">
        <f>-419+377</f>
      </c>
      <c r="G118" s="35">
        <v>-19</v>
      </c>
    </row>
    <row r="119" spans="1:11" x14ac:dyDescent="0.15">
      <c r="B119" s="2" t="s">
        <v>223</v>
      </c>
      <c r="F119" s="35">
        <v>0</v>
      </c>
      <c r="G119" s="35">
        <v>0</v>
      </c>
    </row>
    <row r="120" spans="1:11" s="39" customFormat="1" x14ac:dyDescent="0.15">
      <c r="B120" s="39" t="s">
        <v>116</v>
      </c>
      <c r="F120" s="39">
        <f>SUM(F115:F119)</f>
      </c>
      <c r="G120" s="39">
        <f>SUM(G115:G119)</f>
      </c>
      <c r="J120" s="92"/>
    </row>
    <row r="121" spans="1:11" x14ac:dyDescent="0.15">
      <c r="B121" s="92" t="s">
        <v>224</v>
      </c>
      <c r="F121" s="35">
        <f>557+13063</f>
      </c>
      <c r="G121" s="35">
        <f>638+3462</f>
      </c>
    </row>
    <row r="122" spans="1:11" s="39" customFormat="1" x14ac:dyDescent="0.15">
      <c r="B122" s="39" t="s">
        <v>110</v>
      </c>
      <c r="F122" s="39">
        <f>F120-F121</f>
      </c>
      <c r="G122" s="39">
        <f>G120-G121</f>
      </c>
      <c r="J122" s="92"/>
    </row>
    <row r="123" spans="1:11" s="1" customFormat="1" x14ac:dyDescent="0.15">
      <c r="B123" s="92" t="s">
        <v>156</v>
      </c>
      <c r="C123" s="92"/>
      <c r="D123" s="92"/>
      <c r="E123" s="92"/>
      <c r="F123" s="102">
        <f>F120/F52</f>
      </c>
      <c r="G123" s="102">
        <f>G120/G52</f>
      </c>
      <c r="J123" s="92"/>
      <c r="K123" s="65"/>
    </row>
    <row r="124" spans="1:11" s="1" customFormat="1" x14ac:dyDescent="0.15">
      <c r="B124" s="92" t="s">
        <v>225</v>
      </c>
      <c r="C124" s="92"/>
      <c r="D124" s="92"/>
      <c r="E124" s="92"/>
      <c r="F124" s="102">
        <f>F122/F52</f>
      </c>
      <c r="G124" s="102">
        <f>G122/G52</f>
      </c>
      <c r="J124" s="92"/>
      <c r="K124" s="65"/>
    </row>
    <row r="125" spans="1:11" x14ac:dyDescent="0.15">
      <c r="B125" s="92" t="s">
        <v>226</v>
      </c>
      <c r="F125" s="35">
        <v>130</v>
      </c>
      <c r="G125" s="35">
        <v>151</v>
      </c>
    </row>
    <row r="126" spans="1:11" x14ac:dyDescent="0.15">
      <c r="B126" s="92" t="s">
        <v>227</v>
      </c>
      <c r="F126" s="35">
        <v>276</v>
      </c>
      <c r="G126" s="35">
        <v>414</v>
      </c>
    </row>
    <row r="127" spans="1:11" s="1" customFormat="1" x14ac:dyDescent="0.15">
      <c r="B127" s="92" t="s">
        <v>158</v>
      </c>
      <c r="C127" s="92"/>
      <c r="D127" s="92"/>
      <c r="E127" s="92"/>
      <c r="F127" s="92">
        <f>F52/F126</f>
      </c>
      <c r="G127" s="92">
        <f>G52/G126</f>
      </c>
      <c r="I127" s="92"/>
      <c r="J127" s="92"/>
      <c r="K127" s="65"/>
    </row>
    <row r="128" spans="1:11" x14ac:dyDescent="0.15">
      <c r="B128" s="92" t="s">
        <v>228</v>
      </c>
      <c r="F128" s="35">
        <v>13194</v>
      </c>
      <c r="G128" s="35">
        <v>14574</v>
      </c>
    </row>
    <row r="129" spans="1:17" s="1" customFormat="1" x14ac:dyDescent="0.15">
      <c r="B129" s="92" t="s">
        <v>229</v>
      </c>
      <c r="C129" s="92"/>
      <c r="D129" s="92"/>
      <c r="E129" s="92"/>
      <c r="F129" s="27">
        <f>F120/F128</f>
      </c>
      <c r="G129" s="27">
        <f>G120/G128</f>
      </c>
      <c r="I129" s="92"/>
      <c r="J129" s="92"/>
      <c r="K129" s="66"/>
      <c r="L129" s="92"/>
      <c r="N129" s="92"/>
      <c r="O129" s="92"/>
      <c r="P129" s="92"/>
      <c r="Q129" s="92"/>
    </row>
    <row r="130" spans="1:17" s="1" customFormat="1" x14ac:dyDescent="0.15">
      <c r="B130" s="92"/>
      <c r="C130" s="92"/>
      <c r="D130" s="92"/>
      <c r="E130" s="92"/>
      <c r="F130" s="27"/>
      <c r="G130" s="27"/>
      <c r="J130" s="92"/>
      <c r="K130" s="66"/>
      <c r="L130" s="92"/>
      <c r="N130" s="92"/>
      <c r="O130" s="92"/>
      <c r="P130" s="92"/>
      <c r="Q130" s="92"/>
    </row>
    <row r="131" spans="1:17" s="1" customFormat="1" ht="14" x14ac:dyDescent="0.15">
      <c r="A131" s="93" t="s">
        <v>230</v>
      </c>
      <c r="B131" s="92"/>
      <c r="C131" s="92"/>
      <c r="D131" s="92"/>
      <c r="E131" s="92"/>
      <c r="F131" s="27"/>
      <c r="G131" s="27"/>
      <c r="K131" s="66"/>
      <c r="L131" s="92"/>
      <c r="N131" s="92"/>
      <c r="O131" s="92"/>
      <c r="P131" s="92"/>
      <c r="Q131" s="92"/>
    </row>
    <row r="132" spans="1:17" s="1" customFormat="1" x14ac:dyDescent="0.15">
      <c r="B132" s="92" t="s">
        <v>63</v>
      </c>
      <c r="C132" s="92"/>
      <c r="D132" s="92"/>
      <c r="E132" s="92"/>
      <c r="F132" s="27">
        <f>F76/F128</f>
      </c>
      <c r="G132" s="27">
        <f>G76/G128</f>
      </c>
      <c r="K132" s="66"/>
      <c r="L132" s="92"/>
      <c r="N132" s="92"/>
      <c r="O132" s="92"/>
      <c r="P132" s="92"/>
      <c r="Q132" s="92"/>
    </row>
    <row r="133" spans="1:17" ht="16" x14ac:dyDescent="0.2">
      <c r="B133" s="67"/>
      <c r="C133" s="67"/>
      <c r="D133" s="67"/>
      <c r="E133" s="67"/>
      <c r="F133" s="67"/>
      <c r="G133" s="67"/>
      <c r="K133" s="67"/>
    </row>
    <row r="134" spans="1:17" x14ac:dyDescent="0.15">
      <c r="B134" s="92" t="str">
        <f>B62</f>
      </c>
      <c r="F134" s="92">
        <f>F62</f>
      </c>
      <c r="G134" s="92">
        <f>G62</f>
      </c>
    </row>
    <row r="135" spans="1:17" x14ac:dyDescent="0.15">
      <c r="B135" s="92" t="str">
        <f>B128</f>
      </c>
      <c r="F135" s="92">
        <f>F128</f>
      </c>
      <c r="G135" s="92">
        <f>G128</f>
      </c>
    </row>
    <row r="136" spans="1:17" x14ac:dyDescent="0.15">
      <c r="B136" s="92" t="str">
        <f>B122</f>
      </c>
      <c r="F136" s="92">
        <f>F122</f>
      </c>
      <c r="G136" s="92">
        <f>G122</f>
      </c>
    </row>
    <row r="137" spans="1:17" x14ac:dyDescent="0.15">
      <c r="B137" s="92" t="s">
        <v>231</v>
      </c>
      <c r="F137" s="92">
        <f>SUM(F135:F136)</f>
      </c>
      <c r="G137" s="92">
        <f>SUM(G135:G136)</f>
      </c>
    </row>
    <row r="138" spans="1:17" x14ac:dyDescent="0.15">
      <c r="B138" s="92" t="s">
        <v>62</v>
      </c>
      <c r="F138" s="27">
        <f>F134/F137</f>
      </c>
      <c r="G138" s="27">
        <f>G134/G137</f>
      </c>
    </row>
  </sheetData>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2" manualBreakCount="2">
    <brk id="24" max="17" man="1"/>
    <brk id="77" max="17" man="1"/>
  </row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39"/>
    <pageSetUpPr autoPageBreaks="0"/>
  </sheetPr>
  <dimension ref="A1:P101"/>
  <sheetViews>
    <sheetView showGridLines="0" zoomScaleNormal="100" workbookViewId="0"/>
  </sheetViews>
  <sheetFormatPr baseColWidth="10" defaultColWidth="9.1640625" defaultRowHeight="13" x14ac:dyDescent="0.15"/>
  <cols>
    <col min="1" max="2" width="1.5" style="92" customWidth="1"/>
    <col min="3" max="3" width="30.83203125" style="92" bestFit="1" customWidth="1"/>
    <col min="4" max="8" width="12.5" style="92" customWidth="1"/>
    <col min="9" max="9" width="12.5" style="92" customWidth="1" collapsed="1"/>
    <col min="10" max="13" width="12.5" style="92" customWidth="1"/>
    <col min="14" max="14" width="11.5" style="92" customWidth="1"/>
    <col min="15" max="15" width="9.1640625" style="92"/>
    <col min="16" max="16" width="9.5" style="92" customWidth="1"/>
    <col min="17" max="16384" width="9.1640625" style="92"/>
  </cols>
  <sheetData>
    <row r="1" spans="1:16" s="123" customFormat="1" ht="18" x14ac:dyDescent="0.2">
      <c r="A1" s="85" t="str">
        <f>"Comparable companies analysis - "&amp;D26</f>
      </c>
      <c r="B1" s="121"/>
      <c r="C1" s="122"/>
      <c r="D1" s="122"/>
      <c r="E1" s="122"/>
      <c r="F1" s="122"/>
      <c r="G1" s="122"/>
      <c r="H1" s="122"/>
      <c r="I1" s="122"/>
      <c r="J1" s="122"/>
      <c r="K1" s="122"/>
      <c r="L1" s="122"/>
      <c r="M1" s="122"/>
      <c r="N1" s="122"/>
      <c r="O1" s="122"/>
      <c r="P1" s="122"/>
    </row>
    <row r="2" spans="1:16" s="123" customFormat="1" ht="19" thickBot="1" x14ac:dyDescent="0.25">
      <c r="A2" s="91" t="s">
        <v>65</v>
      </c>
      <c r="B2" s="124"/>
      <c r="C2" s="125"/>
      <c r="D2" s="125"/>
      <c r="E2" s="125"/>
      <c r="F2" s="125"/>
      <c r="G2" s="125"/>
      <c r="H2" s="125"/>
      <c r="I2" s="125"/>
      <c r="J2" s="125"/>
      <c r="K2" s="125"/>
      <c r="L2" s="125"/>
      <c r="M2" s="125"/>
      <c r="N2" s="125"/>
      <c r="O2" s="125"/>
      <c r="P2" s="125"/>
    </row>
    <row r="3" spans="1:16" ht="14" thickTop="1" x14ac:dyDescent="0.15"/>
    <row r="4" spans="1:16" ht="18" x14ac:dyDescent="0.15">
      <c r="A4" s="184" t="s">
        <v>66</v>
      </c>
      <c r="B4" s="184"/>
      <c r="C4" s="185"/>
      <c r="D4" s="185"/>
      <c r="E4" s="185"/>
      <c r="F4" s="185"/>
    </row>
    <row r="5" spans="1:16" ht="14" x14ac:dyDescent="0.15">
      <c r="B5" s="128" t="s">
        <v>67</v>
      </c>
    </row>
    <row r="6" spans="1:16" x14ac:dyDescent="0.15">
      <c r="B6" s="29"/>
      <c r="C6" s="92" t="str">
        <f>F26</f>
      </c>
      <c r="D6" s="129">
        <f>I26</f>
      </c>
    </row>
    <row r="7" spans="1:16" x14ac:dyDescent="0.15">
      <c r="C7" s="92" t="str">
        <f>C40</f>
      </c>
      <c r="D7" s="92">
        <f>D40</f>
      </c>
      <c r="F7" s="94"/>
    </row>
    <row r="8" spans="1:16" x14ac:dyDescent="0.15">
      <c r="C8" s="92" t="str">
        <f>C49</f>
      </c>
      <c r="D8" s="92">
        <f>D49</f>
      </c>
      <c r="F8" s="94"/>
    </row>
    <row r="9" spans="1:16" x14ac:dyDescent="0.15">
      <c r="E9" s="130" t="s">
        <v>68</v>
      </c>
      <c r="F9" s="130"/>
    </row>
    <row r="10" spans="1:16" ht="14" x14ac:dyDescent="0.15">
      <c r="B10" s="131" t="s">
        <v>69</v>
      </c>
      <c r="C10" s="131"/>
      <c r="D10" s="132" t="s">
        <v>30</v>
      </c>
      <c r="E10" s="132">
        <f>DATE(YEAR(D35)+1,MONTH(D35),DAY(D35))</f>
      </c>
      <c r="F10" s="132">
        <f>DATE(YEAR(E10)+1,MONTH(E10),DAY(E10))</f>
      </c>
    </row>
    <row r="11" spans="1:16" x14ac:dyDescent="0.15">
      <c r="C11" s="92" t="s">
        <v>51</v>
      </c>
      <c r="D11" s="92">
        <f>F62</f>
      </c>
      <c r="E11" s="92">
        <f t="shared" ref="E11:F14" si="0">L62</f>
      </c>
      <c r="F11" s="92">
        <f t="shared" si="0"/>
      </c>
    </row>
    <row r="12" spans="1:16" x14ac:dyDescent="0.15">
      <c r="C12" s="133" t="s">
        <v>25</v>
      </c>
      <c r="D12" s="92">
        <f>F63</f>
      </c>
      <c r="E12" s="92">
        <f t="shared" si="0"/>
      </c>
      <c r="F12" s="92">
        <f t="shared" si="0"/>
      </c>
    </row>
    <row r="13" spans="1:16" x14ac:dyDescent="0.15">
      <c r="C13" s="133" t="s">
        <v>26</v>
      </c>
      <c r="D13" s="92">
        <f>F64</f>
      </c>
      <c r="E13" s="92">
        <f t="shared" si="0"/>
      </c>
      <c r="F13" s="92">
        <f t="shared" si="0"/>
      </c>
    </row>
    <row r="14" spans="1:16" x14ac:dyDescent="0.15">
      <c r="C14" s="133" t="str">
        <f>C65</f>
      </c>
      <c r="E14" s="129">
        <f t="shared" si="0"/>
      </c>
      <c r="F14" s="129">
        <f t="shared" si="0"/>
      </c>
    </row>
    <row r="16" spans="1:16" x14ac:dyDescent="0.15">
      <c r="E16" s="130" t="s">
        <v>68</v>
      </c>
      <c r="F16" s="130"/>
    </row>
    <row r="17" spans="1:11" ht="14" x14ac:dyDescent="0.15">
      <c r="B17" s="131" t="s">
        <v>70</v>
      </c>
      <c r="C17" s="134"/>
      <c r="D17" s="132" t="str">
        <f>D10</f>
      </c>
      <c r="E17" s="132">
        <f>E10</f>
      </c>
      <c r="F17" s="132">
        <f>F10</f>
      </c>
    </row>
    <row r="18" spans="1:11" x14ac:dyDescent="0.15">
      <c r="C18" s="92" t="s">
        <v>71</v>
      </c>
      <c r="D18" s="102">
        <f>EnterpriseValue/D11</f>
      </c>
      <c r="E18" s="102">
        <f>EnterpriseValue/E11</f>
      </c>
      <c r="F18" s="102">
        <f>EnterpriseValue/F11</f>
      </c>
    </row>
    <row r="19" spans="1:11" x14ac:dyDescent="0.15">
      <c r="C19" s="92" t="s">
        <v>72</v>
      </c>
      <c r="D19" s="92">
        <f>EnterpriseValue/D13</f>
      </c>
      <c r="E19" s="92">
        <f>EnterpriseValue/E13</f>
      </c>
      <c r="F19" s="92">
        <f>EnterpriseValue/F13</f>
      </c>
    </row>
    <row r="20" spans="1:11" x14ac:dyDescent="0.15">
      <c r="C20" s="92" t="s">
        <v>73</v>
      </c>
      <c r="D20" s="92">
        <f>EnterpriseValue/D12</f>
      </c>
      <c r="E20" s="92">
        <f>EnterpriseValue/E12</f>
      </c>
      <c r="F20" s="92">
        <f>EnterpriseValue/F12</f>
      </c>
    </row>
    <row r="21" spans="1:11" x14ac:dyDescent="0.15">
      <c r="C21" s="92" t="s">
        <v>20</v>
      </c>
      <c r="E21" s="92">
        <f>SharePrice/E14</f>
      </c>
      <c r="F21" s="92">
        <f>SharePrice/F14</f>
      </c>
    </row>
    <row r="22" spans="1:11" x14ac:dyDescent="0.15">
      <c r="C22" s="92" t="s">
        <v>53</v>
      </c>
      <c r="E22" s="92">
        <f>PE1F/$I$29/100</f>
      </c>
      <c r="F22" s="92">
        <f>PE1F/$I$29/100</f>
      </c>
    </row>
    <row r="24" spans="1:11" ht="18" x14ac:dyDescent="0.15">
      <c r="A24" s="184" t="s">
        <v>74</v>
      </c>
      <c r="B24" s="184"/>
      <c r="C24" s="185"/>
      <c r="D24" s="185"/>
      <c r="E24" s="185"/>
      <c r="F24" s="185"/>
      <c r="G24" s="185"/>
      <c r="H24" s="185"/>
      <c r="I24" s="185"/>
      <c r="J24" s="185"/>
      <c r="K24" s="185"/>
    </row>
    <row r="25" spans="1:11" ht="14" x14ac:dyDescent="0.15">
      <c r="A25" s="29"/>
      <c r="B25" s="128" t="s">
        <v>75</v>
      </c>
      <c r="F25" s="128" t="s">
        <v>76</v>
      </c>
    </row>
    <row r="26" spans="1:11" x14ac:dyDescent="0.15">
      <c r="C26" s="92" t="s">
        <v>77</v>
      </c>
      <c r="D26" s="30" t="s">
        <v>38</v>
      </c>
      <c r="F26" s="92" t="s">
        <v>78</v>
      </c>
      <c r="I26" s="136">
        <v>63.35</v>
      </c>
    </row>
    <row r="27" spans="1:11" x14ac:dyDescent="0.15">
      <c r="C27" s="92" t="s">
        <v>79</v>
      </c>
      <c r="D27" s="30" t="s">
        <v>265</v>
      </c>
      <c r="F27" s="92" t="s">
        <v>81</v>
      </c>
      <c r="I27" s="136">
        <v>74.28</v>
      </c>
    </row>
    <row r="28" spans="1:11" x14ac:dyDescent="0.15">
      <c r="C28" s="92" t="s">
        <v>82</v>
      </c>
      <c r="D28" s="31">
        <v>43202</v>
      </c>
      <c r="F28" s="92" t="s">
        <v>83</v>
      </c>
      <c r="I28" s="136">
        <v>58.76</v>
      </c>
    </row>
    <row r="29" spans="1:11" x14ac:dyDescent="0.15">
      <c r="C29" s="92" t="s">
        <v>11</v>
      </c>
      <c r="D29" s="30" t="s">
        <v>12</v>
      </c>
      <c r="F29" s="92" t="s">
        <v>84</v>
      </c>
      <c r="I29" s="59">
        <f>14.26/1.87/100</f>
      </c>
    </row>
    <row r="30" spans="1:11" x14ac:dyDescent="0.15">
      <c r="C30" s="92" t="s">
        <v>85</v>
      </c>
      <c r="D30" s="34">
        <v>1</v>
      </c>
      <c r="F30" s="92" t="s">
        <v>86</v>
      </c>
      <c r="I30" s="32">
        <v>3.4099999999999998E-2</v>
      </c>
    </row>
    <row r="31" spans="1:11" x14ac:dyDescent="0.15">
      <c r="C31" s="92" t="s">
        <v>87</v>
      </c>
      <c r="D31" s="31">
        <v>43100</v>
      </c>
      <c r="F31" s="92" t="s">
        <v>88</v>
      </c>
      <c r="I31" s="30" t="s">
        <v>89</v>
      </c>
      <c r="J31" s="33"/>
    </row>
    <row r="32" spans="1:11" x14ac:dyDescent="0.15">
      <c r="C32" s="92" t="s">
        <v>90</v>
      </c>
      <c r="D32" s="31">
        <v>43100</v>
      </c>
      <c r="F32" s="92" t="s">
        <v>91</v>
      </c>
      <c r="I32" s="35">
        <v>345.74874899999998</v>
      </c>
    </row>
    <row r="33" spans="2:11" ht="12.75" customHeight="1" x14ac:dyDescent="0.15">
      <c r="C33" s="92" t="s">
        <v>92</v>
      </c>
      <c r="D33" s="30" t="s">
        <v>265</v>
      </c>
      <c r="F33" s="92" t="s">
        <v>94</v>
      </c>
      <c r="I33" s="139">
        <f>K46</f>
      </c>
    </row>
    <row r="34" spans="2:11" ht="12.75" customHeight="1" x14ac:dyDescent="0.2">
      <c r="C34" s="92" t="s">
        <v>95</v>
      </c>
      <c r="D34" s="36"/>
      <c r="E34" s="28"/>
      <c r="F34" s="92" t="s">
        <v>96</v>
      </c>
      <c r="I34" s="92">
        <f>I32+I33</f>
      </c>
    </row>
    <row r="35" spans="2:11" ht="12.75" customHeight="1" x14ac:dyDescent="0.2">
      <c r="C35" s="92" t="s">
        <v>97</v>
      </c>
      <c r="D35" s="31">
        <v>43100</v>
      </c>
      <c r="E35" s="28"/>
    </row>
    <row r="36" spans="2:11" ht="12.75" customHeight="1" x14ac:dyDescent="0.2">
      <c r="C36" s="92" t="s">
        <v>98</v>
      </c>
      <c r="D36" s="30" t="s">
        <v>99</v>
      </c>
      <c r="E36" s="28"/>
    </row>
    <row r="37" spans="2:11" ht="12.75" customHeight="1" x14ac:dyDescent="0.2">
      <c r="C37" s="92" t="s">
        <v>100</v>
      </c>
      <c r="D37" s="31">
        <v>43202</v>
      </c>
      <c r="E37" s="28"/>
    </row>
    <row r="38" spans="2:11" ht="12.75" customHeight="1" x14ac:dyDescent="0.2">
      <c r="E38" s="28"/>
    </row>
    <row r="39" spans="2:11" ht="14" x14ac:dyDescent="0.15">
      <c r="B39" s="128" t="s">
        <v>101</v>
      </c>
      <c r="F39" s="128" t="s">
        <v>102</v>
      </c>
      <c r="I39" s="140">
        <f>YEAR($D$31)</f>
      </c>
      <c r="J39" s="140">
        <f>YEAR($D$31)</f>
      </c>
    </row>
    <row r="40" spans="2:11" s="39" customFormat="1" x14ac:dyDescent="0.15">
      <c r="B40" s="29"/>
      <c r="C40" s="37" t="s">
        <v>103</v>
      </c>
      <c r="D40" s="38">
        <f>I34*I26</f>
      </c>
      <c r="F40" s="92"/>
      <c r="G40" s="92"/>
      <c r="H40" s="92"/>
      <c r="I40" s="106" t="s">
        <v>104</v>
      </c>
      <c r="J40" s="106" t="s">
        <v>105</v>
      </c>
      <c r="K40" s="106" t="s">
        <v>106</v>
      </c>
    </row>
    <row r="41" spans="2:11" s="39" customFormat="1" x14ac:dyDescent="0.15">
      <c r="B41" s="29"/>
      <c r="C41" s="92" t="str">
        <f>F52</f>
      </c>
      <c r="D41" s="30">
        <f>I52+(8300-7800)</f>
      </c>
      <c r="E41" s="75"/>
      <c r="F41" s="2" t="s">
        <v>107</v>
      </c>
      <c r="G41" s="92"/>
      <c r="H41" s="92"/>
      <c r="I41" s="40">
        <v>14</v>
      </c>
      <c r="J41" s="136">
        <v>64</v>
      </c>
      <c r="K41" s="139">
        <f>MAX(($I$26-J41)/$I$26*I41,0)</f>
      </c>
    </row>
    <row r="42" spans="2:11" s="39" customFormat="1" x14ac:dyDescent="0.15">
      <c r="B42" s="29"/>
      <c r="C42" s="92" t="s">
        <v>108</v>
      </c>
      <c r="D42" s="141">
        <f>SUM(D52:D53)</f>
      </c>
      <c r="F42" s="2" t="s">
        <v>266</v>
      </c>
      <c r="G42" s="92"/>
      <c r="H42" s="92"/>
      <c r="I42" s="40">
        <f>0.126+0.133+0.145</f>
      </c>
      <c r="J42" s="136">
        <v>0</v>
      </c>
      <c r="K42" s="139">
        <f>MAX(($I$26-J42)/$I$26*I42,0)</f>
      </c>
    </row>
    <row r="43" spans="2:11" s="39" customFormat="1" x14ac:dyDescent="0.15">
      <c r="B43" s="29"/>
      <c r="C43" s="37" t="s">
        <v>110</v>
      </c>
      <c r="D43" s="38">
        <f>D41-D42</f>
      </c>
      <c r="F43" s="2" t="s">
        <v>267</v>
      </c>
      <c r="G43" s="92"/>
      <c r="H43" s="92"/>
      <c r="I43" s="40">
        <v>1.673</v>
      </c>
      <c r="J43" s="136">
        <v>0</v>
      </c>
      <c r="K43" s="139">
        <f>MAX(($I$26-J43)/$I$26*I43,0)</f>
      </c>
    </row>
    <row r="44" spans="2:11" s="39" customFormat="1" x14ac:dyDescent="0.15">
      <c r="B44" s="29"/>
      <c r="C44" s="92" t="str">
        <f>F53</f>
      </c>
      <c r="D44" s="141">
        <f>I53</f>
      </c>
      <c r="F44" s="2" t="s">
        <v>112</v>
      </c>
      <c r="I44" s="40">
        <v>0</v>
      </c>
      <c r="J44" s="136">
        <v>0</v>
      </c>
      <c r="K44" s="139">
        <f>MAX(($I$26-J44)/$I$26*I44,0)</f>
      </c>
    </row>
    <row r="45" spans="2:11" s="39" customFormat="1" x14ac:dyDescent="0.15">
      <c r="B45" s="29"/>
      <c r="C45" s="92" t="str">
        <f>F56</f>
      </c>
      <c r="D45" s="141">
        <f>I56</f>
      </c>
      <c r="F45" s="2" t="s">
        <v>113</v>
      </c>
      <c r="I45" s="40">
        <v>0</v>
      </c>
      <c r="J45" s="136">
        <v>0</v>
      </c>
      <c r="K45" s="139">
        <f>MAX(($I$26-J45)/$I$26*I45,0)</f>
      </c>
    </row>
    <row r="46" spans="2:11" s="39" customFormat="1" x14ac:dyDescent="0.15">
      <c r="B46" s="29"/>
      <c r="C46" s="92" t="str">
        <f>F57</f>
      </c>
      <c r="D46" s="141">
        <f>I57</f>
      </c>
      <c r="F46" s="39" t="s">
        <v>94</v>
      </c>
      <c r="G46" s="92"/>
      <c r="H46" s="92"/>
      <c r="K46" s="39">
        <f>SUM(K41:K45)</f>
      </c>
    </row>
    <row r="47" spans="2:11" s="39" customFormat="1" x14ac:dyDescent="0.15">
      <c r="B47" s="29"/>
      <c r="C47" s="92" t="str">
        <f>C54</f>
      </c>
      <c r="D47" s="141">
        <f>D54</f>
      </c>
    </row>
    <row r="48" spans="2:11" s="39" customFormat="1" x14ac:dyDescent="0.15">
      <c r="B48" s="29"/>
      <c r="C48" s="92" t="str">
        <f>C55</f>
      </c>
      <c r="D48" s="141">
        <f>D55</f>
      </c>
      <c r="F48" s="92"/>
    </row>
    <row r="49" spans="2:14" x14ac:dyDescent="0.15">
      <c r="C49" s="37" t="s">
        <v>4</v>
      </c>
      <c r="D49" s="38">
        <f>D40+SUM(D43:D46)-SUM(D47:D48)</f>
      </c>
    </row>
    <row r="51" spans="2:14" ht="14" x14ac:dyDescent="0.15">
      <c r="B51" s="128" t="s">
        <v>114</v>
      </c>
      <c r="D51" s="140" t="str">
        <f>YEAR($D$32)&amp;" "&amp;+D33</f>
      </c>
      <c r="I51" s="140" t="str">
        <f>D51</f>
      </c>
    </row>
    <row r="52" spans="2:14" x14ac:dyDescent="0.15">
      <c r="C52" s="92" t="s">
        <v>115</v>
      </c>
      <c r="D52" s="30">
        <f>Company1507_data!G121</f>
      </c>
      <c r="E52" s="75"/>
      <c r="F52" s="92" t="s">
        <v>116</v>
      </c>
      <c r="I52" s="30">
        <f>Company1507_data!G120</f>
      </c>
    </row>
    <row r="53" spans="2:14" x14ac:dyDescent="0.15">
      <c r="C53" s="92" t="s">
        <v>117</v>
      </c>
      <c r="D53" s="35">
        <v>0</v>
      </c>
      <c r="E53" s="75"/>
      <c r="F53" s="92" t="s">
        <v>118</v>
      </c>
      <c r="I53" s="30">
        <v>0</v>
      </c>
    </row>
    <row r="54" spans="2:14" x14ac:dyDescent="0.15">
      <c r="C54" s="92" t="s">
        <v>119</v>
      </c>
      <c r="D54" s="35">
        <v>429</v>
      </c>
      <c r="F54" s="92" t="s">
        <v>120</v>
      </c>
      <c r="I54" s="30">
        <f>16350-SUM(I52:I53,I55:I57)</f>
      </c>
    </row>
    <row r="55" spans="2:14" x14ac:dyDescent="0.15">
      <c r="C55" s="92" t="s">
        <v>121</v>
      </c>
      <c r="D55" s="35">
        <v>0</v>
      </c>
      <c r="F55" s="92" t="s">
        <v>122</v>
      </c>
      <c r="I55" s="30">
        <v>2212</v>
      </c>
    </row>
    <row r="56" spans="2:14" ht="14" x14ac:dyDescent="0.15">
      <c r="C56" s="92" t="s">
        <v>123</v>
      </c>
      <c r="D56" s="35">
        <f>16350-SUM(D52:D55)</f>
      </c>
      <c r="F56" s="92" t="s">
        <v>124</v>
      </c>
      <c r="I56" s="30">
        <v>0</v>
      </c>
      <c r="K56" s="143" t="s">
        <v>125</v>
      </c>
      <c r="L56" s="144"/>
      <c r="M56" s="144"/>
    </row>
    <row r="57" spans="2:14" x14ac:dyDescent="0.15">
      <c r="F57" s="92" t="s">
        <v>126</v>
      </c>
      <c r="I57" s="30">
        <v>16</v>
      </c>
      <c r="K57" s="145" t="s">
        <v>127</v>
      </c>
      <c r="L57" s="146">
        <f>D35-D31</f>
      </c>
      <c r="M57" s="147"/>
    </row>
    <row r="58" spans="2:14" x14ac:dyDescent="0.15">
      <c r="C58" s="37" t="s">
        <v>128</v>
      </c>
      <c r="D58" s="39">
        <f>SUM(D52:D56)</f>
      </c>
      <c r="F58" s="37" t="s">
        <v>129</v>
      </c>
      <c r="I58" s="39">
        <f>SUM(I52:I57)</f>
      </c>
      <c r="K58" s="148" t="s">
        <v>130</v>
      </c>
      <c r="L58" s="106" t="s">
        <v>131</v>
      </c>
      <c r="M58" s="149" t="s">
        <v>132</v>
      </c>
    </row>
    <row r="59" spans="2:14" x14ac:dyDescent="0.15">
      <c r="C59" s="42" t="s">
        <v>133</v>
      </c>
      <c r="D59" s="43" t="str">
        <f>IF(D58=I58,"OK",D58-I58)</f>
      </c>
      <c r="K59" s="150">
        <f>MAX(-L57/365,0)</f>
      </c>
      <c r="L59" s="151">
        <f>1-K59-M59</f>
      </c>
      <c r="M59" s="152">
        <f>MAX(L57/365,0)</f>
      </c>
    </row>
    <row r="60" spans="2:14" x14ac:dyDescent="0.15">
      <c r="I60" s="44"/>
      <c r="J60" s="44"/>
      <c r="N60" s="130"/>
    </row>
    <row r="61" spans="2:14" ht="14" x14ac:dyDescent="0.15">
      <c r="B61" s="128" t="s">
        <v>134</v>
      </c>
      <c r="D61" s="140">
        <f>YEAR($D$31)-1</f>
      </c>
      <c r="E61" s="140">
        <f>YEAR($D$31)</f>
      </c>
      <c r="F61" s="140" t="s">
        <v>30</v>
      </c>
      <c r="G61" s="140" t="str">
        <f>YEAR($D$31)+1 &amp; "E"</f>
      </c>
      <c r="H61" s="140" t="str">
        <f>YEAR($D$31)+2 &amp; "E"</f>
      </c>
      <c r="I61" s="140" t="str">
        <f>YEAR($D$31)+3 &amp; "E"</f>
      </c>
      <c r="K61" s="132">
        <f>D35</f>
      </c>
      <c r="L61" s="132">
        <f>DATE(YEAR(K61)+1,MONTH(K61),DAY(K61))</f>
      </c>
      <c r="M61" s="132">
        <f>DATE(YEAR(L61)+1,MONTH(L61),DAY(L61))</f>
      </c>
    </row>
    <row r="62" spans="2:14" x14ac:dyDescent="0.15">
      <c r="C62" s="92" t="s">
        <v>51</v>
      </c>
      <c r="D62" s="106">
        <f>VLOOKUP($C62,Company1507_data!Data,5,0)</f>
      </c>
      <c r="E62" s="106">
        <f>VLOOKUP($C62,Company1507_data!Data,6,0)</f>
      </c>
      <c r="F62" s="106">
        <f>VLOOKUP($C62,Company1507_data!Data,7,0)</f>
      </c>
      <c r="G62" s="106">
        <f>VLOOKUP($C62,Company1507_data!Data,10,0)</f>
      </c>
      <c r="H62" s="106">
        <f>VLOOKUP($C62,Company1507_data!Data,11,0)</f>
      </c>
      <c r="I62" s="106">
        <f>VLOOKUP($C62,Company1507_data!Data,12,0)</f>
      </c>
      <c r="K62" s="92">
        <f>D62*$K$59+E62*$L$59+G62*$M$59</f>
      </c>
      <c r="L62" s="92">
        <f>E62*$K$59+G62*$L$59+H62*$M$59</f>
      </c>
      <c r="M62" s="92">
        <f>G62*$K$59+H62*$L$59+I62*$M$59</f>
      </c>
    </row>
    <row r="63" spans="2:14" x14ac:dyDescent="0.15">
      <c r="C63" s="92" t="s">
        <v>25</v>
      </c>
      <c r="D63" s="106">
        <f>VLOOKUP($C63,Company1507_data!Data,5,0)</f>
      </c>
      <c r="E63" s="106">
        <f>VLOOKUP($C63,Company1507_data!Data,6,0)</f>
      </c>
      <c r="F63" s="106">
        <f>VLOOKUP($C63,Company1507_data!Data,7,0)</f>
      </c>
      <c r="G63" s="106">
        <f>VLOOKUP($C63,Company1507_data!Data,10,0)</f>
      </c>
      <c r="H63" s="106">
        <f>VLOOKUP($C63,Company1507_data!Data,11,0)</f>
      </c>
      <c r="I63" s="106">
        <f>VLOOKUP($C63,Company1507_data!Data,12,0)</f>
      </c>
      <c r="K63" s="92">
        <f>D63*$K$59+E63*$L$59+G63*$M$59</f>
      </c>
      <c r="L63" s="92">
        <f>E63*$K$59+G63*$L$59+H63*$M$59</f>
      </c>
      <c r="M63" s="92">
        <f>G63*$K$59+H63*$L$59+I63*$M$59</f>
      </c>
    </row>
    <row r="64" spans="2:14" x14ac:dyDescent="0.15">
      <c r="C64" s="92" t="s">
        <v>26</v>
      </c>
      <c r="D64" s="106">
        <f>VLOOKUP($C64,Company1507_data!Data,5,0)</f>
      </c>
      <c r="E64" s="106">
        <f>VLOOKUP($C64,Company1507_data!Data,6,0)</f>
      </c>
      <c r="F64" s="106">
        <f>VLOOKUP($C64,Company1507_data!Data,7,0)</f>
      </c>
      <c r="G64" s="106">
        <f>VLOOKUP($C64,Company1507_data!Data,10,0)</f>
      </c>
      <c r="H64" s="106">
        <f>VLOOKUP($C64,Company1507_data!Data,11,0)</f>
      </c>
      <c r="I64" s="106">
        <f>VLOOKUP($C64,Company1507_data!Data,12,0)</f>
      </c>
      <c r="K64" s="92">
        <f>D64*$K$59+E64*$L$59+G64*$M$59</f>
      </c>
      <c r="L64" s="92">
        <f>E64*$K$59+G64*$L$59+H64*$M$59</f>
      </c>
      <c r="M64" s="92">
        <f>G64*$K$59+H64*$L$59+I64*$M$59</f>
      </c>
    </row>
    <row r="65" spans="1:13" x14ac:dyDescent="0.15">
      <c r="C65" s="92" t="s">
        <v>136</v>
      </c>
      <c r="D65" s="129">
        <f>VLOOKUP($C65,Company1507_data!Data,5,0)</f>
      </c>
      <c r="E65" s="129">
        <f>VLOOKUP($C65,Company1507_data!Data,6,0)</f>
      </c>
      <c r="F65" s="129"/>
      <c r="G65" s="129">
        <f>VLOOKUP($C65,Company1507_data!Data,10,0)</f>
      </c>
      <c r="H65" s="129">
        <f>VLOOKUP($C65,Company1507_data!Data,11,0)</f>
      </c>
      <c r="I65" s="129">
        <f>VLOOKUP($C65,Company1507_data!Data,12,0)</f>
      </c>
      <c r="J65" s="186"/>
      <c r="K65" s="186">
        <f>D65*$K$59+E65*$L$59+G65*$M$59</f>
      </c>
      <c r="L65" s="186">
        <f>E65*$K$59+G65*$L$59+H65*$M$59</f>
      </c>
      <c r="M65" s="186">
        <f>G65*$K$59+H65*$L$59+I65*$M$59</f>
      </c>
    </row>
    <row r="66" spans="1:13" x14ac:dyDescent="0.15">
      <c r="C66" s="45"/>
      <c r="D66" s="46"/>
      <c r="E66" s="46"/>
      <c r="F66" s="46"/>
      <c r="G66" s="46"/>
      <c r="I66" s="47"/>
      <c r="J66" s="47"/>
      <c r="K66" s="47"/>
    </row>
    <row r="67" spans="1:13" x14ac:dyDescent="0.15">
      <c r="H67" s="29"/>
    </row>
    <row r="68" spans="1:13" x14ac:dyDescent="0.15">
      <c r="H68" s="69"/>
    </row>
    <row r="69" spans="1:13" x14ac:dyDescent="0.15">
      <c r="H69" s="133"/>
    </row>
    <row r="70" spans="1:13" x14ac:dyDescent="0.15">
      <c r="H70" s="133"/>
    </row>
    <row r="72" spans="1:13" ht="12.75" customHeight="1" x14ac:dyDescent="0.2">
      <c r="A72" s="28"/>
    </row>
    <row r="73" spans="1:13" ht="12.75" customHeight="1" x14ac:dyDescent="0.2">
      <c r="A73" s="28"/>
    </row>
    <row r="74" spans="1:13" ht="12.75" customHeight="1" x14ac:dyDescent="0.2">
      <c r="A74" s="28"/>
    </row>
    <row r="75" spans="1:13" ht="12.75" customHeight="1" x14ac:dyDescent="0.2">
      <c r="A75" s="28"/>
    </row>
    <row r="76" spans="1:13" ht="16" x14ac:dyDescent="0.2">
      <c r="A76" s="28"/>
    </row>
    <row r="77" spans="1:13" ht="16" x14ac:dyDescent="0.2">
      <c r="A77" s="28"/>
    </row>
    <row r="78" spans="1:13" ht="16" x14ac:dyDescent="0.2">
      <c r="A78" s="28"/>
    </row>
    <row r="79" spans="1:13" ht="16" x14ac:dyDescent="0.2">
      <c r="A79" s="28"/>
    </row>
    <row r="80" spans="1:13" ht="16" x14ac:dyDescent="0.2">
      <c r="A80" s="28"/>
    </row>
    <row r="81" spans="1:1" ht="16" x14ac:dyDescent="0.2">
      <c r="A81" s="28"/>
    </row>
    <row r="82" spans="1:1" ht="16" x14ac:dyDescent="0.2">
      <c r="A82" s="28"/>
    </row>
    <row r="83" spans="1:1" ht="16" x14ac:dyDescent="0.2">
      <c r="A83" s="28"/>
    </row>
    <row r="101" collapsed="1" x14ac:dyDescent="0.15"/>
  </sheetData>
  <dataValidations count="7">
    <dataValidation type="list" allowBlank="1" showInputMessage="1" showErrorMessage="1" prompt="Input 1, 2 or 3 to indicate which quarter data has been spread. Leave blank if annual data." sqref="D34" xr:uid="{00000000-0002-0000-0600-000000000000}">
      <formula1>"1,2,3,,"</formula1>
    </dataValidation>
    <dataValidation type="list" allowBlank="1" showInputMessage="1" showErrorMessage="1" sqref="D33" xr:uid="{00000000-0002-0000-0600-000001000000}">
      <formula1>"Ticker0019,Q,Annual,Interim"</formula1>
    </dataValidation>
    <dataValidation allowBlank="1" showInputMessage="1" showErrorMessage="1" prompt="The standard currency is the currency in which you would like the analysis presented. For example, it may be target company's home currency." sqref="D30" xr:uid="{00000000-0002-0000-0600-000002000000}"/>
    <dataValidation allowBlank="1" showInputMessage="1" showErrorMessage="1" prompt="Include short-term liquid financial assets such as marketable securities, short-term investments, etc." sqref="D53" xr:uid="{00000000-0002-0000-0600-000003000000}"/>
    <dataValidation allowBlank="1" showInputMessage="1" showErrorMessage="1" prompt="Often labeled as cash and cash equivalents on balance sheet" sqref="D52" xr:uid="{00000000-0002-0000-0600-000004000000}"/>
    <dataValidation allowBlank="1" showInputMessage="1" showErrorMessage="1" prompt="Include all assets that are operating in nature e.g. inventories, accounts receivable, PP&amp;E etc" sqref="D56" xr:uid="{00000000-0002-0000-0600-000005000000}"/>
    <dataValidation allowBlank="1" showInputMessage="1" showErrorMessage="1" prompt="Exclude preferred stock and NCI" sqref="I55" xr:uid="{00000000-0002-0000-0600-000006000000}"/>
  </dataValidations>
  <printOptions headings="1" gridLines="1"/>
  <pageMargins left="0.74803149606299213" right="0.74803149606299213" top="0.98425196850393704" bottom="0.98425196850393704" header="0.51181102362204722" footer="0.51181102362204722"/>
  <pageSetup orientation="landscape" r:id="rId1"/>
  <headerFooter alignWithMargins="0">
    <oddHeader>&amp;L&amp;8&amp;F &amp;A</oddHeader>
    <oddFooter>&amp;R&amp;8Page &amp;P of &amp;N</oddFooter>
  </headerFooter>
  <rowBreaks count="1" manualBreakCount="1">
    <brk id="22"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39"/>
    <pageSetUpPr autoPageBreaks="0"/>
  </sheetPr>
  <dimension ref="A1:X138"/>
  <sheetViews>
    <sheetView showGridLines="0" zoomScaleNormal="100" workbookViewId="0"/>
  </sheetViews>
  <sheetFormatPr baseColWidth="10" defaultColWidth="9.1640625" defaultRowHeight="13" x14ac:dyDescent="0.15"/>
  <cols>
    <col min="1" max="1" width="2.5" style="92" customWidth="1"/>
    <col min="2" max="2" width="48.5" style="92" customWidth="1"/>
    <col min="3" max="13" width="10.5" style="92" customWidth="1"/>
    <col min="14" max="14" width="12.5" style="92" bestFit="1" customWidth="1"/>
    <col min="15" max="15" width="12" style="92" bestFit="1" customWidth="1"/>
    <col min="16" max="16384" width="9.1640625" style="92"/>
  </cols>
  <sheetData>
    <row r="1" spans="1:19" s="123" customFormat="1" ht="18" x14ac:dyDescent="0.2">
      <c r="A1" s="85" t="s">
        <v>268</v>
      </c>
      <c r="B1" s="121"/>
      <c r="C1" s="122"/>
      <c r="D1" s="122"/>
      <c r="E1" s="122"/>
      <c r="F1" s="122"/>
      <c r="G1" s="122"/>
      <c r="H1" s="122"/>
      <c r="I1" s="122"/>
      <c r="J1" s="122"/>
      <c r="K1" s="122"/>
      <c r="L1" s="122"/>
      <c r="M1" s="122"/>
      <c r="N1" s="122"/>
      <c r="O1" s="122"/>
      <c r="P1" s="122"/>
    </row>
    <row r="2" spans="1:19" s="175" customFormat="1" ht="15" customHeight="1" x14ac:dyDescent="0.15">
      <c r="A2" s="176"/>
      <c r="B2" s="171"/>
      <c r="C2" s="172" t="s">
        <v>142</v>
      </c>
      <c r="D2" s="172" t="s">
        <v>142</v>
      </c>
      <c r="E2" s="172" t="s">
        <v>142</v>
      </c>
      <c r="F2" s="172" t="s">
        <v>142</v>
      </c>
      <c r="G2" s="172" t="s">
        <v>142</v>
      </c>
      <c r="H2" s="172"/>
      <c r="I2" s="172" t="s">
        <v>143</v>
      </c>
      <c r="J2" s="172" t="s">
        <v>143</v>
      </c>
      <c r="K2" s="172" t="s">
        <v>144</v>
      </c>
      <c r="L2" s="172" t="s">
        <v>144</v>
      </c>
      <c r="M2" s="172" t="s">
        <v>144</v>
      </c>
      <c r="N2" s="173"/>
      <c r="O2" s="173"/>
      <c r="P2" s="173"/>
      <c r="Q2" s="173"/>
      <c r="R2" s="174"/>
      <c r="S2" s="174"/>
    </row>
    <row r="3" spans="1:19" s="87" customFormat="1" ht="19" thickBot="1" x14ac:dyDescent="0.25">
      <c r="A3" s="88" t="s">
        <v>145</v>
      </c>
      <c r="B3" s="124"/>
      <c r="C3" s="125">
        <f>EDATE(D3,-12)</f>
      </c>
      <c r="D3" s="125">
        <f>EDATE(E3,-12)</f>
      </c>
      <c r="E3" s="125">
        <f>EDATE(F3,-12)</f>
      </c>
      <c r="F3" s="125">
        <f>EDATE(G3,-12)</f>
      </c>
      <c r="G3" s="125">
        <f>Company1507!D31</f>
      </c>
      <c r="H3" s="125" t="s">
        <v>30</v>
      </c>
      <c r="I3" s="125" t="s">
        <v>146</v>
      </c>
      <c r="J3" s="125" t="s">
        <v>147</v>
      </c>
      <c r="K3" s="125">
        <f>EDATE(G3,12)</f>
      </c>
      <c r="L3" s="125">
        <f>EDATE(K3,12)</f>
      </c>
      <c r="M3" s="125">
        <f>EDATE(L3,12)</f>
      </c>
      <c r="N3" s="125"/>
      <c r="O3" s="125"/>
      <c r="P3" s="125"/>
    </row>
    <row r="4" spans="1:19" ht="14" thickTop="1" x14ac:dyDescent="0.15"/>
    <row r="5" spans="1:19" ht="14" x14ac:dyDescent="0.15">
      <c r="A5" s="93" t="s">
        <v>148</v>
      </c>
      <c r="B5" s="1"/>
      <c r="C5" s="1"/>
      <c r="D5" s="1"/>
      <c r="E5" s="48"/>
      <c r="F5" s="48"/>
      <c r="G5" s="48"/>
      <c r="H5" s="48"/>
      <c r="I5" s="48"/>
      <c r="J5" s="48"/>
      <c r="K5" s="48"/>
      <c r="L5" s="48"/>
      <c r="M5" s="48"/>
    </row>
    <row r="6" spans="1:19" x14ac:dyDescent="0.15">
      <c r="B6" s="92" t="s">
        <v>51</v>
      </c>
      <c r="C6" s="92">
        <f>C27</f>
      </c>
      <c r="D6" s="92">
        <f>D27</f>
      </c>
      <c r="E6" s="92">
        <f>E27</f>
      </c>
      <c r="F6" s="92">
        <f>F27</f>
      </c>
      <c r="G6" s="92">
        <f>G27</f>
      </c>
      <c r="H6" s="92">
        <f>G6-I6+J6</f>
      </c>
      <c r="I6" s="92">
        <f>I27</f>
      </c>
      <c r="J6" s="92">
        <f>J27</f>
      </c>
      <c r="K6" s="35">
        <v>13025.5</v>
      </c>
      <c r="L6" s="35">
        <v>13131</v>
      </c>
      <c r="M6" s="35">
        <v>13441</v>
      </c>
      <c r="N6" s="75"/>
    </row>
    <row r="7" spans="1:19" x14ac:dyDescent="0.15">
      <c r="B7" s="92" t="s">
        <v>25</v>
      </c>
      <c r="F7" s="92">
        <f>F52</f>
      </c>
      <c r="G7" s="92">
        <f>G52</f>
      </c>
      <c r="H7" s="92">
        <f>G7-I7+J7</f>
      </c>
      <c r="I7" s="92">
        <f>I52</f>
      </c>
      <c r="J7" s="92">
        <f>J52</f>
      </c>
      <c r="K7" s="161">
        <v>2699.7</v>
      </c>
      <c r="L7" s="161">
        <v>2769.8</v>
      </c>
      <c r="M7" s="161">
        <v>2842.81</v>
      </c>
      <c r="N7" s="75"/>
    </row>
    <row r="8" spans="1:19" x14ac:dyDescent="0.15">
      <c r="B8" s="92" t="s">
        <v>26</v>
      </c>
      <c r="F8" s="92">
        <f>F46</f>
      </c>
      <c r="G8" s="92">
        <f>G46</f>
      </c>
      <c r="H8" s="92">
        <f>G8-I8+J8</f>
      </c>
      <c r="I8" s="92">
        <f>I46</f>
      </c>
      <c r="J8" s="92">
        <f>J46</f>
      </c>
      <c r="K8" s="161">
        <v>2020.4</v>
      </c>
      <c r="L8" s="161">
        <v>2108.0500000000002</v>
      </c>
      <c r="M8" s="161">
        <v>2182.1799999999998</v>
      </c>
      <c r="N8" s="75"/>
    </row>
    <row r="9" spans="1:19" x14ac:dyDescent="0.15">
      <c r="B9" s="92" t="s">
        <v>136</v>
      </c>
      <c r="E9" s="102"/>
      <c r="F9" s="102">
        <f>F85</f>
      </c>
      <c r="G9" s="102">
        <f>G85</f>
      </c>
      <c r="H9" s="49"/>
      <c r="I9" s="49"/>
      <c r="J9" s="49"/>
      <c r="K9" s="187">
        <v>4.45</v>
      </c>
      <c r="L9" s="187">
        <v>4.7300000000000004</v>
      </c>
      <c r="M9" s="187">
        <v>4.91</v>
      </c>
      <c r="N9" s="75"/>
    </row>
    <row r="10" spans="1:19" x14ac:dyDescent="0.15">
      <c r="N10" s="130" t="s">
        <v>59</v>
      </c>
      <c r="O10" s="130" t="s">
        <v>59</v>
      </c>
    </row>
    <row r="11" spans="1:19" ht="14" x14ac:dyDescent="0.15">
      <c r="A11" s="158" t="s">
        <v>149</v>
      </c>
      <c r="N11" s="159" t="str">
        <f>TEXT(YEAR(C3),"0000")&amp;" - "&amp;TEXT(YEAR(G3),"0000")</f>
      </c>
      <c r="O11" s="159" t="str">
        <f>TEXT(YEAR(G3),"0000")&amp;" - "&amp;TEXT(YEAR(M3),"0000")</f>
      </c>
    </row>
    <row r="12" spans="1:19" x14ac:dyDescent="0.15">
      <c r="A12" s="39"/>
      <c r="B12" s="92" t="s">
        <v>150</v>
      </c>
      <c r="D12" s="160">
        <f>D28</f>
      </c>
      <c r="E12" s="160">
        <f>E28</f>
      </c>
      <c r="F12" s="160">
        <f>F28</f>
      </c>
      <c r="G12" s="160">
        <f>G28</f>
      </c>
      <c r="K12" s="160">
        <f>K6/G6-1</f>
      </c>
      <c r="L12" s="160">
        <f>L6/K6-1</f>
      </c>
      <c r="M12" s="160">
        <f>M6/L6-1</f>
      </c>
      <c r="N12" s="160">
        <f>(G6/C6)^(1/4)-1</f>
      </c>
      <c r="O12" s="160">
        <f>(M6/G6)^(1/3)-1</f>
      </c>
    </row>
    <row r="13" spans="1:19" x14ac:dyDescent="0.15">
      <c r="A13" s="39"/>
      <c r="B13" s="92" t="str">
        <f>B32</f>
      </c>
      <c r="D13" s="160"/>
      <c r="E13" s="160"/>
      <c r="F13" s="160">
        <f>F32</f>
      </c>
      <c r="G13" s="160">
        <f>G32</f>
      </c>
      <c r="I13" s="160"/>
    </row>
    <row r="14" spans="1:19" x14ac:dyDescent="0.15">
      <c r="B14" s="92" t="s">
        <v>151</v>
      </c>
      <c r="F14" s="160">
        <f t="shared" ref="F14:M14" si="0">F7/F6</f>
      </c>
      <c r="G14" s="160">
        <f t="shared" si="0"/>
      </c>
      <c r="H14" s="160">
        <f t="shared" si="0"/>
      </c>
      <c r="I14" s="160" t="e">
        <f t="shared" si="0"/>
      </c>
      <c r="J14" s="160" t="e">
        <f t="shared" si="0"/>
      </c>
      <c r="K14" s="160">
        <f t="shared" si="0"/>
      </c>
      <c r="L14" s="160">
        <f t="shared" si="0"/>
      </c>
      <c r="M14" s="160">
        <f t="shared" si="0"/>
      </c>
    </row>
    <row r="15" spans="1:19" x14ac:dyDescent="0.15">
      <c r="A15" s="39"/>
      <c r="B15" s="92" t="s">
        <v>152</v>
      </c>
      <c r="F15" s="160">
        <f t="shared" ref="F15:M15" si="1">F8/F6</f>
      </c>
      <c r="G15" s="54">
        <f t="shared" si="1"/>
      </c>
      <c r="H15" s="54">
        <f t="shared" si="1"/>
      </c>
      <c r="I15" s="54" t="e">
        <f t="shared" si="1"/>
      </c>
      <c r="J15" s="54" t="e">
        <f t="shared" si="1"/>
      </c>
      <c r="K15" s="54">
        <f t="shared" si="1"/>
      </c>
      <c r="L15" s="54">
        <f t="shared" si="1"/>
      </c>
      <c r="M15" s="54">
        <f t="shared" si="1"/>
      </c>
    </row>
    <row r="16" spans="1:19" x14ac:dyDescent="0.15">
      <c r="B16" s="92" t="s">
        <v>153</v>
      </c>
      <c r="F16" s="160">
        <f>F103</f>
      </c>
      <c r="G16" s="160">
        <f>G103</f>
      </c>
    </row>
    <row r="17" spans="1:17" x14ac:dyDescent="0.15">
      <c r="B17" s="92" t="s">
        <v>154</v>
      </c>
      <c r="F17" s="160">
        <f>F110</f>
      </c>
      <c r="G17" s="160">
        <f>G110</f>
      </c>
    </row>
    <row r="18" spans="1:17" x14ac:dyDescent="0.15">
      <c r="B18" s="92" t="s">
        <v>155</v>
      </c>
      <c r="F18" s="92">
        <f>F112</f>
      </c>
      <c r="G18" s="92">
        <f>G112</f>
      </c>
    </row>
    <row r="19" spans="1:17" x14ac:dyDescent="0.15">
      <c r="B19" s="92" t="s">
        <v>156</v>
      </c>
      <c r="F19" s="92">
        <f>F123</f>
      </c>
      <c r="G19" s="92">
        <f>G123</f>
      </c>
    </row>
    <row r="20" spans="1:17" x14ac:dyDescent="0.15">
      <c r="B20" s="92" t="s">
        <v>157</v>
      </c>
      <c r="F20" s="92">
        <f>F124</f>
      </c>
      <c r="G20" s="92">
        <f>G124</f>
      </c>
    </row>
    <row r="21" spans="1:17" x14ac:dyDescent="0.15">
      <c r="B21" s="92" t="s">
        <v>158</v>
      </c>
      <c r="F21" s="92">
        <f>F127</f>
      </c>
      <c r="G21" s="92">
        <f>G127</f>
      </c>
    </row>
    <row r="22" spans="1:17" x14ac:dyDescent="0.15">
      <c r="B22" s="92" t="str">
        <f>B129</f>
      </c>
      <c r="F22" s="160">
        <f>F129</f>
      </c>
      <c r="G22" s="160">
        <f>G129</f>
      </c>
    </row>
    <row r="23" spans="1:17" x14ac:dyDescent="0.15">
      <c r="B23" s="92" t="s">
        <v>62</v>
      </c>
      <c r="F23" s="160">
        <f>F138</f>
      </c>
      <c r="G23" s="160">
        <f>G138</f>
      </c>
    </row>
    <row r="24" spans="1:17" x14ac:dyDescent="0.15">
      <c r="B24" s="92" t="s">
        <v>63</v>
      </c>
      <c r="F24" s="160">
        <f>F132</f>
      </c>
      <c r="G24" s="160">
        <f>G132</f>
      </c>
    </row>
    <row r="26" spans="1:17" ht="14" x14ac:dyDescent="0.15">
      <c r="A26" s="93" t="s">
        <v>159</v>
      </c>
    </row>
    <row r="27" spans="1:17" x14ac:dyDescent="0.15">
      <c r="B27" s="92" t="s">
        <v>51</v>
      </c>
      <c r="C27" s="35">
        <v>14792</v>
      </c>
      <c r="D27" s="35">
        <v>14580</v>
      </c>
      <c r="E27" s="35">
        <v>13525</v>
      </c>
      <c r="F27" s="35">
        <f>13014-31</f>
      </c>
      <c r="G27" s="35">
        <f>12923-14</f>
      </c>
      <c r="H27" s="75"/>
      <c r="I27" s="35">
        <v>0</v>
      </c>
      <c r="J27" s="35">
        <v>0</v>
      </c>
      <c r="K27" s="2"/>
    </row>
    <row r="28" spans="1:17" s="1" customFormat="1" x14ac:dyDescent="0.15">
      <c r="A28" s="92"/>
      <c r="B28" s="92" t="s">
        <v>160</v>
      </c>
      <c r="C28" s="27"/>
      <c r="D28" s="27">
        <f>D27/C27-1</f>
      </c>
      <c r="E28" s="27">
        <f>E27/D27-1</f>
      </c>
      <c r="F28" s="27">
        <f>F27/E27-1</f>
      </c>
      <c r="G28" s="53">
        <f>G27/F27-1</f>
      </c>
      <c r="H28" s="92"/>
      <c r="I28" s="53" t="e">
        <f>I27/H27-1</f>
      </c>
      <c r="J28" s="53" t="e">
        <f>J27/I27-1</f>
      </c>
      <c r="K28" s="52"/>
      <c r="N28" s="92"/>
      <c r="O28" s="92"/>
      <c r="P28" s="92"/>
      <c r="Q28" s="92"/>
    </row>
    <row r="29" spans="1:17" x14ac:dyDescent="0.15">
      <c r="F29" s="27"/>
      <c r="G29" s="53"/>
      <c r="I29" s="53"/>
      <c r="J29" s="53"/>
      <c r="K29" s="54"/>
    </row>
    <row r="30" spans="1:17" x14ac:dyDescent="0.15">
      <c r="B30" s="92" t="s">
        <v>161</v>
      </c>
      <c r="F30" s="161">
        <f>8259-159-173-2+11-12</f>
      </c>
      <c r="G30" s="161">
        <f>7901+8-46-1-(14-6)</f>
      </c>
      <c r="H30" s="75"/>
      <c r="I30" s="161">
        <v>0</v>
      </c>
      <c r="J30" s="161">
        <v>0</v>
      </c>
    </row>
    <row r="31" spans="1:17" s="39" customFormat="1" x14ac:dyDescent="0.15">
      <c r="B31" s="39" t="s">
        <v>162</v>
      </c>
      <c r="F31" s="39">
        <f>F27-F30</f>
      </c>
      <c r="G31" s="39">
        <f>G27-G30</f>
      </c>
      <c r="I31" s="39">
        <f>I27-I30</f>
      </c>
      <c r="J31" s="39">
        <f>J27-J30</f>
      </c>
      <c r="K31" s="56"/>
    </row>
    <row r="32" spans="1:17" x14ac:dyDescent="0.15">
      <c r="B32" s="92" t="s">
        <v>163</v>
      </c>
      <c r="F32" s="27">
        <f>F31/F27</f>
      </c>
      <c r="G32" s="27">
        <f>G31/G27</f>
      </c>
      <c r="I32" s="27" t="e">
        <f>I31/I27</f>
      </c>
      <c r="J32" s="27" t="e">
        <f>J31/J27</f>
      </c>
      <c r="K32" s="54"/>
    </row>
    <row r="33" spans="1:17" x14ac:dyDescent="0.15">
      <c r="F33" s="27"/>
      <c r="G33" s="76"/>
      <c r="I33" s="53"/>
      <c r="J33" s="53"/>
      <c r="K33" s="54"/>
    </row>
    <row r="34" spans="1:17" x14ac:dyDescent="0.15">
      <c r="B34" s="92" t="s">
        <v>164</v>
      </c>
      <c r="C34" s="39"/>
      <c r="D34" s="39"/>
      <c r="F34" s="35">
        <v>1395</v>
      </c>
      <c r="G34" s="35">
        <v>1946</v>
      </c>
      <c r="I34" s="35">
        <v>0</v>
      </c>
      <c r="J34" s="35">
        <v>0</v>
      </c>
      <c r="K34" s="2"/>
    </row>
    <row r="35" spans="1:17" s="1" customFormat="1" x14ac:dyDescent="0.15">
      <c r="A35" s="92"/>
      <c r="B35" s="92" t="s">
        <v>165</v>
      </c>
      <c r="C35" s="92"/>
      <c r="D35" s="92"/>
      <c r="E35" s="92"/>
      <c r="F35" s="27">
        <f>F34/F27</f>
      </c>
      <c r="G35" s="53">
        <f>G34/G27</f>
      </c>
      <c r="H35" s="92"/>
      <c r="I35" s="53" t="e">
        <f>I34/I27</f>
      </c>
      <c r="J35" s="53" t="e">
        <f>J34/J27</f>
      </c>
      <c r="K35" s="52"/>
    </row>
    <row r="36" spans="1:17" x14ac:dyDescent="0.15">
      <c r="B36" s="2" t="s">
        <v>269</v>
      </c>
      <c r="C36" s="2"/>
      <c r="D36" s="2"/>
      <c r="F36" s="35">
        <v>261</v>
      </c>
      <c r="G36" s="35">
        <v>-45</v>
      </c>
      <c r="I36" s="35">
        <v>0</v>
      </c>
      <c r="J36" s="35">
        <v>0</v>
      </c>
    </row>
    <row r="37" spans="1:17" x14ac:dyDescent="0.15">
      <c r="B37" s="2" t="s">
        <v>270</v>
      </c>
      <c r="C37" s="2"/>
      <c r="D37" s="2"/>
      <c r="F37" s="35">
        <v>325</v>
      </c>
      <c r="G37" s="35">
        <v>263</v>
      </c>
      <c r="I37" s="35">
        <v>0</v>
      </c>
      <c r="J37" s="35">
        <v>0</v>
      </c>
    </row>
    <row r="38" spans="1:17" x14ac:dyDescent="0.15">
      <c r="B38" s="2" t="s">
        <v>271</v>
      </c>
      <c r="C38" s="2"/>
      <c r="D38" s="2"/>
      <c r="F38" s="35">
        <v>10</v>
      </c>
      <c r="G38" s="35">
        <v>5</v>
      </c>
      <c r="I38" s="35">
        <v>0</v>
      </c>
      <c r="J38" s="35">
        <v>0</v>
      </c>
      <c r="K38" s="2"/>
    </row>
    <row r="39" spans="1:17" x14ac:dyDescent="0.15">
      <c r="B39" s="2" t="s">
        <v>272</v>
      </c>
      <c r="C39" s="57"/>
      <c r="D39" s="57"/>
      <c r="F39" s="35">
        <f>13-9</f>
      </c>
      <c r="G39" s="35">
        <v>0</v>
      </c>
      <c r="I39" s="35">
        <v>0</v>
      </c>
      <c r="J39" s="35">
        <v>0</v>
      </c>
      <c r="K39" s="2"/>
    </row>
    <row r="40" spans="1:17" x14ac:dyDescent="0.15">
      <c r="B40" s="2" t="s">
        <v>252</v>
      </c>
      <c r="C40" s="57"/>
      <c r="D40" s="57"/>
      <c r="F40" s="35">
        <v>0</v>
      </c>
      <c r="G40" s="35">
        <v>0</v>
      </c>
      <c r="H40" s="75"/>
      <c r="I40" s="35">
        <v>0</v>
      </c>
      <c r="J40" s="35">
        <v>0</v>
      </c>
      <c r="K40" s="2"/>
    </row>
    <row r="41" spans="1:17" x14ac:dyDescent="0.15">
      <c r="B41" s="2" t="s">
        <v>171</v>
      </c>
      <c r="C41" s="57"/>
      <c r="D41" s="57"/>
      <c r="F41" s="35">
        <v>0</v>
      </c>
      <c r="G41" s="35">
        <v>0</v>
      </c>
      <c r="I41" s="35">
        <v>0</v>
      </c>
      <c r="J41" s="35">
        <v>0</v>
      </c>
      <c r="K41" s="2"/>
    </row>
    <row r="42" spans="1:17" x14ac:dyDescent="0.15">
      <c r="B42" s="2" t="s">
        <v>172</v>
      </c>
      <c r="C42" s="2"/>
      <c r="D42" s="2"/>
      <c r="F42" s="35">
        <v>0</v>
      </c>
      <c r="G42" s="35">
        <v>0</v>
      </c>
      <c r="I42" s="35">
        <v>0</v>
      </c>
      <c r="J42" s="35">
        <v>0</v>
      </c>
      <c r="K42" s="2"/>
    </row>
    <row r="43" spans="1:17" x14ac:dyDescent="0.15">
      <c r="B43" s="2" t="s">
        <v>173</v>
      </c>
      <c r="C43" s="2"/>
      <c r="D43" s="2"/>
      <c r="F43" s="35">
        <v>0</v>
      </c>
      <c r="G43" s="35">
        <v>0</v>
      </c>
      <c r="I43" s="35">
        <v>0</v>
      </c>
      <c r="J43" s="35">
        <v>0</v>
      </c>
      <c r="K43" s="2"/>
    </row>
    <row r="44" spans="1:17" x14ac:dyDescent="0.15">
      <c r="B44" s="2" t="s">
        <v>174</v>
      </c>
      <c r="C44" s="2"/>
      <c r="D44" s="2"/>
      <c r="F44" s="35">
        <v>0</v>
      </c>
      <c r="G44" s="35">
        <v>0</v>
      </c>
      <c r="I44" s="35">
        <v>0</v>
      </c>
      <c r="J44" s="35">
        <v>0</v>
      </c>
      <c r="K44" s="2"/>
    </row>
    <row r="45" spans="1:17" x14ac:dyDescent="0.15">
      <c r="B45" s="2" t="s">
        <v>175</v>
      </c>
      <c r="C45" s="2"/>
      <c r="D45" s="2"/>
      <c r="F45" s="35">
        <v>0</v>
      </c>
      <c r="G45" s="35">
        <v>0</v>
      </c>
      <c r="I45" s="35">
        <v>0</v>
      </c>
      <c r="J45" s="35">
        <v>0</v>
      </c>
      <c r="K45" s="2"/>
    </row>
    <row r="46" spans="1:17" s="39" customFormat="1" x14ac:dyDescent="0.15">
      <c r="B46" s="39" t="s">
        <v>26</v>
      </c>
      <c r="F46" s="39">
        <f>F34+SUM(F36:F45)</f>
      </c>
      <c r="G46" s="39">
        <f>G34+SUM(G36:G45)</f>
      </c>
      <c r="I46" s="39">
        <f>I34+SUM(I36:I45)</f>
      </c>
      <c r="J46" s="39">
        <f>J34+SUM(J36:J45)</f>
      </c>
    </row>
    <row r="47" spans="1:17" s="1" customFormat="1" x14ac:dyDescent="0.15">
      <c r="B47" s="92" t="s">
        <v>152</v>
      </c>
      <c r="C47" s="92"/>
      <c r="D47" s="92"/>
      <c r="E47" s="92"/>
      <c r="F47" s="27">
        <f>F46/F27</f>
      </c>
      <c r="G47" s="53">
        <f>G46/G27</f>
      </c>
      <c r="H47" s="92"/>
      <c r="I47" s="53" t="e">
        <f>I46/I27</f>
      </c>
      <c r="J47" s="53" t="e">
        <f>J46/J27</f>
      </c>
      <c r="K47" s="52"/>
      <c r="L47" s="92"/>
      <c r="N47" s="92"/>
      <c r="O47" s="92"/>
      <c r="P47" s="92"/>
      <c r="Q47" s="92"/>
    </row>
    <row r="48" spans="1:17" x14ac:dyDescent="0.15">
      <c r="F48" s="27"/>
      <c r="G48" s="53"/>
      <c r="I48" s="53"/>
      <c r="J48" s="53"/>
      <c r="K48" s="54"/>
    </row>
    <row r="49" spans="2:24" x14ac:dyDescent="0.15">
      <c r="B49" s="92" t="s">
        <v>176</v>
      </c>
      <c r="F49" s="35">
        <f>510-46-50</f>
      </c>
      <c r="G49" s="35">
        <f>469-77</f>
      </c>
      <c r="H49" s="75"/>
      <c r="I49" s="35">
        <v>0</v>
      </c>
      <c r="J49" s="35">
        <v>0</v>
      </c>
      <c r="K49" s="2"/>
    </row>
    <row r="50" spans="2:24" x14ac:dyDescent="0.15">
      <c r="B50" s="92" t="s">
        <v>177</v>
      </c>
      <c r="F50" s="35">
        <v>7</v>
      </c>
      <c r="G50" s="35">
        <v>12</v>
      </c>
      <c r="I50" s="35">
        <v>0</v>
      </c>
      <c r="J50" s="35">
        <v>0</v>
      </c>
      <c r="K50" s="2"/>
    </row>
    <row r="51" spans="2:24" x14ac:dyDescent="0.15">
      <c r="B51" s="92" t="s">
        <v>178</v>
      </c>
      <c r="F51" s="92">
        <f>SUM(F49:F50)</f>
      </c>
      <c r="G51" s="92">
        <f>SUM(G49:G50)</f>
      </c>
      <c r="H51" s="75"/>
      <c r="I51" s="92">
        <f>SUM(I49:I50)</f>
      </c>
      <c r="J51" s="92">
        <f>SUM(J49:J50)</f>
      </c>
    </row>
    <row r="52" spans="2:24" s="39" customFormat="1" x14ac:dyDescent="0.15">
      <c r="B52" s="39" t="s">
        <v>25</v>
      </c>
      <c r="F52" s="39">
        <f>F46+F51</f>
      </c>
      <c r="G52" s="39">
        <f>G46+G51</f>
      </c>
      <c r="I52" s="39">
        <f>I46+I51</f>
      </c>
      <c r="J52" s="39">
        <f>J46+J51</f>
      </c>
    </row>
    <row r="53" spans="2:24" s="1" customFormat="1" x14ac:dyDescent="0.15">
      <c r="B53" s="92" t="s">
        <v>151</v>
      </c>
      <c r="C53" s="92"/>
      <c r="D53" s="92"/>
      <c r="E53" s="92"/>
      <c r="F53" s="27">
        <f>F52/F27</f>
      </c>
      <c r="G53" s="53">
        <f>G52/G27</f>
      </c>
      <c r="H53" s="92"/>
      <c r="I53" s="53" t="e">
        <f>I52/I27</f>
      </c>
      <c r="J53" s="53" t="e">
        <f>J52/J27</f>
      </c>
      <c r="K53" s="52"/>
      <c r="L53" s="92"/>
      <c r="N53" s="92"/>
      <c r="O53" s="92"/>
      <c r="P53" s="92"/>
      <c r="Q53" s="92"/>
      <c r="R53" s="92"/>
      <c r="S53" s="92"/>
      <c r="T53" s="92"/>
      <c r="U53" s="92"/>
      <c r="V53" s="92"/>
      <c r="W53" s="92"/>
      <c r="X53" s="92"/>
    </row>
    <row r="54" spans="2:24" x14ac:dyDescent="0.15">
      <c r="F54" s="27"/>
      <c r="G54" s="53"/>
      <c r="K54" s="54"/>
    </row>
    <row r="55" spans="2:24" x14ac:dyDescent="0.15">
      <c r="B55" s="92" t="s">
        <v>179</v>
      </c>
      <c r="F55" s="35">
        <v>927</v>
      </c>
      <c r="G55" s="35">
        <v>1674</v>
      </c>
      <c r="K55" s="2"/>
    </row>
    <row r="56" spans="2:24" x14ac:dyDescent="0.15">
      <c r="B56" s="92" t="s">
        <v>180</v>
      </c>
      <c r="F56" s="35">
        <v>233</v>
      </c>
      <c r="G56" s="35">
        <v>412</v>
      </c>
      <c r="K56" s="2"/>
    </row>
    <row r="57" spans="2:24" s="1" customFormat="1" x14ac:dyDescent="0.15">
      <c r="B57" s="92" t="s">
        <v>181</v>
      </c>
      <c r="C57" s="92"/>
      <c r="D57" s="92"/>
      <c r="E57" s="92"/>
      <c r="F57" s="27">
        <f>F56/F55</f>
      </c>
      <c r="G57" s="53">
        <f>G56/G55</f>
      </c>
      <c r="H57" s="92"/>
      <c r="I57" s="92"/>
      <c r="J57" s="92"/>
      <c r="K57" s="52"/>
      <c r="L57" s="92"/>
      <c r="N57" s="92"/>
      <c r="O57" s="92"/>
      <c r="P57" s="92"/>
      <c r="Q57" s="92"/>
      <c r="R57" s="92"/>
      <c r="S57" s="92"/>
      <c r="T57" s="92"/>
      <c r="U57" s="92"/>
      <c r="V57" s="92"/>
      <c r="W57" s="92"/>
      <c r="X57" s="92"/>
    </row>
    <row r="58" spans="2:24" x14ac:dyDescent="0.15">
      <c r="B58" s="92" t="s">
        <v>182</v>
      </c>
      <c r="F58" s="59">
        <v>0.35</v>
      </c>
      <c r="G58" s="59">
        <v>0.35</v>
      </c>
      <c r="K58" s="162"/>
    </row>
    <row r="59" spans="2:24" x14ac:dyDescent="0.15">
      <c r="B59" s="92" t="s">
        <v>183</v>
      </c>
      <c r="F59" s="59">
        <v>2.4E-2</v>
      </c>
      <c r="G59" s="59">
        <v>1.4E-2</v>
      </c>
      <c r="K59" s="162"/>
    </row>
    <row r="60" spans="2:24" s="60" customFormat="1" x14ac:dyDescent="0.15">
      <c r="B60" s="39" t="s">
        <v>184</v>
      </c>
      <c r="C60" s="39"/>
      <c r="D60" s="39"/>
      <c r="E60" s="39"/>
      <c r="F60" s="78">
        <f>SUM(F58:F59)</f>
      </c>
      <c r="G60" s="77">
        <f>SUM(G58:G59)</f>
      </c>
      <c r="H60" s="39"/>
      <c r="I60" s="39"/>
      <c r="J60" s="39"/>
      <c r="K60" s="61"/>
      <c r="L60" s="39"/>
      <c r="N60" s="39"/>
      <c r="O60" s="39"/>
      <c r="P60" s="39"/>
      <c r="Q60" s="39"/>
      <c r="R60" s="39"/>
      <c r="S60" s="39"/>
      <c r="T60" s="39"/>
      <c r="U60" s="39"/>
      <c r="V60" s="39"/>
      <c r="W60" s="39"/>
      <c r="X60" s="39"/>
    </row>
    <row r="61" spans="2:24" x14ac:dyDescent="0.15">
      <c r="F61" s="27"/>
      <c r="G61" s="62"/>
      <c r="K61" s="63"/>
    </row>
    <row r="62" spans="2:24" x14ac:dyDescent="0.15">
      <c r="B62" s="92" t="s">
        <v>185</v>
      </c>
      <c r="F62" s="92">
        <f>F46*(1-F57)</f>
      </c>
      <c r="G62" s="92">
        <f>G46*(1-G57)</f>
      </c>
      <c r="K62" s="63"/>
    </row>
    <row r="63" spans="2:24" x14ac:dyDescent="0.15">
      <c r="F63" s="27"/>
      <c r="G63" s="62"/>
      <c r="K63" s="63"/>
    </row>
    <row r="64" spans="2:24" x14ac:dyDescent="0.15">
      <c r="B64" s="92" t="s">
        <v>186</v>
      </c>
      <c r="C64" s="39"/>
      <c r="D64" s="39"/>
      <c r="F64" s="35">
        <v>695</v>
      </c>
      <c r="G64" s="35">
        <v>1269</v>
      </c>
    </row>
    <row r="65" spans="2:24" s="1" customFormat="1" x14ac:dyDescent="0.15">
      <c r="B65" s="92" t="s">
        <v>187</v>
      </c>
      <c r="C65" s="92"/>
      <c r="D65" s="92"/>
      <c r="E65" s="92"/>
      <c r="F65" s="27">
        <f>F64/F27</f>
      </c>
      <c r="G65" s="53">
        <f>G64/G27</f>
      </c>
      <c r="H65" s="92"/>
      <c r="I65" s="92"/>
      <c r="J65" s="92"/>
      <c r="K65" s="52"/>
      <c r="L65" s="92"/>
      <c r="N65" s="92"/>
      <c r="O65" s="92"/>
      <c r="P65" s="92"/>
      <c r="Q65" s="92"/>
      <c r="R65" s="92"/>
      <c r="S65" s="92"/>
      <c r="T65" s="92"/>
      <c r="U65" s="92"/>
      <c r="V65" s="92"/>
      <c r="W65" s="92"/>
      <c r="X65" s="92"/>
    </row>
    <row r="66" spans="2:24" x14ac:dyDescent="0.15">
      <c r="B66" s="2" t="str">
        <f t="shared" ref="B66:B75" si="2">B36</f>
      </c>
      <c r="C66" s="2"/>
      <c r="D66" s="2"/>
      <c r="F66" s="35">
        <f>F36-59</f>
      </c>
      <c r="G66" s="35">
        <f>G36+6</f>
      </c>
      <c r="M66" s="183"/>
    </row>
    <row r="67" spans="2:24" x14ac:dyDescent="0.15">
      <c r="B67" s="2" t="str">
        <f t="shared" si="2"/>
      </c>
      <c r="C67" s="2"/>
      <c r="D67" s="2"/>
      <c r="F67" s="35">
        <f>F37-85</f>
      </c>
      <c r="G67" s="35">
        <f>G37-86</f>
      </c>
    </row>
    <row r="68" spans="2:24" x14ac:dyDescent="0.15">
      <c r="B68" s="2" t="s">
        <v>273</v>
      </c>
      <c r="C68" s="2"/>
      <c r="D68" s="2"/>
      <c r="F68" s="35">
        <f>153-54</f>
      </c>
      <c r="G68" s="35">
        <v>0</v>
      </c>
      <c r="K68" s="26"/>
    </row>
    <row r="69" spans="2:24" x14ac:dyDescent="0.15">
      <c r="B69" s="2" t="str">
        <f>B38</f>
      </c>
      <c r="C69" s="2"/>
      <c r="D69" s="2"/>
      <c r="F69" s="35">
        <f>12-3</f>
      </c>
      <c r="G69" s="35">
        <f>G38-2</f>
      </c>
    </row>
    <row r="70" spans="2:24" x14ac:dyDescent="0.15">
      <c r="B70" s="2" t="s">
        <v>274</v>
      </c>
      <c r="C70" s="2"/>
      <c r="D70" s="2"/>
      <c r="F70" s="35">
        <v>0</v>
      </c>
      <c r="G70" s="35">
        <v>1</v>
      </c>
      <c r="K70" s="2"/>
    </row>
    <row r="71" spans="2:24" x14ac:dyDescent="0.15">
      <c r="B71" s="2" t="str">
        <f>B39</f>
      </c>
      <c r="C71" s="2"/>
      <c r="D71" s="2"/>
      <c r="F71" s="35">
        <f>-9+72+11+1</f>
      </c>
      <c r="G71" s="35">
        <v>0</v>
      </c>
    </row>
    <row r="72" spans="2:24" x14ac:dyDescent="0.15">
      <c r="B72" s="2" t="s">
        <v>275</v>
      </c>
      <c r="C72" s="2"/>
      <c r="D72" s="2"/>
      <c r="F72" s="35">
        <v>0</v>
      </c>
      <c r="G72" s="35">
        <v>4</v>
      </c>
    </row>
    <row r="73" spans="2:24" x14ac:dyDescent="0.15">
      <c r="B73" s="2" t="str">
        <f t="shared" si="2"/>
      </c>
      <c r="C73" s="2"/>
      <c r="D73" s="2"/>
      <c r="F73" s="35">
        <v>0</v>
      </c>
      <c r="G73" s="35">
        <v>0</v>
      </c>
    </row>
    <row r="74" spans="2:24" x14ac:dyDescent="0.15">
      <c r="B74" s="2" t="str">
        <f t="shared" si="2"/>
      </c>
      <c r="C74" s="2"/>
      <c r="D74" s="2"/>
      <c r="F74" s="35">
        <v>0</v>
      </c>
      <c r="G74" s="35">
        <v>0</v>
      </c>
    </row>
    <row r="75" spans="2:24" x14ac:dyDescent="0.15">
      <c r="B75" s="2" t="str">
        <f t="shared" si="2"/>
      </c>
      <c r="C75" s="2"/>
      <c r="D75" s="2"/>
      <c r="F75" s="35">
        <v>0</v>
      </c>
      <c r="G75" s="35">
        <v>0</v>
      </c>
    </row>
    <row r="76" spans="2:24" s="39" customFormat="1" x14ac:dyDescent="0.15">
      <c r="B76" s="39" t="s">
        <v>189</v>
      </c>
      <c r="F76" s="39">
        <f>F64+SUM(F66:F75)</f>
      </c>
      <c r="G76" s="39">
        <f>G64+SUM(G66:G75)</f>
      </c>
      <c r="H76" s="55"/>
    </row>
    <row r="77" spans="2:24" s="1" customFormat="1" x14ac:dyDescent="0.15">
      <c r="B77" s="92" t="s">
        <v>190</v>
      </c>
      <c r="C77" s="92"/>
      <c r="D77" s="92"/>
      <c r="E77" s="92"/>
      <c r="F77" s="27">
        <f>F76/F27</f>
      </c>
      <c r="G77" s="53">
        <f>G76/G27</f>
      </c>
      <c r="K77" s="52"/>
      <c r="L77" s="92"/>
      <c r="N77" s="92"/>
      <c r="O77" s="92"/>
      <c r="P77" s="92"/>
      <c r="Q77" s="92"/>
    </row>
    <row r="78" spans="2:24" x14ac:dyDescent="0.15">
      <c r="F78" s="74"/>
      <c r="G78" s="74"/>
      <c r="K78" s="54"/>
    </row>
    <row r="79" spans="2:24" x14ac:dyDescent="0.15">
      <c r="B79" s="92" t="s">
        <v>255</v>
      </c>
      <c r="F79" s="35">
        <v>1</v>
      </c>
      <c r="G79" s="35">
        <v>0</v>
      </c>
      <c r="K79" s="54"/>
    </row>
    <row r="80" spans="2:24" x14ac:dyDescent="0.15">
      <c r="B80" s="39" t="s">
        <v>256</v>
      </c>
      <c r="F80" s="39">
        <f>F76-F79</f>
      </c>
      <c r="G80" s="39">
        <f>G76-G79</f>
      </c>
      <c r="K80" s="54"/>
    </row>
    <row r="81" spans="1:11" x14ac:dyDescent="0.15">
      <c r="F81" s="74"/>
      <c r="G81" s="74"/>
      <c r="K81" s="54"/>
    </row>
    <row r="82" spans="1:11" x14ac:dyDescent="0.15">
      <c r="B82" s="92" t="s">
        <v>191</v>
      </c>
      <c r="F82" s="35">
        <v>350</v>
      </c>
      <c r="G82" s="35">
        <v>348</v>
      </c>
    </row>
    <row r="83" spans="1:11" x14ac:dyDescent="0.15">
      <c r="B83" s="92" t="s">
        <v>192</v>
      </c>
      <c r="F83" s="102">
        <f>F$80/F82</f>
      </c>
      <c r="G83" s="102">
        <f>G$80/G82</f>
      </c>
      <c r="H83" s="75"/>
      <c r="K83" s="102"/>
    </row>
    <row r="84" spans="1:11" x14ac:dyDescent="0.15">
      <c r="B84" s="92" t="s">
        <v>193</v>
      </c>
      <c r="F84" s="35">
        <v>354</v>
      </c>
      <c r="G84" s="35">
        <v>350</v>
      </c>
    </row>
    <row r="85" spans="1:11" x14ac:dyDescent="0.15">
      <c r="B85" s="92" t="s">
        <v>136</v>
      </c>
      <c r="F85" s="102">
        <f>F$80/F84</f>
      </c>
      <c r="G85" s="102">
        <f>G$80/G84</f>
      </c>
      <c r="H85" s="75"/>
      <c r="K85" s="102"/>
    </row>
    <row r="86" spans="1:11" x14ac:dyDescent="0.15">
      <c r="F86" s="102"/>
      <c r="G86" s="102"/>
      <c r="K86" s="102"/>
    </row>
    <row r="87" spans="1:11" ht="14" x14ac:dyDescent="0.15">
      <c r="A87" s="93" t="s">
        <v>194</v>
      </c>
      <c r="F87" s="102"/>
      <c r="G87" s="102"/>
      <c r="K87" s="102"/>
    </row>
    <row r="88" spans="1:11" x14ac:dyDescent="0.15">
      <c r="A88" s="39"/>
      <c r="B88" s="92" t="s">
        <v>195</v>
      </c>
      <c r="F88" s="35">
        <v>2940</v>
      </c>
      <c r="G88" s="35">
        <v>3036</v>
      </c>
      <c r="K88" s="102"/>
    </row>
    <row r="89" spans="1:11" x14ac:dyDescent="0.15">
      <c r="A89" s="39"/>
      <c r="B89" s="92" t="s">
        <v>196</v>
      </c>
      <c r="F89" s="35">
        <v>4474</v>
      </c>
      <c r="G89" s="35">
        <v>4479</v>
      </c>
      <c r="K89" s="102"/>
    </row>
    <row r="90" spans="1:11" s="39" customFormat="1" x14ac:dyDescent="0.15">
      <c r="B90" s="39" t="s">
        <v>197</v>
      </c>
      <c r="F90" s="39">
        <f>F88-F89</f>
      </c>
      <c r="G90" s="39">
        <f>G88-G89</f>
      </c>
      <c r="K90" s="64"/>
    </row>
    <row r="91" spans="1:11" x14ac:dyDescent="0.15">
      <c r="A91" s="39"/>
      <c r="F91" s="102"/>
      <c r="G91" s="102"/>
      <c r="K91" s="102"/>
    </row>
    <row r="92" spans="1:11" x14ac:dyDescent="0.15">
      <c r="B92" s="2" t="s">
        <v>276</v>
      </c>
      <c r="F92" s="35">
        <v>1231</v>
      </c>
      <c r="G92" s="35">
        <v>1389</v>
      </c>
    </row>
    <row r="93" spans="1:11" x14ac:dyDescent="0.15">
      <c r="B93" s="2" t="s">
        <v>199</v>
      </c>
      <c r="F93" s="35">
        <v>1238</v>
      </c>
      <c r="G93" s="35">
        <v>1217</v>
      </c>
    </row>
    <row r="94" spans="1:11" x14ac:dyDescent="0.15">
      <c r="B94" s="2" t="s">
        <v>200</v>
      </c>
      <c r="F94" s="35">
        <v>191</v>
      </c>
      <c r="G94" s="35">
        <v>149</v>
      </c>
    </row>
    <row r="95" spans="1:11" x14ac:dyDescent="0.15">
      <c r="B95" s="2" t="s">
        <v>201</v>
      </c>
      <c r="F95" s="35">
        <v>0</v>
      </c>
      <c r="G95" s="35">
        <v>0</v>
      </c>
    </row>
    <row r="96" spans="1:11" x14ac:dyDescent="0.15">
      <c r="B96" s="2" t="s">
        <v>202</v>
      </c>
      <c r="F96" s="35">
        <v>0</v>
      </c>
      <c r="G96" s="35">
        <v>0</v>
      </c>
    </row>
    <row r="97" spans="1:17" x14ac:dyDescent="0.15">
      <c r="B97" s="2" t="s">
        <v>277</v>
      </c>
      <c r="F97" s="35">
        <v>2014</v>
      </c>
      <c r="G97" s="35">
        <v>2269</v>
      </c>
    </row>
    <row r="98" spans="1:17" x14ac:dyDescent="0.15">
      <c r="B98" s="2" t="s">
        <v>259</v>
      </c>
      <c r="F98" s="35">
        <v>1391</v>
      </c>
      <c r="G98" s="35">
        <v>1431</v>
      </c>
    </row>
    <row r="99" spans="1:17" x14ac:dyDescent="0.15">
      <c r="B99" s="2" t="s">
        <v>260</v>
      </c>
      <c r="F99" s="35">
        <v>0</v>
      </c>
      <c r="G99" s="35">
        <v>0</v>
      </c>
    </row>
    <row r="100" spans="1:17" x14ac:dyDescent="0.15">
      <c r="B100" s="2" t="s">
        <v>206</v>
      </c>
      <c r="F100" s="35">
        <v>0</v>
      </c>
      <c r="G100" s="35">
        <v>0</v>
      </c>
    </row>
    <row r="101" spans="1:17" x14ac:dyDescent="0.15">
      <c r="B101" s="2" t="s">
        <v>207</v>
      </c>
      <c r="F101" s="35">
        <v>0</v>
      </c>
      <c r="G101" s="35">
        <v>0</v>
      </c>
    </row>
    <row r="102" spans="1:17" s="39" customFormat="1" x14ac:dyDescent="0.15">
      <c r="B102" s="39" t="s">
        <v>208</v>
      </c>
      <c r="F102" s="39">
        <f>SUM(F92:F96)-SUM(F97:F101)</f>
      </c>
      <c r="G102" s="39">
        <f>SUM(G92:G96)-SUM(G97:G101)</f>
      </c>
    </row>
    <row r="103" spans="1:17" s="1" customFormat="1" x14ac:dyDescent="0.15">
      <c r="B103" s="92" t="s">
        <v>209</v>
      </c>
      <c r="C103" s="92"/>
      <c r="D103" s="92"/>
      <c r="E103" s="92"/>
      <c r="F103" s="53">
        <f>F102/F27</f>
      </c>
      <c r="G103" s="53">
        <f>G102/G27</f>
      </c>
      <c r="K103" s="52"/>
      <c r="L103" s="92"/>
      <c r="N103" s="92"/>
      <c r="O103" s="92"/>
      <c r="P103" s="92"/>
      <c r="Q103" s="92"/>
    </row>
    <row r="104" spans="1:17" s="1" customFormat="1" x14ac:dyDescent="0.15">
      <c r="B104" s="92" t="s">
        <v>210</v>
      </c>
      <c r="C104" s="92"/>
      <c r="D104" s="92"/>
      <c r="E104" s="92"/>
      <c r="F104" s="92">
        <f>F92/F27*365</f>
      </c>
      <c r="G104" s="92">
        <f>G92/G27*365</f>
      </c>
    </row>
    <row r="105" spans="1:17" s="1" customFormat="1" x14ac:dyDescent="0.15">
      <c r="B105" s="92" t="s">
        <v>211</v>
      </c>
      <c r="C105" s="92"/>
      <c r="D105" s="92"/>
      <c r="E105" s="92"/>
      <c r="F105" s="92">
        <f>F93/F30*365</f>
      </c>
      <c r="G105" s="92">
        <f>G93/G30*365</f>
      </c>
    </row>
    <row r="106" spans="1:17" s="1" customFormat="1" x14ac:dyDescent="0.15">
      <c r="B106" s="92" t="s">
        <v>212</v>
      </c>
      <c r="C106" s="92"/>
      <c r="D106" s="92"/>
      <c r="E106" s="92"/>
      <c r="F106" s="92">
        <f>F97/F30*365</f>
      </c>
      <c r="G106" s="92">
        <f>G97/G30*365</f>
      </c>
    </row>
    <row r="108" spans="1:17" ht="14" x14ac:dyDescent="0.15">
      <c r="A108" s="93" t="s">
        <v>213</v>
      </c>
    </row>
    <row r="109" spans="1:17" x14ac:dyDescent="0.15">
      <c r="B109" s="92" t="s">
        <v>214</v>
      </c>
      <c r="F109" s="35">
        <v>3569</v>
      </c>
      <c r="G109" s="35">
        <v>3716</v>
      </c>
    </row>
    <row r="110" spans="1:17" s="1" customFormat="1" x14ac:dyDescent="0.15">
      <c r="B110" s="92" t="s">
        <v>215</v>
      </c>
      <c r="C110" s="92"/>
      <c r="D110" s="92"/>
      <c r="E110" s="92"/>
      <c r="F110" s="27">
        <f>F109/F27</f>
      </c>
      <c r="G110" s="53">
        <f>G109/G27</f>
      </c>
      <c r="K110" s="52"/>
      <c r="L110" s="92"/>
      <c r="N110" s="92"/>
      <c r="O110" s="92"/>
      <c r="P110" s="92"/>
      <c r="Q110" s="92"/>
    </row>
    <row r="111" spans="1:17" x14ac:dyDescent="0.15">
      <c r="B111" s="92" t="s">
        <v>216</v>
      </c>
      <c r="F111" s="35">
        <v>507</v>
      </c>
      <c r="G111" s="35">
        <v>501</v>
      </c>
    </row>
    <row r="112" spans="1:17" s="1" customFormat="1" x14ac:dyDescent="0.15">
      <c r="B112" s="92" t="s">
        <v>217</v>
      </c>
      <c r="C112" s="92"/>
      <c r="D112" s="92"/>
      <c r="E112" s="92"/>
      <c r="F112" s="102">
        <f>F111/F49</f>
      </c>
      <c r="G112" s="102">
        <f>G111/G49</f>
      </c>
      <c r="K112" s="65"/>
      <c r="L112" s="92"/>
      <c r="N112" s="92"/>
      <c r="O112" s="92"/>
      <c r="P112" s="92"/>
      <c r="Q112" s="92"/>
    </row>
    <row r="113" spans="1:11" x14ac:dyDescent="0.15">
      <c r="F113" s="102"/>
      <c r="G113" s="102"/>
      <c r="K113" s="102"/>
    </row>
    <row r="114" spans="1:11" ht="14" x14ac:dyDescent="0.15">
      <c r="A114" s="93" t="s">
        <v>218</v>
      </c>
      <c r="F114" s="102"/>
      <c r="G114" s="102"/>
      <c r="K114" s="102"/>
    </row>
    <row r="115" spans="1:11" x14ac:dyDescent="0.15">
      <c r="B115" s="2" t="s">
        <v>220</v>
      </c>
      <c r="F115" s="35">
        <v>6698</v>
      </c>
      <c r="G115" s="35">
        <v>7836</v>
      </c>
    </row>
    <row r="116" spans="1:11" x14ac:dyDescent="0.15">
      <c r="B116" s="2" t="s">
        <v>278</v>
      </c>
      <c r="F116" s="35">
        <v>631</v>
      </c>
      <c r="G116" s="35">
        <v>409</v>
      </c>
    </row>
    <row r="117" spans="1:11" x14ac:dyDescent="0.15">
      <c r="B117" s="2" t="s">
        <v>279</v>
      </c>
      <c r="F117" s="35">
        <v>438</v>
      </c>
      <c r="G117" s="35">
        <v>370</v>
      </c>
    </row>
    <row r="118" spans="1:11" x14ac:dyDescent="0.15">
      <c r="B118" s="2" t="s">
        <v>222</v>
      </c>
      <c r="F118" s="35">
        <v>0</v>
      </c>
      <c r="G118" s="35">
        <v>0</v>
      </c>
    </row>
    <row r="119" spans="1:11" x14ac:dyDescent="0.15">
      <c r="B119" s="2" t="s">
        <v>223</v>
      </c>
      <c r="F119" s="35">
        <v>0</v>
      </c>
      <c r="G119" s="35">
        <v>0</v>
      </c>
    </row>
    <row r="120" spans="1:11" s="39" customFormat="1" x14ac:dyDescent="0.15">
      <c r="B120" s="39" t="s">
        <v>116</v>
      </c>
      <c r="F120" s="39">
        <f>SUM(F115:F119)</f>
      </c>
      <c r="G120" s="39">
        <f>SUM(G115:G119)</f>
      </c>
    </row>
    <row r="121" spans="1:11" x14ac:dyDescent="0.15">
      <c r="B121" s="92" t="s">
        <v>224</v>
      </c>
      <c r="F121" s="35">
        <v>280</v>
      </c>
      <c r="G121" s="35">
        <v>281</v>
      </c>
    </row>
    <row r="122" spans="1:11" s="39" customFormat="1" x14ac:dyDescent="0.15">
      <c r="B122" s="39" t="s">
        <v>110</v>
      </c>
      <c r="F122" s="39">
        <f>F120-F121</f>
      </c>
      <c r="G122" s="39">
        <f>G120-G121</f>
      </c>
    </row>
    <row r="123" spans="1:11" s="1" customFormat="1" x14ac:dyDescent="0.15">
      <c r="B123" s="92" t="s">
        <v>156</v>
      </c>
      <c r="C123" s="92"/>
      <c r="D123" s="92"/>
      <c r="E123" s="92"/>
      <c r="F123" s="102">
        <f>F120/F52</f>
      </c>
      <c r="G123" s="102">
        <f>G120/G52</f>
      </c>
      <c r="K123" s="65"/>
    </row>
    <row r="124" spans="1:11" s="1" customFormat="1" x14ac:dyDescent="0.15">
      <c r="B124" s="92" t="s">
        <v>225</v>
      </c>
      <c r="C124" s="92"/>
      <c r="D124" s="92"/>
      <c r="E124" s="92"/>
      <c r="F124" s="102">
        <f>F122/F52</f>
      </c>
      <c r="G124" s="102">
        <f>G122/G52</f>
      </c>
      <c r="K124" s="65"/>
    </row>
    <row r="125" spans="1:11" x14ac:dyDescent="0.15">
      <c r="B125" s="92" t="s">
        <v>226</v>
      </c>
      <c r="F125" s="35">
        <v>5</v>
      </c>
      <c r="G125" s="35">
        <v>9</v>
      </c>
      <c r="H125" s="75"/>
    </row>
    <row r="126" spans="1:11" x14ac:dyDescent="0.15">
      <c r="B126" s="92" t="s">
        <v>227</v>
      </c>
      <c r="F126" s="35">
        <f>406-153</f>
      </c>
      <c r="G126" s="35">
        <v>256</v>
      </c>
    </row>
    <row r="127" spans="1:11" s="1" customFormat="1" x14ac:dyDescent="0.15">
      <c r="B127" s="92" t="s">
        <v>158</v>
      </c>
      <c r="C127" s="92"/>
      <c r="D127" s="92"/>
      <c r="E127" s="92"/>
      <c r="F127" s="92">
        <f>F52/F126</f>
      </c>
      <c r="G127" s="92">
        <f>G52/G126</f>
      </c>
      <c r="K127" s="65"/>
    </row>
    <row r="128" spans="1:11" x14ac:dyDescent="0.15">
      <c r="B128" s="92" t="s">
        <v>228</v>
      </c>
      <c r="F128" s="35">
        <v>1926</v>
      </c>
      <c r="G128" s="35">
        <v>2228</v>
      </c>
    </row>
    <row r="129" spans="1:17" s="1" customFormat="1" x14ac:dyDescent="0.15">
      <c r="B129" s="92" t="s">
        <v>229</v>
      </c>
      <c r="C129" s="92"/>
      <c r="D129" s="92"/>
      <c r="E129" s="92"/>
      <c r="F129" s="27">
        <f>F120/F128</f>
      </c>
      <c r="G129" s="27">
        <f>G120/G128</f>
      </c>
      <c r="K129" s="66"/>
      <c r="L129" s="92"/>
      <c r="N129" s="92"/>
      <c r="O129" s="92"/>
      <c r="P129" s="92"/>
      <c r="Q129" s="92"/>
    </row>
    <row r="130" spans="1:17" s="1" customFormat="1" x14ac:dyDescent="0.15">
      <c r="E130" s="92"/>
      <c r="F130" s="50"/>
      <c r="G130" s="50"/>
      <c r="K130" s="66"/>
      <c r="L130" s="92"/>
      <c r="N130" s="92"/>
      <c r="O130" s="92"/>
      <c r="P130" s="92"/>
      <c r="Q130" s="92"/>
    </row>
    <row r="131" spans="1:17" s="1" customFormat="1" ht="14" x14ac:dyDescent="0.15">
      <c r="A131" s="93" t="s">
        <v>230</v>
      </c>
      <c r="E131" s="92"/>
      <c r="F131" s="50"/>
      <c r="G131" s="50"/>
      <c r="K131" s="66"/>
      <c r="L131" s="92"/>
      <c r="N131" s="92"/>
      <c r="O131" s="92"/>
      <c r="P131" s="92"/>
      <c r="Q131" s="92"/>
    </row>
    <row r="132" spans="1:17" s="1" customFormat="1" x14ac:dyDescent="0.15">
      <c r="B132" s="92" t="s">
        <v>63</v>
      </c>
      <c r="C132" s="92"/>
      <c r="D132" s="92"/>
      <c r="E132" s="92"/>
      <c r="F132" s="27">
        <f>F76/F128</f>
      </c>
      <c r="G132" s="27">
        <f>G76/G128</f>
      </c>
      <c r="K132" s="66"/>
      <c r="L132" s="92"/>
      <c r="N132" s="92"/>
      <c r="O132" s="92"/>
      <c r="P132" s="92"/>
      <c r="Q132" s="92"/>
    </row>
    <row r="133" spans="1:17" ht="16" x14ac:dyDescent="0.2">
      <c r="B133" s="67"/>
      <c r="C133" s="67"/>
      <c r="D133" s="67"/>
      <c r="E133" s="67"/>
      <c r="F133" s="67"/>
      <c r="G133" s="67"/>
      <c r="K133" s="67"/>
    </row>
    <row r="134" spans="1:17" x14ac:dyDescent="0.15">
      <c r="B134" s="92" t="str">
        <f>B62</f>
      </c>
      <c r="F134" s="92">
        <f>F62</f>
      </c>
      <c r="G134" s="92">
        <f>G62</f>
      </c>
    </row>
    <row r="135" spans="1:17" x14ac:dyDescent="0.15">
      <c r="B135" s="92" t="str">
        <f>B128</f>
      </c>
      <c r="F135" s="92">
        <f>F128</f>
      </c>
      <c r="G135" s="92">
        <f>G128</f>
      </c>
    </row>
    <row r="136" spans="1:17" x14ac:dyDescent="0.15">
      <c r="B136" s="92" t="str">
        <f>B122</f>
      </c>
      <c r="F136" s="92">
        <f>F122</f>
      </c>
      <c r="G136" s="92">
        <f>G122</f>
      </c>
    </row>
    <row r="137" spans="1:17" x14ac:dyDescent="0.15">
      <c r="B137" s="92" t="s">
        <v>231</v>
      </c>
      <c r="F137" s="92">
        <f>SUM(F135:F136)</f>
      </c>
      <c r="G137" s="92">
        <f>SUM(G135:G136)</f>
      </c>
    </row>
    <row r="138" spans="1:17" x14ac:dyDescent="0.15">
      <c r="B138" s="92" t="s">
        <v>62</v>
      </c>
      <c r="F138" s="27">
        <f>F134/F137</f>
      </c>
      <c r="G138" s="27">
        <f>G134/G137</f>
      </c>
    </row>
  </sheetData>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1" manualBreakCount="1">
    <brk id="61" max="17"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39"/>
    <pageSetUpPr autoPageBreaks="0"/>
  </sheetPr>
  <dimension ref="A1:P101"/>
  <sheetViews>
    <sheetView showGridLines="0" zoomScaleNormal="100" workbookViewId="0"/>
  </sheetViews>
  <sheetFormatPr baseColWidth="10" defaultColWidth="9.5" defaultRowHeight="13" x14ac:dyDescent="0.15"/>
  <cols>
    <col min="1" max="2" width="1.5" style="92" customWidth="1"/>
    <col min="3" max="3" width="30.5" style="92" bestFit="1" customWidth="1"/>
    <col min="4" max="8" width="12.5" style="92" customWidth="1"/>
    <col min="9" max="9" width="12.5" style="92" customWidth="1" collapsed="1"/>
    <col min="10" max="13" width="12.5" style="92" customWidth="1"/>
    <col min="14" max="14" width="11.5" style="92" customWidth="1"/>
    <col min="15" max="15" width="9.5" style="92"/>
    <col min="16" max="16" width="9.5" style="92" customWidth="1"/>
    <col min="17" max="16384" width="9.5" style="92"/>
  </cols>
  <sheetData>
    <row r="1" spans="1:16" s="123" customFormat="1" ht="18" x14ac:dyDescent="0.2">
      <c r="A1" s="85" t="str">
        <f>"Comparable companies analysis - "&amp;D26</f>
      </c>
      <c r="B1" s="121"/>
      <c r="C1" s="122"/>
      <c r="D1" s="122"/>
      <c r="E1" s="122"/>
      <c r="F1" s="122"/>
      <c r="G1" s="122"/>
      <c r="H1" s="122"/>
      <c r="I1" s="122"/>
      <c r="J1" s="122"/>
      <c r="K1" s="122"/>
      <c r="L1" s="122"/>
      <c r="M1" s="122"/>
      <c r="N1" s="122"/>
      <c r="O1" s="122"/>
      <c r="P1" s="122"/>
    </row>
    <row r="2" spans="1:16" s="123" customFormat="1" ht="19" thickBot="1" x14ac:dyDescent="0.25">
      <c r="A2" s="91" t="s">
        <v>65</v>
      </c>
      <c r="B2" s="124"/>
      <c r="C2" s="125"/>
      <c r="D2" s="125"/>
      <c r="E2" s="125"/>
      <c r="F2" s="125"/>
      <c r="G2" s="125"/>
      <c r="H2" s="125"/>
      <c r="I2" s="125"/>
      <c r="J2" s="125"/>
      <c r="K2" s="125"/>
      <c r="L2" s="125"/>
      <c r="M2" s="125"/>
      <c r="N2" s="125"/>
      <c r="O2" s="125"/>
      <c r="P2" s="125"/>
    </row>
    <row r="3" spans="1:16" ht="14" thickTop="1" x14ac:dyDescent="0.15"/>
    <row r="4" spans="1:16" ht="18" x14ac:dyDescent="0.15">
      <c r="A4" s="184" t="s">
        <v>66</v>
      </c>
      <c r="B4" s="184"/>
      <c r="C4" s="185"/>
      <c r="D4" s="185"/>
      <c r="E4" s="185"/>
      <c r="F4" s="185"/>
    </row>
    <row r="5" spans="1:16" ht="14" x14ac:dyDescent="0.15">
      <c r="B5" s="128" t="s">
        <v>67</v>
      </c>
    </row>
    <row r="6" spans="1:16" x14ac:dyDescent="0.15">
      <c r="B6" s="29"/>
      <c r="C6" s="92" t="str">
        <f>F26</f>
      </c>
      <c r="D6" s="188">
        <f>I26</f>
      </c>
    </row>
    <row r="7" spans="1:16" x14ac:dyDescent="0.15">
      <c r="C7" s="92" t="str">
        <f>C40</f>
      </c>
      <c r="D7" s="92">
        <f>D40</f>
      </c>
      <c r="F7" s="94"/>
    </row>
    <row r="8" spans="1:16" x14ac:dyDescent="0.15">
      <c r="C8" s="92" t="str">
        <f>C49</f>
      </c>
      <c r="D8" s="92">
        <f>D49</f>
      </c>
      <c r="F8" s="94"/>
    </row>
    <row r="9" spans="1:16" x14ac:dyDescent="0.15">
      <c r="E9" s="130" t="s">
        <v>68</v>
      </c>
      <c r="F9" s="130"/>
    </row>
    <row r="10" spans="1:16" ht="14" x14ac:dyDescent="0.15">
      <c r="B10" s="131" t="s">
        <v>69</v>
      </c>
      <c r="C10" s="131"/>
      <c r="D10" s="132" t="s">
        <v>30</v>
      </c>
      <c r="E10" s="132">
        <f>DATE(YEAR(D35)+1,MONTH(D35),DAY(D35))</f>
      </c>
      <c r="F10" s="132">
        <f>DATE(YEAR(E10)+1,MONTH(E10),DAY(E10))</f>
      </c>
    </row>
    <row r="11" spans="1:16" x14ac:dyDescent="0.15">
      <c r="C11" s="92" t="s">
        <v>51</v>
      </c>
      <c r="D11" s="92">
        <f>F62</f>
      </c>
      <c r="E11" s="92">
        <f t="shared" ref="E11:F14" si="0">L62</f>
      </c>
      <c r="F11" s="92">
        <f t="shared" si="0"/>
      </c>
    </row>
    <row r="12" spans="1:16" x14ac:dyDescent="0.15">
      <c r="C12" s="133" t="s">
        <v>25</v>
      </c>
      <c r="D12" s="92">
        <f>F63</f>
      </c>
      <c r="E12" s="92">
        <f t="shared" si="0"/>
      </c>
      <c r="F12" s="92">
        <f t="shared" si="0"/>
      </c>
    </row>
    <row r="13" spans="1:16" x14ac:dyDescent="0.15">
      <c r="C13" s="133" t="s">
        <v>26</v>
      </c>
      <c r="D13" s="92">
        <f>F64</f>
      </c>
      <c r="E13" s="92">
        <f t="shared" si="0"/>
      </c>
      <c r="F13" s="92">
        <f t="shared" si="0"/>
      </c>
    </row>
    <row r="14" spans="1:16" x14ac:dyDescent="0.15">
      <c r="C14" s="133" t="str">
        <f>C65</f>
      </c>
      <c r="E14" s="188">
        <f t="shared" si="0"/>
      </c>
      <c r="F14" s="188">
        <f t="shared" si="0"/>
      </c>
    </row>
    <row r="16" spans="1:16" x14ac:dyDescent="0.15">
      <c r="E16" s="130" t="s">
        <v>68</v>
      </c>
      <c r="F16" s="130"/>
    </row>
    <row r="17" spans="1:13" ht="14" x14ac:dyDescent="0.15">
      <c r="B17" s="131" t="s">
        <v>70</v>
      </c>
      <c r="C17" s="134"/>
      <c r="D17" s="132" t="str">
        <f>D10</f>
      </c>
      <c r="E17" s="132">
        <f>E10</f>
      </c>
      <c r="F17" s="132">
        <f>F10</f>
      </c>
    </row>
    <row r="18" spans="1:13" x14ac:dyDescent="0.15">
      <c r="C18" s="92" t="s">
        <v>71</v>
      </c>
      <c r="D18" s="92">
        <f>EnterpriseValue/D11</f>
      </c>
      <c r="E18" s="92">
        <f>EnterpriseValue/E11</f>
      </c>
      <c r="F18" s="92">
        <f>EnterpriseValue/F11</f>
      </c>
    </row>
    <row r="19" spans="1:13" x14ac:dyDescent="0.15">
      <c r="C19" s="92" t="s">
        <v>72</v>
      </c>
      <c r="D19" s="92">
        <f>EnterpriseValue/D13</f>
      </c>
      <c r="E19" s="92">
        <f>EnterpriseValue/E13</f>
      </c>
      <c r="F19" s="92">
        <f>EnterpriseValue/F13</f>
      </c>
    </row>
    <row r="20" spans="1:13" x14ac:dyDescent="0.15">
      <c r="C20" s="92" t="s">
        <v>73</v>
      </c>
      <c r="D20" s="92">
        <f>EnterpriseValue/D12</f>
      </c>
      <c r="E20" s="92">
        <f>EnterpriseValue/E12</f>
      </c>
      <c r="F20" s="92">
        <f>EnterpriseValue/F12</f>
      </c>
    </row>
    <row r="21" spans="1:13" x14ac:dyDescent="0.15">
      <c r="C21" s="92" t="s">
        <v>20</v>
      </c>
      <c r="E21" s="92">
        <f>SharePrice/E14</f>
      </c>
      <c r="F21" s="92">
        <f>SharePrice/F14</f>
      </c>
    </row>
    <row r="22" spans="1:13" x14ac:dyDescent="0.15">
      <c r="C22" s="92" t="s">
        <v>53</v>
      </c>
      <c r="E22" s="92">
        <f>PE1F/$I$29/100</f>
      </c>
      <c r="F22" s="92">
        <f>PE1F/$I$29/100</f>
      </c>
    </row>
    <row r="24" spans="1:13" ht="18" x14ac:dyDescent="0.15">
      <c r="A24" s="184" t="s">
        <v>74</v>
      </c>
      <c r="B24" s="184"/>
      <c r="C24" s="185"/>
      <c r="D24" s="185"/>
      <c r="E24" s="185"/>
      <c r="F24" s="185"/>
      <c r="G24" s="185"/>
      <c r="H24" s="185"/>
      <c r="I24" s="185"/>
      <c r="J24" s="185"/>
      <c r="K24" s="185"/>
      <c r="L24" s="185"/>
      <c r="M24" s="185"/>
    </row>
    <row r="25" spans="1:13" ht="14" x14ac:dyDescent="0.15">
      <c r="A25" s="29"/>
      <c r="B25" s="128" t="s">
        <v>75</v>
      </c>
      <c r="F25" s="128" t="s">
        <v>76</v>
      </c>
    </row>
    <row r="26" spans="1:13" x14ac:dyDescent="0.15">
      <c r="C26" s="92" t="s">
        <v>77</v>
      </c>
      <c r="D26" s="30" t="s">
        <v>280</v>
      </c>
      <c r="F26" s="92" t="s">
        <v>78</v>
      </c>
      <c r="I26" s="189">
        <v>76.180000000000007</v>
      </c>
    </row>
    <row r="27" spans="1:13" x14ac:dyDescent="0.15">
      <c r="C27" s="92" t="s">
        <v>79</v>
      </c>
      <c r="D27" s="30" t="s">
        <v>281</v>
      </c>
      <c r="F27" s="92" t="s">
        <v>81</v>
      </c>
      <c r="I27" s="189">
        <v>86.4</v>
      </c>
    </row>
    <row r="28" spans="1:13" x14ac:dyDescent="0.15">
      <c r="C28" s="92" t="s">
        <v>82</v>
      </c>
      <c r="D28" s="31">
        <v>43202</v>
      </c>
      <c r="F28" s="92" t="s">
        <v>83</v>
      </c>
      <c r="I28" s="189">
        <v>73</v>
      </c>
    </row>
    <row r="29" spans="1:13" x14ac:dyDescent="0.15">
      <c r="C29" s="92" t="s">
        <v>11</v>
      </c>
      <c r="D29" s="30" t="s">
        <v>282</v>
      </c>
      <c r="F29" s="92" t="s">
        <v>84</v>
      </c>
      <c r="I29" s="32">
        <f>19.95/1.77/100</f>
      </c>
      <c r="J29" s="102"/>
    </row>
    <row r="30" spans="1:13" x14ac:dyDescent="0.15">
      <c r="C30" s="92" t="s">
        <v>85</v>
      </c>
      <c r="D30" s="34">
        <f>1/0.9623</f>
      </c>
      <c r="F30" s="92" t="s">
        <v>86</v>
      </c>
      <c r="I30" s="32">
        <v>3.0800000000000001E-2</v>
      </c>
    </row>
    <row r="31" spans="1:13" x14ac:dyDescent="0.15">
      <c r="C31" s="92" t="s">
        <v>87</v>
      </c>
      <c r="D31" s="31">
        <v>43100</v>
      </c>
      <c r="F31" s="92" t="s">
        <v>88</v>
      </c>
      <c r="I31" s="30" t="s">
        <v>283</v>
      </c>
      <c r="J31" s="33"/>
    </row>
    <row r="32" spans="1:13" x14ac:dyDescent="0.15">
      <c r="C32" s="92" t="s">
        <v>90</v>
      </c>
      <c r="D32" s="31">
        <v>43100</v>
      </c>
      <c r="F32" s="92" t="s">
        <v>91</v>
      </c>
      <c r="I32" s="35">
        <v>3057.6</v>
      </c>
    </row>
    <row r="33" spans="2:11" ht="12.75" customHeight="1" x14ac:dyDescent="0.15">
      <c r="C33" s="92" t="s">
        <v>92</v>
      </c>
      <c r="D33" s="30" t="s">
        <v>243</v>
      </c>
      <c r="F33" s="92" t="s">
        <v>94</v>
      </c>
      <c r="I33" s="139">
        <f>K46</f>
      </c>
    </row>
    <row r="34" spans="2:11" ht="12.75" customHeight="1" x14ac:dyDescent="0.2">
      <c r="C34" s="92" t="s">
        <v>95</v>
      </c>
      <c r="D34" s="36"/>
      <c r="E34" s="28"/>
      <c r="F34" s="92" t="s">
        <v>96</v>
      </c>
      <c r="I34" s="92">
        <f>I32+I33</f>
      </c>
    </row>
    <row r="35" spans="2:11" ht="12.75" customHeight="1" x14ac:dyDescent="0.2">
      <c r="C35" s="92" t="s">
        <v>97</v>
      </c>
      <c r="D35" s="31">
        <v>43100</v>
      </c>
      <c r="E35" s="28"/>
    </row>
    <row r="36" spans="2:11" ht="12.75" customHeight="1" x14ac:dyDescent="0.2">
      <c r="C36" s="92" t="s">
        <v>98</v>
      </c>
      <c r="D36" s="30" t="s">
        <v>99</v>
      </c>
      <c r="E36" s="28"/>
    </row>
    <row r="37" spans="2:11" ht="12.75" customHeight="1" x14ac:dyDescent="0.2">
      <c r="C37" s="92" t="s">
        <v>100</v>
      </c>
      <c r="D37" s="31">
        <v>43202</v>
      </c>
      <c r="E37" s="28"/>
    </row>
    <row r="38" spans="2:11" ht="12.75" customHeight="1" x14ac:dyDescent="0.2">
      <c r="E38" s="28"/>
    </row>
    <row r="39" spans="2:11" ht="14" x14ac:dyDescent="0.15">
      <c r="B39" s="128" t="s">
        <v>101</v>
      </c>
      <c r="F39" s="128" t="s">
        <v>102</v>
      </c>
      <c r="I39" s="140">
        <f>YEAR($D$31)</f>
      </c>
      <c r="J39" s="140">
        <f>YEAR($D$31)</f>
      </c>
    </row>
    <row r="40" spans="2:11" s="39" customFormat="1" x14ac:dyDescent="0.15">
      <c r="B40" s="29"/>
      <c r="C40" s="37" t="s">
        <v>103</v>
      </c>
      <c r="D40" s="38">
        <f>I34*I26</f>
      </c>
      <c r="F40" s="92"/>
      <c r="G40" s="92"/>
      <c r="H40" s="92"/>
      <c r="I40" s="106" t="s">
        <v>104</v>
      </c>
      <c r="J40" s="106" t="s">
        <v>105</v>
      </c>
      <c r="K40" s="106" t="s">
        <v>106</v>
      </c>
    </row>
    <row r="41" spans="2:11" s="39" customFormat="1" x14ac:dyDescent="0.15">
      <c r="B41" s="29"/>
      <c r="C41" s="92" t="str">
        <f>F52</f>
      </c>
      <c r="D41" s="141">
        <f>I52</f>
      </c>
      <c r="F41" s="2" t="s">
        <v>284</v>
      </c>
      <c r="G41" s="92"/>
      <c r="H41" s="92"/>
      <c r="I41" s="40">
        <v>6</v>
      </c>
      <c r="J41" s="190">
        <v>0</v>
      </c>
      <c r="K41" s="139">
        <f>MAX(($I$26-J41)/$I$26*I41,0)</f>
      </c>
    </row>
    <row r="42" spans="2:11" s="39" customFormat="1" x14ac:dyDescent="0.15">
      <c r="B42" s="29"/>
      <c r="C42" s="92" t="s">
        <v>108</v>
      </c>
      <c r="D42" s="141">
        <f>SUM(D52:D53)</f>
      </c>
      <c r="F42" s="2" t="s">
        <v>245</v>
      </c>
      <c r="G42" s="92"/>
      <c r="H42" s="92"/>
      <c r="I42" s="40">
        <v>0</v>
      </c>
      <c r="J42" s="189">
        <v>0</v>
      </c>
      <c r="K42" s="139">
        <f>MAX(($I$26-J42)/$I$26*I42,0)</f>
      </c>
    </row>
    <row r="43" spans="2:11" s="39" customFormat="1" x14ac:dyDescent="0.15">
      <c r="B43" s="29"/>
      <c r="C43" s="37" t="s">
        <v>110</v>
      </c>
      <c r="D43" s="38">
        <f>D41-D42</f>
      </c>
      <c r="F43" s="2" t="s">
        <v>246</v>
      </c>
      <c r="G43" s="92"/>
      <c r="H43" s="92"/>
      <c r="I43" s="40">
        <v>0</v>
      </c>
      <c r="J43" s="189">
        <v>0</v>
      </c>
      <c r="K43" s="139">
        <f>MAX(($I$26-J43)/$I$26*I43,0)</f>
      </c>
    </row>
    <row r="44" spans="2:11" s="39" customFormat="1" x14ac:dyDescent="0.15">
      <c r="B44" s="29"/>
      <c r="C44" s="92" t="str">
        <f>F53</f>
      </c>
      <c r="D44" s="141">
        <f>I53</f>
      </c>
      <c r="F44" s="2" t="s">
        <v>112</v>
      </c>
      <c r="I44" s="40">
        <v>0</v>
      </c>
      <c r="J44" s="189">
        <v>0</v>
      </c>
      <c r="K44" s="139">
        <f>MAX(($I$26-J44)/$I$26*I44,0)</f>
      </c>
    </row>
    <row r="45" spans="2:11" s="39" customFormat="1" x14ac:dyDescent="0.15">
      <c r="B45" s="29"/>
      <c r="C45" s="92" t="str">
        <f>F56</f>
      </c>
      <c r="D45" s="141">
        <f>I56</f>
      </c>
      <c r="F45" s="2" t="s">
        <v>113</v>
      </c>
      <c r="I45" s="40">
        <v>0</v>
      </c>
      <c r="J45" s="189">
        <v>0</v>
      </c>
      <c r="K45" s="139">
        <f>MAX(($I$26-J45)/$I$26*I45,0)</f>
      </c>
    </row>
    <row r="46" spans="2:11" s="39" customFormat="1" x14ac:dyDescent="0.15">
      <c r="B46" s="29"/>
      <c r="C46" s="92" t="str">
        <f>F57</f>
      </c>
      <c r="D46" s="141">
        <f>I57</f>
      </c>
      <c r="F46" s="39" t="s">
        <v>94</v>
      </c>
      <c r="G46" s="92"/>
      <c r="H46" s="92"/>
      <c r="K46" s="39">
        <f>SUM(K41:K45)</f>
      </c>
    </row>
    <row r="47" spans="2:11" s="39" customFormat="1" x14ac:dyDescent="0.15">
      <c r="B47" s="29"/>
      <c r="C47" s="92" t="str">
        <f>C54</f>
      </c>
      <c r="D47" s="30">
        <f>28000+(D54-8200)</f>
      </c>
    </row>
    <row r="48" spans="2:11" s="39" customFormat="1" x14ac:dyDescent="0.15">
      <c r="B48" s="29"/>
      <c r="C48" s="92" t="str">
        <f>C55</f>
      </c>
      <c r="D48" s="141">
        <f>D55</f>
      </c>
      <c r="F48" s="92"/>
    </row>
    <row r="49" spans="2:14" x14ac:dyDescent="0.15">
      <c r="C49" s="37" t="s">
        <v>4</v>
      </c>
      <c r="D49" s="38">
        <f>D40+SUM(D43:D46)-SUM(D47:D48)</f>
      </c>
    </row>
    <row r="51" spans="2:14" ht="14" x14ac:dyDescent="0.15">
      <c r="B51" s="128" t="s">
        <v>114</v>
      </c>
      <c r="D51" s="140" t="str">
        <f>YEAR($D$32)&amp;" "&amp;+D33</f>
      </c>
      <c r="I51" s="140" t="str">
        <f>D51</f>
      </c>
    </row>
    <row r="52" spans="2:14" x14ac:dyDescent="0.15">
      <c r="C52" s="92" t="s">
        <v>115</v>
      </c>
      <c r="D52" s="30">
        <v>7938</v>
      </c>
      <c r="F52" s="92" t="s">
        <v>116</v>
      </c>
      <c r="I52" s="30">
        <f>Company1930_data!G120</f>
      </c>
    </row>
    <row r="53" spans="2:14" x14ac:dyDescent="0.15">
      <c r="C53" s="92" t="s">
        <v>117</v>
      </c>
      <c r="D53" s="35">
        <v>655</v>
      </c>
      <c r="F53" s="92" t="s">
        <v>118</v>
      </c>
      <c r="I53" s="30">
        <v>0</v>
      </c>
      <c r="J53" s="94"/>
    </row>
    <row r="54" spans="2:14" x14ac:dyDescent="0.15">
      <c r="C54" s="92" t="s">
        <v>119</v>
      </c>
      <c r="D54" s="35">
        <v>11628</v>
      </c>
      <c r="F54" s="92" t="s">
        <v>120</v>
      </c>
      <c r="I54" s="30">
        <f>130380-SUM(I52:I53,I55:I57)</f>
      </c>
    </row>
    <row r="55" spans="2:14" x14ac:dyDescent="0.15">
      <c r="C55" s="92" t="s">
        <v>121</v>
      </c>
      <c r="D55" s="35">
        <f>6003+(357-12)</f>
      </c>
      <c r="F55" s="92" t="s">
        <v>122</v>
      </c>
      <c r="I55" s="30">
        <v>61504</v>
      </c>
    </row>
    <row r="56" spans="2:14" ht="14" x14ac:dyDescent="0.15">
      <c r="C56" s="92" t="s">
        <v>123</v>
      </c>
      <c r="D56" s="35">
        <f>130380-SUM(D52:D55)</f>
      </c>
      <c r="F56" s="92" t="s">
        <v>124</v>
      </c>
      <c r="I56" s="30">
        <v>0</v>
      </c>
      <c r="K56" s="143" t="s">
        <v>125</v>
      </c>
      <c r="L56" s="144"/>
      <c r="M56" s="144"/>
    </row>
    <row r="57" spans="2:14" x14ac:dyDescent="0.15">
      <c r="F57" s="92" t="s">
        <v>126</v>
      </c>
      <c r="I57" s="30">
        <v>1273</v>
      </c>
      <c r="K57" s="145" t="s">
        <v>127</v>
      </c>
      <c r="L57" s="146">
        <f>D35-D31</f>
      </c>
      <c r="M57" s="147"/>
    </row>
    <row r="58" spans="2:14" x14ac:dyDescent="0.15">
      <c r="C58" s="37" t="s">
        <v>128</v>
      </c>
      <c r="D58" s="39">
        <f>SUM(D52:D56)</f>
      </c>
      <c r="F58" s="37" t="s">
        <v>129</v>
      </c>
      <c r="I58" s="39">
        <f>SUM(I52:I57)</f>
      </c>
      <c r="K58" s="148" t="s">
        <v>130</v>
      </c>
      <c r="L58" s="106" t="s">
        <v>131</v>
      </c>
      <c r="M58" s="149" t="s">
        <v>132</v>
      </c>
    </row>
    <row r="59" spans="2:14" x14ac:dyDescent="0.15">
      <c r="C59" s="42" t="s">
        <v>133</v>
      </c>
      <c r="D59" s="43" t="str">
        <f>IF(D58=I58,"OK",D58-I58)</f>
      </c>
      <c r="K59" s="150">
        <f>MAX(-L57/365,0)</f>
      </c>
      <c r="L59" s="151">
        <f>1-K59-M59</f>
      </c>
      <c r="M59" s="152">
        <f>MAX(L57/365,0)</f>
      </c>
    </row>
    <row r="60" spans="2:14" x14ac:dyDescent="0.15">
      <c r="I60" s="44"/>
      <c r="J60" s="44"/>
      <c r="N60" s="130"/>
    </row>
    <row r="61" spans="2:14" ht="14" x14ac:dyDescent="0.15">
      <c r="B61" s="128" t="s">
        <v>134</v>
      </c>
      <c r="D61" s="140">
        <f>YEAR($D$31)-1</f>
      </c>
      <c r="E61" s="140">
        <f>YEAR($D$31)</f>
      </c>
      <c r="F61" s="140" t="s">
        <v>30</v>
      </c>
      <c r="G61" s="140" t="str">
        <f>YEAR($D$31)+1 &amp; "E"</f>
      </c>
      <c r="H61" s="140" t="str">
        <f>YEAR($D$31)+2 &amp; "E"</f>
      </c>
      <c r="I61" s="140" t="str">
        <f>YEAR($D$31)+3 &amp; "E"</f>
      </c>
      <c r="K61" s="132">
        <f>D35</f>
      </c>
      <c r="L61" s="132">
        <f>DATE(YEAR(K61)+1,MONTH(K61),DAY(K61))</f>
      </c>
      <c r="M61" s="132">
        <f>DATE(YEAR(L61)+1,MONTH(L61),DAY(L61))</f>
      </c>
    </row>
    <row r="62" spans="2:14" x14ac:dyDescent="0.15">
      <c r="C62" s="92" t="s">
        <v>51</v>
      </c>
      <c r="D62" s="106">
        <f>VLOOKUP($C62,Company1930_data!Data,5,0)</f>
      </c>
      <c r="E62" s="106">
        <f>VLOOKUP($C62,Company1930_data!Data,6,0)</f>
      </c>
      <c r="F62" s="106">
        <f>VLOOKUP($C62,Company1930_data!Data,7,0)</f>
      </c>
      <c r="G62" s="106">
        <f>VLOOKUP($C62,Company1930_data!Data,10,0)</f>
      </c>
      <c r="H62" s="106">
        <f>VLOOKUP($C62,Company1930_data!Data,11,0)</f>
      </c>
      <c r="I62" s="106">
        <f>VLOOKUP($C62,Company1930_data!Data,12,0)</f>
      </c>
      <c r="K62" s="92">
        <f>D62*$K$59+E62*$L$59+G62*$M$59</f>
      </c>
      <c r="L62" s="92">
        <f>E62*$K$59+G62*$L$59+H62*$M$59</f>
      </c>
      <c r="M62" s="92">
        <f>G62*$K$59+H62*$L$59+I62*$M$59</f>
      </c>
    </row>
    <row r="63" spans="2:14" x14ac:dyDescent="0.15">
      <c r="C63" s="92" t="s">
        <v>25</v>
      </c>
      <c r="D63" s="106">
        <f>VLOOKUP($C63,Company1930_data!Data,5,0)</f>
      </c>
      <c r="E63" s="106">
        <f>VLOOKUP($C63,Company1930_data!Data,6,0)</f>
      </c>
      <c r="F63" s="106">
        <f>VLOOKUP($C63,Company1930_data!Data,7,0)</f>
      </c>
      <c r="G63" s="106">
        <f>VLOOKUP($C63,Company1930_data!Data,10,0)</f>
      </c>
      <c r="H63" s="106">
        <f>VLOOKUP($C63,Company1930_data!Data,11,0)</f>
      </c>
      <c r="I63" s="106">
        <f>VLOOKUP($C63,Company1930_data!Data,12,0)</f>
      </c>
      <c r="K63" s="92">
        <f>D63*$K$59+E63*$L$59+G63*$M$59</f>
      </c>
      <c r="L63" s="92">
        <f>E63*$K$59+G63*$L$59+H63*$M$59</f>
      </c>
      <c r="M63" s="92">
        <f>G63*$K$59+H63*$L$59+I63*$M$59</f>
      </c>
    </row>
    <row r="64" spans="2:14" x14ac:dyDescent="0.15">
      <c r="C64" s="92" t="s">
        <v>26</v>
      </c>
      <c r="D64" s="106">
        <f>VLOOKUP($C64,Company1930_data!Data,5,0)</f>
      </c>
      <c r="E64" s="106">
        <f>VLOOKUP($C64,Company1930_data!Data,6,0)</f>
      </c>
      <c r="F64" s="106">
        <f>VLOOKUP($C64,Company1930_data!Data,7,0)</f>
      </c>
      <c r="G64" s="106">
        <f>VLOOKUP($C64,Company1930_data!Data,10,0)</f>
      </c>
      <c r="H64" s="106">
        <f>VLOOKUP($C64,Company1930_data!Data,11,0)</f>
      </c>
      <c r="I64" s="106">
        <f>VLOOKUP($C64,Company1930_data!Data,12,0)</f>
      </c>
      <c r="K64" s="92">
        <f>D64*$K$59+E64*$L$59+G64*$M$59</f>
      </c>
      <c r="L64" s="92">
        <f>E64*$K$59+G64*$L$59+H64*$M$59</f>
      </c>
      <c r="M64" s="92">
        <f>G64*$K$59+H64*$L$59+I64*$M$59</f>
      </c>
    </row>
    <row r="65" spans="1:13" x14ac:dyDescent="0.15">
      <c r="C65" s="92" t="s">
        <v>136</v>
      </c>
      <c r="D65" s="188">
        <f>VLOOKUP($C65,Company1930_data!Data,5,0)</f>
      </c>
      <c r="E65" s="188">
        <f>VLOOKUP($C65,Company1930_data!Data,6,0)</f>
      </c>
      <c r="F65" s="191"/>
      <c r="G65" s="188">
        <f>VLOOKUP($C65,Company1930_data!Data,10,0)</f>
      </c>
      <c r="H65" s="188">
        <f>VLOOKUP($C65,Company1930_data!Data,11,0)</f>
      </c>
      <c r="I65" s="188">
        <f>VLOOKUP($C65,Company1930_data!Data,12,0)</f>
      </c>
      <c r="K65" s="188">
        <f>D65*$K$59+E65*$L$59+G65*$M$59</f>
      </c>
      <c r="L65" s="188">
        <f>E65*$K$59+G65*$L$59+H65*$M$59</f>
      </c>
      <c r="M65" s="188">
        <f>G65*$K$59+H65*$L$59+I65*$M$59</f>
      </c>
    </row>
    <row r="66" spans="1:13" x14ac:dyDescent="0.15">
      <c r="C66" s="45"/>
      <c r="D66" s="46"/>
      <c r="E66" s="46"/>
      <c r="F66" s="46"/>
      <c r="G66" s="46"/>
      <c r="I66" s="47"/>
      <c r="J66" s="47"/>
      <c r="K66" s="47"/>
    </row>
    <row r="67" spans="1:13" x14ac:dyDescent="0.15">
      <c r="H67" s="29"/>
    </row>
    <row r="68" spans="1:13" x14ac:dyDescent="0.15">
      <c r="H68" s="69"/>
    </row>
    <row r="69" spans="1:13" x14ac:dyDescent="0.15">
      <c r="H69" s="133"/>
    </row>
    <row r="70" spans="1:13" x14ac:dyDescent="0.15">
      <c r="H70" s="133"/>
    </row>
    <row r="72" spans="1:13" ht="12.75" customHeight="1" x14ac:dyDescent="0.2">
      <c r="A72" s="28"/>
    </row>
    <row r="73" spans="1:13" ht="12.75" customHeight="1" x14ac:dyDescent="0.2">
      <c r="A73" s="28"/>
      <c r="E73" s="135"/>
    </row>
    <row r="74" spans="1:13" ht="12.75" customHeight="1" x14ac:dyDescent="0.2">
      <c r="A74" s="28"/>
    </row>
    <row r="75" spans="1:13" ht="12.75" customHeight="1" x14ac:dyDescent="0.2">
      <c r="A75" s="28"/>
    </row>
    <row r="76" spans="1:13" ht="16" x14ac:dyDescent="0.2">
      <c r="A76" s="28"/>
    </row>
    <row r="77" spans="1:13" ht="16" x14ac:dyDescent="0.2">
      <c r="A77" s="28"/>
    </row>
    <row r="78" spans="1:13" ht="16" x14ac:dyDescent="0.2">
      <c r="A78" s="28"/>
    </row>
    <row r="79" spans="1:13" ht="16" x14ac:dyDescent="0.2">
      <c r="A79" s="28"/>
    </row>
    <row r="80" spans="1:13" ht="16" x14ac:dyDescent="0.2">
      <c r="A80" s="28"/>
    </row>
    <row r="81" spans="1:1" ht="16" x14ac:dyDescent="0.2">
      <c r="A81" s="28"/>
    </row>
    <row r="82" spans="1:1" ht="16" x14ac:dyDescent="0.2">
      <c r="A82" s="28"/>
    </row>
    <row r="83" spans="1:1" ht="16" x14ac:dyDescent="0.2">
      <c r="A83" s="28"/>
    </row>
    <row r="101" collapsed="1" x14ac:dyDescent="0.15"/>
  </sheetData>
  <dataValidations count="7">
    <dataValidation type="list" allowBlank="1" showInputMessage="1" showErrorMessage="1" prompt="Input 1, 2 or 3 to indicate which quarter data has been spread. Leave blank if annual data." sqref="D34" xr:uid="{00000000-0002-0000-0800-000000000000}">
      <formula1>"1,2,3,,"</formula1>
    </dataValidation>
    <dataValidation type="list" allowBlank="1" showInputMessage="1" showErrorMessage="1" sqref="D33" xr:uid="{00000000-0002-0000-0800-000001000000}">
      <formula1>"Ticker0019,Q,Annual,Interim"</formula1>
    </dataValidation>
    <dataValidation allowBlank="1" showInputMessage="1" showErrorMessage="1" prompt="The standard currency is the currency in which you would like the analysis presented. For example, it may be target company's home currency." sqref="D30" xr:uid="{00000000-0002-0000-0800-000002000000}"/>
    <dataValidation allowBlank="1" showInputMessage="1" showErrorMessage="1" prompt="Often labeled as cash and cash equivalents on balance sheet" sqref="D52" xr:uid="{00000000-0002-0000-0800-000003000000}"/>
    <dataValidation allowBlank="1" showInputMessage="1" showErrorMessage="1" prompt="Include short-term liquid financial assets such as marketable securities, short-term investments, etc." sqref="D53" xr:uid="{00000000-0002-0000-0800-000004000000}"/>
    <dataValidation allowBlank="1" showInputMessage="1" showErrorMessage="1" prompt="Include all assets that are operating in nature e.g. inventories, accounts receivable, PP&amp;E etc" sqref="D56" xr:uid="{00000000-0002-0000-0800-000005000000}"/>
    <dataValidation allowBlank="1" showInputMessage="1" showErrorMessage="1" prompt="Exclude preferred stock and NCI" sqref="I55" xr:uid="{00000000-0002-0000-0800-000006000000}"/>
  </dataValidations>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1" manualBreakCount="1">
    <brk id="22"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39"/>
    <pageSetUpPr autoPageBreaks="0" fitToPage="1"/>
  </sheetPr>
  <dimension ref="A1:X138"/>
  <sheetViews>
    <sheetView showGridLines="0" zoomScaleNormal="100" workbookViewId="0"/>
  </sheetViews>
  <sheetFormatPr baseColWidth="10" defaultColWidth="9.5" defaultRowHeight="13" x14ac:dyDescent="0.15"/>
  <cols>
    <col min="1" max="1" width="2.5" style="92" customWidth="1"/>
    <col min="2" max="2" width="47.83203125" style="92" customWidth="1"/>
    <col min="3" max="13" width="10.5" style="92" customWidth="1"/>
    <col min="14" max="14" width="12.5" style="92" bestFit="1" customWidth="1"/>
    <col min="15" max="15" width="12" style="92" bestFit="1" customWidth="1"/>
    <col min="16" max="16384" width="9.5" style="92"/>
  </cols>
  <sheetData>
    <row r="1" spans="1:19" s="123" customFormat="1" ht="18" x14ac:dyDescent="0.2">
      <c r="A1" s="85" t="s">
        <v>285</v>
      </c>
      <c r="B1" s="121"/>
      <c r="C1" s="122"/>
      <c r="D1" s="122"/>
      <c r="E1" s="122"/>
      <c r="F1" s="122"/>
      <c r="G1" s="122"/>
      <c r="H1" s="122"/>
      <c r="I1" s="122"/>
      <c r="J1" s="122"/>
      <c r="K1" s="122"/>
      <c r="L1" s="122"/>
      <c r="M1" s="122"/>
      <c r="N1" s="122"/>
      <c r="O1" s="122"/>
      <c r="P1" s="122"/>
    </row>
    <row r="2" spans="1:19" s="175" customFormat="1" ht="15" customHeight="1" x14ac:dyDescent="0.15">
      <c r="A2" s="176"/>
      <c r="B2" s="171"/>
      <c r="C2" s="172" t="s">
        <v>142</v>
      </c>
      <c r="D2" s="172" t="s">
        <v>142</v>
      </c>
      <c r="E2" s="172" t="s">
        <v>142</v>
      </c>
      <c r="F2" s="172" t="s">
        <v>142</v>
      </c>
      <c r="G2" s="172" t="s">
        <v>142</v>
      </c>
      <c r="H2" s="172"/>
      <c r="I2" s="172" t="s">
        <v>143</v>
      </c>
      <c r="J2" s="172" t="s">
        <v>143</v>
      </c>
      <c r="K2" s="172" t="s">
        <v>144</v>
      </c>
      <c r="L2" s="172" t="s">
        <v>144</v>
      </c>
      <c r="M2" s="172" t="s">
        <v>144</v>
      </c>
      <c r="N2" s="173"/>
      <c r="O2" s="173"/>
      <c r="P2" s="173"/>
      <c r="Q2" s="173"/>
      <c r="R2" s="174"/>
      <c r="S2" s="174"/>
    </row>
    <row r="3" spans="1:19" s="87" customFormat="1" ht="19" thickBot="1" x14ac:dyDescent="0.25">
      <c r="A3" s="88" t="s">
        <v>145</v>
      </c>
      <c r="B3" s="124"/>
      <c r="C3" s="125">
        <f>EDATE(D3,-12)</f>
      </c>
      <c r="D3" s="125">
        <f>EDATE(E3,-12)</f>
      </c>
      <c r="E3" s="125">
        <f>EDATE(F3,-12)</f>
      </c>
      <c r="F3" s="125">
        <f>EDATE(G3,-12)</f>
      </c>
      <c r="G3" s="125">
        <f>Company1930!D31</f>
      </c>
      <c r="H3" s="125" t="s">
        <v>30</v>
      </c>
      <c r="I3" s="125" t="s">
        <v>146</v>
      </c>
      <c r="J3" s="125" t="s">
        <v>147</v>
      </c>
      <c r="K3" s="125">
        <f>EDATE(G3,12)</f>
      </c>
      <c r="L3" s="125">
        <f>EDATE(K3,12)</f>
      </c>
      <c r="M3" s="125">
        <f>EDATE(L3,12)</f>
      </c>
      <c r="N3" s="125"/>
      <c r="O3" s="125"/>
      <c r="P3" s="125"/>
    </row>
    <row r="4" spans="1:19" ht="14" thickTop="1" x14ac:dyDescent="0.15"/>
    <row r="5" spans="1:19" ht="14" x14ac:dyDescent="0.15">
      <c r="A5" s="93" t="s">
        <v>148</v>
      </c>
      <c r="B5" s="1"/>
      <c r="C5" s="1"/>
      <c r="D5" s="1"/>
      <c r="E5" s="48"/>
      <c r="F5" s="48"/>
      <c r="G5" s="48"/>
      <c r="H5" s="48"/>
      <c r="I5" s="48"/>
      <c r="J5" s="48"/>
      <c r="K5" s="48"/>
      <c r="L5" s="48"/>
      <c r="M5" s="48"/>
    </row>
    <row r="6" spans="1:19" x14ac:dyDescent="0.15">
      <c r="B6" s="92" t="s">
        <v>51</v>
      </c>
      <c r="C6" s="92">
        <f>C27</f>
      </c>
      <c r="D6" s="92">
        <f>D27</f>
      </c>
      <c r="E6" s="92">
        <f>E27</f>
      </c>
      <c r="F6" s="92">
        <f>F27</f>
      </c>
      <c r="G6" s="92">
        <f>G27</f>
      </c>
      <c r="H6" s="92">
        <f>G6-I6+J6</f>
      </c>
      <c r="I6" s="92">
        <f>I27</f>
      </c>
      <c r="J6" s="92">
        <f>J27</f>
      </c>
      <c r="K6" s="35">
        <v>91665</v>
      </c>
      <c r="L6" s="35">
        <v>94959</v>
      </c>
      <c r="M6" s="35">
        <v>98343.7</v>
      </c>
    </row>
    <row r="7" spans="1:19" x14ac:dyDescent="0.15">
      <c r="B7" s="92" t="s">
        <v>25</v>
      </c>
      <c r="F7" s="92">
        <f>F52</f>
      </c>
      <c r="G7" s="92">
        <f>G52</f>
      </c>
      <c r="H7" s="92">
        <f>G7-I7+J7</f>
      </c>
      <c r="I7" s="92">
        <f>I52</f>
      </c>
      <c r="J7" s="92">
        <f>J52</f>
      </c>
      <c r="K7" s="35">
        <v>18712</v>
      </c>
      <c r="L7" s="35">
        <v>19906.5</v>
      </c>
      <c r="M7" s="35">
        <v>21248</v>
      </c>
    </row>
    <row r="8" spans="1:19" x14ac:dyDescent="0.15">
      <c r="B8" s="92" t="s">
        <v>26</v>
      </c>
      <c r="F8" s="92">
        <f>F46</f>
      </c>
      <c r="G8" s="92">
        <f>G46</f>
      </c>
      <c r="H8" s="92">
        <f>G8-I8+J8</f>
      </c>
      <c r="I8" s="92">
        <f>I46</f>
      </c>
      <c r="J8" s="92">
        <f>J46</f>
      </c>
      <c r="K8" s="35">
        <v>15406</v>
      </c>
      <c r="L8" s="35">
        <v>16416</v>
      </c>
      <c r="M8" s="35">
        <v>17643</v>
      </c>
    </row>
    <row r="9" spans="1:19" x14ac:dyDescent="0.15">
      <c r="B9" s="92" t="s">
        <v>136</v>
      </c>
      <c r="E9" s="102"/>
      <c r="F9" s="102">
        <f>F85</f>
      </c>
      <c r="G9" s="102">
        <f>G85</f>
      </c>
      <c r="H9" s="49"/>
      <c r="I9" s="49"/>
      <c r="J9" s="49"/>
      <c r="K9" s="187">
        <v>3.85</v>
      </c>
      <c r="L9" s="187">
        <v>4.1749999999999998</v>
      </c>
      <c r="M9" s="187">
        <v>4.63</v>
      </c>
    </row>
    <row r="10" spans="1:19" x14ac:dyDescent="0.15">
      <c r="N10" s="130" t="s">
        <v>59</v>
      </c>
      <c r="O10" s="130" t="s">
        <v>59</v>
      </c>
    </row>
    <row r="11" spans="1:19" ht="14" x14ac:dyDescent="0.15">
      <c r="A11" s="158" t="s">
        <v>149</v>
      </c>
      <c r="N11" s="159" t="str">
        <f>TEXT(YEAR(C3),"0000")&amp;" - "&amp;TEXT(YEAR(G3),"0000")</f>
      </c>
      <c r="O11" s="159" t="str">
        <f>TEXT(YEAR(G3),"0000")&amp;" - "&amp;TEXT(YEAR(M3),"0000")</f>
      </c>
    </row>
    <row r="12" spans="1:19" x14ac:dyDescent="0.15">
      <c r="A12" s="39"/>
      <c r="B12" s="92" t="s">
        <v>150</v>
      </c>
      <c r="D12" s="160">
        <f>D28</f>
      </c>
      <c r="E12" s="160">
        <f>E28</f>
      </c>
      <c r="F12" s="160">
        <f>F28</f>
      </c>
      <c r="G12" s="160">
        <f>G28</f>
      </c>
      <c r="K12" s="160">
        <f>K6/G6-1</f>
      </c>
      <c r="L12" s="160">
        <f>L6/K6-1</f>
      </c>
      <c r="M12" s="160">
        <f>M6/L6-1</f>
      </c>
      <c r="N12" s="160">
        <f>(G6/C6)^(1/4)-1</f>
      </c>
      <c r="O12" s="160">
        <f>(M6/G6)^(1/3)-1</f>
      </c>
    </row>
    <row r="13" spans="1:19" x14ac:dyDescent="0.15">
      <c r="A13" s="39"/>
      <c r="B13" s="92" t="str">
        <f>B32</f>
      </c>
      <c r="D13" s="160"/>
      <c r="E13" s="160"/>
      <c r="F13" s="160">
        <f>F32</f>
      </c>
      <c r="G13" s="160">
        <f>G32</f>
      </c>
      <c r="I13" s="160"/>
    </row>
    <row r="14" spans="1:19" x14ac:dyDescent="0.15">
      <c r="B14" s="92" t="s">
        <v>151</v>
      </c>
      <c r="F14" s="160">
        <f t="shared" ref="F14:M14" si="0">F7/F6</f>
      </c>
      <c r="G14" s="160">
        <f t="shared" si="0"/>
      </c>
      <c r="H14" s="160">
        <f t="shared" si="0"/>
      </c>
      <c r="I14" s="160" t="e">
        <f t="shared" si="0"/>
      </c>
      <c r="J14" s="160" t="e">
        <f t="shared" si="0"/>
      </c>
      <c r="K14" s="160">
        <f t="shared" si="0"/>
      </c>
      <c r="L14" s="160">
        <f t="shared" si="0"/>
      </c>
      <c r="M14" s="160">
        <f t="shared" si="0"/>
      </c>
    </row>
    <row r="15" spans="1:19" x14ac:dyDescent="0.15">
      <c r="A15" s="39"/>
      <c r="B15" s="92" t="s">
        <v>152</v>
      </c>
      <c r="F15" s="160">
        <f t="shared" ref="F15:M15" si="1">F8/F6</f>
      </c>
      <c r="G15" s="160">
        <f t="shared" si="1"/>
      </c>
      <c r="H15" s="160">
        <f t="shared" si="1"/>
      </c>
      <c r="I15" s="160" t="e">
        <f t="shared" si="1"/>
      </c>
      <c r="J15" s="160" t="e">
        <f t="shared" si="1"/>
      </c>
      <c r="K15" s="160">
        <f t="shared" si="1"/>
      </c>
      <c r="L15" s="160">
        <f t="shared" si="1"/>
      </c>
      <c r="M15" s="160">
        <f t="shared" si="1"/>
      </c>
    </row>
    <row r="16" spans="1:19" x14ac:dyDescent="0.15">
      <c r="B16" s="92" t="s">
        <v>153</v>
      </c>
      <c r="F16" s="160">
        <f>F103</f>
      </c>
      <c r="G16" s="160">
        <f>G103</f>
      </c>
    </row>
    <row r="17" spans="1:17" x14ac:dyDescent="0.15">
      <c r="B17" s="92" t="s">
        <v>154</v>
      </c>
      <c r="F17" s="160">
        <f>F110</f>
      </c>
      <c r="G17" s="160">
        <f>G110</f>
      </c>
    </row>
    <row r="18" spans="1:17" x14ac:dyDescent="0.15">
      <c r="B18" s="92" t="s">
        <v>155</v>
      </c>
      <c r="F18" s="92">
        <f>F112</f>
      </c>
      <c r="G18" s="92">
        <f>G112</f>
      </c>
    </row>
    <row r="19" spans="1:17" x14ac:dyDescent="0.15">
      <c r="B19" s="92" t="s">
        <v>156</v>
      </c>
      <c r="F19" s="92">
        <f>F123</f>
      </c>
      <c r="G19" s="92">
        <f>G123</f>
      </c>
    </row>
    <row r="20" spans="1:17" x14ac:dyDescent="0.15">
      <c r="B20" s="92" t="s">
        <v>157</v>
      </c>
      <c r="F20" s="92">
        <f>F124</f>
      </c>
      <c r="G20" s="92">
        <f>G124</f>
      </c>
    </row>
    <row r="21" spans="1:17" x14ac:dyDescent="0.15">
      <c r="B21" s="92" t="s">
        <v>158</v>
      </c>
      <c r="F21" s="92">
        <f>F127</f>
      </c>
      <c r="G21" s="92">
        <f>G127</f>
      </c>
    </row>
    <row r="22" spans="1:17" x14ac:dyDescent="0.15">
      <c r="B22" s="92" t="str">
        <f>B129</f>
      </c>
      <c r="F22" s="160">
        <f>F129</f>
      </c>
      <c r="G22" s="160">
        <f>G129</f>
      </c>
    </row>
    <row r="23" spans="1:17" x14ac:dyDescent="0.15">
      <c r="B23" s="92" t="s">
        <v>62</v>
      </c>
      <c r="F23" s="160">
        <f>F138</f>
      </c>
      <c r="G23" s="160">
        <f>G138</f>
      </c>
    </row>
    <row r="24" spans="1:17" x14ac:dyDescent="0.15">
      <c r="B24" s="92" t="s">
        <v>63</v>
      </c>
      <c r="F24" s="160">
        <f>F132</f>
      </c>
      <c r="G24" s="160">
        <f>G132</f>
      </c>
    </row>
    <row r="26" spans="1:17" ht="14" x14ac:dyDescent="0.15">
      <c r="A26" s="93" t="s">
        <v>159</v>
      </c>
    </row>
    <row r="27" spans="1:17" x14ac:dyDescent="0.15">
      <c r="B27" s="92" t="s">
        <v>51</v>
      </c>
      <c r="C27" s="35">
        <f>92158</f>
      </c>
      <c r="D27" s="35">
        <f>91612</f>
      </c>
      <c r="E27" s="35">
        <f>88785</f>
      </c>
      <c r="F27" s="35">
        <f>89469</f>
      </c>
      <c r="G27" s="35">
        <v>89791</v>
      </c>
      <c r="I27" s="35">
        <v>0</v>
      </c>
      <c r="J27" s="35">
        <v>0</v>
      </c>
      <c r="K27" s="2"/>
    </row>
    <row r="28" spans="1:17" s="1" customFormat="1" x14ac:dyDescent="0.15">
      <c r="B28" s="92" t="s">
        <v>160</v>
      </c>
      <c r="C28" s="27"/>
      <c r="D28" s="27">
        <f>D27/C27-1</f>
      </c>
      <c r="E28" s="27">
        <f>E27/D27-1</f>
      </c>
      <c r="F28" s="27">
        <f>F27/E27-1</f>
      </c>
      <c r="G28" s="53">
        <f>G27/F27-1</f>
      </c>
      <c r="H28" s="92"/>
      <c r="I28" s="53" t="e">
        <f>I27/H27-1</f>
      </c>
      <c r="J28" s="53" t="e">
        <f>J27/I27-1</f>
      </c>
      <c r="K28" s="52"/>
      <c r="N28" s="92"/>
      <c r="O28" s="92"/>
      <c r="P28" s="92"/>
      <c r="Q28" s="92"/>
    </row>
    <row r="29" spans="1:17" x14ac:dyDescent="0.15">
      <c r="F29" s="27"/>
      <c r="G29" s="53"/>
      <c r="I29" s="53"/>
      <c r="J29" s="53"/>
      <c r="K29" s="54"/>
    </row>
    <row r="30" spans="1:17" x14ac:dyDescent="0.15">
      <c r="B30" s="92" t="s">
        <v>161</v>
      </c>
      <c r="F30" s="161">
        <f>44199</f>
      </c>
      <c r="G30" s="161">
        <v>44923</v>
      </c>
      <c r="I30" s="161">
        <v>0</v>
      </c>
      <c r="J30" s="161">
        <v>0</v>
      </c>
    </row>
    <row r="31" spans="1:17" s="39" customFormat="1" x14ac:dyDescent="0.15">
      <c r="B31" s="39" t="s">
        <v>162</v>
      </c>
      <c r="F31" s="39">
        <f>F27-F30</f>
      </c>
      <c r="G31" s="39">
        <f>G27-G30</f>
      </c>
      <c r="I31" s="39">
        <f>I27-I30</f>
      </c>
      <c r="J31" s="39">
        <f>J27-J30</f>
      </c>
      <c r="K31" s="56"/>
    </row>
    <row r="32" spans="1:17" x14ac:dyDescent="0.15">
      <c r="B32" s="92" t="s">
        <v>163</v>
      </c>
      <c r="F32" s="27">
        <f>F31/F27</f>
      </c>
      <c r="G32" s="27">
        <f>G31/G27</f>
      </c>
      <c r="I32" s="27" t="e">
        <f>I31/I27</f>
      </c>
      <c r="J32" s="27" t="e">
        <f>J31/J27</f>
      </c>
      <c r="K32" s="54"/>
    </row>
    <row r="33" spans="2:17" x14ac:dyDescent="0.15">
      <c r="F33" s="53"/>
      <c r="G33" s="53"/>
      <c r="I33" s="53"/>
      <c r="J33" s="53"/>
      <c r="K33" s="54"/>
    </row>
    <row r="34" spans="2:17" x14ac:dyDescent="0.15">
      <c r="B34" s="92" t="s">
        <v>164</v>
      </c>
      <c r="C34" s="39"/>
      <c r="D34" s="39"/>
      <c r="F34" s="161">
        <f>13163</f>
      </c>
      <c r="G34" s="161">
        <v>10112</v>
      </c>
      <c r="I34" s="35">
        <v>0</v>
      </c>
      <c r="J34" s="35">
        <v>0</v>
      </c>
      <c r="K34" s="2"/>
    </row>
    <row r="35" spans="2:17" s="1" customFormat="1" x14ac:dyDescent="0.15">
      <c r="B35" s="92" t="s">
        <v>165</v>
      </c>
      <c r="C35" s="92"/>
      <c r="D35" s="92"/>
      <c r="E35" s="92"/>
      <c r="F35" s="53">
        <f>F34/F27</f>
      </c>
      <c r="G35" s="53">
        <f>G34/G27</f>
      </c>
      <c r="H35" s="92"/>
      <c r="I35" s="53" t="e">
        <f>I34/I27</f>
      </c>
      <c r="J35" s="53" t="e">
        <f>J34/J27</f>
      </c>
      <c r="K35" s="52"/>
    </row>
    <row r="36" spans="2:17" x14ac:dyDescent="0.15">
      <c r="B36" s="2" t="s">
        <v>286</v>
      </c>
      <c r="C36" s="2"/>
      <c r="D36" s="2"/>
      <c r="F36" s="35">
        <v>-99</v>
      </c>
      <c r="G36" s="35">
        <v>-111</v>
      </c>
      <c r="I36" s="35">
        <v>0</v>
      </c>
      <c r="J36" s="35">
        <v>0</v>
      </c>
    </row>
    <row r="37" spans="2:17" x14ac:dyDescent="0.15">
      <c r="B37" s="2" t="s">
        <v>287</v>
      </c>
      <c r="C37" s="2"/>
      <c r="D37" s="2"/>
      <c r="F37" s="35">
        <f>713</f>
      </c>
      <c r="G37" s="35">
        <v>1607</v>
      </c>
      <c r="I37" s="35">
        <v>0</v>
      </c>
      <c r="J37" s="35">
        <v>0</v>
      </c>
    </row>
    <row r="38" spans="2:17" x14ac:dyDescent="0.15">
      <c r="B38" s="2" t="s">
        <v>288</v>
      </c>
      <c r="C38" s="2"/>
      <c r="D38" s="2"/>
      <c r="F38" s="35">
        <v>-354</v>
      </c>
      <c r="G38" s="35">
        <v>-379</v>
      </c>
      <c r="I38" s="35">
        <v>0</v>
      </c>
      <c r="J38" s="35">
        <v>0</v>
      </c>
      <c r="K38" s="2"/>
    </row>
    <row r="39" spans="2:17" x14ac:dyDescent="0.15">
      <c r="B39" s="2" t="s">
        <v>289</v>
      </c>
      <c r="C39" s="2"/>
      <c r="D39" s="2"/>
      <c r="F39" s="35">
        <v>884</v>
      </c>
      <c r="G39" s="35">
        <v>3500</v>
      </c>
      <c r="I39" s="35">
        <v>0</v>
      </c>
      <c r="J39" s="35">
        <v>0</v>
      </c>
      <c r="K39" s="2"/>
    </row>
    <row r="40" spans="2:17" ht="14" x14ac:dyDescent="0.15">
      <c r="B40" s="57" t="s">
        <v>252</v>
      </c>
      <c r="C40" s="2"/>
      <c r="D40" s="2"/>
      <c r="F40" s="35">
        <v>0</v>
      </c>
      <c r="G40" s="35">
        <v>0</v>
      </c>
      <c r="I40" s="35">
        <v>0</v>
      </c>
      <c r="J40" s="35">
        <v>0</v>
      </c>
      <c r="K40" s="2"/>
    </row>
    <row r="41" spans="2:17" ht="14" x14ac:dyDescent="0.15">
      <c r="B41" s="57" t="s">
        <v>171</v>
      </c>
      <c r="C41" s="57"/>
      <c r="D41" s="57"/>
      <c r="F41" s="35">
        <v>0</v>
      </c>
      <c r="G41" s="35">
        <v>0</v>
      </c>
      <c r="I41" s="35">
        <v>0</v>
      </c>
      <c r="J41" s="35">
        <v>0</v>
      </c>
      <c r="K41" s="2"/>
    </row>
    <row r="42" spans="2:17" x14ac:dyDescent="0.15">
      <c r="B42" s="2" t="s">
        <v>172</v>
      </c>
      <c r="C42" s="2"/>
      <c r="D42" s="2"/>
      <c r="F42" s="35">
        <v>0</v>
      </c>
      <c r="G42" s="35">
        <v>0</v>
      </c>
      <c r="I42" s="35">
        <v>0</v>
      </c>
      <c r="J42" s="35">
        <v>0</v>
      </c>
      <c r="K42" s="2"/>
    </row>
    <row r="43" spans="2:17" x14ac:dyDescent="0.15">
      <c r="B43" s="2" t="s">
        <v>173</v>
      </c>
      <c r="C43" s="2"/>
      <c r="D43" s="2"/>
      <c r="F43" s="35">
        <v>0</v>
      </c>
      <c r="G43" s="35">
        <v>0</v>
      </c>
      <c r="I43" s="35">
        <v>0</v>
      </c>
      <c r="J43" s="35">
        <v>0</v>
      </c>
      <c r="K43" s="2"/>
    </row>
    <row r="44" spans="2:17" x14ac:dyDescent="0.15">
      <c r="B44" s="2" t="s">
        <v>174</v>
      </c>
      <c r="C44" s="2"/>
      <c r="D44" s="2"/>
      <c r="F44" s="35">
        <v>0</v>
      </c>
      <c r="G44" s="35">
        <v>0</v>
      </c>
      <c r="I44" s="35">
        <v>0</v>
      </c>
      <c r="J44" s="35">
        <v>0</v>
      </c>
      <c r="K44" s="2"/>
    </row>
    <row r="45" spans="2:17" x14ac:dyDescent="0.15">
      <c r="B45" s="2" t="s">
        <v>175</v>
      </c>
      <c r="C45" s="2"/>
      <c r="D45" s="2"/>
      <c r="F45" s="35">
        <v>0</v>
      </c>
      <c r="G45" s="35">
        <v>0</v>
      </c>
      <c r="I45" s="35">
        <v>0</v>
      </c>
      <c r="J45" s="35">
        <v>0</v>
      </c>
      <c r="K45" s="2"/>
    </row>
    <row r="46" spans="2:17" s="39" customFormat="1" x14ac:dyDescent="0.15">
      <c r="B46" s="39" t="s">
        <v>26</v>
      </c>
      <c r="F46" s="39">
        <f>F34+SUM(F36:F45)</f>
      </c>
      <c r="G46" s="39">
        <f>G34+SUM(G36:G45)</f>
      </c>
      <c r="I46" s="39">
        <f>I34+SUM(I36:I45)</f>
      </c>
      <c r="J46" s="39">
        <f>J34+SUM(J36:J45)</f>
      </c>
    </row>
    <row r="47" spans="2:17" s="1" customFormat="1" x14ac:dyDescent="0.15">
      <c r="B47" s="92" t="s">
        <v>152</v>
      </c>
      <c r="C47" s="92"/>
      <c r="D47" s="92"/>
      <c r="E47" s="92"/>
      <c r="F47" s="53">
        <f>F46/F27</f>
      </c>
      <c r="G47" s="53">
        <f>G46/G27</f>
      </c>
      <c r="H47" s="92"/>
      <c r="I47" s="53" t="e">
        <f>I46/I27</f>
      </c>
      <c r="J47" s="53" t="e">
        <f>J46/J27</f>
      </c>
      <c r="K47" s="52"/>
      <c r="L47" s="92"/>
      <c r="N47" s="92"/>
      <c r="O47" s="92"/>
      <c r="P47" s="92"/>
      <c r="Q47" s="92"/>
    </row>
    <row r="48" spans="2:17" x14ac:dyDescent="0.15">
      <c r="F48" s="53"/>
      <c r="G48" s="53"/>
      <c r="I48" s="53"/>
      <c r="J48" s="53"/>
      <c r="K48" s="54"/>
    </row>
    <row r="49" spans="2:24" x14ac:dyDescent="0.15">
      <c r="B49" s="92" t="s">
        <v>176</v>
      </c>
      <c r="F49" s="35">
        <f>2795</f>
      </c>
      <c r="G49" s="35">
        <v>2853</v>
      </c>
      <c r="I49" s="35">
        <v>0</v>
      </c>
      <c r="J49" s="35">
        <v>0</v>
      </c>
      <c r="K49" s="2"/>
    </row>
    <row r="50" spans="2:24" x14ac:dyDescent="0.15">
      <c r="B50" s="92" t="s">
        <v>177</v>
      </c>
      <c r="F50" s="35">
        <v>337</v>
      </c>
      <c r="G50" s="35">
        <v>374</v>
      </c>
      <c r="I50" s="35">
        <v>0</v>
      </c>
      <c r="J50" s="35">
        <v>0</v>
      </c>
      <c r="K50" s="2"/>
    </row>
    <row r="51" spans="2:24" x14ac:dyDescent="0.15">
      <c r="B51" s="92" t="s">
        <v>178</v>
      </c>
      <c r="F51" s="92">
        <f>SUM(F49:F50)</f>
      </c>
      <c r="G51" s="92">
        <f>SUM(G49:G50)</f>
      </c>
      <c r="I51" s="92">
        <f>SUM(I49:I50)</f>
      </c>
      <c r="J51" s="92">
        <f>SUM(J49:J50)</f>
      </c>
    </row>
    <row r="52" spans="2:24" s="39" customFormat="1" x14ac:dyDescent="0.15">
      <c r="B52" s="39" t="s">
        <v>25</v>
      </c>
      <c r="F52" s="39">
        <f>F46+F51</f>
      </c>
      <c r="G52" s="39">
        <f>G46+G51</f>
      </c>
      <c r="I52" s="39">
        <f>I46+I51</f>
      </c>
      <c r="J52" s="39">
        <f>J46+J51</f>
      </c>
    </row>
    <row r="53" spans="2:24" s="1" customFormat="1" x14ac:dyDescent="0.15">
      <c r="B53" s="92" t="s">
        <v>151</v>
      </c>
      <c r="C53" s="92"/>
      <c r="D53" s="92"/>
      <c r="E53" s="92"/>
      <c r="F53" s="53">
        <f>F52/F27</f>
      </c>
      <c r="G53" s="53">
        <f>G52/G27</f>
      </c>
      <c r="H53" s="92"/>
      <c r="I53" s="53" t="e">
        <f>I52/I27</f>
      </c>
      <c r="J53" s="53" t="e">
        <f>J52/J27</f>
      </c>
      <c r="K53" s="52"/>
      <c r="L53" s="92"/>
      <c r="N53" s="92"/>
      <c r="O53" s="92"/>
      <c r="P53" s="92"/>
      <c r="Q53" s="92"/>
      <c r="R53" s="92"/>
      <c r="S53" s="92"/>
      <c r="T53" s="92"/>
      <c r="U53" s="92"/>
      <c r="V53" s="92"/>
      <c r="W53" s="92"/>
      <c r="X53" s="92"/>
    </row>
    <row r="54" spans="2:24" x14ac:dyDescent="0.15">
      <c r="F54" s="53"/>
      <c r="G54" s="53"/>
      <c r="K54" s="54"/>
    </row>
    <row r="55" spans="2:24" x14ac:dyDescent="0.15">
      <c r="B55" s="92" t="s">
        <v>179</v>
      </c>
      <c r="F55" s="35">
        <f>12526</f>
      </c>
      <c r="G55" s="35">
        <v>9493</v>
      </c>
      <c r="K55" s="2"/>
    </row>
    <row r="56" spans="2:24" x14ac:dyDescent="0.15">
      <c r="B56" s="92" t="s">
        <v>180</v>
      </c>
      <c r="F56" s="35">
        <f>4413</f>
      </c>
      <c r="G56" s="35">
        <v>2779</v>
      </c>
      <c r="K56" s="2"/>
    </row>
    <row r="57" spans="2:24" s="1" customFormat="1" x14ac:dyDescent="0.15">
      <c r="B57" s="92" t="s">
        <v>181</v>
      </c>
      <c r="C57" s="92"/>
      <c r="D57" s="92"/>
      <c r="E57" s="92"/>
      <c r="F57" s="53">
        <f>F56/F55</f>
      </c>
      <c r="G57" s="53">
        <f>G56/G55</f>
      </c>
      <c r="H57" s="92"/>
      <c r="I57" s="92"/>
      <c r="J57" s="92"/>
      <c r="K57" s="52"/>
      <c r="L57" s="92"/>
      <c r="N57" s="92"/>
      <c r="O57" s="92"/>
      <c r="P57" s="92"/>
      <c r="Q57" s="92"/>
      <c r="R57" s="92"/>
      <c r="S57" s="92"/>
      <c r="T57" s="92"/>
      <c r="U57" s="92"/>
      <c r="V57" s="92"/>
      <c r="W57" s="92"/>
      <c r="X57" s="92"/>
    </row>
    <row r="58" spans="2:24" x14ac:dyDescent="0.15">
      <c r="B58" s="92" t="s">
        <v>182</v>
      </c>
      <c r="F58" s="59">
        <f>3331/F55</f>
      </c>
      <c r="G58" s="59">
        <f>3163/G55</f>
      </c>
      <c r="K58" s="162"/>
    </row>
    <row r="59" spans="2:24" x14ac:dyDescent="0.15">
      <c r="B59" s="92" t="s">
        <v>183</v>
      </c>
      <c r="F59" s="59">
        <v>0</v>
      </c>
      <c r="G59" s="59">
        <v>0</v>
      </c>
      <c r="K59" s="162"/>
    </row>
    <row r="60" spans="2:24" s="60" customFormat="1" x14ac:dyDescent="0.15">
      <c r="B60" s="39" t="s">
        <v>184</v>
      </c>
      <c r="C60" s="39"/>
      <c r="D60" s="39"/>
      <c r="E60" s="39"/>
      <c r="F60" s="77">
        <f>SUM(F58:F59)</f>
      </c>
      <c r="G60" s="77">
        <f>SUM(G58:G59)</f>
      </c>
      <c r="H60" s="39"/>
      <c r="I60" s="39"/>
      <c r="J60" s="39"/>
      <c r="K60" s="61"/>
      <c r="L60" s="39"/>
      <c r="N60" s="39"/>
      <c r="O60" s="39"/>
      <c r="P60" s="39"/>
      <c r="Q60" s="39"/>
      <c r="R60" s="39"/>
      <c r="S60" s="39"/>
      <c r="T60" s="39"/>
      <c r="U60" s="39"/>
      <c r="V60" s="39"/>
      <c r="W60" s="39"/>
      <c r="X60" s="39"/>
    </row>
    <row r="61" spans="2:24" x14ac:dyDescent="0.15">
      <c r="F61" s="62"/>
      <c r="G61" s="62"/>
      <c r="K61" s="63"/>
    </row>
    <row r="62" spans="2:24" x14ac:dyDescent="0.15">
      <c r="B62" s="92" t="s">
        <v>185</v>
      </c>
      <c r="F62" s="92">
        <f>F46*(1-F57)</f>
      </c>
      <c r="G62" s="92">
        <f>G46*(1-G57)</f>
      </c>
      <c r="K62" s="63"/>
    </row>
    <row r="63" spans="2:24" x14ac:dyDescent="0.15">
      <c r="F63" s="62"/>
      <c r="G63" s="62"/>
      <c r="K63" s="63"/>
    </row>
    <row r="64" spans="2:24" x14ac:dyDescent="0.15">
      <c r="B64" s="92" t="s">
        <v>186</v>
      </c>
      <c r="C64" s="39"/>
      <c r="D64" s="39"/>
      <c r="F64" s="35">
        <f>8883</f>
      </c>
      <c r="G64" s="35">
        <v>7538</v>
      </c>
    </row>
    <row r="65" spans="2:24" s="1" customFormat="1" x14ac:dyDescent="0.15">
      <c r="B65" s="92" t="s">
        <v>187</v>
      </c>
      <c r="C65" s="92"/>
      <c r="D65" s="92"/>
      <c r="E65" s="92"/>
      <c r="F65" s="53">
        <f>F64/F27</f>
      </c>
      <c r="G65" s="53">
        <f>G64/G27</f>
      </c>
      <c r="H65" s="92"/>
      <c r="I65" s="92"/>
      <c r="J65" s="92"/>
      <c r="K65" s="52"/>
      <c r="L65" s="92"/>
      <c r="N65" s="92"/>
      <c r="O65" s="92"/>
      <c r="P65" s="92"/>
      <c r="Q65" s="92"/>
      <c r="R65" s="92"/>
      <c r="S65" s="92"/>
      <c r="T65" s="92"/>
      <c r="U65" s="92"/>
      <c r="V65" s="92"/>
      <c r="W65" s="92"/>
      <c r="X65" s="92"/>
    </row>
    <row r="66" spans="2:24" x14ac:dyDescent="0.15">
      <c r="B66" s="92" t="s">
        <v>290</v>
      </c>
      <c r="C66" s="2"/>
      <c r="D66" s="2"/>
      <c r="F66" s="141">
        <f>SUM(F36:F39)</f>
      </c>
      <c r="G66" s="141">
        <f>SUM(G36:G39)</f>
      </c>
      <c r="M66" s="183"/>
    </row>
    <row r="67" spans="2:24" x14ac:dyDescent="0.15">
      <c r="B67" s="2" t="s">
        <v>291</v>
      </c>
      <c r="C67" s="2"/>
      <c r="D67" s="2"/>
      <c r="F67" s="35">
        <v>610</v>
      </c>
      <c r="G67" s="35">
        <v>-1065</v>
      </c>
    </row>
    <row r="68" spans="2:24" x14ac:dyDescent="0.15">
      <c r="B68" s="2" t="s">
        <v>292</v>
      </c>
      <c r="C68" s="2"/>
      <c r="D68" s="2"/>
      <c r="F68" s="35">
        <v>241</v>
      </c>
      <c r="G68" s="35">
        <v>265</v>
      </c>
      <c r="K68" s="26"/>
    </row>
    <row r="69" spans="2:24" x14ac:dyDescent="0.15">
      <c r="B69" s="2" t="s">
        <v>251</v>
      </c>
      <c r="C69" s="2"/>
      <c r="D69" s="2"/>
      <c r="F69" s="35">
        <v>0</v>
      </c>
      <c r="G69" s="35">
        <v>0</v>
      </c>
    </row>
    <row r="70" spans="2:24" x14ac:dyDescent="0.15">
      <c r="B70" s="2" t="s">
        <v>252</v>
      </c>
      <c r="C70" s="2"/>
      <c r="D70" s="2"/>
      <c r="F70" s="35">
        <v>0</v>
      </c>
      <c r="G70" s="35">
        <v>0</v>
      </c>
      <c r="K70" s="2"/>
    </row>
    <row r="71" spans="2:24" x14ac:dyDescent="0.15">
      <c r="B71" s="2" t="s">
        <v>171</v>
      </c>
      <c r="C71" s="2"/>
      <c r="D71" s="2"/>
      <c r="F71" s="35">
        <v>0</v>
      </c>
      <c r="G71" s="35">
        <v>0</v>
      </c>
    </row>
    <row r="72" spans="2:24" x14ac:dyDescent="0.15">
      <c r="B72" s="2" t="s">
        <v>172</v>
      </c>
      <c r="C72" s="2"/>
      <c r="D72" s="2"/>
      <c r="F72" s="35">
        <v>0</v>
      </c>
      <c r="G72" s="35">
        <v>0</v>
      </c>
    </row>
    <row r="73" spans="2:24" x14ac:dyDescent="0.15">
      <c r="B73" s="2" t="s">
        <v>173</v>
      </c>
      <c r="C73" s="2"/>
      <c r="D73" s="2"/>
      <c r="F73" s="35">
        <v>0</v>
      </c>
      <c r="G73" s="35">
        <v>0</v>
      </c>
    </row>
    <row r="74" spans="2:24" x14ac:dyDescent="0.15">
      <c r="B74" s="2" t="s">
        <v>174</v>
      </c>
      <c r="C74" s="2"/>
      <c r="D74" s="2"/>
      <c r="F74" s="35">
        <v>0</v>
      </c>
      <c r="G74" s="35">
        <v>0</v>
      </c>
    </row>
    <row r="75" spans="2:24" x14ac:dyDescent="0.15">
      <c r="B75" s="2" t="s">
        <v>175</v>
      </c>
      <c r="C75" s="2"/>
      <c r="D75" s="2"/>
      <c r="F75" s="35">
        <v>0</v>
      </c>
      <c r="G75" s="35">
        <v>0</v>
      </c>
    </row>
    <row r="76" spans="2:24" x14ac:dyDescent="0.15">
      <c r="B76" s="39" t="s">
        <v>189</v>
      </c>
      <c r="C76" s="39"/>
      <c r="D76" s="39"/>
      <c r="F76" s="39">
        <f>F64+SUM(F66:F75)</f>
      </c>
      <c r="G76" s="39">
        <f>G64+SUM(G66:G75)</f>
      </c>
    </row>
    <row r="77" spans="2:24" s="1" customFormat="1" x14ac:dyDescent="0.15">
      <c r="B77" s="92" t="s">
        <v>190</v>
      </c>
      <c r="C77" s="92"/>
      <c r="D77" s="92"/>
      <c r="E77" s="92"/>
      <c r="F77" s="53">
        <f>F76/F27</f>
      </c>
      <c r="G77" s="53">
        <f>G76/G27</f>
      </c>
      <c r="K77" s="52"/>
      <c r="L77" s="92"/>
      <c r="N77" s="92"/>
      <c r="O77" s="92"/>
      <c r="P77" s="92"/>
      <c r="Q77" s="92"/>
    </row>
    <row r="78" spans="2:24" x14ac:dyDescent="0.15">
      <c r="F78" s="53"/>
      <c r="G78" s="53"/>
      <c r="K78" s="54"/>
    </row>
    <row r="79" spans="2:24" x14ac:dyDescent="0.15">
      <c r="B79" s="92" t="s">
        <v>255</v>
      </c>
      <c r="F79" s="35">
        <v>352</v>
      </c>
      <c r="G79" s="35">
        <v>355</v>
      </c>
      <c r="K79" s="54"/>
    </row>
    <row r="80" spans="2:24" x14ac:dyDescent="0.15">
      <c r="B80" s="39" t="s">
        <v>256</v>
      </c>
      <c r="F80" s="39">
        <f>F76-F79</f>
      </c>
      <c r="G80" s="39">
        <f>G76-G79</f>
      </c>
      <c r="K80" s="54"/>
    </row>
    <row r="81" spans="1:11" x14ac:dyDescent="0.15">
      <c r="F81" s="53"/>
      <c r="G81" s="53"/>
      <c r="K81" s="54"/>
    </row>
    <row r="82" spans="1:11" x14ac:dyDescent="0.15">
      <c r="B82" s="92" t="s">
        <v>191</v>
      </c>
      <c r="F82" s="35">
        <f>3091</f>
      </c>
      <c r="G82" s="35">
        <f>3092</f>
      </c>
    </row>
    <row r="83" spans="1:11" x14ac:dyDescent="0.15">
      <c r="B83" s="92" t="s">
        <v>192</v>
      </c>
      <c r="F83" s="102">
        <f>F$80/F82</f>
      </c>
      <c r="G83" s="102">
        <f>G$80/G82</f>
      </c>
      <c r="K83" s="102"/>
    </row>
    <row r="84" spans="1:11" x14ac:dyDescent="0.15">
      <c r="B84" s="92" t="s">
        <v>193</v>
      </c>
      <c r="F84" s="35">
        <f>3097</f>
      </c>
      <c r="G84" s="35">
        <f>3098</f>
      </c>
    </row>
    <row r="85" spans="1:11" x14ac:dyDescent="0.15">
      <c r="B85" s="92" t="s">
        <v>136</v>
      </c>
      <c r="F85" s="102">
        <f>F$80/F84</f>
      </c>
      <c r="G85" s="102">
        <f>G$80/G84</f>
      </c>
      <c r="K85" s="102"/>
    </row>
    <row r="86" spans="1:11" x14ac:dyDescent="0.15">
      <c r="F86" s="102"/>
      <c r="G86" s="102"/>
      <c r="K86" s="102"/>
    </row>
    <row r="87" spans="1:11" ht="14" x14ac:dyDescent="0.15">
      <c r="A87" s="93" t="s">
        <v>194</v>
      </c>
      <c r="F87" s="102"/>
      <c r="G87" s="102"/>
      <c r="K87" s="102"/>
    </row>
    <row r="88" spans="1:11" x14ac:dyDescent="0.15">
      <c r="A88" s="39"/>
      <c r="B88" s="92" t="s">
        <v>195</v>
      </c>
      <c r="F88" s="35">
        <v>29434</v>
      </c>
      <c r="G88" s="35">
        <f>32042</f>
      </c>
      <c r="K88" s="102"/>
    </row>
    <row r="89" spans="1:11" x14ac:dyDescent="0.15">
      <c r="A89" s="39"/>
      <c r="B89" s="92" t="s">
        <v>196</v>
      </c>
      <c r="F89" s="35">
        <v>33321</v>
      </c>
      <c r="G89" s="35">
        <f>37517</f>
      </c>
      <c r="K89" s="102"/>
    </row>
    <row r="90" spans="1:11" s="39" customFormat="1" x14ac:dyDescent="0.15">
      <c r="B90" s="39" t="s">
        <v>197</v>
      </c>
      <c r="F90" s="39">
        <f>F88-F89</f>
      </c>
      <c r="G90" s="39">
        <f>G88-G89</f>
      </c>
      <c r="K90" s="64"/>
    </row>
    <row r="91" spans="1:11" x14ac:dyDescent="0.15">
      <c r="A91" s="39"/>
      <c r="F91" s="102"/>
      <c r="G91" s="102"/>
      <c r="K91" s="102"/>
    </row>
    <row r="92" spans="1:11" x14ac:dyDescent="0.15">
      <c r="B92" s="2" t="s">
        <v>199</v>
      </c>
      <c r="F92" s="35">
        <v>8401</v>
      </c>
      <c r="G92" s="35">
        <v>9061</v>
      </c>
    </row>
    <row r="93" spans="1:11" x14ac:dyDescent="0.15">
      <c r="B93" s="2" t="s">
        <v>293</v>
      </c>
      <c r="F93" s="35">
        <v>12411</v>
      </c>
      <c r="G93" s="35">
        <v>12422</v>
      </c>
    </row>
    <row r="94" spans="1:11" x14ac:dyDescent="0.15">
      <c r="B94" s="2" t="s">
        <v>294</v>
      </c>
      <c r="F94" s="35">
        <v>573</v>
      </c>
      <c r="G94" s="35">
        <v>607</v>
      </c>
    </row>
    <row r="95" spans="1:11" x14ac:dyDescent="0.15">
      <c r="B95" s="2" t="s">
        <v>295</v>
      </c>
      <c r="F95" s="35">
        <v>550</v>
      </c>
      <c r="G95" s="35">
        <v>231</v>
      </c>
    </row>
    <row r="96" spans="1:11" x14ac:dyDescent="0.15">
      <c r="B96" s="2" t="s">
        <v>296</v>
      </c>
      <c r="F96" s="35">
        <v>786</v>
      </c>
      <c r="G96" s="35">
        <v>919</v>
      </c>
    </row>
    <row r="97" spans="1:17" x14ac:dyDescent="0.15">
      <c r="B97" s="2" t="s">
        <v>297</v>
      </c>
      <c r="F97" s="35">
        <v>18629</v>
      </c>
      <c r="G97" s="35">
        <v>18872</v>
      </c>
    </row>
    <row r="98" spans="1:17" x14ac:dyDescent="0.15">
      <c r="B98" s="2" t="s">
        <v>298</v>
      </c>
      <c r="F98" s="35">
        <v>3855</v>
      </c>
      <c r="G98" s="35">
        <v>4094</v>
      </c>
    </row>
    <row r="99" spans="1:17" x14ac:dyDescent="0.15">
      <c r="B99" s="2" t="s">
        <v>299</v>
      </c>
      <c r="F99" s="35">
        <v>620</v>
      </c>
      <c r="G99" s="35">
        <v>863</v>
      </c>
    </row>
    <row r="100" spans="1:17" x14ac:dyDescent="0.15">
      <c r="B100" s="2" t="s">
        <v>300</v>
      </c>
      <c r="F100" s="35">
        <v>1068</v>
      </c>
      <c r="G100" s="35">
        <v>507</v>
      </c>
    </row>
    <row r="101" spans="1:17" x14ac:dyDescent="0.15">
      <c r="B101" s="2" t="s">
        <v>301</v>
      </c>
      <c r="F101" s="35">
        <v>1221</v>
      </c>
      <c r="G101" s="35">
        <v>1170</v>
      </c>
    </row>
    <row r="102" spans="1:17" s="39" customFormat="1" x14ac:dyDescent="0.15">
      <c r="B102" s="39" t="s">
        <v>208</v>
      </c>
      <c r="F102" s="39">
        <f>SUM(F92:F96)-SUM(F97:F101)</f>
      </c>
      <c r="G102" s="39">
        <f>SUM(G92:G96)-SUM(G97:G101)</f>
      </c>
    </row>
    <row r="103" spans="1:17" s="1" customFormat="1" x14ac:dyDescent="0.15">
      <c r="B103" s="92" t="s">
        <v>209</v>
      </c>
      <c r="C103" s="92"/>
      <c r="D103" s="92"/>
      <c r="E103" s="92"/>
      <c r="F103" s="53">
        <f>F102/F27</f>
      </c>
      <c r="G103" s="53">
        <f>G102/G27</f>
      </c>
      <c r="K103" s="52"/>
      <c r="L103" s="92"/>
      <c r="N103" s="92"/>
      <c r="O103" s="92"/>
      <c r="P103" s="92"/>
      <c r="Q103" s="92"/>
    </row>
    <row r="104" spans="1:17" s="1" customFormat="1" x14ac:dyDescent="0.15">
      <c r="B104" s="92" t="s">
        <v>210</v>
      </c>
      <c r="C104" s="92"/>
      <c r="D104" s="92"/>
      <c r="E104" s="92"/>
      <c r="F104" s="92">
        <f>F93/F27*365</f>
      </c>
      <c r="G104" s="92">
        <f>G93/G27*365</f>
      </c>
    </row>
    <row r="105" spans="1:17" s="1" customFormat="1" x14ac:dyDescent="0.15">
      <c r="B105" s="92" t="s">
        <v>211</v>
      </c>
      <c r="C105" s="92"/>
      <c r="D105" s="92"/>
      <c r="E105" s="92"/>
      <c r="F105" s="92">
        <f>F92/F30*365</f>
      </c>
      <c r="G105" s="92">
        <f>G92/G30*365</f>
      </c>
    </row>
    <row r="106" spans="1:17" s="1" customFormat="1" x14ac:dyDescent="0.15">
      <c r="B106" s="92" t="s">
        <v>212</v>
      </c>
      <c r="C106" s="92"/>
      <c r="D106" s="92"/>
      <c r="E106" s="92"/>
      <c r="F106" s="92">
        <f>F97/F30*365</f>
      </c>
      <c r="G106" s="92">
        <f>G97/G30*365</f>
      </c>
    </row>
    <row r="108" spans="1:17" ht="14" x14ac:dyDescent="0.15">
      <c r="A108" s="93" t="s">
        <v>213</v>
      </c>
    </row>
    <row r="109" spans="1:17" x14ac:dyDescent="0.15">
      <c r="B109" s="92" t="s">
        <v>214</v>
      </c>
      <c r="F109" s="35">
        <f>27554</f>
      </c>
      <c r="G109" s="35">
        <v>27775</v>
      </c>
    </row>
    <row r="110" spans="1:17" s="1" customFormat="1" x14ac:dyDescent="0.15">
      <c r="B110" s="92" t="s">
        <v>215</v>
      </c>
      <c r="C110" s="92"/>
      <c r="D110" s="92"/>
      <c r="E110" s="92"/>
      <c r="F110" s="53">
        <f>F109/F27</f>
      </c>
      <c r="G110" s="53">
        <f>G109/G27</f>
      </c>
      <c r="K110" s="52"/>
      <c r="L110" s="92"/>
      <c r="N110" s="92"/>
      <c r="O110" s="92"/>
      <c r="P110" s="92"/>
      <c r="Q110" s="92"/>
    </row>
    <row r="111" spans="1:17" x14ac:dyDescent="0.15">
      <c r="B111" s="92" t="s">
        <v>216</v>
      </c>
      <c r="F111" s="35">
        <f>4010</f>
      </c>
      <c r="G111" s="35">
        <v>3934</v>
      </c>
    </row>
    <row r="112" spans="1:17" s="1" customFormat="1" x14ac:dyDescent="0.15">
      <c r="B112" s="92" t="s">
        <v>217</v>
      </c>
      <c r="C112" s="92"/>
      <c r="D112" s="92"/>
      <c r="E112" s="92"/>
      <c r="F112" s="102">
        <f>F111/F49</f>
      </c>
      <c r="G112" s="102">
        <f>G111/G49</f>
      </c>
      <c r="K112" s="65"/>
      <c r="L112" s="92"/>
      <c r="N112" s="92"/>
      <c r="O112" s="92"/>
      <c r="P112" s="92"/>
      <c r="Q112" s="92"/>
    </row>
    <row r="113" spans="1:11" x14ac:dyDescent="0.15">
      <c r="F113" s="102"/>
      <c r="G113" s="102"/>
      <c r="K113" s="102"/>
    </row>
    <row r="114" spans="1:11" ht="14" x14ac:dyDescent="0.15">
      <c r="A114" s="93" t="s">
        <v>218</v>
      </c>
      <c r="F114" s="102"/>
      <c r="G114" s="102"/>
      <c r="K114" s="102"/>
    </row>
    <row r="115" spans="1:11" x14ac:dyDescent="0.15">
      <c r="B115" s="2" t="s">
        <v>261</v>
      </c>
      <c r="F115" s="35">
        <f>12118</f>
      </c>
      <c r="G115" s="35">
        <v>10536</v>
      </c>
    </row>
    <row r="116" spans="1:11" x14ac:dyDescent="0.15">
      <c r="B116" s="2" t="s">
        <v>262</v>
      </c>
      <c r="F116" s="35">
        <f>11091</f>
      </c>
      <c r="G116" s="35">
        <v>15932</v>
      </c>
    </row>
    <row r="117" spans="1:11" x14ac:dyDescent="0.15">
      <c r="B117" s="2" t="s">
        <v>221</v>
      </c>
      <c r="F117" s="35">
        <v>0</v>
      </c>
      <c r="G117" s="35">
        <v>0</v>
      </c>
    </row>
    <row r="118" spans="1:11" x14ac:dyDescent="0.15">
      <c r="B118" s="2" t="s">
        <v>222</v>
      </c>
      <c r="F118" s="35">
        <v>0</v>
      </c>
      <c r="G118" s="35">
        <v>0</v>
      </c>
    </row>
    <row r="119" spans="1:11" x14ac:dyDescent="0.15">
      <c r="B119" s="2" t="s">
        <v>223</v>
      </c>
      <c r="F119" s="35">
        <v>0</v>
      </c>
      <c r="G119" s="35">
        <v>0</v>
      </c>
    </row>
    <row r="120" spans="1:11" s="39" customFormat="1" x14ac:dyDescent="0.15">
      <c r="B120" s="39" t="s">
        <v>116</v>
      </c>
      <c r="F120" s="39">
        <f>SUM(F115:F119)</f>
      </c>
      <c r="G120" s="39">
        <f>SUM(G115:G119)</f>
      </c>
    </row>
    <row r="121" spans="1:11" x14ac:dyDescent="0.15">
      <c r="B121" s="92" t="s">
        <v>224</v>
      </c>
      <c r="F121" s="35">
        <f>7990+1306</f>
      </c>
      <c r="G121" s="35">
        <f>7938+655</f>
      </c>
    </row>
    <row r="122" spans="1:11" s="39" customFormat="1" x14ac:dyDescent="0.15">
      <c r="B122" s="39" t="s">
        <v>110</v>
      </c>
      <c r="F122" s="39">
        <f>F120-F121</f>
      </c>
      <c r="G122" s="39">
        <f>G120-G121</f>
      </c>
    </row>
    <row r="123" spans="1:11" s="1" customFormat="1" x14ac:dyDescent="0.15">
      <c r="B123" s="92" t="s">
        <v>156</v>
      </c>
      <c r="C123" s="92"/>
      <c r="D123" s="92"/>
      <c r="E123" s="92"/>
      <c r="F123" s="102">
        <f>F120/F52</f>
      </c>
      <c r="G123" s="102">
        <f>G120/G52</f>
      </c>
      <c r="K123" s="65"/>
    </row>
    <row r="124" spans="1:11" s="1" customFormat="1" x14ac:dyDescent="0.15">
      <c r="B124" s="92" t="s">
        <v>225</v>
      </c>
      <c r="C124" s="92"/>
      <c r="D124" s="92"/>
      <c r="E124" s="92"/>
      <c r="F124" s="102">
        <f>F122/F52</f>
      </c>
      <c r="G124" s="102">
        <f>G122/G52</f>
      </c>
      <c r="K124" s="65"/>
    </row>
    <row r="125" spans="1:11" x14ac:dyDescent="0.15">
      <c r="B125" s="92" t="s">
        <v>226</v>
      </c>
      <c r="F125" s="35">
        <v>99</v>
      </c>
      <c r="G125" s="35">
        <v>122</v>
      </c>
    </row>
    <row r="126" spans="1:11" x14ac:dyDescent="0.15">
      <c r="B126" s="92" t="s">
        <v>227</v>
      </c>
      <c r="F126" s="35">
        <v>543</v>
      </c>
      <c r="G126" s="35">
        <v>535</v>
      </c>
    </row>
    <row r="127" spans="1:11" s="1" customFormat="1" x14ac:dyDescent="0.15">
      <c r="B127" s="92" t="s">
        <v>158</v>
      </c>
      <c r="C127" s="92"/>
      <c r="D127" s="92"/>
      <c r="E127" s="92"/>
      <c r="F127" s="92">
        <f>F52/F126</f>
      </c>
      <c r="G127" s="92">
        <f>G52/G126</f>
      </c>
      <c r="K127" s="65"/>
    </row>
    <row r="128" spans="1:11" x14ac:dyDescent="0.15">
      <c r="B128" s="92" t="s">
        <v>228</v>
      </c>
      <c r="F128" s="35">
        <f>65981</f>
      </c>
      <c r="G128" s="35">
        <v>62777</v>
      </c>
    </row>
    <row r="129" spans="1:17" s="1" customFormat="1" x14ac:dyDescent="0.15">
      <c r="B129" s="92" t="s">
        <v>229</v>
      </c>
      <c r="C129" s="92"/>
      <c r="D129" s="92"/>
      <c r="E129" s="92"/>
      <c r="F129" s="27">
        <f>F120/F128</f>
      </c>
      <c r="G129" s="27">
        <f>G120/G128</f>
      </c>
      <c r="K129" s="66"/>
      <c r="L129" s="92"/>
      <c r="N129" s="92"/>
      <c r="O129" s="92"/>
      <c r="P129" s="92"/>
      <c r="Q129" s="92"/>
    </row>
    <row r="130" spans="1:17" s="1" customFormat="1" x14ac:dyDescent="0.15">
      <c r="E130" s="92"/>
      <c r="F130" s="50"/>
      <c r="G130" s="50"/>
      <c r="K130" s="66"/>
      <c r="L130" s="92"/>
      <c r="N130" s="92"/>
      <c r="O130" s="92"/>
      <c r="P130" s="92"/>
      <c r="Q130" s="92"/>
    </row>
    <row r="131" spans="1:17" s="1" customFormat="1" ht="14" x14ac:dyDescent="0.15">
      <c r="A131" s="93" t="s">
        <v>230</v>
      </c>
      <c r="E131" s="92"/>
      <c r="F131" s="50"/>
      <c r="G131" s="50"/>
      <c r="K131" s="66"/>
      <c r="L131" s="92"/>
      <c r="N131" s="92"/>
      <c r="O131" s="92"/>
      <c r="P131" s="92"/>
      <c r="Q131" s="92"/>
    </row>
    <row r="132" spans="1:17" s="1" customFormat="1" x14ac:dyDescent="0.15">
      <c r="B132" s="92" t="s">
        <v>63</v>
      </c>
      <c r="C132" s="92"/>
      <c r="D132" s="92"/>
      <c r="E132" s="92"/>
      <c r="F132" s="27">
        <f>F76/F128</f>
      </c>
      <c r="G132" s="27">
        <f>G76/G128</f>
      </c>
      <c r="K132" s="66"/>
      <c r="L132" s="92"/>
      <c r="N132" s="92"/>
      <c r="O132" s="92"/>
      <c r="P132" s="92"/>
      <c r="Q132" s="92"/>
    </row>
    <row r="133" spans="1:17" ht="16" x14ac:dyDescent="0.2">
      <c r="B133" s="67"/>
      <c r="C133" s="67"/>
      <c r="D133" s="67"/>
      <c r="E133" s="67"/>
      <c r="F133" s="67"/>
      <c r="G133" s="67"/>
      <c r="K133" s="67"/>
    </row>
    <row r="134" spans="1:17" x14ac:dyDescent="0.15">
      <c r="B134" s="92" t="str">
        <f>B62</f>
      </c>
      <c r="F134" s="92">
        <f>F62</f>
      </c>
      <c r="G134" s="92">
        <f>G62</f>
      </c>
    </row>
    <row r="135" spans="1:17" x14ac:dyDescent="0.15">
      <c r="B135" s="92" t="str">
        <f>B128</f>
      </c>
      <c r="F135" s="92">
        <f>F128</f>
      </c>
      <c r="G135" s="92">
        <f>G128</f>
      </c>
    </row>
    <row r="136" spans="1:17" x14ac:dyDescent="0.15">
      <c r="B136" s="92" t="str">
        <f>B122</f>
      </c>
      <c r="F136" s="92">
        <f>F122</f>
      </c>
      <c r="G136" s="92">
        <f>G122</f>
      </c>
    </row>
    <row r="137" spans="1:17" x14ac:dyDescent="0.15">
      <c r="B137" s="92" t="s">
        <v>231</v>
      </c>
      <c r="F137" s="92">
        <f>SUM(F135:F136)</f>
      </c>
      <c r="G137" s="92">
        <f>SUM(G135:G136)</f>
      </c>
    </row>
    <row r="138" spans="1:17" x14ac:dyDescent="0.15">
      <c r="B138" s="92" t="s">
        <v>62</v>
      </c>
      <c r="F138" s="27">
        <f>F134/F137</f>
      </c>
      <c r="G138" s="27">
        <f>G134/G137</f>
      </c>
    </row>
  </sheetData>
  <printOptions headings="1" gridLines="1"/>
  <pageMargins left="0.74803149606299213" right="0.74803149606299213" top="0.98425196850393704" bottom="0.98425196850393704" header="0.51181102362204722" footer="0.51181102362204722"/>
  <pageSetup fitToHeight="0" orientation="landscape" r:id="rId1"/>
  <headerFooter alignWithMargins="0">
    <oddHeader>&amp;L&amp;8&amp;F &amp;A</oddHeader>
    <oddFooter>&amp;R &amp;8Page &amp;P of &amp;N</oddFooter>
  </headerFooter>
  <rowBreaks count="2" manualBreakCount="2">
    <brk id="25" max="17" man="1"/>
    <brk id="86" max="17" man="1"/>
  </rowBreaks>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153</vt:i4>
      </vt:variant>
    </vt:vector>
  </HeadingPairs>
  <TitlesOfParts>
    <vt:vector size="163" baseType="lpstr">
      <vt:lpstr>Inputs</vt:lpstr>
      <vt:lpstr>Summary</vt:lpstr>
      <vt:lpstr>Company0650</vt:lpstr>
      <vt:lpstr>Company0650_data</vt:lpstr>
      <vt:lpstr>Company0777</vt:lpstr>
      <vt:lpstr>Company0777_data</vt:lpstr>
      <vt:lpstr>Company1507</vt:lpstr>
      <vt:lpstr>Company1507_data</vt:lpstr>
      <vt:lpstr>Company1930</vt:lpstr>
      <vt:lpstr>Company1930_data</vt:lpstr>
      <vt:lpstr>Ccy</vt:lpstr>
      <vt:lpstr>Company0650_data!D_EBITDA</vt:lpstr>
      <vt:lpstr>Company0777_data!D_EBITDA</vt:lpstr>
      <vt:lpstr>Company1507_data!D_EBITDA</vt:lpstr>
      <vt:lpstr>Company1930_data!D_EBITDA</vt:lpstr>
      <vt:lpstr>Company0650_data!Data</vt:lpstr>
      <vt:lpstr>Company0777_data!Data</vt:lpstr>
      <vt:lpstr>Company1507_data!Data</vt:lpstr>
      <vt:lpstr>Company1930_data!Data</vt:lpstr>
      <vt:lpstr>Company0650!DIVYIELD</vt:lpstr>
      <vt:lpstr>Company0777!DIVYIELD</vt:lpstr>
      <vt:lpstr>Company1507!DIVYIELD</vt:lpstr>
      <vt:lpstr>Company1930!DIVYIELD</vt:lpstr>
      <vt:lpstr>Company0650_data!E_Int</vt:lpstr>
      <vt:lpstr>Company0777_data!E_Int</vt:lpstr>
      <vt:lpstr>Company1507_data!E_Int</vt:lpstr>
      <vt:lpstr>Company1930_data!E_Int</vt:lpstr>
      <vt:lpstr>Company0650!EBITCY1</vt:lpstr>
      <vt:lpstr>Company0777!EBITCY1</vt:lpstr>
      <vt:lpstr>Company1507!EBITCY1</vt:lpstr>
      <vt:lpstr>Company1930!EBITCY1</vt:lpstr>
      <vt:lpstr>Company0650!EBITCY2</vt:lpstr>
      <vt:lpstr>Company0777!EBITCY2</vt:lpstr>
      <vt:lpstr>Company1507!EBITCY2</vt:lpstr>
      <vt:lpstr>Company1930!EBITCY2</vt:lpstr>
      <vt:lpstr>Company0650!EBITDACY1</vt:lpstr>
      <vt:lpstr>Company0777!EBITDACY1</vt:lpstr>
      <vt:lpstr>Company1507!EBITDACY1</vt:lpstr>
      <vt:lpstr>Company1930!EBITDACY1</vt:lpstr>
      <vt:lpstr>Company0650!EBITDACY2</vt:lpstr>
      <vt:lpstr>Company0777!EBITDACY2</vt:lpstr>
      <vt:lpstr>Company1507!EBITDACY2</vt:lpstr>
      <vt:lpstr>Company1930!EBITDACY2</vt:lpstr>
      <vt:lpstr>Company0650_data!EBITDAMLTM</vt:lpstr>
      <vt:lpstr>Company0777_data!EBITDAMLTM</vt:lpstr>
      <vt:lpstr>Company1507_data!EBITDAMLTM</vt:lpstr>
      <vt:lpstr>Company1930_data!EBITDAMLTM</vt:lpstr>
      <vt:lpstr>Company0650_data!EBITMLTM</vt:lpstr>
      <vt:lpstr>Company0777_data!EBITMLTM</vt:lpstr>
      <vt:lpstr>Company1507_data!EBITMLTM</vt:lpstr>
      <vt:lpstr>Company1930_data!EBITMLTM</vt:lpstr>
      <vt:lpstr>Company0650!EnterpriseValue</vt:lpstr>
      <vt:lpstr>Company0777!EnterpriseValue</vt:lpstr>
      <vt:lpstr>Company1507!EnterpriseValue</vt:lpstr>
      <vt:lpstr>Company1930!EnterpriseValue</vt:lpstr>
      <vt:lpstr>Company0650!EPS5YGROWTH</vt:lpstr>
      <vt:lpstr>Company0777!EPS5YGROWTH</vt:lpstr>
      <vt:lpstr>Company1507!EPS5YGROWTH</vt:lpstr>
      <vt:lpstr>Company1930!EPS5YGROWTH</vt:lpstr>
      <vt:lpstr>Company0650!Equityvalue</vt:lpstr>
      <vt:lpstr>Company0777!Equityvalue</vt:lpstr>
      <vt:lpstr>Company1507!Equityvalue</vt:lpstr>
      <vt:lpstr>Company1930!Equityvalue</vt:lpstr>
      <vt:lpstr>Company0650!EV_EBIT1F</vt:lpstr>
      <vt:lpstr>Company0777!EV_EBIT1F</vt:lpstr>
      <vt:lpstr>Company1507!EV_EBIT1F</vt:lpstr>
      <vt:lpstr>Company1930!EV_EBIT1F</vt:lpstr>
      <vt:lpstr>Company0650!EV_EBIT2F</vt:lpstr>
      <vt:lpstr>Company0777!EV_EBIT2F</vt:lpstr>
      <vt:lpstr>Company1507!EV_EBIT2F</vt:lpstr>
      <vt:lpstr>Company1930!EV_EBIT2F</vt:lpstr>
      <vt:lpstr>Company0650!EV_EBITDA1F</vt:lpstr>
      <vt:lpstr>Company0777!EV_EBITDA1F</vt:lpstr>
      <vt:lpstr>Company1507!EV_EBITDA1F</vt:lpstr>
      <vt:lpstr>Company1930!EV_EBITDA1F</vt:lpstr>
      <vt:lpstr>Company0650!EV_EBITDA2F</vt:lpstr>
      <vt:lpstr>Company0777!EV_EBITDA2F</vt:lpstr>
      <vt:lpstr>Company1507!EV_EBITDA2F</vt:lpstr>
      <vt:lpstr>Company1930!EV_EBITDA2F</vt:lpstr>
      <vt:lpstr>Company0650!EV_EBITDALTM</vt:lpstr>
      <vt:lpstr>Company0777!EV_EBITDALTM</vt:lpstr>
      <vt:lpstr>Company1507!EV_EBITDALTM</vt:lpstr>
      <vt:lpstr>Company1930!EV_EBITDALTM</vt:lpstr>
      <vt:lpstr>Company0650!EV_EBITLTM</vt:lpstr>
      <vt:lpstr>Company0777!EV_EBITLTM</vt:lpstr>
      <vt:lpstr>Company1507!EV_EBITLTM</vt:lpstr>
      <vt:lpstr>Company1930!EV_EBITLTM</vt:lpstr>
      <vt:lpstr>Company0650!EV_S1F</vt:lpstr>
      <vt:lpstr>Company0777!EV_S1F</vt:lpstr>
      <vt:lpstr>Company1507!EV_S1F</vt:lpstr>
      <vt:lpstr>Company1930!EV_S1F</vt:lpstr>
      <vt:lpstr>Company0650!EV_S2F</vt:lpstr>
      <vt:lpstr>Company0777!EV_S2F</vt:lpstr>
      <vt:lpstr>Company1507!EV_S2F</vt:lpstr>
      <vt:lpstr>Company1930!EV_S2F</vt:lpstr>
      <vt:lpstr>Company0650!EV_SLTM</vt:lpstr>
      <vt:lpstr>Company0777!EV_SLTM</vt:lpstr>
      <vt:lpstr>Company1507!EV_SLTM</vt:lpstr>
      <vt:lpstr>Company1930!EV_SLTM</vt:lpstr>
      <vt:lpstr>Company0650!FX</vt:lpstr>
      <vt:lpstr>Company0777!FX</vt:lpstr>
      <vt:lpstr>Company1507!FX</vt:lpstr>
      <vt:lpstr>Company1930!FX</vt:lpstr>
      <vt:lpstr>Company0650_data!ND_EBITDA</vt:lpstr>
      <vt:lpstr>Company0777_data!ND_EBITDA</vt:lpstr>
      <vt:lpstr>Company1507_data!ND_EBITDA</vt:lpstr>
      <vt:lpstr>Company1930_data!ND_EBITDA</vt:lpstr>
      <vt:lpstr>Company0650!PE1F</vt:lpstr>
      <vt:lpstr>Company0777!PE1F</vt:lpstr>
      <vt:lpstr>Company1507!PE1F</vt:lpstr>
      <vt:lpstr>Company1930!PE1F</vt:lpstr>
      <vt:lpstr>Company0650!PE2F</vt:lpstr>
      <vt:lpstr>Company0777!PE2F</vt:lpstr>
      <vt:lpstr>Company1507!PE2F</vt:lpstr>
      <vt:lpstr>Company1930!PE2F</vt:lpstr>
      <vt:lpstr>Company0650!PEG1F</vt:lpstr>
      <vt:lpstr>Company1507!PEG1F</vt:lpstr>
      <vt:lpstr>Company1930!PEG1F</vt:lpstr>
      <vt:lpstr>Company0650!PEG2F</vt:lpstr>
      <vt:lpstr>Company1507!PEG2F</vt:lpstr>
      <vt:lpstr>Company1930!PEG2F</vt:lpstr>
      <vt:lpstr>Company0650!Print_Area</vt:lpstr>
      <vt:lpstr>Company0650_data!Print_Area</vt:lpstr>
      <vt:lpstr>Company0777!Print_Area</vt:lpstr>
      <vt:lpstr>Company0777_data!Print_Area</vt:lpstr>
      <vt:lpstr>Company1507!Print_Area</vt:lpstr>
      <vt:lpstr>Company1507_data!Print_Area</vt:lpstr>
      <vt:lpstr>Company1930!Print_Area</vt:lpstr>
      <vt:lpstr>Company1930_data!Print_Area</vt:lpstr>
      <vt:lpstr>Summary!Print_Area</vt:lpstr>
      <vt:lpstr>Company0650_data!ROE</vt:lpstr>
      <vt:lpstr>Company0777_data!ROE</vt:lpstr>
      <vt:lpstr>Company1507_data!ROE</vt:lpstr>
      <vt:lpstr>Company1930_data!ROE</vt:lpstr>
      <vt:lpstr>Company0650_data!ROIC</vt:lpstr>
      <vt:lpstr>Company0777_data!ROIC</vt:lpstr>
      <vt:lpstr>Company1507_data!ROIC</vt:lpstr>
      <vt:lpstr>Company1930_data!ROIC</vt:lpstr>
      <vt:lpstr>Company0650_data!SalesCAGR</vt:lpstr>
      <vt:lpstr>Company0777_data!SalesCAGR</vt:lpstr>
      <vt:lpstr>Company1507_data!SalesCAGR</vt:lpstr>
      <vt:lpstr>Company1930_data!SalesCAGR</vt:lpstr>
      <vt:lpstr>Company0650!SalesCY1</vt:lpstr>
      <vt:lpstr>Company0777!SalesCY1</vt:lpstr>
      <vt:lpstr>Company1507!SalesCY1</vt:lpstr>
      <vt:lpstr>Company1930!SalesCY1</vt:lpstr>
      <vt:lpstr>Company0650!SalesCY2</vt:lpstr>
      <vt:lpstr>Company0777!SalesCY2</vt:lpstr>
      <vt:lpstr>Company1507!SalesCY2</vt:lpstr>
      <vt:lpstr>Company1930!SalesCY2</vt:lpstr>
      <vt:lpstr>Company0650!SharePrice</vt:lpstr>
      <vt:lpstr>Company0777!SharePrice</vt:lpstr>
      <vt:lpstr>Company1507!SharePrice</vt:lpstr>
      <vt:lpstr>Company1930!SharePrice</vt:lpstr>
      <vt:lpstr>Company0650!SharePriceHigh</vt:lpstr>
      <vt:lpstr>Company0777!SharePriceHigh</vt:lpstr>
      <vt:lpstr>Company1507!SharePriceHigh</vt:lpstr>
      <vt:lpstr>Company1930!SharePriceHigh</vt:lpstr>
      <vt:lpstr>Company0650!SharePriceLow</vt:lpstr>
      <vt:lpstr>Company0777!SharePriceLow</vt:lpstr>
      <vt:lpstr>Company1507!SharePriceLow</vt:lpstr>
      <vt:lpstr>Company1930!SharePriceLow</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cp:revision/>
  <dcterms:created xsi:type="dcterms:W3CDTF">2026-01-01T00:00:00Z</dcterms:created>
  <dcterms:modified xsi:type="dcterms:W3CDTF">2026-01-01T00:00:00Z</dcterms:modified>
</cp:coreProperties>
</file>