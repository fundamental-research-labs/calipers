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bookViews>
    <workbookView xWindow="390" yWindow="390" windowWidth="27405" windowHeight="14775" xr2:uid="{DC0A4717-3E07-4DC0-9226-9AF4C24C9207}"/>
  </bookViews>
  <sheets>
    <sheet name="ANNUAL_FINANCIALS" sheetId="14" r:id="rId1"/>
    <sheet name="QUARTERLY_KPI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14" l="1"/>
  <c r="H30" i="14"/>
  <c r="F30" i="14"/>
  <c r="G32" i="14"/>
  <c r="H32" i="14"/>
  <c r="F32" i="14"/>
  <c r="F36" i="14"/>
  <c r="G31" i="14"/>
  <c r="H31" i="14"/>
  <c r="F31" i="14"/>
  <c r="E5" i="14"/>
  <c r="D5" i="14"/>
  <c r="D40" i="14"/>
  <c r="E40" i="14"/>
  <c r="C40" i="14"/>
  <c r="C42" i="14" s="1"/>
  <c r="F20" i="14"/>
  <c r="G20" i="14" s="1"/>
  <c r="H20" i="14" s="1"/>
  <c r="H5" i="14"/>
  <c r="H8" i="14" s="1"/>
  <c r="U10" i="12"/>
  <c r="V10" i="12"/>
  <c r="W10" i="12"/>
  <c r="W39" i="12"/>
  <c r="V39" i="12"/>
  <c r="V21" i="12" s="1"/>
  <c r="V9" i="12" s="1"/>
  <c r="V27" i="12" s="1"/>
  <c r="U39" i="12"/>
  <c r="T39" i="12"/>
  <c r="W38" i="12"/>
  <c r="V38" i="12"/>
  <c r="U38" i="12"/>
  <c r="T38" i="12"/>
  <c r="W37" i="12"/>
  <c r="V37" i="12"/>
  <c r="V19" i="12" s="1"/>
  <c r="U37" i="12"/>
  <c r="U19" i="12" s="1"/>
  <c r="T37" i="12"/>
  <c r="W33" i="12"/>
  <c r="V33" i="12"/>
  <c r="U33" i="12"/>
  <c r="U15" i="12" s="1"/>
  <c r="U9" i="12" s="1"/>
  <c r="U27" i="12" s="1"/>
  <c r="T33" i="12"/>
  <c r="W32" i="12"/>
  <c r="W14" i="12" s="1"/>
  <c r="W8" i="12" s="1"/>
  <c r="W26" i="12" s="1"/>
  <c r="V32" i="12"/>
  <c r="U32" i="12"/>
  <c r="U14" i="12" s="1"/>
  <c r="U8" i="12" s="1"/>
  <c r="U26" i="12" s="1"/>
  <c r="T32" i="12"/>
  <c r="W31" i="12"/>
  <c r="V31" i="12"/>
  <c r="U31" i="12"/>
  <c r="T31" i="12"/>
  <c r="W21" i="12"/>
  <c r="U21" i="12"/>
  <c r="T21" i="12"/>
  <c r="W20" i="12"/>
  <c r="V20" i="12"/>
  <c r="U20" i="12"/>
  <c r="T20" i="12"/>
  <c r="W19" i="12"/>
  <c r="T19" i="12"/>
  <c r="W15" i="12"/>
  <c r="V15" i="12"/>
  <c r="T15" i="12"/>
  <c r="T9" i="12" s="1"/>
  <c r="T27" i="12" s="1"/>
  <c r="V14" i="12"/>
  <c r="V8" i="12" s="1"/>
  <c r="V26" i="12" s="1"/>
  <c r="T14" i="12"/>
  <c r="W13" i="12"/>
  <c r="W16" i="12" s="1"/>
  <c r="W34" i="12" s="1"/>
  <c r="V13" i="12"/>
  <c r="V16" i="12" s="1"/>
  <c r="V34" i="12" s="1"/>
  <c r="U13" i="12"/>
  <c r="T13" i="12"/>
  <c r="T7" i="12" s="1"/>
  <c r="W9" i="12"/>
  <c r="W27" i="12" s="1"/>
  <c r="T8" i="12"/>
  <c r="T26" i="12" s="1"/>
  <c r="C24" i="14"/>
  <c r="C26" i="14" s="1"/>
  <c r="C22" i="14"/>
  <c r="E21" i="14"/>
  <c r="D21" i="14"/>
  <c r="C18" i="14"/>
  <c r="E17" i="14"/>
  <c r="D17" i="14"/>
  <c r="C14" i="14"/>
  <c r="E13" i="14"/>
  <c r="D13" i="14"/>
  <c r="E9" i="14"/>
  <c r="D9" i="14"/>
  <c r="C10" i="14"/>
  <c r="K34" i="12"/>
  <c r="J34" i="12"/>
  <c r="I34" i="12"/>
  <c r="H34" i="12"/>
  <c r="G34" i="12"/>
  <c r="K33" i="12"/>
  <c r="O33" i="12" s="1"/>
  <c r="O15" i="12" s="1"/>
  <c r="J33" i="12"/>
  <c r="N33" i="12" s="1"/>
  <c r="N15" i="12" s="1"/>
  <c r="I33" i="12"/>
  <c r="M33" i="12" s="1"/>
  <c r="M15" i="12" s="1"/>
  <c r="H33" i="12"/>
  <c r="L33" i="12" s="1"/>
  <c r="L15" i="12" s="1"/>
  <c r="G33" i="12"/>
  <c r="K32" i="12"/>
  <c r="O32" i="12" s="1"/>
  <c r="O14" i="12" s="1"/>
  <c r="J32" i="12"/>
  <c r="N32" i="12" s="1"/>
  <c r="N14" i="12" s="1"/>
  <c r="I32" i="12"/>
  <c r="M32" i="12" s="1"/>
  <c r="M14" i="12" s="1"/>
  <c r="H32" i="12"/>
  <c r="L32" i="12" s="1"/>
  <c r="L14" i="12" s="1"/>
  <c r="G32" i="12"/>
  <c r="K31" i="12"/>
  <c r="O31" i="12" s="1"/>
  <c r="J31" i="12"/>
  <c r="N31" i="12" s="1"/>
  <c r="R31" i="12" s="1"/>
  <c r="I31" i="12"/>
  <c r="M31" i="12" s="1"/>
  <c r="H31" i="12"/>
  <c r="L31" i="12" s="1"/>
  <c r="G31" i="12"/>
  <c r="K28" i="12"/>
  <c r="J28" i="12"/>
  <c r="I28" i="12"/>
  <c r="H28" i="12"/>
  <c r="G28" i="12"/>
  <c r="K27" i="12"/>
  <c r="J27" i="12"/>
  <c r="I27" i="12"/>
  <c r="H27" i="12"/>
  <c r="G27" i="12"/>
  <c r="K26" i="12"/>
  <c r="J26" i="12"/>
  <c r="I26" i="12"/>
  <c r="H26" i="12"/>
  <c r="G26" i="12"/>
  <c r="K25" i="12"/>
  <c r="J25" i="12"/>
  <c r="I25" i="12"/>
  <c r="H25" i="12"/>
  <c r="G25" i="12"/>
  <c r="K22" i="12"/>
  <c r="J22" i="12"/>
  <c r="I22" i="12"/>
  <c r="H22" i="12"/>
  <c r="G22" i="12"/>
  <c r="F22" i="12"/>
  <c r="E22" i="12"/>
  <c r="D22" i="12"/>
  <c r="C22" i="12"/>
  <c r="K21" i="12"/>
  <c r="J21" i="12"/>
  <c r="I21" i="12"/>
  <c r="H21" i="12"/>
  <c r="G21" i="12"/>
  <c r="F21" i="12"/>
  <c r="E21" i="12"/>
  <c r="D21" i="12"/>
  <c r="C21" i="12"/>
  <c r="K20" i="12"/>
  <c r="J20" i="12"/>
  <c r="I20" i="12"/>
  <c r="H20" i="12"/>
  <c r="G20" i="12"/>
  <c r="F20" i="12"/>
  <c r="J38" i="12" s="1"/>
  <c r="N38" i="12" s="1"/>
  <c r="N20" i="12" s="1"/>
  <c r="E20" i="12"/>
  <c r="D20" i="12"/>
  <c r="H38" i="12" s="1"/>
  <c r="L38" i="12" s="1"/>
  <c r="L20" i="12" s="1"/>
  <c r="C20" i="12"/>
  <c r="K19" i="12"/>
  <c r="J19" i="12"/>
  <c r="I19" i="12"/>
  <c r="H19" i="12"/>
  <c r="G19" i="12"/>
  <c r="F19" i="12"/>
  <c r="E19" i="12"/>
  <c r="D19" i="12"/>
  <c r="C19" i="12"/>
  <c r="H36" i="14" l="1"/>
  <c r="G36" i="14"/>
  <c r="G37" i="14"/>
  <c r="D41" i="14"/>
  <c r="H22" i="14"/>
  <c r="C36" i="14"/>
  <c r="E41" i="14"/>
  <c r="D42" i="14"/>
  <c r="E42" i="14"/>
  <c r="H12" i="14"/>
  <c r="H16" i="14"/>
  <c r="U7" i="12"/>
  <c r="T10" i="12"/>
  <c r="T25" i="12"/>
  <c r="V7" i="12"/>
  <c r="T16" i="12"/>
  <c r="T34" i="12" s="1"/>
  <c r="W7" i="12"/>
  <c r="U16" i="12"/>
  <c r="U34" i="12" s="1"/>
  <c r="G37" i="12"/>
  <c r="I37" i="12"/>
  <c r="M37" i="12" s="1"/>
  <c r="M19" i="12" s="1"/>
  <c r="G38" i="12"/>
  <c r="D24" i="14"/>
  <c r="D36" i="14" s="1"/>
  <c r="D38" i="14" s="1"/>
  <c r="E24" i="14"/>
  <c r="E36" i="14" s="1"/>
  <c r="E44" i="14" s="1"/>
  <c r="E46" i="14" s="1"/>
  <c r="H39" i="12"/>
  <c r="L39" i="12" s="1"/>
  <c r="L21" i="12" s="1"/>
  <c r="J37" i="12"/>
  <c r="N37" i="12" s="1"/>
  <c r="N19" i="12" s="1"/>
  <c r="K37" i="12"/>
  <c r="O37" i="12" s="1"/>
  <c r="O19" i="12" s="1"/>
  <c r="K40" i="12"/>
  <c r="H37" i="12"/>
  <c r="L37" i="12" s="1"/>
  <c r="L19" i="12" s="1"/>
  <c r="L13" i="12"/>
  <c r="P31" i="12"/>
  <c r="Q31" i="12"/>
  <c r="M13" i="12"/>
  <c r="Q13" i="12" s="1"/>
  <c r="S31" i="12"/>
  <c r="O13" i="12"/>
  <c r="S13" i="12" s="1"/>
  <c r="J40" i="12"/>
  <c r="I39" i="12"/>
  <c r="M39" i="12" s="1"/>
  <c r="M21" i="12" s="1"/>
  <c r="J39" i="12"/>
  <c r="N39" i="12" s="1"/>
  <c r="N21" i="12" s="1"/>
  <c r="I40" i="12"/>
  <c r="K39" i="12"/>
  <c r="O39" i="12" s="1"/>
  <c r="O21" i="12" s="1"/>
  <c r="D22" i="14"/>
  <c r="E22" i="14"/>
  <c r="D14" i="14"/>
  <c r="E14" i="14"/>
  <c r="D18" i="14"/>
  <c r="E18" i="14"/>
  <c r="E10" i="14"/>
  <c r="D10" i="14"/>
  <c r="D6" i="14"/>
  <c r="E6" i="14"/>
  <c r="N13" i="12"/>
  <c r="R13" i="12" s="1"/>
  <c r="G39" i="12"/>
  <c r="K38" i="12"/>
  <c r="O38" i="12" s="1"/>
  <c r="O20" i="12" s="1"/>
  <c r="I38" i="12"/>
  <c r="M38" i="12" s="1"/>
  <c r="M20" i="12" s="1"/>
  <c r="H40" i="12"/>
  <c r="G40" i="12"/>
  <c r="P33" i="12"/>
  <c r="P15" i="12" s="1"/>
  <c r="R33" i="12"/>
  <c r="R15" i="12" s="1"/>
  <c r="Q33" i="12"/>
  <c r="Q15" i="12" s="1"/>
  <c r="S33" i="12"/>
  <c r="S15" i="12" s="1"/>
  <c r="P32" i="12"/>
  <c r="P14" i="12" s="1"/>
  <c r="Q32" i="12"/>
  <c r="Q14" i="12" s="1"/>
  <c r="R32" i="12"/>
  <c r="R14" i="12" s="1"/>
  <c r="S32" i="12"/>
  <c r="S14" i="12" s="1"/>
  <c r="H37" i="14" l="1"/>
  <c r="H38" i="14"/>
  <c r="D44" i="14"/>
  <c r="D46" i="14" s="1"/>
  <c r="D37" i="14"/>
  <c r="E45" i="14"/>
  <c r="E37" i="14"/>
  <c r="E38" i="14"/>
  <c r="F37" i="14"/>
  <c r="E26" i="14"/>
  <c r="D25" i="14"/>
  <c r="C44" i="14"/>
  <c r="C38" i="14"/>
  <c r="G42" i="14"/>
  <c r="H42" i="14"/>
  <c r="H40" i="14" s="1"/>
  <c r="H44" i="14" s="1"/>
  <c r="F42" i="14"/>
  <c r="H24" i="14"/>
  <c r="H26" i="14" s="1"/>
  <c r="D26" i="14"/>
  <c r="E25" i="14"/>
  <c r="V25" i="12"/>
  <c r="W25" i="12"/>
  <c r="T28" i="12"/>
  <c r="T22" i="12"/>
  <c r="T40" i="12" s="1"/>
  <c r="U25" i="12"/>
  <c r="P13" i="12"/>
  <c r="S37" i="12"/>
  <c r="S19" i="12" s="1"/>
  <c r="Q39" i="12"/>
  <c r="Q21" i="12" s="1"/>
  <c r="P37" i="12"/>
  <c r="P19" i="12" s="1"/>
  <c r="Q38" i="12"/>
  <c r="Q20" i="12" s="1"/>
  <c r="R37" i="12"/>
  <c r="R19" i="12" s="1"/>
  <c r="S38" i="12"/>
  <c r="S20" i="12" s="1"/>
  <c r="Q37" i="12"/>
  <c r="Q19" i="12" s="1"/>
  <c r="R38" i="12"/>
  <c r="R20" i="12" s="1"/>
  <c r="S39" i="12"/>
  <c r="S21" i="12" s="1"/>
  <c r="R39" i="12"/>
  <c r="R21" i="12" s="1"/>
  <c r="L16" i="12"/>
  <c r="L34" i="12" s="1"/>
  <c r="C46" i="14" l="1"/>
  <c r="D45" i="14"/>
  <c r="H46" i="14"/>
  <c r="U28" i="12"/>
  <c r="U22" i="12"/>
  <c r="U40" i="12" s="1"/>
  <c r="W28" i="12"/>
  <c r="W22" i="12"/>
  <c r="W40" i="12" s="1"/>
  <c r="V28" i="12"/>
  <c r="V22" i="12"/>
  <c r="V40" i="12" s="1"/>
  <c r="M16" i="12"/>
  <c r="M34" i="12" s="1"/>
  <c r="L7" i="12"/>
  <c r="L25" i="12" s="1"/>
  <c r="P38" i="12"/>
  <c r="P20" i="12" s="1"/>
  <c r="P39" i="12"/>
  <c r="P21" i="12" s="1"/>
  <c r="L9" i="12" l="1"/>
  <c r="L27" i="12" s="1"/>
  <c r="L8" i="12"/>
  <c r="L26" i="12" s="1"/>
  <c r="O16" i="12"/>
  <c r="O34" i="12" s="1"/>
  <c r="N16" i="12"/>
  <c r="N34" i="12" s="1"/>
  <c r="M7" i="12" l="1"/>
  <c r="M25" i="12" s="1"/>
  <c r="N7" i="12"/>
  <c r="N25" i="12" s="1"/>
  <c r="L10" i="12"/>
  <c r="M8" i="12"/>
  <c r="M26" i="12" s="1"/>
  <c r="M9" i="12"/>
  <c r="M27" i="12" s="1"/>
  <c r="L28" i="12" l="1"/>
  <c r="O7" i="12"/>
  <c r="O25" i="12" s="1"/>
  <c r="N9" i="12"/>
  <c r="N27" i="12" s="1"/>
  <c r="M10" i="12"/>
  <c r="M28" i="12" s="1"/>
  <c r="N8" i="12"/>
  <c r="N26" i="12" s="1"/>
  <c r="P16" i="12"/>
  <c r="P34" i="12" s="1"/>
  <c r="L22" i="12"/>
  <c r="L40" i="12" s="1"/>
  <c r="Q16" i="12" l="1"/>
  <c r="Q34" i="12" s="1"/>
  <c r="P7" i="12"/>
  <c r="P25" i="12" s="1"/>
  <c r="N10" i="12"/>
  <c r="O8" i="12"/>
  <c r="O26" i="12" s="1"/>
  <c r="M22" i="12"/>
  <c r="M40" i="12" s="1"/>
  <c r="O9" i="12"/>
  <c r="O27" i="12" s="1"/>
  <c r="N28" i="12" l="1"/>
  <c r="Q7" i="12"/>
  <c r="Q25" i="12" s="1"/>
  <c r="P9" i="12"/>
  <c r="P27" i="12" s="1"/>
  <c r="O10" i="12"/>
  <c r="O28" i="12" s="1"/>
  <c r="P8" i="12"/>
  <c r="P26" i="12" s="1"/>
  <c r="N22" i="12"/>
  <c r="N40" i="12" s="1"/>
  <c r="R16" i="12"/>
  <c r="R34" i="12" s="1"/>
  <c r="F5" i="14" l="1"/>
  <c r="F40" i="14" s="1"/>
  <c r="S16" i="12"/>
  <c r="S34" i="12" s="1"/>
  <c r="S7" i="12"/>
  <c r="S25" i="12" s="1"/>
  <c r="R7" i="12"/>
  <c r="R25" i="12" s="1"/>
  <c r="P10" i="12"/>
  <c r="Q8" i="12"/>
  <c r="Q26" i="12" s="1"/>
  <c r="O22" i="12"/>
  <c r="O40" i="12" s="1"/>
  <c r="Q9" i="12"/>
  <c r="Q27" i="12" s="1"/>
  <c r="F41" i="14" l="1"/>
  <c r="F44" i="14"/>
  <c r="F45" i="14" s="1"/>
  <c r="F16" i="14"/>
  <c r="F17" i="14" s="1"/>
  <c r="F8" i="14"/>
  <c r="F9" i="14" s="1"/>
  <c r="F12" i="14"/>
  <c r="F22" i="14"/>
  <c r="F6" i="14"/>
  <c r="F38" i="14"/>
  <c r="P28" i="12"/>
  <c r="S8" i="12"/>
  <c r="S26" i="12" s="1"/>
  <c r="R8" i="12"/>
  <c r="R26" i="12" s="1"/>
  <c r="S9" i="12"/>
  <c r="S27" i="12" s="1"/>
  <c r="R9" i="12"/>
  <c r="R27" i="12" s="1"/>
  <c r="Q10" i="12"/>
  <c r="Q28" i="12" s="1"/>
  <c r="P22" i="12"/>
  <c r="P40" i="12" s="1"/>
  <c r="F24" i="14" l="1"/>
  <c r="F26" i="14" s="1"/>
  <c r="F46" i="14"/>
  <c r="F13" i="14"/>
  <c r="Q22" i="12"/>
  <c r="Q40" i="12" s="1"/>
  <c r="R10" i="12"/>
  <c r="S10" i="12"/>
  <c r="S28" i="12" s="1"/>
  <c r="F25" i="14" l="1"/>
  <c r="R28" i="12"/>
  <c r="G5" i="14"/>
  <c r="G40" i="14" s="1"/>
  <c r="S22" i="12"/>
  <c r="S40" i="12" s="1"/>
  <c r="R22" i="12"/>
  <c r="R40" i="12" s="1"/>
  <c r="G41" i="14" l="1"/>
  <c r="G44" i="14"/>
  <c r="G46" i="14" s="1"/>
  <c r="H41" i="14"/>
  <c r="G8" i="14"/>
  <c r="H6" i="14"/>
  <c r="G16" i="14"/>
  <c r="G12" i="14"/>
  <c r="G38" i="14"/>
  <c r="G24" i="14"/>
  <c r="H25" i="14" s="1"/>
  <c r="G6" i="14"/>
  <c r="G22" i="14"/>
  <c r="G45" i="14" l="1"/>
  <c r="H45" i="14"/>
  <c r="H13" i="14"/>
  <c r="G13" i="14"/>
  <c r="G17" i="14"/>
  <c r="H17" i="14"/>
  <c r="G9" i="14"/>
  <c r="H9" i="14"/>
  <c r="G25" i="14"/>
  <c r="G26" i="14"/>
</calcChain>
</file>

<file path=xl/sharedStrings.xml><?xml version="1.0" encoding="utf-8"?>
<sst xmlns="http://schemas.openxmlformats.org/spreadsheetml/2006/main" count="152" uniqueCount="55">
  <si>
    <t>Q4'22</t>
  </si>
  <si>
    <t>Q1'23</t>
  </si>
  <si>
    <t>Q2'23</t>
  </si>
  <si>
    <t>Q3'23</t>
  </si>
  <si>
    <t>Q4'23</t>
  </si>
  <si>
    <t>Europe</t>
  </si>
  <si>
    <t>Rest of World</t>
  </si>
  <si>
    <t>Q1'24</t>
  </si>
  <si>
    <t>Q2'24</t>
  </si>
  <si>
    <t>Q3'24</t>
  </si>
  <si>
    <t>Q4'24</t>
  </si>
  <si>
    <t>N/A</t>
  </si>
  <si>
    <t>FY2022A</t>
  </si>
  <si>
    <t>FY2023A</t>
  </si>
  <si>
    <t>FY2024A</t>
  </si>
  <si>
    <t>FY2025E</t>
  </si>
  <si>
    <t>FY2026E</t>
  </si>
  <si>
    <t>Company2167 (FYE 12/31)</t>
  </si>
  <si>
    <t>$ in millions, except ARPU</t>
  </si>
  <si>
    <t>Total ARPU</t>
  </si>
  <si>
    <t>Total ARPU Growth Rate</t>
  </si>
  <si>
    <t>Total MAUs (millions)</t>
  </si>
  <si>
    <t>Total MAUs Growth Rate</t>
  </si>
  <si>
    <t>Average Revenue per User (ARPU)</t>
  </si>
  <si>
    <t>Revenue</t>
  </si>
  <si>
    <t>Total Revenue</t>
  </si>
  <si>
    <t>Monthly Active Users (MAUs)</t>
  </si>
  <si>
    <t>Historical (Quarterly)</t>
  </si>
  <si>
    <t>Projections (Quarterly)</t>
  </si>
  <si>
    <t>US and Canada</t>
  </si>
  <si>
    <t>Y/Y Revenue Growth Rate (%)</t>
  </si>
  <si>
    <t>Y/Y MAUs Growth Rate (%)</t>
  </si>
  <si>
    <t>Y/Y ARPU Growth Rate (%)</t>
  </si>
  <si>
    <t>Historical (Annual)</t>
  </si>
  <si>
    <t>Projections (Annual)</t>
  </si>
  <si>
    <t>Adjusted EBITDA</t>
  </si>
  <si>
    <t>Cost of revenue</t>
  </si>
  <si>
    <t>General and administrative</t>
  </si>
  <si>
    <t>Sales and marketing</t>
  </si>
  <si>
    <t>Research and development</t>
  </si>
  <si>
    <t>% Y/Y Change</t>
  </si>
  <si>
    <t>% of Total Revenue</t>
  </si>
  <si>
    <t>% Margin</t>
  </si>
  <si>
    <t>FY2027E</t>
  </si>
  <si>
    <t>Adjusted EBITDA (Burdened by SBC)</t>
  </si>
  <si>
    <t>Depreciation</t>
  </si>
  <si>
    <t>Share-based compensation</t>
  </si>
  <si>
    <t>Payroll tax expense related to share-based compensation</t>
  </si>
  <si>
    <t>Legal settlement</t>
  </si>
  <si>
    <t>Restructuring charges</t>
  </si>
  <si>
    <t>Non-cash charitable contributions</t>
  </si>
  <si>
    <t>Income (loss) from operations ("EBIT")</t>
  </si>
  <si>
    <t>Addbacks to EBIT to derive Adjusted EBITDA</t>
  </si>
  <si>
    <t>$ in millions</t>
  </si>
  <si>
    <t>Total Revenue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</si>
</sst>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&quot;$&quot;#,##0.0_);\(&quot;$&quot;#,##0.0\)"/>
    <numFmt numFmtId="167" formatCode="_(* #,##0_);_(* \(#,##0\);_(* &quot;-&quot;??_);_(@_)"/>
    <numFmt numFmtId="168" formatCode="_(* #,##0_)%;_(* \(#,##0\)%;_(* &quot;-&quot;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 val="singleAccounting"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3"/>
      <name val="Arial"/>
      <family val="2"/>
    </font>
    <font>
      <i/>
      <sz val="10"/>
      <color theme="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i/>
      <sz val="10"/>
      <color theme="1"/>
      <name val="Arial"/>
      <family val="2"/>
    </font>
    <font>
      <b/>
      <sz val="10"/>
      <color rgb="FF008000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b/>
      <u val="singleAccounting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4" borderId="0" xfId="0" applyFont="1" applyFill="1" applyAlignment="1">
      <alignment horizontal="centerContinuous"/>
    </xf>
    <xf numFmtId="0" fontId="3" fillId="0" borderId="0" xfId="0" applyFont="1"/>
    <xf numFmtId="0" fontId="5" fillId="2" borderId="1" xfId="0" applyFont="1" applyFill="1" applyBorder="1"/>
    <xf numFmtId="166" fontId="8" fillId="2" borderId="1" xfId="1" applyNumberFormat="1" applyFont="1" applyFill="1" applyBorder="1"/>
    <xf numFmtId="164" fontId="8" fillId="2" borderId="1" xfId="2" applyNumberFormat="1" applyFont="1" applyFill="1" applyBorder="1"/>
    <xf numFmtId="9" fontId="7" fillId="0" borderId="0" xfId="2" applyFont="1"/>
    <xf numFmtId="0" fontId="9" fillId="0" borderId="0" xfId="0" applyFont="1"/>
    <xf numFmtId="166" fontId="7" fillId="3" borderId="0" xfId="1" applyNumberFormat="1" applyFont="1" applyFill="1"/>
    <xf numFmtId="165" fontId="7" fillId="3" borderId="0" xfId="1" applyNumberFormat="1" applyFont="1" applyFill="1"/>
    <xf numFmtId="164" fontId="7" fillId="3" borderId="0" xfId="2" applyNumberFormat="1" applyFont="1" applyFill="1"/>
    <xf numFmtId="0" fontId="2" fillId="4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164" fontId="7" fillId="0" borderId="0" xfId="2" applyNumberFormat="1" applyFont="1" applyFill="1"/>
    <xf numFmtId="164" fontId="6" fillId="2" borderId="1" xfId="2" applyNumberFormat="1" applyFont="1" applyFill="1" applyBorder="1" applyAlignment="1">
      <alignment horizontal="right"/>
    </xf>
    <xf numFmtId="164" fontId="4" fillId="0" borderId="0" xfId="2" applyNumberFormat="1" applyFont="1" applyFill="1" applyAlignment="1">
      <alignment horizontal="right"/>
    </xf>
    <xf numFmtId="166" fontId="7" fillId="0" borderId="0" xfId="1" applyNumberFormat="1" applyFont="1" applyFill="1"/>
    <xf numFmtId="165" fontId="7" fillId="0" borderId="0" xfId="1" applyNumberFormat="1" applyFont="1" applyFill="1"/>
    <xf numFmtId="164" fontId="11" fillId="0" borderId="0" xfId="2" applyNumberFormat="1" applyFont="1" applyFill="1"/>
    <xf numFmtId="0" fontId="12" fillId="0" borderId="0" xfId="0" applyFont="1"/>
    <xf numFmtId="5" fontId="6" fillId="2" borderId="1" xfId="1" applyNumberFormat="1" applyFont="1" applyFill="1" applyBorder="1"/>
    <xf numFmtId="167" fontId="4" fillId="3" borderId="0" xfId="1" applyNumberFormat="1" applyFont="1" applyFill="1"/>
    <xf numFmtId="5" fontId="4" fillId="3" borderId="0" xfId="1" applyNumberFormat="1" applyFont="1" applyFill="1"/>
    <xf numFmtId="167" fontId="6" fillId="2" borderId="1" xfId="1" applyNumberFormat="1" applyFont="1" applyFill="1" applyBorder="1"/>
    <xf numFmtId="5" fontId="7" fillId="0" borderId="0" xfId="1" applyNumberFormat="1" applyFont="1" applyFill="1"/>
    <xf numFmtId="5" fontId="8" fillId="2" borderId="1" xfId="1" applyNumberFormat="1" applyFont="1" applyFill="1" applyBorder="1"/>
    <xf numFmtId="167" fontId="7" fillId="0" borderId="0" xfId="1" applyNumberFormat="1" applyFont="1" applyFill="1"/>
    <xf numFmtId="167" fontId="8" fillId="2" borderId="1" xfId="1" applyNumberFormat="1" applyFont="1" applyFill="1" applyBorder="1"/>
    <xf numFmtId="0" fontId="13" fillId="0" borderId="0" xfId="0" applyFont="1" applyAlignment="1">
      <alignment horizontal="left" indent="1"/>
    </xf>
    <xf numFmtId="5" fontId="14" fillId="2" borderId="1" xfId="1" applyNumberFormat="1" applyFont="1" applyFill="1" applyBorder="1"/>
    <xf numFmtId="5" fontId="3" fillId="0" borderId="0" xfId="0" applyNumberFormat="1" applyFont="1"/>
    <xf numFmtId="5" fontId="6" fillId="3" borderId="1" xfId="1" applyNumberFormat="1" applyFont="1" applyFill="1" applyBorder="1"/>
    <xf numFmtId="5" fontId="4" fillId="3" borderId="0" xfId="1" applyNumberFormat="1" applyFont="1" applyFill="1" applyBorder="1"/>
    <xf numFmtId="9" fontId="13" fillId="0" borderId="0" xfId="2" applyFont="1" applyFill="1"/>
    <xf numFmtId="0" fontId="3" fillId="0" borderId="2" xfId="0" applyFont="1" applyBorder="1"/>
    <xf numFmtId="5" fontId="4" fillId="3" borderId="2" xfId="1" applyNumberFormat="1" applyFont="1" applyFill="1" applyBorder="1"/>
    <xf numFmtId="5" fontId="7" fillId="0" borderId="2" xfId="1" applyNumberFormat="1" applyFont="1" applyFill="1" applyBorder="1"/>
    <xf numFmtId="168" fontId="15" fillId="0" borderId="0" xfId="2" applyNumberFormat="1" applyFont="1"/>
    <xf numFmtId="168" fontId="13" fillId="3" borderId="0" xfId="2" applyNumberFormat="1" applyFont="1" applyFill="1"/>
    <xf numFmtId="168" fontId="13" fillId="0" borderId="0" xfId="2" applyNumberFormat="1" applyFont="1"/>
    <xf numFmtId="168" fontId="13" fillId="0" borderId="0" xfId="2" applyNumberFormat="1" applyFont="1" applyFill="1"/>
    <xf numFmtId="168" fontId="3" fillId="0" borderId="0" xfId="0" applyNumberFormat="1" applyFont="1"/>
    <xf numFmtId="168" fontId="16" fillId="0" borderId="0" xfId="2" applyNumberFormat="1" applyFont="1"/>
    <xf numFmtId="0" fontId="17" fillId="0" borderId="0" xfId="0" applyFont="1" applyAlignment="1">
      <alignment horizontal="left"/>
    </xf>
    <xf numFmtId="167" fontId="4" fillId="3" borderId="0" xfId="1" applyNumberFormat="1" applyFont="1" applyFill="1" applyBorder="1"/>
    <xf numFmtId="167" fontId="3" fillId="0" borderId="0" xfId="1" applyNumberFormat="1" applyFont="1"/>
    <xf numFmtId="167" fontId="4" fillId="0" borderId="0" xfId="1" applyNumberFormat="1" applyFont="1" applyFill="1" applyBorder="1"/>
    <xf numFmtId="5" fontId="5" fillId="0" borderId="0" xfId="0" applyNumberFormat="1" applyFont="1"/>
    <xf numFmtId="0" fontId="5" fillId="0" borderId="0" xfId="0" applyFont="1"/>
    <xf numFmtId="165" fontId="5" fillId="0" borderId="0" xfId="1" applyNumberFormat="1" applyFont="1"/>
    <xf numFmtId="167" fontId="11" fillId="0" borderId="0" xfId="1" applyNumberFormat="1" applyFont="1"/>
    <xf numFmtId="10" fontId="3" fillId="0" borderId="0" xfId="2" applyNumberFormat="1" applyFont="1"/>
    <xf numFmtId="5" fontId="11" fillId="0" borderId="2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  <color rgb="FFFFFFCC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B490B-FEF4-43EB-AD33-E840AB268EB5}">
  <dimension ref="A2:H49"/>
  <sheetViews>
    <sheetView showGridLines="0"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.7109375" style="19" customWidth="1"/>
    <col min="2" max="2" width="52.7109375" style="2" bestFit="1" customWidth="1"/>
    <col min="3" max="8" width="11.7109375" style="2" customWidth="1"/>
    <col min="9" max="16384" width="9.140625" style="2"/>
  </cols>
  <sheetData>
    <row r="2" spans="2:8" ht="15" x14ac:dyDescent="0.35">
      <c r="B2" s="12" t="s">
        <v>53</v>
      </c>
      <c r="C2" s="1" t="s">
        <v>33</v>
      </c>
      <c r="D2" s="1"/>
      <c r="E2" s="1"/>
      <c r="F2" s="1" t="s">
        <v>34</v>
      </c>
      <c r="G2" s="1"/>
      <c r="H2" s="1"/>
    </row>
    <row r="3" spans="2:8" ht="15" x14ac:dyDescent="0.35">
      <c r="B3" s="11" t="s">
        <v>17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43</v>
      </c>
    </row>
    <row r="4" spans="2:8" ht="9.9499999999999993" customHeight="1" x14ac:dyDescent="0.2">
      <c r="B4" s="7"/>
    </row>
    <row r="5" spans="2:8" x14ac:dyDescent="0.2">
      <c r="B5" s="3" t="s">
        <v>25</v>
      </c>
      <c r="C5" s="31">
        <v>2802.5740000000001</v>
      </c>
      <c r="D5" s="29">
        <f>SUM(QUARTERLY_KPIs!$D$10:$G$10)</f>
        <v>3055</v>
      </c>
      <c r="E5" s="29">
        <f>SUM(QUARTERLY_KPIs!$H$10:$K$10)</f>
        <v>3646</v>
      </c>
      <c r="F5" s="29">
        <f>SUM(QUARTERLY_KPIs!$L$10:$O$10)</f>
        <v>4356.1835564945504</v>
      </c>
      <c r="G5" s="29">
        <f>SUM(QUARTERLY_KPIs!$P$10:$S$10)</f>
        <v>5212.8228692366711</v>
      </c>
      <c r="H5" s="29">
        <f>SUM(QUARTERLY_KPIs!$T$10:$W$10)</f>
        <v>6248.4708725768778</v>
      </c>
    </row>
    <row r="6" spans="2:8" x14ac:dyDescent="0.2">
      <c r="B6" s="28" t="s">
        <v>40</v>
      </c>
      <c r="D6" s="39">
        <f>D5/C5-1</f>
        <v>9.0069343396463442E-2</v>
      </c>
      <c r="E6" s="39">
        <f t="shared" ref="E6:H6" si="0">E5/D5-1</f>
        <v>0.1934533551554829</v>
      </c>
      <c r="F6" s="39">
        <f t="shared" si="0"/>
        <v>0.19478429964195021</v>
      </c>
      <c r="G6" s="39">
        <f t="shared" si="0"/>
        <v>0.1966490396082996</v>
      </c>
      <c r="H6" s="39">
        <f t="shared" si="0"/>
        <v>0.19867316218474529</v>
      </c>
    </row>
    <row r="8" spans="2:8" x14ac:dyDescent="0.2">
      <c r="B8" s="34" t="s">
        <v>36</v>
      </c>
      <c r="C8" s="35">
        <v>-678.59699999999998</v>
      </c>
      <c r="D8" s="35">
        <v>-688.76</v>
      </c>
      <c r="E8" s="35">
        <v>-750.35500000000002</v>
      </c>
      <c r="F8" s="36">
        <f>F10*F$5</f>
        <v>-871.23671129891011</v>
      </c>
      <c r="G8" s="36">
        <f t="shared" ref="G8:H8" si="1">G10*G$5</f>
        <v>-990.43634515496751</v>
      </c>
      <c r="H8" s="36">
        <f t="shared" si="1"/>
        <v>-1124.7247570638381</v>
      </c>
    </row>
    <row r="9" spans="2:8" x14ac:dyDescent="0.2">
      <c r="B9" s="28" t="s">
        <v>40</v>
      </c>
      <c r="C9" s="33"/>
      <c r="D9" s="38">
        <f>D8/C8-1</f>
        <v>1.4976488254442533E-2</v>
      </c>
      <c r="E9" s="38">
        <f t="shared" ref="E9:H9" si="2">E8/D8-1</f>
        <v>8.9428828619548151E-2</v>
      </c>
      <c r="F9" s="39">
        <f t="shared" si="2"/>
        <v>0.16109936136749958</v>
      </c>
      <c r="G9" s="39">
        <f t="shared" si="2"/>
        <v>0.13681658762788462</v>
      </c>
      <c r="H9" s="39">
        <f t="shared" si="2"/>
        <v>0.13558510101712717</v>
      </c>
    </row>
    <row r="10" spans="2:8" x14ac:dyDescent="0.2">
      <c r="B10" s="28" t="s">
        <v>41</v>
      </c>
      <c r="C10" s="38">
        <f>C8/C$5</f>
        <v>-0.24213348157800649</v>
      </c>
      <c r="D10" s="38">
        <f t="shared" ref="D10:E10" si="3">D8/D$5</f>
        <v>-0.22545335515548282</v>
      </c>
      <c r="E10" s="38">
        <f t="shared" si="3"/>
        <v>-0.20580224904004388</v>
      </c>
      <c r="F10" s="37">
        <v>-0.2</v>
      </c>
      <c r="G10" s="37">
        <v>-0.19</v>
      </c>
      <c r="H10" s="37">
        <v>-0.18</v>
      </c>
    </row>
    <row r="12" spans="2:8" x14ac:dyDescent="0.2">
      <c r="B12" s="34" t="s">
        <v>39</v>
      </c>
      <c r="C12" s="35">
        <v>-948.98</v>
      </c>
      <c r="D12" s="35">
        <v>-1068.4159999999999</v>
      </c>
      <c r="E12" s="35">
        <v>-1240.5640000000001</v>
      </c>
      <c r="F12" s="36">
        <f>F14*F$5</f>
        <v>-1524.6642447730926</v>
      </c>
      <c r="G12" s="36">
        <f t="shared" ref="G12:H12" si="4">G14*G$5</f>
        <v>-1824.4880042328348</v>
      </c>
      <c r="H12" s="36">
        <f t="shared" si="4"/>
        <v>-2186.9648054019071</v>
      </c>
    </row>
    <row r="13" spans="2:8" x14ac:dyDescent="0.2">
      <c r="B13" s="28" t="s">
        <v>40</v>
      </c>
      <c r="C13" s="40"/>
      <c r="D13" s="38">
        <f>D12/C12-1</f>
        <v>0.12585723619043598</v>
      </c>
      <c r="E13" s="38">
        <f t="shared" ref="E13" si="5">E12/D12-1</f>
        <v>0.16112450581047089</v>
      </c>
      <c r="F13" s="39">
        <f t="shared" ref="F13" si="6">F12/E12-1</f>
        <v>0.22900893849337267</v>
      </c>
      <c r="G13" s="39">
        <f t="shared" ref="G13:H13" si="7">G12/F12-1</f>
        <v>0.1966490396082996</v>
      </c>
      <c r="H13" s="39">
        <f t="shared" si="7"/>
        <v>0.19867316218474529</v>
      </c>
    </row>
    <row r="14" spans="2:8" x14ac:dyDescent="0.2">
      <c r="B14" s="28" t="s">
        <v>41</v>
      </c>
      <c r="C14" s="38">
        <f>C12/C$5</f>
        <v>-0.33861014909865</v>
      </c>
      <c r="D14" s="38">
        <f t="shared" ref="D14:E14" si="8">D12/D$5</f>
        <v>-0.3497270049099836</v>
      </c>
      <c r="E14" s="38">
        <f t="shared" si="8"/>
        <v>-0.34025342841470108</v>
      </c>
      <c r="F14" s="37">
        <v>-0.35</v>
      </c>
      <c r="G14" s="37">
        <v>-0.35</v>
      </c>
      <c r="H14" s="37">
        <v>-0.35</v>
      </c>
    </row>
    <row r="16" spans="2:8" x14ac:dyDescent="0.2">
      <c r="B16" s="34" t="s">
        <v>38</v>
      </c>
      <c r="C16" s="35">
        <v>-933.13300000000004</v>
      </c>
      <c r="D16" s="35">
        <v>-911.16600000000005</v>
      </c>
      <c r="E16" s="35">
        <v>-1011.772</v>
      </c>
      <c r="F16" s="36">
        <f>F18*F$5</f>
        <v>-1263.2932313834194</v>
      </c>
      <c r="G16" s="36">
        <f t="shared" ref="G16:H16" si="9">G18*G$5</f>
        <v>-1459.590403386268</v>
      </c>
      <c r="H16" s="36">
        <f t="shared" si="9"/>
        <v>-1687.0871355957572</v>
      </c>
    </row>
    <row r="17" spans="2:8" x14ac:dyDescent="0.2">
      <c r="B17" s="28" t="s">
        <v>40</v>
      </c>
      <c r="C17" s="40"/>
      <c r="D17" s="38">
        <f>D16/C16-1</f>
        <v>-2.3541124362765009E-2</v>
      </c>
      <c r="E17" s="38">
        <f t="shared" ref="E17" si="10">E16/D16-1</f>
        <v>0.11041456770775038</v>
      </c>
      <c r="F17" s="39">
        <f t="shared" ref="F17" si="11">F16/E16-1</f>
        <v>0.24859477370733662</v>
      </c>
      <c r="G17" s="39">
        <f t="shared" ref="G17:H17" si="12">G16/F16-1</f>
        <v>0.15538527962180693</v>
      </c>
      <c r="H17" s="39">
        <f t="shared" si="12"/>
        <v>0.15586340639243312</v>
      </c>
    </row>
    <row r="18" spans="2:8" x14ac:dyDescent="0.2">
      <c r="B18" s="28" t="s">
        <v>41</v>
      </c>
      <c r="C18" s="38">
        <f>C16/C$5</f>
        <v>-0.33295570429184029</v>
      </c>
      <c r="D18" s="38">
        <f t="shared" ref="D18:E18" si="13">D16/D$5</f>
        <v>-0.2982540098199673</v>
      </c>
      <c r="E18" s="38">
        <f t="shared" si="13"/>
        <v>-0.27750191991223261</v>
      </c>
      <c r="F18" s="37">
        <v>-0.28999999999999998</v>
      </c>
      <c r="G18" s="37">
        <v>-0.28000000000000003</v>
      </c>
      <c r="H18" s="37">
        <v>-0.27</v>
      </c>
    </row>
    <row r="20" spans="2:8" x14ac:dyDescent="0.2">
      <c r="B20" s="34" t="s">
        <v>37</v>
      </c>
      <c r="C20" s="35">
        <v>-343.541</v>
      </c>
      <c r="D20" s="35">
        <v>-512.40700000000004</v>
      </c>
      <c r="E20" s="35">
        <v>-463.65800000000002</v>
      </c>
      <c r="F20" s="36">
        <f>E20*(1+F21)</f>
        <v>-472.93116000000003</v>
      </c>
      <c r="G20" s="36">
        <f t="shared" ref="G20:H20" si="14">F20*(1+G21)</f>
        <v>-482.38978320000007</v>
      </c>
      <c r="H20" s="36">
        <f t="shared" si="14"/>
        <v>-492.03757886400007</v>
      </c>
    </row>
    <row r="21" spans="2:8" x14ac:dyDescent="0.2">
      <c r="B21" s="28" t="s">
        <v>40</v>
      </c>
      <c r="C21" s="40"/>
      <c r="D21" s="38">
        <f>D20/C20-1</f>
        <v>0.49154540506082256</v>
      </c>
      <c r="E21" s="38">
        <f t="shared" ref="E21" si="15">E20/D20-1</f>
        <v>-9.513726393277222E-2</v>
      </c>
      <c r="F21" s="37">
        <v>0.02</v>
      </c>
      <c r="G21" s="37">
        <v>0.02</v>
      </c>
      <c r="H21" s="37">
        <v>0.02</v>
      </c>
    </row>
    <row r="22" spans="2:8" x14ac:dyDescent="0.2">
      <c r="B22" s="28" t="s">
        <v>41</v>
      </c>
      <c r="C22" s="38">
        <f>C20/C$5</f>
        <v>-0.12258052775769702</v>
      </c>
      <c r="D22" s="38">
        <f t="shared" ref="D22:G22" si="16">D20/D$5</f>
        <v>-0.16772733224222588</v>
      </c>
      <c r="E22" s="38">
        <f t="shared" si="16"/>
        <v>-0.12716895227646738</v>
      </c>
      <c r="F22" s="39">
        <f t="shared" si="16"/>
        <v>-0.10856548028030547</v>
      </c>
      <c r="G22" s="39">
        <f t="shared" si="16"/>
        <v>-9.253907053830851E-2</v>
      </c>
      <c r="H22" s="39">
        <f t="shared" ref="H22" si="17">H20/H$5</f>
        <v>-7.8745278468599647E-2</v>
      </c>
    </row>
    <row r="24" spans="2:8" x14ac:dyDescent="0.2">
      <c r="B24" s="3" t="s">
        <v>51</v>
      </c>
      <c r="C24" s="25">
        <f>SUM(C5,C8,C12,C16,C20)</f>
        <v>-101.67700000000019</v>
      </c>
      <c r="D24" s="25">
        <f t="shared" ref="D24:G24" si="18">SUM(D5,D8,D12,D16,D20)</f>
        <v>-125.74900000000025</v>
      </c>
      <c r="E24" s="25">
        <f t="shared" si="18"/>
        <v>179.65099999999984</v>
      </c>
      <c r="F24" s="25">
        <f t="shared" si="18"/>
        <v>224.05820903912837</v>
      </c>
      <c r="G24" s="25">
        <f t="shared" si="18"/>
        <v>455.91833326260002</v>
      </c>
      <c r="H24" s="25">
        <f t="shared" ref="H24" si="19">SUM(H5,H8,H12,H16,H20)</f>
        <v>757.65659565137503</v>
      </c>
    </row>
    <row r="25" spans="2:8" x14ac:dyDescent="0.2">
      <c r="B25" s="28" t="s">
        <v>40</v>
      </c>
      <c r="C25" s="41"/>
      <c r="D25" s="39">
        <f>D24/C24-1</f>
        <v>0.23674970740678836</v>
      </c>
      <c r="E25" s="39">
        <f t="shared" ref="E25" si="20">E24/D24-1</f>
        <v>-2.428647543916846</v>
      </c>
      <c r="F25" s="39">
        <f t="shared" ref="F25" si="21">F24/E24-1</f>
        <v>0.24718598304005313</v>
      </c>
      <c r="G25" s="39">
        <f t="shared" ref="G25:H25" si="22">G24/F24-1</f>
        <v>1.0348209298726512</v>
      </c>
      <c r="H25" s="39">
        <f t="shared" si="22"/>
        <v>0.6618252445114543</v>
      </c>
    </row>
    <row r="26" spans="2:8" x14ac:dyDescent="0.2">
      <c r="B26" s="28" t="s">
        <v>42</v>
      </c>
      <c r="C26" s="39">
        <f>C24/C$5</f>
        <v>-3.6279862726193914E-2</v>
      </c>
      <c r="D26" s="39">
        <f t="shared" ref="D26:G26" si="23">D24/D$5</f>
        <v>-4.1161702127659655E-2</v>
      </c>
      <c r="E26" s="39">
        <f t="shared" si="23"/>
        <v>4.9273450356555087E-2</v>
      </c>
      <c r="F26" s="39">
        <f t="shared" si="23"/>
        <v>5.1434519719694614E-2</v>
      </c>
      <c r="G26" s="39">
        <f t="shared" si="23"/>
        <v>8.7460929461691359E-2</v>
      </c>
      <c r="H26" s="39">
        <f t="shared" ref="H26" si="24">H24/H$5</f>
        <v>0.12125472153140028</v>
      </c>
    </row>
    <row r="27" spans="2:8" x14ac:dyDescent="0.2">
      <c r="B27" s="48"/>
      <c r="C27" s="49"/>
      <c r="D27" s="49"/>
      <c r="E27" s="49"/>
    </row>
    <row r="29" spans="2:8" ht="15" x14ac:dyDescent="0.35">
      <c r="B29" s="43" t="s">
        <v>52</v>
      </c>
      <c r="C29" s="47"/>
      <c r="D29" s="47"/>
      <c r="E29" s="47"/>
    </row>
    <row r="30" spans="2:8" x14ac:dyDescent="0.2">
      <c r="B30" s="2" t="s">
        <v>45</v>
      </c>
      <c r="C30" s="32">
        <v>46.488999999999997</v>
      </c>
      <c r="D30" s="32">
        <v>21.509</v>
      </c>
      <c r="E30" s="32">
        <v>21.265999999999998</v>
      </c>
      <c r="F30" s="30">
        <f>AVERAGE($C$30/$C$5,$D$30/$D$5,$E$30/$E$5)*F5</f>
        <v>42.779534358655056</v>
      </c>
      <c r="G30" s="30">
        <f t="shared" ref="G30:H30" si="25">AVERAGE($C$30/$C$5,$D$30/$D$5,$E$30/$E$5)*G5</f>
        <v>51.192088705174832</v>
      </c>
      <c r="H30" s="30">
        <f t="shared" si="25"/>
        <v>61.362582847073902</v>
      </c>
    </row>
    <row r="31" spans="2:8" x14ac:dyDescent="0.2">
      <c r="B31" s="2" t="s">
        <v>46</v>
      </c>
      <c r="C31" s="44">
        <v>497.12299999999999</v>
      </c>
      <c r="D31" s="44">
        <v>647.86</v>
      </c>
      <c r="E31" s="44">
        <v>765.79499999999996</v>
      </c>
      <c r="F31" s="50">
        <f>-F40</f>
        <v>870.48651579951763</v>
      </c>
      <c r="G31" s="50">
        <f t="shared" ref="G31:H31" si="26">-G40</f>
        <v>1041.6668531234677</v>
      </c>
      <c r="H31" s="50">
        <f t="shared" si="26"/>
        <v>1248.6181007765397</v>
      </c>
    </row>
    <row r="32" spans="2:8" x14ac:dyDescent="0.2">
      <c r="B32" s="2" t="s">
        <v>47</v>
      </c>
      <c r="C32" s="44">
        <v>19.488</v>
      </c>
      <c r="D32" s="44">
        <v>24.131</v>
      </c>
      <c r="E32" s="44">
        <v>30.786999999999999</v>
      </c>
      <c r="F32" s="45">
        <f>SUM($C$32:$E$32)/SUM($C$31:$E$31)*F31</f>
        <v>33.896883727245616</v>
      </c>
      <c r="G32" s="45">
        <f t="shared" ref="G32:H32" si="27">SUM($C$32:$E$32)/SUM($C$31:$E$31)*G31</f>
        <v>40.562673357922669</v>
      </c>
      <c r="H32" s="45">
        <f t="shared" si="27"/>
        <v>48.621387940608088</v>
      </c>
    </row>
    <row r="33" spans="2:8" x14ac:dyDescent="0.2">
      <c r="B33" s="2" t="s">
        <v>48</v>
      </c>
      <c r="C33" s="44">
        <v>0</v>
      </c>
      <c r="D33" s="44">
        <v>0</v>
      </c>
      <c r="E33" s="44">
        <v>34.65</v>
      </c>
      <c r="F33" s="46">
        <v>0</v>
      </c>
      <c r="G33" s="46">
        <v>0</v>
      </c>
      <c r="H33" s="46">
        <v>0</v>
      </c>
    </row>
    <row r="34" spans="2:8" x14ac:dyDescent="0.2">
      <c r="B34" s="2" t="s">
        <v>49</v>
      </c>
      <c r="C34" s="44">
        <v>0</v>
      </c>
      <c r="D34" s="44">
        <v>126.883</v>
      </c>
      <c r="E34" s="44">
        <v>0</v>
      </c>
      <c r="F34" s="46">
        <v>0</v>
      </c>
      <c r="G34" s="46">
        <v>0</v>
      </c>
      <c r="H34" s="46">
        <v>0</v>
      </c>
    </row>
    <row r="35" spans="2:8" x14ac:dyDescent="0.2">
      <c r="B35" s="2" t="s">
        <v>50</v>
      </c>
      <c r="C35" s="44">
        <v>0</v>
      </c>
      <c r="D35" s="44">
        <v>12.89</v>
      </c>
      <c r="E35" s="44">
        <v>0</v>
      </c>
      <c r="F35" s="46">
        <v>0</v>
      </c>
      <c r="G35" s="46">
        <v>0</v>
      </c>
      <c r="H35" s="46">
        <v>0</v>
      </c>
    </row>
    <row r="36" spans="2:8" x14ac:dyDescent="0.2">
      <c r="B36" s="3" t="s">
        <v>35</v>
      </c>
      <c r="C36" s="25">
        <f>SUM(C24,C30:C35)</f>
        <v>461.42299999999977</v>
      </c>
      <c r="D36" s="25">
        <f>SUM(D24,D30:D35)</f>
        <v>707.52399999999977</v>
      </c>
      <c r="E36" s="25">
        <f>SUM(E24,E30:E35)</f>
        <v>1032.1489999999999</v>
      </c>
      <c r="F36" s="25">
        <f t="shared" ref="F36:H36" si="28">SUM(F24,F30:F35)</f>
        <v>1171.2211429245467</v>
      </c>
      <c r="G36" s="25">
        <f t="shared" si="28"/>
        <v>1589.3399484491654</v>
      </c>
      <c r="H36" s="25">
        <f t="shared" si="28"/>
        <v>2116.2586672155967</v>
      </c>
    </row>
    <row r="37" spans="2:8" x14ac:dyDescent="0.2">
      <c r="B37" s="28" t="s">
        <v>40</v>
      </c>
      <c r="C37" s="40"/>
      <c r="D37" s="38">
        <f>D36/C36-1</f>
        <v>0.53335226029044969</v>
      </c>
      <c r="E37" s="38">
        <f t="shared" ref="E37" si="29">E36/D36-1</f>
        <v>0.45881835810516702</v>
      </c>
      <c r="F37" s="39">
        <f t="shared" ref="F37" si="30">F36/E36-1</f>
        <v>0.13474037462086086</v>
      </c>
      <c r="G37" s="39">
        <f t="shared" ref="G37:H37" si="31">G36/F36-1</f>
        <v>0.35699390166452538</v>
      </c>
      <c r="H37" s="39">
        <f t="shared" si="31"/>
        <v>0.33153304884872759</v>
      </c>
    </row>
    <row r="38" spans="2:8" x14ac:dyDescent="0.2">
      <c r="B38" s="28" t="s">
        <v>42</v>
      </c>
      <c r="C38" s="38">
        <f>C36/C$5</f>
        <v>0.16464257500426385</v>
      </c>
      <c r="D38" s="38">
        <f t="shared" ref="D38:G38" si="32">D36/D$5</f>
        <v>0.23159541734860875</v>
      </c>
      <c r="E38" s="38">
        <f t="shared" si="32"/>
        <v>0.28309078442128355</v>
      </c>
      <c r="F38" s="39">
        <f t="shared" si="32"/>
        <v>0.26886404756254945</v>
      </c>
      <c r="G38" s="39">
        <f t="shared" si="32"/>
        <v>0.30489045730454623</v>
      </c>
      <c r="H38" s="39">
        <f t="shared" ref="H38" si="33">H36/H$5</f>
        <v>0.33868424937425512</v>
      </c>
    </row>
    <row r="39" spans="2:8" x14ac:dyDescent="0.2">
      <c r="B39" s="28"/>
      <c r="C39" s="39"/>
      <c r="D39" s="39"/>
      <c r="E39" s="39"/>
      <c r="F39" s="39"/>
      <c r="G39" s="39"/>
      <c r="H39" s="39"/>
    </row>
    <row r="40" spans="2:8" x14ac:dyDescent="0.2">
      <c r="B40" s="34" t="s">
        <v>46</v>
      </c>
      <c r="C40" s="52">
        <f>-C31</f>
        <v>-497.12299999999999</v>
      </c>
      <c r="D40" s="52">
        <f t="shared" ref="D40:E40" si="34">-D31</f>
        <v>-647.86</v>
      </c>
      <c r="E40" s="52">
        <f t="shared" si="34"/>
        <v>-765.79499999999996</v>
      </c>
      <c r="F40" s="36">
        <f>F42*F5</f>
        <v>-870.48651579951763</v>
      </c>
      <c r="G40" s="36">
        <f>G42*G5</f>
        <v>-1041.6668531234677</v>
      </c>
      <c r="H40" s="36">
        <f>H42*H5</f>
        <v>-1248.6181007765397</v>
      </c>
    </row>
    <row r="41" spans="2:8" x14ac:dyDescent="0.2">
      <c r="B41" s="28" t="s">
        <v>40</v>
      </c>
      <c r="C41" s="40"/>
      <c r="D41" s="40">
        <f>D40/C40-1</f>
        <v>0.30321872051785981</v>
      </c>
      <c r="E41" s="40">
        <f t="shared" ref="E41" si="35">E40/D40-1</f>
        <v>0.18203778594140707</v>
      </c>
      <c r="F41" s="39">
        <f t="shared" ref="F41" si="36">F40/E40-1</f>
        <v>0.13670958389584387</v>
      </c>
      <c r="G41" s="39">
        <f t="shared" ref="G41" si="37">G40/F40-1</f>
        <v>0.1966490396082996</v>
      </c>
      <c r="H41" s="39">
        <f t="shared" ref="H41" si="38">H40/G40-1</f>
        <v>0.19867316218474529</v>
      </c>
    </row>
    <row r="42" spans="2:8" x14ac:dyDescent="0.2">
      <c r="B42" s="28" t="s">
        <v>41</v>
      </c>
      <c r="C42" s="40">
        <f>C40/C$5</f>
        <v>-0.17738086487636009</v>
      </c>
      <c r="D42" s="40">
        <f t="shared" ref="D42:E42" si="39">D40/D$5</f>
        <v>-0.21206546644844518</v>
      </c>
      <c r="E42" s="40">
        <f t="shared" si="39"/>
        <v>-0.21003702687877124</v>
      </c>
      <c r="F42" s="42">
        <f>AVERAGE($C$42:$E$42)</f>
        <v>-0.19982778606785886</v>
      </c>
      <c r="G42" s="42">
        <f t="shared" ref="G42:H42" si="40">AVERAGE($C$42:$E$42)</f>
        <v>-0.19982778606785886</v>
      </c>
      <c r="H42" s="42">
        <f t="shared" si="40"/>
        <v>-0.19982778606785886</v>
      </c>
    </row>
    <row r="44" spans="2:8" x14ac:dyDescent="0.2">
      <c r="B44" s="3" t="s">
        <v>44</v>
      </c>
      <c r="C44" s="25">
        <f>SUM(C36,C40)</f>
        <v>-35.700000000000216</v>
      </c>
      <c r="D44" s="25">
        <f t="shared" ref="D44:H44" si="41">SUM(D36,D40)</f>
        <v>59.66399999999976</v>
      </c>
      <c r="E44" s="25">
        <f t="shared" si="41"/>
        <v>266.35399999999993</v>
      </c>
      <c r="F44" s="25">
        <f t="shared" si="41"/>
        <v>300.73462712502908</v>
      </c>
      <c r="G44" s="25">
        <f t="shared" si="41"/>
        <v>547.67309532569766</v>
      </c>
      <c r="H44" s="25">
        <f t="shared" si="41"/>
        <v>867.64056643905701</v>
      </c>
    </row>
    <row r="45" spans="2:8" x14ac:dyDescent="0.2">
      <c r="B45" s="28" t="s">
        <v>40</v>
      </c>
      <c r="C45" s="40"/>
      <c r="D45" s="38">
        <f>D44/C44-1</f>
        <v>-2.6712605042016637</v>
      </c>
      <c r="E45" s="38">
        <f t="shared" ref="E45" si="42">E44/D44-1</f>
        <v>3.464233038348099</v>
      </c>
      <c r="F45" s="39">
        <f t="shared" ref="F45" si="43">F44/E44-1</f>
        <v>0.12907869649049442</v>
      </c>
      <c r="G45" s="39">
        <f t="shared" ref="G45:H45" si="44">G44/F44-1</f>
        <v>0.82111751001658018</v>
      </c>
      <c r="H45" s="39">
        <f t="shared" si="44"/>
        <v>0.58423076438158206</v>
      </c>
    </row>
    <row r="46" spans="2:8" x14ac:dyDescent="0.2">
      <c r="B46" s="28" t="s">
        <v>42</v>
      </c>
      <c r="C46" s="38">
        <f>C44/C$5</f>
        <v>-1.2738289872096228E-2</v>
      </c>
      <c r="D46" s="38">
        <f t="shared" ref="D46:G46" si="45">D44/D$5</f>
        <v>1.9529950900163587E-2</v>
      </c>
      <c r="E46" s="38">
        <f t="shared" si="45"/>
        <v>7.3053757542512324E-2</v>
      </c>
      <c r="F46" s="39">
        <f t="shared" si="45"/>
        <v>6.9036261494690596E-2</v>
      </c>
      <c r="G46" s="39">
        <f t="shared" si="45"/>
        <v>0.10506267123668736</v>
      </c>
      <c r="H46" s="39">
        <f t="shared" ref="H46" si="46">H44/H$5</f>
        <v>0.13885646330639626</v>
      </c>
    </row>
    <row r="49" spans="3:5" x14ac:dyDescent="0.2">
      <c r="C49" s="51"/>
      <c r="D49" s="51"/>
      <c r="E49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36BB8-CF30-4F81-AF69-B22B52AB972D}">
  <dimension ref="A2:W40"/>
  <sheetViews>
    <sheetView showGridLines="0" zoomScaleNormal="100" workbookViewId="0">
      <pane xSplit="2" ySplit="4" topLeftCell="C5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2.7109375" style="19" customWidth="1"/>
    <col min="2" max="2" width="32.85546875" style="2" bestFit="1" customWidth="1"/>
    <col min="3" max="23" width="10.28515625" style="2" customWidth="1"/>
    <col min="24" max="16384" width="9.140625" style="2"/>
  </cols>
  <sheetData>
    <row r="2" spans="2:23" ht="15" x14ac:dyDescent="0.35">
      <c r="B2" s="12" t="s">
        <v>18</v>
      </c>
      <c r="C2" s="1" t="s">
        <v>27</v>
      </c>
      <c r="D2" s="1"/>
      <c r="E2" s="1"/>
      <c r="F2" s="1"/>
      <c r="G2" s="1"/>
      <c r="H2" s="1"/>
      <c r="I2" s="1"/>
      <c r="J2" s="1"/>
      <c r="K2" s="1"/>
      <c r="L2" s="1" t="s">
        <v>28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2:23" ht="15" x14ac:dyDescent="0.35">
      <c r="B3" s="12"/>
      <c r="C3" s="1" t="s">
        <v>12</v>
      </c>
      <c r="D3" s="1" t="s">
        <v>13</v>
      </c>
      <c r="E3" s="1"/>
      <c r="F3" s="1"/>
      <c r="G3" s="1"/>
      <c r="H3" s="1" t="s">
        <v>14</v>
      </c>
      <c r="I3" s="1"/>
      <c r="J3" s="1"/>
      <c r="K3" s="1"/>
      <c r="L3" s="1" t="s">
        <v>15</v>
      </c>
      <c r="M3" s="1"/>
      <c r="N3" s="1"/>
      <c r="O3" s="1"/>
      <c r="P3" s="1" t="s">
        <v>16</v>
      </c>
      <c r="Q3" s="1"/>
      <c r="R3" s="1"/>
      <c r="S3" s="1"/>
      <c r="T3" s="1" t="s">
        <v>43</v>
      </c>
      <c r="U3" s="1"/>
      <c r="V3" s="1"/>
      <c r="W3" s="1"/>
    </row>
    <row r="4" spans="2:23" ht="15" x14ac:dyDescent="0.35">
      <c r="B4" s="11" t="s">
        <v>17</v>
      </c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</v>
      </c>
      <c r="M4" s="1" t="s">
        <v>2</v>
      </c>
      <c r="N4" s="1" t="s">
        <v>3</v>
      </c>
      <c r="O4" s="1" t="s">
        <v>4</v>
      </c>
      <c r="P4" s="1" t="s">
        <v>7</v>
      </c>
      <c r="Q4" s="1" t="s">
        <v>8</v>
      </c>
      <c r="R4" s="1" t="s">
        <v>9</v>
      </c>
      <c r="S4" s="1" t="s">
        <v>10</v>
      </c>
      <c r="T4" s="1" t="s">
        <v>7</v>
      </c>
      <c r="U4" s="1" t="s">
        <v>8</v>
      </c>
      <c r="V4" s="1" t="s">
        <v>9</v>
      </c>
      <c r="W4" s="1" t="s">
        <v>10</v>
      </c>
    </row>
    <row r="5" spans="2:23" ht="8.1" customHeight="1" x14ac:dyDescent="0.2">
      <c r="B5" s="7"/>
    </row>
    <row r="6" spans="2:23" x14ac:dyDescent="0.2">
      <c r="B6" s="7" t="s">
        <v>24</v>
      </c>
    </row>
    <row r="7" spans="2:23" x14ac:dyDescent="0.2">
      <c r="B7" s="2" t="s">
        <v>29</v>
      </c>
      <c r="C7" s="22">
        <v>722</v>
      </c>
      <c r="D7" s="22">
        <v>486</v>
      </c>
      <c r="E7" s="22">
        <v>565</v>
      </c>
      <c r="F7" s="22">
        <v>618</v>
      </c>
      <c r="G7" s="22">
        <v>779</v>
      </c>
      <c r="H7" s="22">
        <v>592</v>
      </c>
      <c r="I7" s="22">
        <v>673</v>
      </c>
      <c r="J7" s="22">
        <v>719</v>
      </c>
      <c r="K7" s="22">
        <v>900</v>
      </c>
      <c r="L7" s="24">
        <f t="shared" ref="L7:W7" si="0">L13*L19</f>
        <v>721.11934156378595</v>
      </c>
      <c r="M7" s="24">
        <f t="shared" si="0"/>
        <v>801.64424778761077</v>
      </c>
      <c r="N7" s="24">
        <f t="shared" si="0"/>
        <v>836.50647249190945</v>
      </c>
      <c r="O7" s="24">
        <f t="shared" si="0"/>
        <v>1039.7946084724008</v>
      </c>
      <c r="P7" s="24">
        <f t="shared" si="0"/>
        <v>878.40051482666934</v>
      </c>
      <c r="Q7" s="24">
        <f t="shared" si="0"/>
        <v>954.87890046205678</v>
      </c>
      <c r="R7" s="24">
        <f t="shared" si="0"/>
        <v>973.21707721955181</v>
      </c>
      <c r="S7" s="24">
        <f t="shared" si="0"/>
        <v>1201.3031420091922</v>
      </c>
      <c r="T7" s="24">
        <f t="shared" si="0"/>
        <v>1069.9858122991527</v>
      </c>
      <c r="U7" s="24">
        <f t="shared" si="0"/>
        <v>1137.4044247981667</v>
      </c>
      <c r="V7" s="24">
        <f t="shared" si="0"/>
        <v>1132.2703535936209</v>
      </c>
      <c r="W7" s="24">
        <f t="shared" si="0"/>
        <v>1387.8983668912363</v>
      </c>
    </row>
    <row r="8" spans="2:23" x14ac:dyDescent="0.2">
      <c r="B8" s="2" t="s">
        <v>5</v>
      </c>
      <c r="C8" s="21">
        <v>123</v>
      </c>
      <c r="D8" s="21">
        <v>93</v>
      </c>
      <c r="E8" s="21">
        <v>114</v>
      </c>
      <c r="F8" s="21">
        <v>114</v>
      </c>
      <c r="G8" s="21">
        <v>162</v>
      </c>
      <c r="H8" s="21">
        <v>118</v>
      </c>
      <c r="I8" s="21">
        <v>143</v>
      </c>
      <c r="J8" s="21">
        <v>137</v>
      </c>
      <c r="K8" s="21">
        <v>196</v>
      </c>
      <c r="L8" s="24">
        <f t="shared" ref="L8:W8" si="1">L14*L20</f>
        <v>149.72043010752691</v>
      </c>
      <c r="M8" s="24">
        <f t="shared" si="1"/>
        <v>179.37719298245617</v>
      </c>
      <c r="N8" s="24">
        <f t="shared" si="1"/>
        <v>164.64035087719296</v>
      </c>
      <c r="O8" s="24">
        <f t="shared" si="1"/>
        <v>237.13580246913585</v>
      </c>
      <c r="P8" s="24">
        <f t="shared" si="1"/>
        <v>189.96785755578682</v>
      </c>
      <c r="Q8" s="24">
        <f t="shared" si="1"/>
        <v>225.00823330255469</v>
      </c>
      <c r="R8" s="24">
        <f t="shared" si="1"/>
        <v>197.85726377346876</v>
      </c>
      <c r="S8" s="24">
        <f t="shared" si="1"/>
        <v>286.90504496265828</v>
      </c>
      <c r="T8" s="24">
        <f t="shared" si="1"/>
        <v>241.03448593099833</v>
      </c>
      <c r="U8" s="24">
        <f t="shared" si="1"/>
        <v>282.24716984443268</v>
      </c>
      <c r="V8" s="24">
        <f t="shared" si="1"/>
        <v>237.77583453478263</v>
      </c>
      <c r="W8" s="24">
        <f t="shared" si="1"/>
        <v>347.11968402889528</v>
      </c>
    </row>
    <row r="9" spans="2:23" x14ac:dyDescent="0.2">
      <c r="B9" s="2" t="s">
        <v>6</v>
      </c>
      <c r="C9" s="21">
        <v>32</v>
      </c>
      <c r="D9" s="21">
        <v>24</v>
      </c>
      <c r="E9" s="21">
        <v>29</v>
      </c>
      <c r="F9" s="21">
        <v>31</v>
      </c>
      <c r="G9" s="21">
        <v>41</v>
      </c>
      <c r="H9" s="21">
        <v>30</v>
      </c>
      <c r="I9" s="21">
        <v>38</v>
      </c>
      <c r="J9" s="21">
        <v>42</v>
      </c>
      <c r="K9" s="21">
        <v>58</v>
      </c>
      <c r="L9" s="24">
        <f t="shared" ref="L9:W9" si="2">L15*L21</f>
        <v>37.5</v>
      </c>
      <c r="M9" s="24">
        <f t="shared" si="2"/>
        <v>49.793103448275851</v>
      </c>
      <c r="N9" s="24">
        <f t="shared" si="2"/>
        <v>56.90322580645163</v>
      </c>
      <c r="O9" s="24">
        <f t="shared" si="2"/>
        <v>82.048780487804876</v>
      </c>
      <c r="P9" s="24">
        <f t="shared" si="2"/>
        <v>46.875</v>
      </c>
      <c r="Q9" s="24">
        <f t="shared" si="2"/>
        <v>65.246135552913174</v>
      </c>
      <c r="R9" s="24">
        <f t="shared" si="2"/>
        <v>77.094693028095776</v>
      </c>
      <c r="S9" s="24">
        <f t="shared" si="2"/>
        <v>116.06900654372397</v>
      </c>
      <c r="T9" s="24">
        <f t="shared" si="2"/>
        <v>58.59375</v>
      </c>
      <c r="U9" s="24">
        <f t="shared" si="2"/>
        <v>85.494936241748292</v>
      </c>
      <c r="V9" s="24">
        <f t="shared" si="2"/>
        <v>104.45087442516204</v>
      </c>
      <c r="W9" s="24">
        <f t="shared" si="2"/>
        <v>164.1951799886827</v>
      </c>
    </row>
    <row r="10" spans="2:23" x14ac:dyDescent="0.2">
      <c r="B10" s="3" t="s">
        <v>25</v>
      </c>
      <c r="C10" s="20">
        <v>877</v>
      </c>
      <c r="D10" s="20">
        <v>603</v>
      </c>
      <c r="E10" s="20">
        <v>708</v>
      </c>
      <c r="F10" s="20">
        <v>763</v>
      </c>
      <c r="G10" s="20">
        <v>981</v>
      </c>
      <c r="H10" s="20">
        <v>740</v>
      </c>
      <c r="I10" s="20">
        <v>854</v>
      </c>
      <c r="J10" s="20">
        <v>898</v>
      </c>
      <c r="K10" s="20">
        <v>1154</v>
      </c>
      <c r="L10" s="25">
        <f t="shared" ref="L10:T10" si="3">SUM(L7:L9)</f>
        <v>908.33977167131286</v>
      </c>
      <c r="M10" s="25">
        <f t="shared" si="3"/>
        <v>1030.8145442183427</v>
      </c>
      <c r="N10" s="25">
        <f t="shared" si="3"/>
        <v>1058.050049175554</v>
      </c>
      <c r="O10" s="25">
        <f t="shared" si="3"/>
        <v>1358.9791914293414</v>
      </c>
      <c r="P10" s="25">
        <f t="shared" si="3"/>
        <v>1115.2433723824561</v>
      </c>
      <c r="Q10" s="25">
        <f t="shared" si="3"/>
        <v>1245.1332693175245</v>
      </c>
      <c r="R10" s="25">
        <f t="shared" si="3"/>
        <v>1248.1690340211162</v>
      </c>
      <c r="S10" s="25">
        <f t="shared" si="3"/>
        <v>1604.2771935155745</v>
      </c>
      <c r="T10" s="25">
        <f t="shared" si="3"/>
        <v>1369.614048230151</v>
      </c>
      <c r="U10" s="25">
        <f t="shared" ref="U10:W10" si="4">SUM(U7:U9)</f>
        <v>1505.1465308843476</v>
      </c>
      <c r="V10" s="25">
        <f t="shared" si="4"/>
        <v>1474.4970625535657</v>
      </c>
      <c r="W10" s="25">
        <f t="shared" si="4"/>
        <v>1899.2132309088142</v>
      </c>
    </row>
    <row r="12" spans="2:23" x14ac:dyDescent="0.2">
      <c r="B12" s="7" t="s">
        <v>26</v>
      </c>
    </row>
    <row r="13" spans="2:23" x14ac:dyDescent="0.2">
      <c r="B13" s="2" t="s">
        <v>29</v>
      </c>
      <c r="C13" s="21">
        <v>95</v>
      </c>
      <c r="D13" s="21">
        <v>95</v>
      </c>
      <c r="E13" s="21">
        <v>95</v>
      </c>
      <c r="F13" s="21">
        <v>96</v>
      </c>
      <c r="G13" s="21">
        <v>97</v>
      </c>
      <c r="H13" s="21">
        <v>98</v>
      </c>
      <c r="I13" s="21">
        <v>98</v>
      </c>
      <c r="J13" s="21">
        <v>99</v>
      </c>
      <c r="K13" s="21">
        <v>101</v>
      </c>
      <c r="L13" s="26">
        <f>H13*(1+L31)</f>
        <v>101.09473684210528</v>
      </c>
      <c r="M13" s="26">
        <f t="shared" ref="M13:S13" si="5">I13*(1+M31)</f>
        <v>101.09473684210528</v>
      </c>
      <c r="N13" s="26">
        <f t="shared" si="5"/>
        <v>102.09375</v>
      </c>
      <c r="O13" s="26">
        <f t="shared" si="5"/>
        <v>105.16494845360826</v>
      </c>
      <c r="P13" s="26">
        <f t="shared" si="5"/>
        <v>104.2872022160665</v>
      </c>
      <c r="Q13" s="26">
        <f t="shared" si="5"/>
        <v>104.2872022160665</v>
      </c>
      <c r="R13" s="26">
        <f t="shared" si="5"/>
        <v>105.2841796875</v>
      </c>
      <c r="S13" s="26">
        <f t="shared" si="5"/>
        <v>109.5016473589117</v>
      </c>
      <c r="T13" s="26">
        <f t="shared" ref="T13:T15" si="6">P13*(1+T31)</f>
        <v>107.58048228604756</v>
      </c>
      <c r="U13" s="26">
        <f t="shared" ref="U13:U15" si="7">Q13*(1+U31)</f>
        <v>107.58048228604756</v>
      </c>
      <c r="V13" s="26">
        <f t="shared" ref="V13:V15" si="8">R13*(1+V31)</f>
        <v>108.57431030273438</v>
      </c>
      <c r="W13" s="26">
        <f t="shared" ref="W13:W15" si="9">S13*(1+W31)</f>
        <v>114.01717920876374</v>
      </c>
    </row>
    <row r="14" spans="2:23" x14ac:dyDescent="0.2">
      <c r="B14" s="2" t="s">
        <v>5</v>
      </c>
      <c r="C14" s="21">
        <v>124</v>
      </c>
      <c r="D14" s="21">
        <v>128</v>
      </c>
      <c r="E14" s="21">
        <v>124</v>
      </c>
      <c r="F14" s="21">
        <v>128</v>
      </c>
      <c r="G14" s="21">
        <v>135</v>
      </c>
      <c r="H14" s="21">
        <v>140</v>
      </c>
      <c r="I14" s="21">
        <v>136</v>
      </c>
      <c r="J14" s="21">
        <v>139</v>
      </c>
      <c r="K14" s="21">
        <v>145</v>
      </c>
      <c r="L14" s="26">
        <f t="shared" ref="L14:S14" si="10">H14*(1+L32)</f>
        <v>153.125</v>
      </c>
      <c r="M14" s="26">
        <f t="shared" si="10"/>
        <v>149.16129032258064</v>
      </c>
      <c r="N14" s="26">
        <f t="shared" si="10"/>
        <v>150.9453125</v>
      </c>
      <c r="O14" s="26">
        <f t="shared" si="10"/>
        <v>155.74074074074076</v>
      </c>
      <c r="P14" s="26">
        <f t="shared" si="10"/>
        <v>167.48046875</v>
      </c>
      <c r="Q14" s="26">
        <f t="shared" si="10"/>
        <v>163.5962539021852</v>
      </c>
      <c r="R14" s="26">
        <f t="shared" si="10"/>
        <v>163.91717529296875</v>
      </c>
      <c r="S14" s="26">
        <f t="shared" si="10"/>
        <v>167.27709190672158</v>
      </c>
      <c r="T14" s="26">
        <f t="shared" si="6"/>
        <v>183.1817626953125</v>
      </c>
      <c r="U14" s="26">
        <f t="shared" si="7"/>
        <v>179.42814944110634</v>
      </c>
      <c r="V14" s="26">
        <f t="shared" si="8"/>
        <v>178.00380754470825</v>
      </c>
      <c r="W14" s="26">
        <f t="shared" si="9"/>
        <v>179.6679876035158</v>
      </c>
    </row>
    <row r="15" spans="2:23" x14ac:dyDescent="0.2">
      <c r="B15" s="2" t="s">
        <v>6</v>
      </c>
      <c r="C15" s="21">
        <v>231</v>
      </c>
      <c r="D15" s="21">
        <v>240</v>
      </c>
      <c r="E15" s="21">
        <v>246</v>
      </c>
      <c r="F15" s="21">
        <v>258</v>
      </c>
      <c r="G15" s="21">
        <v>266</v>
      </c>
      <c r="H15" s="21">
        <v>279</v>
      </c>
      <c r="I15" s="21">
        <v>288</v>
      </c>
      <c r="J15" s="21">
        <v>300</v>
      </c>
      <c r="K15" s="21">
        <v>307</v>
      </c>
      <c r="L15" s="26">
        <f t="shared" ref="L15:S15" si="11">H15*(1+L33)</f>
        <v>324.33750000000003</v>
      </c>
      <c r="M15" s="26">
        <f t="shared" si="11"/>
        <v>337.17073170731703</v>
      </c>
      <c r="N15" s="26">
        <f t="shared" si="11"/>
        <v>348.83720930232562</v>
      </c>
      <c r="O15" s="26">
        <f t="shared" si="11"/>
        <v>354.31954887218041</v>
      </c>
      <c r="P15" s="26">
        <f t="shared" si="11"/>
        <v>377.04234375000004</v>
      </c>
      <c r="Q15" s="26">
        <f t="shared" si="11"/>
        <v>394.73646638905404</v>
      </c>
      <c r="R15" s="26">
        <f t="shared" si="11"/>
        <v>405.62466197944843</v>
      </c>
      <c r="S15" s="26">
        <f t="shared" si="11"/>
        <v>408.93271242014805</v>
      </c>
      <c r="T15" s="26">
        <f t="shared" si="6"/>
        <v>438.31172460937506</v>
      </c>
      <c r="U15" s="26">
        <f t="shared" si="7"/>
        <v>462.13049723596566</v>
      </c>
      <c r="V15" s="26">
        <f t="shared" si="8"/>
        <v>471.65658369703311</v>
      </c>
      <c r="W15" s="26">
        <f t="shared" si="9"/>
        <v>471.96369440971972</v>
      </c>
    </row>
    <row r="16" spans="2:23" x14ac:dyDescent="0.2">
      <c r="B16" s="3" t="s">
        <v>21</v>
      </c>
      <c r="C16" s="23">
        <v>450</v>
      </c>
      <c r="D16" s="23">
        <v>463</v>
      </c>
      <c r="E16" s="23">
        <v>465</v>
      </c>
      <c r="F16" s="23">
        <v>482</v>
      </c>
      <c r="G16" s="23">
        <v>498</v>
      </c>
      <c r="H16" s="23">
        <v>518</v>
      </c>
      <c r="I16" s="23">
        <v>522</v>
      </c>
      <c r="J16" s="23">
        <v>537</v>
      </c>
      <c r="K16" s="23">
        <v>553</v>
      </c>
      <c r="L16" s="27">
        <f t="shared" ref="L16:W16" si="12">SUM(L13:L15)</f>
        <v>578.55723684210534</v>
      </c>
      <c r="M16" s="27">
        <f t="shared" si="12"/>
        <v>587.42675887200289</v>
      </c>
      <c r="N16" s="27">
        <f t="shared" si="12"/>
        <v>601.87627180232562</v>
      </c>
      <c r="O16" s="27">
        <f t="shared" si="12"/>
        <v>615.22523806652941</v>
      </c>
      <c r="P16" s="27">
        <f t="shared" si="12"/>
        <v>648.81001471606646</v>
      </c>
      <c r="Q16" s="27">
        <f t="shared" si="12"/>
        <v>662.61992250730577</v>
      </c>
      <c r="R16" s="27">
        <f t="shared" si="12"/>
        <v>674.82601695991718</v>
      </c>
      <c r="S16" s="27">
        <f t="shared" si="12"/>
        <v>685.7114516857813</v>
      </c>
      <c r="T16" s="27">
        <f t="shared" si="12"/>
        <v>729.07396959073503</v>
      </c>
      <c r="U16" s="27">
        <f t="shared" si="12"/>
        <v>749.13912896311956</v>
      </c>
      <c r="V16" s="27">
        <f t="shared" si="12"/>
        <v>758.23470154447568</v>
      </c>
      <c r="W16" s="27">
        <f t="shared" si="12"/>
        <v>765.64886122199925</v>
      </c>
    </row>
    <row r="18" spans="2:23" x14ac:dyDescent="0.2">
      <c r="B18" s="7" t="s">
        <v>23</v>
      </c>
    </row>
    <row r="19" spans="2:23" x14ac:dyDescent="0.2">
      <c r="B19" s="2" t="s">
        <v>29</v>
      </c>
      <c r="C19" s="8">
        <f t="shared" ref="C19:K19" si="13">C7/C13</f>
        <v>7.6</v>
      </c>
      <c r="D19" s="8">
        <f t="shared" si="13"/>
        <v>5.1157894736842104</v>
      </c>
      <c r="E19" s="8">
        <f t="shared" si="13"/>
        <v>5.9473684210526319</v>
      </c>
      <c r="F19" s="8">
        <f t="shared" si="13"/>
        <v>6.4375</v>
      </c>
      <c r="G19" s="8">
        <f t="shared" si="13"/>
        <v>8.0309278350515463</v>
      </c>
      <c r="H19" s="8">
        <f t="shared" si="13"/>
        <v>6.0408163265306118</v>
      </c>
      <c r="I19" s="8">
        <f t="shared" si="13"/>
        <v>6.8673469387755102</v>
      </c>
      <c r="J19" s="8">
        <f t="shared" si="13"/>
        <v>7.262626262626263</v>
      </c>
      <c r="K19" s="8">
        <f t="shared" si="13"/>
        <v>8.9108910891089117</v>
      </c>
      <c r="L19" s="16">
        <f>H19*(1+L37)</f>
        <v>7.1331046906038793</v>
      </c>
      <c r="M19" s="16">
        <f t="shared" ref="M19:S19" si="14">I19*(1+M37)</f>
        <v>7.9296338546254699</v>
      </c>
      <c r="N19" s="16">
        <f t="shared" si="14"/>
        <v>8.1935130455283449</v>
      </c>
      <c r="O19" s="16">
        <f t="shared" si="14"/>
        <v>9.8872735047370703</v>
      </c>
      <c r="P19" s="16">
        <f t="shared" si="14"/>
        <v>8.4228984588805353</v>
      </c>
      <c r="Q19" s="16">
        <f t="shared" si="14"/>
        <v>9.1562423784626947</v>
      </c>
      <c r="R19" s="16">
        <f t="shared" si="14"/>
        <v>9.2437161984660285</v>
      </c>
      <c r="S19" s="16">
        <f t="shared" si="14"/>
        <v>10.970639903450047</v>
      </c>
      <c r="T19" s="16">
        <f t="shared" ref="T19:T21" si="15">P19*(1+T37)</f>
        <v>9.9459101647652908</v>
      </c>
      <c r="U19" s="16">
        <f t="shared" ref="U19:U21" si="16">Q19*(1+U37)</f>
        <v>10.572590869911728</v>
      </c>
      <c r="V19" s="16">
        <f t="shared" ref="V19:V21" si="17">R19*(1+V37)</f>
        <v>10.42852909161059</v>
      </c>
      <c r="W19" s="16">
        <f t="shared" ref="W19:W21" si="18">S19*(1+W37)</f>
        <v>12.172712713318537</v>
      </c>
    </row>
    <row r="20" spans="2:23" x14ac:dyDescent="0.2">
      <c r="B20" s="2" t="s">
        <v>5</v>
      </c>
      <c r="C20" s="9">
        <f t="shared" ref="C20:K20" si="19">C8/C14</f>
        <v>0.99193548387096775</v>
      </c>
      <c r="D20" s="9">
        <f t="shared" si="19"/>
        <v>0.7265625</v>
      </c>
      <c r="E20" s="9">
        <f t="shared" si="19"/>
        <v>0.91935483870967738</v>
      </c>
      <c r="F20" s="9">
        <f t="shared" si="19"/>
        <v>0.890625</v>
      </c>
      <c r="G20" s="9">
        <f t="shared" si="19"/>
        <v>1.2</v>
      </c>
      <c r="H20" s="9">
        <f t="shared" si="19"/>
        <v>0.84285714285714286</v>
      </c>
      <c r="I20" s="9">
        <f t="shared" si="19"/>
        <v>1.0514705882352942</v>
      </c>
      <c r="J20" s="9">
        <f t="shared" si="19"/>
        <v>0.98561151079136688</v>
      </c>
      <c r="K20" s="9">
        <f t="shared" si="19"/>
        <v>1.3517241379310345</v>
      </c>
      <c r="L20" s="17">
        <f t="shared" ref="L20:S20" si="20">H20*(1+L38)</f>
        <v>0.97776607417160422</v>
      </c>
      <c r="M20" s="17">
        <f t="shared" si="20"/>
        <v>1.2025720117768472</v>
      </c>
      <c r="N20" s="17">
        <f t="shared" si="20"/>
        <v>1.0907284774225299</v>
      </c>
      <c r="O20" s="17">
        <f t="shared" si="20"/>
        <v>1.5226317875544988</v>
      </c>
      <c r="P20" s="17">
        <f t="shared" si="20"/>
        <v>1.1342687238316367</v>
      </c>
      <c r="Q20" s="17">
        <f t="shared" si="20"/>
        <v>1.375387442777803</v>
      </c>
      <c r="R20" s="17">
        <f t="shared" si="20"/>
        <v>1.2070563284160978</v>
      </c>
      <c r="S20" s="17">
        <f t="shared" si="20"/>
        <v>1.715148450348746</v>
      </c>
      <c r="T20" s="17">
        <f t="shared" si="15"/>
        <v>1.3158214135755024</v>
      </c>
      <c r="U20" s="17">
        <f t="shared" si="16"/>
        <v>1.5730372894308571</v>
      </c>
      <c r="V20" s="17">
        <f t="shared" si="17"/>
        <v>1.3357907216398266</v>
      </c>
      <c r="W20" s="17">
        <f t="shared" si="18"/>
        <v>1.9320063003928405</v>
      </c>
    </row>
    <row r="21" spans="2:23" x14ac:dyDescent="0.2">
      <c r="B21" s="2" t="s">
        <v>6</v>
      </c>
      <c r="C21" s="9">
        <f t="shared" ref="C21:K21" si="21">C9/C15</f>
        <v>0.13852813852813853</v>
      </c>
      <c r="D21" s="9">
        <f t="shared" si="21"/>
        <v>0.1</v>
      </c>
      <c r="E21" s="9">
        <f t="shared" si="21"/>
        <v>0.11788617886178862</v>
      </c>
      <c r="F21" s="9">
        <f t="shared" si="21"/>
        <v>0.12015503875968993</v>
      </c>
      <c r="G21" s="9">
        <f t="shared" si="21"/>
        <v>0.15413533834586465</v>
      </c>
      <c r="H21" s="9">
        <f t="shared" si="21"/>
        <v>0.10752688172043011</v>
      </c>
      <c r="I21" s="9">
        <f t="shared" si="21"/>
        <v>0.13194444444444445</v>
      </c>
      <c r="J21" s="9">
        <f t="shared" si="21"/>
        <v>0.14000000000000001</v>
      </c>
      <c r="K21" s="9">
        <f t="shared" si="21"/>
        <v>0.18892508143322476</v>
      </c>
      <c r="L21" s="17">
        <f t="shared" ref="L21:S21" si="22">H21*(1+L39)</f>
        <v>0.11562030292519365</v>
      </c>
      <c r="M21" s="17">
        <f t="shared" si="22"/>
        <v>0.14767919859514686</v>
      </c>
      <c r="N21" s="17">
        <f t="shared" si="22"/>
        <v>0.16312258064516133</v>
      </c>
      <c r="O21" s="17">
        <f t="shared" si="22"/>
        <v>0.23156718490123077</v>
      </c>
      <c r="P21" s="17">
        <f t="shared" si="22"/>
        <v>0.12432290637117596</v>
      </c>
      <c r="Q21" s="17">
        <f t="shared" si="22"/>
        <v>0.16529036739313133</v>
      </c>
      <c r="R21" s="17">
        <f t="shared" si="22"/>
        <v>0.19006411654526542</v>
      </c>
      <c r="S21" s="17">
        <f t="shared" si="22"/>
        <v>0.28383399766872081</v>
      </c>
      <c r="T21" s="17">
        <f t="shared" si="15"/>
        <v>0.13368054448513544</v>
      </c>
      <c r="U21" s="17">
        <f t="shared" si="16"/>
        <v>0.18500171867708232</v>
      </c>
      <c r="V21" s="17">
        <f t="shared" si="17"/>
        <v>0.22145535127790283</v>
      </c>
      <c r="W21" s="17">
        <f t="shared" si="18"/>
        <v>0.347897903871695</v>
      </c>
    </row>
    <row r="22" spans="2:23" x14ac:dyDescent="0.2">
      <c r="B22" s="3" t="s">
        <v>19</v>
      </c>
      <c r="C22" s="4">
        <f t="shared" ref="C22:K22" si="23">C10/C16</f>
        <v>1.9488888888888889</v>
      </c>
      <c r="D22" s="4">
        <f t="shared" si="23"/>
        <v>1.3023758099352052</v>
      </c>
      <c r="E22" s="4">
        <f t="shared" si="23"/>
        <v>1.5225806451612902</v>
      </c>
      <c r="F22" s="4">
        <f t="shared" si="23"/>
        <v>1.5829875518672198</v>
      </c>
      <c r="G22" s="4">
        <f t="shared" si="23"/>
        <v>1.9698795180722892</v>
      </c>
      <c r="H22" s="4">
        <f t="shared" si="23"/>
        <v>1.4285714285714286</v>
      </c>
      <c r="I22" s="4">
        <f t="shared" si="23"/>
        <v>1.6360153256704981</v>
      </c>
      <c r="J22" s="4">
        <f t="shared" si="23"/>
        <v>1.6722532588454375</v>
      </c>
      <c r="K22" s="4">
        <f t="shared" si="23"/>
        <v>2.0867992766726946</v>
      </c>
      <c r="L22" s="4">
        <f t="shared" ref="L22:W22" si="24">L10/L16</f>
        <v>1.5700084863327166</v>
      </c>
      <c r="M22" s="4">
        <f t="shared" si="24"/>
        <v>1.7547967106533389</v>
      </c>
      <c r="N22" s="4">
        <f t="shared" si="24"/>
        <v>1.7579195239034937</v>
      </c>
      <c r="O22" s="4">
        <f t="shared" si="24"/>
        <v>2.2089132684156625</v>
      </c>
      <c r="P22" s="4">
        <f t="shared" si="24"/>
        <v>1.7189059155791717</v>
      </c>
      <c r="Q22" s="4">
        <f t="shared" si="24"/>
        <v>1.8791062976284059</v>
      </c>
      <c r="R22" s="4">
        <f t="shared" si="24"/>
        <v>1.8496160531037351</v>
      </c>
      <c r="S22" s="4">
        <f t="shared" si="24"/>
        <v>2.3395805765990247</v>
      </c>
      <c r="T22" s="4">
        <f t="shared" si="24"/>
        <v>1.8785666549019471</v>
      </c>
      <c r="U22" s="4">
        <f t="shared" si="24"/>
        <v>2.0091682208184944</v>
      </c>
      <c r="V22" s="4">
        <f t="shared" si="24"/>
        <v>1.9446446589032516</v>
      </c>
      <c r="W22" s="4">
        <f t="shared" si="24"/>
        <v>2.4805277289613037</v>
      </c>
    </row>
    <row r="24" spans="2:23" x14ac:dyDescent="0.2">
      <c r="B24" s="7" t="s">
        <v>30</v>
      </c>
    </row>
    <row r="25" spans="2:23" x14ac:dyDescent="0.2">
      <c r="B25" s="2" t="s">
        <v>29</v>
      </c>
      <c r="C25" s="15" t="s">
        <v>11</v>
      </c>
      <c r="D25" s="15" t="s">
        <v>11</v>
      </c>
      <c r="E25" s="15" t="s">
        <v>11</v>
      </c>
      <c r="F25" s="15" t="s">
        <v>11</v>
      </c>
      <c r="G25" s="10">
        <f>G7/C7-1</f>
        <v>7.8947368421052655E-2</v>
      </c>
      <c r="H25" s="10">
        <f t="shared" ref="H25:K25" si="25">H7/D7-1</f>
        <v>0.21810699588477367</v>
      </c>
      <c r="I25" s="10">
        <f t="shared" si="25"/>
        <v>0.19115044247787605</v>
      </c>
      <c r="J25" s="10">
        <f t="shared" si="25"/>
        <v>0.16343042071197411</v>
      </c>
      <c r="K25" s="10">
        <f t="shared" si="25"/>
        <v>0.15532734274711157</v>
      </c>
      <c r="L25" s="13">
        <f>L7/H7-1</f>
        <v>0.21810699588477367</v>
      </c>
      <c r="M25" s="13">
        <f t="shared" ref="M25:S25" si="26">M7/I7-1</f>
        <v>0.19115044247787627</v>
      </c>
      <c r="N25" s="13">
        <f t="shared" si="26"/>
        <v>0.16343042071197411</v>
      </c>
      <c r="O25" s="13">
        <f t="shared" si="26"/>
        <v>0.15532734274711202</v>
      </c>
      <c r="P25" s="13">
        <f t="shared" si="26"/>
        <v>0.21810699588477367</v>
      </c>
      <c r="Q25" s="13">
        <f t="shared" si="26"/>
        <v>0.19115044247787627</v>
      </c>
      <c r="R25" s="13">
        <f t="shared" si="26"/>
        <v>0.16343042071197433</v>
      </c>
      <c r="S25" s="13">
        <f t="shared" si="26"/>
        <v>0.1553273427471118</v>
      </c>
      <c r="T25" s="13">
        <f t="shared" ref="T25:T28" si="27">T7/P7-1</f>
        <v>0.21810699588477367</v>
      </c>
      <c r="U25" s="13">
        <f t="shared" ref="U25:U28" si="28">U7/Q7-1</f>
        <v>0.19115044247787605</v>
      </c>
      <c r="V25" s="13">
        <f t="shared" ref="V25:V28" si="29">V7/R7-1</f>
        <v>0.16343042071197411</v>
      </c>
      <c r="W25" s="13">
        <f t="shared" ref="W25:W28" si="30">W7/S7-1</f>
        <v>0.1553273427471118</v>
      </c>
    </row>
    <row r="26" spans="2:23" x14ac:dyDescent="0.2">
      <c r="B26" s="2" t="s">
        <v>5</v>
      </c>
      <c r="C26" s="15" t="s">
        <v>11</v>
      </c>
      <c r="D26" s="15" t="s">
        <v>11</v>
      </c>
      <c r="E26" s="15" t="s">
        <v>11</v>
      </c>
      <c r="F26" s="15" t="s">
        <v>11</v>
      </c>
      <c r="G26" s="10">
        <f t="shared" ref="G26:S26" si="31">G8/C8-1</f>
        <v>0.31707317073170738</v>
      </c>
      <c r="H26" s="10">
        <f t="shared" si="31"/>
        <v>0.26881720430107525</v>
      </c>
      <c r="I26" s="10">
        <f t="shared" si="31"/>
        <v>0.2543859649122806</v>
      </c>
      <c r="J26" s="10">
        <f t="shared" si="31"/>
        <v>0.20175438596491224</v>
      </c>
      <c r="K26" s="10">
        <f t="shared" si="31"/>
        <v>0.20987654320987659</v>
      </c>
      <c r="L26" s="13">
        <f t="shared" si="31"/>
        <v>0.26881720430107547</v>
      </c>
      <c r="M26" s="13">
        <f t="shared" si="31"/>
        <v>0.25438596491228083</v>
      </c>
      <c r="N26" s="13">
        <f t="shared" si="31"/>
        <v>0.20175438596491202</v>
      </c>
      <c r="O26" s="13">
        <f t="shared" si="31"/>
        <v>0.20987654320987681</v>
      </c>
      <c r="P26" s="13">
        <f t="shared" si="31"/>
        <v>0.26881720430107525</v>
      </c>
      <c r="Q26" s="13">
        <f t="shared" si="31"/>
        <v>0.25438596491228083</v>
      </c>
      <c r="R26" s="13">
        <f t="shared" si="31"/>
        <v>0.20175438596491246</v>
      </c>
      <c r="S26" s="13">
        <f t="shared" si="31"/>
        <v>0.20987654320987681</v>
      </c>
      <c r="T26" s="13">
        <f t="shared" si="27"/>
        <v>0.26881720430107525</v>
      </c>
      <c r="U26" s="13">
        <f t="shared" si="28"/>
        <v>0.25438596491228083</v>
      </c>
      <c r="V26" s="13">
        <f t="shared" si="29"/>
        <v>0.20175438596491224</v>
      </c>
      <c r="W26" s="13">
        <f t="shared" si="30"/>
        <v>0.20987654320987681</v>
      </c>
    </row>
    <row r="27" spans="2:23" x14ac:dyDescent="0.2">
      <c r="B27" s="2" t="s">
        <v>6</v>
      </c>
      <c r="C27" s="15" t="s">
        <v>11</v>
      </c>
      <c r="D27" s="15" t="s">
        <v>11</v>
      </c>
      <c r="E27" s="15" t="s">
        <v>11</v>
      </c>
      <c r="F27" s="15" t="s">
        <v>11</v>
      </c>
      <c r="G27" s="10">
        <f t="shared" ref="G27:S27" si="32">G9/C9-1</f>
        <v>0.28125</v>
      </c>
      <c r="H27" s="10">
        <f t="shared" si="32"/>
        <v>0.25</v>
      </c>
      <c r="I27" s="10">
        <f t="shared" si="32"/>
        <v>0.31034482758620685</v>
      </c>
      <c r="J27" s="10">
        <f t="shared" si="32"/>
        <v>0.35483870967741926</v>
      </c>
      <c r="K27" s="10">
        <f t="shared" si="32"/>
        <v>0.41463414634146334</v>
      </c>
      <c r="L27" s="13">
        <f t="shared" si="32"/>
        <v>0.25</v>
      </c>
      <c r="M27" s="13">
        <f t="shared" si="32"/>
        <v>0.31034482758620663</v>
      </c>
      <c r="N27" s="13">
        <f t="shared" si="32"/>
        <v>0.35483870967741971</v>
      </c>
      <c r="O27" s="13">
        <f t="shared" si="32"/>
        <v>0.41463414634146334</v>
      </c>
      <c r="P27" s="13">
        <f t="shared" si="32"/>
        <v>0.25</v>
      </c>
      <c r="Q27" s="13">
        <f t="shared" si="32"/>
        <v>0.31034482758620663</v>
      </c>
      <c r="R27" s="13">
        <f t="shared" si="32"/>
        <v>0.35483870967741971</v>
      </c>
      <c r="S27" s="13">
        <f t="shared" si="32"/>
        <v>0.41463414634146334</v>
      </c>
      <c r="T27" s="13">
        <f t="shared" si="27"/>
        <v>0.25</v>
      </c>
      <c r="U27" s="13">
        <f t="shared" si="28"/>
        <v>0.31034482758620685</v>
      </c>
      <c r="V27" s="13">
        <f t="shared" si="29"/>
        <v>0.35483870967741971</v>
      </c>
      <c r="W27" s="13">
        <f t="shared" si="30"/>
        <v>0.41463414634146334</v>
      </c>
    </row>
    <row r="28" spans="2:23" x14ac:dyDescent="0.2">
      <c r="B28" s="3" t="s">
        <v>54</v>
      </c>
      <c r="C28" s="14" t="s">
        <v>11</v>
      </c>
      <c r="D28" s="14" t="s">
        <v>11</v>
      </c>
      <c r="E28" s="14" t="s">
        <v>11</v>
      </c>
      <c r="F28" s="14" t="s">
        <v>11</v>
      </c>
      <c r="G28" s="5">
        <f t="shared" ref="G28:S28" si="33">G10/C10-1</f>
        <v>0.11858608893956668</v>
      </c>
      <c r="H28" s="5">
        <f t="shared" si="33"/>
        <v>0.22719734660033164</v>
      </c>
      <c r="I28" s="5">
        <f t="shared" si="33"/>
        <v>0.20621468926553677</v>
      </c>
      <c r="J28" s="5">
        <f t="shared" si="33"/>
        <v>0.17693315858453462</v>
      </c>
      <c r="K28" s="5">
        <f t="shared" si="33"/>
        <v>0.17635066258919463</v>
      </c>
      <c r="L28" s="5">
        <f t="shared" si="33"/>
        <v>0.22748617793420656</v>
      </c>
      <c r="M28" s="5">
        <f t="shared" si="33"/>
        <v>0.20704279182475727</v>
      </c>
      <c r="N28" s="5">
        <f t="shared" si="33"/>
        <v>0.17822945342489316</v>
      </c>
      <c r="O28" s="5">
        <f t="shared" si="33"/>
        <v>0.17762494924552974</v>
      </c>
      <c r="P28" s="5">
        <f t="shared" si="33"/>
        <v>0.22778216606154755</v>
      </c>
      <c r="Q28" s="5">
        <f t="shared" si="33"/>
        <v>0.20791201123544267</v>
      </c>
      <c r="R28" s="5">
        <f t="shared" si="33"/>
        <v>0.17968808280260973</v>
      </c>
      <c r="S28" s="5">
        <f t="shared" si="33"/>
        <v>0.18050166156571867</v>
      </c>
      <c r="T28" s="5">
        <f t="shared" si="27"/>
        <v>0.22808535082731907</v>
      </c>
      <c r="U28" s="5">
        <f t="shared" si="28"/>
        <v>0.20882363998621623</v>
      </c>
      <c r="V28" s="5">
        <f t="shared" si="29"/>
        <v>0.18132802718499463</v>
      </c>
      <c r="W28" s="5">
        <f t="shared" si="30"/>
        <v>0.18384356430756466</v>
      </c>
    </row>
    <row r="29" spans="2:23" x14ac:dyDescent="0.2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 spans="2:23" x14ac:dyDescent="0.2">
      <c r="B30" s="7" t="s">
        <v>31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 spans="2:23" x14ac:dyDescent="0.2">
      <c r="B31" s="2" t="s">
        <v>29</v>
      </c>
      <c r="C31" s="15" t="s">
        <v>11</v>
      </c>
      <c r="D31" s="15" t="s">
        <v>11</v>
      </c>
      <c r="E31" s="15" t="s">
        <v>11</v>
      </c>
      <c r="F31" s="15" t="s">
        <v>11</v>
      </c>
      <c r="G31" s="10">
        <f>G13/C13-1</f>
        <v>2.1052631578947434E-2</v>
      </c>
      <c r="H31" s="10">
        <f t="shared" ref="H31:H34" si="34">H13/D13-1</f>
        <v>3.1578947368421151E-2</v>
      </c>
      <c r="I31" s="10">
        <f t="shared" ref="I31:I34" si="35">I13/E13-1</f>
        <v>3.1578947368421151E-2</v>
      </c>
      <c r="J31" s="10">
        <f t="shared" ref="J31:J34" si="36">J13/F13-1</f>
        <v>3.125E-2</v>
      </c>
      <c r="K31" s="10">
        <f t="shared" ref="K31:K34" si="37">K13/G13-1</f>
        <v>4.1237113402061931E-2</v>
      </c>
      <c r="L31" s="13">
        <f>H31</f>
        <v>3.1578947368421151E-2</v>
      </c>
      <c r="M31" s="13">
        <f t="shared" ref="M31:O31" si="38">I31</f>
        <v>3.1578947368421151E-2</v>
      </c>
      <c r="N31" s="13">
        <f t="shared" si="38"/>
        <v>3.125E-2</v>
      </c>
      <c r="O31" s="13">
        <f t="shared" si="38"/>
        <v>4.1237113402061931E-2</v>
      </c>
      <c r="P31" s="18">
        <f>L31</f>
        <v>3.1578947368421151E-2</v>
      </c>
      <c r="Q31" s="18">
        <f t="shared" ref="Q31:S33" si="39">M31</f>
        <v>3.1578947368421151E-2</v>
      </c>
      <c r="R31" s="18">
        <f t="shared" si="39"/>
        <v>3.125E-2</v>
      </c>
      <c r="S31" s="18">
        <f t="shared" si="39"/>
        <v>4.1237113402061931E-2</v>
      </c>
      <c r="T31" s="18">
        <f>P31</f>
        <v>3.1578947368421151E-2</v>
      </c>
      <c r="U31" s="18">
        <f t="shared" ref="U31:U33" si="40">Q31</f>
        <v>3.1578947368421151E-2</v>
      </c>
      <c r="V31" s="18">
        <f t="shared" ref="V31:V33" si="41">R31</f>
        <v>3.125E-2</v>
      </c>
      <c r="W31" s="18">
        <f t="shared" ref="W31:W33" si="42">S31</f>
        <v>4.1237113402061931E-2</v>
      </c>
    </row>
    <row r="32" spans="2:23" x14ac:dyDescent="0.2">
      <c r="B32" s="2" t="s">
        <v>5</v>
      </c>
      <c r="C32" s="15" t="s">
        <v>11</v>
      </c>
      <c r="D32" s="15" t="s">
        <v>11</v>
      </c>
      <c r="E32" s="15" t="s">
        <v>11</v>
      </c>
      <c r="F32" s="15" t="s">
        <v>11</v>
      </c>
      <c r="G32" s="10">
        <f t="shared" ref="G32:G34" si="43">G14/C14-1</f>
        <v>8.870967741935476E-2</v>
      </c>
      <c r="H32" s="10">
        <f t="shared" si="34"/>
        <v>9.375E-2</v>
      </c>
      <c r="I32" s="10">
        <f t="shared" si="35"/>
        <v>9.6774193548387011E-2</v>
      </c>
      <c r="J32" s="10">
        <f t="shared" si="36"/>
        <v>8.59375E-2</v>
      </c>
      <c r="K32" s="10">
        <f t="shared" si="37"/>
        <v>7.4074074074074181E-2</v>
      </c>
      <c r="L32" s="13">
        <f t="shared" ref="L32:L33" si="44">H32</f>
        <v>9.375E-2</v>
      </c>
      <c r="M32" s="13">
        <f t="shared" ref="M32:M33" si="45">I32</f>
        <v>9.6774193548387011E-2</v>
      </c>
      <c r="N32" s="13">
        <f t="shared" ref="N32:N33" si="46">J32</f>
        <v>8.59375E-2</v>
      </c>
      <c r="O32" s="13">
        <f t="shared" ref="O32:O33" si="47">K32</f>
        <v>7.4074074074074181E-2</v>
      </c>
      <c r="P32" s="18">
        <f t="shared" ref="P32:P33" si="48">L32</f>
        <v>9.375E-2</v>
      </c>
      <c r="Q32" s="18">
        <f t="shared" si="39"/>
        <v>9.6774193548387011E-2</v>
      </c>
      <c r="R32" s="18">
        <f t="shared" si="39"/>
        <v>8.59375E-2</v>
      </c>
      <c r="S32" s="18">
        <f t="shared" si="39"/>
        <v>7.4074074074074181E-2</v>
      </c>
      <c r="T32" s="18">
        <f t="shared" ref="T32:T33" si="49">P32</f>
        <v>9.375E-2</v>
      </c>
      <c r="U32" s="18">
        <f t="shared" si="40"/>
        <v>9.6774193548387011E-2</v>
      </c>
      <c r="V32" s="18">
        <f t="shared" si="41"/>
        <v>8.59375E-2</v>
      </c>
      <c r="W32" s="18">
        <f t="shared" si="42"/>
        <v>7.4074074074074181E-2</v>
      </c>
    </row>
    <row r="33" spans="2:23" x14ac:dyDescent="0.2">
      <c r="B33" s="2" t="s">
        <v>6</v>
      </c>
      <c r="C33" s="15" t="s">
        <v>11</v>
      </c>
      <c r="D33" s="15" t="s">
        <v>11</v>
      </c>
      <c r="E33" s="15" t="s">
        <v>11</v>
      </c>
      <c r="F33" s="15" t="s">
        <v>11</v>
      </c>
      <c r="G33" s="10">
        <f t="shared" si="43"/>
        <v>0.1515151515151516</v>
      </c>
      <c r="H33" s="10">
        <f t="shared" si="34"/>
        <v>0.16250000000000009</v>
      </c>
      <c r="I33" s="10">
        <f t="shared" si="35"/>
        <v>0.1707317073170731</v>
      </c>
      <c r="J33" s="10">
        <f t="shared" si="36"/>
        <v>0.16279069767441867</v>
      </c>
      <c r="K33" s="10">
        <f t="shared" si="37"/>
        <v>0.15413533834586457</v>
      </c>
      <c r="L33" s="13">
        <f t="shared" si="44"/>
        <v>0.16250000000000009</v>
      </c>
      <c r="M33" s="13">
        <f t="shared" si="45"/>
        <v>0.1707317073170731</v>
      </c>
      <c r="N33" s="13">
        <f t="shared" si="46"/>
        <v>0.16279069767441867</v>
      </c>
      <c r="O33" s="13">
        <f t="shared" si="47"/>
        <v>0.15413533834586457</v>
      </c>
      <c r="P33" s="18">
        <f t="shared" si="48"/>
        <v>0.16250000000000009</v>
      </c>
      <c r="Q33" s="18">
        <f t="shared" si="39"/>
        <v>0.1707317073170731</v>
      </c>
      <c r="R33" s="18">
        <f t="shared" si="39"/>
        <v>0.16279069767441867</v>
      </c>
      <c r="S33" s="18">
        <f t="shared" si="39"/>
        <v>0.15413533834586457</v>
      </c>
      <c r="T33" s="18">
        <f t="shared" si="49"/>
        <v>0.16250000000000009</v>
      </c>
      <c r="U33" s="18">
        <f t="shared" si="40"/>
        <v>0.1707317073170731</v>
      </c>
      <c r="V33" s="18">
        <f t="shared" si="41"/>
        <v>0.16279069767441867</v>
      </c>
      <c r="W33" s="18">
        <f t="shared" si="42"/>
        <v>0.15413533834586457</v>
      </c>
    </row>
    <row r="34" spans="2:23" x14ac:dyDescent="0.2">
      <c r="B34" s="3" t="s">
        <v>22</v>
      </c>
      <c r="C34" s="14" t="s">
        <v>11</v>
      </c>
      <c r="D34" s="14" t="s">
        <v>11</v>
      </c>
      <c r="E34" s="14" t="s">
        <v>11</v>
      </c>
      <c r="F34" s="14" t="s">
        <v>11</v>
      </c>
      <c r="G34" s="5">
        <f t="shared" si="43"/>
        <v>0.10666666666666669</v>
      </c>
      <c r="H34" s="5">
        <f t="shared" si="34"/>
        <v>0.1187904967602591</v>
      </c>
      <c r="I34" s="5">
        <f t="shared" si="35"/>
        <v>0.1225806451612903</v>
      </c>
      <c r="J34" s="5">
        <f t="shared" si="36"/>
        <v>0.11410788381742742</v>
      </c>
      <c r="K34" s="5">
        <f t="shared" si="37"/>
        <v>0.11044176706827313</v>
      </c>
      <c r="L34" s="5">
        <f>L16/H16-1</f>
        <v>0.11690586262954694</v>
      </c>
      <c r="M34" s="5">
        <f t="shared" ref="M34:S34" si="50">M16/I16-1</f>
        <v>0.12533861852874106</v>
      </c>
      <c r="N34" s="5">
        <f t="shared" si="50"/>
        <v>0.12081242421289695</v>
      </c>
      <c r="O34" s="5">
        <f t="shared" si="50"/>
        <v>0.11252303447835343</v>
      </c>
      <c r="P34" s="5">
        <f t="shared" si="50"/>
        <v>0.12142753283567331</v>
      </c>
      <c r="Q34" s="5">
        <f t="shared" si="50"/>
        <v>0.12800432138925943</v>
      </c>
      <c r="R34" s="5">
        <f t="shared" si="50"/>
        <v>0.12120388952889383</v>
      </c>
      <c r="S34" s="5">
        <f t="shared" si="50"/>
        <v>0.11456976934296326</v>
      </c>
      <c r="T34" s="5">
        <f t="shared" ref="T34" si="51">T16/P16-1</f>
        <v>0.12370948822328809</v>
      </c>
      <c r="U34" s="5">
        <f t="shared" ref="U34" si="52">U16/Q16-1</f>
        <v>0.13057139321804789</v>
      </c>
      <c r="V34" s="5">
        <f t="shared" ref="V34" si="53">V16/R16-1</f>
        <v>0.12360027990668399</v>
      </c>
      <c r="W34" s="5">
        <f t="shared" ref="W34" si="54">W16/S16-1</f>
        <v>0.11657587071018938</v>
      </c>
    </row>
    <row r="35" spans="2:23" x14ac:dyDescent="0.2"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 spans="2:23" x14ac:dyDescent="0.2">
      <c r="B36" s="7" t="s">
        <v>32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 spans="2:23" x14ac:dyDescent="0.2">
      <c r="B37" s="2" t="s">
        <v>29</v>
      </c>
      <c r="C37" s="15" t="s">
        <v>11</v>
      </c>
      <c r="D37" s="15" t="s">
        <v>11</v>
      </c>
      <c r="E37" s="15" t="s">
        <v>11</v>
      </c>
      <c r="F37" s="15" t="s">
        <v>11</v>
      </c>
      <c r="G37" s="10">
        <f>G19/C19-1</f>
        <v>5.6701030927835072E-2</v>
      </c>
      <c r="H37" s="10">
        <f t="shared" ref="H37:H40" si="55">H19/D19-1</f>
        <v>0.18081800621483146</v>
      </c>
      <c r="I37" s="10">
        <f t="shared" ref="I37:I40" si="56">I19/E19-1</f>
        <v>0.15468665342243093</v>
      </c>
      <c r="J37" s="10">
        <f t="shared" ref="J37:J40" si="57">J19/F19-1</f>
        <v>0.12817495341767193</v>
      </c>
      <c r="K37" s="10">
        <f t="shared" ref="K37:K40" si="58">K19/G19-1</f>
        <v>0.10957180442049341</v>
      </c>
      <c r="L37" s="13">
        <f t="shared" ref="L37:L39" si="59">H37</f>
        <v>0.18081800621483146</v>
      </c>
      <c r="M37" s="13">
        <f t="shared" ref="M37:M39" si="60">I37</f>
        <v>0.15468665342243093</v>
      </c>
      <c r="N37" s="13">
        <f t="shared" ref="N37:N39" si="61">J37</f>
        <v>0.12817495341767193</v>
      </c>
      <c r="O37" s="13">
        <f t="shared" ref="O37:O39" si="62">K37</f>
        <v>0.10957180442049341</v>
      </c>
      <c r="P37" s="18">
        <f>L37</f>
        <v>0.18081800621483146</v>
      </c>
      <c r="Q37" s="18">
        <f t="shared" ref="Q37:S39" si="63">M37</f>
        <v>0.15468665342243093</v>
      </c>
      <c r="R37" s="18">
        <f t="shared" si="63"/>
        <v>0.12817495341767193</v>
      </c>
      <c r="S37" s="18">
        <f t="shared" si="63"/>
        <v>0.10957180442049341</v>
      </c>
      <c r="T37" s="18">
        <f>P37</f>
        <v>0.18081800621483146</v>
      </c>
      <c r="U37" s="18">
        <f t="shared" ref="U37:U39" si="64">Q37</f>
        <v>0.15468665342243093</v>
      </c>
      <c r="V37" s="18">
        <f t="shared" ref="V37:V39" si="65">R37</f>
        <v>0.12817495341767193</v>
      </c>
      <c r="W37" s="18">
        <f t="shared" ref="W37:W39" si="66">S37</f>
        <v>0.10957180442049341</v>
      </c>
    </row>
    <row r="38" spans="2:23" x14ac:dyDescent="0.2">
      <c r="B38" s="2" t="s">
        <v>5</v>
      </c>
      <c r="C38" s="15" t="s">
        <v>11</v>
      </c>
      <c r="D38" s="15" t="s">
        <v>11</v>
      </c>
      <c r="E38" s="15" t="s">
        <v>11</v>
      </c>
      <c r="F38" s="15" t="s">
        <v>11</v>
      </c>
      <c r="G38" s="10">
        <f t="shared" ref="G38:G40" si="67">G20/C20-1</f>
        <v>0.20975609756097557</v>
      </c>
      <c r="H38" s="10">
        <f t="shared" si="55"/>
        <v>0.16006144393241173</v>
      </c>
      <c r="I38" s="10">
        <f t="shared" si="56"/>
        <v>0.14370485036119729</v>
      </c>
      <c r="J38" s="10">
        <f t="shared" si="57"/>
        <v>0.10665152088855234</v>
      </c>
      <c r="K38" s="10">
        <f t="shared" si="58"/>
        <v>0.12643678160919558</v>
      </c>
      <c r="L38" s="13">
        <f t="shared" si="59"/>
        <v>0.16006144393241173</v>
      </c>
      <c r="M38" s="13">
        <f t="shared" si="60"/>
        <v>0.14370485036119729</v>
      </c>
      <c r="N38" s="13">
        <f t="shared" si="61"/>
        <v>0.10665152088855234</v>
      </c>
      <c r="O38" s="13">
        <f t="shared" si="62"/>
        <v>0.12643678160919558</v>
      </c>
      <c r="P38" s="18">
        <f t="shared" ref="P38:P39" si="68">L38</f>
        <v>0.16006144393241173</v>
      </c>
      <c r="Q38" s="18">
        <f t="shared" si="63"/>
        <v>0.14370485036119729</v>
      </c>
      <c r="R38" s="18">
        <f t="shared" si="63"/>
        <v>0.10665152088855234</v>
      </c>
      <c r="S38" s="18">
        <f t="shared" si="63"/>
        <v>0.12643678160919558</v>
      </c>
      <c r="T38" s="18">
        <f t="shared" ref="T38:T39" si="69">P38</f>
        <v>0.16006144393241173</v>
      </c>
      <c r="U38" s="18">
        <f t="shared" si="64"/>
        <v>0.14370485036119729</v>
      </c>
      <c r="V38" s="18">
        <f t="shared" si="65"/>
        <v>0.10665152088855234</v>
      </c>
      <c r="W38" s="18">
        <f t="shared" si="66"/>
        <v>0.12643678160919558</v>
      </c>
    </row>
    <row r="39" spans="2:23" x14ac:dyDescent="0.2">
      <c r="B39" s="2" t="s">
        <v>6</v>
      </c>
      <c r="C39" s="15" t="s">
        <v>11</v>
      </c>
      <c r="D39" s="15" t="s">
        <v>11</v>
      </c>
      <c r="E39" s="15" t="s">
        <v>11</v>
      </c>
      <c r="F39" s="15" t="s">
        <v>11</v>
      </c>
      <c r="G39" s="10">
        <f t="shared" si="67"/>
        <v>0.1126644736842104</v>
      </c>
      <c r="H39" s="10">
        <f t="shared" si="55"/>
        <v>7.5268817204301008E-2</v>
      </c>
      <c r="I39" s="10">
        <f t="shared" si="56"/>
        <v>0.11925287356321834</v>
      </c>
      <c r="J39" s="10">
        <f t="shared" si="57"/>
        <v>0.16516129032258076</v>
      </c>
      <c r="K39" s="10">
        <f t="shared" si="58"/>
        <v>0.22570906490823872</v>
      </c>
      <c r="L39" s="13">
        <f t="shared" si="59"/>
        <v>7.5268817204301008E-2</v>
      </c>
      <c r="M39" s="13">
        <f t="shared" si="60"/>
        <v>0.11925287356321834</v>
      </c>
      <c r="N39" s="13">
        <f t="shared" si="61"/>
        <v>0.16516129032258076</v>
      </c>
      <c r="O39" s="13">
        <f t="shared" si="62"/>
        <v>0.22570906490823872</v>
      </c>
      <c r="P39" s="18">
        <f t="shared" si="68"/>
        <v>7.5268817204301008E-2</v>
      </c>
      <c r="Q39" s="18">
        <f t="shared" si="63"/>
        <v>0.11925287356321834</v>
      </c>
      <c r="R39" s="18">
        <f t="shared" si="63"/>
        <v>0.16516129032258076</v>
      </c>
      <c r="S39" s="18">
        <f t="shared" si="63"/>
        <v>0.22570906490823872</v>
      </c>
      <c r="T39" s="18">
        <f t="shared" si="69"/>
        <v>7.5268817204301008E-2</v>
      </c>
      <c r="U39" s="18">
        <f t="shared" si="64"/>
        <v>0.11925287356321834</v>
      </c>
      <c r="V39" s="18">
        <f t="shared" si="65"/>
        <v>0.16516129032258076</v>
      </c>
      <c r="W39" s="18">
        <f t="shared" si="66"/>
        <v>0.22570906490823872</v>
      </c>
    </row>
    <row r="40" spans="2:23" x14ac:dyDescent="0.2">
      <c r="B40" s="3" t="s">
        <v>20</v>
      </c>
      <c r="C40" s="14" t="s">
        <v>11</v>
      </c>
      <c r="D40" s="14" t="s">
        <v>11</v>
      </c>
      <c r="E40" s="14" t="s">
        <v>11</v>
      </c>
      <c r="F40" s="14" t="s">
        <v>11</v>
      </c>
      <c r="G40" s="5">
        <f t="shared" si="67"/>
        <v>1.0770562294789121E-2</v>
      </c>
      <c r="H40" s="5">
        <f t="shared" si="55"/>
        <v>9.6896470030798376E-2</v>
      </c>
      <c r="I40" s="5">
        <f t="shared" si="56"/>
        <v>7.4501591012403612E-2</v>
      </c>
      <c r="J40" s="5">
        <f t="shared" si="57"/>
        <v>5.6390656308651366E-2</v>
      </c>
      <c r="K40" s="5">
        <f t="shared" si="58"/>
        <v>5.9353761246689007E-2</v>
      </c>
      <c r="L40" s="5">
        <f>L22/H22-1</f>
        <v>9.9005940432901562E-2</v>
      </c>
      <c r="M40" s="5">
        <f t="shared" ref="M40" si="70">M22/I22-1</f>
        <v>7.2604078408715411E-2</v>
      </c>
      <c r="N40" s="5">
        <f t="shared" ref="N40" si="71">N22/J22-1</f>
        <v>5.1228044917790871E-2</v>
      </c>
      <c r="O40" s="5">
        <f t="shared" ref="O40" si="72">O22/K22-1</f>
        <v>5.8517363460884875E-2</v>
      </c>
      <c r="P40" s="5">
        <f t="shared" ref="P40" si="73">P22/L22-1</f>
        <v>9.4838614276700595E-2</v>
      </c>
      <c r="Q40" s="5">
        <f t="shared" ref="Q40" si="74">Q22/M22-1</f>
        <v>7.0839879183945298E-2</v>
      </c>
      <c r="R40" s="5">
        <f t="shared" ref="R40" si="75">R22/N22-1</f>
        <v>5.2161960745863656E-2</v>
      </c>
      <c r="S40" s="5">
        <f t="shared" ref="S40" si="76">S22/O22-1</f>
        <v>5.9154567113032464E-2</v>
      </c>
      <c r="T40" s="5">
        <f t="shared" ref="T40" si="77">T22/P22-1</f>
        <v>9.2885095033824916E-2</v>
      </c>
      <c r="U40" s="5">
        <f t="shared" ref="U40" si="78">U22/Q22-1</f>
        <v>6.9214776915088816E-2</v>
      </c>
      <c r="V40" s="5">
        <f t="shared" ref="V40" si="79">V22/R22-1</f>
        <v>5.1377476768789121E-2</v>
      </c>
      <c r="W40" s="5">
        <f t="shared" ref="W40" si="80">W22/S22-1</f>
        <v>6.0244624088634513E-2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ANNUAL_FINANCIALS</vt:lpstr>
      <vt:lpstr>QUARTERLY_KPIs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