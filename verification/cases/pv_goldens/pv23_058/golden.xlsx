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bookViews>
    <workbookView xWindow="41040" yWindow="2000" windowWidth="25620" windowHeight="14880" xr2:uid="{DC0A4717-3E07-4DC0-9226-9AF4C24C9207}"/>
  </bookViews>
  <sheets>
    <sheet name="Company2248_QUARTERLY_KPI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1" l="1"/>
  <c r="K39" i="11"/>
  <c r="J39" i="11"/>
  <c r="I39" i="11"/>
  <c r="G39" i="11"/>
  <c r="F39" i="11"/>
  <c r="E39" i="11"/>
  <c r="D39" i="11"/>
  <c r="O38" i="11"/>
  <c r="S38" i="11" s="1"/>
  <c r="K38" i="11"/>
  <c r="J38" i="11"/>
  <c r="I38" i="11"/>
  <c r="H38" i="11"/>
  <c r="G38" i="11"/>
  <c r="F38" i="11"/>
  <c r="N38" i="11" s="1"/>
  <c r="R38" i="11" s="1"/>
  <c r="E38" i="11"/>
  <c r="M38" i="11" s="1"/>
  <c r="Q38" i="11" s="1"/>
  <c r="D38" i="11"/>
  <c r="L38" i="11" s="1"/>
  <c r="K37" i="11"/>
  <c r="J37" i="11"/>
  <c r="I37" i="11"/>
  <c r="H37" i="11"/>
  <c r="L37" i="11" s="1"/>
  <c r="G37" i="11"/>
  <c r="O37" i="11" s="1"/>
  <c r="S37" i="11" s="1"/>
  <c r="F37" i="11"/>
  <c r="N37" i="11" s="1"/>
  <c r="R37" i="11" s="1"/>
  <c r="E37" i="11"/>
  <c r="M37" i="11" s="1"/>
  <c r="Q37" i="11" s="1"/>
  <c r="D37" i="11"/>
  <c r="K36" i="11"/>
  <c r="J36" i="11"/>
  <c r="I36" i="11"/>
  <c r="M36" i="11" s="1"/>
  <c r="Q36" i="11" s="1"/>
  <c r="H36" i="11"/>
  <c r="G36" i="11"/>
  <c r="O36" i="11" s="1"/>
  <c r="S36" i="11" s="1"/>
  <c r="F36" i="11"/>
  <c r="N36" i="11" s="1"/>
  <c r="R36" i="11" s="1"/>
  <c r="E36" i="11"/>
  <c r="D36" i="11"/>
  <c r="L36" i="11" s="1"/>
  <c r="K35" i="11"/>
  <c r="J35" i="11"/>
  <c r="I35" i="11"/>
  <c r="M35" i="11" s="1"/>
  <c r="Q35" i="11" s="1"/>
  <c r="H35" i="11"/>
  <c r="L35" i="11" s="1"/>
  <c r="G35" i="11"/>
  <c r="O35" i="11" s="1"/>
  <c r="S35" i="11" s="1"/>
  <c r="F35" i="11"/>
  <c r="N35" i="11" s="1"/>
  <c r="R35" i="11" s="1"/>
  <c r="E35" i="11"/>
  <c r="D35" i="11"/>
  <c r="K32" i="11"/>
  <c r="J32" i="11"/>
  <c r="I32" i="11"/>
  <c r="H32" i="11"/>
  <c r="G32" i="11"/>
  <c r="F32" i="11"/>
  <c r="E32" i="11"/>
  <c r="D32" i="11"/>
  <c r="K31" i="11"/>
  <c r="J31" i="11"/>
  <c r="I31" i="11"/>
  <c r="H31" i="11"/>
  <c r="G31" i="11"/>
  <c r="F31" i="11"/>
  <c r="E31" i="11"/>
  <c r="D31" i="11"/>
  <c r="K30" i="11"/>
  <c r="J30" i="11"/>
  <c r="I30" i="11"/>
  <c r="H30" i="11"/>
  <c r="G30" i="11"/>
  <c r="F30" i="11"/>
  <c r="E30" i="11"/>
  <c r="D30" i="11"/>
  <c r="K29" i="11"/>
  <c r="J29" i="11"/>
  <c r="I29" i="11"/>
  <c r="H29" i="11"/>
  <c r="G29" i="11"/>
  <c r="F29" i="11"/>
  <c r="E29" i="11"/>
  <c r="D29" i="11"/>
  <c r="K28" i="11"/>
  <c r="J28" i="11"/>
  <c r="I28" i="11"/>
  <c r="H28" i="11"/>
  <c r="G28" i="11"/>
  <c r="F28" i="11"/>
  <c r="E28" i="11"/>
  <c r="D28" i="11"/>
  <c r="P35" i="11" l="1"/>
  <c r="L14" i="11"/>
  <c r="P37" i="11"/>
  <c r="L16" i="11"/>
  <c r="L15" i="11"/>
  <c r="P36" i="11"/>
  <c r="P38" i="11"/>
  <c r="L17" i="11"/>
  <c r="M17" i="11" l="1"/>
  <c r="M15" i="11"/>
  <c r="M16" i="11"/>
  <c r="M14" i="11"/>
  <c r="L18" i="11"/>
  <c r="L39" i="11" s="1"/>
  <c r="K25" i="11"/>
  <c r="J25" i="11"/>
  <c r="I25" i="11"/>
  <c r="H25" i="11"/>
  <c r="G25" i="11"/>
  <c r="F25" i="11"/>
  <c r="E25" i="11"/>
  <c r="D25" i="11"/>
  <c r="C25" i="11"/>
  <c r="K24" i="11"/>
  <c r="J24" i="11"/>
  <c r="I24" i="11"/>
  <c r="H24" i="11"/>
  <c r="G24" i="11"/>
  <c r="F24" i="11"/>
  <c r="E24" i="11"/>
  <c r="D24" i="11"/>
  <c r="C24" i="11"/>
  <c r="K23" i="11"/>
  <c r="J23" i="11"/>
  <c r="I23" i="11"/>
  <c r="H23" i="11"/>
  <c r="G23" i="11"/>
  <c r="F23" i="11"/>
  <c r="E23" i="11"/>
  <c r="D23" i="11"/>
  <c r="C23" i="11"/>
  <c r="K22" i="11"/>
  <c r="J22" i="11"/>
  <c r="I22" i="11"/>
  <c r="H22" i="11"/>
  <c r="G22" i="11"/>
  <c r="F22" i="11"/>
  <c r="E22" i="11"/>
  <c r="D22" i="11"/>
  <c r="C22" i="11"/>
  <c r="K21" i="11"/>
  <c r="J21" i="11"/>
  <c r="I21" i="11"/>
  <c r="H21" i="11"/>
  <c r="G21" i="11"/>
  <c r="F21" i="11"/>
  <c r="E21" i="11"/>
  <c r="D21" i="11"/>
  <c r="C21" i="11"/>
  <c r="N14" i="11" l="1"/>
  <c r="M18" i="11"/>
  <c r="M39" i="11" s="1"/>
  <c r="N16" i="11"/>
  <c r="N15" i="11"/>
  <c r="N17" i="11"/>
  <c r="E42" i="11"/>
  <c r="G42" i="11"/>
  <c r="J45" i="11"/>
  <c r="F42" i="11"/>
  <c r="E44" i="11"/>
  <c r="D46" i="11"/>
  <c r="E46" i="11"/>
  <c r="H44" i="11"/>
  <c r="J44" i="11"/>
  <c r="D44" i="11"/>
  <c r="L44" i="11" s="1"/>
  <c r="P44" i="11" s="1"/>
  <c r="I42" i="11"/>
  <c r="K45" i="11"/>
  <c r="H42" i="11"/>
  <c r="F44" i="11"/>
  <c r="N44" i="11" s="1"/>
  <c r="R44" i="11" s="1"/>
  <c r="G44" i="11"/>
  <c r="J42" i="11"/>
  <c r="F46" i="11"/>
  <c r="K42" i="11"/>
  <c r="I44" i="11"/>
  <c r="G46" i="11"/>
  <c r="H46" i="11"/>
  <c r="D43" i="11"/>
  <c r="K44" i="11"/>
  <c r="I46" i="11"/>
  <c r="E43" i="11"/>
  <c r="J46" i="11"/>
  <c r="F43" i="11"/>
  <c r="D45" i="11"/>
  <c r="L45" i="11" s="1"/>
  <c r="P45" i="11" s="1"/>
  <c r="K46" i="11"/>
  <c r="G43" i="11"/>
  <c r="E45" i="11"/>
  <c r="H43" i="11"/>
  <c r="F45" i="11"/>
  <c r="I43" i="11"/>
  <c r="G45" i="11"/>
  <c r="J43" i="11"/>
  <c r="H45" i="11"/>
  <c r="D42" i="11"/>
  <c r="K43" i="11"/>
  <c r="I45" i="11"/>
  <c r="M43" i="11" l="1"/>
  <c r="Q43" i="11" s="1"/>
  <c r="N43" i="11"/>
  <c r="R43" i="11" s="1"/>
  <c r="O43" i="11"/>
  <c r="S43" i="11" s="1"/>
  <c r="M44" i="11"/>
  <c r="Q44" i="11" s="1"/>
  <c r="O17" i="11"/>
  <c r="N18" i="11"/>
  <c r="N39" i="11" s="1"/>
  <c r="O15" i="11"/>
  <c r="L23" i="11"/>
  <c r="L24" i="11"/>
  <c r="O14" i="11"/>
  <c r="O16" i="11"/>
  <c r="M45" i="11"/>
  <c r="Q45" i="11" s="1"/>
  <c r="O44" i="11"/>
  <c r="S44" i="11" s="1"/>
  <c r="N45" i="11"/>
  <c r="R45" i="11" s="1"/>
  <c r="M42" i="11"/>
  <c r="Q42" i="11" s="1"/>
  <c r="L42" i="11"/>
  <c r="O45" i="11"/>
  <c r="S45" i="11" s="1"/>
  <c r="L43" i="11"/>
  <c r="N42" i="11"/>
  <c r="R42" i="11" s="1"/>
  <c r="O42" i="11"/>
  <c r="S42" i="11" s="1"/>
  <c r="P43" i="11" l="1"/>
  <c r="L22" i="11"/>
  <c r="P16" i="11"/>
  <c r="P14" i="11"/>
  <c r="O18" i="11"/>
  <c r="O39" i="11" s="1"/>
  <c r="M24" i="11"/>
  <c r="L10" i="11"/>
  <c r="L31" i="11" s="1"/>
  <c r="M23" i="11"/>
  <c r="L9" i="11"/>
  <c r="P15" i="11"/>
  <c r="P42" i="11"/>
  <c r="L21" i="11"/>
  <c r="P17" i="11"/>
  <c r="Q17" i="11" l="1"/>
  <c r="M21" i="11"/>
  <c r="L7" i="11"/>
  <c r="L28" i="11" s="1"/>
  <c r="Q15" i="11"/>
  <c r="L30" i="11"/>
  <c r="N23" i="11"/>
  <c r="M9" i="11"/>
  <c r="M30" i="11" s="1"/>
  <c r="N24" i="11"/>
  <c r="M10" i="11"/>
  <c r="M31" i="11" s="1"/>
  <c r="Q14" i="11"/>
  <c r="P18" i="11"/>
  <c r="P39" i="11" s="1"/>
  <c r="Q16" i="11"/>
  <c r="M22" i="11"/>
  <c r="L8" i="11"/>
  <c r="L29" i="11" l="1"/>
  <c r="L11" i="11"/>
  <c r="R16" i="11"/>
  <c r="Q18" i="11"/>
  <c r="Q39" i="11" s="1"/>
  <c r="R14" i="11"/>
  <c r="O24" i="11"/>
  <c r="N10" i="11"/>
  <c r="N31" i="11" s="1"/>
  <c r="O23" i="11"/>
  <c r="N9" i="11"/>
  <c r="N30" i="11" s="1"/>
  <c r="L32" i="11"/>
  <c r="L25" i="11"/>
  <c r="R15" i="11"/>
  <c r="N21" i="11"/>
  <c r="M7" i="11"/>
  <c r="N22" i="11"/>
  <c r="M8" i="11"/>
  <c r="M29" i="11" s="1"/>
  <c r="R17" i="11"/>
  <c r="O22" i="11" l="1"/>
  <c r="N8" i="11"/>
  <c r="N29" i="11" s="1"/>
  <c r="L46" i="11"/>
  <c r="S14" i="11"/>
  <c r="R18" i="11"/>
  <c r="R39" i="11" s="1"/>
  <c r="M28" i="11"/>
  <c r="M11" i="11"/>
  <c r="O21" i="11"/>
  <c r="N7" i="11"/>
  <c r="S15" i="11"/>
  <c r="P23" i="11"/>
  <c r="O9" i="11"/>
  <c r="O30" i="11" s="1"/>
  <c r="P24" i="11"/>
  <c r="O10" i="11"/>
  <c r="O31" i="11" s="1"/>
  <c r="S17" i="11"/>
  <c r="S16" i="11"/>
  <c r="P21" i="11" l="1"/>
  <c r="O7" i="11"/>
  <c r="S18" i="11"/>
  <c r="S39" i="11" s="1"/>
  <c r="Q24" i="11"/>
  <c r="P10" i="11"/>
  <c r="P31" i="11" s="1"/>
  <c r="Q23" i="11"/>
  <c r="P9" i="11"/>
  <c r="P30" i="11" s="1"/>
  <c r="N28" i="11"/>
  <c r="N11" i="11"/>
  <c r="M32" i="11"/>
  <c r="M25" i="11"/>
  <c r="M46" i="11" s="1"/>
  <c r="P22" i="11"/>
  <c r="O8" i="11"/>
  <c r="O29" i="11" s="1"/>
  <c r="Q22" i="11" l="1"/>
  <c r="P8" i="11"/>
  <c r="N32" i="11"/>
  <c r="N25" i="11"/>
  <c r="N46" i="11" s="1"/>
  <c r="R23" i="11"/>
  <c r="Q9" i="11"/>
  <c r="Q30" i="11" s="1"/>
  <c r="R24" i="11"/>
  <c r="Q10" i="11"/>
  <c r="Q31" i="11" s="1"/>
  <c r="O28" i="11"/>
  <c r="O11" i="11"/>
  <c r="Q21" i="11"/>
  <c r="P7" i="11"/>
  <c r="P28" i="11" s="1"/>
  <c r="O32" i="11" l="1"/>
  <c r="O25" i="11"/>
  <c r="O46" i="11" s="1"/>
  <c r="S24" i="11"/>
  <c r="S10" i="11" s="1"/>
  <c r="R10" i="11"/>
  <c r="R31" i="11" s="1"/>
  <c r="R21" i="11"/>
  <c r="Q7" i="11"/>
  <c r="Q28" i="11" s="1"/>
  <c r="S23" i="11"/>
  <c r="S9" i="11" s="1"/>
  <c r="R9" i="11"/>
  <c r="R30" i="11" s="1"/>
  <c r="P11" i="11"/>
  <c r="P29" i="11"/>
  <c r="R22" i="11"/>
  <c r="Q8" i="11"/>
  <c r="Q11" i="11" l="1"/>
  <c r="Q29" i="11"/>
  <c r="S22" i="11"/>
  <c r="S8" i="11" s="1"/>
  <c r="R8" i="11"/>
  <c r="P32" i="11"/>
  <c r="P25" i="11"/>
  <c r="P46" i="11" s="1"/>
  <c r="S30" i="11"/>
  <c r="S21" i="11"/>
  <c r="S7" i="11" s="1"/>
  <c r="R7" i="11"/>
  <c r="R28" i="11" s="1"/>
  <c r="S31" i="11"/>
  <c r="S28" i="11" l="1"/>
  <c r="R11" i="11"/>
  <c r="R29" i="11"/>
  <c r="S11" i="11"/>
  <c r="S29" i="11"/>
  <c r="Q32" i="11"/>
  <c r="Q25" i="11"/>
  <c r="Q46" i="11" s="1"/>
  <c r="S32" i="11" l="1"/>
  <c r="S25" i="11"/>
  <c r="R32" i="11"/>
  <c r="R25" i="11"/>
  <c r="R46" i="11" s="1"/>
  <c r="S46" i="11" l="1"/>
</calcChain>
</file>

<file path=xl/sharedStrings.xml><?xml version="1.0" encoding="utf-8"?>
<sst xmlns="http://schemas.openxmlformats.org/spreadsheetml/2006/main" count="77" uniqueCount="35">
  <si>
    <t>Q4'22</t>
  </si>
  <si>
    <t>Q1'23</t>
  </si>
  <si>
    <t>Q2'23</t>
  </si>
  <si>
    <t>Q3'23</t>
  </si>
  <si>
    <t>Q4'23</t>
  </si>
  <si>
    <t>US &amp; Canada</t>
  </si>
  <si>
    <t>Europe</t>
  </si>
  <si>
    <t>Asia-Pacific</t>
  </si>
  <si>
    <t>Rest of World</t>
  </si>
  <si>
    <t>Q1'24</t>
  </si>
  <si>
    <t>Q2'24</t>
  </si>
  <si>
    <t>Q3'24</t>
  </si>
  <si>
    <t>Q4'24</t>
  </si>
  <si>
    <t>Bookings</t>
  </si>
  <si>
    <t>Total Company0010</t>
  </si>
  <si>
    <t>Average Bookings per Daily Active User (Company0010)</t>
  </si>
  <si>
    <t>Company2297 (FYE 12/31)</t>
  </si>
  <si>
    <t>$ in millions, except Company0010</t>
  </si>
  <si>
    <t>Total Bookings</t>
  </si>
  <si>
    <t>Total DAUs (millions)</t>
  </si>
  <si>
    <t>N/A</t>
  </si>
  <si>
    <t>Daily Active Users (DAUs)</t>
  </si>
  <si>
    <t>FY2022A</t>
  </si>
  <si>
    <t>FY2023A</t>
  </si>
  <si>
    <t>FY2024A</t>
  </si>
  <si>
    <t>Historical</t>
  </si>
  <si>
    <t>FY2025E</t>
  </si>
  <si>
    <t>FY2026E</t>
  </si>
  <si>
    <t>Total Bookings Growth Rate</t>
  </si>
  <si>
    <t>Total DAUs Growth Rate</t>
  </si>
  <si>
    <t>Total Company0010 Growth Rate</t>
  </si>
  <si>
    <t>Quarter-over-Quarter Bookings Growth Rate (%)</t>
  </si>
  <si>
    <t>Quarter-over-Quarter DAUs Growth Rate (%)</t>
  </si>
  <si>
    <t>Quarter-over-Quarter Company0010 Growth Rate (%)</t>
  </si>
  <si>
    <t>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</si>
</sst>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&quot;$&quot;#,##0.0_);\(&quot;$&quot;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 val="singleAccounting"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i/>
      <sz val="10"/>
      <color theme="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4" borderId="0" xfId="0" applyFont="1" applyFill="1" applyAlignment="1">
      <alignment horizontal="centerContinuous"/>
    </xf>
    <xf numFmtId="0" fontId="3" fillId="0" borderId="0" xfId="0" applyFont="1"/>
    <xf numFmtId="0" fontId="5" fillId="2" borderId="1" xfId="0" applyFont="1" applyFill="1" applyBorder="1"/>
    <xf numFmtId="166" fontId="6" fillId="2" borderId="1" xfId="1" applyNumberFormat="1" applyFont="1" applyFill="1" applyBorder="1"/>
    <xf numFmtId="166" fontId="8" fillId="2" borderId="1" xfId="1" applyNumberFormat="1" applyFont="1" applyFill="1" applyBorder="1"/>
    <xf numFmtId="164" fontId="8" fillId="2" borderId="1" xfId="2" applyNumberFormat="1" applyFont="1" applyFill="1" applyBorder="1"/>
    <xf numFmtId="9" fontId="7" fillId="0" borderId="0" xfId="2" applyFont="1"/>
    <xf numFmtId="0" fontId="9" fillId="0" borderId="0" xfId="0" applyFont="1"/>
    <xf numFmtId="166" fontId="4" fillId="3" borderId="0" xfId="1" applyNumberFormat="1" applyFont="1" applyFill="1"/>
    <xf numFmtId="165" fontId="4" fillId="3" borderId="0" xfId="1" applyNumberFormat="1" applyFont="1" applyFill="1"/>
    <xf numFmtId="165" fontId="6" fillId="2" borderId="1" xfId="1" applyNumberFormat="1" applyFont="1" applyFill="1" applyBorder="1"/>
    <xf numFmtId="166" fontId="7" fillId="3" borderId="0" xfId="1" applyNumberFormat="1" applyFont="1" applyFill="1"/>
    <xf numFmtId="165" fontId="7" fillId="3" borderId="0" xfId="1" applyNumberFormat="1" applyFont="1" applyFill="1"/>
    <xf numFmtId="164" fontId="7" fillId="3" borderId="0" xfId="2" applyNumberFormat="1" applyFont="1" applyFill="1"/>
    <xf numFmtId="0" fontId="2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7" fillId="0" borderId="0" xfId="2" applyNumberFormat="1" applyFont="1" applyFill="1"/>
    <xf numFmtId="164" fontId="6" fillId="2" borderId="1" xfId="2" applyNumberFormat="1" applyFont="1" applyFill="1" applyBorder="1" applyAlignment="1">
      <alignment horizontal="right"/>
    </xf>
    <xf numFmtId="164" fontId="4" fillId="0" borderId="0" xfId="2" applyNumberFormat="1" applyFont="1" applyFill="1" applyAlignment="1">
      <alignment horizontal="right"/>
    </xf>
    <xf numFmtId="166" fontId="7" fillId="0" borderId="0" xfId="1" applyNumberFormat="1" applyFont="1" applyFill="1"/>
    <xf numFmtId="165" fontId="7" fillId="0" borderId="0" xfId="1" applyNumberFormat="1" applyFont="1" applyFill="1"/>
    <xf numFmtId="165" fontId="8" fillId="2" borderId="1" xfId="1" applyNumberFormat="1" applyFont="1" applyFill="1" applyBorder="1"/>
    <xf numFmtId="164" fontId="11" fillId="0" borderId="0" xfId="2" applyNumberFormat="1" applyFont="1" applyFill="1"/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5864-69DF-4DA6-BD63-2C4F2708F030}">
  <dimension ref="A2:S46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E17" sqref="E17"/>
    </sheetView>
  </sheetViews>
  <sheetFormatPr baseColWidth="10" defaultColWidth="9.1640625" defaultRowHeight="13" x14ac:dyDescent="0.15"/>
  <cols>
    <col min="1" max="1" width="2.6640625" style="24" customWidth="1"/>
    <col min="2" max="2" width="52.6640625" style="2" bestFit="1" customWidth="1"/>
    <col min="3" max="19" width="10.33203125" style="2" customWidth="1"/>
    <col min="20" max="16384" width="9.1640625" style="2"/>
  </cols>
  <sheetData>
    <row r="2" spans="2:19" ht="16" x14ac:dyDescent="0.3">
      <c r="B2" s="16" t="s">
        <v>17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 t="s">
        <v>34</v>
      </c>
      <c r="M2" s="1"/>
      <c r="N2" s="1"/>
      <c r="O2" s="1"/>
      <c r="P2" s="1"/>
      <c r="Q2" s="1"/>
      <c r="R2" s="1"/>
      <c r="S2" s="1"/>
    </row>
    <row r="3" spans="2:19" ht="16" x14ac:dyDescent="0.3">
      <c r="B3" s="16"/>
      <c r="C3" s="1" t="s">
        <v>22</v>
      </c>
      <c r="D3" s="1" t="s">
        <v>23</v>
      </c>
      <c r="E3" s="1"/>
      <c r="F3" s="1"/>
      <c r="G3" s="1"/>
      <c r="H3" s="1" t="s">
        <v>24</v>
      </c>
      <c r="I3" s="1"/>
      <c r="J3" s="1"/>
      <c r="K3" s="1"/>
      <c r="L3" s="1" t="s">
        <v>26</v>
      </c>
      <c r="M3" s="1"/>
      <c r="N3" s="1"/>
      <c r="O3" s="1"/>
      <c r="P3" s="1" t="s">
        <v>27</v>
      </c>
      <c r="Q3" s="1"/>
      <c r="R3" s="1"/>
      <c r="S3" s="1"/>
    </row>
    <row r="4" spans="2:19" ht="16" x14ac:dyDescent="0.3">
      <c r="B4" s="15" t="s">
        <v>16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9</v>
      </c>
      <c r="Q4" s="1" t="s">
        <v>10</v>
      </c>
      <c r="R4" s="1" t="s">
        <v>11</v>
      </c>
      <c r="S4" s="1" t="s">
        <v>12</v>
      </c>
    </row>
    <row r="5" spans="2:19" ht="8" customHeight="1" x14ac:dyDescent="0.15">
      <c r="B5" s="8"/>
    </row>
    <row r="6" spans="2:19" x14ac:dyDescent="0.15">
      <c r="B6" s="8" t="s">
        <v>13</v>
      </c>
    </row>
    <row r="7" spans="2:19" x14ac:dyDescent="0.15">
      <c r="B7" s="2" t="s">
        <v>5</v>
      </c>
      <c r="C7" s="9">
        <v>599.9</v>
      </c>
      <c r="D7" s="9">
        <v>470.7</v>
      </c>
      <c r="E7" s="9">
        <v>487.6</v>
      </c>
      <c r="F7" s="9">
        <v>525.6</v>
      </c>
      <c r="G7" s="9">
        <v>727.7</v>
      </c>
      <c r="H7" s="9">
        <v>550.20000000000005</v>
      </c>
      <c r="I7" s="9">
        <v>587.6</v>
      </c>
      <c r="J7" s="9">
        <v>700.8</v>
      </c>
      <c r="K7" s="9">
        <v>861.7</v>
      </c>
      <c r="L7" s="20">
        <f>L14*L21</f>
        <v>663.80226089436326</v>
      </c>
      <c r="M7" s="20">
        <f t="shared" ref="M7:S7" si="0">M14*M21</f>
        <v>698.6061766296591</v>
      </c>
      <c r="N7" s="20">
        <f t="shared" si="0"/>
        <v>792.63210770036653</v>
      </c>
      <c r="O7" s="20">
        <f t="shared" si="0"/>
        <v>1035.2579368566394</v>
      </c>
      <c r="P7" s="20">
        <f t="shared" si="0"/>
        <v>797.50093895122563</v>
      </c>
      <c r="Q7" s="20">
        <f t="shared" si="0"/>
        <v>839.31483009507497</v>
      </c>
      <c r="R7" s="20">
        <f t="shared" si="0"/>
        <v>952.27884473042957</v>
      </c>
      <c r="S7" s="20">
        <f t="shared" si="0"/>
        <v>1243.7727699021304</v>
      </c>
    </row>
    <row r="8" spans="2:19" x14ac:dyDescent="0.15">
      <c r="B8" s="2" t="s">
        <v>6</v>
      </c>
      <c r="C8" s="10">
        <v>149.5</v>
      </c>
      <c r="D8" s="10">
        <v>147.1</v>
      </c>
      <c r="E8" s="10">
        <v>148.30000000000001</v>
      </c>
      <c r="F8" s="10">
        <v>158.4</v>
      </c>
      <c r="G8" s="10">
        <v>204.4</v>
      </c>
      <c r="H8" s="10">
        <v>180.9</v>
      </c>
      <c r="I8" s="10">
        <v>183.8</v>
      </c>
      <c r="J8" s="10">
        <v>214.9</v>
      </c>
      <c r="K8" s="10">
        <v>252.5</v>
      </c>
      <c r="L8" s="20">
        <f t="shared" ref="L8:S8" si="1">L15*L22</f>
        <v>235.80506494150686</v>
      </c>
      <c r="M8" s="20">
        <f t="shared" si="1"/>
        <v>238.6561310388326</v>
      </c>
      <c r="N8" s="20">
        <f t="shared" si="1"/>
        <v>266.90144191237101</v>
      </c>
      <c r="O8" s="20">
        <f t="shared" si="1"/>
        <v>328.94195922679484</v>
      </c>
      <c r="P8" s="20">
        <f t="shared" si="1"/>
        <v>307.19279230677569</v>
      </c>
      <c r="Q8" s="20">
        <f t="shared" si="1"/>
        <v>310.90699138772391</v>
      </c>
      <c r="R8" s="20">
        <f t="shared" si="1"/>
        <v>347.70329989351256</v>
      </c>
      <c r="S8" s="20">
        <f t="shared" si="1"/>
        <v>428.5259902572767</v>
      </c>
    </row>
    <row r="9" spans="2:19" x14ac:dyDescent="0.15">
      <c r="B9" s="2" t="s">
        <v>7</v>
      </c>
      <c r="C9" s="10">
        <v>92</v>
      </c>
      <c r="D9" s="10">
        <v>92.3</v>
      </c>
      <c r="E9" s="10">
        <v>82.7</v>
      </c>
      <c r="F9" s="10">
        <v>85.2</v>
      </c>
      <c r="G9" s="10">
        <v>108.4</v>
      </c>
      <c r="H9" s="10">
        <v>106.6</v>
      </c>
      <c r="I9" s="10">
        <v>100.9</v>
      </c>
      <c r="J9" s="10">
        <v>116.1</v>
      </c>
      <c r="K9" s="10">
        <v>140.30000000000001</v>
      </c>
      <c r="L9" s="20">
        <f t="shared" ref="L9:S9" si="2">L16*L23</f>
        <v>139.36245576118301</v>
      </c>
      <c r="M9" s="20">
        <f t="shared" si="2"/>
        <v>128.36570654776216</v>
      </c>
      <c r="N9" s="20">
        <f t="shared" si="2"/>
        <v>139.86796061630787</v>
      </c>
      <c r="O9" s="20">
        <f t="shared" si="2"/>
        <v>173.50995021827214</v>
      </c>
      <c r="P9" s="20">
        <f t="shared" si="2"/>
        <v>172.35048297518904</v>
      </c>
      <c r="Q9" s="20">
        <f t="shared" si="2"/>
        <v>158.75072952840728</v>
      </c>
      <c r="R9" s="20">
        <f t="shared" si="2"/>
        <v>172.97564421715489</v>
      </c>
      <c r="S9" s="20">
        <f t="shared" si="2"/>
        <v>214.58091820917522</v>
      </c>
    </row>
    <row r="10" spans="2:19" x14ac:dyDescent="0.15">
      <c r="B10" s="2" t="s">
        <v>8</v>
      </c>
      <c r="C10" s="10">
        <v>58.1</v>
      </c>
      <c r="D10" s="10">
        <v>63.7</v>
      </c>
      <c r="E10" s="10">
        <v>62.1</v>
      </c>
      <c r="F10" s="10">
        <v>70.3</v>
      </c>
      <c r="G10" s="10">
        <v>86.3</v>
      </c>
      <c r="H10" s="10">
        <v>86.1</v>
      </c>
      <c r="I10" s="10">
        <v>82.9</v>
      </c>
      <c r="J10" s="10">
        <v>96.7</v>
      </c>
      <c r="K10" s="10">
        <v>107.2</v>
      </c>
      <c r="L10" s="20">
        <f t="shared" ref="L10:S10" si="3">L17*L24</f>
        <v>112.19134240957214</v>
      </c>
      <c r="M10" s="20">
        <f t="shared" si="3"/>
        <v>108.72330200931643</v>
      </c>
      <c r="N10" s="20">
        <f t="shared" si="3"/>
        <v>125.01421593761387</v>
      </c>
      <c r="O10" s="20">
        <f t="shared" si="3"/>
        <v>145.96709844355087</v>
      </c>
      <c r="P10" s="20">
        <f t="shared" si="3"/>
        <v>152.76347688444164</v>
      </c>
      <c r="Q10" s="20">
        <f t="shared" si="3"/>
        <v>148.04127730878548</v>
      </c>
      <c r="R10" s="20">
        <f t="shared" si="3"/>
        <v>170.22352952060646</v>
      </c>
      <c r="S10" s="20">
        <f t="shared" si="3"/>
        <v>198.75367376892979</v>
      </c>
    </row>
    <row r="11" spans="2:19" x14ac:dyDescent="0.15">
      <c r="B11" s="3" t="s">
        <v>18</v>
      </c>
      <c r="C11" s="4">
        <v>899.4</v>
      </c>
      <c r="D11" s="4">
        <v>773.8</v>
      </c>
      <c r="E11" s="4">
        <v>780.7</v>
      </c>
      <c r="F11" s="4">
        <v>839.5</v>
      </c>
      <c r="G11" s="4">
        <v>1126.8</v>
      </c>
      <c r="H11" s="4">
        <v>923.8</v>
      </c>
      <c r="I11" s="4">
        <v>955.2</v>
      </c>
      <c r="J11" s="4">
        <v>1128.5</v>
      </c>
      <c r="K11" s="4">
        <v>1361.6</v>
      </c>
      <c r="L11" s="5">
        <f>SUM(L7:L10)</f>
        <v>1151.1611240066252</v>
      </c>
      <c r="M11" s="5">
        <f t="shared" ref="M11:S11" si="4">SUM(M7:M10)</f>
        <v>1174.3513162255704</v>
      </c>
      <c r="N11" s="5">
        <f t="shared" si="4"/>
        <v>1324.4157261666594</v>
      </c>
      <c r="O11" s="5">
        <f t="shared" si="4"/>
        <v>1683.6769447452573</v>
      </c>
      <c r="P11" s="5">
        <f t="shared" si="4"/>
        <v>1429.807691117632</v>
      </c>
      <c r="Q11" s="5">
        <f t="shared" si="4"/>
        <v>1457.0138283199917</v>
      </c>
      <c r="R11" s="5">
        <f t="shared" si="4"/>
        <v>1643.1813183617035</v>
      </c>
      <c r="S11" s="5">
        <f t="shared" si="4"/>
        <v>2085.6333521375122</v>
      </c>
    </row>
    <row r="13" spans="2:19" x14ac:dyDescent="0.15">
      <c r="B13" s="8" t="s">
        <v>21</v>
      </c>
    </row>
    <row r="14" spans="2:19" x14ac:dyDescent="0.15">
      <c r="B14" s="2" t="s">
        <v>5</v>
      </c>
      <c r="C14" s="10">
        <v>13.3</v>
      </c>
      <c r="D14" s="10">
        <v>14.3</v>
      </c>
      <c r="E14" s="10">
        <v>14.2</v>
      </c>
      <c r="F14" s="10">
        <v>15.7</v>
      </c>
      <c r="G14" s="10">
        <v>15.6</v>
      </c>
      <c r="H14" s="10">
        <v>16.2</v>
      </c>
      <c r="I14" s="10">
        <v>17.100000000000001</v>
      </c>
      <c r="J14" s="10">
        <v>19.7</v>
      </c>
      <c r="K14" s="10">
        <v>18</v>
      </c>
      <c r="L14" s="21">
        <f t="shared" ref="L14:S17" si="5">K14*(1+L35)</f>
        <v>19.022845575477156</v>
      </c>
      <c r="M14" s="21">
        <f t="shared" si="5"/>
        <v>19.484744506505642</v>
      </c>
      <c r="N14" s="21">
        <f t="shared" si="5"/>
        <v>21.995164702066258</v>
      </c>
      <c r="O14" s="21">
        <f t="shared" si="5"/>
        <v>20.976086457762825</v>
      </c>
      <c r="P14" s="21">
        <f t="shared" si="5"/>
        <v>22.168047414659991</v>
      </c>
      <c r="Q14" s="21">
        <f t="shared" si="5"/>
        <v>22.706315854215646</v>
      </c>
      <c r="R14" s="21">
        <f t="shared" si="5"/>
        <v>25.63180424684861</v>
      </c>
      <c r="S14" s="21">
        <f t="shared" si="5"/>
        <v>24.444233504641165</v>
      </c>
    </row>
    <row r="15" spans="2:19" x14ac:dyDescent="0.15">
      <c r="B15" s="2" t="s">
        <v>6</v>
      </c>
      <c r="C15" s="10">
        <v>16.600000000000001</v>
      </c>
      <c r="D15" s="10">
        <v>19</v>
      </c>
      <c r="E15" s="10">
        <v>18.2</v>
      </c>
      <c r="F15" s="10">
        <v>18.899999999999999</v>
      </c>
      <c r="G15" s="10">
        <v>20</v>
      </c>
      <c r="H15" s="10">
        <v>21.4</v>
      </c>
      <c r="I15" s="10">
        <v>20.6</v>
      </c>
      <c r="J15" s="10">
        <v>21.7</v>
      </c>
      <c r="K15" s="10">
        <v>21.1</v>
      </c>
      <c r="L15" s="21">
        <f t="shared" si="5"/>
        <v>23.363801204819271</v>
      </c>
      <c r="M15" s="21">
        <f t="shared" si="5"/>
        <v>22.435225141194383</v>
      </c>
      <c r="N15" s="21">
        <f t="shared" si="5"/>
        <v>23.465670508022953</v>
      </c>
      <c r="O15" s="21">
        <f t="shared" si="5"/>
        <v>23.824123744149951</v>
      </c>
      <c r="P15" s="21">
        <f t="shared" si="5"/>
        <v>26.38019388802531</v>
      </c>
      <c r="Q15" s="21">
        <f t="shared" si="5"/>
        <v>25.331733648894744</v>
      </c>
      <c r="R15" s="21">
        <f t="shared" si="5"/>
        <v>26.495215067421277</v>
      </c>
      <c r="S15" s="21">
        <f t="shared" si="5"/>
        <v>26.899946548652583</v>
      </c>
    </row>
    <row r="16" spans="2:19" x14ac:dyDescent="0.15">
      <c r="B16" s="2" t="s">
        <v>7</v>
      </c>
      <c r="C16" s="10">
        <v>13.6</v>
      </c>
      <c r="D16" s="10">
        <v>14.9</v>
      </c>
      <c r="E16" s="10">
        <v>15.5</v>
      </c>
      <c r="F16" s="10">
        <v>16.2</v>
      </c>
      <c r="G16" s="10">
        <v>17.2</v>
      </c>
      <c r="H16" s="10">
        <v>18.8</v>
      </c>
      <c r="I16" s="10">
        <v>20.2</v>
      </c>
      <c r="J16" s="10">
        <v>22.3</v>
      </c>
      <c r="K16" s="10">
        <v>22.3</v>
      </c>
      <c r="L16" s="21">
        <f t="shared" si="5"/>
        <v>24.403018125854995</v>
      </c>
      <c r="M16" s="21">
        <f t="shared" si="5"/>
        <v>25.802977076599277</v>
      </c>
      <c r="N16" s="21">
        <f t="shared" si="5"/>
        <v>27.72686880401292</v>
      </c>
      <c r="O16" s="21">
        <f t="shared" si="5"/>
        <v>28.582636359692334</v>
      </c>
      <c r="P16" s="21">
        <f t="shared" si="5"/>
        <v>31.278143191493008</v>
      </c>
      <c r="Q16" s="21">
        <f t="shared" si="5"/>
        <v>33.072516178381811</v>
      </c>
      <c r="R16" s="21">
        <f t="shared" si="5"/>
        <v>35.538430870762284</v>
      </c>
      <c r="S16" s="21">
        <f t="shared" si="5"/>
        <v>36.635296021094454</v>
      </c>
    </row>
    <row r="17" spans="2:19" x14ac:dyDescent="0.15">
      <c r="B17" s="2" t="s">
        <v>8</v>
      </c>
      <c r="C17" s="10">
        <v>15.3</v>
      </c>
      <c r="D17" s="10">
        <v>17.899999999999999</v>
      </c>
      <c r="E17" s="10">
        <v>17.7</v>
      </c>
      <c r="F17" s="10">
        <v>19.399999999999999</v>
      </c>
      <c r="G17" s="10">
        <v>18.7</v>
      </c>
      <c r="H17" s="10">
        <v>21.3</v>
      </c>
      <c r="I17" s="10">
        <v>21.6</v>
      </c>
      <c r="J17" s="10">
        <v>25.2</v>
      </c>
      <c r="K17" s="10">
        <v>23.8</v>
      </c>
      <c r="L17" s="21">
        <f t="shared" si="5"/>
        <v>27.476767676767675</v>
      </c>
      <c r="M17" s="21">
        <f t="shared" si="5"/>
        <v>27.516764545287636</v>
      </c>
      <c r="N17" s="21">
        <f t="shared" si="5"/>
        <v>31.131254803355077</v>
      </c>
      <c r="O17" s="21">
        <f t="shared" si="5"/>
        <v>29.70485137593904</v>
      </c>
      <c r="P17" s="21">
        <f t="shared" si="5"/>
        <v>34.293836139898723</v>
      </c>
      <c r="Q17" s="21">
        <f t="shared" si="5"/>
        <v>34.343756351448654</v>
      </c>
      <c r="R17" s="21">
        <f t="shared" si="5"/>
        <v>38.855012482359278</v>
      </c>
      <c r="S17" s="21">
        <f t="shared" si="5"/>
        <v>37.074714086833083</v>
      </c>
    </row>
    <row r="18" spans="2:19" x14ac:dyDescent="0.15">
      <c r="B18" s="3" t="s">
        <v>19</v>
      </c>
      <c r="C18" s="11">
        <v>58.8</v>
      </c>
      <c r="D18" s="11">
        <v>66.099999999999994</v>
      </c>
      <c r="E18" s="11">
        <v>65.5</v>
      </c>
      <c r="F18" s="11">
        <v>70.2</v>
      </c>
      <c r="G18" s="11">
        <v>71.5</v>
      </c>
      <c r="H18" s="11">
        <v>77.7</v>
      </c>
      <c r="I18" s="11">
        <v>79.5</v>
      </c>
      <c r="J18" s="11">
        <v>88.9</v>
      </c>
      <c r="K18" s="11">
        <v>85.3</v>
      </c>
      <c r="L18" s="22">
        <f>SUM(L14:L17)</f>
        <v>94.266432582919109</v>
      </c>
      <c r="M18" s="22">
        <f t="shared" ref="M18" si="6">SUM(M14:M17)</f>
        <v>95.239711269586934</v>
      </c>
      <c r="N18" s="22">
        <f t="shared" ref="N18" si="7">SUM(N14:N17)</f>
        <v>104.31895881745722</v>
      </c>
      <c r="O18" s="22">
        <f t="shared" ref="O18" si="8">SUM(O14:O17)</f>
        <v>103.08769793754415</v>
      </c>
      <c r="P18" s="22">
        <f t="shared" ref="P18" si="9">SUM(P14:P17)</f>
        <v>114.12022063407704</v>
      </c>
      <c r="Q18" s="22">
        <f t="shared" ref="Q18" si="10">SUM(Q14:Q17)</f>
        <v>115.45432203294087</v>
      </c>
      <c r="R18" s="22">
        <f t="shared" ref="R18" si="11">SUM(R14:R17)</f>
        <v>126.52046266739146</v>
      </c>
      <c r="S18" s="22">
        <f t="shared" ref="S18" si="12">SUM(S14:S17)</f>
        <v>125.05419016122129</v>
      </c>
    </row>
    <row r="20" spans="2:19" x14ac:dyDescent="0.15">
      <c r="B20" s="8" t="s">
        <v>15</v>
      </c>
    </row>
    <row r="21" spans="2:19" x14ac:dyDescent="0.15">
      <c r="B21" s="2" t="s">
        <v>5</v>
      </c>
      <c r="C21" s="12">
        <f t="shared" ref="C21:K21" si="13">C7/C14</f>
        <v>45.105263157894733</v>
      </c>
      <c r="D21" s="12">
        <f t="shared" si="13"/>
        <v>32.916083916083913</v>
      </c>
      <c r="E21" s="12">
        <f t="shared" si="13"/>
        <v>34.338028169014088</v>
      </c>
      <c r="F21" s="12">
        <f t="shared" si="13"/>
        <v>33.477707006369428</v>
      </c>
      <c r="G21" s="12">
        <f t="shared" si="13"/>
        <v>46.647435897435905</v>
      </c>
      <c r="H21" s="12">
        <f t="shared" si="13"/>
        <v>33.962962962962969</v>
      </c>
      <c r="I21" s="12">
        <f t="shared" si="13"/>
        <v>34.362573099415201</v>
      </c>
      <c r="J21" s="12">
        <f t="shared" si="13"/>
        <v>35.573604060913702</v>
      </c>
      <c r="K21" s="12">
        <f t="shared" si="13"/>
        <v>47.872222222222227</v>
      </c>
      <c r="L21" s="20">
        <f t="shared" ref="L21:S24" si="14">K21*(1+L42)</f>
        <v>34.895003392662133</v>
      </c>
      <c r="M21" s="20">
        <f t="shared" si="14"/>
        <v>35.854007549157537</v>
      </c>
      <c r="N21" s="20">
        <f t="shared" si="14"/>
        <v>36.036652529630999</v>
      </c>
      <c r="O21" s="20">
        <f t="shared" si="14"/>
        <v>49.354198598543221</v>
      </c>
      <c r="P21" s="20">
        <f t="shared" si="14"/>
        <v>35.975245091898749</v>
      </c>
      <c r="Q21" s="20">
        <f t="shared" si="14"/>
        <v>36.963937059795988</v>
      </c>
      <c r="R21" s="20">
        <f t="shared" si="14"/>
        <v>37.152236165642172</v>
      </c>
      <c r="S21" s="20">
        <f t="shared" si="14"/>
        <v>50.882052393501247</v>
      </c>
    </row>
    <row r="22" spans="2:19" x14ac:dyDescent="0.15">
      <c r="B22" s="2" t="s">
        <v>6</v>
      </c>
      <c r="C22" s="13">
        <f t="shared" ref="C22:K22" si="15">C8/C15</f>
        <v>9.0060240963855414</v>
      </c>
      <c r="D22" s="13">
        <f t="shared" si="15"/>
        <v>7.7421052631578942</v>
      </c>
      <c r="E22" s="13">
        <f t="shared" si="15"/>
        <v>8.1483516483516496</v>
      </c>
      <c r="F22" s="13">
        <f t="shared" si="15"/>
        <v>8.3809523809523814</v>
      </c>
      <c r="G22" s="13">
        <f t="shared" si="15"/>
        <v>10.220000000000001</v>
      </c>
      <c r="H22" s="13">
        <f t="shared" si="15"/>
        <v>8.4532710280373848</v>
      </c>
      <c r="I22" s="13">
        <f t="shared" si="15"/>
        <v>8.9223300970873787</v>
      </c>
      <c r="J22" s="13">
        <f t="shared" si="15"/>
        <v>9.9032258064516139</v>
      </c>
      <c r="K22" s="13">
        <f t="shared" si="15"/>
        <v>11.966824644549762</v>
      </c>
      <c r="L22" s="21">
        <f t="shared" si="14"/>
        <v>10.092752582266757</v>
      </c>
      <c r="M22" s="21">
        <f t="shared" si="14"/>
        <v>10.637563453759363</v>
      </c>
      <c r="N22" s="21">
        <f t="shared" si="14"/>
        <v>11.374123821482833</v>
      </c>
      <c r="O22" s="21">
        <f t="shared" si="14"/>
        <v>13.807095814282237</v>
      </c>
      <c r="P22" s="21">
        <f t="shared" si="14"/>
        <v>11.644826933823973</v>
      </c>
      <c r="Q22" s="21">
        <f t="shared" si="14"/>
        <v>12.273419407332558</v>
      </c>
      <c r="R22" s="21">
        <f t="shared" si="14"/>
        <v>13.123248820918281</v>
      </c>
      <c r="S22" s="21">
        <f t="shared" si="14"/>
        <v>15.930365864564944</v>
      </c>
    </row>
    <row r="23" spans="2:19" x14ac:dyDescent="0.15">
      <c r="B23" s="2" t="s">
        <v>7</v>
      </c>
      <c r="C23" s="13">
        <f t="shared" ref="C23:K23" si="16">C9/C16</f>
        <v>6.7647058823529411</v>
      </c>
      <c r="D23" s="13">
        <f t="shared" si="16"/>
        <v>6.1946308724832209</v>
      </c>
      <c r="E23" s="13">
        <f t="shared" si="16"/>
        <v>5.3354838709677423</v>
      </c>
      <c r="F23" s="13">
        <f t="shared" si="16"/>
        <v>5.2592592592592595</v>
      </c>
      <c r="G23" s="13">
        <f t="shared" si="16"/>
        <v>6.3023255813953494</v>
      </c>
      <c r="H23" s="13">
        <f t="shared" si="16"/>
        <v>5.6702127659574462</v>
      </c>
      <c r="I23" s="13">
        <f t="shared" si="16"/>
        <v>4.9950495049504955</v>
      </c>
      <c r="J23" s="13">
        <f t="shared" si="16"/>
        <v>5.2062780269058289</v>
      </c>
      <c r="K23" s="13">
        <f t="shared" si="16"/>
        <v>6.2914798206278029</v>
      </c>
      <c r="L23" s="21">
        <f t="shared" si="14"/>
        <v>5.7108696572875353</v>
      </c>
      <c r="M23" s="21">
        <f t="shared" si="14"/>
        <v>4.9748409327610892</v>
      </c>
      <c r="N23" s="21">
        <f t="shared" si="14"/>
        <v>5.044491738499687</v>
      </c>
      <c r="O23" s="21">
        <f t="shared" si="14"/>
        <v>6.0704669798394981</v>
      </c>
      <c r="P23" s="21">
        <f t="shared" si="14"/>
        <v>5.5102530198168767</v>
      </c>
      <c r="Q23" s="21">
        <f t="shared" si="14"/>
        <v>4.8000801835626987</v>
      </c>
      <c r="R23" s="21">
        <f t="shared" si="14"/>
        <v>4.8672842322777727</v>
      </c>
      <c r="S23" s="21">
        <f t="shared" si="14"/>
        <v>5.8572180796797824</v>
      </c>
    </row>
    <row r="24" spans="2:19" x14ac:dyDescent="0.15">
      <c r="B24" s="2" t="s">
        <v>8</v>
      </c>
      <c r="C24" s="13">
        <f t="shared" ref="C24:K24" si="17">C10/C17</f>
        <v>3.7973856209150325</v>
      </c>
      <c r="D24" s="13">
        <f t="shared" si="17"/>
        <v>3.5586592178770955</v>
      </c>
      <c r="E24" s="13">
        <f t="shared" si="17"/>
        <v>3.5084745762711869</v>
      </c>
      <c r="F24" s="13">
        <f t="shared" si="17"/>
        <v>3.6237113402061856</v>
      </c>
      <c r="G24" s="13">
        <f t="shared" si="17"/>
        <v>4.6149732620320858</v>
      </c>
      <c r="H24" s="13">
        <f t="shared" si="17"/>
        <v>4.0422535211267601</v>
      </c>
      <c r="I24" s="13">
        <f t="shared" si="17"/>
        <v>3.8379629629629628</v>
      </c>
      <c r="J24" s="13">
        <f t="shared" si="17"/>
        <v>3.8373015873015874</v>
      </c>
      <c r="K24" s="13">
        <f t="shared" si="17"/>
        <v>4.5042016806722689</v>
      </c>
      <c r="L24" s="21">
        <f t="shared" si="14"/>
        <v>4.0831346586823187</v>
      </c>
      <c r="M24" s="21">
        <f t="shared" si="14"/>
        <v>3.9511659094359537</v>
      </c>
      <c r="N24" s="21">
        <f t="shared" si="14"/>
        <v>4.0157140059815655</v>
      </c>
      <c r="O24" s="21">
        <f t="shared" si="14"/>
        <v>4.9139144510847261</v>
      </c>
      <c r="P24" s="21">
        <f t="shared" si="14"/>
        <v>4.4545461832049442</v>
      </c>
      <c r="Q24" s="21">
        <f t="shared" si="14"/>
        <v>4.3105732463810984</v>
      </c>
      <c r="R24" s="21">
        <f t="shared" si="14"/>
        <v>4.3809927894860499</v>
      </c>
      <c r="S24" s="21">
        <f t="shared" si="14"/>
        <v>5.3608956579793627</v>
      </c>
    </row>
    <row r="25" spans="2:19" x14ac:dyDescent="0.15">
      <c r="B25" s="3" t="s">
        <v>14</v>
      </c>
      <c r="C25" s="5">
        <f t="shared" ref="C25:K25" si="18">C11/C18</f>
        <v>15.295918367346939</v>
      </c>
      <c r="D25" s="5">
        <f t="shared" si="18"/>
        <v>11.706505295007565</v>
      </c>
      <c r="E25" s="5">
        <f t="shared" si="18"/>
        <v>11.91908396946565</v>
      </c>
      <c r="F25" s="5">
        <f t="shared" si="18"/>
        <v>11.958689458689458</v>
      </c>
      <c r="G25" s="5">
        <f t="shared" si="18"/>
        <v>15.759440559440559</v>
      </c>
      <c r="H25" s="5">
        <f t="shared" si="18"/>
        <v>11.889317889317889</v>
      </c>
      <c r="I25" s="5">
        <f t="shared" si="18"/>
        <v>12.015094339622642</v>
      </c>
      <c r="J25" s="5">
        <f t="shared" si="18"/>
        <v>12.694038245219346</v>
      </c>
      <c r="K25" s="5">
        <f t="shared" si="18"/>
        <v>15.962485345838218</v>
      </c>
      <c r="L25" s="5">
        <f t="shared" ref="L25:S25" si="19">L11/L18</f>
        <v>12.211781993489943</v>
      </c>
      <c r="M25" s="5">
        <f t="shared" si="19"/>
        <v>12.330479592713528</v>
      </c>
      <c r="N25" s="5">
        <f t="shared" si="19"/>
        <v>12.695829609306124</v>
      </c>
      <c r="O25" s="5">
        <f t="shared" si="19"/>
        <v>16.332472044970057</v>
      </c>
      <c r="P25" s="5">
        <f t="shared" si="19"/>
        <v>12.528960101665646</v>
      </c>
      <c r="Q25" s="5">
        <f t="shared" si="19"/>
        <v>12.619829233454627</v>
      </c>
      <c r="R25" s="5">
        <f t="shared" si="19"/>
        <v>12.987474782489917</v>
      </c>
      <c r="S25" s="5">
        <f t="shared" si="19"/>
        <v>16.677836619858081</v>
      </c>
    </row>
    <row r="27" spans="2:19" x14ac:dyDescent="0.15">
      <c r="B27" s="8" t="s">
        <v>31</v>
      </c>
    </row>
    <row r="28" spans="2:19" x14ac:dyDescent="0.15">
      <c r="B28" s="2" t="s">
        <v>5</v>
      </c>
      <c r="C28" s="19" t="s">
        <v>20</v>
      </c>
      <c r="D28" s="14">
        <f t="shared" ref="D28:S28" si="20">D7/C7-1</f>
        <v>-0.21536922820470072</v>
      </c>
      <c r="E28" s="14">
        <f t="shared" si="20"/>
        <v>3.5903972806458517E-2</v>
      </c>
      <c r="F28" s="14">
        <f t="shared" si="20"/>
        <v>7.793273174733395E-2</v>
      </c>
      <c r="G28" s="14">
        <f t="shared" si="20"/>
        <v>0.3845129375951295</v>
      </c>
      <c r="H28" s="14">
        <f t="shared" si="20"/>
        <v>-0.24391919747148549</v>
      </c>
      <c r="I28" s="14">
        <f t="shared" si="20"/>
        <v>6.7975281715739744E-2</v>
      </c>
      <c r="J28" s="14">
        <f t="shared" si="20"/>
        <v>0.19264805990469691</v>
      </c>
      <c r="K28" s="14">
        <f t="shared" si="20"/>
        <v>0.22959474885844755</v>
      </c>
      <c r="L28" s="17">
        <f t="shared" si="20"/>
        <v>-0.22965967170202717</v>
      </c>
      <c r="M28" s="17">
        <f t="shared" si="20"/>
        <v>5.2431149734867288E-2</v>
      </c>
      <c r="N28" s="17">
        <f t="shared" si="20"/>
        <v>0.13459075258155329</v>
      </c>
      <c r="O28" s="17">
        <f t="shared" si="20"/>
        <v>0.30610143949403468</v>
      </c>
      <c r="P28" s="17">
        <f t="shared" si="20"/>
        <v>-0.22965967170202717</v>
      </c>
      <c r="Q28" s="17">
        <f t="shared" si="20"/>
        <v>5.2431149734867732E-2</v>
      </c>
      <c r="R28" s="17">
        <f t="shared" si="20"/>
        <v>0.13459075258155329</v>
      </c>
      <c r="S28" s="17">
        <f t="shared" si="20"/>
        <v>0.30610143949403468</v>
      </c>
    </row>
    <row r="29" spans="2:19" x14ac:dyDescent="0.15">
      <c r="B29" s="2" t="s">
        <v>6</v>
      </c>
      <c r="C29" s="19" t="s">
        <v>20</v>
      </c>
      <c r="D29" s="14">
        <f t="shared" ref="D29:S29" si="21">D8/C8-1</f>
        <v>-1.6053511705685697E-2</v>
      </c>
      <c r="E29" s="14">
        <f t="shared" si="21"/>
        <v>8.1577158395649274E-3</v>
      </c>
      <c r="F29" s="14">
        <f t="shared" si="21"/>
        <v>6.8105192178017582E-2</v>
      </c>
      <c r="G29" s="14">
        <f t="shared" si="21"/>
        <v>0.29040404040404044</v>
      </c>
      <c r="H29" s="14">
        <f t="shared" si="21"/>
        <v>-0.11497064579256355</v>
      </c>
      <c r="I29" s="14">
        <f t="shared" si="21"/>
        <v>1.603095632946383E-2</v>
      </c>
      <c r="J29" s="14">
        <f t="shared" si="21"/>
        <v>0.16920565832426537</v>
      </c>
      <c r="K29" s="14">
        <f t="shared" si="21"/>
        <v>0.17496510004653332</v>
      </c>
      <c r="L29" s="17">
        <f t="shared" si="21"/>
        <v>-6.6118554687101594E-2</v>
      </c>
      <c r="M29" s="17">
        <f t="shared" si="21"/>
        <v>1.2090775480301685E-2</v>
      </c>
      <c r="N29" s="17">
        <f t="shared" si="21"/>
        <v>0.1183514990819261</v>
      </c>
      <c r="O29" s="17">
        <f t="shared" si="21"/>
        <v>0.23244729166653566</v>
      </c>
      <c r="P29" s="17">
        <f t="shared" si="21"/>
        <v>-6.6118554687101483E-2</v>
      </c>
      <c r="Q29" s="17">
        <f t="shared" si="21"/>
        <v>1.2090775480301907E-2</v>
      </c>
      <c r="R29" s="17">
        <f t="shared" si="21"/>
        <v>0.11835149908192633</v>
      </c>
      <c r="S29" s="17">
        <f t="shared" si="21"/>
        <v>0.23244729166653544</v>
      </c>
    </row>
    <row r="30" spans="2:19" x14ac:dyDescent="0.15">
      <c r="B30" s="2" t="s">
        <v>7</v>
      </c>
      <c r="C30" s="19" t="s">
        <v>20</v>
      </c>
      <c r="D30" s="14">
        <f t="shared" ref="D30:S30" si="22">D9/C9-1</f>
        <v>3.260869565217428E-3</v>
      </c>
      <c r="E30" s="14">
        <f t="shared" si="22"/>
        <v>-0.10400866738894898</v>
      </c>
      <c r="F30" s="14">
        <f t="shared" si="22"/>
        <v>3.0229746070133068E-2</v>
      </c>
      <c r="G30" s="14">
        <f t="shared" si="22"/>
        <v>0.27230046948356801</v>
      </c>
      <c r="H30" s="14">
        <f t="shared" si="22"/>
        <v>-1.6605166051660625E-2</v>
      </c>
      <c r="I30" s="14">
        <f t="shared" si="22"/>
        <v>-5.3470919324577704E-2</v>
      </c>
      <c r="J30" s="14">
        <f t="shared" si="22"/>
        <v>0.15064420218037644</v>
      </c>
      <c r="K30" s="14">
        <f t="shared" si="22"/>
        <v>0.20844099913867375</v>
      </c>
      <c r="L30" s="17">
        <f t="shared" si="22"/>
        <v>-6.6824250806628571E-3</v>
      </c>
      <c r="M30" s="17">
        <f t="shared" si="22"/>
        <v>-7.890754474264805E-2</v>
      </c>
      <c r="N30" s="17">
        <f t="shared" si="22"/>
        <v>8.9605350041570109E-2</v>
      </c>
      <c r="O30" s="17">
        <f t="shared" si="22"/>
        <v>0.24052677577999804</v>
      </c>
      <c r="P30" s="17">
        <f t="shared" si="22"/>
        <v>-6.6824250806626351E-3</v>
      </c>
      <c r="Q30" s="17">
        <f t="shared" si="22"/>
        <v>-7.8907544742648272E-2</v>
      </c>
      <c r="R30" s="17">
        <f t="shared" si="22"/>
        <v>8.9605350041570553E-2</v>
      </c>
      <c r="S30" s="17">
        <f t="shared" si="22"/>
        <v>0.24052677577999804</v>
      </c>
    </row>
    <row r="31" spans="2:19" x14ac:dyDescent="0.15">
      <c r="B31" s="2" t="s">
        <v>8</v>
      </c>
      <c r="C31" s="19" t="s">
        <v>20</v>
      </c>
      <c r="D31" s="14">
        <f t="shared" ref="D31:S31" si="23">D10/C10-1</f>
        <v>9.6385542168674787E-2</v>
      </c>
      <c r="E31" s="14">
        <f t="shared" si="23"/>
        <v>-2.5117739403453743E-2</v>
      </c>
      <c r="F31" s="14">
        <f t="shared" si="23"/>
        <v>0.13204508856682762</v>
      </c>
      <c r="G31" s="14">
        <f t="shared" si="23"/>
        <v>0.22759601706970134</v>
      </c>
      <c r="H31" s="14">
        <f t="shared" si="23"/>
        <v>-2.317497103128674E-3</v>
      </c>
      <c r="I31" s="14">
        <f t="shared" si="23"/>
        <v>-3.7166085946573668E-2</v>
      </c>
      <c r="J31" s="14">
        <f t="shared" si="23"/>
        <v>0.1664656212303981</v>
      </c>
      <c r="K31" s="14">
        <f t="shared" si="23"/>
        <v>0.10858324715615297</v>
      </c>
      <c r="L31" s="17">
        <f t="shared" si="23"/>
        <v>4.6561029940038523E-2</v>
      </c>
      <c r="M31" s="17">
        <f t="shared" si="23"/>
        <v>-3.0911836205641308E-2</v>
      </c>
      <c r="N31" s="17">
        <f t="shared" si="23"/>
        <v>0.14983829250238823</v>
      </c>
      <c r="O31" s="17">
        <f t="shared" si="23"/>
        <v>0.16760399886356248</v>
      </c>
      <c r="P31" s="17">
        <f t="shared" si="23"/>
        <v>4.6561029940038967E-2</v>
      </c>
      <c r="Q31" s="17">
        <f t="shared" si="23"/>
        <v>-3.091183620564153E-2</v>
      </c>
      <c r="R31" s="17">
        <f t="shared" si="23"/>
        <v>0.14983829250238823</v>
      </c>
      <c r="S31" s="17">
        <f t="shared" si="23"/>
        <v>0.16760399886356248</v>
      </c>
    </row>
    <row r="32" spans="2:19" x14ac:dyDescent="0.15">
      <c r="B32" s="3" t="s">
        <v>28</v>
      </c>
      <c r="C32" s="18" t="s">
        <v>20</v>
      </c>
      <c r="D32" s="6">
        <f t="shared" ref="D32:S32" si="24">D11/C11-1</f>
        <v>-0.13964865465866139</v>
      </c>
      <c r="E32" s="6">
        <f t="shared" si="24"/>
        <v>8.9170328250194331E-3</v>
      </c>
      <c r="F32" s="6">
        <f t="shared" si="24"/>
        <v>7.5317023184321652E-2</v>
      </c>
      <c r="G32" s="6">
        <f t="shared" si="24"/>
        <v>0.34222751637879689</v>
      </c>
      <c r="H32" s="6">
        <f t="shared" si="24"/>
        <v>-0.18015619453319132</v>
      </c>
      <c r="I32" s="6">
        <f t="shared" si="24"/>
        <v>3.3990041134444704E-2</v>
      </c>
      <c r="J32" s="6">
        <f t="shared" si="24"/>
        <v>0.18142797319933002</v>
      </c>
      <c r="K32" s="6">
        <f t="shared" si="24"/>
        <v>0.2065573770491802</v>
      </c>
      <c r="L32" s="6">
        <f t="shared" si="24"/>
        <v>-0.15455264100570998</v>
      </c>
      <c r="M32" s="6">
        <f t="shared" si="24"/>
        <v>2.0145044629575004E-2</v>
      </c>
      <c r="N32" s="6">
        <f t="shared" si="24"/>
        <v>0.12778493783564215</v>
      </c>
      <c r="O32" s="6">
        <f t="shared" si="24"/>
        <v>0.27126015757788569</v>
      </c>
      <c r="P32" s="6">
        <f t="shared" si="24"/>
        <v>-0.1507826394011923</v>
      </c>
      <c r="Q32" s="6">
        <f t="shared" si="24"/>
        <v>1.9027829666445228E-2</v>
      </c>
      <c r="R32" s="6">
        <f t="shared" si="24"/>
        <v>0.12777331719381957</v>
      </c>
      <c r="S32" s="6">
        <f t="shared" si="24"/>
        <v>0.26926549665069555</v>
      </c>
    </row>
    <row r="33" spans="2:19" x14ac:dyDescent="0.1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19" x14ac:dyDescent="0.15">
      <c r="B34" s="8" t="s">
        <v>32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19" x14ac:dyDescent="0.15">
      <c r="B35" s="2" t="s">
        <v>5</v>
      </c>
      <c r="C35" s="19" t="s">
        <v>20</v>
      </c>
      <c r="D35" s="14">
        <f t="shared" ref="D35:K39" si="25">D14/C14-1</f>
        <v>7.5187969924812137E-2</v>
      </c>
      <c r="E35" s="14">
        <f t="shared" si="25"/>
        <v>-6.9930069930070893E-3</v>
      </c>
      <c r="F35" s="14">
        <f t="shared" si="25"/>
        <v>0.10563380281690149</v>
      </c>
      <c r="G35" s="14">
        <f t="shared" si="25"/>
        <v>-6.3694267515923553E-3</v>
      </c>
      <c r="H35" s="14">
        <f t="shared" si="25"/>
        <v>3.8461538461538547E-2</v>
      </c>
      <c r="I35" s="14">
        <f t="shared" si="25"/>
        <v>5.555555555555558E-2</v>
      </c>
      <c r="J35" s="14">
        <f t="shared" si="25"/>
        <v>0.15204678362573087</v>
      </c>
      <c r="K35" s="14">
        <f t="shared" si="25"/>
        <v>-8.6294416243654748E-2</v>
      </c>
      <c r="L35" s="17">
        <f>AVERAGE(D35,H35)</f>
        <v>5.6824754193175342E-2</v>
      </c>
      <c r="M35" s="17">
        <f t="shared" ref="M35" si="26">AVERAGE(E35,I35)</f>
        <v>2.4281274281274245E-2</v>
      </c>
      <c r="N35" s="17">
        <f t="shared" ref="N35" si="27">AVERAGE(F35,J35)</f>
        <v>0.12884029322131618</v>
      </c>
      <c r="O35" s="17">
        <f t="shared" ref="O35" si="28">AVERAGE(G35,K35)</f>
        <v>-4.6331921497623552E-2</v>
      </c>
      <c r="P35" s="23">
        <f>L35</f>
        <v>5.6824754193175342E-2</v>
      </c>
      <c r="Q35" s="23">
        <f t="shared" ref="Q35:Q38" si="29">M35</f>
        <v>2.4281274281274245E-2</v>
      </c>
      <c r="R35" s="23">
        <f t="shared" ref="R35:R38" si="30">N35</f>
        <v>0.12884029322131618</v>
      </c>
      <c r="S35" s="23">
        <f t="shared" ref="S35:S38" si="31">O35</f>
        <v>-4.6331921497623552E-2</v>
      </c>
    </row>
    <row r="36" spans="2:19" x14ac:dyDescent="0.15">
      <c r="B36" s="2" t="s">
        <v>6</v>
      </c>
      <c r="C36" s="19" t="s">
        <v>20</v>
      </c>
      <c r="D36" s="14">
        <f t="shared" si="25"/>
        <v>0.14457831325301185</v>
      </c>
      <c r="E36" s="14">
        <f t="shared" si="25"/>
        <v>-4.2105263157894757E-2</v>
      </c>
      <c r="F36" s="14">
        <f t="shared" si="25"/>
        <v>3.8461538461538325E-2</v>
      </c>
      <c r="G36" s="14">
        <f t="shared" si="25"/>
        <v>5.8201058201058364E-2</v>
      </c>
      <c r="H36" s="14">
        <f t="shared" si="25"/>
        <v>6.999999999999984E-2</v>
      </c>
      <c r="I36" s="14">
        <f t="shared" si="25"/>
        <v>-3.7383177570093351E-2</v>
      </c>
      <c r="J36" s="14">
        <f t="shared" si="25"/>
        <v>5.3398058252427161E-2</v>
      </c>
      <c r="K36" s="14">
        <f t="shared" si="25"/>
        <v>-2.7649769585253337E-2</v>
      </c>
      <c r="L36" s="17">
        <f t="shared" ref="L36:L38" si="32">AVERAGE(D36,H36)</f>
        <v>0.10728915662650584</v>
      </c>
      <c r="M36" s="17">
        <f t="shared" ref="M36:M38" si="33">AVERAGE(E36,I36)</f>
        <v>-3.9744220363994054E-2</v>
      </c>
      <c r="N36" s="17">
        <f t="shared" ref="N36:N38" si="34">AVERAGE(F36,J36)</f>
        <v>4.5929798356982743E-2</v>
      </c>
      <c r="O36" s="17">
        <f t="shared" ref="O36:O38" si="35">AVERAGE(G36,K36)</f>
        <v>1.5275644307902514E-2</v>
      </c>
      <c r="P36" s="23">
        <f t="shared" ref="P36:P38" si="36">L36</f>
        <v>0.10728915662650584</v>
      </c>
      <c r="Q36" s="23">
        <f t="shared" si="29"/>
        <v>-3.9744220363994054E-2</v>
      </c>
      <c r="R36" s="23">
        <f t="shared" si="30"/>
        <v>4.5929798356982743E-2</v>
      </c>
      <c r="S36" s="23">
        <f t="shared" si="31"/>
        <v>1.5275644307902514E-2</v>
      </c>
    </row>
    <row r="37" spans="2:19" x14ac:dyDescent="0.15">
      <c r="B37" s="2" t="s">
        <v>7</v>
      </c>
      <c r="C37" s="19" t="s">
        <v>20</v>
      </c>
      <c r="D37" s="14">
        <f t="shared" si="25"/>
        <v>9.5588235294117752E-2</v>
      </c>
      <c r="E37" s="14">
        <f t="shared" si="25"/>
        <v>4.0268456375838868E-2</v>
      </c>
      <c r="F37" s="14">
        <f t="shared" si="25"/>
        <v>4.5161290322580649E-2</v>
      </c>
      <c r="G37" s="14">
        <f t="shared" si="25"/>
        <v>6.1728395061728447E-2</v>
      </c>
      <c r="H37" s="14">
        <f t="shared" si="25"/>
        <v>9.3023255813953654E-2</v>
      </c>
      <c r="I37" s="14">
        <f t="shared" si="25"/>
        <v>7.4468085106382809E-2</v>
      </c>
      <c r="J37" s="14">
        <f t="shared" si="25"/>
        <v>0.10396039603960405</v>
      </c>
      <c r="K37" s="14">
        <f t="shared" si="25"/>
        <v>0</v>
      </c>
      <c r="L37" s="17">
        <f t="shared" si="32"/>
        <v>9.4305745554035703E-2</v>
      </c>
      <c r="M37" s="17">
        <f t="shared" si="33"/>
        <v>5.7368270741110838E-2</v>
      </c>
      <c r="N37" s="17">
        <f t="shared" si="34"/>
        <v>7.4560843181092351E-2</v>
      </c>
      <c r="O37" s="17">
        <f t="shared" si="35"/>
        <v>3.0864197530864224E-2</v>
      </c>
      <c r="P37" s="23">
        <f t="shared" si="36"/>
        <v>9.4305745554035703E-2</v>
      </c>
      <c r="Q37" s="23">
        <f t="shared" si="29"/>
        <v>5.7368270741110838E-2</v>
      </c>
      <c r="R37" s="23">
        <f t="shared" si="30"/>
        <v>7.4560843181092351E-2</v>
      </c>
      <c r="S37" s="23">
        <f t="shared" si="31"/>
        <v>3.0864197530864224E-2</v>
      </c>
    </row>
    <row r="38" spans="2:19" x14ac:dyDescent="0.15">
      <c r="B38" s="2" t="s">
        <v>8</v>
      </c>
      <c r="C38" s="19" t="s">
        <v>20</v>
      </c>
      <c r="D38" s="14">
        <f t="shared" si="25"/>
        <v>0.16993464052287566</v>
      </c>
      <c r="E38" s="14">
        <f t="shared" si="25"/>
        <v>-1.1173184357541888E-2</v>
      </c>
      <c r="F38" s="14">
        <f t="shared" si="25"/>
        <v>9.6045197740112886E-2</v>
      </c>
      <c r="G38" s="14">
        <f t="shared" si="25"/>
        <v>-3.6082474226804107E-2</v>
      </c>
      <c r="H38" s="14">
        <f t="shared" si="25"/>
        <v>0.13903743315508033</v>
      </c>
      <c r="I38" s="14">
        <f t="shared" si="25"/>
        <v>1.4084507042253502E-2</v>
      </c>
      <c r="J38" s="14">
        <f t="shared" si="25"/>
        <v>0.16666666666666652</v>
      </c>
      <c r="K38" s="14">
        <f t="shared" si="25"/>
        <v>-5.5555555555555469E-2</v>
      </c>
      <c r="L38" s="17">
        <f t="shared" si="32"/>
        <v>0.15448603683897799</v>
      </c>
      <c r="M38" s="17">
        <f t="shared" si="33"/>
        <v>1.4556613423558074E-3</v>
      </c>
      <c r="N38" s="17">
        <f t="shared" si="34"/>
        <v>0.1313559322033897</v>
      </c>
      <c r="O38" s="17">
        <f t="shared" si="35"/>
        <v>-4.5819014891179788E-2</v>
      </c>
      <c r="P38" s="23">
        <f t="shared" si="36"/>
        <v>0.15448603683897799</v>
      </c>
      <c r="Q38" s="23">
        <f t="shared" si="29"/>
        <v>1.4556613423558074E-3</v>
      </c>
      <c r="R38" s="23">
        <f t="shared" si="30"/>
        <v>0.1313559322033897</v>
      </c>
      <c r="S38" s="23">
        <f t="shared" si="31"/>
        <v>-4.5819014891179788E-2</v>
      </c>
    </row>
    <row r="39" spans="2:19" x14ac:dyDescent="0.15">
      <c r="B39" s="3" t="s">
        <v>29</v>
      </c>
      <c r="C39" s="18" t="s">
        <v>20</v>
      </c>
      <c r="D39" s="6">
        <f t="shared" si="25"/>
        <v>0.12414965986394555</v>
      </c>
      <c r="E39" s="6">
        <f t="shared" si="25"/>
        <v>-9.0771558245081874E-3</v>
      </c>
      <c r="F39" s="6">
        <f t="shared" si="25"/>
        <v>7.1755725190839836E-2</v>
      </c>
      <c r="G39" s="6">
        <f t="shared" si="25"/>
        <v>1.8518518518518379E-2</v>
      </c>
      <c r="H39" s="6">
        <f t="shared" si="25"/>
        <v>8.6713286713286708E-2</v>
      </c>
      <c r="I39" s="6">
        <f t="shared" si="25"/>
        <v>2.316602316602312E-2</v>
      </c>
      <c r="J39" s="6">
        <f t="shared" si="25"/>
        <v>0.1182389937106918</v>
      </c>
      <c r="K39" s="6">
        <f t="shared" si="25"/>
        <v>-4.0494938132733527E-2</v>
      </c>
      <c r="L39" s="6">
        <f t="shared" ref="L39:S39" si="37">L18/K18-1</f>
        <v>0.10511644294160738</v>
      </c>
      <c r="M39" s="6">
        <f t="shared" si="37"/>
        <v>1.0324764181690149E-2</v>
      </c>
      <c r="N39" s="6">
        <f t="shared" si="37"/>
        <v>9.5330481653502996E-2</v>
      </c>
      <c r="O39" s="6">
        <f t="shared" si="37"/>
        <v>-1.1802848627617046E-2</v>
      </c>
      <c r="P39" s="6">
        <f t="shared" si="37"/>
        <v>0.10702074949056439</v>
      </c>
      <c r="Q39" s="6">
        <f t="shared" si="37"/>
        <v>1.1690315629002912E-2</v>
      </c>
      <c r="R39" s="6">
        <f t="shared" si="37"/>
        <v>9.5848647669450227E-2</v>
      </c>
      <c r="S39" s="6">
        <f t="shared" si="37"/>
        <v>-1.1589212331801546E-2</v>
      </c>
    </row>
    <row r="40" spans="2:19" x14ac:dyDescent="0.1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2:19" x14ac:dyDescent="0.15">
      <c r="B41" s="8" t="s">
        <v>33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2:19" x14ac:dyDescent="0.15">
      <c r="B42" s="2" t="s">
        <v>5</v>
      </c>
      <c r="C42" s="19" t="s">
        <v>20</v>
      </c>
      <c r="D42" s="14">
        <f t="shared" ref="D42:K46" si="38">D21/C21-1</f>
        <v>-0.27023851294563084</v>
      </c>
      <c r="E42" s="14">
        <f t="shared" si="38"/>
        <v>4.3199071206504236E-2</v>
      </c>
      <c r="F42" s="14">
        <f t="shared" si="38"/>
        <v>-2.5054471922793642E-2</v>
      </c>
      <c r="G42" s="14">
        <f t="shared" si="38"/>
        <v>0.39338802052843169</v>
      </c>
      <c r="H42" s="14">
        <f t="shared" si="38"/>
        <v>-0.27192219015772678</v>
      </c>
      <c r="I42" s="14">
        <f t="shared" si="38"/>
        <v>1.1766056362279453E-2</v>
      </c>
      <c r="J42" s="14">
        <f t="shared" si="38"/>
        <v>3.5242732201539173E-2</v>
      </c>
      <c r="K42" s="14">
        <f t="shared" si="38"/>
        <v>0.34572314180619013</v>
      </c>
      <c r="L42" s="17">
        <f>AVERAGE(D42,H42)</f>
        <v>-0.27108035155167881</v>
      </c>
      <c r="M42" s="17">
        <f t="shared" ref="M42:O42" si="39">AVERAGE(E42,I42)</f>
        <v>2.7482563784391845E-2</v>
      </c>
      <c r="N42" s="17">
        <f t="shared" si="39"/>
        <v>5.0941301393727656E-3</v>
      </c>
      <c r="O42" s="17">
        <f t="shared" si="39"/>
        <v>0.36955558116731091</v>
      </c>
      <c r="P42" s="23">
        <f>L42</f>
        <v>-0.27108035155167881</v>
      </c>
      <c r="Q42" s="23">
        <f t="shared" ref="Q42:S45" si="40">M42</f>
        <v>2.7482563784391845E-2</v>
      </c>
      <c r="R42" s="23">
        <f t="shared" si="40"/>
        <v>5.0941301393727656E-3</v>
      </c>
      <c r="S42" s="23">
        <f t="shared" si="40"/>
        <v>0.36955558116731091</v>
      </c>
    </row>
    <row r="43" spans="2:19" x14ac:dyDescent="0.15">
      <c r="B43" s="2" t="s">
        <v>6</v>
      </c>
      <c r="C43" s="19" t="s">
        <v>20</v>
      </c>
      <c r="D43" s="14">
        <f t="shared" si="38"/>
        <v>-0.14034148917444111</v>
      </c>
      <c r="E43" s="14">
        <f t="shared" si="38"/>
        <v>5.2472340711633869E-2</v>
      </c>
      <c r="F43" s="14">
        <f t="shared" si="38"/>
        <v>2.8545740615868676E-2</v>
      </c>
      <c r="G43" s="14">
        <f t="shared" si="38"/>
        <v>0.21943181818181823</v>
      </c>
      <c r="H43" s="14">
        <f t="shared" si="38"/>
        <v>-0.17286976242295649</v>
      </c>
      <c r="I43" s="14">
        <f t="shared" si="38"/>
        <v>5.548846919662731E-2</v>
      </c>
      <c r="J43" s="14">
        <f t="shared" si="38"/>
        <v>0.10993716873179138</v>
      </c>
      <c r="K43" s="14">
        <f t="shared" si="38"/>
        <v>0.20837642990567606</v>
      </c>
      <c r="L43" s="17">
        <f t="shared" ref="L43:L45" si="41">AVERAGE(D43,H43)</f>
        <v>-0.1566056257986988</v>
      </c>
      <c r="M43" s="17">
        <f t="shared" ref="M43:M45" si="42">AVERAGE(E43,I43)</f>
        <v>5.398040495413059E-2</v>
      </c>
      <c r="N43" s="17">
        <f t="shared" ref="N43:N45" si="43">AVERAGE(F43,J43)</f>
        <v>6.9241454673830027E-2</v>
      </c>
      <c r="O43" s="17">
        <f t="shared" ref="O43:O45" si="44">AVERAGE(G43,K43)</f>
        <v>0.21390412404374715</v>
      </c>
      <c r="P43" s="23">
        <f t="shared" ref="P43:P45" si="45">L43</f>
        <v>-0.1566056257986988</v>
      </c>
      <c r="Q43" s="23">
        <f t="shared" si="40"/>
        <v>5.398040495413059E-2</v>
      </c>
      <c r="R43" s="23">
        <f t="shared" si="40"/>
        <v>6.9241454673830027E-2</v>
      </c>
      <c r="S43" s="23">
        <f t="shared" si="40"/>
        <v>0.21390412404374715</v>
      </c>
    </row>
    <row r="44" spans="2:19" x14ac:dyDescent="0.15">
      <c r="B44" s="2" t="s">
        <v>7</v>
      </c>
      <c r="C44" s="19" t="s">
        <v>20</v>
      </c>
      <c r="D44" s="14">
        <f t="shared" si="38"/>
        <v>-8.4271957980741274E-2</v>
      </c>
      <c r="E44" s="14">
        <f t="shared" si="38"/>
        <v>-0.13869220284486061</v>
      </c>
      <c r="F44" s="14">
        <f t="shared" si="38"/>
        <v>-1.4286354068699936E-2</v>
      </c>
      <c r="G44" s="14">
        <f t="shared" si="38"/>
        <v>0.19832951195545379</v>
      </c>
      <c r="H44" s="14">
        <f t="shared" si="38"/>
        <v>-0.10029834340896615</v>
      </c>
      <c r="I44" s="14">
        <f t="shared" si="38"/>
        <v>-0.11907194471792382</v>
      </c>
      <c r="J44" s="14">
        <f t="shared" si="38"/>
        <v>4.2287573275497925E-2</v>
      </c>
      <c r="K44" s="14">
        <f t="shared" si="38"/>
        <v>0.20844099913867375</v>
      </c>
      <c r="L44" s="17">
        <f t="shared" si="41"/>
        <v>-9.2285150694853713E-2</v>
      </c>
      <c r="M44" s="17">
        <f t="shared" si="42"/>
        <v>-0.12888207378139221</v>
      </c>
      <c r="N44" s="17">
        <f t="shared" si="43"/>
        <v>1.4000609603398995E-2</v>
      </c>
      <c r="O44" s="17">
        <f t="shared" si="44"/>
        <v>0.20338525554706377</v>
      </c>
      <c r="P44" s="23">
        <f t="shared" si="45"/>
        <v>-9.2285150694853713E-2</v>
      </c>
      <c r="Q44" s="23">
        <f t="shared" si="40"/>
        <v>-0.12888207378139221</v>
      </c>
      <c r="R44" s="23">
        <f t="shared" si="40"/>
        <v>1.4000609603398995E-2</v>
      </c>
      <c r="S44" s="23">
        <f t="shared" si="40"/>
        <v>0.20338525554706377</v>
      </c>
    </row>
    <row r="45" spans="2:19" x14ac:dyDescent="0.15">
      <c r="B45" s="2" t="s">
        <v>8</v>
      </c>
      <c r="C45" s="19" t="s">
        <v>20</v>
      </c>
      <c r="D45" s="14">
        <f t="shared" si="38"/>
        <v>-6.2865989096048791E-2</v>
      </c>
      <c r="E45" s="14">
        <f t="shared" si="38"/>
        <v>-1.4102120639650884E-2</v>
      </c>
      <c r="F45" s="14">
        <f t="shared" si="38"/>
        <v>3.2845261218187982E-2</v>
      </c>
      <c r="G45" s="14">
        <f t="shared" si="38"/>
        <v>0.27354880915252444</v>
      </c>
      <c r="H45" s="14">
        <f t="shared" si="38"/>
        <v>-0.12410033783232433</v>
      </c>
      <c r="I45" s="14">
        <f t="shared" si="38"/>
        <v>-5.0538779197315753E-2</v>
      </c>
      <c r="J45" s="14">
        <f t="shared" si="38"/>
        <v>-1.7232465965877353E-4</v>
      </c>
      <c r="K45" s="14">
        <f t="shared" si="38"/>
        <v>0.17379402640063257</v>
      </c>
      <c r="L45" s="17">
        <f t="shared" si="41"/>
        <v>-9.3483163464186558E-2</v>
      </c>
      <c r="M45" s="17">
        <f t="shared" si="42"/>
        <v>-3.2320449918483318E-2</v>
      </c>
      <c r="N45" s="17">
        <f t="shared" si="43"/>
        <v>1.6336468279264604E-2</v>
      </c>
      <c r="O45" s="17">
        <f t="shared" si="44"/>
        <v>0.22367141777657851</v>
      </c>
      <c r="P45" s="23">
        <f t="shared" si="45"/>
        <v>-9.3483163464186558E-2</v>
      </c>
      <c r="Q45" s="23">
        <f t="shared" si="40"/>
        <v>-3.2320449918483318E-2</v>
      </c>
      <c r="R45" s="23">
        <f t="shared" si="40"/>
        <v>1.6336468279264604E-2</v>
      </c>
      <c r="S45" s="23">
        <f t="shared" si="40"/>
        <v>0.22367141777657851</v>
      </c>
    </row>
    <row r="46" spans="2:19" x14ac:dyDescent="0.15">
      <c r="B46" s="3" t="s">
        <v>30</v>
      </c>
      <c r="C46" s="18" t="s">
        <v>20</v>
      </c>
      <c r="D46" s="6">
        <f t="shared" si="38"/>
        <v>-0.23466476390210722</v>
      </c>
      <c r="E46" s="6">
        <f t="shared" si="38"/>
        <v>1.8159020911966195E-2</v>
      </c>
      <c r="F46" s="6">
        <f t="shared" si="38"/>
        <v>3.3228635124367134E-3</v>
      </c>
      <c r="G46" s="6">
        <f t="shared" si="38"/>
        <v>0.31782337971736441</v>
      </c>
      <c r="H46" s="6">
        <f t="shared" si="38"/>
        <v>-0.24557487656529198</v>
      </c>
      <c r="I46" s="6">
        <f t="shared" si="38"/>
        <v>1.0578945863476186E-2</v>
      </c>
      <c r="J46" s="6">
        <f t="shared" si="38"/>
        <v>5.650758008264023E-2</v>
      </c>
      <c r="K46" s="6">
        <f t="shared" si="38"/>
        <v>0.25747890761632042</v>
      </c>
      <c r="L46" s="6">
        <f t="shared" ref="L46:S46" si="46">L25/K25-1</f>
        <v>-0.23496988539608388</v>
      </c>
      <c r="M46" s="6">
        <f t="shared" si="46"/>
        <v>9.7199245193586581E-3</v>
      </c>
      <c r="N46" s="6">
        <f t="shared" si="46"/>
        <v>2.9629830198047769E-2</v>
      </c>
      <c r="O46" s="6">
        <f t="shared" si="46"/>
        <v>0.28644385972211306</v>
      </c>
      <c r="P46" s="6">
        <f t="shared" si="46"/>
        <v>-0.23288035839472232</v>
      </c>
      <c r="Q46" s="6">
        <f t="shared" si="46"/>
        <v>7.2527273653701929E-3</v>
      </c>
      <c r="R46" s="6">
        <f t="shared" si="46"/>
        <v>2.9132371146566527E-2</v>
      </c>
      <c r="S46" s="6">
        <f t="shared" si="46"/>
        <v>0.28414775767985434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Company2248_QUARTERLY_KPIs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