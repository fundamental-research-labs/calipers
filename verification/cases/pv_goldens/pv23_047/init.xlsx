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0" yWindow="500" windowWidth="3840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3" i="2" l="1"/>
  <c r="N173" i="2"/>
  <c r="O173" i="2"/>
  <c r="P173" i="2"/>
  <c r="L173" i="2"/>
  <c r="L174" i="2"/>
  <c r="P153" i="2"/>
  <c r="O153" i="2"/>
  <c r="N153" i="2"/>
  <c r="M153" i="2"/>
  <c r="L153" i="2"/>
  <c r="M152" i="2"/>
  <c r="N152" i="2"/>
  <c r="O152" i="2"/>
  <c r="P152" i="2"/>
  <c r="L152" i="2"/>
  <c r="K188" i="2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L145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I167" i="2"/>
  <c r="J165" i="2"/>
  <c r="H165" i="2"/>
  <c r="G165" i="2"/>
  <c r="J161" i="2"/>
  <c r="I161" i="2"/>
  <c r="I165" i="2" s="1"/>
  <c r="H161" i="2"/>
  <c r="K159" i="2"/>
  <c r="J159" i="2"/>
  <c r="I159" i="2"/>
  <c r="H159" i="2"/>
  <c r="G159" i="2"/>
  <c r="J154" i="2"/>
  <c r="I154" i="2"/>
  <c r="H154" i="2"/>
  <c r="G154" i="2"/>
  <c r="G161" i="2" s="1"/>
  <c r="J148" i="2"/>
  <c r="J167" i="2" s="1"/>
  <c r="K146" i="2"/>
  <c r="J146" i="2"/>
  <c r="I146" i="2"/>
  <c r="I148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8" i="2"/>
  <c r="H128" i="2"/>
  <c r="G128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K57" i="2" s="1"/>
  <c r="J113" i="2"/>
  <c r="J57" i="2" s="1"/>
  <c r="I113" i="2"/>
  <c r="H113" i="2"/>
  <c r="G113" i="2"/>
  <c r="K97" i="2"/>
  <c r="J97" i="2"/>
  <c r="I97" i="2"/>
  <c r="H97" i="2"/>
  <c r="G97" i="2"/>
  <c r="K92" i="2"/>
  <c r="K99" i="2" s="1"/>
  <c r="K115" i="2" s="1"/>
  <c r="J92" i="2"/>
  <c r="H92" i="2"/>
  <c r="G92" i="2"/>
  <c r="G99" i="2" s="1"/>
  <c r="G115" i="2" s="1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8" i="2" s="1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J74" i="2"/>
  <c r="I74" i="2"/>
  <c r="G74" i="2"/>
  <c r="K73" i="2"/>
  <c r="J73" i="2"/>
  <c r="I73" i="2"/>
  <c r="H73" i="2"/>
  <c r="G73" i="2"/>
  <c r="J72" i="2"/>
  <c r="G72" i="2"/>
  <c r="K66" i="2"/>
  <c r="J66" i="2"/>
  <c r="I66" i="2"/>
  <c r="I72" i="2" s="1"/>
  <c r="H66" i="2"/>
  <c r="G66" i="2"/>
  <c r="M64" i="2"/>
  <c r="K64" i="2"/>
  <c r="J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H58" i="2"/>
  <c r="G58" i="2"/>
  <c r="I57" i="2"/>
  <c r="G57" i="2"/>
  <c r="J56" i="2"/>
  <c r="I56" i="2"/>
  <c r="G56" i="2"/>
  <c r="K55" i="2"/>
  <c r="J55" i="2"/>
  <c r="I55" i="2"/>
  <c r="H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M47" i="2" s="1"/>
  <c r="M111" i="2" s="1"/>
  <c r="J47" i="2"/>
  <c r="I47" i="2"/>
  <c r="H47" i="2"/>
  <c r="G47" i="2"/>
  <c r="C47" i="2"/>
  <c r="M46" i="2"/>
  <c r="M107" i="2" s="1"/>
  <c r="L46" i="2"/>
  <c r="L107" i="2" s="1"/>
  <c r="K46" i="2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L43" i="2"/>
  <c r="L103" i="2" s="1"/>
  <c r="K43" i="2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K29" i="2"/>
  <c r="J29" i="2"/>
  <c r="H29" i="2"/>
  <c r="G29" i="2"/>
  <c r="K28" i="2"/>
  <c r="J28" i="2"/>
  <c r="H28" i="2"/>
  <c r="G28" i="2"/>
  <c r="K27" i="2"/>
  <c r="J27" i="2"/>
  <c r="K26" i="2"/>
  <c r="J26" i="2"/>
  <c r="H26" i="2"/>
  <c r="G26" i="2"/>
  <c r="K25" i="2"/>
  <c r="J25" i="2"/>
  <c r="H25" i="2"/>
  <c r="G25" i="2"/>
  <c r="K23" i="2"/>
  <c r="J23" i="2"/>
  <c r="G23" i="2"/>
  <c r="K22" i="2"/>
  <c r="J22" i="2"/>
  <c r="H22" i="2"/>
  <c r="G22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L89" i="2" l="1"/>
  <c r="M82" i="2"/>
  <c r="G31" i="2"/>
  <c r="G129" i="2"/>
  <c r="G133" i="2"/>
  <c r="G124" i="2"/>
  <c r="G126" i="2" s="1"/>
  <c r="G130" i="2" s="1"/>
  <c r="G119" i="2"/>
  <c r="M45" i="2"/>
  <c r="L106" i="2"/>
  <c r="M48" i="2"/>
  <c r="L112" i="2"/>
  <c r="M44" i="2"/>
  <c r="L105" i="2"/>
  <c r="K74" i="2"/>
  <c r="K72" i="2"/>
  <c r="L158" i="2"/>
  <c r="M158" i="2" s="1"/>
  <c r="N158" i="2" s="1"/>
  <c r="O158" i="2" s="1"/>
  <c r="P158" i="2" s="1"/>
  <c r="K133" i="2"/>
  <c r="K124" i="2"/>
  <c r="K126" i="2" s="1"/>
  <c r="K130" i="2" s="1"/>
  <c r="K31" i="2"/>
  <c r="K129" i="2"/>
  <c r="K119" i="2"/>
  <c r="M43" i="2"/>
  <c r="H57" i="2"/>
  <c r="H56" i="2"/>
  <c r="L84" i="2"/>
  <c r="M80" i="2"/>
  <c r="I23" i="2"/>
  <c r="I58" i="2"/>
  <c r="I25" i="2"/>
  <c r="I28" i="2"/>
  <c r="I27" i="2"/>
  <c r="I64" i="2"/>
  <c r="I22" i="2"/>
  <c r="I29" i="2"/>
  <c r="L87" i="2"/>
  <c r="L90" i="2" s="1"/>
  <c r="H99" i="2"/>
  <c r="H115" i="2" s="1"/>
  <c r="I92" i="2"/>
  <c r="I99" i="2" s="1"/>
  <c r="I115" i="2" s="1"/>
  <c r="I128" i="2"/>
  <c r="I26" i="2"/>
  <c r="J99" i="2"/>
  <c r="J115" i="2" s="1"/>
  <c r="J128" i="2"/>
  <c r="N46" i="2"/>
  <c r="M145" i="2"/>
  <c r="N145" i="2" s="1"/>
  <c r="O145" i="2" s="1"/>
  <c r="P145" i="2" s="1"/>
  <c r="N47" i="2"/>
  <c r="L111" i="2"/>
  <c r="N64" i="2"/>
  <c r="K148" i="2"/>
  <c r="H72" i="2"/>
  <c r="H74" i="2"/>
  <c r="G55" i="2"/>
  <c r="G27" i="2"/>
  <c r="M81" i="2"/>
  <c r="H27" i="2"/>
  <c r="H23" i="2"/>
  <c r="N82" i="2" l="1"/>
  <c r="M89" i="2"/>
  <c r="I119" i="2"/>
  <c r="I133" i="2"/>
  <c r="I124" i="2"/>
  <c r="I126" i="2" s="1"/>
  <c r="I130" i="2" s="1"/>
  <c r="I31" i="2"/>
  <c r="I129" i="2"/>
  <c r="G172" i="2"/>
  <c r="G178" i="2" s="1"/>
  <c r="G190" i="2" s="1"/>
  <c r="G192" i="2" s="1"/>
  <c r="H191" i="2" s="1"/>
  <c r="G131" i="2"/>
  <c r="H119" i="2"/>
  <c r="H124" i="2"/>
  <c r="H126" i="2" s="1"/>
  <c r="H130" i="2" s="1"/>
  <c r="H133" i="2"/>
  <c r="H31" i="2"/>
  <c r="H129" i="2"/>
  <c r="N48" i="2"/>
  <c r="M112" i="2"/>
  <c r="N111" i="2"/>
  <c r="O47" i="2"/>
  <c r="M106" i="2"/>
  <c r="N45" i="2"/>
  <c r="N81" i="2"/>
  <c r="M88" i="2"/>
  <c r="J119" i="2"/>
  <c r="J133" i="2"/>
  <c r="J124" i="2"/>
  <c r="J126" i="2" s="1"/>
  <c r="J130" i="2" s="1"/>
  <c r="J31" i="2"/>
  <c r="J129" i="2"/>
  <c r="M87" i="2"/>
  <c r="M90" i="2" s="1"/>
  <c r="N80" i="2"/>
  <c r="M84" i="2"/>
  <c r="O64" i="2"/>
  <c r="N44" i="2"/>
  <c r="M105" i="2"/>
  <c r="N43" i="2"/>
  <c r="M103" i="2"/>
  <c r="K131" i="2"/>
  <c r="K172" i="2"/>
  <c r="K178" i="2" s="1"/>
  <c r="K190" i="2" s="1"/>
  <c r="N107" i="2"/>
  <c r="O46" i="2"/>
  <c r="L110" i="2"/>
  <c r="L95" i="2"/>
  <c r="L187" i="2"/>
  <c r="L128" i="2"/>
  <c r="L181" i="2"/>
  <c r="L183" i="2" s="1"/>
  <c r="L96" i="2"/>
  <c r="L92" i="2"/>
  <c r="L109" i="2"/>
  <c r="L102" i="2"/>
  <c r="L157" i="2"/>
  <c r="L108" i="2"/>
  <c r="L104" i="2"/>
  <c r="L140" i="2"/>
  <c r="O82" i="2" l="1"/>
  <c r="N89" i="2"/>
  <c r="L97" i="2"/>
  <c r="L66" i="2"/>
  <c r="L188" i="2"/>
  <c r="O80" i="2"/>
  <c r="N87" i="2"/>
  <c r="N84" i="2"/>
  <c r="O48" i="2"/>
  <c r="N112" i="2"/>
  <c r="L125" i="2"/>
  <c r="L144" i="2"/>
  <c r="P46" i="2"/>
  <c r="P107" i="2" s="1"/>
  <c r="O107" i="2"/>
  <c r="H172" i="2"/>
  <c r="H178" i="2" s="1"/>
  <c r="H190" i="2" s="1"/>
  <c r="H192" i="2" s="1"/>
  <c r="I191" i="2" s="1"/>
  <c r="H131" i="2"/>
  <c r="J131" i="2"/>
  <c r="J172" i="2"/>
  <c r="J178" i="2" s="1"/>
  <c r="J190" i="2" s="1"/>
  <c r="L177" i="2"/>
  <c r="L159" i="2"/>
  <c r="L113" i="2"/>
  <c r="O43" i="2"/>
  <c r="N103" i="2"/>
  <c r="N106" i="2"/>
  <c r="O45" i="2"/>
  <c r="L99" i="2"/>
  <c r="L115" i="2" s="1"/>
  <c r="N105" i="2"/>
  <c r="O44" i="2"/>
  <c r="O111" i="2"/>
  <c r="P47" i="2"/>
  <c r="P111" i="2" s="1"/>
  <c r="M128" i="2"/>
  <c r="M110" i="2"/>
  <c r="M95" i="2"/>
  <c r="M104" i="2"/>
  <c r="M109" i="2"/>
  <c r="M96" i="2"/>
  <c r="M181" i="2"/>
  <c r="M183" i="2" s="1"/>
  <c r="M157" i="2"/>
  <c r="M102" i="2"/>
  <c r="M108" i="2"/>
  <c r="M140" i="2"/>
  <c r="M92" i="2"/>
  <c r="M187" i="2"/>
  <c r="N88" i="2"/>
  <c r="O81" i="2"/>
  <c r="P64" i="2"/>
  <c r="I131" i="2"/>
  <c r="I172" i="2"/>
  <c r="I178" i="2" s="1"/>
  <c r="I190" i="2" s="1"/>
  <c r="I192" i="2" s="1"/>
  <c r="J191" i="2" s="1"/>
  <c r="O89" i="2" l="1"/>
  <c r="P82" i="2"/>
  <c r="P89" i="2" s="1"/>
  <c r="N90" i="2"/>
  <c r="L117" i="2"/>
  <c r="L133" i="2" s="1"/>
  <c r="L129" i="2"/>
  <c r="L119" i="2"/>
  <c r="L124" i="2"/>
  <c r="L126" i="2" s="1"/>
  <c r="L130" i="2" s="1"/>
  <c r="P48" i="2"/>
  <c r="P112" i="2" s="1"/>
  <c r="O112" i="2"/>
  <c r="M174" i="2"/>
  <c r="O106" i="2"/>
  <c r="P45" i="2"/>
  <c r="P106" i="2" s="1"/>
  <c r="L146" i="2"/>
  <c r="O103" i="2"/>
  <c r="P43" i="2"/>
  <c r="P103" i="2" s="1"/>
  <c r="L176" i="2"/>
  <c r="M97" i="2"/>
  <c r="M99" i="2" s="1"/>
  <c r="M115" i="2" s="1"/>
  <c r="N104" i="2"/>
  <c r="N110" i="2"/>
  <c r="N95" i="2"/>
  <c r="N102" i="2"/>
  <c r="N96" i="2"/>
  <c r="N181" i="2"/>
  <c r="N183" i="2" s="1"/>
  <c r="N157" i="2"/>
  <c r="N109" i="2"/>
  <c r="N92" i="2"/>
  <c r="N128" i="2"/>
  <c r="N108" i="2"/>
  <c r="N140" i="2"/>
  <c r="N174" i="2" s="1"/>
  <c r="N187" i="2"/>
  <c r="M125" i="2"/>
  <c r="M144" i="2"/>
  <c r="J192" i="2"/>
  <c r="K191" i="2" s="1"/>
  <c r="K192" i="2" s="1"/>
  <c r="L191" i="2" s="1"/>
  <c r="O88" i="2"/>
  <c r="P81" i="2"/>
  <c r="P88" i="2" s="1"/>
  <c r="O87" i="2"/>
  <c r="O90" i="2" s="1"/>
  <c r="P80" i="2"/>
  <c r="O84" i="2"/>
  <c r="O105" i="2"/>
  <c r="P44" i="2"/>
  <c r="P105" i="2" s="1"/>
  <c r="M113" i="2"/>
  <c r="M159" i="2"/>
  <c r="M177" i="2"/>
  <c r="M66" i="2"/>
  <c r="M188" i="2"/>
  <c r="L73" i="2"/>
  <c r="L74" i="2"/>
  <c r="L72" i="2"/>
  <c r="M124" i="2" l="1"/>
  <c r="M126" i="2" s="1"/>
  <c r="M130" i="2" s="1"/>
  <c r="M117" i="2"/>
  <c r="M133" i="2" s="1"/>
  <c r="M129" i="2"/>
  <c r="M119" i="2"/>
  <c r="M146" i="2"/>
  <c r="P87" i="2"/>
  <c r="P90" i="2" s="1"/>
  <c r="P84" i="2"/>
  <c r="N113" i="2"/>
  <c r="N97" i="2"/>
  <c r="N99" i="2" s="1"/>
  <c r="N115" i="2" s="1"/>
  <c r="N125" i="2"/>
  <c r="N144" i="2"/>
  <c r="M73" i="2"/>
  <c r="M72" i="2"/>
  <c r="M74" i="2"/>
  <c r="L131" i="2"/>
  <c r="L172" i="2"/>
  <c r="L163" i="2" s="1"/>
  <c r="L154" i="2"/>
  <c r="L161" i="2" s="1"/>
  <c r="O104" i="2"/>
  <c r="O110" i="2"/>
  <c r="O95" i="2"/>
  <c r="O128" i="2"/>
  <c r="O109" i="2"/>
  <c r="O140" i="2"/>
  <c r="O174" i="2" s="1"/>
  <c r="O92" i="2"/>
  <c r="O96" i="2"/>
  <c r="O181" i="2"/>
  <c r="O183" i="2" s="1"/>
  <c r="O157" i="2"/>
  <c r="O102" i="2"/>
  <c r="O108" i="2"/>
  <c r="O187" i="2"/>
  <c r="N177" i="2"/>
  <c r="N159" i="2"/>
  <c r="N66" i="2"/>
  <c r="N188" i="2"/>
  <c r="M176" i="2"/>
  <c r="O97" i="2" l="1"/>
  <c r="N124" i="2"/>
  <c r="N126" i="2" s="1"/>
  <c r="N130" i="2" s="1"/>
  <c r="N129" i="2"/>
  <c r="N117" i="2"/>
  <c r="N133" i="2" s="1"/>
  <c r="N146" i="2"/>
  <c r="M175" i="2"/>
  <c r="M154" i="2"/>
  <c r="M161" i="2" s="1"/>
  <c r="N176" i="2"/>
  <c r="N72" i="2"/>
  <c r="N74" i="2"/>
  <c r="N73" i="2"/>
  <c r="O144" i="2"/>
  <c r="O125" i="2"/>
  <c r="P109" i="2"/>
  <c r="P95" i="2"/>
  <c r="P128" i="2"/>
  <c r="P102" i="2"/>
  <c r="P181" i="2"/>
  <c r="P183" i="2" s="1"/>
  <c r="P157" i="2"/>
  <c r="P110" i="2"/>
  <c r="P92" i="2"/>
  <c r="P140" i="2"/>
  <c r="P108" i="2"/>
  <c r="P104" i="2"/>
  <c r="P96" i="2"/>
  <c r="P187" i="2"/>
  <c r="O66" i="2"/>
  <c r="O188" i="2"/>
  <c r="O113" i="2"/>
  <c r="O159" i="2"/>
  <c r="O177" i="2"/>
  <c r="M172" i="2"/>
  <c r="M178" i="2" s="1"/>
  <c r="M190" i="2" s="1"/>
  <c r="M131" i="2"/>
  <c r="P174" i="2"/>
  <c r="O99" i="2"/>
  <c r="O115" i="2" s="1"/>
  <c r="O146" i="2" l="1"/>
  <c r="O124" i="2"/>
  <c r="O126" i="2" s="1"/>
  <c r="O130" i="2" s="1"/>
  <c r="O129" i="2"/>
  <c r="O117" i="2"/>
  <c r="O133" i="2" s="1"/>
  <c r="N154" i="2"/>
  <c r="N161" i="2" s="1"/>
  <c r="N175" i="2"/>
  <c r="P144" i="2"/>
  <c r="P146" i="2" s="1"/>
  <c r="P125" i="2"/>
  <c r="M163" i="2"/>
  <c r="P159" i="2"/>
  <c r="P177" i="2"/>
  <c r="O176" i="2"/>
  <c r="P113" i="2"/>
  <c r="P97" i="2"/>
  <c r="N119" i="2"/>
  <c r="O72" i="2"/>
  <c r="O74" i="2"/>
  <c r="O73" i="2"/>
  <c r="P66" i="2"/>
  <c r="P188" i="2"/>
  <c r="P99" i="2"/>
  <c r="P115" i="2" s="1"/>
  <c r="L165" i="2"/>
  <c r="M165" i="2" l="1"/>
  <c r="P129" i="2"/>
  <c r="P117" i="2"/>
  <c r="P133" i="2" s="1"/>
  <c r="P124" i="2"/>
  <c r="P126" i="2" s="1"/>
  <c r="P130" i="2" s="1"/>
  <c r="P74" i="2"/>
  <c r="P72" i="2"/>
  <c r="P73" i="2"/>
  <c r="N172" i="2"/>
  <c r="N178" i="2" s="1"/>
  <c r="N190" i="2" s="1"/>
  <c r="N131" i="2"/>
  <c r="P176" i="2"/>
  <c r="O119" i="2"/>
  <c r="O154" i="2"/>
  <c r="O161" i="2" s="1"/>
  <c r="O175" i="2"/>
  <c r="N163" i="2" l="1"/>
  <c r="P119" i="2"/>
  <c r="P154" i="2"/>
  <c r="P161" i="2" s="1"/>
  <c r="P175" i="2"/>
  <c r="O172" i="2"/>
  <c r="O178" i="2" s="1"/>
  <c r="O190" i="2" s="1"/>
  <c r="O131" i="2"/>
  <c r="P131" i="2" l="1"/>
  <c r="P172" i="2"/>
  <c r="P178" i="2" s="1"/>
  <c r="P190" i="2" s="1"/>
  <c r="O163" i="2"/>
  <c r="N165" i="2"/>
  <c r="P163" i="2" l="1"/>
  <c r="O165" i="2"/>
  <c r="P165" i="2" l="1"/>
  <c r="B40" i="8" l="1"/>
  <c r="B37" i="8"/>
  <c r="B36" i="8"/>
  <c r="B34" i="8"/>
  <c r="B32" i="8"/>
  <c r="B30" i="8"/>
  <c r="B29" i="8"/>
  <c r="B27" i="8"/>
  <c r="B20" i="7"/>
  <c r="B19" i="7"/>
  <c r="B33" i="8" s="1"/>
  <c r="B17" i="7"/>
  <c r="B35" i="8" s="1"/>
  <c r="B16" i="7"/>
  <c r="B14" i="7"/>
  <c r="B38" i="8" s="1"/>
  <c r="B13" i="7"/>
  <c r="B39" i="8" s="1"/>
  <c r="J5" i="7"/>
  <c r="C5" i="7"/>
  <c r="B5" i="7"/>
  <c r="B3" i="7"/>
  <c r="B2" i="7"/>
  <c r="C29" i="6"/>
  <c r="B29" i="6"/>
  <c r="C28" i="6"/>
  <c r="B28" i="6"/>
  <c r="C27" i="6"/>
  <c r="B27" i="6"/>
  <c r="C26" i="6"/>
  <c r="B26" i="6"/>
  <c r="C25" i="6"/>
  <c r="B25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T7" i="6"/>
  <c r="S7" i="6"/>
  <c r="R7" i="6"/>
  <c r="Q7" i="6"/>
  <c r="P7" i="6"/>
  <c r="O7" i="6"/>
  <c r="N7" i="6"/>
  <c r="M7" i="6"/>
  <c r="L7" i="6"/>
  <c r="E9" i="4"/>
  <c r="B26" i="5"/>
  <c r="C21" i="5"/>
  <c r="B21" i="5"/>
  <c r="C20" i="5"/>
  <c r="B20" i="5"/>
  <c r="C19" i="5"/>
  <c r="B19" i="5"/>
  <c r="C18" i="5"/>
  <c r="B18" i="5"/>
  <c r="C17" i="5"/>
  <c r="B17" i="5"/>
  <c r="C16" i="5"/>
  <c r="B16" i="5"/>
  <c r="F8" i="5"/>
  <c r="B3" i="5"/>
  <c r="B2" i="5"/>
  <c r="C114" i="4"/>
  <c r="C113" i="4"/>
  <c r="E108" i="4"/>
  <c r="F108" i="4" s="1"/>
  <c r="G108" i="4" s="1"/>
  <c r="H108" i="4" s="1"/>
  <c r="I108" i="4" s="1"/>
  <c r="J108" i="4" s="1"/>
  <c r="K108" i="4" s="1"/>
  <c r="L108" i="4" s="1"/>
  <c r="C108" i="4"/>
  <c r="C100" i="4"/>
  <c r="C99" i="4"/>
  <c r="F94" i="4"/>
  <c r="G94" i="4" s="1"/>
  <c r="H94" i="4" s="1"/>
  <c r="I94" i="4" s="1"/>
  <c r="J94" i="4" s="1"/>
  <c r="K94" i="4" s="1"/>
  <c r="L94" i="4" s="1"/>
  <c r="E94" i="4"/>
  <c r="C94" i="4"/>
  <c r="C86" i="4"/>
  <c r="C85" i="4"/>
  <c r="C81" i="4"/>
  <c r="C95" i="4" s="1"/>
  <c r="C109" i="4" s="1"/>
  <c r="J80" i="4"/>
  <c r="K80" i="4" s="1"/>
  <c r="L80" i="4" s="1"/>
  <c r="E80" i="4"/>
  <c r="F80" i="4" s="1"/>
  <c r="G80" i="4" s="1"/>
  <c r="C80" i="4"/>
  <c r="C73" i="4"/>
  <c r="C87" i="4" s="1"/>
  <c r="C101" i="4" s="1"/>
  <c r="C115" i="4" s="1"/>
  <c r="C69" i="4"/>
  <c r="C83" i="4" s="1"/>
  <c r="C97" i="4" s="1"/>
  <c r="C111" i="4" s="1"/>
  <c r="C68" i="4"/>
  <c r="C82" i="4" s="1"/>
  <c r="C96" i="4" s="1"/>
  <c r="C110" i="4" s="1"/>
  <c r="F66" i="4"/>
  <c r="G66" i="4" s="1"/>
  <c r="H66" i="4" s="1"/>
  <c r="I66" i="4" s="1"/>
  <c r="J66" i="4" s="1"/>
  <c r="K66" i="4" s="1"/>
  <c r="L66" i="4" s="1"/>
  <c r="E66" i="4"/>
  <c r="C66" i="4"/>
  <c r="G40" i="4"/>
  <c r="F40" i="4"/>
  <c r="E40" i="4"/>
  <c r="D40" i="4"/>
  <c r="C40" i="4"/>
  <c r="Q37" i="4"/>
  <c r="L37" i="4"/>
  <c r="G37" i="4"/>
  <c r="Q36" i="4"/>
  <c r="L36" i="4"/>
  <c r="G36" i="4"/>
  <c r="Q35" i="4"/>
  <c r="L35" i="4"/>
  <c r="G35" i="4"/>
  <c r="Q34" i="4"/>
  <c r="L34" i="4"/>
  <c r="G34" i="4"/>
  <c r="Q33" i="4"/>
  <c r="L33" i="4"/>
  <c r="G33" i="4"/>
  <c r="Q32" i="4"/>
  <c r="L32" i="4"/>
  <c r="G32" i="4"/>
  <c r="Q30" i="4"/>
  <c r="L30" i="4"/>
  <c r="G30" i="4"/>
  <c r="Q28" i="4"/>
  <c r="L28" i="4"/>
  <c r="G28" i="4"/>
  <c r="E28" i="4"/>
  <c r="Q27" i="4"/>
  <c r="L27" i="4"/>
  <c r="G27" i="4"/>
  <c r="Q26" i="4"/>
  <c r="L26" i="4"/>
  <c r="G26" i="4"/>
  <c r="B5" i="4"/>
  <c r="B2" i="4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B2" i="3"/>
  <c r="C70" i="4" l="1"/>
  <c r="C84" i="4" s="1"/>
  <c r="C98" i="4" s="1"/>
  <c r="C112" i="4" s="1"/>
  <c r="C74" i="4"/>
  <c r="C88" i="4" l="1"/>
  <c r="C102" i="4" s="1"/>
  <c r="C116" i="4" s="1"/>
  <c r="C75" i="4"/>
  <c r="C89" i="4" s="1"/>
  <c r="C103" i="4" s="1"/>
  <c r="C117" i="4" s="1"/>
  <c r="K56" i="2" l="1"/>
  <c r="L175" i="2"/>
  <c r="L178" i="2"/>
  <c r="L190" i="2" s="1"/>
  <c r="L192" i="2" s="1"/>
  <c r="K154" i="2"/>
  <c r="K161" i="2" s="1"/>
  <c r="K165" i="2" s="1"/>
  <c r="K167" i="2" s="1"/>
  <c r="L139" i="2" l="1"/>
  <c r="L141" i="2" s="1"/>
  <c r="L148" i="2" s="1"/>
  <c r="L167" i="2" s="1"/>
  <c r="M191" i="2"/>
  <c r="M192" i="2" s="1"/>
  <c r="N191" i="2" l="1"/>
  <c r="N192" i="2" s="1"/>
  <c r="M139" i="2"/>
  <c r="M141" i="2" s="1"/>
  <c r="M148" i="2" s="1"/>
  <c r="M167" i="2" s="1"/>
  <c r="O191" i="2" l="1"/>
  <c r="O192" i="2" s="1"/>
  <c r="N139" i="2"/>
  <c r="N141" i="2" s="1"/>
  <c r="N148" i="2" s="1"/>
  <c r="N167" i="2" s="1"/>
  <c r="O139" i="2" l="1"/>
  <c r="O141" i="2" s="1"/>
  <c r="O148" i="2" s="1"/>
  <c r="O167" i="2" s="1"/>
  <c r="P191" i="2"/>
  <c r="P192" i="2" s="1"/>
  <c r="P139" i="2" s="1"/>
  <c r="P141" i="2" s="1"/>
  <c r="P148" i="2" s="1"/>
  <c r="P16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00000000-0006-0000-0200-000001000000}">
      <text>
        <r>
          <rPr>
            <sz val="9"/>
            <color rgb="FF000000"/>
            <rFont val="Arial"/>
            <family val="2"/>
          </rPr>
          <t>Author1: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00000000-0006-0000-0400-000001000000}">
      <text>
        <r>
          <rPr>
            <sz val="9"/>
            <color rgb="FF000000"/>
            <rFont val="Arial"/>
            <family val="2"/>
          </rPr>
          <t>Author1:
10-Year US government bond yield as of the valuation date in this analysis.</t>
        </r>
      </text>
    </comment>
    <comment ref="F7" authorId="0" shapeId="0" xr:uid="{00000000-0006-0000-0400-000002000000}">
      <text>
        <r>
          <rPr>
            <sz val="9"/>
            <color rgb="FF000000"/>
            <rFont val="Arial"/>
            <family val="2"/>
          </rPr>
          <t>Author1:
Roughly in the middle of the typical range of 3-11% given in textbooks and other sources; implies a long-term stock market return of 9-10%.</t>
        </r>
      </text>
    </comment>
    <comment ref="F8" authorId="0" shapeId="0" xr:uid="{00000000-0006-0000-0400-000003000000}">
      <text>
        <r>
          <rPr>
            <sz val="9"/>
            <color rgb="FF000000"/>
            <rFont val="Arial"/>
            <family val="2"/>
          </rPr>
          <t>Author1:
Based on US 10-year government bond yield + the default spread for a company with Company0463 AAA credit rating, estimated at 0.4%.</t>
        </r>
      </text>
    </comment>
    <comment ref="F9" authorId="0" shapeId="0" xr:uid="{00000000-0006-0000-0400-000004000000}">
      <text>
        <r>
          <rPr>
            <sz val="9"/>
            <color rgb="FF000000"/>
            <rFont val="Arial"/>
            <family val="2"/>
          </rPr>
          <t>Author1:
No outstanding Preferred Stock.</t>
        </r>
      </text>
    </comment>
    <comment ref="F11" authorId="0" shapeId="0" xr:uid="{00000000-0006-0000-0400-000005000000}">
      <text>
        <r>
          <rPr>
            <sz val="9"/>
            <color rgb="FF000000"/>
            <rFont val="Arial"/>
            <family val="2"/>
          </rPr>
          <t>Author1: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<sst xmlns="http://schemas.openxmlformats.org/spreadsheetml/2006/main" count="649" uniqueCount="324">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</sst>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1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b/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3"/>
      </patternFill>
    </fill>
    <fill>
      <patternFill patternType="solid">
        <fgColor rgb="FF0070C0"/>
      </patternFill>
    </fill>
    <fill>
      <patternFill patternType="solid">
        <fgColor theme="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35" fillId="2" borderId="2" applyNumberFormat="0" applyFont="0" applyAlignment="0" applyProtection="0"/>
    <xf numFmtId="0" fontId="5" fillId="0" borderId="1" applyAlignment="0"/>
    <xf numFmtId="0" fontId="35" fillId="0" borderId="1"/>
    <xf numFmtId="0" fontId="35" fillId="0" borderId="1"/>
    <xf numFmtId="0" fontId="35" fillId="0" borderId="1"/>
    <xf numFmtId="0" fontId="35" fillId="0" borderId="1"/>
    <xf numFmtId="0" fontId="35" fillId="0" borderId="1"/>
  </cellStyleXfs>
  <cellXfs count="328">
    <xf numFmtId="0" fontId="0" fillId="0" borderId="1" xfId="0"/>
    <xf numFmtId="0" fontId="9" fillId="0" borderId="1" xfId="6" applyFont="1"/>
    <xf numFmtId="0" fontId="7" fillId="0" borderId="1" xfId="6" applyFont="1"/>
    <xf numFmtId="0" fontId="8" fillId="0" borderId="1" xfId="6" applyFont="1" applyAlignment="1">
      <alignment horizontal="center"/>
    </xf>
    <xf numFmtId="0" fontId="8" fillId="0" borderId="1" xfId="6" applyFont="1"/>
    <xf numFmtId="0" fontId="10" fillId="6" borderId="1" xfId="6" applyFont="1" applyFill="1" applyAlignment="1">
      <alignment horizontal="centerContinuous"/>
    </xf>
    <xf numFmtId="0" fontId="10" fillId="6" borderId="11" xfId="6" applyFont="1" applyFill="1" applyBorder="1" applyAlignment="1">
      <alignment horizontal="centerContinuous"/>
    </xf>
    <xf numFmtId="0" fontId="11" fillId="6" borderId="11" xfId="6" applyFont="1" applyFill="1" applyBorder="1" applyAlignment="1">
      <alignment horizontal="centerContinuous"/>
    </xf>
    <xf numFmtId="0" fontId="10" fillId="6" borderId="12" xfId="6" applyFont="1" applyFill="1" applyBorder="1" applyAlignment="1">
      <alignment horizontal="centerContinuous"/>
    </xf>
    <xf numFmtId="164" fontId="10" fillId="6" borderId="3" xfId="6" applyNumberFormat="1" applyFont="1" applyFill="1" applyBorder="1" applyAlignment="1">
      <alignment horizontal="center"/>
    </xf>
    <xf numFmtId="164" fontId="12" fillId="6" borderId="3" xfId="6" applyNumberFormat="1" applyFont="1" applyFill="1" applyBorder="1" applyAlignment="1">
      <alignment horizontal="center"/>
    </xf>
    <xf numFmtId="0" fontId="10" fillId="6" borderId="3" xfId="6" applyFont="1" applyFill="1" applyBorder="1" applyAlignment="1">
      <alignment horizontal="center"/>
    </xf>
    <xf numFmtId="0" fontId="10" fillId="6" borderId="13" xfId="6" applyFont="1" applyFill="1" applyBorder="1" applyAlignment="1">
      <alignment horizontal="center"/>
    </xf>
    <xf numFmtId="0" fontId="9" fillId="0" borderId="1" xfId="6" applyFont="1" applyAlignment="1">
      <alignment horizontal="left" indent="1"/>
    </xf>
    <xf numFmtId="0" fontId="13" fillId="0" borderId="1" xfId="6" applyFont="1" applyAlignment="1">
      <alignment horizontal="center"/>
    </xf>
    <xf numFmtId="165" fontId="13" fillId="0" borderId="1" xfId="6" applyNumberFormat="1" applyFont="1"/>
    <xf numFmtId="165" fontId="16" fillId="7" borderId="2" xfId="4" applyNumberFormat="1" applyFont="1" applyFill="1"/>
    <xf numFmtId="0" fontId="8" fillId="0" borderId="5" xfId="6" applyFont="1" applyBorder="1"/>
    <xf numFmtId="0" fontId="9" fillId="0" borderId="5" xfId="6" applyFont="1" applyBorder="1"/>
    <xf numFmtId="42" fontId="9" fillId="0" borderId="1" xfId="6" applyNumberFormat="1" applyFont="1"/>
    <xf numFmtId="41" fontId="9" fillId="0" borderId="1" xfId="6" applyNumberFormat="1" applyFont="1"/>
    <xf numFmtId="0" fontId="9" fillId="0" borderId="1" xfId="6" applyFont="1" applyAlignment="1">
      <alignment horizontal="left"/>
    </xf>
    <xf numFmtId="41" fontId="17" fillId="0" borderId="1" xfId="6" applyNumberFormat="1" applyFont="1"/>
    <xf numFmtId="164" fontId="10" fillId="6" borderId="3" xfId="6" applyNumberFormat="1" applyFont="1" applyFill="1" applyBorder="1"/>
    <xf numFmtId="0" fontId="8" fillId="0" borderId="1" xfId="6" applyFont="1" applyAlignment="1">
      <alignment horizontal="left"/>
    </xf>
    <xf numFmtId="43" fontId="9" fillId="0" borderId="1" xfId="6" applyNumberFormat="1" applyFont="1"/>
    <xf numFmtId="41" fontId="14" fillId="0" borderId="1" xfId="6" applyNumberFormat="1" applyFont="1"/>
    <xf numFmtId="0" fontId="13" fillId="0" borderId="3" xfId="6" applyFont="1" applyBorder="1" applyAlignment="1">
      <alignment horizontal="center"/>
    </xf>
    <xf numFmtId="0" fontId="8" fillId="0" borderId="5" xfId="6" applyFont="1" applyBorder="1" applyAlignment="1">
      <alignment horizontal="left"/>
    </xf>
    <xf numFmtId="41" fontId="8" fillId="0" borderId="5" xfId="6" applyNumberFormat="1" applyFont="1" applyBorder="1"/>
    <xf numFmtId="41" fontId="8" fillId="0" borderId="1" xfId="6" applyNumberFormat="1" applyFont="1"/>
    <xf numFmtId="42" fontId="8" fillId="0" borderId="1" xfId="6" applyNumberFormat="1" applyFont="1"/>
    <xf numFmtId="0" fontId="12" fillId="8" borderId="1" xfId="6" applyFont="1" applyFill="1"/>
    <xf numFmtId="0" fontId="10" fillId="8" borderId="3" xfId="6" applyFont="1" applyFill="1" applyBorder="1"/>
    <xf numFmtId="0" fontId="12" fillId="8" borderId="3" xfId="6" applyFont="1" applyFill="1" applyBorder="1" applyAlignment="1">
      <alignment horizontal="center"/>
    </xf>
    <xf numFmtId="0" fontId="9" fillId="0" borderId="3" xfId="6" applyFont="1" applyBorder="1" applyAlignment="1">
      <alignment horizontal="left" indent="1"/>
    </xf>
    <xf numFmtId="0" fontId="9" fillId="0" borderId="3" xfId="6" applyFont="1" applyBorder="1"/>
    <xf numFmtId="41" fontId="9" fillId="0" borderId="3" xfId="6" applyNumberFormat="1" applyFont="1" applyBorder="1"/>
    <xf numFmtId="0" fontId="13" fillId="0" borderId="1" xfId="6" applyFont="1"/>
    <xf numFmtId="0" fontId="8" fillId="3" borderId="18" xfId="6" applyFont="1" applyFill="1" applyBorder="1"/>
    <xf numFmtId="0" fontId="8" fillId="3" borderId="18" xfId="6" applyFont="1" applyFill="1" applyBorder="1" applyAlignment="1">
      <alignment horizontal="centerContinuous"/>
    </xf>
    <xf numFmtId="0" fontId="9" fillId="3" borderId="18" xfId="6" applyFont="1" applyFill="1" applyBorder="1" applyAlignment="1">
      <alignment horizontal="centerContinuous"/>
    </xf>
    <xf numFmtId="0" fontId="9" fillId="3" borderId="18" xfId="6" applyFont="1" applyFill="1" applyBorder="1"/>
    <xf numFmtId="41" fontId="14" fillId="0" borderId="3" xfId="6" applyNumberFormat="1" applyFont="1" applyBorder="1"/>
    <xf numFmtId="166" fontId="17" fillId="0" borderId="3" xfId="6" applyNumberFormat="1" applyFont="1" applyBorder="1" applyAlignment="1">
      <alignment horizontal="left" indent="1"/>
    </xf>
    <xf numFmtId="166" fontId="18" fillId="0" borderId="1" xfId="6" applyNumberFormat="1" applyFont="1"/>
    <xf numFmtId="166" fontId="19" fillId="0" borderId="1" xfId="6" applyNumberFormat="1" applyFont="1"/>
    <xf numFmtId="167" fontId="13" fillId="0" borderId="1" xfId="6" applyNumberFormat="1" applyFont="1"/>
    <xf numFmtId="165" fontId="15" fillId="7" borderId="2" xfId="4" applyNumberFormat="1" applyFont="1" applyFill="1" applyAlignment="1">
      <alignment horizontal="center"/>
    </xf>
    <xf numFmtId="39" fontId="14" fillId="7" borderId="16" xfId="4" applyNumberFormat="1" applyFont="1" applyFill="1" applyBorder="1" applyAlignment="1">
      <alignment horizontal="right"/>
    </xf>
    <xf numFmtId="39" fontId="14" fillId="7" borderId="21" xfId="4" applyNumberFormat="1" applyFont="1" applyFill="1" applyBorder="1" applyAlignment="1">
      <alignment horizontal="right"/>
    </xf>
    <xf numFmtId="42" fontId="31" fillId="0" borderId="1" xfId="6" applyNumberFormat="1" applyFont="1"/>
    <xf numFmtId="41" fontId="24" fillId="0" borderId="3" xfId="6" applyNumberFormat="1" applyFont="1" applyBorder="1"/>
    <xf numFmtId="41" fontId="18" fillId="0" borderId="1" xfId="6" applyNumberFormat="1" applyFont="1"/>
    <xf numFmtId="42" fontId="17" fillId="0" borderId="1" xfId="6" applyNumberFormat="1" applyFont="1"/>
    <xf numFmtId="41" fontId="24" fillId="0" borderId="1" xfId="6" applyNumberFormat="1" applyFont="1"/>
    <xf numFmtId="42" fontId="18" fillId="0" borderId="1" xfId="6" applyNumberFormat="1" applyFont="1"/>
    <xf numFmtId="41" fontId="31" fillId="0" borderId="1" xfId="6" applyNumberFormat="1" applyFont="1"/>
    <xf numFmtId="183" fontId="10" fillId="8" borderId="3" xfId="6" applyNumberFormat="1" applyFont="1" applyFill="1" applyBorder="1"/>
    <xf numFmtId="183" fontId="10" fillId="8" borderId="3" xfId="6" applyNumberFormat="1" applyFont="1" applyFill="1" applyBorder="1" applyAlignment="1">
      <alignment horizontal="center"/>
    </xf>
    <xf numFmtId="0" fontId="27" fillId="0" borderId="1" xfId="3" applyFont="1"/>
    <xf numFmtId="0" fontId="8" fillId="3" borderId="3" xfId="6" applyFont="1" applyFill="1" applyBorder="1" applyAlignment="1">
      <alignment horizontal="centerContinuous"/>
    </xf>
    <xf numFmtId="0" fontId="9" fillId="3" borderId="3" xfId="6" applyFont="1" applyFill="1" applyBorder="1" applyAlignment="1">
      <alignment horizontal="centerContinuous"/>
    </xf>
    <xf numFmtId="0" fontId="17" fillId="0" borderId="1" xfId="2" applyFont="1"/>
    <xf numFmtId="177" fontId="24" fillId="7" borderId="22" xfId="6" applyNumberFormat="1" applyFont="1" applyFill="1" applyBorder="1" applyAlignment="1">
      <alignment horizontal="center"/>
    </xf>
    <xf numFmtId="184" fontId="14" fillId="7" borderId="22" xfId="6" applyNumberFormat="1" applyFont="1" applyFill="1" applyBorder="1" applyAlignment="1">
      <alignment horizontal="center"/>
    </xf>
    <xf numFmtId="185" fontId="14" fillId="7" borderId="22" xfId="6" applyNumberFormat="1" applyFont="1" applyFill="1" applyBorder="1" applyAlignment="1">
      <alignment horizontal="center"/>
    </xf>
    <xf numFmtId="0" fontId="17" fillId="0" borderId="1" xfId="2" applyFont="1" applyAlignment="1">
      <alignment horizontal="left"/>
    </xf>
    <xf numFmtId="42" fontId="17" fillId="7" borderId="22" xfId="6" applyNumberFormat="1" applyFont="1" applyFill="1" applyBorder="1" applyAlignment="1">
      <alignment horizontal="center"/>
    </xf>
    <xf numFmtId="165" fontId="17" fillId="0" borderId="1" xfId="2" applyNumberFormat="1" applyFont="1"/>
    <xf numFmtId="186" fontId="9" fillId="0" borderId="1" xfId="6" applyNumberFormat="1" applyFont="1"/>
    <xf numFmtId="0" fontId="17" fillId="0" borderId="1" xfId="2" applyFont="1" applyAlignment="1">
      <alignment horizontal="left" indent="1"/>
    </xf>
    <xf numFmtId="0" fontId="17" fillId="0" borderId="3" xfId="2" applyFont="1" applyBorder="1" applyAlignment="1">
      <alignment horizontal="left" indent="1"/>
    </xf>
    <xf numFmtId="0" fontId="17" fillId="0" borderId="3" xfId="2" applyFont="1" applyBorder="1"/>
    <xf numFmtId="0" fontId="18" fillId="0" borderId="1" xfId="2" applyFont="1"/>
    <xf numFmtId="0" fontId="19" fillId="0" borderId="1" xfId="2" applyFont="1"/>
    <xf numFmtId="165" fontId="19" fillId="0" borderId="1" xfId="2" applyNumberFormat="1" applyFont="1"/>
    <xf numFmtId="41" fontId="17" fillId="0" borderId="3" xfId="6" applyNumberFormat="1" applyFont="1" applyBorder="1"/>
    <xf numFmtId="0" fontId="18" fillId="0" borderId="5" xfId="2" applyFont="1" applyBorder="1" applyAlignment="1">
      <alignment horizontal="left"/>
    </xf>
    <xf numFmtId="0" fontId="17" fillId="0" borderId="5" xfId="2" applyFont="1" applyBorder="1"/>
    <xf numFmtId="0" fontId="18" fillId="0" borderId="1" xfId="2" applyFont="1" applyAlignment="1">
      <alignment horizontal="left" indent="1"/>
    </xf>
    <xf numFmtId="171" fontId="18" fillId="0" borderId="1" xfId="2" applyNumberFormat="1" applyFont="1"/>
    <xf numFmtId="0" fontId="10" fillId="8" borderId="1" xfId="6" applyFont="1" applyFill="1"/>
    <xf numFmtId="0" fontId="10" fillId="8" borderId="11" xfId="6" applyFont="1" applyFill="1" applyBorder="1" applyAlignment="1">
      <alignment horizontal="centerContinuous"/>
    </xf>
    <xf numFmtId="187" fontId="9" fillId="0" borderId="1" xfId="6" applyNumberFormat="1" applyFont="1"/>
    <xf numFmtId="42" fontId="24" fillId="0" borderId="1" xfId="6" applyNumberFormat="1" applyFont="1"/>
    <xf numFmtId="42" fontId="32" fillId="0" borderId="1" xfId="6" applyNumberFormat="1" applyFont="1"/>
    <xf numFmtId="0" fontId="13" fillId="0" borderId="1" xfId="6" applyFont="1" applyAlignment="1">
      <alignment horizontal="left" indent="1"/>
    </xf>
    <xf numFmtId="165" fontId="19" fillId="0" borderId="1" xfId="6" applyNumberFormat="1" applyFont="1" applyAlignment="1">
      <alignment horizontal="right"/>
    </xf>
    <xf numFmtId="188" fontId="24" fillId="0" borderId="1" xfId="6" applyNumberFormat="1" applyFont="1"/>
    <xf numFmtId="188" fontId="9" fillId="0" borderId="1" xfId="6" applyNumberFormat="1" applyFont="1"/>
    <xf numFmtId="188" fontId="8" fillId="0" borderId="1" xfId="6" applyNumberFormat="1" applyFont="1"/>
    <xf numFmtId="0" fontId="8" fillId="5" borderId="1" xfId="6" applyFont="1" applyFill="1"/>
    <xf numFmtId="188" fontId="8" fillId="5" borderId="1" xfId="6" applyNumberFormat="1" applyFont="1" applyFill="1"/>
    <xf numFmtId="189" fontId="14" fillId="0" borderId="1" xfId="6" applyNumberFormat="1" applyFont="1"/>
    <xf numFmtId="189" fontId="9" fillId="0" borderId="1" xfId="6" applyNumberFormat="1" applyFont="1"/>
    <xf numFmtId="0" fontId="11" fillId="8" borderId="4" xfId="6" applyFont="1" applyFill="1" applyBorder="1"/>
    <xf numFmtId="0" fontId="11" fillId="8" borderId="18" xfId="6" applyFont="1" applyFill="1" applyBorder="1"/>
    <xf numFmtId="0" fontId="10" fillId="8" borderId="18" xfId="6" applyFont="1" applyFill="1" applyBorder="1" applyAlignment="1">
      <alignment horizontal="centerContinuous"/>
    </xf>
    <xf numFmtId="0" fontId="10" fillId="8" borderId="19" xfId="6" applyFont="1" applyFill="1" applyBorder="1" applyAlignment="1">
      <alignment horizontal="centerContinuous"/>
    </xf>
    <xf numFmtId="0" fontId="11" fillId="8" borderId="7" xfId="6" applyFont="1" applyFill="1" applyBorder="1"/>
    <xf numFmtId="165" fontId="33" fillId="10" borderId="7" xfId="6" applyNumberFormat="1" applyFont="1" applyFill="1" applyBorder="1"/>
    <xf numFmtId="190" fontId="10" fillId="10" borderId="1" xfId="6" applyNumberFormat="1" applyFont="1" applyFill="1" applyAlignment="1">
      <alignment horizontal="center"/>
    </xf>
    <xf numFmtId="190" fontId="10" fillId="10" borderId="10" xfId="6" applyNumberFormat="1" applyFont="1" applyFill="1" applyBorder="1" applyAlignment="1">
      <alignment horizontal="center"/>
    </xf>
    <xf numFmtId="42" fontId="9" fillId="0" borderId="4" xfId="6" applyNumberFormat="1" applyFont="1" applyBorder="1"/>
    <xf numFmtId="42" fontId="9" fillId="0" borderId="5" xfId="6" applyNumberFormat="1" applyFont="1" applyBorder="1"/>
    <xf numFmtId="42" fontId="9" fillId="4" borderId="5" xfId="6" applyNumberFormat="1" applyFont="1" applyFill="1" applyBorder="1"/>
    <xf numFmtId="41" fontId="9" fillId="0" borderId="7" xfId="6" applyNumberFormat="1" applyFont="1" applyBorder="1"/>
    <xf numFmtId="41" fontId="9" fillId="4" borderId="1" xfId="6" applyNumberFormat="1" applyFont="1" applyFill="1"/>
    <xf numFmtId="41" fontId="9" fillId="4" borderId="7" xfId="6" applyNumberFormat="1" applyFont="1" applyFill="1" applyBorder="1"/>
    <xf numFmtId="190" fontId="10" fillId="10" borderId="23" xfId="6" applyNumberFormat="1" applyFont="1" applyFill="1" applyBorder="1" applyAlignment="1">
      <alignment horizontal="center"/>
    </xf>
    <xf numFmtId="186" fontId="10" fillId="10" borderId="18" xfId="6" applyNumberFormat="1" applyFont="1" applyFill="1" applyBorder="1" applyAlignment="1">
      <alignment horizontal="center"/>
    </xf>
    <xf numFmtId="186" fontId="10" fillId="10" borderId="19" xfId="6" applyNumberFormat="1" applyFont="1" applyFill="1" applyBorder="1" applyAlignment="1">
      <alignment horizontal="center"/>
    </xf>
    <xf numFmtId="42" fontId="9" fillId="0" borderId="7" xfId="6" applyNumberFormat="1" applyFont="1" applyBorder="1"/>
    <xf numFmtId="42" fontId="9" fillId="4" borderId="1" xfId="6" applyNumberFormat="1" applyFont="1" applyFill="1"/>
    <xf numFmtId="184" fontId="10" fillId="10" borderId="18" xfId="6" applyNumberFormat="1" applyFont="1" applyFill="1" applyBorder="1" applyAlignment="1">
      <alignment horizontal="center"/>
    </xf>
    <xf numFmtId="184" fontId="10" fillId="10" borderId="19" xfId="6" applyNumberFormat="1" applyFont="1" applyFill="1" applyBorder="1" applyAlignment="1">
      <alignment horizontal="center"/>
    </xf>
    <xf numFmtId="0" fontId="6" fillId="0" borderId="1" xfId="3" applyFont="1"/>
    <xf numFmtId="0" fontId="26" fillId="0" borderId="1" xfId="3" applyFont="1"/>
    <xf numFmtId="0" fontId="34" fillId="8" borderId="3" xfId="3" applyFont="1" applyFill="1" applyBorder="1"/>
    <xf numFmtId="0" fontId="28" fillId="8" borderId="3" xfId="3" applyFont="1" applyFill="1" applyBorder="1"/>
    <xf numFmtId="0" fontId="28" fillId="0" borderId="1" xfId="3" applyFont="1"/>
    <xf numFmtId="177" fontId="15" fillId="7" borderId="20" xfId="3" applyNumberFormat="1" applyFont="1" applyFill="1" applyBorder="1"/>
    <xf numFmtId="177" fontId="15" fillId="0" borderId="1" xfId="3" applyNumberFormat="1" applyFont="1"/>
    <xf numFmtId="177" fontId="15" fillId="7" borderId="2" xfId="3" applyNumberFormat="1" applyFont="1" applyFill="1" applyBorder="1"/>
    <xf numFmtId="177" fontId="16" fillId="7" borderId="2" xfId="3" applyNumberFormat="1" applyFont="1" applyFill="1" applyBorder="1"/>
    <xf numFmtId="0" fontId="29" fillId="0" borderId="1" xfId="3" applyFont="1"/>
    <xf numFmtId="0" fontId="20" fillId="8" borderId="1" xfId="2" applyFont="1" applyFill="1"/>
    <xf numFmtId="0" fontId="20" fillId="8" borderId="1" xfId="2" applyFont="1" applyFill="1" applyAlignment="1">
      <alignment horizontal="center"/>
    </xf>
    <xf numFmtId="0" fontId="20" fillId="8" borderId="3" xfId="2" applyFont="1" applyFill="1" applyBorder="1"/>
    <xf numFmtId="0" fontId="20" fillId="8" borderId="3" xfId="2" applyFont="1" applyFill="1" applyBorder="1" applyAlignment="1">
      <alignment horizontal="center"/>
    </xf>
    <xf numFmtId="178" fontId="30" fillId="0" borderId="1" xfId="3" applyNumberFormat="1" applyFont="1" applyAlignment="1">
      <alignment horizontal="center"/>
    </xf>
    <xf numFmtId="169" fontId="24" fillId="0" borderId="1" xfId="2" applyNumberFormat="1" applyFont="1"/>
    <xf numFmtId="179" fontId="16" fillId="0" borderId="1" xfId="6" applyNumberFormat="1" applyFont="1"/>
    <xf numFmtId="179" fontId="15" fillId="0" borderId="1" xfId="3" applyNumberFormat="1" applyFont="1"/>
    <xf numFmtId="180" fontId="9" fillId="0" borderId="1" xfId="6" applyNumberFormat="1" applyFont="1"/>
    <xf numFmtId="171" fontId="24" fillId="0" borderId="1" xfId="2" applyNumberFormat="1" applyFont="1"/>
    <xf numFmtId="179" fontId="16" fillId="0" borderId="1" xfId="3" applyNumberFormat="1" applyFont="1" applyAlignment="1">
      <alignment horizontal="center"/>
    </xf>
    <xf numFmtId="0" fontId="18" fillId="5" borderId="4" xfId="2" applyFont="1" applyFill="1" applyBorder="1" applyAlignment="1">
      <alignment horizontal="left"/>
    </xf>
    <xf numFmtId="0" fontId="18" fillId="5" borderId="5" xfId="2" applyFont="1" applyFill="1" applyBorder="1"/>
    <xf numFmtId="178" fontId="18" fillId="5" borderId="5" xfId="2" applyNumberFormat="1" applyFont="1" applyFill="1" applyBorder="1"/>
    <xf numFmtId="169" fontId="18" fillId="5" borderId="5" xfId="2" applyNumberFormat="1" applyFont="1" applyFill="1" applyBorder="1"/>
    <xf numFmtId="179" fontId="18" fillId="5" borderId="5" xfId="2" applyNumberFormat="1" applyFont="1" applyFill="1" applyBorder="1"/>
    <xf numFmtId="43" fontId="18" fillId="5" borderId="6" xfId="2" applyNumberFormat="1" applyFont="1" applyFill="1" applyBorder="1"/>
    <xf numFmtId="0" fontId="26" fillId="5" borderId="9" xfId="3" applyFont="1" applyFill="1" applyBorder="1"/>
    <xf numFmtId="0" fontId="27" fillId="5" borderId="3" xfId="3" applyFont="1" applyFill="1" applyBorder="1"/>
    <xf numFmtId="43" fontId="18" fillId="5" borderId="10" xfId="2" applyNumberFormat="1" applyFont="1" applyFill="1" applyBorder="1"/>
    <xf numFmtId="178" fontId="17" fillId="0" borderId="1" xfId="2" applyNumberFormat="1" applyFont="1"/>
    <xf numFmtId="169" fontId="17" fillId="0" borderId="1" xfId="2" applyNumberFormat="1" applyFont="1"/>
    <xf numFmtId="179" fontId="17" fillId="0" borderId="1" xfId="2" applyNumberFormat="1" applyFont="1"/>
    <xf numFmtId="176" fontId="24" fillId="0" borderId="1" xfId="2" applyNumberFormat="1" applyFont="1"/>
    <xf numFmtId="43" fontId="17" fillId="0" borderId="1" xfId="2" applyNumberFormat="1" applyFont="1"/>
    <xf numFmtId="0" fontId="10" fillId="9" borderId="17" xfId="2" applyFont="1" applyFill="1" applyBorder="1"/>
    <xf numFmtId="0" fontId="10" fillId="9" borderId="18" xfId="2" applyFont="1" applyFill="1" applyBorder="1"/>
    <xf numFmtId="177" fontId="10" fillId="9" borderId="19" xfId="2" applyNumberFormat="1" applyFont="1" applyFill="1" applyBorder="1"/>
    <xf numFmtId="0" fontId="10" fillId="9" borderId="9" xfId="2" applyFont="1" applyFill="1" applyBorder="1"/>
    <xf numFmtId="0" fontId="10" fillId="9" borderId="3" xfId="2" applyFont="1" applyFill="1" applyBorder="1"/>
    <xf numFmtId="177" fontId="10" fillId="9" borderId="10" xfId="2" applyNumberFormat="1" applyFont="1" applyFill="1" applyBorder="1"/>
    <xf numFmtId="181" fontId="27" fillId="0" borderId="1" xfId="3" applyNumberFormat="1" applyFont="1"/>
    <xf numFmtId="182" fontId="27" fillId="0" borderId="1" xfId="3" applyNumberFormat="1" applyFont="1"/>
    <xf numFmtId="0" fontId="6" fillId="0" borderId="1" xfId="2" applyFont="1"/>
    <xf numFmtId="0" fontId="20" fillId="8" borderId="4" xfId="6" applyFont="1" applyFill="1" applyBorder="1" applyAlignment="1">
      <alignment horizontal="left"/>
    </xf>
    <xf numFmtId="0" fontId="20" fillId="8" borderId="5" xfId="2" applyFont="1" applyFill="1" applyBorder="1"/>
    <xf numFmtId="0" fontId="21" fillId="8" borderId="5" xfId="2" applyFont="1" applyFill="1" applyBorder="1" applyAlignment="1">
      <alignment horizontal="centerContinuous"/>
    </xf>
    <xf numFmtId="0" fontId="22" fillId="8" borderId="5" xfId="2" applyFont="1" applyFill="1" applyBorder="1" applyAlignment="1">
      <alignment horizontal="centerContinuous"/>
    </xf>
    <xf numFmtId="0" fontId="21" fillId="8" borderId="5" xfId="2" applyFont="1" applyFill="1" applyBorder="1"/>
    <xf numFmtId="0" fontId="23" fillId="8" borderId="5" xfId="2" applyFont="1" applyFill="1" applyBorder="1" applyAlignment="1">
      <alignment horizontal="centerContinuous"/>
    </xf>
    <xf numFmtId="0" fontId="23" fillId="8" borderId="5" xfId="2" applyFont="1" applyFill="1" applyBorder="1"/>
    <xf numFmtId="0" fontId="23" fillId="8" borderId="6" xfId="2" applyFont="1" applyFill="1" applyBorder="1"/>
    <xf numFmtId="0" fontId="23" fillId="8" borderId="7" xfId="2" applyFont="1" applyFill="1" applyBorder="1"/>
    <xf numFmtId="0" fontId="23" fillId="8" borderId="1" xfId="2" applyFont="1" applyFill="1"/>
    <xf numFmtId="0" fontId="21" fillId="8" borderId="1" xfId="2" applyFont="1" applyFill="1" applyAlignment="1">
      <alignment horizontal="centerContinuous"/>
    </xf>
    <xf numFmtId="0" fontId="20" fillId="8" borderId="1" xfId="2" applyFont="1" applyFill="1" applyAlignment="1">
      <alignment horizontal="centerContinuous"/>
    </xf>
    <xf numFmtId="0" fontId="21" fillId="8" borderId="8" xfId="2" applyFont="1" applyFill="1" applyBorder="1"/>
    <xf numFmtId="0" fontId="20" fillId="8" borderId="9" xfId="2" applyFont="1" applyFill="1" applyBorder="1"/>
    <xf numFmtId="14" fontId="20" fillId="8" borderId="3" xfId="2" applyNumberFormat="1" applyFont="1" applyFill="1" applyBorder="1" applyAlignment="1">
      <alignment horizontal="center"/>
    </xf>
    <xf numFmtId="168" fontId="20" fillId="8" borderId="3" xfId="2" applyNumberFormat="1" applyFont="1" applyFill="1" applyBorder="1" applyAlignment="1">
      <alignment horizontal="center"/>
    </xf>
    <xf numFmtId="0" fontId="21" fillId="8" borderId="10" xfId="2" applyFont="1" applyFill="1" applyBorder="1" applyAlignment="1">
      <alignment horizontal="centerContinuous"/>
    </xf>
    <xf numFmtId="44" fontId="17" fillId="0" borderId="1" xfId="2" applyNumberFormat="1" applyFont="1"/>
    <xf numFmtId="165" fontId="17" fillId="0" borderId="1" xfId="2" applyNumberFormat="1" applyFont="1" applyAlignment="1">
      <alignment horizontal="right"/>
    </xf>
    <xf numFmtId="170" fontId="17" fillId="0" borderId="1" xfId="2" applyNumberFormat="1" applyFont="1" applyAlignment="1">
      <alignment horizontal="right"/>
    </xf>
    <xf numFmtId="171" fontId="17" fillId="0" borderId="1" xfId="2" applyNumberFormat="1" applyFont="1"/>
    <xf numFmtId="172" fontId="17" fillId="0" borderId="1" xfId="2" applyNumberFormat="1" applyFont="1" applyAlignment="1">
      <alignment horizontal="right"/>
    </xf>
    <xf numFmtId="173" fontId="17" fillId="0" borderId="1" xfId="2" applyNumberFormat="1" applyFont="1" applyAlignment="1">
      <alignment horizontal="right"/>
    </xf>
    <xf numFmtId="0" fontId="17" fillId="0" borderId="1" xfId="2" applyFont="1" applyAlignment="1">
      <alignment horizontal="right"/>
    </xf>
    <xf numFmtId="0" fontId="17" fillId="0" borderId="4" xfId="2" applyFont="1" applyBorder="1"/>
    <xf numFmtId="44" fontId="17" fillId="0" borderId="5" xfId="2" applyNumberFormat="1" applyFont="1" applyBorder="1" applyAlignment="1">
      <alignment horizontal="right"/>
    </xf>
    <xf numFmtId="169" fontId="17" fillId="0" borderId="5" xfId="2" applyNumberFormat="1" applyFont="1" applyBorder="1" applyAlignment="1">
      <alignment horizontal="right"/>
    </xf>
    <xf numFmtId="165" fontId="17" fillId="0" borderId="5" xfId="2" applyNumberFormat="1" applyFont="1" applyBorder="1" applyAlignment="1">
      <alignment horizontal="right"/>
    </xf>
    <xf numFmtId="170" fontId="17" fillId="0" borderId="6" xfId="2" applyNumberFormat="1" applyFont="1" applyBorder="1" applyAlignment="1">
      <alignment horizontal="right"/>
    </xf>
    <xf numFmtId="0" fontId="17" fillId="0" borderId="7" xfId="2" applyFont="1" applyBorder="1"/>
    <xf numFmtId="43" fontId="17" fillId="0" borderId="1" xfId="2" applyNumberFormat="1" applyFont="1" applyAlignment="1">
      <alignment horizontal="right"/>
    </xf>
    <xf numFmtId="171" fontId="17" fillId="0" borderId="1" xfId="2" applyNumberFormat="1" applyFont="1" applyAlignment="1">
      <alignment horizontal="right"/>
    </xf>
    <xf numFmtId="170" fontId="17" fillId="0" borderId="8" xfId="2" applyNumberFormat="1" applyFont="1" applyBorder="1" applyAlignment="1">
      <alignment horizontal="right"/>
    </xf>
    <xf numFmtId="0" fontId="18" fillId="5" borderId="17" xfId="2" applyFont="1" applyFill="1" applyBorder="1"/>
    <xf numFmtId="0" fontId="18" fillId="5" borderId="18" xfId="2" applyFont="1" applyFill="1" applyBorder="1"/>
    <xf numFmtId="43" fontId="18" fillId="5" borderId="18" xfId="2" applyNumberFormat="1" applyFont="1" applyFill="1" applyBorder="1" applyAlignment="1">
      <alignment horizontal="right"/>
    </xf>
    <xf numFmtId="171" fontId="18" fillId="5" borderId="18" xfId="2" applyNumberFormat="1" applyFont="1" applyFill="1" applyBorder="1" applyAlignment="1">
      <alignment horizontal="right"/>
    </xf>
    <xf numFmtId="165" fontId="18" fillId="5" borderId="18" xfId="2" applyNumberFormat="1" applyFont="1" applyFill="1" applyBorder="1" applyAlignment="1">
      <alignment horizontal="right"/>
    </xf>
    <xf numFmtId="170" fontId="18" fillId="5" borderId="19" xfId="2" applyNumberFormat="1" applyFont="1" applyFill="1" applyBorder="1" applyAlignment="1">
      <alignment horizontal="right"/>
    </xf>
    <xf numFmtId="0" fontId="17" fillId="0" borderId="9" xfId="2" applyFont="1" applyBorder="1"/>
    <xf numFmtId="0" fontId="18" fillId="0" borderId="3" xfId="2" applyFont="1" applyBorder="1"/>
    <xf numFmtId="43" fontId="17" fillId="0" borderId="3" xfId="2" applyNumberFormat="1" applyFont="1" applyBorder="1" applyAlignment="1">
      <alignment horizontal="right"/>
    </xf>
    <xf numFmtId="171" fontId="17" fillId="0" borderId="3" xfId="2" applyNumberFormat="1" applyFont="1" applyBorder="1" applyAlignment="1">
      <alignment horizontal="right"/>
    </xf>
    <xf numFmtId="165" fontId="17" fillId="0" borderId="3" xfId="2" applyNumberFormat="1" applyFont="1" applyBorder="1" applyAlignment="1">
      <alignment horizontal="right"/>
    </xf>
    <xf numFmtId="170" fontId="17" fillId="0" borderId="10" xfId="2" applyNumberFormat="1" applyFont="1" applyBorder="1" applyAlignment="1">
      <alignment horizontal="right"/>
    </xf>
    <xf numFmtId="0" fontId="20" fillId="8" borderId="4" xfId="2" applyFont="1" applyFill="1" applyBorder="1"/>
    <xf numFmtId="0" fontId="22" fillId="8" borderId="5" xfId="2" applyFont="1" applyFill="1" applyBorder="1"/>
    <xf numFmtId="0" fontId="22" fillId="8" borderId="6" xfId="2" applyFont="1" applyFill="1" applyBorder="1"/>
    <xf numFmtId="0" fontId="22" fillId="8" borderId="1" xfId="2" applyFont="1" applyFill="1" applyAlignment="1">
      <alignment horizontal="centerContinuous"/>
    </xf>
    <xf numFmtId="0" fontId="23" fillId="8" borderId="1" xfId="2" applyFont="1" applyFill="1" applyAlignment="1">
      <alignment horizontal="centerContinuous"/>
    </xf>
    <xf numFmtId="0" fontId="23" fillId="8" borderId="8" xfId="2" applyFont="1" applyFill="1" applyBorder="1" applyAlignment="1">
      <alignment horizontal="centerContinuous"/>
    </xf>
    <xf numFmtId="168" fontId="20" fillId="8" borderId="10" xfId="2" applyNumberFormat="1" applyFont="1" applyFill="1" applyBorder="1" applyAlignment="1">
      <alignment horizontal="center"/>
    </xf>
    <xf numFmtId="174" fontId="17" fillId="0" borderId="1" xfId="2" applyNumberFormat="1" applyFont="1" applyAlignment="1">
      <alignment horizontal="right"/>
    </xf>
    <xf numFmtId="174" fontId="17" fillId="0" borderId="5" xfId="2" applyNumberFormat="1" applyFont="1" applyBorder="1" applyAlignment="1">
      <alignment horizontal="right"/>
    </xf>
    <xf numFmtId="174" fontId="17" fillId="0" borderId="6" xfId="2" applyNumberFormat="1" applyFont="1" applyBorder="1" applyAlignment="1">
      <alignment horizontal="right"/>
    </xf>
    <xf numFmtId="174" fontId="17" fillId="0" borderId="8" xfId="2" applyNumberFormat="1" applyFont="1" applyBorder="1" applyAlignment="1">
      <alignment horizontal="right"/>
    </xf>
    <xf numFmtId="174" fontId="18" fillId="5" borderId="18" xfId="2" applyNumberFormat="1" applyFont="1" applyFill="1" applyBorder="1" applyAlignment="1">
      <alignment horizontal="right"/>
    </xf>
    <xf numFmtId="174" fontId="18" fillId="5" borderId="19" xfId="2" applyNumberFormat="1" applyFont="1" applyFill="1" applyBorder="1" applyAlignment="1">
      <alignment horizontal="right"/>
    </xf>
    <xf numFmtId="174" fontId="17" fillId="0" borderId="3" xfId="2" applyNumberFormat="1" applyFont="1" applyBorder="1" applyAlignment="1">
      <alignment horizontal="right"/>
    </xf>
    <xf numFmtId="174" fontId="17" fillId="0" borderId="10" xfId="2" applyNumberFormat="1" applyFont="1" applyBorder="1" applyAlignment="1">
      <alignment horizontal="right"/>
    </xf>
    <xf numFmtId="0" fontId="6" fillId="0" borderId="1" xfId="6" applyFont="1"/>
    <xf numFmtId="0" fontId="22" fillId="8" borderId="6" xfId="2" applyFont="1" applyFill="1" applyBorder="1" applyAlignment="1">
      <alignment horizontal="centerContinuous"/>
    </xf>
    <xf numFmtId="0" fontId="21" fillId="8" borderId="8" xfId="2" applyFont="1" applyFill="1" applyBorder="1" applyAlignment="1">
      <alignment horizontal="centerContinuous"/>
    </xf>
    <xf numFmtId="0" fontId="20" fillId="8" borderId="8" xfId="2" applyFont="1" applyFill="1" applyBorder="1" applyAlignment="1">
      <alignment horizontal="center"/>
    </xf>
    <xf numFmtId="0" fontId="20" fillId="8" borderId="10" xfId="2" applyFont="1" applyFill="1" applyBorder="1" applyAlignment="1">
      <alignment horizontal="center"/>
    </xf>
    <xf numFmtId="175" fontId="24" fillId="0" borderId="1" xfId="2" applyNumberFormat="1" applyFont="1"/>
    <xf numFmtId="42" fontId="24" fillId="0" borderId="1" xfId="2" applyNumberFormat="1" applyFont="1"/>
    <xf numFmtId="165" fontId="24" fillId="0" borderId="1" xfId="2" applyNumberFormat="1" applyFont="1" applyAlignment="1">
      <alignment horizontal="center"/>
    </xf>
    <xf numFmtId="42" fontId="17" fillId="0" borderId="1" xfId="2" applyNumberFormat="1" applyFont="1"/>
    <xf numFmtId="41" fontId="24" fillId="0" borderId="1" xfId="2" applyNumberFormat="1" applyFont="1"/>
    <xf numFmtId="41" fontId="17" fillId="0" borderId="1" xfId="2" applyNumberFormat="1" applyFont="1"/>
    <xf numFmtId="175" fontId="14" fillId="0" borderId="1" xfId="2" applyNumberFormat="1" applyFont="1"/>
    <xf numFmtId="175" fontId="14" fillId="0" borderId="1" xfId="2" quotePrefix="1" applyNumberFormat="1" applyFont="1"/>
    <xf numFmtId="0" fontId="25" fillId="0" borderId="1" xfId="6" applyFont="1"/>
    <xf numFmtId="176" fontId="17" fillId="0" borderId="1" xfId="2" applyNumberFormat="1" applyFont="1"/>
    <xf numFmtId="172" fontId="17" fillId="0" borderId="1" xfId="2" applyNumberFormat="1" applyFont="1"/>
    <xf numFmtId="44" fontId="24" fillId="0" borderId="1" xfId="6" applyNumberFormat="1" applyFont="1"/>
    <xf numFmtId="0" fontId="24" fillId="0" borderId="1" xfId="6" applyFont="1"/>
    <xf numFmtId="172" fontId="24" fillId="0" borderId="1" xfId="2" applyNumberFormat="1" applyFont="1"/>
    <xf numFmtId="43" fontId="24" fillId="0" borderId="1" xfId="6" applyNumberFormat="1" applyFont="1"/>
    <xf numFmtId="44" fontId="37" fillId="0" borderId="1" xfId="2" applyNumberFormat="1" applyFont="1"/>
    <xf numFmtId="169" fontId="37" fillId="0" borderId="1" xfId="2" applyNumberFormat="1" applyFont="1"/>
    <xf numFmtId="43" fontId="37" fillId="0" borderId="1" xfId="2" applyNumberFormat="1" applyFont="1"/>
    <xf numFmtId="171" fontId="37" fillId="0" borderId="1" xfId="2" applyNumberFormat="1" applyFont="1"/>
    <xf numFmtId="170" fontId="37" fillId="0" borderId="1" xfId="2" applyNumberFormat="1" applyFont="1" applyAlignment="1">
      <alignment horizontal="right"/>
    </xf>
    <xf numFmtId="0" fontId="38" fillId="0" borderId="1" xfId="0" applyFont="1"/>
    <xf numFmtId="0" fontId="39" fillId="0" borderId="1" xfId="0" applyFont="1"/>
    <xf numFmtId="0" fontId="40" fillId="0" borderId="1" xfId="0" applyFont="1" applyAlignment="1">
      <alignment horizontal="center"/>
    </xf>
    <xf numFmtId="0" fontId="40" fillId="0" borderId="1" xfId="0" applyFont="1"/>
    <xf numFmtId="0" fontId="41" fillId="11" borderId="1" xfId="0" applyFont="1" applyFill="1" applyAlignment="1">
      <alignment horizontal="centerContinuous"/>
    </xf>
    <xf numFmtId="0" fontId="41" fillId="11" borderId="11" xfId="0" applyFont="1" applyFill="1" applyBorder="1" applyAlignment="1">
      <alignment horizontal="centerContinuous"/>
    </xf>
    <xf numFmtId="0" fontId="42" fillId="11" borderId="11" xfId="0" applyFont="1" applyFill="1" applyBorder="1" applyAlignment="1">
      <alignment horizontal="centerContinuous"/>
    </xf>
    <xf numFmtId="0" fontId="41" fillId="11" borderId="12" xfId="0" applyFont="1" applyFill="1" applyBorder="1" applyAlignment="1">
      <alignment horizontal="centerContinuous"/>
    </xf>
    <xf numFmtId="0" fontId="41" fillId="11" borderId="25" xfId="0" applyFont="1" applyFill="1" applyBorder="1"/>
    <xf numFmtId="164" fontId="41" fillId="11" borderId="25" xfId="0" applyNumberFormat="1" applyFont="1" applyFill="1" applyBorder="1" applyAlignment="1">
      <alignment horizontal="center"/>
    </xf>
    <xf numFmtId="164" fontId="43" fillId="11" borderId="25" xfId="0" applyNumberFormat="1" applyFont="1" applyFill="1" applyBorder="1" applyAlignment="1">
      <alignment horizontal="center"/>
    </xf>
    <xf numFmtId="0" fontId="41" fillId="11" borderId="25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/>
    </xf>
    <xf numFmtId="4" fontId="38" fillId="0" borderId="1" xfId="0" applyNumberFormat="1" applyFont="1"/>
    <xf numFmtId="0" fontId="44" fillId="0" borderId="1" xfId="0" applyFont="1" applyAlignment="1">
      <alignment horizontal="right"/>
    </xf>
    <xf numFmtId="3" fontId="37" fillId="0" borderId="1" xfId="0" applyNumberFormat="1" applyFont="1"/>
    <xf numFmtId="44" fontId="38" fillId="0" borderId="1" xfId="0" applyNumberFormat="1" applyFont="1"/>
    <xf numFmtId="0" fontId="40" fillId="13" borderId="25" xfId="0" applyFont="1" applyFill="1" applyBorder="1"/>
    <xf numFmtId="0" fontId="38" fillId="13" borderId="25" xfId="0" applyFont="1" applyFill="1" applyBorder="1"/>
    <xf numFmtId="4" fontId="38" fillId="13" borderId="25" xfId="0" applyNumberFormat="1" applyFont="1" applyFill="1" applyBorder="1"/>
    <xf numFmtId="0" fontId="38" fillId="0" borderId="1" xfId="0" applyFont="1" applyAlignment="1">
      <alignment horizontal="left" indent="1"/>
    </xf>
    <xf numFmtId="0" fontId="44" fillId="0" borderId="1" xfId="0" applyFont="1" applyAlignment="1">
      <alignment horizontal="center"/>
    </xf>
    <xf numFmtId="165" fontId="44" fillId="0" borderId="1" xfId="0" applyNumberFormat="1" applyFont="1"/>
    <xf numFmtId="165" fontId="45" fillId="12" borderId="2" xfId="4" applyNumberFormat="1" applyFont="1" applyFill="1" applyAlignment="1"/>
    <xf numFmtId="165" fontId="46" fillId="12" borderId="2" xfId="4" applyNumberFormat="1" applyFont="1" applyFill="1" applyAlignment="1"/>
    <xf numFmtId="4" fontId="37" fillId="0" borderId="1" xfId="0" applyNumberFormat="1" applyFont="1"/>
    <xf numFmtId="4" fontId="45" fillId="12" borderId="2" xfId="4" applyNumberFormat="1" applyFont="1" applyFill="1" applyAlignment="1"/>
    <xf numFmtId="4" fontId="45" fillId="12" borderId="15" xfId="4" applyNumberFormat="1" applyFont="1" applyFill="1" applyBorder="1" applyAlignment="1"/>
    <xf numFmtId="0" fontId="40" fillId="0" borderId="27" xfId="0" applyFont="1" applyBorder="1"/>
    <xf numFmtId="0" fontId="38" fillId="0" borderId="27" xfId="0" applyFont="1" applyBorder="1"/>
    <xf numFmtId="4" fontId="40" fillId="0" borderId="27" xfId="0" applyNumberFormat="1" applyFont="1" applyBorder="1"/>
    <xf numFmtId="0" fontId="40" fillId="13" borderId="25" xfId="0" applyFont="1" applyFill="1" applyBorder="1" applyAlignment="1">
      <alignment horizontal="left"/>
    </xf>
    <xf numFmtId="42" fontId="38" fillId="0" borderId="1" xfId="0" applyNumberFormat="1" applyFont="1"/>
    <xf numFmtId="42" fontId="46" fillId="12" borderId="2" xfId="4" applyNumberFormat="1" applyFont="1" applyFill="1" applyAlignment="1"/>
    <xf numFmtId="41" fontId="38" fillId="0" borderId="1" xfId="0" applyNumberFormat="1" applyFont="1"/>
    <xf numFmtId="41" fontId="46" fillId="12" borderId="2" xfId="4" applyNumberFormat="1" applyFont="1" applyFill="1" applyAlignment="1"/>
    <xf numFmtId="165" fontId="38" fillId="0" borderId="1" xfId="0" applyNumberFormat="1" applyFont="1"/>
    <xf numFmtId="0" fontId="38" fillId="0" borderId="1" xfId="0" applyFont="1" applyAlignment="1">
      <alignment horizontal="left"/>
    </xf>
    <xf numFmtId="41" fontId="37" fillId="12" borderId="16" xfId="0" applyNumberFormat="1" applyFont="1" applyFill="1" applyBorder="1"/>
    <xf numFmtId="41" fontId="37" fillId="12" borderId="2" xfId="0" applyNumberFormat="1" applyFont="1" applyFill="1" applyBorder="1"/>
    <xf numFmtId="41" fontId="47" fillId="0" borderId="1" xfId="0" applyNumberFormat="1" applyFont="1"/>
    <xf numFmtId="165" fontId="40" fillId="0" borderId="1" xfId="0" applyNumberFormat="1" applyFont="1" applyAlignment="1">
      <alignment horizontal="center"/>
    </xf>
    <xf numFmtId="164" fontId="41" fillId="11" borderId="25" xfId="0" applyNumberFormat="1" applyFont="1" applyFill="1" applyBorder="1"/>
    <xf numFmtId="0" fontId="40" fillId="0" borderId="1" xfId="0" applyFont="1" applyAlignment="1">
      <alignment horizontal="left"/>
    </xf>
    <xf numFmtId="43" fontId="38" fillId="0" borderId="1" xfId="0" applyNumberFormat="1" applyFont="1"/>
    <xf numFmtId="42" fontId="37" fillId="0" borderId="1" xfId="0" applyNumberFormat="1" applyFont="1"/>
    <xf numFmtId="41" fontId="37" fillId="0" borderId="1" xfId="0" applyNumberFormat="1" applyFont="1"/>
    <xf numFmtId="0" fontId="44" fillId="0" borderId="25" xfId="0" applyFont="1" applyBorder="1" applyAlignment="1">
      <alignment horizontal="center"/>
    </xf>
    <xf numFmtId="0" fontId="40" fillId="0" borderId="27" xfId="0" applyFont="1" applyBorder="1" applyAlignment="1">
      <alignment horizontal="left"/>
    </xf>
    <xf numFmtId="41" fontId="40" fillId="0" borderId="27" xfId="0" applyNumberFormat="1" applyFont="1" applyBorder="1"/>
    <xf numFmtId="9" fontId="38" fillId="0" borderId="1" xfId="0" applyNumberFormat="1" applyFont="1"/>
    <xf numFmtId="41" fontId="40" fillId="0" borderId="1" xfId="0" applyNumberFormat="1" applyFont="1"/>
    <xf numFmtId="42" fontId="40" fillId="0" borderId="1" xfId="0" applyNumberFormat="1" applyFont="1"/>
    <xf numFmtId="41" fontId="48" fillId="0" borderId="1" xfId="0" applyNumberFormat="1" applyFont="1"/>
    <xf numFmtId="0" fontId="43" fillId="14" borderId="1" xfId="0" applyFont="1" applyFill="1"/>
    <xf numFmtId="0" fontId="41" fillId="14" borderId="25" xfId="0" applyFont="1" applyFill="1" applyBorder="1"/>
    <xf numFmtId="0" fontId="43" fillId="14" borderId="25" xfId="0" applyFont="1" applyFill="1" applyBorder="1" applyAlignment="1">
      <alignment horizontal="center"/>
    </xf>
    <xf numFmtId="0" fontId="38" fillId="0" borderId="25" xfId="0" applyFont="1" applyBorder="1" applyAlignment="1">
      <alignment horizontal="left" indent="1"/>
    </xf>
    <xf numFmtId="0" fontId="38" fillId="0" borderId="25" xfId="0" applyFont="1" applyBorder="1"/>
    <xf numFmtId="41" fontId="38" fillId="0" borderId="25" xfId="0" applyNumberFormat="1" applyFont="1" applyBorder="1"/>
    <xf numFmtId="0" fontId="44" fillId="0" borderId="1" xfId="0" applyFont="1"/>
    <xf numFmtId="0" fontId="40" fillId="13" borderId="28" xfId="0" applyFont="1" applyFill="1" applyBorder="1"/>
    <xf numFmtId="0" fontId="40" fillId="13" borderId="28" xfId="0" applyFont="1" applyFill="1" applyBorder="1" applyAlignment="1">
      <alignment horizontal="centerContinuous"/>
    </xf>
    <xf numFmtId="0" fontId="38" fillId="13" borderId="28" xfId="0" applyFont="1" applyFill="1" applyBorder="1" applyAlignment="1">
      <alignment horizontal="centerContinuous"/>
    </xf>
    <xf numFmtId="0" fontId="38" fillId="13" borderId="28" xfId="0" applyFont="1" applyFill="1" applyBorder="1"/>
    <xf numFmtId="41" fontId="37" fillId="0" borderId="25" xfId="0" applyNumberFormat="1" applyFont="1" applyBorder="1"/>
    <xf numFmtId="166" fontId="47" fillId="0" borderId="25" xfId="0" applyNumberFormat="1" applyFont="1" applyBorder="1" applyAlignment="1">
      <alignment horizontal="left" indent="1"/>
    </xf>
    <xf numFmtId="166" fontId="49" fillId="0" borderId="1" xfId="0" applyNumberFormat="1" applyFont="1"/>
    <xf numFmtId="166" fontId="50" fillId="0" borderId="1" xfId="0" applyNumberFormat="1" applyFont="1"/>
    <xf numFmtId="42" fontId="48" fillId="0" borderId="1" xfId="0" applyNumberFormat="1" applyFont="1"/>
    <xf numFmtId="167" fontId="44" fillId="0" borderId="1" xfId="0" applyNumberFormat="1" applyFont="1"/>
    <xf numFmtId="3" fontId="15" fillId="7" borderId="2" xfId="4" applyNumberFormat="1" applyFont="1" applyFill="1"/>
    <xf numFmtId="44" fontId="15" fillId="7" borderId="2" xfId="4" applyNumberFormat="1" applyFont="1" applyFill="1"/>
    <xf numFmtId="0" fontId="1" fillId="0" borderId="1" xfId="6" applyFont="1"/>
    <xf numFmtId="4" fontId="1" fillId="0" borderId="1" xfId="6" applyNumberFormat="1" applyFont="1"/>
    <xf numFmtId="0" fontId="1" fillId="3" borderId="3" xfId="6" applyFont="1" applyFill="1" applyBorder="1"/>
    <xf numFmtId="4" fontId="1" fillId="3" borderId="3" xfId="6" applyNumberFormat="1" applyFont="1" applyFill="1" applyBorder="1"/>
    <xf numFmtId="165" fontId="15" fillId="7" borderId="14" xfId="4" applyNumberFormat="1" applyFont="1" applyFill="1" applyBorder="1"/>
    <xf numFmtId="165" fontId="15" fillId="7" borderId="2" xfId="4" applyNumberFormat="1" applyFont="1" applyFill="1"/>
    <xf numFmtId="0" fontId="10" fillId="8" borderId="24" xfId="6" applyFont="1" applyFill="1" applyBorder="1" applyAlignment="1">
      <alignment horizontal="center" vertical="center" wrapText="1"/>
    </xf>
    <xf numFmtId="0" fontId="9" fillId="0" borderId="24" xfId="6" applyFont="1" applyBorder="1" applyAlignment="1">
      <alignment horizontal="center" vertical="center" wrapText="1"/>
    </xf>
    <xf numFmtId="0" fontId="9" fillId="0" borderId="23" xfId="6" applyFont="1" applyBorder="1" applyAlignment="1">
      <alignment horizontal="center" vertical="center" wrapText="1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2"/>
  <sheetViews>
    <sheetView showGridLines="0" tabSelected="1" topLeftCell="A145" zoomScale="115" zoomScaleNormal="115" workbookViewId="0">
      <selection activeCell="L174" sqref="L174"/>
    </sheetView>
  </sheetViews>
  <sheetFormatPr baseColWidth="10" defaultColWidth="9.1640625" defaultRowHeight="15.75" customHeight="1" outlineLevelRow="1" outlineLevelCol="1" x14ac:dyDescent="0.2"/>
  <cols>
    <col min="1" max="2" width="2.6640625" style="246" customWidth="1"/>
    <col min="3" max="6" width="13.6640625" style="246" customWidth="1"/>
    <col min="7" max="11" width="13.6640625" style="246" customWidth="1" outlineLevel="1"/>
    <col min="12" max="16" width="13.6640625" style="246" customWidth="1"/>
    <col min="17" max="17" width="2.6640625" style="246" customWidth="1"/>
    <col min="18" max="21" width="9.1640625" style="246"/>
  </cols>
  <sheetData>
    <row r="2" spans="2:16" ht="18.75" customHeight="1" x14ac:dyDescent="0.25">
      <c r="B2" s="247" t="str">
        <f>"Sample Private Company Financial Statements - "&amp;Company_Name</f>
      </c>
    </row>
    <row r="3" spans="2:16" ht="15.75" customHeight="1" x14ac:dyDescent="0.2">
      <c r="B3" s="246" t="s">
        <v>0</v>
      </c>
      <c r="G3" s="248"/>
    </row>
    <row r="4" spans="2:16" ht="15.75" customHeight="1" x14ac:dyDescent="0.2">
      <c r="B4" s="249"/>
      <c r="G4" s="248"/>
    </row>
    <row r="5" spans="2:16" ht="15.75" customHeight="1" x14ac:dyDescent="0.2">
      <c r="B5" s="250"/>
      <c r="C5" s="250"/>
      <c r="D5" s="250"/>
      <c r="E5" s="250"/>
      <c r="F5" s="250"/>
      <c r="G5" s="251" t="s">
        <v>1</v>
      </c>
      <c r="H5" s="252"/>
      <c r="I5" s="252"/>
      <c r="J5" s="252"/>
      <c r="K5" s="253"/>
      <c r="L5" s="251" t="s">
        <v>2</v>
      </c>
      <c r="M5" s="251"/>
      <c r="N5" s="251"/>
      <c r="O5" s="251"/>
      <c r="P5" s="251"/>
    </row>
    <row r="6" spans="2:16" ht="15.75" customHeight="1" x14ac:dyDescent="0.2">
      <c r="B6" s="254" t="s">
        <v>3</v>
      </c>
      <c r="C6" s="255"/>
      <c r="D6" s="255"/>
      <c r="E6" s="255"/>
      <c r="F6" s="256" t="s">
        <v>4</v>
      </c>
      <c r="G6" s="257" t="s">
        <v>5</v>
      </c>
      <c r="H6" s="257" t="s">
        <v>6</v>
      </c>
      <c r="I6" s="257" t="s">
        <v>7</v>
      </c>
      <c r="J6" s="257" t="s">
        <v>8</v>
      </c>
      <c r="K6" s="258" t="s">
        <v>9</v>
      </c>
      <c r="L6" s="257" t="s">
        <v>10</v>
      </c>
      <c r="M6" s="257" t="s">
        <v>11</v>
      </c>
      <c r="N6" s="257" t="s">
        <v>12</v>
      </c>
      <c r="O6" s="257" t="s">
        <v>13</v>
      </c>
      <c r="P6" s="257" t="s">
        <v>14</v>
      </c>
    </row>
    <row r="7" spans="2:16" ht="15.75" customHeight="1" outlineLevel="1" x14ac:dyDescent="0.2">
      <c r="K7" s="259"/>
      <c r="P7" s="259"/>
    </row>
    <row r="8" spans="2:16" ht="15.75" customHeight="1" outlineLevel="1" x14ac:dyDescent="0.2">
      <c r="C8" s="246" t="s">
        <v>15</v>
      </c>
      <c r="F8" s="260" t="s">
        <v>16</v>
      </c>
      <c r="G8" s="261">
        <v>1011</v>
      </c>
      <c r="H8" s="261">
        <v>2051</v>
      </c>
      <c r="I8" s="261">
        <v>2978</v>
      </c>
      <c r="J8" s="261">
        <v>4000</v>
      </c>
      <c r="K8" s="261">
        <v>4500</v>
      </c>
      <c r="L8" s="317">
        <v>4800</v>
      </c>
      <c r="M8" s="317">
        <v>5200</v>
      </c>
      <c r="N8" s="317">
        <v>5600</v>
      </c>
      <c r="O8" s="317">
        <v>6000</v>
      </c>
      <c r="P8" s="317">
        <v>6500</v>
      </c>
    </row>
    <row r="9" spans="2:16" ht="15.75" customHeight="1" outlineLevel="1" x14ac:dyDescent="0.2">
      <c r="C9" s="246" t="s">
        <v>17</v>
      </c>
      <c r="F9" s="260" t="s">
        <v>18</v>
      </c>
      <c r="G9" s="262">
        <f>+G79/G8</f>
      </c>
      <c r="H9" s="262">
        <f>+H79/H8</f>
      </c>
      <c r="I9" s="262">
        <f>+I79/I8</f>
      </c>
      <c r="J9" s="262">
        <f>+J79/J8</f>
      </c>
      <c r="K9" s="262">
        <f>+K79/K8</f>
      </c>
      <c r="L9" s="318">
        <v>175</v>
      </c>
      <c r="M9" s="318">
        <v>190</v>
      </c>
      <c r="N9" s="318">
        <v>210</v>
      </c>
      <c r="O9" s="318">
        <v>225</v>
      </c>
      <c r="P9" s="318">
        <v>240</v>
      </c>
    </row>
    <row r="10" spans="2:16" ht="15.75" customHeight="1" outlineLevel="1" x14ac:dyDescent="0.2">
      <c r="K10" s="259"/>
      <c r="L10" s="319"/>
      <c r="M10" s="319"/>
      <c r="N10" s="319"/>
      <c r="O10" s="319"/>
      <c r="P10" s="320"/>
    </row>
    <row r="11" spans="2:16" ht="15.75" customHeight="1" outlineLevel="1" x14ac:dyDescent="0.2">
      <c r="C11" s="263" t="s">
        <v>19</v>
      </c>
      <c r="D11" s="264"/>
      <c r="E11" s="264"/>
      <c r="F11" s="264"/>
      <c r="G11" s="264"/>
      <c r="H11" s="264"/>
      <c r="I11" s="264"/>
      <c r="J11" s="264"/>
      <c r="K11" s="265"/>
      <c r="L11" s="321"/>
      <c r="M11" s="321"/>
      <c r="N11" s="321"/>
      <c r="O11" s="321"/>
      <c r="P11" s="322"/>
    </row>
    <row r="12" spans="2:16" ht="15.75" customHeight="1" outlineLevel="1" x14ac:dyDescent="0.2">
      <c r="C12" s="266" t="s">
        <v>20</v>
      </c>
      <c r="F12" s="267" t="s">
        <v>21</v>
      </c>
      <c r="G12" s="268" t="str">
        <f t="shared" ref="G12:K15" si="0">IFERROR(+G80/F80-1,"N/A")</f>
      </c>
      <c r="H12" s="268">
        <f t="shared" si="0"/>
      </c>
      <c r="I12" s="268">
        <f t="shared" si="0"/>
      </c>
      <c r="J12" s="268">
        <f t="shared" si="0"/>
      </c>
      <c r="K12" s="268">
        <f t="shared" si="0"/>
      </c>
      <c r="L12" s="323">
        <v>0.25</v>
      </c>
      <c r="M12" s="323">
        <v>0.2</v>
      </c>
      <c r="N12" s="323">
        <v>0.15</v>
      </c>
      <c r="O12" s="323">
        <v>0.1</v>
      </c>
      <c r="P12" s="323">
        <v>0.1</v>
      </c>
    </row>
    <row r="13" spans="2:16" ht="15.75" customHeight="1" outlineLevel="1" x14ac:dyDescent="0.2">
      <c r="C13" s="266" t="s">
        <v>22</v>
      </c>
      <c r="F13" s="267" t="s">
        <v>21</v>
      </c>
      <c r="G13" s="268" t="str">
        <f t="shared" si="0"/>
      </c>
      <c r="H13" s="268">
        <f t="shared" si="0"/>
      </c>
      <c r="I13" s="268">
        <f t="shared" si="0"/>
      </c>
      <c r="J13" s="268">
        <f t="shared" si="0"/>
      </c>
      <c r="K13" s="268">
        <f t="shared" si="0"/>
      </c>
      <c r="L13" s="324">
        <v>0.1</v>
      </c>
      <c r="M13" s="324">
        <v>0.1</v>
      </c>
      <c r="N13" s="324">
        <v>0.08</v>
      </c>
      <c r="O13" s="324">
        <v>0.08</v>
      </c>
      <c r="P13" s="324">
        <v>0.06</v>
      </c>
    </row>
    <row r="14" spans="2:16" ht="15.75" customHeight="1" outlineLevel="1" x14ac:dyDescent="0.2">
      <c r="C14" s="266" t="s">
        <v>23</v>
      </c>
      <c r="F14" s="267" t="s">
        <v>21</v>
      </c>
      <c r="G14" s="268" t="str">
        <f t="shared" si="0"/>
      </c>
      <c r="H14" s="268">
        <f t="shared" si="0"/>
      </c>
      <c r="I14" s="268">
        <f t="shared" si="0"/>
      </c>
      <c r="J14" s="268">
        <f t="shared" si="0"/>
      </c>
      <c r="K14" s="268">
        <f t="shared" si="0"/>
      </c>
      <c r="L14" s="324">
        <v>0.4</v>
      </c>
      <c r="M14" s="324">
        <v>0.35</v>
      </c>
      <c r="N14" s="324">
        <v>0.3</v>
      </c>
      <c r="O14" s="324">
        <v>0.3</v>
      </c>
      <c r="P14" s="324">
        <v>0.25</v>
      </c>
    </row>
    <row r="15" spans="2:16" ht="15.75" customHeight="1" outlineLevel="1" x14ac:dyDescent="0.2">
      <c r="C15" s="266" t="s">
        <v>24</v>
      </c>
      <c r="F15" s="267" t="s">
        <v>21</v>
      </c>
      <c r="G15" s="268" t="str">
        <f t="shared" si="0"/>
      </c>
      <c r="H15" s="268">
        <f t="shared" si="0"/>
      </c>
      <c r="I15" s="268">
        <f t="shared" si="0"/>
      </c>
      <c r="J15" s="268">
        <f t="shared" si="0"/>
      </c>
      <c r="K15" s="268">
        <f t="shared" si="0"/>
      </c>
      <c r="L15" s="324">
        <v>0.15</v>
      </c>
      <c r="M15" s="324">
        <v>0.1</v>
      </c>
      <c r="N15" s="324">
        <v>0.1</v>
      </c>
      <c r="O15" s="324">
        <v>0.08</v>
      </c>
      <c r="P15" s="324">
        <v>0.08</v>
      </c>
    </row>
    <row r="16" spans="2:16" ht="15.75" customHeight="1" outlineLevel="1" x14ac:dyDescent="0.2">
      <c r="K16" s="259"/>
      <c r="L16" s="319"/>
      <c r="M16" s="319"/>
      <c r="N16" s="319"/>
      <c r="O16" s="319"/>
      <c r="P16" s="320"/>
    </row>
    <row r="17" spans="3:16" ht="15.75" customHeight="1" outlineLevel="1" x14ac:dyDescent="0.2">
      <c r="C17" s="263" t="s">
        <v>25</v>
      </c>
      <c r="D17" s="264"/>
      <c r="E17" s="264"/>
      <c r="F17" s="264"/>
      <c r="G17" s="264"/>
      <c r="H17" s="264"/>
      <c r="I17" s="264"/>
      <c r="J17" s="264"/>
      <c r="K17" s="265"/>
      <c r="L17" s="321"/>
      <c r="M17" s="321"/>
      <c r="N17" s="321"/>
      <c r="O17" s="321"/>
      <c r="P17" s="322"/>
    </row>
    <row r="18" spans="3:16" ht="15.75" customHeight="1" outlineLevel="1" x14ac:dyDescent="0.2">
      <c r="C18" s="266" t="s">
        <v>26</v>
      </c>
      <c r="F18" s="267" t="s">
        <v>21</v>
      </c>
      <c r="G18" s="268">
        <f>IFERROR(-G87/G80,"N/A")</f>
      </c>
      <c r="H18" s="268">
        <f t="shared" ref="H18:K20" si="1">IFERROR(-H87/H80,"N/A")</f>
      </c>
      <c r="I18" s="268">
        <f t="shared" si="1"/>
      </c>
      <c r="J18" s="268">
        <f t="shared" si="1"/>
      </c>
      <c r="K18" s="268">
        <f t="shared" si="1"/>
      </c>
      <c r="L18" s="323">
        <v>0.5</v>
      </c>
      <c r="M18" s="323">
        <v>0.5</v>
      </c>
      <c r="N18" s="323">
        <v>0.5</v>
      </c>
      <c r="O18" s="323">
        <v>0.5</v>
      </c>
      <c r="P18" s="323">
        <v>0.5</v>
      </c>
    </row>
    <row r="19" spans="3:16" ht="15.75" customHeight="1" outlineLevel="1" x14ac:dyDescent="0.2">
      <c r="C19" s="266" t="s">
        <v>27</v>
      </c>
      <c r="F19" s="267" t="s">
        <v>21</v>
      </c>
      <c r="G19" s="268">
        <f>IFERROR(-G88/G81,"N/A")</f>
      </c>
      <c r="H19" s="268">
        <f t="shared" si="1"/>
      </c>
      <c r="I19" s="268">
        <f t="shared" si="1"/>
      </c>
      <c r="J19" s="268">
        <f t="shared" si="1"/>
      </c>
      <c r="K19" s="268">
        <f t="shared" si="1"/>
      </c>
      <c r="L19" s="324">
        <v>0.5</v>
      </c>
      <c r="M19" s="324">
        <v>0.5</v>
      </c>
      <c r="N19" s="324">
        <v>0.5</v>
      </c>
      <c r="O19" s="324">
        <v>0.5</v>
      </c>
      <c r="P19" s="324">
        <v>0.5</v>
      </c>
    </row>
    <row r="20" spans="3:16" ht="15.75" customHeight="1" outlineLevel="1" x14ac:dyDescent="0.2">
      <c r="C20" s="266" t="s">
        <v>28</v>
      </c>
      <c r="F20" s="267" t="s">
        <v>21</v>
      </c>
      <c r="G20" s="268">
        <f>IFERROR(-G89/G82,"N/A")</f>
      </c>
      <c r="H20" s="268">
        <f t="shared" si="1"/>
      </c>
      <c r="I20" s="268">
        <f t="shared" si="1"/>
      </c>
      <c r="J20" s="268">
        <f t="shared" si="1"/>
      </c>
      <c r="K20" s="268">
        <f t="shared" si="1"/>
      </c>
      <c r="L20" s="324">
        <v>0.4</v>
      </c>
      <c r="M20" s="324">
        <v>0.4</v>
      </c>
      <c r="N20" s="324">
        <v>0.4</v>
      </c>
      <c r="O20" s="324">
        <v>0.4</v>
      </c>
      <c r="P20" s="324">
        <v>0.4</v>
      </c>
    </row>
    <row r="21" spans="3:16" ht="15.75" customHeight="1" outlineLevel="1" x14ac:dyDescent="0.2">
      <c r="K21" s="259"/>
      <c r="L21" s="319"/>
      <c r="M21" s="319"/>
      <c r="N21" s="319"/>
      <c r="O21" s="319"/>
      <c r="P21" s="320"/>
    </row>
    <row r="22" spans="3:16" ht="15.75" customHeight="1" outlineLevel="1" x14ac:dyDescent="0.2">
      <c r="C22" s="266" t="s">
        <v>29</v>
      </c>
      <c r="F22" s="267" t="s">
        <v>21</v>
      </c>
      <c r="G22" s="268">
        <f>IFERROR(-G95/G$84,"N/A")</f>
      </c>
      <c r="H22" s="268">
        <f t="shared" ref="H22:K23" si="2">IFERROR(-H95/H$84,"N/A")</f>
      </c>
      <c r="I22" s="268">
        <f t="shared" si="2"/>
      </c>
      <c r="J22" s="268">
        <f t="shared" si="2"/>
      </c>
      <c r="K22" s="268">
        <f t="shared" si="2"/>
      </c>
      <c r="L22" s="324">
        <v>2.8000000000000001E-2</v>
      </c>
      <c r="M22" s="324">
        <v>2.8000000000000001E-2</v>
      </c>
      <c r="N22" s="324">
        <v>2.9000000000000001E-2</v>
      </c>
      <c r="O22" s="324">
        <v>2.9000000000000001E-2</v>
      </c>
      <c r="P22" s="324">
        <v>0.03</v>
      </c>
    </row>
    <row r="23" spans="3:16" ht="15.75" customHeight="1" outlineLevel="1" x14ac:dyDescent="0.2">
      <c r="C23" s="266" t="s">
        <v>30</v>
      </c>
      <c r="F23" s="267" t="s">
        <v>21</v>
      </c>
      <c r="G23" s="268">
        <f>IFERROR(-G96/G$84,"N/A")</f>
      </c>
      <c r="H23" s="268">
        <f t="shared" si="2"/>
      </c>
      <c r="I23" s="268">
        <f t="shared" si="2"/>
      </c>
      <c r="J23" s="268">
        <f t="shared" si="2"/>
      </c>
      <c r="K23" s="268">
        <f t="shared" si="2"/>
      </c>
      <c r="L23" s="324">
        <v>4.4999999999999998E-2</v>
      </c>
      <c r="M23" s="324">
        <v>4.4999999999999998E-2</v>
      </c>
      <c r="N23" s="324">
        <v>0.05</v>
      </c>
      <c r="O23" s="324">
        <v>0.05</v>
      </c>
      <c r="P23" s="324">
        <v>0.06</v>
      </c>
    </row>
    <row r="24" spans="3:16" ht="15.75" customHeight="1" outlineLevel="1" x14ac:dyDescent="0.2">
      <c r="K24" s="259"/>
      <c r="L24" s="319"/>
      <c r="M24" s="319"/>
      <c r="N24" s="319"/>
      <c r="O24" s="319"/>
      <c r="P24" s="320"/>
    </row>
    <row r="25" spans="3:16" ht="15.75" customHeight="1" outlineLevel="1" x14ac:dyDescent="0.2">
      <c r="C25" s="266" t="s">
        <v>31</v>
      </c>
      <c r="F25" s="267" t="s">
        <v>21</v>
      </c>
      <c r="G25" s="268">
        <f>IFERROR(-G102/G$84,"N/A")</f>
      </c>
      <c r="H25" s="268">
        <f t="shared" ref="H25:K25" si="3">IFERROR(-H102/H$84,"N/A")</f>
      </c>
      <c r="I25" s="268">
        <f t="shared" si="3"/>
      </c>
      <c r="J25" s="268">
        <f t="shared" si="3"/>
      </c>
      <c r="K25" s="268">
        <f t="shared" si="3"/>
      </c>
      <c r="L25" s="324">
        <v>2E-3</v>
      </c>
      <c r="M25" s="324">
        <v>2E-3</v>
      </c>
      <c r="N25" s="324">
        <v>3.0000000000000001E-3</v>
      </c>
      <c r="O25" s="324">
        <v>3.0000000000000001E-3</v>
      </c>
      <c r="P25" s="324">
        <v>3.0000000000000001E-3</v>
      </c>
    </row>
    <row r="26" spans="3:16" ht="15.75" customHeight="1" outlineLevel="1" x14ac:dyDescent="0.2">
      <c r="C26" s="266" t="s">
        <v>32</v>
      </c>
      <c r="F26" s="267" t="s">
        <v>21</v>
      </c>
      <c r="G26" s="268">
        <f>IFERROR(-G104/G$84,"N/A")</f>
      </c>
      <c r="H26" s="268">
        <f t="shared" ref="H26:K26" si="4">IFERROR(-H104/H$84,"N/A")</f>
      </c>
      <c r="I26" s="268">
        <f t="shared" si="4"/>
      </c>
      <c r="J26" s="268">
        <f t="shared" si="4"/>
      </c>
      <c r="K26" s="268">
        <f t="shared" si="4"/>
      </c>
      <c r="L26" s="324">
        <v>3.1E-2</v>
      </c>
      <c r="M26" s="324">
        <v>3.3000000000000002E-2</v>
      </c>
      <c r="N26" s="324">
        <v>3.5000000000000003E-2</v>
      </c>
      <c r="O26" s="324">
        <v>3.5000000000000003E-2</v>
      </c>
      <c r="P26" s="324">
        <v>3.6999999999999998E-2</v>
      </c>
    </row>
    <row r="27" spans="3:16" ht="15.75" customHeight="1" outlineLevel="1" x14ac:dyDescent="0.2">
      <c r="C27" s="266" t="s">
        <v>33</v>
      </c>
      <c r="F27" s="267" t="s">
        <v>21</v>
      </c>
      <c r="G27" s="268">
        <f>IFERROR(-G108/G$84,"N/A")</f>
      </c>
      <c r="H27" s="268">
        <f t="shared" ref="H27:K29" si="5">IFERROR(-H108/H$84,"N/A")</f>
      </c>
      <c r="I27" s="268">
        <f t="shared" si="5"/>
      </c>
      <c r="J27" s="268">
        <f t="shared" si="5"/>
      </c>
      <c r="K27" s="268">
        <f t="shared" si="5"/>
      </c>
      <c r="L27" s="324">
        <v>2.1999999999999999E-2</v>
      </c>
      <c r="M27" s="324">
        <v>2.4E-2</v>
      </c>
      <c r="N27" s="324">
        <v>2.4E-2</v>
      </c>
      <c r="O27" s="324">
        <v>2.5999999999999999E-2</v>
      </c>
      <c r="P27" s="324">
        <v>2.5999999999999999E-2</v>
      </c>
    </row>
    <row r="28" spans="3:16" ht="15.75" customHeight="1" outlineLevel="1" x14ac:dyDescent="0.2">
      <c r="C28" s="266" t="s">
        <v>34</v>
      </c>
      <c r="F28" s="267" t="s">
        <v>21</v>
      </c>
      <c r="G28" s="268">
        <f>IFERROR(-G109/G$84,"N/A")</f>
      </c>
      <c r="H28" s="268">
        <f t="shared" si="5"/>
      </c>
      <c r="I28" s="268">
        <f t="shared" si="5"/>
      </c>
      <c r="J28" s="268">
        <f t="shared" si="5"/>
      </c>
      <c r="K28" s="268">
        <f t="shared" si="5"/>
      </c>
      <c r="L28" s="324">
        <v>7.0000000000000001E-3</v>
      </c>
      <c r="M28" s="324">
        <v>6.0000000000000001E-3</v>
      </c>
      <c r="N28" s="324">
        <v>5.0000000000000001E-3</v>
      </c>
      <c r="O28" s="324">
        <v>4.0000000000000001E-3</v>
      </c>
      <c r="P28" s="324">
        <v>4.0000000000000001E-3</v>
      </c>
    </row>
    <row r="29" spans="3:16" ht="15.75" customHeight="1" outlineLevel="1" x14ac:dyDescent="0.2">
      <c r="C29" s="266" t="s">
        <v>35</v>
      </c>
      <c r="F29" s="267" t="s">
        <v>21</v>
      </c>
      <c r="G29" s="268">
        <f>IFERROR(-G110/G$84,"N/A")</f>
      </c>
      <c r="H29" s="268">
        <f t="shared" si="5"/>
      </c>
      <c r="I29" s="268">
        <f t="shared" si="5"/>
      </c>
      <c r="J29" s="268">
        <f t="shared" si="5"/>
      </c>
      <c r="K29" s="268">
        <f t="shared" si="5"/>
      </c>
      <c r="L29" s="324">
        <v>2E-3</v>
      </c>
      <c r="M29" s="324">
        <v>2E-3</v>
      </c>
      <c r="N29" s="324">
        <v>3.0000000000000001E-3</v>
      </c>
      <c r="O29" s="324">
        <v>4.0000000000000001E-3</v>
      </c>
      <c r="P29" s="324">
        <v>4.0000000000000001E-3</v>
      </c>
    </row>
    <row r="30" spans="3:16" ht="15.75" customHeight="1" outlineLevel="1" x14ac:dyDescent="0.2">
      <c r="K30" s="259"/>
      <c r="L30" s="319"/>
      <c r="M30" s="319"/>
      <c r="N30" s="319"/>
      <c r="O30" s="319"/>
      <c r="P30" s="320"/>
    </row>
    <row r="31" spans="3:16" ht="15.75" customHeight="1" outlineLevel="1" x14ac:dyDescent="0.2">
      <c r="C31" s="266" t="s">
        <v>36</v>
      </c>
      <c r="F31" s="267" t="s">
        <v>21</v>
      </c>
      <c r="G31" s="268">
        <f>IFERROR(-G117/G115,"N/A")</f>
      </c>
      <c r="H31" s="268">
        <f t="shared" ref="H31:K31" si="6">IFERROR(-H117/H115,"N/A")</f>
      </c>
      <c r="I31" s="268">
        <f t="shared" si="6"/>
      </c>
      <c r="J31" s="268">
        <f t="shared" si="6"/>
      </c>
      <c r="K31" s="268">
        <f t="shared" si="6"/>
      </c>
      <c r="L31" s="324">
        <v>0.3</v>
      </c>
      <c r="M31" s="324">
        <v>0.3</v>
      </c>
      <c r="N31" s="324">
        <v>0.3</v>
      </c>
      <c r="O31" s="324">
        <v>0.3</v>
      </c>
      <c r="P31" s="324">
        <v>0.3</v>
      </c>
    </row>
    <row r="32" spans="3:16" ht="15.75" customHeight="1" outlineLevel="1" x14ac:dyDescent="0.2">
      <c r="K32" s="259"/>
      <c r="P32" s="259"/>
    </row>
    <row r="33" spans="3:16" ht="15.75" customHeight="1" outlineLevel="1" x14ac:dyDescent="0.2">
      <c r="C33" s="263" t="s">
        <v>37</v>
      </c>
      <c r="D33" s="264"/>
      <c r="E33" s="264"/>
      <c r="F33" s="264"/>
      <c r="G33" s="264"/>
      <c r="H33" s="264"/>
      <c r="I33" s="264"/>
      <c r="J33" s="264"/>
      <c r="K33" s="265"/>
      <c r="L33" s="264"/>
      <c r="M33" s="264"/>
      <c r="N33" s="264"/>
      <c r="O33" s="264"/>
      <c r="P33" s="265"/>
    </row>
    <row r="34" spans="3:16" ht="15.75" customHeight="1" outlineLevel="1" x14ac:dyDescent="0.2">
      <c r="C34" s="266" t="s">
        <v>38</v>
      </c>
      <c r="F34" s="267" t="s">
        <v>39</v>
      </c>
      <c r="G34" s="271">
        <v>0</v>
      </c>
      <c r="H34" s="271">
        <v>0</v>
      </c>
      <c r="I34" s="271">
        <v>0.5</v>
      </c>
      <c r="J34" s="271">
        <v>0.75</v>
      </c>
      <c r="K34" s="271">
        <v>1</v>
      </c>
      <c r="L34" s="272">
        <v>1</v>
      </c>
      <c r="M34" s="272">
        <v>1.5</v>
      </c>
      <c r="N34" s="272">
        <v>1.5</v>
      </c>
      <c r="O34" s="272">
        <v>2</v>
      </c>
      <c r="P34" s="272">
        <v>2</v>
      </c>
    </row>
    <row r="35" spans="3:16" ht="15.75" customHeight="1" outlineLevel="1" x14ac:dyDescent="0.2">
      <c r="C35" s="266" t="s">
        <v>40</v>
      </c>
      <c r="F35" s="267" t="s">
        <v>39</v>
      </c>
      <c r="G35" s="271">
        <v>0</v>
      </c>
      <c r="H35" s="271">
        <v>0.5</v>
      </c>
      <c r="I35" s="271">
        <v>1</v>
      </c>
      <c r="J35" s="271">
        <v>1</v>
      </c>
      <c r="K35" s="271">
        <v>1</v>
      </c>
      <c r="L35" s="272">
        <v>1.5</v>
      </c>
      <c r="M35" s="272">
        <v>1.5</v>
      </c>
      <c r="N35" s="272">
        <v>2</v>
      </c>
      <c r="O35" s="272">
        <v>2</v>
      </c>
      <c r="P35" s="272">
        <v>2</v>
      </c>
    </row>
    <row r="36" spans="3:16" ht="15.75" customHeight="1" outlineLevel="1" x14ac:dyDescent="0.2">
      <c r="C36" s="266" t="s">
        <v>41</v>
      </c>
      <c r="F36" s="267" t="s">
        <v>39</v>
      </c>
      <c r="G36" s="271">
        <v>0</v>
      </c>
      <c r="H36" s="271">
        <v>0.5</v>
      </c>
      <c r="I36" s="271">
        <v>0.5</v>
      </c>
      <c r="J36" s="271">
        <v>0.5</v>
      </c>
      <c r="K36" s="271">
        <v>0.5</v>
      </c>
      <c r="L36" s="272">
        <v>0.5</v>
      </c>
      <c r="M36" s="272">
        <v>1</v>
      </c>
      <c r="N36" s="272">
        <v>1</v>
      </c>
      <c r="O36" s="272">
        <v>1</v>
      </c>
      <c r="P36" s="272">
        <v>1</v>
      </c>
    </row>
    <row r="37" spans="3:16" ht="15.75" customHeight="1" outlineLevel="1" x14ac:dyDescent="0.2">
      <c r="C37" s="266" t="s">
        <v>42</v>
      </c>
      <c r="F37" s="267" t="s">
        <v>39</v>
      </c>
      <c r="G37" s="271">
        <v>0</v>
      </c>
      <c r="H37" s="271">
        <v>0</v>
      </c>
      <c r="I37" s="271">
        <v>0.5</v>
      </c>
      <c r="J37" s="271">
        <v>0.75</v>
      </c>
      <c r="K37" s="271">
        <v>1</v>
      </c>
      <c r="L37" s="272">
        <v>1</v>
      </c>
      <c r="M37" s="272">
        <v>1</v>
      </c>
      <c r="N37" s="272">
        <v>1</v>
      </c>
      <c r="O37" s="272">
        <v>1.25</v>
      </c>
      <c r="P37" s="272">
        <v>1.5</v>
      </c>
    </row>
    <row r="38" spans="3:16" ht="15.75" customHeight="1" outlineLevel="1" x14ac:dyDescent="0.2">
      <c r="C38" s="266" t="s">
        <v>43</v>
      </c>
      <c r="F38" s="267" t="s">
        <v>39</v>
      </c>
      <c r="G38" s="271">
        <v>0</v>
      </c>
      <c r="H38" s="271">
        <v>0</v>
      </c>
      <c r="I38" s="271">
        <v>0.5</v>
      </c>
      <c r="J38" s="271">
        <v>0.5</v>
      </c>
      <c r="K38" s="271">
        <v>1</v>
      </c>
      <c r="L38" s="272">
        <v>1</v>
      </c>
      <c r="M38" s="272">
        <v>1</v>
      </c>
      <c r="N38" s="272">
        <v>2</v>
      </c>
      <c r="O38" s="272">
        <v>2</v>
      </c>
      <c r="P38" s="272">
        <v>2</v>
      </c>
    </row>
    <row r="39" spans="3:16" ht="15.75" customHeight="1" outlineLevel="1" x14ac:dyDescent="0.2">
      <c r="C39" s="266" t="s">
        <v>44</v>
      </c>
      <c r="F39" s="267" t="s">
        <v>39</v>
      </c>
      <c r="G39" s="271">
        <v>0</v>
      </c>
      <c r="H39" s="271">
        <v>0</v>
      </c>
      <c r="I39" s="271">
        <v>0.5</v>
      </c>
      <c r="J39" s="271">
        <v>0.5</v>
      </c>
      <c r="K39" s="271">
        <v>0.5</v>
      </c>
      <c r="L39" s="273">
        <v>0.5</v>
      </c>
      <c r="M39" s="273">
        <v>0.75</v>
      </c>
      <c r="N39" s="273">
        <v>0.75</v>
      </c>
      <c r="O39" s="273">
        <v>1</v>
      </c>
      <c r="P39" s="273">
        <v>1</v>
      </c>
    </row>
    <row r="40" spans="3:16" ht="15.75" customHeight="1" outlineLevel="1" x14ac:dyDescent="0.2">
      <c r="C40" s="274" t="s">
        <v>45</v>
      </c>
      <c r="D40" s="275"/>
      <c r="E40" s="275"/>
      <c r="F40" s="275"/>
      <c r="G40" s="276">
        <f>SUM(G34:G39)</f>
      </c>
      <c r="H40" s="276">
        <f t="shared" ref="H40:P40" si="7">SUM(H34:H39)</f>
      </c>
      <c r="I40" s="276">
        <f t="shared" si="7"/>
      </c>
      <c r="J40" s="276">
        <f t="shared" si="7"/>
      </c>
      <c r="K40" s="276">
        <f t="shared" si="7"/>
      </c>
      <c r="L40" s="276">
        <f t="shared" si="7"/>
      </c>
      <c r="M40" s="276">
        <f t="shared" si="7"/>
      </c>
      <c r="N40" s="276">
        <f t="shared" si="7"/>
      </c>
      <c r="O40" s="276">
        <f t="shared" si="7"/>
      </c>
      <c r="P40" s="276">
        <f t="shared" si="7"/>
      </c>
    </row>
    <row r="41" spans="3:16" ht="15.75" customHeight="1" outlineLevel="1" x14ac:dyDescent="0.2">
      <c r="K41" s="259"/>
      <c r="P41" s="259"/>
    </row>
    <row r="42" spans="3:16" ht="15.75" customHeight="1" outlineLevel="1" x14ac:dyDescent="0.2">
      <c r="C42" s="277" t="s">
        <v>46</v>
      </c>
      <c r="D42" s="264"/>
      <c r="E42" s="264"/>
      <c r="F42" s="264"/>
      <c r="G42" s="264"/>
      <c r="H42" s="264"/>
      <c r="I42" s="264"/>
      <c r="J42" s="264"/>
      <c r="K42" s="265"/>
      <c r="L42" s="264"/>
      <c r="M42" s="264"/>
      <c r="N42" s="264"/>
      <c r="O42" s="264"/>
      <c r="P42" s="265"/>
    </row>
    <row r="43" spans="3:16" ht="15.75" customHeight="1" outlineLevel="1" x14ac:dyDescent="0.2">
      <c r="C43" s="266" t="str">
        <f t="shared" ref="C43:C48" si="8">+C34</f>
      </c>
      <c r="F43" s="267" t="s">
        <v>47</v>
      </c>
      <c r="G43" s="278" t="str">
        <f>IFERROR(-G103/G34,"N/A")</f>
      </c>
      <c r="H43" s="278" t="str">
        <f t="shared" ref="H43:K43" si="9">IFERROR(-H103/H34,"N/A")</f>
      </c>
      <c r="I43" s="278">
        <f t="shared" si="9"/>
      </c>
      <c r="J43" s="278">
        <f t="shared" si="9"/>
      </c>
      <c r="K43" s="278">
        <f t="shared" si="9"/>
      </c>
      <c r="L43" s="279">
        <f t="shared" ref="L43:P48" si="10">+K43*(1+L$50)</f>
      </c>
      <c r="M43" s="279">
        <f t="shared" si="10"/>
      </c>
      <c r="N43" s="279">
        <f t="shared" si="10"/>
      </c>
      <c r="O43" s="279">
        <f t="shared" si="10"/>
      </c>
      <c r="P43" s="279">
        <f t="shared" si="10"/>
      </c>
    </row>
    <row r="44" spans="3:16" ht="15.75" customHeight="1" outlineLevel="1" x14ac:dyDescent="0.2">
      <c r="C44" s="266" t="str">
        <f t="shared" si="8"/>
      </c>
      <c r="F44" s="267" t="s">
        <v>47</v>
      </c>
      <c r="G44" s="280" t="str">
        <f>IFERROR(-G105/G35,"N/A")</f>
      </c>
      <c r="H44" s="280">
        <f t="shared" ref="H44:K46" si="11">IFERROR(-H105/H35,"N/A")</f>
      </c>
      <c r="I44" s="280">
        <f t="shared" si="11"/>
      </c>
      <c r="J44" s="280">
        <f t="shared" si="11"/>
      </c>
      <c r="K44" s="280">
        <f t="shared" si="11"/>
      </c>
      <c r="L44" s="281">
        <f t="shared" si="10"/>
      </c>
      <c r="M44" s="281">
        <f t="shared" si="10"/>
      </c>
      <c r="N44" s="281">
        <f t="shared" si="10"/>
      </c>
      <c r="O44" s="281">
        <f t="shared" si="10"/>
      </c>
      <c r="P44" s="281">
        <f t="shared" si="10"/>
      </c>
    </row>
    <row r="45" spans="3:16" ht="15.75" customHeight="1" outlineLevel="1" x14ac:dyDescent="0.2">
      <c r="C45" s="266" t="str">
        <f t="shared" si="8"/>
      </c>
      <c r="F45" s="267" t="s">
        <v>47</v>
      </c>
      <c r="G45" s="280" t="str">
        <f>IFERROR(-G106/G36,"N/A")</f>
      </c>
      <c r="H45" s="280">
        <f t="shared" si="11"/>
      </c>
      <c r="I45" s="280">
        <f t="shared" si="11"/>
      </c>
      <c r="J45" s="280">
        <f t="shared" si="11"/>
      </c>
      <c r="K45" s="280">
        <f t="shared" si="11"/>
      </c>
      <c r="L45" s="281">
        <f t="shared" si="10"/>
      </c>
      <c r="M45" s="281">
        <f t="shared" si="10"/>
      </c>
      <c r="N45" s="281">
        <f t="shared" si="10"/>
      </c>
      <c r="O45" s="281">
        <f t="shared" si="10"/>
      </c>
      <c r="P45" s="281">
        <f t="shared" si="10"/>
      </c>
    </row>
    <row r="46" spans="3:16" ht="15.75" customHeight="1" outlineLevel="1" x14ac:dyDescent="0.2">
      <c r="C46" s="266" t="str">
        <f t="shared" si="8"/>
      </c>
      <c r="F46" s="267" t="s">
        <v>47</v>
      </c>
      <c r="G46" s="280" t="str">
        <f>IFERROR(-G107/G37,"N/A")</f>
      </c>
      <c r="H46" s="280" t="str">
        <f t="shared" si="11"/>
      </c>
      <c r="I46" s="280">
        <f t="shared" si="11"/>
      </c>
      <c r="J46" s="280">
        <f t="shared" si="11"/>
      </c>
      <c r="K46" s="280">
        <f t="shared" si="11"/>
      </c>
      <c r="L46" s="281">
        <f t="shared" si="10"/>
      </c>
      <c r="M46" s="281">
        <f t="shared" si="10"/>
      </c>
      <c r="N46" s="281">
        <f t="shared" si="10"/>
      </c>
      <c r="O46" s="281">
        <f t="shared" si="10"/>
      </c>
      <c r="P46" s="281">
        <f t="shared" si="10"/>
      </c>
    </row>
    <row r="47" spans="3:16" ht="15.75" customHeight="1" outlineLevel="1" x14ac:dyDescent="0.2">
      <c r="C47" s="266" t="str">
        <f t="shared" si="8"/>
      </c>
      <c r="F47" s="267" t="s">
        <v>47</v>
      </c>
      <c r="G47" s="280" t="str">
        <f>IFERROR(-G111/G38,"N/A")</f>
      </c>
      <c r="H47" s="280" t="str">
        <f t="shared" ref="H47:K48" si="12">IFERROR(-H111/H38,"N/A")</f>
      </c>
      <c r="I47" s="280">
        <f t="shared" si="12"/>
      </c>
      <c r="J47" s="280">
        <f t="shared" si="12"/>
      </c>
      <c r="K47" s="280">
        <f t="shared" si="12"/>
      </c>
      <c r="L47" s="281">
        <f t="shared" si="10"/>
      </c>
      <c r="M47" s="281">
        <f t="shared" si="10"/>
      </c>
      <c r="N47" s="281">
        <f t="shared" si="10"/>
      </c>
      <c r="O47" s="281">
        <f t="shared" si="10"/>
      </c>
      <c r="P47" s="281">
        <f t="shared" si="10"/>
      </c>
    </row>
    <row r="48" spans="3:16" ht="15.75" customHeight="1" outlineLevel="1" x14ac:dyDescent="0.2">
      <c r="C48" s="266" t="str">
        <f t="shared" si="8"/>
      </c>
      <c r="F48" s="267" t="s">
        <v>47</v>
      </c>
      <c r="G48" s="280" t="str">
        <f>IFERROR(-G112/G39,"N/A")</f>
      </c>
      <c r="H48" s="280" t="str">
        <f t="shared" si="12"/>
      </c>
      <c r="I48" s="280">
        <f t="shared" si="12"/>
      </c>
      <c r="J48" s="280">
        <f t="shared" si="12"/>
      </c>
      <c r="K48" s="280">
        <f t="shared" si="12"/>
      </c>
      <c r="L48" s="281">
        <f t="shared" si="10"/>
      </c>
      <c r="M48" s="281">
        <f t="shared" si="10"/>
      </c>
      <c r="N48" s="281">
        <f t="shared" si="10"/>
      </c>
      <c r="O48" s="281">
        <f t="shared" si="10"/>
      </c>
      <c r="P48" s="281">
        <f t="shared" si="10"/>
      </c>
    </row>
    <row r="49" spans="2:16" ht="15.75" customHeight="1" outlineLevel="1" x14ac:dyDescent="0.2">
      <c r="K49" s="259"/>
      <c r="P49" s="259"/>
    </row>
    <row r="50" spans="2:16" ht="15.75" customHeight="1" outlineLevel="1" x14ac:dyDescent="0.2">
      <c r="C50" s="246" t="s">
        <v>48</v>
      </c>
      <c r="F50" s="267" t="s">
        <v>21</v>
      </c>
      <c r="K50" s="259"/>
      <c r="L50" s="269">
        <v>0.04</v>
      </c>
      <c r="M50" s="269">
        <v>0.04</v>
      </c>
      <c r="N50" s="269">
        <v>0.04</v>
      </c>
      <c r="O50" s="269">
        <v>0.04</v>
      </c>
      <c r="P50" s="269">
        <v>0.04</v>
      </c>
    </row>
    <row r="51" spans="2:16" ht="15.75" customHeight="1" x14ac:dyDescent="0.2">
      <c r="B51" s="249"/>
      <c r="G51" s="248"/>
    </row>
    <row r="52" spans="2:16" ht="15.75" customHeight="1" x14ac:dyDescent="0.2">
      <c r="B52" s="250"/>
      <c r="C52" s="250"/>
      <c r="D52" s="250"/>
      <c r="E52" s="250"/>
      <c r="F52" s="250"/>
      <c r="G52" s="251" t="str">
        <f>+$G$5</f>
      </c>
      <c r="H52" s="252"/>
      <c r="I52" s="252"/>
      <c r="J52" s="252"/>
      <c r="K52" s="253"/>
      <c r="L52" s="251" t="str">
        <f>+$L$5</f>
      </c>
      <c r="M52" s="251"/>
      <c r="N52" s="251"/>
      <c r="O52" s="251"/>
      <c r="P52" s="251"/>
    </row>
    <row r="53" spans="2:16" ht="15.75" customHeight="1" x14ac:dyDescent="0.2">
      <c r="B53" s="254" t="s">
        <v>49</v>
      </c>
      <c r="C53" s="255"/>
      <c r="D53" s="255"/>
      <c r="E53" s="255"/>
      <c r="F53" s="256" t="str">
        <f>+$F$6</f>
      </c>
      <c r="G53" s="257" t="str">
        <f>+$G$6</f>
      </c>
      <c r="H53" s="257" t="str">
        <f>+$H$6</f>
      </c>
      <c r="I53" s="257" t="str">
        <f>+$I$6</f>
      </c>
      <c r="J53" s="257" t="str">
        <f>+$J$6</f>
      </c>
      <c r="K53" s="258" t="str">
        <f>+$K$6</f>
      </c>
      <c r="L53" s="257" t="str">
        <f>+$L$6</f>
      </c>
      <c r="M53" s="257" t="str">
        <f>+$M$6</f>
      </c>
      <c r="N53" s="257" t="str">
        <f>+$N$6</f>
      </c>
      <c r="O53" s="257" t="str">
        <f>+$O$6</f>
      </c>
      <c r="P53" s="257" t="str">
        <f>+$P$6</f>
      </c>
    </row>
    <row r="54" spans="2:16" ht="15.75" customHeight="1" outlineLevel="1" x14ac:dyDescent="0.2">
      <c r="K54" s="259"/>
      <c r="P54" s="259"/>
    </row>
    <row r="55" spans="2:16" ht="15.75" customHeight="1" outlineLevel="1" x14ac:dyDescent="0.2">
      <c r="C55" s="246" t="s">
        <v>50</v>
      </c>
      <c r="F55" s="267" t="s">
        <v>21</v>
      </c>
      <c r="G55" s="282">
        <f>IFERROR(+G140/G84,"N/A")</f>
      </c>
      <c r="H55" s="282">
        <f t="shared" ref="H55:K55" si="13">IFERROR(+H140/H84,"N/A")</f>
      </c>
      <c r="I55" s="282">
        <f t="shared" si="13"/>
      </c>
      <c r="J55" s="282">
        <f t="shared" si="13"/>
      </c>
      <c r="K55" s="282">
        <f t="shared" si="13"/>
      </c>
      <c r="L55" s="269">
        <v>1.2E-2</v>
      </c>
      <c r="M55" s="269">
        <v>1.2999999999999999E-2</v>
      </c>
      <c r="N55" s="269">
        <v>1.4E-2</v>
      </c>
      <c r="O55" s="269">
        <v>1.4999999999999999E-2</v>
      </c>
      <c r="P55" s="269">
        <v>1.6E-2</v>
      </c>
    </row>
    <row r="56" spans="2:16" ht="15.75" customHeight="1" outlineLevel="1" x14ac:dyDescent="0.2">
      <c r="C56" s="246" t="s">
        <v>51</v>
      </c>
      <c r="F56" s="267" t="s">
        <v>21</v>
      </c>
      <c r="G56" s="282">
        <f>IFERROR(-G152/G$113,"N/A")</f>
      </c>
      <c r="H56" s="282">
        <f t="shared" ref="H56:K57" si="14">IFERROR(-H152/H$113,"N/A")</f>
      </c>
      <c r="I56" s="282">
        <f t="shared" si="14"/>
      </c>
      <c r="J56" s="282">
        <f t="shared" si="14"/>
      </c>
      <c r="K56" s="282">
        <f t="shared" si="14"/>
      </c>
      <c r="L56" s="269">
        <v>2.1999999999999999E-2</v>
      </c>
      <c r="M56" s="269">
        <v>2.4E-2</v>
      </c>
      <c r="N56" s="269">
        <v>2.4E-2</v>
      </c>
      <c r="O56" s="269">
        <v>2.5999999999999999E-2</v>
      </c>
      <c r="P56" s="269">
        <v>2.5999999999999999E-2</v>
      </c>
    </row>
    <row r="57" spans="2:16" ht="15.75" customHeight="1" outlineLevel="1" x14ac:dyDescent="0.2">
      <c r="C57" s="246" t="s">
        <v>52</v>
      </c>
      <c r="F57" s="267" t="s">
        <v>21</v>
      </c>
      <c r="G57" s="282">
        <f>IFERROR(-G153/G$113,"N/A")</f>
      </c>
      <c r="H57" s="282">
        <f t="shared" si="14"/>
      </c>
      <c r="I57" s="282">
        <f t="shared" si="14"/>
      </c>
      <c r="J57" s="282">
        <f t="shared" si="14"/>
      </c>
      <c r="K57" s="282">
        <f t="shared" si="14"/>
      </c>
      <c r="L57" s="269">
        <v>1.7000000000000001E-2</v>
      </c>
      <c r="M57" s="269">
        <v>1.7000000000000001E-2</v>
      </c>
      <c r="N57" s="269">
        <v>1.9E-2</v>
      </c>
      <c r="O57" s="269">
        <v>1.9E-2</v>
      </c>
      <c r="P57" s="269">
        <v>0.02</v>
      </c>
    </row>
    <row r="58" spans="2:16" ht="15.75" customHeight="1" outlineLevel="1" x14ac:dyDescent="0.2">
      <c r="C58" s="246" t="s">
        <v>53</v>
      </c>
      <c r="F58" s="267" t="s">
        <v>21</v>
      </c>
      <c r="G58" s="282">
        <f>IFERROR(+G157/G84,"N/A")</f>
      </c>
      <c r="H58" s="282">
        <f t="shared" ref="H58:K58" si="15">IFERROR(+H157/H84,"N/A")</f>
      </c>
      <c r="I58" s="282">
        <f t="shared" si="15"/>
      </c>
      <c r="J58" s="282">
        <f t="shared" si="15"/>
      </c>
      <c r="K58" s="282">
        <f t="shared" si="15"/>
      </c>
      <c r="L58" s="269">
        <v>1.2E-2</v>
      </c>
      <c r="M58" s="269">
        <v>1.4E-2</v>
      </c>
      <c r="N58" s="269">
        <v>1.4999999999999999E-2</v>
      </c>
      <c r="O58" s="269">
        <v>1.7000000000000001E-2</v>
      </c>
      <c r="P58" s="269">
        <v>1.9E-2</v>
      </c>
    </row>
    <row r="59" spans="2:16" ht="15.75" customHeight="1" outlineLevel="1" x14ac:dyDescent="0.2">
      <c r="K59" s="259"/>
      <c r="P59" s="259"/>
    </row>
    <row r="60" spans="2:16" ht="15.75" customHeight="1" outlineLevel="1" x14ac:dyDescent="0.2">
      <c r="C60" s="246" t="s">
        <v>54</v>
      </c>
      <c r="F60" s="267" t="s">
        <v>21</v>
      </c>
      <c r="G60" s="282">
        <f>IFERROR(-G181/G84,"N/A")</f>
      </c>
      <c r="H60" s="282">
        <f>IFERROR(-H181/H84,"N/A")</f>
      </c>
      <c r="I60" s="282">
        <f>IFERROR(-I181/I84,"N/A")</f>
      </c>
      <c r="J60" s="282">
        <f>IFERROR(-J181/J84,"N/A")</f>
      </c>
      <c r="K60" s="282">
        <f>IFERROR(-K181/K84,"N/A")</f>
      </c>
      <c r="L60" s="269">
        <v>6.0000000000000001E-3</v>
      </c>
      <c r="M60" s="269">
        <v>7.0000000000000001E-3</v>
      </c>
      <c r="N60" s="269">
        <v>7.0000000000000001E-3</v>
      </c>
      <c r="O60" s="269">
        <v>8.0000000000000002E-3</v>
      </c>
      <c r="P60" s="269">
        <v>8.0000000000000002E-3</v>
      </c>
    </row>
    <row r="61" spans="2:16" ht="15.75" customHeight="1" outlineLevel="1" x14ac:dyDescent="0.2">
      <c r="C61" s="283" t="s">
        <v>55</v>
      </c>
      <c r="F61" s="267" t="s">
        <v>56</v>
      </c>
      <c r="G61" s="280">
        <f>+G182</f>
      </c>
      <c r="H61" s="280">
        <f>+H182</f>
      </c>
      <c r="I61" s="280">
        <f>+I182</f>
      </c>
      <c r="J61" s="280">
        <f>+J182</f>
      </c>
      <c r="K61" s="280">
        <f>+K182</f>
      </c>
      <c r="L61" s="284">
        <v>-500</v>
      </c>
      <c r="M61" s="284">
        <v>-600</v>
      </c>
      <c r="N61" s="284">
        <v>-750</v>
      </c>
      <c r="O61" s="284">
        <v>-900</v>
      </c>
      <c r="P61" s="285">
        <v>-1100</v>
      </c>
    </row>
    <row r="62" spans="2:16" ht="15.75" customHeight="1" outlineLevel="1" x14ac:dyDescent="0.2">
      <c r="K62" s="259"/>
      <c r="P62" s="259"/>
    </row>
    <row r="63" spans="2:16" ht="15.75" customHeight="1" outlineLevel="1" x14ac:dyDescent="0.2">
      <c r="C63" s="283" t="s">
        <v>57</v>
      </c>
      <c r="F63" s="267" t="s">
        <v>56</v>
      </c>
      <c r="G63" s="280">
        <f>+G186</f>
      </c>
      <c r="H63" s="280">
        <f>+H186</f>
      </c>
      <c r="I63" s="280">
        <f>+I186</f>
      </c>
      <c r="J63" s="280">
        <f>+J186</f>
      </c>
      <c r="K63" s="280">
        <f>+K186</f>
      </c>
      <c r="L63" s="284">
        <v>3500</v>
      </c>
      <c r="M63" s="284">
        <v>3800</v>
      </c>
      <c r="N63" s="284">
        <v>4100</v>
      </c>
      <c r="O63" s="284">
        <v>4400</v>
      </c>
      <c r="P63" s="285">
        <v>4700</v>
      </c>
    </row>
    <row r="64" spans="2:16" ht="15.75" customHeight="1" outlineLevel="1" x14ac:dyDescent="0.2">
      <c r="C64" s="283" t="s">
        <v>58</v>
      </c>
      <c r="F64" s="267" t="s">
        <v>56</v>
      </c>
      <c r="G64" s="282">
        <f>-G187/G84</f>
      </c>
      <c r="H64" s="282">
        <f>-H187/H84</f>
      </c>
      <c r="I64" s="282">
        <f>-I187/I84</f>
      </c>
      <c r="J64" s="282">
        <f>-J187/J84</f>
      </c>
      <c r="K64" s="282">
        <f>-K187/K84</f>
      </c>
      <c r="L64" s="269">
        <v>0.2</v>
      </c>
      <c r="M64" s="270">
        <f>+L64</f>
      </c>
      <c r="N64" s="270">
        <f t="shared" ref="N64:P64" si="16">+M64</f>
      </c>
      <c r="O64" s="270">
        <f t="shared" si="16"/>
      </c>
      <c r="P64" s="270">
        <f t="shared" si="16"/>
      </c>
    </row>
    <row r="65" spans="2:16" ht="15.75" customHeight="1" outlineLevel="1" x14ac:dyDescent="0.2">
      <c r="B65" s="249"/>
      <c r="G65" s="248"/>
    </row>
    <row r="66" spans="2:16" ht="15.75" customHeight="1" outlineLevel="1" x14ac:dyDescent="0.2">
      <c r="B66" s="249"/>
      <c r="C66" s="283" t="s">
        <v>59</v>
      </c>
      <c r="F66" s="267" t="s">
        <v>56</v>
      </c>
      <c r="G66" s="286">
        <f>-G187</f>
      </c>
      <c r="H66" s="286">
        <f t="shared" ref="H66:P66" si="17">-H187</f>
      </c>
      <c r="I66" s="286">
        <f t="shared" si="17"/>
      </c>
      <c r="J66" s="286">
        <f t="shared" si="17"/>
      </c>
      <c r="K66" s="286">
        <f t="shared" si="17"/>
      </c>
      <c r="L66" s="286">
        <f t="shared" si="17"/>
      </c>
      <c r="M66" s="286">
        <f t="shared" si="17"/>
      </c>
      <c r="N66" s="286">
        <f t="shared" si="17"/>
      </c>
      <c r="O66" s="286">
        <f t="shared" si="17"/>
      </c>
      <c r="P66" s="286">
        <f t="shared" si="17"/>
      </c>
    </row>
    <row r="67" spans="2:16" ht="15.75" customHeight="1" outlineLevel="1" x14ac:dyDescent="0.2">
      <c r="B67" s="249"/>
      <c r="G67" s="248"/>
    </row>
    <row r="68" spans="2:16" ht="15.75" customHeight="1" outlineLevel="1" x14ac:dyDescent="0.2">
      <c r="B68" s="249"/>
      <c r="C68" s="283" t="s">
        <v>60</v>
      </c>
      <c r="F68" s="267" t="s">
        <v>21</v>
      </c>
      <c r="G68" s="269">
        <v>0.25</v>
      </c>
      <c r="H68" s="269">
        <v>0.2</v>
      </c>
      <c r="I68" s="269">
        <v>0.15</v>
      </c>
      <c r="J68" s="269">
        <v>0.1</v>
      </c>
      <c r="K68" s="269">
        <v>0.1</v>
      </c>
      <c r="L68" s="269">
        <v>0.05</v>
      </c>
      <c r="M68" s="269">
        <v>0.05</v>
      </c>
      <c r="N68" s="269">
        <v>0.05</v>
      </c>
      <c r="O68" s="269">
        <v>0.05</v>
      </c>
      <c r="P68" s="269">
        <v>0.05</v>
      </c>
    </row>
    <row r="69" spans="2:16" ht="15.75" customHeight="1" outlineLevel="1" x14ac:dyDescent="0.2">
      <c r="B69" s="249"/>
      <c r="C69" s="283" t="s">
        <v>61</v>
      </c>
      <c r="F69" s="267" t="s">
        <v>21</v>
      </c>
      <c r="G69" s="269">
        <v>0.5</v>
      </c>
      <c r="H69" s="269">
        <v>0.5</v>
      </c>
      <c r="I69" s="269">
        <v>0.5</v>
      </c>
      <c r="J69" s="269">
        <v>0.55000000000000004</v>
      </c>
      <c r="K69" s="269">
        <v>0.55000000000000004</v>
      </c>
      <c r="L69" s="269">
        <v>0.6</v>
      </c>
      <c r="M69" s="269">
        <v>0.65</v>
      </c>
      <c r="N69" s="269">
        <v>0.65</v>
      </c>
      <c r="O69" s="269">
        <v>0.65</v>
      </c>
      <c r="P69" s="269">
        <v>0.65</v>
      </c>
    </row>
    <row r="70" spans="2:16" ht="15.75" customHeight="1" outlineLevel="1" x14ac:dyDescent="0.2">
      <c r="B70" s="249"/>
      <c r="C70" s="283" t="s">
        <v>62</v>
      </c>
      <c r="F70" s="267" t="s">
        <v>21</v>
      </c>
      <c r="G70" s="269">
        <v>0.25</v>
      </c>
      <c r="H70" s="269">
        <v>0.3</v>
      </c>
      <c r="I70" s="269">
        <v>0.35</v>
      </c>
      <c r="J70" s="269">
        <v>0.35</v>
      </c>
      <c r="K70" s="269">
        <v>0.35</v>
      </c>
      <c r="L70" s="269">
        <v>0.35</v>
      </c>
      <c r="M70" s="269">
        <v>0.3</v>
      </c>
      <c r="N70" s="269">
        <v>0.3</v>
      </c>
      <c r="O70" s="269">
        <v>0.3</v>
      </c>
      <c r="P70" s="269">
        <v>0.3</v>
      </c>
    </row>
    <row r="71" spans="2:16" ht="15.75" customHeight="1" outlineLevel="1" x14ac:dyDescent="0.2">
      <c r="B71" s="249"/>
      <c r="G71" s="287"/>
      <c r="H71" s="287"/>
      <c r="I71" s="287"/>
      <c r="J71" s="287"/>
      <c r="K71" s="287"/>
      <c r="L71" s="287"/>
      <c r="M71" s="287"/>
      <c r="N71" s="287"/>
      <c r="O71" s="287"/>
      <c r="P71" s="287"/>
    </row>
    <row r="72" spans="2:16" ht="15.75" customHeight="1" outlineLevel="1" x14ac:dyDescent="0.2">
      <c r="B72" s="249"/>
      <c r="C72" s="283" t="s">
        <v>60</v>
      </c>
      <c r="F72" s="267" t="s">
        <v>56</v>
      </c>
      <c r="G72" s="286">
        <f>+G$66*G68</f>
      </c>
      <c r="H72" s="286">
        <f t="shared" ref="H72:P72" si="18">+H$66*H68</f>
      </c>
      <c r="I72" s="286">
        <f t="shared" si="18"/>
      </c>
      <c r="J72" s="286">
        <f t="shared" si="18"/>
      </c>
      <c r="K72" s="286">
        <f t="shared" si="18"/>
      </c>
      <c r="L72" s="286">
        <f t="shared" si="18"/>
      </c>
      <c r="M72" s="286">
        <f t="shared" si="18"/>
      </c>
      <c r="N72" s="286">
        <f t="shared" si="18"/>
      </c>
      <c r="O72" s="286">
        <f t="shared" si="18"/>
      </c>
      <c r="P72" s="286">
        <f t="shared" si="18"/>
      </c>
    </row>
    <row r="73" spans="2:16" ht="15.75" customHeight="1" outlineLevel="1" x14ac:dyDescent="0.2">
      <c r="B73" s="249"/>
      <c r="C73" s="283" t="s">
        <v>61</v>
      </c>
      <c r="F73" s="267" t="s">
        <v>56</v>
      </c>
      <c r="G73" s="286">
        <f t="shared" ref="G73:P74" si="19">+G$66*G69</f>
      </c>
      <c r="H73" s="286">
        <f t="shared" si="19"/>
      </c>
      <c r="I73" s="286">
        <f t="shared" si="19"/>
      </c>
      <c r="J73" s="286">
        <f t="shared" si="19"/>
      </c>
      <c r="K73" s="286">
        <f t="shared" si="19"/>
      </c>
      <c r="L73" s="286">
        <f t="shared" si="19"/>
      </c>
      <c r="M73" s="286">
        <f t="shared" si="19"/>
      </c>
      <c r="N73" s="286">
        <f t="shared" si="19"/>
      </c>
      <c r="O73" s="286">
        <f t="shared" si="19"/>
      </c>
      <c r="P73" s="286">
        <f t="shared" si="19"/>
      </c>
    </row>
    <row r="74" spans="2:16" ht="15.75" customHeight="1" outlineLevel="1" x14ac:dyDescent="0.2">
      <c r="B74" s="249"/>
      <c r="C74" s="283" t="s">
        <v>62</v>
      </c>
      <c r="F74" s="267" t="s">
        <v>56</v>
      </c>
      <c r="G74" s="286">
        <f t="shared" si="19"/>
      </c>
      <c r="H74" s="286">
        <f t="shared" si="19"/>
      </c>
      <c r="I74" s="286">
        <f t="shared" si="19"/>
      </c>
      <c r="J74" s="286">
        <f t="shared" si="19"/>
      </c>
      <c r="K74" s="286">
        <f t="shared" si="19"/>
      </c>
      <c r="L74" s="286">
        <f t="shared" si="19"/>
      </c>
      <c r="M74" s="286">
        <f t="shared" si="19"/>
      </c>
      <c r="N74" s="286">
        <f t="shared" si="19"/>
      </c>
      <c r="O74" s="286">
        <f t="shared" si="19"/>
      </c>
      <c r="P74" s="286">
        <f t="shared" si="19"/>
      </c>
    </row>
    <row r="75" spans="2:16" ht="15.75" customHeight="1" x14ac:dyDescent="0.2">
      <c r="B75" s="249"/>
      <c r="G75" s="248"/>
    </row>
    <row r="76" spans="2:16" ht="15.75" customHeight="1" x14ac:dyDescent="0.2">
      <c r="B76" s="250"/>
      <c r="C76" s="250"/>
      <c r="D76" s="250"/>
      <c r="E76" s="250"/>
      <c r="F76" s="250"/>
      <c r="G76" s="251" t="str">
        <f>+$G$5</f>
      </c>
      <c r="H76" s="252"/>
      <c r="I76" s="252"/>
      <c r="J76" s="252"/>
      <c r="K76" s="253"/>
      <c r="L76" s="251" t="str">
        <f>+$L$5</f>
      </c>
      <c r="M76" s="251"/>
      <c r="N76" s="251"/>
      <c r="O76" s="251"/>
      <c r="P76" s="251"/>
    </row>
    <row r="77" spans="2:16" ht="15.75" customHeight="1" x14ac:dyDescent="0.2">
      <c r="B77" s="288" t="s">
        <v>63</v>
      </c>
      <c r="C77" s="255"/>
      <c r="D77" s="255"/>
      <c r="E77" s="255"/>
      <c r="F77" s="256" t="str">
        <f>+$F$6</f>
      </c>
      <c r="G77" s="257" t="str">
        <f>+$G$6</f>
      </c>
      <c r="H77" s="257" t="str">
        <f>+$H$6</f>
      </c>
      <c r="I77" s="257" t="str">
        <f>+$I$6</f>
      </c>
      <c r="J77" s="257" t="str">
        <f>+$J$6</f>
      </c>
      <c r="K77" s="258" t="str">
        <f>+$K$6</f>
      </c>
      <c r="L77" s="257" t="str">
        <f>+$L$6</f>
      </c>
      <c r="M77" s="257" t="str">
        <f>+$M$6</f>
      </c>
      <c r="N77" s="257" t="str">
        <f>+$N$6</f>
      </c>
      <c r="O77" s="257" t="str">
        <f>+$O$6</f>
      </c>
      <c r="P77" s="257" t="str">
        <f>+$P$6</f>
      </c>
    </row>
    <row r="78" spans="2:16" ht="15.75" customHeight="1" outlineLevel="1" x14ac:dyDescent="0.2">
      <c r="C78" s="289" t="s">
        <v>64</v>
      </c>
      <c r="G78" s="290"/>
    </row>
    <row r="79" spans="2:16" ht="15.75" customHeight="1" outlineLevel="1" x14ac:dyDescent="0.2">
      <c r="C79" s="266" t="s">
        <v>65</v>
      </c>
      <c r="F79" s="267" t="s">
        <v>56</v>
      </c>
      <c r="G79" s="291">
        <v>108419.37</v>
      </c>
      <c r="H79" s="291">
        <v>263157.05</v>
      </c>
      <c r="I79" s="291">
        <v>433718.41</v>
      </c>
      <c r="J79" s="291">
        <v>583030.14</v>
      </c>
      <c r="K79" s="291">
        <v>734674.71</v>
      </c>
      <c r="L79" s="278">
        <f>+L8*L9</f>
      </c>
      <c r="M79" s="278">
        <f>+M8*M9</f>
      </c>
      <c r="N79" s="278">
        <f>+N8*N9</f>
      </c>
      <c r="O79" s="278">
        <f>+O8*O9</f>
      </c>
      <c r="P79" s="278">
        <f>+P8*P9</f>
      </c>
    </row>
    <row r="80" spans="2:16" ht="15.75" customHeight="1" outlineLevel="1" x14ac:dyDescent="0.2">
      <c r="C80" s="266" t="s">
        <v>66</v>
      </c>
      <c r="F80" s="267" t="s">
        <v>56</v>
      </c>
      <c r="G80" s="292">
        <v>40391.53</v>
      </c>
      <c r="H80" s="292">
        <v>52631.41</v>
      </c>
      <c r="I80" s="292">
        <v>61087.100000000006</v>
      </c>
      <c r="J80" s="292">
        <v>37859.1</v>
      </c>
      <c r="K80" s="292">
        <v>47706.15</v>
      </c>
      <c r="L80" s="280">
        <f t="shared" ref="L80:P83" si="20">+K80*(1+L12)</f>
      </c>
      <c r="M80" s="280">
        <f t="shared" si="20"/>
      </c>
      <c r="N80" s="280">
        <f t="shared" si="20"/>
      </c>
      <c r="O80" s="280">
        <f t="shared" si="20"/>
      </c>
      <c r="P80" s="280">
        <f t="shared" si="20"/>
      </c>
    </row>
    <row r="81" spans="2:16" ht="15.75" customHeight="1" outlineLevel="1" x14ac:dyDescent="0.2">
      <c r="C81" s="266" t="s">
        <v>67</v>
      </c>
      <c r="F81" s="267" t="s">
        <v>56</v>
      </c>
      <c r="G81" s="292">
        <v>36139.79</v>
      </c>
      <c r="H81" s="292">
        <v>44534.27</v>
      </c>
      <c r="I81" s="292">
        <v>54978.39</v>
      </c>
      <c r="J81" s="292">
        <v>60574.559999999998</v>
      </c>
      <c r="K81" s="292">
        <v>66788.61</v>
      </c>
      <c r="L81" s="280">
        <f t="shared" si="20"/>
      </c>
      <c r="M81" s="280">
        <f t="shared" si="20"/>
      </c>
      <c r="N81" s="280">
        <f t="shared" si="20"/>
      </c>
      <c r="O81" s="280">
        <f t="shared" si="20"/>
      </c>
      <c r="P81" s="280">
        <f t="shared" si="20"/>
      </c>
    </row>
    <row r="82" spans="2:16" ht="15.75" customHeight="1" outlineLevel="1" x14ac:dyDescent="0.2">
      <c r="C82" s="266" t="s">
        <v>68</v>
      </c>
      <c r="F82" s="267" t="s">
        <v>56</v>
      </c>
      <c r="G82" s="292">
        <v>8503.48</v>
      </c>
      <c r="H82" s="292">
        <v>20242.850000000002</v>
      </c>
      <c r="I82" s="292">
        <v>30543.550000000003</v>
      </c>
      <c r="J82" s="292">
        <v>53002.740000000005</v>
      </c>
      <c r="K82" s="292">
        <v>76329.84</v>
      </c>
      <c r="L82" s="280">
        <f t="shared" si="20"/>
      </c>
      <c r="M82" s="280">
        <f t="shared" si="20"/>
      </c>
      <c r="N82" s="280">
        <f t="shared" si="20"/>
      </c>
      <c r="O82" s="280">
        <f t="shared" si="20"/>
      </c>
      <c r="P82" s="280">
        <f t="shared" si="20"/>
      </c>
    </row>
    <row r="83" spans="2:16" ht="15.75" customHeight="1" outlineLevel="1" x14ac:dyDescent="0.2">
      <c r="C83" s="266" t="s">
        <v>69</v>
      </c>
      <c r="F83" s="293" t="s">
        <v>56</v>
      </c>
      <c r="G83" s="292">
        <v>19132.829999999998</v>
      </c>
      <c r="H83" s="292">
        <v>24291.42</v>
      </c>
      <c r="I83" s="292">
        <v>30543.550000000003</v>
      </c>
      <c r="J83" s="292">
        <v>22715.46</v>
      </c>
      <c r="K83" s="292">
        <v>28623.69</v>
      </c>
      <c r="L83" s="280">
        <f t="shared" si="20"/>
      </c>
      <c r="M83" s="280">
        <f t="shared" si="20"/>
      </c>
      <c r="N83" s="280">
        <f t="shared" si="20"/>
      </c>
      <c r="O83" s="280">
        <f t="shared" si="20"/>
      </c>
      <c r="P83" s="280">
        <f t="shared" si="20"/>
      </c>
    </row>
    <row r="84" spans="2:16" ht="15.75" customHeight="1" outlineLevel="1" x14ac:dyDescent="0.2">
      <c r="C84" s="294" t="s">
        <v>70</v>
      </c>
      <c r="D84" s="275"/>
      <c r="E84" s="275"/>
      <c r="F84" s="267" t="s">
        <v>56</v>
      </c>
      <c r="G84" s="295">
        <f>SUM(G79:G83)</f>
      </c>
      <c r="H84" s="295">
        <f>SUM(H79:H83)</f>
      </c>
      <c r="I84" s="295">
        <f>SUM(I79:I83)</f>
      </c>
      <c r="J84" s="295">
        <f>SUM(J79:J83)</f>
      </c>
      <c r="K84" s="295">
        <f>SUM(K79:K83)</f>
      </c>
      <c r="L84" s="295">
        <f t="shared" ref="L84:P84" si="21">SUM(L79:L83)</f>
      </c>
      <c r="M84" s="295">
        <f t="shared" si="21"/>
      </c>
      <c r="N84" s="295">
        <f t="shared" si="21"/>
      </c>
      <c r="O84" s="295">
        <f t="shared" si="21"/>
      </c>
      <c r="P84" s="295">
        <f t="shared" si="21"/>
      </c>
    </row>
    <row r="85" spans="2:16" ht="15.75" customHeight="1" outlineLevel="1" x14ac:dyDescent="0.2">
      <c r="B85" s="289"/>
      <c r="H85" s="296"/>
      <c r="I85" s="296"/>
      <c r="J85" s="296"/>
      <c r="K85" s="296"/>
      <c r="L85" s="296"/>
      <c r="M85" s="296"/>
      <c r="N85" s="296"/>
      <c r="O85" s="296"/>
      <c r="P85" s="296"/>
    </row>
    <row r="86" spans="2:16" ht="15.75" customHeight="1" outlineLevel="1" x14ac:dyDescent="0.2">
      <c r="C86" s="289" t="s">
        <v>71</v>
      </c>
    </row>
    <row r="87" spans="2:16" ht="15.75" customHeight="1" outlineLevel="1" x14ac:dyDescent="0.2">
      <c r="C87" s="266" t="s">
        <v>72</v>
      </c>
      <c r="F87" s="267" t="s">
        <v>56</v>
      </c>
      <c r="G87" s="292">
        <v>-20195.764999999999</v>
      </c>
      <c r="H87" s="292">
        <v>-26315.705000000002</v>
      </c>
      <c r="I87" s="292">
        <v>-30543.550000000003</v>
      </c>
      <c r="J87" s="292">
        <v>-18929.55</v>
      </c>
      <c r="K87" s="292">
        <v>-23853.075000000001</v>
      </c>
      <c r="L87" s="280">
        <f>-L80*L18</f>
      </c>
      <c r="M87" s="280">
        <f t="shared" ref="M87:P89" si="22">-M80*M18</f>
      </c>
      <c r="N87" s="280">
        <f t="shared" si="22"/>
      </c>
      <c r="O87" s="280">
        <f t="shared" si="22"/>
      </c>
      <c r="P87" s="280">
        <f t="shared" si="22"/>
      </c>
    </row>
    <row r="88" spans="2:16" ht="15.75" customHeight="1" outlineLevel="1" x14ac:dyDescent="0.2">
      <c r="C88" s="266" t="s">
        <v>73</v>
      </c>
      <c r="F88" s="267" t="s">
        <v>56</v>
      </c>
      <c r="G88" s="292">
        <v>-18069.895</v>
      </c>
      <c r="H88" s="292">
        <v>-22267.134999999998</v>
      </c>
      <c r="I88" s="292">
        <v>-27489.195</v>
      </c>
      <c r="J88" s="292">
        <v>-30287.279999999999</v>
      </c>
      <c r="K88" s="292">
        <v>-33394.305</v>
      </c>
      <c r="L88" s="280">
        <f>-L81*L19</f>
      </c>
      <c r="M88" s="280">
        <f t="shared" si="22"/>
      </c>
      <c r="N88" s="280">
        <f t="shared" si="22"/>
      </c>
      <c r="O88" s="280">
        <f t="shared" si="22"/>
      </c>
      <c r="P88" s="280">
        <f t="shared" si="22"/>
      </c>
    </row>
    <row r="89" spans="2:16" ht="15.75" customHeight="1" outlineLevel="1" x14ac:dyDescent="0.2">
      <c r="C89" s="266" t="s">
        <v>74</v>
      </c>
      <c r="F89" s="293" t="s">
        <v>56</v>
      </c>
      <c r="G89" s="292">
        <v>0</v>
      </c>
      <c r="H89" s="292">
        <v>-8097.1400000000012</v>
      </c>
      <c r="I89" s="292">
        <v>-12217.420000000002</v>
      </c>
      <c r="J89" s="292">
        <v>-21201.096000000005</v>
      </c>
      <c r="K89" s="292">
        <v>-30531.936000000002</v>
      </c>
      <c r="L89" s="280">
        <f>-L82*L20</f>
      </c>
      <c r="M89" s="280">
        <f t="shared" si="22"/>
      </c>
      <c r="N89" s="280">
        <f t="shared" si="22"/>
      </c>
      <c r="O89" s="280">
        <f t="shared" si="22"/>
      </c>
      <c r="P89" s="280">
        <f t="shared" si="22"/>
      </c>
    </row>
    <row r="90" spans="2:16" ht="15.75" customHeight="1" outlineLevel="1" x14ac:dyDescent="0.2">
      <c r="C90" s="294" t="s">
        <v>75</v>
      </c>
      <c r="D90" s="275"/>
      <c r="E90" s="275"/>
      <c r="F90" s="267" t="s">
        <v>56</v>
      </c>
      <c r="G90" s="295">
        <f>SUM(G87:G89)</f>
      </c>
      <c r="H90" s="295">
        <f>SUM(H87:H89)</f>
      </c>
      <c r="I90" s="295">
        <f>SUM(I87:I89)</f>
      </c>
      <c r="J90" s="295">
        <f>SUM(J87:J89)</f>
      </c>
      <c r="K90" s="295">
        <f>SUM(K87:K89)</f>
      </c>
      <c r="L90" s="295">
        <f t="shared" ref="L90:P90" si="23">SUM(L87:L89)</f>
      </c>
      <c r="M90" s="295">
        <f t="shared" si="23"/>
      </c>
      <c r="N90" s="295">
        <f t="shared" si="23"/>
      </c>
      <c r="O90" s="295">
        <f t="shared" si="23"/>
      </c>
      <c r="P90" s="295">
        <f t="shared" si="23"/>
      </c>
    </row>
    <row r="91" spans="2:16" ht="15.75" customHeight="1" outlineLevel="1" x14ac:dyDescent="0.2"/>
    <row r="92" spans="2:16" ht="15.75" customHeight="1" outlineLevel="1" x14ac:dyDescent="0.2">
      <c r="C92" s="249" t="s">
        <v>76</v>
      </c>
      <c r="F92" s="267" t="s">
        <v>56</v>
      </c>
      <c r="G92" s="297">
        <f>+G84+G90</f>
      </c>
      <c r="H92" s="297">
        <f t="shared" ref="H92:P92" si="24">+H84+H90</f>
      </c>
      <c r="I92" s="297">
        <f t="shared" si="24"/>
      </c>
      <c r="J92" s="297">
        <f t="shared" si="24"/>
      </c>
      <c r="K92" s="297">
        <f t="shared" si="24"/>
      </c>
      <c r="L92" s="297">
        <f t="shared" si="24"/>
      </c>
      <c r="M92" s="297">
        <f t="shared" si="24"/>
      </c>
      <c r="N92" s="297">
        <f t="shared" si="24"/>
      </c>
      <c r="O92" s="297">
        <f t="shared" si="24"/>
      </c>
      <c r="P92" s="297">
        <f t="shared" si="24"/>
      </c>
    </row>
    <row r="93" spans="2:16" ht="15.75" customHeight="1" outlineLevel="1" x14ac:dyDescent="0.2">
      <c r="C93" s="249"/>
      <c r="G93" s="298"/>
      <c r="H93" s="298"/>
      <c r="I93" s="298"/>
      <c r="J93" s="298"/>
      <c r="K93" s="298"/>
      <c r="L93" s="298"/>
      <c r="M93" s="298"/>
      <c r="N93" s="298"/>
      <c r="O93" s="298"/>
      <c r="P93" s="298"/>
    </row>
    <row r="94" spans="2:16" ht="15.75" customHeight="1" outlineLevel="1" x14ac:dyDescent="0.2">
      <c r="C94" s="249" t="s">
        <v>77</v>
      </c>
      <c r="G94" s="298"/>
      <c r="H94" s="298"/>
      <c r="I94" s="298"/>
      <c r="J94" s="298"/>
      <c r="K94" s="298"/>
      <c r="L94" s="298"/>
      <c r="M94" s="298"/>
      <c r="N94" s="298"/>
      <c r="O94" s="298"/>
      <c r="P94" s="298"/>
    </row>
    <row r="95" spans="2:16" ht="15.75" customHeight="1" outlineLevel="1" x14ac:dyDescent="0.2">
      <c r="C95" s="266" t="s">
        <v>78</v>
      </c>
      <c r="F95" s="267" t="s">
        <v>56</v>
      </c>
      <c r="G95" s="292">
        <v>-6165.0230000000001</v>
      </c>
      <c r="H95" s="292">
        <v>-11335.995999999999</v>
      </c>
      <c r="I95" s="292">
        <v>-17104.388000000003</v>
      </c>
      <c r="J95" s="292">
        <v>-21201.096000000001</v>
      </c>
      <c r="K95" s="292">
        <v>-26715.443999999996</v>
      </c>
      <c r="L95" s="280">
        <f>-L$84*L22</f>
      </c>
      <c r="M95" s="280">
        <f t="shared" ref="M95:P96" si="25">-M$84*M22</f>
      </c>
      <c r="N95" s="280">
        <f t="shared" si="25"/>
      </c>
      <c r="O95" s="280">
        <f t="shared" si="25"/>
      </c>
      <c r="P95" s="280">
        <f t="shared" si="25"/>
      </c>
    </row>
    <row r="96" spans="2:16" ht="15.75" customHeight="1" outlineLevel="1" x14ac:dyDescent="0.2">
      <c r="C96" s="266" t="s">
        <v>79</v>
      </c>
      <c r="F96" s="293" t="s">
        <v>56</v>
      </c>
      <c r="G96" s="292">
        <v>-6377.61</v>
      </c>
      <c r="H96" s="292">
        <v>-12550.566999999997</v>
      </c>
      <c r="I96" s="292">
        <v>-21380.485000000008</v>
      </c>
      <c r="J96" s="292">
        <v>-30287.279999999999</v>
      </c>
      <c r="K96" s="292">
        <v>-39119.042999999998</v>
      </c>
      <c r="L96" s="280">
        <f>-L$84*L23</f>
      </c>
      <c r="M96" s="280">
        <f t="shared" si="25"/>
      </c>
      <c r="N96" s="280">
        <f t="shared" si="25"/>
      </c>
      <c r="O96" s="280">
        <f t="shared" si="25"/>
      </c>
      <c r="P96" s="280">
        <f t="shared" si="25"/>
      </c>
    </row>
    <row r="97" spans="3:16" ht="15.75" customHeight="1" outlineLevel="1" x14ac:dyDescent="0.2">
      <c r="C97" s="294" t="s">
        <v>80</v>
      </c>
      <c r="D97" s="275"/>
      <c r="E97" s="275"/>
      <c r="F97" s="267" t="s">
        <v>56</v>
      </c>
      <c r="G97" s="295">
        <f>SUM(G95:G96)</f>
      </c>
      <c r="H97" s="295">
        <f>SUM(H95:H96)</f>
      </c>
      <c r="I97" s="295">
        <f>SUM(I95:I96)</f>
      </c>
      <c r="J97" s="295">
        <f>SUM(J95:J96)</f>
      </c>
      <c r="K97" s="295">
        <f>SUM(K95:K96)</f>
      </c>
      <c r="L97" s="295">
        <f t="shared" ref="L97:P97" si="26">SUM(L95:L96)</f>
      </c>
      <c r="M97" s="295">
        <f t="shared" si="26"/>
      </c>
      <c r="N97" s="295">
        <f t="shared" si="26"/>
      </c>
      <c r="O97" s="295">
        <f t="shared" si="26"/>
      </c>
      <c r="P97" s="295">
        <f t="shared" si="26"/>
      </c>
    </row>
    <row r="98" spans="3:16" ht="15.75" customHeight="1" outlineLevel="1" x14ac:dyDescent="0.2">
      <c r="G98" s="296"/>
      <c r="H98" s="296"/>
      <c r="I98" s="296"/>
      <c r="J98" s="296"/>
      <c r="K98" s="296"/>
      <c r="L98" s="296"/>
      <c r="M98" s="296"/>
      <c r="N98" s="296"/>
      <c r="O98" s="296"/>
      <c r="P98" s="296"/>
    </row>
    <row r="99" spans="3:16" ht="15.75" customHeight="1" outlineLevel="1" x14ac:dyDescent="0.2">
      <c r="C99" s="249" t="s">
        <v>81</v>
      </c>
      <c r="F99" s="267" t="s">
        <v>56</v>
      </c>
      <c r="G99" s="297">
        <f t="shared" ref="G99:P99" si="27">+G92+G97</f>
      </c>
      <c r="H99" s="297">
        <f t="shared" si="27"/>
      </c>
      <c r="I99" s="297">
        <f t="shared" si="27"/>
      </c>
      <c r="J99" s="297">
        <f t="shared" si="27"/>
      </c>
      <c r="K99" s="297">
        <f t="shared" si="27"/>
      </c>
      <c r="L99" s="297">
        <f t="shared" si="27"/>
      </c>
      <c r="M99" s="297">
        <f t="shared" si="27"/>
      </c>
      <c r="N99" s="297">
        <f t="shared" si="27"/>
      </c>
      <c r="O99" s="297">
        <f t="shared" si="27"/>
      </c>
      <c r="P99" s="297">
        <f t="shared" si="27"/>
      </c>
    </row>
    <row r="100" spans="3:16" ht="15.75" customHeight="1" outlineLevel="1" x14ac:dyDescent="0.2">
      <c r="G100" s="296"/>
      <c r="H100" s="296"/>
      <c r="I100" s="296"/>
      <c r="J100" s="296"/>
      <c r="K100" s="296"/>
    </row>
    <row r="101" spans="3:16" ht="15.75" customHeight="1" outlineLevel="1" x14ac:dyDescent="0.2">
      <c r="C101" s="249" t="s">
        <v>82</v>
      </c>
      <c r="G101" s="280"/>
      <c r="H101" s="280"/>
      <c r="I101" s="280"/>
      <c r="J101" s="280"/>
      <c r="K101" s="280"/>
    </row>
    <row r="102" spans="3:16" ht="15.75" customHeight="1" outlineLevel="1" x14ac:dyDescent="0.2">
      <c r="C102" s="266" t="s">
        <v>83</v>
      </c>
      <c r="F102" s="267" t="s">
        <v>56</v>
      </c>
      <c r="G102" s="292">
        <v>-1250</v>
      </c>
      <c r="H102" s="292">
        <v>-1500</v>
      </c>
      <c r="I102" s="292">
        <v>-1500</v>
      </c>
      <c r="J102" s="292">
        <v>-2000</v>
      </c>
      <c r="K102" s="292">
        <v>-2250</v>
      </c>
      <c r="L102" s="280">
        <f>-L$84*L25</f>
      </c>
      <c r="M102" s="280">
        <f t="shared" ref="M102:P102" si="28">-M$84*M25</f>
      </c>
      <c r="N102" s="280">
        <f t="shared" si="28"/>
      </c>
      <c r="O102" s="280">
        <f t="shared" si="28"/>
      </c>
      <c r="P102" s="280">
        <f t="shared" si="28"/>
      </c>
    </row>
    <row r="103" spans="3:16" ht="15.75" customHeight="1" outlineLevel="1" x14ac:dyDescent="0.2">
      <c r="C103" s="266" t="s">
        <v>84</v>
      </c>
      <c r="F103" s="267" t="s">
        <v>56</v>
      </c>
      <c r="G103" s="292">
        <v>0</v>
      </c>
      <c r="H103" s="292">
        <v>-30000</v>
      </c>
      <c r="I103" s="292">
        <v>-30000</v>
      </c>
      <c r="J103" s="292">
        <v>-45000</v>
      </c>
      <c r="K103" s="292">
        <v>-60000</v>
      </c>
      <c r="L103" s="280">
        <f>-L34*L43</f>
      </c>
      <c r="M103" s="280">
        <f t="shared" ref="M103:P103" si="29">-M34*M43</f>
      </c>
      <c r="N103" s="280">
        <f t="shared" si="29"/>
      </c>
      <c r="O103" s="280">
        <f t="shared" si="29"/>
      </c>
      <c r="P103" s="280">
        <f t="shared" si="29"/>
      </c>
    </row>
    <row r="104" spans="3:16" ht="15.75" customHeight="1" outlineLevel="1" x14ac:dyDescent="0.2">
      <c r="C104" s="266" t="s">
        <v>85</v>
      </c>
      <c r="F104" s="267" t="s">
        <v>56</v>
      </c>
      <c r="G104" s="292">
        <v>0</v>
      </c>
      <c r="H104" s="292">
        <v>-10000</v>
      </c>
      <c r="I104" s="292">
        <v>-20000</v>
      </c>
      <c r="J104" s="292">
        <v>-20000</v>
      </c>
      <c r="K104" s="292">
        <v>-30000</v>
      </c>
      <c r="L104" s="280">
        <f>-L$84*L26</f>
      </c>
      <c r="M104" s="280">
        <f t="shared" ref="M104:P104" si="30">-M$84*M26</f>
      </c>
      <c r="N104" s="280">
        <f t="shared" si="30"/>
      </c>
      <c r="O104" s="280">
        <f t="shared" si="30"/>
      </c>
      <c r="P104" s="280">
        <f t="shared" si="30"/>
      </c>
    </row>
    <row r="105" spans="3:16" ht="15.75" customHeight="1" outlineLevel="1" x14ac:dyDescent="0.2">
      <c r="C105" s="266" t="s">
        <v>86</v>
      </c>
      <c r="F105" s="267" t="s">
        <v>56</v>
      </c>
      <c r="G105" s="292">
        <v>-10000</v>
      </c>
      <c r="H105" s="292">
        <v>-30000</v>
      </c>
      <c r="I105" s="292">
        <v>-60000</v>
      </c>
      <c r="J105" s="292">
        <v>-60000</v>
      </c>
      <c r="K105" s="292">
        <v>-60000</v>
      </c>
      <c r="L105" s="280">
        <f>-L35*L44</f>
      </c>
      <c r="M105" s="280">
        <f t="shared" ref="M105:P107" si="31">-M35*M44</f>
      </c>
      <c r="N105" s="280">
        <f t="shared" si="31"/>
      </c>
      <c r="O105" s="280">
        <f t="shared" si="31"/>
      </c>
      <c r="P105" s="280">
        <f t="shared" si="31"/>
      </c>
    </row>
    <row r="106" spans="3:16" ht="15.75" customHeight="1" outlineLevel="1" x14ac:dyDescent="0.2">
      <c r="C106" s="266" t="s">
        <v>87</v>
      </c>
      <c r="F106" s="267" t="s">
        <v>56</v>
      </c>
      <c r="G106" s="292">
        <v>0</v>
      </c>
      <c r="H106" s="292">
        <v>-10000</v>
      </c>
      <c r="I106" s="292">
        <v>-12000</v>
      </c>
      <c r="J106" s="292">
        <v>-12000</v>
      </c>
      <c r="K106" s="292">
        <v>-12000</v>
      </c>
      <c r="L106" s="280">
        <f>-L36*L45</f>
      </c>
      <c r="M106" s="280">
        <f t="shared" si="31"/>
      </c>
      <c r="N106" s="280">
        <f t="shared" si="31"/>
      </c>
      <c r="O106" s="280">
        <f t="shared" si="31"/>
      </c>
      <c r="P106" s="280">
        <f t="shared" si="31"/>
      </c>
    </row>
    <row r="107" spans="3:16" ht="15.75" customHeight="1" outlineLevel="1" x14ac:dyDescent="0.2">
      <c r="C107" s="266" t="s">
        <v>88</v>
      </c>
      <c r="F107" s="267" t="s">
        <v>56</v>
      </c>
      <c r="G107" s="292">
        <v>0</v>
      </c>
      <c r="H107" s="292">
        <v>0</v>
      </c>
      <c r="I107" s="292">
        <v>-40000</v>
      </c>
      <c r="J107" s="292">
        <v>-60000</v>
      </c>
      <c r="K107" s="292">
        <v>-80000</v>
      </c>
      <c r="L107" s="280">
        <f>-L37*L46</f>
      </c>
      <c r="M107" s="280">
        <f t="shared" si="31"/>
      </c>
      <c r="N107" s="280">
        <f t="shared" si="31"/>
      </c>
      <c r="O107" s="280">
        <f t="shared" si="31"/>
      </c>
      <c r="P107" s="280">
        <f t="shared" si="31"/>
      </c>
    </row>
    <row r="108" spans="3:16" ht="15.75" customHeight="1" outlineLevel="1" x14ac:dyDescent="0.2">
      <c r="C108" s="266" t="s">
        <v>89</v>
      </c>
      <c r="F108" s="267" t="s">
        <v>56</v>
      </c>
      <c r="G108" s="292">
        <v>-2000</v>
      </c>
      <c r="H108" s="292">
        <v>-5000</v>
      </c>
      <c r="I108" s="292">
        <v>-10000</v>
      </c>
      <c r="J108" s="292">
        <v>-15000</v>
      </c>
      <c r="K108" s="292">
        <v>-20000</v>
      </c>
      <c r="L108" s="280">
        <f>-L$84*L27</f>
      </c>
      <c r="M108" s="280">
        <f t="shared" ref="M108:P110" si="32">-M$84*M27</f>
      </c>
      <c r="N108" s="280">
        <f t="shared" si="32"/>
      </c>
      <c r="O108" s="280">
        <f t="shared" si="32"/>
      </c>
      <c r="P108" s="280">
        <f t="shared" si="32"/>
      </c>
    </row>
    <row r="109" spans="3:16" ht="15.75" customHeight="1" outlineLevel="1" x14ac:dyDescent="0.2">
      <c r="C109" s="266" t="s">
        <v>90</v>
      </c>
      <c r="F109" s="267" t="s">
        <v>56</v>
      </c>
      <c r="G109" s="292">
        <v>-5768</v>
      </c>
      <c r="H109" s="292">
        <v>-8798</v>
      </c>
      <c r="I109" s="292">
        <v>-6012</v>
      </c>
      <c r="J109" s="292">
        <v>-5123</v>
      </c>
      <c r="K109" s="292">
        <v>-6763</v>
      </c>
      <c r="L109" s="280">
        <f>-L$84*L28</f>
      </c>
      <c r="M109" s="280">
        <f t="shared" si="32"/>
      </c>
      <c r="N109" s="280">
        <f t="shared" si="32"/>
      </c>
      <c r="O109" s="280">
        <f t="shared" si="32"/>
      </c>
      <c r="P109" s="280">
        <f t="shared" si="32"/>
      </c>
    </row>
    <row r="110" spans="3:16" ht="15.75" customHeight="1" outlineLevel="1" x14ac:dyDescent="0.2">
      <c r="C110" s="266" t="s">
        <v>91</v>
      </c>
      <c r="F110" s="267" t="s">
        <v>56</v>
      </c>
      <c r="G110" s="292">
        <v>-568</v>
      </c>
      <c r="H110" s="292">
        <v>-792</v>
      </c>
      <c r="I110" s="292">
        <v>-1011</v>
      </c>
      <c r="J110" s="292">
        <v>-1523</v>
      </c>
      <c r="K110" s="292">
        <v>-2024</v>
      </c>
      <c r="L110" s="280">
        <f>-L$84*L29</f>
      </c>
      <c r="M110" s="280">
        <f t="shared" si="32"/>
      </c>
      <c r="N110" s="280">
        <f t="shared" si="32"/>
      </c>
      <c r="O110" s="280">
        <f t="shared" si="32"/>
      </c>
      <c r="P110" s="280">
        <f t="shared" si="32"/>
      </c>
    </row>
    <row r="111" spans="3:16" ht="15.75" customHeight="1" outlineLevel="1" x14ac:dyDescent="0.2">
      <c r="C111" s="266" t="s">
        <v>92</v>
      </c>
      <c r="F111" s="267" t="s">
        <v>56</v>
      </c>
      <c r="G111" s="292">
        <v>0</v>
      </c>
      <c r="H111" s="292">
        <v>0</v>
      </c>
      <c r="I111" s="292">
        <v>-40000</v>
      </c>
      <c r="J111" s="292">
        <v>-40000</v>
      </c>
      <c r="K111" s="292">
        <v>-80000</v>
      </c>
      <c r="L111" s="280">
        <f>-L38*L47</f>
      </c>
      <c r="M111" s="280">
        <f t="shared" ref="M111:P112" si="33">-M38*M47</f>
      </c>
      <c r="N111" s="280">
        <f t="shared" si="33"/>
      </c>
      <c r="O111" s="280">
        <f t="shared" si="33"/>
      </c>
      <c r="P111" s="280">
        <f t="shared" si="33"/>
      </c>
    </row>
    <row r="112" spans="3:16" ht="15.75" customHeight="1" outlineLevel="1" x14ac:dyDescent="0.2">
      <c r="C112" s="266" t="s">
        <v>93</v>
      </c>
      <c r="F112" s="293" t="s">
        <v>56</v>
      </c>
      <c r="G112" s="292">
        <v>0</v>
      </c>
      <c r="H112" s="292">
        <v>0</v>
      </c>
      <c r="I112" s="292">
        <v>-30000</v>
      </c>
      <c r="J112" s="292">
        <v>-30000</v>
      </c>
      <c r="K112" s="292">
        <v>-30000</v>
      </c>
      <c r="L112" s="280">
        <f>-L39*L48</f>
      </c>
      <c r="M112" s="280">
        <f t="shared" si="33"/>
      </c>
      <c r="N112" s="280">
        <f t="shared" si="33"/>
      </c>
      <c r="O112" s="280">
        <f t="shared" si="33"/>
      </c>
      <c r="P112" s="280">
        <f t="shared" si="33"/>
      </c>
    </row>
    <row r="113" spans="2:16" ht="15.75" customHeight="1" outlineLevel="1" x14ac:dyDescent="0.2">
      <c r="C113" s="294" t="s">
        <v>94</v>
      </c>
      <c r="D113" s="275"/>
      <c r="E113" s="275"/>
      <c r="F113" s="267" t="s">
        <v>56</v>
      </c>
      <c r="G113" s="295">
        <f>SUM(G102:G112)</f>
      </c>
      <c r="H113" s="295">
        <f>SUM(H102:H112)</f>
      </c>
      <c r="I113" s="295">
        <f>SUM(I102:I112)</f>
      </c>
      <c r="J113" s="295">
        <f>SUM(J102:J112)</f>
      </c>
      <c r="K113" s="295">
        <f>SUM(K102:K112)</f>
      </c>
      <c r="L113" s="295">
        <f t="shared" ref="L113:P113" si="34">SUM(L102:L112)</f>
      </c>
      <c r="M113" s="295">
        <f t="shared" si="34"/>
      </c>
      <c r="N113" s="295">
        <f t="shared" si="34"/>
      </c>
      <c r="O113" s="295">
        <f t="shared" si="34"/>
      </c>
      <c r="P113" s="295">
        <f t="shared" si="34"/>
      </c>
    </row>
    <row r="114" spans="2:16" ht="15.75" customHeight="1" outlineLevel="1" x14ac:dyDescent="0.2"/>
    <row r="115" spans="2:16" ht="15.75" customHeight="1" outlineLevel="1" x14ac:dyDescent="0.2">
      <c r="C115" s="249" t="s">
        <v>95</v>
      </c>
      <c r="F115" s="267" t="s">
        <v>56</v>
      </c>
      <c r="G115" s="297">
        <f t="shared" ref="G115:P115" si="35">+G99+G113</f>
      </c>
      <c r="H115" s="297">
        <f t="shared" si="35"/>
      </c>
      <c r="I115" s="297">
        <f t="shared" si="35"/>
      </c>
      <c r="J115" s="297">
        <f t="shared" si="35"/>
      </c>
      <c r="K115" s="297">
        <f t="shared" si="35"/>
      </c>
      <c r="L115" s="297">
        <f t="shared" si="35"/>
      </c>
      <c r="M115" s="297">
        <f t="shared" si="35"/>
      </c>
      <c r="N115" s="297">
        <f t="shared" si="35"/>
      </c>
      <c r="O115" s="297">
        <f t="shared" si="35"/>
      </c>
      <c r="P115" s="297">
        <f t="shared" si="35"/>
      </c>
    </row>
    <row r="116" spans="2:16" ht="15.75" customHeight="1" outlineLevel="1" x14ac:dyDescent="0.2">
      <c r="G116" s="290"/>
      <c r="I116" s="262"/>
      <c r="J116" s="262"/>
      <c r="K116" s="262"/>
    </row>
    <row r="117" spans="2:16" ht="15.75" customHeight="1" outlineLevel="1" x14ac:dyDescent="0.2">
      <c r="C117" s="249" t="s">
        <v>96</v>
      </c>
      <c r="F117" s="267" t="s">
        <v>56</v>
      </c>
      <c r="G117" s="299">
        <v>-35548.176749999999</v>
      </c>
      <c r="H117" s="299">
        <v>-61614.123389999986</v>
      </c>
      <c r="I117" s="299">
        <v>-70451.629360000021</v>
      </c>
      <c r="J117" s="299">
        <v>-99942.61241999999</v>
      </c>
      <c r="K117" s="299">
        <v>-125241.65909999998</v>
      </c>
      <c r="L117" s="297">
        <f>-L115*L31</f>
      </c>
      <c r="M117" s="297">
        <f>-M115*M31</f>
      </c>
      <c r="N117" s="297">
        <f>-N115*N31</f>
      </c>
      <c r="O117" s="297">
        <f>-O115*O31</f>
      </c>
      <c r="P117" s="297">
        <f>-P115*P31</f>
      </c>
    </row>
    <row r="118" spans="2:16" ht="15.75" customHeight="1" outlineLevel="1" x14ac:dyDescent="0.2"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</row>
    <row r="119" spans="2:16" ht="15.75" customHeight="1" outlineLevel="1" x14ac:dyDescent="0.2">
      <c r="C119" s="249" t="s">
        <v>97</v>
      </c>
      <c r="F119" s="267" t="s">
        <v>56</v>
      </c>
      <c r="G119" s="298">
        <f>+G115+G117</f>
      </c>
      <c r="H119" s="298">
        <f t="shared" ref="H119:P119" si="36">+H115+H117</f>
      </c>
      <c r="I119" s="298">
        <f t="shared" si="36"/>
      </c>
      <c r="J119" s="298">
        <f t="shared" si="36"/>
      </c>
      <c r="K119" s="298">
        <f t="shared" si="36"/>
      </c>
      <c r="L119" s="298">
        <f t="shared" si="36"/>
      </c>
      <c r="M119" s="298">
        <f t="shared" si="36"/>
      </c>
      <c r="N119" s="298">
        <f t="shared" si="36"/>
      </c>
      <c r="O119" s="298">
        <f t="shared" si="36"/>
      </c>
      <c r="P119" s="298">
        <f t="shared" si="36"/>
      </c>
    </row>
    <row r="121" spans="2:16" ht="15.75" customHeight="1" x14ac:dyDescent="0.2">
      <c r="B121" s="300"/>
      <c r="C121" s="300"/>
      <c r="D121" s="300"/>
      <c r="E121" s="300"/>
      <c r="F121" s="250"/>
      <c r="G121" s="251" t="str">
        <f>+$G$5</f>
      </c>
      <c r="H121" s="252"/>
      <c r="I121" s="252"/>
      <c r="J121" s="252"/>
      <c r="K121" s="253"/>
      <c r="L121" s="251" t="str">
        <f>+$L$5</f>
      </c>
      <c r="M121" s="251"/>
      <c r="N121" s="251"/>
      <c r="O121" s="251"/>
      <c r="P121" s="251"/>
    </row>
    <row r="122" spans="2:16" ht="15.75" customHeight="1" x14ac:dyDescent="0.2">
      <c r="B122" s="301" t="s">
        <v>98</v>
      </c>
      <c r="C122" s="301"/>
      <c r="D122" s="302"/>
      <c r="E122" s="302"/>
      <c r="F122" s="256" t="str">
        <f>+$F$6</f>
      </c>
      <c r="G122" s="257" t="str">
        <f>+$G$6</f>
      </c>
      <c r="H122" s="257" t="str">
        <f>+$H$6</f>
      </c>
      <c r="I122" s="257" t="str">
        <f>+$I$6</f>
      </c>
      <c r="J122" s="257" t="str">
        <f>+$J$6</f>
      </c>
      <c r="K122" s="258" t="str">
        <f>+$K$6</f>
      </c>
      <c r="L122" s="257" t="str">
        <f>+$L$6</f>
      </c>
      <c r="M122" s="257" t="str">
        <f>+$M$6</f>
      </c>
      <c r="N122" s="257" t="str">
        <f>+$N$6</f>
      </c>
      <c r="O122" s="257" t="str">
        <f>+$O$6</f>
      </c>
      <c r="P122" s="257" t="str">
        <f>+$P$6</f>
      </c>
    </row>
    <row r="123" spans="2:16" ht="15.75" customHeight="1" outlineLevel="1" x14ac:dyDescent="0.2"/>
    <row r="124" spans="2:16" ht="15.75" customHeight="1" outlineLevel="1" x14ac:dyDescent="0.2">
      <c r="C124" s="266" t="s">
        <v>99</v>
      </c>
      <c r="F124" s="267" t="s">
        <v>56</v>
      </c>
      <c r="G124" s="278">
        <f t="shared" ref="G124:P124" si="37">+G115</f>
      </c>
      <c r="H124" s="278">
        <f t="shared" si="37"/>
      </c>
      <c r="I124" s="278">
        <f t="shared" si="37"/>
      </c>
      <c r="J124" s="278">
        <f t="shared" si="37"/>
      </c>
      <c r="K124" s="278">
        <f t="shared" si="37"/>
      </c>
      <c r="L124" s="278">
        <f t="shared" si="37"/>
      </c>
      <c r="M124" s="278">
        <f t="shared" si="37"/>
      </c>
      <c r="N124" s="278">
        <f t="shared" si="37"/>
      </c>
      <c r="O124" s="278">
        <f t="shared" si="37"/>
      </c>
      <c r="P124" s="278">
        <f t="shared" si="37"/>
      </c>
    </row>
    <row r="125" spans="2:16" ht="15.75" customHeight="1" outlineLevel="1" x14ac:dyDescent="0.2">
      <c r="C125" s="303" t="s">
        <v>100</v>
      </c>
      <c r="D125" s="304"/>
      <c r="E125" s="304"/>
      <c r="F125" s="293" t="s">
        <v>56</v>
      </c>
      <c r="G125" s="305">
        <f>-G110</f>
      </c>
      <c r="H125" s="305">
        <f t="shared" ref="H125:P125" si="38">-H110</f>
      </c>
      <c r="I125" s="305">
        <f t="shared" si="38"/>
      </c>
      <c r="J125" s="305">
        <f t="shared" si="38"/>
      </c>
      <c r="K125" s="305">
        <f t="shared" si="38"/>
      </c>
      <c r="L125" s="305">
        <f t="shared" si="38"/>
      </c>
      <c r="M125" s="305">
        <f t="shared" si="38"/>
      </c>
      <c r="N125" s="305">
        <f t="shared" si="38"/>
      </c>
      <c r="O125" s="305">
        <f t="shared" si="38"/>
      </c>
      <c r="P125" s="305">
        <f t="shared" si="38"/>
      </c>
    </row>
    <row r="126" spans="2:16" ht="15.75" customHeight="1" outlineLevel="1" x14ac:dyDescent="0.2">
      <c r="C126" s="249" t="s">
        <v>101</v>
      </c>
      <c r="F126" s="267" t="s">
        <v>56</v>
      </c>
      <c r="G126" s="297">
        <f>SUM(G124:G125)</f>
      </c>
      <c r="H126" s="297">
        <f t="shared" ref="H126:P126" si="39">SUM(H124:H125)</f>
      </c>
      <c r="I126" s="297">
        <f t="shared" si="39"/>
      </c>
      <c r="J126" s="297">
        <f t="shared" si="39"/>
      </c>
      <c r="K126" s="297">
        <f t="shared" si="39"/>
      </c>
      <c r="L126" s="297">
        <f t="shared" si="39"/>
      </c>
      <c r="M126" s="297">
        <f t="shared" si="39"/>
      </c>
      <c r="N126" s="297">
        <f t="shared" si="39"/>
      </c>
      <c r="O126" s="297">
        <f t="shared" si="39"/>
      </c>
      <c r="P126" s="297">
        <f t="shared" si="39"/>
      </c>
    </row>
    <row r="127" spans="2:16" ht="15.75" customHeight="1" outlineLevel="1" x14ac:dyDescent="0.2"/>
    <row r="128" spans="2:16" ht="15.75" customHeight="1" outlineLevel="1" x14ac:dyDescent="0.2">
      <c r="C128" s="306" t="s">
        <v>102</v>
      </c>
      <c r="F128" s="267" t="s">
        <v>21</v>
      </c>
      <c r="G128" s="268" t="str">
        <f t="shared" ref="G128:P128" si="40">IFERROR(+G84/F84-1,"N/A")</f>
      </c>
      <c r="H128" s="268">
        <f t="shared" si="40"/>
      </c>
      <c r="I128" s="268">
        <f t="shared" si="40"/>
      </c>
      <c r="J128" s="268">
        <f t="shared" si="40"/>
      </c>
      <c r="K128" s="268">
        <f t="shared" si="40"/>
      </c>
      <c r="L128" s="268">
        <f t="shared" si="40"/>
      </c>
      <c r="M128" s="268">
        <f t="shared" si="40"/>
      </c>
      <c r="N128" s="268">
        <f t="shared" si="40"/>
      </c>
      <c r="O128" s="268">
        <f t="shared" si="40"/>
      </c>
      <c r="P128" s="268">
        <f t="shared" si="40"/>
      </c>
    </row>
    <row r="129" spans="2:16" ht="15.75" customHeight="1" outlineLevel="1" x14ac:dyDescent="0.2">
      <c r="C129" s="306" t="s">
        <v>103</v>
      </c>
      <c r="F129" s="267" t="s">
        <v>21</v>
      </c>
      <c r="G129" s="268">
        <f t="shared" ref="G129:P129" si="41">IFERROR(+G115/G84,"N/A")</f>
      </c>
      <c r="H129" s="268">
        <f t="shared" si="41"/>
      </c>
      <c r="I129" s="268">
        <f t="shared" si="41"/>
      </c>
      <c r="J129" s="268">
        <f t="shared" si="41"/>
      </c>
      <c r="K129" s="268">
        <f t="shared" si="41"/>
      </c>
      <c r="L129" s="268">
        <f t="shared" si="41"/>
      </c>
      <c r="M129" s="268">
        <f t="shared" si="41"/>
      </c>
      <c r="N129" s="268">
        <f t="shared" si="41"/>
      </c>
      <c r="O129" s="268">
        <f t="shared" si="41"/>
      </c>
      <c r="P129" s="268">
        <f t="shared" si="41"/>
      </c>
    </row>
    <row r="130" spans="2:16" ht="15.75" customHeight="1" outlineLevel="1" x14ac:dyDescent="0.2">
      <c r="C130" s="306" t="s">
        <v>104</v>
      </c>
      <c r="F130" s="267" t="s">
        <v>21</v>
      </c>
      <c r="G130" s="268">
        <f t="shared" ref="G130:P130" si="42">IFERROR(+G126/G84,"N/A")</f>
      </c>
      <c r="H130" s="268">
        <f t="shared" si="42"/>
      </c>
      <c r="I130" s="268">
        <f t="shared" si="42"/>
      </c>
      <c r="J130" s="268">
        <f t="shared" si="42"/>
      </c>
      <c r="K130" s="268">
        <f t="shared" si="42"/>
      </c>
      <c r="L130" s="268">
        <f t="shared" si="42"/>
      </c>
      <c r="M130" s="268">
        <f t="shared" si="42"/>
      </c>
      <c r="N130" s="268">
        <f t="shared" si="42"/>
      </c>
      <c r="O130" s="268">
        <f t="shared" si="42"/>
      </c>
      <c r="P130" s="268">
        <f t="shared" si="42"/>
      </c>
    </row>
    <row r="131" spans="2:16" ht="15.75" customHeight="1" outlineLevel="1" x14ac:dyDescent="0.2">
      <c r="C131" s="306" t="s">
        <v>105</v>
      </c>
      <c r="F131" s="267" t="s">
        <v>21</v>
      </c>
      <c r="G131" s="268">
        <f t="shared" ref="G131:P131" si="43">IFERROR(+G119/G84,"N/A")</f>
      </c>
      <c r="H131" s="268">
        <f t="shared" si="43"/>
      </c>
      <c r="I131" s="268">
        <f t="shared" si="43"/>
      </c>
      <c r="J131" s="268">
        <f t="shared" si="43"/>
      </c>
      <c r="K131" s="268">
        <f t="shared" si="43"/>
      </c>
      <c r="L131" s="268">
        <f t="shared" si="43"/>
      </c>
      <c r="M131" s="268">
        <f t="shared" si="43"/>
      </c>
      <c r="N131" s="268">
        <f t="shared" si="43"/>
      </c>
      <c r="O131" s="268">
        <f t="shared" si="43"/>
      </c>
      <c r="P131" s="268">
        <f t="shared" si="43"/>
      </c>
    </row>
    <row r="132" spans="2:16" ht="15.75" customHeight="1" outlineLevel="1" x14ac:dyDescent="0.2"/>
    <row r="133" spans="2:16" ht="15.75" customHeight="1" outlineLevel="1" x14ac:dyDescent="0.2">
      <c r="C133" s="306" t="s">
        <v>36</v>
      </c>
      <c r="F133" s="267" t="s">
        <v>21</v>
      </c>
      <c r="G133" s="268">
        <f>-G117/G115</f>
      </c>
      <c r="H133" s="268">
        <f t="shared" ref="H133:P133" si="44">-H117/H115</f>
      </c>
      <c r="I133" s="268">
        <f t="shared" si="44"/>
      </c>
      <c r="J133" s="268">
        <f t="shared" si="44"/>
      </c>
      <c r="K133" s="268">
        <f t="shared" si="44"/>
      </c>
      <c r="L133" s="268">
        <f t="shared" si="44"/>
      </c>
      <c r="M133" s="268">
        <f t="shared" si="44"/>
      </c>
      <c r="N133" s="268">
        <f t="shared" si="44"/>
      </c>
      <c r="O133" s="268">
        <f t="shared" si="44"/>
      </c>
      <c r="P133" s="268">
        <f t="shared" si="44"/>
      </c>
    </row>
    <row r="135" spans="2:16" ht="15.75" customHeight="1" x14ac:dyDescent="0.2">
      <c r="B135" s="250"/>
      <c r="C135" s="250"/>
      <c r="D135" s="250"/>
      <c r="E135" s="250"/>
      <c r="F135" s="250"/>
      <c r="G135" s="251" t="str">
        <f>+$G$5</f>
      </c>
      <c r="H135" s="252"/>
      <c r="I135" s="252"/>
      <c r="J135" s="252"/>
      <c r="K135" s="253"/>
      <c r="L135" s="251" t="str">
        <f>+$L$5</f>
      </c>
      <c r="M135" s="251"/>
      <c r="N135" s="251"/>
      <c r="O135" s="251"/>
      <c r="P135" s="251"/>
    </row>
    <row r="136" spans="2:16" ht="15.75" customHeight="1" x14ac:dyDescent="0.2">
      <c r="B136" s="288" t="s">
        <v>106</v>
      </c>
      <c r="C136" s="255"/>
      <c r="D136" s="255"/>
      <c r="E136" s="255"/>
      <c r="F136" s="256" t="str">
        <f>+$F$6</f>
      </c>
      <c r="G136" s="257" t="str">
        <f>+$G$6</f>
      </c>
      <c r="H136" s="257" t="str">
        <f>+$H$6</f>
      </c>
      <c r="I136" s="257" t="str">
        <f>+$I$6</f>
      </c>
      <c r="J136" s="257" t="str">
        <f>+$J$6</f>
      </c>
      <c r="K136" s="258" t="str">
        <f>+$K$6</f>
      </c>
      <c r="L136" s="257" t="str">
        <f>+$L$6</f>
      </c>
      <c r="M136" s="257" t="str">
        <f>+$M$6</f>
      </c>
      <c r="N136" s="257" t="str">
        <f>+$N$6</f>
      </c>
      <c r="O136" s="257" t="str">
        <f>+$O$6</f>
      </c>
      <c r="P136" s="257" t="str">
        <f>+$P$6</f>
      </c>
    </row>
    <row r="137" spans="2:16" ht="15.75" customHeight="1" outlineLevel="1" x14ac:dyDescent="0.2">
      <c r="B137" s="307" t="s">
        <v>107</v>
      </c>
      <c r="C137" s="308"/>
      <c r="D137" s="309"/>
      <c r="E137" s="309"/>
      <c r="F137" s="309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</row>
    <row r="138" spans="2:16" ht="15.75" customHeight="1" outlineLevel="1" x14ac:dyDescent="0.2">
      <c r="C138" s="249" t="s">
        <v>108</v>
      </c>
    </row>
    <row r="139" spans="2:16" ht="15.75" customHeight="1" outlineLevel="1" x14ac:dyDescent="0.2">
      <c r="C139" s="266" t="s">
        <v>109</v>
      </c>
      <c r="F139" s="267" t="s">
        <v>56</v>
      </c>
      <c r="G139" s="291">
        <v>52348</v>
      </c>
      <c r="H139" s="291">
        <v>117867.39760999996</v>
      </c>
      <c r="I139" s="291">
        <v>181224.52525000001</v>
      </c>
      <c r="J139" s="291">
        <v>279273.77483000001</v>
      </c>
      <c r="K139" s="291">
        <v>374608.29772999987</v>
      </c>
      <c r="L139" s="278">
        <f>+L192</f>
      </c>
      <c r="M139" s="278">
        <f t="shared" ref="M139:P139" si="45">+M192</f>
      </c>
      <c r="N139" s="278">
        <f t="shared" si="45"/>
      </c>
      <c r="O139" s="278">
        <f t="shared" si="45"/>
      </c>
      <c r="P139" s="278">
        <f t="shared" si="45"/>
      </c>
    </row>
    <row r="140" spans="2:16" ht="15.75" customHeight="1" outlineLevel="1" x14ac:dyDescent="0.2">
      <c r="C140" s="266" t="s">
        <v>110</v>
      </c>
      <c r="D140" s="304"/>
      <c r="E140" s="304"/>
      <c r="F140" s="293" t="s">
        <v>56</v>
      </c>
      <c r="G140" s="311">
        <v>0</v>
      </c>
      <c r="H140" s="311">
        <v>2024.2849999999999</v>
      </c>
      <c r="I140" s="311">
        <v>6108.7100000000009</v>
      </c>
      <c r="J140" s="311">
        <v>7571.82</v>
      </c>
      <c r="K140" s="311">
        <v>11449.475999999999</v>
      </c>
      <c r="L140" s="305">
        <f>+L55*L$84</f>
      </c>
      <c r="M140" s="305">
        <f>+M55*M$84</f>
      </c>
      <c r="N140" s="305">
        <f>+N55*N$84</f>
      </c>
      <c r="O140" s="305">
        <f>+O55*O$84</f>
      </c>
      <c r="P140" s="305">
        <f>+P55*P$84</f>
      </c>
    </row>
    <row r="141" spans="2:16" ht="15.75" customHeight="1" outlineLevel="1" x14ac:dyDescent="0.2">
      <c r="C141" s="274" t="s">
        <v>111</v>
      </c>
      <c r="F141" s="267" t="s">
        <v>56</v>
      </c>
      <c r="G141" s="297">
        <f>SUM(G139:G140)</f>
      </c>
      <c r="H141" s="297">
        <f t="shared" ref="H141:K141" si="46">SUM(H139:H140)</f>
      </c>
      <c r="I141" s="297">
        <f t="shared" si="46"/>
      </c>
      <c r="J141" s="297">
        <f t="shared" si="46"/>
      </c>
      <c r="K141" s="297">
        <f t="shared" si="46"/>
      </c>
      <c r="L141" s="298">
        <f>SUM(L139:L140)</f>
      </c>
      <c r="M141" s="298">
        <f t="shared" ref="M141:P141" si="47">SUM(M139:M140)</f>
      </c>
      <c r="N141" s="298">
        <f t="shared" si="47"/>
      </c>
      <c r="O141" s="298">
        <f t="shared" si="47"/>
      </c>
      <c r="P141" s="298">
        <f t="shared" si="47"/>
      </c>
    </row>
    <row r="142" spans="2:16" ht="15.75" customHeight="1" outlineLevel="1" x14ac:dyDescent="0.2"/>
    <row r="143" spans="2:16" ht="15.75" customHeight="1" outlineLevel="1" x14ac:dyDescent="0.2">
      <c r="C143" s="249" t="s">
        <v>112</v>
      </c>
    </row>
    <row r="144" spans="2:16" ht="15.75" customHeight="1" outlineLevel="1" x14ac:dyDescent="0.2">
      <c r="C144" s="266" t="s">
        <v>113</v>
      </c>
      <c r="F144" s="267" t="s">
        <v>56</v>
      </c>
      <c r="G144" s="292">
        <v>10038</v>
      </c>
      <c r="H144" s="292">
        <v>11270.285</v>
      </c>
      <c r="I144" s="292">
        <v>13313.64</v>
      </c>
      <c r="J144" s="292">
        <v>15576.55</v>
      </c>
      <c r="K144" s="292">
        <v>19277.288</v>
      </c>
      <c r="L144" s="280">
        <f>+K144-L173-L181</f>
      </c>
      <c r="M144" s="280">
        <f>+L144-M173-M181</f>
      </c>
      <c r="N144" s="280">
        <f>+M144-N173-N181</f>
      </c>
      <c r="O144" s="280">
        <f>+N144-O173-O181</f>
      </c>
      <c r="P144" s="280">
        <f>+O144-P173-P181</f>
      </c>
    </row>
    <row r="145" spans="2:16" ht="15.75" customHeight="1" outlineLevel="1" x14ac:dyDescent="0.2">
      <c r="C145" s="312" t="s">
        <v>114</v>
      </c>
      <c r="D145" s="304"/>
      <c r="E145" s="304"/>
      <c r="F145" s="293" t="s">
        <v>56</v>
      </c>
      <c r="G145" s="311">
        <v>127</v>
      </c>
      <c r="H145" s="311">
        <v>381</v>
      </c>
      <c r="I145" s="311">
        <v>702</v>
      </c>
      <c r="J145" s="311">
        <v>1125</v>
      </c>
      <c r="K145" s="311">
        <v>1626</v>
      </c>
      <c r="L145" s="305">
        <f>+K145-L182</f>
      </c>
      <c r="M145" s="305">
        <f>+L145-M182</f>
      </c>
      <c r="N145" s="305">
        <f>+M145-N182</f>
      </c>
      <c r="O145" s="305">
        <f>+N145-O182</f>
      </c>
      <c r="P145" s="305">
        <f>+O145-P182</f>
      </c>
    </row>
    <row r="146" spans="2:16" ht="15.75" customHeight="1" outlineLevel="1" x14ac:dyDescent="0.2">
      <c r="C146" s="249" t="s">
        <v>115</v>
      </c>
      <c r="F146" s="267" t="s">
        <v>56</v>
      </c>
      <c r="G146" s="297">
        <f>SUM(G144:G145)</f>
      </c>
      <c r="H146" s="297">
        <f>SUM(H144:H145)</f>
      </c>
      <c r="I146" s="297">
        <f t="shared" ref="I146:K146" si="48">SUM(I144:I145)</f>
      </c>
      <c r="J146" s="297">
        <f t="shared" si="48"/>
      </c>
      <c r="K146" s="297">
        <f t="shared" si="48"/>
      </c>
      <c r="L146" s="297">
        <f>SUM(L144:L145)</f>
      </c>
      <c r="M146" s="297">
        <f t="shared" ref="M146:P146" si="49">SUM(M144:M145)</f>
      </c>
      <c r="N146" s="297">
        <f t="shared" si="49"/>
      </c>
      <c r="O146" s="297">
        <f t="shared" si="49"/>
      </c>
      <c r="P146" s="297">
        <f t="shared" si="49"/>
      </c>
    </row>
    <row r="147" spans="2:16" ht="15.75" customHeight="1" outlineLevel="1" x14ac:dyDescent="0.2"/>
    <row r="148" spans="2:16" ht="15.75" customHeight="1" outlineLevel="1" x14ac:dyDescent="0.2">
      <c r="C148" s="313" t="s">
        <v>116</v>
      </c>
      <c r="F148" s="267" t="s">
        <v>56</v>
      </c>
      <c r="G148" s="298">
        <f>+G146+G141</f>
      </c>
      <c r="H148" s="298">
        <f t="shared" ref="H148:P148" si="50">+H146+H141</f>
      </c>
      <c r="I148" s="298">
        <f t="shared" si="50"/>
      </c>
      <c r="J148" s="298">
        <f t="shared" si="50"/>
      </c>
      <c r="K148" s="298">
        <f t="shared" si="50"/>
      </c>
      <c r="L148" s="298">
        <f t="shared" si="50"/>
      </c>
      <c r="M148" s="298">
        <f t="shared" si="50"/>
      </c>
      <c r="N148" s="298">
        <f t="shared" si="50"/>
      </c>
      <c r="O148" s="298">
        <f t="shared" si="50"/>
      </c>
      <c r="P148" s="298">
        <f t="shared" si="50"/>
      </c>
    </row>
    <row r="149" spans="2:16" ht="15.75" customHeight="1" outlineLevel="1" x14ac:dyDescent="0.2">
      <c r="C149" s="314"/>
    </row>
    <row r="150" spans="2:16" ht="15.75" customHeight="1" outlineLevel="1" x14ac:dyDescent="0.2">
      <c r="B150" s="307" t="s">
        <v>117</v>
      </c>
      <c r="C150" s="308"/>
      <c r="D150" s="309"/>
      <c r="E150" s="309"/>
      <c r="F150" s="309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</row>
    <row r="151" spans="2:16" ht="15.75" customHeight="1" outlineLevel="1" x14ac:dyDescent="0.2">
      <c r="C151" s="249" t="s">
        <v>118</v>
      </c>
    </row>
    <row r="152" spans="2:16" ht="15.75" customHeight="1" outlineLevel="1" x14ac:dyDescent="0.2">
      <c r="C152" s="266" t="s">
        <v>119</v>
      </c>
      <c r="F152" s="267" t="s">
        <v>56</v>
      </c>
      <c r="G152" s="292">
        <v>97.93</v>
      </c>
      <c r="H152" s="292">
        <v>864.81000000000006</v>
      </c>
      <c r="I152" s="292">
        <v>3256.7990000000004</v>
      </c>
      <c r="J152" s="292">
        <v>5231.6280000000006</v>
      </c>
      <c r="K152" s="292">
        <v>8043.777000000001</v>
      </c>
      <c r="L152" s="280">
        <f>-L$113*L56</f>
      </c>
      <c r="M152" s="280">
        <f t="shared" ref="M152:P152" si="51">-M$113*M56</f>
      </c>
      <c r="N152" s="280">
        <f t="shared" si="51"/>
      </c>
      <c r="O152" s="280">
        <f t="shared" si="51"/>
      </c>
      <c r="P152" s="280">
        <f t="shared" si="51"/>
      </c>
    </row>
    <row r="153" spans="2:16" ht="15.75" customHeight="1" outlineLevel="1" x14ac:dyDescent="0.2">
      <c r="C153" s="303" t="s">
        <v>120</v>
      </c>
      <c r="D153" s="304"/>
      <c r="E153" s="304"/>
      <c r="F153" s="293" t="s">
        <v>56</v>
      </c>
      <c r="G153" s="311">
        <v>195.86</v>
      </c>
      <c r="H153" s="311">
        <v>960.9</v>
      </c>
      <c r="I153" s="311">
        <v>3757.8449999999998</v>
      </c>
      <c r="J153" s="311">
        <v>4359.6899999999996</v>
      </c>
      <c r="K153" s="311">
        <v>5745.5549999999994</v>
      </c>
      <c r="L153" s="305">
        <f>-L$113*L57</f>
      </c>
      <c r="M153" s="305">
        <f t="shared" ref="M153:P153" si="52">-M$113*M57</f>
      </c>
      <c r="N153" s="305">
        <f t="shared" si="52"/>
      </c>
      <c r="O153" s="305">
        <f t="shared" si="52"/>
      </c>
      <c r="P153" s="305">
        <f t="shared" si="52"/>
      </c>
    </row>
    <row r="154" spans="2:16" ht="15.75" customHeight="1" outlineLevel="1" x14ac:dyDescent="0.2">
      <c r="C154" s="249" t="s">
        <v>121</v>
      </c>
      <c r="F154" s="267" t="s">
        <v>56</v>
      </c>
      <c r="G154" s="297">
        <f>SUM(G152:G153)</f>
      </c>
      <c r="H154" s="297">
        <f t="shared" ref="H154:K154" si="53">SUM(H152:H153)</f>
      </c>
      <c r="I154" s="297">
        <f t="shared" si="53"/>
      </c>
      <c r="J154" s="297">
        <f t="shared" si="53"/>
      </c>
      <c r="K154" s="297">
        <f t="shared" si="53"/>
      </c>
      <c r="L154" s="297">
        <f>SUM(L152:L153)</f>
      </c>
      <c r="M154" s="297">
        <f t="shared" ref="M154:P154" si="54">SUM(M152:M153)</f>
      </c>
      <c r="N154" s="297">
        <f t="shared" si="54"/>
      </c>
      <c r="O154" s="297">
        <f t="shared" si="54"/>
      </c>
      <c r="P154" s="297">
        <f t="shared" si="54"/>
      </c>
    </row>
    <row r="155" spans="2:16" ht="15.75" customHeight="1" outlineLevel="1" x14ac:dyDescent="0.2"/>
    <row r="156" spans="2:16" ht="15.75" customHeight="1" outlineLevel="1" x14ac:dyDescent="0.2">
      <c r="C156" s="249" t="s">
        <v>122</v>
      </c>
    </row>
    <row r="157" spans="2:16" ht="15.75" customHeight="1" outlineLevel="1" x14ac:dyDescent="0.2">
      <c r="C157" s="266" t="s">
        <v>123</v>
      </c>
      <c r="F157" s="267" t="s">
        <v>56</v>
      </c>
      <c r="G157" s="292">
        <v>0</v>
      </c>
      <c r="H157" s="292">
        <v>809.71399999999994</v>
      </c>
      <c r="I157" s="292">
        <v>3054.3550000000005</v>
      </c>
      <c r="J157" s="292">
        <v>5678.8649999999998</v>
      </c>
      <c r="K157" s="292">
        <v>9541.23</v>
      </c>
      <c r="L157" s="280">
        <f>+L58*L$84</f>
      </c>
      <c r="M157" s="280">
        <f>+M58*M$84</f>
      </c>
      <c r="N157" s="280">
        <f>+N58*N$84</f>
      </c>
      <c r="O157" s="280">
        <f>+O58*O$84</f>
      </c>
      <c r="P157" s="280">
        <f>+P58*P$84</f>
      </c>
    </row>
    <row r="158" spans="2:16" ht="15.75" customHeight="1" outlineLevel="1" x14ac:dyDescent="0.2">
      <c r="C158" s="303" t="s">
        <v>124</v>
      </c>
      <c r="D158" s="304"/>
      <c r="E158" s="304"/>
      <c r="F158" s="293" t="s">
        <v>56</v>
      </c>
      <c r="G158" s="311">
        <v>53</v>
      </c>
      <c r="H158" s="311">
        <v>155</v>
      </c>
      <c r="I158" s="311">
        <v>1366</v>
      </c>
      <c r="J158" s="311">
        <v>3676</v>
      </c>
      <c r="K158" s="311">
        <v>6799</v>
      </c>
      <c r="L158" s="305">
        <f>+K158+L186</f>
      </c>
      <c r="M158" s="305">
        <f>+L158+M186</f>
      </c>
      <c r="N158" s="305">
        <f>+M158+N186</f>
      </c>
      <c r="O158" s="305">
        <f>+N158+O186</f>
      </c>
      <c r="P158" s="305">
        <f>+O158+P186</f>
      </c>
    </row>
    <row r="159" spans="2:16" ht="15.75" customHeight="1" outlineLevel="1" x14ac:dyDescent="0.2">
      <c r="C159" s="249" t="s">
        <v>125</v>
      </c>
      <c r="F159" s="267" t="s">
        <v>56</v>
      </c>
      <c r="G159" s="297">
        <f>SUM(G157:G158)</f>
      </c>
      <c r="H159" s="297">
        <f t="shared" ref="H159:K159" si="55">SUM(H157:H158)</f>
      </c>
      <c r="I159" s="297">
        <f t="shared" si="55"/>
      </c>
      <c r="J159" s="297">
        <f t="shared" si="55"/>
      </c>
      <c r="K159" s="297">
        <f t="shared" si="55"/>
      </c>
      <c r="L159" s="297">
        <f>SUM(L157:L158)</f>
      </c>
      <c r="M159" s="297">
        <f t="shared" ref="M159:P159" si="56">SUM(M157:M158)</f>
      </c>
      <c r="N159" s="297">
        <f t="shared" si="56"/>
      </c>
      <c r="O159" s="297">
        <f t="shared" si="56"/>
      </c>
      <c r="P159" s="297">
        <f t="shared" si="56"/>
      </c>
    </row>
    <row r="160" spans="2:16" ht="15.75" customHeight="1" outlineLevel="1" x14ac:dyDescent="0.2"/>
    <row r="161" spans="2:16" ht="15.75" customHeight="1" outlineLevel="1" x14ac:dyDescent="0.2">
      <c r="C161" s="249" t="s">
        <v>126</v>
      </c>
      <c r="F161" s="267" t="s">
        <v>56</v>
      </c>
      <c r="G161" s="298">
        <f>+G154+G159</f>
      </c>
      <c r="H161" s="298">
        <f t="shared" ref="H161:P161" si="57">+H154+H159</f>
      </c>
      <c r="I161" s="298">
        <f t="shared" si="57"/>
      </c>
      <c r="J161" s="298">
        <f t="shared" si="57"/>
      </c>
      <c r="K161" s="298">
        <f t="shared" si="57"/>
      </c>
      <c r="L161" s="298">
        <f t="shared" si="57"/>
      </c>
      <c r="M161" s="298">
        <f t="shared" si="57"/>
      </c>
      <c r="N161" s="298">
        <f t="shared" si="57"/>
      </c>
      <c r="O161" s="298">
        <f t="shared" si="57"/>
      </c>
      <c r="P161" s="298">
        <f t="shared" si="57"/>
      </c>
    </row>
    <row r="162" spans="2:16" ht="15.75" customHeight="1" outlineLevel="1" x14ac:dyDescent="0.2"/>
    <row r="163" spans="2:16" ht="15.75" customHeight="1" outlineLevel="1" x14ac:dyDescent="0.2">
      <c r="C163" s="249" t="s">
        <v>127</v>
      </c>
      <c r="F163" s="267" t="s">
        <v>56</v>
      </c>
      <c r="G163" s="315">
        <v>62166.21</v>
      </c>
      <c r="H163" s="315">
        <v>128752.54360999994</v>
      </c>
      <c r="I163" s="315">
        <v>189913.87624999997</v>
      </c>
      <c r="J163" s="315">
        <v>284600.96182999993</v>
      </c>
      <c r="K163" s="315">
        <v>376831.49972999981</v>
      </c>
      <c r="L163" s="298">
        <f>+K163+L172+L187</f>
      </c>
      <c r="M163" s="298">
        <f>+L163+M172+M187</f>
      </c>
      <c r="N163" s="298">
        <f>+M163+N172+N187</f>
      </c>
      <c r="O163" s="298">
        <f>+N163+O172+O187</f>
      </c>
      <c r="P163" s="298">
        <f>+O163+P172+P187</f>
      </c>
    </row>
    <row r="164" spans="2:16" ht="15.75" customHeight="1" outlineLevel="1" x14ac:dyDescent="0.2"/>
    <row r="165" spans="2:16" ht="15.75" customHeight="1" outlineLevel="1" x14ac:dyDescent="0.2">
      <c r="C165" s="249" t="s">
        <v>128</v>
      </c>
      <c r="F165" s="267" t="s">
        <v>56</v>
      </c>
      <c r="G165" s="298">
        <f>+G161+G163</f>
      </c>
      <c r="H165" s="298">
        <f t="shared" ref="H165:P165" si="58">+H161+H163</f>
      </c>
      <c r="I165" s="298">
        <f t="shared" si="58"/>
      </c>
      <c r="J165" s="298">
        <f t="shared" si="58"/>
      </c>
      <c r="K165" s="298">
        <f t="shared" si="58"/>
      </c>
      <c r="L165" s="298">
        <f t="shared" si="58"/>
      </c>
      <c r="M165" s="298">
        <f t="shared" si="58"/>
      </c>
      <c r="N165" s="298">
        <f t="shared" si="58"/>
      </c>
      <c r="O165" s="298">
        <f t="shared" si="58"/>
      </c>
      <c r="P165" s="298">
        <f t="shared" si="58"/>
      </c>
    </row>
    <row r="166" spans="2:16" ht="15.75" customHeight="1" outlineLevel="1" x14ac:dyDescent="0.2"/>
    <row r="167" spans="2:16" ht="15.75" customHeight="1" outlineLevel="1" x14ac:dyDescent="0.2">
      <c r="C167" s="306" t="s">
        <v>129</v>
      </c>
      <c r="D167" s="316"/>
      <c r="G167" s="316">
        <f>+G148-G165</f>
      </c>
      <c r="H167" s="316">
        <f t="shared" ref="H167:P167" si="59">+H148-H165</f>
      </c>
      <c r="I167" s="316">
        <f t="shared" si="59"/>
      </c>
      <c r="J167" s="316">
        <f t="shared" si="59"/>
      </c>
      <c r="K167" s="316">
        <f t="shared" si="59"/>
      </c>
      <c r="L167" s="316">
        <f t="shared" si="59"/>
      </c>
      <c r="M167" s="316">
        <f t="shared" si="59"/>
      </c>
      <c r="N167" s="316">
        <f t="shared" si="59"/>
      </c>
      <c r="O167" s="316">
        <f t="shared" si="59"/>
      </c>
      <c r="P167" s="316">
        <f t="shared" si="59"/>
      </c>
    </row>
    <row r="169" spans="2:16" ht="15.75" customHeight="1" x14ac:dyDescent="0.2">
      <c r="B169" s="250"/>
      <c r="C169" s="250"/>
      <c r="D169" s="250"/>
      <c r="E169" s="250"/>
      <c r="F169" s="250"/>
      <c r="G169" s="251" t="str">
        <f>+$G$5</f>
      </c>
      <c r="H169" s="252"/>
      <c r="I169" s="252"/>
      <c r="J169" s="252"/>
      <c r="K169" s="253"/>
      <c r="L169" s="251" t="str">
        <f>+$L$5</f>
      </c>
      <c r="M169" s="251"/>
      <c r="N169" s="251"/>
      <c r="O169" s="251"/>
      <c r="P169" s="251"/>
    </row>
    <row r="170" spans="2:16" ht="15.75" customHeight="1" x14ac:dyDescent="0.2">
      <c r="B170" s="288" t="s">
        <v>130</v>
      </c>
      <c r="C170" s="255"/>
      <c r="D170" s="255"/>
      <c r="E170" s="255"/>
      <c r="F170" s="256" t="str">
        <f>+$F$6</f>
      </c>
      <c r="G170" s="257" t="str">
        <f>+$G$6</f>
      </c>
      <c r="H170" s="257" t="str">
        <f>+$H$6</f>
      </c>
      <c r="I170" s="257" t="str">
        <f>+$I$6</f>
      </c>
      <c r="J170" s="257" t="str">
        <f>+$J$6</f>
      </c>
      <c r="K170" s="258" t="str">
        <f>+$K$6</f>
      </c>
      <c r="L170" s="257" t="str">
        <f>+$L$6</f>
      </c>
      <c r="M170" s="257" t="str">
        <f>+$M$6</f>
      </c>
      <c r="N170" s="257" t="str">
        <f>+$N$6</f>
      </c>
      <c r="O170" s="257" t="str">
        <f>+$O$6</f>
      </c>
      <c r="P170" s="257" t="str">
        <f>+$P$6</f>
      </c>
    </row>
    <row r="171" spans="2:16" ht="15.75" customHeight="1" outlineLevel="1" x14ac:dyDescent="0.2">
      <c r="B171" s="310"/>
      <c r="C171" s="307" t="s">
        <v>131</v>
      </c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</row>
    <row r="172" spans="2:16" ht="15.75" customHeight="1" outlineLevel="1" x14ac:dyDescent="0.2">
      <c r="C172" s="249" t="s">
        <v>97</v>
      </c>
      <c r="F172" s="267" t="s">
        <v>56</v>
      </c>
      <c r="G172" s="298">
        <f t="shared" ref="G172:P172" si="60">+G119</f>
      </c>
      <c r="H172" s="298">
        <f t="shared" si="60"/>
      </c>
      <c r="I172" s="298">
        <f t="shared" si="60"/>
      </c>
      <c r="J172" s="298">
        <f t="shared" si="60"/>
      </c>
      <c r="K172" s="298">
        <f t="shared" si="60"/>
      </c>
      <c r="L172" s="298">
        <f t="shared" si="60"/>
      </c>
      <c r="M172" s="298">
        <f t="shared" si="60"/>
      </c>
      <c r="N172" s="298">
        <f t="shared" si="60"/>
      </c>
      <c r="O172" s="298">
        <f t="shared" si="60"/>
      </c>
      <c r="P172" s="298">
        <f t="shared" si="60"/>
      </c>
    </row>
    <row r="173" spans="2:16" ht="15.75" customHeight="1" outlineLevel="1" x14ac:dyDescent="0.2">
      <c r="C173" s="266" t="s">
        <v>100</v>
      </c>
      <c r="F173" s="267" t="s">
        <v>56</v>
      </c>
      <c r="G173" s="292">
        <v>568</v>
      </c>
      <c r="H173" s="292">
        <v>792</v>
      </c>
      <c r="I173" s="292">
        <v>1011</v>
      </c>
      <c r="J173" s="292">
        <v>1523</v>
      </c>
      <c r="K173" s="292">
        <v>2024</v>
      </c>
      <c r="L173" s="280">
        <f>-L110</f>
      </c>
      <c r="M173" s="280">
        <f t="shared" ref="M173:P173" si="61">-M110</f>
      </c>
      <c r="N173" s="280">
        <f t="shared" si="61"/>
      </c>
      <c r="O173" s="280">
        <f t="shared" si="61"/>
      </c>
      <c r="P173" s="280">
        <f t="shared" si="61"/>
      </c>
    </row>
    <row r="174" spans="2:16" ht="15.75" customHeight="1" outlineLevel="1" x14ac:dyDescent="0.2">
      <c r="C174" s="266" t="s">
        <v>132</v>
      </c>
      <c r="F174" s="267" t="s">
        <v>56</v>
      </c>
      <c r="G174" s="292">
        <v>0</v>
      </c>
      <c r="H174" s="292">
        <v>-2024.2849999999999</v>
      </c>
      <c r="I174" s="292">
        <v>-4084.4250000000011</v>
      </c>
      <c r="J174" s="292">
        <v>-1463.1099999999988</v>
      </c>
      <c r="K174" s="292">
        <v>-3877.655999999999</v>
      </c>
      <c r="L174" s="280">
        <f>+K140-L140</f>
      </c>
      <c r="M174" s="280">
        <f>+L140-M140</f>
      </c>
      <c r="N174" s="280">
        <f>+M140-N140</f>
      </c>
      <c r="O174" s="280">
        <f>+N140-O140</f>
      </c>
      <c r="P174" s="280">
        <f>+O140-P140</f>
      </c>
    </row>
    <row r="175" spans="2:16" ht="15.75" customHeight="1" outlineLevel="1" x14ac:dyDescent="0.2">
      <c r="C175" s="266" t="s">
        <v>133</v>
      </c>
      <c r="F175" s="267" t="s">
        <v>56</v>
      </c>
      <c r="G175" s="292">
        <v>97.93</v>
      </c>
      <c r="H175" s="292">
        <v>766.88000000000011</v>
      </c>
      <c r="I175" s="292">
        <v>2391.9890000000005</v>
      </c>
      <c r="J175" s="292">
        <v>1974.8290000000002</v>
      </c>
      <c r="K175" s="292">
        <v>2812.1490000000003</v>
      </c>
      <c r="L175" s="280">
        <f t="shared" ref="L175:P176" si="62">+L152-K152</f>
      </c>
      <c r="M175" s="280">
        <f t="shared" si="62"/>
      </c>
      <c r="N175" s="280">
        <f t="shared" si="62"/>
      </c>
      <c r="O175" s="280">
        <f t="shared" si="62"/>
      </c>
      <c r="P175" s="280">
        <f t="shared" si="62"/>
      </c>
    </row>
    <row r="176" spans="2:16" ht="15.75" customHeight="1" outlineLevel="1" x14ac:dyDescent="0.2">
      <c r="C176" s="266" t="s">
        <v>134</v>
      </c>
      <c r="F176" s="267" t="s">
        <v>56</v>
      </c>
      <c r="G176" s="292">
        <v>195.86</v>
      </c>
      <c r="H176" s="292">
        <v>765.04</v>
      </c>
      <c r="I176" s="292">
        <v>2796.9449999999997</v>
      </c>
      <c r="J176" s="292">
        <v>601.8449999999998</v>
      </c>
      <c r="K176" s="292">
        <v>1385.8649999999998</v>
      </c>
      <c r="L176" s="280">
        <f t="shared" si="62"/>
      </c>
      <c r="M176" s="280">
        <f t="shared" si="62"/>
      </c>
      <c r="N176" s="280">
        <f t="shared" si="62"/>
      </c>
      <c r="O176" s="280">
        <f t="shared" si="62"/>
      </c>
      <c r="P176" s="280">
        <f t="shared" si="62"/>
      </c>
    </row>
    <row r="177" spans="2:16" ht="15.75" customHeight="1" outlineLevel="1" x14ac:dyDescent="0.2">
      <c r="C177" s="266" t="s">
        <v>135</v>
      </c>
      <c r="F177" s="293" t="s">
        <v>56</v>
      </c>
      <c r="G177" s="292">
        <v>0</v>
      </c>
      <c r="H177" s="292">
        <v>809.71399999999994</v>
      </c>
      <c r="I177" s="292">
        <v>2244.6410000000005</v>
      </c>
      <c r="J177" s="292">
        <v>2624.5099999999993</v>
      </c>
      <c r="K177" s="292">
        <v>3862.3649999999998</v>
      </c>
      <c r="L177" s="280">
        <f>+L157-K157</f>
      </c>
      <c r="M177" s="280">
        <f>+M157-L157</f>
      </c>
      <c r="N177" s="280">
        <f>+N157-M157</f>
      </c>
      <c r="O177" s="280">
        <f>+O157-N157</f>
      </c>
      <c r="P177" s="280">
        <f>+P157-O157</f>
      </c>
    </row>
    <row r="178" spans="2:16" ht="15.75" customHeight="1" outlineLevel="1" x14ac:dyDescent="0.2">
      <c r="C178" s="274" t="s">
        <v>136</v>
      </c>
      <c r="D178" s="275"/>
      <c r="E178" s="275"/>
      <c r="F178" s="267" t="s">
        <v>56</v>
      </c>
      <c r="G178" s="295">
        <f>SUM(G172:G177)</f>
      </c>
      <c r="H178" s="295">
        <f t="shared" ref="H178:P178" si="63">SUM(H172:H177)</f>
      </c>
      <c r="I178" s="295">
        <f t="shared" si="63"/>
      </c>
      <c r="J178" s="295">
        <f t="shared" si="63"/>
      </c>
      <c r="K178" s="295">
        <f t="shared" si="63"/>
      </c>
      <c r="L178" s="295">
        <f t="shared" si="63"/>
      </c>
      <c r="M178" s="295">
        <f t="shared" si="63"/>
      </c>
      <c r="N178" s="295">
        <f t="shared" si="63"/>
      </c>
      <c r="O178" s="295">
        <f t="shared" si="63"/>
      </c>
      <c r="P178" s="295">
        <f t="shared" si="63"/>
      </c>
    </row>
    <row r="179" spans="2:16" ht="15.75" customHeight="1" outlineLevel="1" x14ac:dyDescent="0.2"/>
    <row r="180" spans="2:16" ht="15.75" customHeight="1" outlineLevel="1" x14ac:dyDescent="0.2">
      <c r="B180" s="310"/>
      <c r="C180" s="307" t="s">
        <v>137</v>
      </c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</row>
    <row r="181" spans="2:16" ht="15.75" customHeight="1" outlineLevel="1" x14ac:dyDescent="0.2">
      <c r="C181" s="266" t="s">
        <v>138</v>
      </c>
      <c r="F181" s="267" t="s">
        <v>56</v>
      </c>
      <c r="G181" s="292">
        <v>-850.34800000000007</v>
      </c>
      <c r="H181" s="292">
        <v>-2024.2849999999999</v>
      </c>
      <c r="I181" s="292">
        <v>-3054.3550000000005</v>
      </c>
      <c r="J181" s="292">
        <v>-3785.91</v>
      </c>
      <c r="K181" s="292">
        <v>-5724.7379999999994</v>
      </c>
      <c r="L181" s="280">
        <f>-L60*L84</f>
      </c>
      <c r="M181" s="280">
        <f>-M60*M84</f>
      </c>
      <c r="N181" s="280">
        <f>-N60*N84</f>
      </c>
      <c r="O181" s="280">
        <f>-O60*O84</f>
      </c>
      <c r="P181" s="280">
        <f>-P60*P84</f>
      </c>
    </row>
    <row r="182" spans="2:16" ht="15.75" customHeight="1" outlineLevel="1" x14ac:dyDescent="0.2">
      <c r="C182" s="303" t="s">
        <v>139</v>
      </c>
      <c r="D182" s="304"/>
      <c r="E182" s="304"/>
      <c r="F182" s="293" t="s">
        <v>56</v>
      </c>
      <c r="G182" s="311">
        <v>-127</v>
      </c>
      <c r="H182" s="311">
        <v>-254</v>
      </c>
      <c r="I182" s="311">
        <v>-321</v>
      </c>
      <c r="J182" s="311">
        <v>-423</v>
      </c>
      <c r="K182" s="311">
        <v>-501</v>
      </c>
      <c r="L182" s="305">
        <f>+L61</f>
      </c>
      <c r="M182" s="305">
        <f>+M61</f>
      </c>
      <c r="N182" s="305">
        <f>+N61</f>
      </c>
      <c r="O182" s="305">
        <f>+O61</f>
      </c>
      <c r="P182" s="305">
        <f>+P61</f>
      </c>
    </row>
    <row r="183" spans="2:16" ht="15.75" customHeight="1" outlineLevel="1" x14ac:dyDescent="0.2">
      <c r="C183" s="249" t="s">
        <v>140</v>
      </c>
      <c r="F183" s="267" t="s">
        <v>56</v>
      </c>
      <c r="G183" s="297">
        <f>SUM(G181:G182)</f>
      </c>
      <c r="H183" s="297">
        <f t="shared" ref="H183:K183" si="64">SUM(H181:H182)</f>
      </c>
      <c r="I183" s="297">
        <f t="shared" si="64"/>
      </c>
      <c r="J183" s="297">
        <f t="shared" si="64"/>
      </c>
      <c r="K183" s="297">
        <f t="shared" si="64"/>
      </c>
      <c r="L183" s="297">
        <f>SUM(L181:L182)</f>
      </c>
      <c r="M183" s="297">
        <f t="shared" ref="M183:P183" si="65">SUM(M181:M182)</f>
      </c>
      <c r="N183" s="297">
        <f t="shared" si="65"/>
      </c>
      <c r="O183" s="297">
        <f t="shared" si="65"/>
      </c>
      <c r="P183" s="297">
        <f t="shared" si="65"/>
      </c>
    </row>
    <row r="184" spans="2:16" ht="15.75" customHeight="1" outlineLevel="1" x14ac:dyDescent="0.2">
      <c r="G184" s="280"/>
      <c r="H184" s="280"/>
      <c r="I184" s="280"/>
      <c r="J184" s="280"/>
      <c r="K184" s="280"/>
    </row>
    <row r="185" spans="2:16" ht="15.75" customHeight="1" outlineLevel="1" x14ac:dyDescent="0.2">
      <c r="B185" s="310"/>
      <c r="C185" s="307" t="s">
        <v>141</v>
      </c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</row>
    <row r="186" spans="2:16" ht="15.75" customHeight="1" outlineLevel="1" x14ac:dyDescent="0.2">
      <c r="C186" s="266" t="s">
        <v>142</v>
      </c>
      <c r="F186" s="267" t="s">
        <v>56</v>
      </c>
      <c r="G186" s="292">
        <v>53</v>
      </c>
      <c r="H186" s="292">
        <v>102</v>
      </c>
      <c r="I186" s="292">
        <v>1211</v>
      </c>
      <c r="J186" s="292">
        <v>2310</v>
      </c>
      <c r="K186" s="292">
        <v>3123</v>
      </c>
      <c r="L186" s="280">
        <f>+L63</f>
      </c>
      <c r="M186" s="280">
        <f>+M63</f>
      </c>
      <c r="N186" s="280">
        <f>+N63</f>
      </c>
      <c r="O186" s="280">
        <f>+O63</f>
      </c>
      <c r="P186" s="280">
        <f>+P63</f>
      </c>
    </row>
    <row r="187" spans="2:16" ht="15.75" customHeight="1" outlineLevel="1" x14ac:dyDescent="0.2">
      <c r="C187" s="303" t="s">
        <v>143</v>
      </c>
      <c r="D187" s="304"/>
      <c r="E187" s="304"/>
      <c r="F187" s="293" t="s">
        <v>56</v>
      </c>
      <c r="G187" s="311">
        <v>-80000</v>
      </c>
      <c r="H187" s="311">
        <v>-100000</v>
      </c>
      <c r="I187" s="311">
        <v>-120000</v>
      </c>
      <c r="J187" s="311">
        <v>-150000</v>
      </c>
      <c r="K187" s="311">
        <v>-200000</v>
      </c>
      <c r="L187" s="305">
        <f>-L64*L84</f>
      </c>
      <c r="M187" s="305">
        <f>-M64*M84</f>
      </c>
      <c r="N187" s="305">
        <f>-N64*N84</f>
      </c>
      <c r="O187" s="305">
        <f>-O64*O84</f>
      </c>
      <c r="P187" s="305">
        <f>-P64*P84</f>
      </c>
    </row>
    <row r="188" spans="2:16" ht="15.75" customHeight="1" outlineLevel="1" x14ac:dyDescent="0.2">
      <c r="C188" s="249" t="s">
        <v>144</v>
      </c>
      <c r="F188" s="267" t="s">
        <v>56</v>
      </c>
      <c r="G188" s="297">
        <f>SUM(G186:G187)</f>
      </c>
      <c r="H188" s="297">
        <f t="shared" ref="H188:K188" si="66">SUM(H186:H187)</f>
      </c>
      <c r="I188" s="297">
        <f t="shared" si="66"/>
      </c>
      <c r="J188" s="297">
        <f t="shared" si="66"/>
      </c>
      <c r="K188" s="297">
        <f t="shared" si="66"/>
      </c>
      <c r="L188" s="297">
        <f>SUM(L186:L187)</f>
      </c>
      <c r="M188" s="297">
        <f t="shared" ref="M188:P188" si="67">SUM(M186:M187)</f>
      </c>
      <c r="N188" s="297">
        <f t="shared" si="67"/>
      </c>
      <c r="O188" s="297">
        <f t="shared" si="67"/>
      </c>
      <c r="P188" s="297">
        <f t="shared" si="67"/>
      </c>
    </row>
    <row r="189" spans="2:16" ht="15.75" customHeight="1" outlineLevel="1" x14ac:dyDescent="0.2"/>
    <row r="190" spans="2:16" ht="15.75" customHeight="1" outlineLevel="1" x14ac:dyDescent="0.2">
      <c r="C190" s="249" t="s">
        <v>145</v>
      </c>
      <c r="F190" s="267" t="s">
        <v>56</v>
      </c>
      <c r="G190" s="297">
        <f>+G178+G183+G188</f>
      </c>
      <c r="H190" s="297">
        <f t="shared" ref="H190:P190" si="68">+H178+H183+H188</f>
      </c>
      <c r="I190" s="297">
        <f t="shared" si="68"/>
      </c>
      <c r="J190" s="297">
        <f t="shared" si="68"/>
      </c>
      <c r="K190" s="297">
        <f t="shared" si="68"/>
      </c>
      <c r="L190" s="297">
        <f t="shared" si="68"/>
      </c>
      <c r="M190" s="297">
        <f t="shared" si="68"/>
      </c>
      <c r="N190" s="297">
        <f t="shared" si="68"/>
      </c>
      <c r="O190" s="297">
        <f t="shared" si="68"/>
      </c>
      <c r="P190" s="297">
        <f t="shared" si="68"/>
      </c>
    </row>
    <row r="191" spans="2:16" ht="15.75" customHeight="1" outlineLevel="1" x14ac:dyDescent="0.2">
      <c r="C191" s="249" t="s">
        <v>146</v>
      </c>
      <c r="F191" s="267" t="s">
        <v>56</v>
      </c>
      <c r="G191" s="299">
        <v>25766.027750000008</v>
      </c>
      <c r="H191" s="297">
        <f>+G192</f>
      </c>
      <c r="I191" s="297">
        <f t="shared" ref="I191:P191" si="69">+H192</f>
      </c>
      <c r="J191" s="297">
        <f t="shared" si="69"/>
      </c>
      <c r="K191" s="297">
        <f t="shared" si="69"/>
      </c>
      <c r="L191" s="297">
        <f t="shared" si="69"/>
      </c>
      <c r="M191" s="297">
        <f t="shared" si="69"/>
      </c>
      <c r="N191" s="297">
        <f t="shared" si="69"/>
      </c>
      <c r="O191" s="297">
        <f t="shared" si="69"/>
      </c>
      <c r="P191" s="297">
        <f t="shared" si="69"/>
      </c>
    </row>
    <row r="192" spans="2:16" ht="15.75" customHeight="1" outlineLevel="1" x14ac:dyDescent="0.2">
      <c r="C192" s="249" t="s">
        <v>147</v>
      </c>
      <c r="F192" s="267" t="s">
        <v>56</v>
      </c>
      <c r="G192" s="298">
        <f>+G190+G191</f>
      </c>
      <c r="H192" s="298">
        <f t="shared" ref="H192:P192" si="70">+H190+H191</f>
      </c>
      <c r="I192" s="298">
        <f t="shared" si="70"/>
      </c>
      <c r="J192" s="298">
        <f t="shared" si="70"/>
      </c>
      <c r="K192" s="298">
        <f t="shared" si="70"/>
      </c>
      <c r="L192" s="298">
        <f t="shared" si="70"/>
      </c>
      <c r="M192" s="298">
        <f t="shared" si="70"/>
      </c>
      <c r="N192" s="298">
        <f t="shared" si="70"/>
      </c>
      <c r="O192" s="298">
        <f t="shared" si="70"/>
      </c>
      <c r="P192" s="298">
        <f t="shared" si="70"/>
      </c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2:P104"/>
  <sheetViews>
    <sheetView showGridLines="0" topLeftCell="A55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2" spans="2:16" ht="18.75" customHeight="1" x14ac:dyDescent="0.25">
      <c r="B2" s="2" t="str">
        <f>"Sample Private Company Financial Statements - "&amp;Company_Name&amp;" - U.S. GAAP / IFRS-Compliant"</f>
      </c>
    </row>
    <row r="3" spans="2:16" ht="15.75" customHeight="1" x14ac:dyDescent="0.2">
      <c r="B3" s="1" t="s">
        <v>0</v>
      </c>
      <c r="G3" s="3"/>
    </row>
    <row r="4" spans="2:16" ht="15.75" customHeight="1" x14ac:dyDescent="0.2">
      <c r="B4" s="4"/>
      <c r="G4" s="3"/>
    </row>
    <row r="5" spans="2:16" ht="15.75" customHeight="1" x14ac:dyDescent="0.2">
      <c r="B5" s="23" t="s">
        <v>148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2:16" ht="15.75" customHeight="1" outlineLevel="1" x14ac:dyDescent="0.2">
      <c r="B6" s="4"/>
      <c r="G6" s="3"/>
    </row>
    <row r="7" spans="2:16" ht="15.75" customHeight="1" outlineLevel="1" x14ac:dyDescent="0.2">
      <c r="B7" s="4"/>
      <c r="C7" s="1" t="s">
        <v>149</v>
      </c>
      <c r="F7" s="48">
        <v>0.35</v>
      </c>
      <c r="G7" s="3"/>
    </row>
    <row r="8" spans="2:16" ht="15.75" customHeight="1" outlineLevel="1" x14ac:dyDescent="0.2">
      <c r="B8" s="4"/>
      <c r="C8" s="1" t="s">
        <v>150</v>
      </c>
      <c r="E8" s="49"/>
      <c r="F8" s="50" t="s">
        <v>151</v>
      </c>
      <c r="G8" s="3"/>
    </row>
    <row r="9" spans="2:16" ht="15.75" customHeight="1" outlineLevel="1" x14ac:dyDescent="0.2">
      <c r="B9" s="4"/>
      <c r="G9" s="3"/>
    </row>
    <row r="10" spans="2:16" ht="15.75" customHeight="1" outlineLevel="1" x14ac:dyDescent="0.2">
      <c r="B10" s="4"/>
      <c r="C10" s="1" t="s">
        <v>152</v>
      </c>
      <c r="F10" s="48">
        <v>0.3</v>
      </c>
      <c r="G10" s="3"/>
    </row>
    <row r="11" spans="2:16" ht="15.75" customHeight="1" x14ac:dyDescent="0.2">
      <c r="B11" s="4"/>
      <c r="G11" s="3"/>
    </row>
    <row r="12" spans="2:16" ht="15.75" customHeight="1" x14ac:dyDescent="0.2">
      <c r="B12" s="5"/>
      <c r="C12" s="5"/>
      <c r="D12" s="5"/>
      <c r="E12" s="5"/>
      <c r="F12" s="5"/>
      <c r="G12" s="6" t="s">
        <v>1</v>
      </c>
      <c r="H12" s="7"/>
      <c r="I12" s="7"/>
      <c r="J12" s="7"/>
      <c r="K12" s="8"/>
      <c r="L12" s="6" t="s">
        <v>2</v>
      </c>
      <c r="M12" s="6"/>
      <c r="N12" s="6"/>
      <c r="O12" s="6"/>
      <c r="P12" s="6"/>
    </row>
    <row r="13" spans="2:16" ht="15.75" customHeight="1" x14ac:dyDescent="0.2">
      <c r="B13" s="23" t="s">
        <v>63</v>
      </c>
      <c r="C13" s="9"/>
      <c r="D13" s="9"/>
      <c r="E13" s="9"/>
      <c r="F13" s="10" t="s">
        <v>4</v>
      </c>
      <c r="G13" s="11" t="s">
        <v>5</v>
      </c>
      <c r="H13" s="11" t="s">
        <v>6</v>
      </c>
      <c r="I13" s="11" t="s">
        <v>7</v>
      </c>
      <c r="J13" s="11" t="s">
        <v>8</v>
      </c>
      <c r="K13" s="12" t="s">
        <v>9</v>
      </c>
      <c r="L13" s="11" t="s">
        <v>10</v>
      </c>
      <c r="M13" s="11" t="s">
        <v>11</v>
      </c>
      <c r="N13" s="11" t="s">
        <v>12</v>
      </c>
      <c r="O13" s="11" t="s">
        <v>13</v>
      </c>
      <c r="P13" s="11" t="s">
        <v>14</v>
      </c>
    </row>
    <row r="14" spans="2:16" ht="15.75" customHeight="1" outlineLevel="1" x14ac:dyDescent="0.2">
      <c r="C14" s="21"/>
      <c r="G14" s="25"/>
    </row>
    <row r="15" spans="2:16" ht="15.75" customHeight="1" outlineLevel="1" x14ac:dyDescent="0.2">
      <c r="C15" s="24" t="s">
        <v>153</v>
      </c>
      <c r="F15" s="14" t="s">
        <v>56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</row>
    <row r="16" spans="2:16" ht="15.75" customHeight="1" outlineLevel="1" x14ac:dyDescent="0.2">
      <c r="C16" s="35" t="s">
        <v>154</v>
      </c>
      <c r="D16" s="36"/>
      <c r="E16" s="36"/>
      <c r="F16" s="27" t="s">
        <v>56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</row>
    <row r="17" spans="3:16" ht="15.75" customHeight="1" outlineLevel="1" x14ac:dyDescent="0.2">
      <c r="C17" s="24" t="s">
        <v>155</v>
      </c>
      <c r="F17" s="14" t="s">
        <v>56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3:16" ht="15.75" customHeight="1" outlineLevel="1" x14ac:dyDescent="0.2">
      <c r="C18" s="24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3:16" ht="15.75" customHeight="1" outlineLevel="1" x14ac:dyDescent="0.2">
      <c r="C19" s="4" t="s">
        <v>82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3:16" ht="15.75" customHeight="1" outlineLevel="1" x14ac:dyDescent="0.2">
      <c r="C20" s="13" t="s">
        <v>156</v>
      </c>
      <c r="F20" s="14" t="s">
        <v>56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3:16" ht="15.75" customHeight="1" outlineLevel="1" x14ac:dyDescent="0.2">
      <c r="C21" s="13" t="s">
        <v>157</v>
      </c>
      <c r="F21" s="14" t="s">
        <v>56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3:16" ht="15.75" customHeight="1" outlineLevel="1" x14ac:dyDescent="0.2">
      <c r="C22" s="13" t="s">
        <v>158</v>
      </c>
      <c r="F22" s="14" t="s">
        <v>56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3:16" ht="15.75" customHeight="1" outlineLevel="1" x14ac:dyDescent="0.2">
      <c r="C23" s="13" t="s">
        <v>100</v>
      </c>
      <c r="F23" s="27" t="s">
        <v>56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3:16" ht="15.75" customHeight="1" outlineLevel="1" x14ac:dyDescent="0.2">
      <c r="C24" s="28" t="s">
        <v>94</v>
      </c>
      <c r="D24" s="18"/>
      <c r="E24" s="18"/>
      <c r="F24" s="14" t="s">
        <v>56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3:16" ht="15.75" customHeight="1" outlineLevel="1" x14ac:dyDescent="0.2"/>
    <row r="26" spans="3:16" ht="15.75" customHeight="1" outlineLevel="1" x14ac:dyDescent="0.2">
      <c r="C26" s="4" t="s">
        <v>95</v>
      </c>
      <c r="F26" s="14" t="s">
        <v>56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3:16" ht="15.75" customHeight="1" outlineLevel="1" x14ac:dyDescent="0.2">
      <c r="C27" s="13" t="s">
        <v>159</v>
      </c>
      <c r="F27" s="27" t="s">
        <v>56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3:16" ht="15.75" customHeight="1" outlineLevel="1" x14ac:dyDescent="0.2">
      <c r="C28" s="17" t="s">
        <v>160</v>
      </c>
      <c r="D28" s="18"/>
      <c r="E28" s="18"/>
      <c r="F28" s="14" t="s">
        <v>56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spans="3:16" ht="15.75" customHeight="1" outlineLevel="1" x14ac:dyDescent="0.2"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3:16" ht="15.75" customHeight="1" outlineLevel="1" x14ac:dyDescent="0.2">
      <c r="C30" s="4" t="s">
        <v>161</v>
      </c>
      <c r="F30" s="14" t="s">
        <v>56</v>
      </c>
      <c r="G30" s="53"/>
      <c r="H30" s="53"/>
      <c r="I30" s="53"/>
      <c r="J30" s="53"/>
      <c r="K30" s="53"/>
      <c r="L30" s="30"/>
      <c r="M30" s="30"/>
      <c r="N30" s="30"/>
      <c r="O30" s="30"/>
      <c r="P30" s="30"/>
    </row>
    <row r="31" spans="3:16" ht="15.75" customHeight="1" outlineLevel="1" x14ac:dyDescent="0.2">
      <c r="G31" s="25"/>
      <c r="H31" s="25"/>
      <c r="I31" s="25"/>
      <c r="J31" s="25"/>
      <c r="K31" s="25"/>
      <c r="L31" s="25"/>
    </row>
    <row r="32" spans="3:16" ht="15.75" customHeight="1" outlineLevel="1" x14ac:dyDescent="0.2">
      <c r="C32" s="4" t="s">
        <v>97</v>
      </c>
      <c r="F32" s="14" t="s">
        <v>56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4" spans="2:16" ht="15.75" customHeight="1" x14ac:dyDescent="0.2">
      <c r="B34" s="32"/>
      <c r="C34" s="32"/>
      <c r="D34" s="32"/>
      <c r="E34" s="32"/>
      <c r="F34" s="5"/>
      <c r="G34" s="6" t="str">
        <f t="shared" ref="G34:G82" si="0">+$G$12</f>
      </c>
      <c r="H34" s="7"/>
      <c r="I34" s="7"/>
      <c r="J34" s="7"/>
      <c r="K34" s="8"/>
      <c r="L34" s="6" t="str">
        <f t="shared" ref="L34:L82" si="1">+$L$12</f>
      </c>
      <c r="M34" s="6"/>
      <c r="N34" s="6"/>
      <c r="O34" s="6"/>
      <c r="P34" s="6"/>
    </row>
    <row r="35" spans="2:16" ht="15.75" customHeight="1" x14ac:dyDescent="0.2">
      <c r="B35" s="33" t="s">
        <v>98</v>
      </c>
      <c r="C35" s="33"/>
      <c r="D35" s="34"/>
      <c r="E35" s="34"/>
      <c r="F35" s="10" t="str">
        <f t="shared" ref="F35:F83" si="2">+$F$13</f>
      </c>
      <c r="G35" s="11" t="str">
        <f t="shared" ref="G35:G83" si="3">+$G$13</f>
      </c>
      <c r="H35" s="11" t="str">
        <f t="shared" ref="H35:H83" si="4">+$H$13</f>
      </c>
      <c r="I35" s="11" t="str">
        <f t="shared" ref="I35:I83" si="5">+$I$13</f>
      </c>
      <c r="J35" s="11" t="str">
        <f t="shared" ref="J35:J83" si="6">+$J$13</f>
      </c>
      <c r="K35" s="12" t="str">
        <f t="shared" ref="K35:K83" si="7">+$K$13</f>
      </c>
      <c r="L35" s="11" t="str">
        <f t="shared" ref="L35:L83" si="8">+$L$13</f>
      </c>
      <c r="M35" s="11" t="str">
        <f t="shared" ref="M35:M83" si="9">+$M$13</f>
      </c>
      <c r="N35" s="11" t="str">
        <f t="shared" ref="N35:N83" si="10">+$N$13</f>
      </c>
      <c r="O35" s="11" t="str">
        <f t="shared" ref="O35:O83" si="11">+$O$13</f>
      </c>
      <c r="P35" s="11" t="str">
        <f t="shared" ref="P35:P83" si="12">+$P$13</f>
      </c>
    </row>
    <row r="36" spans="2:16" ht="15.75" customHeight="1" outlineLevel="1" x14ac:dyDescent="0.2"/>
    <row r="37" spans="2:16" ht="15.75" customHeight="1" outlineLevel="1" x14ac:dyDescent="0.2">
      <c r="C37" s="13" t="s">
        <v>99</v>
      </c>
      <c r="F37" s="14" t="s">
        <v>56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2:16" ht="15.75" customHeight="1" outlineLevel="1" x14ac:dyDescent="0.2">
      <c r="C38" s="35" t="s">
        <v>100</v>
      </c>
      <c r="D38" s="36"/>
      <c r="E38" s="36"/>
      <c r="F38" s="27" t="s">
        <v>56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2:16" ht="15.75" customHeight="1" outlineLevel="1" x14ac:dyDescent="0.2">
      <c r="C39" s="4" t="s">
        <v>101</v>
      </c>
      <c r="F39" s="14" t="s">
        <v>56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2:16" ht="15.75" customHeight="1" outlineLevel="1" x14ac:dyDescent="0.2"/>
    <row r="41" spans="2:16" ht="15.75" customHeight="1" outlineLevel="1" x14ac:dyDescent="0.2">
      <c r="C41" s="38" t="s">
        <v>102</v>
      </c>
      <c r="F41" s="14" t="s">
        <v>21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2:16" ht="15.75" customHeight="1" outlineLevel="1" x14ac:dyDescent="0.2">
      <c r="C42" s="38" t="s">
        <v>103</v>
      </c>
      <c r="F42" s="14" t="s">
        <v>21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2:16" ht="15.75" customHeight="1" outlineLevel="1" x14ac:dyDescent="0.2">
      <c r="C43" s="38" t="s">
        <v>104</v>
      </c>
      <c r="F43" s="14" t="s">
        <v>21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2:16" ht="15.75" customHeight="1" outlineLevel="1" x14ac:dyDescent="0.2">
      <c r="C44" s="38" t="s">
        <v>105</v>
      </c>
      <c r="F44" s="14" t="s">
        <v>21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2:16" ht="15.75" customHeight="1" outlineLevel="1" x14ac:dyDescent="0.2"/>
    <row r="46" spans="2:16" ht="15.75" customHeight="1" outlineLevel="1" x14ac:dyDescent="0.2">
      <c r="C46" s="38" t="s">
        <v>36</v>
      </c>
      <c r="F46" s="14" t="s">
        <v>21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8" spans="2:16" ht="15.75" customHeight="1" x14ac:dyDescent="0.2">
      <c r="B48" s="5"/>
      <c r="C48" s="5"/>
      <c r="D48" s="5"/>
      <c r="E48" s="5"/>
      <c r="F48" s="5"/>
      <c r="G48" s="6" t="str">
        <f t="shared" si="0"/>
      </c>
      <c r="H48" s="7"/>
      <c r="I48" s="7"/>
      <c r="J48" s="7"/>
      <c r="K48" s="8"/>
      <c r="L48" s="6" t="str">
        <f t="shared" si="1"/>
      </c>
      <c r="M48" s="6"/>
      <c r="N48" s="6"/>
      <c r="O48" s="6"/>
      <c r="P48" s="6"/>
    </row>
    <row r="49" spans="2:16" ht="15.75" customHeight="1" x14ac:dyDescent="0.2">
      <c r="B49" s="23" t="s">
        <v>106</v>
      </c>
      <c r="C49" s="9"/>
      <c r="D49" s="9"/>
      <c r="E49" s="9"/>
      <c r="F49" s="10" t="str">
        <f t="shared" si="2"/>
      </c>
      <c r="G49" s="11" t="str">
        <f t="shared" si="3"/>
      </c>
      <c r="H49" s="11" t="str">
        <f t="shared" si="4"/>
      </c>
      <c r="I49" s="11" t="str">
        <f t="shared" si="5"/>
      </c>
      <c r="J49" s="11" t="str">
        <f t="shared" si="6"/>
      </c>
      <c r="K49" s="12" t="str">
        <f t="shared" si="7"/>
      </c>
      <c r="L49" s="11" t="str">
        <f t="shared" si="8"/>
      </c>
      <c r="M49" s="11" t="str">
        <f t="shared" si="9"/>
      </c>
      <c r="N49" s="11" t="str">
        <f t="shared" si="10"/>
      </c>
      <c r="O49" s="11" t="str">
        <f t="shared" si="11"/>
      </c>
      <c r="P49" s="11" t="str">
        <f t="shared" si="12"/>
      </c>
    </row>
    <row r="50" spans="2:16" ht="15.75" customHeight="1" outlineLevel="1" x14ac:dyDescent="0.2">
      <c r="B50" s="39" t="s">
        <v>107</v>
      </c>
      <c r="C50" s="40"/>
      <c r="D50" s="41"/>
      <c r="E50" s="41"/>
      <c r="F50" s="41"/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1" spans="2:16" ht="15.75" customHeight="1" outlineLevel="1" x14ac:dyDescent="0.2">
      <c r="C51" s="4" t="s">
        <v>108</v>
      </c>
    </row>
    <row r="52" spans="2:16" ht="15.75" customHeight="1" outlineLevel="1" x14ac:dyDescent="0.2">
      <c r="C52" s="13" t="s">
        <v>109</v>
      </c>
      <c r="F52" s="14" t="s">
        <v>56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2:16" ht="15.75" customHeight="1" outlineLevel="1" x14ac:dyDescent="0.2">
      <c r="C53" s="13" t="s">
        <v>110</v>
      </c>
      <c r="D53" s="36"/>
      <c r="E53" s="36"/>
      <c r="F53" s="27" t="s">
        <v>56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2:16" ht="15.75" customHeight="1" outlineLevel="1" x14ac:dyDescent="0.2">
      <c r="C54" s="17" t="s">
        <v>111</v>
      </c>
      <c r="F54" s="14" t="s">
        <v>56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</row>
    <row r="55" spans="2:16" ht="15.75" customHeight="1" outlineLevel="1" x14ac:dyDescent="0.2"/>
    <row r="56" spans="2:16" ht="15.75" customHeight="1" outlineLevel="1" x14ac:dyDescent="0.2">
      <c r="C56" s="4" t="s">
        <v>112</v>
      </c>
    </row>
    <row r="57" spans="2:16" ht="15.75" customHeight="1" outlineLevel="1" x14ac:dyDescent="0.2">
      <c r="C57" s="13" t="s">
        <v>113</v>
      </c>
      <c r="F57" s="14" t="s">
        <v>56</v>
      </c>
      <c r="G57" s="55"/>
      <c r="H57" s="55"/>
      <c r="I57" s="55"/>
      <c r="J57" s="55"/>
      <c r="K57" s="55"/>
      <c r="L57" s="20"/>
      <c r="M57" s="20"/>
      <c r="N57" s="20"/>
      <c r="O57" s="20"/>
      <c r="P57" s="20"/>
    </row>
    <row r="58" spans="2:16" ht="15.75" customHeight="1" outlineLevel="1" x14ac:dyDescent="0.2">
      <c r="C58" s="44" t="s">
        <v>114</v>
      </c>
      <c r="D58" s="36"/>
      <c r="E58" s="36"/>
      <c r="F58" s="27" t="s">
        <v>56</v>
      </c>
      <c r="G58" s="52"/>
      <c r="H58" s="52"/>
      <c r="I58" s="52"/>
      <c r="J58" s="52"/>
      <c r="K58" s="52"/>
      <c r="L58" s="37"/>
      <c r="M58" s="37"/>
      <c r="N58" s="37"/>
      <c r="O58" s="37"/>
      <c r="P58" s="37"/>
    </row>
    <row r="59" spans="2:16" ht="15.75" customHeight="1" outlineLevel="1" x14ac:dyDescent="0.2">
      <c r="C59" s="4" t="s">
        <v>115</v>
      </c>
      <c r="F59" s="14" t="s">
        <v>56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spans="2:16" ht="15.75" customHeight="1" outlineLevel="1" x14ac:dyDescent="0.2"/>
    <row r="61" spans="2:16" ht="15.75" customHeight="1" outlineLevel="1" x14ac:dyDescent="0.2">
      <c r="C61" s="45" t="s">
        <v>116</v>
      </c>
      <c r="F61" s="14" t="s">
        <v>56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</row>
    <row r="62" spans="2:16" ht="15.75" customHeight="1" outlineLevel="1" x14ac:dyDescent="0.2">
      <c r="C62" s="46"/>
    </row>
    <row r="63" spans="2:16" ht="15.75" customHeight="1" outlineLevel="1" x14ac:dyDescent="0.2">
      <c r="B63" s="39" t="s">
        <v>117</v>
      </c>
      <c r="C63" s="40"/>
      <c r="D63" s="41"/>
      <c r="E63" s="41"/>
      <c r="F63" s="41"/>
      <c r="G63" s="42"/>
      <c r="H63" s="42"/>
      <c r="I63" s="42"/>
      <c r="J63" s="42"/>
      <c r="K63" s="42"/>
      <c r="L63" s="42"/>
      <c r="M63" s="42"/>
      <c r="N63" s="42"/>
      <c r="O63" s="42"/>
      <c r="P63" s="42"/>
    </row>
    <row r="64" spans="2:16" ht="15.75" customHeight="1" outlineLevel="1" x14ac:dyDescent="0.2">
      <c r="C64" s="4" t="s">
        <v>118</v>
      </c>
    </row>
    <row r="65" spans="3:16" ht="15.75" customHeight="1" outlineLevel="1" x14ac:dyDescent="0.2">
      <c r="C65" s="13" t="s">
        <v>119</v>
      </c>
      <c r="F65" s="14" t="s">
        <v>56</v>
      </c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3:16" ht="15.75" customHeight="1" outlineLevel="1" x14ac:dyDescent="0.2">
      <c r="C66" s="35" t="s">
        <v>120</v>
      </c>
      <c r="D66" s="36"/>
      <c r="E66" s="36"/>
      <c r="F66" s="27" t="s">
        <v>56</v>
      </c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spans="3:16" ht="15.75" customHeight="1" outlineLevel="1" x14ac:dyDescent="0.2">
      <c r="C67" s="4" t="s">
        <v>121</v>
      </c>
      <c r="F67" s="14" t="s">
        <v>56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</row>
    <row r="68" spans="3:16" ht="15.75" customHeight="1" outlineLevel="1" x14ac:dyDescent="0.2"/>
    <row r="69" spans="3:16" ht="15.75" customHeight="1" outlineLevel="1" x14ac:dyDescent="0.2">
      <c r="C69" s="4" t="s">
        <v>122</v>
      </c>
    </row>
    <row r="70" spans="3:16" ht="15.75" customHeight="1" outlineLevel="1" x14ac:dyDescent="0.2">
      <c r="C70" s="13" t="s">
        <v>123</v>
      </c>
      <c r="F70" s="14" t="s">
        <v>56</v>
      </c>
      <c r="G70" s="55"/>
      <c r="H70" s="55"/>
      <c r="I70" s="55"/>
      <c r="J70" s="55"/>
      <c r="K70" s="55"/>
      <c r="L70" s="55"/>
      <c r="M70" s="55"/>
      <c r="N70" s="55"/>
      <c r="O70" s="55"/>
      <c r="P70" s="55"/>
    </row>
    <row r="71" spans="3:16" ht="15.75" customHeight="1" outlineLevel="1" x14ac:dyDescent="0.2">
      <c r="C71" s="35" t="s">
        <v>124</v>
      </c>
      <c r="D71" s="36"/>
      <c r="E71" s="36"/>
      <c r="F71" s="27" t="s">
        <v>56</v>
      </c>
      <c r="G71" s="52"/>
      <c r="H71" s="52"/>
      <c r="I71" s="52"/>
      <c r="J71" s="52"/>
      <c r="K71" s="52"/>
      <c r="L71" s="37"/>
      <c r="M71" s="37"/>
      <c r="N71" s="37"/>
      <c r="O71" s="37"/>
      <c r="P71" s="37"/>
    </row>
    <row r="72" spans="3:16" ht="15.75" customHeight="1" outlineLevel="1" x14ac:dyDescent="0.2">
      <c r="C72" s="4" t="s">
        <v>125</v>
      </c>
      <c r="F72" s="14" t="s">
        <v>56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</row>
    <row r="73" spans="3:16" ht="15.75" customHeight="1" outlineLevel="1" x14ac:dyDescent="0.2"/>
    <row r="74" spans="3:16" ht="15.75" customHeight="1" outlineLevel="1" x14ac:dyDescent="0.2">
      <c r="C74" s="4" t="s">
        <v>126</v>
      </c>
      <c r="F74" s="14" t="s">
        <v>56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</row>
    <row r="75" spans="3:16" ht="15.75" customHeight="1" outlineLevel="1" x14ac:dyDescent="0.2">
      <c r="H75" s="19"/>
      <c r="I75" s="19"/>
      <c r="J75" s="19"/>
      <c r="K75" s="19"/>
    </row>
    <row r="76" spans="3:16" ht="15.75" customHeight="1" outlineLevel="1" x14ac:dyDescent="0.2">
      <c r="C76" s="4" t="s">
        <v>127</v>
      </c>
      <c r="F76" s="14" t="s">
        <v>56</v>
      </c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 spans="3:16" ht="15.75" customHeight="1" outlineLevel="1" x14ac:dyDescent="0.2"/>
    <row r="78" spans="3:16" ht="15.75" customHeight="1" outlineLevel="1" x14ac:dyDescent="0.2">
      <c r="C78" s="4" t="s">
        <v>128</v>
      </c>
      <c r="F78" s="14" t="s">
        <v>56</v>
      </c>
      <c r="G78" s="31"/>
      <c r="H78" s="31"/>
      <c r="I78" s="31"/>
      <c r="J78" s="31"/>
      <c r="K78" s="31"/>
      <c r="L78" s="31"/>
      <c r="M78" s="31"/>
      <c r="N78" s="31"/>
      <c r="O78" s="31"/>
      <c r="P78" s="31"/>
    </row>
    <row r="79" spans="3:16" ht="15.75" customHeight="1" outlineLevel="1" x14ac:dyDescent="0.2"/>
    <row r="80" spans="3:16" ht="15.75" customHeight="1" outlineLevel="1" x14ac:dyDescent="0.2">
      <c r="C80" s="38" t="s">
        <v>129</v>
      </c>
      <c r="D80" s="47"/>
      <c r="G80" s="47"/>
      <c r="H80" s="47"/>
      <c r="I80" s="47"/>
      <c r="J80" s="47"/>
      <c r="K80" s="47"/>
      <c r="L80" s="47"/>
      <c r="M80" s="47"/>
      <c r="N80" s="47"/>
      <c r="O80" s="47"/>
      <c r="P80" s="47"/>
    </row>
    <row r="82" spans="2:16" ht="15.75" customHeight="1" x14ac:dyDescent="0.2">
      <c r="B82" s="5"/>
      <c r="C82" s="5"/>
      <c r="D82" s="5"/>
      <c r="E82" s="5"/>
      <c r="F82" s="5"/>
      <c r="G82" s="6" t="str">
        <f t="shared" si="0"/>
      </c>
      <c r="H82" s="7"/>
      <c r="I82" s="7"/>
      <c r="J82" s="7"/>
      <c r="K82" s="8"/>
      <c r="L82" s="6" t="str">
        <f t="shared" si="1"/>
      </c>
      <c r="M82" s="6"/>
      <c r="N82" s="6"/>
      <c r="O82" s="6"/>
      <c r="P82" s="6"/>
    </row>
    <row r="83" spans="2:16" ht="15.75" customHeight="1" x14ac:dyDescent="0.2">
      <c r="B83" s="23" t="s">
        <v>130</v>
      </c>
      <c r="C83" s="9"/>
      <c r="D83" s="9"/>
      <c r="E83" s="9"/>
      <c r="F83" s="10" t="str">
        <f t="shared" si="2"/>
      </c>
      <c r="G83" s="11" t="str">
        <f t="shared" si="3"/>
      </c>
      <c r="H83" s="11" t="str">
        <f t="shared" si="4"/>
      </c>
      <c r="I83" s="11" t="str">
        <f t="shared" si="5"/>
      </c>
      <c r="J83" s="11" t="str">
        <f t="shared" si="6"/>
      </c>
      <c r="K83" s="12" t="str">
        <f t="shared" si="7"/>
      </c>
      <c r="L83" s="11" t="str">
        <f t="shared" si="8"/>
      </c>
      <c r="M83" s="11" t="str">
        <f t="shared" si="9"/>
      </c>
      <c r="N83" s="11" t="str">
        <f t="shared" si="10"/>
      </c>
      <c r="O83" s="11" t="str">
        <f t="shared" si="11"/>
      </c>
      <c r="P83" s="11" t="str">
        <f t="shared" si="12"/>
      </c>
    </row>
    <row r="84" spans="2:16" ht="15.75" customHeight="1" outlineLevel="1" x14ac:dyDescent="0.2">
      <c r="B84" s="42"/>
      <c r="C84" s="39" t="s">
        <v>131</v>
      </c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</row>
    <row r="85" spans="2:16" ht="15.75" customHeight="1" outlineLevel="1" x14ac:dyDescent="0.2">
      <c r="C85" s="4" t="s">
        <v>97</v>
      </c>
      <c r="F85" s="14" t="s">
        <v>56</v>
      </c>
      <c r="G85" s="31"/>
      <c r="H85" s="31"/>
      <c r="I85" s="31"/>
      <c r="J85" s="31"/>
      <c r="K85" s="31"/>
      <c r="L85" s="31"/>
      <c r="M85" s="31"/>
      <c r="N85" s="31"/>
      <c r="O85" s="31"/>
      <c r="P85" s="31"/>
    </row>
    <row r="86" spans="2:16" ht="15.75" customHeight="1" outlineLevel="1" x14ac:dyDescent="0.2">
      <c r="C86" s="13" t="s">
        <v>100</v>
      </c>
      <c r="F86" s="14" t="s">
        <v>56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spans="2:16" ht="15.75" customHeight="1" outlineLevel="1" x14ac:dyDescent="0.2">
      <c r="C87" s="13" t="s">
        <v>132</v>
      </c>
      <c r="F87" s="14" t="s">
        <v>56</v>
      </c>
      <c r="G87" s="55"/>
      <c r="H87" s="55"/>
      <c r="I87" s="55"/>
      <c r="J87" s="55"/>
      <c r="K87" s="55"/>
      <c r="L87" s="20"/>
      <c r="M87" s="20"/>
      <c r="N87" s="20"/>
      <c r="O87" s="20"/>
      <c r="P87" s="20"/>
    </row>
    <row r="88" spans="2:16" ht="15.75" customHeight="1" outlineLevel="1" x14ac:dyDescent="0.2">
      <c r="C88" s="13" t="s">
        <v>133</v>
      </c>
      <c r="F88" s="14" t="s">
        <v>56</v>
      </c>
      <c r="G88" s="55"/>
      <c r="H88" s="55"/>
      <c r="I88" s="55"/>
      <c r="J88" s="55"/>
      <c r="K88" s="55"/>
      <c r="L88" s="20"/>
      <c r="M88" s="20"/>
      <c r="N88" s="20"/>
      <c r="O88" s="20"/>
      <c r="P88" s="20"/>
    </row>
    <row r="89" spans="2:16" ht="15.75" customHeight="1" outlineLevel="1" x14ac:dyDescent="0.2">
      <c r="C89" s="13" t="s">
        <v>134</v>
      </c>
      <c r="F89" s="14" t="s">
        <v>56</v>
      </c>
      <c r="G89" s="55"/>
      <c r="H89" s="55"/>
      <c r="I89" s="55"/>
      <c r="J89" s="55"/>
      <c r="K89" s="55"/>
      <c r="L89" s="20"/>
      <c r="M89" s="20"/>
      <c r="N89" s="20"/>
      <c r="O89" s="20"/>
      <c r="P89" s="20"/>
    </row>
    <row r="90" spans="2:16" ht="15.75" customHeight="1" outlineLevel="1" x14ac:dyDescent="0.2">
      <c r="C90" s="13" t="s">
        <v>135</v>
      </c>
      <c r="F90" s="27" t="s">
        <v>56</v>
      </c>
      <c r="G90" s="55"/>
      <c r="H90" s="55"/>
      <c r="I90" s="55"/>
      <c r="J90" s="55"/>
      <c r="K90" s="55"/>
      <c r="L90" s="20"/>
      <c r="M90" s="20"/>
      <c r="N90" s="20"/>
      <c r="O90" s="20"/>
      <c r="P90" s="20"/>
    </row>
    <row r="91" spans="2:16" ht="15.75" customHeight="1" outlineLevel="1" x14ac:dyDescent="0.2">
      <c r="C91" s="17" t="s">
        <v>136</v>
      </c>
      <c r="D91" s="18"/>
      <c r="E91" s="18"/>
      <c r="F91" s="14" t="s">
        <v>56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</row>
    <row r="92" spans="2:16" ht="15.75" customHeight="1" outlineLevel="1" x14ac:dyDescent="0.2"/>
    <row r="93" spans="2:16" ht="15.75" customHeight="1" outlineLevel="1" x14ac:dyDescent="0.2">
      <c r="B93" s="42"/>
      <c r="C93" s="39" t="s">
        <v>137</v>
      </c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</row>
    <row r="94" spans="2:16" ht="15.75" customHeight="1" outlineLevel="1" x14ac:dyDescent="0.2">
      <c r="C94" s="13" t="s">
        <v>138</v>
      </c>
      <c r="F94" s="14" t="s">
        <v>56</v>
      </c>
      <c r="G94" s="55"/>
      <c r="H94" s="55"/>
      <c r="I94" s="55"/>
      <c r="J94" s="55"/>
      <c r="K94" s="55"/>
      <c r="L94" s="55"/>
      <c r="M94" s="55"/>
      <c r="N94" s="55"/>
      <c r="O94" s="55"/>
      <c r="P94" s="55"/>
    </row>
    <row r="95" spans="2:16" ht="15.75" customHeight="1" outlineLevel="1" x14ac:dyDescent="0.2">
      <c r="C95" s="35" t="s">
        <v>139</v>
      </c>
      <c r="D95" s="36"/>
      <c r="E95" s="36"/>
      <c r="F95" s="27" t="s">
        <v>56</v>
      </c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2:16" ht="15.75" customHeight="1" outlineLevel="1" x14ac:dyDescent="0.2">
      <c r="C96" s="4" t="s">
        <v>140</v>
      </c>
      <c r="F96" s="14" t="s">
        <v>56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</row>
    <row r="97" spans="2:16" ht="15.75" customHeight="1" outlineLevel="1" x14ac:dyDescent="0.2">
      <c r="G97" s="20"/>
      <c r="H97" s="20"/>
      <c r="I97" s="20"/>
      <c r="J97" s="20"/>
      <c r="K97" s="20"/>
    </row>
    <row r="98" spans="2:16" ht="15.75" customHeight="1" outlineLevel="1" x14ac:dyDescent="0.2">
      <c r="B98" s="42"/>
      <c r="C98" s="39" t="s">
        <v>141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</row>
    <row r="99" spans="2:16" ht="15.75" customHeight="1" outlineLevel="1" x14ac:dyDescent="0.2">
      <c r="C99" s="35" t="s">
        <v>142</v>
      </c>
      <c r="D99" s="36"/>
      <c r="E99" s="36"/>
      <c r="F99" s="27" t="s">
        <v>56</v>
      </c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 spans="2:16" ht="15.75" customHeight="1" outlineLevel="1" x14ac:dyDescent="0.2">
      <c r="C100" s="4" t="s">
        <v>144</v>
      </c>
      <c r="F100" s="14" t="s">
        <v>56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</row>
    <row r="101" spans="2:16" ht="15.75" customHeight="1" outlineLevel="1" x14ac:dyDescent="0.2"/>
    <row r="102" spans="2:16" ht="15.75" customHeight="1" outlineLevel="1" x14ac:dyDescent="0.2">
      <c r="C102" s="4" t="s">
        <v>145</v>
      </c>
      <c r="F102" s="14" t="s">
        <v>56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</row>
    <row r="103" spans="2:16" ht="15.75" customHeight="1" outlineLevel="1" x14ac:dyDescent="0.2">
      <c r="C103" s="4" t="s">
        <v>146</v>
      </c>
      <c r="F103" s="14" t="s">
        <v>56</v>
      </c>
      <c r="G103" s="57"/>
      <c r="H103" s="30"/>
      <c r="I103" s="30"/>
      <c r="J103" s="30"/>
      <c r="K103" s="30"/>
      <c r="L103" s="30"/>
      <c r="M103" s="30"/>
      <c r="N103" s="30"/>
      <c r="O103" s="30"/>
      <c r="P103" s="30"/>
    </row>
    <row r="104" spans="2:16" ht="15.75" customHeight="1" outlineLevel="1" x14ac:dyDescent="0.2">
      <c r="C104" s="4" t="s">
        <v>147</v>
      </c>
      <c r="F104" s="14" t="s">
        <v>56</v>
      </c>
      <c r="G104" s="31"/>
      <c r="H104" s="31"/>
      <c r="I104" s="31"/>
      <c r="J104" s="31"/>
      <c r="K104" s="31"/>
      <c r="L104" s="31"/>
      <c r="M104" s="31"/>
      <c r="N104" s="31"/>
      <c r="O104" s="31"/>
      <c r="P104" s="31"/>
    </row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2:AB117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2" spans="2:28" ht="18.75" customHeight="1" x14ac:dyDescent="0.25">
      <c r="B2" s="2" t="str">
        <f>"Private Company DCF Analysis - "&amp;Company_Name</f>
      </c>
    </row>
    <row r="3" spans="2:28" ht="15.75" customHeight="1" x14ac:dyDescent="0.2">
      <c r="B3" s="1" t="s">
        <v>0</v>
      </c>
    </row>
    <row r="5" spans="2:28" ht="15.75" customHeight="1" x14ac:dyDescent="0.2">
      <c r="B5" s="58" t="str">
        <f>"DCF Assumptions - "&amp;Company_Name&amp;":"</f>
      </c>
      <c r="C5" s="59"/>
      <c r="D5" s="59"/>
      <c r="E5" s="59"/>
      <c r="F5" s="59"/>
      <c r="G5" s="59"/>
      <c r="H5" s="59"/>
      <c r="I5" s="59"/>
      <c r="J5" s="59"/>
      <c r="K5" s="59"/>
      <c r="L5" s="59"/>
      <c r="AB5" s="60"/>
    </row>
    <row r="6" spans="2:28" ht="15.75" customHeight="1" outlineLevel="1" x14ac:dyDescent="0.2">
      <c r="AB6" s="60"/>
    </row>
    <row r="7" spans="2:28" ht="15.75" customHeight="1" outlineLevel="1" x14ac:dyDescent="0.2">
      <c r="B7" s="61" t="s">
        <v>162</v>
      </c>
      <c r="C7" s="62"/>
      <c r="D7" s="62"/>
      <c r="E7" s="62"/>
      <c r="G7" s="61" t="s">
        <v>163</v>
      </c>
      <c r="H7" s="62"/>
      <c r="I7" s="62"/>
      <c r="J7" s="62"/>
      <c r="AB7" s="60"/>
    </row>
    <row r="8" spans="2:28" ht="15.75" customHeight="1" outlineLevel="1" x14ac:dyDescent="0.2">
      <c r="AB8" s="60"/>
    </row>
    <row r="9" spans="2:28" ht="15.75" customHeight="1" outlineLevel="1" x14ac:dyDescent="0.2">
      <c r="B9" s="63" t="s">
        <v>164</v>
      </c>
      <c r="E9" s="64">
        <f>+WACC</f>
      </c>
      <c r="G9" s="1" t="s">
        <v>165</v>
      </c>
      <c r="J9" s="65">
        <v>-0.02</v>
      </c>
      <c r="AB9" s="60"/>
    </row>
    <row r="10" spans="2:28" ht="15.75" customHeight="1" outlineLevel="1" x14ac:dyDescent="0.2">
      <c r="G10" s="1" t="s">
        <v>166</v>
      </c>
      <c r="J10" s="65">
        <v>0.04</v>
      </c>
      <c r="AB10" s="60"/>
    </row>
    <row r="11" spans="2:28" ht="15.75" customHeight="1" outlineLevel="1" x14ac:dyDescent="0.2">
      <c r="B11" s="1" t="s">
        <v>167</v>
      </c>
      <c r="E11" s="65">
        <v>0.25</v>
      </c>
      <c r="AB11" s="60"/>
    </row>
    <row r="12" spans="2:28" ht="15.75" customHeight="1" outlineLevel="1" x14ac:dyDescent="0.2">
      <c r="G12" s="1" t="s">
        <v>168</v>
      </c>
      <c r="J12" s="65">
        <v>-5.0000000000000001E-3</v>
      </c>
      <c r="AB12" s="60"/>
    </row>
    <row r="13" spans="2:28" ht="15.75" customHeight="1" outlineLevel="1" x14ac:dyDescent="0.2">
      <c r="B13" s="1" t="s">
        <v>169</v>
      </c>
      <c r="E13" s="65">
        <v>0</v>
      </c>
      <c r="G13" s="1" t="s">
        <v>170</v>
      </c>
      <c r="J13" s="65">
        <v>0.15</v>
      </c>
      <c r="AB13" s="60"/>
    </row>
    <row r="14" spans="2:28" ht="15.75" customHeight="1" outlineLevel="1" x14ac:dyDescent="0.2">
      <c r="AB14" s="60"/>
    </row>
    <row r="15" spans="2:28" ht="15.75" customHeight="1" outlineLevel="1" x14ac:dyDescent="0.2">
      <c r="G15" s="1" t="s">
        <v>171</v>
      </c>
      <c r="J15" s="65">
        <v>5.0000000000000001E-3</v>
      </c>
      <c r="AB15" s="60"/>
    </row>
    <row r="16" spans="2:28" ht="15.75" customHeight="1" outlineLevel="1" x14ac:dyDescent="0.2">
      <c r="G16" s="1" t="s">
        <v>54</v>
      </c>
      <c r="J16" s="65">
        <v>0.01</v>
      </c>
      <c r="AB16" s="60"/>
    </row>
    <row r="17" spans="2:28" ht="15.75" customHeight="1" outlineLevel="1" x14ac:dyDescent="0.2">
      <c r="G17" s="1" t="s">
        <v>172</v>
      </c>
      <c r="J17" s="65">
        <v>0.03</v>
      </c>
      <c r="AB17" s="60"/>
    </row>
    <row r="18" spans="2:28" ht="15.75" customHeight="1" outlineLevel="1" x14ac:dyDescent="0.2">
      <c r="AB18" s="60"/>
    </row>
    <row r="19" spans="2:28" ht="15.75" customHeight="1" outlineLevel="1" x14ac:dyDescent="0.2">
      <c r="B19" s="61" t="s">
        <v>173</v>
      </c>
      <c r="C19" s="62"/>
      <c r="D19" s="62"/>
      <c r="E19" s="62"/>
      <c r="G19" s="61" t="s">
        <v>174</v>
      </c>
      <c r="H19" s="62"/>
      <c r="I19" s="62"/>
      <c r="J19" s="62"/>
      <c r="L19" s="61" t="s">
        <v>175</v>
      </c>
      <c r="M19" s="62"/>
      <c r="N19" s="62"/>
      <c r="O19" s="62"/>
      <c r="Q19" s="61" t="s">
        <v>176</v>
      </c>
      <c r="R19" s="62"/>
      <c r="S19" s="62"/>
      <c r="T19" s="62"/>
    </row>
    <row r="20" spans="2:28" ht="15.75" customHeight="1" outlineLevel="1" x14ac:dyDescent="0.2">
      <c r="B20" s="38"/>
    </row>
    <row r="21" spans="2:28" ht="15.75" customHeight="1" outlineLevel="1" x14ac:dyDescent="0.2">
      <c r="B21" s="63" t="s">
        <v>177</v>
      </c>
      <c r="C21" s="63"/>
      <c r="D21" s="63"/>
      <c r="E21" s="66">
        <v>5.6970457537651606</v>
      </c>
      <c r="G21" s="63" t="s">
        <v>178</v>
      </c>
      <c r="J21" s="65">
        <v>0.03</v>
      </c>
      <c r="L21" s="67" t="s">
        <v>179</v>
      </c>
      <c r="O21" s="68"/>
      <c r="Q21" s="67" t="s">
        <v>180</v>
      </c>
      <c r="T21" s="65">
        <v>-0.1</v>
      </c>
    </row>
    <row r="22" spans="2:28" ht="15.75" customHeight="1" outlineLevel="1" x14ac:dyDescent="0.2">
      <c r="B22" s="63" t="s">
        <v>181</v>
      </c>
      <c r="C22" s="63"/>
      <c r="D22" s="63"/>
      <c r="E22" s="19"/>
      <c r="G22" s="63" t="s">
        <v>181</v>
      </c>
      <c r="J22" s="19"/>
      <c r="L22" s="63" t="s">
        <v>182</v>
      </c>
      <c r="O22" s="20"/>
      <c r="P22" s="60"/>
      <c r="Q22" s="63"/>
      <c r="T22" s="20"/>
      <c r="U22" s="60"/>
      <c r="V22" s="60"/>
      <c r="W22" s="60"/>
    </row>
    <row r="23" spans="2:28" ht="15.75" customHeight="1" outlineLevel="1" x14ac:dyDescent="0.2">
      <c r="B23" s="63" t="s">
        <v>183</v>
      </c>
      <c r="C23" s="63"/>
      <c r="D23" s="63"/>
      <c r="E23" s="20"/>
      <c r="G23" s="63" t="s">
        <v>183</v>
      </c>
      <c r="J23" s="20"/>
      <c r="L23" s="63" t="s">
        <v>184</v>
      </c>
      <c r="O23" s="20"/>
      <c r="P23" s="60"/>
      <c r="Q23" s="63"/>
      <c r="T23" s="20"/>
      <c r="U23" s="60"/>
      <c r="V23" s="60"/>
      <c r="W23" s="60"/>
    </row>
    <row r="24" spans="2:28" ht="15.75" customHeight="1" outlineLevel="1" x14ac:dyDescent="0.2">
      <c r="B24" s="63" t="s">
        <v>185</v>
      </c>
      <c r="E24" s="69"/>
      <c r="G24" s="63" t="s">
        <v>186</v>
      </c>
      <c r="J24" s="70"/>
      <c r="L24" s="63" t="s">
        <v>187</v>
      </c>
      <c r="O24" s="20"/>
      <c r="P24" s="60"/>
      <c r="Q24" s="63"/>
      <c r="T24" s="70"/>
      <c r="U24" s="60"/>
      <c r="V24" s="60"/>
      <c r="W24" s="60"/>
    </row>
    <row r="25" spans="2:28" ht="15.75" customHeight="1" outlineLevel="1" x14ac:dyDescent="0.2">
      <c r="B25" s="38"/>
      <c r="G25" s="38"/>
      <c r="L25" s="38"/>
      <c r="P25" s="60"/>
      <c r="Q25" s="38"/>
      <c r="U25" s="60"/>
      <c r="V25" s="60"/>
      <c r="W25" s="60"/>
    </row>
    <row r="26" spans="2:28" ht="15.75" customHeight="1" outlineLevel="1" x14ac:dyDescent="0.2">
      <c r="B26" s="71" t="s">
        <v>188</v>
      </c>
      <c r="C26" s="63"/>
      <c r="D26" s="63"/>
      <c r="E26" s="20"/>
      <c r="G26" s="71" t="str">
        <f t="shared" ref="G26:Q26" si="0">+$B$26</f>
      </c>
      <c r="J26" s="20"/>
      <c r="L26" s="71" t="str">
        <f t="shared" si="0"/>
      </c>
      <c r="O26" s="20"/>
      <c r="P26" s="60"/>
      <c r="Q26" s="71" t="str">
        <f t="shared" si="0"/>
      </c>
      <c r="T26" s="20"/>
      <c r="U26" s="60"/>
      <c r="V26" s="60"/>
      <c r="W26" s="60"/>
    </row>
    <row r="27" spans="2:28" ht="15.75" customHeight="1" outlineLevel="1" x14ac:dyDescent="0.2">
      <c r="B27" s="72" t="s">
        <v>189</v>
      </c>
      <c r="C27" s="73"/>
      <c r="D27" s="73"/>
      <c r="E27" s="37"/>
      <c r="G27" s="72" t="str">
        <f t="shared" ref="G27:Q27" si="1">+$B$27</f>
      </c>
      <c r="H27" s="36"/>
      <c r="I27" s="36"/>
      <c r="J27" s="37"/>
      <c r="L27" s="72" t="str">
        <f t="shared" si="1"/>
      </c>
      <c r="M27" s="36"/>
      <c r="N27" s="36"/>
      <c r="O27" s="37"/>
      <c r="P27" s="60"/>
      <c r="Q27" s="72" t="str">
        <f t="shared" si="1"/>
      </c>
      <c r="R27" s="36"/>
      <c r="S27" s="36"/>
      <c r="T27" s="37"/>
      <c r="U27" s="60"/>
      <c r="V27" s="60"/>
      <c r="W27" s="60"/>
    </row>
    <row r="28" spans="2:28" ht="15.75" customHeight="1" outlineLevel="1" x14ac:dyDescent="0.2">
      <c r="B28" s="74" t="s">
        <v>190</v>
      </c>
      <c r="C28" s="63"/>
      <c r="D28" s="63"/>
      <c r="E28" s="30">
        <f>SUM(E26:E27)</f>
      </c>
      <c r="G28" s="74" t="str">
        <f t="shared" ref="G28:Q28" si="2">+$B$28</f>
      </c>
      <c r="J28" s="30"/>
      <c r="L28" s="74" t="str">
        <f t="shared" si="2"/>
      </c>
      <c r="O28" s="30"/>
      <c r="P28" s="60"/>
      <c r="Q28" s="74" t="str">
        <f t="shared" si="2"/>
      </c>
      <c r="T28" s="30"/>
      <c r="U28" s="60"/>
      <c r="V28" s="60"/>
      <c r="W28" s="60"/>
    </row>
    <row r="29" spans="2:28" ht="15.75" customHeight="1" outlineLevel="1" x14ac:dyDescent="0.2">
      <c r="B29" s="63"/>
      <c r="C29" s="63"/>
      <c r="D29" s="63"/>
      <c r="E29" s="63"/>
      <c r="G29" s="63"/>
      <c r="J29" s="63"/>
      <c r="L29" s="63"/>
      <c r="O29" s="63"/>
      <c r="P29" s="60"/>
      <c r="Q29" s="63"/>
      <c r="T29" s="63"/>
      <c r="U29" s="60"/>
      <c r="V29" s="60"/>
      <c r="W29" s="60"/>
    </row>
    <row r="30" spans="2:28" ht="15.75" customHeight="1" outlineLevel="1" x14ac:dyDescent="0.2">
      <c r="B30" s="75" t="s">
        <v>191</v>
      </c>
      <c r="C30" s="63"/>
      <c r="D30" s="63"/>
      <c r="E30" s="76"/>
      <c r="G30" s="75" t="str">
        <f t="shared" ref="G30:Q30" si="3">+$B$30</f>
      </c>
      <c r="J30" s="76"/>
      <c r="L30" s="75" t="str">
        <f t="shared" si="3"/>
      </c>
      <c r="O30" s="76"/>
      <c r="P30" s="60"/>
      <c r="Q30" s="75" t="str">
        <f t="shared" si="3"/>
      </c>
      <c r="T30" s="76"/>
      <c r="U30" s="60"/>
      <c r="V30" s="60"/>
      <c r="W30" s="60"/>
    </row>
    <row r="31" spans="2:28" ht="15.75" customHeight="1" outlineLevel="1" x14ac:dyDescent="0.2">
      <c r="B31" s="63"/>
      <c r="C31" s="63"/>
      <c r="D31" s="63"/>
      <c r="E31" s="63"/>
      <c r="G31" s="63"/>
      <c r="J31" s="63"/>
      <c r="L31" s="63"/>
      <c r="O31" s="63"/>
      <c r="P31" s="60"/>
      <c r="Q31" s="63"/>
      <c r="T31" s="63"/>
      <c r="U31" s="60"/>
      <c r="V31" s="60"/>
      <c r="W31" s="60"/>
    </row>
    <row r="32" spans="2:28" ht="15.75" customHeight="1" outlineLevel="1" x14ac:dyDescent="0.2">
      <c r="B32" s="71" t="s">
        <v>192</v>
      </c>
      <c r="C32" s="63"/>
      <c r="D32" s="63"/>
      <c r="E32" s="55"/>
      <c r="G32" s="71" t="str">
        <f t="shared" ref="G32:Q32" si="4">+$B$32</f>
      </c>
      <c r="J32" s="22"/>
      <c r="L32" s="71" t="str">
        <f t="shared" si="4"/>
      </c>
      <c r="O32" s="22"/>
      <c r="P32" s="60"/>
      <c r="Q32" s="71" t="str">
        <f t="shared" si="4"/>
      </c>
      <c r="T32" s="22"/>
      <c r="U32" s="60"/>
      <c r="V32" s="60"/>
      <c r="W32" s="60"/>
    </row>
    <row r="33" spans="2:23" ht="15.75" customHeight="1" outlineLevel="1" x14ac:dyDescent="0.2">
      <c r="B33" s="13" t="s">
        <v>193</v>
      </c>
      <c r="E33" s="26"/>
      <c r="G33" s="13" t="str">
        <f t="shared" ref="G33:Q33" si="5">+$B$33</f>
      </c>
      <c r="J33" s="22"/>
      <c r="L33" s="13" t="str">
        <f t="shared" si="5"/>
      </c>
      <c r="O33" s="22"/>
      <c r="P33" s="60"/>
      <c r="Q33" s="13" t="str">
        <f t="shared" si="5"/>
      </c>
      <c r="T33" s="22"/>
      <c r="U33" s="60"/>
      <c r="V33" s="60"/>
      <c r="W33" s="60"/>
    </row>
    <row r="34" spans="2:23" ht="15.75" customHeight="1" outlineLevel="1" x14ac:dyDescent="0.2">
      <c r="B34" s="13" t="s">
        <v>194</v>
      </c>
      <c r="E34" s="26"/>
      <c r="G34" s="13" t="str">
        <f t="shared" ref="G34:Q34" si="6">+$B$34</f>
      </c>
      <c r="J34" s="22"/>
      <c r="L34" s="13" t="str">
        <f t="shared" si="6"/>
      </c>
      <c r="O34" s="22"/>
      <c r="P34" s="60"/>
      <c r="Q34" s="13" t="str">
        <f t="shared" si="6"/>
      </c>
      <c r="T34" s="22"/>
      <c r="U34" s="60"/>
      <c r="V34" s="60"/>
      <c r="W34" s="60"/>
    </row>
    <row r="35" spans="2:23" ht="15.75" customHeight="1" outlineLevel="1" x14ac:dyDescent="0.2">
      <c r="B35" s="13" t="s">
        <v>195</v>
      </c>
      <c r="E35" s="26"/>
      <c r="G35" s="13" t="str">
        <f t="shared" ref="G35:Q35" si="7">+$B$35</f>
      </c>
      <c r="J35" s="22"/>
      <c r="L35" s="13" t="str">
        <f t="shared" si="7"/>
      </c>
      <c r="O35" s="22"/>
      <c r="P35" s="60"/>
      <c r="Q35" s="13" t="str">
        <f t="shared" si="7"/>
      </c>
      <c r="T35" s="22"/>
      <c r="U35" s="60"/>
      <c r="V35" s="60"/>
      <c r="W35" s="60"/>
    </row>
    <row r="36" spans="2:23" ht="15.75" customHeight="1" outlineLevel="1" x14ac:dyDescent="0.2">
      <c r="B36" s="13" t="s">
        <v>196</v>
      </c>
      <c r="E36" s="43"/>
      <c r="G36" s="13" t="str">
        <f t="shared" ref="G36:Q36" si="8">+$B$36</f>
      </c>
      <c r="H36" s="36"/>
      <c r="I36" s="36"/>
      <c r="J36" s="77"/>
      <c r="L36" s="13" t="str">
        <f t="shared" si="8"/>
      </c>
      <c r="M36" s="36"/>
      <c r="N36" s="36"/>
      <c r="O36" s="77"/>
      <c r="Q36" s="13" t="str">
        <f t="shared" si="8"/>
      </c>
      <c r="R36" s="36"/>
      <c r="S36" s="36"/>
      <c r="T36" s="77"/>
    </row>
    <row r="37" spans="2:23" ht="15.75" customHeight="1" outlineLevel="1" x14ac:dyDescent="0.2">
      <c r="B37" s="78" t="s">
        <v>197</v>
      </c>
      <c r="C37" s="79"/>
      <c r="D37" s="79"/>
      <c r="E37" s="31"/>
      <c r="G37" s="78" t="str">
        <f t="shared" ref="G37:Q37" si="9">+$B$37</f>
      </c>
      <c r="J37" s="31"/>
      <c r="L37" s="78" t="str">
        <f t="shared" si="9"/>
      </c>
      <c r="O37" s="31"/>
      <c r="Q37" s="78" t="str">
        <f t="shared" si="9"/>
      </c>
      <c r="T37" s="31"/>
    </row>
    <row r="38" spans="2:23" ht="15.75" customHeight="1" x14ac:dyDescent="0.2">
      <c r="C38" s="80"/>
      <c r="D38" s="63"/>
      <c r="E38" s="63"/>
      <c r="F38" s="81"/>
      <c r="H38" s="80"/>
      <c r="K38" s="81"/>
    </row>
    <row r="39" spans="2:23" ht="15.75" customHeight="1" x14ac:dyDescent="0.2">
      <c r="B39" s="82"/>
      <c r="C39" s="83" t="s">
        <v>198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</row>
    <row r="40" spans="2:23" ht="15.75" customHeight="1" x14ac:dyDescent="0.2">
      <c r="B40" s="58" t="s">
        <v>199</v>
      </c>
      <c r="C40" s="11" t="str">
        <f>+'Company0462-GAAP'!L13</f>
      </c>
      <c r="D40" s="11" t="str">
        <f>+'Company0462-GAAP'!M13</f>
      </c>
      <c r="E40" s="11" t="str">
        <f>+'Company0462-GAAP'!N13</f>
      </c>
      <c r="F40" s="11" t="str">
        <f>+'Company0462-GAAP'!O13</f>
      </c>
      <c r="G40" s="11" t="str">
        <f>+'Company0462-GAAP'!P13</f>
      </c>
      <c r="H40" s="59" t="s">
        <v>200</v>
      </c>
      <c r="I40" s="59" t="s">
        <v>201</v>
      </c>
      <c r="J40" s="59" t="s">
        <v>202</v>
      </c>
      <c r="K40" s="59" t="s">
        <v>203</v>
      </c>
      <c r="L40" s="59" t="s">
        <v>204</v>
      </c>
      <c r="M40" s="59" t="s">
        <v>205</v>
      </c>
      <c r="N40" s="59" t="s">
        <v>206</v>
      </c>
      <c r="O40" s="59" t="s">
        <v>207</v>
      </c>
      <c r="P40" s="59" t="s">
        <v>208</v>
      </c>
      <c r="Q40" s="59" t="s">
        <v>209</v>
      </c>
      <c r="R40" s="59" t="s">
        <v>210</v>
      </c>
      <c r="S40" s="59" t="s">
        <v>211</v>
      </c>
      <c r="T40" s="59" t="s">
        <v>212</v>
      </c>
      <c r="U40" s="59" t="s">
        <v>213</v>
      </c>
      <c r="V40" s="59" t="s">
        <v>214</v>
      </c>
    </row>
    <row r="41" spans="2:23" ht="15.75" customHeight="1" outlineLevel="1" x14ac:dyDescent="0.2">
      <c r="H41" s="84"/>
      <c r="I41" s="84"/>
    </row>
    <row r="42" spans="2:23" ht="15.75" customHeight="1" outlineLevel="1" x14ac:dyDescent="0.2">
      <c r="B42" s="1" t="s">
        <v>215</v>
      </c>
      <c r="C42" s="85"/>
      <c r="D42" s="85"/>
      <c r="E42" s="85"/>
      <c r="F42" s="85"/>
      <c r="G42" s="85"/>
      <c r="H42" s="86"/>
      <c r="I42" s="86"/>
      <c r="J42" s="86"/>
      <c r="K42" s="86"/>
      <c r="L42" s="86"/>
    </row>
    <row r="43" spans="2:23" ht="15.75" customHeight="1" outlineLevel="1" x14ac:dyDescent="0.2">
      <c r="B43" s="87" t="s">
        <v>216</v>
      </c>
      <c r="C43" s="88"/>
      <c r="D43" s="88"/>
      <c r="E43" s="88"/>
      <c r="F43" s="88"/>
      <c r="G43" s="88"/>
      <c r="H43" s="16"/>
      <c r="I43" s="16"/>
      <c r="J43" s="16"/>
      <c r="K43" s="16"/>
      <c r="L43" s="16"/>
    </row>
    <row r="44" spans="2:23" ht="15.75" customHeight="1" outlineLevel="1" x14ac:dyDescent="0.2">
      <c r="B44" s="87"/>
      <c r="E44" s="88"/>
      <c r="F44" s="88"/>
      <c r="G44" s="88"/>
      <c r="H44" s="88"/>
    </row>
    <row r="45" spans="2:23" ht="15.75" customHeight="1" outlineLevel="1" x14ac:dyDescent="0.2">
      <c r="B45" s="1" t="s">
        <v>218</v>
      </c>
      <c r="C45" s="89"/>
      <c r="D45" s="89"/>
      <c r="E45" s="89"/>
      <c r="F45" s="89"/>
      <c r="G45" s="89"/>
      <c r="H45" s="90"/>
      <c r="I45" s="90"/>
      <c r="J45" s="90"/>
      <c r="K45" s="90"/>
      <c r="L45" s="90"/>
    </row>
    <row r="46" spans="2:23" ht="15.75" customHeight="1" outlineLevel="1" x14ac:dyDescent="0.2">
      <c r="B46" s="87" t="s">
        <v>103</v>
      </c>
      <c r="C46" s="88"/>
      <c r="D46" s="88"/>
      <c r="E46" s="88"/>
      <c r="F46" s="88"/>
      <c r="G46" s="88"/>
      <c r="H46" s="16"/>
      <c r="I46" s="16"/>
      <c r="J46" s="16"/>
      <c r="K46" s="16"/>
      <c r="L46" s="16"/>
    </row>
    <row r="47" spans="2:23" ht="15.75" customHeight="1" outlineLevel="1" x14ac:dyDescent="0.2"/>
    <row r="48" spans="2:23" ht="15.75" customHeight="1" outlineLevel="1" x14ac:dyDescent="0.2">
      <c r="B48" s="21" t="s">
        <v>219</v>
      </c>
      <c r="C48" s="90"/>
      <c r="D48" s="90"/>
      <c r="E48" s="90"/>
      <c r="F48" s="90"/>
      <c r="G48" s="90"/>
      <c r="H48" s="90"/>
      <c r="I48" s="90"/>
      <c r="J48" s="90"/>
      <c r="K48" s="90"/>
      <c r="L48" s="90"/>
    </row>
    <row r="49" spans="2:22" ht="15.75" customHeight="1" outlineLevel="1" x14ac:dyDescent="0.2"/>
    <row r="50" spans="2:22" ht="15.75" customHeight="1" outlineLevel="1" x14ac:dyDescent="0.2">
      <c r="B50" s="4" t="s">
        <v>220</v>
      </c>
      <c r="C50" s="91"/>
      <c r="D50" s="91"/>
      <c r="E50" s="91"/>
      <c r="F50" s="91"/>
      <c r="G50" s="91"/>
      <c r="H50" s="91"/>
      <c r="I50" s="91"/>
      <c r="J50" s="91"/>
      <c r="K50" s="91"/>
      <c r="L50" s="91"/>
    </row>
    <row r="51" spans="2:22" ht="15.75" customHeight="1" outlineLevel="1" x14ac:dyDescent="0.2">
      <c r="D51" s="88"/>
      <c r="E51" s="88"/>
      <c r="F51" s="88"/>
      <c r="G51" s="88"/>
    </row>
    <row r="52" spans="2:22" ht="15.75" customHeight="1" outlineLevel="1" x14ac:dyDescent="0.2">
      <c r="B52" s="1" t="s">
        <v>100</v>
      </c>
      <c r="C52" s="89"/>
      <c r="D52" s="89"/>
      <c r="E52" s="89"/>
      <c r="F52" s="89"/>
      <c r="G52" s="89"/>
      <c r="H52" s="90"/>
      <c r="I52" s="90"/>
      <c r="J52" s="90"/>
      <c r="K52" s="90"/>
      <c r="L52" s="90"/>
    </row>
    <row r="53" spans="2:22" ht="15.75" customHeight="1" outlineLevel="1" x14ac:dyDescent="0.2">
      <c r="B53" s="1" t="s">
        <v>221</v>
      </c>
      <c r="C53" s="90"/>
      <c r="D53" s="90"/>
      <c r="E53" s="90"/>
      <c r="F53" s="90"/>
      <c r="G53" s="90"/>
      <c r="H53" s="90"/>
      <c r="I53" s="90"/>
      <c r="J53" s="90"/>
      <c r="K53" s="90"/>
      <c r="L53" s="90"/>
    </row>
    <row r="54" spans="2:22" ht="15.75" customHeight="1" outlineLevel="1" x14ac:dyDescent="0.2">
      <c r="B54" s="1" t="s">
        <v>222</v>
      </c>
      <c r="C54" s="89"/>
      <c r="D54" s="89"/>
      <c r="E54" s="89"/>
      <c r="F54" s="89"/>
      <c r="G54" s="89"/>
      <c r="H54" s="90"/>
      <c r="I54" s="90"/>
      <c r="J54" s="90"/>
      <c r="K54" s="90"/>
      <c r="L54" s="90"/>
    </row>
    <row r="55" spans="2:22" ht="15.75" customHeight="1" outlineLevel="1" x14ac:dyDescent="0.2"/>
    <row r="56" spans="2:22" ht="15.75" customHeight="1" outlineLevel="1" x14ac:dyDescent="0.2">
      <c r="B56" s="92" t="s">
        <v>223</v>
      </c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spans="2:22" ht="15.75" customHeight="1" outlineLevel="1" x14ac:dyDescent="0.2">
      <c r="B57" s="87" t="s">
        <v>216</v>
      </c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</row>
    <row r="58" spans="2:22" ht="15.75" customHeight="1" outlineLevel="1" x14ac:dyDescent="0.2">
      <c r="B58" s="4" t="s">
        <v>224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</row>
    <row r="59" spans="2:22" ht="15.75" customHeight="1" outlineLevel="1" x14ac:dyDescent="0.2"/>
    <row r="60" spans="2:22" ht="15.75" customHeight="1" outlineLevel="1" x14ac:dyDescent="0.2">
      <c r="B60" s="1" t="s">
        <v>225</v>
      </c>
      <c r="C60" s="94">
        <v>1</v>
      </c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</row>
    <row r="61" spans="2:22" ht="15.75" customHeight="1" outlineLevel="1" x14ac:dyDescent="0.2">
      <c r="B61" s="1" t="s">
        <v>226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</row>
    <row r="63" spans="2:22" ht="15.75" customHeight="1" x14ac:dyDescent="0.2">
      <c r="B63" s="4" t="s">
        <v>227</v>
      </c>
      <c r="C63" s="38"/>
      <c r="D63" s="38"/>
    </row>
    <row r="64" spans="2:22" ht="15.75" customHeight="1" outlineLevel="1" x14ac:dyDescent="0.2">
      <c r="B64" s="38"/>
      <c r="C64" s="38"/>
      <c r="D64" s="38"/>
    </row>
    <row r="65" spans="2:12" ht="15.75" customHeight="1" outlineLevel="1" x14ac:dyDescent="0.2">
      <c r="B65" s="96"/>
      <c r="C65" s="97"/>
      <c r="D65" s="98" t="s">
        <v>228</v>
      </c>
      <c r="E65" s="98"/>
      <c r="F65" s="98"/>
      <c r="G65" s="98"/>
      <c r="H65" s="98"/>
      <c r="I65" s="98"/>
      <c r="J65" s="98"/>
      <c r="K65" s="98"/>
      <c r="L65" s="99"/>
    </row>
    <row r="66" spans="2:12" ht="15.75" customHeight="1" outlineLevel="1" x14ac:dyDescent="0.2">
      <c r="B66" s="100"/>
      <c r="C66" s="101">
        <f>+$J$37</f>
      </c>
      <c r="D66" s="102">
        <v>0</v>
      </c>
      <c r="E66" s="102">
        <f t="shared" ref="E66:L66" si="10">+D66+0.5%</f>
      </c>
      <c r="F66" s="102">
        <f t="shared" si="10"/>
      </c>
      <c r="G66" s="102">
        <f t="shared" si="10"/>
      </c>
      <c r="H66" s="102">
        <f t="shared" si="10"/>
      </c>
      <c r="I66" s="102">
        <f t="shared" si="10"/>
      </c>
      <c r="J66" s="102">
        <f t="shared" si="10"/>
      </c>
      <c r="K66" s="102">
        <f t="shared" si="10"/>
      </c>
      <c r="L66" s="103">
        <f t="shared" si="10"/>
      </c>
    </row>
    <row r="67" spans="2:12" ht="15.75" customHeight="1" outlineLevel="1" x14ac:dyDescent="0.2">
      <c r="B67" s="325" t="s">
        <v>229</v>
      </c>
      <c r="C67" s="102">
        <v>0.13</v>
      </c>
      <c r="D67" s="104"/>
      <c r="E67" s="105"/>
      <c r="F67" s="105"/>
      <c r="G67" s="105"/>
      <c r="H67" s="105"/>
      <c r="I67" s="105"/>
      <c r="J67" s="106"/>
      <c r="K67" s="105"/>
      <c r="L67" s="19"/>
    </row>
    <row r="68" spans="2:12" ht="15.75" customHeight="1" outlineLevel="1" x14ac:dyDescent="0.2">
      <c r="B68" s="326"/>
      <c r="C68" s="102">
        <f t="shared" ref="C68:C75" si="11">+C67+0.5%</f>
      </c>
      <c r="D68" s="107"/>
      <c r="E68" s="20"/>
      <c r="F68" s="20"/>
      <c r="G68" s="20"/>
      <c r="H68" s="20"/>
      <c r="I68" s="20"/>
      <c r="J68" s="108"/>
      <c r="K68" s="20"/>
      <c r="L68" s="20"/>
    </row>
    <row r="69" spans="2:12" ht="15.75" customHeight="1" outlineLevel="1" x14ac:dyDescent="0.2">
      <c r="B69" s="326"/>
      <c r="C69" s="102">
        <f t="shared" si="11"/>
      </c>
      <c r="D69" s="107"/>
      <c r="E69" s="20"/>
      <c r="F69" s="20"/>
      <c r="G69" s="20"/>
      <c r="H69" s="20"/>
      <c r="I69" s="20"/>
      <c r="J69" s="108"/>
      <c r="K69" s="20"/>
      <c r="L69" s="20"/>
    </row>
    <row r="70" spans="2:12" ht="15.75" customHeight="1" outlineLevel="1" x14ac:dyDescent="0.2">
      <c r="B70" s="326"/>
      <c r="C70" s="102">
        <f t="shared" si="11"/>
      </c>
      <c r="D70" s="107"/>
      <c r="E70" s="20"/>
      <c r="F70" s="20"/>
      <c r="G70" s="20"/>
      <c r="H70" s="20"/>
      <c r="I70" s="20"/>
      <c r="J70" s="108"/>
      <c r="K70" s="20"/>
      <c r="L70" s="20"/>
    </row>
    <row r="71" spans="2:12" ht="15.75" customHeight="1" outlineLevel="1" x14ac:dyDescent="0.2">
      <c r="B71" s="326"/>
      <c r="C71" s="102">
        <v>0.14844063269614838</v>
      </c>
      <c r="D71" s="109"/>
      <c r="E71" s="108"/>
      <c r="F71" s="108"/>
      <c r="G71" s="108"/>
      <c r="H71" s="108"/>
      <c r="I71" s="108"/>
      <c r="J71" s="108"/>
      <c r="K71" s="108"/>
      <c r="L71" s="108"/>
    </row>
    <row r="72" spans="2:12" ht="15.75" customHeight="1" outlineLevel="1" x14ac:dyDescent="0.2">
      <c r="B72" s="326"/>
      <c r="C72" s="102">
        <v>0.15</v>
      </c>
      <c r="D72" s="107"/>
      <c r="E72" s="20"/>
      <c r="F72" s="20"/>
      <c r="G72" s="20"/>
      <c r="H72" s="20"/>
      <c r="I72" s="20"/>
      <c r="J72" s="108"/>
      <c r="K72" s="20"/>
      <c r="L72" s="20"/>
    </row>
    <row r="73" spans="2:12" ht="15.75" customHeight="1" outlineLevel="1" x14ac:dyDescent="0.2">
      <c r="B73" s="326"/>
      <c r="C73" s="102">
        <f t="shared" si="11"/>
      </c>
      <c r="D73" s="107"/>
      <c r="E73" s="20"/>
      <c r="F73" s="20"/>
      <c r="G73" s="20"/>
      <c r="H73" s="20"/>
      <c r="I73" s="20"/>
      <c r="J73" s="108"/>
      <c r="K73" s="20"/>
      <c r="L73" s="20"/>
    </row>
    <row r="74" spans="2:12" ht="15.75" customHeight="1" outlineLevel="1" x14ac:dyDescent="0.2">
      <c r="B74" s="326"/>
      <c r="C74" s="102">
        <f t="shared" si="11"/>
      </c>
      <c r="D74" s="107"/>
      <c r="E74" s="20"/>
      <c r="F74" s="20"/>
      <c r="G74" s="20"/>
      <c r="H74" s="20"/>
      <c r="I74" s="20"/>
      <c r="J74" s="108"/>
      <c r="K74" s="20"/>
      <c r="L74" s="20"/>
    </row>
    <row r="75" spans="2:12" ht="15.75" customHeight="1" outlineLevel="1" x14ac:dyDescent="0.2">
      <c r="B75" s="327"/>
      <c r="C75" s="110">
        <f t="shared" si="11"/>
      </c>
      <c r="D75" s="107"/>
      <c r="E75" s="20"/>
      <c r="F75" s="20"/>
      <c r="G75" s="20"/>
      <c r="H75" s="20"/>
      <c r="I75" s="20"/>
      <c r="J75" s="108"/>
      <c r="K75" s="20"/>
      <c r="L75" s="20"/>
    </row>
    <row r="76" spans="2:12" ht="15.75" customHeight="1" outlineLevel="1" x14ac:dyDescent="0.2"/>
    <row r="77" spans="2:12" ht="15.75" customHeight="1" outlineLevel="1" x14ac:dyDescent="0.2">
      <c r="B77" s="4" t="s">
        <v>230</v>
      </c>
      <c r="C77" s="38"/>
      <c r="D77" s="38"/>
    </row>
    <row r="78" spans="2:12" ht="15.75" customHeight="1" outlineLevel="1" x14ac:dyDescent="0.2">
      <c r="B78" s="38"/>
      <c r="C78" s="38"/>
      <c r="D78" s="38"/>
    </row>
    <row r="79" spans="2:12" ht="15.75" customHeight="1" outlineLevel="1" x14ac:dyDescent="0.2">
      <c r="B79" s="96"/>
      <c r="C79" s="97"/>
      <c r="D79" s="98" t="s">
        <v>231</v>
      </c>
      <c r="E79" s="98"/>
      <c r="F79" s="98"/>
      <c r="G79" s="98"/>
      <c r="H79" s="98"/>
      <c r="I79" s="98"/>
      <c r="J79" s="98"/>
      <c r="K79" s="98"/>
      <c r="L79" s="99"/>
    </row>
    <row r="80" spans="2:12" ht="15.75" customHeight="1" outlineLevel="1" x14ac:dyDescent="0.2">
      <c r="B80" s="100"/>
      <c r="C80" s="101">
        <f>+$E$37</f>
      </c>
      <c r="D80" s="111">
        <v>4</v>
      </c>
      <c r="E80" s="111">
        <f t="shared" ref="E80:L80" si="12">+D80+0.5</f>
      </c>
      <c r="F80" s="111">
        <f t="shared" si="12"/>
      </c>
      <c r="G80" s="111">
        <f t="shared" si="12"/>
      </c>
      <c r="H80" s="111">
        <v>5.6970457537651606</v>
      </c>
      <c r="I80" s="111">
        <v>6</v>
      </c>
      <c r="J80" s="111">
        <f t="shared" si="12"/>
      </c>
      <c r="K80" s="111">
        <f t="shared" si="12"/>
      </c>
      <c r="L80" s="112">
        <f t="shared" si="12"/>
      </c>
    </row>
    <row r="81" spans="2:12" ht="15.75" customHeight="1" outlineLevel="1" x14ac:dyDescent="0.2">
      <c r="B81" s="325" t="s">
        <v>229</v>
      </c>
      <c r="C81" s="102">
        <f t="shared" ref="C81:C117" si="13">+C67</f>
      </c>
      <c r="D81" s="113"/>
      <c r="E81" s="19"/>
      <c r="F81" s="19"/>
      <c r="G81" s="19"/>
      <c r="H81" s="114"/>
      <c r="I81" s="19"/>
      <c r="J81" s="19"/>
      <c r="K81" s="19"/>
      <c r="L81" s="19"/>
    </row>
    <row r="82" spans="2:12" ht="15.75" customHeight="1" outlineLevel="1" x14ac:dyDescent="0.2">
      <c r="B82" s="326"/>
      <c r="C82" s="102">
        <f t="shared" si="13"/>
      </c>
      <c r="D82" s="107"/>
      <c r="E82" s="20"/>
      <c r="F82" s="20"/>
      <c r="G82" s="20"/>
      <c r="H82" s="108"/>
      <c r="I82" s="20"/>
      <c r="J82" s="20"/>
      <c r="K82" s="20"/>
      <c r="L82" s="20"/>
    </row>
    <row r="83" spans="2:12" ht="15.75" customHeight="1" outlineLevel="1" x14ac:dyDescent="0.2">
      <c r="B83" s="326"/>
      <c r="C83" s="102">
        <f t="shared" si="13"/>
      </c>
      <c r="D83" s="107"/>
      <c r="E83" s="20"/>
      <c r="F83" s="20"/>
      <c r="G83" s="20"/>
      <c r="H83" s="108"/>
      <c r="I83" s="20"/>
      <c r="J83" s="20"/>
      <c r="K83" s="20"/>
      <c r="L83" s="20"/>
    </row>
    <row r="84" spans="2:12" ht="15.75" customHeight="1" outlineLevel="1" x14ac:dyDescent="0.2">
      <c r="B84" s="326"/>
      <c r="C84" s="102">
        <f t="shared" si="13"/>
      </c>
      <c r="D84" s="107"/>
      <c r="E84" s="20"/>
      <c r="F84" s="20"/>
      <c r="G84" s="20"/>
      <c r="H84" s="108"/>
      <c r="I84" s="20"/>
      <c r="J84" s="20"/>
      <c r="K84" s="20"/>
      <c r="L84" s="20"/>
    </row>
    <row r="85" spans="2:12" ht="15.75" customHeight="1" outlineLevel="1" x14ac:dyDescent="0.2">
      <c r="B85" s="326"/>
      <c r="C85" s="102">
        <f t="shared" si="13"/>
      </c>
      <c r="D85" s="109"/>
      <c r="E85" s="108"/>
      <c r="F85" s="108"/>
      <c r="G85" s="108"/>
      <c r="H85" s="108"/>
      <c r="I85" s="108"/>
      <c r="J85" s="108"/>
      <c r="K85" s="108"/>
      <c r="L85" s="108"/>
    </row>
    <row r="86" spans="2:12" ht="15.75" customHeight="1" outlineLevel="1" x14ac:dyDescent="0.2">
      <c r="B86" s="326"/>
      <c r="C86" s="102">
        <f t="shared" si="13"/>
      </c>
      <c r="D86" s="107"/>
      <c r="E86" s="20"/>
      <c r="F86" s="20"/>
      <c r="G86" s="20"/>
      <c r="H86" s="108"/>
      <c r="I86" s="20"/>
      <c r="J86" s="20"/>
      <c r="K86" s="20"/>
      <c r="L86" s="20"/>
    </row>
    <row r="87" spans="2:12" ht="15.75" customHeight="1" outlineLevel="1" x14ac:dyDescent="0.2">
      <c r="B87" s="326"/>
      <c r="C87" s="102">
        <f t="shared" si="13"/>
      </c>
      <c r="D87" s="107"/>
      <c r="E87" s="20"/>
      <c r="F87" s="20"/>
      <c r="G87" s="20"/>
      <c r="H87" s="108"/>
      <c r="I87" s="20"/>
      <c r="J87" s="20"/>
      <c r="K87" s="20"/>
      <c r="L87" s="20"/>
    </row>
    <row r="88" spans="2:12" ht="15.75" customHeight="1" outlineLevel="1" x14ac:dyDescent="0.2">
      <c r="B88" s="326"/>
      <c r="C88" s="102">
        <f t="shared" si="13"/>
      </c>
      <c r="D88" s="107"/>
      <c r="E88" s="20"/>
      <c r="F88" s="20"/>
      <c r="G88" s="20"/>
      <c r="H88" s="108"/>
      <c r="I88" s="20"/>
      <c r="J88" s="20"/>
      <c r="K88" s="20"/>
      <c r="L88" s="20"/>
    </row>
    <row r="89" spans="2:12" ht="15.75" customHeight="1" outlineLevel="1" x14ac:dyDescent="0.2">
      <c r="B89" s="327"/>
      <c r="C89" s="110">
        <f t="shared" si="13"/>
      </c>
      <c r="D89" s="107"/>
      <c r="E89" s="20"/>
      <c r="F89" s="20"/>
      <c r="G89" s="20"/>
      <c r="H89" s="108"/>
      <c r="I89" s="20"/>
      <c r="J89" s="20"/>
      <c r="K89" s="20"/>
      <c r="L89" s="20"/>
    </row>
    <row r="90" spans="2:12" ht="15.75" customHeight="1" outlineLevel="1" x14ac:dyDescent="0.2"/>
    <row r="91" spans="2:12" ht="15.75" customHeight="1" outlineLevel="1" x14ac:dyDescent="0.2">
      <c r="B91" s="4" t="s">
        <v>232</v>
      </c>
      <c r="C91" s="38"/>
      <c r="D91" s="38"/>
    </row>
    <row r="92" spans="2:12" ht="15.75" customHeight="1" outlineLevel="1" x14ac:dyDescent="0.2">
      <c r="B92" s="38"/>
      <c r="C92" s="38"/>
      <c r="D92" s="38"/>
    </row>
    <row r="93" spans="2:12" ht="15.75" customHeight="1" outlineLevel="1" x14ac:dyDescent="0.2">
      <c r="B93" s="96"/>
      <c r="C93" s="97"/>
      <c r="D93" s="98" t="s">
        <v>169</v>
      </c>
      <c r="E93" s="98"/>
      <c r="F93" s="98"/>
      <c r="G93" s="98"/>
      <c r="H93" s="98"/>
      <c r="I93" s="98"/>
      <c r="J93" s="98"/>
      <c r="K93" s="98"/>
      <c r="L93" s="99"/>
    </row>
    <row r="94" spans="2:12" ht="15.75" customHeight="1" outlineLevel="1" x14ac:dyDescent="0.2">
      <c r="B94" s="100"/>
      <c r="C94" s="101">
        <f>+$O$37</f>
      </c>
      <c r="D94" s="115">
        <v>0</v>
      </c>
      <c r="E94" s="115">
        <f t="shared" ref="E94:L108" si="14">+D94+5%</f>
      </c>
      <c r="F94" s="115">
        <f t="shared" si="14"/>
      </c>
      <c r="G94" s="115">
        <f t="shared" si="14"/>
      </c>
      <c r="H94" s="115">
        <f t="shared" si="14"/>
      </c>
      <c r="I94" s="115">
        <f t="shared" si="14"/>
      </c>
      <c r="J94" s="115">
        <f t="shared" si="14"/>
      </c>
      <c r="K94" s="115">
        <f t="shared" si="14"/>
      </c>
      <c r="L94" s="116">
        <f t="shared" si="14"/>
      </c>
    </row>
    <row r="95" spans="2:12" ht="15.75" customHeight="1" outlineLevel="1" x14ac:dyDescent="0.2">
      <c r="B95" s="325" t="s">
        <v>229</v>
      </c>
      <c r="C95" s="102">
        <f t="shared" si="13"/>
      </c>
      <c r="D95" s="113"/>
      <c r="E95" s="19"/>
      <c r="F95" s="19"/>
      <c r="G95" s="19"/>
      <c r="H95" s="114"/>
      <c r="I95" s="19"/>
      <c r="J95" s="19"/>
      <c r="K95" s="19"/>
      <c r="L95" s="19"/>
    </row>
    <row r="96" spans="2:12" ht="15.75" customHeight="1" outlineLevel="1" x14ac:dyDescent="0.2">
      <c r="B96" s="326"/>
      <c r="C96" s="102">
        <f t="shared" si="13"/>
      </c>
      <c r="D96" s="107"/>
      <c r="E96" s="20"/>
      <c r="F96" s="20"/>
      <c r="G96" s="20"/>
      <c r="H96" s="108"/>
      <c r="I96" s="20"/>
      <c r="J96" s="20"/>
      <c r="K96" s="20"/>
      <c r="L96" s="20"/>
    </row>
    <row r="97" spans="2:12" ht="15.75" customHeight="1" outlineLevel="1" x14ac:dyDescent="0.2">
      <c r="B97" s="326"/>
      <c r="C97" s="102">
        <f t="shared" si="13"/>
      </c>
      <c r="D97" s="107"/>
      <c r="E97" s="20"/>
      <c r="F97" s="20"/>
      <c r="G97" s="20"/>
      <c r="H97" s="108"/>
      <c r="I97" s="20"/>
      <c r="J97" s="20"/>
      <c r="K97" s="20"/>
      <c r="L97" s="20"/>
    </row>
    <row r="98" spans="2:12" ht="15.75" customHeight="1" outlineLevel="1" x14ac:dyDescent="0.2">
      <c r="B98" s="326"/>
      <c r="C98" s="102">
        <f t="shared" si="13"/>
      </c>
      <c r="D98" s="107"/>
      <c r="E98" s="20"/>
      <c r="F98" s="20"/>
      <c r="G98" s="20"/>
      <c r="H98" s="108"/>
      <c r="I98" s="20"/>
      <c r="J98" s="20"/>
      <c r="K98" s="20"/>
      <c r="L98" s="20"/>
    </row>
    <row r="99" spans="2:12" ht="15.75" customHeight="1" outlineLevel="1" x14ac:dyDescent="0.2">
      <c r="B99" s="326"/>
      <c r="C99" s="102">
        <f t="shared" si="13"/>
      </c>
      <c r="D99" s="109"/>
      <c r="E99" s="108"/>
      <c r="F99" s="108"/>
      <c r="G99" s="108"/>
      <c r="H99" s="108"/>
      <c r="I99" s="108"/>
      <c r="J99" s="108"/>
      <c r="K99" s="108"/>
      <c r="L99" s="108"/>
    </row>
    <row r="100" spans="2:12" ht="15.75" customHeight="1" outlineLevel="1" x14ac:dyDescent="0.2">
      <c r="B100" s="326"/>
      <c r="C100" s="102">
        <f t="shared" si="13"/>
      </c>
      <c r="D100" s="107"/>
      <c r="E100" s="20"/>
      <c r="F100" s="20"/>
      <c r="G100" s="20"/>
      <c r="H100" s="108"/>
      <c r="I100" s="20"/>
      <c r="J100" s="20"/>
      <c r="K100" s="20"/>
      <c r="L100" s="20"/>
    </row>
    <row r="101" spans="2:12" ht="15.75" customHeight="1" outlineLevel="1" x14ac:dyDescent="0.2">
      <c r="B101" s="326"/>
      <c r="C101" s="102">
        <f t="shared" si="13"/>
      </c>
      <c r="D101" s="107"/>
      <c r="E101" s="20"/>
      <c r="F101" s="20"/>
      <c r="G101" s="20"/>
      <c r="H101" s="108"/>
      <c r="I101" s="20"/>
      <c r="J101" s="20"/>
      <c r="K101" s="20"/>
      <c r="L101" s="20"/>
    </row>
    <row r="102" spans="2:12" ht="15.75" customHeight="1" outlineLevel="1" x14ac:dyDescent="0.2">
      <c r="B102" s="326"/>
      <c r="C102" s="102">
        <f t="shared" si="13"/>
      </c>
      <c r="D102" s="107"/>
      <c r="E102" s="20"/>
      <c r="F102" s="20"/>
      <c r="G102" s="20"/>
      <c r="H102" s="108"/>
      <c r="I102" s="20"/>
      <c r="J102" s="20"/>
      <c r="K102" s="20"/>
      <c r="L102" s="20"/>
    </row>
    <row r="103" spans="2:12" ht="15.75" customHeight="1" outlineLevel="1" x14ac:dyDescent="0.2">
      <c r="B103" s="327"/>
      <c r="C103" s="110">
        <f t="shared" si="13"/>
      </c>
      <c r="D103" s="107"/>
      <c r="E103" s="20"/>
      <c r="F103" s="20"/>
      <c r="G103" s="20"/>
      <c r="H103" s="108"/>
      <c r="I103" s="20"/>
      <c r="J103" s="20"/>
      <c r="K103" s="20"/>
      <c r="L103" s="20"/>
    </row>
    <row r="104" spans="2:12" ht="15.75" customHeight="1" outlineLevel="1" x14ac:dyDescent="0.2"/>
    <row r="105" spans="2:12" ht="15.75" customHeight="1" outlineLevel="1" x14ac:dyDescent="0.2">
      <c r="B105" s="4" t="s">
        <v>233</v>
      </c>
      <c r="C105" s="38"/>
      <c r="D105" s="38"/>
    </row>
    <row r="106" spans="2:12" ht="15.75" customHeight="1" outlineLevel="1" x14ac:dyDescent="0.2">
      <c r="B106" s="38"/>
      <c r="C106" s="38"/>
      <c r="D106" s="38"/>
    </row>
    <row r="107" spans="2:12" ht="15.75" customHeight="1" outlineLevel="1" x14ac:dyDescent="0.2">
      <c r="B107" s="96"/>
      <c r="C107" s="97"/>
      <c r="D107" s="98" t="s">
        <v>234</v>
      </c>
      <c r="E107" s="98"/>
      <c r="F107" s="98"/>
      <c r="G107" s="98"/>
      <c r="H107" s="98"/>
      <c r="I107" s="98"/>
      <c r="J107" s="98"/>
      <c r="K107" s="98"/>
      <c r="L107" s="99"/>
    </row>
    <row r="108" spans="2:12" ht="15.75" customHeight="1" outlineLevel="1" x14ac:dyDescent="0.2">
      <c r="B108" s="100"/>
      <c r="C108" s="101">
        <f>+$T$37</f>
      </c>
      <c r="D108" s="115">
        <v>-0.4</v>
      </c>
      <c r="E108" s="115">
        <f t="shared" si="14"/>
      </c>
      <c r="F108" s="115">
        <f t="shared" si="14"/>
      </c>
      <c r="G108" s="115">
        <f t="shared" si="14"/>
      </c>
      <c r="H108" s="115">
        <f t="shared" si="14"/>
      </c>
      <c r="I108" s="115">
        <f t="shared" si="14"/>
      </c>
      <c r="J108" s="115">
        <f t="shared" si="14"/>
      </c>
      <c r="K108" s="115">
        <f t="shared" si="14"/>
      </c>
      <c r="L108" s="116">
        <f t="shared" si="14"/>
      </c>
    </row>
    <row r="109" spans="2:12" ht="15.75" customHeight="1" outlineLevel="1" x14ac:dyDescent="0.2">
      <c r="B109" s="325" t="s">
        <v>229</v>
      </c>
      <c r="C109" s="102">
        <f t="shared" si="13"/>
      </c>
      <c r="D109" s="113"/>
      <c r="E109" s="19"/>
      <c r="F109" s="19"/>
      <c r="G109" s="19"/>
      <c r="H109" s="19"/>
      <c r="I109" s="19"/>
      <c r="J109" s="114"/>
      <c r="K109" s="19"/>
      <c r="L109" s="19"/>
    </row>
    <row r="110" spans="2:12" ht="15.75" customHeight="1" outlineLevel="1" x14ac:dyDescent="0.2">
      <c r="B110" s="326"/>
      <c r="C110" s="102">
        <f t="shared" si="13"/>
      </c>
      <c r="D110" s="107"/>
      <c r="E110" s="20"/>
      <c r="F110" s="20"/>
      <c r="G110" s="20"/>
      <c r="H110" s="20"/>
      <c r="I110" s="20"/>
      <c r="J110" s="108"/>
      <c r="K110" s="20"/>
      <c r="L110" s="20"/>
    </row>
    <row r="111" spans="2:12" ht="15.75" customHeight="1" outlineLevel="1" x14ac:dyDescent="0.2">
      <c r="B111" s="326"/>
      <c r="C111" s="102">
        <f t="shared" si="13"/>
      </c>
      <c r="D111" s="107"/>
      <c r="E111" s="20"/>
      <c r="F111" s="20"/>
      <c r="G111" s="20"/>
      <c r="H111" s="20"/>
      <c r="I111" s="20"/>
      <c r="J111" s="108"/>
      <c r="K111" s="20"/>
      <c r="L111" s="20"/>
    </row>
    <row r="112" spans="2:12" ht="15.75" customHeight="1" outlineLevel="1" x14ac:dyDescent="0.2">
      <c r="B112" s="326"/>
      <c r="C112" s="102">
        <f t="shared" si="13"/>
      </c>
      <c r="D112" s="107"/>
      <c r="E112" s="20"/>
      <c r="F112" s="20"/>
      <c r="G112" s="20"/>
      <c r="H112" s="20"/>
      <c r="I112" s="20"/>
      <c r="J112" s="108"/>
      <c r="K112" s="20"/>
      <c r="L112" s="20"/>
    </row>
    <row r="113" spans="2:12" ht="15.75" customHeight="1" outlineLevel="1" x14ac:dyDescent="0.2">
      <c r="B113" s="326"/>
      <c r="C113" s="102">
        <f t="shared" si="13"/>
      </c>
      <c r="D113" s="109"/>
      <c r="E113" s="108"/>
      <c r="F113" s="108"/>
      <c r="G113" s="108"/>
      <c r="H113" s="108"/>
      <c r="I113" s="108"/>
      <c r="J113" s="108"/>
      <c r="K113" s="108"/>
      <c r="L113" s="108"/>
    </row>
    <row r="114" spans="2:12" ht="15.75" customHeight="1" outlineLevel="1" x14ac:dyDescent="0.2">
      <c r="B114" s="326"/>
      <c r="C114" s="102">
        <f t="shared" si="13"/>
      </c>
      <c r="D114" s="107"/>
      <c r="E114" s="20"/>
      <c r="F114" s="20"/>
      <c r="G114" s="20"/>
      <c r="H114" s="20"/>
      <c r="I114" s="20"/>
      <c r="J114" s="108"/>
      <c r="K114" s="20"/>
      <c r="L114" s="20"/>
    </row>
    <row r="115" spans="2:12" ht="15.75" customHeight="1" outlineLevel="1" x14ac:dyDescent="0.2">
      <c r="B115" s="326"/>
      <c r="C115" s="102">
        <f t="shared" si="13"/>
      </c>
      <c r="D115" s="107"/>
      <c r="E115" s="20"/>
      <c r="F115" s="20"/>
      <c r="G115" s="20"/>
      <c r="H115" s="20"/>
      <c r="I115" s="20"/>
      <c r="J115" s="108"/>
      <c r="K115" s="20"/>
      <c r="L115" s="20"/>
    </row>
    <row r="116" spans="2:12" ht="15.75" customHeight="1" outlineLevel="1" x14ac:dyDescent="0.2">
      <c r="B116" s="326"/>
      <c r="C116" s="102">
        <f t="shared" si="13"/>
      </c>
      <c r="D116" s="107"/>
      <c r="E116" s="20"/>
      <c r="F116" s="20"/>
      <c r="G116" s="20"/>
      <c r="H116" s="20"/>
      <c r="I116" s="20"/>
      <c r="J116" s="108"/>
      <c r="K116" s="20"/>
      <c r="L116" s="20"/>
    </row>
    <row r="117" spans="2:12" ht="15.75" customHeight="1" outlineLevel="1" x14ac:dyDescent="0.2">
      <c r="B117" s="327"/>
      <c r="C117" s="110">
        <f t="shared" si="13"/>
      </c>
      <c r="D117" s="107"/>
      <c r="E117" s="20"/>
      <c r="F117" s="20"/>
      <c r="G117" s="20"/>
      <c r="H117" s="20"/>
      <c r="I117" s="20"/>
      <c r="J117" s="108"/>
      <c r="K117" s="20"/>
      <c r="L117" s="20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A2:Y61"/>
  <sheetViews>
    <sheetView showGridLines="0" workbookViewId="0"/>
  </sheetViews>
  <sheetFormatPr baseColWidth="10" defaultColWidth="9.1640625" defaultRowHeight="15.75" customHeight="1" outlineLevelCol="1" x14ac:dyDescent="0.2"/>
  <cols>
    <col min="1" max="1" width="2.6640625" style="60" customWidth="1"/>
    <col min="2" max="2" width="35.5" style="60" customWidth="1"/>
    <col min="3" max="3" width="13.6640625" style="60" hidden="1" customWidth="1" outlineLevel="1"/>
    <col min="4" max="4" width="12.6640625" style="60" customWidth="1" collapsed="1"/>
    <col min="5" max="12" width="12.6640625" style="60" customWidth="1"/>
    <col min="13" max="14" width="2.6640625" style="60" customWidth="1"/>
    <col min="15" max="23" width="13.6640625" style="60" customWidth="1"/>
    <col min="24" max="25" width="9.1640625" style="60" customWidth="1"/>
    <col min="258" max="258" width="2.6640625" customWidth="1"/>
    <col min="259" max="259" width="27.5" customWidth="1"/>
    <col min="260" max="260" width="9.6640625" customWidth="1"/>
    <col min="261" max="261" width="9.33203125" customWidth="1"/>
    <col min="262" max="262" width="10" customWidth="1"/>
    <col min="264" max="264" width="9.6640625" customWidth="1"/>
    <col min="514" max="514" width="2.6640625" customWidth="1"/>
    <col min="515" max="515" width="27.5" customWidth="1"/>
    <col min="516" max="516" width="9.6640625" customWidth="1"/>
    <col min="517" max="517" width="9.33203125" customWidth="1"/>
    <col min="518" max="518" width="10" customWidth="1"/>
    <col min="520" max="520" width="9.6640625" customWidth="1"/>
    <col min="770" max="770" width="2.6640625" customWidth="1"/>
    <col min="771" max="771" width="27.5" customWidth="1"/>
    <col min="772" max="772" width="9.6640625" customWidth="1"/>
    <col min="773" max="773" width="9.33203125" customWidth="1"/>
    <col min="774" max="774" width="10" customWidth="1"/>
    <col min="776" max="776" width="9.6640625" customWidth="1"/>
    <col min="1026" max="1026" width="2.6640625" customWidth="1"/>
    <col min="1027" max="1027" width="27.5" customWidth="1"/>
    <col min="1028" max="1028" width="9.6640625" customWidth="1"/>
    <col min="1029" max="1029" width="9.33203125" customWidth="1"/>
    <col min="1030" max="1030" width="10" customWidth="1"/>
    <col min="1032" max="1032" width="9.6640625" customWidth="1"/>
    <col min="1282" max="1282" width="2.6640625" customWidth="1"/>
    <col min="1283" max="1283" width="27.5" customWidth="1"/>
    <col min="1284" max="1284" width="9.6640625" customWidth="1"/>
    <col min="1285" max="1285" width="9.33203125" customWidth="1"/>
    <col min="1286" max="1286" width="10" customWidth="1"/>
    <col min="1288" max="1288" width="9.6640625" customWidth="1"/>
    <col min="1538" max="1538" width="2.6640625" customWidth="1"/>
    <col min="1539" max="1539" width="27.5" customWidth="1"/>
    <col min="1540" max="1540" width="9.6640625" customWidth="1"/>
    <col min="1541" max="1541" width="9.33203125" customWidth="1"/>
    <col min="1542" max="1542" width="10" customWidth="1"/>
    <col min="1544" max="1544" width="9.6640625" customWidth="1"/>
    <col min="1794" max="1794" width="2.6640625" customWidth="1"/>
    <col min="1795" max="1795" width="27.5" customWidth="1"/>
    <col min="1796" max="1796" width="9.6640625" customWidth="1"/>
    <col min="1797" max="1797" width="9.33203125" customWidth="1"/>
    <col min="1798" max="1798" width="10" customWidth="1"/>
    <col min="1800" max="1800" width="9.6640625" customWidth="1"/>
    <col min="2050" max="2050" width="2.6640625" customWidth="1"/>
    <col min="2051" max="2051" width="27.5" customWidth="1"/>
    <col min="2052" max="2052" width="9.6640625" customWidth="1"/>
    <col min="2053" max="2053" width="9.33203125" customWidth="1"/>
    <col min="2054" max="2054" width="10" customWidth="1"/>
    <col min="2056" max="2056" width="9.6640625" customWidth="1"/>
    <col min="2306" max="2306" width="2.6640625" customWidth="1"/>
    <col min="2307" max="2307" width="27.5" customWidth="1"/>
    <col min="2308" max="2308" width="9.6640625" customWidth="1"/>
    <col min="2309" max="2309" width="9.33203125" customWidth="1"/>
    <col min="2310" max="2310" width="10" customWidth="1"/>
    <col min="2312" max="2312" width="9.6640625" customWidth="1"/>
    <col min="2562" max="2562" width="2.6640625" customWidth="1"/>
    <col min="2563" max="2563" width="27.5" customWidth="1"/>
    <col min="2564" max="2564" width="9.6640625" customWidth="1"/>
    <col min="2565" max="2565" width="9.33203125" customWidth="1"/>
    <col min="2566" max="2566" width="10" customWidth="1"/>
    <col min="2568" max="2568" width="9.6640625" customWidth="1"/>
    <col min="2818" max="2818" width="2.6640625" customWidth="1"/>
    <col min="2819" max="2819" width="27.5" customWidth="1"/>
    <col min="2820" max="2820" width="9.6640625" customWidth="1"/>
    <col min="2821" max="2821" width="9.33203125" customWidth="1"/>
    <col min="2822" max="2822" width="10" customWidth="1"/>
    <col min="2824" max="2824" width="9.6640625" customWidth="1"/>
    <col min="3074" max="3074" width="2.6640625" customWidth="1"/>
    <col min="3075" max="3075" width="27.5" customWidth="1"/>
    <col min="3076" max="3076" width="9.6640625" customWidth="1"/>
    <col min="3077" max="3077" width="9.33203125" customWidth="1"/>
    <col min="3078" max="3078" width="10" customWidth="1"/>
    <col min="3080" max="3080" width="9.6640625" customWidth="1"/>
    <col min="3330" max="3330" width="2.6640625" customWidth="1"/>
    <col min="3331" max="3331" width="27.5" customWidth="1"/>
    <col min="3332" max="3332" width="9.6640625" customWidth="1"/>
    <col min="3333" max="3333" width="9.33203125" customWidth="1"/>
    <col min="3334" max="3334" width="10" customWidth="1"/>
    <col min="3336" max="3336" width="9.6640625" customWidth="1"/>
    <col min="3586" max="3586" width="2.6640625" customWidth="1"/>
    <col min="3587" max="3587" width="27.5" customWidth="1"/>
    <col min="3588" max="3588" width="9.6640625" customWidth="1"/>
    <col min="3589" max="3589" width="9.33203125" customWidth="1"/>
    <col min="3590" max="3590" width="10" customWidth="1"/>
    <col min="3592" max="3592" width="9.6640625" customWidth="1"/>
    <col min="3842" max="3842" width="2.6640625" customWidth="1"/>
    <col min="3843" max="3843" width="27.5" customWidth="1"/>
    <col min="3844" max="3844" width="9.6640625" customWidth="1"/>
    <col min="3845" max="3845" width="9.33203125" customWidth="1"/>
    <col min="3846" max="3846" width="10" customWidth="1"/>
    <col min="3848" max="3848" width="9.6640625" customWidth="1"/>
    <col min="4098" max="4098" width="2.6640625" customWidth="1"/>
    <col min="4099" max="4099" width="27.5" customWidth="1"/>
    <col min="4100" max="4100" width="9.6640625" customWidth="1"/>
    <col min="4101" max="4101" width="9.33203125" customWidth="1"/>
    <col min="4102" max="4102" width="10" customWidth="1"/>
    <col min="4104" max="4104" width="9.6640625" customWidth="1"/>
    <col min="4354" max="4354" width="2.6640625" customWidth="1"/>
    <col min="4355" max="4355" width="27.5" customWidth="1"/>
    <col min="4356" max="4356" width="9.6640625" customWidth="1"/>
    <col min="4357" max="4357" width="9.33203125" customWidth="1"/>
    <col min="4358" max="4358" width="10" customWidth="1"/>
    <col min="4360" max="4360" width="9.6640625" customWidth="1"/>
    <col min="4610" max="4610" width="2.6640625" customWidth="1"/>
    <col min="4611" max="4611" width="27.5" customWidth="1"/>
    <col min="4612" max="4612" width="9.6640625" customWidth="1"/>
    <col min="4613" max="4613" width="9.33203125" customWidth="1"/>
    <col min="4614" max="4614" width="10" customWidth="1"/>
    <col min="4616" max="4616" width="9.6640625" customWidth="1"/>
    <col min="4866" max="4866" width="2.6640625" customWidth="1"/>
    <col min="4867" max="4867" width="27.5" customWidth="1"/>
    <col min="4868" max="4868" width="9.6640625" customWidth="1"/>
    <col min="4869" max="4869" width="9.33203125" customWidth="1"/>
    <col min="4870" max="4870" width="10" customWidth="1"/>
    <col min="4872" max="4872" width="9.6640625" customWidth="1"/>
    <col min="5122" max="5122" width="2.6640625" customWidth="1"/>
    <col min="5123" max="5123" width="27.5" customWidth="1"/>
    <col min="5124" max="5124" width="9.6640625" customWidth="1"/>
    <col min="5125" max="5125" width="9.33203125" customWidth="1"/>
    <col min="5126" max="5126" width="10" customWidth="1"/>
    <col min="5128" max="5128" width="9.6640625" customWidth="1"/>
    <col min="5378" max="5378" width="2.6640625" customWidth="1"/>
    <col min="5379" max="5379" width="27.5" customWidth="1"/>
    <col min="5380" max="5380" width="9.6640625" customWidth="1"/>
    <col min="5381" max="5381" width="9.33203125" customWidth="1"/>
    <col min="5382" max="5382" width="10" customWidth="1"/>
    <col min="5384" max="5384" width="9.6640625" customWidth="1"/>
    <col min="5634" max="5634" width="2.6640625" customWidth="1"/>
    <col min="5635" max="5635" width="27.5" customWidth="1"/>
    <col min="5636" max="5636" width="9.6640625" customWidth="1"/>
    <col min="5637" max="5637" width="9.33203125" customWidth="1"/>
    <col min="5638" max="5638" width="10" customWidth="1"/>
    <col min="5640" max="5640" width="9.6640625" customWidth="1"/>
    <col min="5890" max="5890" width="2.6640625" customWidth="1"/>
    <col min="5891" max="5891" width="27.5" customWidth="1"/>
    <col min="5892" max="5892" width="9.6640625" customWidth="1"/>
    <col min="5893" max="5893" width="9.33203125" customWidth="1"/>
    <col min="5894" max="5894" width="10" customWidth="1"/>
    <col min="5896" max="5896" width="9.6640625" customWidth="1"/>
    <col min="6146" max="6146" width="2.6640625" customWidth="1"/>
    <col min="6147" max="6147" width="27.5" customWidth="1"/>
    <col min="6148" max="6148" width="9.6640625" customWidth="1"/>
    <col min="6149" max="6149" width="9.33203125" customWidth="1"/>
    <col min="6150" max="6150" width="10" customWidth="1"/>
    <col min="6152" max="6152" width="9.6640625" customWidth="1"/>
    <col min="6402" max="6402" width="2.6640625" customWidth="1"/>
    <col min="6403" max="6403" width="27.5" customWidth="1"/>
    <col min="6404" max="6404" width="9.6640625" customWidth="1"/>
    <col min="6405" max="6405" width="9.33203125" customWidth="1"/>
    <col min="6406" max="6406" width="10" customWidth="1"/>
    <col min="6408" max="6408" width="9.6640625" customWidth="1"/>
    <col min="6658" max="6658" width="2.6640625" customWidth="1"/>
    <col min="6659" max="6659" width="27.5" customWidth="1"/>
    <col min="6660" max="6660" width="9.6640625" customWidth="1"/>
    <col min="6661" max="6661" width="9.33203125" customWidth="1"/>
    <col min="6662" max="6662" width="10" customWidth="1"/>
    <col min="6664" max="6664" width="9.6640625" customWidth="1"/>
    <col min="6914" max="6914" width="2.6640625" customWidth="1"/>
    <col min="6915" max="6915" width="27.5" customWidth="1"/>
    <col min="6916" max="6916" width="9.6640625" customWidth="1"/>
    <col min="6917" max="6917" width="9.33203125" customWidth="1"/>
    <col min="6918" max="6918" width="10" customWidth="1"/>
    <col min="6920" max="6920" width="9.6640625" customWidth="1"/>
    <col min="7170" max="7170" width="2.6640625" customWidth="1"/>
    <col min="7171" max="7171" width="27.5" customWidth="1"/>
    <col min="7172" max="7172" width="9.6640625" customWidth="1"/>
    <col min="7173" max="7173" width="9.33203125" customWidth="1"/>
    <col min="7174" max="7174" width="10" customWidth="1"/>
    <col min="7176" max="7176" width="9.6640625" customWidth="1"/>
    <col min="7426" max="7426" width="2.6640625" customWidth="1"/>
    <col min="7427" max="7427" width="27.5" customWidth="1"/>
    <col min="7428" max="7428" width="9.6640625" customWidth="1"/>
    <col min="7429" max="7429" width="9.33203125" customWidth="1"/>
    <col min="7430" max="7430" width="10" customWidth="1"/>
    <col min="7432" max="7432" width="9.6640625" customWidth="1"/>
    <col min="7682" max="7682" width="2.6640625" customWidth="1"/>
    <col min="7683" max="7683" width="27.5" customWidth="1"/>
    <col min="7684" max="7684" width="9.6640625" customWidth="1"/>
    <col min="7685" max="7685" width="9.33203125" customWidth="1"/>
    <col min="7686" max="7686" width="10" customWidth="1"/>
    <col min="7688" max="7688" width="9.6640625" customWidth="1"/>
    <col min="7938" max="7938" width="2.6640625" customWidth="1"/>
    <col min="7939" max="7939" width="27.5" customWidth="1"/>
    <col min="7940" max="7940" width="9.6640625" customWidth="1"/>
    <col min="7941" max="7941" width="9.33203125" customWidth="1"/>
    <col min="7942" max="7942" width="10" customWidth="1"/>
    <col min="7944" max="7944" width="9.6640625" customWidth="1"/>
    <col min="8194" max="8194" width="2.6640625" customWidth="1"/>
    <col min="8195" max="8195" width="27.5" customWidth="1"/>
    <col min="8196" max="8196" width="9.6640625" customWidth="1"/>
    <col min="8197" max="8197" width="9.33203125" customWidth="1"/>
    <col min="8198" max="8198" width="10" customWidth="1"/>
    <col min="8200" max="8200" width="9.6640625" customWidth="1"/>
    <col min="8450" max="8450" width="2.6640625" customWidth="1"/>
    <col min="8451" max="8451" width="27.5" customWidth="1"/>
    <col min="8452" max="8452" width="9.6640625" customWidth="1"/>
    <col min="8453" max="8453" width="9.33203125" customWidth="1"/>
    <col min="8454" max="8454" width="10" customWidth="1"/>
    <col min="8456" max="8456" width="9.6640625" customWidth="1"/>
    <col min="8706" max="8706" width="2.6640625" customWidth="1"/>
    <col min="8707" max="8707" width="27.5" customWidth="1"/>
    <col min="8708" max="8708" width="9.6640625" customWidth="1"/>
    <col min="8709" max="8709" width="9.33203125" customWidth="1"/>
    <col min="8710" max="8710" width="10" customWidth="1"/>
    <col min="8712" max="8712" width="9.6640625" customWidth="1"/>
    <col min="8962" max="8962" width="2.6640625" customWidth="1"/>
    <col min="8963" max="8963" width="27.5" customWidth="1"/>
    <col min="8964" max="8964" width="9.6640625" customWidth="1"/>
    <col min="8965" max="8965" width="9.33203125" customWidth="1"/>
    <col min="8966" max="8966" width="10" customWidth="1"/>
    <col min="8968" max="8968" width="9.6640625" customWidth="1"/>
    <col min="9218" max="9218" width="2.6640625" customWidth="1"/>
    <col min="9219" max="9219" width="27.5" customWidth="1"/>
    <col min="9220" max="9220" width="9.6640625" customWidth="1"/>
    <col min="9221" max="9221" width="9.33203125" customWidth="1"/>
    <col min="9222" max="9222" width="10" customWidth="1"/>
    <col min="9224" max="9224" width="9.6640625" customWidth="1"/>
    <col min="9474" max="9474" width="2.6640625" customWidth="1"/>
    <col min="9475" max="9475" width="27.5" customWidth="1"/>
    <col min="9476" max="9476" width="9.6640625" customWidth="1"/>
    <col min="9477" max="9477" width="9.33203125" customWidth="1"/>
    <col min="9478" max="9478" width="10" customWidth="1"/>
    <col min="9480" max="9480" width="9.6640625" customWidth="1"/>
    <col min="9730" max="9730" width="2.6640625" customWidth="1"/>
    <col min="9731" max="9731" width="27.5" customWidth="1"/>
    <col min="9732" max="9732" width="9.6640625" customWidth="1"/>
    <col min="9733" max="9733" width="9.33203125" customWidth="1"/>
    <col min="9734" max="9734" width="10" customWidth="1"/>
    <col min="9736" max="9736" width="9.6640625" customWidth="1"/>
    <col min="9986" max="9986" width="2.6640625" customWidth="1"/>
    <col min="9987" max="9987" width="27.5" customWidth="1"/>
    <col min="9988" max="9988" width="9.6640625" customWidth="1"/>
    <col min="9989" max="9989" width="9.33203125" customWidth="1"/>
    <col min="9990" max="9990" width="10" customWidth="1"/>
    <col min="9992" max="9992" width="9.6640625" customWidth="1"/>
    <col min="10242" max="10242" width="2.6640625" customWidth="1"/>
    <col min="10243" max="10243" width="27.5" customWidth="1"/>
    <col min="10244" max="10244" width="9.6640625" customWidth="1"/>
    <col min="10245" max="10245" width="9.33203125" customWidth="1"/>
    <col min="10246" max="10246" width="10" customWidth="1"/>
    <col min="10248" max="10248" width="9.6640625" customWidth="1"/>
    <col min="10498" max="10498" width="2.6640625" customWidth="1"/>
    <col min="10499" max="10499" width="27.5" customWidth="1"/>
    <col min="10500" max="10500" width="9.6640625" customWidth="1"/>
    <col min="10501" max="10501" width="9.33203125" customWidth="1"/>
    <col min="10502" max="10502" width="10" customWidth="1"/>
    <col min="10504" max="10504" width="9.6640625" customWidth="1"/>
    <col min="10754" max="10754" width="2.6640625" customWidth="1"/>
    <col min="10755" max="10755" width="27.5" customWidth="1"/>
    <col min="10756" max="10756" width="9.6640625" customWidth="1"/>
    <col min="10757" max="10757" width="9.33203125" customWidth="1"/>
    <col min="10758" max="10758" width="10" customWidth="1"/>
    <col min="10760" max="10760" width="9.6640625" customWidth="1"/>
    <col min="11010" max="11010" width="2.6640625" customWidth="1"/>
    <col min="11011" max="11011" width="27.5" customWidth="1"/>
    <col min="11012" max="11012" width="9.6640625" customWidth="1"/>
    <col min="11013" max="11013" width="9.33203125" customWidth="1"/>
    <col min="11014" max="11014" width="10" customWidth="1"/>
    <col min="11016" max="11016" width="9.6640625" customWidth="1"/>
    <col min="11266" max="11266" width="2.6640625" customWidth="1"/>
    <col min="11267" max="11267" width="27.5" customWidth="1"/>
    <col min="11268" max="11268" width="9.6640625" customWidth="1"/>
    <col min="11269" max="11269" width="9.33203125" customWidth="1"/>
    <col min="11270" max="11270" width="10" customWidth="1"/>
    <col min="11272" max="11272" width="9.6640625" customWidth="1"/>
    <col min="11522" max="11522" width="2.6640625" customWidth="1"/>
    <col min="11523" max="11523" width="27.5" customWidth="1"/>
    <col min="11524" max="11524" width="9.6640625" customWidth="1"/>
    <col min="11525" max="11525" width="9.33203125" customWidth="1"/>
    <col min="11526" max="11526" width="10" customWidth="1"/>
    <col min="11528" max="11528" width="9.6640625" customWidth="1"/>
    <col min="11778" max="11778" width="2.6640625" customWidth="1"/>
    <col min="11779" max="11779" width="27.5" customWidth="1"/>
    <col min="11780" max="11780" width="9.6640625" customWidth="1"/>
    <col min="11781" max="11781" width="9.33203125" customWidth="1"/>
    <col min="11782" max="11782" width="10" customWidth="1"/>
    <col min="11784" max="11784" width="9.6640625" customWidth="1"/>
    <col min="12034" max="12034" width="2.6640625" customWidth="1"/>
    <col min="12035" max="12035" width="27.5" customWidth="1"/>
    <col min="12036" max="12036" width="9.6640625" customWidth="1"/>
    <col min="12037" max="12037" width="9.33203125" customWidth="1"/>
    <col min="12038" max="12038" width="10" customWidth="1"/>
    <col min="12040" max="12040" width="9.6640625" customWidth="1"/>
    <col min="12290" max="12290" width="2.6640625" customWidth="1"/>
    <col min="12291" max="12291" width="27.5" customWidth="1"/>
    <col min="12292" max="12292" width="9.6640625" customWidth="1"/>
    <col min="12293" max="12293" width="9.33203125" customWidth="1"/>
    <col min="12294" max="12294" width="10" customWidth="1"/>
    <col min="12296" max="12296" width="9.6640625" customWidth="1"/>
    <col min="12546" max="12546" width="2.6640625" customWidth="1"/>
    <col min="12547" max="12547" width="27.5" customWidth="1"/>
    <col min="12548" max="12548" width="9.6640625" customWidth="1"/>
    <col min="12549" max="12549" width="9.33203125" customWidth="1"/>
    <col min="12550" max="12550" width="10" customWidth="1"/>
    <col min="12552" max="12552" width="9.6640625" customWidth="1"/>
    <col min="12802" max="12802" width="2.6640625" customWidth="1"/>
    <col min="12803" max="12803" width="27.5" customWidth="1"/>
    <col min="12804" max="12804" width="9.6640625" customWidth="1"/>
    <col min="12805" max="12805" width="9.33203125" customWidth="1"/>
    <col min="12806" max="12806" width="10" customWidth="1"/>
    <col min="12808" max="12808" width="9.6640625" customWidth="1"/>
    <col min="13058" max="13058" width="2.6640625" customWidth="1"/>
    <col min="13059" max="13059" width="27.5" customWidth="1"/>
    <col min="13060" max="13060" width="9.6640625" customWidth="1"/>
    <col min="13061" max="13061" width="9.33203125" customWidth="1"/>
    <col min="13062" max="13062" width="10" customWidth="1"/>
    <col min="13064" max="13064" width="9.6640625" customWidth="1"/>
    <col min="13314" max="13314" width="2.6640625" customWidth="1"/>
    <col min="13315" max="13315" width="27.5" customWidth="1"/>
    <col min="13316" max="13316" width="9.6640625" customWidth="1"/>
    <col min="13317" max="13317" width="9.33203125" customWidth="1"/>
    <col min="13318" max="13318" width="10" customWidth="1"/>
    <col min="13320" max="13320" width="9.6640625" customWidth="1"/>
    <col min="13570" max="13570" width="2.6640625" customWidth="1"/>
    <col min="13571" max="13571" width="27.5" customWidth="1"/>
    <col min="13572" max="13572" width="9.6640625" customWidth="1"/>
    <col min="13573" max="13573" width="9.33203125" customWidth="1"/>
    <col min="13574" max="13574" width="10" customWidth="1"/>
    <col min="13576" max="13576" width="9.6640625" customWidth="1"/>
    <col min="13826" max="13826" width="2.6640625" customWidth="1"/>
    <col min="13827" max="13827" width="27.5" customWidth="1"/>
    <col min="13828" max="13828" width="9.6640625" customWidth="1"/>
    <col min="13829" max="13829" width="9.33203125" customWidth="1"/>
    <col min="13830" max="13830" width="10" customWidth="1"/>
    <col min="13832" max="13832" width="9.6640625" customWidth="1"/>
    <col min="14082" max="14082" width="2.6640625" customWidth="1"/>
    <col min="14083" max="14083" width="27.5" customWidth="1"/>
    <col min="14084" max="14084" width="9.6640625" customWidth="1"/>
    <col min="14085" max="14085" width="9.33203125" customWidth="1"/>
    <col min="14086" max="14086" width="10" customWidth="1"/>
    <col min="14088" max="14088" width="9.6640625" customWidth="1"/>
    <col min="14338" max="14338" width="2.6640625" customWidth="1"/>
    <col min="14339" max="14339" width="27.5" customWidth="1"/>
    <col min="14340" max="14340" width="9.6640625" customWidth="1"/>
    <col min="14341" max="14341" width="9.33203125" customWidth="1"/>
    <col min="14342" max="14342" width="10" customWidth="1"/>
    <col min="14344" max="14344" width="9.6640625" customWidth="1"/>
    <col min="14594" max="14594" width="2.6640625" customWidth="1"/>
    <col min="14595" max="14595" width="27.5" customWidth="1"/>
    <col min="14596" max="14596" width="9.6640625" customWidth="1"/>
    <col min="14597" max="14597" width="9.33203125" customWidth="1"/>
    <col min="14598" max="14598" width="10" customWidth="1"/>
    <col min="14600" max="14600" width="9.6640625" customWidth="1"/>
    <col min="14850" max="14850" width="2.6640625" customWidth="1"/>
    <col min="14851" max="14851" width="27.5" customWidth="1"/>
    <col min="14852" max="14852" width="9.6640625" customWidth="1"/>
    <col min="14853" max="14853" width="9.33203125" customWidth="1"/>
    <col min="14854" max="14854" width="10" customWidth="1"/>
    <col min="14856" max="14856" width="9.6640625" customWidth="1"/>
    <col min="15106" max="15106" width="2.6640625" customWidth="1"/>
    <col min="15107" max="15107" width="27.5" customWidth="1"/>
    <col min="15108" max="15108" width="9.6640625" customWidth="1"/>
    <col min="15109" max="15109" width="9.33203125" customWidth="1"/>
    <col min="15110" max="15110" width="10" customWidth="1"/>
    <col min="15112" max="15112" width="9.6640625" customWidth="1"/>
    <col min="15362" max="15362" width="2.6640625" customWidth="1"/>
    <col min="15363" max="15363" width="27.5" customWidth="1"/>
    <col min="15364" max="15364" width="9.6640625" customWidth="1"/>
    <col min="15365" max="15365" width="9.33203125" customWidth="1"/>
    <col min="15366" max="15366" width="10" customWidth="1"/>
    <col min="15368" max="15368" width="9.6640625" customWidth="1"/>
    <col min="15618" max="15618" width="2.6640625" customWidth="1"/>
    <col min="15619" max="15619" width="27.5" customWidth="1"/>
    <col min="15620" max="15620" width="9.6640625" customWidth="1"/>
    <col min="15621" max="15621" width="9.33203125" customWidth="1"/>
    <col min="15622" max="15622" width="10" customWidth="1"/>
    <col min="15624" max="15624" width="9.6640625" customWidth="1"/>
    <col min="15874" max="15874" width="2.6640625" customWidth="1"/>
    <col min="15875" max="15875" width="27.5" customWidth="1"/>
    <col min="15876" max="15876" width="9.6640625" customWidth="1"/>
    <col min="15877" max="15877" width="9.33203125" customWidth="1"/>
    <col min="15878" max="15878" width="10" customWidth="1"/>
    <col min="15880" max="15880" width="9.6640625" customWidth="1"/>
    <col min="16130" max="16130" width="2.6640625" customWidth="1"/>
    <col min="16131" max="16131" width="27.5" customWidth="1"/>
    <col min="16132" max="16132" width="9.6640625" customWidth="1"/>
    <col min="16133" max="16133" width="9.33203125" customWidth="1"/>
    <col min="16134" max="16134" width="10" customWidth="1"/>
    <col min="16136" max="16136" width="9.6640625" customWidth="1"/>
  </cols>
  <sheetData>
    <row r="2" spans="2:12" ht="18.75" customHeight="1" x14ac:dyDescent="0.25">
      <c r="B2" s="117" t="str">
        <f>"Private Company WACC Analysis - "&amp;Company_Name</f>
      </c>
      <c r="C2" s="118"/>
    </row>
    <row r="3" spans="2:12" ht="15.75" customHeight="1" x14ac:dyDescent="0.2">
      <c r="B3" s="63" t="str">
        <f>+'Company0462-GAAP'!$B$3</f>
      </c>
    </row>
    <row r="5" spans="2:12" ht="15.75" customHeight="1" x14ac:dyDescent="0.2">
      <c r="B5" s="119" t="s">
        <v>235</v>
      </c>
      <c r="C5" s="119"/>
      <c r="D5" s="120"/>
      <c r="E5" s="120"/>
      <c r="F5" s="120"/>
      <c r="G5" s="121"/>
      <c r="H5" s="121"/>
    </row>
    <row r="6" spans="2:12" ht="15.75" customHeight="1" x14ac:dyDescent="0.2">
      <c r="B6" s="63" t="s">
        <v>236</v>
      </c>
      <c r="C6" s="63"/>
      <c r="F6" s="122">
        <v>2.0500000000000001E-2</v>
      </c>
      <c r="G6" s="123"/>
      <c r="H6" s="123"/>
    </row>
    <row r="7" spans="2:12" ht="15.75" customHeight="1" x14ac:dyDescent="0.2">
      <c r="B7" s="63" t="s">
        <v>237</v>
      </c>
      <c r="C7" s="63"/>
      <c r="F7" s="124">
        <v>7.0000000000000007E-2</v>
      </c>
      <c r="G7" s="123"/>
      <c r="H7" s="123"/>
    </row>
    <row r="8" spans="2:12" ht="15.75" customHeight="1" x14ac:dyDescent="0.2">
      <c r="B8" s="63" t="s">
        <v>238</v>
      </c>
      <c r="C8" s="63"/>
      <c r="F8" s="125">
        <f>+Risk_Free_Rate+0.4%</f>
      </c>
      <c r="G8" s="123"/>
      <c r="H8" s="123"/>
      <c r="I8" s="126"/>
      <c r="J8" s="126"/>
    </row>
    <row r="9" spans="2:12" ht="15.75" customHeight="1" x14ac:dyDescent="0.2">
      <c r="B9" s="63" t="s">
        <v>239</v>
      </c>
      <c r="C9" s="63"/>
      <c r="F9" s="124">
        <v>0</v>
      </c>
      <c r="G9" s="123"/>
      <c r="H9" s="123"/>
      <c r="I9" s="126"/>
      <c r="J9" s="126"/>
    </row>
    <row r="10" spans="2:12" ht="15.75" customHeight="1" x14ac:dyDescent="0.2">
      <c r="B10" s="60" t="s">
        <v>240</v>
      </c>
      <c r="F10" s="124">
        <v>0.1988</v>
      </c>
    </row>
    <row r="11" spans="2:12" ht="15.75" customHeight="1" x14ac:dyDescent="0.2">
      <c r="B11" s="60" t="s">
        <v>241</v>
      </c>
      <c r="F11" s="124">
        <v>0.25</v>
      </c>
    </row>
    <row r="13" spans="2:12" ht="15.75" customHeight="1" x14ac:dyDescent="0.2">
      <c r="B13" s="127" t="s">
        <v>242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</row>
    <row r="14" spans="2:12" ht="15.75" customHeight="1" x14ac:dyDescent="0.2">
      <c r="B14" s="127"/>
      <c r="C14" s="127"/>
      <c r="D14" s="128" t="s">
        <v>243</v>
      </c>
      <c r="E14" s="128"/>
      <c r="F14" s="128"/>
      <c r="G14" s="128" t="s">
        <v>244</v>
      </c>
      <c r="H14" s="128"/>
      <c r="I14" s="128" t="s">
        <v>245</v>
      </c>
      <c r="J14" s="128"/>
      <c r="K14" s="128"/>
      <c r="L14" s="128" t="s">
        <v>246</v>
      </c>
    </row>
    <row r="15" spans="2:12" ht="15.75" customHeight="1" x14ac:dyDescent="0.2">
      <c r="B15" s="129" t="s">
        <v>247</v>
      </c>
      <c r="C15" s="129" t="s">
        <v>248</v>
      </c>
      <c r="D15" s="130" t="s">
        <v>249</v>
      </c>
      <c r="E15" s="130" t="s">
        <v>250</v>
      </c>
      <c r="F15" s="130" t="s">
        <v>251</v>
      </c>
      <c r="G15" s="130" t="s">
        <v>252</v>
      </c>
      <c r="H15" s="130" t="s">
        <v>253</v>
      </c>
      <c r="I15" s="130" t="s">
        <v>254</v>
      </c>
      <c r="J15" s="130" t="s">
        <v>255</v>
      </c>
      <c r="K15" s="130" t="s">
        <v>256</v>
      </c>
      <c r="L15" s="130" t="s">
        <v>249</v>
      </c>
    </row>
    <row r="16" spans="2:12" ht="15.75" customHeight="1" x14ac:dyDescent="0.2">
      <c r="B16" s="60" t="str">
        <f>+'Public Comps'!B8</f>
      </c>
      <c r="C16" s="60" t="str">
        <f>+'Public Comps'!C8</f>
      </c>
      <c r="D16" s="131"/>
      <c r="E16" s="132"/>
      <c r="F16" s="133"/>
      <c r="G16" s="132"/>
      <c r="H16" s="133"/>
      <c r="I16" s="132"/>
      <c r="J16" s="133"/>
      <c r="K16" s="134">
        <v>0.4</v>
      </c>
      <c r="L16" s="135"/>
    </row>
    <row r="17" spans="2:25" ht="15.75" customHeight="1" x14ac:dyDescent="0.2">
      <c r="B17" s="60" t="str">
        <f>+'Public Comps'!B9</f>
      </c>
      <c r="C17" s="60" t="str">
        <f>+'Public Comps'!C9</f>
      </c>
      <c r="D17" s="131"/>
      <c r="E17" s="136"/>
      <c r="F17" s="133"/>
      <c r="G17" s="136"/>
      <c r="H17" s="133"/>
      <c r="I17" s="136"/>
      <c r="J17" s="133"/>
      <c r="K17" s="134">
        <v>0.4</v>
      </c>
      <c r="L17" s="135"/>
    </row>
    <row r="18" spans="2:25" ht="15.75" customHeight="1" x14ac:dyDescent="0.2">
      <c r="B18" s="60" t="str">
        <f>+'Public Comps'!B10</f>
      </c>
      <c r="C18" s="60" t="str">
        <f>+'Public Comps'!C10</f>
      </c>
      <c r="D18" s="131"/>
      <c r="E18" s="136"/>
      <c r="F18" s="133"/>
      <c r="G18" s="136"/>
      <c r="H18" s="133"/>
      <c r="I18" s="136"/>
      <c r="J18" s="133"/>
      <c r="K18" s="134">
        <v>0.4</v>
      </c>
      <c r="L18" s="135"/>
    </row>
    <row r="19" spans="2:25" ht="15.75" customHeight="1" x14ac:dyDescent="0.2">
      <c r="B19" s="60" t="str">
        <f>+'Public Comps'!B11</f>
      </c>
      <c r="C19" s="60" t="str">
        <f>+'Public Comps'!C11</f>
      </c>
      <c r="D19" s="131"/>
      <c r="E19" s="136"/>
      <c r="F19" s="133"/>
      <c r="G19" s="136"/>
      <c r="H19" s="133"/>
      <c r="I19" s="136"/>
      <c r="J19" s="133"/>
      <c r="K19" s="134">
        <v>0.4</v>
      </c>
      <c r="L19" s="135"/>
    </row>
    <row r="20" spans="2:25" ht="15.75" customHeight="1" x14ac:dyDescent="0.2">
      <c r="B20" s="60" t="str">
        <f>+'Public Comps'!B12</f>
      </c>
      <c r="C20" s="60" t="str">
        <f>+'Public Comps'!C12</f>
      </c>
      <c r="D20" s="131"/>
      <c r="E20" s="136"/>
      <c r="F20" s="133"/>
      <c r="G20" s="136"/>
      <c r="H20" s="133"/>
      <c r="I20" s="136"/>
      <c r="J20" s="133"/>
      <c r="K20" s="134">
        <v>0.4</v>
      </c>
      <c r="L20" s="135"/>
    </row>
    <row r="21" spans="2:25" ht="15.75" customHeight="1" x14ac:dyDescent="0.2">
      <c r="B21" s="60" t="str">
        <f>+'Public Comps'!B13</f>
      </c>
      <c r="C21" s="60" t="str">
        <f>+'Public Comps'!C13</f>
      </c>
      <c r="D21" s="131"/>
      <c r="E21" s="136"/>
      <c r="F21" s="133"/>
      <c r="G21" s="136"/>
      <c r="H21" s="133"/>
      <c r="I21" s="136"/>
      <c r="J21" s="133"/>
      <c r="K21" s="134">
        <v>0.4</v>
      </c>
      <c r="L21" s="135"/>
    </row>
    <row r="22" spans="2:25" ht="15.75" customHeight="1" x14ac:dyDescent="0.2">
      <c r="Y22" s="137"/>
    </row>
    <row r="23" spans="2:25" ht="15.75" customHeight="1" x14ac:dyDescent="0.2">
      <c r="B23" s="138" t="s">
        <v>269</v>
      </c>
      <c r="C23" s="139"/>
      <c r="D23" s="140"/>
      <c r="E23" s="141"/>
      <c r="F23" s="142"/>
      <c r="G23" s="141"/>
      <c r="H23" s="142"/>
      <c r="I23" s="141"/>
      <c r="J23" s="142"/>
      <c r="K23" s="142"/>
      <c r="L23" s="143"/>
      <c r="Y23" s="137"/>
    </row>
    <row r="24" spans="2:25" ht="15.75" customHeight="1" x14ac:dyDescent="0.2">
      <c r="B24" s="144" t="s">
        <v>270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6"/>
      <c r="Y24" s="137"/>
    </row>
    <row r="25" spans="2:25" ht="15.75" customHeight="1" x14ac:dyDescent="0.2">
      <c r="Y25" s="137"/>
    </row>
    <row r="26" spans="2:25" ht="15.75" customHeight="1" x14ac:dyDescent="0.2">
      <c r="B26" s="127" t="str">
        <f>TEXT(Company_Name,"")&amp;" - Levered Beta &amp; WACC Calculation"</f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Y26" s="137"/>
    </row>
    <row r="27" spans="2:25" ht="15.75" customHeight="1" x14ac:dyDescent="0.2">
      <c r="B27" s="127"/>
      <c r="C27" s="127"/>
      <c r="D27" s="128" t="s">
        <v>246</v>
      </c>
      <c r="E27" s="128"/>
      <c r="F27" s="128"/>
      <c r="G27" s="128" t="s">
        <v>244</v>
      </c>
      <c r="H27" s="128"/>
      <c r="I27" s="128" t="s">
        <v>245</v>
      </c>
      <c r="J27" s="128"/>
      <c r="K27" s="128"/>
      <c r="L27" s="128" t="s">
        <v>243</v>
      </c>
      <c r="Y27" s="137"/>
    </row>
    <row r="28" spans="2:25" ht="15.75" customHeight="1" x14ac:dyDescent="0.2">
      <c r="B28" s="129"/>
      <c r="C28" s="129" t="s">
        <v>248</v>
      </c>
      <c r="D28" s="130" t="s">
        <v>249</v>
      </c>
      <c r="E28" s="130" t="s">
        <v>250</v>
      </c>
      <c r="F28" s="130" t="s">
        <v>251</v>
      </c>
      <c r="G28" s="130" t="s">
        <v>252</v>
      </c>
      <c r="H28" s="130" t="s">
        <v>253</v>
      </c>
      <c r="I28" s="130" t="s">
        <v>254</v>
      </c>
      <c r="J28" s="130" t="s">
        <v>255</v>
      </c>
      <c r="K28" s="130" t="s">
        <v>256</v>
      </c>
      <c r="L28" s="130" t="s">
        <v>249</v>
      </c>
      <c r="Y28" s="137"/>
    </row>
    <row r="29" spans="2:25" ht="15.75" customHeight="1" x14ac:dyDescent="0.2">
      <c r="B29" s="63" t="s">
        <v>271</v>
      </c>
      <c r="C29" s="63" t="s">
        <v>217</v>
      </c>
      <c r="D29" s="147"/>
      <c r="E29" s="148"/>
      <c r="F29" s="149"/>
      <c r="G29" s="148"/>
      <c r="H29" s="149"/>
      <c r="I29" s="148"/>
      <c r="J29" s="149"/>
      <c r="K29" s="150"/>
      <c r="L29" s="151"/>
    </row>
    <row r="31" spans="2:25" ht="15.75" customHeight="1" x14ac:dyDescent="0.2">
      <c r="B31" s="152" t="s">
        <v>272</v>
      </c>
      <c r="C31" s="153"/>
      <c r="D31" s="153"/>
      <c r="E31" s="153"/>
      <c r="F31" s="153"/>
      <c r="G31" s="153"/>
      <c r="H31" s="153"/>
      <c r="I31" s="153"/>
      <c r="J31" s="153"/>
      <c r="K31" s="153"/>
      <c r="L31" s="154"/>
    </row>
    <row r="32" spans="2:25" ht="15.75" customHeight="1" x14ac:dyDescent="0.2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</row>
    <row r="33" spans="2:15" ht="15.75" customHeight="1" x14ac:dyDescent="0.2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</row>
    <row r="34" spans="2:15" ht="15.75" customHeight="1" x14ac:dyDescent="0.2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2:15" ht="15.75" customHeight="1" x14ac:dyDescent="0.2">
      <c r="B35" s="155" t="s">
        <v>273</v>
      </c>
      <c r="C35" s="156"/>
      <c r="D35" s="156"/>
      <c r="E35" s="156"/>
      <c r="F35" s="156"/>
      <c r="G35" s="156"/>
      <c r="H35" s="156"/>
      <c r="I35" s="156"/>
      <c r="J35" s="156"/>
      <c r="K35" s="156"/>
      <c r="L35" s="157"/>
    </row>
    <row r="42" spans="2:15" ht="15.75" customHeight="1" x14ac:dyDescent="0.2">
      <c r="O42" s="158"/>
    </row>
    <row r="43" spans="2:15" ht="15.75" customHeight="1" x14ac:dyDescent="0.2">
      <c r="O43" s="158"/>
    </row>
    <row r="44" spans="2:15" ht="15.75" customHeight="1" x14ac:dyDescent="0.2">
      <c r="O44" s="158"/>
    </row>
    <row r="45" spans="2:15" ht="15.75" customHeight="1" x14ac:dyDescent="0.2">
      <c r="O45" s="158"/>
    </row>
    <row r="46" spans="2:15" ht="15.75" customHeight="1" x14ac:dyDescent="0.2">
      <c r="O46" s="158"/>
    </row>
    <row r="52" spans="15:15" ht="15.75" customHeight="1" x14ac:dyDescent="0.2">
      <c r="O52" s="159"/>
    </row>
    <row r="53" spans="15:15" ht="15.75" customHeight="1" x14ac:dyDescent="0.2">
      <c r="O53" s="158"/>
    </row>
    <row r="54" spans="15:15" ht="15.75" customHeight="1" x14ac:dyDescent="0.2">
      <c r="O54" s="158"/>
    </row>
    <row r="55" spans="15:15" ht="15.75" customHeight="1" x14ac:dyDescent="0.2">
      <c r="O55" s="158"/>
    </row>
    <row r="56" spans="15:15" ht="15.75" customHeight="1" x14ac:dyDescent="0.2">
      <c r="O56" s="158"/>
    </row>
    <row r="57" spans="15:15" ht="15.75" customHeight="1" x14ac:dyDescent="0.2">
      <c r="O57" s="158"/>
    </row>
    <row r="58" spans="15:15" ht="15.75" customHeight="1" x14ac:dyDescent="0.2">
      <c r="O58" s="158"/>
    </row>
    <row r="59" spans="15:15" ht="15.75" customHeight="1" x14ac:dyDescent="0.2">
      <c r="O59" s="158"/>
    </row>
    <row r="60" spans="15:15" ht="15.75" customHeight="1" x14ac:dyDescent="0.2">
      <c r="O60" s="158"/>
    </row>
    <row r="61" spans="15:15" ht="15.75" customHeight="1" x14ac:dyDescent="0.2">
      <c r="O61" s="158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63" customWidth="1"/>
    <col min="2" max="2" width="41" style="63" customWidth="1"/>
    <col min="3" max="3" width="14.5" style="63" customWidth="1" outlineLevel="1"/>
    <col min="4" max="4" width="14.6640625" style="63" customWidth="1" outlineLevel="1"/>
    <col min="5" max="5" width="14.6640625" style="63" customWidth="1"/>
    <col min="6" max="7" width="14.6640625" style="63" customWidth="1" outlineLevel="1"/>
    <col min="8" max="9" width="14.6640625" style="63" customWidth="1"/>
    <col min="10" max="11" width="16.6640625" style="63" customWidth="1"/>
    <col min="12" max="12" width="14.6640625" style="63" customWidth="1"/>
    <col min="13" max="14" width="16.6640625" style="63" customWidth="1"/>
    <col min="15" max="15" width="14.6640625" style="63" customWidth="1"/>
    <col min="16" max="17" width="16.6640625" style="63" customWidth="1"/>
    <col min="18" max="18" width="14.6640625" style="63" customWidth="1"/>
    <col min="19" max="20" width="16.6640625" style="63" customWidth="1"/>
    <col min="21" max="21" width="9.1640625" style="63" customWidth="1"/>
    <col min="22" max="23" width="2.6640625" customWidth="1"/>
  </cols>
  <sheetData>
    <row r="2" spans="2:21" ht="18.75" customHeight="1" x14ac:dyDescent="0.25">
      <c r="B2" s="160" t="s">
        <v>274</v>
      </c>
      <c r="C2" s="74"/>
      <c r="D2" s="74"/>
    </row>
    <row r="3" spans="2:21" ht="15.75" customHeight="1" x14ac:dyDescent="0.2">
      <c r="B3" s="63" t="s">
        <v>275</v>
      </c>
      <c r="D3" s="74"/>
    </row>
    <row r="4" spans="2:21" ht="15.75" customHeight="1" x14ac:dyDescent="0.2">
      <c r="D4" s="74"/>
    </row>
    <row r="5" spans="2:21" ht="15.75" customHeight="1" x14ac:dyDescent="0.2">
      <c r="B5" s="161" t="s">
        <v>276</v>
      </c>
      <c r="C5" s="162"/>
      <c r="D5" s="162"/>
      <c r="E5" s="163" t="s">
        <v>277</v>
      </c>
      <c r="F5" s="163"/>
      <c r="G5" s="163"/>
      <c r="H5" s="164"/>
      <c r="I5" s="165"/>
      <c r="J5" s="166"/>
      <c r="K5" s="166"/>
      <c r="L5" s="167"/>
      <c r="M5" s="167"/>
      <c r="N5" s="167"/>
      <c r="O5" s="163"/>
      <c r="P5" s="166"/>
      <c r="Q5" s="166"/>
      <c r="R5" s="167"/>
      <c r="S5" s="167"/>
      <c r="T5" s="167"/>
      <c r="U5" s="168"/>
    </row>
    <row r="6" spans="2:21" ht="15.75" customHeight="1" x14ac:dyDescent="0.2">
      <c r="B6" s="169"/>
      <c r="C6" s="170"/>
      <c r="D6" s="128" t="s">
        <v>278</v>
      </c>
      <c r="E6" s="128" t="s">
        <v>245</v>
      </c>
      <c r="F6" s="128"/>
      <c r="G6" s="128" t="s">
        <v>244</v>
      </c>
      <c r="H6" s="128" t="s">
        <v>279</v>
      </c>
      <c r="I6" s="171" t="s">
        <v>280</v>
      </c>
      <c r="J6" s="172"/>
      <c r="K6" s="172"/>
      <c r="L6" s="171" t="s">
        <v>281</v>
      </c>
      <c r="M6" s="171"/>
      <c r="N6" s="171"/>
      <c r="O6" s="171" t="s">
        <v>282</v>
      </c>
      <c r="P6" s="171"/>
      <c r="Q6" s="171"/>
      <c r="R6" s="171" t="s">
        <v>283</v>
      </c>
      <c r="S6" s="171"/>
      <c r="T6" s="171"/>
      <c r="U6" s="173"/>
    </row>
    <row r="7" spans="2:21" ht="15.75" customHeight="1" x14ac:dyDescent="0.2">
      <c r="B7" s="174" t="s">
        <v>284</v>
      </c>
      <c r="C7" s="129" t="s">
        <v>248</v>
      </c>
      <c r="D7" s="130" t="s">
        <v>285</v>
      </c>
      <c r="E7" s="130" t="s">
        <v>254</v>
      </c>
      <c r="F7" s="130" t="s">
        <v>250</v>
      </c>
      <c r="G7" s="130" t="s">
        <v>252</v>
      </c>
      <c r="H7" s="130" t="s">
        <v>254</v>
      </c>
      <c r="I7" s="175" t="s">
        <v>286</v>
      </c>
      <c r="J7" s="176" t="s">
        <v>287</v>
      </c>
      <c r="K7" s="176" t="s">
        <v>288</v>
      </c>
      <c r="L7" s="175" t="str">
        <f t="shared" ref="L7:R7" si="0">+$I$7</f>
      </c>
      <c r="M7" s="176" t="str">
        <f t="shared" ref="M7:S7" si="1">+$J$7</f>
      </c>
      <c r="N7" s="176" t="str">
        <f t="shared" ref="N7:T7" si="2">+$K$7</f>
      </c>
      <c r="O7" s="175" t="str">
        <f t="shared" si="0"/>
      </c>
      <c r="P7" s="176" t="str">
        <f t="shared" si="1"/>
      </c>
      <c r="Q7" s="176" t="str">
        <f t="shared" si="2"/>
      </c>
      <c r="R7" s="175" t="str">
        <f t="shared" si="0"/>
      </c>
      <c r="S7" s="176" t="str">
        <f t="shared" si="1"/>
      </c>
      <c r="T7" s="176" t="str">
        <f t="shared" si="2"/>
      </c>
      <c r="U7" s="177" t="s">
        <v>249</v>
      </c>
    </row>
    <row r="8" spans="2:21" ht="15.75" customHeight="1" x14ac:dyDescent="0.2">
      <c r="B8" s="63" t="s">
        <v>257</v>
      </c>
      <c r="C8" s="63" t="s">
        <v>258</v>
      </c>
      <c r="D8" s="241">
        <v>19.690000000000001</v>
      </c>
      <c r="E8" s="242">
        <v>1924.6975000000002</v>
      </c>
      <c r="F8" s="242">
        <v>522.4</v>
      </c>
      <c r="G8" s="242">
        <v>0</v>
      </c>
      <c r="H8" s="242">
        <v>2280.3975</v>
      </c>
      <c r="I8" s="242">
        <v>474.6</v>
      </c>
      <c r="J8" s="242">
        <v>542.5</v>
      </c>
      <c r="K8" s="242">
        <v>616.1</v>
      </c>
      <c r="L8" s="242">
        <v>127.4</v>
      </c>
      <c r="M8" s="242">
        <v>143.6</v>
      </c>
      <c r="N8" s="242">
        <v>169.6</v>
      </c>
      <c r="O8" s="179"/>
      <c r="P8" s="179"/>
      <c r="Q8" s="179"/>
      <c r="R8" s="242">
        <v>26.392500000000002</v>
      </c>
      <c r="S8" s="242">
        <v>61.582500000000003</v>
      </c>
      <c r="T8" s="242">
        <v>78.2</v>
      </c>
      <c r="U8" s="245">
        <v>0.32</v>
      </c>
    </row>
    <row r="9" spans="2:21" ht="15.75" customHeight="1" x14ac:dyDescent="0.2">
      <c r="B9" s="63" t="s">
        <v>259</v>
      </c>
      <c r="C9" s="63" t="s">
        <v>260</v>
      </c>
      <c r="D9" s="243">
        <v>62.14</v>
      </c>
      <c r="E9" s="244">
        <v>671.11200000000008</v>
      </c>
      <c r="F9" s="244">
        <v>118.75</v>
      </c>
      <c r="G9" s="244">
        <v>0</v>
      </c>
      <c r="H9" s="244">
        <v>627.58200000000011</v>
      </c>
      <c r="I9" s="244">
        <v>446.041</v>
      </c>
      <c r="J9" s="244">
        <v>431.62</v>
      </c>
      <c r="K9" s="244">
        <v>443.6</v>
      </c>
      <c r="L9" s="244">
        <v>102.377</v>
      </c>
      <c r="M9" s="244">
        <v>95.6</v>
      </c>
      <c r="N9" s="244">
        <v>104.3</v>
      </c>
      <c r="O9" s="179"/>
      <c r="P9" s="179"/>
      <c r="Q9" s="179"/>
      <c r="R9" s="244">
        <v>46.36</v>
      </c>
      <c r="S9" s="244">
        <v>36.828000000000003</v>
      </c>
      <c r="T9" s="244">
        <v>41.472000000000001</v>
      </c>
      <c r="U9" s="245">
        <v>1.55</v>
      </c>
    </row>
    <row r="10" spans="2:21" ht="15.75" customHeight="1" x14ac:dyDescent="0.2">
      <c r="B10" s="63" t="s">
        <v>261</v>
      </c>
      <c r="C10" s="63" t="s">
        <v>262</v>
      </c>
      <c r="D10" s="243">
        <v>65.400000000000006</v>
      </c>
      <c r="E10" s="244">
        <v>800.49600000000009</v>
      </c>
      <c r="F10" s="244">
        <v>0</v>
      </c>
      <c r="G10" s="244">
        <v>0</v>
      </c>
      <c r="H10" s="244">
        <v>633.44400000000007</v>
      </c>
      <c r="I10" s="244">
        <v>421.96699999999998</v>
      </c>
      <c r="J10" s="244">
        <v>440.8</v>
      </c>
      <c r="K10" s="244">
        <v>463.93</v>
      </c>
      <c r="L10" s="244">
        <v>90.582999999999998</v>
      </c>
      <c r="M10" s="244">
        <v>95</v>
      </c>
      <c r="N10" s="244">
        <v>99.1</v>
      </c>
      <c r="O10" s="179"/>
      <c r="P10" s="179"/>
      <c r="Q10" s="179"/>
      <c r="R10" s="244">
        <v>37.942999999999998</v>
      </c>
      <c r="S10" s="244">
        <v>42.228000000000002</v>
      </c>
      <c r="T10" s="244">
        <v>46.512</v>
      </c>
      <c r="U10" s="245">
        <v>1.1100000000000001</v>
      </c>
    </row>
    <row r="11" spans="2:21" ht="15.75" customHeight="1" x14ac:dyDescent="0.2">
      <c r="B11" s="63" t="s">
        <v>263</v>
      </c>
      <c r="C11" s="63" t="s">
        <v>264</v>
      </c>
      <c r="D11" s="243">
        <v>34.479999999999997</v>
      </c>
      <c r="E11" s="244">
        <v>595.12480000000005</v>
      </c>
      <c r="F11" s="244">
        <v>0</v>
      </c>
      <c r="G11" s="244">
        <v>0</v>
      </c>
      <c r="H11" s="244">
        <v>474.29580000000004</v>
      </c>
      <c r="I11" s="244">
        <v>348.72</v>
      </c>
      <c r="J11" s="244">
        <v>368.86</v>
      </c>
      <c r="K11" s="244">
        <v>385.2</v>
      </c>
      <c r="L11" s="244">
        <v>74.099999999999994</v>
      </c>
      <c r="M11" s="244">
        <v>75.3</v>
      </c>
      <c r="N11" s="244">
        <v>80.099999999999994</v>
      </c>
      <c r="O11" s="179"/>
      <c r="P11" s="179"/>
      <c r="Q11" s="179"/>
      <c r="R11" s="244">
        <v>37.799400000000006</v>
      </c>
      <c r="S11" s="244">
        <v>40.906200000000005</v>
      </c>
      <c r="T11" s="244">
        <v>43.495200000000004</v>
      </c>
      <c r="U11" s="245">
        <v>1.1499999999999999</v>
      </c>
    </row>
    <row r="12" spans="2:21" ht="15.75" customHeight="1" x14ac:dyDescent="0.2">
      <c r="B12" s="63" t="s">
        <v>265</v>
      </c>
      <c r="C12" s="63" t="s">
        <v>266</v>
      </c>
      <c r="D12" s="243">
        <v>2.2000000000000002</v>
      </c>
      <c r="E12" s="244">
        <v>52.910000000000004</v>
      </c>
      <c r="F12" s="244">
        <v>43.903999999999989</v>
      </c>
      <c r="G12" s="244">
        <v>0</v>
      </c>
      <c r="H12" s="244">
        <v>77.801999999999992</v>
      </c>
      <c r="I12" s="244">
        <v>330.24900000000002</v>
      </c>
      <c r="J12" s="244">
        <v>320</v>
      </c>
      <c r="K12" s="244">
        <v>339.06</v>
      </c>
      <c r="L12" s="244">
        <v>-34.301000000000002</v>
      </c>
      <c r="M12" s="244">
        <v>-45</v>
      </c>
      <c r="N12" s="244">
        <v>-15.6</v>
      </c>
      <c r="O12" s="179"/>
      <c r="P12" s="179"/>
      <c r="Q12" s="179"/>
      <c r="R12" s="244">
        <v>-75.390000000000015</v>
      </c>
      <c r="S12" s="244">
        <v>-18.759</v>
      </c>
      <c r="T12" s="244">
        <v>-3.3670000000000004</v>
      </c>
      <c r="U12" s="245">
        <v>2.11</v>
      </c>
    </row>
    <row r="13" spans="2:21" ht="15.75" customHeight="1" x14ac:dyDescent="0.2">
      <c r="B13" s="63" t="s">
        <v>267</v>
      </c>
      <c r="C13" s="63" t="s">
        <v>268</v>
      </c>
      <c r="D13" s="243">
        <v>3.26</v>
      </c>
      <c r="E13" s="244">
        <v>82.086799999999997</v>
      </c>
      <c r="F13" s="244">
        <v>12.302999999999999</v>
      </c>
      <c r="G13" s="244">
        <v>0</v>
      </c>
      <c r="H13" s="244">
        <v>74.654799999999994</v>
      </c>
      <c r="I13" s="244">
        <v>127.753</v>
      </c>
      <c r="J13" s="244">
        <v>119.63</v>
      </c>
      <c r="K13" s="244">
        <v>124.21</v>
      </c>
      <c r="L13" s="244">
        <v>12.722999999999999</v>
      </c>
      <c r="M13" s="244">
        <v>11.1</v>
      </c>
      <c r="N13" s="244">
        <v>15.2</v>
      </c>
      <c r="O13" s="179"/>
      <c r="P13" s="179"/>
      <c r="Q13" s="179"/>
      <c r="R13" s="244">
        <v>3.468</v>
      </c>
      <c r="S13" s="244">
        <v>6.0431999999999997</v>
      </c>
      <c r="T13" s="244">
        <v>6.7986000000000004</v>
      </c>
      <c r="U13" s="245">
        <v>1.25</v>
      </c>
    </row>
    <row r="14" spans="2:21" ht="15.75" customHeight="1" x14ac:dyDescent="0.2">
      <c r="D14" s="182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4"/>
      <c r="P14" s="184"/>
      <c r="Q14" s="184"/>
      <c r="R14" s="183"/>
      <c r="S14" s="183"/>
      <c r="T14" s="183"/>
      <c r="U14" s="180"/>
    </row>
    <row r="15" spans="2:21" ht="15.75" customHeight="1" x14ac:dyDescent="0.2">
      <c r="B15" s="185" t="s">
        <v>289</v>
      </c>
      <c r="C15" s="79"/>
      <c r="D15" s="186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  <c r="P15" s="188"/>
      <c r="Q15" s="188"/>
      <c r="R15" s="187"/>
      <c r="S15" s="187"/>
      <c r="T15" s="187"/>
      <c r="U15" s="189"/>
    </row>
    <row r="16" spans="2:21" ht="15.75" customHeight="1" x14ac:dyDescent="0.2">
      <c r="B16" s="190" t="s">
        <v>290</v>
      </c>
      <c r="D16" s="191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79"/>
      <c r="P16" s="179"/>
      <c r="Q16" s="179"/>
      <c r="R16" s="192"/>
      <c r="S16" s="192"/>
      <c r="T16" s="192"/>
      <c r="U16" s="193"/>
    </row>
    <row r="17" spans="2:21" ht="15.75" customHeight="1" x14ac:dyDescent="0.2">
      <c r="B17" s="194" t="s">
        <v>291</v>
      </c>
      <c r="C17" s="195"/>
      <c r="D17" s="196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8"/>
      <c r="P17" s="198"/>
      <c r="Q17" s="198"/>
      <c r="R17" s="197"/>
      <c r="S17" s="197"/>
      <c r="T17" s="197"/>
      <c r="U17" s="199"/>
    </row>
    <row r="18" spans="2:21" ht="15.75" customHeight="1" x14ac:dyDescent="0.2">
      <c r="B18" s="190" t="s">
        <v>292</v>
      </c>
      <c r="C18" s="74"/>
      <c r="D18" s="191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79"/>
      <c r="P18" s="179"/>
      <c r="Q18" s="179"/>
      <c r="R18" s="192"/>
      <c r="S18" s="192"/>
      <c r="T18" s="192"/>
      <c r="U18" s="193"/>
    </row>
    <row r="19" spans="2:21" ht="15.75" customHeight="1" x14ac:dyDescent="0.2">
      <c r="B19" s="200" t="s">
        <v>293</v>
      </c>
      <c r="C19" s="201"/>
      <c r="D19" s="202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4"/>
      <c r="P19" s="204"/>
      <c r="Q19" s="204"/>
      <c r="R19" s="203"/>
      <c r="S19" s="203"/>
      <c r="T19" s="203"/>
      <c r="U19" s="205"/>
    </row>
    <row r="20" spans="2:21" ht="15.75" customHeight="1" x14ac:dyDescent="0.2"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</row>
    <row r="21" spans="2:21" ht="15.75" customHeight="1" x14ac:dyDescent="0.2">
      <c r="B21" s="206" t="s">
        <v>294</v>
      </c>
      <c r="C21" s="162"/>
      <c r="D21" s="162"/>
      <c r="E21" s="163" t="s">
        <v>277</v>
      </c>
      <c r="F21" s="163"/>
      <c r="G21" s="163"/>
      <c r="H21" s="164"/>
      <c r="I21" s="163" t="s">
        <v>295</v>
      </c>
      <c r="J21" s="164"/>
      <c r="K21" s="164"/>
      <c r="L21" s="163" t="s">
        <v>295</v>
      </c>
      <c r="M21" s="164"/>
      <c r="N21" s="164"/>
      <c r="O21" s="165"/>
      <c r="P21" s="207"/>
      <c r="Q21" s="208"/>
    </row>
    <row r="22" spans="2:21" ht="15.75" customHeight="1" x14ac:dyDescent="0.2">
      <c r="B22" s="169"/>
      <c r="C22" s="170"/>
      <c r="D22" s="128" t="str">
        <f>+$D$6</f>
      </c>
      <c r="E22" s="128" t="str">
        <f>+$E$6</f>
      </c>
      <c r="F22" s="128"/>
      <c r="G22" s="128" t="str">
        <f>+$G$6</f>
      </c>
      <c r="H22" s="128" t="str">
        <f>+$H$6</f>
      </c>
      <c r="I22" s="171" t="s">
        <v>280</v>
      </c>
      <c r="J22" s="209"/>
      <c r="K22" s="209"/>
      <c r="L22" s="171" t="s">
        <v>281</v>
      </c>
      <c r="M22" s="210"/>
      <c r="N22" s="210"/>
      <c r="O22" s="171" t="s">
        <v>296</v>
      </c>
      <c r="P22" s="210"/>
      <c r="Q22" s="211"/>
    </row>
    <row r="23" spans="2:21" ht="15.75" customHeight="1" x14ac:dyDescent="0.2">
      <c r="B23" s="174" t="str">
        <f>+$B$7</f>
      </c>
      <c r="C23" s="129" t="str">
        <f>+$C$7</f>
      </c>
      <c r="D23" s="130" t="str">
        <f>+$D$7</f>
      </c>
      <c r="E23" s="130" t="str">
        <f>+$E$7</f>
      </c>
      <c r="F23" s="130" t="str">
        <f>+$F$7</f>
      </c>
      <c r="G23" s="130" t="str">
        <f>+$G$7</f>
      </c>
      <c r="H23" s="130" t="str">
        <f>+$H$7</f>
      </c>
      <c r="I23" s="175" t="str">
        <f t="shared" ref="I23:O23" si="3">+$I$7</f>
      </c>
      <c r="J23" s="176" t="str">
        <f t="shared" ref="J23:P23" si="4">+$J$7</f>
      </c>
      <c r="K23" s="176" t="str">
        <f t="shared" ref="K23:Q23" si="5">+$K$7</f>
      </c>
      <c r="L23" s="175" t="str">
        <f t="shared" si="3"/>
      </c>
      <c r="M23" s="176" t="str">
        <f t="shared" si="4"/>
      </c>
      <c r="N23" s="176" t="str">
        <f t="shared" si="5"/>
      </c>
      <c r="O23" s="175" t="str">
        <f t="shared" si="3"/>
      </c>
      <c r="P23" s="176" t="str">
        <f t="shared" si="4"/>
      </c>
      <c r="Q23" s="212" t="str">
        <f t="shared" si="5"/>
      </c>
    </row>
    <row r="24" spans="2:21" ht="15.75" customHeight="1" x14ac:dyDescent="0.2">
      <c r="B24" s="63" t="str">
        <f t="shared" ref="B24:C29" si="6">+B8</f>
      </c>
      <c r="C24" s="63" t="str">
        <f t="shared" si="6"/>
      </c>
      <c r="D24" s="178"/>
      <c r="E24" s="148"/>
      <c r="F24" s="148"/>
      <c r="G24" s="148"/>
      <c r="H24" s="148"/>
      <c r="I24" s="213"/>
      <c r="J24" s="213"/>
      <c r="K24" s="213"/>
      <c r="L24" s="213"/>
      <c r="M24" s="213"/>
      <c r="N24" s="213"/>
      <c r="O24" s="213"/>
      <c r="P24" s="213"/>
      <c r="Q24" s="213"/>
    </row>
    <row r="25" spans="2:21" ht="15.75" customHeight="1" x14ac:dyDescent="0.2">
      <c r="B25" s="63" t="str">
        <f t="shared" si="6"/>
      </c>
      <c r="C25" s="63" t="str">
        <f t="shared" si="6"/>
      </c>
      <c r="D25" s="151"/>
      <c r="E25" s="181"/>
      <c r="F25" s="181"/>
      <c r="G25" s="181"/>
      <c r="H25" s="181"/>
      <c r="I25" s="213"/>
      <c r="J25" s="213"/>
      <c r="K25" s="213"/>
      <c r="L25" s="213"/>
      <c r="M25" s="213"/>
      <c r="N25" s="213"/>
      <c r="O25" s="213"/>
      <c r="P25" s="213"/>
      <c r="Q25" s="213"/>
    </row>
    <row r="26" spans="2:21" ht="15.75" customHeight="1" x14ac:dyDescent="0.2">
      <c r="B26" s="63" t="str">
        <f t="shared" si="6"/>
      </c>
      <c r="C26" s="63" t="str">
        <f t="shared" si="6"/>
      </c>
      <c r="D26" s="151"/>
      <c r="E26" s="181"/>
      <c r="F26" s="181"/>
      <c r="G26" s="181"/>
      <c r="H26" s="181"/>
      <c r="I26" s="213"/>
      <c r="J26" s="213"/>
      <c r="K26" s="213"/>
      <c r="L26" s="213"/>
      <c r="M26" s="213"/>
      <c r="N26" s="213"/>
      <c r="O26" s="213"/>
      <c r="P26" s="213"/>
      <c r="Q26" s="213"/>
    </row>
    <row r="27" spans="2:21" ht="15.75" customHeight="1" x14ac:dyDescent="0.2">
      <c r="B27" s="63" t="str">
        <f t="shared" si="6"/>
      </c>
      <c r="C27" s="63" t="str">
        <f t="shared" si="6"/>
      </c>
      <c r="D27" s="151"/>
      <c r="E27" s="181"/>
      <c r="F27" s="181"/>
      <c r="G27" s="181"/>
      <c r="H27" s="181"/>
      <c r="I27" s="213"/>
      <c r="J27" s="213"/>
      <c r="K27" s="213"/>
      <c r="L27" s="213"/>
      <c r="M27" s="213"/>
      <c r="N27" s="213"/>
      <c r="O27" s="213"/>
      <c r="P27" s="213"/>
      <c r="Q27" s="213"/>
    </row>
    <row r="28" spans="2:21" ht="15.75" customHeight="1" x14ac:dyDescent="0.2">
      <c r="B28" s="63" t="str">
        <f t="shared" si="6"/>
      </c>
      <c r="C28" s="63" t="str">
        <f t="shared" si="6"/>
      </c>
      <c r="D28" s="151"/>
      <c r="E28" s="181"/>
      <c r="F28" s="181"/>
      <c r="G28" s="181"/>
      <c r="H28" s="181"/>
      <c r="I28" s="213"/>
      <c r="J28" s="213"/>
      <c r="K28" s="213"/>
      <c r="L28" s="213"/>
      <c r="M28" s="213"/>
      <c r="N28" s="213"/>
      <c r="O28" s="213"/>
      <c r="P28" s="213"/>
      <c r="Q28" s="213"/>
    </row>
    <row r="29" spans="2:21" ht="15.75" customHeight="1" x14ac:dyDescent="0.2">
      <c r="B29" s="63" t="str">
        <f t="shared" si="6"/>
      </c>
      <c r="C29" s="63" t="str">
        <f t="shared" si="6"/>
      </c>
      <c r="D29" s="151"/>
      <c r="E29" s="181"/>
      <c r="F29" s="181"/>
      <c r="G29" s="181"/>
      <c r="H29" s="181"/>
      <c r="I29" s="213"/>
      <c r="J29" s="213"/>
      <c r="K29" s="213"/>
      <c r="L29" s="213"/>
      <c r="M29" s="213"/>
      <c r="N29" s="213"/>
      <c r="O29" s="213"/>
      <c r="P29" s="213"/>
      <c r="Q29" s="213"/>
    </row>
    <row r="30" spans="2:21" ht="15.75" customHeight="1" x14ac:dyDescent="0.2">
      <c r="D30" s="182"/>
      <c r="E30" s="183"/>
      <c r="F30" s="183"/>
      <c r="G30" s="183"/>
      <c r="H30" s="183"/>
      <c r="I30" s="213"/>
      <c r="J30" s="213"/>
      <c r="K30" s="213"/>
      <c r="L30" s="213"/>
      <c r="M30" s="213"/>
      <c r="N30" s="213"/>
      <c r="O30" s="213"/>
      <c r="P30" s="213"/>
      <c r="Q30" s="213"/>
    </row>
    <row r="31" spans="2:21" ht="15.75" customHeight="1" x14ac:dyDescent="0.2">
      <c r="B31" s="185" t="s">
        <v>289</v>
      </c>
      <c r="C31" s="79"/>
      <c r="D31" s="186"/>
      <c r="E31" s="187"/>
      <c r="F31" s="187"/>
      <c r="G31" s="187"/>
      <c r="H31" s="187"/>
      <c r="I31" s="214"/>
      <c r="J31" s="214"/>
      <c r="K31" s="214"/>
      <c r="L31" s="214"/>
      <c r="M31" s="214"/>
      <c r="N31" s="214"/>
      <c r="O31" s="214"/>
      <c r="P31" s="214"/>
      <c r="Q31" s="215"/>
    </row>
    <row r="32" spans="2:21" ht="15.75" customHeight="1" x14ac:dyDescent="0.2">
      <c r="B32" s="190" t="s">
        <v>290</v>
      </c>
      <c r="D32" s="191"/>
      <c r="E32" s="192"/>
      <c r="F32" s="192"/>
      <c r="G32" s="192"/>
      <c r="H32" s="192"/>
      <c r="I32" s="213"/>
      <c r="J32" s="213"/>
      <c r="K32" s="213"/>
      <c r="L32" s="213"/>
      <c r="M32" s="213"/>
      <c r="N32" s="213"/>
      <c r="O32" s="213"/>
      <c r="P32" s="213"/>
      <c r="Q32" s="216"/>
    </row>
    <row r="33" spans="2:17" ht="15.75" customHeight="1" x14ac:dyDescent="0.2">
      <c r="B33" s="194" t="s">
        <v>291</v>
      </c>
      <c r="C33" s="195"/>
      <c r="D33" s="196"/>
      <c r="E33" s="197"/>
      <c r="F33" s="197"/>
      <c r="G33" s="197"/>
      <c r="H33" s="197"/>
      <c r="I33" s="217"/>
      <c r="J33" s="217"/>
      <c r="K33" s="217"/>
      <c r="L33" s="217"/>
      <c r="M33" s="217"/>
      <c r="N33" s="217"/>
      <c r="O33" s="217"/>
      <c r="P33" s="217"/>
      <c r="Q33" s="218"/>
    </row>
    <row r="34" spans="2:17" ht="15.75" customHeight="1" x14ac:dyDescent="0.2">
      <c r="B34" s="190" t="s">
        <v>292</v>
      </c>
      <c r="C34" s="74"/>
      <c r="D34" s="191"/>
      <c r="E34" s="192"/>
      <c r="F34" s="192"/>
      <c r="G34" s="192"/>
      <c r="H34" s="192"/>
      <c r="I34" s="213"/>
      <c r="J34" s="213"/>
      <c r="K34" s="213"/>
      <c r="L34" s="213"/>
      <c r="M34" s="213"/>
      <c r="N34" s="213"/>
      <c r="O34" s="213"/>
      <c r="P34" s="213"/>
      <c r="Q34" s="216"/>
    </row>
    <row r="35" spans="2:17" ht="15.75" customHeight="1" x14ac:dyDescent="0.2">
      <c r="B35" s="200" t="s">
        <v>293</v>
      </c>
      <c r="C35" s="201"/>
      <c r="D35" s="202"/>
      <c r="E35" s="203"/>
      <c r="F35" s="203"/>
      <c r="G35" s="203"/>
      <c r="H35" s="203"/>
      <c r="I35" s="219"/>
      <c r="J35" s="219"/>
      <c r="K35" s="219"/>
      <c r="L35" s="219"/>
      <c r="M35" s="219"/>
      <c r="N35" s="219"/>
      <c r="O35" s="219"/>
      <c r="P35" s="219"/>
      <c r="Q35" s="220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221" t="str">
        <f>"Valuation Summary - "&amp;Company_Name</f>
      </c>
    </row>
    <row r="3" spans="2:14" ht="15.75" customHeight="1" x14ac:dyDescent="0.2">
      <c r="B3" s="63" t="str">
        <f>+'Company0462-GAAP'!$B$3</f>
      </c>
    </row>
    <row r="5" spans="2:14" ht="15.75" customHeight="1" x14ac:dyDescent="0.2">
      <c r="B5" s="206" t="str">
        <f>"Valuation Statistics - "&amp;TEXT(Company_Name,"")</f>
      </c>
      <c r="C5" s="163" t="str">
        <f>TEXT(Company_Name,"")&amp;" - Range of Valuation Multiples"</f>
      </c>
      <c r="D5" s="163"/>
      <c r="E5" s="163"/>
      <c r="F5" s="164"/>
      <c r="G5" s="164"/>
      <c r="H5" s="164"/>
      <c r="I5" s="164"/>
      <c r="J5" s="163" t="str">
        <f>TEXT(Company_Name,"")&amp;" - Range of Implied Equity Values"</f>
      </c>
      <c r="K5" s="164"/>
      <c r="L5" s="164"/>
      <c r="M5" s="164"/>
      <c r="N5" s="222"/>
    </row>
    <row r="6" spans="2:14" ht="15.75" customHeight="1" x14ac:dyDescent="0.2">
      <c r="B6" s="169"/>
      <c r="C6" s="128"/>
      <c r="D6" s="171"/>
      <c r="E6" s="171"/>
      <c r="F6" s="209"/>
      <c r="G6" s="171"/>
      <c r="H6" s="171"/>
      <c r="I6" s="171"/>
      <c r="J6" s="171"/>
      <c r="K6" s="171"/>
      <c r="L6" s="171"/>
      <c r="M6" s="171"/>
      <c r="N6" s="223"/>
    </row>
    <row r="7" spans="2:14" ht="15.75" customHeight="1" x14ac:dyDescent="0.2">
      <c r="B7" s="169"/>
      <c r="C7" s="128"/>
      <c r="D7" s="128" t="s">
        <v>297</v>
      </c>
      <c r="E7" s="128"/>
      <c r="F7" s="128" t="s">
        <v>298</v>
      </c>
      <c r="G7" s="171"/>
      <c r="H7" s="128" t="s">
        <v>299</v>
      </c>
      <c r="I7" s="128" t="s">
        <v>300</v>
      </c>
      <c r="J7" s="128"/>
      <c r="K7" s="128" t="s">
        <v>298</v>
      </c>
      <c r="L7" s="128"/>
      <c r="M7" s="128" t="s">
        <v>297</v>
      </c>
      <c r="N7" s="224"/>
    </row>
    <row r="8" spans="2:14" ht="15.75" customHeight="1" x14ac:dyDescent="0.2">
      <c r="B8" s="169"/>
      <c r="C8" s="128" t="s">
        <v>289</v>
      </c>
      <c r="D8" s="128" t="s">
        <v>301</v>
      </c>
      <c r="E8" s="128" t="s">
        <v>291</v>
      </c>
      <c r="F8" s="128" t="s">
        <v>301</v>
      </c>
      <c r="G8" s="128" t="s">
        <v>293</v>
      </c>
      <c r="H8" s="128" t="s">
        <v>302</v>
      </c>
      <c r="I8" s="128" t="s">
        <v>302</v>
      </c>
      <c r="J8" s="128" t="s">
        <v>293</v>
      </c>
      <c r="K8" s="128" t="s">
        <v>301</v>
      </c>
      <c r="L8" s="128" t="s">
        <v>291</v>
      </c>
      <c r="M8" s="128" t="s">
        <v>301</v>
      </c>
      <c r="N8" s="224" t="s">
        <v>289</v>
      </c>
    </row>
    <row r="9" spans="2:14" ht="15.75" customHeight="1" x14ac:dyDescent="0.2">
      <c r="B9" s="174" t="s">
        <v>303</v>
      </c>
      <c r="C9" s="130" t="s">
        <v>304</v>
      </c>
      <c r="D9" s="130" t="s">
        <v>304</v>
      </c>
      <c r="E9" s="130" t="s">
        <v>304</v>
      </c>
      <c r="F9" s="130" t="s">
        <v>304</v>
      </c>
      <c r="G9" s="130" t="s">
        <v>304</v>
      </c>
      <c r="H9" s="130" t="s">
        <v>305</v>
      </c>
      <c r="I9" s="130" t="s">
        <v>306</v>
      </c>
      <c r="J9" s="130" t="s">
        <v>304</v>
      </c>
      <c r="K9" s="130" t="s">
        <v>304</v>
      </c>
      <c r="L9" s="130" t="s">
        <v>304</v>
      </c>
      <c r="M9" s="130" t="s">
        <v>304</v>
      </c>
      <c r="N9" s="225" t="s">
        <v>304</v>
      </c>
    </row>
    <row r="10" spans="2:14" ht="15.75" customHeight="1" x14ac:dyDescent="0.2"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</row>
    <row r="11" spans="2:14" ht="15.75" customHeight="1" x14ac:dyDescent="0.2">
      <c r="B11" s="74" t="s">
        <v>307</v>
      </c>
      <c r="C11" s="148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</row>
    <row r="12" spans="2:14" ht="15.75" customHeight="1" x14ac:dyDescent="0.2">
      <c r="B12" s="71" t="s">
        <v>308</v>
      </c>
      <c r="C12" s="226"/>
      <c r="D12" s="226"/>
      <c r="E12" s="226"/>
      <c r="F12" s="226"/>
      <c r="G12" s="226"/>
      <c r="H12" s="227"/>
      <c r="I12" s="228"/>
      <c r="J12" s="229"/>
      <c r="K12" s="229"/>
      <c r="L12" s="229"/>
      <c r="M12" s="229"/>
      <c r="N12" s="229"/>
    </row>
    <row r="13" spans="2:14" ht="15.75" customHeight="1" x14ac:dyDescent="0.2">
      <c r="B13" s="71" t="str">
        <f>TEXT('Public Comps'!$J$7,"yyyy-mm-dd")&amp;" EV / Revenue:"</f>
      </c>
      <c r="C13" s="226"/>
      <c r="D13" s="226"/>
      <c r="E13" s="226"/>
      <c r="F13" s="226"/>
      <c r="G13" s="226"/>
      <c r="H13" s="230"/>
      <c r="I13" s="228"/>
      <c r="J13" s="231"/>
      <c r="K13" s="231"/>
      <c r="L13" s="231"/>
      <c r="M13" s="231"/>
      <c r="N13" s="231"/>
    </row>
    <row r="14" spans="2:14" ht="15.75" customHeight="1" x14ac:dyDescent="0.2">
      <c r="B14" s="71" t="str">
        <f>TEXT('Public Comps'!$K$7,"yyyy-mm-dd")&amp;" EV / Revenue:"</f>
      </c>
      <c r="C14" s="226"/>
      <c r="D14" s="226"/>
      <c r="E14" s="226"/>
      <c r="F14" s="226"/>
      <c r="G14" s="226"/>
      <c r="H14" s="230"/>
      <c r="I14" s="228"/>
      <c r="J14" s="231"/>
      <c r="K14" s="231"/>
      <c r="L14" s="231"/>
      <c r="M14" s="231"/>
      <c r="N14" s="231"/>
    </row>
    <row r="15" spans="2:14" ht="15.75" customHeight="1" x14ac:dyDescent="0.2">
      <c r="B15" s="71" t="s">
        <v>309</v>
      </c>
      <c r="C15" s="226"/>
      <c r="D15" s="226"/>
      <c r="E15" s="226"/>
      <c r="F15" s="226"/>
      <c r="G15" s="226"/>
      <c r="H15" s="230"/>
      <c r="I15" s="228"/>
      <c r="J15" s="231"/>
      <c r="K15" s="231"/>
      <c r="L15" s="231"/>
      <c r="M15" s="231"/>
      <c r="N15" s="231"/>
    </row>
    <row r="16" spans="2:14" ht="15.75" customHeight="1" x14ac:dyDescent="0.2">
      <c r="B16" s="71" t="str">
        <f>TEXT('Public Comps'!$J$7,"yyyy-mm-dd")&amp;" EV / EBITDA:"</f>
      </c>
      <c r="C16" s="226"/>
      <c r="D16" s="226"/>
      <c r="E16" s="226"/>
      <c r="F16" s="226"/>
      <c r="G16" s="226"/>
      <c r="H16" s="230"/>
      <c r="I16" s="228"/>
      <c r="J16" s="231"/>
      <c r="K16" s="231"/>
      <c r="L16" s="231"/>
      <c r="M16" s="231"/>
      <c r="N16" s="231"/>
    </row>
    <row r="17" spans="2:15" ht="15.75" customHeight="1" x14ac:dyDescent="0.2">
      <c r="B17" s="71" t="str">
        <f>TEXT('Public Comps'!$K$7,"yyyy-mm-dd")&amp;" EV / EBITDA:"</f>
      </c>
      <c r="C17" s="226"/>
      <c r="D17" s="226"/>
      <c r="E17" s="226"/>
      <c r="F17" s="226"/>
      <c r="G17" s="226"/>
      <c r="H17" s="230"/>
      <c r="I17" s="228"/>
      <c r="J17" s="231"/>
      <c r="K17" s="231"/>
      <c r="L17" s="231"/>
      <c r="M17" s="231"/>
      <c r="N17" s="231"/>
    </row>
    <row r="18" spans="2:15" ht="15.75" customHeight="1" x14ac:dyDescent="0.2">
      <c r="B18" s="71" t="s">
        <v>310</v>
      </c>
      <c r="C18" s="226"/>
      <c r="D18" s="226"/>
      <c r="E18" s="226"/>
      <c r="F18" s="226"/>
      <c r="G18" s="226"/>
      <c r="H18" s="230"/>
      <c r="I18" s="228"/>
      <c r="J18" s="231"/>
      <c r="K18" s="231"/>
      <c r="L18" s="231"/>
      <c r="M18" s="231"/>
      <c r="N18" s="231"/>
    </row>
    <row r="19" spans="2:15" ht="15.75" customHeight="1" x14ac:dyDescent="0.2">
      <c r="B19" s="71" t="str">
        <f>TEXT('Public Comps'!$J$7,"yyyy-mm-dd")&amp;" Price / Earnings:"</f>
      </c>
      <c r="C19" s="226"/>
      <c r="D19" s="226"/>
      <c r="E19" s="226"/>
      <c r="F19" s="226"/>
      <c r="G19" s="226"/>
      <c r="H19" s="230"/>
      <c r="I19" s="228"/>
      <c r="J19" s="231"/>
      <c r="K19" s="231"/>
      <c r="L19" s="231"/>
      <c r="M19" s="231"/>
      <c r="N19" s="231"/>
    </row>
    <row r="20" spans="2:15" ht="15.75" customHeight="1" x14ac:dyDescent="0.2">
      <c r="B20" s="71" t="str">
        <f>TEXT('Public Comps'!$K$7,"yyyy-mm-dd")&amp;" Price / Earnings:"</f>
      </c>
      <c r="C20" s="226"/>
      <c r="D20" s="226"/>
      <c r="E20" s="226"/>
      <c r="F20" s="226"/>
      <c r="G20" s="226"/>
      <c r="H20" s="230"/>
      <c r="I20" s="228"/>
      <c r="J20" s="231"/>
      <c r="K20" s="231"/>
      <c r="L20" s="231"/>
      <c r="M20" s="231"/>
      <c r="N20" s="231"/>
    </row>
    <row r="21" spans="2:15" ht="15.75" customHeight="1" x14ac:dyDescent="0.2">
      <c r="B21" s="63"/>
      <c r="C21" s="181"/>
      <c r="D21" s="63"/>
      <c r="E21" s="181"/>
      <c r="F21" s="63"/>
      <c r="G21" s="63"/>
      <c r="H21" s="63"/>
      <c r="I21" s="63"/>
      <c r="J21" s="63"/>
      <c r="K21" s="63"/>
      <c r="L21" s="63"/>
      <c r="M21" s="63"/>
      <c r="N21" s="63"/>
    </row>
    <row r="22" spans="2:15" ht="15.75" customHeight="1" x14ac:dyDescent="0.2">
      <c r="B22" s="74" t="s">
        <v>311</v>
      </c>
      <c r="C22" s="181"/>
      <c r="D22" s="63"/>
      <c r="E22" s="181"/>
      <c r="F22" s="63"/>
      <c r="G22" s="63"/>
      <c r="H22" s="63"/>
      <c r="I22" s="63"/>
      <c r="J22" s="63"/>
      <c r="K22" s="63"/>
      <c r="L22" s="63"/>
      <c r="M22" s="63"/>
      <c r="N22" s="63"/>
    </row>
    <row r="23" spans="2:15" ht="15.75" customHeight="1" x14ac:dyDescent="0.2">
      <c r="B23" s="71" t="s">
        <v>308</v>
      </c>
      <c r="C23" s="232">
        <v>2.5</v>
      </c>
      <c r="D23" s="233">
        <v>1.7</v>
      </c>
      <c r="E23" s="232">
        <v>1.5</v>
      </c>
      <c r="F23" s="232">
        <v>1.4</v>
      </c>
      <c r="G23" s="232">
        <v>0.9</v>
      </c>
      <c r="H23" s="227"/>
      <c r="I23" s="228"/>
      <c r="J23" s="231"/>
      <c r="K23" s="231"/>
      <c r="L23" s="231"/>
      <c r="M23" s="231"/>
      <c r="N23" s="231"/>
      <c r="O23" s="234"/>
    </row>
    <row r="24" spans="2:15" ht="15.75" customHeight="1" x14ac:dyDescent="0.2">
      <c r="B24" s="71" t="s">
        <v>309</v>
      </c>
      <c r="C24" s="232">
        <v>13.5</v>
      </c>
      <c r="D24" s="233">
        <v>12.1</v>
      </c>
      <c r="E24" s="232">
        <v>11.1</v>
      </c>
      <c r="F24" s="232">
        <v>10.1</v>
      </c>
      <c r="G24" s="232">
        <v>8</v>
      </c>
      <c r="H24" s="230"/>
      <c r="I24" s="228"/>
      <c r="J24" s="231"/>
      <c r="K24" s="231"/>
      <c r="L24" s="231"/>
      <c r="M24" s="231"/>
      <c r="N24" s="231"/>
      <c r="O24" s="234"/>
    </row>
    <row r="25" spans="2:15" ht="15.75" customHeight="1" x14ac:dyDescent="0.2">
      <c r="B25" s="63"/>
      <c r="C25" s="181"/>
      <c r="D25" s="63"/>
      <c r="E25" s="181"/>
      <c r="F25" s="63"/>
      <c r="G25" s="63"/>
      <c r="H25" s="63"/>
      <c r="I25" s="63"/>
      <c r="J25" s="63"/>
      <c r="K25" s="63"/>
      <c r="L25" s="63"/>
      <c r="M25" s="63"/>
      <c r="N25" s="63"/>
    </row>
    <row r="26" spans="2:15" ht="15.75" customHeight="1" x14ac:dyDescent="0.2">
      <c r="B26" s="74" t="s">
        <v>312</v>
      </c>
      <c r="C26" s="181"/>
      <c r="D26" s="63"/>
      <c r="E26" s="181"/>
      <c r="F26" s="63"/>
      <c r="G26" s="63"/>
      <c r="H26" s="63"/>
      <c r="I26" s="63"/>
      <c r="J26" s="63"/>
      <c r="K26" s="63"/>
      <c r="L26" s="63"/>
      <c r="M26" s="63"/>
      <c r="N26" s="63"/>
    </row>
    <row r="27" spans="2:15" ht="15.75" customHeight="1" x14ac:dyDescent="0.2">
      <c r="B27" s="71" t="s">
        <v>313</v>
      </c>
      <c r="C27" s="235"/>
      <c r="D27" s="235"/>
      <c r="E27" s="235"/>
      <c r="F27" s="235"/>
      <c r="G27" s="235"/>
      <c r="H27" s="178"/>
      <c r="I27" s="178"/>
      <c r="J27" s="230"/>
      <c r="K27" s="230"/>
      <c r="L27" s="230"/>
      <c r="M27" s="230"/>
      <c r="N27" s="230"/>
    </row>
    <row r="29" spans="2:15" ht="15.75" customHeight="1" x14ac:dyDescent="0.2">
      <c r="G29" s="61"/>
      <c r="H29" s="61" t="s">
        <v>314</v>
      </c>
      <c r="I29" s="61"/>
      <c r="J29" s="61"/>
      <c r="K29" s="62"/>
      <c r="L29" s="62"/>
      <c r="M29" s="62"/>
      <c r="N29" s="62"/>
    </row>
    <row r="31" spans="2:15" ht="15.75" customHeight="1" x14ac:dyDescent="0.2">
      <c r="G31" s="1" t="s">
        <v>315</v>
      </c>
      <c r="J31" s="229"/>
      <c r="K31" s="229"/>
      <c r="L31" s="229"/>
      <c r="M31" s="229"/>
      <c r="N31" s="229"/>
    </row>
    <row r="32" spans="2:15" ht="15.75" customHeight="1" x14ac:dyDescent="0.2">
      <c r="G32" s="1" t="s">
        <v>315</v>
      </c>
      <c r="J32" s="236"/>
      <c r="K32" s="236"/>
      <c r="L32" s="236"/>
      <c r="M32" s="236"/>
      <c r="N32" s="236"/>
    </row>
    <row r="33" spans="7:14" ht="15.75" customHeight="1" x14ac:dyDescent="0.2">
      <c r="G33" s="1" t="s">
        <v>315</v>
      </c>
      <c r="J33" s="236"/>
      <c r="K33" s="236"/>
      <c r="L33" s="236"/>
      <c r="M33" s="236"/>
      <c r="N33" s="236"/>
    </row>
    <row r="34" spans="7:14" ht="15.75" customHeight="1" x14ac:dyDescent="0.2">
      <c r="G34" s="1" t="s">
        <v>315</v>
      </c>
      <c r="J34" s="236"/>
      <c r="K34" s="236"/>
      <c r="L34" s="236"/>
      <c r="M34" s="236"/>
      <c r="N34" s="236"/>
    </row>
    <row r="35" spans="7:14" ht="15.75" customHeight="1" x14ac:dyDescent="0.2">
      <c r="G35" s="1" t="s">
        <v>315</v>
      </c>
      <c r="J35" s="236"/>
      <c r="K35" s="236"/>
      <c r="L35" s="236"/>
      <c r="M35" s="236"/>
      <c r="N35" s="236"/>
    </row>
    <row r="36" spans="7:14" ht="15.75" customHeight="1" x14ac:dyDescent="0.2">
      <c r="G36" s="1" t="s">
        <v>315</v>
      </c>
      <c r="J36" s="236"/>
      <c r="K36" s="236"/>
      <c r="L36" s="236"/>
      <c r="M36" s="236"/>
      <c r="N36" s="236"/>
    </row>
    <row r="37" spans="7:14" ht="15.75" customHeight="1" x14ac:dyDescent="0.2">
      <c r="J37" s="236"/>
      <c r="K37" s="236"/>
      <c r="L37" s="236"/>
      <c r="M37" s="236"/>
      <c r="N37" s="236"/>
    </row>
    <row r="38" spans="7:14" ht="15.75" customHeight="1" x14ac:dyDescent="0.2">
      <c r="G38" s="1" t="s">
        <v>316</v>
      </c>
      <c r="J38" s="236"/>
      <c r="K38" s="236"/>
      <c r="L38" s="236"/>
      <c r="M38" s="236"/>
      <c r="N38" s="236"/>
    </row>
    <row r="39" spans="7:14" ht="15.75" customHeight="1" x14ac:dyDescent="0.2">
      <c r="G39" s="1" t="s">
        <v>316</v>
      </c>
      <c r="J39" s="236"/>
      <c r="K39" s="236"/>
      <c r="L39" s="236"/>
      <c r="M39" s="236"/>
      <c r="N39" s="236"/>
    </row>
    <row r="40" spans="7:14" ht="15.75" customHeight="1" x14ac:dyDescent="0.2">
      <c r="G40" s="1" t="s">
        <v>316</v>
      </c>
      <c r="J40" s="236"/>
      <c r="K40" s="236"/>
      <c r="L40" s="236"/>
      <c r="M40" s="236"/>
      <c r="N40" s="236"/>
    </row>
    <row r="41" spans="7:14" ht="15.75" customHeight="1" x14ac:dyDescent="0.2">
      <c r="G41" s="1" t="s">
        <v>316</v>
      </c>
      <c r="J41" s="236"/>
      <c r="K41" s="236"/>
      <c r="L41" s="236"/>
      <c r="M41" s="236"/>
      <c r="N41" s="236"/>
    </row>
    <row r="42" spans="7:14" ht="15.75" customHeight="1" x14ac:dyDescent="0.2">
      <c r="G42" s="1" t="s">
        <v>316</v>
      </c>
      <c r="J42" s="236"/>
      <c r="K42" s="236"/>
      <c r="L42" s="236"/>
      <c r="M42" s="236"/>
      <c r="N42" s="236"/>
    </row>
    <row r="43" spans="7:14" ht="15.75" customHeight="1" x14ac:dyDescent="0.2">
      <c r="G43" s="1" t="s">
        <v>316</v>
      </c>
      <c r="J43" s="236"/>
      <c r="K43" s="236"/>
      <c r="L43" s="236"/>
      <c r="M43" s="236"/>
      <c r="N43" s="236"/>
    </row>
    <row r="44" spans="7:14" ht="15.75" customHeight="1" x14ac:dyDescent="0.2">
      <c r="G44" s="1" t="s">
        <v>316</v>
      </c>
      <c r="J44" s="236"/>
      <c r="K44" s="236"/>
      <c r="L44" s="236"/>
      <c r="M44" s="236"/>
      <c r="N44" s="236"/>
    </row>
    <row r="45" spans="7:14" ht="15.75" customHeight="1" x14ac:dyDescent="0.2">
      <c r="G45" s="1" t="s">
        <v>316</v>
      </c>
      <c r="J45" s="236"/>
      <c r="K45" s="236"/>
      <c r="L45" s="236"/>
      <c r="M45" s="236"/>
      <c r="N45" s="236"/>
    </row>
    <row r="46" spans="7:14" ht="15.75" customHeight="1" x14ac:dyDescent="0.2">
      <c r="G46" s="1" t="s">
        <v>316</v>
      </c>
      <c r="J46" s="236"/>
      <c r="K46" s="236"/>
      <c r="L46" s="236"/>
      <c r="M46" s="236"/>
      <c r="N46" s="236"/>
    </row>
    <row r="48" spans="7:14" ht="15.75" customHeight="1" x14ac:dyDescent="0.2">
      <c r="G48" s="1" t="s">
        <v>315</v>
      </c>
      <c r="J48" s="236"/>
      <c r="K48" s="236"/>
      <c r="L48" s="236"/>
      <c r="M48" s="236"/>
      <c r="N48" s="236"/>
    </row>
    <row r="49" spans="7:14" ht="15.75" customHeight="1" x14ac:dyDescent="0.2">
      <c r="G49" s="1" t="s">
        <v>315</v>
      </c>
      <c r="J49" s="236"/>
      <c r="K49" s="236"/>
      <c r="L49" s="236"/>
      <c r="M49" s="236"/>
      <c r="N49" s="236"/>
    </row>
    <row r="51" spans="7:14" ht="15.75" customHeight="1" x14ac:dyDescent="0.2">
      <c r="G51" s="1" t="s">
        <v>316</v>
      </c>
      <c r="J51" s="236"/>
      <c r="K51" s="236"/>
      <c r="L51" s="236"/>
      <c r="M51" s="236"/>
      <c r="N51" s="236"/>
    </row>
    <row r="52" spans="7:14" ht="15.75" customHeight="1" x14ac:dyDescent="0.2">
      <c r="G52" s="1" t="s">
        <v>316</v>
      </c>
      <c r="J52" s="236"/>
      <c r="K52" s="236"/>
      <c r="L52" s="236"/>
      <c r="M52" s="236"/>
      <c r="N52" s="236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317</v>
      </c>
      <c r="J25" s="1" t="s">
        <v>298</v>
      </c>
      <c r="K25" s="1" t="s">
        <v>291</v>
      </c>
      <c r="L25" s="1" t="s">
        <v>297</v>
      </c>
      <c r="M25" s="1" t="s">
        <v>318</v>
      </c>
      <c r="N25" s="1" t="s">
        <v>319</v>
      </c>
      <c r="O25" s="1" t="s">
        <v>320</v>
      </c>
      <c r="P25" s="1" t="s">
        <v>321</v>
      </c>
      <c r="Q25" s="1" t="s">
        <v>322</v>
      </c>
      <c r="R25" s="1" t="s">
        <v>323</v>
      </c>
    </row>
    <row r="26" spans="2:18" ht="15.75" customHeight="1" x14ac:dyDescent="0.2">
      <c r="I26" s="237"/>
      <c r="J26" s="237"/>
      <c r="K26" s="237"/>
      <c r="L26" s="237"/>
      <c r="M26" s="237"/>
      <c r="N26" s="237"/>
      <c r="O26" s="237"/>
      <c r="P26" s="237"/>
      <c r="Q26" s="237"/>
      <c r="R26" s="237"/>
    </row>
    <row r="27" spans="2:18" ht="15.75" customHeight="1" x14ac:dyDescent="0.2">
      <c r="B27" s="238" t="str">
        <f>+ValSum!B27</f>
      </c>
      <c r="I27" s="227"/>
      <c r="J27" s="227"/>
      <c r="K27" s="227"/>
      <c r="L27" s="227"/>
      <c r="M27" s="227"/>
      <c r="N27" s="229"/>
      <c r="O27" s="229"/>
      <c r="P27" s="229"/>
      <c r="Q27" s="229"/>
      <c r="R27" s="229"/>
    </row>
    <row r="29" spans="2:18" ht="15.75" customHeight="1" x14ac:dyDescent="0.2">
      <c r="B29" s="238" t="str">
        <f>+ValSum!B24</f>
      </c>
      <c r="I29" s="239"/>
      <c r="J29" s="239"/>
      <c r="K29" s="239"/>
      <c r="L29" s="239"/>
      <c r="M29" s="239"/>
      <c r="N29" s="236"/>
      <c r="O29" s="236"/>
      <c r="P29" s="236"/>
      <c r="Q29" s="236"/>
      <c r="R29" s="236"/>
    </row>
    <row r="30" spans="2:18" ht="15.75" customHeight="1" x14ac:dyDescent="0.2">
      <c r="B30" s="238" t="str">
        <f>+ValSum!B23</f>
      </c>
      <c r="I30" s="239"/>
      <c r="J30" s="239"/>
      <c r="K30" s="239"/>
      <c r="L30" s="239"/>
      <c r="M30" s="239"/>
      <c r="N30" s="236"/>
      <c r="O30" s="236"/>
      <c r="P30" s="236"/>
      <c r="Q30" s="236"/>
      <c r="R30" s="236"/>
    </row>
    <row r="31" spans="2:18" ht="15.75" customHeight="1" x14ac:dyDescent="0.2">
      <c r="I31" s="240"/>
      <c r="J31" s="240"/>
      <c r="K31" s="240"/>
      <c r="L31" s="240"/>
      <c r="M31" s="240"/>
      <c r="N31" s="240"/>
      <c r="O31" s="240"/>
      <c r="P31" s="240"/>
      <c r="Q31" s="240"/>
      <c r="R31" s="240"/>
    </row>
    <row r="32" spans="2:18" ht="15.75" customHeight="1" x14ac:dyDescent="0.2">
      <c r="B32" s="238" t="str">
        <f>+ValSum!B20</f>
      </c>
      <c r="I32" s="239"/>
      <c r="J32" s="239"/>
      <c r="K32" s="239"/>
      <c r="L32" s="239"/>
      <c r="M32" s="239"/>
      <c r="N32" s="236"/>
      <c r="O32" s="236"/>
      <c r="P32" s="236"/>
      <c r="Q32" s="236"/>
      <c r="R32" s="236"/>
    </row>
    <row r="33" spans="2:18" ht="15.75" customHeight="1" x14ac:dyDescent="0.2">
      <c r="B33" s="238" t="str">
        <f>+ValSum!B19</f>
      </c>
      <c r="I33" s="239"/>
      <c r="J33" s="239"/>
      <c r="K33" s="239"/>
      <c r="L33" s="239"/>
      <c r="M33" s="239"/>
      <c r="N33" s="236"/>
      <c r="O33" s="236"/>
      <c r="P33" s="236"/>
      <c r="Q33" s="236"/>
      <c r="R33" s="236"/>
    </row>
    <row r="34" spans="2:18" ht="15.75" customHeight="1" x14ac:dyDescent="0.2">
      <c r="B34" s="238" t="str">
        <f>+ValSum!B18</f>
      </c>
      <c r="I34" s="239"/>
      <c r="J34" s="239"/>
      <c r="K34" s="239"/>
      <c r="L34" s="239"/>
      <c r="M34" s="239"/>
      <c r="N34" s="236"/>
      <c r="O34" s="236"/>
      <c r="P34" s="236"/>
      <c r="Q34" s="236"/>
      <c r="R34" s="236"/>
    </row>
    <row r="35" spans="2:18" ht="15.75" customHeight="1" x14ac:dyDescent="0.2">
      <c r="B35" s="238" t="str">
        <f>+ValSum!B17</f>
      </c>
      <c r="I35" s="239"/>
      <c r="J35" s="239"/>
      <c r="K35" s="239"/>
      <c r="L35" s="239"/>
      <c r="M35" s="239"/>
      <c r="N35" s="236"/>
      <c r="O35" s="236"/>
      <c r="P35" s="236"/>
      <c r="Q35" s="236"/>
      <c r="R35" s="236"/>
    </row>
    <row r="36" spans="2:18" ht="15.75" customHeight="1" x14ac:dyDescent="0.2">
      <c r="B36" s="238" t="str">
        <f>+ValSum!B16</f>
      </c>
      <c r="I36" s="239"/>
      <c r="J36" s="239"/>
      <c r="K36" s="239"/>
      <c r="L36" s="239"/>
      <c r="M36" s="239"/>
      <c r="N36" s="236"/>
      <c r="O36" s="236"/>
      <c r="P36" s="236"/>
      <c r="Q36" s="236"/>
      <c r="R36" s="236"/>
    </row>
    <row r="37" spans="2:18" ht="15.75" customHeight="1" x14ac:dyDescent="0.2">
      <c r="B37" s="238" t="str">
        <f>+ValSum!B15</f>
      </c>
      <c r="I37" s="239"/>
      <c r="J37" s="239"/>
      <c r="K37" s="239"/>
      <c r="L37" s="239"/>
      <c r="M37" s="239"/>
      <c r="N37" s="236"/>
      <c r="O37" s="236"/>
      <c r="P37" s="236"/>
      <c r="Q37" s="236"/>
      <c r="R37" s="236"/>
    </row>
    <row r="38" spans="2:18" ht="15.75" customHeight="1" x14ac:dyDescent="0.2">
      <c r="B38" s="238" t="str">
        <f>+ValSum!B14</f>
      </c>
      <c r="I38" s="239"/>
      <c r="J38" s="239"/>
      <c r="K38" s="239"/>
      <c r="L38" s="239"/>
      <c r="M38" s="239"/>
      <c r="N38" s="236"/>
      <c r="O38" s="236"/>
      <c r="P38" s="236"/>
      <c r="Q38" s="236"/>
      <c r="R38" s="236"/>
    </row>
    <row r="39" spans="2:18" ht="15.75" customHeight="1" x14ac:dyDescent="0.2">
      <c r="B39" s="238" t="str">
        <f>+ValSum!B13</f>
      </c>
      <c r="I39" s="239"/>
      <c r="J39" s="239"/>
      <c r="K39" s="239"/>
      <c r="L39" s="239"/>
      <c r="M39" s="239"/>
      <c r="N39" s="236"/>
      <c r="O39" s="236"/>
      <c r="P39" s="236"/>
      <c r="Q39" s="236"/>
      <c r="R39" s="236"/>
    </row>
    <row r="40" spans="2:18" ht="15.75" customHeight="1" x14ac:dyDescent="0.2">
      <c r="B40" s="238" t="str">
        <f>+ValSum!B12</f>
      </c>
      <c r="I40" s="239"/>
      <c r="J40" s="239"/>
      <c r="K40" s="239"/>
      <c r="L40" s="239"/>
      <c r="M40" s="239"/>
      <c r="N40" s="236"/>
      <c r="O40" s="236"/>
      <c r="P40" s="236"/>
      <c r="Q40" s="236"/>
      <c r="R40" s="236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